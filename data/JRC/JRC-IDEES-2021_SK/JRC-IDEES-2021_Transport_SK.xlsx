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K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S242" i="3" s="1"/>
  <c r="N30" i="3"/>
  <c r="M30" i="3"/>
  <c r="K30" i="3"/>
  <c r="J30" i="3"/>
  <c r="I30" i="3"/>
  <c r="H30" i="3"/>
  <c r="G30" i="3"/>
  <c r="C30" i="3"/>
  <c r="C242" i="3" s="1"/>
  <c r="B30" i="3"/>
  <c r="B26" i="1"/>
  <c r="B24" i="1"/>
  <c r="B25" i="1"/>
  <c r="P18" i="20" l="1"/>
  <c r="C18" i="20"/>
  <c r="Q14" i="18"/>
  <c r="E3" i="20"/>
  <c r="E22" i="20" s="1"/>
  <c r="O14" i="18"/>
  <c r="I15" i="18"/>
  <c r="E3" i="18"/>
  <c r="E17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9" i="3" s="1"/>
  <c r="R123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3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D22" i="20"/>
  <c r="E18" i="18"/>
  <c r="N3" i="18"/>
  <c r="N17" i="18" s="1"/>
  <c r="U14" i="18"/>
  <c r="F22" i="20"/>
  <c r="P14" i="18"/>
  <c r="J14" i="20"/>
  <c r="O3" i="20"/>
  <c r="O23" i="20" s="1"/>
  <c r="O3" i="18"/>
  <c r="O18" i="18" s="1"/>
  <c r="N3" i="20"/>
  <c r="N13" i="20" s="1"/>
  <c r="R23" i="18"/>
  <c r="N24" i="19"/>
  <c r="O11" i="20"/>
  <c r="Q14" i="20"/>
  <c r="Q10" i="20"/>
  <c r="Q3" i="20"/>
  <c r="Q22" i="20" s="1"/>
  <c r="C19" i="20"/>
  <c r="E14" i="18"/>
  <c r="M14" i="18"/>
  <c r="E19" i="18"/>
  <c r="U19" i="18"/>
  <c r="I22" i="18"/>
  <c r="S23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K20" i="19"/>
  <c r="B4" i="19"/>
  <c r="B60" i="3" s="1"/>
  <c r="J4" i="19"/>
  <c r="J60" i="3" s="1"/>
  <c r="J212" i="3" s="1"/>
  <c r="R4" i="19"/>
  <c r="R60" i="3" s="1"/>
  <c r="R212" i="3" s="1"/>
  <c r="I18" i="20"/>
  <c r="J19" i="20"/>
  <c r="H3" i="18"/>
  <c r="H18" i="18" s="1"/>
  <c r="I3" i="18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F19" i="18"/>
  <c r="P7" i="18"/>
  <c r="P21" i="18" s="1"/>
  <c r="R22" i="18"/>
  <c r="L23" i="18"/>
  <c r="T23" i="18"/>
  <c r="H14" i="18"/>
  <c r="B15" i="18"/>
  <c r="R15" i="18"/>
  <c r="D10" i="19"/>
  <c r="L10" i="19"/>
  <c r="T10" i="19"/>
  <c r="G23" i="20"/>
  <c r="W23" i="20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S22" i="18"/>
  <c r="E23" i="18"/>
  <c r="M23" i="18"/>
  <c r="I14" i="18"/>
  <c r="C15" i="18"/>
  <c r="S15" i="18"/>
  <c r="K23" i="18"/>
  <c r="F18" i="20"/>
  <c r="F14" i="20"/>
  <c r="N18" i="20"/>
  <c r="N14" i="20"/>
  <c r="V18" i="20"/>
  <c r="V14" i="20"/>
  <c r="H19" i="20"/>
  <c r="H15" i="20"/>
  <c r="H11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22" i="18"/>
  <c r="T14" i="20"/>
  <c r="F15" i="20"/>
  <c r="N23" i="18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W10" i="20"/>
  <c r="B14" i="20"/>
  <c r="U15" i="20"/>
  <c r="S18" i="20"/>
  <c r="S15" i="20"/>
  <c r="S3" i="20"/>
  <c r="S23" i="20" s="1"/>
  <c r="I19" i="18"/>
  <c r="E22" i="18"/>
  <c r="M22" i="18"/>
  <c r="U15" i="18"/>
  <c r="H14" i="20"/>
  <c r="H3" i="20"/>
  <c r="H22" i="20" s="1"/>
  <c r="P14" i="20"/>
  <c r="P10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V22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M23" i="20"/>
  <c r="R3" i="20"/>
  <c r="Q21" i="19" l="1"/>
  <c r="E17" i="20"/>
  <c r="F20" i="19"/>
  <c r="N29" i="3"/>
  <c r="N241" i="3" s="1"/>
  <c r="E13" i="18"/>
  <c r="M24" i="19"/>
  <c r="N20" i="19"/>
  <c r="G24" i="19"/>
  <c r="T20" i="19"/>
  <c r="R242" i="3"/>
  <c r="R21" i="19"/>
  <c r="F89" i="3"/>
  <c r="F181" i="3" s="1"/>
  <c r="E21" i="20"/>
  <c r="L21" i="20"/>
  <c r="Q25" i="19"/>
  <c r="L10" i="20"/>
  <c r="W3" i="19"/>
  <c r="W28" i="19" s="1"/>
  <c r="P24" i="19"/>
  <c r="U24" i="19"/>
  <c r="N10" i="20"/>
  <c r="H25" i="19"/>
  <c r="G25" i="19"/>
  <c r="J21" i="19"/>
  <c r="J11" i="20"/>
  <c r="L20" i="19"/>
  <c r="H20" i="19"/>
  <c r="W24" i="19"/>
  <c r="S10" i="20"/>
  <c r="U29" i="3"/>
  <c r="U121" i="3" s="1"/>
  <c r="E13" i="20"/>
  <c r="I21" i="18"/>
  <c r="W17" i="20"/>
  <c r="M22" i="20"/>
  <c r="O21" i="19"/>
  <c r="Q11" i="20"/>
  <c r="I213" i="3"/>
  <c r="Q24" i="19"/>
  <c r="G18" i="18"/>
  <c r="R25" i="19"/>
  <c r="T24" i="19"/>
  <c r="F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3" i="3" s="1"/>
  <c r="M3" i="19"/>
  <c r="M27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P122" i="3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D123" i="3"/>
  <c r="H122" i="3"/>
  <c r="G121" i="3"/>
  <c r="G241" i="3"/>
  <c r="K121" i="3"/>
  <c r="V183" i="3"/>
  <c r="B121" i="3"/>
  <c r="B241" i="3"/>
  <c r="I183" i="3"/>
  <c r="Q12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F183" i="3"/>
  <c r="U122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T123" i="3"/>
  <c r="L181" i="3"/>
  <c r="L182" i="3"/>
  <c r="W181" i="3"/>
  <c r="W182" i="3"/>
  <c r="W183" i="3"/>
  <c r="U182" i="3"/>
  <c r="E183" i="3"/>
  <c r="D181" i="3"/>
  <c r="D182" i="3"/>
  <c r="R183" i="3"/>
  <c r="R181" i="3"/>
  <c r="M182" i="3"/>
  <c r="I182" i="3"/>
  <c r="C183" i="3"/>
  <c r="J182" i="3"/>
  <c r="M123" i="3"/>
  <c r="M121" i="3"/>
  <c r="Q122" i="3"/>
  <c r="O123" i="3"/>
  <c r="E123" i="3"/>
  <c r="W123" i="3"/>
  <c r="G123" i="3"/>
  <c r="B123" i="3"/>
  <c r="R122" i="3"/>
  <c r="R121" i="3"/>
  <c r="U123" i="3"/>
  <c r="W122" i="3"/>
  <c r="M122" i="3"/>
  <c r="N123" i="3"/>
  <c r="E122" i="3"/>
  <c r="O122" i="3"/>
  <c r="P23" i="20"/>
  <c r="D17" i="20"/>
  <c r="J22" i="18"/>
  <c r="P19" i="18"/>
  <c r="O21" i="20"/>
  <c r="O22" i="20"/>
  <c r="J23" i="18"/>
  <c r="B19" i="18"/>
  <c r="V13" i="20"/>
  <c r="G28" i="19"/>
  <c r="T17" i="20"/>
  <c r="L18" i="18"/>
  <c r="J17" i="18"/>
  <c r="J13" i="18"/>
  <c r="E28" i="19"/>
  <c r="N9" i="20"/>
  <c r="C25" i="19"/>
  <c r="C21" i="19"/>
  <c r="C3" i="19"/>
  <c r="C9" i="20" s="1"/>
  <c r="J19" i="18"/>
  <c r="T11" i="20"/>
  <c r="H23" i="19"/>
  <c r="H19" i="19"/>
  <c r="H27" i="19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W29" i="19"/>
  <c r="H28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M19" i="19"/>
  <c r="I21" i="20"/>
  <c r="I17" i="20"/>
  <c r="I13" i="20"/>
  <c r="M21" i="19"/>
  <c r="M29" i="19"/>
  <c r="M25" i="19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N121" i="3" l="1"/>
  <c r="Q23" i="19"/>
  <c r="W19" i="19"/>
  <c r="M9" i="20"/>
  <c r="M23" i="19"/>
  <c r="W9" i="20"/>
  <c r="P9" i="20"/>
  <c r="W27" i="19"/>
  <c r="W23" i="19"/>
  <c r="Q241" i="3"/>
  <c r="L121" i="3"/>
  <c r="P121" i="3"/>
  <c r="N29" i="19"/>
  <c r="N19" i="19"/>
  <c r="F152" i="3"/>
  <c r="G27" i="19"/>
  <c r="N27" i="19"/>
  <c r="F151" i="3"/>
  <c r="P27" i="19"/>
  <c r="E23" i="19"/>
  <c r="F241" i="3"/>
  <c r="E27" i="19"/>
  <c r="T241" i="3"/>
  <c r="K18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M211" i="3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151" i="3" l="1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S10" i="5"/>
  <c r="R10" i="5"/>
  <c r="Q10" i="5"/>
  <c r="N10" i="5"/>
  <c r="K10" i="5"/>
  <c r="J10" i="5"/>
  <c r="I10" i="5"/>
  <c r="F10" i="5"/>
  <c r="C10" i="5"/>
  <c r="B10" i="5"/>
  <c r="L10" i="5" l="1"/>
  <c r="T10" i="5"/>
  <c r="E10" i="5"/>
  <c r="M10" i="5"/>
  <c r="U10" i="5"/>
  <c r="G10" i="5"/>
  <c r="O10" i="5"/>
  <c r="W10" i="5"/>
  <c r="D10" i="5"/>
  <c r="H10" i="5"/>
  <c r="P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22" i="13" l="1"/>
  <c r="W85" i="4"/>
  <c r="W80" i="11"/>
  <c r="W53" i="11"/>
  <c r="W70" i="11"/>
  <c r="W73" i="4"/>
  <c r="W19" i="7" s="1"/>
  <c r="W26" i="4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20" i="3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W57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Q84" i="4" l="1"/>
  <c r="H60" i="7"/>
  <c r="H59" i="7" s="1"/>
  <c r="F84" i="4"/>
  <c r="Q75" i="7"/>
  <c r="R60" i="7"/>
  <c r="N84" i="4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V60" i="7"/>
  <c r="W23" i="9"/>
  <c r="W26" i="10"/>
  <c r="W232" i="3"/>
  <c r="R100" i="4"/>
  <c r="R31" i="4"/>
  <c r="R262" i="4" s="1"/>
  <c r="T4" i="6"/>
  <c r="J100" i="4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I200" i="4" s="1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31" i="4" s="1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209" i="4" s="1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26" i="4" s="1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18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99" i="4" s="1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213" i="4" s="1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214" i="4" s="1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46" i="4" s="1"/>
  <c r="U265" i="4" s="1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E74" i="4"/>
  <c r="E125" i="6" s="1"/>
  <c r="E21" i="7"/>
  <c r="N74" i="4"/>
  <c r="N184" i="4" s="1"/>
  <c r="N21" i="7"/>
  <c r="V74" i="4"/>
  <c r="V131" i="5" s="1"/>
  <c r="V21" i="7"/>
  <c r="B80" i="4"/>
  <c r="B26" i="7" s="1"/>
  <c r="B27" i="7"/>
  <c r="J80" i="4"/>
  <c r="J26" i="7" s="1"/>
  <c r="J27" i="7"/>
  <c r="S80" i="4"/>
  <c r="S26" i="7" s="1"/>
  <c r="S27" i="7"/>
  <c r="C107" i="4"/>
  <c r="C100" i="4" s="1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U196" i="4" s="1"/>
  <c r="Q14" i="4"/>
  <c r="D15" i="4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S70" i="5" s="1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73" i="4" s="1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Q117" i="5"/>
  <c r="G21" i="5"/>
  <c r="G63" i="5" s="1"/>
  <c r="G118" i="7" s="1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05" i="6" s="1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63" i="5" s="1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Q215" i="4" s="1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77" i="5" s="1"/>
  <c r="G132" i="7" s="1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64" i="6" s="1"/>
  <c r="E206" i="7" s="1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77" i="6" s="1"/>
  <c r="J219" i="7" s="1"/>
  <c r="J132" i="6"/>
  <c r="S40" i="6"/>
  <c r="S132" i="6"/>
  <c r="F133" i="6"/>
  <c r="O133" i="6"/>
  <c r="J50" i="6"/>
  <c r="J157" i="6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V257" i="4"/>
  <c r="V262" i="4"/>
  <c r="V250" i="4"/>
  <c r="V252" i="4"/>
  <c r="R206" i="4"/>
  <c r="R93" i="6"/>
  <c r="R99" i="5"/>
  <c r="I219" i="4"/>
  <c r="I106" i="6"/>
  <c r="I112" i="5"/>
  <c r="E219" i="4"/>
  <c r="E106" i="6"/>
  <c r="E112" i="5"/>
  <c r="D206" i="4"/>
  <c r="D93" i="6"/>
  <c r="D99" i="5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1" i="4"/>
  <c r="R259" i="4"/>
  <c r="R254" i="4"/>
  <c r="F170" i="4"/>
  <c r="F57" i="6"/>
  <c r="F199" i="7" s="1"/>
  <c r="F251" i="4"/>
  <c r="P170" i="4"/>
  <c r="P57" i="6"/>
  <c r="P199" i="7" s="1"/>
  <c r="F177" i="4"/>
  <c r="F258" i="4"/>
  <c r="R177" i="4"/>
  <c r="R70" i="5"/>
  <c r="O46" i="4"/>
  <c r="O265" i="4" s="1"/>
  <c r="O184" i="4"/>
  <c r="O71" i="6"/>
  <c r="O213" i="7" s="1"/>
  <c r="O77" i="5"/>
  <c r="O132" i="7" s="1"/>
  <c r="P190" i="4"/>
  <c r="P83" i="5"/>
  <c r="P138" i="7" s="1"/>
  <c r="M58" i="4"/>
  <c r="M4" i="7" s="1"/>
  <c r="K112" i="4"/>
  <c r="N127" i="4"/>
  <c r="N46" i="7" s="1"/>
  <c r="N47" i="7"/>
  <c r="P106" i="5"/>
  <c r="G216" i="4"/>
  <c r="G103" i="6"/>
  <c r="G109" i="5"/>
  <c r="Q170" i="4"/>
  <c r="Q63" i="5"/>
  <c r="Q118" i="7" s="1"/>
  <c r="Q205" i="4"/>
  <c r="Q92" i="6"/>
  <c r="Q98" i="5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64" i="6"/>
  <c r="P31" i="4"/>
  <c r="P64" i="6"/>
  <c r="P70" i="5"/>
  <c r="G46" i="4"/>
  <c r="G271" i="4" s="1"/>
  <c r="Q184" i="4"/>
  <c r="R190" i="4"/>
  <c r="R77" i="6"/>
  <c r="R219" i="7" s="1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83" i="5"/>
  <c r="B138" i="7" s="1"/>
  <c r="U170" i="4"/>
  <c r="K177" i="4"/>
  <c r="K64" i="6"/>
  <c r="K206" i="7" s="1"/>
  <c r="K70" i="5"/>
  <c r="K125" i="7" s="1"/>
  <c r="H184" i="4"/>
  <c r="H77" i="5"/>
  <c r="H132" i="7" s="1"/>
  <c r="R184" i="4"/>
  <c r="R77" i="5"/>
  <c r="R132" i="7" s="1"/>
  <c r="G77" i="6"/>
  <c r="G83" i="5"/>
  <c r="V190" i="4"/>
  <c r="V77" i="6"/>
  <c r="V219" i="7" s="1"/>
  <c r="N112" i="4"/>
  <c r="N31" i="7" s="1"/>
  <c r="N40" i="7"/>
  <c r="V112" i="4"/>
  <c r="V31" i="7" s="1"/>
  <c r="V40" i="7"/>
  <c r="E47" i="7"/>
  <c r="T205" i="4"/>
  <c r="T92" i="6"/>
  <c r="U218" i="4"/>
  <c r="U105" i="6"/>
  <c r="U111" i="5"/>
  <c r="K201" i="4"/>
  <c r="K88" i="6"/>
  <c r="K94" i="5"/>
  <c r="G170" i="4"/>
  <c r="G57" i="6"/>
  <c r="G199" i="7" s="1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57" i="6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C111" i="5"/>
  <c r="O219" i="4"/>
  <c r="O106" i="6"/>
  <c r="O112" i="5"/>
  <c r="F58" i="4"/>
  <c r="F13" i="7"/>
  <c r="O20" i="7"/>
  <c r="B85" i="4"/>
  <c r="B100" i="4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208" i="4"/>
  <c r="S95" i="6"/>
  <c r="S101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177" i="4"/>
  <c r="C64" i="6"/>
  <c r="C206" i="7" s="1"/>
  <c r="M177" i="4"/>
  <c r="Q46" i="4"/>
  <c r="Q265" i="4" s="1"/>
  <c r="V71" i="6"/>
  <c r="V77" i="5"/>
  <c r="P73" i="4"/>
  <c r="P19" i="7" s="1"/>
  <c r="P20" i="7"/>
  <c r="V127" i="4"/>
  <c r="V46" i="7" s="1"/>
  <c r="V47" i="7"/>
  <c r="R47" i="7"/>
  <c r="U198" i="4"/>
  <c r="U85" i="6"/>
  <c r="U91" i="5"/>
  <c r="H199" i="4"/>
  <c r="H86" i="6"/>
  <c r="M200" i="4"/>
  <c r="U202" i="4"/>
  <c r="U89" i="6"/>
  <c r="U95" i="5"/>
  <c r="Q203" i="4"/>
  <c r="Q90" i="6"/>
  <c r="Q219" i="4"/>
  <c r="Q106" i="6"/>
  <c r="E250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U263" i="4"/>
  <c r="U250" i="4"/>
  <c r="U256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R272" i="4"/>
  <c r="R270" i="4"/>
  <c r="R268" i="4"/>
  <c r="R266" i="4"/>
  <c r="M184" i="4"/>
  <c r="M71" i="6"/>
  <c r="M213" i="7" s="1"/>
  <c r="M77" i="5"/>
  <c r="M132" i="7" s="1"/>
  <c r="S212" i="4"/>
  <c r="S99" i="6"/>
  <c r="S105" i="5"/>
  <c r="N77" i="6"/>
  <c r="N271" i="4"/>
  <c r="N83" i="5"/>
  <c r="E190" i="4"/>
  <c r="D73" i="4"/>
  <c r="D26" i="7"/>
  <c r="J127" i="4"/>
  <c r="J46" i="7" s="1"/>
  <c r="J47" i="7"/>
  <c r="S47" i="7"/>
  <c r="I199" i="4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70" i="5"/>
  <c r="E125" i="7" s="1"/>
  <c r="E258" i="4"/>
  <c r="Q177" i="4"/>
  <c r="Q64" i="6"/>
  <c r="Q206" i="7" s="1"/>
  <c r="Q70" i="5"/>
  <c r="Q125" i="7" s="1"/>
  <c r="V46" i="4"/>
  <c r="N71" i="6"/>
  <c r="N265" i="4"/>
  <c r="N77" i="5"/>
  <c r="O77" i="6"/>
  <c r="O83" i="5"/>
  <c r="H58" i="4"/>
  <c r="I58" i="4"/>
  <c r="I4" i="7" s="1"/>
  <c r="I13" i="7"/>
  <c r="R58" i="4"/>
  <c r="R13" i="7"/>
  <c r="R73" i="4"/>
  <c r="R19" i="7" s="1"/>
  <c r="R20" i="7"/>
  <c r="G112" i="4"/>
  <c r="M47" i="7"/>
  <c r="E252" i="4"/>
  <c r="O109" i="5"/>
  <c r="V83" i="6"/>
  <c r="Q102" i="6"/>
  <c r="Q108" i="5"/>
  <c r="M216" i="4"/>
  <c r="T42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S112" i="4"/>
  <c r="E58" i="4"/>
  <c r="E168" i="4" s="1"/>
  <c r="B73" i="4"/>
  <c r="B19" i="7" s="1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R249" i="4" l="1"/>
  <c r="R256" i="4"/>
  <c r="R127" i="4"/>
  <c r="R46" i="7" s="1"/>
  <c r="R255" i="4"/>
  <c r="R257" i="4"/>
  <c r="R61" i="5"/>
  <c r="R253" i="4"/>
  <c r="R59" i="7"/>
  <c r="R258" i="4"/>
  <c r="R263" i="4"/>
  <c r="R250" i="4"/>
  <c r="R260" i="4"/>
  <c r="I59" i="7"/>
  <c r="V59" i="7"/>
  <c r="R251" i="4"/>
  <c r="R252" i="4"/>
  <c r="U132" i="7"/>
  <c r="B47" i="6"/>
  <c r="T125" i="6"/>
  <c r="O47" i="6"/>
  <c r="D111" i="5"/>
  <c r="Q209" i="4"/>
  <c r="G59" i="7"/>
  <c r="O271" i="4"/>
  <c r="M26" i="7"/>
  <c r="S218" i="4"/>
  <c r="I93" i="5"/>
  <c r="D105" i="6"/>
  <c r="S26" i="4"/>
  <c r="I87" i="6"/>
  <c r="N18" i="5"/>
  <c r="S107" i="5"/>
  <c r="D218" i="4"/>
  <c r="S101" i="6"/>
  <c r="E96" i="6"/>
  <c r="U89" i="5"/>
  <c r="I138" i="7"/>
  <c r="T118" i="6"/>
  <c r="N250" i="4"/>
  <c r="U83" i="5"/>
  <c r="U138" i="7" s="1"/>
  <c r="V132" i="7"/>
  <c r="E209" i="4"/>
  <c r="U83" i="6"/>
  <c r="O102" i="5"/>
  <c r="U77" i="6"/>
  <c r="U219" i="7" s="1"/>
  <c r="O106" i="5"/>
  <c r="V213" i="7"/>
  <c r="O96" i="6"/>
  <c r="T206" i="7"/>
  <c r="B92" i="5"/>
  <c r="V125" i="6"/>
  <c r="O64" i="6"/>
  <c r="O206" i="7" s="1"/>
  <c r="O70" i="5"/>
  <c r="O125" i="7" s="1"/>
  <c r="T47" i="6"/>
  <c r="O100" i="6"/>
  <c r="V184" i="4"/>
  <c r="V20" i="7"/>
  <c r="S111" i="5"/>
  <c r="T177" i="4"/>
  <c r="B86" i="6"/>
  <c r="V73" i="4"/>
  <c r="V19" i="7" s="1"/>
  <c r="C111" i="6"/>
  <c r="S125" i="7"/>
  <c r="B132" i="7"/>
  <c r="U125" i="7"/>
  <c r="C58" i="4"/>
  <c r="C4" i="7" s="1"/>
  <c r="U59" i="7"/>
  <c r="I64" i="6"/>
  <c r="I206" i="7" s="1"/>
  <c r="T111" i="6"/>
  <c r="T184" i="4"/>
  <c r="J251" i="4"/>
  <c r="U98" i="5"/>
  <c r="U213" i="7"/>
  <c r="T73" i="4"/>
  <c r="U73" i="4"/>
  <c r="U183" i="4" s="1"/>
  <c r="J213" i="7"/>
  <c r="U118" i="7"/>
  <c r="J254" i="4"/>
  <c r="B63" i="5"/>
  <c r="G184" i="4"/>
  <c r="E184" i="4"/>
  <c r="T213" i="7"/>
  <c r="M13" i="4"/>
  <c r="M150" i="4" s="1"/>
  <c r="K184" i="4"/>
  <c r="B57" i="6"/>
  <c r="B199" i="7" s="1"/>
  <c r="P71" i="6"/>
  <c r="P213" i="7" s="1"/>
  <c r="O6" i="4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M217" i="4" s="1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S4" i="7" s="1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V143" i="4" s="1"/>
  <c r="U6" i="4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D91" i="6" s="1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C18" i="5"/>
  <c r="N132" i="7"/>
  <c r="F102" i="5"/>
  <c r="I215" i="4"/>
  <c r="J259" i="4"/>
  <c r="R267" i="4"/>
  <c r="J132" i="7"/>
  <c r="P177" i="4"/>
  <c r="H170" i="4"/>
  <c r="J58" i="4"/>
  <c r="J168" i="4" s="1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63" i="4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4" i="4" s="1"/>
  <c r="K223" i="4" s="1"/>
  <c r="B6" i="4"/>
  <c r="M20" i="4"/>
  <c r="M211" i="4" s="1"/>
  <c r="I73" i="4"/>
  <c r="I183" i="4" s="1"/>
  <c r="V111" i="4"/>
  <c r="V30" i="7" s="1"/>
  <c r="T13" i="4"/>
  <c r="T97" i="5" s="1"/>
  <c r="G20" i="4"/>
  <c r="G211" i="4" s="1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111" i="4" s="1"/>
  <c r="F30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H251" i="4"/>
  <c r="T75" i="7"/>
  <c r="T59" i="7" s="1"/>
  <c r="R111" i="6"/>
  <c r="R33" i="6"/>
  <c r="R17" i="6" s="1"/>
  <c r="R136" i="6" s="1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Q17" i="5"/>
  <c r="Q157" i="5" s="1"/>
  <c r="T17" i="5"/>
  <c r="T151" i="5" s="1"/>
  <c r="N61" i="5"/>
  <c r="J131" i="6"/>
  <c r="Q33" i="6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76" i="5" s="1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E76" i="5" s="1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D150" i="4"/>
  <c r="D97" i="5"/>
  <c r="B197" i="4"/>
  <c r="B84" i="6"/>
  <c r="B90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G209" i="4"/>
  <c r="G96" i="6"/>
  <c r="G102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T31" i="7"/>
  <c r="P20" i="4"/>
  <c r="P157" i="4" s="1"/>
  <c r="P215" i="4"/>
  <c r="P102" i="6"/>
  <c r="P108" i="5"/>
  <c r="S143" i="4"/>
  <c r="S197" i="4"/>
  <c r="S84" i="6"/>
  <c r="S90" i="5"/>
  <c r="O57" i="4"/>
  <c r="O3" i="7" s="1"/>
  <c r="O4" i="7"/>
  <c r="S4" i="4"/>
  <c r="S223" i="4" s="1"/>
  <c r="J163" i="4"/>
  <c r="J217" i="4"/>
  <c r="J104" i="6"/>
  <c r="J110" i="5"/>
  <c r="B177" i="4"/>
  <c r="B64" i="6"/>
  <c r="B206" i="7" s="1"/>
  <c r="B70" i="5"/>
  <c r="B125" i="7" s="1"/>
  <c r="I90" i="5"/>
  <c r="R150" i="4"/>
  <c r="R204" i="4"/>
  <c r="R91" i="6"/>
  <c r="R97" i="5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30" i="4"/>
  <c r="E70" i="6"/>
  <c r="E273" i="4"/>
  <c r="E269" i="4"/>
  <c r="E267" i="4"/>
  <c r="E272" i="4"/>
  <c r="E270" i="4"/>
  <c r="E268" i="4"/>
  <c r="E266" i="4"/>
  <c r="E264" i="4"/>
  <c r="C258" i="4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J183" i="4"/>
  <c r="U150" i="4"/>
  <c r="U204" i="4"/>
  <c r="U91" i="6"/>
  <c r="U97" i="5"/>
  <c r="O163" i="4"/>
  <c r="O217" i="4"/>
  <c r="O104" i="6"/>
  <c r="O110" i="5"/>
  <c r="U143" i="4"/>
  <c r="U197" i="4"/>
  <c r="U84" i="6"/>
  <c r="U90" i="5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70" i="6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198" i="4"/>
  <c r="D85" i="6"/>
  <c r="D91" i="5"/>
  <c r="K150" i="4"/>
  <c r="K204" i="4"/>
  <c r="K91" i="6"/>
  <c r="K97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G199" i="4"/>
  <c r="G86" i="6"/>
  <c r="G92" i="5"/>
  <c r="Q143" i="4"/>
  <c r="Q197" i="4"/>
  <c r="Q84" i="6"/>
  <c r="Q9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N183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70" i="6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E197" i="4"/>
  <c r="E84" i="6"/>
  <c r="E90" i="5"/>
  <c r="F6" i="4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E271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F183" i="4"/>
  <c r="C6" i="4"/>
  <c r="T20" i="4"/>
  <c r="R4" i="4"/>
  <c r="R143" i="4"/>
  <c r="B4" i="4"/>
  <c r="B231" i="4" s="1"/>
  <c r="B143" i="4"/>
  <c r="P13" i="4"/>
  <c r="V19" i="4"/>
  <c r="V157" i="4"/>
  <c r="U4" i="4"/>
  <c r="H13" i="4"/>
  <c r="U19" i="4"/>
  <c r="U244" i="4" s="1"/>
  <c r="U157" i="4"/>
  <c r="N19" i="4"/>
  <c r="N244" i="4" s="1"/>
  <c r="N157" i="4"/>
  <c r="Q4" i="4"/>
  <c r="O19" i="4"/>
  <c r="O157" i="4"/>
  <c r="T6" i="4"/>
  <c r="C46" i="4"/>
  <c r="C271" i="4" s="1"/>
  <c r="R19" i="4"/>
  <c r="R244" i="4" s="1"/>
  <c r="I19" i="4"/>
  <c r="I244" i="4" s="1"/>
  <c r="D4" i="4"/>
  <c r="D225" i="4" s="1"/>
  <c r="E19" i="4"/>
  <c r="E238" i="4" s="1"/>
  <c r="K110" i="5" l="1"/>
  <c r="N97" i="5"/>
  <c r="K104" i="6"/>
  <c r="K90" i="5"/>
  <c r="N91" i="6"/>
  <c r="K217" i="4"/>
  <c r="K84" i="6"/>
  <c r="N204" i="4"/>
  <c r="K197" i="4"/>
  <c r="K143" i="4"/>
  <c r="D204" i="4"/>
  <c r="F31" i="7"/>
  <c r="S19" i="4"/>
  <c r="S103" i="5" s="1"/>
  <c r="U19" i="7"/>
  <c r="M97" i="5"/>
  <c r="F204" i="4"/>
  <c r="H157" i="4"/>
  <c r="M163" i="4"/>
  <c r="N57" i="4"/>
  <c r="B17" i="5"/>
  <c r="B144" i="5" s="1"/>
  <c r="J4" i="7"/>
  <c r="M91" i="6"/>
  <c r="V90" i="5"/>
  <c r="J57" i="4"/>
  <c r="J3" i="7" s="1"/>
  <c r="M204" i="4"/>
  <c r="U57" i="4"/>
  <c r="U3" i="7" s="1"/>
  <c r="V4" i="4"/>
  <c r="V231" i="4" s="1"/>
  <c r="V84" i="6"/>
  <c r="V197" i="4"/>
  <c r="F4" i="4"/>
  <c r="F231" i="4" s="1"/>
  <c r="M110" i="5"/>
  <c r="M104" i="6"/>
  <c r="M4" i="4"/>
  <c r="M231" i="4" s="1"/>
  <c r="S231" i="4"/>
  <c r="C111" i="4"/>
  <c r="C30" i="7" s="1"/>
  <c r="D57" i="4"/>
  <c r="D3" i="7" s="1"/>
  <c r="I84" i="6"/>
  <c r="B110" i="5"/>
  <c r="I197" i="4"/>
  <c r="B104" i="6"/>
  <c r="B217" i="4"/>
  <c r="S17" i="5"/>
  <c r="S162" i="5" s="1"/>
  <c r="O111" i="4"/>
  <c r="O30" i="7" s="1"/>
  <c r="B19" i="4"/>
  <c r="B210" i="4" s="1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T204" i="4"/>
  <c r="S245" i="4"/>
  <c r="S237" i="4"/>
  <c r="D253" i="4"/>
  <c r="S104" i="5"/>
  <c r="B4" i="7"/>
  <c r="Q157" i="4"/>
  <c r="Q97" i="5"/>
  <c r="M143" i="4"/>
  <c r="D30" i="4"/>
  <c r="D255" i="4"/>
  <c r="S98" i="6"/>
  <c r="S239" i="4"/>
  <c r="M197" i="4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H55" i="6"/>
  <c r="S160" i="5"/>
  <c r="S154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J144" i="5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53" i="6"/>
  <c r="H137" i="6"/>
  <c r="H135" i="6"/>
  <c r="H141" i="6"/>
  <c r="H149" i="6"/>
  <c r="H146" i="6"/>
  <c r="H145" i="6"/>
  <c r="H154" i="6"/>
  <c r="H148" i="6"/>
  <c r="H140" i="6"/>
  <c r="H139" i="6"/>
  <c r="H159" i="6"/>
  <c r="H156" i="6"/>
  <c r="H147" i="6"/>
  <c r="H142" i="6"/>
  <c r="H155" i="6"/>
  <c r="H160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H152" i="6"/>
  <c r="T157" i="5"/>
  <c r="J141" i="5"/>
  <c r="J146" i="5"/>
  <c r="J148" i="5"/>
  <c r="J159" i="5"/>
  <c r="J155" i="5"/>
  <c r="J161" i="5"/>
  <c r="J152" i="5"/>
  <c r="J153" i="5"/>
  <c r="K17" i="6"/>
  <c r="K151" i="6" s="1"/>
  <c r="H136" i="6"/>
  <c r="N17" i="6"/>
  <c r="N136" i="6" s="1"/>
  <c r="N55" i="6"/>
  <c r="T57" i="4"/>
  <c r="T3" i="7" s="1"/>
  <c r="H158" i="6"/>
  <c r="F76" i="5"/>
  <c r="I70" i="6"/>
  <c r="H151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156" i="4"/>
  <c r="B243" i="4"/>
  <c r="B241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60" i="5"/>
  <c r="H240" i="4"/>
  <c r="H239" i="4"/>
  <c r="P163" i="4"/>
  <c r="P217" i="4"/>
  <c r="P104" i="6"/>
  <c r="P110" i="5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60" i="5"/>
  <c r="H244" i="4"/>
  <c r="V238" i="4"/>
  <c r="K211" i="4"/>
  <c r="K98" i="6"/>
  <c r="K104" i="5"/>
  <c r="G54" i="6"/>
  <c r="G245" i="4"/>
  <c r="V244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0" i="4"/>
  <c r="B211" i="4"/>
  <c r="B98" i="6"/>
  <c r="B104" i="5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241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J167" i="4" l="1"/>
  <c r="Q167" i="4"/>
  <c r="K245" i="4"/>
  <c r="G228" i="4"/>
  <c r="B157" i="5"/>
  <c r="S97" i="6"/>
  <c r="S246" i="4"/>
  <c r="S242" i="4"/>
  <c r="S244" i="4"/>
  <c r="S156" i="4"/>
  <c r="S238" i="4"/>
  <c r="B240" i="4"/>
  <c r="B244" i="4"/>
  <c r="B239" i="4"/>
  <c r="B245" i="4"/>
  <c r="B238" i="4"/>
  <c r="B237" i="4"/>
  <c r="B164" i="5"/>
  <c r="B103" i="5"/>
  <c r="B151" i="5"/>
  <c r="B97" i="6"/>
  <c r="E167" i="4"/>
  <c r="B246" i="4"/>
  <c r="V147" i="5"/>
  <c r="S155" i="5"/>
  <c r="S141" i="5"/>
  <c r="S151" i="5"/>
  <c r="S142" i="5"/>
  <c r="S145" i="5"/>
  <c r="Q237" i="4"/>
  <c r="S159" i="5"/>
  <c r="S158" i="5"/>
  <c r="S166" i="5"/>
  <c r="S156" i="5"/>
  <c r="P103" i="5"/>
  <c r="S150" i="5"/>
  <c r="S164" i="5"/>
  <c r="S152" i="5"/>
  <c r="Q242" i="4"/>
  <c r="Q245" i="4"/>
  <c r="Q97" i="6"/>
  <c r="P246" i="4"/>
  <c r="U54" i="6"/>
  <c r="D167" i="4"/>
  <c r="S144" i="5"/>
  <c r="S161" i="5"/>
  <c r="S148" i="5"/>
  <c r="Q103" i="5"/>
  <c r="Q239" i="4"/>
  <c r="Q210" i="4"/>
  <c r="M242" i="4"/>
  <c r="Q238" i="4"/>
  <c r="S157" i="5"/>
  <c r="S165" i="5"/>
  <c r="S146" i="5"/>
  <c r="Q243" i="4"/>
  <c r="Q156" i="4"/>
  <c r="M239" i="4"/>
  <c r="S149" i="5"/>
  <c r="S163" i="5"/>
  <c r="S147" i="5"/>
  <c r="Q240" i="4"/>
  <c r="Q246" i="4"/>
  <c r="M156" i="4"/>
  <c r="S143" i="5"/>
  <c r="S153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217" i="4" l="1"/>
  <c r="L137" i="5"/>
  <c r="L42" i="5"/>
  <c r="L60" i="7"/>
  <c r="L33" i="6"/>
  <c r="L17" i="6" s="1"/>
  <c r="L151" i="6" s="1"/>
  <c r="L124" i="5"/>
  <c r="L111" i="6"/>
  <c r="L131" i="6"/>
  <c r="L18" i="5"/>
  <c r="L18" i="6"/>
  <c r="L55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76" i="5"/>
  <c r="L265" i="4"/>
  <c r="L20" i="4"/>
  <c r="L211" i="4" s="1"/>
  <c r="L13" i="4"/>
  <c r="L6" i="4"/>
  <c r="L271" i="4"/>
  <c r="L163" i="4"/>
  <c r="L17" i="5" l="1"/>
  <c r="L144" i="5" s="1"/>
  <c r="L57" i="4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H61" i="8" l="1"/>
  <c r="E36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V54" i="8"/>
  <c r="V76" i="8" s="1"/>
  <c r="U54" i="8"/>
  <c r="U76" i="8" s="1"/>
  <c r="T54" i="8"/>
  <c r="T76" i="8" s="1"/>
  <c r="S54" i="8"/>
  <c r="R54" i="8"/>
  <c r="Q54" i="8"/>
  <c r="Q76" i="8" s="1"/>
  <c r="P54" i="8"/>
  <c r="P76" i="8" s="1"/>
  <c r="O54" i="8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T75" i="8" s="1"/>
  <c r="S53" i="8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S80" i="8"/>
  <c r="O80" i="8"/>
  <c r="N80" i="8"/>
  <c r="K80" i="8"/>
  <c r="R79" i="8"/>
  <c r="O79" i="8"/>
  <c r="K79" i="8"/>
  <c r="V77" i="8"/>
  <c r="S77" i="8"/>
  <c r="O77" i="8"/>
  <c r="N77" i="8"/>
  <c r="K77" i="8"/>
  <c r="S76" i="8"/>
  <c r="R76" i="8"/>
  <c r="O76" i="8"/>
  <c r="V75" i="8"/>
  <c r="S75" i="8"/>
  <c r="N75" i="8"/>
  <c r="K75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8" i="1"/>
  <c r="B4" i="1"/>
  <c r="B22" i="1"/>
  <c r="B12" i="1"/>
  <c r="B20" i="1"/>
  <c r="B6" i="1"/>
  <c r="B21" i="1"/>
  <c r="B15" i="1"/>
  <c r="B9" i="1"/>
  <c r="B11" i="1"/>
  <c r="B16" i="1"/>
  <c r="B18" i="1"/>
  <c r="B7" i="1"/>
  <c r="B17" i="1"/>
  <c r="B13" i="1"/>
  <c r="E224" i="3" l="1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M223" i="3" l="1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F223" i="3"/>
  <c r="T191" i="3"/>
  <c r="V191" i="3"/>
  <c r="N233" i="3"/>
  <c r="M233" i="3"/>
  <c r="U203" i="3"/>
  <c r="N9" i="3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E221" i="3" l="1"/>
  <c r="M221" i="3"/>
  <c r="N221" i="3"/>
  <c r="F221" i="3"/>
  <c r="K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227" i="3"/>
  <c r="L228" i="3"/>
  <c r="L32" i="13"/>
  <c r="L42" i="13"/>
  <c r="N36" i="13"/>
  <c r="N46" i="13"/>
  <c r="H5" i="13"/>
  <c r="U19" i="13" l="1"/>
  <c r="N56" i="13"/>
  <c r="N55" i="13"/>
  <c r="L52" i="12"/>
  <c r="N55" i="12"/>
  <c r="T51" i="12"/>
  <c r="N73" i="3"/>
  <c r="N64" i="3" s="1"/>
  <c r="F82" i="3"/>
  <c r="F77" i="3" s="1"/>
  <c r="F177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F234" i="3" l="1"/>
  <c r="U52" i="12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D43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77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4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F216" i="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P234" i="3" l="1"/>
  <c r="V131" i="3"/>
  <c r="V186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9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C77" i="3"/>
  <c r="C234" i="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50" i="3" l="1"/>
  <c r="I140" i="3"/>
  <c r="I143" i="3"/>
  <c r="I144" i="3"/>
  <c r="I142" i="3"/>
  <c r="I199" i="3"/>
  <c r="I146" i="3"/>
  <c r="I141" i="3"/>
  <c r="I145" i="3"/>
  <c r="I139" i="3"/>
  <c r="I148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B64" i="3"/>
  <c r="B168" i="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R139" i="3" l="1"/>
  <c r="R144" i="3"/>
  <c r="B53" i="12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<sst xmlns="http://schemas.openxmlformats.org/spreadsheetml/2006/main" count="2655" uniqueCount="1167">
  <si>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</si>
  <si>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</si>
  <si>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</si>
  <si>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</si>
  <si>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</si>
  <si>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</si>
  <si>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</si>
  <si>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</si>
  <si>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</si>
  <si>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</si>
  <si>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</si>
  <si>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</si>
  <si>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</si>
  <si>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</si>
  <si>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</si>
  <si>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</si>
  <si>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</si>
  <si>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</si>
  <si>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</si>
  <si>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</si>
  <si>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</si>
  <si>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</si>
  <si>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</si>
  <si>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</si>
  <si>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</si>
  <si>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</si>
  <si>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</si>
  <si>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</si>
  <si>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</si>
  <si>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</si>
  <si>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</si>
  <si>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</si>
  <si>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</si>
  <si>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</si>
  <si>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</si>
  <si>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</si>
  <si>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</si>
  <si>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</si>
  <si>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</si>
  <si>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</si>
  <si>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</si>
  <si>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</si>
  <si>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</si>
  <si>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</si>
  <si>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</si>
  <si>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</si>
  <si>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</si>
  <si>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</si>
  <si>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</si>
  <si>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</si>
  <si>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</si>
  <si>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</si>
  <si>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</si>
  <si>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</si>
  <si>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</si>
  <si>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</si>
  <si>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</si>
  <si>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</si>
  <si>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</si>
  <si>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</si>
  <si>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</si>
  <si>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</si>
  <si>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</si>
  <si>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</si>
  <si>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</si>
  <si>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</si>
  <si>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</si>
  <si>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</si>
  <si>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</si>
  <si>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</si>
  <si>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</si>
  <si>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</si>
  <si>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</si>
  <si>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</si>
  <si>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</si>
  <si>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</si>
  <si>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</si>
  <si>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</si>
  <si>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</si>
  <si>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</si>
  <si>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</si>
  <si>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</si>
  <si>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</si>
  <si>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</si>
  <si>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</si>
  <si>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</si>
  <si>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</si>
  <si>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</si>
  <si>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</si>
  <si>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</si>
  <si>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</si>
  <si>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</si>
  <si>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</si>
  <si>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</si>
  <si>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</si>
  <si>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</si>
  <si>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</si>
  <si>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</si>
  <si>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</si>
  <si>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</si>
  <si>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</si>
  <si>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</si>
  <si>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</si>
  <si>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</si>
  <si>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</si>
  <si>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</si>
  <si>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</si>
  <si>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</si>
  <si>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</si>
  <si>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</si>
  <si>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</si>
  <si>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</si>
  <si>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</si>
  <si>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</si>
  <si>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</si>
  <si>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</si>
  <si>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</si>
  <si>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</si>
  <si>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</si>
  <si>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</si>
  <si>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</si>
  <si>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</si>
  <si>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</si>
  <si>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</si>
  <si>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</si>
  <si>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</si>
  <si>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</si>
  <si>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</si>
  <si>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</si>
  <si>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</si>
  <si>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</si>
  <si>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</si>
  <si>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</si>
  <si>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</si>
  <si>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</si>
  <si>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</si>
  <si>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</si>
  <si>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</si>
  <si>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</si>
  <si>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</si>
  <si>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</si>
  <si>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</si>
  <si>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</si>
  <si>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</si>
  <si>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</si>
  <si>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</si>
  <si>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</si>
  <si>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</si>
  <si>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</si>
  <si>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</si>
  <si>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</si>
  <si>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</si>
  <si>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</si>
  <si>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</si>
  <si>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</si>
  <si>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</si>
  <si>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</si>
  <si>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</si>
  <si>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</si>
  <si>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</si>
  <si>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</si>
  <si>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</si>
  <si>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</si>
  <si>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</si>
  <si>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</si>
  <si>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</si>
  <si>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</si>
  <si>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</si>
  <si>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</si>
  <si>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</si>
  <si>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</si>
  <si>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</si>
  <si>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</si>
  <si>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</si>
  <si>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</si>
  <si>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</si>
  <si>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</si>
  <si>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</si>
  <si>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</si>
  <si>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</si>
  <si>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</si>
  <si>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</si>
  <si>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</si>
  <si>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</si>
  <si>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</si>
  <si>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</si>
  <si>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SK</t>
  </si>
  <si>
    <t>Slovakia</t>
  </si>
  <si>
    <t>Aviation - SK - Slovakia</t>
  </si>
  <si>
    <t>Activity.Mpkm.SK.Tr.Avia.Passenger</t>
  </si>
  <si>
    <t>Activity.Mpkm.SK.Tr.Avia.Passenger.Domestic</t>
  </si>
  <si>
    <t>Activity.Mpkm.SK.Tr.Avia.Passenger.IntraEEAwUK</t>
  </si>
  <si>
    <t>Activity.Mpkm.SK.Tr.Avia.Passenger.ExtraEEAwUK</t>
  </si>
  <si>
    <t>Activity.Mtkm.SK.Tr.Avia.Freight</t>
  </si>
  <si>
    <t>Activity.Mtkm.SK.Tr.Avia.Freight.Domestic</t>
  </si>
  <si>
    <t>Activity.Mtkm.SK.Tr.Avia.Freight.IntraEEAwUK</t>
  </si>
  <si>
    <t>Activity.Mtkm.SK.Tr.Avia.Freight.ExtraEEAwUK</t>
  </si>
  <si>
    <t>VehicleKm.Mkm.SK.Tr.Avia</t>
  </si>
  <si>
    <t>VehicleKm.Mkm.SK.Tr.Avia.Passenger</t>
  </si>
  <si>
    <t>VehicleKm.Mkm.SK.Tr.Avia.Passenger.Domestic</t>
  </si>
  <si>
    <t>VehicleKm.Mkm.SK.Tr.Avia.Passenger.IntraEEAwUK</t>
  </si>
  <si>
    <t>VehicleKm.Mkm.SK.Tr.Avia.Passenger.ExtraEEAwUK</t>
  </si>
  <si>
    <t>VehicleKm.Mkm.SK.Tr.Avia.Freight</t>
  </si>
  <si>
    <t>VehicleKm.Mkm.SK.Tr.Avia.Freight.Domestic</t>
  </si>
  <si>
    <t>VehicleKm.Mkm.SK.Tr.Avia.Freight.IntraEEAwUK</t>
  </si>
  <si>
    <t>VehicleKm.Mkm.SK.Tr.Avia.Freight.ExtraEEAwUK</t>
  </si>
  <si>
    <t>Flights.number.SK.Tr.Avia</t>
  </si>
  <si>
    <t>Flights.number.SK.Tr.Avia.Passenger</t>
  </si>
  <si>
    <t>Flights.number.SK.Tr.Avia.Passenger.Domestic</t>
  </si>
  <si>
    <t>Flights.number.SK.Tr.Avia.Passenger.IntraEEAwUK</t>
  </si>
  <si>
    <t>Flights.number.SK.Tr.Avia.Passenger.ExtraEEAwUK</t>
  </si>
  <si>
    <t>Flights.number.SK.Tr.Avia.Freight</t>
  </si>
  <si>
    <t>Flights.number.SK.Tr.Avia.Freight.Domestic</t>
  </si>
  <si>
    <t>Flights.number.SK.Tr.Avia.Freight.IntraEEAwUK</t>
  </si>
  <si>
    <t>Flights.number.SK.Tr.Avia.Freight.ExtraEEAwUK</t>
  </si>
  <si>
    <t>VolCarried.passenger.SK.Tr.Avia.Passenger</t>
  </si>
  <si>
    <t>VolCarried.passenger.SK.Tr.Avia.Passenger.Domestic</t>
  </si>
  <si>
    <t>VolCarried.passenger.SK.Tr.Avia.Passenger.IntraEEAwUK</t>
  </si>
  <si>
    <t>VolCarried.passenger.SK.Tr.Avia.Passenger.ExtraEEAwUK</t>
  </si>
  <si>
    <t>VolCarried.t.SK.Tr.Avia.Freight</t>
  </si>
  <si>
    <t>VolCarried.t.SK.Tr.Avia.Freight.Domestic</t>
  </si>
  <si>
    <t>VolCarried.t.SK.Tr.Avia.Freight.IntraEEAwUK</t>
  </si>
  <si>
    <t>VolCarried.t.SK.Tr.Avia.Freight.ExtraEEAwUK</t>
  </si>
  <si>
    <t>Stock.number.SK.Tr.Avia</t>
  </si>
  <si>
    <t>Stock.number.SK.Tr.Avia.Passenger</t>
  </si>
  <si>
    <t>Stock.number.SK.Tr.Avia.Passenger.Domestic</t>
  </si>
  <si>
    <t>Stock.number.SK.Tr.Avia.Passenger.IntraEEAwUK</t>
  </si>
  <si>
    <t>Stock.number.SK.Tr.Avia.Passenger.ExtraEEAwUK</t>
  </si>
  <si>
    <t>Stock.number.SK.Tr.Avia.Freight</t>
  </si>
  <si>
    <t>Stock.number.SK.Tr.Avia.Freight.Domestic</t>
  </si>
  <si>
    <t>Stock.number.SK.Tr.Avia.Freight.IntraEEAwUK</t>
  </si>
  <si>
    <t>Stock.number.SK.Tr.Avia.Freight.ExtraEEAwUK</t>
  </si>
  <si>
    <t>StockNew.number.SK.Tr.Avia</t>
  </si>
  <si>
    <t>StockNew.number.SK.Tr.Avia.Passenger</t>
  </si>
  <si>
    <t>StockNew.number.SK.Tr.Avia.Passenger.Domestic</t>
  </si>
  <si>
    <t>StockNew.number.SK.Tr.Avia.Passenger.IntraEEAwUK</t>
  </si>
  <si>
    <t>StockNew.number.SK.Tr.Avia.Passenger.ExtraEEAwUK</t>
  </si>
  <si>
    <t>StockNew.number.SK.Tr.Avia.Freight</t>
  </si>
  <si>
    <t>StockNew.number.SK.Tr.Avia.Freight.Domestic</t>
  </si>
  <si>
    <t>StockNew.number.SK.Tr.Avia.Freight.IntraEEAwUK</t>
  </si>
  <si>
    <t>StockNew.number.SK.Tr.Avia.Freight.ExtraEEAwUK</t>
  </si>
  <si>
    <t>Load.passenger_per_movement.SK.Tr.Avia.Passenger</t>
  </si>
  <si>
    <t>Load.passenger_per_movement.SK.Tr.Avia.Passenger.Domestic</t>
  </si>
  <si>
    <t>Load.passenger_per_movement.SK.Tr.Avia.Passenger.IntraEEAwUK</t>
  </si>
  <si>
    <t>Load.passenger_per_movement.SK.Tr.Avia.Passenger.ExtraEEAwUK</t>
  </si>
  <si>
    <t>Load.t_per_movement.SK.Tr.Avia.Freight</t>
  </si>
  <si>
    <t>Load.t_per_movement.SK.Tr.Avia.Freight.Domestic</t>
  </si>
  <si>
    <t>Load.t_per_movement.SK.Tr.Avia.Freight.IntraEEAwUK</t>
  </si>
  <si>
    <t>Load.t_per_movement.SK.Tr.Avia.Freight.ExtraEEAwUK</t>
  </si>
  <si>
    <t>VehicleKm_per_flight.km.SK.Tr.Avia</t>
  </si>
  <si>
    <t>VehicleKm_per_flight.km.SK.Tr.Avia.Passenger</t>
  </si>
  <si>
    <t>VehicleKm_per_flight.km.SK.Tr.Avia.Passenger.Domestic</t>
  </si>
  <si>
    <t>VehicleKm_per_flight.km.SK.Tr.Avia.Passenger.IntraEEAwUK</t>
  </si>
  <si>
    <t>VehicleKm_per_flight.km.SK.Tr.Avia.Passenger.ExtraEEAwUK</t>
  </si>
  <si>
    <t>VehicleKm_per_flight.km.SK.Tr.Avia.Freight</t>
  </si>
  <si>
    <t>VehicleKm_per_flight.km.SK.Tr.Avia.Freight.Domestic</t>
  </si>
  <si>
    <t>VehicleKm_per_flight.km.SK.Tr.Avia.Freight.IntraEEAwUK</t>
  </si>
  <si>
    <t>VehicleKm_per_flight.km.SK.Tr.Avia.Freight.ExtraEEAwUK</t>
  </si>
  <si>
    <t>Activity_per_flight.pkm.SK.Tr.Avia.Passenger</t>
  </si>
  <si>
    <t>Activity_per_flight.pkm.SK.Tr.Avia.Passenger.Domestic</t>
  </si>
  <si>
    <t>Activity_per_flight.pkm.SK.Tr.Avia.Passenger.IntraEEAwUK</t>
  </si>
  <si>
    <t>Activity_per_flight.pkm.SK.Tr.Avia.Passenger.ExtraEEAwUK</t>
  </si>
  <si>
    <t>Activity_per_flight.tkm.SK.Tr.Avia.Freight</t>
  </si>
  <si>
    <t>Activity_per_flight.tkm.SK.Tr.Avia.Freight.Domestic</t>
  </si>
  <si>
    <t>Activity_per_flight.tkm.SK.Tr.Avia.Freight.IntraEEAwUK</t>
  </si>
  <si>
    <t>Activity_per_flight.tkm.SK.Tr.Avia.Freight.ExtraEEAwUK</t>
  </si>
  <si>
    <t>Flights_per_vehicle.number.SK.Tr.Avia</t>
  </si>
  <si>
    <t>Flights_per_vehicle.number.SK.Tr.Avia.Passenger</t>
  </si>
  <si>
    <t>Flights_per_vehicle.number.SK.Tr.Avia.Passenger.Domestic</t>
  </si>
  <si>
    <t>Flights_per_vehicle.number.SK.Tr.Avia.Passenger.IntraEEAwUK</t>
  </si>
  <si>
    <t>Flights_per_vehicle.number.SK.Tr.Avia.Passenger.ExtraEEAwUK</t>
  </si>
  <si>
    <t>Flights_per_vehicle.number.SK.Tr.Avia.Freight</t>
  </si>
  <si>
    <t>Flights_per_vehicle.number.SK.Tr.Avia.Freight.Domestic</t>
  </si>
  <si>
    <t>Flights_per_vehicle.number.SK.Tr.Avia.Freight.IntraEEAwUK</t>
  </si>
  <si>
    <t>Flights_per_vehicle.number.SK.Tr.Avia.Freight.ExtraEEAwUK</t>
  </si>
  <si>
    <t>Aviation / energy consumption - SK - Slovakia</t>
  </si>
  <si>
    <t>FEC.ktoe.SK.Tr.Avia</t>
  </si>
  <si>
    <t>FEC.ktoe.SK.Tr.Avia.Domestic</t>
  </si>
  <si>
    <t>FEC.ktoe.SK.Tr.Avia.International</t>
  </si>
  <si>
    <t>FEC.ktoe.SK.Tr.Avia.Passenger</t>
  </si>
  <si>
    <t>FEC.ktoe.SK.Tr.Avia.Passenger.Domestic</t>
  </si>
  <si>
    <t>FEC.ktoe.SK.Tr.Avia.Passenger.IntraEEAwUK</t>
  </si>
  <si>
    <t>FEC.ktoe.SK.Tr.Avia.Passenger.ExtraEEAwUK</t>
  </si>
  <si>
    <t>FEC.ktoe.SK.Tr.Avia.Freight</t>
  </si>
  <si>
    <t>FEC.ktoe.SK.Tr.Avia.Freight.Domestic</t>
  </si>
  <si>
    <t>FEC.ktoe.SK.Tr.Avia.Freight.IntraEEAwUK</t>
  </si>
  <si>
    <t>FEC.ktoe.SK.Tr.Avia.Freight.ExtraEEAwUK</t>
  </si>
  <si>
    <t>Eff.kgoe_per_100km.SK.Tr.Avia</t>
  </si>
  <si>
    <t>Eff.kgoe_per_100km.SK.Tr.Avia.Passenger</t>
  </si>
  <si>
    <t>Eff.kgoe_per_100km.SK.Tr.Avia.Passenger.Domestic</t>
  </si>
  <si>
    <t>Eff.kgoe_per_100km.SK.Tr.Avia.Passenger.IntraEEAwUK</t>
  </si>
  <si>
    <t>Eff.kgoe_per_100km.SK.Tr.Avia.Passenger.ExtraEEAwUK</t>
  </si>
  <si>
    <t>Eff.kgoe_per_100km.SK.Tr.Avia.Freight</t>
  </si>
  <si>
    <t>Eff.kgoe_per_100km.SK.Tr.Avia.Freight.Domestic</t>
  </si>
  <si>
    <t>Eff.kgoe_per_100km.SK.Tr.Avia.Freight.IntraEEAwUK</t>
  </si>
  <si>
    <t>Eff.kgoe_per_100km.SK.Tr.Avia.Freight.ExtraEEAwUK</t>
  </si>
  <si>
    <t>Eff.kgoe_per_kpkm.SK.Tr.Avia.Passenger</t>
  </si>
  <si>
    <t>Eff.kgoe_per_kpkm.SK.Tr.Avia.Passenger.Domestic</t>
  </si>
  <si>
    <t>Eff.kgoe_per_kpkm.SK.Tr.Avia.Passenger.IntraEEAwUK</t>
  </si>
  <si>
    <t>Eff.kgoe_per_kpkm.SK.Tr.Avia.Passenger.ExtraEEAwUK</t>
  </si>
  <si>
    <t>Eff.kgoe_per_ktkm.SK.Tr.Avia.Freight</t>
  </si>
  <si>
    <t>Eff.kgoe_per_ktkm.SK.Tr.Avia.Freight.Domestic</t>
  </si>
  <si>
    <t>Eff.kgoe_per_ktkm.SK.Tr.Avia.Freight.IntraEEAwUK</t>
  </si>
  <si>
    <t>Eff.kgoe_per_ktkm.SK.Tr.Avia.Freight.ExtraEEAwUK</t>
  </si>
  <si>
    <t>FEC_per_flight.kgoe.SK.Tr.Avia</t>
  </si>
  <si>
    <t>FEC_per_flight.kgoe.SK.Tr.Avia.Passenger</t>
  </si>
  <si>
    <t>FEC_per_flight.kgoe.SK.Tr.Avia.Passenger.Domestic</t>
  </si>
  <si>
    <t>FEC_per_flight.kgoe.SK.Tr.Avia.Passenger.IntraEEAwUK</t>
  </si>
  <si>
    <t>FEC_per_flight.kgoe.SK.Tr.Avia.Passenger.ExtraEEAwUK</t>
  </si>
  <si>
    <t>FEC_per_flight.kgoe.SK.Tr.Avia.Freight</t>
  </si>
  <si>
    <t>FEC_per_flight.kgoe.SK.Tr.Avia.Freight.Domestic</t>
  </si>
  <si>
    <t>FEC_per_flight.kgoe.SK.Tr.Avia.Freight.IntraEEAwUK</t>
  </si>
  <si>
    <t>FEC_per_flight.kgoe.SK.Tr.Avia.Freight.ExtraEEAwUK</t>
  </si>
  <si>
    <t>Eff_theor.kgoe_per_100km.SK.Tr.Avia</t>
  </si>
  <si>
    <t>Eff_theor.kgoe_per_100km.SK.Tr.Avia.Passenger</t>
  </si>
  <si>
    <t>Eff_theor.kgoe_per_100km.SK.Tr.Avia.Passenger.Domestic</t>
  </si>
  <si>
    <t>Eff_theor.kgoe_per_100km.SK.Tr.Avia.Passenger.IntraEEAwUK</t>
  </si>
  <si>
    <t>Eff_theor.kgoe_per_100km.SK.Tr.Avia.Passenger.ExtraEEAwUK</t>
  </si>
  <si>
    <t>Eff_theor.kgoe_per_100km.SK.Tr.Avia.Freight</t>
  </si>
  <si>
    <t>Eff_theor.kgoe_per_100km.SK.Tr.Avia.Freight.Domestic</t>
  </si>
  <si>
    <t>Eff_theor.kgoe_per_100km.SK.Tr.Avia.Freight.IntraEEAwUK</t>
  </si>
  <si>
    <t>Eff_theor.kgoe_per_100km.SK.Tr.Avia.Freight.ExtraEEAwUK</t>
  </si>
  <si>
    <t>Aviation / CO2 emissions - SK - Slovakia</t>
  </si>
  <si>
    <t>EMI.ktCO2.SK.Tr.Avia</t>
  </si>
  <si>
    <t>EMI.ktCO2.SK.Tr.Avia.Domestic</t>
  </si>
  <si>
    <t>EMI.ktCO2.SK.Tr.Avia.International</t>
  </si>
  <si>
    <t>EMI.ktCO2.SK.Tr.Avia.Passenger</t>
  </si>
  <si>
    <t>EMI.ktCO2.SK.Tr.Avia.Passenger.Domestic</t>
  </si>
  <si>
    <t>EMI.ktCO2.SK.Tr.Avia.Passenger.IntraEEAwUK</t>
  </si>
  <si>
    <t>EMI.ktCO2.SK.Tr.Avia.Passenger.ExtraEEAwUK</t>
  </si>
  <si>
    <t>EMI.ktCO2.SK.Tr.Avia.Freight</t>
  </si>
  <si>
    <t>EMI.ktCO2.SK.Tr.Avia.Freight.Domestic</t>
  </si>
  <si>
    <t>EMI.ktCO2.SK.Tr.Avia.Freight.IntraEEAwUK</t>
  </si>
  <si>
    <t>EMI.ktCO2.SK.Tr.Avia.Freight.ExtraEEAwUK</t>
  </si>
  <si>
    <t>EMIint.gCO2_per_km.SK.Tr.Avia</t>
  </si>
  <si>
    <t>EMIint.gCO2_per_km.SK.Tr.Avia.Passenger</t>
  </si>
  <si>
    <t>EMIint.gCO2_per_km.SK.Tr.Avia.Passenger.Domestic</t>
  </si>
  <si>
    <t>EMIint.gCO2_per_km.SK.Tr.Avia.Passenger.IntraEEAwUK</t>
  </si>
  <si>
    <t>EMIint.gCO2_per_km.SK.Tr.Avia.Passenger.ExtraEEAwUK</t>
  </si>
  <si>
    <t>EMIint.gCO2_per_km.SK.Tr.Avia.Freight</t>
  </si>
  <si>
    <t>EMIint.gCO2_per_km.SK.Tr.Avia.Freight.Domestic</t>
  </si>
  <si>
    <t>EMIint.gCO2_per_km.SK.Tr.Avia.Freight.IntraEEAwUK</t>
  </si>
  <si>
    <t>EMIint.gCO2_per_km.SK.Tr.Avia.Freight.ExtraEEAwUK</t>
  </si>
  <si>
    <t>EMIint.gCO2_per_pkm.SK.Tr.Avia.Passenger</t>
  </si>
  <si>
    <t>EMIint.gCO2_per_pkm.SK.Tr.Avia.Passenger.Domestic</t>
  </si>
  <si>
    <t>EMIint.gCO2_per_pkm.SK.Tr.Avia.Passenger.IntraEEAwUK</t>
  </si>
  <si>
    <t>EMIint.gCO2_per_pkm.SK.Tr.Avia.Passenger.ExtraEEAwUK</t>
  </si>
  <si>
    <t>EMIint.gCO2_per_tkm.SK.Tr.Avia.Freight</t>
  </si>
  <si>
    <t>EMIint.gCO2_per_tkm.SK.Tr.Avia.Freight.Domestic</t>
  </si>
  <si>
    <t>EMIint.gCO2_per_tkm.SK.Tr.Avia.Freight.IntraEEAwUK</t>
  </si>
  <si>
    <t>EMIint.gCO2_per_tkm.SK.Tr.Avia.Freight.ExtraEEAwUK</t>
  </si>
  <si>
    <t>EMI_per_flight.kgCO2.SK.Tr.Avia</t>
  </si>
  <si>
    <t>EMI_per_flight.kgCO2.SK.Tr.Avia.Passenger</t>
  </si>
  <si>
    <t>EMI_per_flight.kgCO2.SK.Tr.Avia.Passenger.Domestic</t>
  </si>
  <si>
    <t>EMI_per_flight.kgCO2.SK.Tr.Avia.Passenger.IntraEEAwUK</t>
  </si>
  <si>
    <t>EMI_per_flight.kgCO2.SK.Tr.Avia.Passenger.ExtraEEAwUK</t>
  </si>
  <si>
    <t>EMI_per_flight.kgCO2.SK.Tr.Avia.Freight</t>
  </si>
  <si>
    <t>EMI_per_flight.kgCO2.SK.Tr.Avia.Freight.Domestic</t>
  </si>
  <si>
    <t>EMI_per_flight.kgCO2.SK.Tr.Avia.Freight.IntraEEAwUK</t>
  </si>
  <si>
    <t>EMI_per_flight.kgCO2.SK.Tr.Avia.Freight.ExtraEEAwUK</t>
  </si>
  <si>
    <t>Aviation / passenger transport specific data - SK - Slovakia</t>
  </si>
  <si>
    <t>TrCap.seats.SK.Tr.Avia.Passenger</t>
  </si>
  <si>
    <t>TrCap.seats.SK.Tr.Avia.Passenger.Domestic</t>
  </si>
  <si>
    <t>TrCap.seats.SK.Tr.Avia.Passenger.IntraEEAwUK</t>
  </si>
  <si>
    <t>TrCap.seats.SK.Tr.Avia.Passenger.ExtraEEAwUK</t>
  </si>
  <si>
    <t>TrCap_per_flight.seats.SK.Tr.Avia.Passenger</t>
  </si>
  <si>
    <t>TrCap_per_flight.seats.SK.Tr.Avia.Passenger.Domestic</t>
  </si>
  <si>
    <t>TrCap_per_flight.seats.SK.Tr.Avia.Passenger.IntraEEAwUK</t>
  </si>
  <si>
    <t>TrCap_per_flight.seats.SK.Tr.Avia.Passenger.ExtraEEAwUK</t>
  </si>
  <si>
    <t>Transport overview - SK - Slovakia</t>
  </si>
  <si>
    <t>Activity.Mpkm.SK.Tr</t>
  </si>
  <si>
    <t>Activity.Mpkm.SK.Tr.Road.Passenger</t>
  </si>
  <si>
    <t>Activity.Mpkm.SK.Tr.Road.Passenger.P2W</t>
  </si>
  <si>
    <t>Activity.Mpkm.SK.Tr.Road.Passenger.Car</t>
  </si>
  <si>
    <t>Activity.Mpkm.SK.Tr.Road.Passenger.Bus</t>
  </si>
  <si>
    <t>Activity.Mpkm.SK.Tr.Rail.Passenger</t>
  </si>
  <si>
    <t>Activity.Mpkm.SK.Tr.Rail.Passenger.MTU</t>
  </si>
  <si>
    <t>Activity.Mpkm.SK.Tr.Rail.Passenger.CPT</t>
  </si>
  <si>
    <t>Activity.Mpkm.SK.Tr.Rail.Passenger.HST</t>
  </si>
  <si>
    <t>Activity.Mtkm.SK.Tr</t>
  </si>
  <si>
    <t>Activity.Mtkm.SK.Tr.Road.Freight</t>
  </si>
  <si>
    <t>Activity.Mtkm.SK.Tr.Road.Freight.LCV</t>
  </si>
  <si>
    <t>Activity.Mtkm.SK.Tr.Road.Freight.HGV</t>
  </si>
  <si>
    <t>Activity.Mtkm.SK.Tr.Rail.Freight</t>
  </si>
  <si>
    <t>Activity.Mtkm.SK.Tr.DNavi.Freight</t>
  </si>
  <si>
    <t>Activity.Mtkm.SK.Tr.DNavi.Freight.DCS</t>
  </si>
  <si>
    <t>Activity.Mtkm.SK.Tr.DNavi.Freight.IWW</t>
  </si>
  <si>
    <t>Activity.Mtkm.SK.MBunk.Freight</t>
  </si>
  <si>
    <t>Activity.Mtkm.SK.MBunk.Freight.IntraEEA</t>
  </si>
  <si>
    <t>Activity.Mtkm.SK.MBunk.Freight.ExtraEEA</t>
  </si>
  <si>
    <t>FEC.ktoe.SK.Tr.Road.Passenger</t>
  </si>
  <si>
    <t>FEC.ktoe.SK.Tr.Road.Passenger.P2W</t>
  </si>
  <si>
    <t>FEC.ktoe.SK.Tr.Road.Passenger.Car</t>
  </si>
  <si>
    <t>FEC.ktoe.SK.Tr.Road.Passenger.Bus</t>
  </si>
  <si>
    <t>FEC.ktoe.SK.Tr.Rail.Passenger</t>
  </si>
  <si>
    <t>FEC.ktoe.SK.Tr.Rail.Passenger.MTU</t>
  </si>
  <si>
    <t>FEC.ktoe.SK.Tr.Rail.Passenger.CPT</t>
  </si>
  <si>
    <t>FEC.ktoe.SK.Tr.Rail.Passenger.HST</t>
  </si>
  <si>
    <t>FEC.ktoe.SK.Tr.Road.Freight</t>
  </si>
  <si>
    <t>FEC.ktoe.SK.Tr.Road.Freight.LCV</t>
  </si>
  <si>
    <t>FEC.ktoe.SK.Tr.Road.Freight.HGV</t>
  </si>
  <si>
    <t>FEC.ktoe.SK.Tr.Rail.Freight</t>
  </si>
  <si>
    <t>EMI.ktCO2.SK.Tr.Road.Passenger</t>
  </si>
  <si>
    <t>EMI.ktCO2.SK.Tr.Road.Passenger.P2W</t>
  </si>
  <si>
    <t>EMI.ktCO2.SK.Tr.Road.Passenger.Car</t>
  </si>
  <si>
    <t>EMI.ktCO2.SK.Tr.Road.Passenger.Bus</t>
  </si>
  <si>
    <t>EMI.ktCO2.SK.Tr.Rail.Passenger</t>
  </si>
  <si>
    <t>EMI.ktCO2.SK.Tr.Rail.Passenger.MTU</t>
  </si>
  <si>
    <t>EMI.ktCO2.SK.Tr.Rail.Passenger.CPT</t>
  </si>
  <si>
    <t>EMI.ktCO2.SK.Tr.Rail.Passenger.HST</t>
  </si>
  <si>
    <t>EMI.ktCO2.SK.Tr.Road.Freight</t>
  </si>
  <si>
    <t>EMI.ktCO2.SK.Tr.Road.Freight.LCV</t>
  </si>
  <si>
    <t>EMI.ktCO2.SK.Tr.Road.Freight.HGV</t>
  </si>
  <si>
    <t>EMI.ktCO2.SK.Tr.Rail.Freight</t>
  </si>
  <si>
    <t>Eff.kgoe_per_kpkm.SK.Tr</t>
  </si>
  <si>
    <t>Eff.kgoe_per_kpkm.SK.Tr.Road.Passenger</t>
  </si>
  <si>
    <t>Eff.kgoe_per_kpkm.SK.Tr.Road.Passenger.P2W</t>
  </si>
  <si>
    <t>Eff.kgoe_per_kpkm.SK.Tr.Road.Passenger.Car</t>
  </si>
  <si>
    <t>Eff.kgoe_per_kpkm.SK.Tr.Road.Passenger.Bus</t>
  </si>
  <si>
    <t>Eff.kgoe_per_kpkm.SK.Tr.Rail.Passenger</t>
  </si>
  <si>
    <t>Eff.kgoe_per_kpkm.SK.Tr.Rail.Passenger.MTU</t>
  </si>
  <si>
    <t>Eff.kgoe_per_kpkm.SK.Tr.Rail.Passenger.CPT</t>
  </si>
  <si>
    <t>Eff.kgoe_per_kpkm.SK.Tr.Rail.Passenger.HST</t>
  </si>
  <si>
    <t>Eff.kgoe_per_ktkm.SK.Tr</t>
  </si>
  <si>
    <t>Eff.kgoe_per_ktkm.SK.Tr.Road.Freight</t>
  </si>
  <si>
    <t>Eff.kgoe_per_ktkm.SK.Tr.Road.Freight.LCV</t>
  </si>
  <si>
    <t>Eff.kgoe_per_ktkm.SK.Tr.Road.Freight.HGV</t>
  </si>
  <si>
    <t>Eff.kgoe_per_ktkm.SK.Tr.Rail.Freight</t>
  </si>
  <si>
    <t>Eff.kgoe_per_ktkm.SK.Tr.DNavi.Freight</t>
  </si>
  <si>
    <t>Eff.kgoe_per_ktkm.SK.Tr.DNavi.Freight.DCS</t>
  </si>
  <si>
    <t>Eff.kgoe_per_ktkm.SK.Tr.DNavi.Freight.IWW</t>
  </si>
  <si>
    <t>Eff.kgoe_per_ktkm.SK.MBunk.Freight</t>
  </si>
  <si>
    <t>Eff.kgoe_per_ktkm.SK.MBunk.Freight.IntraEEA</t>
  </si>
  <si>
    <t>Eff.kgoe_per_ktkm.SK.MBunk.Freight.ExtraEEA</t>
  </si>
  <si>
    <t>EMIint.gCO2_per_pkm.SK.Tr</t>
  </si>
  <si>
    <t>EMIint.gCO2_per_pkm.SK.Tr.Road.Passenger</t>
  </si>
  <si>
    <t>EMIint.gCO2_per_pkm.SK.Tr.Road.Passenger.P2W</t>
  </si>
  <si>
    <t>EMIint.gCO2_per_pkm.SK.Tr.Road.Passenger.Car</t>
  </si>
  <si>
    <t>EMIint.gCO2_per_pkm.SK.Tr.Road.Passenger.Bus</t>
  </si>
  <si>
    <t>EMIint.gCO2_per_pkm.SK.Tr.Rail.Passenger</t>
  </si>
  <si>
    <t>EMIint.gCO2_per_pkm.SK.Tr.Rail.Passenger.MTU</t>
  </si>
  <si>
    <t>EMIint.gCO2_per_pkm.SK.Tr.Rail.Passenger.CPT</t>
  </si>
  <si>
    <t>EMIint.gCO2_per_pkm.SK.Tr.Rail.Passenger.HST</t>
  </si>
  <si>
    <t>EMIint.gCO2_per_tkm.SK.Tr</t>
  </si>
  <si>
    <t>EMIint.gCO2_per_tkm.SK.Tr.Road.Freight</t>
  </si>
  <si>
    <t>EMIint.gCO2_per_tkm.SK.Tr.Road.Freight.LCV</t>
  </si>
  <si>
    <t>EMIint.gCO2_per_tkm.SK.Tr.Road.Freight.HGV</t>
  </si>
  <si>
    <t>EMIint.gCO2_per_tkm.SK.Tr.Rail.Freight</t>
  </si>
  <si>
    <t>EMIint.gCO2_per_tkm.SK.Tr.DNavi.Freight</t>
  </si>
  <si>
    <t>EMIint.gCO2_per_tkm.SK.Tr.DNavi.Freight.DCS</t>
  </si>
  <si>
    <t>EMIint.gCO2_per_tkm.SK.Tr.DNavi.Freight.IWW</t>
  </si>
  <si>
    <t>EMIint.gCO2_per_tkm.SK.MBunk.Freight</t>
  </si>
  <si>
    <t>EMIint.gCO2_per_tkm.SK.MBunk.Freight.IntraEEA</t>
  </si>
  <si>
    <t>EMIint.gCO2_per_tkm.SK.MBunk.Freight.ExtraEEA</t>
  </si>
  <si>
    <t>Road transport - SK - Slovakia</t>
  </si>
  <si>
    <t>Activity.Mpkm.SK.Tr.Road.Passenger.Car.ICE.Gasoline</t>
  </si>
  <si>
    <t>Activity.Mpkm.SK.Tr.Road.Passenger.Car.ICE.Diesel</t>
  </si>
  <si>
    <t>Activity.Mpkm.SK.Tr.Road.Passenger.Car.ICE.LPG</t>
  </si>
  <si>
    <t>Activity.Mpkm.SK.Tr.Road.Passenger.Car.ICE.NGas</t>
  </si>
  <si>
    <t>Activity.Mpkm.SK.Tr.Road.Passenger.Car.PHEV</t>
  </si>
  <si>
    <t>Activity.Mpkm.SK.Tr.Road.Passenger.Car.BEV</t>
  </si>
  <si>
    <t>Activity.Mpkm.SK.Tr.Road.Passenger.Bus.ICE.Gasoline</t>
  </si>
  <si>
    <t>Activity.Mpkm.SK.Tr.Road.Passenger.Bus.ICE.Diesel</t>
  </si>
  <si>
    <t>Activity.Mpkm.SK.Tr.Road.Passenger.Bus.ICE.LPG</t>
  </si>
  <si>
    <t>Activity.Mpkm.SK.Tr.Road.Passenger.Bus.ICE.NGas</t>
  </si>
  <si>
    <t>Activity.Mpkm.SK.Tr.Road.Passenger.Bus.ICE.BEV</t>
  </si>
  <si>
    <t>Activity.Mtkm.SK.Tr.Road.Freight.LCV.ICE.Gasoline</t>
  </si>
  <si>
    <t>Activity.Mtkm.SK.Tr.Road.Freight.LCV.ICE.Diesel</t>
  </si>
  <si>
    <t>Activity.Mtkm.SK.Tr.Road.Freight.LCV.ICE.LPG</t>
  </si>
  <si>
    <t>Activity.Mtkm.SK.Tr.Road.Freight.LCV.ICE.NGas</t>
  </si>
  <si>
    <t>Activity.Mtkm.SK.Tr.Road.Freight.LCV.ICE.BEV</t>
  </si>
  <si>
    <t>Activity.Mtkm.SK.Tr.Road.Freight.HGV.Domestic</t>
  </si>
  <si>
    <t>Activity.Mtkm.SK.Tr.Road.Freight.HGV.International</t>
  </si>
  <si>
    <t>VehicleKm.Mkm.SK.Tr.Road</t>
  </si>
  <si>
    <t>VehicleKm.Mkm.SK.Tr.Road.Passenger</t>
  </si>
  <si>
    <t>VehicleKm.Mkm.SK.Tr.Road.Passenger.P2W</t>
  </si>
  <si>
    <t>VehicleKm.Mkm.SK.Tr.Road.Passenger.Car</t>
  </si>
  <si>
    <t>VehicleKm.Mkm.SK.Tr.Road.Passenger.Car.ICE.Gasoline</t>
  </si>
  <si>
    <t>VehicleKm.Mkm.SK.Tr.Road.Passenger.Car.ICE.Diesel</t>
  </si>
  <si>
    <t>VehicleKm.Mkm.SK.Tr.Road.Passenger.Car.ICE.LPG</t>
  </si>
  <si>
    <t>VehicleKm.Mkm.SK.Tr.Road.Passenger.Car.ICE.NGas</t>
  </si>
  <si>
    <t>VehicleKm.Mkm.SK.Tr.Road.Passenger.Car.PHEV</t>
  </si>
  <si>
    <t>VehicleKm.Mkm.SK.Tr.Road.Passenger.Car.BEV</t>
  </si>
  <si>
    <t>VehicleKm.Mkm.SK.Tr.Road.Passenger.Bus</t>
  </si>
  <si>
    <t>VehicleKm.Mkm.SK.Tr.Road.Passenger.Bus.ICE.Gasoline</t>
  </si>
  <si>
    <t>VehicleKm.Mkm.SK.Tr.Road.Passenger.Bus.ICE.Diesel</t>
  </si>
  <si>
    <t>VehicleKm.Mkm.SK.Tr.Road.Passenger.Bus.ICE.LPG</t>
  </si>
  <si>
    <t>VehicleKm.Mkm.SK.Tr.Road.Passenger.Bus.ICE.NGas</t>
  </si>
  <si>
    <t>VehicleKm.Mkm.SK.Tr.Road.Passenger.Bus.ICE.BEV</t>
  </si>
  <si>
    <t>VehicleKm.Mkm.SK.Tr.Road.Freight</t>
  </si>
  <si>
    <t>VehicleKm.Mkm.SK.Tr.Road.Freight.LCV</t>
  </si>
  <si>
    <t>VehicleKm.Mkm.SK.Tr.Road.Freight.LCV.ICE.Gasoline</t>
  </si>
  <si>
    <t>VehicleKm.Mkm.SK.Tr.Road.Freight.LCV.ICE.Diesel</t>
  </si>
  <si>
    <t>VehicleKm.Mkm.SK.Tr.Road.Freight.LCV.ICE.LPG</t>
  </si>
  <si>
    <t>VehicleKm.Mkm.SK.Tr.Road.Freight.LCV.ICE.NGas</t>
  </si>
  <si>
    <t>VehicleKm.Mkm.SK.Tr.Road.Freight.LCV.ICE.BEV</t>
  </si>
  <si>
    <t>VehicleKm.Mkm.SK.Tr.Road.Freight.HGV</t>
  </si>
  <si>
    <t>VehicleKm.Mkm.SK.Tr.Road.Freight.HGV.Domestic</t>
  </si>
  <si>
    <t>VehicleKm.Mkm.SK.Tr.Road.Freight.HGV.International</t>
  </si>
  <si>
    <t>Stock.number.SK.Tr.Road</t>
  </si>
  <si>
    <t>Stock.number.SK.Tr.Road.Passenger</t>
  </si>
  <si>
    <t>Stock.number.SK.Tr.Road.Passenger.P2W</t>
  </si>
  <si>
    <t>Stock.number.SK.Tr.Road.Passenger.Car</t>
  </si>
  <si>
    <t>Stock.number.SK.Tr.Road.Passenger.Car.ICE.Gasoline</t>
  </si>
  <si>
    <t>Stock.number.SK.Tr.Road.Passenger.Car.ICE.Diesel</t>
  </si>
  <si>
    <t>Stock.number.SK.Tr.Road.Passenger.Car.ICE.LPG</t>
  </si>
  <si>
    <t>Stock.number.SK.Tr.Road.Passenger.Car.ICE.NGas</t>
  </si>
  <si>
    <t>Stock.number.SK.Tr.Road.Passenger.Car.PHEV</t>
  </si>
  <si>
    <t>Stock.number.SK.Tr.Road.Passenger.Car.BEV</t>
  </si>
  <si>
    <t>Stock.number.SK.Tr.Road.Passenger.Bus</t>
  </si>
  <si>
    <t>Stock.number.SK.Tr.Road.Passenger.Bus.ICE.Gasoline</t>
  </si>
  <si>
    <t>Stock.number.SK.Tr.Road.Passenger.Bus.ICE.Diesel</t>
  </si>
  <si>
    <t>Stock.number.SK.Tr.Road.Passenger.Bus.ICE.LPG</t>
  </si>
  <si>
    <t>Stock.number.SK.Tr.Road.Passenger.Bus.ICE.NGas</t>
  </si>
  <si>
    <t>Stock.number.SK.Tr.Road.Passenger.Bus.ICE.BEV</t>
  </si>
  <si>
    <t>Stock.number.SK.Tr.Road.Freight</t>
  </si>
  <si>
    <t>Stock.number.SK.Tr.Road.Freight.LCV</t>
  </si>
  <si>
    <t>Stock.number.SK.Tr.Road.Freight.LCV.ICE.Gasoline</t>
  </si>
  <si>
    <t>Stock.number.SK.Tr.Road.Freight.LCV.ICE.Diesel</t>
  </si>
  <si>
    <t>Stock.number.SK.Tr.Road.Freight.LCV.ICE.LPG</t>
  </si>
  <si>
    <t>Stock.number.SK.Tr.Road.Freight.LCV.ICE.NGas</t>
  </si>
  <si>
    <t>Stock.number.SK.Tr.Road.Freight.LCV.ICE.BEV</t>
  </si>
  <si>
    <t>Stock.number.SK.Tr.Road.Freight.HGV</t>
  </si>
  <si>
    <t>Stock.number.SK.Tr.Road.Freight.HGV.Domestic</t>
  </si>
  <si>
    <t>Stock.number.SK.Tr.Road.Freight.HGV.International</t>
  </si>
  <si>
    <t>StockNew.number.SK.Tr.Road</t>
  </si>
  <si>
    <t>StockNew.number.SK.Tr.Road.Passenger</t>
  </si>
  <si>
    <t>StockNew.number.SK.Tr.Road.Passenger.P2W</t>
  </si>
  <si>
    <t>StockNew.number.SK.Tr.Road.Passenger.Car</t>
  </si>
  <si>
    <t>StockNew.number.SK.Tr.Road.Passenger.Car.ICE.Gasoline</t>
  </si>
  <si>
    <t>StockNew.number.SK.Tr.Road.Passenger.Car.ICE.Diesel</t>
  </si>
  <si>
    <t>StockNew.number.SK.Tr.Road.Passenger.Car.ICE.LPG</t>
  </si>
  <si>
    <t>StockNew.number.SK.Tr.Road.Passenger.Car.ICE.NGas</t>
  </si>
  <si>
    <t>StockNew.number.SK.Tr.Road.Passenger.Car.PHEV</t>
  </si>
  <si>
    <t>StockNew.number.SK.Tr.Road.Passenger.Car.BEV</t>
  </si>
  <si>
    <t>StockNew.number.SK.Tr.Road.Passenger.Bus</t>
  </si>
  <si>
    <t>StockNew.number.SK.Tr.Road.Passenger.Bus.ICE.Gasoline</t>
  </si>
  <si>
    <t>StockNew.number.SK.Tr.Road.Passenger.Bus.ICE.Diesel</t>
  </si>
  <si>
    <t>StockNew.number.SK.Tr.Road.Passenger.Bus.ICE.LPG</t>
  </si>
  <si>
    <t>StockNew.number.SK.Tr.Road.Passenger.Bus.ICE.NGas</t>
  </si>
  <si>
    <t>StockNew.number.SK.Tr.Road.Passenger.Bus.ICE.BEV</t>
  </si>
  <si>
    <t>StockNew.number.SK.Tr.Road.Freight</t>
  </si>
  <si>
    <t>StockNew.number.SK.Tr.Road.Freight.LCV</t>
  </si>
  <si>
    <t>StockNew.number.SK.Tr.Road.Freight.LCV.ICE.Gasoline</t>
  </si>
  <si>
    <t>StockNew.number.SK.Tr.Road.Freight.LCV.ICE.Diesel</t>
  </si>
  <si>
    <t>StockNew.number.SK.Tr.Road.Freight.LCV.ICE.LPG</t>
  </si>
  <si>
    <t>StockNew.number.SK.Tr.Road.Freight.LCV.ICE.NGas</t>
  </si>
  <si>
    <t>StockNew.number.SK.Tr.Road.Freight.LCV.ICE.BEV</t>
  </si>
  <si>
    <t>StockNew.number.SK.Tr.Road.Freight.HGV</t>
  </si>
  <si>
    <t>StockNew.number.SK.Tr.Road.Freight.HGV.Domestic</t>
  </si>
  <si>
    <t>StockNew.number.SK.Tr.Road.Freight.HGV.International</t>
  </si>
  <si>
    <t>Load.passenger_per_movement.SK.Tr.Road.Passenger</t>
  </si>
  <si>
    <t>Load.passenger_per_movement.SK.Tr.Road.Passenger.P2W</t>
  </si>
  <si>
    <t>Load.passenger_per_movement.SK.Tr.Road.Passenger.Car</t>
  </si>
  <si>
    <t>Load.passenger_per_movement.SK.Tr.Road.Passenger.Car.ICE.Gasoline</t>
  </si>
  <si>
    <t>Load.passenger_per_movement.SK.Tr.Road.Passenger.Car.ICE.Diesel</t>
  </si>
  <si>
    <t>Load.passenger_per_movement.SK.Tr.Road.Passenger.Car.ICE.LPG</t>
  </si>
  <si>
    <t>Load.passenger_per_movement.SK.Tr.Road.Passenger.Car.ICE.NGas</t>
  </si>
  <si>
    <t>Load.passenger_per_movement.SK.Tr.Road.Passenger.Car.PHEV</t>
  </si>
  <si>
    <t>Load.passenger_per_movement.SK.Tr.Road.Passenger.Car.BEV</t>
  </si>
  <si>
    <t>Load.passenger_per_movement.SK.Tr.Road.Passenger.Bus</t>
  </si>
  <si>
    <t>Load.passenger_per_movement.SK.Tr.Road.Passenger.Bus.ICE.Gasoline</t>
  </si>
  <si>
    <t>Load.passenger_per_movement.SK.Tr.Road.Passenger.Bus.ICE.Diesel</t>
  </si>
  <si>
    <t>Load.passenger_per_movement.SK.Tr.Road.Passenger.Bus.ICE.LPG</t>
  </si>
  <si>
    <t>Load.passenger_per_movement.SK.Tr.Road.Passenger.Bus.ICE.NGas</t>
  </si>
  <si>
    <t>Load.passenger_per_movement.SK.Tr.Road.Passenger.Bus.ICE.BEV</t>
  </si>
  <si>
    <t>Load.t_per_movement.SK.Tr.Road.Freight</t>
  </si>
  <si>
    <t>Load.t_per_movement.SK.Tr.Road.Freight.LCV</t>
  </si>
  <si>
    <t>Load.t_per_movement.SK.Tr.Road.Freight.LCV.ICE.Gasoline</t>
  </si>
  <si>
    <t>Load.t_per_movement.SK.Tr.Road.Freight.LCV.ICE.Diesel</t>
  </si>
  <si>
    <t>Load.t_per_movement.SK.Tr.Road.Freight.LCV.ICE.LPG</t>
  </si>
  <si>
    <t>Load.t_per_movement.SK.Tr.Road.Freight.LCV.ICE.NGas</t>
  </si>
  <si>
    <t>Load.t_per_movement.SK.Tr.Road.Freight.LCV.ICE.BEV</t>
  </si>
  <si>
    <t>Load.t_per_movement.SK.Tr.Road.Freight.HGV</t>
  </si>
  <si>
    <t>Load.t_per_movement.SK.Tr.Road.Freight.HGV.Domestic</t>
  </si>
  <si>
    <t>Load.t_per_movement.SK.Tr.Road.Freight.HGV.International</t>
  </si>
  <si>
    <t>VehicleKm_per_vehicle.km.SK.Tr.Road</t>
  </si>
  <si>
    <t>VehicleKm_per_vehicle.km.SK.Tr.Road.Passenger</t>
  </si>
  <si>
    <t>VehicleKm_per_vehicle.km.SK.Tr.Road.Passenger.P2W</t>
  </si>
  <si>
    <t>VehicleKm_per_vehicle.km.SK.Tr.Road.Passenger.Car</t>
  </si>
  <si>
    <t>VehicleKm_per_vehicle.km.SK.Tr.Road.Passenger.Car.ICE.Gasoline</t>
  </si>
  <si>
    <t>VehicleKm_per_vehicle.km.SK.Tr.Road.Passenger.Car.ICE.Diesel</t>
  </si>
  <si>
    <t>VehicleKm_per_vehicle.km.SK.Tr.Road.Passenger.Car.ICE.LPG</t>
  </si>
  <si>
    <t>VehicleKm_per_vehicle.km.SK.Tr.Road.Passenger.Car.ICE.NGas</t>
  </si>
  <si>
    <t>VehicleKm_per_vehicle.km.SK.Tr.Road.Passenger.Car.PHEV</t>
  </si>
  <si>
    <t>VehicleKm_per_vehicle.km.SK.Tr.Road.Passenger.Car.BEV</t>
  </si>
  <si>
    <t>VehicleKm_per_vehicle.km.SK.Tr.Road.Passenger.Bus</t>
  </si>
  <si>
    <t>VehicleKm_per_vehicle.km.SK.Tr.Road.Passenger.Bus.ICE.Gasoline</t>
  </si>
  <si>
    <t>VehicleKm_per_vehicle.km.SK.Tr.Road.Passenger.Bus.ICE.Diesel</t>
  </si>
  <si>
    <t>VehicleKm_per_vehicle.km.SK.Tr.Road.Passenger.Bus.ICE.LPG</t>
  </si>
  <si>
    <t>VehicleKm_per_vehicle.km.SK.Tr.Road.Passenger.Bus.ICE.NGas</t>
  </si>
  <si>
    <t>VehicleKm_per_vehicle.km.SK.Tr.Road.Passenger.Bus.ICE.BEV</t>
  </si>
  <si>
    <t>VehicleKm_per_vehicle.km.SK.Tr.Road.Freight</t>
  </si>
  <si>
    <t>VehicleKm_per_vehicle.km.SK.Tr.Road.Freight.LCV</t>
  </si>
  <si>
    <t>VehicleKm_per_vehicle.km.SK.Tr.Road.Freight.LCV.ICE.Gasoline</t>
  </si>
  <si>
    <t>VehicleKm_per_vehicle.km.SK.Tr.Road.Freight.LCV.ICE.Diesel</t>
  </si>
  <si>
    <t>VehicleKm_per_vehicle.km.SK.Tr.Road.Freight.LCV.ICE.LPG</t>
  </si>
  <si>
    <t>VehicleKm_per_vehicle.km.SK.Tr.Road.Freight.LCV.ICE.NGas</t>
  </si>
  <si>
    <t>VehicleKm_per_vehicle.km.SK.Tr.Road.Freight.LCV.ICE.BEV</t>
  </si>
  <si>
    <t>VehicleKm_per_vehicle.km.SK.Tr.Road.Freight.HGV</t>
  </si>
  <si>
    <t>VehicleKm_per_vehicle.km.SK.Tr.Road.Freight.HGV.Domestic</t>
  </si>
  <si>
    <t>VehicleKm_per_vehicle.km.SK.Tr.Road.Freight.HGV.International</t>
  </si>
  <si>
    <t>Activity_per_vehicle.pkm.SK.Tr.Road.Passenger</t>
  </si>
  <si>
    <t>Activity_per_vehicle.pkm.SK.Tr.Road.Passenger.P2W</t>
  </si>
  <si>
    <t>Activity_per_vehicle.pkm.SK.Tr.Road.Passenger.Car</t>
  </si>
  <si>
    <t>Activity_per_vehicle.pkm.SK.Tr.Road.Passenger.Car.ICE.Gasoline</t>
  </si>
  <si>
    <t>Activity_per_vehicle.pkm.SK.Tr.Road.Passenger.Car.ICE.Diesel</t>
  </si>
  <si>
    <t>Activity_per_vehicle.pkm.SK.Tr.Road.Passenger.Car.ICE.LPG</t>
  </si>
  <si>
    <t>Activity_per_vehicle.pkm.SK.Tr.Road.Passenger.Car.ICE.NGas</t>
  </si>
  <si>
    <t>Activity_per_vehicle.pkm.SK.Tr.Road.Passenger.Car.PHEV</t>
  </si>
  <si>
    <t>Activity_per_vehicle.pkm.SK.Tr.Road.Passenger.Car.BEV</t>
  </si>
  <si>
    <t>Activity_per_vehicle.pkm.SK.Tr.Road.Passenger.Bus</t>
  </si>
  <si>
    <t>Activity_per_vehicle.pkm.SK.Tr.Road.Passenger.Bus.ICE.Gasoline</t>
  </si>
  <si>
    <t>Activity_per_vehicle.pkm.SK.Tr.Road.Passenger.Bus.ICE.Diesel</t>
  </si>
  <si>
    <t>Activity_per_vehicle.pkm.SK.Tr.Road.Passenger.Bus.ICE.LPG</t>
  </si>
  <si>
    <t>Activity_per_vehicle.pkm.SK.Tr.Road.Passenger.Bus.ICE.NGas</t>
  </si>
  <si>
    <t>Activity_per_vehicle.pkm.SK.Tr.Road.Passenger.Bus.ICE.BEV</t>
  </si>
  <si>
    <t>Activity_per_vehicle.tkm.SK.Tr.Road.Freight</t>
  </si>
  <si>
    <t>Activity_per_vehicle.tkm.SK.Tr.Road.Freight.LCV</t>
  </si>
  <si>
    <t>Activity_per_vehicle.tkm.SK.Tr.Road.Freight.LCV.ICE.Gasoline</t>
  </si>
  <si>
    <t>Activity_per_vehicle.tkm.SK.Tr.Road.Freight.LCV.ICE.Diesel</t>
  </si>
  <si>
    <t>Activity_per_vehicle.tkm.SK.Tr.Road.Freight.LCV.ICE.LPG</t>
  </si>
  <si>
    <t>Activity_per_vehicle.tkm.SK.Tr.Road.Freight.LCV.ICE.NGas</t>
  </si>
  <si>
    <t>Activity_per_vehicle.tkm.SK.Tr.Road.Freight.LCV.ICE.BEV</t>
  </si>
  <si>
    <t>Activity_per_vehicle.tkm.SK.Tr.Road.Freight.HGV</t>
  </si>
  <si>
    <t>Activity_per_vehicle.tkm.SK.Tr.Road.Freight.HGV.Domestic</t>
  </si>
  <si>
    <t>Activity_per_vehicle.tkm.SK.Tr.Road.Freight.HGV.International</t>
  </si>
  <si>
    <t>Road transport / energy consumption - SK - Slovakia</t>
  </si>
  <si>
    <t>FEC.ktoe.SK.ES.Tr.Road</t>
  </si>
  <si>
    <t>FEC.ktoe.SK.ES.Tr.Road.LPG</t>
  </si>
  <si>
    <t>FEC.ktoe.SK.ES.Tr.Road.Gasoline</t>
  </si>
  <si>
    <t>FEC.ktoe.SK.ES.Tr.Road.Diesel</t>
  </si>
  <si>
    <t>FEC.ktoe.SK.ES.Tr.Road.NG</t>
  </si>
  <si>
    <t>FEC.ktoe.SK.ES.Tr.Road.Biogas</t>
  </si>
  <si>
    <t>FEC.ktoe.SK.ES.Tr.Road.Biogasoline</t>
  </si>
  <si>
    <t>FEC.ktoe.SK.ES.Tr.Road.Biodiesel</t>
  </si>
  <si>
    <t>FEC.ktoe.SK.ES.Tr.Road.OthLiqBio</t>
  </si>
  <si>
    <t>FEC.ktoe.SK.ES.Tr.Road.Elec</t>
  </si>
  <si>
    <t>FEC.ktoe.SK.Tr.Road</t>
  </si>
  <si>
    <t>FEC.ktoe.SK.Tr.Road.Passenger.P2W.Biogasoline</t>
  </si>
  <si>
    <t>FEC.ktoe.SK.Tr.Road.Passenger.Car.ICE.Gasoline</t>
  </si>
  <si>
    <t>FEC.ktoe.SK.Tr.Road.Passenger.Car.ICE.Gasoline.Biogasoline</t>
  </si>
  <si>
    <t>FEC.ktoe.SK.Tr.Road.Passenger.Car.ICE.Diesel</t>
  </si>
  <si>
    <t>FEC.ktoe.SK.Tr.Road.Passenger.Car.ICE.Diesel.BioDiesel_OthLiqBio</t>
  </si>
  <si>
    <t>FEC.ktoe.SK.Tr.Road.Passenger.Car.ICE.LPG</t>
  </si>
  <si>
    <t>FEC.ktoe.SK.Tr.Road.Passenger.Car.ICE.NGas</t>
  </si>
  <si>
    <t>FEC.ktoe.SK.Tr.Road.Passenger.Car.ICE.NGas.Biogas</t>
  </si>
  <si>
    <t>FEC.ktoe.SK.Tr.Road.Passenger.Car.PHEV</t>
  </si>
  <si>
    <t>FEC.ktoe.SK.Tr.Road.Passenger.Car.PHEV.Biogasoline</t>
  </si>
  <si>
    <t>FEC.ktoe.SK.Tr.Road.Passenger.Car.PHEV.Elec</t>
  </si>
  <si>
    <t>FEC.ktoe.SK.Tr.Road.Passenger.Car.BEV</t>
  </si>
  <si>
    <t>FEC.ktoe.SK.Tr.Road.Passenger.Bus.ICE.Gasoline</t>
  </si>
  <si>
    <t>FEC.ktoe.SK.Tr.Road.Passenger.Bus.ICE.Gasoline.Biogasoline</t>
  </si>
  <si>
    <t>FEC.ktoe.SK.Tr.Road.Passenger.Bus.ICE.Diesel</t>
  </si>
  <si>
    <t>FEC.ktoe.SK.Tr.Road.Passenger.Bus.ICE.Diesel.BioDiesel_OthLiqBio</t>
  </si>
  <si>
    <t>FEC.ktoe.SK.Tr.Road.Passenger.Bus.ICE.LPG</t>
  </si>
  <si>
    <t>FEC.ktoe.SK.Tr.Road.Passenger.Bus.ICE.NGas</t>
  </si>
  <si>
    <t>FEC.ktoe.SK.Tr.Road.Passenger.Bus.ICE.NGas.Biogas</t>
  </si>
  <si>
    <t>FEC.ktoe.SK.Tr.Road.Passenger.Bus.ICE.BEV</t>
  </si>
  <si>
    <t>FEC.ktoe.SK.Tr.Road.Freight.LCV.ICE.Gasoline</t>
  </si>
  <si>
    <t>FEC.ktoe.SK.Tr.Road.Freight.LCV.ICE.Gasoline.Biogasoline</t>
  </si>
  <si>
    <t>FEC.ktoe.SK.Tr.Road.Freight.LCV.ICE.Diesel</t>
  </si>
  <si>
    <t>FEC.ktoe.SK.Tr.Road.Freight.LCV.ICE.Diesel.BioDiesel_OthLiqBio</t>
  </si>
  <si>
    <t>FEC.ktoe.SK.Tr.Road.Freight.LCV.ICE.LPG</t>
  </si>
  <si>
    <t>FEC.ktoe.SK.Tr.Road.Freight.LCV.ICE.NGas</t>
  </si>
  <si>
    <t>FEC.ktoe.SK.Tr.Road.Freight.LCV.ICE.NGas.Biogas</t>
  </si>
  <si>
    <t>FEC.ktoe.SK.Tr.Road.Freight.LCV.ICE.BEV</t>
  </si>
  <si>
    <t>FEC.ktoe.SK.Tr.Road.Freight.HGV.Domestic</t>
  </si>
  <si>
    <t>FEC.ktoe.SK.Tr.Road.Freight.HGV.Domestic.BioDiesel_OthLiqBio</t>
  </si>
  <si>
    <t>FEC.ktoe.SK.Tr.Road.Freight.HGV.International</t>
  </si>
  <si>
    <t>FEC.ktoe.SK.Tr.Road.Freight.HGV.International.BioDiesel_OthLiqBio</t>
  </si>
  <si>
    <t>Eff.kgoe_per_100km.SK.Tr.Road</t>
  </si>
  <si>
    <t>Eff.kgoe_per_100km.SK.Tr.Road.Passenger</t>
  </si>
  <si>
    <t>Eff.kgoe_per_100km.SK.Tr.Road.Passenger.P2W</t>
  </si>
  <si>
    <t>Eff.kgoe_per_100km.SK.Tr.Road.Passenger.Car</t>
  </si>
  <si>
    <t>Eff.kgoe_per_100km.SK.Tr.Road.Passenger.Car.ICE.Gasoline</t>
  </si>
  <si>
    <t>Eff.kgoe_per_100km.SK.Tr.Road.Passenger.Car.ICE.Diesel</t>
  </si>
  <si>
    <t>Eff.kgoe_per_100km.SK.Tr.Road.Passenger.Car.ICE.LPG</t>
  </si>
  <si>
    <t>Eff.kgoe_per_100km.SK.Tr.Road.Passenger.Car.ICE.NGas</t>
  </si>
  <si>
    <t>Eff.kgoe_per_100km.SK.Tr.Road.Passenger.Car.PHEV</t>
  </si>
  <si>
    <t>Eff.kgoe_per_100km.SK.Tr.Road.Passenger.Car.BEV</t>
  </si>
  <si>
    <t>Eff.kgoe_per_100km.SK.Tr.Road.Passenger.Bus</t>
  </si>
  <si>
    <t>Eff.kgoe_per_100km.SK.Tr.Road.Passenger.Bus.ICE.Gasoline</t>
  </si>
  <si>
    <t>Eff.kgoe_per_100km.SK.Tr.Road.Passenger.Bus.ICE.Diesel</t>
  </si>
  <si>
    <t>Eff.kgoe_per_100km.SK.Tr.Road.Passenger.Bus.ICE.LPG</t>
  </si>
  <si>
    <t>Eff.kgoe_per_100km.SK.Tr.Road.Passenger.Bus.ICE.NGas</t>
  </si>
  <si>
    <t>Eff.kgoe_per_100km.SK.Tr.Road.Passenger.Bus.ICE.BEV</t>
  </si>
  <si>
    <t>Eff.kgoe_per_100km.SK.Tr.Road.Freight</t>
  </si>
  <si>
    <t>Eff.kgoe_per_100km.SK.Tr.Road.Freight.LCV</t>
  </si>
  <si>
    <t>Eff.kgoe_per_100km.SK.Tr.Road.Freight.LCV.ICE.Gasoline</t>
  </si>
  <si>
    <t>Eff.kgoe_per_100km.SK.Tr.Road.Freight.LCV.ICE.Diesel</t>
  </si>
  <si>
    <t>Eff.kgoe_per_100km.SK.Tr.Road.Freight.LCV.ICE.LPG</t>
  </si>
  <si>
    <t>Eff.kgoe_per_100km.SK.Tr.Road.Freight.LCV.ICE.NGas</t>
  </si>
  <si>
    <t>Eff.kgoe_per_100km.SK.Tr.Road.Freight.LCV.ICE.BEV</t>
  </si>
  <si>
    <t>Eff.kgoe_per_100km.SK.Tr.Road.Freight.HGV</t>
  </si>
  <si>
    <t>Eff.kgoe_per_100km.SK.Tr.Road.Freight.HGV.Domestic</t>
  </si>
  <si>
    <t>Eff.kgoe_per_100km.SK.Tr.Road.Freight.HGV.International</t>
  </si>
  <si>
    <t>Eff.kgoe_per_kpkm.SK.Tr.Road.Passenger.Car.ICE.Gasoline</t>
  </si>
  <si>
    <t>Eff.kgoe_per_kpkm.SK.Tr.Road.Passenger.Car.ICE.Diesel</t>
  </si>
  <si>
    <t>Eff.kgoe_per_kpkm.SK.Tr.Road.Passenger.Car.ICE.LPG</t>
  </si>
  <si>
    <t>Eff.kgoe_per_kpkm.SK.Tr.Road.Passenger.Car.ICE.NGas</t>
  </si>
  <si>
    <t>Eff.kgoe_per_kpkm.SK.Tr.Road.Passenger.Car.PHEV</t>
  </si>
  <si>
    <t>Eff.kgoe_per_kpkm.SK.Tr.Road.Passenger.Car.BEV</t>
  </si>
  <si>
    <t>Eff.kgoe_per_kpkm.SK.Tr.Road.Passenger.Bus.ICE.Gasoline</t>
  </si>
  <si>
    <t>Eff.kgoe_per_kpkm.SK.Tr.Road.Passenger.Bus.ICE.Diesel</t>
  </si>
  <si>
    <t>Eff.kgoe_per_kpkm.SK.Tr.Road.Passenger.Bus.ICE.LPG</t>
  </si>
  <si>
    <t>Eff.kgoe_per_kpkm.SK.Tr.Road.Passenger.Bus.ICE.NGas</t>
  </si>
  <si>
    <t>Eff.kgoe_per_kpkm.SK.Tr.Road.Passenger.Bus.ICE.BEV</t>
  </si>
  <si>
    <t>Eff.kgoe_per_ktkm.SK.Tr.Road.Freight.LCV.ICE.Gasoline</t>
  </si>
  <si>
    <t>Eff.kgoe_per_ktkm.SK.Tr.Road.Freight.LCV.ICE.Diesel</t>
  </si>
  <si>
    <t>Eff.kgoe_per_ktkm.SK.Tr.Road.Freight.LCV.ICE.LPG</t>
  </si>
  <si>
    <t>Eff.kgoe_per_ktkm.SK.Tr.Road.Freight.LCV.ICE.NGas</t>
  </si>
  <si>
    <t>Eff.kgoe_per_ktkm.SK.Tr.Road.Freight.LCV.ICE.BEV</t>
  </si>
  <si>
    <t>Eff.kgoe_per_ktkm.SK.Tr.Road.Freight.HGV.Domestic</t>
  </si>
  <si>
    <t>Eff.kgoe_per_ktkm.SK.Tr.Road.Freight.HGV.International</t>
  </si>
  <si>
    <t>FEC_per_vehicle.kgoe.SK.Tr.Road.Passenger.P2W</t>
  </si>
  <si>
    <t>FEC_per_vehicle.kgoe.SK.Tr.Road.Passenger.Car</t>
  </si>
  <si>
    <t>FEC_per_vehicle.kgoe.SK.Tr.Road.Passenger.Car.ICE.Gasoline</t>
  </si>
  <si>
    <t>FEC_per_vehicle.kgoe.SK.Tr.Road.Passenger.Car.ICE.Diesel</t>
  </si>
  <si>
    <t>FEC_per_vehicle.kgoe.SK.Tr.Road.Passenger.Car.ICE.LPG</t>
  </si>
  <si>
    <t>FEC_per_vehicle.kgoe.SK.Tr.Road.Passenger.Car.ICE.NGas</t>
  </si>
  <si>
    <t>FEC_per_vehicle.kgoe.SK.Tr.Road.Passenger.Car.PHEV</t>
  </si>
  <si>
    <t>FEC_per_vehicle.kgoe.SK.Tr.Road.Passenger.Car.BEV</t>
  </si>
  <si>
    <t>FEC_per_vehicle.kgoe.SK.Tr.Road.Passenger.Bus</t>
  </si>
  <si>
    <t>FEC_per_vehicle.kgoe.SK.Tr.Road.Passenger.Bus.ICE.Gasoline</t>
  </si>
  <si>
    <t>FEC_per_vehicle.kgoe.SK.Tr.Road.Passenger.Bus.ICE.Diesel</t>
  </si>
  <si>
    <t>FEC_per_vehicle.kgoe.SK.Tr.Road.Passenger.Bus.ICE.LPG</t>
  </si>
  <si>
    <t>FEC_per_vehicle.kgoe.SK.Tr.Road.Passenger.Bus.ICE.NGas</t>
  </si>
  <si>
    <t>FEC_per_vehicle.kgoe.SK.Tr.Road.Passenger.Bus.ICE.BEV</t>
  </si>
  <si>
    <t>FEC_per_vehicle.kgoe.SK.Tr.Road.Freight.LCV</t>
  </si>
  <si>
    <t>FEC_per_vehicle.kgoe.SK.Tr.Road.Freight.LCV.ICE.Gasoline</t>
  </si>
  <si>
    <t>FEC_per_vehicle.kgoe.SK.Tr.Road.Freight.LCV.ICE.Diesel</t>
  </si>
  <si>
    <t>FEC_per_vehicle.kgoe.SK.Tr.Road.Freight.LCV.ICE.LPG</t>
  </si>
  <si>
    <t>FEC_per_vehicle.kgoe.SK.Tr.Road.Freight.LCV.ICE.NGas</t>
  </si>
  <si>
    <t>FEC_per_vehicle.kgoe.SK.Tr.Road.Freight.LCV.ICE.BEV</t>
  </si>
  <si>
    <t>FEC_per_vehicle.kgoe.SK.Tr.Road.Freight.HGV</t>
  </si>
  <si>
    <t>FEC_per_vehicle.kgoe.SK.Tr.Road.Freight.HGV.Domestic</t>
  </si>
  <si>
    <t>FEC_per_vehicle.kgoe.SK.Tr.Road.Freight.HGV.International</t>
  </si>
  <si>
    <t>Road transport / CO2 emissions - SK - Slovakia</t>
  </si>
  <si>
    <t>EMI.ktCO2.SK.ES.Tr.Road</t>
  </si>
  <si>
    <t>EMI.ktCO2.SK.ES.Tr.Road.LPG</t>
  </si>
  <si>
    <t>EMI.ktCO2.SK.ES.Tr.Road.Gasoline</t>
  </si>
  <si>
    <t>EMI.ktCO2.SK.ES.Tr.Road.Diesel</t>
  </si>
  <si>
    <t>EMI.ktCO2.SK.ES.Tr.Road.NG</t>
  </si>
  <si>
    <t>EMI.ktCO2.SK.ES.Tr.Road.Biogas</t>
  </si>
  <si>
    <t>EMI.ktCO2.SK.ES.Tr.Road.Biogasoline</t>
  </si>
  <si>
    <t>EMI.ktCO2.SK.ES.Tr.Road.Biodiesel</t>
  </si>
  <si>
    <t>EMI.ktCO2.SK.ES.Tr.Road.OthLiqBio</t>
  </si>
  <si>
    <t>EMI.ktCO2.SK.ES.Tr.Road.Elec</t>
  </si>
  <si>
    <t>EMI.ktCO2.SK.Tr.Road</t>
  </si>
  <si>
    <t>EMI.ktCO2.SK.Tr.Road.Passenger.Car.ICE.Gasoline</t>
  </si>
  <si>
    <t>EMI.ktCO2.SK.Tr.Road.Passenger.Car.ICE.Diesel</t>
  </si>
  <si>
    <t>EMI.ktCO2.SK.Tr.Road.Passenger.Car.ICE.LPG</t>
  </si>
  <si>
    <t>EMI.ktCO2.SK.Tr.Road.Passenger.Car.ICE.NGas</t>
  </si>
  <si>
    <t>EMI.ktCO2.SK.Tr.Road.Passenger.Car.PHEV</t>
  </si>
  <si>
    <t>EMI.ktCO2.SK.Tr.Road.Passenger.Car.BEV</t>
  </si>
  <si>
    <t>EMI.ktCO2.SK.Tr.Road.Passenger.Bus.ICE.Gasoline</t>
  </si>
  <si>
    <t>EMI.ktCO2.SK.Tr.Road.Passenger.Bus.ICE.Diesel</t>
  </si>
  <si>
    <t>EMI.ktCO2.SK.Tr.Road.Passenger.Bus.ICE.LPG</t>
  </si>
  <si>
    <t>EMI.ktCO2.SK.Tr.Road.Passenger.Bus.ICE.NGas</t>
  </si>
  <si>
    <t>EMI.ktCO2.SK.Tr.Road.Passenger.Bus.ICE.BEV</t>
  </si>
  <si>
    <t>EMI.ktCO2.SK.Tr.Road.Freight.LCV.ICE.Gasoline</t>
  </si>
  <si>
    <t>EMI.ktCO2.SK.Tr.Road.Freight.LCV.ICE.Diesel</t>
  </si>
  <si>
    <t>EMI.ktCO2.SK.Tr.Road.Freight.LCV.ICE.LPG</t>
  </si>
  <si>
    <t>EMI.ktCO2.SK.Tr.Road.Freight.LCV.ICE.NGas</t>
  </si>
  <si>
    <t>EMI.ktCO2.SK.Tr.Road.Freight.LCV.ICE.BEV</t>
  </si>
  <si>
    <t>EMI.ktCO2.SK.Tr.Road.Freight.HGV.Domestic</t>
  </si>
  <si>
    <t>EMI.ktCO2.SK.Tr.Road.Freight.HGV.International</t>
  </si>
  <si>
    <t>EMIint.gCO2_per_km.SK.Tr.Road</t>
  </si>
  <si>
    <t>EMIint.gCO2_per_km.SK.Tr.Road.Passenger</t>
  </si>
  <si>
    <t>EMIint.gCO2_per_km.SK.Tr.Road.Passenger.P2W</t>
  </si>
  <si>
    <t>EMIint.gCO2_per_km.SK.Tr.Road.Passenger.Car</t>
  </si>
  <si>
    <t>EMIint.gCO2_per_km.SK.Tr.Road.Passenger.Car.ICE.Gasoline</t>
  </si>
  <si>
    <t>EMIint.gCO2_per_km.SK.Tr.Road.Passenger.Car.ICE.Diesel</t>
  </si>
  <si>
    <t>EMIint.gCO2_per_km.SK.Tr.Road.Passenger.Car.ICE.LPG</t>
  </si>
  <si>
    <t>EMIint.gCO2_per_km.SK.Tr.Road.Passenger.Car.ICE.NGas</t>
  </si>
  <si>
    <t>EMIint.gCO2_per_km.SK.Tr.Road.Passenger.Car.PHEV</t>
  </si>
  <si>
    <t>EMIint.gCO2_per_km.SK.Tr.Road.Passenger.Car.BEV</t>
  </si>
  <si>
    <t>EMIint.gCO2_per_km.SK.Tr.Road.Passenger.Bus</t>
  </si>
  <si>
    <t>EMIint.gCO2_per_km.SK.Tr.Road.Passenger.Bus.ICE.Gasoline</t>
  </si>
  <si>
    <t>EMIint.gCO2_per_km.SK.Tr.Road.Passenger.Bus.ICE.Diesel</t>
  </si>
  <si>
    <t>EMIint.gCO2_per_km.SK.Tr.Road.Passenger.Bus.ICE.LPG</t>
  </si>
  <si>
    <t>EMIint.gCO2_per_km.SK.Tr.Road.Passenger.Bus.ICE.NGas</t>
  </si>
  <si>
    <t>EMIint.gCO2_per_km.SK.Tr.Road.Passenger.Bus.ICE.BEV</t>
  </si>
  <si>
    <t>EMIint.gCO2_per_km.SK.Tr.Road.Freight</t>
  </si>
  <si>
    <t>EMIint.gCO2_per_km.SK.Tr.Road.Freight.LCV</t>
  </si>
  <si>
    <t>EMIint.gCO2_per_km.SK.Tr.Road.Freight.LCV.ICE.Gasoline</t>
  </si>
  <si>
    <t>EMIint.gCO2_per_km.SK.Tr.Road.Freight.LCV.ICE.Diesel</t>
  </si>
  <si>
    <t>EMIint.gCO2_per_km.SK.Tr.Road.Freight.LCV.ICE.LPG</t>
  </si>
  <si>
    <t>EMIint.gCO2_per_km.SK.Tr.Road.Freight.LCV.ICE.NGas</t>
  </si>
  <si>
    <t>EMIint.gCO2_per_km.SK.Tr.Road.Freight.LCV.ICE.BEV</t>
  </si>
  <si>
    <t>EMIint.gCO2_per_km.SK.Tr.Road.Freight.HGV</t>
  </si>
  <si>
    <t>EMIint.gCO2_per_km.SK.Tr.Road.Freight.HGV.Domestic</t>
  </si>
  <si>
    <t>EMIint.gCO2_per_km.SK.Tr.Road.Freight.HGV.International</t>
  </si>
  <si>
    <t>EMIint.gCO2_per_pkm.SK.Tr.Road.Passenger.Car.ICE.Gasoline</t>
  </si>
  <si>
    <t>EMIint.gCO2_per_pkm.SK.Tr.Road.Passenger.Car.ICE.Diesel</t>
  </si>
  <si>
    <t>EMIint.gCO2_per_pkm.SK.Tr.Road.Passenger.Car.ICE.LPG</t>
  </si>
  <si>
    <t>EMIint.gCO2_per_pkm.SK.Tr.Road.Passenger.Car.ICE.NGas</t>
  </si>
  <si>
    <t>EMIint.gCO2_per_pkm.SK.Tr.Road.Passenger.Car.PHEV</t>
  </si>
  <si>
    <t>EMIint.gCO2_per_pkm.SK.Tr.Road.Passenger.Car.BEV</t>
  </si>
  <si>
    <t>EMIint.gCO2_per_pkm.SK.Tr.Road.Passenger.Bus.ICE.Gasoline</t>
  </si>
  <si>
    <t>EMIint.gCO2_per_pkm.SK.Tr.Road.Passenger.Bus.ICE.Diesel</t>
  </si>
  <si>
    <t>EMIint.gCO2_per_pkm.SK.Tr.Road.Passenger.Bus.ICE.LPG</t>
  </si>
  <si>
    <t>EMIint.gCO2_per_pkm.SK.Tr.Road.Passenger.Bus.ICE.NGas</t>
  </si>
  <si>
    <t>EMIint.gCO2_per_pkm.SK.Tr.Road.Passenger.Bus.ICE.BEV</t>
  </si>
  <si>
    <t>EMIint.gCO2_per_tkm.SK.Tr.Road.Freight.LCV.ICE.Gasoline</t>
  </si>
  <si>
    <t>EMIint.gCO2_per_tkm.SK.Tr.Road.Freight.LCV.ICE.Diesel</t>
  </si>
  <si>
    <t>EMIint.gCO2_per_tkm.SK.Tr.Road.Freight.LCV.ICE.LPG</t>
  </si>
  <si>
    <t>EMIint.gCO2_per_tkm.SK.Tr.Road.Freight.LCV.ICE.NGas</t>
  </si>
  <si>
    <t>EMIint.gCO2_per_tkm.SK.Tr.Road.Freight.LCV.ICE.BEV</t>
  </si>
  <si>
    <t>EMIint.gCO2_per_tkm.SK.Tr.Road.Freight.HGV.Domestic</t>
  </si>
  <si>
    <t>EMIint.gCO2_per_tkm.SK.Tr.Road.Freight.HGV.International</t>
  </si>
  <si>
    <t>EMI_per_vehicle.kgCO2.SK.Tr.Road.Passenger.P2W</t>
  </si>
  <si>
    <t>EMI_per_vehicle.kgCO2.SK.Tr.Road.Passenger.Car</t>
  </si>
  <si>
    <t>EMI_per_vehicle.kgCO2.SK.Tr.Road.Passenger.Car.ICE.Gasoline</t>
  </si>
  <si>
    <t>EMI_per_vehicle.kgCO2.SK.Tr.Road.Passenger.Car.ICE.Diesel</t>
  </si>
  <si>
    <t>EMI_per_vehicle.kgCO2.SK.Tr.Road.Passenger.Car.ICE.LPG</t>
  </si>
  <si>
    <t>EMI_per_vehicle.kgCO2.SK.Tr.Road.Passenger.Car.ICE.NGas</t>
  </si>
  <si>
    <t>EMI_per_vehicle.kgCO2.SK.Tr.Road.Passenger.Car.PHEV</t>
  </si>
  <si>
    <t>EMI_per_vehicle.kgCO2.SK.Tr.Road.Passenger.Car.BEV</t>
  </si>
  <si>
    <t>EMI_per_vehicle.kgCO2.SK.Tr.Road.Passenger.Bus</t>
  </si>
  <si>
    <t>EMI_per_vehicle.kgCO2.SK.Tr.Road.Passenger.Bus.ICE.Gasoline</t>
  </si>
  <si>
    <t>EMI_per_vehicle.kgCO2.SK.Tr.Road.Passenger.Bus.ICE.Diesel</t>
  </si>
  <si>
    <t>EMI_per_vehicle.kgCO2.SK.Tr.Road.Passenger.Bus.ICE.LPG</t>
  </si>
  <si>
    <t>EMI_per_vehicle.kgCO2.SK.Tr.Road.Passenger.Bus.ICE.NGas</t>
  </si>
  <si>
    <t>EMI_per_vehicle.kgCO2.SK.Tr.Road.Passenger.Bus.ICE.BEV</t>
  </si>
  <si>
    <t>EMI_per_vehicle.kgCO2.SK.Tr.Road.Freight.LCV</t>
  </si>
  <si>
    <t>EMI_per_vehicle.kgCO2.SK.Tr.Road.Freight.LCV.ICE.Gasoline</t>
  </si>
  <si>
    <t>EMI_per_vehicle.kgCO2.SK.Tr.Road.Freight.LCV.ICE.Diesel</t>
  </si>
  <si>
    <t>EMI_per_vehicle.kgCO2.SK.Tr.Road.Freight.LCV.ICE.LPG</t>
  </si>
  <si>
    <t>EMI_per_vehicle.kgCO2.SK.Tr.Road.Freight.LCV.ICE.NGas</t>
  </si>
  <si>
    <t>EMI_per_vehicle.kgCO2.SK.Tr.Road.Freight.LCV.ICE.BEV</t>
  </si>
  <si>
    <t>EMI_per_vehicle.kgCO2.SK.Tr.Road.Freight.HGV</t>
  </si>
  <si>
    <t>EMI_per_vehicle.kgCO2.SK.Tr.Road.Freight.HGV.Domestic</t>
  </si>
  <si>
    <t>EMI_per_vehicle.kgCO2.SK.Tr.Road.Freight.HGV.International</t>
  </si>
  <si>
    <t>Road transport / technologies - SK - Slovakia</t>
  </si>
  <si>
    <t>StockVin.number.SK.Tr.Road</t>
  </si>
  <si>
    <t>StockVin.number.SK.Tr.Road.Passenger</t>
  </si>
  <si>
    <t>StockVin.number.SK.Tr.Road.Passenger.P2W</t>
  </si>
  <si>
    <t>StockVin.number.SK.Tr.Road.Passenger.Car</t>
  </si>
  <si>
    <t>StockVin.number.SK.Tr.Road.Passenger.Car.ICE.Gasoline</t>
  </si>
  <si>
    <t>StockVin.number.SK.Tr.Road.Passenger.Car.ICE.Diesel</t>
  </si>
  <si>
    <t>StockVin.number.SK.Tr.Road.Passenger.Car.ICE.LPG</t>
  </si>
  <si>
    <t>StockVin.number.SK.Tr.Road.Passenger.Car.ICE.NGas</t>
  </si>
  <si>
    <t>StockVin.number.SK.Tr.Road.Passenger.Car.PHEV</t>
  </si>
  <si>
    <t>StockVin.number.SK.Tr.Road.Passenger.Car.BEV</t>
  </si>
  <si>
    <t>StockVin.number.SK.Tr.Road.Passenger.Bus</t>
  </si>
  <si>
    <t>StockVin.number.SK.Tr.Road.Passenger.Bus.ICE.Gasoline</t>
  </si>
  <si>
    <t>StockVin.number.SK.Tr.Road.Passenger.Bus.ICE.Diesel</t>
  </si>
  <si>
    <t>StockVin.number.SK.Tr.Road.Passenger.Bus.ICE.LPG</t>
  </si>
  <si>
    <t>StockVin.number.SK.Tr.Road.Passenger.Bus.ICE.NGas</t>
  </si>
  <si>
    <t>StockVin.number.SK.Tr.Road.Passenger.Bus.ICE.BEV</t>
  </si>
  <si>
    <t>StockVin.number.SK.Tr.Road.Freight</t>
  </si>
  <si>
    <t>StockVin.number.SK.Tr.Road.Freight.LCV</t>
  </si>
  <si>
    <t>StockVin.number.SK.Tr.Road.Freight.LCV.ICE.Gasoline</t>
  </si>
  <si>
    <t>StockVin.number.SK.Tr.Road.Freight.LCV.ICE.Diesel</t>
  </si>
  <si>
    <t>StockVin.number.SK.Tr.Road.Freight.LCV.ICE.LPG</t>
  </si>
  <si>
    <t>StockVin.number.SK.Tr.Road.Freight.LCV.ICE.NGas</t>
  </si>
  <si>
    <t>StockVin.number.SK.Tr.Road.Freight.LCV.ICE.BEV</t>
  </si>
  <si>
    <t>StockVin.number.SK.Tr.Road.Freight.HGV</t>
  </si>
  <si>
    <t>StockVin.number.SK.Tr.Road.Freight.HGV.Domestic</t>
  </si>
  <si>
    <t>StockVin.number.SK.Tr.Road.Freight.HGV.International</t>
  </si>
  <si>
    <t>Eff_test_stock.kgoe_per_100km.SK.Tr.Road.Passenger.P2W</t>
  </si>
  <si>
    <t>Eff_test_stock.kgoe_per_100km.SK.Tr.Road.Passenger.Car</t>
  </si>
  <si>
    <t>Eff_test_stock.kgoe_per_100km.SK.Tr.Road.Passenger.Car.ICE.Gasoline</t>
  </si>
  <si>
    <t>Eff_test_stock.kgoe_per_100km.SK.Tr.Road.Passenger.Car.ICE.Diesel</t>
  </si>
  <si>
    <t>Eff_test_stock.kgoe_per_100km.SK.Tr.Road.Passenger.Car.ICE.LPG</t>
  </si>
  <si>
    <t>Eff_test_stock.kgoe_per_100km.SK.Tr.Road.Passenger.Car.ICE.NGas</t>
  </si>
  <si>
    <t>Eff_test_stock.kgoe_per_100km.SK.Tr.Road.Passenger.Car.PHEV</t>
  </si>
  <si>
    <t>Eff_test_stock.kgoe_per_100km.SK.Tr.Road.Passenger.Car.BEV</t>
  </si>
  <si>
    <t>Eff_test_stock.kgoe_per_100km.SK.Tr.Road.Passenger.Bus</t>
  </si>
  <si>
    <t>Eff_test_stock.kgoe_per_100km.SK.Tr.Road.Passenger.Bus.ICE.Gasoline</t>
  </si>
  <si>
    <t>Eff_test_stock.kgoe_per_100km.SK.Tr.Road.Passenger.Bus.ICE.Diesel</t>
  </si>
  <si>
    <t>Eff_test_stock.kgoe_per_100km.SK.Tr.Road.Passenger.Bus.ICE.LPG</t>
  </si>
  <si>
    <t>Eff_test_stock.kgoe_per_100km.SK.Tr.Road.Passenger.Bus.ICE.NGas</t>
  </si>
  <si>
    <t>Eff_test_stock.kgoe_per_100km.SK.Tr.Road.Passenger.Bus.ICE.BEV</t>
  </si>
  <si>
    <t>Eff_test_stock.kgoe_per_100km.SK.Tr.Road.Freight.LCV</t>
  </si>
  <si>
    <t>Eff_test_stock.kgoe_per_100km.SK.Tr.Road.Freight.LCV.ICE.Gasoline</t>
  </si>
  <si>
    <t>Eff_test_stock.kgoe_per_100km.SK.Tr.Road.Freight.LCV.ICE.Diesel</t>
  </si>
  <si>
    <t>Eff_test_stock.kgoe_per_100km.SK.Tr.Road.Freight.LCV.ICE.LPG</t>
  </si>
  <si>
    <t>Eff_test_stock.kgoe_per_100km.SK.Tr.Road.Freight.LCV.ICE.NGas</t>
  </si>
  <si>
    <t>Eff_test_stock.kgoe_per_100km.SK.Tr.Road.Freight.LCV.ICE.BEV</t>
  </si>
  <si>
    <t>Eff_test_stock.kgoe_per_100km.SK.Tr.Road.Freight.HGV</t>
  </si>
  <si>
    <t>Eff_test_stock.kgoe_per_100km.SK.Tr.Road.Freight.HGV.Domestic</t>
  </si>
  <si>
    <t>Eff_test_stock.kgoe_per_100km.SK.Tr.Road.Freight.HGV.International</t>
  </si>
  <si>
    <t>Eff_test_new.kgoe_per_100km.SK.Tr.Road.Passenger.P2W</t>
  </si>
  <si>
    <t>Eff_test_new.kgoe_per_100km.SK.Tr.Road.Passenger.Car</t>
  </si>
  <si>
    <t>Eff_test_new.kgoe_per_100km.SK.Tr.Road.Passenger.Car.ICE.Gasoline</t>
  </si>
  <si>
    <t>Eff_test_new.kgoe_per_100km.SK.Tr.Road.Passenger.Car.ICE.Diesel</t>
  </si>
  <si>
    <t>Eff_test_new.kgoe_per_100km.SK.Tr.Road.Passenger.Car.ICE.LPG</t>
  </si>
  <si>
    <t>Eff_test_new.kgoe_per_100km.SK.Tr.Road.Passenger.Car.ICE.NGas</t>
  </si>
  <si>
    <t>Eff_test_new.kgoe_per_100km.SK.Tr.Road.Passenger.Car.PHEV</t>
  </si>
  <si>
    <t>Eff_test_new.kgoe_per_100km.SK.Tr.Road.Passenger.Car.BEV</t>
  </si>
  <si>
    <t>Eff_test_new.kgoe_per_100km.SK.Tr.Road.Passenger.Bus</t>
  </si>
  <si>
    <t>Eff_test_new.kgoe_per_100km.SK.Tr.Road.Passenger.Bus.ICE.Gasoline</t>
  </si>
  <si>
    <t>Eff_test_new.kgoe_per_100km.SK.Tr.Road.Passenger.Bus.ICE.Diesel</t>
  </si>
  <si>
    <t>Eff_test_new.kgoe_per_100km.SK.Tr.Road.Passenger.Bus.ICE.LPG</t>
  </si>
  <si>
    <t>Eff_test_new.kgoe_per_100km.SK.Tr.Road.Passenger.Bus.ICE.NGas</t>
  </si>
  <si>
    <t>Eff_test_new.kgoe_per_100km.SK.Tr.Road.Passenger.Bus.ICE.BEV</t>
  </si>
  <si>
    <t>Eff_test_new.kgoe_per_100km.SK.Tr.Road.Freight.LCV</t>
  </si>
  <si>
    <t>Eff_test_new.kgoe_per_100km.SK.Tr.Road.Freight.LCV.ICE.Gasoline</t>
  </si>
  <si>
    <t>Eff_test_new.kgoe_per_100km.SK.Tr.Road.Freight.LCV.ICE.Diesel</t>
  </si>
  <si>
    <t>Eff_test_new.kgoe_per_100km.SK.Tr.Road.Freight.LCV.ICE.LPG</t>
  </si>
  <si>
    <t>Eff_test_new.kgoe_per_100km.SK.Tr.Road.Freight.LCV.ICE.NGas</t>
  </si>
  <si>
    <t>Eff_test_new.kgoe_per_100km.SK.Tr.Road.Freight.LCV.ICE.BEV</t>
  </si>
  <si>
    <t>Eff_test_new.kgoe_per_100km.SK.Tr.Road.Freight.HGV</t>
  </si>
  <si>
    <t>Eff_test_new.kgoe_per_100km.SK.Tr.Road.Freight.HGV.Domestic</t>
  </si>
  <si>
    <t>Eff_test_new.kgoe_per_100km.SK.Tr.Road.Freight.HGV.International</t>
  </si>
  <si>
    <t>EMIint_test_stock.gCO2_per_km.SK.Tr.Road.Passenger.P2W</t>
  </si>
  <si>
    <t>EMIint_test_stock.gCO2_per_km.SK.Tr.Road.Passenger.Car</t>
  </si>
  <si>
    <t>EMIint_test_stock.gCO2_per_km.SK.Tr.Road.Passenger.Car.ICE.Gasoline</t>
  </si>
  <si>
    <t>EMIint_test_stock.gCO2_per_km.SK.Tr.Road.Passenger.Car.ICE.Diesel</t>
  </si>
  <si>
    <t>EMIint_test_stock.gCO2_per_km.SK.Tr.Road.Passenger.Car.ICE.LPG</t>
  </si>
  <si>
    <t>EMIint_test_stock.gCO2_per_km.SK.Tr.Road.Passenger.Car.ICE.NGas</t>
  </si>
  <si>
    <t>EMIint_test_stock.gCO2_per_km.SK.Tr.Road.Passenger.Car.PHEV</t>
  </si>
  <si>
    <t>EMIint_test_stock.gCO2_per_km.SK.Tr.Road.Passenger.Car.BEV</t>
  </si>
  <si>
    <t>EMIint_test_stock.gCO2_per_km.SK.Tr.Road.Passenger.Bus</t>
  </si>
  <si>
    <t>EMIint_test_stock.gCO2_per_km.SK.Tr.Road.Passenger.Bus.ICE.Gasoline</t>
  </si>
  <si>
    <t>EMIint_test_stock.gCO2_per_km.SK.Tr.Road.Passenger.Bus.ICE.Diesel</t>
  </si>
  <si>
    <t>EMIint_test_stock.gCO2_per_km.SK.Tr.Road.Passenger.Bus.ICE.LPG</t>
  </si>
  <si>
    <t>EMIint_test_stock.gCO2_per_km.SK.Tr.Road.Passenger.Bus.ICE.NGas</t>
  </si>
  <si>
    <t>EMIint_test_stock.gCO2_per_km.SK.Tr.Road.Passenger.Bus.ICE.BEV</t>
  </si>
  <si>
    <t>EMIint_test_stock.gCO2_per_km.SK.Tr.Road.Freight.LCV</t>
  </si>
  <si>
    <t>EMIint_test_stock.gCO2_per_km.SK.Tr.Road.Freight.LCV.ICE.Gasoline</t>
  </si>
  <si>
    <t>EMIint_test_stock.gCO2_per_km.SK.Tr.Road.Freight.LCV.ICE.Diesel</t>
  </si>
  <si>
    <t>EMIint_test_stock.gCO2_per_km.SK.Tr.Road.Freight.LCV.ICE.LPG</t>
  </si>
  <si>
    <t>EMIint_test_stock.gCO2_per_km.SK.Tr.Road.Freight.LCV.ICE.NGas</t>
  </si>
  <si>
    <t>EMIint_test_stock.gCO2_per_km.SK.Tr.Road.Freight.LCV.ICE.BEV</t>
  </si>
  <si>
    <t>EMIint_test_stock.gCO2_per_km.SK.Tr.Road.Freight.HGV</t>
  </si>
  <si>
    <t>EMIint_test_stock.gCO2_per_km.SK.Tr.Road.Freight.HGV.Domestic</t>
  </si>
  <si>
    <t>EMIint_test_stock.gCO2_per_km.SK.Tr.Road.Freight.HGV.International</t>
  </si>
  <si>
    <t>EMIint_test_new.gCO2_per_km.SK.Tr.Road.Passenger.P2W</t>
  </si>
  <si>
    <t>EMIint_test_new.gCO2_per_km.SK.Tr.Road.Passenger.Car</t>
  </si>
  <si>
    <t>EMIint_test_new.gCO2_per_km.SK.Tr.Road.Passenger.Car.ICE.Gasoline</t>
  </si>
  <si>
    <t>EMIint_test_new.gCO2_per_km.SK.Tr.Road.Passenger.Car.ICE.Diesel</t>
  </si>
  <si>
    <t>EMIint_test_new.gCO2_per_km.SK.Tr.Road.Passenger.Car.ICE.LPG</t>
  </si>
  <si>
    <t>EMIint_test_new.gCO2_per_km.SK.Tr.Road.Passenger.Car.ICE.NGas</t>
  </si>
  <si>
    <t>EMIint_test_new.gCO2_per_km.SK.Tr.Road.Passenger.Car.PHEV</t>
  </si>
  <si>
    <t>EMIint_test_new.gCO2_per_km.SK.Tr.Road.Passenger.Car.BEV</t>
  </si>
  <si>
    <t>EMIint_test_new.gCO2_per_km.SK.Tr.Road.Passenger.Bus</t>
  </si>
  <si>
    <t>EMIint_test_new.gCO2_per_km.SK.Tr.Road.Passenger.Bus.ICE.Gasoline</t>
  </si>
  <si>
    <t>EMIint_test_new.gCO2_per_km.SK.Tr.Road.Passenger.Bus.ICE.Diesel</t>
  </si>
  <si>
    <t>EMIint_test_new.gCO2_per_km.SK.Tr.Road.Passenger.Bus.ICE.LPG</t>
  </si>
  <si>
    <t>EMIint_test_new.gCO2_per_km.SK.Tr.Road.Passenger.Bus.ICE.NGas</t>
  </si>
  <si>
    <t>EMIint_test_new.gCO2_per_km.SK.Tr.Road.Passenger.Bus.ICE.BEV</t>
  </si>
  <si>
    <t>EMIint_test_new.gCO2_per_km.SK.Tr.Road.Freight.LCV</t>
  </si>
  <si>
    <t>EMIint_test_new.gCO2_per_km.SK.Tr.Road.Freight.LCV.ICE.Gasoline</t>
  </si>
  <si>
    <t>EMIint_test_new.gCO2_per_km.SK.Tr.Road.Freight.LCV.ICE.Diesel</t>
  </si>
  <si>
    <t>EMIint_test_new.gCO2_per_km.SK.Tr.Road.Freight.LCV.ICE.LPG</t>
  </si>
  <si>
    <t>EMIint_test_new.gCO2_per_km.SK.Tr.Road.Freight.LCV.ICE.NGas</t>
  </si>
  <si>
    <t>EMIint_test_new.gCO2_per_km.SK.Tr.Road.Freight.LCV.ICE.BEV</t>
  </si>
  <si>
    <t>EMIint_test_new.gCO2_per_km.SK.Tr.Road.Freight.HGV</t>
  </si>
  <si>
    <t>EMIint_test_new.gCO2_per_km.SK.Tr.Road.Freight.HGV.Domestic</t>
  </si>
  <si>
    <t>EMIint_test_new.gCO2_per_km.SK.Tr.Road.Freight.HGV.International</t>
  </si>
  <si>
    <t>FEC.ktoe.SK.MBunk</t>
  </si>
  <si>
    <t>FEC.ktoe.SK.MBunk.IntraEEA</t>
  </si>
  <si>
    <t>FEC.ktoe.SK.MBunk.ExtraEEA</t>
  </si>
  <si>
    <t>EMI.ktCO2.SK.MBunk</t>
  </si>
  <si>
    <t>EMI.ktCO2.SK.MBunk.IntraEEA</t>
  </si>
  <si>
    <t>EMI.ktCO2.SK.MBunk.ExtraEEA</t>
  </si>
  <si>
    <t>International maritime bunkers - SK - Slovakia</t>
  </si>
  <si>
    <t>VehicleKm.Mkm.SK.MBunk.Freight</t>
  </si>
  <si>
    <t>VehicleKm.Mkm.SK.MBunk.Freight.IntraEEA</t>
  </si>
  <si>
    <t>VehicleKm.Mkm.SK.MBunk.Freight.ExtraEEA</t>
  </si>
  <si>
    <t>Load.t_per_movement.SK.MBunk.Freight</t>
  </si>
  <si>
    <t>Load.t_per_movement.SK.MBunk.Freight.IntraEEA</t>
  </si>
  <si>
    <t>Load.t_per_movement.SK.MBunk.Freight.ExtraEEA</t>
  </si>
  <si>
    <t>International maritime bunkers / energy consumption - SK - Slovakia</t>
  </si>
  <si>
    <t>FEC.ktoe.SK.ES.MBunk</t>
  </si>
  <si>
    <t>FEC.ktoe.SK.ES.MBunk.IntraEEA</t>
  </si>
  <si>
    <t>FEC.ktoe.SK.ES.MBunk.IntraEEA.Diesel</t>
  </si>
  <si>
    <t>FEC.ktoe.SK.ES.MBunk.IntraEEA.RFO_Other</t>
  </si>
  <si>
    <t>FEC.ktoe.SK.ES.MBunk.IntraEEA.LiqBio</t>
  </si>
  <si>
    <t>FEC.ktoe.SK.ES.MBunk.IntraEEA.NG</t>
  </si>
  <si>
    <t>FEC.ktoe.SK.ES.MBunk.IntraEEA.Biogas</t>
  </si>
  <si>
    <t>FEC.ktoe.SK.ES.MBunk.ExtraEEA</t>
  </si>
  <si>
    <t>FEC.ktoe.SK.ES.MBunk.ExtraEEA.Diesel</t>
  </si>
  <si>
    <t>FEC.ktoe.SK.ES.MBunk.ExtraEEA.RFO_Other</t>
  </si>
  <si>
    <t>FEC.ktoe.SK.ES.MBunk.ExtraEEA.LiqBio</t>
  </si>
  <si>
    <t>FEC.ktoe.SK.ES.MBunk.ExtraEEA.NG</t>
  </si>
  <si>
    <t>FEC.ktoe.SK.ES.MBunk.ExtraEEA.Biogas</t>
  </si>
  <si>
    <t>Eff.kgoe_per_100km.SK.MBunk.Freight</t>
  </si>
  <si>
    <t>Eff.kgoe_per_100km.SK.MBunk.Freight.IntraEEA</t>
  </si>
  <si>
    <t>Eff.kgoe_per_100km.SK.MBunk.Freight.ExtraEEA</t>
  </si>
  <si>
    <t>International maritime bunkers / CO2 emissions - SK - Slovakia</t>
  </si>
  <si>
    <t>EMI.ktCO2.SK.ES.MBunk</t>
  </si>
  <si>
    <t>EMI.ktCO2.SK.ES.MBunk.IntraEEA</t>
  </si>
  <si>
    <t>EMI.ktCO2.SK.ES.MBunk.ExtraEEA</t>
  </si>
  <si>
    <t>EMIint.gCO2_per_km.SK.MBunk.Freight</t>
  </si>
  <si>
    <t>EMIint.gCO2_per_km.SK.MBunk.Freight.IntraEEA</t>
  </si>
  <si>
    <t>EMIint.gCO2_per_km.SK.MBunk.Freight.ExtraEEA</t>
  </si>
  <si>
    <t>FEC.ktoe.SK.Tr.DNavi</t>
  </si>
  <si>
    <t>FEC.ktoe.SK.Tr.Dnavi.DCS</t>
  </si>
  <si>
    <t>FEC.ktoe.SK.Tr.Dnavi.IWW</t>
  </si>
  <si>
    <t>EMI.ktCO2.SK.Tr.DNavi</t>
  </si>
  <si>
    <t>EMI.ktCO2.SK.Tr.Dnavi.DCS</t>
  </si>
  <si>
    <t>EMI.ktCO2.SK.Tr.Dnavi.IWW</t>
  </si>
  <si>
    <t>Domestic navigation - SK - Slovakia</t>
  </si>
  <si>
    <t>VehicleKm.Mkm.SK.Tr.DNavi.Freight</t>
  </si>
  <si>
    <t>VehicleKm.Mkm.SK.Tr.DNavi.Freight.DCS</t>
  </si>
  <si>
    <t>VehicleKm.Mkm.SK.Tr.DNavi.Freight.IWW</t>
  </si>
  <si>
    <t>Load.t_per_movement.SK.Tr.DNavi.Freight</t>
  </si>
  <si>
    <t>Load.t_per_movement.SK.Tr.DNavi.Freight.DCS</t>
  </si>
  <si>
    <t>Load.t_per_movement.SK.Tr.DNavi.Freight.IWW</t>
  </si>
  <si>
    <t>Domestic navigation / energy consumption - SK - Slovakia</t>
  </si>
  <si>
    <t>FEC.ktoe.SK.ES.Tr.DNavi</t>
  </si>
  <si>
    <t>FEC.ktoe.SK.ES.Tr.DNavi.DCS</t>
  </si>
  <si>
    <t>FEC.ktoe.SK.ES.Tr.DNavi.DCS.Diesel</t>
  </si>
  <si>
    <t>FEC.ktoe.SK.ES.Tr.DNavi.DCS.RFO_Other</t>
  </si>
  <si>
    <t>FEC.ktoe.SK.ES.Tr.DNavi.DCS.LiqBio</t>
  </si>
  <si>
    <t>FEC.ktoe.SK.ES.Tr.DNavi.DCS.NG</t>
  </si>
  <si>
    <t>FEC.ktoe.SK.ES.Tr.DNavi.DCS.Biogas</t>
  </si>
  <si>
    <t>FEC.ktoe.SK.ES.Tr.DNavi.IWW</t>
  </si>
  <si>
    <t>FEC.ktoe.SK.ES.Tr.DNavi.IWW.Diesel</t>
  </si>
  <si>
    <t>FEC.ktoe.SK.ES.Tr.DNavi.IWW.RFO_Other</t>
  </si>
  <si>
    <t>FEC.ktoe.SK.ES.Tr.DNavi.IWW.LiqBio</t>
  </si>
  <si>
    <t>FEC.ktoe.SK.ES.Tr.DNavi.IWW.NG</t>
  </si>
  <si>
    <t>FEC.ktoe.SK.ES.Tr.DNavi.IWW.Biogas</t>
  </si>
  <si>
    <t>Eff.kgoe_per_100km.SK.Tr.DNavi.Freight</t>
  </si>
  <si>
    <t>Eff.kgoe_per_100km.SK.Tr.DNavi.Freight.DCS</t>
  </si>
  <si>
    <t>Eff.kgoe_per_100km.SK.Tr.DNavi.Freight.IWW</t>
  </si>
  <si>
    <t>Domestic navigation / CO2 emissions - SK - Slovakia</t>
  </si>
  <si>
    <t>EMI.ktCO2.SK.ES.Tr.DNavi</t>
  </si>
  <si>
    <t>EMI.ktCO2.SK.ES.Tr.DNavi.DCS</t>
  </si>
  <si>
    <t>EMI.ktCO2.SK.ES.Tr.DNavi.IWW</t>
  </si>
  <si>
    <t>EMIint.gCO2_per_km.SK.Tr.DNavi.Freight</t>
  </si>
  <si>
    <t>EMIint.gCO2_per_km.SK.Tr.DNavi.Freight.DCS</t>
  </si>
  <si>
    <t>EMIint.gCO2_per_km.SK.Tr.DNavi.Freight.IWW</t>
  </si>
  <si>
    <t>Rail, metro and tram - SK - Slovakia</t>
  </si>
  <si>
    <t>Activity.Mpkm.SK.Tr.Rail.Passenger.CPT.Diesel</t>
  </si>
  <si>
    <t>Activity.Mpkm.SK.Tr.Rail.Passenger.CPT.Elc</t>
  </si>
  <si>
    <t>Activity.Mtkm.SK.Tr.Rail.Freight.Diesel</t>
  </si>
  <si>
    <t>Activity.Mtkm.SK.Tr.Rail.Freight.Elc</t>
  </si>
  <si>
    <t>VehicleKm.Mkm.SK.Tr.Rail</t>
  </si>
  <si>
    <t>VehicleKm.Mkm.SK.Tr.Rail.Passenger</t>
  </si>
  <si>
    <t>VehicleKm.Mkm.SK.Tr.Rail.Passenger.MTU</t>
  </si>
  <si>
    <t>VehicleKm.Mkm.SK.Tr.Rail.Passenger.CPT</t>
  </si>
  <si>
    <t>VehicleKm.Mkm.SK.Tr.Rail.Passenger.CPT.Diesel</t>
  </si>
  <si>
    <t>VehicleKm.Mkm.SK.Tr.Rail.Passenger.CPT.Elc</t>
  </si>
  <si>
    <t>VehicleKm.Mkm.SK.Tr.Rail.Passenger.HST</t>
  </si>
  <si>
    <t>VehicleKm.Mkm.SK.Tr.Rail.Freight</t>
  </si>
  <si>
    <t>VehicleKm.Mkm.SK.Tr.Rail.Freight.Diesel</t>
  </si>
  <si>
    <t>VehicleKm.Mkm.SK.Tr.Rail.Freight.Elc</t>
  </si>
  <si>
    <t>Stock.number.SK.Tr.Rail</t>
  </si>
  <si>
    <t>Stock.number.SK.Tr.Rail.Passenger</t>
  </si>
  <si>
    <t>Stock.number.SK.Tr.Rail.Passenger.MTU</t>
  </si>
  <si>
    <t>Stock.number.SK.Tr.Rail.Passenger.CPT</t>
  </si>
  <si>
    <t>Stock.number.SK.Tr.Rail.Passenger.CPT.Diesel</t>
  </si>
  <si>
    <t>Stock.number.SK.Tr.Rail.Passenger.CPT.Elc</t>
  </si>
  <si>
    <t>Stock.number.SK.Tr.Rail.Passenger.HST</t>
  </si>
  <si>
    <t>Stock.number.SK.Tr.Rail.Freight</t>
  </si>
  <si>
    <t>Stock.number.SK.Tr.Rail.Freight.Diesel</t>
  </si>
  <si>
    <t>Stock.number.SK.Tr.Rail.Freight.Elc</t>
  </si>
  <si>
    <t>StockNew.number.SK.Tr.Rail</t>
  </si>
  <si>
    <t>StockNew.number.SK.Tr.Rail.Passenger</t>
  </si>
  <si>
    <t>StockNew.number.SK.Tr.Rail.Passenger.MTU</t>
  </si>
  <si>
    <t>StockNew.number.SK.Tr.Rail.Passenger.CPT</t>
  </si>
  <si>
    <t>StockNew.number.SK.Tr.Rail.Passenger.CPT.Diesel</t>
  </si>
  <si>
    <t>StockNew.number.SK.Tr.Rail.Passenger.CPT.Elc</t>
  </si>
  <si>
    <t>StockNew.number.SK.Tr.Rail.Passenger.HST</t>
  </si>
  <si>
    <t>StockNew.number.SK.Tr.Rail.Freight</t>
  </si>
  <si>
    <t>StockNew.number.SK.Tr.Rail.Freight.Diesel</t>
  </si>
  <si>
    <t>StockNew.number.SK.Tr.Rail.Freight.Elc</t>
  </si>
  <si>
    <t>Load.passenger_per_movement.SK.Tr.Rail.Passenger</t>
  </si>
  <si>
    <t>Load.passenger_per_movement.SK.Tr.Rail.Passenger.MTU</t>
  </si>
  <si>
    <t>Load.passenger_per_movement.SK.Tr.Rail.Passenger.CPT</t>
  </si>
  <si>
    <t>Load.passenger_per_movement.SK.Tr.Rail.Passenger.CPT.Diesel</t>
  </si>
  <si>
    <t>Load.passenger_per_movement.SK.Tr.Rail.Passenger.CPT.Elc</t>
  </si>
  <si>
    <t>Load.passenger_per_movement.SK.Tr.Rail.Passenger.HST</t>
  </si>
  <si>
    <t>Load.t_per_movement.SK.Tr.Rail.Freight</t>
  </si>
  <si>
    <t>Load.t_per_movement.SK.Tr.Rail.Freight.Diesel</t>
  </si>
  <si>
    <t>Load.t_per_movement.SK.Tr.Rail.Freight.Elc</t>
  </si>
  <si>
    <t>TrCap.seats.SK.Tr.Rail.Passenger</t>
  </si>
  <si>
    <t>TrCap.seats.SK.Tr.Rail.Passenger.MTU</t>
  </si>
  <si>
    <t>TrCap.seats.SK.Tr.Rail.Passenger.CPT</t>
  </si>
  <si>
    <t>TrCap.seats.SK.Tr.Rail.Passenger.CPT.Diesel</t>
  </si>
  <si>
    <t>TrCap.seats.SK.Tr.Rail.Passenger.CPT.Elc</t>
  </si>
  <si>
    <t>TrCap.seats.SK.Tr.Rail.Passenger.HST</t>
  </si>
  <si>
    <t>TrCap.t.SK.Tr.Rail.Freight</t>
  </si>
  <si>
    <t>TrCap.t.SK.Tr.Rail.Freight.Diesel</t>
  </si>
  <si>
    <t>TrCap.t.SK.Tr.Rail.Freight.Elc</t>
  </si>
  <si>
    <t>VehicleKm_per_vehicle.km.SK.Tr.Rail</t>
  </si>
  <si>
    <t>VehicleKm_per_vehicle.km.SK.Tr.Rail.Passenger</t>
  </si>
  <si>
    <t>VehicleKm_per_vehicle.km.SK.Tr.Rail.Passenger.MTU</t>
  </si>
  <si>
    <t>VehicleKm_per_vehicle.km.SK.Tr.Rail.Passenger.CPT</t>
  </si>
  <si>
    <t>VehicleKm_per_vehicle.km.SK.Tr.Rail.Passenger.CPT.Diesel</t>
  </si>
  <si>
    <t>VehicleKm_per_vehicle.km.SK.Tr.Rail.Passenger.CPT.Elc</t>
  </si>
  <si>
    <t>VehicleKm_per_vehicle.km.SK.Tr.Rail.Passenger.HST</t>
  </si>
  <si>
    <t>VehicleKm_per_vehicle.km.SK.Tr.Rail.Freight</t>
  </si>
  <si>
    <t>VehicleKm_per_vehicle.km.SK.Tr.Rail.Freight.Diesel</t>
  </si>
  <si>
    <t>VehicleKm_per_vehicle.km.SK.Tr.Rail.Freight.Elc</t>
  </si>
  <si>
    <t>Activity_per_vehicle.pkm.SK.Tr.Rail.Passenger</t>
  </si>
  <si>
    <t>Activity_per_vehicle.pkm.SK.Tr.Rail.Passenger.MTU</t>
  </si>
  <si>
    <t>Activity_per_vehicle.pkm.SK.Tr.Rail.Passenger.CPT</t>
  </si>
  <si>
    <t>Activity_per_vehicle.pkm.SK.Tr.Rail.Passenger.CPT.Diesel</t>
  </si>
  <si>
    <t>Activity_per_vehicle.pkm.SK.Tr.Rail.Passenger.CPT.Elc</t>
  </si>
  <si>
    <t>Activity_per_vehicle.pkm.SK.Tr.Rail.Passenger.HST</t>
  </si>
  <si>
    <t>Activity_per_vehicle.tkm.SK.Tr.Rail.Freight</t>
  </si>
  <si>
    <t>Activity_per_vehicle.tkm.SK.Tr.Rail.Freight.Diesel</t>
  </si>
  <si>
    <t>Activity_per_vehicle.tkm.SK.Tr.Rail.Freight.Elc</t>
  </si>
  <si>
    <t>Rail, metro and tram / energy consumption - SK - Slovakia</t>
  </si>
  <si>
    <t>FEC.ktoe.SK.ES.Tr.Rail</t>
  </si>
  <si>
    <t>FEC.ktoe.SK.ES.Tr.Rail.Diesel</t>
  </si>
  <si>
    <t>FEC.ktoe.SK.ES.Tr.Rail.LiqBio</t>
  </si>
  <si>
    <t>FEC.ktoe.SK.ES.Tr.Rail.Elec</t>
  </si>
  <si>
    <t>FEC.ktoe.SK.Tr.Rail</t>
  </si>
  <si>
    <t>FEC.ktoe.SK.Tr.Rail.Passenger.CPT.Diesel</t>
  </si>
  <si>
    <t>FEC.ktoe.SK.Tr.Rail.Passenger.CPT.Elc</t>
  </si>
  <si>
    <t>FEC.ktoe.SK.Tr.Rail.Freight.Diesel</t>
  </si>
  <si>
    <t>FEC.ktoe.SK.Tr.Rail.Freight.Elc</t>
  </si>
  <si>
    <t>Eff.kgoe_per_100km.SK.Tr.Rail</t>
  </si>
  <si>
    <t>Eff.kgoe_per_100km.SK.Tr.Rail.Passenger</t>
  </si>
  <si>
    <t>Eff.kgoe_per_100km.SK.Tr.Rail.Passenger.MTU</t>
  </si>
  <si>
    <t>Eff.kgoe_per_100km.SK.Tr.Rail.Passenger.CPT</t>
  </si>
  <si>
    <t>Eff.kgoe_per_100km.SK.Tr.Rail.Passenger.CPT.Diesel</t>
  </si>
  <si>
    <t>Eff.kgoe_per_100km.SK.Tr.Rail.Passenger.CPT.Elc</t>
  </si>
  <si>
    <t>Eff.kgoe_per_100km.SK.Tr.Rail.Passenger.HST</t>
  </si>
  <si>
    <t>Eff.kgoe_per_100km.SK.Tr.Rail.Freight</t>
  </si>
  <si>
    <t>Eff.kgoe_per_100km.SK.Tr.Rail.Freight.Diesel</t>
  </si>
  <si>
    <t>Eff.kgoe_per_100km.SK.Tr.Rail.Freight.Elc</t>
  </si>
  <si>
    <t>Eff.kgoe_per_kpkm.SK.Tr.Rail.Passenger.CPT.Diesel</t>
  </si>
  <si>
    <t>Eff.kgoe_per_kpkm.SK.Tr.Rail.Passenger.CPT.Elc</t>
  </si>
  <si>
    <t>Eff.kgoe_per_ktkm.SK.Tr.Rail.Freight.Diesel</t>
  </si>
  <si>
    <t>Eff.kgoe_per_ktkm.SK.Tr.Rail.Freight.Elc</t>
  </si>
  <si>
    <t>FEC_per_vehicle.kgoe.SK.Tr.Rail</t>
  </si>
  <si>
    <t>FEC_per_vehicle.kgoe.SK.Tr.Rail.Passenger</t>
  </si>
  <si>
    <t>FEC_per_vehicle.kgoe.SK.Tr.Rail.Passenger.MTU</t>
  </si>
  <si>
    <t>FEC_per_vehicle.kgoe.SK.Tr.Rail.Passenger.CPT</t>
  </si>
  <si>
    <t>FEC_per_vehicle.kgoe.SK.Tr.Rail.Passenger.CPT.Diesel</t>
  </si>
  <si>
    <t>FEC_per_vehicle.kgoe.SK.Tr.Rail.Passenger.CPT.Elc</t>
  </si>
  <si>
    <t>FEC_per_vehicle.kgoe.SK.Tr.Rail.Passenger.HST</t>
  </si>
  <si>
    <t>FEC_per_vehicle.kgoe.SK.Tr.Rail.Freight</t>
  </si>
  <si>
    <t>FEC_per_vehicle.kgoe.SK.Tr.Rail.Freight.Diesel</t>
  </si>
  <si>
    <t>FEC_per_vehicle.kgoe.SK.Tr.Rail.Freight.Elc</t>
  </si>
  <si>
    <t>Rail, metro and tram / CO2 emissions - SK - Slovakia</t>
  </si>
  <si>
    <t>EMI.ktCO2.SK.ES.Tr.Rail</t>
  </si>
  <si>
    <t>EMI.ktCO2.SK.ES.Tr.Rail.Diesel</t>
  </si>
  <si>
    <t>EMI.ktCO2.SK.ES.Tr.Rail.Elec</t>
  </si>
  <si>
    <t>EMI.ktCO2.SK.Tr.Rail</t>
  </si>
  <si>
    <t>EMI.ktCO2.SK.Tr.Rail.Passenger.CPT.Diesel</t>
  </si>
  <si>
    <t>EMI.ktCO2.SK.Tr.Rail.Passenger.CPT.Elc</t>
  </si>
  <si>
    <t>EMI.ktCO2.SK.Tr.Rail.Freight.Diesel</t>
  </si>
  <si>
    <t>EMI.ktCO2.SK.Tr.Rail.Freight.Elc</t>
  </si>
  <si>
    <t>EMIint.gCO2_per_km.SK.Tr.Rail</t>
  </si>
  <si>
    <t>EMIint.gCO2_per_km.SK.Tr.Rail.Passenger</t>
  </si>
  <si>
    <t>EMIint.gCO2_per_km.SK.Tr.Rail.Passenger.MTU</t>
  </si>
  <si>
    <t>EMIint.gCO2_per_km.SK.Tr.Rail.Passenger.CPT</t>
  </si>
  <si>
    <t>EMIint.gCO2_per_km.SK.Tr.Rail.Passenger.CPT.Diesel</t>
  </si>
  <si>
    <t>EMIint.gCO2_per_km.SK.Tr.Rail.Passenger.CPT.Elc</t>
  </si>
  <si>
    <t>EMIint.gCO2_per_km.SK.Tr.Rail.Passenger.HST</t>
  </si>
  <si>
    <t>EMIint.gCO2_per_km.SK.Tr.Rail.Freight</t>
  </si>
  <si>
    <t>EMIint.gCO2_per_km.SK.Tr.Rail.Freight.Diesel</t>
  </si>
  <si>
    <t>EMIint.gCO2_per_km.SK.Tr.Rail.Freight.Elc</t>
  </si>
  <si>
    <t>EMIint.gCO2_per_pkm.SK.Tr.Rail.Passenger.CPT.Diesel</t>
  </si>
  <si>
    <t>EMIint.gCO2_per_pkm.SK.Tr.Rail.Passenger.CPT.Elc</t>
  </si>
  <si>
    <t>EMIint.gCO2_per_tkm.SK.Tr.Rail.Freight.Diesel</t>
  </si>
  <si>
    <t>EMIint.gCO2_per_tkm.SK.Tr.Rail.Freight.Elc</t>
  </si>
  <si>
    <t>EMI_per_vehicle.tCO2.SK.Tr.Rail</t>
  </si>
  <si>
    <t>EMI_per_vehicle.tCO2.SK.Tr.Rail.Passenger</t>
  </si>
  <si>
    <t>EMI_per_vehicle.tCO2.SK.Tr.Rail.Passenger.MTU</t>
  </si>
  <si>
    <t>EMI_per_vehicle.tCO2.SK.Tr.Rail.Passenger.CPT</t>
  </si>
  <si>
    <t>EMI_per_vehicle.tCO2.SK.Tr.Rail.Passenger.CPT.Diesel</t>
  </si>
  <si>
    <t>EMI_per_vehicle.tCO2.SK.Tr.Rail.Passenger.CPT.Elc</t>
  </si>
  <si>
    <t>EMI_per_vehicle.tCO2.SK.Tr.Rail.Passenger.HST</t>
  </si>
  <si>
    <t>EMI_per_vehicle.tCO2.SK.Tr.Rail.Freight</t>
  </si>
  <si>
    <t>EMI_per_vehicle.tCO2.SK.Tr.Rail.Freight.Diesel</t>
  </si>
  <si>
    <t>EMI_per_vehicle.tCO2.SK.Tr.Rail.Freight.Elc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</si>
</sst>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45432.789386574077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36912.755325610866</v>
      </c>
      <c r="C4" s="28">
        <f t="shared" si="0"/>
        <v>36971.079788838353</v>
      </c>
      <c r="D4" s="28">
        <f t="shared" si="0"/>
        <v>37867.326131710557</v>
      </c>
      <c r="E4" s="28">
        <f t="shared" si="0"/>
        <v>37499.913564708382</v>
      </c>
      <c r="F4" s="28">
        <f t="shared" si="0"/>
        <v>38058.893650064034</v>
      </c>
      <c r="G4" s="28">
        <f t="shared" si="0"/>
        <v>38368.397251763243</v>
      </c>
      <c r="H4" s="28">
        <f t="shared" si="0"/>
        <v>39149.820175511064</v>
      </c>
      <c r="I4" s="28">
        <f t="shared" si="0"/>
        <v>38800.096975887274</v>
      </c>
      <c r="J4" s="28">
        <f t="shared" si="0"/>
        <v>38326.818460044189</v>
      </c>
      <c r="K4" s="28">
        <f t="shared" si="0"/>
        <v>35713.333953384375</v>
      </c>
      <c r="L4" s="28">
        <f t="shared" si="0"/>
        <v>36146.407622810271</v>
      </c>
      <c r="M4" s="28">
        <f t="shared" si="0"/>
        <v>36523.65090719342</v>
      </c>
      <c r="N4" s="28">
        <f t="shared" si="0"/>
        <v>36351.620482017184</v>
      </c>
      <c r="O4" s="28">
        <f t="shared" si="0"/>
        <v>36342.52230497339</v>
      </c>
      <c r="P4" s="28">
        <f t="shared" si="0"/>
        <v>36725.160464369335</v>
      </c>
      <c r="Q4" s="28">
        <f t="shared" si="0"/>
        <v>38026.196789090951</v>
      </c>
      <c r="R4" s="28">
        <f t="shared" ref="R4:V4" si="1">R5+R9+R13</f>
        <v>39116.625248999917</v>
      </c>
      <c r="S4" s="28">
        <f t="shared" si="1"/>
        <v>39903.248651191912</v>
      </c>
      <c r="T4" s="28">
        <f t="shared" si="1"/>
        <v>40874.426544015019</v>
      </c>
      <c r="U4" s="28">
        <f t="shared" si="1"/>
        <v>41183.96294994092</v>
      </c>
      <c r="V4" s="28">
        <f t="shared" si="1"/>
        <v>31329.834003933323</v>
      </c>
      <c r="W4" s="28">
        <f t="shared" ref="W4" si="2">W5+W9+W13</f>
        <v>32556.330670076481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33306.615452639082</v>
      </c>
      <c r="C5" s="137">
        <f t="shared" si="3"/>
        <v>33365.169997701094</v>
      </c>
      <c r="D5" s="137">
        <f t="shared" si="3"/>
        <v>34282.402514893249</v>
      </c>
      <c r="E5" s="137">
        <f t="shared" si="3"/>
        <v>34054.610617788421</v>
      </c>
      <c r="F5" s="137">
        <f t="shared" si="3"/>
        <v>34241.538820873175</v>
      </c>
      <c r="G5" s="137">
        <f t="shared" si="3"/>
        <v>34427.168282080565</v>
      </c>
      <c r="H5" s="137">
        <f t="shared" si="3"/>
        <v>35093.375804088457</v>
      </c>
      <c r="I5" s="137">
        <f t="shared" si="3"/>
        <v>34720.401627257597</v>
      </c>
      <c r="J5" s="137">
        <f t="shared" si="3"/>
        <v>33924.710403967227</v>
      </c>
      <c r="K5" s="137">
        <f t="shared" si="3"/>
        <v>31865.38624960581</v>
      </c>
      <c r="L5" s="137">
        <f t="shared" si="3"/>
        <v>32214.962797655673</v>
      </c>
      <c r="M5" s="137">
        <f t="shared" si="3"/>
        <v>32442.887144943434</v>
      </c>
      <c r="N5" s="137">
        <f t="shared" si="3"/>
        <v>32458.860918975166</v>
      </c>
      <c r="O5" s="137">
        <f t="shared" si="3"/>
        <v>32506.403313773193</v>
      </c>
      <c r="P5" s="137">
        <f t="shared" si="3"/>
        <v>32708.934375117427</v>
      </c>
      <c r="Q5" s="137">
        <f t="shared" si="3"/>
        <v>33015.748457614987</v>
      </c>
      <c r="R5" s="137">
        <f t="shared" ref="R5:V5" si="4">R6+R7+R8</f>
        <v>33851.716574164195</v>
      </c>
      <c r="S5" s="137">
        <f t="shared" si="4"/>
        <v>34164.028110802465</v>
      </c>
      <c r="T5" s="137">
        <f t="shared" si="4"/>
        <v>34813.581108185455</v>
      </c>
      <c r="U5" s="137">
        <f t="shared" si="4"/>
        <v>34925.75799490411</v>
      </c>
      <c r="V5" s="137">
        <f t="shared" si="4"/>
        <v>28680.615113516007</v>
      </c>
      <c r="W5" s="137">
        <f t="shared" ref="W5" si="5">W6+W7+W8</f>
        <v>30000.124148236784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60.151952639079354</v>
      </c>
      <c r="C6" s="102">
        <f>TrRoad_act!C$5</f>
        <v>63.532777701094631</v>
      </c>
      <c r="D6" s="102">
        <f>TrRoad_act!D$5</f>
        <v>55.614144893245978</v>
      </c>
      <c r="E6" s="102">
        <f>TrRoad_act!E$5</f>
        <v>56.616217788418446</v>
      </c>
      <c r="F6" s="102">
        <f>TrRoad_act!F$5</f>
        <v>59.775590873169669</v>
      </c>
      <c r="G6" s="102">
        <f>TrRoad_act!G$5</f>
        <v>65.385822080566285</v>
      </c>
      <c r="H6" s="102">
        <f>TrRoad_act!H$5</f>
        <v>67.801804088453764</v>
      </c>
      <c r="I6" s="102">
        <f>TrRoad_act!I$5</f>
        <v>74.339627257596092</v>
      </c>
      <c r="J6" s="102">
        <f>TrRoad_act!J$5</f>
        <v>80.994803967230183</v>
      </c>
      <c r="K6" s="102">
        <f>TrRoad_act!K$5</f>
        <v>71.049449605810054</v>
      </c>
      <c r="L6" s="102">
        <f>TrRoad_act!L$5</f>
        <v>65.18329765567141</v>
      </c>
      <c r="M6" s="102">
        <f>TrRoad_act!M$5</f>
        <v>78.814234943436503</v>
      </c>
      <c r="N6" s="102">
        <f>TrRoad_act!N$5</f>
        <v>91.769488975163966</v>
      </c>
      <c r="O6" s="102">
        <f>TrRoad_act!O$5</f>
        <v>93.909113773192132</v>
      </c>
      <c r="P6" s="102">
        <f>TrRoad_act!P$5</f>
        <v>104.72565511742337</v>
      </c>
      <c r="Q6" s="102">
        <f>TrRoad_act!Q$5</f>
        <v>117.11800761498681</v>
      </c>
      <c r="R6" s="102">
        <f>TrRoad_act!R$5</f>
        <v>124.77168416419107</v>
      </c>
      <c r="S6" s="102">
        <f>TrRoad_act!S$5</f>
        <v>119.02811080246097</v>
      </c>
      <c r="T6" s="102">
        <f>TrRoad_act!T$5</f>
        <v>114.58110818545592</v>
      </c>
      <c r="U6" s="102">
        <f>TrRoad_act!U$5</f>
        <v>122.75799490411431</v>
      </c>
      <c r="V6" s="102">
        <f>TrRoad_act!V$5</f>
        <v>110.68836665230545</v>
      </c>
      <c r="W6" s="102">
        <f>TrRoad_act!W$5</f>
        <v>115.93408285043132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23929</v>
      </c>
      <c r="C7" s="102">
        <f>TrRoad_act!C$6</f>
        <v>24056</v>
      </c>
      <c r="D7" s="102">
        <f>TrRoad_act!D$6</f>
        <v>24978</v>
      </c>
      <c r="E7" s="102">
        <f>TrRoad_act!E$6</f>
        <v>25224</v>
      </c>
      <c r="F7" s="102">
        <f>TrRoad_act!F$6</f>
        <v>25332</v>
      </c>
      <c r="G7" s="102">
        <f>TrRoad_act!G$6</f>
        <v>25824</v>
      </c>
      <c r="H7" s="102">
        <f>TrRoad_act!H$6</f>
        <v>26342</v>
      </c>
      <c r="I7" s="102">
        <f>TrRoad_act!I$6</f>
        <v>25994</v>
      </c>
      <c r="J7" s="102">
        <f>TrRoad_act!J$6</f>
        <v>26395</v>
      </c>
      <c r="K7" s="102">
        <f>TrRoad_act!K$6</f>
        <v>26420</v>
      </c>
      <c r="L7" s="102">
        <f>TrRoad_act!L$6</f>
        <v>26879</v>
      </c>
      <c r="M7" s="102">
        <f>TrRoad_act!M$6</f>
        <v>26887</v>
      </c>
      <c r="N7" s="102">
        <f>TrRoad_act!N$6</f>
        <v>26935</v>
      </c>
      <c r="O7" s="102">
        <f>TrRoad_act!O$6</f>
        <v>27155</v>
      </c>
      <c r="P7" s="102">
        <f>TrRoad_act!P$6</f>
        <v>27251</v>
      </c>
      <c r="Q7" s="102">
        <f>TrRoad_act!Q$6</f>
        <v>27531</v>
      </c>
      <c r="R7" s="102">
        <f>TrRoad_act!R$6</f>
        <v>27836</v>
      </c>
      <c r="S7" s="102">
        <f>TrRoad_act!S$6</f>
        <v>28120</v>
      </c>
      <c r="T7" s="102">
        <f>TrRoad_act!T$6</f>
        <v>28460</v>
      </c>
      <c r="U7" s="102">
        <f>TrRoad_act!U$6</f>
        <v>28616</v>
      </c>
      <c r="V7" s="102">
        <f>TrRoad_act!V$6</f>
        <v>24827.926746863701</v>
      </c>
      <c r="W7" s="102">
        <f>TrRoad_act!W$6</f>
        <v>26664.190065386352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9317.4634999999998</v>
      </c>
      <c r="C8" s="102">
        <f>TrRoad_act!C$13</f>
        <v>9245.6372200000005</v>
      </c>
      <c r="D8" s="102">
        <f>TrRoad_act!D$13</f>
        <v>9248.7883700000002</v>
      </c>
      <c r="E8" s="102">
        <f>TrRoad_act!E$13</f>
        <v>8773.9943999999996</v>
      </c>
      <c r="F8" s="102">
        <f>TrRoad_act!F$13</f>
        <v>8849.7632300000005</v>
      </c>
      <c r="G8" s="102">
        <f>TrRoad_act!G$13</f>
        <v>8537.7824600000004</v>
      </c>
      <c r="H8" s="102">
        <f>TrRoad_act!H$13</f>
        <v>8683.5740000000005</v>
      </c>
      <c r="I8" s="102">
        <f>TrRoad_act!I$13</f>
        <v>8652.0620000000017</v>
      </c>
      <c r="J8" s="102">
        <f>TrRoad_act!J$13</f>
        <v>7448.7155999999995</v>
      </c>
      <c r="K8" s="102">
        <f>TrRoad_act!K$13</f>
        <v>5374.3368</v>
      </c>
      <c r="L8" s="102">
        <f>TrRoad_act!L$13</f>
        <v>5270.7794999999996</v>
      </c>
      <c r="M8" s="102">
        <f>TrRoad_act!M$13</f>
        <v>5477.0729099999999</v>
      </c>
      <c r="N8" s="102">
        <f>TrRoad_act!N$13</f>
        <v>5432.0914300000004</v>
      </c>
      <c r="O8" s="102">
        <f>TrRoad_act!O$13</f>
        <v>5257.494200000001</v>
      </c>
      <c r="P8" s="102">
        <f>TrRoad_act!P$13</f>
        <v>5353.2087200000014</v>
      </c>
      <c r="Q8" s="102">
        <f>TrRoad_act!Q$13</f>
        <v>5367.6304499999997</v>
      </c>
      <c r="R8" s="102">
        <f>TrRoad_act!R$13</f>
        <v>5890.9448899999998</v>
      </c>
      <c r="S8" s="102">
        <f>TrRoad_act!S$13</f>
        <v>5925</v>
      </c>
      <c r="T8" s="102">
        <f>TrRoad_act!T$13</f>
        <v>6239.0000000000009</v>
      </c>
      <c r="U8" s="102">
        <f>TrRoad_act!U$13</f>
        <v>6187</v>
      </c>
      <c r="V8" s="102">
        <f>TrRoad_act!V$13</f>
        <v>3742.0000000000005</v>
      </c>
      <c r="W8" s="102">
        <f>TrRoad_act!W$13</f>
        <v>3220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3220</v>
      </c>
      <c r="C9" s="110">
        <f t="shared" si="6"/>
        <v>3162.3627799999999</v>
      </c>
      <c r="D9" s="110">
        <f t="shared" si="6"/>
        <v>3040.2116299999998</v>
      </c>
      <c r="E9" s="110">
        <f t="shared" si="6"/>
        <v>2683.0056</v>
      </c>
      <c r="F9" s="110">
        <f t="shared" si="6"/>
        <v>2590.23677</v>
      </c>
      <c r="G9" s="110">
        <f t="shared" si="6"/>
        <v>2568.2175400000001</v>
      </c>
      <c r="H9" s="110">
        <f t="shared" si="6"/>
        <v>2597.4259999999999</v>
      </c>
      <c r="I9" s="110">
        <f t="shared" si="6"/>
        <v>2559.9380000000001</v>
      </c>
      <c r="J9" s="110">
        <f t="shared" si="6"/>
        <v>2663.2844</v>
      </c>
      <c r="K9" s="110">
        <f t="shared" si="6"/>
        <v>2556.5259000000001</v>
      </c>
      <c r="L9" s="110">
        <f t="shared" si="6"/>
        <v>2592.4431</v>
      </c>
      <c r="M9" s="110">
        <f t="shared" si="6"/>
        <v>2737.8014199999998</v>
      </c>
      <c r="N9" s="110">
        <f t="shared" si="6"/>
        <v>2748.44884</v>
      </c>
      <c r="O9" s="110">
        <f t="shared" si="6"/>
        <v>2760.4070999999999</v>
      </c>
      <c r="P9" s="110">
        <f t="shared" si="6"/>
        <v>2839.87896</v>
      </c>
      <c r="Q9" s="110">
        <f t="shared" si="6"/>
        <v>3661.80015</v>
      </c>
      <c r="R9" s="110">
        <f t="shared" ref="R9:V9" si="7">R10+R11+R12</f>
        <v>3785.2387600000002</v>
      </c>
      <c r="S9" s="110">
        <f t="shared" si="7"/>
        <v>4038.8530300000002</v>
      </c>
      <c r="T9" s="110">
        <f t="shared" si="7"/>
        <v>4072.7489999999998</v>
      </c>
      <c r="U9" s="110">
        <f t="shared" si="7"/>
        <v>4235.4090500080138</v>
      </c>
      <c r="V9" s="110">
        <f t="shared" si="7"/>
        <v>2301.3864013463694</v>
      </c>
      <c r="W9" s="110">
        <f t="shared" ref="W9" si="8">W10+W11+W12</f>
        <v>2113.8969033498956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350</v>
      </c>
      <c r="C10" s="102">
        <f>TrRail_act!C$5</f>
        <v>357.36277999999999</v>
      </c>
      <c r="D10" s="102">
        <f>TrRail_act!D$5</f>
        <v>358.21163000000001</v>
      </c>
      <c r="E10" s="102">
        <f>TrRail_act!E$5</f>
        <v>367.00559999999996</v>
      </c>
      <c r="F10" s="102">
        <f>TrRail_act!F$5</f>
        <v>362.23677000000004</v>
      </c>
      <c r="G10" s="102">
        <f>TrRail_act!G$5</f>
        <v>386.21753999999999</v>
      </c>
      <c r="H10" s="102">
        <f>TrRail_act!H$5</f>
        <v>384.42599999999999</v>
      </c>
      <c r="I10" s="102">
        <f>TrRail_act!I$5</f>
        <v>394.93799999999999</v>
      </c>
      <c r="J10" s="102">
        <f>TrRail_act!J$5</f>
        <v>367.28440000000001</v>
      </c>
      <c r="K10" s="102">
        <f>TrRail_act!K$5</f>
        <v>292.52589999999998</v>
      </c>
      <c r="L10" s="102">
        <f>TrRail_act!L$5</f>
        <v>283.44310000000002</v>
      </c>
      <c r="M10" s="102">
        <f>TrRail_act!M$5</f>
        <v>306.80142000000001</v>
      </c>
      <c r="N10" s="102">
        <f>TrRail_act!N$5</f>
        <v>289.44884000000002</v>
      </c>
      <c r="O10" s="102">
        <f>TrRail_act!O$5</f>
        <v>275.40710000000001</v>
      </c>
      <c r="P10" s="102">
        <f>TrRail_act!P$5</f>
        <v>256.87896000000001</v>
      </c>
      <c r="Q10" s="102">
        <f>TrRail_act!Q$5</f>
        <v>250.80015</v>
      </c>
      <c r="R10" s="102">
        <f>TrRail_act!R$5</f>
        <v>301.23876000000001</v>
      </c>
      <c r="S10" s="102">
        <f>TrRail_act!S$5</f>
        <v>284.85302999999999</v>
      </c>
      <c r="T10" s="102">
        <f>TrRail_act!T$5</f>
        <v>280.74900000000002</v>
      </c>
      <c r="U10" s="102">
        <f>TrRail_act!U$5</f>
        <v>278.40905000801416</v>
      </c>
      <c r="V10" s="102">
        <f>TrRail_act!V$5</f>
        <v>168.38640134636961</v>
      </c>
      <c r="W10" s="102">
        <f>TrRail_act!W$5</f>
        <v>144.89690334989584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2870</v>
      </c>
      <c r="C11" s="102">
        <f>TrRail_act!C$6</f>
        <v>2805</v>
      </c>
      <c r="D11" s="102">
        <f>TrRail_act!D$6</f>
        <v>2682</v>
      </c>
      <c r="E11" s="102">
        <f>TrRail_act!E$6</f>
        <v>2316</v>
      </c>
      <c r="F11" s="102">
        <f>TrRail_act!F$6</f>
        <v>2228</v>
      </c>
      <c r="G11" s="102">
        <f>TrRail_act!G$6</f>
        <v>2182</v>
      </c>
      <c r="H11" s="102">
        <f>TrRail_act!H$6</f>
        <v>2213</v>
      </c>
      <c r="I11" s="102">
        <f>TrRail_act!I$6</f>
        <v>2165</v>
      </c>
      <c r="J11" s="102">
        <f>TrRail_act!J$6</f>
        <v>2296</v>
      </c>
      <c r="K11" s="102">
        <f>TrRail_act!K$6</f>
        <v>2264</v>
      </c>
      <c r="L11" s="102">
        <f>TrRail_act!L$6</f>
        <v>2309</v>
      </c>
      <c r="M11" s="102">
        <f>TrRail_act!M$6</f>
        <v>2431</v>
      </c>
      <c r="N11" s="102">
        <f>TrRail_act!N$6</f>
        <v>2459</v>
      </c>
      <c r="O11" s="102">
        <f>TrRail_act!O$6</f>
        <v>2485</v>
      </c>
      <c r="P11" s="102">
        <f>TrRail_act!P$6</f>
        <v>2583</v>
      </c>
      <c r="Q11" s="102">
        <f>TrRail_act!Q$6</f>
        <v>3411</v>
      </c>
      <c r="R11" s="102">
        <f>TrRail_act!R$6</f>
        <v>3484</v>
      </c>
      <c r="S11" s="102">
        <f>TrRail_act!S$6</f>
        <v>3754</v>
      </c>
      <c r="T11" s="102">
        <f>TrRail_act!T$6</f>
        <v>3792</v>
      </c>
      <c r="U11" s="102">
        <f>TrRail_act!U$6</f>
        <v>3957</v>
      </c>
      <c r="V11" s="102">
        <f>TrRail_act!V$6</f>
        <v>2133</v>
      </c>
      <c r="W11" s="102">
        <f>TrRail_act!W$6</f>
        <v>1969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386.13987297178471</v>
      </c>
      <c r="C13" s="110">
        <f t="shared" ref="C13:V13" si="10">C14+C15+C16</f>
        <v>443.54701113725912</v>
      </c>
      <c r="D13" s="110">
        <f t="shared" si="10"/>
        <v>544.71198681731312</v>
      </c>
      <c r="E13" s="110">
        <f t="shared" si="10"/>
        <v>762.29734691996532</v>
      </c>
      <c r="F13" s="110">
        <f t="shared" si="10"/>
        <v>1227.1180591908549</v>
      </c>
      <c r="G13" s="110">
        <f t="shared" si="10"/>
        <v>1373.0114296826828</v>
      </c>
      <c r="H13" s="110">
        <f t="shared" si="10"/>
        <v>1459.0183714226084</v>
      </c>
      <c r="I13" s="110">
        <f t="shared" si="10"/>
        <v>1519.7573486296753</v>
      </c>
      <c r="J13" s="110">
        <f t="shared" si="10"/>
        <v>1738.8236560769683</v>
      </c>
      <c r="K13" s="110">
        <f t="shared" si="10"/>
        <v>1291.4218037785695</v>
      </c>
      <c r="L13" s="110">
        <f t="shared" si="10"/>
        <v>1339.0017251546046</v>
      </c>
      <c r="M13" s="110">
        <f t="shared" si="10"/>
        <v>1342.9623422499833</v>
      </c>
      <c r="N13" s="110">
        <f t="shared" si="10"/>
        <v>1144.3107230420205</v>
      </c>
      <c r="O13" s="110">
        <f t="shared" si="10"/>
        <v>1075.7118912001965</v>
      </c>
      <c r="P13" s="110">
        <f t="shared" si="10"/>
        <v>1176.3471292519121</v>
      </c>
      <c r="Q13" s="110">
        <f t="shared" si="10"/>
        <v>1348.6481814759579</v>
      </c>
      <c r="R13" s="110">
        <f t="shared" si="10"/>
        <v>1479.6699148357213</v>
      </c>
      <c r="S13" s="110">
        <f t="shared" si="10"/>
        <v>1700.3675103894459</v>
      </c>
      <c r="T13" s="110">
        <f t="shared" si="10"/>
        <v>1988.0964358295587</v>
      </c>
      <c r="U13" s="110">
        <f t="shared" si="10"/>
        <v>2022.7959050288005</v>
      </c>
      <c r="V13" s="110">
        <f t="shared" si="10"/>
        <v>347.83248907094696</v>
      </c>
      <c r="W13" s="110">
        <f t="shared" ref="W13" si="11">W14+W15+W16</f>
        <v>442.30961848980178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254.5222613436209</v>
      </c>
      <c r="C15" s="102">
        <f>TrAvia_act!C$6</f>
        <v>292.39664454966328</v>
      </c>
      <c r="D15" s="102">
        <f>TrAvia_act!D$6</f>
        <v>316.4571858811521</v>
      </c>
      <c r="E15" s="102">
        <f>TrAvia_act!E$6</f>
        <v>455.26539366428443</v>
      </c>
      <c r="F15" s="102">
        <f>TrAvia_act!F$6</f>
        <v>760.97173142233419</v>
      </c>
      <c r="G15" s="102">
        <f>TrAvia_act!G$6</f>
        <v>961.85564646668888</v>
      </c>
      <c r="H15" s="102">
        <f>TrAvia_act!H$6</f>
        <v>1170.3599842849894</v>
      </c>
      <c r="I15" s="102">
        <f>TrAvia_act!I$6</f>
        <v>1105.8804348530077</v>
      </c>
      <c r="J15" s="102">
        <f>TrAvia_act!J$6</f>
        <v>1288.4929618368647</v>
      </c>
      <c r="K15" s="102">
        <f>TrAvia_act!K$6</f>
        <v>938.7131950079031</v>
      </c>
      <c r="L15" s="102">
        <f>TrAvia_act!L$6</f>
        <v>950.87424003480839</v>
      </c>
      <c r="M15" s="102">
        <f>TrAvia_act!M$6</f>
        <v>982.58031356689003</v>
      </c>
      <c r="N15" s="102">
        <f>TrAvia_act!N$6</f>
        <v>805.85811114887281</v>
      </c>
      <c r="O15" s="102">
        <f>TrAvia_act!O$6</f>
        <v>791.99258917782026</v>
      </c>
      <c r="P15" s="102">
        <f>TrAvia_act!P$6</f>
        <v>882.28712235294688</v>
      </c>
      <c r="Q15" s="102">
        <f>TrAvia_act!Q$6</f>
        <v>995.03957709860833</v>
      </c>
      <c r="R15" s="102">
        <f>TrAvia_act!R$6</f>
        <v>1136.2498833665832</v>
      </c>
      <c r="S15" s="102">
        <f>TrAvia_act!S$6</f>
        <v>1113.7844941470123</v>
      </c>
      <c r="T15" s="102">
        <f>TrAvia_act!T$6</f>
        <v>1242.880550672925</v>
      </c>
      <c r="U15" s="102">
        <f>TrAvia_act!U$6</f>
        <v>1221.0020846205289</v>
      </c>
      <c r="V15" s="102">
        <f>TrAvia_act!V$6</f>
        <v>254.26099487713313</v>
      </c>
      <c r="W15" s="102">
        <f>TrAvia_act!W$6</f>
        <v>326.13595517499817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131.61761162816384</v>
      </c>
      <c r="C16" s="102">
        <f>TrAvia_act!C$7</f>
        <v>151.15036658759584</v>
      </c>
      <c r="D16" s="102">
        <f>TrAvia_act!D$7</f>
        <v>228.25480093616105</v>
      </c>
      <c r="E16" s="102">
        <f>TrAvia_act!E$7</f>
        <v>307.03195325568089</v>
      </c>
      <c r="F16" s="102">
        <f>TrAvia_act!F$7</f>
        <v>466.14632776852062</v>
      </c>
      <c r="G16" s="102">
        <f>TrAvia_act!G$7</f>
        <v>411.15578321599401</v>
      </c>
      <c r="H16" s="102">
        <f>TrAvia_act!H$7</f>
        <v>288.658387137619</v>
      </c>
      <c r="I16" s="102">
        <f>TrAvia_act!I$7</f>
        <v>413.87691377666755</v>
      </c>
      <c r="J16" s="102">
        <f>TrAvia_act!J$7</f>
        <v>450.33069424010364</v>
      </c>
      <c r="K16" s="102">
        <f>TrAvia_act!K$7</f>
        <v>352.70860877066639</v>
      </c>
      <c r="L16" s="102">
        <f>TrAvia_act!L$7</f>
        <v>388.12748511979618</v>
      </c>
      <c r="M16" s="102">
        <f>TrAvia_act!M$7</f>
        <v>360.38202868309321</v>
      </c>
      <c r="N16" s="102">
        <f>TrAvia_act!N$7</f>
        <v>338.45261189314766</v>
      </c>
      <c r="O16" s="102">
        <f>TrAvia_act!O$7</f>
        <v>283.71930202237616</v>
      </c>
      <c r="P16" s="102">
        <f>TrAvia_act!P$7</f>
        <v>294.06000689896513</v>
      </c>
      <c r="Q16" s="102">
        <f>TrAvia_act!Q$7</f>
        <v>353.60860437734965</v>
      </c>
      <c r="R16" s="102">
        <f>TrAvia_act!R$7</f>
        <v>343.42003146913822</v>
      </c>
      <c r="S16" s="102">
        <f>TrAvia_act!S$7</f>
        <v>586.58301624243359</v>
      </c>
      <c r="T16" s="102">
        <f>TrAvia_act!T$7</f>
        <v>745.21588515663382</v>
      </c>
      <c r="U16" s="102">
        <f>TrAvia_act!U$7</f>
        <v>801.7938204082717</v>
      </c>
      <c r="V16" s="102">
        <f>TrAvia_act!V$7</f>
        <v>93.57149419381382</v>
      </c>
      <c r="W16" s="102">
        <f>TrAvia_act!W$7</f>
        <v>116.1736633148036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21403.925807561311</v>
      </c>
      <c r="C17" s="28">
        <f t="shared" si="12"/>
        <v>21235.359154902548</v>
      </c>
      <c r="D17" s="28">
        <f t="shared" si="12"/>
        <v>20213.771508538208</v>
      </c>
      <c r="E17" s="28">
        <f t="shared" si="12"/>
        <v>20125.233879695028</v>
      </c>
      <c r="F17" s="28">
        <f t="shared" si="12"/>
        <v>20814.016320612653</v>
      </c>
      <c r="G17" s="28">
        <f t="shared" si="12"/>
        <v>20957.965988598091</v>
      </c>
      <c r="H17" s="28">
        <f t="shared" si="12"/>
        <v>21264.669694582331</v>
      </c>
      <c r="I17" s="28">
        <f t="shared" si="12"/>
        <v>23075.178101313708</v>
      </c>
      <c r="J17" s="28">
        <f t="shared" si="12"/>
        <v>23354.108596230384</v>
      </c>
      <c r="K17" s="28">
        <f t="shared" si="12"/>
        <v>19779.70623229491</v>
      </c>
      <c r="L17" s="28">
        <f t="shared" si="12"/>
        <v>21395.221400217506</v>
      </c>
      <c r="M17" s="28">
        <f t="shared" si="12"/>
        <v>21177.894408651751</v>
      </c>
      <c r="N17" s="28">
        <f t="shared" si="12"/>
        <v>21125.411536562176</v>
      </c>
      <c r="O17" s="28">
        <f t="shared" si="12"/>
        <v>22107.717563341233</v>
      </c>
      <c r="P17" s="28">
        <f t="shared" si="12"/>
        <v>22992.151616852534</v>
      </c>
      <c r="Q17" s="28">
        <f t="shared" si="12"/>
        <v>23356.700927439848</v>
      </c>
      <c r="R17" s="28">
        <f t="shared" ref="R17:V17" si="13">R18+R21+R22+R26</f>
        <v>24498.143887174963</v>
      </c>
      <c r="S17" s="28">
        <f t="shared" si="13"/>
        <v>26072.411280169596</v>
      </c>
      <c r="T17" s="28">
        <f t="shared" si="13"/>
        <v>25966.116627303472</v>
      </c>
      <c r="U17" s="28">
        <f t="shared" si="13"/>
        <v>26552.403377309369</v>
      </c>
      <c r="V17" s="28">
        <f t="shared" si="13"/>
        <v>24517.974129007853</v>
      </c>
      <c r="W17" s="28">
        <f t="shared" ref="W17" si="14">W18+W21+W22+W26</f>
        <v>25837.823083151692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8785.0795419066581</v>
      </c>
      <c r="C18" s="137">
        <f t="shared" si="15"/>
        <v>9303.4105194715576</v>
      </c>
      <c r="D18" s="137">
        <f t="shared" si="15"/>
        <v>9231.3139804285456</v>
      </c>
      <c r="E18" s="137">
        <f t="shared" si="15"/>
        <v>9480.015361091173</v>
      </c>
      <c r="F18" s="137">
        <f t="shared" si="15"/>
        <v>10364.399743887881</v>
      </c>
      <c r="G18" s="137">
        <f t="shared" si="15"/>
        <v>10749.867059844955</v>
      </c>
      <c r="H18" s="137">
        <f t="shared" si="15"/>
        <v>10621.398183576413</v>
      </c>
      <c r="I18" s="137">
        <f t="shared" si="15"/>
        <v>12419.655174002948</v>
      </c>
      <c r="J18" s="137">
        <f t="shared" si="15"/>
        <v>12947.845371035341</v>
      </c>
      <c r="K18" s="137">
        <f t="shared" si="15"/>
        <v>11907.827596507543</v>
      </c>
      <c r="L18" s="137">
        <f t="shared" si="15"/>
        <v>12088.683782183014</v>
      </c>
      <c r="M18" s="137">
        <f t="shared" si="15"/>
        <v>12272.485468420977</v>
      </c>
      <c r="N18" s="137">
        <f t="shared" si="15"/>
        <v>12534.725910197285</v>
      </c>
      <c r="O18" s="137">
        <f t="shared" si="15"/>
        <v>12595.550052927643</v>
      </c>
      <c r="P18" s="137">
        <f t="shared" si="15"/>
        <v>13246.561578822466</v>
      </c>
      <c r="Q18" s="137">
        <f t="shared" si="15"/>
        <v>14163.370823540903</v>
      </c>
      <c r="R18" s="137">
        <f t="shared" ref="R18:V18" si="16">R19+R20</f>
        <v>15212.306750729324</v>
      </c>
      <c r="S18" s="137">
        <f t="shared" si="16"/>
        <v>16648.799535791382</v>
      </c>
      <c r="T18" s="137">
        <f t="shared" si="16"/>
        <v>16804.015465083165</v>
      </c>
      <c r="U18" s="137">
        <f t="shared" si="16"/>
        <v>17472.873654087402</v>
      </c>
      <c r="V18" s="137">
        <f t="shared" si="16"/>
        <v>16768.008379188261</v>
      </c>
      <c r="W18" s="137">
        <f t="shared" ref="W18" si="17">W19+W20</f>
        <v>16801.914249244837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187.66972960671094</v>
      </c>
      <c r="C19" s="102">
        <f>TrRoad_act!C$20</f>
        <v>191.84008389792399</v>
      </c>
      <c r="D19" s="102">
        <f>TrRoad_act!D$20</f>
        <v>194.15556623653663</v>
      </c>
      <c r="E19" s="102">
        <f>TrRoad_act!E$20</f>
        <v>194.17121593603156</v>
      </c>
      <c r="F19" s="102">
        <f>TrRoad_act!F$20</f>
        <v>204.57550987913464</v>
      </c>
      <c r="G19" s="102">
        <f>TrRoad_act!G$20</f>
        <v>221.92939977179989</v>
      </c>
      <c r="H19" s="102">
        <f>TrRoad_act!H$20</f>
        <v>222.17812363067722</v>
      </c>
      <c r="I19" s="102">
        <f>TrRoad_act!I$20</f>
        <v>256.33950063047837</v>
      </c>
      <c r="J19" s="102">
        <f>TrRoad_act!J$20</f>
        <v>275.30472209513323</v>
      </c>
      <c r="K19" s="102">
        <f>TrRoad_act!K$20</f>
        <v>300.82298541491434</v>
      </c>
      <c r="L19" s="102">
        <f>TrRoad_act!L$20</f>
        <v>312.23017960539846</v>
      </c>
      <c r="M19" s="102">
        <f>TrRoad_act!M$20</f>
        <v>321.08551129269125</v>
      </c>
      <c r="N19" s="102">
        <f>TrRoad_act!N$20</f>
        <v>336.18351127487574</v>
      </c>
      <c r="O19" s="102">
        <f>TrRoad_act!O$20</f>
        <v>302.88578021994016</v>
      </c>
      <c r="P19" s="102">
        <f>TrRoad_act!P$20</f>
        <v>265.56134610164492</v>
      </c>
      <c r="Q19" s="102">
        <f>TrRoad_act!Q$20</f>
        <v>306.73665399518592</v>
      </c>
      <c r="R19" s="102">
        <f>TrRoad_act!R$20</f>
        <v>283.7586896613725</v>
      </c>
      <c r="S19" s="102">
        <f>TrRoad_act!S$20</f>
        <v>287.6191290746134</v>
      </c>
      <c r="T19" s="102">
        <f>TrRoad_act!T$20</f>
        <v>284.01546508316432</v>
      </c>
      <c r="U19" s="102">
        <f>TrRoad_act!U$20</f>
        <v>284.87365408740322</v>
      </c>
      <c r="V19" s="102">
        <f>TrRoad_act!V$20</f>
        <v>289.00837918825971</v>
      </c>
      <c r="W19" s="102">
        <f>TrRoad_act!W$20</f>
        <v>292.91424924483698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8597.4098122999476</v>
      </c>
      <c r="C20" s="102">
        <f>TrRoad_act!C$26</f>
        <v>9111.5704355736343</v>
      </c>
      <c r="D20" s="102">
        <f>TrRoad_act!D$26</f>
        <v>9037.1584141920084</v>
      </c>
      <c r="E20" s="102">
        <f>TrRoad_act!E$26</f>
        <v>9285.8441451551407</v>
      </c>
      <c r="F20" s="102">
        <f>TrRoad_act!F$26</f>
        <v>10159.824234008747</v>
      </c>
      <c r="G20" s="102">
        <f>TrRoad_act!G$26</f>
        <v>10527.937660073156</v>
      </c>
      <c r="H20" s="102">
        <f>TrRoad_act!H$26</f>
        <v>10399.220059945736</v>
      </c>
      <c r="I20" s="102">
        <f>TrRoad_act!I$26</f>
        <v>12163.31567337247</v>
      </c>
      <c r="J20" s="102">
        <f>TrRoad_act!J$26</f>
        <v>12672.540648940207</v>
      </c>
      <c r="K20" s="102">
        <f>TrRoad_act!K$26</f>
        <v>11607.004611092629</v>
      </c>
      <c r="L20" s="102">
        <f>TrRoad_act!L$26</f>
        <v>11776.453602577616</v>
      </c>
      <c r="M20" s="102">
        <f>TrRoad_act!M$26</f>
        <v>11951.399957128286</v>
      </c>
      <c r="N20" s="102">
        <f>TrRoad_act!N$26</f>
        <v>12198.542398922409</v>
      </c>
      <c r="O20" s="102">
        <f>TrRoad_act!O$26</f>
        <v>12292.664272707703</v>
      </c>
      <c r="P20" s="102">
        <f>TrRoad_act!P$26</f>
        <v>12981.00023272082</v>
      </c>
      <c r="Q20" s="102">
        <f>TrRoad_act!Q$26</f>
        <v>13856.634169545718</v>
      </c>
      <c r="R20" s="102">
        <f>TrRoad_act!R$26</f>
        <v>14928.548061067951</v>
      </c>
      <c r="S20" s="102">
        <f>TrRoad_act!S$26</f>
        <v>16361.18040671677</v>
      </c>
      <c r="T20" s="102">
        <f>TrRoad_act!T$26</f>
        <v>16520</v>
      </c>
      <c r="U20" s="102">
        <f>TrRoad_act!U$26</f>
        <v>17188</v>
      </c>
      <c r="V20" s="102">
        <f>TrRoad_act!V$26</f>
        <v>16479</v>
      </c>
      <c r="W20" s="102">
        <f>TrRoad_act!W$26</f>
        <v>16509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11233</v>
      </c>
      <c r="C21" s="110">
        <f>TrRail_act!C$10</f>
        <v>10930</v>
      </c>
      <c r="D21" s="110">
        <f>TrRail_act!D$10</f>
        <v>10380</v>
      </c>
      <c r="E21" s="110">
        <f>TrRail_act!E$10</f>
        <v>10113</v>
      </c>
      <c r="F21" s="110">
        <f>TrRail_act!F$10</f>
        <v>9702</v>
      </c>
      <c r="G21" s="110">
        <f>TrRail_act!G$10</f>
        <v>9463</v>
      </c>
      <c r="H21" s="110">
        <f>TrRail_act!H$10</f>
        <v>9988</v>
      </c>
      <c r="I21" s="110">
        <f>TrRail_act!I$10</f>
        <v>9647</v>
      </c>
      <c r="J21" s="110">
        <f>TrRail_act!J$10</f>
        <v>9299</v>
      </c>
      <c r="K21" s="110">
        <f>TrRail_act!K$10</f>
        <v>6964</v>
      </c>
      <c r="L21" s="110">
        <f>TrRail_act!L$10</f>
        <v>8105</v>
      </c>
      <c r="M21" s="110">
        <f>TrRail_act!M$10</f>
        <v>7960</v>
      </c>
      <c r="N21" s="110">
        <f>TrRail_act!N$10</f>
        <v>7591</v>
      </c>
      <c r="O21" s="110">
        <f>TrRail_act!O$10</f>
        <v>8494</v>
      </c>
      <c r="P21" s="110">
        <f>TrRail_act!P$10</f>
        <v>8829</v>
      </c>
      <c r="Q21" s="110">
        <f>TrRail_act!Q$10</f>
        <v>8439</v>
      </c>
      <c r="R21" s="110">
        <f>TrRail_act!R$10</f>
        <v>8370</v>
      </c>
      <c r="S21" s="110">
        <f>TrRail_act!S$10</f>
        <v>8477</v>
      </c>
      <c r="T21" s="110">
        <f>TrRail_act!T$10</f>
        <v>8373</v>
      </c>
      <c r="U21" s="110">
        <f>TrRail_act!U$10</f>
        <v>8134</v>
      </c>
      <c r="V21" s="110">
        <f>TrRail_act!V$10</f>
        <v>6908</v>
      </c>
      <c r="W21" s="110">
        <f>TrRail_act!W$10</f>
        <v>8189.9999999999991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6.5462656546558513</v>
      </c>
      <c r="C22" s="110">
        <f t="shared" ref="C22:V22" si="19">C23+C24+C25</f>
        <v>6.7486354309859973</v>
      </c>
      <c r="D22" s="110">
        <f t="shared" si="19"/>
        <v>2.7575281096605275</v>
      </c>
      <c r="E22" s="110">
        <f t="shared" si="19"/>
        <v>9.7185186038543065</v>
      </c>
      <c r="F22" s="110">
        <f t="shared" si="19"/>
        <v>6.6165767247738474</v>
      </c>
      <c r="G22" s="110">
        <f t="shared" si="19"/>
        <v>4.7989287531398421</v>
      </c>
      <c r="H22" s="110">
        <f t="shared" si="19"/>
        <v>6.4715110059188259</v>
      </c>
      <c r="I22" s="110">
        <f t="shared" si="19"/>
        <v>4.5229273107598376</v>
      </c>
      <c r="J22" s="110">
        <f t="shared" si="19"/>
        <v>6.263225195041275</v>
      </c>
      <c r="K22" s="110">
        <f t="shared" si="19"/>
        <v>8.8786357873653117</v>
      </c>
      <c r="L22" s="110">
        <f t="shared" si="19"/>
        <v>12.537618034492132</v>
      </c>
      <c r="M22" s="110">
        <f t="shared" si="19"/>
        <v>14.408940230771544</v>
      </c>
      <c r="N22" s="110">
        <f t="shared" si="19"/>
        <v>13.685626364891569</v>
      </c>
      <c r="O22" s="110">
        <f t="shared" si="19"/>
        <v>12.167510413589957</v>
      </c>
      <c r="P22" s="110">
        <f t="shared" si="19"/>
        <v>11.590038030067651</v>
      </c>
      <c r="Q22" s="110">
        <f t="shared" si="19"/>
        <v>13.33010389894566</v>
      </c>
      <c r="R22" s="110">
        <f t="shared" si="19"/>
        <v>12.837136445641098</v>
      </c>
      <c r="S22" s="110">
        <f t="shared" si="19"/>
        <v>13.611744378212924</v>
      </c>
      <c r="T22" s="110">
        <f t="shared" si="19"/>
        <v>11.10116222030867</v>
      </c>
      <c r="U22" s="110">
        <f t="shared" si="19"/>
        <v>8.5297232219687178</v>
      </c>
      <c r="V22" s="110">
        <f t="shared" si="19"/>
        <v>7.9657498195916014</v>
      </c>
      <c r="W22" s="110">
        <f t="shared" ref="W22" si="20">W23+W24+W25</f>
        <v>6.908833906853455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2.0123379814992561</v>
      </c>
      <c r="C24" s="102">
        <f>TrAvia_act!C$10</f>
        <v>1.9990341499728401</v>
      </c>
      <c r="D24" s="102">
        <f>TrAvia_act!D$10</f>
        <v>1.6747904698979492</v>
      </c>
      <c r="E24" s="102">
        <f>TrAvia_act!E$10</f>
        <v>1.4251121372369202</v>
      </c>
      <c r="F24" s="102">
        <f>TrAvia_act!F$10</f>
        <v>1.0223329260467073</v>
      </c>
      <c r="G24" s="102">
        <f>TrAvia_act!G$10</f>
        <v>0.67187338121496099</v>
      </c>
      <c r="H24" s="102">
        <f>TrAvia_act!H$10</f>
        <v>0.50521952552398175</v>
      </c>
      <c r="I24" s="102">
        <f>TrAvia_act!I$10</f>
        <v>0.44554629254735517</v>
      </c>
      <c r="J24" s="102">
        <f>TrAvia_act!J$10</f>
        <v>4.5277662700470032</v>
      </c>
      <c r="K24" s="102">
        <f>TrAvia_act!K$10</f>
        <v>7.6637979163178827</v>
      </c>
      <c r="L24" s="102">
        <f>TrAvia_act!L$10</f>
        <v>9.6710894831760008</v>
      </c>
      <c r="M24" s="102">
        <f>TrAvia_act!M$10</f>
        <v>14.140145421004831</v>
      </c>
      <c r="N24" s="102">
        <f>TrAvia_act!N$10</f>
        <v>13.401474294945672</v>
      </c>
      <c r="O24" s="102">
        <f>TrAvia_act!O$10</f>
        <v>11.717438639422046</v>
      </c>
      <c r="P24" s="102">
        <f>TrAvia_act!P$10</f>
        <v>8.5586494246055729</v>
      </c>
      <c r="Q24" s="102">
        <f>TrAvia_act!Q$10</f>
        <v>10.470140833013645</v>
      </c>
      <c r="R24" s="102">
        <f>TrAvia_act!R$10</f>
        <v>10.17392058133861</v>
      </c>
      <c r="S24" s="102">
        <f>TrAvia_act!S$10</f>
        <v>12.19528989301666</v>
      </c>
      <c r="T24" s="102">
        <f>TrAvia_act!T$10</f>
        <v>9.4780823686406119</v>
      </c>
      <c r="U24" s="102">
        <f>TrAvia_act!U$10</f>
        <v>8.0906470119860234</v>
      </c>
      <c r="V24" s="102">
        <f>TrAvia_act!V$10</f>
        <v>7.7094229062824775</v>
      </c>
      <c r="W24" s="102">
        <f>TrAvia_act!W$10</f>
        <v>6.8526504728571309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4.5339276731565956</v>
      </c>
      <c r="C25" s="102">
        <f>TrAvia_act!C$11</f>
        <v>4.7496012810131569</v>
      </c>
      <c r="D25" s="102">
        <f>TrAvia_act!D$11</f>
        <v>1.0827376397625781</v>
      </c>
      <c r="E25" s="102">
        <f>TrAvia_act!E$11</f>
        <v>8.2934064666173857</v>
      </c>
      <c r="F25" s="102">
        <f>TrAvia_act!F$11</f>
        <v>5.5942437987271401</v>
      </c>
      <c r="G25" s="102">
        <f>TrAvia_act!G$11</f>
        <v>4.1270553719248815</v>
      </c>
      <c r="H25" s="102">
        <f>TrAvia_act!H$11</f>
        <v>5.9662914803948439</v>
      </c>
      <c r="I25" s="102">
        <f>TrAvia_act!I$11</f>
        <v>4.0773810182124821</v>
      </c>
      <c r="J25" s="102">
        <f>TrAvia_act!J$11</f>
        <v>1.7354589249942716</v>
      </c>
      <c r="K25" s="102">
        <f>TrAvia_act!K$11</f>
        <v>1.2148378710474284</v>
      </c>
      <c r="L25" s="102">
        <f>TrAvia_act!L$11</f>
        <v>2.8665285513161307</v>
      </c>
      <c r="M25" s="102">
        <f>TrAvia_act!M$11</f>
        <v>0.26879480976671177</v>
      </c>
      <c r="N25" s="102">
        <f>TrAvia_act!N$11</f>
        <v>0.28415206994589631</v>
      </c>
      <c r="O25" s="102">
        <f>TrAvia_act!O$11</f>
        <v>0.45007177416791211</v>
      </c>
      <c r="P25" s="102">
        <f>TrAvia_act!P$11</f>
        <v>3.0313886054620789</v>
      </c>
      <c r="Q25" s="102">
        <f>TrAvia_act!Q$11</f>
        <v>2.8599630659320163</v>
      </c>
      <c r="R25" s="102">
        <f>TrAvia_act!R$11</f>
        <v>2.6632158643024884</v>
      </c>
      <c r="S25" s="102">
        <f>TrAvia_act!S$11</f>
        <v>1.4164544851962637</v>
      </c>
      <c r="T25" s="102">
        <f>TrAvia_act!T$11</f>
        <v>1.623079851668058</v>
      </c>
      <c r="U25" s="102">
        <f>TrAvia_act!U$11</f>
        <v>0.43907620998269364</v>
      </c>
      <c r="V25" s="102">
        <f>TrAvia_act!V$11</f>
        <v>0.25632691330912383</v>
      </c>
      <c r="W25" s="102">
        <f>TrAvia_act!W$11</f>
        <v>5.6183433996323848E-2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1379.3</v>
      </c>
      <c r="C26" s="110">
        <f t="shared" si="21"/>
        <v>995.19999999999993</v>
      </c>
      <c r="D26" s="110">
        <f t="shared" si="21"/>
        <v>599.70000000000005</v>
      </c>
      <c r="E26" s="110">
        <f t="shared" si="21"/>
        <v>522.5</v>
      </c>
      <c r="F26" s="110">
        <f t="shared" si="21"/>
        <v>741</v>
      </c>
      <c r="G26" s="110">
        <f t="shared" si="21"/>
        <v>740.3</v>
      </c>
      <c r="H26" s="110">
        <f t="shared" si="21"/>
        <v>648.80000000000007</v>
      </c>
      <c r="I26" s="110">
        <f t="shared" si="21"/>
        <v>1004</v>
      </c>
      <c r="J26" s="110">
        <f t="shared" si="21"/>
        <v>1101</v>
      </c>
      <c r="K26" s="110">
        <f t="shared" si="21"/>
        <v>899</v>
      </c>
      <c r="L26" s="110">
        <f t="shared" si="21"/>
        <v>1189</v>
      </c>
      <c r="M26" s="110">
        <f t="shared" si="21"/>
        <v>931</v>
      </c>
      <c r="N26" s="110">
        <f t="shared" si="21"/>
        <v>986</v>
      </c>
      <c r="O26" s="110">
        <f t="shared" si="21"/>
        <v>1006</v>
      </c>
      <c r="P26" s="110">
        <f t="shared" si="21"/>
        <v>905</v>
      </c>
      <c r="Q26" s="110">
        <f t="shared" si="21"/>
        <v>741</v>
      </c>
      <c r="R26" s="110">
        <f t="shared" ref="R26:V26" si="22">R27+R28</f>
        <v>903</v>
      </c>
      <c r="S26" s="110">
        <f t="shared" si="22"/>
        <v>933</v>
      </c>
      <c r="T26" s="110">
        <f t="shared" si="22"/>
        <v>778</v>
      </c>
      <c r="U26" s="110">
        <f t="shared" si="22"/>
        <v>937</v>
      </c>
      <c r="V26" s="110">
        <f t="shared" si="22"/>
        <v>834</v>
      </c>
      <c r="W26" s="110">
        <f t="shared" ref="W26" si="23">W27+W28</f>
        <v>839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1379.3</v>
      </c>
      <c r="C28" s="169">
        <f>TrNavi_act!C5</f>
        <v>995.19999999999993</v>
      </c>
      <c r="D28" s="169">
        <f>TrNavi_act!D5</f>
        <v>599.70000000000005</v>
      </c>
      <c r="E28" s="169">
        <f>TrNavi_act!E5</f>
        <v>522.5</v>
      </c>
      <c r="F28" s="169">
        <f>TrNavi_act!F5</f>
        <v>741</v>
      </c>
      <c r="G28" s="169">
        <f>TrNavi_act!G5</f>
        <v>740.3</v>
      </c>
      <c r="H28" s="169">
        <f>TrNavi_act!H5</f>
        <v>648.80000000000007</v>
      </c>
      <c r="I28" s="169">
        <f>TrNavi_act!I5</f>
        <v>1004</v>
      </c>
      <c r="J28" s="169">
        <f>TrNavi_act!J5</f>
        <v>1101</v>
      </c>
      <c r="K28" s="169">
        <f>TrNavi_act!K5</f>
        <v>899</v>
      </c>
      <c r="L28" s="169">
        <f>TrNavi_act!L5</f>
        <v>1189</v>
      </c>
      <c r="M28" s="169">
        <f>TrNavi_act!M5</f>
        <v>931</v>
      </c>
      <c r="N28" s="169">
        <f>TrNavi_act!N5</f>
        <v>986</v>
      </c>
      <c r="O28" s="169">
        <f>TrNavi_act!O5</f>
        <v>1006</v>
      </c>
      <c r="P28" s="169">
        <f>TrNavi_act!P5</f>
        <v>905</v>
      </c>
      <c r="Q28" s="169">
        <f>TrNavi_act!Q5</f>
        <v>741</v>
      </c>
      <c r="R28" s="169">
        <f>TrNavi_act!R5</f>
        <v>903</v>
      </c>
      <c r="S28" s="169">
        <f>TrNavi_act!S5</f>
        <v>933</v>
      </c>
      <c r="T28" s="169">
        <f>TrNavi_act!T5</f>
        <v>778</v>
      </c>
      <c r="U28" s="169">
        <f>TrNavi_act!U5</f>
        <v>937</v>
      </c>
      <c r="V28" s="169">
        <f>TrNavi_act!V5</f>
        <v>834</v>
      </c>
      <c r="W28" s="169">
        <f>TrNavi_act!W5</f>
        <v>839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0</v>
      </c>
      <c r="C29" s="28">
        <f t="shared" si="24"/>
        <v>0</v>
      </c>
      <c r="D29" s="28">
        <f t="shared" si="24"/>
        <v>0</v>
      </c>
      <c r="E29" s="28">
        <f t="shared" si="24"/>
        <v>0</v>
      </c>
      <c r="F29" s="28">
        <f t="shared" si="24"/>
        <v>0</v>
      </c>
      <c r="G29" s="28">
        <f t="shared" si="24"/>
        <v>0</v>
      </c>
      <c r="H29" s="28">
        <f t="shared" si="24"/>
        <v>0</v>
      </c>
      <c r="I29" s="28">
        <f t="shared" si="24"/>
        <v>0</v>
      </c>
      <c r="J29" s="28">
        <f t="shared" si="24"/>
        <v>0</v>
      </c>
      <c r="K29" s="28">
        <f t="shared" si="24"/>
        <v>0</v>
      </c>
      <c r="L29" s="28">
        <f t="shared" si="24"/>
        <v>0</v>
      </c>
      <c r="M29" s="28">
        <f t="shared" si="24"/>
        <v>0</v>
      </c>
      <c r="N29" s="28">
        <f t="shared" si="24"/>
        <v>0</v>
      </c>
      <c r="O29" s="28">
        <f t="shared" si="24"/>
        <v>0</v>
      </c>
      <c r="P29" s="28">
        <f t="shared" si="24"/>
        <v>0</v>
      </c>
      <c r="Q29" s="28">
        <f t="shared" si="24"/>
        <v>0</v>
      </c>
      <c r="R29" s="28">
        <f t="shared" si="24"/>
        <v>0</v>
      </c>
      <c r="S29" s="28">
        <f t="shared" si="24"/>
        <v>0</v>
      </c>
      <c r="T29" s="28">
        <f t="shared" si="24"/>
        <v>0</v>
      </c>
      <c r="U29" s="28">
        <f t="shared" si="24"/>
        <v>0</v>
      </c>
      <c r="V29" s="28">
        <f t="shared" si="24"/>
        <v>0</v>
      </c>
      <c r="W29" s="28">
        <f t="shared" si="24"/>
        <v>0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0</v>
      </c>
      <c r="C30" s="102">
        <f>MBunk_act!C$4</f>
        <v>0</v>
      </c>
      <c r="D30" s="102">
        <f>MBunk_act!D$4</f>
        <v>0</v>
      </c>
      <c r="E30" s="102">
        <f>MBunk_act!E$4</f>
        <v>0</v>
      </c>
      <c r="F30" s="102">
        <f>MBunk_act!F$4</f>
        <v>0</v>
      </c>
      <c r="G30" s="102">
        <f>MBunk_act!G$4</f>
        <v>0</v>
      </c>
      <c r="H30" s="102">
        <f>MBunk_act!H$4</f>
        <v>0</v>
      </c>
      <c r="I30" s="102">
        <f>MBunk_act!I$4</f>
        <v>0</v>
      </c>
      <c r="J30" s="102">
        <f>MBunk_act!J$4</f>
        <v>0</v>
      </c>
      <c r="K30" s="102">
        <f>MBunk_act!K$4</f>
        <v>0</v>
      </c>
      <c r="L30" s="102">
        <f>MBunk_act!L$4</f>
        <v>0</v>
      </c>
      <c r="M30" s="102">
        <f>MBunk_act!M$4</f>
        <v>0</v>
      </c>
      <c r="N30" s="102">
        <f>MBunk_act!N$4</f>
        <v>0</v>
      </c>
      <c r="O30" s="102">
        <f>MBunk_act!O$4</f>
        <v>0</v>
      </c>
      <c r="P30" s="102">
        <f>MBunk_act!P$4</f>
        <v>0</v>
      </c>
      <c r="Q30" s="102">
        <f>MBunk_act!Q$4</f>
        <v>0</v>
      </c>
      <c r="R30" s="102">
        <f>MBunk_act!R$4</f>
        <v>0</v>
      </c>
      <c r="S30" s="102">
        <f>MBunk_act!S$4</f>
        <v>0</v>
      </c>
      <c r="T30" s="102">
        <f>MBunk_act!T$4</f>
        <v>0</v>
      </c>
      <c r="U30" s="102">
        <f>MBunk_act!U$4</f>
        <v>0</v>
      </c>
      <c r="V30" s="102">
        <f>MBunk_act!V$4</f>
        <v>0</v>
      </c>
      <c r="W30" s="102">
        <f>MBunk_act!W$4</f>
        <v>0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0</v>
      </c>
      <c r="C31" s="86">
        <f>MBunk_act!C$5</f>
        <v>0</v>
      </c>
      <c r="D31" s="86">
        <f>MBunk_act!D$5</f>
        <v>0</v>
      </c>
      <c r="E31" s="86">
        <f>MBunk_act!E$5</f>
        <v>0</v>
      </c>
      <c r="F31" s="86">
        <f>MBunk_act!F$5</f>
        <v>0</v>
      </c>
      <c r="G31" s="86">
        <f>MBunk_act!G$5</f>
        <v>0</v>
      </c>
      <c r="H31" s="86">
        <f>MBunk_act!H$5</f>
        <v>0</v>
      </c>
      <c r="I31" s="86">
        <f>MBunk_act!I$5</f>
        <v>0</v>
      </c>
      <c r="J31" s="86">
        <f>MBunk_act!J$5</f>
        <v>0</v>
      </c>
      <c r="K31" s="86">
        <f>MBunk_act!K$5</f>
        <v>0</v>
      </c>
      <c r="L31" s="86">
        <f>MBunk_act!L$5</f>
        <v>0</v>
      </c>
      <c r="M31" s="86">
        <f>MBunk_act!M$5</f>
        <v>0</v>
      </c>
      <c r="N31" s="86">
        <f>MBunk_act!N$5</f>
        <v>0</v>
      </c>
      <c r="O31" s="86">
        <f>MBunk_act!O$5</f>
        <v>0</v>
      </c>
      <c r="P31" s="86">
        <f>MBunk_act!P$5</f>
        <v>0</v>
      </c>
      <c r="Q31" s="86">
        <f>MBunk_act!Q$5</f>
        <v>0</v>
      </c>
      <c r="R31" s="86">
        <f>MBunk_act!R$5</f>
        <v>0</v>
      </c>
      <c r="S31" s="86">
        <f>MBunk_act!S$5</f>
        <v>0</v>
      </c>
      <c r="T31" s="86">
        <f>MBunk_act!T$5</f>
        <v>0</v>
      </c>
      <c r="U31" s="86">
        <f>MBunk_act!U$5</f>
        <v>0</v>
      </c>
      <c r="V31" s="86">
        <f>MBunk_act!V$5</f>
        <v>0</v>
      </c>
      <c r="W31" s="86">
        <f>MBunk_act!W$5</f>
        <v>0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997.6671226192426</v>
      </c>
      <c r="C34" s="28">
        <f t="shared" si="25"/>
        <v>1025.4236550716687</v>
      </c>
      <c r="D34" s="28">
        <f t="shared" si="25"/>
        <v>1177.1596354002925</v>
      </c>
      <c r="E34" s="28">
        <f t="shared" si="25"/>
        <v>1122.9572996168981</v>
      </c>
      <c r="F34" s="28">
        <f t="shared" si="25"/>
        <v>1040.8242813634843</v>
      </c>
      <c r="G34" s="28">
        <f t="shared" si="25"/>
        <v>1091.642029148928</v>
      </c>
      <c r="H34" s="28">
        <f t="shared" si="25"/>
        <v>1071.4184724401798</v>
      </c>
      <c r="I34" s="28">
        <f t="shared" si="25"/>
        <v>1153.6299606435057</v>
      </c>
      <c r="J34" s="28">
        <f t="shared" si="25"/>
        <v>1208.5381640264827</v>
      </c>
      <c r="K34" s="28">
        <f t="shared" si="25"/>
        <v>1126.1716785455997</v>
      </c>
      <c r="L34" s="28">
        <f t="shared" si="25"/>
        <v>1139.9042211598103</v>
      </c>
      <c r="M34" s="28">
        <f t="shared" si="25"/>
        <v>1123.9154120851144</v>
      </c>
      <c r="N34" s="28">
        <f t="shared" si="25"/>
        <v>1093.6293135833619</v>
      </c>
      <c r="O34" s="28">
        <f t="shared" si="25"/>
        <v>1095.9503888263814</v>
      </c>
      <c r="P34" s="28">
        <f t="shared" si="25"/>
        <v>1087.3485876468171</v>
      </c>
      <c r="Q34" s="28">
        <f t="shared" si="25"/>
        <v>1112.0033450764079</v>
      </c>
      <c r="R34" s="28">
        <f t="shared" ref="R34:V34" si="26">R35+R39+R43</f>
        <v>1123.9186457419078</v>
      </c>
      <c r="S34" s="28">
        <f t="shared" si="26"/>
        <v>1143.7009159408733</v>
      </c>
      <c r="T34" s="28">
        <f t="shared" si="26"/>
        <v>1124.812522691494</v>
      </c>
      <c r="U34" s="28">
        <f t="shared" si="26"/>
        <v>1109.2232255893889</v>
      </c>
      <c r="V34" s="28">
        <f t="shared" si="26"/>
        <v>1001.2810696697034</v>
      </c>
      <c r="W34" s="28">
        <f t="shared" ref="W34" si="27">W35+W39+W43</f>
        <v>1025.9657326554654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937.81645988710511</v>
      </c>
      <c r="C35" s="137">
        <f t="shared" si="28"/>
        <v>968.44449543121459</v>
      </c>
      <c r="D35" s="137">
        <f t="shared" si="28"/>
        <v>1106.1365579669152</v>
      </c>
      <c r="E35" s="137">
        <f t="shared" si="28"/>
        <v>1064.6783690150901</v>
      </c>
      <c r="F35" s="137">
        <f t="shared" si="28"/>
        <v>990.04698019017462</v>
      </c>
      <c r="G35" s="137">
        <f t="shared" si="28"/>
        <v>1031.0691885093959</v>
      </c>
      <c r="H35" s="137">
        <f t="shared" si="28"/>
        <v>1008.4901170602272</v>
      </c>
      <c r="I35" s="137">
        <f t="shared" si="28"/>
        <v>1082.2118159463362</v>
      </c>
      <c r="J35" s="137">
        <f t="shared" si="28"/>
        <v>1123.7625844517602</v>
      </c>
      <c r="K35" s="137">
        <f t="shared" si="28"/>
        <v>1058.5356996279427</v>
      </c>
      <c r="L35" s="137">
        <f t="shared" si="28"/>
        <v>1077.107296793406</v>
      </c>
      <c r="M35" s="137">
        <f t="shared" si="28"/>
        <v>1059.1816546492844</v>
      </c>
      <c r="N35" s="137">
        <f t="shared" si="28"/>
        <v>1034.6624146149013</v>
      </c>
      <c r="O35" s="137">
        <f t="shared" si="28"/>
        <v>1033.2859399343265</v>
      </c>
      <c r="P35" s="137">
        <f t="shared" si="28"/>
        <v>1028.4680612235234</v>
      </c>
      <c r="Q35" s="137">
        <f t="shared" si="28"/>
        <v>1039.1131563018571</v>
      </c>
      <c r="R35" s="137">
        <f t="shared" ref="R35:V35" si="29">R36+R37+R38</f>
        <v>1045.7443507001763</v>
      </c>
      <c r="S35" s="137">
        <f t="shared" si="29"/>
        <v>1073.3630565407791</v>
      </c>
      <c r="T35" s="137">
        <f t="shared" si="29"/>
        <v>1047.8748288927486</v>
      </c>
      <c r="U35" s="137">
        <f t="shared" si="29"/>
        <v>1037.1173924058128</v>
      </c>
      <c r="V35" s="137">
        <f t="shared" si="29"/>
        <v>952.21510012815634</v>
      </c>
      <c r="W35" s="137">
        <f t="shared" ref="W35" si="30">W36+W37+W38</f>
        <v>980.41492449666157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2.0288890582460555</v>
      </c>
      <c r="C36" s="102">
        <f>TrRoad_ene!C$19</f>
        <v>2.1427536891613213</v>
      </c>
      <c r="D36" s="102">
        <f>TrRoad_ene!D$19</f>
        <v>1.8759243386483722</v>
      </c>
      <c r="E36" s="102">
        <f>TrRoad_ene!E$19</f>
        <v>1.9084955859327812</v>
      </c>
      <c r="F36" s="102">
        <f>TrRoad_ene!F$19</f>
        <v>2.0127126436448322</v>
      </c>
      <c r="G36" s="102">
        <f>TrRoad_ene!G$19</f>
        <v>2.2032544833815808</v>
      </c>
      <c r="H36" s="102">
        <f>TrRoad_ene!H$19</f>
        <v>2.2847192288984401</v>
      </c>
      <c r="I36" s="102">
        <f>TrRoad_ene!I$19</f>
        <v>2.4928331355518627</v>
      </c>
      <c r="J36" s="102">
        <f>TrRoad_ene!J$19</f>
        <v>2.7003008367837618</v>
      </c>
      <c r="K36" s="102">
        <f>TrRoad_ene!K$19</f>
        <v>2.3507534764741091</v>
      </c>
      <c r="L36" s="102">
        <f>TrRoad_ene!L$19</f>
        <v>2.1534188410436284</v>
      </c>
      <c r="M36" s="102">
        <f>TrRoad_ene!M$19</f>
        <v>2.5959685694455077</v>
      </c>
      <c r="N36" s="102">
        <f>TrRoad_ene!N$19</f>
        <v>3.0283073961875178</v>
      </c>
      <c r="O36" s="102">
        <f>TrRoad_ene!O$19</f>
        <v>3.0798640976292031</v>
      </c>
      <c r="P36" s="102">
        <f>TrRoad_ene!P$19</f>
        <v>3.405650976103781</v>
      </c>
      <c r="Q36" s="102">
        <f>TrRoad_ene!Q$19</f>
        <v>3.7710729010453989</v>
      </c>
      <c r="R36" s="102">
        <f>TrRoad_ene!R$19</f>
        <v>3.9859474382042221</v>
      </c>
      <c r="S36" s="102">
        <f>TrRoad_ene!S$19</f>
        <v>3.7792840199623345</v>
      </c>
      <c r="T36" s="102">
        <f>TrRoad_ene!T$19</f>
        <v>3.616228677541153</v>
      </c>
      <c r="U36" s="102">
        <f>TrRoad_ene!U$19</f>
        <v>3.8536912722932644</v>
      </c>
      <c r="V36" s="102">
        <f>TrRoad_ene!V$19</f>
        <v>3.4624667386537795</v>
      </c>
      <c r="W36" s="102">
        <f>TrRoad_ene!W$19</f>
        <v>3.3250976192131776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754.61070075574833</v>
      </c>
      <c r="C37" s="102">
        <f>TrRoad_ene!C$21</f>
        <v>792.21080117306576</v>
      </c>
      <c r="D37" s="102">
        <f>TrRoad_ene!D$21</f>
        <v>931.94920115100911</v>
      </c>
      <c r="E37" s="102">
        <f>TrRoad_ene!E$21</f>
        <v>887.22847708075358</v>
      </c>
      <c r="F37" s="102">
        <f>TrRoad_ene!F$21</f>
        <v>826.13018414154396</v>
      </c>
      <c r="G37" s="102">
        <f>TrRoad_ene!G$21</f>
        <v>872.84477626066848</v>
      </c>
      <c r="H37" s="102">
        <f>TrRoad_ene!H$21</f>
        <v>847.42039662284617</v>
      </c>
      <c r="I37" s="102">
        <f>TrRoad_ene!I$21</f>
        <v>890.19392903196945</v>
      </c>
      <c r="J37" s="102">
        <f>TrRoad_ene!J$21</f>
        <v>935.75745544704046</v>
      </c>
      <c r="K37" s="102">
        <f>TrRoad_ene!K$21</f>
        <v>885.29980985289194</v>
      </c>
      <c r="L37" s="102">
        <f>TrRoad_ene!L$21</f>
        <v>906.0409522929549</v>
      </c>
      <c r="M37" s="102">
        <f>TrRoad_ene!M$21</f>
        <v>897.48098745699247</v>
      </c>
      <c r="N37" s="102">
        <f>TrRoad_ene!N$21</f>
        <v>873.78786659529305</v>
      </c>
      <c r="O37" s="102">
        <f>TrRoad_ene!O$21</f>
        <v>876.92781397039448</v>
      </c>
      <c r="P37" s="102">
        <f>TrRoad_ene!P$21</f>
        <v>869.32453957787948</v>
      </c>
      <c r="Q37" s="102">
        <f>TrRoad_ene!Q$21</f>
        <v>880.43850228570386</v>
      </c>
      <c r="R37" s="102">
        <f>TrRoad_ene!R$21</f>
        <v>888.8432484124836</v>
      </c>
      <c r="S37" s="102">
        <f>TrRoad_ene!S$21</f>
        <v>906.15336951698237</v>
      </c>
      <c r="T37" s="102">
        <f>TrRoad_ene!T$21</f>
        <v>874.99700069528183</v>
      </c>
      <c r="U37" s="102">
        <f>TrRoad_ene!U$21</f>
        <v>861.62431177354995</v>
      </c>
      <c r="V37" s="102">
        <f>TrRoad_ene!V$21</f>
        <v>800.77216427801693</v>
      </c>
      <c r="W37" s="102">
        <f>TrRoad_ene!W$21</f>
        <v>827.3260603839658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181.17687007311082</v>
      </c>
      <c r="C38" s="102">
        <f>TrRoad_ene!C$33</f>
        <v>174.09094056898755</v>
      </c>
      <c r="D38" s="102">
        <f>TrRoad_ene!D$33</f>
        <v>172.31143247725777</v>
      </c>
      <c r="E38" s="102">
        <f>TrRoad_ene!E$33</f>
        <v>175.54139634840377</v>
      </c>
      <c r="F38" s="102">
        <f>TrRoad_ene!F$33</f>
        <v>161.90408340498584</v>
      </c>
      <c r="G38" s="102">
        <f>TrRoad_ene!G$33</f>
        <v>156.02115776534578</v>
      </c>
      <c r="H38" s="102">
        <f>TrRoad_ene!H$33</f>
        <v>158.78500120848258</v>
      </c>
      <c r="I38" s="102">
        <f>TrRoad_ene!I$33</f>
        <v>189.52505377881494</v>
      </c>
      <c r="J38" s="102">
        <f>TrRoad_ene!J$33</f>
        <v>185.30482816793599</v>
      </c>
      <c r="K38" s="102">
        <f>TrRoad_ene!K$33</f>
        <v>170.88513629857667</v>
      </c>
      <c r="L38" s="102">
        <f>TrRoad_ene!L$33</f>
        <v>168.91292565940751</v>
      </c>
      <c r="M38" s="102">
        <f>TrRoad_ene!M$33</f>
        <v>159.10469862284631</v>
      </c>
      <c r="N38" s="102">
        <f>TrRoad_ene!N$33</f>
        <v>157.84624062342064</v>
      </c>
      <c r="O38" s="102">
        <f>TrRoad_ene!O$33</f>
        <v>153.27826186630293</v>
      </c>
      <c r="P38" s="102">
        <f>TrRoad_ene!P$33</f>
        <v>155.73787066954017</v>
      </c>
      <c r="Q38" s="102">
        <f>TrRoad_ene!Q$33</f>
        <v>154.90358111510781</v>
      </c>
      <c r="R38" s="102">
        <f>TrRoad_ene!R$33</f>
        <v>152.91515484948837</v>
      </c>
      <c r="S38" s="102">
        <f>TrRoad_ene!S$33</f>
        <v>163.43040300383439</v>
      </c>
      <c r="T38" s="102">
        <f>TrRoad_ene!T$33</f>
        <v>169.26159951992565</v>
      </c>
      <c r="U38" s="102">
        <f>TrRoad_ene!U$33</f>
        <v>171.63938935996958</v>
      </c>
      <c r="V38" s="102">
        <f>TrRoad_ene!V$33</f>
        <v>147.98046911148555</v>
      </c>
      <c r="W38" s="102">
        <f>TrRoad_ene!W$33</f>
        <v>149.76376649348268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33.282821120330524</v>
      </c>
      <c r="C39" s="110">
        <f t="shared" si="31"/>
        <v>26.75373764040555</v>
      </c>
      <c r="D39" s="110">
        <f t="shared" si="31"/>
        <v>25.037996632513924</v>
      </c>
      <c r="E39" s="110">
        <f t="shared" si="31"/>
        <v>25.10822694938787</v>
      </c>
      <c r="F39" s="110">
        <f t="shared" si="31"/>
        <v>24.142086070778991</v>
      </c>
      <c r="G39" s="110">
        <f t="shared" si="31"/>
        <v>21.555897642211075</v>
      </c>
      <c r="H39" s="110">
        <f t="shared" si="31"/>
        <v>23.257091895616984</v>
      </c>
      <c r="I39" s="110">
        <f t="shared" si="31"/>
        <v>22.207807261840077</v>
      </c>
      <c r="J39" s="110">
        <f t="shared" si="31"/>
        <v>22.370990144938656</v>
      </c>
      <c r="K39" s="110">
        <f t="shared" si="31"/>
        <v>23.14214036177508</v>
      </c>
      <c r="L39" s="110">
        <f t="shared" si="31"/>
        <v>22.81664260134983</v>
      </c>
      <c r="M39" s="110">
        <f t="shared" si="31"/>
        <v>22.920360364873389</v>
      </c>
      <c r="N39" s="110">
        <f t="shared" si="31"/>
        <v>23.486671114421409</v>
      </c>
      <c r="O39" s="110">
        <f t="shared" si="31"/>
        <v>23.183593240958086</v>
      </c>
      <c r="P39" s="110">
        <f t="shared" si="31"/>
        <v>24.861269328702761</v>
      </c>
      <c r="Q39" s="110">
        <f t="shared" si="31"/>
        <v>30.878826173624667</v>
      </c>
      <c r="R39" s="110">
        <f t="shared" ref="R39:V39" si="32">R40+R41+R42</f>
        <v>29.853695803496766</v>
      </c>
      <c r="S39" s="110">
        <f t="shared" si="32"/>
        <v>31.366108176909307</v>
      </c>
      <c r="T39" s="110">
        <f t="shared" si="32"/>
        <v>30.473500299199177</v>
      </c>
      <c r="U39" s="110">
        <f t="shared" si="32"/>
        <v>27.489574494432112</v>
      </c>
      <c r="V39" s="110">
        <f t="shared" si="32"/>
        <v>22.848090697536197</v>
      </c>
      <c r="W39" s="110">
        <f t="shared" ref="W39" si="33">W40+W41+W42</f>
        <v>24.370431419105802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1.6487963274288313</v>
      </c>
      <c r="C40" s="102">
        <f>TrRail_ene!C$12</f>
        <v>1.653798434219919</v>
      </c>
      <c r="D40" s="102">
        <f>TrRail_ene!D$12</f>
        <v>1.6662111464953395</v>
      </c>
      <c r="E40" s="102">
        <f>TrRail_ene!E$12</f>
        <v>1.6946803458022206</v>
      </c>
      <c r="F40" s="102">
        <f>TrRail_ene!F$12</f>
        <v>1.6874359418163525</v>
      </c>
      <c r="G40" s="102">
        <f>TrRail_ene!G$12</f>
        <v>1.7677688903350695</v>
      </c>
      <c r="H40" s="102">
        <f>TrRail_ene!H$12</f>
        <v>1.7281670296097471</v>
      </c>
      <c r="I40" s="102">
        <f>TrRail_ene!I$12</f>
        <v>1.8176441388474902</v>
      </c>
      <c r="J40" s="102">
        <f>TrRail_ene!J$12</f>
        <v>1.6054284463157671</v>
      </c>
      <c r="K40" s="102">
        <f>TrRail_ene!K$12</f>
        <v>1.2718413193626341</v>
      </c>
      <c r="L40" s="102">
        <f>TrRail_ene!L$12</f>
        <v>1.2169133518841124</v>
      </c>
      <c r="M40" s="102">
        <f>TrRail_ene!M$12</f>
        <v>1.2768378747367093</v>
      </c>
      <c r="N40" s="102">
        <f>TrRail_ene!N$12</f>
        <v>1.1891381493681936</v>
      </c>
      <c r="O40" s="102">
        <f>TrRail_ene!O$12</f>
        <v>1.1088689120098321</v>
      </c>
      <c r="P40" s="102">
        <f>TrRail_ene!P$12</f>
        <v>1.016161166963671</v>
      </c>
      <c r="Q40" s="102">
        <f>TrRail_ene!Q$12</f>
        <v>0.9345736516221701</v>
      </c>
      <c r="R40" s="102">
        <f>TrRail_ene!R$12</f>
        <v>1.1047902960453311</v>
      </c>
      <c r="S40" s="102">
        <f>TrRail_ene!S$12</f>
        <v>1.0168938266059324</v>
      </c>
      <c r="T40" s="102">
        <f>TrRail_ene!T$12</f>
        <v>1.0115695837178786</v>
      </c>
      <c r="U40" s="102">
        <f>TrRail_ene!U$12</f>
        <v>1.0029891760529286</v>
      </c>
      <c r="V40" s="102">
        <f>TrRail_ene!V$12</f>
        <v>0.99003262345296539</v>
      </c>
      <c r="W40" s="102">
        <f>TrRail_ene!W$12</f>
        <v>0.99997440215922739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31.634024792901695</v>
      </c>
      <c r="C41" s="102">
        <f>TrRail_ene!C$13</f>
        <v>25.099939206185631</v>
      </c>
      <c r="D41" s="102">
        <f>TrRail_ene!D$13</f>
        <v>23.371785486018585</v>
      </c>
      <c r="E41" s="102">
        <f>TrRail_ene!E$13</f>
        <v>23.413546603585651</v>
      </c>
      <c r="F41" s="102">
        <f>TrRail_ene!F$13</f>
        <v>22.454650128962637</v>
      </c>
      <c r="G41" s="102">
        <f>TrRail_ene!G$13</f>
        <v>19.788128751876005</v>
      </c>
      <c r="H41" s="102">
        <f>TrRail_ene!H$13</f>
        <v>21.528924866007237</v>
      </c>
      <c r="I41" s="102">
        <f>TrRail_ene!I$13</f>
        <v>20.390163122992586</v>
      </c>
      <c r="J41" s="102">
        <f>TrRail_ene!J$13</f>
        <v>20.765561698622889</v>
      </c>
      <c r="K41" s="102">
        <f>TrRail_ene!K$13</f>
        <v>21.870299042412448</v>
      </c>
      <c r="L41" s="102">
        <f>TrRail_ene!L$13</f>
        <v>21.599729249465717</v>
      </c>
      <c r="M41" s="102">
        <f>TrRail_ene!M$13</f>
        <v>21.643522490136679</v>
      </c>
      <c r="N41" s="102">
        <f>TrRail_ene!N$13</f>
        <v>22.297532965053215</v>
      </c>
      <c r="O41" s="102">
        <f>TrRail_ene!O$13</f>
        <v>22.074724328948253</v>
      </c>
      <c r="P41" s="102">
        <f>TrRail_ene!P$13</f>
        <v>23.845108161739091</v>
      </c>
      <c r="Q41" s="102">
        <f>TrRail_ene!Q$13</f>
        <v>29.944252522002497</v>
      </c>
      <c r="R41" s="102">
        <f>TrRail_ene!R$13</f>
        <v>28.748905507451436</v>
      </c>
      <c r="S41" s="102">
        <f>TrRail_ene!S$13</f>
        <v>30.349214350303374</v>
      </c>
      <c r="T41" s="102">
        <f>TrRail_ene!T$13</f>
        <v>29.461930715481298</v>
      </c>
      <c r="U41" s="102">
        <f>TrRail_ene!U$13</f>
        <v>26.486585318379184</v>
      </c>
      <c r="V41" s="102">
        <f>TrRail_ene!V$13</f>
        <v>21.858058074083232</v>
      </c>
      <c r="W41" s="102">
        <f>TrRail_ene!W$13</f>
        <v>23.370457016946574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26.567841611807019</v>
      </c>
      <c r="C43" s="110">
        <f t="shared" si="34"/>
        <v>30.225422000048475</v>
      </c>
      <c r="D43" s="110">
        <f t="shared" si="34"/>
        <v>45.98508080086313</v>
      </c>
      <c r="E43" s="110">
        <f t="shared" si="34"/>
        <v>33.170703652420137</v>
      </c>
      <c r="F43" s="110">
        <f t="shared" si="34"/>
        <v>26.635215102530765</v>
      </c>
      <c r="G43" s="110">
        <f t="shared" si="34"/>
        <v>39.016942997321095</v>
      </c>
      <c r="H43" s="110">
        <f t="shared" si="34"/>
        <v>39.671263484335697</v>
      </c>
      <c r="I43" s="110">
        <f t="shared" si="34"/>
        <v>49.210337435329407</v>
      </c>
      <c r="J43" s="110">
        <f t="shared" si="34"/>
        <v>62.404589429783954</v>
      </c>
      <c r="K43" s="110">
        <f t="shared" si="34"/>
        <v>44.493838555881929</v>
      </c>
      <c r="L43" s="110">
        <f t="shared" si="34"/>
        <v>39.980281765054279</v>
      </c>
      <c r="M43" s="110">
        <f t="shared" si="34"/>
        <v>41.813397070956711</v>
      </c>
      <c r="N43" s="110">
        <f t="shared" si="34"/>
        <v>35.480227854039171</v>
      </c>
      <c r="O43" s="110">
        <f t="shared" si="34"/>
        <v>39.480855651096789</v>
      </c>
      <c r="P43" s="110">
        <f t="shared" si="34"/>
        <v>34.01925709459109</v>
      </c>
      <c r="Q43" s="110">
        <f t="shared" si="34"/>
        <v>42.011362600926184</v>
      </c>
      <c r="R43" s="110">
        <f t="shared" ref="R43:V43" si="35">R44+R45+R46</f>
        <v>48.320599238234763</v>
      </c>
      <c r="S43" s="110">
        <f t="shared" si="35"/>
        <v>38.971751223184746</v>
      </c>
      <c r="T43" s="110">
        <f t="shared" si="35"/>
        <v>46.464193499546028</v>
      </c>
      <c r="U43" s="110">
        <f t="shared" si="35"/>
        <v>44.616258689143969</v>
      </c>
      <c r="V43" s="110">
        <f t="shared" si="35"/>
        <v>26.217878844010784</v>
      </c>
      <c r="W43" s="110">
        <f t="shared" ref="W43" si="36">W44+W45+W46</f>
        <v>21.180376739698062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16.158100131027851</v>
      </c>
      <c r="C45" s="102">
        <f>TrAvia_ene!C$8</f>
        <v>18.364026167820192</v>
      </c>
      <c r="D45" s="102">
        <f>TrAvia_ene!D$8</f>
        <v>24.276147968729845</v>
      </c>
      <c r="E45" s="102">
        <f>TrAvia_ene!E$8</f>
        <v>17.985772302956217</v>
      </c>
      <c r="F45" s="102">
        <f>TrAvia_ene!F$8</f>
        <v>15.328476808610347</v>
      </c>
      <c r="G45" s="102">
        <f>TrAvia_ene!G$8</f>
        <v>23.646627043713462</v>
      </c>
      <c r="H45" s="102">
        <f>TrAvia_ene!H$8</f>
        <v>25.387500776577788</v>
      </c>
      <c r="I45" s="102">
        <f>TrAvia_ene!I$8</f>
        <v>32.101292154640596</v>
      </c>
      <c r="J45" s="102">
        <f>TrAvia_ene!J$8</f>
        <v>42.62293574258247</v>
      </c>
      <c r="K45" s="102">
        <f>TrAvia_ene!K$8</f>
        <v>28.96774765340863</v>
      </c>
      <c r="L45" s="102">
        <f>TrAvia_ene!L$8</f>
        <v>25.075509327150396</v>
      </c>
      <c r="M45" s="102">
        <f>TrAvia_ene!M$8</f>
        <v>25.680097693136151</v>
      </c>
      <c r="N45" s="102">
        <f>TrAvia_ene!N$8</f>
        <v>21.59453704564238</v>
      </c>
      <c r="O45" s="102">
        <f>TrAvia_ene!O$8</f>
        <v>23.892949464801958</v>
      </c>
      <c r="P45" s="102">
        <f>TrAvia_ene!P$8</f>
        <v>21.132521658739922</v>
      </c>
      <c r="Q45" s="102">
        <f>TrAvia_ene!Q$8</f>
        <v>26.958995842153307</v>
      </c>
      <c r="R45" s="102">
        <f>TrAvia_ene!R$8</f>
        <v>31.629441427339657</v>
      </c>
      <c r="S45" s="102">
        <f>TrAvia_ene!S$8</f>
        <v>25.205470616497749</v>
      </c>
      <c r="T45" s="102">
        <f>TrAvia_ene!T$8</f>
        <v>30.324866073684269</v>
      </c>
      <c r="U45" s="102">
        <f>TrAvia_ene!U$8</f>
        <v>29.05500504895781</v>
      </c>
      <c r="V45" s="102">
        <f>TrAvia_ene!V$8</f>
        <v>14.50909182210523</v>
      </c>
      <c r="W45" s="102">
        <f>TrAvia_ene!W$8</f>
        <v>12.541704130652626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10.40974148077917</v>
      </c>
      <c r="C46" s="102">
        <f>TrAvia_ene!C$9</f>
        <v>11.861395832228283</v>
      </c>
      <c r="D46" s="102">
        <f>TrAvia_ene!D$9</f>
        <v>21.708932832133282</v>
      </c>
      <c r="E46" s="102">
        <f>TrAvia_ene!E$9</f>
        <v>15.18493134946392</v>
      </c>
      <c r="F46" s="102">
        <f>TrAvia_ene!F$9</f>
        <v>11.30673829392042</v>
      </c>
      <c r="G46" s="102">
        <f>TrAvia_ene!G$9</f>
        <v>15.370315953607632</v>
      </c>
      <c r="H46" s="102">
        <f>TrAvia_ene!H$9</f>
        <v>14.283762707757905</v>
      </c>
      <c r="I46" s="102">
        <f>TrAvia_ene!I$9</f>
        <v>17.109045280688814</v>
      </c>
      <c r="J46" s="102">
        <f>TrAvia_ene!J$9</f>
        <v>19.781653687201484</v>
      </c>
      <c r="K46" s="102">
        <f>TrAvia_ene!K$9</f>
        <v>15.526090902473298</v>
      </c>
      <c r="L46" s="102">
        <f>TrAvia_ene!L$9</f>
        <v>14.904772437903882</v>
      </c>
      <c r="M46" s="102">
        <f>TrAvia_ene!M$9</f>
        <v>16.133299377820556</v>
      </c>
      <c r="N46" s="102">
        <f>TrAvia_ene!N$9</f>
        <v>13.88569080839679</v>
      </c>
      <c r="O46" s="102">
        <f>TrAvia_ene!O$9</f>
        <v>15.587906186294829</v>
      </c>
      <c r="P46" s="102">
        <f>TrAvia_ene!P$9</f>
        <v>12.886735435851167</v>
      </c>
      <c r="Q46" s="102">
        <f>TrAvia_ene!Q$9</f>
        <v>15.052366758772875</v>
      </c>
      <c r="R46" s="102">
        <f>TrAvia_ene!R$9</f>
        <v>16.691157810895106</v>
      </c>
      <c r="S46" s="102">
        <f>TrAvia_ene!S$9</f>
        <v>13.766280606686999</v>
      </c>
      <c r="T46" s="102">
        <f>TrAvia_ene!T$9</f>
        <v>16.139327425861762</v>
      </c>
      <c r="U46" s="102">
        <f>TrAvia_ene!U$9</f>
        <v>15.561253640186159</v>
      </c>
      <c r="V46" s="102">
        <f>TrAvia_ene!V$9</f>
        <v>11.708787021905554</v>
      </c>
      <c r="W46" s="102">
        <f>TrAvia_ene!W$9</f>
        <v>8.638672609045436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459.22359105229611</v>
      </c>
      <c r="C47" s="28">
        <f t="shared" si="37"/>
        <v>448.69921681139243</v>
      </c>
      <c r="D47" s="28">
        <f t="shared" si="37"/>
        <v>617.6060567751158</v>
      </c>
      <c r="E47" s="28">
        <f t="shared" si="37"/>
        <v>484.73986289384982</v>
      </c>
      <c r="F47" s="28">
        <f t="shared" si="37"/>
        <v>548.10572723496784</v>
      </c>
      <c r="G47" s="28">
        <f t="shared" si="37"/>
        <v>690.81016345640285</v>
      </c>
      <c r="H47" s="28">
        <f t="shared" si="37"/>
        <v>764.19648886678465</v>
      </c>
      <c r="I47" s="28">
        <f t="shared" si="37"/>
        <v>879.30159567635644</v>
      </c>
      <c r="J47" s="28">
        <f t="shared" si="37"/>
        <v>978.84343528564023</v>
      </c>
      <c r="K47" s="28">
        <f t="shared" si="37"/>
        <v>819.56047966592166</v>
      </c>
      <c r="L47" s="28">
        <f t="shared" si="37"/>
        <v>1105.2316967058466</v>
      </c>
      <c r="M47" s="28">
        <f t="shared" si="37"/>
        <v>1087.1227414908101</v>
      </c>
      <c r="N47" s="28">
        <f t="shared" si="37"/>
        <v>1044.6453284160414</v>
      </c>
      <c r="O47" s="28">
        <f t="shared" si="37"/>
        <v>1049.4423831483425</v>
      </c>
      <c r="P47" s="28">
        <f t="shared" si="37"/>
        <v>1037.0791040566808</v>
      </c>
      <c r="Q47" s="28">
        <f t="shared" si="37"/>
        <v>1013.508264457046</v>
      </c>
      <c r="R47" s="28">
        <f t="shared" ref="R47:V47" si="38">R48+R51+R52+R56</f>
        <v>1219.6700994871551</v>
      </c>
      <c r="S47" s="28">
        <f t="shared" si="38"/>
        <v>1525.8048185062944</v>
      </c>
      <c r="T47" s="28">
        <f t="shared" si="38"/>
        <v>1540.8277456675917</v>
      </c>
      <c r="U47" s="28">
        <f t="shared" si="38"/>
        <v>1549.3789136134687</v>
      </c>
      <c r="V47" s="28">
        <f t="shared" si="38"/>
        <v>1442.4042642289864</v>
      </c>
      <c r="W47" s="28">
        <f t="shared" ref="W47" si="39">W48+W51+W52+W56</f>
        <v>1559.3008831981756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386.33411878873289</v>
      </c>
      <c r="C48" s="137">
        <f t="shared" si="40"/>
        <v>388.85065676139072</v>
      </c>
      <c r="D48" s="137">
        <f t="shared" si="40"/>
        <v>567.54261925578442</v>
      </c>
      <c r="E48" s="137">
        <f t="shared" si="40"/>
        <v>441.9736060493982</v>
      </c>
      <c r="F48" s="137">
        <f t="shared" si="40"/>
        <v>501.97769736786483</v>
      </c>
      <c r="G48" s="137">
        <f t="shared" si="40"/>
        <v>651.24749076833393</v>
      </c>
      <c r="H48" s="137">
        <f t="shared" si="40"/>
        <v>731.11453040322908</v>
      </c>
      <c r="I48" s="137">
        <f t="shared" si="40"/>
        <v>842.22978938470396</v>
      </c>
      <c r="J48" s="137">
        <f t="shared" si="40"/>
        <v>939.96059181651071</v>
      </c>
      <c r="K48" s="137">
        <f t="shared" si="40"/>
        <v>792.99811980455888</v>
      </c>
      <c r="L48" s="137">
        <f t="shared" si="40"/>
        <v>1070.7487414505827</v>
      </c>
      <c r="M48" s="137">
        <f t="shared" si="40"/>
        <v>1052.3951059773713</v>
      </c>
      <c r="N48" s="137">
        <f t="shared" si="40"/>
        <v>1012.3247544696266</v>
      </c>
      <c r="O48" s="137">
        <f t="shared" si="40"/>
        <v>1012.6323161332606</v>
      </c>
      <c r="P48" s="137">
        <f t="shared" si="40"/>
        <v>1003.7991893793728</v>
      </c>
      <c r="Q48" s="137">
        <f t="shared" si="40"/>
        <v>983.46180318860456</v>
      </c>
      <c r="R48" s="137">
        <f t="shared" ref="R48:V48" si="41">R49+R50</f>
        <v>1186.2936008917413</v>
      </c>
      <c r="S48" s="137">
        <f t="shared" si="41"/>
        <v>1494.859461225391</v>
      </c>
      <c r="T48" s="137">
        <f t="shared" si="41"/>
        <v>1511.2667868438089</v>
      </c>
      <c r="U48" s="137">
        <f t="shared" si="41"/>
        <v>1519.7906401762366</v>
      </c>
      <c r="V48" s="137">
        <f t="shared" si="41"/>
        <v>1409.5870076312385</v>
      </c>
      <c r="W48" s="137">
        <f t="shared" ref="W48" si="42">W49+W50</f>
        <v>1525.0464531798516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177.97698938175273</v>
      </c>
      <c r="C49" s="102">
        <f>TrRoad_ene!C$43</f>
        <v>184.83230361625652</v>
      </c>
      <c r="D49" s="102">
        <f>TrRoad_ene!D$43</f>
        <v>217.32660849471256</v>
      </c>
      <c r="E49" s="102">
        <f>TrRoad_ene!E$43</f>
        <v>203.36486942754649</v>
      </c>
      <c r="F49" s="102">
        <f>TrRoad_ene!F$43</f>
        <v>216.76150689209371</v>
      </c>
      <c r="G49" s="102">
        <f>TrRoad_ene!G$43</f>
        <v>241.1654285860981</v>
      </c>
      <c r="H49" s="102">
        <f>TrRoad_ene!H$43</f>
        <v>223.49668834083042</v>
      </c>
      <c r="I49" s="102">
        <f>TrRoad_ene!I$43</f>
        <v>267.49855972181763</v>
      </c>
      <c r="J49" s="102">
        <f>TrRoad_ene!J$43</f>
        <v>266.36856985631613</v>
      </c>
      <c r="K49" s="102">
        <f>TrRoad_ene!K$43</f>
        <v>263.12056880481623</v>
      </c>
      <c r="L49" s="102">
        <f>TrRoad_ene!L$43</f>
        <v>307.19280550064661</v>
      </c>
      <c r="M49" s="102">
        <f>TrRoad_ene!M$43</f>
        <v>322.98673590721688</v>
      </c>
      <c r="N49" s="102">
        <f>TrRoad_ene!N$43</f>
        <v>315.61577963753712</v>
      </c>
      <c r="O49" s="102">
        <f>TrRoad_ene!O$43</f>
        <v>277.8992460036701</v>
      </c>
      <c r="P49" s="102">
        <f>TrRoad_ene!P$43</f>
        <v>253.63764761835176</v>
      </c>
      <c r="Q49" s="102">
        <f>TrRoad_ene!Q$43</f>
        <v>277.30094457940686</v>
      </c>
      <c r="R49" s="102">
        <f>TrRoad_ene!R$43</f>
        <v>278.24719989692517</v>
      </c>
      <c r="S49" s="102">
        <f>TrRoad_ene!S$43</f>
        <v>299.65423289060669</v>
      </c>
      <c r="T49" s="102">
        <f>TrRoad_ene!T$43</f>
        <v>294.29588980558805</v>
      </c>
      <c r="U49" s="102">
        <f>TrRoad_ene!U$43</f>
        <v>291.93859923686534</v>
      </c>
      <c r="V49" s="102">
        <f>TrRoad_ene!V$43</f>
        <v>299.52244679191392</v>
      </c>
      <c r="W49" s="102">
        <f>TrRoad_ene!W$43</f>
        <v>286.06051924678417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208.35712940698014</v>
      </c>
      <c r="C50" s="102">
        <f>TrRoad_ene!C$52</f>
        <v>204.01835314513423</v>
      </c>
      <c r="D50" s="102">
        <f>TrRoad_ene!D$52</f>
        <v>350.21601076107186</v>
      </c>
      <c r="E50" s="102">
        <f>TrRoad_ene!E$52</f>
        <v>238.60873662185173</v>
      </c>
      <c r="F50" s="102">
        <f>TrRoad_ene!F$52</f>
        <v>285.21619047577116</v>
      </c>
      <c r="G50" s="102">
        <f>TrRoad_ene!G$52</f>
        <v>410.08206218223586</v>
      </c>
      <c r="H50" s="102">
        <f>TrRoad_ene!H$52</f>
        <v>507.61784206239872</v>
      </c>
      <c r="I50" s="102">
        <f>TrRoad_ene!I$52</f>
        <v>574.73122966288634</v>
      </c>
      <c r="J50" s="102">
        <f>TrRoad_ene!J$52</f>
        <v>673.59202196019464</v>
      </c>
      <c r="K50" s="102">
        <f>TrRoad_ene!K$52</f>
        <v>529.87755099974265</v>
      </c>
      <c r="L50" s="102">
        <f>TrRoad_ene!L$52</f>
        <v>763.55593594993593</v>
      </c>
      <c r="M50" s="102">
        <f>TrRoad_ene!M$52</f>
        <v>729.40837007015443</v>
      </c>
      <c r="N50" s="102">
        <f>TrRoad_ene!N$52</f>
        <v>696.70897483208944</v>
      </c>
      <c r="O50" s="102">
        <f>TrRoad_ene!O$52</f>
        <v>734.73307012959049</v>
      </c>
      <c r="P50" s="102">
        <f>TrRoad_ene!P$52</f>
        <v>750.16154176102111</v>
      </c>
      <c r="Q50" s="102">
        <f>TrRoad_ene!Q$52</f>
        <v>706.1608586091977</v>
      </c>
      <c r="R50" s="102">
        <f>TrRoad_ene!R$52</f>
        <v>908.04640099481617</v>
      </c>
      <c r="S50" s="102">
        <f>TrRoad_ene!S$52</f>
        <v>1195.2052283347844</v>
      </c>
      <c r="T50" s="102">
        <f>TrRoad_ene!T$52</f>
        <v>1216.9708970382208</v>
      </c>
      <c r="U50" s="102">
        <f>TrRoad_ene!U$52</f>
        <v>1227.8520409393714</v>
      </c>
      <c r="V50" s="102">
        <f>TrRoad_ene!V$52</f>
        <v>1110.0645608393247</v>
      </c>
      <c r="W50" s="102">
        <f>TrRoad_ene!W$52</f>
        <v>1238.9859339330674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49.692243368061561</v>
      </c>
      <c r="C51" s="110">
        <f>TrRail_ene!C$17</f>
        <v>32.317629513506745</v>
      </c>
      <c r="D51" s="110">
        <f>TrRail_ene!D$17</f>
        <v>29.906113427675237</v>
      </c>
      <c r="E51" s="110">
        <f>TrRail_ene!E$17</f>
        <v>30.609743815874385</v>
      </c>
      <c r="F51" s="110">
        <f>TrRail_ene!F$17</f>
        <v>29.770209715979391</v>
      </c>
      <c r="G51" s="110">
        <f>TrRail_ene!G$17</f>
        <v>20.920456614022807</v>
      </c>
      <c r="H51" s="110">
        <f>TrRail_ene!H$17</f>
        <v>22.056751612551537</v>
      </c>
      <c r="I51" s="110">
        <f>TrRail_ene!I$17</f>
        <v>21.988237450111772</v>
      </c>
      <c r="J51" s="110">
        <f>TrRail_ene!J$17</f>
        <v>18.557642701149049</v>
      </c>
      <c r="K51" s="110">
        <f>TrRail_ene!K$17</f>
        <v>13.315297299445897</v>
      </c>
      <c r="L51" s="110">
        <f>TrRail_ene!L$17</f>
        <v>16.994191448521189</v>
      </c>
      <c r="M51" s="110">
        <f>TrRail_ene!M$17</f>
        <v>16.804489162211731</v>
      </c>
      <c r="N51" s="110">
        <f>TrRail_ene!N$17</f>
        <v>14.432503434159841</v>
      </c>
      <c r="O51" s="110">
        <f>TrRail_ene!O$17</f>
        <v>18.948822924132195</v>
      </c>
      <c r="P51" s="110">
        <f>TrRail_ene!P$17</f>
        <v>16.325317085742626</v>
      </c>
      <c r="Q51" s="110">
        <f>TrRail_ene!Q$17</f>
        <v>12.973280447183587</v>
      </c>
      <c r="R51" s="110">
        <f>TrRail_ene!R$17</f>
        <v>14.084395340097384</v>
      </c>
      <c r="S51" s="110">
        <f>TrRail_ene!S$17</f>
        <v>11.196230602110472</v>
      </c>
      <c r="T51" s="110">
        <f>TrRail_ene!T$17</f>
        <v>12.260807525392392</v>
      </c>
      <c r="U51" s="110">
        <f>TrRail_ene!U$17</f>
        <v>10.257631008577334</v>
      </c>
      <c r="V51" s="110">
        <f>TrRail_ene!V$17</f>
        <v>13.093439826969393</v>
      </c>
      <c r="W51" s="110">
        <f>TrRail_ene!W$17</f>
        <v>15.698356199122919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0.81822889550166011</v>
      </c>
      <c r="C52" s="110">
        <f t="shared" si="43"/>
        <v>0.80493053649494517</v>
      </c>
      <c r="D52" s="110">
        <f t="shared" si="43"/>
        <v>0.5432940916562069</v>
      </c>
      <c r="E52" s="110">
        <f t="shared" si="43"/>
        <v>0.7255130285772875</v>
      </c>
      <c r="F52" s="110">
        <f t="shared" si="43"/>
        <v>0.25782015112356998</v>
      </c>
      <c r="G52" s="110">
        <f t="shared" si="43"/>
        <v>0.28821607404606236</v>
      </c>
      <c r="H52" s="110">
        <f t="shared" si="43"/>
        <v>0.56020685100393608</v>
      </c>
      <c r="I52" s="110">
        <f t="shared" si="43"/>
        <v>0.43256884154074321</v>
      </c>
      <c r="J52" s="110">
        <f t="shared" si="43"/>
        <v>0.68320076798043938</v>
      </c>
      <c r="K52" s="110">
        <f t="shared" si="43"/>
        <v>1.0110625619168654</v>
      </c>
      <c r="L52" s="110">
        <f t="shared" si="43"/>
        <v>1.3887638067427983</v>
      </c>
      <c r="M52" s="110">
        <f t="shared" si="43"/>
        <v>1.6231463512272895</v>
      </c>
      <c r="N52" s="110">
        <f t="shared" si="43"/>
        <v>1.7510705122548922</v>
      </c>
      <c r="O52" s="110">
        <f t="shared" si="43"/>
        <v>1.8872440909496351</v>
      </c>
      <c r="P52" s="110">
        <f t="shared" si="43"/>
        <v>1.1435975915654142</v>
      </c>
      <c r="Q52" s="110">
        <f t="shared" si="43"/>
        <v>1.4251808212578181</v>
      </c>
      <c r="R52" s="110">
        <f t="shared" si="43"/>
        <v>1.3211032553163935</v>
      </c>
      <c r="S52" s="110">
        <f t="shared" si="43"/>
        <v>1.3621266787928943</v>
      </c>
      <c r="T52" s="110">
        <f t="shared" si="43"/>
        <v>1.1091512983903422</v>
      </c>
      <c r="U52" s="110">
        <f t="shared" si="43"/>
        <v>0.8886424286548108</v>
      </c>
      <c r="V52" s="110">
        <f t="shared" si="43"/>
        <v>2.7398167707785586</v>
      </c>
      <c r="W52" s="110">
        <f t="shared" ref="W52" si="44">W53+W54+W55</f>
        <v>1.5720738192013415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0.39698519686313538</v>
      </c>
      <c r="C54" s="102">
        <f>TrAvia_ene!C$12</f>
        <v>0.38205266876961019</v>
      </c>
      <c r="D54" s="102">
        <f>TrAvia_ene!D$12</f>
        <v>0.41886655319827237</v>
      </c>
      <c r="E54" s="102">
        <f>TrAvia_ene!E$12</f>
        <v>0.17829975112818575</v>
      </c>
      <c r="F54" s="102">
        <f>TrAvia_ene!F$12</f>
        <v>7.0592218759151129E-2</v>
      </c>
      <c r="G54" s="102">
        <f>TrAvia_ene!G$12</f>
        <v>5.846484482890911E-2</v>
      </c>
      <c r="H54" s="102">
        <f>TrAvia_ene!H$12</f>
        <v>4.9117541616509448E-2</v>
      </c>
      <c r="I54" s="102">
        <f>TrAvia_ene!I$12</f>
        <v>5.9768606828297946E-2</v>
      </c>
      <c r="J54" s="102">
        <f>TrAvia_ene!J$12</f>
        <v>0.51178399655546813</v>
      </c>
      <c r="K54" s="102">
        <f>TrAvia_ene!K$12</f>
        <v>0.89063877295326421</v>
      </c>
      <c r="L54" s="102">
        <f>TrAvia_ene!L$12</f>
        <v>1.0788614196377093</v>
      </c>
      <c r="M54" s="102">
        <f>TrAvia_ene!M$12</f>
        <v>1.5947862195775906</v>
      </c>
      <c r="N54" s="102">
        <f>TrAvia_ene!N$12</f>
        <v>1.7271990235237971</v>
      </c>
      <c r="O54" s="102">
        <f>TrAvia_ene!O$12</f>
        <v>1.8406869139004249</v>
      </c>
      <c r="P54" s="102">
        <f>TrAvia_ene!P$12</f>
        <v>0.91430916091217529</v>
      </c>
      <c r="Q54" s="102">
        <f>TrAvia_ene!Q$12</f>
        <v>1.2484566227606708</v>
      </c>
      <c r="R54" s="102">
        <f>TrAvia_ene!R$12</f>
        <v>1.1768073807816672</v>
      </c>
      <c r="S54" s="102">
        <f>TrAvia_ene!S$12</f>
        <v>1.3176676228226496</v>
      </c>
      <c r="T54" s="102">
        <f>TrAvia_ene!T$12</f>
        <v>1.0613130607726657</v>
      </c>
      <c r="U54" s="102">
        <f>TrAvia_ene!U$12</f>
        <v>0.87648598551912638</v>
      </c>
      <c r="V54" s="102">
        <f>TrAvia_ene!V$12</f>
        <v>2.6853049529516748</v>
      </c>
      <c r="W54" s="102">
        <f>TrAvia_ene!W$12</f>
        <v>1.5659878464624333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0.42124369863852473</v>
      </c>
      <c r="C55" s="102">
        <f>TrAvia_ene!C$13</f>
        <v>0.42287786772533498</v>
      </c>
      <c r="D55" s="102">
        <f>TrAvia_ene!D$13</f>
        <v>0.12442753845793449</v>
      </c>
      <c r="E55" s="102">
        <f>TrAvia_ene!E$13</f>
        <v>0.54721327744910175</v>
      </c>
      <c r="F55" s="102">
        <f>TrAvia_ene!F$13</f>
        <v>0.18722793236441884</v>
      </c>
      <c r="G55" s="102">
        <f>TrAvia_ene!G$13</f>
        <v>0.22975122921715324</v>
      </c>
      <c r="H55" s="102">
        <f>TrAvia_ene!H$13</f>
        <v>0.51108930938742658</v>
      </c>
      <c r="I55" s="102">
        <f>TrAvia_ene!I$13</f>
        <v>0.37280023471244528</v>
      </c>
      <c r="J55" s="102">
        <f>TrAvia_ene!J$13</f>
        <v>0.17141677142497128</v>
      </c>
      <c r="K55" s="102">
        <f>TrAvia_ene!K$13</f>
        <v>0.12042378896360112</v>
      </c>
      <c r="L55" s="102">
        <f>TrAvia_ene!L$13</f>
        <v>0.30990238710508905</v>
      </c>
      <c r="M55" s="102">
        <f>TrAvia_ene!M$13</f>
        <v>2.8360131649698781E-2</v>
      </c>
      <c r="N55" s="102">
        <f>TrAvia_ene!N$13</f>
        <v>2.3871488731095028E-2</v>
      </c>
      <c r="O55" s="102">
        <f>TrAvia_ene!O$13</f>
        <v>4.6557177049210217E-2</v>
      </c>
      <c r="P55" s="102">
        <f>TrAvia_ene!P$13</f>
        <v>0.22928843065323898</v>
      </c>
      <c r="Q55" s="102">
        <f>TrAvia_ene!Q$13</f>
        <v>0.17672419849714724</v>
      </c>
      <c r="R55" s="102">
        <f>TrAvia_ene!R$13</f>
        <v>0.14429587453472617</v>
      </c>
      <c r="S55" s="102">
        <f>TrAvia_ene!S$13</f>
        <v>4.4459055970244715E-2</v>
      </c>
      <c r="T55" s="102">
        <f>TrAvia_ene!T$13</f>
        <v>4.7838237617676541E-2</v>
      </c>
      <c r="U55" s="102">
        <f>TrAvia_ene!U$13</f>
        <v>1.2156443135684423E-2</v>
      </c>
      <c r="V55" s="102">
        <f>TrAvia_ene!V$13</f>
        <v>5.4511817826883885E-2</v>
      </c>
      <c r="W55" s="102">
        <f>TrAvia_ene!W$13</f>
        <v>6.0859727389081554E-3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22.379000000000001</v>
      </c>
      <c r="C56" s="110">
        <f t="shared" si="45"/>
        <v>26.725999999999999</v>
      </c>
      <c r="D56" s="110">
        <f t="shared" si="45"/>
        <v>19.61403</v>
      </c>
      <c r="E56" s="110">
        <f t="shared" si="45"/>
        <v>11.430999999999999</v>
      </c>
      <c r="F56" s="110">
        <f t="shared" si="45"/>
        <v>16.100000000000001</v>
      </c>
      <c r="G56" s="110">
        <f t="shared" si="45"/>
        <v>18.353999999999999</v>
      </c>
      <c r="H56" s="110">
        <f t="shared" si="45"/>
        <v>10.465</v>
      </c>
      <c r="I56" s="110">
        <f t="shared" si="45"/>
        <v>14.651</v>
      </c>
      <c r="J56" s="110">
        <f t="shared" si="45"/>
        <v>19.641999999999999</v>
      </c>
      <c r="K56" s="110">
        <f t="shared" si="45"/>
        <v>12.236000000000001</v>
      </c>
      <c r="L56" s="110">
        <f t="shared" si="45"/>
        <v>16.100000000000001</v>
      </c>
      <c r="M56" s="110">
        <f t="shared" si="45"/>
        <v>16.3</v>
      </c>
      <c r="N56" s="110">
        <f t="shared" si="45"/>
        <v>16.137</v>
      </c>
      <c r="O56" s="110">
        <f t="shared" si="45"/>
        <v>15.974</v>
      </c>
      <c r="P56" s="110">
        <f t="shared" si="45"/>
        <v>15.811</v>
      </c>
      <c r="Q56" s="110">
        <f t="shared" si="45"/>
        <v>15.648</v>
      </c>
      <c r="R56" s="110">
        <f t="shared" ref="R56:V56" si="46">R57+R58</f>
        <v>17.971</v>
      </c>
      <c r="S56" s="110">
        <f t="shared" si="46"/>
        <v>18.387</v>
      </c>
      <c r="T56" s="110">
        <f t="shared" si="46"/>
        <v>16.190999999999999</v>
      </c>
      <c r="U56" s="110">
        <f t="shared" si="46"/>
        <v>18.442</v>
      </c>
      <c r="V56" s="110">
        <f t="shared" si="46"/>
        <v>16.984000000000002</v>
      </c>
      <c r="W56" s="110">
        <f t="shared" ref="W56" si="47">W57+W58</f>
        <v>16.984000000000002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22.379000000000001</v>
      </c>
      <c r="C58" s="169">
        <f>TrNavi_ene!C10</f>
        <v>26.725999999999999</v>
      </c>
      <c r="D58" s="169">
        <f>TrNavi_ene!D10</f>
        <v>19.61403</v>
      </c>
      <c r="E58" s="169">
        <f>TrNavi_ene!E10</f>
        <v>11.430999999999999</v>
      </c>
      <c r="F58" s="169">
        <f>TrNavi_ene!F10</f>
        <v>16.100000000000001</v>
      </c>
      <c r="G58" s="169">
        <f>TrNavi_ene!G10</f>
        <v>18.353999999999999</v>
      </c>
      <c r="H58" s="169">
        <f>TrNavi_ene!H10</f>
        <v>10.465</v>
      </c>
      <c r="I58" s="169">
        <f>TrNavi_ene!I10</f>
        <v>14.651</v>
      </c>
      <c r="J58" s="169">
        <f>TrNavi_ene!J10</f>
        <v>19.641999999999999</v>
      </c>
      <c r="K58" s="169">
        <f>TrNavi_ene!K10</f>
        <v>12.236000000000001</v>
      </c>
      <c r="L58" s="169">
        <f>TrNavi_ene!L10</f>
        <v>16.100000000000001</v>
      </c>
      <c r="M58" s="169">
        <f>TrNavi_ene!M10</f>
        <v>16.3</v>
      </c>
      <c r="N58" s="169">
        <f>TrNavi_ene!N10</f>
        <v>16.137</v>
      </c>
      <c r="O58" s="169">
        <f>TrNavi_ene!O10</f>
        <v>15.974</v>
      </c>
      <c r="P58" s="169">
        <f>TrNavi_ene!P10</f>
        <v>15.811</v>
      </c>
      <c r="Q58" s="169">
        <f>TrNavi_ene!Q10</f>
        <v>15.648</v>
      </c>
      <c r="R58" s="169">
        <f>TrNavi_ene!R10</f>
        <v>17.971</v>
      </c>
      <c r="S58" s="169">
        <f>TrNavi_ene!S10</f>
        <v>18.387</v>
      </c>
      <c r="T58" s="169">
        <f>TrNavi_ene!T10</f>
        <v>16.190999999999999</v>
      </c>
      <c r="U58" s="169">
        <f>TrNavi_ene!U10</f>
        <v>18.442</v>
      </c>
      <c r="V58" s="169">
        <f>TrNavi_ene!V10</f>
        <v>16.984000000000002</v>
      </c>
      <c r="W58" s="169">
        <f>TrNavi_ene!W10</f>
        <v>16.984000000000002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0</v>
      </c>
      <c r="C59" s="28">
        <f t="shared" ref="C59:W59" si="48">C60+C61</f>
        <v>0</v>
      </c>
      <c r="D59" s="28">
        <f t="shared" si="48"/>
        <v>0</v>
      </c>
      <c r="E59" s="28">
        <f t="shared" si="48"/>
        <v>0</v>
      </c>
      <c r="F59" s="28">
        <f t="shared" si="48"/>
        <v>0</v>
      </c>
      <c r="G59" s="28">
        <f t="shared" si="48"/>
        <v>0</v>
      </c>
      <c r="H59" s="28">
        <f t="shared" si="48"/>
        <v>0</v>
      </c>
      <c r="I59" s="28">
        <f t="shared" si="48"/>
        <v>0</v>
      </c>
      <c r="J59" s="28">
        <f t="shared" si="48"/>
        <v>0</v>
      </c>
      <c r="K59" s="28">
        <f t="shared" si="48"/>
        <v>0</v>
      </c>
      <c r="L59" s="28">
        <f t="shared" si="48"/>
        <v>0</v>
      </c>
      <c r="M59" s="28">
        <f t="shared" si="48"/>
        <v>0</v>
      </c>
      <c r="N59" s="28">
        <f t="shared" si="48"/>
        <v>0</v>
      </c>
      <c r="O59" s="28">
        <f t="shared" si="48"/>
        <v>0</v>
      </c>
      <c r="P59" s="28">
        <f t="shared" si="48"/>
        <v>0</v>
      </c>
      <c r="Q59" s="28">
        <f t="shared" si="48"/>
        <v>0</v>
      </c>
      <c r="R59" s="28">
        <f t="shared" si="48"/>
        <v>0</v>
      </c>
      <c r="S59" s="28">
        <f t="shared" si="48"/>
        <v>0</v>
      </c>
      <c r="T59" s="28">
        <f t="shared" si="48"/>
        <v>0</v>
      </c>
      <c r="U59" s="28">
        <f t="shared" si="48"/>
        <v>0</v>
      </c>
      <c r="V59" s="28">
        <f t="shared" si="48"/>
        <v>0</v>
      </c>
      <c r="W59" s="28">
        <f t="shared" si="48"/>
        <v>0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0</v>
      </c>
      <c r="C60" s="102">
        <f>MBunk_ene!C$4</f>
        <v>0</v>
      </c>
      <c r="D60" s="102">
        <f>MBunk_ene!D$4</f>
        <v>0</v>
      </c>
      <c r="E60" s="102">
        <f>MBunk_ene!E$4</f>
        <v>0</v>
      </c>
      <c r="F60" s="102">
        <f>MBunk_ene!F$4</f>
        <v>0</v>
      </c>
      <c r="G60" s="102">
        <f>MBunk_ene!G$4</f>
        <v>0</v>
      </c>
      <c r="H60" s="102">
        <f>MBunk_ene!H$4</f>
        <v>0</v>
      </c>
      <c r="I60" s="102">
        <f>MBunk_ene!I$4</f>
        <v>0</v>
      </c>
      <c r="J60" s="102">
        <f>MBunk_ene!J$4</f>
        <v>0</v>
      </c>
      <c r="K60" s="102">
        <f>MBunk_ene!K$4</f>
        <v>0</v>
      </c>
      <c r="L60" s="102">
        <f>MBunk_ene!L$4</f>
        <v>0</v>
      </c>
      <c r="M60" s="102">
        <f>MBunk_ene!M$4</f>
        <v>0</v>
      </c>
      <c r="N60" s="102">
        <f>MBunk_ene!N$4</f>
        <v>0</v>
      </c>
      <c r="O60" s="102">
        <f>MBunk_ene!O$4</f>
        <v>0</v>
      </c>
      <c r="P60" s="102">
        <f>MBunk_ene!P$4</f>
        <v>0</v>
      </c>
      <c r="Q60" s="102">
        <f>MBunk_ene!Q$4</f>
        <v>0</v>
      </c>
      <c r="R60" s="102">
        <f>MBunk_ene!R$4</f>
        <v>0</v>
      </c>
      <c r="S60" s="102">
        <f>MBunk_ene!S$4</f>
        <v>0</v>
      </c>
      <c r="T60" s="102">
        <f>MBunk_ene!T$4</f>
        <v>0</v>
      </c>
      <c r="U60" s="102">
        <f>MBunk_ene!U$4</f>
        <v>0</v>
      </c>
      <c r="V60" s="102">
        <f>MBunk_ene!V$4</f>
        <v>0</v>
      </c>
      <c r="W60" s="102">
        <f>MBunk_ene!W$4</f>
        <v>0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0</v>
      </c>
      <c r="C61" s="86">
        <f>MBunk_ene!C$10</f>
        <v>0</v>
      </c>
      <c r="D61" s="86">
        <f>MBunk_ene!D$10</f>
        <v>0</v>
      </c>
      <c r="E61" s="86">
        <f>MBunk_ene!E$10</f>
        <v>0</v>
      </c>
      <c r="F61" s="86">
        <f>MBunk_ene!F$10</f>
        <v>0</v>
      </c>
      <c r="G61" s="86">
        <f>MBunk_ene!G$10</f>
        <v>0</v>
      </c>
      <c r="H61" s="86">
        <f>MBunk_ene!H$10</f>
        <v>0</v>
      </c>
      <c r="I61" s="86">
        <f>MBunk_ene!I$10</f>
        <v>0</v>
      </c>
      <c r="J61" s="86">
        <f>MBunk_ene!J$10</f>
        <v>0</v>
      </c>
      <c r="K61" s="86">
        <f>MBunk_ene!K$10</f>
        <v>0</v>
      </c>
      <c r="L61" s="86">
        <f>MBunk_ene!L$10</f>
        <v>0</v>
      </c>
      <c r="M61" s="86">
        <f>MBunk_ene!M$10</f>
        <v>0</v>
      </c>
      <c r="N61" s="86">
        <f>MBunk_ene!N$10</f>
        <v>0</v>
      </c>
      <c r="O61" s="86">
        <f>MBunk_ene!O$10</f>
        <v>0</v>
      </c>
      <c r="P61" s="86">
        <f>MBunk_ene!P$10</f>
        <v>0</v>
      </c>
      <c r="Q61" s="86">
        <f>MBunk_ene!Q$10</f>
        <v>0</v>
      </c>
      <c r="R61" s="86">
        <f>MBunk_ene!R$10</f>
        <v>0</v>
      </c>
      <c r="S61" s="86">
        <f>MBunk_ene!S$10</f>
        <v>0</v>
      </c>
      <c r="T61" s="86">
        <f>MBunk_ene!T$10</f>
        <v>0</v>
      </c>
      <c r="U61" s="86">
        <f>MBunk_ene!U$10</f>
        <v>0</v>
      </c>
      <c r="V61" s="86">
        <f>MBunk_ene!V$10</f>
        <v>0</v>
      </c>
      <c r="W61" s="86">
        <f>MBunk_ene!W$10</f>
        <v>0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2878.1785540753526</v>
      </c>
      <c r="C64" s="28">
        <f t="shared" si="49"/>
        <v>2922.0340704976588</v>
      </c>
      <c r="D64" s="28">
        <f t="shared" si="49"/>
        <v>3425.0811582548736</v>
      </c>
      <c r="E64" s="28">
        <f t="shared" si="49"/>
        <v>3267.5784843501278</v>
      </c>
      <c r="F64" s="28">
        <f t="shared" si="49"/>
        <v>3030.4849083716217</v>
      </c>
      <c r="G64" s="28">
        <f t="shared" si="49"/>
        <v>3173.4902485154362</v>
      </c>
      <c r="H64" s="28">
        <f t="shared" si="49"/>
        <v>3073.8625932587574</v>
      </c>
      <c r="I64" s="28">
        <f t="shared" si="49"/>
        <v>3286.1536007398367</v>
      </c>
      <c r="J64" s="28">
        <f t="shared" si="49"/>
        <v>3441.649035535545</v>
      </c>
      <c r="K64" s="28">
        <f t="shared" si="49"/>
        <v>3158.4592149457017</v>
      </c>
      <c r="L64" s="28">
        <f t="shared" si="49"/>
        <v>3195.653441332684</v>
      </c>
      <c r="M64" s="28">
        <f t="shared" si="49"/>
        <v>3139.6554014399421</v>
      </c>
      <c r="N64" s="28">
        <f t="shared" si="49"/>
        <v>3057.6587681952728</v>
      </c>
      <c r="O64" s="28">
        <f t="shared" si="49"/>
        <v>3057.3264355174551</v>
      </c>
      <c r="P64" s="28">
        <f t="shared" si="49"/>
        <v>2977.3768507797759</v>
      </c>
      <c r="Q64" s="28">
        <f t="shared" si="49"/>
        <v>3018.8070287549817</v>
      </c>
      <c r="R64" s="28">
        <f t="shared" ref="R64:V64" si="50">R65+R69+R73</f>
        <v>3082.2462407480434</v>
      </c>
      <c r="S64" s="28">
        <f t="shared" si="50"/>
        <v>3140.2618451191674</v>
      </c>
      <c r="T64" s="28">
        <f t="shared" si="50"/>
        <v>3091.7309054457569</v>
      </c>
      <c r="U64" s="28">
        <f t="shared" si="50"/>
        <v>3043.8682195269971</v>
      </c>
      <c r="V64" s="28">
        <f t="shared" si="50"/>
        <v>2724.0676918338913</v>
      </c>
      <c r="W64" s="28">
        <f t="shared" ref="W64" si="51">W65+W69+W73</f>
        <v>2790.5327904234746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2798.201136047187</v>
      </c>
      <c r="C65" s="137">
        <f t="shared" si="52"/>
        <v>2831.0462045770305</v>
      </c>
      <c r="D65" s="137">
        <f t="shared" si="52"/>
        <v>3286.6518464572919</v>
      </c>
      <c r="E65" s="137">
        <f t="shared" si="52"/>
        <v>3167.7244099747741</v>
      </c>
      <c r="F65" s="137">
        <f t="shared" si="52"/>
        <v>2950.3046753044941</v>
      </c>
      <c r="G65" s="137">
        <f t="shared" si="52"/>
        <v>3056.0371860547248</v>
      </c>
      <c r="H65" s="137">
        <f t="shared" si="52"/>
        <v>2954.4398238162375</v>
      </c>
      <c r="I65" s="137">
        <f t="shared" si="52"/>
        <v>3138.01526922316</v>
      </c>
      <c r="J65" s="137">
        <f t="shared" si="52"/>
        <v>3253.7919258528436</v>
      </c>
      <c r="K65" s="137">
        <f t="shared" si="52"/>
        <v>3024.5190033976155</v>
      </c>
      <c r="L65" s="137">
        <f t="shared" si="52"/>
        <v>3075.3004313167489</v>
      </c>
      <c r="M65" s="137">
        <f t="shared" si="52"/>
        <v>3013.7841475539881</v>
      </c>
      <c r="N65" s="137">
        <f t="shared" si="52"/>
        <v>2950.8523118681624</v>
      </c>
      <c r="O65" s="137">
        <f t="shared" si="52"/>
        <v>2938.4768525270865</v>
      </c>
      <c r="P65" s="137">
        <f t="shared" si="52"/>
        <v>2874.9683681707629</v>
      </c>
      <c r="Q65" s="137">
        <f t="shared" si="52"/>
        <v>2892.3398374128778</v>
      </c>
      <c r="R65" s="137">
        <f t="shared" ref="R65:V65" si="53">R66+R67+R68</f>
        <v>2936.7862963116722</v>
      </c>
      <c r="S65" s="137">
        <f t="shared" si="53"/>
        <v>3022.9448238719033</v>
      </c>
      <c r="T65" s="137">
        <f t="shared" si="53"/>
        <v>2951.8593162834932</v>
      </c>
      <c r="U65" s="137">
        <f t="shared" si="53"/>
        <v>2909.5594855254872</v>
      </c>
      <c r="V65" s="137">
        <f t="shared" si="53"/>
        <v>2645.1437699452804</v>
      </c>
      <c r="W65" s="137">
        <f t="shared" ref="W65" si="54">W66+W67+W68</f>
        <v>2726.7733074644957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5.8867250273817575</v>
      </c>
      <c r="C66" s="102">
        <f>TrRoad_emi!C$19</f>
        <v>6.2170978340259699</v>
      </c>
      <c r="D66" s="102">
        <f>TrRoad_emi!D$19</f>
        <v>5.4429051745897334</v>
      </c>
      <c r="E66" s="102">
        <f>TrRoad_emi!E$19</f>
        <v>5.5374090981940745</v>
      </c>
      <c r="F66" s="102">
        <f>TrRoad_emi!F$19</f>
        <v>5.8397899304136436</v>
      </c>
      <c r="G66" s="102">
        <f>TrRoad_emi!G$19</f>
        <v>6.3926380086182482</v>
      </c>
      <c r="H66" s="102">
        <f>TrRoad_emi!H$19</f>
        <v>6.6183468254503088</v>
      </c>
      <c r="I66" s="102">
        <f>TrRoad_emi!I$19</f>
        <v>7.1142112179902046</v>
      </c>
      <c r="J66" s="102">
        <f>TrRoad_emi!J$19</f>
        <v>7.7009817089392802</v>
      </c>
      <c r="K66" s="102">
        <f>TrRoad_emi!K$19</f>
        <v>6.5534660010948338</v>
      </c>
      <c r="L66" s="102">
        <f>TrRoad_emi!L$19</f>
        <v>6.0091347156516379</v>
      </c>
      <c r="M66" s="102">
        <f>TrRoad_emi!M$19</f>
        <v>7.2767031752449345</v>
      </c>
      <c r="N66" s="102">
        <f>TrRoad_emi!N$19</f>
        <v>8.5132346764643003</v>
      </c>
      <c r="O66" s="102">
        <f>TrRoad_emi!O$19</f>
        <v>8.6619719557402473</v>
      </c>
      <c r="P66" s="102">
        <f>TrRoad_emi!P$19</f>
        <v>9.459785167159465</v>
      </c>
      <c r="Q66" s="102">
        <f>TrRoad_emi!Q$19</f>
        <v>10.523270749832355</v>
      </c>
      <c r="R66" s="102">
        <f>TrRoad_emi!R$19</f>
        <v>11.277254640926966</v>
      </c>
      <c r="S66" s="102">
        <f>TrRoad_emi!S$19</f>
        <v>10.624257699879184</v>
      </c>
      <c r="T66" s="102">
        <f>TrRoad_emi!T$19</f>
        <v>10.179271597727674</v>
      </c>
      <c r="U66" s="102">
        <f>TrRoad_emi!U$19</f>
        <v>10.791170900490254</v>
      </c>
      <c r="V66" s="102">
        <f>TrRoad_emi!V$19</f>
        <v>9.5540143350944167</v>
      </c>
      <c r="W66" s="102">
        <f>TrRoad_emi!W$19</f>
        <v>9.1808921239391648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2230.227883179829</v>
      </c>
      <c r="C67" s="102">
        <f>TrRoad_emi!C$20</f>
        <v>2309.2737498483893</v>
      </c>
      <c r="D67" s="102">
        <f>TrRoad_emi!D$20</f>
        <v>2748.367537887761</v>
      </c>
      <c r="E67" s="102">
        <f>TrRoad_emi!E$20</f>
        <v>2618.9344518643593</v>
      </c>
      <c r="F67" s="102">
        <f>TrRoad_emi!F$20</f>
        <v>2442.7615160793862</v>
      </c>
      <c r="G67" s="102">
        <f>TrRoad_emi!G$20</f>
        <v>2570.9715227451325</v>
      </c>
      <c r="H67" s="102">
        <f>TrRoad_emi!H$20</f>
        <v>2474.6023091886409</v>
      </c>
      <c r="I67" s="102">
        <f>TrRoad_emi!I$20</f>
        <v>2566.543846805469</v>
      </c>
      <c r="J67" s="102">
        <f>TrRoad_emi!J$20</f>
        <v>2697.4830573386071</v>
      </c>
      <c r="K67" s="102">
        <f>TrRoad_emi!K$20</f>
        <v>2514.0835319687776</v>
      </c>
      <c r="L67" s="102">
        <f>TrRoad_emi!L$20</f>
        <v>2575.1954846504091</v>
      </c>
      <c r="M67" s="102">
        <f>TrRoad_emi!M$20</f>
        <v>2548.8699726008649</v>
      </c>
      <c r="N67" s="102">
        <f>TrRoad_emi!N$20</f>
        <v>2487.7655847203337</v>
      </c>
      <c r="O67" s="102">
        <f>TrRoad_emi!O$20</f>
        <v>2491.3663421238321</v>
      </c>
      <c r="P67" s="102">
        <f>TrRoad_emi!P$20</f>
        <v>2432.9998145111831</v>
      </c>
      <c r="Q67" s="102">
        <f>TrRoad_emi!Q$20</f>
        <v>2460.0101016731519</v>
      </c>
      <c r="R67" s="102">
        <f>TrRoad_emi!R$20</f>
        <v>2510.5765440224268</v>
      </c>
      <c r="S67" s="102">
        <f>TrRoad_emi!S$20</f>
        <v>2563.6067270985855</v>
      </c>
      <c r="T67" s="102">
        <f>TrRoad_emi!T$20</f>
        <v>2478.1436656301671</v>
      </c>
      <c r="U67" s="102">
        <f>TrRoad_emi!U$20</f>
        <v>2431.5056767312813</v>
      </c>
      <c r="V67" s="102">
        <f>TrRoad_emi!V$20</f>
        <v>2238.0382071474169</v>
      </c>
      <c r="W67" s="102">
        <f>TrRoad_emi!W$20</f>
        <v>2314.4619853076165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562.08652783997638</v>
      </c>
      <c r="C68" s="102">
        <f>TrRoad_emi!C$27</f>
        <v>515.55535689461522</v>
      </c>
      <c r="D68" s="102">
        <f>TrRoad_emi!D$27</f>
        <v>532.84140339494127</v>
      </c>
      <c r="E68" s="102">
        <f>TrRoad_emi!E$27</f>
        <v>543.25254901222092</v>
      </c>
      <c r="F68" s="102">
        <f>TrRoad_emi!F$27</f>
        <v>501.7033692946942</v>
      </c>
      <c r="G68" s="102">
        <f>TrRoad_emi!G$27</f>
        <v>478.67302530097407</v>
      </c>
      <c r="H68" s="102">
        <f>TrRoad_emi!H$27</f>
        <v>473.21916780214622</v>
      </c>
      <c r="I68" s="102">
        <f>TrRoad_emi!I$27</f>
        <v>564.35721119970106</v>
      </c>
      <c r="J68" s="102">
        <f>TrRoad_emi!J$27</f>
        <v>548.60788680529731</v>
      </c>
      <c r="K68" s="102">
        <f>TrRoad_emi!K$27</f>
        <v>503.88200542774297</v>
      </c>
      <c r="L68" s="102">
        <f>TrRoad_emi!L$27</f>
        <v>494.09581195068819</v>
      </c>
      <c r="M68" s="102">
        <f>TrRoad_emi!M$27</f>
        <v>457.6374717778782</v>
      </c>
      <c r="N68" s="102">
        <f>TrRoad_emi!N$27</f>
        <v>454.57349247136415</v>
      </c>
      <c r="O68" s="102">
        <f>TrRoad_emi!O$27</f>
        <v>438.44853844751424</v>
      </c>
      <c r="P68" s="102">
        <f>TrRoad_emi!P$27</f>
        <v>432.50876849241996</v>
      </c>
      <c r="Q68" s="102">
        <f>TrRoad_emi!Q$27</f>
        <v>421.80646498989387</v>
      </c>
      <c r="R68" s="102">
        <f>TrRoad_emi!R$27</f>
        <v>414.93249764831836</v>
      </c>
      <c r="S68" s="102">
        <f>TrRoad_emi!S$27</f>
        <v>448.71383907343858</v>
      </c>
      <c r="T68" s="102">
        <f>TrRoad_emi!T$27</f>
        <v>463.53637905559833</v>
      </c>
      <c r="U68" s="102">
        <f>TrRoad_emi!U$27</f>
        <v>467.26263789371569</v>
      </c>
      <c r="V68" s="102">
        <f>TrRoad_emi!V$27</f>
        <v>397.55154846276901</v>
      </c>
      <c r="W68" s="102">
        <f>TrRoad_emi!W$27</f>
        <v>403.13043003294013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0</v>
      </c>
      <c r="C69" s="110">
        <f t="shared" si="55"/>
        <v>0</v>
      </c>
      <c r="D69" s="110">
        <f t="shared" si="55"/>
        <v>0</v>
      </c>
      <c r="E69" s="110">
        <f t="shared" si="55"/>
        <v>0</v>
      </c>
      <c r="F69" s="110">
        <f t="shared" si="55"/>
        <v>0</v>
      </c>
      <c r="G69" s="110">
        <f t="shared" si="55"/>
        <v>0</v>
      </c>
      <c r="H69" s="110">
        <f t="shared" si="55"/>
        <v>0</v>
      </c>
      <c r="I69" s="110">
        <f t="shared" si="55"/>
        <v>0</v>
      </c>
      <c r="J69" s="110">
        <f t="shared" si="55"/>
        <v>0</v>
      </c>
      <c r="K69" s="110">
        <f t="shared" si="55"/>
        <v>0</v>
      </c>
      <c r="L69" s="110">
        <f t="shared" si="55"/>
        <v>0</v>
      </c>
      <c r="M69" s="110">
        <f t="shared" si="55"/>
        <v>0</v>
      </c>
      <c r="N69" s="110">
        <f t="shared" si="55"/>
        <v>0</v>
      </c>
      <c r="O69" s="110">
        <f t="shared" si="55"/>
        <v>0</v>
      </c>
      <c r="P69" s="110">
        <f t="shared" si="55"/>
        <v>0</v>
      </c>
      <c r="Q69" s="110">
        <f t="shared" si="55"/>
        <v>0</v>
      </c>
      <c r="R69" s="110">
        <f t="shared" ref="R69:V69" si="56">R70+R71+R72</f>
        <v>0</v>
      </c>
      <c r="S69" s="110">
        <f t="shared" si="56"/>
        <v>0</v>
      </c>
      <c r="T69" s="110">
        <f t="shared" si="56"/>
        <v>0</v>
      </c>
      <c r="U69" s="110">
        <f t="shared" si="56"/>
        <v>0</v>
      </c>
      <c r="V69" s="110">
        <f t="shared" si="56"/>
        <v>0</v>
      </c>
      <c r="W69" s="110">
        <f t="shared" ref="W69" si="57">W70+W71+W72</f>
        <v>0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0</v>
      </c>
      <c r="C71" s="102">
        <f>TrRail_emi!C$11</f>
        <v>0</v>
      </c>
      <c r="D71" s="102">
        <f>TrRail_emi!D$11</f>
        <v>0</v>
      </c>
      <c r="E71" s="102">
        <f>TrRail_emi!E$11</f>
        <v>0</v>
      </c>
      <c r="F71" s="102">
        <f>TrRail_emi!F$11</f>
        <v>0</v>
      </c>
      <c r="G71" s="102">
        <f>TrRail_emi!G$11</f>
        <v>0</v>
      </c>
      <c r="H71" s="102">
        <f>TrRail_emi!H$11</f>
        <v>0</v>
      </c>
      <c r="I71" s="102">
        <f>TrRail_emi!I$11</f>
        <v>0</v>
      </c>
      <c r="J71" s="102">
        <f>TrRail_emi!J$11</f>
        <v>0</v>
      </c>
      <c r="K71" s="102">
        <f>TrRail_emi!K$11</f>
        <v>0</v>
      </c>
      <c r="L71" s="102">
        <f>TrRail_emi!L$11</f>
        <v>0</v>
      </c>
      <c r="M71" s="102">
        <f>TrRail_emi!M$11</f>
        <v>0</v>
      </c>
      <c r="N71" s="102">
        <f>TrRail_emi!N$11</f>
        <v>0</v>
      </c>
      <c r="O71" s="102">
        <f>TrRail_emi!O$11</f>
        <v>0</v>
      </c>
      <c r="P71" s="102">
        <f>TrRail_emi!P$11</f>
        <v>0</v>
      </c>
      <c r="Q71" s="102">
        <f>TrRail_emi!Q$11</f>
        <v>0</v>
      </c>
      <c r="R71" s="102">
        <f>TrRail_emi!R$11</f>
        <v>0</v>
      </c>
      <c r="S71" s="102">
        <f>TrRail_emi!S$11</f>
        <v>0</v>
      </c>
      <c r="T71" s="102">
        <f>TrRail_emi!T$11</f>
        <v>0</v>
      </c>
      <c r="U71" s="102">
        <f>TrRail_emi!U$11</f>
        <v>0</v>
      </c>
      <c r="V71" s="102">
        <f>TrRail_emi!V$11</f>
        <v>0</v>
      </c>
      <c r="W71" s="102">
        <f>TrRail_emi!W$11</f>
        <v>0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79.977418028165516</v>
      </c>
      <c r="C73" s="110">
        <f t="shared" si="58"/>
        <v>90.987865920628323</v>
      </c>
      <c r="D73" s="110">
        <f t="shared" si="58"/>
        <v>138.42931179758168</v>
      </c>
      <c r="E73" s="110">
        <f t="shared" si="58"/>
        <v>99.854074375353932</v>
      </c>
      <c r="F73" s="110">
        <f t="shared" si="58"/>
        <v>80.180233067127347</v>
      </c>
      <c r="G73" s="110">
        <f t="shared" si="58"/>
        <v>117.45306246071127</v>
      </c>
      <c r="H73" s="110">
        <f t="shared" si="58"/>
        <v>119.42276944251981</v>
      </c>
      <c r="I73" s="110">
        <f t="shared" si="58"/>
        <v>148.1383315166766</v>
      </c>
      <c r="J73" s="110">
        <f t="shared" si="58"/>
        <v>187.85710968270143</v>
      </c>
      <c r="K73" s="110">
        <f t="shared" si="58"/>
        <v>133.9402115480861</v>
      </c>
      <c r="L73" s="110">
        <f t="shared" si="58"/>
        <v>120.35301001593513</v>
      </c>
      <c r="M73" s="110">
        <f t="shared" si="58"/>
        <v>125.87125388595406</v>
      </c>
      <c r="N73" s="110">
        <f t="shared" si="58"/>
        <v>106.8064563271104</v>
      </c>
      <c r="O73" s="110">
        <f t="shared" si="58"/>
        <v>118.84958299036869</v>
      </c>
      <c r="P73" s="110">
        <f t="shared" si="58"/>
        <v>102.40848260901279</v>
      </c>
      <c r="Q73" s="110">
        <f t="shared" si="58"/>
        <v>126.46719134210403</v>
      </c>
      <c r="R73" s="110">
        <f t="shared" ref="R73:V73" si="59">R74+R75+R76</f>
        <v>145.45994443637113</v>
      </c>
      <c r="S73" s="110">
        <f t="shared" si="59"/>
        <v>117.31702124726431</v>
      </c>
      <c r="T73" s="110">
        <f t="shared" si="59"/>
        <v>139.8715891622636</v>
      </c>
      <c r="U73" s="110">
        <f t="shared" si="59"/>
        <v>134.30873400151003</v>
      </c>
      <c r="V73" s="110">
        <f t="shared" si="59"/>
        <v>78.923921888611034</v>
      </c>
      <c r="W73" s="110">
        <f t="shared" ref="W73" si="60">W74+W75+W76</f>
        <v>63.759482958979078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48.640877478954351</v>
      </c>
      <c r="C75" s="102">
        <f>TrAvia_emi!C$8</f>
        <v>55.281396922029863</v>
      </c>
      <c r="D75" s="102">
        <f>TrAvia_emi!D$8</f>
        <v>73.078711570828787</v>
      </c>
      <c r="E75" s="102">
        <f>TrAvia_emi!E$8</f>
        <v>54.142735832694285</v>
      </c>
      <c r="F75" s="102">
        <f>TrAvia_emi!F$8</f>
        <v>46.143454758946383</v>
      </c>
      <c r="G75" s="102">
        <f>TrAvia_emi!G$8</f>
        <v>71.183658938659448</v>
      </c>
      <c r="H75" s="102">
        <f>TrAvia_emi!H$8</f>
        <v>76.424227152739277</v>
      </c>
      <c r="I75" s="102">
        <f>TrAvia_emi!I$8</f>
        <v>96.63481510500246</v>
      </c>
      <c r="J75" s="102">
        <f>TrAvia_emi!J$8</f>
        <v>128.30821559690489</v>
      </c>
      <c r="K75" s="102">
        <f>TrAvia_emi!K$8</f>
        <v>87.201877264334414</v>
      </c>
      <c r="L75" s="102">
        <f>TrAvia_emi!L$8</f>
        <v>75.485036422206647</v>
      </c>
      <c r="M75" s="102">
        <f>TrAvia_emi!M$8</f>
        <v>77.305034342546548</v>
      </c>
      <c r="N75" s="102">
        <f>TrAvia_emi!N$8</f>
        <v>65.006233538238092</v>
      </c>
      <c r="O75" s="102">
        <f>TrAvia_emi!O$8</f>
        <v>71.925165589028438</v>
      </c>
      <c r="P75" s="102">
        <f>TrAvia_emi!P$8</f>
        <v>63.615424368504016</v>
      </c>
      <c r="Q75" s="102">
        <f>TrAvia_emi!Q$8</f>
        <v>81.154913206395861</v>
      </c>
      <c r="R75" s="102">
        <f>TrAvia_emi!R$8</f>
        <v>95.214398519581735</v>
      </c>
      <c r="S75" s="102">
        <f>TrAvia_emi!S$8</f>
        <v>75.876260087172852</v>
      </c>
      <c r="T75" s="102">
        <f>TrAvia_emi!T$8</f>
        <v>91.287223330379632</v>
      </c>
      <c r="U75" s="102">
        <f>TrAvia_emi!U$8</f>
        <v>87.464549004924152</v>
      </c>
      <c r="V75" s="102">
        <f>TrAvia_emi!V$8</f>
        <v>43.676852595728135</v>
      </c>
      <c r="W75" s="102">
        <f>TrAvia_emi!W$8</f>
        <v>37.7544073281816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31.336540549211165</v>
      </c>
      <c r="C76" s="102">
        <f>TrAvia_emi!C$9</f>
        <v>35.70646899859846</v>
      </c>
      <c r="D76" s="102">
        <f>TrAvia_emi!D$9</f>
        <v>65.350600226752888</v>
      </c>
      <c r="E76" s="102">
        <f>TrAvia_emi!E$9</f>
        <v>45.711338542659647</v>
      </c>
      <c r="F76" s="102">
        <f>TrAvia_emi!F$9</f>
        <v>34.036778308180956</v>
      </c>
      <c r="G76" s="102">
        <f>TrAvia_emi!G$9</f>
        <v>46.269403522051824</v>
      </c>
      <c r="H76" s="102">
        <f>TrAvia_emi!H$9</f>
        <v>42.998542289780538</v>
      </c>
      <c r="I76" s="102">
        <f>TrAvia_emi!I$9</f>
        <v>51.503516411674134</v>
      </c>
      <c r="J76" s="102">
        <f>TrAvia_emi!J$9</f>
        <v>59.548894085796562</v>
      </c>
      <c r="K76" s="102">
        <f>TrAvia_emi!K$9</f>
        <v>46.738334283751676</v>
      </c>
      <c r="L76" s="102">
        <f>TrAvia_emi!L$9</f>
        <v>44.867973593728486</v>
      </c>
      <c r="M76" s="102">
        <f>TrAvia_emi!M$9</f>
        <v>48.566219543407513</v>
      </c>
      <c r="N76" s="102">
        <f>TrAvia_emi!N$9</f>
        <v>41.800222788872297</v>
      </c>
      <c r="O76" s="102">
        <f>TrAvia_emi!O$9</f>
        <v>46.92441740134025</v>
      </c>
      <c r="P76" s="102">
        <f>TrAvia_emi!P$9</f>
        <v>38.79305824050877</v>
      </c>
      <c r="Q76" s="102">
        <f>TrAvia_emi!Q$9</f>
        <v>45.312278135708176</v>
      </c>
      <c r="R76" s="102">
        <f>TrAvia_emi!R$9</f>
        <v>50.245545916789411</v>
      </c>
      <c r="S76" s="102">
        <f>TrAvia_emi!S$9</f>
        <v>41.440761160091462</v>
      </c>
      <c r="T76" s="102">
        <f>TrAvia_emi!T$9</f>
        <v>48.584365831883986</v>
      </c>
      <c r="U76" s="102">
        <f>TrAvia_emi!U$9</f>
        <v>46.844184996585888</v>
      </c>
      <c r="V76" s="102">
        <f>TrAvia_emi!V$9</f>
        <v>35.247069292882898</v>
      </c>
      <c r="W76" s="102">
        <f>TrAvia_emi!W$9</f>
        <v>26.005075630797478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1260.1742655646467</v>
      </c>
      <c r="C77" s="28">
        <f t="shared" si="61"/>
        <v>1233.7914161023416</v>
      </c>
      <c r="D77" s="28">
        <f t="shared" si="61"/>
        <v>1807.5873148251264</v>
      </c>
      <c r="E77" s="28">
        <f t="shared" si="61"/>
        <v>1395.6107392898718</v>
      </c>
      <c r="F77" s="28">
        <f t="shared" si="61"/>
        <v>1594.4656127883791</v>
      </c>
      <c r="G77" s="28">
        <f t="shared" si="61"/>
        <v>2045.9193759645636</v>
      </c>
      <c r="H77" s="28">
        <f t="shared" si="61"/>
        <v>2208.0600437412422</v>
      </c>
      <c r="I77" s="28">
        <f t="shared" si="61"/>
        <v>2546.7615840601629</v>
      </c>
      <c r="J77" s="28">
        <f t="shared" si="61"/>
        <v>2838.5929419044537</v>
      </c>
      <c r="K77" s="28">
        <f t="shared" si="61"/>
        <v>2368.7342534542977</v>
      </c>
      <c r="L77" s="28">
        <f t="shared" si="61"/>
        <v>3205.8456405073166</v>
      </c>
      <c r="M77" s="28">
        <f t="shared" si="61"/>
        <v>3141.7646266800571</v>
      </c>
      <c r="N77" s="28">
        <f t="shared" si="61"/>
        <v>3028.3483462847289</v>
      </c>
      <c r="O77" s="28">
        <f t="shared" si="61"/>
        <v>3010.9871541625466</v>
      </c>
      <c r="P77" s="28">
        <f t="shared" si="61"/>
        <v>2920.367343540227</v>
      </c>
      <c r="Q77" s="28">
        <f t="shared" si="61"/>
        <v>2831.9820959250196</v>
      </c>
      <c r="R77" s="28">
        <f t="shared" ref="R77:V77" si="62">R78+R81+R82+R86+R92</f>
        <v>3432.634743171956</v>
      </c>
      <c r="S77" s="28">
        <f t="shared" si="62"/>
        <v>4374.2738085208348</v>
      </c>
      <c r="T77" s="28">
        <f t="shared" si="62"/>
        <v>4413.4064449142425</v>
      </c>
      <c r="U77" s="28">
        <f t="shared" si="62"/>
        <v>4435.6005047930012</v>
      </c>
      <c r="V77" s="28">
        <f t="shared" si="62"/>
        <v>4108.9407071261085</v>
      </c>
      <c r="W77" s="28">
        <f t="shared" ref="W77" si="63">W78+W81+W82+W86+W92</f>
        <v>4445.7127886165254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1188.2821132676122</v>
      </c>
      <c r="C78" s="137">
        <f t="shared" si="64"/>
        <v>1148.4530814541699</v>
      </c>
      <c r="D78" s="137">
        <f t="shared" si="64"/>
        <v>1745.1008962069441</v>
      </c>
      <c r="E78" s="137">
        <f t="shared" si="64"/>
        <v>1357.9629714424259</v>
      </c>
      <c r="F78" s="137">
        <f t="shared" si="64"/>
        <v>1543.7405517355064</v>
      </c>
      <c r="G78" s="137">
        <f t="shared" si="64"/>
        <v>1988.1099618100748</v>
      </c>
      <c r="H78" s="137">
        <f t="shared" si="64"/>
        <v>2173.906835161762</v>
      </c>
      <c r="I78" s="137">
        <f t="shared" si="64"/>
        <v>2500.0058802580393</v>
      </c>
      <c r="J78" s="137">
        <f t="shared" si="64"/>
        <v>2775.5985862775551</v>
      </c>
      <c r="K78" s="137">
        <f t="shared" si="64"/>
        <v>2327.7294460855837</v>
      </c>
      <c r="L78" s="137">
        <f t="shared" si="64"/>
        <v>3151.7160893632517</v>
      </c>
      <c r="M78" s="137">
        <f t="shared" si="64"/>
        <v>3086.3090278460113</v>
      </c>
      <c r="N78" s="137">
        <f t="shared" si="64"/>
        <v>2973.0133504362393</v>
      </c>
      <c r="O78" s="137">
        <f t="shared" si="64"/>
        <v>2955.7479280017155</v>
      </c>
      <c r="P78" s="137">
        <f t="shared" si="64"/>
        <v>2867.8724175424395</v>
      </c>
      <c r="Q78" s="137">
        <f t="shared" si="64"/>
        <v>2779.1452116047235</v>
      </c>
      <c r="R78" s="137">
        <f t="shared" ref="R78:V78" si="65">R79+R80</f>
        <v>3372.9042456335269</v>
      </c>
      <c r="S78" s="137">
        <f t="shared" si="65"/>
        <v>4313.1292115724991</v>
      </c>
      <c r="T78" s="137">
        <f t="shared" si="65"/>
        <v>4359.8362937657057</v>
      </c>
      <c r="U78" s="137">
        <f t="shared" si="65"/>
        <v>4375.7106088049113</v>
      </c>
      <c r="V78" s="137">
        <f t="shared" si="65"/>
        <v>4048.0015305955194</v>
      </c>
      <c r="W78" s="137">
        <f t="shared" ref="W78" si="66">W79+W80</f>
        <v>4388.2888794363043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541.87103788136415</v>
      </c>
      <c r="C79" s="102">
        <f>TrRoad_emi!C$34</f>
        <v>544.27026455962721</v>
      </c>
      <c r="D79" s="102">
        <f>TrRoad_emi!D$34</f>
        <v>662.12231502698239</v>
      </c>
      <c r="E79" s="102">
        <f>TrRoad_emi!E$34</f>
        <v>619.53427551741856</v>
      </c>
      <c r="F79" s="102">
        <f>TrRoad_emi!F$34</f>
        <v>659.92143655508551</v>
      </c>
      <c r="G79" s="102">
        <f>TrRoad_emi!G$34</f>
        <v>729.97789730085606</v>
      </c>
      <c r="H79" s="102">
        <f>TrRoad_emi!H$34</f>
        <v>661.07822443617351</v>
      </c>
      <c r="I79" s="102">
        <f>TrRoad_emi!I$34</f>
        <v>788.60304725603294</v>
      </c>
      <c r="J79" s="102">
        <f>TrRoad_emi!J$34</f>
        <v>781.38235678142382</v>
      </c>
      <c r="K79" s="102">
        <f>TrRoad_emi!K$34</f>
        <v>765.30120444854083</v>
      </c>
      <c r="L79" s="102">
        <f>TrRoad_emi!L$34</f>
        <v>898.62885629564551</v>
      </c>
      <c r="M79" s="102">
        <f>TrRoad_emi!M$34</f>
        <v>942.47458417949872</v>
      </c>
      <c r="N79" s="102">
        <f>TrRoad_emi!N$34</f>
        <v>922.23294333167905</v>
      </c>
      <c r="O79" s="102">
        <f>TrRoad_emi!O$34</f>
        <v>806.87131076512776</v>
      </c>
      <c r="P79" s="102">
        <f>TrRoad_emi!P$34</f>
        <v>720.93910858222694</v>
      </c>
      <c r="Q79" s="102">
        <f>TrRoad_emi!Q$34</f>
        <v>781.51518466247728</v>
      </c>
      <c r="R79" s="102">
        <f>TrRoad_emi!R$34</f>
        <v>789.55312478471069</v>
      </c>
      <c r="S79" s="102">
        <f>TrRoad_emi!S$34</f>
        <v>859.89953343407808</v>
      </c>
      <c r="T79" s="102">
        <f>TrRoad_emi!T$34</f>
        <v>844.4695882793601</v>
      </c>
      <c r="U79" s="102">
        <f>TrRoad_emi!U$34</f>
        <v>836.02613435597755</v>
      </c>
      <c r="V79" s="102">
        <f>TrRoad_emi!V$34</f>
        <v>854.1563852503416</v>
      </c>
      <c r="W79" s="102">
        <f>TrRoad_emi!W$34</f>
        <v>816.71528350958602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646.41107538624806</v>
      </c>
      <c r="C80" s="102">
        <f>TrRoad_emi!C$40</f>
        <v>604.18281689454284</v>
      </c>
      <c r="D80" s="102">
        <f>TrRoad_emi!D$40</f>
        <v>1082.9785811799616</v>
      </c>
      <c r="E80" s="102">
        <f>TrRoad_emi!E$40</f>
        <v>738.42869592500733</v>
      </c>
      <c r="F80" s="102">
        <f>TrRoad_emi!F$40</f>
        <v>883.81911518042079</v>
      </c>
      <c r="G80" s="102">
        <f>TrRoad_emi!G$40</f>
        <v>1258.1320645092187</v>
      </c>
      <c r="H80" s="102">
        <f>TrRoad_emi!H$40</f>
        <v>1512.8286107255885</v>
      </c>
      <c r="I80" s="102">
        <f>TrRoad_emi!I$40</f>
        <v>1711.4028330020064</v>
      </c>
      <c r="J80" s="102">
        <f>TrRoad_emi!J$40</f>
        <v>1994.2162294961313</v>
      </c>
      <c r="K80" s="102">
        <f>TrRoad_emi!K$40</f>
        <v>1562.4282416370427</v>
      </c>
      <c r="L80" s="102">
        <f>TrRoad_emi!L$40</f>
        <v>2253.0872330676061</v>
      </c>
      <c r="M80" s="102">
        <f>TrRoad_emi!M$40</f>
        <v>2143.8344436665125</v>
      </c>
      <c r="N80" s="102">
        <f>TrRoad_emi!N$40</f>
        <v>2050.7804071045603</v>
      </c>
      <c r="O80" s="102">
        <f>TrRoad_emi!O$40</f>
        <v>2148.8766172365877</v>
      </c>
      <c r="P80" s="102">
        <f>TrRoad_emi!P$40</f>
        <v>2146.9333089602123</v>
      </c>
      <c r="Q80" s="102">
        <f>TrRoad_emi!Q$40</f>
        <v>1997.6300269422461</v>
      </c>
      <c r="R80" s="102">
        <f>TrRoad_emi!R$40</f>
        <v>2583.3511208488162</v>
      </c>
      <c r="S80" s="102">
        <f>TrRoad_emi!S$40</f>
        <v>3453.2296781384207</v>
      </c>
      <c r="T80" s="102">
        <f>TrRoad_emi!T$40</f>
        <v>3515.3667054863454</v>
      </c>
      <c r="U80" s="102">
        <f>TrRoad_emi!U$40</f>
        <v>3539.6844744489335</v>
      </c>
      <c r="V80" s="102">
        <f>TrRoad_emi!V$40</f>
        <v>3193.845145345178</v>
      </c>
      <c r="W80" s="102">
        <f>TrRoad_emi!W$40</f>
        <v>3571.5735959267186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0</v>
      </c>
      <c r="C81" s="110">
        <f>TrRail_emi!C$15</f>
        <v>0</v>
      </c>
      <c r="D81" s="110">
        <f>TrRail_emi!D$15</f>
        <v>0</v>
      </c>
      <c r="E81" s="110">
        <f>TrRail_emi!E$15</f>
        <v>0</v>
      </c>
      <c r="F81" s="110">
        <f>TrRail_emi!F$15</f>
        <v>0</v>
      </c>
      <c r="G81" s="110">
        <f>TrRail_emi!G$15</f>
        <v>0</v>
      </c>
      <c r="H81" s="110">
        <f>TrRail_emi!H$15</f>
        <v>0</v>
      </c>
      <c r="I81" s="110">
        <f>TrRail_emi!I$15</f>
        <v>0</v>
      </c>
      <c r="J81" s="110">
        <f>TrRail_emi!J$15</f>
        <v>0</v>
      </c>
      <c r="K81" s="110">
        <f>TrRail_emi!K$15</f>
        <v>0</v>
      </c>
      <c r="L81" s="110">
        <f>TrRail_emi!L$15</f>
        <v>0</v>
      </c>
      <c r="M81" s="110">
        <f>TrRail_emi!M$15</f>
        <v>0</v>
      </c>
      <c r="N81" s="110">
        <f>TrRail_emi!N$15</f>
        <v>0</v>
      </c>
      <c r="O81" s="110">
        <f>TrRail_emi!O$15</f>
        <v>0</v>
      </c>
      <c r="P81" s="110">
        <f>TrRail_emi!P$15</f>
        <v>0</v>
      </c>
      <c r="Q81" s="110">
        <f>TrRail_emi!Q$15</f>
        <v>0</v>
      </c>
      <c r="R81" s="110">
        <f>TrRail_emi!R$15</f>
        <v>0</v>
      </c>
      <c r="S81" s="110">
        <f>TrRail_emi!S$15</f>
        <v>0</v>
      </c>
      <c r="T81" s="110">
        <f>TrRail_emi!T$15</f>
        <v>0</v>
      </c>
      <c r="U81" s="110">
        <f>TrRail_emi!U$15</f>
        <v>0</v>
      </c>
      <c r="V81" s="110">
        <f>TrRail_emi!V$15</f>
        <v>0</v>
      </c>
      <c r="W81" s="110">
        <f>TrRail_emi!W$15</f>
        <v>0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2.4631219718344868</v>
      </c>
      <c r="C82" s="110">
        <f t="shared" si="67"/>
        <v>2.4230897993716694</v>
      </c>
      <c r="D82" s="110">
        <f t="shared" si="67"/>
        <v>1.6354832024183228</v>
      </c>
      <c r="E82" s="110">
        <f t="shared" si="67"/>
        <v>2.1840185446460714</v>
      </c>
      <c r="F82" s="110">
        <f t="shared" si="67"/>
        <v>0.77611837287267327</v>
      </c>
      <c r="G82" s="110">
        <f t="shared" si="67"/>
        <v>0.8676194992887426</v>
      </c>
      <c r="H82" s="110">
        <f t="shared" si="67"/>
        <v>1.686395837480178</v>
      </c>
      <c r="I82" s="110">
        <f t="shared" si="67"/>
        <v>1.3021659633234419</v>
      </c>
      <c r="J82" s="110">
        <f t="shared" si="67"/>
        <v>2.0566455572985829</v>
      </c>
      <c r="K82" s="110">
        <f t="shared" si="67"/>
        <v>3.0436109319139097</v>
      </c>
      <c r="L82" s="110">
        <f t="shared" si="67"/>
        <v>4.1806084640648677</v>
      </c>
      <c r="M82" s="110">
        <f t="shared" si="67"/>
        <v>4.8861723940459418</v>
      </c>
      <c r="N82" s="110">
        <f t="shared" si="67"/>
        <v>5.2712636728896163</v>
      </c>
      <c r="O82" s="110">
        <f t="shared" si="67"/>
        <v>5.6811882496313251</v>
      </c>
      <c r="P82" s="110">
        <f t="shared" si="67"/>
        <v>3.442582350987208</v>
      </c>
      <c r="Q82" s="110">
        <f t="shared" si="67"/>
        <v>4.290234937895967</v>
      </c>
      <c r="R82" s="110">
        <f t="shared" si="67"/>
        <v>3.9769292836288885</v>
      </c>
      <c r="S82" s="110">
        <f t="shared" si="67"/>
        <v>4.100422472735695</v>
      </c>
      <c r="T82" s="110">
        <f t="shared" si="67"/>
        <v>3.3388883577363928</v>
      </c>
      <c r="U82" s="110">
        <f t="shared" si="67"/>
        <v>2.6750884784899207</v>
      </c>
      <c r="V82" s="110">
        <f t="shared" si="67"/>
        <v>8.2476956313889875</v>
      </c>
      <c r="W82" s="110">
        <f t="shared" ref="W82" si="68">W83+W84+W85</f>
        <v>4.732428281020935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1.195048190380908</v>
      </c>
      <c r="C84" s="102">
        <f>TrAvia_emi!C$12</f>
        <v>1.1500966636817103</v>
      </c>
      <c r="D84" s="102">
        <f>TrAvia_emi!D$12</f>
        <v>1.2609178386650488</v>
      </c>
      <c r="E84" s="102">
        <f>TrAvia_emi!E$12</f>
        <v>0.53673738117888792</v>
      </c>
      <c r="F84" s="102">
        <f>TrAvia_emi!F$12</f>
        <v>0.21250440557908534</v>
      </c>
      <c r="G84" s="102">
        <f>TrAvia_emi!G$12</f>
        <v>0.17599726026503751</v>
      </c>
      <c r="H84" s="102">
        <f>TrAvia_emi!H$12</f>
        <v>0.1478589874095613</v>
      </c>
      <c r="I84" s="102">
        <f>TrAvia_emi!I$12</f>
        <v>0.17992198700640816</v>
      </c>
      <c r="J84" s="102">
        <f>TrAvia_emi!J$12</f>
        <v>1.5406280732436946</v>
      </c>
      <c r="K84" s="102">
        <f>TrAvia_emi!K$12</f>
        <v>2.6810980920979226</v>
      </c>
      <c r="L84" s="102">
        <f>TrAvia_emi!L$12</f>
        <v>3.247706457060457</v>
      </c>
      <c r="M84" s="102">
        <f>TrAvia_emi!M$12</f>
        <v>4.800799628827642</v>
      </c>
      <c r="N84" s="102">
        <f>TrAvia_emi!N$12</f>
        <v>5.1994031107447043</v>
      </c>
      <c r="O84" s="102">
        <f>TrAvia_emi!O$12</f>
        <v>5.541036751234059</v>
      </c>
      <c r="P84" s="102">
        <f>TrAvia_emi!P$12</f>
        <v>2.7523532787382008</v>
      </c>
      <c r="Q84" s="102">
        <f>TrAvia_emi!Q$12</f>
        <v>3.758240457297378</v>
      </c>
      <c r="R84" s="102">
        <f>TrAvia_emi!R$12</f>
        <v>3.5425540849949564</v>
      </c>
      <c r="S84" s="102">
        <f>TrAvia_emi!S$12</f>
        <v>3.9665869675251524</v>
      </c>
      <c r="T84" s="102">
        <f>TrAvia_emi!T$12</f>
        <v>3.1948804709241152</v>
      </c>
      <c r="U84" s="102">
        <f>TrAvia_emi!U$12</f>
        <v>2.6384938258792929</v>
      </c>
      <c r="V84" s="102">
        <f>TrAvia_emi!V$12</f>
        <v>8.0835982046759955</v>
      </c>
      <c r="W84" s="102">
        <f>TrAvia_emi!W$12</f>
        <v>4.7141076212940503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1.2680737814535787</v>
      </c>
      <c r="C85" s="102">
        <f>TrAvia_emi!C$13</f>
        <v>1.2729931356899591</v>
      </c>
      <c r="D85" s="102">
        <f>TrAvia_emi!D$13</f>
        <v>0.37456536375327404</v>
      </c>
      <c r="E85" s="102">
        <f>TrAvia_emi!E$13</f>
        <v>1.6472811634671833</v>
      </c>
      <c r="F85" s="102">
        <f>TrAvia_emi!F$13</f>
        <v>0.56361396729358793</v>
      </c>
      <c r="G85" s="102">
        <f>TrAvia_emi!G$13</f>
        <v>0.69162223902370512</v>
      </c>
      <c r="H85" s="102">
        <f>TrAvia_emi!H$13</f>
        <v>1.5385368500706167</v>
      </c>
      <c r="I85" s="102">
        <f>TrAvia_emi!I$13</f>
        <v>1.1222439763170338</v>
      </c>
      <c r="J85" s="102">
        <f>TrAvia_emi!J$13</f>
        <v>0.51601748405488834</v>
      </c>
      <c r="K85" s="102">
        <f>TrAvia_emi!K$13</f>
        <v>0.36251283981598698</v>
      </c>
      <c r="L85" s="102">
        <f>TrAvia_emi!L$13</f>
        <v>0.93290200700441095</v>
      </c>
      <c r="M85" s="102">
        <f>TrAvia_emi!M$13</f>
        <v>8.5372765218299451E-2</v>
      </c>
      <c r="N85" s="102">
        <f>TrAvia_emi!N$13</f>
        <v>7.1860562144911697E-2</v>
      </c>
      <c r="O85" s="102">
        <f>TrAvia_emi!O$13</f>
        <v>0.14015149839726643</v>
      </c>
      <c r="P85" s="102">
        <f>TrAvia_emi!P$13</f>
        <v>0.69022907224900709</v>
      </c>
      <c r="Q85" s="102">
        <f>TrAvia_emi!Q$13</f>
        <v>0.53199448059858867</v>
      </c>
      <c r="R85" s="102">
        <f>TrAvia_emi!R$13</f>
        <v>0.43437519863393198</v>
      </c>
      <c r="S85" s="102">
        <f>TrAvia_emi!S$13</f>
        <v>0.1338355052105426</v>
      </c>
      <c r="T85" s="102">
        <f>TrAvia_emi!T$13</f>
        <v>0.14400788681227777</v>
      </c>
      <c r="U85" s="102">
        <f>TrAvia_emi!U$13</f>
        <v>3.6594652610627672E-2</v>
      </c>
      <c r="V85" s="102">
        <f>TrAvia_emi!V$13</f>
        <v>0.16409742671299257</v>
      </c>
      <c r="W85" s="102">
        <f>TrAvia_emi!W$13</f>
        <v>1.832065972688442E-2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69.429030325200003</v>
      </c>
      <c r="C86" s="110">
        <f t="shared" si="69"/>
        <v>82.9152448488</v>
      </c>
      <c r="D86" s="110">
        <f t="shared" si="69"/>
        <v>60.850935415763999</v>
      </c>
      <c r="E86" s="110">
        <f t="shared" si="69"/>
        <v>35.463749302799997</v>
      </c>
      <c r="F86" s="110">
        <f t="shared" si="69"/>
        <v>49.948942680000009</v>
      </c>
      <c r="G86" s="110">
        <f t="shared" si="69"/>
        <v>56.941794655199999</v>
      </c>
      <c r="H86" s="110">
        <f t="shared" si="69"/>
        <v>32.466812742000002</v>
      </c>
      <c r="I86" s="110">
        <f t="shared" si="69"/>
        <v>45.453537838800003</v>
      </c>
      <c r="J86" s="110">
        <f t="shared" si="69"/>
        <v>60.937710069600001</v>
      </c>
      <c r="K86" s="110">
        <f t="shared" si="69"/>
        <v>37.961196436800002</v>
      </c>
      <c r="L86" s="110">
        <f t="shared" si="69"/>
        <v>49.948942680000009</v>
      </c>
      <c r="M86" s="110">
        <f t="shared" si="69"/>
        <v>50.569426440000008</v>
      </c>
      <c r="N86" s="110">
        <f t="shared" si="69"/>
        <v>50.063732175600002</v>
      </c>
      <c r="O86" s="110">
        <f t="shared" si="69"/>
        <v>49.558037911200003</v>
      </c>
      <c r="P86" s="110">
        <f t="shared" si="69"/>
        <v>49.052343646800004</v>
      </c>
      <c r="Q86" s="110">
        <f t="shared" si="69"/>
        <v>48.546649382399998</v>
      </c>
      <c r="R86" s="110">
        <f t="shared" ref="R86:V86" si="70">R87+R88</f>
        <v>55.753568254800001</v>
      </c>
      <c r="S86" s="110">
        <f t="shared" si="70"/>
        <v>57.044174475600002</v>
      </c>
      <c r="T86" s="110">
        <f t="shared" si="70"/>
        <v>50.231262790800002</v>
      </c>
      <c r="U86" s="110">
        <f t="shared" si="70"/>
        <v>57.2148075096</v>
      </c>
      <c r="V86" s="110">
        <f t="shared" si="70"/>
        <v>52.691480899200009</v>
      </c>
      <c r="W86" s="110">
        <f t="shared" ref="W86" si="71">W87+W88</f>
        <v>52.691480899200009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69.429030325200003</v>
      </c>
      <c r="C88" s="169">
        <f>TrNavi_emi!C$5</f>
        <v>82.9152448488</v>
      </c>
      <c r="D88" s="169">
        <f>TrNavi_emi!D$5</f>
        <v>60.850935415763999</v>
      </c>
      <c r="E88" s="169">
        <f>TrNavi_emi!E$5</f>
        <v>35.463749302799997</v>
      </c>
      <c r="F88" s="169">
        <f>TrNavi_emi!F$5</f>
        <v>49.948942680000009</v>
      </c>
      <c r="G88" s="169">
        <f>TrNavi_emi!G$5</f>
        <v>56.941794655199999</v>
      </c>
      <c r="H88" s="169">
        <f>TrNavi_emi!H$5</f>
        <v>32.466812742000002</v>
      </c>
      <c r="I88" s="169">
        <f>TrNavi_emi!I$5</f>
        <v>45.453537838800003</v>
      </c>
      <c r="J88" s="169">
        <f>TrNavi_emi!J$5</f>
        <v>60.937710069600001</v>
      </c>
      <c r="K88" s="169">
        <f>TrNavi_emi!K$5</f>
        <v>37.961196436800002</v>
      </c>
      <c r="L88" s="169">
        <f>TrNavi_emi!L$5</f>
        <v>49.948942680000009</v>
      </c>
      <c r="M88" s="169">
        <f>TrNavi_emi!M$5</f>
        <v>50.569426440000008</v>
      </c>
      <c r="N88" s="169">
        <f>TrNavi_emi!N$5</f>
        <v>50.063732175600002</v>
      </c>
      <c r="O88" s="169">
        <f>TrNavi_emi!O$5</f>
        <v>49.558037911200003</v>
      </c>
      <c r="P88" s="169">
        <f>TrNavi_emi!P$5</f>
        <v>49.052343646800004</v>
      </c>
      <c r="Q88" s="169">
        <f>TrNavi_emi!Q$5</f>
        <v>48.546649382399998</v>
      </c>
      <c r="R88" s="169">
        <f>TrNavi_emi!R$5</f>
        <v>55.753568254800001</v>
      </c>
      <c r="S88" s="169">
        <f>TrNavi_emi!S$5</f>
        <v>57.044174475600002</v>
      </c>
      <c r="T88" s="169">
        <f>TrNavi_emi!T$5</f>
        <v>50.231262790800002</v>
      </c>
      <c r="U88" s="169">
        <f>TrNavi_emi!U$5</f>
        <v>57.2148075096</v>
      </c>
      <c r="V88" s="169">
        <f>TrNavi_emi!V$5</f>
        <v>52.691480899200009</v>
      </c>
      <c r="W88" s="169">
        <f>TrNavi_emi!W$5</f>
        <v>52.691480899200009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0</v>
      </c>
      <c r="C89" s="28">
        <f t="shared" si="72"/>
        <v>0</v>
      </c>
      <c r="D89" s="28">
        <f t="shared" si="72"/>
        <v>0</v>
      </c>
      <c r="E89" s="28">
        <f t="shared" si="72"/>
        <v>0</v>
      </c>
      <c r="F89" s="28">
        <f t="shared" si="72"/>
        <v>0</v>
      </c>
      <c r="G89" s="28">
        <f t="shared" si="72"/>
        <v>0</v>
      </c>
      <c r="H89" s="28">
        <f t="shared" si="72"/>
        <v>0</v>
      </c>
      <c r="I89" s="28">
        <f t="shared" si="72"/>
        <v>0</v>
      </c>
      <c r="J89" s="28">
        <f t="shared" si="72"/>
        <v>0</v>
      </c>
      <c r="K89" s="28">
        <f t="shared" si="72"/>
        <v>0</v>
      </c>
      <c r="L89" s="28">
        <f t="shared" si="72"/>
        <v>0</v>
      </c>
      <c r="M89" s="28">
        <f t="shared" si="72"/>
        <v>0</v>
      </c>
      <c r="N89" s="28">
        <f t="shared" si="72"/>
        <v>0</v>
      </c>
      <c r="O89" s="28">
        <f t="shared" si="72"/>
        <v>0</v>
      </c>
      <c r="P89" s="28">
        <f t="shared" si="72"/>
        <v>0</v>
      </c>
      <c r="Q89" s="28">
        <f t="shared" si="72"/>
        <v>0</v>
      </c>
      <c r="R89" s="28">
        <f t="shared" si="72"/>
        <v>0</v>
      </c>
      <c r="S89" s="28">
        <f t="shared" si="72"/>
        <v>0</v>
      </c>
      <c r="T89" s="28">
        <f t="shared" si="72"/>
        <v>0</v>
      </c>
      <c r="U89" s="28">
        <f t="shared" si="72"/>
        <v>0</v>
      </c>
      <c r="V89" s="28">
        <f t="shared" si="72"/>
        <v>0</v>
      </c>
      <c r="W89" s="28">
        <f t="shared" si="72"/>
        <v>0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0</v>
      </c>
      <c r="C90" s="102">
        <f>MBunk_emi!C$4</f>
        <v>0</v>
      </c>
      <c r="D90" s="102">
        <f>MBunk_emi!D$4</f>
        <v>0</v>
      </c>
      <c r="E90" s="102">
        <f>MBunk_emi!E$4</f>
        <v>0</v>
      </c>
      <c r="F90" s="102">
        <f>MBunk_emi!F$4</f>
        <v>0</v>
      </c>
      <c r="G90" s="102">
        <f>MBunk_emi!G$4</f>
        <v>0</v>
      </c>
      <c r="H90" s="102">
        <f>MBunk_emi!H$4</f>
        <v>0</v>
      </c>
      <c r="I90" s="102">
        <f>MBunk_emi!I$4</f>
        <v>0</v>
      </c>
      <c r="J90" s="102">
        <f>MBunk_emi!J$4</f>
        <v>0</v>
      </c>
      <c r="K90" s="102">
        <f>MBunk_emi!K$4</f>
        <v>0</v>
      </c>
      <c r="L90" s="102">
        <f>MBunk_emi!L$4</f>
        <v>0</v>
      </c>
      <c r="M90" s="102">
        <f>MBunk_emi!M$4</f>
        <v>0</v>
      </c>
      <c r="N90" s="102">
        <f>MBunk_emi!N$4</f>
        <v>0</v>
      </c>
      <c r="O90" s="102">
        <f>MBunk_emi!O$4</f>
        <v>0</v>
      </c>
      <c r="P90" s="102">
        <f>MBunk_emi!P$4</f>
        <v>0</v>
      </c>
      <c r="Q90" s="102">
        <f>MBunk_emi!Q$4</f>
        <v>0</v>
      </c>
      <c r="R90" s="102">
        <f>MBunk_emi!R$4</f>
        <v>0</v>
      </c>
      <c r="S90" s="102">
        <f>MBunk_emi!S$4</f>
        <v>0</v>
      </c>
      <c r="T90" s="102">
        <f>MBunk_emi!T$4</f>
        <v>0</v>
      </c>
      <c r="U90" s="102">
        <f>MBunk_emi!U$4</f>
        <v>0</v>
      </c>
      <c r="V90" s="102">
        <f>MBunk_emi!V$4</f>
        <v>0</v>
      </c>
      <c r="W90" s="102">
        <f>MBunk_emi!W$4</f>
        <v>0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0</v>
      </c>
      <c r="C91" s="86">
        <f>MBunk_emi!C$5</f>
        <v>0</v>
      </c>
      <c r="D91" s="86">
        <f>MBunk_emi!D$5</f>
        <v>0</v>
      </c>
      <c r="E91" s="86">
        <f>MBunk_emi!E$5</f>
        <v>0</v>
      </c>
      <c r="F91" s="86">
        <f>MBunk_emi!F$5</f>
        <v>0</v>
      </c>
      <c r="G91" s="86">
        <f>MBunk_emi!G$5</f>
        <v>0</v>
      </c>
      <c r="H91" s="86">
        <f>MBunk_emi!H$5</f>
        <v>0</v>
      </c>
      <c r="I91" s="86">
        <f>MBunk_emi!I$5</f>
        <v>0</v>
      </c>
      <c r="J91" s="86">
        <f>MBunk_emi!J$5</f>
        <v>0</v>
      </c>
      <c r="K91" s="86">
        <f>MBunk_emi!K$5</f>
        <v>0</v>
      </c>
      <c r="L91" s="86">
        <f>MBunk_emi!L$5</f>
        <v>0</v>
      </c>
      <c r="M91" s="86">
        <f>MBunk_emi!M$5</f>
        <v>0</v>
      </c>
      <c r="N91" s="86">
        <f>MBunk_emi!N$5</f>
        <v>0</v>
      </c>
      <c r="O91" s="86">
        <f>MBunk_emi!O$5</f>
        <v>0</v>
      </c>
      <c r="P91" s="86">
        <f>MBunk_emi!P$5</f>
        <v>0</v>
      </c>
      <c r="Q91" s="86">
        <f>MBunk_emi!Q$5</f>
        <v>0</v>
      </c>
      <c r="R91" s="86">
        <f>MBunk_emi!R$5</f>
        <v>0</v>
      </c>
      <c r="S91" s="86">
        <f>MBunk_emi!S$5</f>
        <v>0</v>
      </c>
      <c r="T91" s="86">
        <f>MBunk_emi!T$5</f>
        <v>0</v>
      </c>
      <c r="U91" s="86">
        <f>MBunk_emi!U$5</f>
        <v>0</v>
      </c>
      <c r="V91" s="86">
        <f>MBunk_emi!V$5</f>
        <v>0</v>
      </c>
      <c r="W91" s="86">
        <f>MBunk_emi!W$5</f>
        <v>0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0.90230640218640723</v>
      </c>
      <c r="C97" s="139">
        <f t="shared" si="76"/>
        <v>0.9024667439595343</v>
      </c>
      <c r="D97" s="139">
        <f t="shared" si="76"/>
        <v>0.90532937011849779</v>
      </c>
      <c r="E97" s="139">
        <f t="shared" si="76"/>
        <v>0.90812504298243568</v>
      </c>
      <c r="F97" s="139">
        <f t="shared" si="76"/>
        <v>0.89969874415452333</v>
      </c>
      <c r="G97" s="139">
        <f t="shared" si="76"/>
        <v>0.89727929097946468</v>
      </c>
      <c r="H97" s="139">
        <f t="shared" si="76"/>
        <v>0.89638664103085741</v>
      </c>
      <c r="I97" s="139">
        <f t="shared" si="76"/>
        <v>0.89485347546515037</v>
      </c>
      <c r="J97" s="139">
        <f t="shared" si="76"/>
        <v>0.88514287819986492</v>
      </c>
      <c r="K97" s="139">
        <f t="shared" si="76"/>
        <v>0.89225459295395981</v>
      </c>
      <c r="L97" s="139">
        <f t="shared" si="76"/>
        <v>0.89123553117146692</v>
      </c>
      <c r="M97" s="139">
        <f t="shared" si="76"/>
        <v>0.88827065036244035</v>
      </c>
      <c r="N97" s="139">
        <f t="shared" si="76"/>
        <v>0.89291372677683711</v>
      </c>
      <c r="O97" s="139">
        <f t="shared" si="76"/>
        <v>0.89444543889912576</v>
      </c>
      <c r="P97" s="139">
        <f t="shared" si="76"/>
        <v>0.89064101998550993</v>
      </c>
      <c r="Q97" s="139">
        <f t="shared" si="76"/>
        <v>0.86823693257398349</v>
      </c>
      <c r="R97" s="139">
        <f t="shared" ref="R97:V97" si="77">IF(R5=0,0,R5/R$4)</f>
        <v>0.86540483384439382</v>
      </c>
      <c r="S97" s="139">
        <f t="shared" si="77"/>
        <v>0.85617159668983456</v>
      </c>
      <c r="T97" s="139">
        <f t="shared" si="77"/>
        <v>0.85172035553078562</v>
      </c>
      <c r="U97" s="139">
        <f t="shared" si="77"/>
        <v>0.84804267227406804</v>
      </c>
      <c r="V97" s="139">
        <f t="shared" si="77"/>
        <v>0.91544101733559402</v>
      </c>
      <c r="W97" s="139">
        <f t="shared" ref="W97" si="78">IF(W5=0,0,W5/W$4)</f>
        <v>0.92148358032899624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1.6295709195499864E-3</v>
      </c>
      <c r="C98" s="140">
        <f t="shared" si="79"/>
        <v>1.7184452838262872E-3</v>
      </c>
      <c r="D98" s="140">
        <f t="shared" si="79"/>
        <v>1.4686578265338365E-3</v>
      </c>
      <c r="E98" s="140">
        <f t="shared" si="79"/>
        <v>1.5097692876204559E-3</v>
      </c>
      <c r="F98" s="140">
        <f t="shared" si="79"/>
        <v>1.5706076856248578E-3</v>
      </c>
      <c r="G98" s="140">
        <f t="shared" si="79"/>
        <v>1.7041582855682469E-3</v>
      </c>
      <c r="H98" s="140">
        <f t="shared" si="79"/>
        <v>1.731854802512351E-3</v>
      </c>
      <c r="I98" s="140">
        <f t="shared" si="79"/>
        <v>1.9159649859585462E-3</v>
      </c>
      <c r="J98" s="140">
        <f t="shared" si="79"/>
        <v>2.1132670861179746E-3</v>
      </c>
      <c r="K98" s="140">
        <f t="shared" si="79"/>
        <v>1.989437606092697E-3</v>
      </c>
      <c r="L98" s="140">
        <f t="shared" si="79"/>
        <v>1.8033133011684775E-3</v>
      </c>
      <c r="M98" s="140">
        <f t="shared" si="79"/>
        <v>2.1578958561317826E-3</v>
      </c>
      <c r="N98" s="140">
        <f t="shared" si="79"/>
        <v>2.5244951327702569E-3</v>
      </c>
      <c r="O98" s="140">
        <f t="shared" si="79"/>
        <v>2.5840009943487296E-3</v>
      </c>
      <c r="P98" s="140">
        <f t="shared" si="79"/>
        <v>2.8516051065053333E-3</v>
      </c>
      <c r="Q98" s="140">
        <f t="shared" si="79"/>
        <v>3.0799295618379042E-3</v>
      </c>
      <c r="R98" s="140">
        <f t="shared" ref="R98:V98" si="80">IF(R6=0,0,R6/R$4)</f>
        <v>3.1897353969046979E-3</v>
      </c>
      <c r="S98" s="140">
        <f t="shared" si="80"/>
        <v>2.982917803082321E-3</v>
      </c>
      <c r="T98" s="140">
        <f t="shared" si="80"/>
        <v>2.8032468678691053E-3</v>
      </c>
      <c r="U98" s="140">
        <f t="shared" si="80"/>
        <v>2.9807232260121875E-3</v>
      </c>
      <c r="V98" s="140">
        <f t="shared" si="80"/>
        <v>3.533002014578469E-3</v>
      </c>
      <c r="W98" s="140">
        <f t="shared" ref="W98" si="81">IF(W6=0,0,W6/W$4)</f>
        <v>3.5610303883843362E-3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0.64825829957476899</v>
      </c>
      <c r="C99" s="140">
        <f t="shared" si="82"/>
        <v>0.65067074419780824</v>
      </c>
      <c r="D99" s="140">
        <f t="shared" si="82"/>
        <v>0.6596187941319448</v>
      </c>
      <c r="E99" s="140">
        <f t="shared" si="82"/>
        <v>0.67264155039916163</v>
      </c>
      <c r="F99" s="140">
        <f t="shared" si="82"/>
        <v>0.66560001015577019</v>
      </c>
      <c r="G99" s="140">
        <f t="shared" si="82"/>
        <v>0.67305391545416304</v>
      </c>
      <c r="H99" s="140">
        <f t="shared" si="82"/>
        <v>0.67285111098613448</v>
      </c>
      <c r="I99" s="140">
        <f t="shared" si="82"/>
        <v>0.669946779157646</v>
      </c>
      <c r="J99" s="140">
        <f t="shared" si="82"/>
        <v>0.68868226115655429</v>
      </c>
      <c r="K99" s="140">
        <f t="shared" si="82"/>
        <v>0.73977971461542325</v>
      </c>
      <c r="L99" s="140">
        <f t="shared" si="82"/>
        <v>0.74361469832587035</v>
      </c>
      <c r="M99" s="140">
        <f t="shared" si="82"/>
        <v>0.7361531317972525</v>
      </c>
      <c r="N99" s="140">
        <f t="shared" si="82"/>
        <v>0.74095733953110832</v>
      </c>
      <c r="O99" s="140">
        <f t="shared" si="82"/>
        <v>0.74719634955782643</v>
      </c>
      <c r="P99" s="140">
        <f t="shared" si="82"/>
        <v>0.74202534870988124</v>
      </c>
      <c r="Q99" s="140">
        <f t="shared" si="82"/>
        <v>0.72400088162111864</v>
      </c>
      <c r="R99" s="140">
        <f t="shared" ref="R99:V99" si="83">IF(R7=0,0,R7/R$4)</f>
        <v>0.71161558091496335</v>
      </c>
      <c r="S99" s="140">
        <f t="shared" si="83"/>
        <v>0.70470452783949089</v>
      </c>
      <c r="T99" s="140">
        <f t="shared" si="83"/>
        <v>0.69627888159735452</v>
      </c>
      <c r="U99" s="140">
        <f t="shared" si="83"/>
        <v>0.69483356992096001</v>
      </c>
      <c r="V99" s="140">
        <f t="shared" si="83"/>
        <v>0.79246914438635918</v>
      </c>
      <c r="W99" s="140">
        <f t="shared" ref="W99" si="84">IF(W7=0,0,W7/W$4)</f>
        <v>0.81901705495005994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0.25241853169208811</v>
      </c>
      <c r="C100" s="140">
        <f t="shared" si="85"/>
        <v>0.2500775544778997</v>
      </c>
      <c r="D100" s="140">
        <f t="shared" si="85"/>
        <v>0.24424191816001903</v>
      </c>
      <c r="E100" s="140">
        <f t="shared" si="85"/>
        <v>0.23397372329565344</v>
      </c>
      <c r="F100" s="140">
        <f t="shared" si="85"/>
        <v>0.23252812631312814</v>
      </c>
      <c r="G100" s="140">
        <f t="shared" si="85"/>
        <v>0.22252121723973345</v>
      </c>
      <c r="H100" s="140">
        <f t="shared" si="85"/>
        <v>0.22180367524221059</v>
      </c>
      <c r="I100" s="140">
        <f t="shared" si="85"/>
        <v>0.22299073132154582</v>
      </c>
      <c r="J100" s="140">
        <f t="shared" si="85"/>
        <v>0.19434734995719266</v>
      </c>
      <c r="K100" s="140">
        <f t="shared" si="85"/>
        <v>0.15048544073244388</v>
      </c>
      <c r="L100" s="140">
        <f t="shared" si="85"/>
        <v>0.14581751954442804</v>
      </c>
      <c r="M100" s="140">
        <f t="shared" si="85"/>
        <v>0.14995962270905611</v>
      </c>
      <c r="N100" s="140">
        <f t="shared" si="85"/>
        <v>0.1494318921129584</v>
      </c>
      <c r="O100" s="140">
        <f t="shared" si="85"/>
        <v>0.14466508834695069</v>
      </c>
      <c r="P100" s="140">
        <f t="shared" si="85"/>
        <v>0.14576406616912327</v>
      </c>
      <c r="Q100" s="140">
        <f t="shared" si="85"/>
        <v>0.1411561213910269</v>
      </c>
      <c r="R100" s="140">
        <f t="shared" ref="R100:V100" si="86">IF(R8=0,0,R8/R$4)</f>
        <v>0.15059951753252568</v>
      </c>
      <c r="S100" s="140">
        <f t="shared" si="86"/>
        <v>0.14848415104726115</v>
      </c>
      <c r="T100" s="140">
        <f t="shared" si="86"/>
        <v>0.15263822706556204</v>
      </c>
      <c r="U100" s="140">
        <f t="shared" si="86"/>
        <v>0.15022837912709602</v>
      </c>
      <c r="V100" s="140">
        <f t="shared" si="86"/>
        <v>0.11943887093465637</v>
      </c>
      <c r="W100" s="140">
        <f t="shared" ref="W100" si="87">IF(W8=0,0,W8/W$4)</f>
        <v>9.8905494990551887E-2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8.7232718652294552E-2</v>
      </c>
      <c r="C101" s="124">
        <f t="shared" si="88"/>
        <v>8.5536121694631276E-2</v>
      </c>
      <c r="D101" s="124">
        <f t="shared" si="88"/>
        <v>8.0285880746517505E-2</v>
      </c>
      <c r="E101" s="124">
        <f t="shared" si="88"/>
        <v>7.1546980911577587E-2</v>
      </c>
      <c r="F101" s="124">
        <f t="shared" si="88"/>
        <v>6.8058645997862363E-2</v>
      </c>
      <c r="G101" s="124">
        <f t="shared" si="88"/>
        <v>6.6935752440948681E-2</v>
      </c>
      <c r="H101" s="124">
        <f t="shared" si="88"/>
        <v>6.6345796439308755E-2</v>
      </c>
      <c r="I101" s="124">
        <f t="shared" si="88"/>
        <v>6.5977618602110724E-2</v>
      </c>
      <c r="J101" s="124">
        <f t="shared" si="88"/>
        <v>6.9488794191891537E-2</v>
      </c>
      <c r="K101" s="124">
        <f t="shared" si="88"/>
        <v>7.1584632880731955E-2</v>
      </c>
      <c r="L101" s="124">
        <f t="shared" si="88"/>
        <v>7.1720629254566168E-2</v>
      </c>
      <c r="M101" s="124">
        <f t="shared" si="88"/>
        <v>7.4959686449658391E-2</v>
      </c>
      <c r="N101" s="124">
        <f t="shared" si="88"/>
        <v>7.5607326538843916E-2</v>
      </c>
      <c r="O101" s="124">
        <f t="shared" si="88"/>
        <v>7.5955297676800065E-2</v>
      </c>
      <c r="P101" s="124">
        <f t="shared" si="88"/>
        <v>7.7327884319395801E-2</v>
      </c>
      <c r="Q101" s="124">
        <f t="shared" si="88"/>
        <v>9.6296775886104552E-2</v>
      </c>
      <c r="R101" s="124">
        <f t="shared" ref="R101:V101" si="89">IF(R9=0,0,R9/R$4)</f>
        <v>9.6768029856992233E-2</v>
      </c>
      <c r="S101" s="124">
        <f t="shared" si="89"/>
        <v>0.10121614571547821</v>
      </c>
      <c r="T101" s="124">
        <f t="shared" si="89"/>
        <v>9.9640517173111176E-2</v>
      </c>
      <c r="U101" s="124">
        <f t="shared" si="89"/>
        <v>0.10284122135492767</v>
      </c>
      <c r="V101" s="124">
        <f t="shared" si="89"/>
        <v>7.3456705868835445E-2</v>
      </c>
      <c r="W101" s="124">
        <f t="shared" ref="W101" si="90">IF(W9=0,0,W9/W$4)</f>
        <v>6.4930440864849767E-2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9.4818172448146252E-3</v>
      </c>
      <c r="C102" s="140">
        <f t="shared" si="91"/>
        <v>9.666008730096343E-3</v>
      </c>
      <c r="D102" s="140">
        <f t="shared" si="91"/>
        <v>9.4596494284826006E-3</v>
      </c>
      <c r="E102" s="140">
        <f t="shared" si="91"/>
        <v>9.7868385580865257E-3</v>
      </c>
      <c r="F102" s="140">
        <f t="shared" si="91"/>
        <v>9.5177955862463855E-3</v>
      </c>
      <c r="G102" s="140">
        <f t="shared" si="91"/>
        <v>1.0066032663958908E-2</v>
      </c>
      <c r="H102" s="140">
        <f t="shared" si="91"/>
        <v>9.8193554472688366E-3</v>
      </c>
      <c r="I102" s="140">
        <f t="shared" si="91"/>
        <v>1.017878899234294E-2</v>
      </c>
      <c r="J102" s="140">
        <f t="shared" si="91"/>
        <v>9.5829608289270084E-3</v>
      </c>
      <c r="K102" s="140">
        <f t="shared" si="91"/>
        <v>8.1909434829530604E-3</v>
      </c>
      <c r="L102" s="140">
        <f t="shared" si="91"/>
        <v>7.8415288998493066E-3</v>
      </c>
      <c r="M102" s="140">
        <f t="shared" si="91"/>
        <v>8.4000753588293307E-3</v>
      </c>
      <c r="N102" s="140">
        <f t="shared" si="91"/>
        <v>7.9624741940510658E-3</v>
      </c>
      <c r="O102" s="140">
        <f t="shared" si="91"/>
        <v>7.5780953696301693E-3</v>
      </c>
      <c r="P102" s="140">
        <f t="shared" si="91"/>
        <v>6.9946313849118067E-3</v>
      </c>
      <c r="Q102" s="140">
        <f t="shared" si="91"/>
        <v>6.5954571105556938E-3</v>
      </c>
      <c r="R102" s="140">
        <f t="shared" ref="R102:V102" si="92">IF(R10=0,0,R10/R$4)</f>
        <v>7.7010416436091118E-3</v>
      </c>
      <c r="S102" s="140">
        <f t="shared" si="92"/>
        <v>7.138592461230382E-3</v>
      </c>
      <c r="T102" s="140">
        <f t="shared" si="92"/>
        <v>6.8685734269000598E-3</v>
      </c>
      <c r="U102" s="140">
        <f t="shared" si="92"/>
        <v>6.7601325872019696E-3</v>
      </c>
      <c r="V102" s="140">
        <f t="shared" si="92"/>
        <v>5.3746343285837207E-3</v>
      </c>
      <c r="W102" s="140">
        <f t="shared" ref="W102" si="93">IF(W10=0,0,W10/W$4)</f>
        <v>4.4506521578942864E-3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7.7750901407479922E-2</v>
      </c>
      <c r="C103" s="140">
        <f t="shared" si="94"/>
        <v>7.5870112964534928E-2</v>
      </c>
      <c r="D103" s="140">
        <f t="shared" si="94"/>
        <v>7.0826231318034907E-2</v>
      </c>
      <c r="E103" s="140">
        <f t="shared" si="94"/>
        <v>6.176014235349106E-2</v>
      </c>
      <c r="F103" s="140">
        <f t="shared" si="94"/>
        <v>5.8540850411615983E-2</v>
      </c>
      <c r="G103" s="140">
        <f t="shared" si="94"/>
        <v>5.686971977698977E-2</v>
      </c>
      <c r="H103" s="140">
        <f t="shared" si="94"/>
        <v>5.652644099203992E-2</v>
      </c>
      <c r="I103" s="140">
        <f t="shared" si="94"/>
        <v>5.5798829609767779E-2</v>
      </c>
      <c r="J103" s="140">
        <f t="shared" si="94"/>
        <v>5.9905833362964532E-2</v>
      </c>
      <c r="K103" s="140">
        <f t="shared" si="94"/>
        <v>6.3393689397778896E-2</v>
      </c>
      <c r="L103" s="140">
        <f t="shared" si="94"/>
        <v>6.3879100354716861E-2</v>
      </c>
      <c r="M103" s="140">
        <f t="shared" si="94"/>
        <v>6.6559611090829057E-2</v>
      </c>
      <c r="N103" s="140">
        <f t="shared" si="94"/>
        <v>6.7644852344792852E-2</v>
      </c>
      <c r="O103" s="140">
        <f t="shared" si="94"/>
        <v>6.8377202307169899E-2</v>
      </c>
      <c r="P103" s="140">
        <f t="shared" si="94"/>
        <v>7.0333252934483989E-2</v>
      </c>
      <c r="Q103" s="140">
        <f t="shared" si="94"/>
        <v>8.9701318775548863E-2</v>
      </c>
      <c r="R103" s="140">
        <f t="shared" ref="R103:V103" si="95">IF(R11=0,0,R11/R$4)</f>
        <v>8.9066988213383116E-2</v>
      </c>
      <c r="S103" s="140">
        <f t="shared" si="95"/>
        <v>9.4077553254247825E-2</v>
      </c>
      <c r="T103" s="140">
        <f t="shared" si="95"/>
        <v>9.2771943746211116E-2</v>
      </c>
      <c r="U103" s="140">
        <f t="shared" si="95"/>
        <v>9.6081088767725698E-2</v>
      </c>
      <c r="V103" s="140">
        <f t="shared" si="95"/>
        <v>6.808207154025174E-2</v>
      </c>
      <c r="W103" s="140">
        <f t="shared" ref="W103" si="96">IF(W11=0,0,W11/W$4)</f>
        <v>6.0479788706955487E-2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1.0460879161298278E-2</v>
      </c>
      <c r="C105" s="124">
        <f t="shared" si="100"/>
        <v>1.1997134345834468E-2</v>
      </c>
      <c r="D105" s="124">
        <f t="shared" si="100"/>
        <v>1.4384749134984862E-2</v>
      </c>
      <c r="E105" s="124">
        <f t="shared" si="100"/>
        <v>2.032797610598688E-2</v>
      </c>
      <c r="F105" s="124">
        <f t="shared" si="100"/>
        <v>3.2242609847614165E-2</v>
      </c>
      <c r="G105" s="124">
        <f t="shared" si="100"/>
        <v>3.5784956579586739E-2</v>
      </c>
      <c r="H105" s="124">
        <f t="shared" si="100"/>
        <v>3.7267562529833827E-2</v>
      </c>
      <c r="I105" s="124">
        <f t="shared" si="100"/>
        <v>3.916890593273889E-2</v>
      </c>
      <c r="J105" s="124">
        <f t="shared" si="100"/>
        <v>4.5368327608243733E-2</v>
      </c>
      <c r="K105" s="124">
        <f t="shared" si="100"/>
        <v>3.6160774165308301E-2</v>
      </c>
      <c r="L105" s="124">
        <f t="shared" si="100"/>
        <v>3.7043839573967084E-2</v>
      </c>
      <c r="M105" s="124">
        <f t="shared" si="100"/>
        <v>3.6769663187901175E-2</v>
      </c>
      <c r="N105" s="124">
        <f t="shared" si="100"/>
        <v>3.1478946684319081E-2</v>
      </c>
      <c r="O105" s="124">
        <f t="shared" si="100"/>
        <v>2.9599263424074113E-2</v>
      </c>
      <c r="P105" s="124">
        <f t="shared" si="100"/>
        <v>3.2031095695094408E-2</v>
      </c>
      <c r="Q105" s="124">
        <f t="shared" si="100"/>
        <v>3.5466291539911807E-2</v>
      </c>
      <c r="R105" s="124">
        <f t="shared" ref="R105:V105" si="101">IF(R13=0,0,R13/R$4)</f>
        <v>3.7827136298613888E-2</v>
      </c>
      <c r="S105" s="124">
        <f t="shared" si="101"/>
        <v>4.2612257594687238E-2</v>
      </c>
      <c r="T105" s="124">
        <f t="shared" si="101"/>
        <v>4.8639127296103021E-2</v>
      </c>
      <c r="U105" s="124">
        <f t="shared" si="101"/>
        <v>4.9116106371004352E-2</v>
      </c>
      <c r="V105" s="124">
        <f t="shared" si="101"/>
        <v>1.1102276795570578E-2</v>
      </c>
      <c r="W105" s="124">
        <f t="shared" ref="W105" si="102">IF(W13=0,0,W13/W$4)</f>
        <v>1.3585978806154038E-2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0</v>
      </c>
      <c r="C106" s="140">
        <f t="shared" si="103"/>
        <v>0</v>
      </c>
      <c r="D106" s="140">
        <f t="shared" si="103"/>
        <v>0</v>
      </c>
      <c r="E106" s="140">
        <f t="shared" si="103"/>
        <v>0</v>
      </c>
      <c r="F106" s="140">
        <f t="shared" si="103"/>
        <v>0</v>
      </c>
      <c r="G106" s="140">
        <f t="shared" si="103"/>
        <v>0</v>
      </c>
      <c r="H106" s="140">
        <f t="shared" si="103"/>
        <v>0</v>
      </c>
      <c r="I106" s="140">
        <f t="shared" si="103"/>
        <v>0</v>
      </c>
      <c r="J106" s="140">
        <f t="shared" si="103"/>
        <v>0</v>
      </c>
      <c r="K106" s="140">
        <f t="shared" si="103"/>
        <v>0</v>
      </c>
      <c r="L106" s="140">
        <f t="shared" si="103"/>
        <v>0</v>
      </c>
      <c r="M106" s="140">
        <f t="shared" si="103"/>
        <v>0</v>
      </c>
      <c r="N106" s="140">
        <f t="shared" si="103"/>
        <v>0</v>
      </c>
      <c r="O106" s="140">
        <f t="shared" si="103"/>
        <v>0</v>
      </c>
      <c r="P106" s="140">
        <f t="shared" si="103"/>
        <v>0</v>
      </c>
      <c r="Q106" s="140">
        <f t="shared" si="103"/>
        <v>0</v>
      </c>
      <c r="R106" s="140">
        <f t="shared" ref="R106:V106" si="104">IF(R14=0,0,R14/R$4)</f>
        <v>0</v>
      </c>
      <c r="S106" s="140">
        <f t="shared" si="104"/>
        <v>0</v>
      </c>
      <c r="T106" s="140">
        <f t="shared" si="104"/>
        <v>0</v>
      </c>
      <c r="U106" s="140">
        <f t="shared" si="104"/>
        <v>0</v>
      </c>
      <c r="V106" s="140">
        <f t="shared" si="104"/>
        <v>0</v>
      </c>
      <c r="W106" s="140">
        <f t="shared" ref="W106" si="105">IF(W14=0,0,W14/W$4)</f>
        <v>0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6.8952387622775984E-3</v>
      </c>
      <c r="C107" s="140">
        <f t="shared" si="106"/>
        <v>7.9087937441832158E-3</v>
      </c>
      <c r="D107" s="140">
        <f t="shared" si="106"/>
        <v>8.3569984524507271E-3</v>
      </c>
      <c r="E107" s="140">
        <f t="shared" si="106"/>
        <v>1.2140438480709996E-2</v>
      </c>
      <c r="F107" s="140">
        <f t="shared" si="106"/>
        <v>1.9994583616096625E-2</v>
      </c>
      <c r="G107" s="140">
        <f t="shared" si="106"/>
        <v>2.5068955582252951E-2</v>
      </c>
      <c r="H107" s="140">
        <f t="shared" si="106"/>
        <v>2.9894389783610583E-2</v>
      </c>
      <c r="I107" s="140">
        <f t="shared" si="106"/>
        <v>2.8502001825930195E-2</v>
      </c>
      <c r="J107" s="140">
        <f t="shared" si="106"/>
        <v>3.3618573458689821E-2</v>
      </c>
      <c r="K107" s="140">
        <f t="shared" si="106"/>
        <v>2.6284669928413277E-2</v>
      </c>
      <c r="L107" s="140">
        <f t="shared" si="106"/>
        <v>2.6306189261108125E-2</v>
      </c>
      <c r="M107" s="140">
        <f t="shared" si="106"/>
        <v>2.6902576526744989E-2</v>
      </c>
      <c r="N107" s="140">
        <f t="shared" si="106"/>
        <v>2.2168423318226584E-2</v>
      </c>
      <c r="O107" s="140">
        <f t="shared" si="106"/>
        <v>2.17924496965759E-2</v>
      </c>
      <c r="P107" s="140">
        <f t="shared" si="106"/>
        <v>2.4024050846801332E-2</v>
      </c>
      <c r="Q107" s="140">
        <f t="shared" si="106"/>
        <v>2.6167212635476281E-2</v>
      </c>
      <c r="R107" s="140">
        <f t="shared" ref="R107:V107" si="107">IF(R15=0,0,R15/R$4)</f>
        <v>2.9047748269021068E-2</v>
      </c>
      <c r="S107" s="140">
        <f t="shared" si="107"/>
        <v>2.7912125749033307E-2</v>
      </c>
      <c r="T107" s="140">
        <f t="shared" si="107"/>
        <v>3.0407290224232199E-2</v>
      </c>
      <c r="U107" s="140">
        <f t="shared" si="107"/>
        <v>2.964751318625301E-2</v>
      </c>
      <c r="V107" s="140">
        <f t="shared" si="107"/>
        <v>8.1156189606753672E-3</v>
      </c>
      <c r="W107" s="140">
        <f t="shared" ref="W107" si="108">IF(W15=0,0,W15/W$4)</f>
        <v>1.0017589466086843E-2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3.5656403990206795E-3</v>
      </c>
      <c r="C108" s="140">
        <f t="shared" si="109"/>
        <v>4.0883406016512525E-3</v>
      </c>
      <c r="D108" s="140">
        <f t="shared" si="109"/>
        <v>6.0277506825341361E-3</v>
      </c>
      <c r="E108" s="140">
        <f t="shared" si="109"/>
        <v>8.187537625276884E-3</v>
      </c>
      <c r="F108" s="140">
        <f t="shared" si="109"/>
        <v>1.224802623151754E-2</v>
      </c>
      <c r="G108" s="140">
        <f t="shared" si="109"/>
        <v>1.0716000997333792E-2</v>
      </c>
      <c r="H108" s="140">
        <f t="shared" si="109"/>
        <v>7.3731727462232419E-3</v>
      </c>
      <c r="I108" s="140">
        <f t="shared" si="109"/>
        <v>1.0666904106808693E-2</v>
      </c>
      <c r="J108" s="140">
        <f t="shared" si="109"/>
        <v>1.174975414955391E-2</v>
      </c>
      <c r="K108" s="140">
        <f t="shared" si="109"/>
        <v>9.8761042368950246E-3</v>
      </c>
      <c r="L108" s="140">
        <f t="shared" si="109"/>
        <v>1.0737650312858959E-2</v>
      </c>
      <c r="M108" s="140">
        <f t="shared" si="109"/>
        <v>9.867086661156186E-3</v>
      </c>
      <c r="N108" s="140">
        <f t="shared" si="109"/>
        <v>9.3105233660924994E-3</v>
      </c>
      <c r="O108" s="140">
        <f t="shared" si="109"/>
        <v>7.8068137274982102E-3</v>
      </c>
      <c r="P108" s="140">
        <f t="shared" si="109"/>
        <v>8.0070448482930778E-3</v>
      </c>
      <c r="Q108" s="140">
        <f t="shared" si="109"/>
        <v>9.299078904435527E-3</v>
      </c>
      <c r="R108" s="140">
        <f t="shared" ref="R108:V108" si="110">IF(R16=0,0,R16/R$4)</f>
        <v>8.7793880295928221E-3</v>
      </c>
      <c r="S108" s="140">
        <f t="shared" si="110"/>
        <v>1.4700131845653934E-2</v>
      </c>
      <c r="T108" s="140">
        <f t="shared" si="110"/>
        <v>1.8231837071870823E-2</v>
      </c>
      <c r="U108" s="140">
        <f t="shared" si="110"/>
        <v>1.9468593184751345E-2</v>
      </c>
      <c r="V108" s="140">
        <f t="shared" si="110"/>
        <v>2.9866578348952096E-3</v>
      </c>
      <c r="W108" s="140">
        <f t="shared" ref="W108" si="111">IF(W16=0,0,W16/W$4)</f>
        <v>3.5683893400671953E-3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0.41044244036779343</v>
      </c>
      <c r="C110" s="139">
        <f t="shared" si="115"/>
        <v>0.43810940288823441</v>
      </c>
      <c r="D110" s="139">
        <f t="shared" si="115"/>
        <v>0.4566843934358949</v>
      </c>
      <c r="E110" s="139">
        <f t="shared" si="115"/>
        <v>0.4710511896537935</v>
      </c>
      <c r="F110" s="139">
        <f t="shared" si="115"/>
        <v>0.49795289790484842</v>
      </c>
      <c r="G110" s="139">
        <f t="shared" si="115"/>
        <v>0.51292511237461125</v>
      </c>
      <c r="H110" s="139">
        <f t="shared" si="115"/>
        <v>0.49948568852129699</v>
      </c>
      <c r="I110" s="139">
        <f t="shared" si="115"/>
        <v>0.5382257558088307</v>
      </c>
      <c r="J110" s="139">
        <f t="shared" si="115"/>
        <v>0.55441402602389489</v>
      </c>
      <c r="K110" s="139">
        <f t="shared" si="115"/>
        <v>0.60202246973037854</v>
      </c>
      <c r="L110" s="139">
        <f t="shared" si="115"/>
        <v>0.56501793349332297</v>
      </c>
      <c r="M110" s="139">
        <f t="shared" si="115"/>
        <v>0.5794950730988313</v>
      </c>
      <c r="N110" s="139">
        <f t="shared" si="115"/>
        <v>0.59334824737038527</v>
      </c>
      <c r="O110" s="139">
        <f t="shared" si="115"/>
        <v>0.5697354336484487</v>
      </c>
      <c r="P110" s="139">
        <f t="shared" si="115"/>
        <v>0.57613405650618388</v>
      </c>
      <c r="Q110" s="139">
        <f t="shared" si="115"/>
        <v>0.60639432202094667</v>
      </c>
      <c r="R110" s="139">
        <f t="shared" ref="R110:V110" si="116">IF(R18=0,0,R18/R$17)</f>
        <v>0.62095752318171038</v>
      </c>
      <c r="S110" s="139">
        <f t="shared" si="116"/>
        <v>0.6385600225804311</v>
      </c>
      <c r="T110" s="139">
        <f t="shared" si="116"/>
        <v>0.64715165945968511</v>
      </c>
      <c r="U110" s="139">
        <f t="shared" si="116"/>
        <v>0.65805243336349084</v>
      </c>
      <c r="V110" s="139">
        <f t="shared" si="116"/>
        <v>0.68390676533709183</v>
      </c>
      <c r="W110" s="139">
        <f t="shared" ref="W110" si="117">IF(W18=0,0,W18/W$17)</f>
        <v>0.65028366341748878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8.76800505169072E-3</v>
      </c>
      <c r="C111" s="140">
        <f t="shared" si="118"/>
        <v>9.033992902994269E-3</v>
      </c>
      <c r="D111" s="140">
        <f t="shared" si="118"/>
        <v>9.6051133334779295E-3</v>
      </c>
      <c r="E111" s="140">
        <f t="shared" si="118"/>
        <v>9.6481470524393213E-3</v>
      </c>
      <c r="F111" s="140">
        <f t="shared" si="118"/>
        <v>9.8287378431878274E-3</v>
      </c>
      <c r="G111" s="140">
        <f t="shared" si="118"/>
        <v>1.0589262330730841E-2</v>
      </c>
      <c r="H111" s="140">
        <f t="shared" si="118"/>
        <v>1.0448228297065073E-2</v>
      </c>
      <c r="I111" s="140">
        <f t="shared" si="118"/>
        <v>1.1108885032435982E-2</v>
      </c>
      <c r="J111" s="140">
        <f t="shared" si="118"/>
        <v>1.1788277893833658E-2</v>
      </c>
      <c r="K111" s="140">
        <f t="shared" si="118"/>
        <v>1.5208668009626542E-2</v>
      </c>
      <c r="L111" s="140">
        <f t="shared" si="118"/>
        <v>1.459345401315755E-2</v>
      </c>
      <c r="M111" s="140">
        <f t="shared" si="118"/>
        <v>1.5161351978481818E-2</v>
      </c>
      <c r="N111" s="140">
        <f t="shared" si="118"/>
        <v>1.5913702352876587E-2</v>
      </c>
      <c r="O111" s="140">
        <f t="shared" si="118"/>
        <v>1.3700454574387268E-2</v>
      </c>
      <c r="P111" s="140">
        <f t="shared" si="118"/>
        <v>1.1550086765563806E-2</v>
      </c>
      <c r="Q111" s="140">
        <f t="shared" si="118"/>
        <v>1.3132704612183757E-2</v>
      </c>
      <c r="R111" s="140">
        <f t="shared" ref="R111:V111" si="119">IF(R19=0,0,R19/R$17)</f>
        <v>1.158286484756599E-2</v>
      </c>
      <c r="S111" s="140">
        <f t="shared" si="119"/>
        <v>1.1031550783082864E-2</v>
      </c>
      <c r="T111" s="140">
        <f t="shared" si="119"/>
        <v>1.0937926111928533E-2</v>
      </c>
      <c r="U111" s="140">
        <f t="shared" si="119"/>
        <v>1.0728733291647903E-2</v>
      </c>
      <c r="V111" s="140">
        <f t="shared" si="119"/>
        <v>1.1787612535504163E-2</v>
      </c>
      <c r="W111" s="140">
        <f t="shared" ref="W111" si="120">IF(W19=0,0,W19/W$17)</f>
        <v>1.1336645827404875E-2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0.40167443531610275</v>
      </c>
      <c r="C112" s="140">
        <f t="shared" si="121"/>
        <v>0.42907540998524019</v>
      </c>
      <c r="D112" s="140">
        <f t="shared" si="121"/>
        <v>0.44707928010241693</v>
      </c>
      <c r="E112" s="140">
        <f t="shared" si="121"/>
        <v>0.46140304260135412</v>
      </c>
      <c r="F112" s="140">
        <f t="shared" si="121"/>
        <v>0.48812416006166065</v>
      </c>
      <c r="G112" s="140">
        <f t="shared" si="121"/>
        <v>0.50233585004388037</v>
      </c>
      <c r="H112" s="140">
        <f t="shared" si="121"/>
        <v>0.48903746022423183</v>
      </c>
      <c r="I112" s="140">
        <f t="shared" si="121"/>
        <v>0.52711687077639469</v>
      </c>
      <c r="J112" s="140">
        <f t="shared" si="121"/>
        <v>0.54262574813006126</v>
      </c>
      <c r="K112" s="140">
        <f t="shared" si="121"/>
        <v>0.58681380172075204</v>
      </c>
      <c r="L112" s="140">
        <f t="shared" si="121"/>
        <v>0.55042447948016537</v>
      </c>
      <c r="M112" s="140">
        <f t="shared" si="121"/>
        <v>0.56433372112034952</v>
      </c>
      <c r="N112" s="140">
        <f t="shared" si="121"/>
        <v>0.57743454501750868</v>
      </c>
      <c r="O112" s="140">
        <f t="shared" si="121"/>
        <v>0.55603497907406141</v>
      </c>
      <c r="P112" s="140">
        <f t="shared" si="121"/>
        <v>0.56458396974062008</v>
      </c>
      <c r="Q112" s="140">
        <f t="shared" si="121"/>
        <v>0.59326161740876293</v>
      </c>
      <c r="R112" s="140">
        <f t="shared" ref="R112:V112" si="122">IF(R20=0,0,R20/R$17)</f>
        <v>0.60937465833414439</v>
      </c>
      <c r="S112" s="140">
        <f t="shared" si="122"/>
        <v>0.62752847179734828</v>
      </c>
      <c r="T112" s="140">
        <f t="shared" si="122"/>
        <v>0.63621373334775655</v>
      </c>
      <c r="U112" s="140">
        <f t="shared" si="122"/>
        <v>0.64732370007184292</v>
      </c>
      <c r="V112" s="140">
        <f t="shared" si="122"/>
        <v>0.67211915280158763</v>
      </c>
      <c r="W112" s="140">
        <f t="shared" ref="W112" si="123">IF(W20=0,0,W20/W$17)</f>
        <v>0.63894701759008388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0.52481026616303006</v>
      </c>
      <c r="C113" s="124">
        <f t="shared" si="124"/>
        <v>0.51470756488131364</v>
      </c>
      <c r="D113" s="124">
        <f t="shared" si="124"/>
        <v>0.51351129578245869</v>
      </c>
      <c r="E113" s="124">
        <f t="shared" si="124"/>
        <v>0.50250347700074771</v>
      </c>
      <c r="F113" s="124">
        <f t="shared" si="124"/>
        <v>0.4661282018113852</v>
      </c>
      <c r="G113" s="124">
        <f t="shared" si="124"/>
        <v>0.45152282455025561</v>
      </c>
      <c r="H113" s="124">
        <f t="shared" si="124"/>
        <v>0.46969927788460664</v>
      </c>
      <c r="I113" s="124">
        <f t="shared" si="124"/>
        <v>0.41806827915450762</v>
      </c>
      <c r="J113" s="124">
        <f t="shared" si="124"/>
        <v>0.39817404983296872</v>
      </c>
      <c r="K113" s="124">
        <f t="shared" si="124"/>
        <v>0.35207802978538033</v>
      </c>
      <c r="L113" s="124">
        <f t="shared" si="124"/>
        <v>0.37882290855459921</v>
      </c>
      <c r="M113" s="124">
        <f t="shared" si="124"/>
        <v>0.37586361733620322</v>
      </c>
      <c r="N113" s="124">
        <f t="shared" si="124"/>
        <v>0.3593302779859272</v>
      </c>
      <c r="O113" s="124">
        <f t="shared" si="124"/>
        <v>0.38420972113759289</v>
      </c>
      <c r="P113" s="124">
        <f t="shared" si="124"/>
        <v>0.38400059929704955</v>
      </c>
      <c r="Q113" s="124">
        <f t="shared" si="124"/>
        <v>0.36130958846528366</v>
      </c>
      <c r="R113" s="124">
        <f t="shared" ref="R113:V113" si="125">IF(R21=0,0,R21/R$17)</f>
        <v>0.34165853701193188</v>
      </c>
      <c r="S113" s="124">
        <f t="shared" si="125"/>
        <v>0.32513295026331218</v>
      </c>
      <c r="T113" s="124">
        <f t="shared" si="125"/>
        <v>0.32245869184750398</v>
      </c>
      <c r="U113" s="124">
        <f t="shared" si="125"/>
        <v>0.30633761789529734</v>
      </c>
      <c r="V113" s="124">
        <f t="shared" si="125"/>
        <v>0.28175247937091857</v>
      </c>
      <c r="W113" s="124">
        <f t="shared" ref="W113" si="126">IF(W21=0,0,W21/W$17)</f>
        <v>0.31697716845737395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3.0584415744626007E-4</v>
      </c>
      <c r="C114" s="124">
        <f t="shared" si="127"/>
        <v>3.1780180319803818E-4</v>
      </c>
      <c r="D114" s="124">
        <f t="shared" si="127"/>
        <v>1.364182883187217E-4</v>
      </c>
      <c r="E114" s="124">
        <f t="shared" si="127"/>
        <v>4.8290214473778719E-4</v>
      </c>
      <c r="F114" s="124">
        <f t="shared" si="127"/>
        <v>3.1789043608182829E-4</v>
      </c>
      <c r="G114" s="124">
        <f t="shared" si="127"/>
        <v>2.289787451583153E-4</v>
      </c>
      <c r="H114" s="124">
        <f t="shared" si="127"/>
        <v>3.0433160255329965E-4</v>
      </c>
      <c r="I114" s="124">
        <f t="shared" si="127"/>
        <v>1.960083380895916E-4</v>
      </c>
      <c r="J114" s="124">
        <f t="shared" si="127"/>
        <v>2.6818515334180772E-4</v>
      </c>
      <c r="K114" s="124">
        <f t="shared" si="127"/>
        <v>4.4887601883939518E-4</v>
      </c>
      <c r="L114" s="124">
        <f t="shared" si="127"/>
        <v>5.8600085504909396E-4</v>
      </c>
      <c r="M114" s="124">
        <f t="shared" si="127"/>
        <v>6.8037643179886175E-4</v>
      </c>
      <c r="N114" s="124">
        <f t="shared" si="127"/>
        <v>6.47827680952183E-4</v>
      </c>
      <c r="O114" s="124">
        <f t="shared" si="127"/>
        <v>5.5037388544197728E-4</v>
      </c>
      <c r="P114" s="124">
        <f t="shared" si="127"/>
        <v>5.0408670850850311E-4</v>
      </c>
      <c r="Q114" s="124">
        <f t="shared" si="127"/>
        <v>5.7071861049028669E-4</v>
      </c>
      <c r="R114" s="124">
        <f t="shared" ref="R114:V114" si="128">IF(R22=0,0,R22/R$17)</f>
        <v>5.2400445130708351E-4</v>
      </c>
      <c r="S114" s="124">
        <f t="shared" si="128"/>
        <v>5.2207462639122587E-4</v>
      </c>
      <c r="T114" s="124">
        <f t="shared" si="128"/>
        <v>4.2752493103399814E-4</v>
      </c>
      <c r="U114" s="124">
        <f t="shared" si="128"/>
        <v>3.2124109824490998E-4</v>
      </c>
      <c r="V114" s="124">
        <f t="shared" si="128"/>
        <v>3.2489429092622771E-4</v>
      </c>
      <c r="W114" s="124">
        <f t="shared" ref="W114" si="129">IF(W22=0,0,W22/W$17)</f>
        <v>2.6739225996785164E-4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9.4017237753102407E-5</v>
      </c>
      <c r="C116" s="140">
        <f t="shared" si="133"/>
        <v>9.4137053929287031E-5</v>
      </c>
      <c r="D116" s="140">
        <f t="shared" si="133"/>
        <v>8.2853932982794687E-5</v>
      </c>
      <c r="E116" s="140">
        <f t="shared" si="133"/>
        <v>7.0812202519284016E-5</v>
      </c>
      <c r="F116" s="140">
        <f t="shared" si="133"/>
        <v>4.9117523033469756E-5</v>
      </c>
      <c r="G116" s="140">
        <f t="shared" si="133"/>
        <v>3.2058138732569991E-5</v>
      </c>
      <c r="H116" s="140">
        <f t="shared" si="133"/>
        <v>2.3758634993173591E-5</v>
      </c>
      <c r="I116" s="140">
        <f t="shared" si="133"/>
        <v>1.9308466031817519E-5</v>
      </c>
      <c r="J116" s="140">
        <f t="shared" si="133"/>
        <v>1.9387450612342515E-4</v>
      </c>
      <c r="K116" s="140">
        <f t="shared" si="133"/>
        <v>3.8745762077118078E-4</v>
      </c>
      <c r="L116" s="140">
        <f t="shared" si="133"/>
        <v>4.5202100517070055E-4</v>
      </c>
      <c r="M116" s="140">
        <f t="shared" si="133"/>
        <v>6.6768419693452596E-4</v>
      </c>
      <c r="N116" s="140">
        <f t="shared" si="133"/>
        <v>6.3437695742643737E-4</v>
      </c>
      <c r="O116" s="140">
        <f t="shared" si="133"/>
        <v>5.3001575607478221E-4</v>
      </c>
      <c r="P116" s="140">
        <f t="shared" si="133"/>
        <v>3.7224221409241004E-4</v>
      </c>
      <c r="Q116" s="140">
        <f t="shared" si="133"/>
        <v>4.4827139181771795E-4</v>
      </c>
      <c r="R116" s="140">
        <f t="shared" si="131"/>
        <v>4.1529352706042212E-4</v>
      </c>
      <c r="S116" s="140">
        <f t="shared" si="131"/>
        <v>4.6774691308633468E-4</v>
      </c>
      <c r="T116" s="140">
        <f t="shared" si="131"/>
        <v>3.6501732256237235E-4</v>
      </c>
      <c r="U116" s="140">
        <f t="shared" si="131"/>
        <v>3.0470488479020208E-4</v>
      </c>
      <c r="V116" s="140">
        <f t="shared" si="131"/>
        <v>3.1443963786393177E-4</v>
      </c>
      <c r="W116" s="140">
        <f t="shared" ref="W116" si="134">IF(W24=0,0,W24/W$17)</f>
        <v>2.6521779527647596E-4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2.118269196931577E-4</v>
      </c>
      <c r="C117" s="140">
        <f t="shared" si="135"/>
        <v>2.2366474926875112E-4</v>
      </c>
      <c r="D117" s="140">
        <f t="shared" si="135"/>
        <v>5.3564355335927021E-5</v>
      </c>
      <c r="E117" s="140">
        <f t="shared" si="135"/>
        <v>4.1208994221850312E-4</v>
      </c>
      <c r="F117" s="140">
        <f t="shared" si="135"/>
        <v>2.6877291304835857E-4</v>
      </c>
      <c r="G117" s="140">
        <f t="shared" si="135"/>
        <v>1.9692060642574535E-4</v>
      </c>
      <c r="H117" s="140">
        <f t="shared" si="135"/>
        <v>2.8057296756012602E-4</v>
      </c>
      <c r="I117" s="140">
        <f t="shared" si="135"/>
        <v>1.7669987205777408E-4</v>
      </c>
      <c r="J117" s="140">
        <f t="shared" si="135"/>
        <v>7.4310647218382551E-5</v>
      </c>
      <c r="K117" s="140">
        <f t="shared" si="135"/>
        <v>6.141839806821431E-5</v>
      </c>
      <c r="L117" s="140">
        <f t="shared" si="135"/>
        <v>1.3397984987839338E-4</v>
      </c>
      <c r="M117" s="140">
        <f t="shared" si="135"/>
        <v>1.2692234864335791E-5</v>
      </c>
      <c r="N117" s="140">
        <f t="shared" si="135"/>
        <v>1.3450723525745693E-5</v>
      </c>
      <c r="O117" s="140">
        <f t="shared" si="135"/>
        <v>2.0358129367195102E-5</v>
      </c>
      <c r="P117" s="140">
        <f t="shared" si="135"/>
        <v>1.3184449441609305E-4</v>
      </c>
      <c r="Q117" s="140">
        <f t="shared" si="135"/>
        <v>1.2244721867256874E-4</v>
      </c>
      <c r="R117" s="140">
        <f t="shared" ref="R117:V117" si="136">IF(R25=0,0,R25/R$17)</f>
        <v>1.0871092424666139E-4</v>
      </c>
      <c r="S117" s="140">
        <f t="shared" si="136"/>
        <v>5.4327713304891143E-5</v>
      </c>
      <c r="T117" s="140">
        <f t="shared" si="136"/>
        <v>6.2507608471625803E-5</v>
      </c>
      <c r="U117" s="140">
        <f t="shared" si="136"/>
        <v>1.653621345470786E-5</v>
      </c>
      <c r="V117" s="140">
        <f t="shared" si="136"/>
        <v>1.0454653062295909E-5</v>
      </c>
      <c r="W117" s="140">
        <f t="shared" ref="W117" si="137">IF(W25=0,0,W25/W$17)</f>
        <v>2.1744646913756405E-6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6.4441449311730375E-2</v>
      </c>
      <c r="C118" s="124">
        <f t="shared" si="138"/>
        <v>4.6865230427253733E-2</v>
      </c>
      <c r="D118" s="124">
        <f t="shared" si="138"/>
        <v>2.9667892493327602E-2</v>
      </c>
      <c r="E118" s="124">
        <f t="shared" si="138"/>
        <v>2.5962431200720924E-2</v>
      </c>
      <c r="F118" s="124">
        <f t="shared" si="138"/>
        <v>3.5601009847684648E-2</v>
      </c>
      <c r="G118" s="124">
        <f t="shared" si="138"/>
        <v>3.532308432997508E-2</v>
      </c>
      <c r="H118" s="124">
        <f t="shared" si="138"/>
        <v>3.0510701991543134E-2</v>
      </c>
      <c r="I118" s="124">
        <f t="shared" si="138"/>
        <v>4.3509956698572161E-2</v>
      </c>
      <c r="J118" s="124">
        <f t="shared" si="138"/>
        <v>4.7143738989794445E-2</v>
      </c>
      <c r="K118" s="124">
        <f t="shared" si="138"/>
        <v>4.5450624465401622E-2</v>
      </c>
      <c r="L118" s="124">
        <f t="shared" si="138"/>
        <v>5.55731570970288E-2</v>
      </c>
      <c r="M118" s="124">
        <f t="shared" si="138"/>
        <v>4.3960933133166485E-2</v>
      </c>
      <c r="N118" s="124">
        <f t="shared" si="138"/>
        <v>4.667364696273537E-2</v>
      </c>
      <c r="O118" s="124">
        <f t="shared" si="138"/>
        <v>4.550447132851642E-2</v>
      </c>
      <c r="P118" s="124">
        <f t="shared" si="138"/>
        <v>3.9361257488257993E-2</v>
      </c>
      <c r="Q118" s="124">
        <f t="shared" si="138"/>
        <v>3.172537090327944E-2</v>
      </c>
      <c r="R118" s="124">
        <f t="shared" ref="R118:V118" si="139">IF(R26=0,0,R26/R$17)</f>
        <v>3.6859935355050714E-2</v>
      </c>
      <c r="S118" s="124">
        <f t="shared" si="139"/>
        <v>3.5784952529865549E-2</v>
      </c>
      <c r="T118" s="124">
        <f t="shared" si="139"/>
        <v>2.9962123761776916E-2</v>
      </c>
      <c r="U118" s="124">
        <f t="shared" si="139"/>
        <v>3.5288707642967002E-2</v>
      </c>
      <c r="V118" s="124">
        <f t="shared" si="139"/>
        <v>3.4015861001063415E-2</v>
      </c>
      <c r="W118" s="124">
        <f t="shared" ref="W118" si="140">IF(W26=0,0,W26/W$17)</f>
        <v>3.2471775865169326E-2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</v>
      </c>
      <c r="C119" s="140">
        <f t="shared" si="141"/>
        <v>0</v>
      </c>
      <c r="D119" s="140">
        <f t="shared" si="141"/>
        <v>0</v>
      </c>
      <c r="E119" s="140">
        <f t="shared" si="141"/>
        <v>0</v>
      </c>
      <c r="F119" s="140">
        <f t="shared" si="141"/>
        <v>0</v>
      </c>
      <c r="G119" s="140">
        <f t="shared" si="141"/>
        <v>0</v>
      </c>
      <c r="H119" s="140">
        <f t="shared" si="141"/>
        <v>0</v>
      </c>
      <c r="I119" s="140">
        <f t="shared" si="141"/>
        <v>0</v>
      </c>
      <c r="J119" s="140">
        <f t="shared" si="141"/>
        <v>0</v>
      </c>
      <c r="K119" s="140">
        <f t="shared" si="141"/>
        <v>0</v>
      </c>
      <c r="L119" s="140">
        <f t="shared" si="141"/>
        <v>0</v>
      </c>
      <c r="M119" s="140">
        <f t="shared" si="141"/>
        <v>0</v>
      </c>
      <c r="N119" s="140">
        <f t="shared" si="141"/>
        <v>0</v>
      </c>
      <c r="O119" s="140">
        <f t="shared" si="141"/>
        <v>0</v>
      </c>
      <c r="P119" s="140">
        <f t="shared" si="141"/>
        <v>0</v>
      </c>
      <c r="Q119" s="140">
        <f t="shared" si="141"/>
        <v>0</v>
      </c>
      <c r="R119" s="140">
        <f t="shared" ref="R119:V119" si="142">IF(R27=0,0,R27/R$17)</f>
        <v>0</v>
      </c>
      <c r="S119" s="140">
        <f t="shared" si="142"/>
        <v>0</v>
      </c>
      <c r="T119" s="140">
        <f t="shared" si="142"/>
        <v>0</v>
      </c>
      <c r="U119" s="140">
        <f t="shared" si="142"/>
        <v>0</v>
      </c>
      <c r="V119" s="140">
        <f t="shared" si="142"/>
        <v>0</v>
      </c>
      <c r="W119" s="140">
        <f t="shared" ref="W119" si="143">IF(W27=0,0,W27/W$17)</f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6.4441449311730375E-2</v>
      </c>
      <c r="C120" s="127">
        <f t="shared" si="144"/>
        <v>4.6865230427253733E-2</v>
      </c>
      <c r="D120" s="127">
        <f t="shared" si="144"/>
        <v>2.9667892493327602E-2</v>
      </c>
      <c r="E120" s="127">
        <f t="shared" si="144"/>
        <v>2.5962431200720924E-2</v>
      </c>
      <c r="F120" s="127">
        <f t="shared" si="144"/>
        <v>3.5601009847684648E-2</v>
      </c>
      <c r="G120" s="127">
        <f t="shared" si="144"/>
        <v>3.532308432997508E-2</v>
      </c>
      <c r="H120" s="127">
        <f t="shared" si="144"/>
        <v>3.0510701991543134E-2</v>
      </c>
      <c r="I120" s="127">
        <f t="shared" si="144"/>
        <v>4.3509956698572161E-2</v>
      </c>
      <c r="J120" s="127">
        <f t="shared" si="144"/>
        <v>4.7143738989794445E-2</v>
      </c>
      <c r="K120" s="127">
        <f t="shared" si="144"/>
        <v>4.5450624465401622E-2</v>
      </c>
      <c r="L120" s="127">
        <f t="shared" si="144"/>
        <v>5.55731570970288E-2</v>
      </c>
      <c r="M120" s="127">
        <f t="shared" si="144"/>
        <v>4.3960933133166485E-2</v>
      </c>
      <c r="N120" s="127">
        <f t="shared" si="144"/>
        <v>4.667364696273537E-2</v>
      </c>
      <c r="O120" s="127">
        <f t="shared" si="144"/>
        <v>4.550447132851642E-2</v>
      </c>
      <c r="P120" s="127">
        <f t="shared" si="144"/>
        <v>3.9361257488257993E-2</v>
      </c>
      <c r="Q120" s="127">
        <f t="shared" si="144"/>
        <v>3.172537090327944E-2</v>
      </c>
      <c r="R120" s="127">
        <f t="shared" ref="R120:V120" si="145">IF(R28=0,0,R28/R$17)</f>
        <v>3.6859935355050714E-2</v>
      </c>
      <c r="S120" s="127">
        <f t="shared" si="145"/>
        <v>3.5784952529865549E-2</v>
      </c>
      <c r="T120" s="127">
        <f t="shared" si="145"/>
        <v>2.9962123761776916E-2</v>
      </c>
      <c r="U120" s="127">
        <f t="shared" si="145"/>
        <v>3.5288707642967002E-2</v>
      </c>
      <c r="V120" s="127">
        <f t="shared" si="145"/>
        <v>3.4015861001063415E-2</v>
      </c>
      <c r="W120" s="127">
        <f t="shared" ref="W120" si="146">IF(W28=0,0,W28/W$17)</f>
        <v>3.2471775865169326E-2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0</v>
      </c>
      <c r="C121" s="31">
        <f>IF(C29=0,0,C29/C$29)</f>
        <v>0</v>
      </c>
      <c r="D121" s="31">
        <f t="shared" ref="D121:W121" si="148">IF(D29=0,0,D29/D$29)</f>
        <v>0</v>
      </c>
      <c r="E121" s="31">
        <f t="shared" si="148"/>
        <v>0</v>
      </c>
      <c r="F121" s="31">
        <f t="shared" si="148"/>
        <v>0</v>
      </c>
      <c r="G121" s="31">
        <f t="shared" si="148"/>
        <v>0</v>
      </c>
      <c r="H121" s="31">
        <f t="shared" si="148"/>
        <v>0</v>
      </c>
      <c r="I121" s="31">
        <f t="shared" si="148"/>
        <v>0</v>
      </c>
      <c r="J121" s="31">
        <f t="shared" si="148"/>
        <v>0</v>
      </c>
      <c r="K121" s="31">
        <f t="shared" si="148"/>
        <v>0</v>
      </c>
      <c r="L121" s="31">
        <f t="shared" si="148"/>
        <v>0</v>
      </c>
      <c r="M121" s="31">
        <f t="shared" si="148"/>
        <v>0</v>
      </c>
      <c r="N121" s="31">
        <f t="shared" si="148"/>
        <v>0</v>
      </c>
      <c r="O121" s="31">
        <f t="shared" si="148"/>
        <v>0</v>
      </c>
      <c r="P121" s="31">
        <f t="shared" si="148"/>
        <v>0</v>
      </c>
      <c r="Q121" s="31">
        <f t="shared" si="148"/>
        <v>0</v>
      </c>
      <c r="R121" s="31">
        <f t="shared" si="148"/>
        <v>0</v>
      </c>
      <c r="S121" s="31">
        <f t="shared" si="148"/>
        <v>0</v>
      </c>
      <c r="T121" s="31">
        <f t="shared" si="148"/>
        <v>0</v>
      </c>
      <c r="U121" s="31">
        <f t="shared" si="148"/>
        <v>0</v>
      </c>
      <c r="V121" s="31">
        <f t="shared" si="148"/>
        <v>0</v>
      </c>
      <c r="W121" s="31">
        <f t="shared" si="148"/>
        <v>0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</v>
      </c>
      <c r="C122" s="140">
        <f>IF(C30=0,0,C30/C$29)</f>
        <v>0</v>
      </c>
      <c r="D122" s="140">
        <f t="shared" ref="D122:W122" si="150">IF(D30=0,0,D30/D$29)</f>
        <v>0</v>
      </c>
      <c r="E122" s="140">
        <f t="shared" si="150"/>
        <v>0</v>
      </c>
      <c r="F122" s="140">
        <f t="shared" si="150"/>
        <v>0</v>
      </c>
      <c r="G122" s="140">
        <f t="shared" si="150"/>
        <v>0</v>
      </c>
      <c r="H122" s="140">
        <f t="shared" si="150"/>
        <v>0</v>
      </c>
      <c r="I122" s="140">
        <f t="shared" si="150"/>
        <v>0</v>
      </c>
      <c r="J122" s="140">
        <f t="shared" si="150"/>
        <v>0</v>
      </c>
      <c r="K122" s="140">
        <f t="shared" si="150"/>
        <v>0</v>
      </c>
      <c r="L122" s="140">
        <f t="shared" si="150"/>
        <v>0</v>
      </c>
      <c r="M122" s="140">
        <f t="shared" si="150"/>
        <v>0</v>
      </c>
      <c r="N122" s="140">
        <f t="shared" si="150"/>
        <v>0</v>
      </c>
      <c r="O122" s="140">
        <f t="shared" si="150"/>
        <v>0</v>
      </c>
      <c r="P122" s="140">
        <f t="shared" si="150"/>
        <v>0</v>
      </c>
      <c r="Q122" s="140">
        <f t="shared" si="150"/>
        <v>0</v>
      </c>
      <c r="R122" s="140">
        <f t="shared" si="150"/>
        <v>0</v>
      </c>
      <c r="S122" s="140">
        <f t="shared" si="150"/>
        <v>0</v>
      </c>
      <c r="T122" s="140">
        <f t="shared" si="150"/>
        <v>0</v>
      </c>
      <c r="U122" s="140">
        <f t="shared" si="150"/>
        <v>0</v>
      </c>
      <c r="V122" s="140">
        <f t="shared" si="150"/>
        <v>0</v>
      </c>
      <c r="W122" s="140">
        <f t="shared" si="150"/>
        <v>0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</v>
      </c>
      <c r="C123" s="127">
        <f>IF(C31=0,0,C31/C$29)</f>
        <v>0</v>
      </c>
      <c r="D123" s="127">
        <f t="shared" ref="D123:W123" si="152">IF(D31=0,0,D31/D$29)</f>
        <v>0</v>
      </c>
      <c r="E123" s="127">
        <f t="shared" si="152"/>
        <v>0</v>
      </c>
      <c r="F123" s="127">
        <f t="shared" si="152"/>
        <v>0</v>
      </c>
      <c r="G123" s="127">
        <f t="shared" si="152"/>
        <v>0</v>
      </c>
      <c r="H123" s="127">
        <f t="shared" si="152"/>
        <v>0</v>
      </c>
      <c r="I123" s="127">
        <f t="shared" si="152"/>
        <v>0</v>
      </c>
      <c r="J123" s="127">
        <f t="shared" si="152"/>
        <v>0</v>
      </c>
      <c r="K123" s="127">
        <f t="shared" si="152"/>
        <v>0</v>
      </c>
      <c r="L123" s="127">
        <f t="shared" si="152"/>
        <v>0</v>
      </c>
      <c r="M123" s="127">
        <f t="shared" si="152"/>
        <v>0</v>
      </c>
      <c r="N123" s="127">
        <f t="shared" si="152"/>
        <v>0</v>
      </c>
      <c r="O123" s="127">
        <f t="shared" si="152"/>
        <v>0</v>
      </c>
      <c r="P123" s="127">
        <f t="shared" si="152"/>
        <v>0</v>
      </c>
      <c r="Q123" s="127">
        <f t="shared" si="152"/>
        <v>0</v>
      </c>
      <c r="R123" s="127">
        <f t="shared" si="152"/>
        <v>0</v>
      </c>
      <c r="S123" s="127">
        <f t="shared" si="152"/>
        <v>0</v>
      </c>
      <c r="T123" s="127">
        <f t="shared" si="152"/>
        <v>0</v>
      </c>
      <c r="U123" s="127">
        <f t="shared" si="152"/>
        <v>0</v>
      </c>
      <c r="V123" s="127">
        <f t="shared" si="152"/>
        <v>0</v>
      </c>
      <c r="W123" s="127">
        <f t="shared" si="152"/>
        <v>0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0.94000938652262334</v>
      </c>
      <c r="C127" s="139">
        <f t="shared" ref="C127:W127" si="155">IF(C35=0,0,C35/C$34)</f>
        <v>0.94443354280092973</v>
      </c>
      <c r="D127" s="139">
        <f t="shared" si="155"/>
        <v>0.93966572137072479</v>
      </c>
      <c r="E127" s="139">
        <f t="shared" si="155"/>
        <v>0.94810227368245426</v>
      </c>
      <c r="F127" s="139">
        <f t="shared" si="155"/>
        <v>0.95121433840226022</v>
      </c>
      <c r="G127" s="139">
        <f t="shared" si="155"/>
        <v>0.94451217613272342</v>
      </c>
      <c r="H127" s="139">
        <f t="shared" si="155"/>
        <v>0.9412663147046253</v>
      </c>
      <c r="I127" s="139">
        <f t="shared" si="155"/>
        <v>0.93809267517867534</v>
      </c>
      <c r="J127" s="139">
        <f t="shared" si="155"/>
        <v>0.92985279067044435</v>
      </c>
      <c r="K127" s="139">
        <f t="shared" si="155"/>
        <v>0.93994168011310153</v>
      </c>
      <c r="L127" s="139">
        <f t="shared" si="155"/>
        <v>0.94491035018493863</v>
      </c>
      <c r="M127" s="139">
        <f t="shared" si="155"/>
        <v>0.94240335461212832</v>
      </c>
      <c r="N127" s="139">
        <f t="shared" si="155"/>
        <v>0.94608145718474668</v>
      </c>
      <c r="O127" s="139">
        <f t="shared" si="155"/>
        <v>0.94282181973660295</v>
      </c>
      <c r="P127" s="139">
        <f t="shared" si="155"/>
        <v>0.94584944782912728</v>
      </c>
      <c r="Q127" s="139">
        <f t="shared" si="155"/>
        <v>0.93445146626825804</v>
      </c>
      <c r="R127" s="139">
        <f t="shared" si="155"/>
        <v>0.93044488109712953</v>
      </c>
      <c r="S127" s="139">
        <f t="shared" si="155"/>
        <v>0.93849977872735169</v>
      </c>
      <c r="T127" s="139">
        <f t="shared" si="155"/>
        <v>0.93159954014856983</v>
      </c>
      <c r="U127" s="139">
        <f t="shared" si="155"/>
        <v>0.93499429914545606</v>
      </c>
      <c r="V127" s="139">
        <f t="shared" si="155"/>
        <v>0.95099680696277156</v>
      </c>
      <c r="W127" s="139">
        <f t="shared" si="155"/>
        <v>0.95560201797295263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2.0336332753147931E-3</v>
      </c>
      <c r="C128" s="140">
        <f t="shared" ref="C128:W128" si="156">IF(C36=0,0,C36/C$34)</f>
        <v>2.0896277149092687E-3</v>
      </c>
      <c r="D128" s="140">
        <f t="shared" si="156"/>
        <v>1.5936023307581942E-3</v>
      </c>
      <c r="E128" s="140">
        <f t="shared" si="156"/>
        <v>1.6995264081580599E-3</v>
      </c>
      <c r="F128" s="140">
        <f t="shared" si="156"/>
        <v>1.9337679564971045E-3</v>
      </c>
      <c r="G128" s="140">
        <f t="shared" si="156"/>
        <v>2.0182939320312668E-3</v>
      </c>
      <c r="H128" s="140">
        <f t="shared" si="156"/>
        <v>2.1324247132821412E-3</v>
      </c>
      <c r="I128" s="140">
        <f t="shared" si="156"/>
        <v>2.1608602590048346E-3</v>
      </c>
      <c r="J128" s="140">
        <f t="shared" si="156"/>
        <v>2.2343529705236434E-3</v>
      </c>
      <c r="K128" s="140">
        <f t="shared" si="156"/>
        <v>2.0873846512549509E-3</v>
      </c>
      <c r="L128" s="140">
        <f t="shared" si="156"/>
        <v>1.8891226131723634E-3</v>
      </c>
      <c r="M128" s="140">
        <f t="shared" si="156"/>
        <v>2.3097544010268578E-3</v>
      </c>
      <c r="N128" s="140">
        <f t="shared" si="156"/>
        <v>2.7690437322542426E-3</v>
      </c>
      <c r="O128" s="140">
        <f t="shared" si="156"/>
        <v>2.8102221861769968E-3</v>
      </c>
      <c r="P128" s="140">
        <f t="shared" si="156"/>
        <v>3.1320691586808535E-3</v>
      </c>
      <c r="Q128" s="140">
        <f t="shared" si="156"/>
        <v>3.3912424074464286E-3</v>
      </c>
      <c r="R128" s="140">
        <f t="shared" si="156"/>
        <v>3.5464732730482161E-3</v>
      </c>
      <c r="S128" s="140">
        <f t="shared" si="156"/>
        <v>3.3044338491705072E-3</v>
      </c>
      <c r="T128" s="140">
        <f t="shared" si="156"/>
        <v>3.2149612531767553E-3</v>
      </c>
      <c r="U128" s="140">
        <f t="shared" si="156"/>
        <v>3.4742251905567471E-3</v>
      </c>
      <c r="V128" s="140">
        <f t="shared" si="156"/>
        <v>3.458036752653236E-3</v>
      </c>
      <c r="W128" s="140">
        <f t="shared" si="156"/>
        <v>3.2409441303726219E-3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0.75637523142450369</v>
      </c>
      <c r="C129" s="140">
        <f t="shared" ref="C129:W129" si="157">IF(C37=0,0,C37/C$34)</f>
        <v>0.77256926661955805</v>
      </c>
      <c r="D129" s="140">
        <f t="shared" si="157"/>
        <v>0.79169313415516518</v>
      </c>
      <c r="E129" s="140">
        <f t="shared" si="157"/>
        <v>0.79008211388218907</v>
      </c>
      <c r="F129" s="140">
        <f t="shared" si="157"/>
        <v>0.79372685566031365</v>
      </c>
      <c r="G129" s="140">
        <f t="shared" si="157"/>
        <v>0.79957051208550534</v>
      </c>
      <c r="H129" s="140">
        <f t="shared" si="157"/>
        <v>0.79093315863112479</v>
      </c>
      <c r="I129" s="140">
        <f t="shared" si="157"/>
        <v>0.77164598649588723</v>
      </c>
      <c r="J129" s="140">
        <f t="shared" si="157"/>
        <v>0.77428870953431905</v>
      </c>
      <c r="K129" s="140">
        <f t="shared" si="157"/>
        <v>0.78611443238940004</v>
      </c>
      <c r="L129" s="140">
        <f t="shared" si="157"/>
        <v>0.79483954482692576</v>
      </c>
      <c r="M129" s="140">
        <f t="shared" si="157"/>
        <v>0.79853072375968626</v>
      </c>
      <c r="N129" s="140">
        <f t="shared" si="157"/>
        <v>0.79897992468056556</v>
      </c>
      <c r="O129" s="140">
        <f t="shared" si="157"/>
        <v>0.80015283803993054</v>
      </c>
      <c r="P129" s="140">
        <f t="shared" si="157"/>
        <v>0.79949019978885161</v>
      </c>
      <c r="Q129" s="140">
        <f t="shared" si="157"/>
        <v>0.79175886132357565</v>
      </c>
      <c r="R129" s="140">
        <f t="shared" si="157"/>
        <v>0.79084304880959688</v>
      </c>
      <c r="S129" s="140">
        <f t="shared" si="157"/>
        <v>0.79229924264905316</v>
      </c>
      <c r="T129" s="140">
        <f t="shared" si="157"/>
        <v>0.77790474682977029</v>
      </c>
      <c r="U129" s="140">
        <f t="shared" si="157"/>
        <v>0.77678170804233149</v>
      </c>
      <c r="V129" s="140">
        <f t="shared" si="157"/>
        <v>0.79974763184344522</v>
      </c>
      <c r="W129" s="140">
        <f t="shared" si="157"/>
        <v>0.80638761515224422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0.18160052182280498</v>
      </c>
      <c r="C130" s="140">
        <f t="shared" ref="C130:W130" si="158">IF(C38=0,0,C38/C$34)</f>
        <v>0.1697746484664624</v>
      </c>
      <c r="D130" s="140">
        <f t="shared" si="158"/>
        <v>0.14637898488480142</v>
      </c>
      <c r="E130" s="140">
        <f t="shared" si="158"/>
        <v>0.15632063339210717</v>
      </c>
      <c r="F130" s="140">
        <f t="shared" si="158"/>
        <v>0.15555371478544947</v>
      </c>
      <c r="G130" s="140">
        <f t="shared" si="158"/>
        <v>0.1429233701151868</v>
      </c>
      <c r="H130" s="140">
        <f t="shared" si="158"/>
        <v>0.14820073136021833</v>
      </c>
      <c r="I130" s="140">
        <f t="shared" si="158"/>
        <v>0.16428582842378336</v>
      </c>
      <c r="J130" s="140">
        <f t="shared" si="158"/>
        <v>0.15332972816560173</v>
      </c>
      <c r="K130" s="140">
        <f t="shared" si="158"/>
        <v>0.15173986307244663</v>
      </c>
      <c r="L130" s="140">
        <f t="shared" si="158"/>
        <v>0.1481816827448405</v>
      </c>
      <c r="M130" s="140">
        <f t="shared" si="158"/>
        <v>0.14156287645141508</v>
      </c>
      <c r="N130" s="140">
        <f t="shared" si="158"/>
        <v>0.14433248877192684</v>
      </c>
      <c r="O130" s="140">
        <f t="shared" si="158"/>
        <v>0.13985875951049551</v>
      </c>
      <c r="P130" s="140">
        <f t="shared" si="158"/>
        <v>0.14322717888159484</v>
      </c>
      <c r="Q130" s="140">
        <f t="shared" si="158"/>
        <v>0.13930136253723596</v>
      </c>
      <c r="R130" s="140">
        <f t="shared" si="158"/>
        <v>0.1360553590144844</v>
      </c>
      <c r="S130" s="140">
        <f t="shared" si="158"/>
        <v>0.14289610222912802</v>
      </c>
      <c r="T130" s="140">
        <f t="shared" si="158"/>
        <v>0.1504798320656229</v>
      </c>
      <c r="U130" s="140">
        <f t="shared" si="158"/>
        <v>0.15473836591256779</v>
      </c>
      <c r="V130" s="140">
        <f t="shared" si="158"/>
        <v>0.14779113836667307</v>
      </c>
      <c r="W130" s="140">
        <f t="shared" si="158"/>
        <v>0.14597345869033579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3.3360647420104306E-2</v>
      </c>
      <c r="C131" s="124">
        <f t="shared" ref="C131:W131" si="159">IF(C39=0,0,C39/C$34)</f>
        <v>2.609042370739505E-2</v>
      </c>
      <c r="D131" s="124">
        <f t="shared" si="159"/>
        <v>2.1269839603359968E-2</v>
      </c>
      <c r="E131" s="124">
        <f t="shared" si="159"/>
        <v>2.2359021984142809E-2</v>
      </c>
      <c r="F131" s="124">
        <f t="shared" si="159"/>
        <v>2.3195160319619709E-2</v>
      </c>
      <c r="G131" s="124">
        <f t="shared" si="159"/>
        <v>1.9746306084437407E-2</v>
      </c>
      <c r="H131" s="124">
        <f t="shared" si="159"/>
        <v>2.1706823705072428E-2</v>
      </c>
      <c r="I131" s="124">
        <f t="shared" si="159"/>
        <v>1.9250373186781966E-2</v>
      </c>
      <c r="J131" s="124">
        <f t="shared" si="159"/>
        <v>1.8510785021802954E-2</v>
      </c>
      <c r="K131" s="124">
        <f t="shared" si="159"/>
        <v>2.0549389407183566E-2</v>
      </c>
      <c r="L131" s="124">
        <f t="shared" si="159"/>
        <v>2.0016280471472192E-2</v>
      </c>
      <c r="M131" s="124">
        <f t="shared" si="159"/>
        <v>2.0393314406420494E-2</v>
      </c>
      <c r="N131" s="124">
        <f t="shared" si="159"/>
        <v>2.147589756666772E-2</v>
      </c>
      <c r="O131" s="124">
        <f t="shared" si="159"/>
        <v>2.1153871085154378E-2</v>
      </c>
      <c r="P131" s="124">
        <f t="shared" si="159"/>
        <v>2.2864120679557065E-2</v>
      </c>
      <c r="Q131" s="124">
        <f t="shared" si="159"/>
        <v>2.7768645040814086E-2</v>
      </c>
      <c r="R131" s="124">
        <f t="shared" si="159"/>
        <v>2.6562150131240237E-2</v>
      </c>
      <c r="S131" s="124">
        <f t="shared" si="159"/>
        <v>2.7425096666208199E-2</v>
      </c>
      <c r="T131" s="124">
        <f t="shared" si="159"/>
        <v>2.7092070620160801E-2</v>
      </c>
      <c r="U131" s="124">
        <f t="shared" si="159"/>
        <v>2.478272529844067E-2</v>
      </c>
      <c r="V131" s="124">
        <f t="shared" si="159"/>
        <v>2.2818858150462376E-2</v>
      </c>
      <c r="W131" s="124">
        <f t="shared" si="159"/>
        <v>2.375365048112163E-2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1.6526517613411329E-3</v>
      </c>
      <c r="C132" s="140">
        <f t="shared" ref="C132:W132" si="160">IF(C40=0,0,C40/C$34)</f>
        <v>1.6127952832376703E-3</v>
      </c>
      <c r="D132" s="140">
        <f t="shared" si="160"/>
        <v>1.4154504592138392E-3</v>
      </c>
      <c r="E132" s="140">
        <f t="shared" si="160"/>
        <v>1.5091226944963698E-3</v>
      </c>
      <c r="F132" s="140">
        <f t="shared" si="160"/>
        <v>1.6212495922998686E-3</v>
      </c>
      <c r="G132" s="140">
        <f t="shared" si="160"/>
        <v>1.6193668282571229E-3</v>
      </c>
      <c r="H132" s="140">
        <f t="shared" si="160"/>
        <v>1.6129710977203964E-3</v>
      </c>
      <c r="I132" s="140">
        <f t="shared" si="160"/>
        <v>1.5755868006701137E-3</v>
      </c>
      <c r="J132" s="140">
        <f t="shared" si="160"/>
        <v>1.3284052536387981E-3</v>
      </c>
      <c r="K132" s="140">
        <f t="shared" si="160"/>
        <v>1.1293494087909939E-3</v>
      </c>
      <c r="L132" s="140">
        <f t="shared" si="160"/>
        <v>1.0675575450066746E-3</v>
      </c>
      <c r="M132" s="140">
        <f t="shared" si="160"/>
        <v>1.1360622525567912E-3</v>
      </c>
      <c r="N132" s="140">
        <f t="shared" si="160"/>
        <v>1.087332000522087E-3</v>
      </c>
      <c r="O132" s="140">
        <f t="shared" si="160"/>
        <v>1.011787507276935E-3</v>
      </c>
      <c r="P132" s="140">
        <f t="shared" si="160"/>
        <v>9.3453118761371065E-4</v>
      </c>
      <c r="Q132" s="140">
        <f t="shared" si="160"/>
        <v>8.4044140313080959E-4</v>
      </c>
      <c r="R132" s="140">
        <f t="shared" si="160"/>
        <v>9.8298066344121391E-4</v>
      </c>
      <c r="S132" s="140">
        <f t="shared" si="160"/>
        <v>8.8912565552103084E-4</v>
      </c>
      <c r="T132" s="140">
        <f t="shared" si="160"/>
        <v>8.9932283230396179E-4</v>
      </c>
      <c r="U132" s="140">
        <f t="shared" si="160"/>
        <v>9.0422662716964613E-4</v>
      </c>
      <c r="V132" s="140">
        <f t="shared" si="160"/>
        <v>9.8876594538989089E-4</v>
      </c>
      <c r="W132" s="140">
        <f t="shared" si="160"/>
        <v>9.7466647309070865E-4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3.1707995658763179E-2</v>
      </c>
      <c r="C133" s="140">
        <f t="shared" ref="C133:W133" si="161">IF(C41=0,0,C41/C$34)</f>
        <v>2.4477628424157381E-2</v>
      </c>
      <c r="D133" s="140">
        <f t="shared" si="161"/>
        <v>1.9854389144146133E-2</v>
      </c>
      <c r="E133" s="140">
        <f t="shared" si="161"/>
        <v>2.084989928964644E-2</v>
      </c>
      <c r="F133" s="140">
        <f t="shared" si="161"/>
        <v>2.1573910727319841E-2</v>
      </c>
      <c r="G133" s="140">
        <f t="shared" si="161"/>
        <v>1.8126939256180283E-2</v>
      </c>
      <c r="H133" s="140">
        <f t="shared" si="161"/>
        <v>2.0093852607352032E-2</v>
      </c>
      <c r="I133" s="140">
        <f t="shared" si="161"/>
        <v>1.7674786386111852E-2</v>
      </c>
      <c r="J133" s="140">
        <f t="shared" si="161"/>
        <v>1.7182379768164155E-2</v>
      </c>
      <c r="K133" s="140">
        <f t="shared" si="161"/>
        <v>1.9420039998392574E-2</v>
      </c>
      <c r="L133" s="140">
        <f t="shared" si="161"/>
        <v>1.8948722926465517E-2</v>
      </c>
      <c r="M133" s="140">
        <f t="shared" si="161"/>
        <v>1.9257252153863702E-2</v>
      </c>
      <c r="N133" s="140">
        <f t="shared" si="161"/>
        <v>2.0388565566145631E-2</v>
      </c>
      <c r="O133" s="140">
        <f t="shared" si="161"/>
        <v>2.0142083577877442E-2</v>
      </c>
      <c r="P133" s="140">
        <f t="shared" si="161"/>
        <v>2.1929589491943357E-2</v>
      </c>
      <c r="Q133" s="140">
        <f t="shared" si="161"/>
        <v>2.6928203637683275E-2</v>
      </c>
      <c r="R133" s="140">
        <f t="shared" si="161"/>
        <v>2.5579169467799024E-2</v>
      </c>
      <c r="S133" s="140">
        <f t="shared" si="161"/>
        <v>2.6535971010687165E-2</v>
      </c>
      <c r="T133" s="140">
        <f t="shared" si="161"/>
        <v>2.6192747787856838E-2</v>
      </c>
      <c r="U133" s="140">
        <f t="shared" si="161"/>
        <v>2.3878498671271026E-2</v>
      </c>
      <c r="V133" s="140">
        <f t="shared" si="161"/>
        <v>2.1830092205072486E-2</v>
      </c>
      <c r="W133" s="140">
        <f t="shared" si="161"/>
        <v>2.2778984008030922E-2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2.6629966057272365E-2</v>
      </c>
      <c r="C135" s="124">
        <f t="shared" ref="C135:W135" si="163">IF(C43=0,0,C43/C$34)</f>
        <v>2.9476033491675172E-2</v>
      </c>
      <c r="D135" s="124">
        <f t="shared" si="163"/>
        <v>3.9064439025915061E-2</v>
      </c>
      <c r="E135" s="124">
        <f t="shared" si="163"/>
        <v>2.9538704333402943E-2</v>
      </c>
      <c r="F135" s="124">
        <f t="shared" si="163"/>
        <v>2.5590501278120181E-2</v>
      </c>
      <c r="G135" s="124">
        <f t="shared" si="163"/>
        <v>3.5741517782839217E-2</v>
      </c>
      <c r="H135" s="124">
        <f t="shared" si="163"/>
        <v>3.7026861590302336E-2</v>
      </c>
      <c r="I135" s="124">
        <f t="shared" si="163"/>
        <v>4.2656951634542688E-2</v>
      </c>
      <c r="J135" s="124">
        <f t="shared" si="163"/>
        <v>5.1636424307752754E-2</v>
      </c>
      <c r="K135" s="124">
        <f t="shared" si="163"/>
        <v>3.9508930479714897E-2</v>
      </c>
      <c r="L135" s="124">
        <f t="shared" si="163"/>
        <v>3.5073369343589081E-2</v>
      </c>
      <c r="M135" s="124">
        <f t="shared" si="163"/>
        <v>3.7203330981451274E-2</v>
      </c>
      <c r="N135" s="124">
        <f t="shared" si="163"/>
        <v>3.2442645248585589E-2</v>
      </c>
      <c r="O135" s="124">
        <f t="shared" si="163"/>
        <v>3.6024309178242626E-2</v>
      </c>
      <c r="P135" s="124">
        <f t="shared" si="163"/>
        <v>3.1286431491315755E-2</v>
      </c>
      <c r="Q135" s="124">
        <f t="shared" si="163"/>
        <v>3.7779888690927903E-2</v>
      </c>
      <c r="R135" s="124">
        <f t="shared" si="163"/>
        <v>4.2992968771630218E-2</v>
      </c>
      <c r="S135" s="124">
        <f t="shared" si="163"/>
        <v>3.4075124606439938E-2</v>
      </c>
      <c r="T135" s="124">
        <f t="shared" si="163"/>
        <v>4.1308389231269178E-2</v>
      </c>
      <c r="U135" s="124">
        <f t="shared" si="163"/>
        <v>4.0222975556103227E-2</v>
      </c>
      <c r="V135" s="124">
        <f t="shared" si="163"/>
        <v>2.6184334886765994E-2</v>
      </c>
      <c r="W135" s="124">
        <f t="shared" si="163"/>
        <v>2.0644331545925761E-2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</v>
      </c>
      <c r="C136" s="140">
        <f t="shared" ref="C136:W136" si="164">IF(C44=0,0,C44/C$34)</f>
        <v>0</v>
      </c>
      <c r="D136" s="140">
        <f t="shared" si="164"/>
        <v>0</v>
      </c>
      <c r="E136" s="140">
        <f t="shared" si="164"/>
        <v>0</v>
      </c>
      <c r="F136" s="140">
        <f t="shared" si="164"/>
        <v>0</v>
      </c>
      <c r="G136" s="140">
        <f t="shared" si="164"/>
        <v>0</v>
      </c>
      <c r="H136" s="140">
        <f t="shared" si="164"/>
        <v>0</v>
      </c>
      <c r="I136" s="140">
        <f t="shared" si="164"/>
        <v>0</v>
      </c>
      <c r="J136" s="140">
        <f t="shared" si="164"/>
        <v>0</v>
      </c>
      <c r="K136" s="140">
        <f t="shared" si="164"/>
        <v>0</v>
      </c>
      <c r="L136" s="140">
        <f t="shared" si="164"/>
        <v>0</v>
      </c>
      <c r="M136" s="140">
        <f t="shared" si="164"/>
        <v>0</v>
      </c>
      <c r="N136" s="140">
        <f t="shared" si="164"/>
        <v>0</v>
      </c>
      <c r="O136" s="140">
        <f t="shared" si="164"/>
        <v>0</v>
      </c>
      <c r="P136" s="140">
        <f t="shared" si="164"/>
        <v>0</v>
      </c>
      <c r="Q136" s="140">
        <f t="shared" si="164"/>
        <v>0</v>
      </c>
      <c r="R136" s="140">
        <f t="shared" si="164"/>
        <v>0</v>
      </c>
      <c r="S136" s="140">
        <f t="shared" si="164"/>
        <v>0</v>
      </c>
      <c r="T136" s="140">
        <f t="shared" si="164"/>
        <v>0</v>
      </c>
      <c r="U136" s="140">
        <f t="shared" si="164"/>
        <v>0</v>
      </c>
      <c r="V136" s="140">
        <f t="shared" si="164"/>
        <v>0</v>
      </c>
      <c r="W136" s="140">
        <f t="shared" si="164"/>
        <v>0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1.6195883140467639E-2</v>
      </c>
      <c r="C137" s="140">
        <f t="shared" ref="C137:W137" si="165">IF(C45=0,0,C45/C$34)</f>
        <v>1.7908721021787526E-2</v>
      </c>
      <c r="D137" s="140">
        <f t="shared" si="165"/>
        <v>2.062264729326601E-2</v>
      </c>
      <c r="E137" s="140">
        <f t="shared" si="165"/>
        <v>1.6016434738072537E-2</v>
      </c>
      <c r="F137" s="140">
        <f t="shared" si="165"/>
        <v>1.4727247512452319E-2</v>
      </c>
      <c r="G137" s="140">
        <f t="shared" si="165"/>
        <v>2.166152127923196E-2</v>
      </c>
      <c r="H137" s="140">
        <f t="shared" si="165"/>
        <v>2.3695224069412563E-2</v>
      </c>
      <c r="I137" s="140">
        <f t="shared" si="165"/>
        <v>2.7826333616313322E-2</v>
      </c>
      <c r="J137" s="140">
        <f t="shared" si="165"/>
        <v>3.526817523128585E-2</v>
      </c>
      <c r="K137" s="140">
        <f t="shared" si="165"/>
        <v>2.5722319434297248E-2</v>
      </c>
      <c r="L137" s="140">
        <f t="shared" si="165"/>
        <v>2.1997909001193972E-2</v>
      </c>
      <c r="M137" s="140">
        <f t="shared" si="165"/>
        <v>2.2848781515945073E-2</v>
      </c>
      <c r="N137" s="140">
        <f t="shared" si="165"/>
        <v>1.974575551096577E-2</v>
      </c>
      <c r="O137" s="140">
        <f t="shared" si="165"/>
        <v>2.1801123215429635E-2</v>
      </c>
      <c r="P137" s="140">
        <f t="shared" si="165"/>
        <v>1.9434909741754314E-2</v>
      </c>
      <c r="Q137" s="140">
        <f t="shared" si="165"/>
        <v>2.4243628368133104E-2</v>
      </c>
      <c r="R137" s="140">
        <f t="shared" si="165"/>
        <v>2.8142109348547027E-2</v>
      </c>
      <c r="S137" s="140">
        <f t="shared" si="165"/>
        <v>2.2038515721360858E-2</v>
      </c>
      <c r="T137" s="140">
        <f t="shared" si="165"/>
        <v>2.6959929287701901E-2</v>
      </c>
      <c r="U137" s="140">
        <f t="shared" si="165"/>
        <v>2.6194010708276823E-2</v>
      </c>
      <c r="V137" s="140">
        <f t="shared" si="165"/>
        <v>1.4490528445615578E-2</v>
      </c>
      <c r="W137" s="140">
        <f t="shared" si="165"/>
        <v>1.2224291447036385E-2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1.043408291680473E-2</v>
      </c>
      <c r="C138" s="140">
        <f t="shared" ref="C138:W138" si="166">IF(C46=0,0,C46/C$34)</f>
        <v>1.1567312469887648E-2</v>
      </c>
      <c r="D138" s="140">
        <f t="shared" si="166"/>
        <v>1.8441791732649048E-2</v>
      </c>
      <c r="E138" s="140">
        <f t="shared" si="166"/>
        <v>1.3522269595330406E-2</v>
      </c>
      <c r="F138" s="140">
        <f t="shared" si="166"/>
        <v>1.0863253765667866E-2</v>
      </c>
      <c r="G138" s="140">
        <f t="shared" si="166"/>
        <v>1.4079996503607251E-2</v>
      </c>
      <c r="H138" s="140">
        <f t="shared" si="166"/>
        <v>1.3331637520889771E-2</v>
      </c>
      <c r="I138" s="140">
        <f t="shared" si="166"/>
        <v>1.483061801822937E-2</v>
      </c>
      <c r="J138" s="140">
        <f t="shared" si="166"/>
        <v>1.6368249076466904E-2</v>
      </c>
      <c r="K138" s="140">
        <f t="shared" si="166"/>
        <v>1.3786611045417648E-2</v>
      </c>
      <c r="L138" s="140">
        <f t="shared" si="166"/>
        <v>1.3075460342395108E-2</v>
      </c>
      <c r="M138" s="140">
        <f t="shared" si="166"/>
        <v>1.4354549465506197E-2</v>
      </c>
      <c r="N138" s="140">
        <f t="shared" si="166"/>
        <v>1.2696889737619815E-2</v>
      </c>
      <c r="O138" s="140">
        <f t="shared" si="166"/>
        <v>1.4223185962812992E-2</v>
      </c>
      <c r="P138" s="140">
        <f t="shared" si="166"/>
        <v>1.1851521749561439E-2</v>
      </c>
      <c r="Q138" s="140">
        <f t="shared" si="166"/>
        <v>1.3536260322794801E-2</v>
      </c>
      <c r="R138" s="140">
        <f t="shared" si="166"/>
        <v>1.4850859423083188E-2</v>
      </c>
      <c r="S138" s="140">
        <f t="shared" si="166"/>
        <v>1.2036608885079082E-2</v>
      </c>
      <c r="T138" s="140">
        <f t="shared" si="166"/>
        <v>1.4348459943567277E-2</v>
      </c>
      <c r="U138" s="140">
        <f t="shared" si="166"/>
        <v>1.4028964847826408E-2</v>
      </c>
      <c r="V138" s="140">
        <f t="shared" si="166"/>
        <v>1.1693806441150414E-2</v>
      </c>
      <c r="W138" s="140">
        <f t="shared" si="166"/>
        <v>8.420040098889376E-3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0.84127672514267104</v>
      </c>
      <c r="C140" s="139">
        <f t="shared" ref="C140:W140" si="169">IF(C48=0,0,C48/C$47)</f>
        <v>0.86661764093259241</v>
      </c>
      <c r="D140" s="139">
        <f t="shared" si="169"/>
        <v>0.91893952954292257</v>
      </c>
      <c r="E140" s="139">
        <f t="shared" si="169"/>
        <v>0.91177482992807479</v>
      </c>
      <c r="F140" s="139">
        <f t="shared" si="169"/>
        <v>0.91584100005704128</v>
      </c>
      <c r="G140" s="139">
        <f t="shared" si="169"/>
        <v>0.94273003672945277</v>
      </c>
      <c r="H140" s="139">
        <f t="shared" si="169"/>
        <v>0.95671014072229998</v>
      </c>
      <c r="I140" s="139">
        <f t="shared" si="169"/>
        <v>0.9578394870725363</v>
      </c>
      <c r="J140" s="139">
        <f t="shared" si="169"/>
        <v>0.96027674900043336</v>
      </c>
      <c r="K140" s="139">
        <f t="shared" si="169"/>
        <v>0.96758950617995831</v>
      </c>
      <c r="L140" s="139">
        <f t="shared" si="169"/>
        <v>0.96880024762405859</v>
      </c>
      <c r="M140" s="139">
        <f t="shared" si="169"/>
        <v>0.96805546035600765</v>
      </c>
      <c r="N140" s="139">
        <f t="shared" si="169"/>
        <v>0.96906072035432222</v>
      </c>
      <c r="O140" s="139">
        <f t="shared" si="169"/>
        <v>0.96492416581780205</v>
      </c>
      <c r="P140" s="139">
        <f t="shared" si="169"/>
        <v>0.96790995542468372</v>
      </c>
      <c r="Q140" s="139">
        <f t="shared" si="169"/>
        <v>0.97035400467648092</v>
      </c>
      <c r="R140" s="139">
        <f t="shared" si="169"/>
        <v>0.97263481443920952</v>
      </c>
      <c r="S140" s="139">
        <f t="shared" si="169"/>
        <v>0.97971866590957701</v>
      </c>
      <c r="T140" s="139">
        <f t="shared" si="169"/>
        <v>0.98081488413815199</v>
      </c>
      <c r="U140" s="139">
        <f t="shared" si="169"/>
        <v>0.98090313920161321</v>
      </c>
      <c r="V140" s="139">
        <f t="shared" si="169"/>
        <v>0.97724822547214951</v>
      </c>
      <c r="W140" s="139">
        <f t="shared" si="169"/>
        <v>0.97803218712474072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0.38756064115505079</v>
      </c>
      <c r="C141" s="140">
        <f t="shared" ref="C141:W141" si="170">IF(C49=0,0,C49/C$47)</f>
        <v>0.4119291870615176</v>
      </c>
      <c r="D141" s="140">
        <f t="shared" si="170"/>
        <v>0.35188548769988187</v>
      </c>
      <c r="E141" s="140">
        <f t="shared" si="170"/>
        <v>0.41953403257053795</v>
      </c>
      <c r="F141" s="140">
        <f t="shared" si="170"/>
        <v>0.39547389512894116</v>
      </c>
      <c r="G141" s="140">
        <f t="shared" si="170"/>
        <v>0.34910521203024847</v>
      </c>
      <c r="H141" s="140">
        <f t="shared" si="170"/>
        <v>0.29245971631229328</v>
      </c>
      <c r="I141" s="140">
        <f t="shared" si="170"/>
        <v>0.30421707527558672</v>
      </c>
      <c r="J141" s="140">
        <f t="shared" si="170"/>
        <v>0.27212581732091412</v>
      </c>
      <c r="K141" s="140">
        <f t="shared" si="170"/>
        <v>0.3210508258183366</v>
      </c>
      <c r="L141" s="140">
        <f t="shared" si="170"/>
        <v>0.27794425948535284</v>
      </c>
      <c r="M141" s="140">
        <f t="shared" si="170"/>
        <v>0.29710236349604247</v>
      </c>
      <c r="N141" s="140">
        <f t="shared" si="170"/>
        <v>0.30212721107564239</v>
      </c>
      <c r="O141" s="140">
        <f t="shared" si="170"/>
        <v>0.2648065777274673</v>
      </c>
      <c r="P141" s="140">
        <f t="shared" si="170"/>
        <v>0.24456923934366476</v>
      </c>
      <c r="Q141" s="140">
        <f t="shared" si="170"/>
        <v>0.27360501567094947</v>
      </c>
      <c r="R141" s="140">
        <f t="shared" si="170"/>
        <v>0.22813316487296204</v>
      </c>
      <c r="S141" s="140">
        <f t="shared" si="170"/>
        <v>0.19639093366080526</v>
      </c>
      <c r="T141" s="140">
        <f t="shared" si="170"/>
        <v>0.19099856595461226</v>
      </c>
      <c r="U141" s="140">
        <f t="shared" si="170"/>
        <v>0.1884229846371181</v>
      </c>
      <c r="V141" s="140">
        <f t="shared" si="170"/>
        <v>0.20765499258421752</v>
      </c>
      <c r="W141" s="140">
        <f t="shared" si="170"/>
        <v>0.18345434311565639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0.4537160839876202</v>
      </c>
      <c r="C142" s="140">
        <f t="shared" ref="C142:W142" si="171">IF(C50=0,0,C50/C$47)</f>
        <v>0.45468845387107487</v>
      </c>
      <c r="D142" s="140">
        <f t="shared" si="171"/>
        <v>0.56705404184304065</v>
      </c>
      <c r="E142" s="140">
        <f t="shared" si="171"/>
        <v>0.49224079735753684</v>
      </c>
      <c r="F142" s="140">
        <f t="shared" si="171"/>
        <v>0.52036710492810012</v>
      </c>
      <c r="G142" s="140">
        <f t="shared" si="171"/>
        <v>0.59362482469920441</v>
      </c>
      <c r="H142" s="140">
        <f t="shared" si="171"/>
        <v>0.66425042441000681</v>
      </c>
      <c r="I142" s="140">
        <f t="shared" si="171"/>
        <v>0.65362241179694958</v>
      </c>
      <c r="J142" s="140">
        <f t="shared" si="171"/>
        <v>0.68815093167951935</v>
      </c>
      <c r="K142" s="140">
        <f t="shared" si="171"/>
        <v>0.64653868036162165</v>
      </c>
      <c r="L142" s="140">
        <f t="shared" si="171"/>
        <v>0.69085598813870563</v>
      </c>
      <c r="M142" s="140">
        <f t="shared" si="171"/>
        <v>0.67095309685996518</v>
      </c>
      <c r="N142" s="140">
        <f t="shared" si="171"/>
        <v>0.66693350927867978</v>
      </c>
      <c r="O142" s="140">
        <f t="shared" si="171"/>
        <v>0.70011758809033475</v>
      </c>
      <c r="P142" s="140">
        <f t="shared" si="171"/>
        <v>0.72334071608101902</v>
      </c>
      <c r="Q142" s="140">
        <f t="shared" si="171"/>
        <v>0.6967489890055315</v>
      </c>
      <c r="R142" s="140">
        <f t="shared" si="171"/>
        <v>0.74450164956624754</v>
      </c>
      <c r="S142" s="140">
        <f t="shared" si="171"/>
        <v>0.78332773224877172</v>
      </c>
      <c r="T142" s="140">
        <f t="shared" si="171"/>
        <v>0.7898163181835397</v>
      </c>
      <c r="U142" s="140">
        <f t="shared" si="171"/>
        <v>0.79248015456449517</v>
      </c>
      <c r="V142" s="140">
        <f t="shared" si="171"/>
        <v>0.76959323288793213</v>
      </c>
      <c r="W142" s="140">
        <f t="shared" si="171"/>
        <v>0.79457784400908427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0.10820925652837952</v>
      </c>
      <c r="C143" s="124">
        <f t="shared" ref="C143:W143" si="172">IF(C51=0,0,C51/C$47)</f>
        <v>7.2025152491164771E-2</v>
      </c>
      <c r="D143" s="124">
        <f t="shared" si="172"/>
        <v>4.8422636241348786E-2</v>
      </c>
      <c r="E143" s="124">
        <f t="shared" si="172"/>
        <v>6.3146743560839394E-2</v>
      </c>
      <c r="F143" s="124">
        <f t="shared" si="172"/>
        <v>5.4314721114412254E-2</v>
      </c>
      <c r="G143" s="124">
        <f t="shared" si="172"/>
        <v>3.0283944447703687E-2</v>
      </c>
      <c r="H143" s="124">
        <f t="shared" si="172"/>
        <v>2.8862670705618078E-2</v>
      </c>
      <c r="I143" s="124">
        <f t="shared" si="172"/>
        <v>2.500647964046793E-2</v>
      </c>
      <c r="J143" s="124">
        <f t="shared" si="172"/>
        <v>1.8958744608358811E-2</v>
      </c>
      <c r="K143" s="124">
        <f t="shared" si="172"/>
        <v>1.624687577038076E-2</v>
      </c>
      <c r="L143" s="124">
        <f t="shared" si="172"/>
        <v>1.5376134704761487E-2</v>
      </c>
      <c r="M143" s="124">
        <f t="shared" si="172"/>
        <v>1.5457766194061157E-2</v>
      </c>
      <c r="N143" s="124">
        <f t="shared" si="172"/>
        <v>1.3815697099840894E-2</v>
      </c>
      <c r="O143" s="124">
        <f t="shared" si="172"/>
        <v>1.8056086954755388E-2</v>
      </c>
      <c r="P143" s="124">
        <f t="shared" si="172"/>
        <v>1.5741631493570597E-2</v>
      </c>
      <c r="Q143" s="124">
        <f t="shared" si="172"/>
        <v>1.2800369668552825E-2</v>
      </c>
      <c r="R143" s="124">
        <f t="shared" si="172"/>
        <v>1.1547708963284062E-2</v>
      </c>
      <c r="S143" s="124">
        <f t="shared" si="172"/>
        <v>7.3379179737229827E-3</v>
      </c>
      <c r="T143" s="124">
        <f t="shared" si="172"/>
        <v>7.9572863091715521E-3</v>
      </c>
      <c r="U143" s="124">
        <f t="shared" si="172"/>
        <v>6.6204792891200771E-3</v>
      </c>
      <c r="V143" s="124">
        <f t="shared" si="172"/>
        <v>9.0775104814102003E-3</v>
      </c>
      <c r="W143" s="124">
        <f t="shared" si="172"/>
        <v>1.0067560640974622E-2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1.781765813961593E-3</v>
      </c>
      <c r="C144" s="124">
        <f t="shared" ref="C144:W144" si="173">IF(C52=0,0,C52/C$47)</f>
        <v>1.7939200835139682E-3</v>
      </c>
      <c r="D144" s="124">
        <f t="shared" si="173"/>
        <v>8.796774022798038E-4</v>
      </c>
      <c r="E144" s="124">
        <f t="shared" si="173"/>
        <v>1.4967059326337333E-3</v>
      </c>
      <c r="F144" s="124">
        <f t="shared" si="173"/>
        <v>4.7038397577817115E-4</v>
      </c>
      <c r="G144" s="124">
        <f t="shared" si="173"/>
        <v>4.1721458266334808E-4</v>
      </c>
      <c r="H144" s="124">
        <f t="shared" si="173"/>
        <v>7.3306650732543708E-4</v>
      </c>
      <c r="I144" s="124">
        <f t="shared" si="173"/>
        <v>4.9194593034715514E-4</v>
      </c>
      <c r="J144" s="124">
        <f t="shared" si="173"/>
        <v>6.9796735959216179E-4</v>
      </c>
      <c r="K144" s="124">
        <f t="shared" si="173"/>
        <v>1.2336643688931974E-3</v>
      </c>
      <c r="L144" s="124">
        <f t="shared" si="173"/>
        <v>1.2565363542160633E-3</v>
      </c>
      <c r="M144" s="124">
        <f t="shared" si="173"/>
        <v>1.4930663201851624E-3</v>
      </c>
      <c r="N144" s="124">
        <f t="shared" si="173"/>
        <v>1.6762344736753652E-3</v>
      </c>
      <c r="O144" s="124">
        <f t="shared" si="173"/>
        <v>1.7983303526277214E-3</v>
      </c>
      <c r="P144" s="124">
        <f t="shared" si="173"/>
        <v>1.1027100894156205E-3</v>
      </c>
      <c r="Q144" s="124">
        <f t="shared" si="173"/>
        <v>1.4061856930405122E-3</v>
      </c>
      <c r="R144" s="124">
        <f t="shared" si="173"/>
        <v>1.0831644195195807E-3</v>
      </c>
      <c r="S144" s="124">
        <f t="shared" si="173"/>
        <v>8.9272668579351133E-4</v>
      </c>
      <c r="T144" s="124">
        <f t="shared" si="173"/>
        <v>7.1984120321625061E-4</v>
      </c>
      <c r="U144" s="124">
        <f t="shared" si="173"/>
        <v>5.7354751690941424E-4</v>
      </c>
      <c r="V144" s="124">
        <f t="shared" si="173"/>
        <v>1.8994791118723451E-3</v>
      </c>
      <c r="W144" s="124">
        <f t="shared" si="173"/>
        <v>1.0081914505024638E-3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8.6447039001950345E-4</v>
      </c>
      <c r="C146" s="140">
        <f t="shared" ref="C146:W146" si="175">IF(C54=0,0,C54/C$47)</f>
        <v>8.5146720666152476E-4</v>
      </c>
      <c r="D146" s="140">
        <f t="shared" si="175"/>
        <v>6.7820991812389412E-4</v>
      </c>
      <c r="E146" s="140">
        <f t="shared" si="175"/>
        <v>3.6782564170347693E-4</v>
      </c>
      <c r="F146" s="140">
        <f t="shared" si="175"/>
        <v>1.2879306902204455E-4</v>
      </c>
      <c r="G146" s="140">
        <f t="shared" si="175"/>
        <v>8.4632288176517018E-5</v>
      </c>
      <c r="H146" s="140">
        <f t="shared" si="175"/>
        <v>6.4273445811489016E-5</v>
      </c>
      <c r="I146" s="140">
        <f t="shared" si="175"/>
        <v>6.7972817429410096E-5</v>
      </c>
      <c r="J146" s="140">
        <f t="shared" si="175"/>
        <v>5.2284561361554452E-4</v>
      </c>
      <c r="K146" s="140">
        <f t="shared" si="175"/>
        <v>1.0867273313573103E-3</v>
      </c>
      <c r="L146" s="140">
        <f t="shared" si="175"/>
        <v>9.7614049873276875E-4</v>
      </c>
      <c r="M146" s="140">
        <f t="shared" si="175"/>
        <v>1.4669789883988661E-3</v>
      </c>
      <c r="N146" s="140">
        <f t="shared" si="175"/>
        <v>1.6533831880937884E-3</v>
      </c>
      <c r="O146" s="140">
        <f t="shared" si="175"/>
        <v>1.7539666240449878E-3</v>
      </c>
      <c r="P146" s="140">
        <f t="shared" si="175"/>
        <v>8.8161949974281271E-4</v>
      </c>
      <c r="Q146" s="140">
        <f t="shared" si="175"/>
        <v>1.2318169141220477E-3</v>
      </c>
      <c r="R146" s="140">
        <f t="shared" si="175"/>
        <v>9.6485712101697775E-4</v>
      </c>
      <c r="S146" s="140">
        <f t="shared" si="175"/>
        <v>8.6358858409727444E-4</v>
      </c>
      <c r="T146" s="140">
        <f t="shared" si="175"/>
        <v>6.8879410028590345E-4</v>
      </c>
      <c r="U146" s="140">
        <f t="shared" si="175"/>
        <v>5.6570150646686015E-4</v>
      </c>
      <c r="V146" s="140">
        <f t="shared" si="175"/>
        <v>1.8616867819557235E-3</v>
      </c>
      <c r="W146" s="140">
        <f t="shared" si="175"/>
        <v>1.0042884367836326E-3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9.172954239420896E-4</v>
      </c>
      <c r="C147" s="140">
        <f t="shared" ref="C147:W147" si="176">IF(C55=0,0,C55/C$47)</f>
        <v>9.4245287685244328E-4</v>
      </c>
      <c r="D147" s="140">
        <f t="shared" si="176"/>
        <v>2.0146748415590966E-4</v>
      </c>
      <c r="E147" s="140">
        <f t="shared" si="176"/>
        <v>1.1288802909302563E-3</v>
      </c>
      <c r="F147" s="140">
        <f t="shared" si="176"/>
        <v>3.4159090675612658E-4</v>
      </c>
      <c r="G147" s="140">
        <f t="shared" si="176"/>
        <v>3.3258229448683102E-4</v>
      </c>
      <c r="H147" s="140">
        <f t="shared" si="176"/>
        <v>6.6879306151394801E-4</v>
      </c>
      <c r="I147" s="140">
        <f t="shared" si="176"/>
        <v>4.2397311291774505E-4</v>
      </c>
      <c r="J147" s="140">
        <f t="shared" si="176"/>
        <v>1.7512174597661726E-4</v>
      </c>
      <c r="K147" s="140">
        <f t="shared" si="176"/>
        <v>1.4693703753588703E-4</v>
      </c>
      <c r="L147" s="140">
        <f t="shared" si="176"/>
        <v>2.8039585548329457E-4</v>
      </c>
      <c r="M147" s="140">
        <f t="shared" si="176"/>
        <v>2.6087331786296295E-5</v>
      </c>
      <c r="N147" s="140">
        <f t="shared" si="176"/>
        <v>2.285128558157678E-5</v>
      </c>
      <c r="O147" s="140">
        <f t="shared" si="176"/>
        <v>4.4363728582733629E-5</v>
      </c>
      <c r="P147" s="140">
        <f t="shared" si="176"/>
        <v>2.2109058967280802E-4</v>
      </c>
      <c r="Q147" s="140">
        <f t="shared" si="176"/>
        <v>1.7436877891846442E-4</v>
      </c>
      <c r="R147" s="140">
        <f t="shared" si="176"/>
        <v>1.1830729850260285E-4</v>
      </c>
      <c r="S147" s="140">
        <f t="shared" si="176"/>
        <v>2.9138101696236916E-5</v>
      </c>
      <c r="T147" s="140">
        <f t="shared" si="176"/>
        <v>3.1047102930347191E-5</v>
      </c>
      <c r="U147" s="140">
        <f t="shared" si="176"/>
        <v>7.8460104425541132E-6</v>
      </c>
      <c r="V147" s="140">
        <f t="shared" si="176"/>
        <v>3.7792329916621732E-5</v>
      </c>
      <c r="W147" s="140">
        <f t="shared" si="176"/>
        <v>3.9030137188312448E-6</v>
      </c>
      <c r="DA147" s="175"/>
    </row>
    <row r="148" spans="1:105" ht="11.45" customHeight="1" x14ac:dyDescent="0.25">
      <c r="A148" s="109" t="s">
        <v>142</v>
      </c>
      <c r="B148" s="124">
        <f t="shared" si="167"/>
        <v>4.8732252514987834E-2</v>
      </c>
      <c r="C148" s="124">
        <f t="shared" ref="C148:W148" si="177">IF(C56=0,0,C56/C$47)</f>
        <v>5.9563286492728795E-2</v>
      </c>
      <c r="D148" s="124">
        <f t="shared" si="177"/>
        <v>3.1758156813448978E-2</v>
      </c>
      <c r="E148" s="124">
        <f t="shared" si="177"/>
        <v>2.3581720578452207E-2</v>
      </c>
      <c r="F148" s="124">
        <f t="shared" si="177"/>
        <v>2.9373894852768215E-2</v>
      </c>
      <c r="G148" s="124">
        <f t="shared" si="177"/>
        <v>2.6568804240180124E-2</v>
      </c>
      <c r="H148" s="124">
        <f t="shared" si="177"/>
        <v>1.3694122064756394E-2</v>
      </c>
      <c r="I148" s="124">
        <f t="shared" si="177"/>
        <v>1.6662087356648647E-2</v>
      </c>
      <c r="J148" s="124">
        <f t="shared" si="177"/>
        <v>2.00665390316156E-2</v>
      </c>
      <c r="K148" s="124">
        <f t="shared" si="177"/>
        <v>1.4929953680767738E-2</v>
      </c>
      <c r="L148" s="124">
        <f t="shared" si="177"/>
        <v>1.4567081316963857E-2</v>
      </c>
      <c r="M148" s="124">
        <f t="shared" si="177"/>
        <v>1.4993707129746205E-2</v>
      </c>
      <c r="N148" s="124">
        <f t="shared" si="177"/>
        <v>1.5447348072161448E-2</v>
      </c>
      <c r="O148" s="124">
        <f t="shared" si="177"/>
        <v>1.5221416874814762E-2</v>
      </c>
      <c r="P148" s="124">
        <f t="shared" si="177"/>
        <v>1.5245702992330142E-2</v>
      </c>
      <c r="Q148" s="124">
        <f t="shared" si="177"/>
        <v>1.5439439961925623E-2</v>
      </c>
      <c r="R148" s="124">
        <f t="shared" si="177"/>
        <v>1.4734312177986831E-2</v>
      </c>
      <c r="S148" s="124">
        <f t="shared" si="177"/>
        <v>1.2050689430906493E-2</v>
      </c>
      <c r="T148" s="124">
        <f t="shared" si="177"/>
        <v>1.0507988349460149E-2</v>
      </c>
      <c r="U148" s="124">
        <f t="shared" si="177"/>
        <v>1.1902833992357286E-2</v>
      </c>
      <c r="V148" s="124">
        <f t="shared" si="177"/>
        <v>1.1774784934567925E-2</v>
      </c>
      <c r="W148" s="124">
        <f t="shared" si="177"/>
        <v>1.0892060783782331E-2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</v>
      </c>
      <c r="C149" s="140">
        <f t="shared" ref="C149:W149" si="178">IF(C57=0,0,C57/C$47)</f>
        <v>0</v>
      </c>
      <c r="D149" s="140">
        <f t="shared" si="178"/>
        <v>0</v>
      </c>
      <c r="E149" s="140">
        <f t="shared" si="178"/>
        <v>0</v>
      </c>
      <c r="F149" s="140">
        <f t="shared" si="178"/>
        <v>0</v>
      </c>
      <c r="G149" s="140">
        <f t="shared" si="178"/>
        <v>0</v>
      </c>
      <c r="H149" s="140">
        <f t="shared" si="178"/>
        <v>0</v>
      </c>
      <c r="I149" s="140">
        <f t="shared" si="178"/>
        <v>0</v>
      </c>
      <c r="J149" s="140">
        <f t="shared" si="178"/>
        <v>0</v>
      </c>
      <c r="K149" s="140">
        <f t="shared" si="178"/>
        <v>0</v>
      </c>
      <c r="L149" s="140">
        <f t="shared" si="178"/>
        <v>0</v>
      </c>
      <c r="M149" s="140">
        <f t="shared" si="178"/>
        <v>0</v>
      </c>
      <c r="N149" s="140">
        <f t="shared" si="178"/>
        <v>0</v>
      </c>
      <c r="O149" s="140">
        <f t="shared" si="178"/>
        <v>0</v>
      </c>
      <c r="P149" s="140">
        <f t="shared" si="178"/>
        <v>0</v>
      </c>
      <c r="Q149" s="140">
        <f t="shared" si="178"/>
        <v>0</v>
      </c>
      <c r="R149" s="140">
        <f t="shared" si="178"/>
        <v>0</v>
      </c>
      <c r="S149" s="140">
        <f t="shared" si="178"/>
        <v>0</v>
      </c>
      <c r="T149" s="140">
        <f t="shared" si="178"/>
        <v>0</v>
      </c>
      <c r="U149" s="140">
        <f t="shared" si="178"/>
        <v>0</v>
      </c>
      <c r="V149" s="140">
        <f t="shared" si="178"/>
        <v>0</v>
      </c>
      <c r="W149" s="140">
        <f t="shared" si="178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4.8732252514987834E-2</v>
      </c>
      <c r="C150" s="127">
        <f t="shared" ref="C150:W150" si="179">IF(C58=0,0,C58/C$47)</f>
        <v>5.9563286492728795E-2</v>
      </c>
      <c r="D150" s="127">
        <f t="shared" si="179"/>
        <v>3.1758156813448978E-2</v>
      </c>
      <c r="E150" s="127">
        <f t="shared" si="179"/>
        <v>2.3581720578452207E-2</v>
      </c>
      <c r="F150" s="127">
        <f t="shared" si="179"/>
        <v>2.9373894852768215E-2</v>
      </c>
      <c r="G150" s="127">
        <f t="shared" si="179"/>
        <v>2.6568804240180124E-2</v>
      </c>
      <c r="H150" s="127">
        <f t="shared" si="179"/>
        <v>1.3694122064756394E-2</v>
      </c>
      <c r="I150" s="127">
        <f t="shared" si="179"/>
        <v>1.6662087356648647E-2</v>
      </c>
      <c r="J150" s="127">
        <f t="shared" si="179"/>
        <v>2.00665390316156E-2</v>
      </c>
      <c r="K150" s="127">
        <f t="shared" si="179"/>
        <v>1.4929953680767738E-2</v>
      </c>
      <c r="L150" s="127">
        <f t="shared" si="179"/>
        <v>1.4567081316963857E-2</v>
      </c>
      <c r="M150" s="127">
        <f t="shared" si="179"/>
        <v>1.4993707129746205E-2</v>
      </c>
      <c r="N150" s="127">
        <f t="shared" si="179"/>
        <v>1.5447348072161448E-2</v>
      </c>
      <c r="O150" s="127">
        <f t="shared" si="179"/>
        <v>1.5221416874814762E-2</v>
      </c>
      <c r="P150" s="127">
        <f t="shared" si="179"/>
        <v>1.5245702992330142E-2</v>
      </c>
      <c r="Q150" s="127">
        <f t="shared" si="179"/>
        <v>1.5439439961925623E-2</v>
      </c>
      <c r="R150" s="127">
        <f t="shared" si="179"/>
        <v>1.4734312177986831E-2</v>
      </c>
      <c r="S150" s="127">
        <f t="shared" si="179"/>
        <v>1.2050689430906493E-2</v>
      </c>
      <c r="T150" s="127">
        <f t="shared" si="179"/>
        <v>1.0507988349460149E-2</v>
      </c>
      <c r="U150" s="127">
        <f t="shared" si="179"/>
        <v>1.1902833992357286E-2</v>
      </c>
      <c r="V150" s="127">
        <f t="shared" si="179"/>
        <v>1.1774784934567925E-2</v>
      </c>
      <c r="W150" s="127">
        <f t="shared" si="179"/>
        <v>1.0892060783782331E-2</v>
      </c>
      <c r="DA150" s="178"/>
    </row>
    <row r="151" spans="1:105" ht="11.45" customHeight="1" x14ac:dyDescent="0.25">
      <c r="A151" s="27" t="s">
        <v>176</v>
      </c>
      <c r="B151" s="31">
        <f>IF(B59=0,0,B59/B$59)</f>
        <v>0</v>
      </c>
      <c r="C151" s="31">
        <f t="shared" ref="C151:W151" si="180">IF(C59=0,0,C59/C$59)</f>
        <v>0</v>
      </c>
      <c r="D151" s="31">
        <f t="shared" si="180"/>
        <v>0</v>
      </c>
      <c r="E151" s="31">
        <f t="shared" si="180"/>
        <v>0</v>
      </c>
      <c r="F151" s="31">
        <f t="shared" si="180"/>
        <v>0</v>
      </c>
      <c r="G151" s="31">
        <f t="shared" si="180"/>
        <v>0</v>
      </c>
      <c r="H151" s="31">
        <f t="shared" si="180"/>
        <v>0</v>
      </c>
      <c r="I151" s="31">
        <f t="shared" si="180"/>
        <v>0</v>
      </c>
      <c r="J151" s="31">
        <f t="shared" si="180"/>
        <v>0</v>
      </c>
      <c r="K151" s="31">
        <f t="shared" si="180"/>
        <v>0</v>
      </c>
      <c r="L151" s="31">
        <f t="shared" si="180"/>
        <v>0</v>
      </c>
      <c r="M151" s="31">
        <f t="shared" si="180"/>
        <v>0</v>
      </c>
      <c r="N151" s="31">
        <f t="shared" si="180"/>
        <v>0</v>
      </c>
      <c r="O151" s="31">
        <f t="shared" si="180"/>
        <v>0</v>
      </c>
      <c r="P151" s="31">
        <f t="shared" si="180"/>
        <v>0</v>
      </c>
      <c r="Q151" s="31">
        <f t="shared" si="180"/>
        <v>0</v>
      </c>
      <c r="R151" s="31">
        <f t="shared" si="180"/>
        <v>0</v>
      </c>
      <c r="S151" s="31">
        <f t="shared" si="180"/>
        <v>0</v>
      </c>
      <c r="T151" s="31">
        <f t="shared" si="180"/>
        <v>0</v>
      </c>
      <c r="U151" s="31">
        <f t="shared" si="180"/>
        <v>0</v>
      </c>
      <c r="V151" s="31">
        <f t="shared" si="180"/>
        <v>0</v>
      </c>
      <c r="W151" s="31">
        <f t="shared" si="180"/>
        <v>0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</v>
      </c>
      <c r="C152" s="140">
        <f t="shared" ref="C152:W152" si="181">IF(C60=0,0,C60/C$59)</f>
        <v>0</v>
      </c>
      <c r="D152" s="140">
        <f t="shared" si="181"/>
        <v>0</v>
      </c>
      <c r="E152" s="140">
        <f t="shared" si="181"/>
        <v>0</v>
      </c>
      <c r="F152" s="140">
        <f t="shared" si="181"/>
        <v>0</v>
      </c>
      <c r="G152" s="140">
        <f t="shared" si="181"/>
        <v>0</v>
      </c>
      <c r="H152" s="140">
        <f t="shared" si="181"/>
        <v>0</v>
      </c>
      <c r="I152" s="140">
        <f t="shared" si="181"/>
        <v>0</v>
      </c>
      <c r="J152" s="140">
        <f t="shared" si="181"/>
        <v>0</v>
      </c>
      <c r="K152" s="140">
        <f t="shared" si="181"/>
        <v>0</v>
      </c>
      <c r="L152" s="140">
        <f t="shared" si="181"/>
        <v>0</v>
      </c>
      <c r="M152" s="140">
        <f t="shared" si="181"/>
        <v>0</v>
      </c>
      <c r="N152" s="140">
        <f t="shared" si="181"/>
        <v>0</v>
      </c>
      <c r="O152" s="140">
        <f t="shared" si="181"/>
        <v>0</v>
      </c>
      <c r="P152" s="140">
        <f t="shared" si="181"/>
        <v>0</v>
      </c>
      <c r="Q152" s="140">
        <f t="shared" si="181"/>
        <v>0</v>
      </c>
      <c r="R152" s="140">
        <f t="shared" si="181"/>
        <v>0</v>
      </c>
      <c r="S152" s="140">
        <f t="shared" si="181"/>
        <v>0</v>
      </c>
      <c r="T152" s="140">
        <f t="shared" si="181"/>
        <v>0</v>
      </c>
      <c r="U152" s="140">
        <f t="shared" si="181"/>
        <v>0</v>
      </c>
      <c r="V152" s="140">
        <f t="shared" si="181"/>
        <v>0</v>
      </c>
      <c r="W152" s="140">
        <f t="shared" si="181"/>
        <v>0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</v>
      </c>
      <c r="C153" s="127">
        <f t="shared" ref="C153:W153" si="182">IF(C61=0,0,C61/C$59)</f>
        <v>0</v>
      </c>
      <c r="D153" s="127">
        <f t="shared" si="182"/>
        <v>0</v>
      </c>
      <c r="E153" s="127">
        <f t="shared" si="182"/>
        <v>0</v>
      </c>
      <c r="F153" s="127">
        <f t="shared" si="182"/>
        <v>0</v>
      </c>
      <c r="G153" s="127">
        <f t="shared" si="182"/>
        <v>0</v>
      </c>
      <c r="H153" s="127">
        <f t="shared" si="182"/>
        <v>0</v>
      </c>
      <c r="I153" s="127">
        <f t="shared" si="182"/>
        <v>0</v>
      </c>
      <c r="J153" s="127">
        <f t="shared" si="182"/>
        <v>0</v>
      </c>
      <c r="K153" s="127">
        <f t="shared" si="182"/>
        <v>0</v>
      </c>
      <c r="L153" s="127">
        <f t="shared" si="182"/>
        <v>0</v>
      </c>
      <c r="M153" s="127">
        <f t="shared" si="182"/>
        <v>0</v>
      </c>
      <c r="N153" s="127">
        <f t="shared" si="182"/>
        <v>0</v>
      </c>
      <c r="O153" s="127">
        <f t="shared" si="182"/>
        <v>0</v>
      </c>
      <c r="P153" s="127">
        <f t="shared" si="182"/>
        <v>0</v>
      </c>
      <c r="Q153" s="127">
        <f t="shared" si="182"/>
        <v>0</v>
      </c>
      <c r="R153" s="127">
        <f t="shared" si="182"/>
        <v>0</v>
      </c>
      <c r="S153" s="127">
        <f t="shared" si="182"/>
        <v>0</v>
      </c>
      <c r="T153" s="127">
        <f t="shared" si="182"/>
        <v>0</v>
      </c>
      <c r="U153" s="127">
        <f t="shared" si="182"/>
        <v>0</v>
      </c>
      <c r="V153" s="127">
        <f t="shared" si="182"/>
        <v>0</v>
      </c>
      <c r="W153" s="127">
        <f t="shared" si="182"/>
        <v>0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0.97221248907058888</v>
      </c>
      <c r="C157" s="139">
        <f t="shared" ref="C157:W157" si="185">IF(C65=0,0,C65/C$64)</f>
        <v>0.96886146303382015</v>
      </c>
      <c r="D157" s="139">
        <f t="shared" si="185"/>
        <v>0.95958364038646216</v>
      </c>
      <c r="E157" s="139">
        <f t="shared" si="185"/>
        <v>0.9694409560922258</v>
      </c>
      <c r="F157" s="139">
        <f t="shared" si="185"/>
        <v>0.97354211108406041</v>
      </c>
      <c r="G157" s="139">
        <f t="shared" si="185"/>
        <v>0.96298931042386027</v>
      </c>
      <c r="H157" s="139">
        <f t="shared" si="185"/>
        <v>0.96114895646135123</v>
      </c>
      <c r="I157" s="139">
        <f t="shared" si="185"/>
        <v>0.95492044818497668</v>
      </c>
      <c r="J157" s="139">
        <f t="shared" si="185"/>
        <v>0.94541654080847626</v>
      </c>
      <c r="K157" s="139">
        <f t="shared" si="185"/>
        <v>0.95759317995486959</v>
      </c>
      <c r="L157" s="139">
        <f t="shared" si="185"/>
        <v>0.96233852880938675</v>
      </c>
      <c r="M157" s="139">
        <f t="shared" si="185"/>
        <v>0.95990921365821691</v>
      </c>
      <c r="N157" s="139">
        <f t="shared" si="185"/>
        <v>0.96506920345786296</v>
      </c>
      <c r="O157" s="139">
        <f t="shared" si="185"/>
        <v>0.96112630250742159</v>
      </c>
      <c r="P157" s="139">
        <f t="shared" si="185"/>
        <v>0.96560446065730909</v>
      </c>
      <c r="Q157" s="139">
        <f t="shared" si="185"/>
        <v>0.95810689781179503</v>
      </c>
      <c r="R157" s="139">
        <f t="shared" si="185"/>
        <v>0.95280716299906365</v>
      </c>
      <c r="S157" s="139">
        <f t="shared" si="185"/>
        <v>0.96264100669515595</v>
      </c>
      <c r="T157" s="139">
        <f t="shared" si="185"/>
        <v>0.95475945564476694</v>
      </c>
      <c r="U157" s="139">
        <f t="shared" si="185"/>
        <v>0.95587564102154832</v>
      </c>
      <c r="V157" s="139">
        <f t="shared" si="185"/>
        <v>0.97102718037249725</v>
      </c>
      <c r="W157" s="139">
        <f t="shared" si="185"/>
        <v>0.97715150197202916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2.0452952854667261E-3</v>
      </c>
      <c r="C158" s="140">
        <f t="shared" ref="C158:W158" si="186">IF(C66=0,0,C66/C$64)</f>
        <v>2.127660966310061E-3</v>
      </c>
      <c r="D158" s="140">
        <f t="shared" si="186"/>
        <v>1.5891317382280567E-3</v>
      </c>
      <c r="E158" s="140">
        <f t="shared" si="186"/>
        <v>1.6946522094924926E-3</v>
      </c>
      <c r="F158" s="140">
        <f t="shared" si="186"/>
        <v>1.9270150180525246E-3</v>
      </c>
      <c r="G158" s="140">
        <f t="shared" si="186"/>
        <v>2.0143871598813749E-3</v>
      </c>
      <c r="H158" s="140">
        <f t="shared" si="186"/>
        <v>2.153104318964975E-3</v>
      </c>
      <c r="I158" s="140">
        <f t="shared" si="186"/>
        <v>2.1649052607852926E-3</v>
      </c>
      <c r="J158" s="140">
        <f t="shared" si="186"/>
        <v>2.2375848407044075E-3</v>
      </c>
      <c r="K158" s="140">
        <f t="shared" si="186"/>
        <v>2.0748933435911082E-3</v>
      </c>
      <c r="L158" s="140">
        <f t="shared" si="186"/>
        <v>1.8804087570727466E-3</v>
      </c>
      <c r="M158" s="140">
        <f t="shared" si="186"/>
        <v>2.3176757461687088E-3</v>
      </c>
      <c r="N158" s="140">
        <f t="shared" si="186"/>
        <v>2.784233075651238E-3</v>
      </c>
      <c r="O158" s="140">
        <f t="shared" si="186"/>
        <v>2.8331851826853423E-3</v>
      </c>
      <c r="P158" s="140">
        <f t="shared" si="186"/>
        <v>3.177221306292465E-3</v>
      </c>
      <c r="Q158" s="140">
        <f t="shared" si="186"/>
        <v>3.485903752573535E-3</v>
      </c>
      <c r="R158" s="140">
        <f t="shared" si="186"/>
        <v>3.6587779690794727E-3</v>
      </c>
      <c r="S158" s="140">
        <f t="shared" si="186"/>
        <v>3.3832394315754938E-3</v>
      </c>
      <c r="T158" s="140">
        <f t="shared" si="186"/>
        <v>3.292418360148344E-3</v>
      </c>
      <c r="U158" s="140">
        <f t="shared" si="186"/>
        <v>3.5452161927585525E-3</v>
      </c>
      <c r="V158" s="140">
        <f t="shared" si="186"/>
        <v>3.5072602504464499E-3</v>
      </c>
      <c r="W158" s="140">
        <f t="shared" si="186"/>
        <v>3.2900140630656872E-3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0.77487474848353</v>
      </c>
      <c r="C159" s="140">
        <f t="shared" ref="C159:W159" si="187">IF(C67=0,0,C67/C$64)</f>
        <v>0.79029665436279162</v>
      </c>
      <c r="D159" s="140">
        <f t="shared" si="187"/>
        <v>0.80242406264267696</v>
      </c>
      <c r="E159" s="140">
        <f t="shared" si="187"/>
        <v>0.80149090967748426</v>
      </c>
      <c r="F159" s="140">
        <f t="shared" si="187"/>
        <v>0.80606292060103391</v>
      </c>
      <c r="G159" s="140">
        <f t="shared" si="187"/>
        <v>0.81014004185071531</v>
      </c>
      <c r="H159" s="140">
        <f t="shared" si="187"/>
        <v>0.80504649577234022</v>
      </c>
      <c r="I159" s="140">
        <f t="shared" si="187"/>
        <v>0.78101761470542441</v>
      </c>
      <c r="J159" s="140">
        <f t="shared" si="187"/>
        <v>0.78377633206834518</v>
      </c>
      <c r="K159" s="140">
        <f t="shared" si="187"/>
        <v>0.79598416850603471</v>
      </c>
      <c r="L159" s="140">
        <f t="shared" si="187"/>
        <v>0.80584316538919654</v>
      </c>
      <c r="M159" s="140">
        <f t="shared" si="187"/>
        <v>0.81183112370608412</v>
      </c>
      <c r="N159" s="140">
        <f t="shared" si="187"/>
        <v>0.81361779496038789</v>
      </c>
      <c r="O159" s="140">
        <f t="shared" si="187"/>
        <v>0.81488398267886175</v>
      </c>
      <c r="P159" s="140">
        <f t="shared" si="187"/>
        <v>0.81716219895844888</v>
      </c>
      <c r="Q159" s="140">
        <f t="shared" si="187"/>
        <v>0.81489478401264714</v>
      </c>
      <c r="R159" s="140">
        <f t="shared" si="187"/>
        <v>0.8145282199819065</v>
      </c>
      <c r="S159" s="140">
        <f t="shared" si="187"/>
        <v>0.8163671864125398</v>
      </c>
      <c r="T159" s="140">
        <f t="shared" si="187"/>
        <v>0.80153924821373657</v>
      </c>
      <c r="U159" s="140">
        <f t="shared" si="187"/>
        <v>0.79882094143652704</v>
      </c>
      <c r="V159" s="140">
        <f t="shared" si="187"/>
        <v>0.82157951282067054</v>
      </c>
      <c r="W159" s="140">
        <f t="shared" si="187"/>
        <v>0.82939788174156792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0.19529244530159215</v>
      </c>
      <c r="C160" s="140">
        <f t="shared" ref="C160:W160" si="188">IF(C68=0,0,C68/C$64)</f>
        <v>0.17643714770471849</v>
      </c>
      <c r="D160" s="140">
        <f t="shared" si="188"/>
        <v>0.15557044600555725</v>
      </c>
      <c r="E160" s="140">
        <f t="shared" si="188"/>
        <v>0.16625539420524912</v>
      </c>
      <c r="F160" s="140">
        <f t="shared" si="188"/>
        <v>0.16555217546497394</v>
      </c>
      <c r="G160" s="140">
        <f t="shared" si="188"/>
        <v>0.15083488141326354</v>
      </c>
      <c r="H160" s="140">
        <f t="shared" si="188"/>
        <v>0.153949356370046</v>
      </c>
      <c r="I160" s="140">
        <f t="shared" si="188"/>
        <v>0.17173792821876707</v>
      </c>
      <c r="J160" s="140">
        <f t="shared" si="188"/>
        <v>0.15940262389942675</v>
      </c>
      <c r="K160" s="140">
        <f t="shared" si="188"/>
        <v>0.15953411810524373</v>
      </c>
      <c r="L160" s="140">
        <f t="shared" si="188"/>
        <v>0.15461495466311745</v>
      </c>
      <c r="M160" s="140">
        <f t="shared" si="188"/>
        <v>0.14576041420596403</v>
      </c>
      <c r="N160" s="140">
        <f t="shared" si="188"/>
        <v>0.14866717542182376</v>
      </c>
      <c r="O160" s="140">
        <f t="shared" si="188"/>
        <v>0.14340913464587449</v>
      </c>
      <c r="P160" s="140">
        <f t="shared" si="188"/>
        <v>0.14526504039256763</v>
      </c>
      <c r="Q160" s="140">
        <f t="shared" si="188"/>
        <v>0.13972621004657443</v>
      </c>
      <c r="R160" s="140">
        <f t="shared" si="188"/>
        <v>0.13462016504807761</v>
      </c>
      <c r="S160" s="140">
        <f t="shared" si="188"/>
        <v>0.14289058085104067</v>
      </c>
      <c r="T160" s="140">
        <f t="shared" si="188"/>
        <v>0.14992778907088194</v>
      </c>
      <c r="U160" s="140">
        <f t="shared" si="188"/>
        <v>0.15350948339226267</v>
      </c>
      <c r="V160" s="140">
        <f t="shared" si="188"/>
        <v>0.1459404073013803</v>
      </c>
      <c r="W160" s="140">
        <f t="shared" si="188"/>
        <v>0.14446360616739554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0</v>
      </c>
      <c r="C161" s="124">
        <f t="shared" ref="C161:W161" si="189">IF(C69=0,0,C69/C$64)</f>
        <v>0</v>
      </c>
      <c r="D161" s="124">
        <f t="shared" si="189"/>
        <v>0</v>
      </c>
      <c r="E161" s="124">
        <f t="shared" si="189"/>
        <v>0</v>
      </c>
      <c r="F161" s="124">
        <f t="shared" si="189"/>
        <v>0</v>
      </c>
      <c r="G161" s="124">
        <f t="shared" si="189"/>
        <v>0</v>
      </c>
      <c r="H161" s="124">
        <f t="shared" si="189"/>
        <v>0</v>
      </c>
      <c r="I161" s="124">
        <f t="shared" si="189"/>
        <v>0</v>
      </c>
      <c r="J161" s="124">
        <f t="shared" si="189"/>
        <v>0</v>
      </c>
      <c r="K161" s="124">
        <f t="shared" si="189"/>
        <v>0</v>
      </c>
      <c r="L161" s="124">
        <f t="shared" si="189"/>
        <v>0</v>
      </c>
      <c r="M161" s="124">
        <f t="shared" si="189"/>
        <v>0</v>
      </c>
      <c r="N161" s="124">
        <f t="shared" si="189"/>
        <v>0</v>
      </c>
      <c r="O161" s="124">
        <f t="shared" si="189"/>
        <v>0</v>
      </c>
      <c r="P161" s="124">
        <f t="shared" si="189"/>
        <v>0</v>
      </c>
      <c r="Q161" s="124">
        <f t="shared" si="189"/>
        <v>0</v>
      </c>
      <c r="R161" s="124">
        <f t="shared" si="189"/>
        <v>0</v>
      </c>
      <c r="S161" s="124">
        <f t="shared" si="189"/>
        <v>0</v>
      </c>
      <c r="T161" s="124">
        <f t="shared" si="189"/>
        <v>0</v>
      </c>
      <c r="U161" s="124">
        <f t="shared" si="189"/>
        <v>0</v>
      </c>
      <c r="V161" s="124">
        <f t="shared" si="189"/>
        <v>0</v>
      </c>
      <c r="W161" s="124">
        <f t="shared" si="189"/>
        <v>0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0</v>
      </c>
      <c r="C163" s="140">
        <f t="shared" ref="C163:W163" si="191">IF(C71=0,0,C71/C$64)</f>
        <v>0</v>
      </c>
      <c r="D163" s="140">
        <f t="shared" si="191"/>
        <v>0</v>
      </c>
      <c r="E163" s="140">
        <f t="shared" si="191"/>
        <v>0</v>
      </c>
      <c r="F163" s="140">
        <f t="shared" si="191"/>
        <v>0</v>
      </c>
      <c r="G163" s="140">
        <f t="shared" si="191"/>
        <v>0</v>
      </c>
      <c r="H163" s="140">
        <f t="shared" si="191"/>
        <v>0</v>
      </c>
      <c r="I163" s="140">
        <f t="shared" si="191"/>
        <v>0</v>
      </c>
      <c r="J163" s="140">
        <f t="shared" si="191"/>
        <v>0</v>
      </c>
      <c r="K163" s="140">
        <f t="shared" si="191"/>
        <v>0</v>
      </c>
      <c r="L163" s="140">
        <f t="shared" si="191"/>
        <v>0</v>
      </c>
      <c r="M163" s="140">
        <f t="shared" si="191"/>
        <v>0</v>
      </c>
      <c r="N163" s="140">
        <f t="shared" si="191"/>
        <v>0</v>
      </c>
      <c r="O163" s="140">
        <f t="shared" si="191"/>
        <v>0</v>
      </c>
      <c r="P163" s="140">
        <f t="shared" si="191"/>
        <v>0</v>
      </c>
      <c r="Q163" s="140">
        <f t="shared" si="191"/>
        <v>0</v>
      </c>
      <c r="R163" s="140">
        <f t="shared" si="191"/>
        <v>0</v>
      </c>
      <c r="S163" s="140">
        <f t="shared" si="191"/>
        <v>0</v>
      </c>
      <c r="T163" s="140">
        <f t="shared" si="191"/>
        <v>0</v>
      </c>
      <c r="U163" s="140">
        <f t="shared" si="191"/>
        <v>0</v>
      </c>
      <c r="V163" s="140">
        <f t="shared" si="191"/>
        <v>0</v>
      </c>
      <c r="W163" s="140">
        <f t="shared" si="191"/>
        <v>0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2.7787510929411105E-2</v>
      </c>
      <c r="C165" s="124">
        <f t="shared" ref="C165:W165" si="193">IF(C73=0,0,C73/C$64)</f>
        <v>3.1138536966179849E-2</v>
      </c>
      <c r="D165" s="124">
        <f t="shared" si="193"/>
        <v>4.0416359613537838E-2</v>
      </c>
      <c r="E165" s="124">
        <f t="shared" si="193"/>
        <v>3.0559043907774232E-2</v>
      </c>
      <c r="F165" s="124">
        <f t="shared" si="193"/>
        <v>2.6457888915939462E-2</v>
      </c>
      <c r="G165" s="124">
        <f t="shared" si="193"/>
        <v>3.7010689576139705E-2</v>
      </c>
      <c r="H165" s="124">
        <f t="shared" si="193"/>
        <v>3.8851043538648773E-2</v>
      </c>
      <c r="I165" s="124">
        <f t="shared" si="193"/>
        <v>4.5079551815023218E-2</v>
      </c>
      <c r="J165" s="124">
        <f t="shared" si="193"/>
        <v>5.4583459191523735E-2</v>
      </c>
      <c r="K165" s="124">
        <f t="shared" si="193"/>
        <v>4.2406820045130363E-2</v>
      </c>
      <c r="L165" s="124">
        <f t="shared" si="193"/>
        <v>3.7661471190613298E-2</v>
      </c>
      <c r="M165" s="124">
        <f t="shared" si="193"/>
        <v>4.0090786341783133E-2</v>
      </c>
      <c r="N165" s="124">
        <f t="shared" si="193"/>
        <v>3.493079654213703E-2</v>
      </c>
      <c r="O165" s="124">
        <f t="shared" si="193"/>
        <v>3.8873697492578442E-2</v>
      </c>
      <c r="P165" s="124">
        <f t="shared" si="193"/>
        <v>3.4395539342690858E-2</v>
      </c>
      <c r="Q165" s="124">
        <f t="shared" si="193"/>
        <v>4.1893102188205023E-2</v>
      </c>
      <c r="R165" s="124">
        <f t="shared" si="193"/>
        <v>4.7192837000936315E-2</v>
      </c>
      <c r="S165" s="124">
        <f t="shared" si="193"/>
        <v>3.7358993304844088E-2</v>
      </c>
      <c r="T165" s="124">
        <f t="shared" si="193"/>
        <v>4.5240544355233052E-2</v>
      </c>
      <c r="U165" s="124">
        <f t="shared" si="193"/>
        <v>4.412435897845176E-2</v>
      </c>
      <c r="V165" s="124">
        <f t="shared" si="193"/>
        <v>2.8972819627502734E-2</v>
      </c>
      <c r="W165" s="124">
        <f t="shared" si="193"/>
        <v>2.2848498027970968E-2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</v>
      </c>
      <c r="C166" s="140">
        <f t="shared" ref="C166:W166" si="194">IF(C74=0,0,C74/C$64)</f>
        <v>0</v>
      </c>
      <c r="D166" s="140">
        <f t="shared" si="194"/>
        <v>0</v>
      </c>
      <c r="E166" s="140">
        <f t="shared" si="194"/>
        <v>0</v>
      </c>
      <c r="F166" s="140">
        <f t="shared" si="194"/>
        <v>0</v>
      </c>
      <c r="G166" s="140">
        <f t="shared" si="194"/>
        <v>0</v>
      </c>
      <c r="H166" s="140">
        <f t="shared" si="194"/>
        <v>0</v>
      </c>
      <c r="I166" s="140">
        <f t="shared" si="194"/>
        <v>0</v>
      </c>
      <c r="J166" s="140">
        <f t="shared" si="194"/>
        <v>0</v>
      </c>
      <c r="K166" s="140">
        <f t="shared" si="194"/>
        <v>0</v>
      </c>
      <c r="L166" s="140">
        <f t="shared" si="194"/>
        <v>0</v>
      </c>
      <c r="M166" s="140">
        <f t="shared" si="194"/>
        <v>0</v>
      </c>
      <c r="N166" s="140">
        <f t="shared" si="194"/>
        <v>0</v>
      </c>
      <c r="O166" s="140">
        <f t="shared" si="194"/>
        <v>0</v>
      </c>
      <c r="P166" s="140">
        <f t="shared" si="194"/>
        <v>0</v>
      </c>
      <c r="Q166" s="140">
        <f t="shared" si="194"/>
        <v>0</v>
      </c>
      <c r="R166" s="140">
        <f t="shared" si="194"/>
        <v>0</v>
      </c>
      <c r="S166" s="140">
        <f t="shared" si="194"/>
        <v>0</v>
      </c>
      <c r="T166" s="140">
        <f t="shared" si="194"/>
        <v>0</v>
      </c>
      <c r="U166" s="140">
        <f t="shared" si="194"/>
        <v>0</v>
      </c>
      <c r="V166" s="140">
        <f t="shared" si="194"/>
        <v>0</v>
      </c>
      <c r="W166" s="140">
        <f t="shared" si="194"/>
        <v>0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1.6899881840228909E-2</v>
      </c>
      <c r="C167" s="140">
        <f t="shared" ref="C167:W167" si="195">IF(C75=0,0,C75/C$64)</f>
        <v>1.8918806416454534E-2</v>
      </c>
      <c r="D167" s="140">
        <f t="shared" si="195"/>
        <v>2.1336344511049019E-2</v>
      </c>
      <c r="E167" s="140">
        <f t="shared" si="195"/>
        <v>1.6569681827692185E-2</v>
      </c>
      <c r="F167" s="140">
        <f t="shared" si="195"/>
        <v>1.5226426183966963E-2</v>
      </c>
      <c r="G167" s="140">
        <f t="shared" si="195"/>
        <v>2.2430716140362895E-2</v>
      </c>
      <c r="H167" s="140">
        <f t="shared" si="195"/>
        <v>2.4862603592087727E-2</v>
      </c>
      <c r="I167" s="140">
        <f t="shared" si="195"/>
        <v>2.9406664096056353E-2</v>
      </c>
      <c r="J167" s="140">
        <f t="shared" si="195"/>
        <v>3.7281028446568262E-2</v>
      </c>
      <c r="K167" s="140">
        <f t="shared" si="195"/>
        <v>2.7608992654297591E-2</v>
      </c>
      <c r="L167" s="140">
        <f t="shared" si="195"/>
        <v>2.3621158491681473E-2</v>
      </c>
      <c r="M167" s="140">
        <f t="shared" si="195"/>
        <v>2.4622139839643578E-2</v>
      </c>
      <c r="N167" s="140">
        <f t="shared" si="195"/>
        <v>2.1260133476766876E-2</v>
      </c>
      <c r="O167" s="140">
        <f t="shared" si="195"/>
        <v>2.3525510640101159E-2</v>
      </c>
      <c r="P167" s="140">
        <f t="shared" si="195"/>
        <v>2.1366265527268783E-2</v>
      </c>
      <c r="Q167" s="140">
        <f t="shared" si="195"/>
        <v>2.6883107278263433E-2</v>
      </c>
      <c r="R167" s="140">
        <f t="shared" si="195"/>
        <v>3.0891236806723704E-2</v>
      </c>
      <c r="S167" s="140">
        <f t="shared" si="195"/>
        <v>2.4162399134042112E-2</v>
      </c>
      <c r="T167" s="140">
        <f t="shared" si="195"/>
        <v>2.9526251191391479E-2</v>
      </c>
      <c r="U167" s="140">
        <f t="shared" si="195"/>
        <v>2.8734670063514028E-2</v>
      </c>
      <c r="V167" s="140">
        <f t="shared" si="195"/>
        <v>1.6033688416283113E-2</v>
      </c>
      <c r="W167" s="140">
        <f t="shared" si="195"/>
        <v>1.3529461992973828E-2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1.0887629089182197E-2</v>
      </c>
      <c r="C168" s="140">
        <f t="shared" ref="C168:W168" si="196">IF(C76=0,0,C76/C$64)</f>
        <v>1.2219730549725315E-2</v>
      </c>
      <c r="D168" s="140">
        <f t="shared" si="196"/>
        <v>1.9080015102488822E-2</v>
      </c>
      <c r="E168" s="140">
        <f t="shared" si="196"/>
        <v>1.3989362080082047E-2</v>
      </c>
      <c r="F168" s="140">
        <f t="shared" si="196"/>
        <v>1.1231462731972498E-2</v>
      </c>
      <c r="G168" s="140">
        <f t="shared" si="196"/>
        <v>1.4579973435776815E-2</v>
      </c>
      <c r="H168" s="140">
        <f t="shared" si="196"/>
        <v>1.3988439946561048E-2</v>
      </c>
      <c r="I168" s="140">
        <f t="shared" si="196"/>
        <v>1.5672887718966865E-2</v>
      </c>
      <c r="J168" s="140">
        <f t="shared" si="196"/>
        <v>1.7302430744955473E-2</v>
      </c>
      <c r="K168" s="140">
        <f t="shared" si="196"/>
        <v>1.4797827390832772E-2</v>
      </c>
      <c r="L168" s="140">
        <f t="shared" si="196"/>
        <v>1.404031269893183E-2</v>
      </c>
      <c r="M168" s="140">
        <f t="shared" si="196"/>
        <v>1.5468646502139553E-2</v>
      </c>
      <c r="N168" s="140">
        <f t="shared" si="196"/>
        <v>1.3670663065370146E-2</v>
      </c>
      <c r="O168" s="140">
        <f t="shared" si="196"/>
        <v>1.5348186852477286E-2</v>
      </c>
      <c r="P168" s="140">
        <f t="shared" si="196"/>
        <v>1.3029273815422075E-2</v>
      </c>
      <c r="Q168" s="140">
        <f t="shared" si="196"/>
        <v>1.5009994909941591E-2</v>
      </c>
      <c r="R168" s="140">
        <f t="shared" si="196"/>
        <v>1.6301600194212618E-2</v>
      </c>
      <c r="S168" s="140">
        <f t="shared" si="196"/>
        <v>1.3196594170801976E-2</v>
      </c>
      <c r="T168" s="140">
        <f t="shared" si="196"/>
        <v>1.5714293163841576E-2</v>
      </c>
      <c r="U168" s="140">
        <f t="shared" si="196"/>
        <v>1.5389688914937735E-2</v>
      </c>
      <c r="V168" s="140">
        <f t="shared" si="196"/>
        <v>1.2939131211219621E-2</v>
      </c>
      <c r="W168" s="140">
        <f t="shared" si="196"/>
        <v>9.3190360349971382E-3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0.94295062654305062</v>
      </c>
      <c r="C170" s="139">
        <f t="shared" ref="C170:W170" si="199">IF(C78=0,0,C78/C$77)</f>
        <v>0.93083244579722957</v>
      </c>
      <c r="D170" s="139">
        <f t="shared" si="199"/>
        <v>0.96543103721425061</v>
      </c>
      <c r="E170" s="139">
        <f t="shared" si="199"/>
        <v>0.97302416297928296</v>
      </c>
      <c r="F170" s="139">
        <f t="shared" si="199"/>
        <v>0.96818679522089823</v>
      </c>
      <c r="G170" s="139">
        <f t="shared" si="199"/>
        <v>0.97174404092671829</v>
      </c>
      <c r="H170" s="139">
        <f t="shared" si="199"/>
        <v>0.9845324819511645</v>
      </c>
      <c r="I170" s="139">
        <f t="shared" si="199"/>
        <v>0.98164111470238857</v>
      </c>
      <c r="J170" s="139">
        <f t="shared" si="199"/>
        <v>0.97780789394035672</v>
      </c>
      <c r="K170" s="139">
        <f t="shared" si="199"/>
        <v>0.98268914830402898</v>
      </c>
      <c r="L170" s="139">
        <f t="shared" si="199"/>
        <v>0.98311535949825113</v>
      </c>
      <c r="M170" s="139">
        <f t="shared" si="199"/>
        <v>0.98234890088101656</v>
      </c>
      <c r="N170" s="139">
        <f t="shared" si="199"/>
        <v>0.98172766487832341</v>
      </c>
      <c r="O170" s="139">
        <f t="shared" si="199"/>
        <v>0.98165411430451788</v>
      </c>
      <c r="P170" s="139">
        <f t="shared" si="199"/>
        <v>0.98202454697560404</v>
      </c>
      <c r="Q170" s="139">
        <f t="shared" si="199"/>
        <v>0.98134279012698422</v>
      </c>
      <c r="R170" s="139">
        <f t="shared" si="199"/>
        <v>0.98259922712218584</v>
      </c>
      <c r="S170" s="139">
        <f t="shared" si="199"/>
        <v>0.98602177192721008</v>
      </c>
      <c r="T170" s="139">
        <f t="shared" si="199"/>
        <v>0.98786194930895888</v>
      </c>
      <c r="U170" s="139">
        <f t="shared" si="199"/>
        <v>0.98649790576870611</v>
      </c>
      <c r="V170" s="139">
        <f t="shared" si="199"/>
        <v>0.9851691273069717</v>
      </c>
      <c r="W170" s="139">
        <f t="shared" si="199"/>
        <v>0.98708330656733878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0.42999690811696412</v>
      </c>
      <c r="C171" s="140">
        <f t="shared" ref="C171:W171" si="200">IF(C79=0,0,C79/C$77)</f>
        <v>0.44113636831663661</v>
      </c>
      <c r="D171" s="140">
        <f t="shared" si="200"/>
        <v>0.3663017048175285</v>
      </c>
      <c r="E171" s="140">
        <f t="shared" si="200"/>
        <v>0.44391624259974954</v>
      </c>
      <c r="F171" s="140">
        <f t="shared" si="200"/>
        <v>0.41388251415533772</v>
      </c>
      <c r="G171" s="140">
        <f t="shared" si="200"/>
        <v>0.35679700083816973</v>
      </c>
      <c r="H171" s="140">
        <f t="shared" si="200"/>
        <v>0.29939322814612906</v>
      </c>
      <c r="I171" s="140">
        <f t="shared" si="200"/>
        <v>0.30964934141923334</v>
      </c>
      <c r="J171" s="140">
        <f t="shared" si="200"/>
        <v>0.27527101376401752</v>
      </c>
      <c r="K171" s="140">
        <f t="shared" si="200"/>
        <v>0.32308445041165379</v>
      </c>
      <c r="L171" s="140">
        <f t="shared" si="200"/>
        <v>0.28030945874032781</v>
      </c>
      <c r="M171" s="140">
        <f t="shared" si="200"/>
        <v>0.29998255635573301</v>
      </c>
      <c r="N171" s="140">
        <f t="shared" si="200"/>
        <v>0.30453330920899602</v>
      </c>
      <c r="O171" s="140">
        <f t="shared" si="200"/>
        <v>0.26797567357591229</v>
      </c>
      <c r="P171" s="140">
        <f t="shared" si="200"/>
        <v>0.24686589862639186</v>
      </c>
      <c r="Q171" s="140">
        <f t="shared" si="200"/>
        <v>0.27596049628527347</v>
      </c>
      <c r="R171" s="140">
        <f t="shared" si="200"/>
        <v>0.23001373110123488</v>
      </c>
      <c r="S171" s="140">
        <f t="shared" si="200"/>
        <v>0.19658109461713236</v>
      </c>
      <c r="T171" s="140">
        <f t="shared" si="200"/>
        <v>0.19134190308995416</v>
      </c>
      <c r="U171" s="140">
        <f t="shared" si="200"/>
        <v>0.18848093588513848</v>
      </c>
      <c r="V171" s="140">
        <f t="shared" si="200"/>
        <v>0.20787751543091967</v>
      </c>
      <c r="W171" s="140">
        <f t="shared" si="200"/>
        <v>0.18370851252488177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0.51295371842608639</v>
      </c>
      <c r="C172" s="140">
        <f t="shared" ref="C172:W172" si="201">IF(C80=0,0,C80/C$77)</f>
        <v>0.48969607748059302</v>
      </c>
      <c r="D172" s="140">
        <f t="shared" si="201"/>
        <v>0.59912933239672217</v>
      </c>
      <c r="E172" s="140">
        <f t="shared" si="201"/>
        <v>0.52910792037953347</v>
      </c>
      <c r="F172" s="140">
        <f t="shared" si="201"/>
        <v>0.55430428106556051</v>
      </c>
      <c r="G172" s="140">
        <f t="shared" si="201"/>
        <v>0.6149470400885485</v>
      </c>
      <c r="H172" s="140">
        <f t="shared" si="201"/>
        <v>0.68513925380503538</v>
      </c>
      <c r="I172" s="140">
        <f t="shared" si="201"/>
        <v>0.67199177328315529</v>
      </c>
      <c r="J172" s="140">
        <f t="shared" si="201"/>
        <v>0.7025368801763392</v>
      </c>
      <c r="K172" s="140">
        <f t="shared" si="201"/>
        <v>0.65960469789237508</v>
      </c>
      <c r="L172" s="140">
        <f t="shared" si="201"/>
        <v>0.70280590075792326</v>
      </c>
      <c r="M172" s="140">
        <f t="shared" si="201"/>
        <v>0.68236634452528344</v>
      </c>
      <c r="N172" s="140">
        <f t="shared" si="201"/>
        <v>0.6771943556693274</v>
      </c>
      <c r="O172" s="140">
        <f t="shared" si="201"/>
        <v>0.71367844072860553</v>
      </c>
      <c r="P172" s="140">
        <f t="shared" si="201"/>
        <v>0.73515864834921207</v>
      </c>
      <c r="Q172" s="140">
        <f t="shared" si="201"/>
        <v>0.70538229384171081</v>
      </c>
      <c r="R172" s="140">
        <f t="shared" si="201"/>
        <v>0.75258549602095104</v>
      </c>
      <c r="S172" s="140">
        <f t="shared" si="201"/>
        <v>0.78944067731007761</v>
      </c>
      <c r="T172" s="140">
        <f t="shared" si="201"/>
        <v>0.79652004621900463</v>
      </c>
      <c r="U172" s="140">
        <f t="shared" si="201"/>
        <v>0.79801696988356763</v>
      </c>
      <c r="V172" s="140">
        <f t="shared" si="201"/>
        <v>0.77729161187605211</v>
      </c>
      <c r="W172" s="140">
        <f t="shared" si="201"/>
        <v>0.80337479404245704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0</v>
      </c>
      <c r="C173" s="124">
        <f t="shared" ref="C173:W173" si="202">IF(C81=0,0,C81/C$77)</f>
        <v>0</v>
      </c>
      <c r="D173" s="124">
        <f t="shared" si="202"/>
        <v>0</v>
      </c>
      <c r="E173" s="124">
        <f t="shared" si="202"/>
        <v>0</v>
      </c>
      <c r="F173" s="124">
        <f t="shared" si="202"/>
        <v>0</v>
      </c>
      <c r="G173" s="124">
        <f t="shared" si="202"/>
        <v>0</v>
      </c>
      <c r="H173" s="124">
        <f t="shared" si="202"/>
        <v>0</v>
      </c>
      <c r="I173" s="124">
        <f t="shared" si="202"/>
        <v>0</v>
      </c>
      <c r="J173" s="124">
        <f t="shared" si="202"/>
        <v>0</v>
      </c>
      <c r="K173" s="124">
        <f t="shared" si="202"/>
        <v>0</v>
      </c>
      <c r="L173" s="124">
        <f t="shared" si="202"/>
        <v>0</v>
      </c>
      <c r="M173" s="124">
        <f t="shared" si="202"/>
        <v>0</v>
      </c>
      <c r="N173" s="124">
        <f t="shared" si="202"/>
        <v>0</v>
      </c>
      <c r="O173" s="124">
        <f t="shared" si="202"/>
        <v>0</v>
      </c>
      <c r="P173" s="124">
        <f t="shared" si="202"/>
        <v>0</v>
      </c>
      <c r="Q173" s="124">
        <f t="shared" si="202"/>
        <v>0</v>
      </c>
      <c r="R173" s="124">
        <f t="shared" si="202"/>
        <v>0</v>
      </c>
      <c r="S173" s="124">
        <f t="shared" si="202"/>
        <v>0</v>
      </c>
      <c r="T173" s="124">
        <f t="shared" si="202"/>
        <v>0</v>
      </c>
      <c r="U173" s="124">
        <f t="shared" si="202"/>
        <v>0</v>
      </c>
      <c r="V173" s="124">
        <f t="shared" si="202"/>
        <v>0</v>
      </c>
      <c r="W173" s="124">
        <f t="shared" si="202"/>
        <v>0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1.9545883764979402E-3</v>
      </c>
      <c r="C174" s="124">
        <f t="shared" ref="C174:W174" si="203">IF(C82=0,0,C82/C$77)</f>
        <v>1.9639379620798696E-3</v>
      </c>
      <c r="D174" s="124">
        <f t="shared" si="203"/>
        <v>9.0478793970544453E-4</v>
      </c>
      <c r="E174" s="124">
        <f t="shared" si="203"/>
        <v>1.5649195604193794E-3</v>
      </c>
      <c r="F174" s="124">
        <f t="shared" si="203"/>
        <v>4.8675767394908462E-4</v>
      </c>
      <c r="G174" s="124">
        <f t="shared" si="203"/>
        <v>4.2407316215952893E-4</v>
      </c>
      <c r="H174" s="124">
        <f t="shared" si="203"/>
        <v>7.6374546166001049E-4</v>
      </c>
      <c r="I174" s="124">
        <f t="shared" si="203"/>
        <v>5.1130265646911078E-4</v>
      </c>
      <c r="J174" s="124">
        <f t="shared" si="203"/>
        <v>7.2452993415771311E-4</v>
      </c>
      <c r="K174" s="124">
        <f t="shared" si="203"/>
        <v>1.2849102542741751E-3</v>
      </c>
      <c r="L174" s="124">
        <f t="shared" si="203"/>
        <v>1.3040579406696879E-3</v>
      </c>
      <c r="M174" s="124">
        <f t="shared" si="203"/>
        <v>1.5552318440892317E-3</v>
      </c>
      <c r="N174" s="124">
        <f t="shared" si="203"/>
        <v>1.740639804319924E-3</v>
      </c>
      <c r="O174" s="124">
        <f t="shared" si="203"/>
        <v>1.8868191588852687E-3</v>
      </c>
      <c r="P174" s="124">
        <f t="shared" si="203"/>
        <v>1.1788182601761065E-3</v>
      </c>
      <c r="Q174" s="124">
        <f t="shared" si="203"/>
        <v>1.514923044206123E-3</v>
      </c>
      <c r="R174" s="124">
        <f t="shared" si="203"/>
        <v>1.1585646540284017E-3</v>
      </c>
      <c r="S174" s="124">
        <f t="shared" si="203"/>
        <v>9.3739501737369682E-4</v>
      </c>
      <c r="T174" s="124">
        <f t="shared" si="203"/>
        <v>7.56533167613406E-4</v>
      </c>
      <c r="U174" s="124">
        <f t="shared" si="203"/>
        <v>6.0309499820808605E-4</v>
      </c>
      <c r="V174" s="124">
        <f t="shared" si="203"/>
        <v>2.0072559375425066E-3</v>
      </c>
      <c r="W174" s="124">
        <f t="shared" si="203"/>
        <v>1.0644925810633921E-3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9.4831978642687359E-4</v>
      </c>
      <c r="C176" s="140">
        <f t="shared" ref="C176:W176" si="205">IF(C84=0,0,C84/C$77)</f>
        <v>9.3216458525458815E-4</v>
      </c>
      <c r="D176" s="140">
        <f t="shared" si="205"/>
        <v>6.9756953278189791E-4</v>
      </c>
      <c r="E176" s="140">
        <f t="shared" si="205"/>
        <v>3.8458960372574649E-4</v>
      </c>
      <c r="F176" s="140">
        <f t="shared" si="205"/>
        <v>1.3327625498768872E-4</v>
      </c>
      <c r="G176" s="140">
        <f t="shared" si="205"/>
        <v>8.6023556124767777E-5</v>
      </c>
      <c r="H176" s="140">
        <f t="shared" si="205"/>
        <v>6.6963300127941884E-5</v>
      </c>
      <c r="I176" s="140">
        <f t="shared" si="205"/>
        <v>7.0647361783888834E-5</v>
      </c>
      <c r="J176" s="140">
        <f t="shared" si="205"/>
        <v>5.4274357217631375E-4</v>
      </c>
      <c r="K176" s="140">
        <f t="shared" si="205"/>
        <v>1.1318695156234213E-3</v>
      </c>
      <c r="L176" s="140">
        <f t="shared" si="205"/>
        <v>1.0130576519418808E-3</v>
      </c>
      <c r="M176" s="140">
        <f t="shared" si="205"/>
        <v>1.5280583364071765E-3</v>
      </c>
      <c r="N176" s="140">
        <f t="shared" si="205"/>
        <v>1.7169105123337255E-3</v>
      </c>
      <c r="O176" s="140">
        <f t="shared" si="205"/>
        <v>1.840272464654603E-3</v>
      </c>
      <c r="P176" s="140">
        <f t="shared" si="205"/>
        <v>9.4246817436386256E-4</v>
      </c>
      <c r="Q176" s="140">
        <f t="shared" si="205"/>
        <v>1.3270706981887933E-3</v>
      </c>
      <c r="R176" s="140">
        <f t="shared" si="205"/>
        <v>1.0320218578576258E-3</v>
      </c>
      <c r="S176" s="140">
        <f t="shared" si="205"/>
        <v>9.067989662189112E-4</v>
      </c>
      <c r="T176" s="140">
        <f t="shared" si="205"/>
        <v>7.2390352232473698E-4</v>
      </c>
      <c r="U176" s="140">
        <f t="shared" si="205"/>
        <v>5.9484478438222765E-4</v>
      </c>
      <c r="V176" s="140">
        <f t="shared" si="205"/>
        <v>1.9673192632487166E-3</v>
      </c>
      <c r="W176" s="140">
        <f t="shared" si="205"/>
        <v>1.0603716086573932E-3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1.0062685900710665E-3</v>
      </c>
      <c r="C177" s="140">
        <f t="shared" ref="C177:W177" si="206">IF(C85=0,0,C85/C$77)</f>
        <v>1.0317733768252816E-3</v>
      </c>
      <c r="D177" s="140">
        <f t="shared" si="206"/>
        <v>2.0721840692354662E-4</v>
      </c>
      <c r="E177" s="140">
        <f t="shared" si="206"/>
        <v>1.1803299566936329E-3</v>
      </c>
      <c r="F177" s="140">
        <f t="shared" si="206"/>
        <v>3.5348141896139596E-4</v>
      </c>
      <c r="G177" s="140">
        <f t="shared" si="206"/>
        <v>3.3804960603476115E-4</v>
      </c>
      <c r="H177" s="140">
        <f t="shared" si="206"/>
        <v>6.967821615320686E-4</v>
      </c>
      <c r="I177" s="140">
        <f t="shared" si="206"/>
        <v>4.4065529468522195E-4</v>
      </c>
      <c r="J177" s="140">
        <f t="shared" si="206"/>
        <v>1.8178636198139936E-4</v>
      </c>
      <c r="K177" s="140">
        <f t="shared" si="206"/>
        <v>1.5304073865075353E-4</v>
      </c>
      <c r="L177" s="140">
        <f t="shared" si="206"/>
        <v>2.9100028872780715E-4</v>
      </c>
      <c r="M177" s="140">
        <f t="shared" si="206"/>
        <v>2.7173507682055082E-5</v>
      </c>
      <c r="N177" s="140">
        <f t="shared" si="206"/>
        <v>2.3729291986198501E-5</v>
      </c>
      <c r="O177" s="140">
        <f t="shared" si="206"/>
        <v>4.654669423066573E-5</v>
      </c>
      <c r="P177" s="140">
        <f t="shared" si="206"/>
        <v>2.3635008581224378E-4</v>
      </c>
      <c r="Q177" s="140">
        <f t="shared" si="206"/>
        <v>1.8785234601732944E-4</v>
      </c>
      <c r="R177" s="140">
        <f t="shared" si="206"/>
        <v>1.2654279617077576E-4</v>
      </c>
      <c r="S177" s="140">
        <f t="shared" si="206"/>
        <v>3.0596051154785672E-5</v>
      </c>
      <c r="T177" s="140">
        <f t="shared" si="206"/>
        <v>3.2629645288669079E-5</v>
      </c>
      <c r="U177" s="140">
        <f t="shared" si="206"/>
        <v>8.2502138258583907E-6</v>
      </c>
      <c r="V177" s="140">
        <f t="shared" si="206"/>
        <v>3.9936674293790487E-5</v>
      </c>
      <c r="W177" s="140">
        <f t="shared" si="206"/>
        <v>4.1209724059987422E-6</v>
      </c>
      <c r="DA177" s="175"/>
    </row>
    <row r="178" spans="1:105" ht="11.45" customHeight="1" x14ac:dyDescent="0.25">
      <c r="A178" s="109" t="s">
        <v>142</v>
      </c>
      <c r="B178" s="124">
        <f t="shared" si="197"/>
        <v>5.5094785080451486E-2</v>
      </c>
      <c r="C178" s="124">
        <f t="shared" ref="C178:W178" si="207">IF(C86=0,0,C86/C$77)</f>
        <v>6.7203616240690614E-2</v>
      </c>
      <c r="D178" s="124">
        <f t="shared" si="207"/>
        <v>3.3664174846043865E-2</v>
      </c>
      <c r="E178" s="124">
        <f t="shared" si="207"/>
        <v>2.5410917460297708E-2</v>
      </c>
      <c r="F178" s="124">
        <f t="shared" si="207"/>
        <v>3.1326447105152679E-2</v>
      </c>
      <c r="G178" s="124">
        <f t="shared" si="207"/>
        <v>2.7831885911122168E-2</v>
      </c>
      <c r="H178" s="124">
        <f t="shared" si="207"/>
        <v>1.4703772587175494E-2</v>
      </c>
      <c r="I178" s="124">
        <f t="shared" si="207"/>
        <v>1.7847582641142209E-2</v>
      </c>
      <c r="J178" s="124">
        <f t="shared" si="207"/>
        <v>2.1467576125485607E-2</v>
      </c>
      <c r="K178" s="124">
        <f t="shared" si="207"/>
        <v>1.6025941441696816E-2</v>
      </c>
      <c r="L178" s="124">
        <f t="shared" si="207"/>
        <v>1.5580582561079179E-2</v>
      </c>
      <c r="M178" s="124">
        <f t="shared" si="207"/>
        <v>1.6095867274894291E-2</v>
      </c>
      <c r="N178" s="124">
        <f t="shared" si="207"/>
        <v>1.6531695317356647E-2</v>
      </c>
      <c r="O178" s="124">
        <f t="shared" si="207"/>
        <v>1.6459066536596935E-2</v>
      </c>
      <c r="P178" s="124">
        <f t="shared" si="207"/>
        <v>1.67966347642198E-2</v>
      </c>
      <c r="Q178" s="124">
        <f t="shared" si="207"/>
        <v>1.7142286828809576E-2</v>
      </c>
      <c r="R178" s="124">
        <f t="shared" si="207"/>
        <v>1.6242208223785682E-2</v>
      </c>
      <c r="S178" s="124">
        <f t="shared" si="207"/>
        <v>1.3040833055416243E-2</v>
      </c>
      <c r="T178" s="124">
        <f t="shared" si="207"/>
        <v>1.1381517523427656E-2</v>
      </c>
      <c r="U178" s="124">
        <f t="shared" si="207"/>
        <v>1.2898999233085821E-2</v>
      </c>
      <c r="V178" s="124">
        <f t="shared" si="207"/>
        <v>1.2823616755485793E-2</v>
      </c>
      <c r="W178" s="124">
        <f t="shared" si="207"/>
        <v>1.1852200851597799E-2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</v>
      </c>
      <c r="C179" s="140">
        <f t="shared" ref="C179:W179" si="208">IF(C87=0,0,C87/C$77)</f>
        <v>0</v>
      </c>
      <c r="D179" s="140">
        <f t="shared" si="208"/>
        <v>0</v>
      </c>
      <c r="E179" s="140">
        <f t="shared" si="208"/>
        <v>0</v>
      </c>
      <c r="F179" s="140">
        <f t="shared" si="208"/>
        <v>0</v>
      </c>
      <c r="G179" s="140">
        <f t="shared" si="208"/>
        <v>0</v>
      </c>
      <c r="H179" s="140">
        <f t="shared" si="208"/>
        <v>0</v>
      </c>
      <c r="I179" s="140">
        <f t="shared" si="208"/>
        <v>0</v>
      </c>
      <c r="J179" s="140">
        <f t="shared" si="208"/>
        <v>0</v>
      </c>
      <c r="K179" s="140">
        <f t="shared" si="208"/>
        <v>0</v>
      </c>
      <c r="L179" s="140">
        <f t="shared" si="208"/>
        <v>0</v>
      </c>
      <c r="M179" s="140">
        <f t="shared" si="208"/>
        <v>0</v>
      </c>
      <c r="N179" s="140">
        <f t="shared" si="208"/>
        <v>0</v>
      </c>
      <c r="O179" s="140">
        <f t="shared" si="208"/>
        <v>0</v>
      </c>
      <c r="P179" s="140">
        <f t="shared" si="208"/>
        <v>0</v>
      </c>
      <c r="Q179" s="140">
        <f t="shared" si="208"/>
        <v>0</v>
      </c>
      <c r="R179" s="140">
        <f t="shared" si="208"/>
        <v>0</v>
      </c>
      <c r="S179" s="140">
        <f t="shared" si="208"/>
        <v>0</v>
      </c>
      <c r="T179" s="140">
        <f t="shared" si="208"/>
        <v>0</v>
      </c>
      <c r="U179" s="140">
        <f t="shared" si="208"/>
        <v>0</v>
      </c>
      <c r="V179" s="140">
        <f t="shared" si="208"/>
        <v>0</v>
      </c>
      <c r="W179" s="140">
        <f t="shared" si="208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5.5094785080451486E-2</v>
      </c>
      <c r="C180" s="127">
        <f t="shared" ref="C180:W180" si="209">IF(C88=0,0,C88/C$77)</f>
        <v>6.7203616240690614E-2</v>
      </c>
      <c r="D180" s="127">
        <f t="shared" si="209"/>
        <v>3.3664174846043865E-2</v>
      </c>
      <c r="E180" s="127">
        <f t="shared" si="209"/>
        <v>2.5410917460297708E-2</v>
      </c>
      <c r="F180" s="127">
        <f t="shared" si="209"/>
        <v>3.1326447105152679E-2</v>
      </c>
      <c r="G180" s="127">
        <f t="shared" si="209"/>
        <v>2.7831885911122168E-2</v>
      </c>
      <c r="H180" s="127">
        <f t="shared" si="209"/>
        <v>1.4703772587175494E-2</v>
      </c>
      <c r="I180" s="127">
        <f t="shared" si="209"/>
        <v>1.7847582641142209E-2</v>
      </c>
      <c r="J180" s="127">
        <f t="shared" si="209"/>
        <v>2.1467576125485607E-2</v>
      </c>
      <c r="K180" s="127">
        <f t="shared" si="209"/>
        <v>1.6025941441696816E-2</v>
      </c>
      <c r="L180" s="127">
        <f t="shared" si="209"/>
        <v>1.5580582561079179E-2</v>
      </c>
      <c r="M180" s="127">
        <f t="shared" si="209"/>
        <v>1.6095867274894291E-2</v>
      </c>
      <c r="N180" s="127">
        <f t="shared" si="209"/>
        <v>1.6531695317356647E-2</v>
      </c>
      <c r="O180" s="127">
        <f t="shared" si="209"/>
        <v>1.6459066536596935E-2</v>
      </c>
      <c r="P180" s="127">
        <f t="shared" si="209"/>
        <v>1.67966347642198E-2</v>
      </c>
      <c r="Q180" s="127">
        <f t="shared" si="209"/>
        <v>1.7142286828809576E-2</v>
      </c>
      <c r="R180" s="127">
        <f t="shared" si="209"/>
        <v>1.6242208223785682E-2</v>
      </c>
      <c r="S180" s="127">
        <f t="shared" si="209"/>
        <v>1.3040833055416243E-2</v>
      </c>
      <c r="T180" s="127">
        <f t="shared" si="209"/>
        <v>1.1381517523427656E-2</v>
      </c>
      <c r="U180" s="127">
        <f t="shared" si="209"/>
        <v>1.2898999233085821E-2</v>
      </c>
      <c r="V180" s="127">
        <f t="shared" si="209"/>
        <v>1.2823616755485793E-2</v>
      </c>
      <c r="W180" s="127">
        <f t="shared" si="209"/>
        <v>1.1852200851597799E-2</v>
      </c>
      <c r="DA180" s="178"/>
    </row>
    <row r="181" spans="1:105" ht="11.45" customHeight="1" x14ac:dyDescent="0.25">
      <c r="A181" s="27" t="s">
        <v>176</v>
      </c>
      <c r="B181" s="31">
        <f>IF(B89=0,0,B89/B$89)</f>
        <v>0</v>
      </c>
      <c r="C181" s="31">
        <f t="shared" ref="C181:W181" si="210">IF(C89=0,0,C89/C$89)</f>
        <v>0</v>
      </c>
      <c r="D181" s="31">
        <f t="shared" si="210"/>
        <v>0</v>
      </c>
      <c r="E181" s="31">
        <f t="shared" si="210"/>
        <v>0</v>
      </c>
      <c r="F181" s="31">
        <f t="shared" si="210"/>
        <v>0</v>
      </c>
      <c r="G181" s="31">
        <f t="shared" si="210"/>
        <v>0</v>
      </c>
      <c r="H181" s="31">
        <f t="shared" si="210"/>
        <v>0</v>
      </c>
      <c r="I181" s="31">
        <f t="shared" si="210"/>
        <v>0</v>
      </c>
      <c r="J181" s="31">
        <f t="shared" si="210"/>
        <v>0</v>
      </c>
      <c r="K181" s="31">
        <f t="shared" si="210"/>
        <v>0</v>
      </c>
      <c r="L181" s="31">
        <f t="shared" si="210"/>
        <v>0</v>
      </c>
      <c r="M181" s="31">
        <f t="shared" si="210"/>
        <v>0</v>
      </c>
      <c r="N181" s="31">
        <f t="shared" si="210"/>
        <v>0</v>
      </c>
      <c r="O181" s="31">
        <f t="shared" si="210"/>
        <v>0</v>
      </c>
      <c r="P181" s="31">
        <f t="shared" si="210"/>
        <v>0</v>
      </c>
      <c r="Q181" s="31">
        <f t="shared" si="210"/>
        <v>0</v>
      </c>
      <c r="R181" s="31">
        <f t="shared" si="210"/>
        <v>0</v>
      </c>
      <c r="S181" s="31">
        <f t="shared" si="210"/>
        <v>0</v>
      </c>
      <c r="T181" s="31">
        <f t="shared" si="210"/>
        <v>0</v>
      </c>
      <c r="U181" s="31">
        <f t="shared" si="210"/>
        <v>0</v>
      </c>
      <c r="V181" s="31">
        <f t="shared" si="210"/>
        <v>0</v>
      </c>
      <c r="W181" s="31">
        <f t="shared" si="210"/>
        <v>0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</v>
      </c>
      <c r="C182" s="140">
        <f t="shared" ref="C182:W182" si="211">IF(C90=0,0,C90/C$89)</f>
        <v>0</v>
      </c>
      <c r="D182" s="140">
        <f t="shared" si="211"/>
        <v>0</v>
      </c>
      <c r="E182" s="140">
        <f t="shared" si="211"/>
        <v>0</v>
      </c>
      <c r="F182" s="140">
        <f t="shared" si="211"/>
        <v>0</v>
      </c>
      <c r="G182" s="140">
        <f t="shared" si="211"/>
        <v>0</v>
      </c>
      <c r="H182" s="140">
        <f t="shared" si="211"/>
        <v>0</v>
      </c>
      <c r="I182" s="140">
        <f t="shared" si="211"/>
        <v>0</v>
      </c>
      <c r="J182" s="140">
        <f t="shared" si="211"/>
        <v>0</v>
      </c>
      <c r="K182" s="140">
        <f t="shared" si="211"/>
        <v>0</v>
      </c>
      <c r="L182" s="140">
        <f t="shared" si="211"/>
        <v>0</v>
      </c>
      <c r="M182" s="140">
        <f t="shared" si="211"/>
        <v>0</v>
      </c>
      <c r="N182" s="140">
        <f t="shared" si="211"/>
        <v>0</v>
      </c>
      <c r="O182" s="140">
        <f t="shared" si="211"/>
        <v>0</v>
      </c>
      <c r="P182" s="140">
        <f t="shared" si="211"/>
        <v>0</v>
      </c>
      <c r="Q182" s="140">
        <f t="shared" si="211"/>
        <v>0</v>
      </c>
      <c r="R182" s="140">
        <f t="shared" si="211"/>
        <v>0</v>
      </c>
      <c r="S182" s="140">
        <f t="shared" si="211"/>
        <v>0</v>
      </c>
      <c r="T182" s="140">
        <f t="shared" si="211"/>
        <v>0</v>
      </c>
      <c r="U182" s="140">
        <f t="shared" si="211"/>
        <v>0</v>
      </c>
      <c r="V182" s="140">
        <f t="shared" si="211"/>
        <v>0</v>
      </c>
      <c r="W182" s="140">
        <f t="shared" si="211"/>
        <v>0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</v>
      </c>
      <c r="C183" s="127">
        <f t="shared" ref="C183:W183" si="212">IF(C91=0,0,C91/C$89)</f>
        <v>0</v>
      </c>
      <c r="D183" s="127">
        <f t="shared" si="212"/>
        <v>0</v>
      </c>
      <c r="E183" s="127">
        <f t="shared" si="212"/>
        <v>0</v>
      </c>
      <c r="F183" s="127">
        <f t="shared" si="212"/>
        <v>0</v>
      </c>
      <c r="G183" s="127">
        <f t="shared" si="212"/>
        <v>0</v>
      </c>
      <c r="H183" s="127">
        <f t="shared" si="212"/>
        <v>0</v>
      </c>
      <c r="I183" s="127">
        <f t="shared" si="212"/>
        <v>0</v>
      </c>
      <c r="J183" s="127">
        <f t="shared" si="212"/>
        <v>0</v>
      </c>
      <c r="K183" s="127">
        <f t="shared" si="212"/>
        <v>0</v>
      </c>
      <c r="L183" s="127">
        <f t="shared" si="212"/>
        <v>0</v>
      </c>
      <c r="M183" s="127">
        <f t="shared" si="212"/>
        <v>0</v>
      </c>
      <c r="N183" s="127">
        <f t="shared" si="212"/>
        <v>0</v>
      </c>
      <c r="O183" s="127">
        <f t="shared" si="212"/>
        <v>0</v>
      </c>
      <c r="P183" s="127">
        <f t="shared" si="212"/>
        <v>0</v>
      </c>
      <c r="Q183" s="127">
        <f t="shared" si="212"/>
        <v>0</v>
      </c>
      <c r="R183" s="127">
        <f t="shared" si="212"/>
        <v>0</v>
      </c>
      <c r="S183" s="127">
        <f t="shared" si="212"/>
        <v>0</v>
      </c>
      <c r="T183" s="127">
        <f t="shared" si="212"/>
        <v>0</v>
      </c>
      <c r="U183" s="127">
        <f t="shared" si="212"/>
        <v>0</v>
      </c>
      <c r="V183" s="127">
        <f t="shared" si="212"/>
        <v>0</v>
      </c>
      <c r="W183" s="127">
        <f t="shared" si="212"/>
        <v>0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27.027706650959207</v>
      </c>
      <c r="C186" s="32">
        <f t="shared" si="213"/>
        <v>27.735831923990659</v>
      </c>
      <c r="D186" s="32">
        <f t="shared" si="213"/>
        <v>31.086420818461875</v>
      </c>
      <c r="E186" s="32">
        <f t="shared" si="213"/>
        <v>29.945597012621562</v>
      </c>
      <c r="F186" s="32">
        <f t="shared" si="213"/>
        <v>27.347728258562583</v>
      </c>
      <c r="G186" s="32">
        <f t="shared" si="213"/>
        <v>28.451593168874442</v>
      </c>
      <c r="H186" s="32">
        <f t="shared" si="213"/>
        <v>27.367136493525244</v>
      </c>
      <c r="I186" s="32">
        <f t="shared" si="213"/>
        <v>29.732656631256386</v>
      </c>
      <c r="J186" s="32">
        <f t="shared" si="213"/>
        <v>31.532441579683606</v>
      </c>
      <c r="K186" s="32">
        <f t="shared" si="213"/>
        <v>31.53364734907025</v>
      </c>
      <c r="L186" s="32">
        <f t="shared" si="213"/>
        <v>31.535754065930227</v>
      </c>
      <c r="M186" s="32">
        <f t="shared" si="213"/>
        <v>30.772263565353395</v>
      </c>
      <c r="N186" s="32">
        <f t="shared" si="213"/>
        <v>30.084747229476889</v>
      </c>
      <c r="O186" s="32">
        <f t="shared" si="213"/>
        <v>30.156145454890542</v>
      </c>
      <c r="P186" s="32">
        <f t="shared" si="213"/>
        <v>29.607728704187966</v>
      </c>
      <c r="Q186" s="32">
        <f t="shared" si="213"/>
        <v>29.243086055753597</v>
      </c>
      <c r="R186" s="32">
        <f t="shared" si="213"/>
        <v>28.732505388374285</v>
      </c>
      <c r="S186" s="32">
        <f t="shared" si="213"/>
        <v>28.66184971400094</v>
      </c>
      <c r="T186" s="32">
        <f t="shared" si="213"/>
        <v>27.518735253209151</v>
      </c>
      <c r="U186" s="32">
        <f t="shared" si="213"/>
        <v>26.93337760957218</v>
      </c>
      <c r="V186" s="32">
        <f t="shared" si="213"/>
        <v>31.959348062425001</v>
      </c>
      <c r="W186" s="32">
        <f t="shared" ref="W186" si="214">IF(W34=0,0,W34/W4*1000)</f>
        <v>31.513555475662432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28.157062707877042</v>
      </c>
      <c r="C187" s="141">
        <f t="shared" si="215"/>
        <v>29.025612502437173</v>
      </c>
      <c r="D187" s="141">
        <f t="shared" si="215"/>
        <v>32.265432899178464</v>
      </c>
      <c r="E187" s="141">
        <f t="shared" si="215"/>
        <v>31.263853842420843</v>
      </c>
      <c r="F187" s="141">
        <f t="shared" si="215"/>
        <v>28.913624045034314</v>
      </c>
      <c r="G187" s="141">
        <f t="shared" si="215"/>
        <v>29.949288308038689</v>
      </c>
      <c r="H187" s="141">
        <f t="shared" si="215"/>
        <v>28.737335578378183</v>
      </c>
      <c r="I187" s="141">
        <f t="shared" si="215"/>
        <v>31.16933460518311</v>
      </c>
      <c r="J187" s="141">
        <f t="shared" si="215"/>
        <v>33.125193143000125</v>
      </c>
      <c r="K187" s="141">
        <f t="shared" si="215"/>
        <v>33.218982231575403</v>
      </c>
      <c r="L187" s="141">
        <f t="shared" si="215"/>
        <v>33.435000485916703</v>
      </c>
      <c r="M187" s="141">
        <f t="shared" si="215"/>
        <v>32.647576953223442</v>
      </c>
      <c r="N187" s="141">
        <f t="shared" si="215"/>
        <v>31.876115960990077</v>
      </c>
      <c r="O187" s="141">
        <f t="shared" si="215"/>
        <v>31.787150671834429</v>
      </c>
      <c r="P187" s="141">
        <f t="shared" si="215"/>
        <v>31.443031724259011</v>
      </c>
      <c r="Q187" s="141">
        <f t="shared" si="215"/>
        <v>31.473257607224976</v>
      </c>
      <c r="R187" s="141">
        <f t="shared" si="215"/>
        <v>30.891914990753932</v>
      </c>
      <c r="S187" s="141">
        <f t="shared" si="215"/>
        <v>31.417930375762335</v>
      </c>
      <c r="T187" s="141">
        <f t="shared" si="215"/>
        <v>30.099598936300456</v>
      </c>
      <c r="U187" s="141">
        <f t="shared" si="215"/>
        <v>29.694914353960041</v>
      </c>
      <c r="V187" s="141">
        <f t="shared" si="215"/>
        <v>33.200651253794632</v>
      </c>
      <c r="W187" s="141">
        <f t="shared" ref="W187" si="216">IF(W35=0,0,W35/W5*1000)</f>
        <v>32.680362242910391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33.729396457330175</v>
      </c>
      <c r="C188" s="97">
        <f t="shared" si="217"/>
        <v>33.726743370838058</v>
      </c>
      <c r="D188" s="97">
        <f t="shared" si="217"/>
        <v>33.731065041983456</v>
      </c>
      <c r="E188" s="97">
        <f t="shared" si="217"/>
        <v>33.709344433163245</v>
      </c>
      <c r="F188" s="97">
        <f t="shared" si="217"/>
        <v>33.671145935058256</v>
      </c>
      <c r="G188" s="97">
        <f t="shared" si="217"/>
        <v>33.696211399878131</v>
      </c>
      <c r="H188" s="97">
        <f t="shared" si="217"/>
        <v>33.697027086739624</v>
      </c>
      <c r="I188" s="97">
        <f t="shared" si="217"/>
        <v>33.533032482311008</v>
      </c>
      <c r="J188" s="97">
        <f t="shared" si="217"/>
        <v>33.339186028233129</v>
      </c>
      <c r="K188" s="97">
        <f t="shared" si="217"/>
        <v>33.086160266073009</v>
      </c>
      <c r="L188" s="97">
        <f t="shared" si="217"/>
        <v>33.036359289752276</v>
      </c>
      <c r="M188" s="97">
        <f t="shared" si="217"/>
        <v>32.937813471241405</v>
      </c>
      <c r="N188" s="97">
        <f t="shared" si="217"/>
        <v>32.999065702622396</v>
      </c>
      <c r="O188" s="97">
        <f t="shared" si="217"/>
        <v>32.796221515492569</v>
      </c>
      <c r="P188" s="97">
        <f t="shared" si="217"/>
        <v>32.519739048518758</v>
      </c>
      <c r="Q188" s="97">
        <f t="shared" si="217"/>
        <v>32.198916100437827</v>
      </c>
      <c r="R188" s="97">
        <f t="shared" si="217"/>
        <v>31.945929598569698</v>
      </c>
      <c r="S188" s="97">
        <f t="shared" si="217"/>
        <v>31.751188811476926</v>
      </c>
      <c r="T188" s="97">
        <f t="shared" si="217"/>
        <v>31.560426799923118</v>
      </c>
      <c r="U188" s="97">
        <f t="shared" si="217"/>
        <v>31.392588933237015</v>
      </c>
      <c r="V188" s="97">
        <f t="shared" si="217"/>
        <v>31.281216295566885</v>
      </c>
      <c r="W188" s="97">
        <f t="shared" ref="W188" si="218">IF(W36=0,0,W36/W6*1000)</f>
        <v>28.680932625334574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31.535404770602543</v>
      </c>
      <c r="C189" s="97">
        <f t="shared" si="219"/>
        <v>32.931942183782247</v>
      </c>
      <c r="D189" s="97">
        <f t="shared" si="219"/>
        <v>37.310801551405596</v>
      </c>
      <c r="E189" s="97">
        <f t="shared" si="219"/>
        <v>35.173980220454872</v>
      </c>
      <c r="F189" s="97">
        <f t="shared" si="219"/>
        <v>32.612118432873203</v>
      </c>
      <c r="G189" s="97">
        <f t="shared" si="219"/>
        <v>33.799751249251415</v>
      </c>
      <c r="H189" s="97">
        <f t="shared" si="219"/>
        <v>32.169933817585836</v>
      </c>
      <c r="I189" s="97">
        <f t="shared" si="219"/>
        <v>34.246130992997209</v>
      </c>
      <c r="J189" s="97">
        <f t="shared" si="219"/>
        <v>35.452072568556183</v>
      </c>
      <c r="K189" s="97">
        <f t="shared" si="219"/>
        <v>33.508698329026949</v>
      </c>
      <c r="L189" s="97">
        <f t="shared" si="219"/>
        <v>33.708134688528403</v>
      </c>
      <c r="M189" s="97">
        <f t="shared" si="219"/>
        <v>33.37973695306254</v>
      </c>
      <c r="N189" s="97">
        <f t="shared" si="219"/>
        <v>32.440611345657807</v>
      </c>
      <c r="O189" s="97">
        <f t="shared" si="219"/>
        <v>32.29341977427341</v>
      </c>
      <c r="P189" s="97">
        <f t="shared" si="219"/>
        <v>31.900647300204746</v>
      </c>
      <c r="Q189" s="97">
        <f t="shared" si="219"/>
        <v>31.979895473673455</v>
      </c>
      <c r="R189" s="97">
        <f t="shared" si="219"/>
        <v>31.931428668360525</v>
      </c>
      <c r="S189" s="97">
        <f t="shared" si="219"/>
        <v>32.224515274430381</v>
      </c>
      <c r="T189" s="97">
        <f t="shared" si="219"/>
        <v>30.744799743333868</v>
      </c>
      <c r="U189" s="97">
        <f t="shared" si="219"/>
        <v>30.109879500054163</v>
      </c>
      <c r="V189" s="97">
        <f t="shared" si="219"/>
        <v>32.252880896677027</v>
      </c>
      <c r="W189" s="97">
        <f t="shared" ref="W189" si="220">IF(W37=0,0,W37/W7*1000)</f>
        <v>31.027608877493886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19.444870384854294</v>
      </c>
      <c r="C190" s="97">
        <f t="shared" si="221"/>
        <v>18.829523203916878</v>
      </c>
      <c r="D190" s="97">
        <f t="shared" si="221"/>
        <v>18.630703350957717</v>
      </c>
      <c r="E190" s="97">
        <f t="shared" si="221"/>
        <v>20.00701030176219</v>
      </c>
      <c r="F190" s="97">
        <f t="shared" si="221"/>
        <v>18.29473616380422</v>
      </c>
      <c r="G190" s="97">
        <f t="shared" si="221"/>
        <v>18.274201585284448</v>
      </c>
      <c r="H190" s="97">
        <f t="shared" si="221"/>
        <v>18.285673756967185</v>
      </c>
      <c r="I190" s="97">
        <f t="shared" si="221"/>
        <v>21.905189049594753</v>
      </c>
      <c r="J190" s="97">
        <f t="shared" si="221"/>
        <v>24.877420231742505</v>
      </c>
      <c r="K190" s="97">
        <f t="shared" si="221"/>
        <v>31.796506742669468</v>
      </c>
      <c r="L190" s="97">
        <f t="shared" si="221"/>
        <v>32.047048384286903</v>
      </c>
      <c r="M190" s="97">
        <f t="shared" si="221"/>
        <v>29.04922049373382</v>
      </c>
      <c r="N190" s="97">
        <f t="shared" si="221"/>
        <v>29.058097172606065</v>
      </c>
      <c r="O190" s="97">
        <f t="shared" si="221"/>
        <v>29.154242693468479</v>
      </c>
      <c r="P190" s="97">
        <f t="shared" si="221"/>
        <v>29.092433868250168</v>
      </c>
      <c r="Q190" s="97">
        <f t="shared" si="221"/>
        <v>28.858838654793725</v>
      </c>
      <c r="R190" s="97">
        <f t="shared" si="221"/>
        <v>25.957661751184432</v>
      </c>
      <c r="S190" s="97">
        <f t="shared" si="221"/>
        <v>27.583190380393987</v>
      </c>
      <c r="T190" s="97">
        <f t="shared" si="221"/>
        <v>27.129604026274343</v>
      </c>
      <c r="U190" s="97">
        <f t="shared" si="221"/>
        <v>27.74194106351537</v>
      </c>
      <c r="V190" s="97">
        <f t="shared" si="221"/>
        <v>39.545822851813341</v>
      </c>
      <c r="W190" s="97">
        <f t="shared" ref="W190" si="222">IF(W38=0,0,W38/W8*1000)</f>
        <v>46.510486488659211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10.336279851034325</v>
      </c>
      <c r="C191" s="130">
        <f t="shared" si="223"/>
        <v>8.4600469653913493</v>
      </c>
      <c r="D191" s="130">
        <f t="shared" si="223"/>
        <v>8.2356097797421839</v>
      </c>
      <c r="E191" s="130">
        <f t="shared" si="223"/>
        <v>9.3582461957544449</v>
      </c>
      <c r="F191" s="130">
        <f t="shared" si="223"/>
        <v>9.3204167087702139</v>
      </c>
      <c r="G191" s="130">
        <f t="shared" si="223"/>
        <v>8.3933301235109052</v>
      </c>
      <c r="H191" s="130">
        <f t="shared" si="223"/>
        <v>8.9538997051761946</v>
      </c>
      <c r="I191" s="130">
        <f t="shared" si="223"/>
        <v>8.6751348125775216</v>
      </c>
      <c r="J191" s="130">
        <f t="shared" si="223"/>
        <v>8.3997751591751353</v>
      </c>
      <c r="K191" s="130">
        <f t="shared" si="223"/>
        <v>9.0521830276685549</v>
      </c>
      <c r="L191" s="130">
        <f t="shared" si="223"/>
        <v>8.801212493863348</v>
      </c>
      <c r="M191" s="130">
        <f t="shared" si="223"/>
        <v>8.3718125783108803</v>
      </c>
      <c r="N191" s="130">
        <f t="shared" si="223"/>
        <v>8.5454277964371386</v>
      </c>
      <c r="O191" s="130">
        <f t="shared" si="223"/>
        <v>8.3986138279959093</v>
      </c>
      <c r="P191" s="130">
        <f t="shared" si="223"/>
        <v>8.7543411810420118</v>
      </c>
      <c r="Q191" s="130">
        <f t="shared" si="223"/>
        <v>8.4326901820747011</v>
      </c>
      <c r="R191" s="130">
        <f t="shared" si="223"/>
        <v>7.8868725848872909</v>
      </c>
      <c r="S191" s="130">
        <f t="shared" si="223"/>
        <v>7.7660929833114789</v>
      </c>
      <c r="T191" s="130">
        <f t="shared" si="223"/>
        <v>7.4822927460541218</v>
      </c>
      <c r="U191" s="130">
        <f t="shared" si="223"/>
        <v>6.490417848632613</v>
      </c>
      <c r="V191" s="130">
        <f t="shared" si="223"/>
        <v>9.9279680648888355</v>
      </c>
      <c r="W191" s="130">
        <f t="shared" ref="W191" si="224">IF(W39=0,0,W39/W9*1000)</f>
        <v>11.528675490505684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4.710846649796661</v>
      </c>
      <c r="C192" s="97">
        <f t="shared" si="225"/>
        <v>4.6277858993035563</v>
      </c>
      <c r="D192" s="97">
        <f t="shared" si="225"/>
        <v>4.6514713843750393</v>
      </c>
      <c r="E192" s="97">
        <f t="shared" si="225"/>
        <v>4.6175871588940902</v>
      </c>
      <c r="F192" s="97">
        <f t="shared" si="225"/>
        <v>4.6583783910627083</v>
      </c>
      <c r="G192" s="97">
        <f t="shared" si="225"/>
        <v>4.5771325930331113</v>
      </c>
      <c r="H192" s="97">
        <f t="shared" si="225"/>
        <v>4.4954478354995429</v>
      </c>
      <c r="I192" s="97">
        <f t="shared" si="225"/>
        <v>4.602353125927336</v>
      </c>
      <c r="J192" s="97">
        <f t="shared" si="225"/>
        <v>4.3710771443485399</v>
      </c>
      <c r="K192" s="97">
        <f t="shared" si="225"/>
        <v>4.3477904669727847</v>
      </c>
      <c r="L192" s="97">
        <f t="shared" si="225"/>
        <v>4.2933250161464942</v>
      </c>
      <c r="M192" s="97">
        <f t="shared" si="225"/>
        <v>4.1617730280932506</v>
      </c>
      <c r="N192" s="97">
        <f t="shared" si="225"/>
        <v>4.1082843841011538</v>
      </c>
      <c r="O192" s="97">
        <f t="shared" si="225"/>
        <v>4.0262902155021854</v>
      </c>
      <c r="P192" s="97">
        <f t="shared" si="225"/>
        <v>3.9557975747163989</v>
      </c>
      <c r="Q192" s="97">
        <f t="shared" si="225"/>
        <v>3.7263679930899967</v>
      </c>
      <c r="R192" s="97">
        <f t="shared" si="225"/>
        <v>3.6674905183029267</v>
      </c>
      <c r="S192" s="97">
        <f t="shared" si="225"/>
        <v>3.5698894500294851</v>
      </c>
      <c r="T192" s="97">
        <f t="shared" si="225"/>
        <v>3.603110193510497</v>
      </c>
      <c r="U192" s="97">
        <f t="shared" si="225"/>
        <v>3.6025738963013487</v>
      </c>
      <c r="V192" s="97">
        <f t="shared" si="225"/>
        <v>5.8795283677122798</v>
      </c>
      <c r="W192" s="97">
        <f t="shared" ref="W192" si="226">IF(W40=0,0,W40/W10*1000)</f>
        <v>6.9012820773988359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11.022308290209649</v>
      </c>
      <c r="C193" s="97">
        <f t="shared" si="227"/>
        <v>8.9482849219913128</v>
      </c>
      <c r="D193" s="97">
        <f t="shared" si="227"/>
        <v>8.7143122617518962</v>
      </c>
      <c r="E193" s="97">
        <f t="shared" si="227"/>
        <v>10.109476080995531</v>
      </c>
      <c r="F193" s="97">
        <f t="shared" si="227"/>
        <v>10.078388747290232</v>
      </c>
      <c r="G193" s="97">
        <f t="shared" si="227"/>
        <v>9.06880327767003</v>
      </c>
      <c r="H193" s="97">
        <f t="shared" si="227"/>
        <v>9.7283890040701468</v>
      </c>
      <c r="I193" s="97">
        <f t="shared" si="227"/>
        <v>9.4180892023060441</v>
      </c>
      <c r="J193" s="97">
        <f t="shared" si="227"/>
        <v>9.0442341892956826</v>
      </c>
      <c r="K193" s="97">
        <f t="shared" si="227"/>
        <v>9.6600260788040853</v>
      </c>
      <c r="L193" s="97">
        <f t="shared" si="227"/>
        <v>9.3545817451129132</v>
      </c>
      <c r="M193" s="97">
        <f t="shared" si="227"/>
        <v>8.9031355368723482</v>
      </c>
      <c r="N193" s="97">
        <f t="shared" si="227"/>
        <v>9.0677238572806882</v>
      </c>
      <c r="O193" s="97">
        <f t="shared" si="227"/>
        <v>8.8831888647679094</v>
      </c>
      <c r="P193" s="97">
        <f t="shared" si="227"/>
        <v>9.2315556181723153</v>
      </c>
      <c r="Q193" s="97">
        <f t="shared" si="227"/>
        <v>8.7787313169165913</v>
      </c>
      <c r="R193" s="97">
        <f t="shared" si="227"/>
        <v>8.2516950365819284</v>
      </c>
      <c r="S193" s="97">
        <f t="shared" si="227"/>
        <v>8.0845003596972234</v>
      </c>
      <c r="T193" s="97">
        <f t="shared" si="227"/>
        <v>7.7694964966986539</v>
      </c>
      <c r="U193" s="97">
        <f t="shared" si="227"/>
        <v>6.6936025570834428</v>
      </c>
      <c r="V193" s="97">
        <f t="shared" si="227"/>
        <v>10.247565904399076</v>
      </c>
      <c r="W193" s="97">
        <f t="shared" ref="W193" si="228">IF(W41=0,0,W41/W11*1000)</f>
        <v>11.869201125925125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68.80367315433476</v>
      </c>
      <c r="C195" s="130">
        <f t="shared" si="231"/>
        <v>68.144799178220538</v>
      </c>
      <c r="D195" s="130">
        <f t="shared" si="231"/>
        <v>84.420908505334069</v>
      </c>
      <c r="E195" s="130">
        <f t="shared" si="231"/>
        <v>43.514127113842328</v>
      </c>
      <c r="F195" s="130">
        <f t="shared" si="231"/>
        <v>21.705503315706778</v>
      </c>
      <c r="G195" s="130">
        <f t="shared" si="231"/>
        <v>28.41705622679217</v>
      </c>
      <c r="H195" s="130">
        <f t="shared" si="231"/>
        <v>27.190379683604966</v>
      </c>
      <c r="I195" s="130">
        <f t="shared" si="231"/>
        <v>32.380391172117747</v>
      </c>
      <c r="J195" s="130">
        <f t="shared" si="231"/>
        <v>35.888969655829001</v>
      </c>
      <c r="K195" s="130">
        <f t="shared" si="231"/>
        <v>34.453374122767215</v>
      </c>
      <c r="L195" s="130">
        <f t="shared" si="231"/>
        <v>29.858275022340283</v>
      </c>
      <c r="M195" s="130">
        <f t="shared" si="231"/>
        <v>31.135196986166449</v>
      </c>
      <c r="N195" s="130">
        <f t="shared" si="231"/>
        <v>31.005763679046023</v>
      </c>
      <c r="O195" s="130">
        <f t="shared" si="231"/>
        <v>36.702072343038886</v>
      </c>
      <c r="P195" s="130">
        <f t="shared" si="231"/>
        <v>28.919403336517977</v>
      </c>
      <c r="Q195" s="130">
        <f t="shared" si="231"/>
        <v>31.150720534801767</v>
      </c>
      <c r="R195" s="130">
        <f t="shared" si="231"/>
        <v>32.656336899030279</v>
      </c>
      <c r="S195" s="130">
        <f t="shared" si="231"/>
        <v>22.919604723721637</v>
      </c>
      <c r="T195" s="130">
        <f t="shared" si="231"/>
        <v>23.371197021515833</v>
      </c>
      <c r="U195" s="130">
        <f t="shared" si="231"/>
        <v>22.056727808388917</v>
      </c>
      <c r="V195" s="130">
        <f t="shared" si="231"/>
        <v>75.375014318064913</v>
      </c>
      <c r="W195" s="130">
        <f t="shared" ref="W195" si="232">IF(W43=0,0,W43/W13*1000)</f>
        <v>47.885860615048806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0</v>
      </c>
      <c r="C196" s="97">
        <f t="shared" si="233"/>
        <v>0</v>
      </c>
      <c r="D196" s="97">
        <f t="shared" si="233"/>
        <v>0</v>
      </c>
      <c r="E196" s="97">
        <f t="shared" si="233"/>
        <v>0</v>
      </c>
      <c r="F196" s="97">
        <f t="shared" si="233"/>
        <v>0</v>
      </c>
      <c r="G196" s="97">
        <f t="shared" si="233"/>
        <v>0</v>
      </c>
      <c r="H196" s="97">
        <f t="shared" si="233"/>
        <v>0</v>
      </c>
      <c r="I196" s="97">
        <f t="shared" si="233"/>
        <v>0</v>
      </c>
      <c r="J196" s="97">
        <f t="shared" si="233"/>
        <v>0</v>
      </c>
      <c r="K196" s="97">
        <f t="shared" si="233"/>
        <v>0</v>
      </c>
      <c r="L196" s="97">
        <f t="shared" si="233"/>
        <v>0</v>
      </c>
      <c r="M196" s="97">
        <f t="shared" si="233"/>
        <v>0</v>
      </c>
      <c r="N196" s="97">
        <f t="shared" si="233"/>
        <v>0</v>
      </c>
      <c r="O196" s="97">
        <f t="shared" si="233"/>
        <v>0</v>
      </c>
      <c r="P196" s="97">
        <f t="shared" si="233"/>
        <v>0</v>
      </c>
      <c r="Q196" s="97">
        <f t="shared" si="233"/>
        <v>0</v>
      </c>
      <c r="R196" s="97">
        <f t="shared" si="233"/>
        <v>0</v>
      </c>
      <c r="S196" s="97">
        <f t="shared" si="233"/>
        <v>0</v>
      </c>
      <c r="T196" s="97">
        <f t="shared" si="233"/>
        <v>0</v>
      </c>
      <c r="U196" s="97">
        <f t="shared" si="233"/>
        <v>0</v>
      </c>
      <c r="V196" s="97">
        <f t="shared" si="233"/>
        <v>0</v>
      </c>
      <c r="W196" s="97">
        <f t="shared" ref="W196" si="234">IF(W44=0,0,W44/W14*1000)</f>
        <v>0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63.484034935605919</v>
      </c>
      <c r="C197" s="97">
        <f t="shared" si="235"/>
        <v>62.805187782177448</v>
      </c>
      <c r="D197" s="97">
        <f t="shared" si="235"/>
        <v>76.712266467056736</v>
      </c>
      <c r="E197" s="97">
        <f t="shared" si="235"/>
        <v>39.506126653279161</v>
      </c>
      <c r="F197" s="97">
        <f t="shared" si="235"/>
        <v>20.143293338846966</v>
      </c>
      <c r="G197" s="97">
        <f t="shared" si="235"/>
        <v>24.584382418066301</v>
      </c>
      <c r="H197" s="97">
        <f t="shared" si="235"/>
        <v>21.692044428610426</v>
      </c>
      <c r="I197" s="97">
        <f t="shared" si="235"/>
        <v>29.027814529431893</v>
      </c>
      <c r="J197" s="97">
        <f t="shared" si="235"/>
        <v>33.079680685115711</v>
      </c>
      <c r="K197" s="97">
        <f t="shared" si="235"/>
        <v>30.858996983806911</v>
      </c>
      <c r="L197" s="97">
        <f t="shared" si="235"/>
        <v>26.371004988243726</v>
      </c>
      <c r="M197" s="97">
        <f t="shared" si="235"/>
        <v>26.135367601569556</v>
      </c>
      <c r="N197" s="97">
        <f t="shared" si="235"/>
        <v>26.796946940021609</v>
      </c>
      <c r="O197" s="97">
        <f t="shared" si="235"/>
        <v>30.168147772197713</v>
      </c>
      <c r="P197" s="97">
        <f t="shared" si="235"/>
        <v>23.95197790304611</v>
      </c>
      <c r="Q197" s="97">
        <f t="shared" si="235"/>
        <v>27.093390516949931</v>
      </c>
      <c r="R197" s="97">
        <f t="shared" si="235"/>
        <v>27.836694982643351</v>
      </c>
      <c r="S197" s="97">
        <f t="shared" si="235"/>
        <v>22.630473622997656</v>
      </c>
      <c r="T197" s="97">
        <f t="shared" si="235"/>
        <v>24.39885800551442</v>
      </c>
      <c r="U197" s="97">
        <f t="shared" si="235"/>
        <v>23.796032304062539</v>
      </c>
      <c r="V197" s="97">
        <f t="shared" si="235"/>
        <v>57.063773502170385</v>
      </c>
      <c r="W197" s="97">
        <f t="shared" ref="W197" si="236">IF(W45=0,0,W45/W15*1000)</f>
        <v>38.455447587565111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79.090794552540473</v>
      </c>
      <c r="C198" s="97">
        <f t="shared" si="237"/>
        <v>78.474145316440726</v>
      </c>
      <c r="D198" s="97">
        <f t="shared" si="237"/>
        <v>95.10832956457682</v>
      </c>
      <c r="E198" s="97">
        <f t="shared" si="237"/>
        <v>49.45716948495803</v>
      </c>
      <c r="F198" s="97">
        <f t="shared" si="237"/>
        <v>24.255770388767559</v>
      </c>
      <c r="G198" s="97">
        <f t="shared" si="237"/>
        <v>37.383192894390312</v>
      </c>
      <c r="H198" s="97">
        <f t="shared" si="237"/>
        <v>49.483276233190018</v>
      </c>
      <c r="I198" s="97">
        <f t="shared" si="237"/>
        <v>41.338486663986863</v>
      </c>
      <c r="J198" s="97">
        <f t="shared" si="237"/>
        <v>43.926949551110241</v>
      </c>
      <c r="K198" s="97">
        <f t="shared" si="237"/>
        <v>44.019597243707963</v>
      </c>
      <c r="L198" s="97">
        <f t="shared" si="237"/>
        <v>38.401744296216229</v>
      </c>
      <c r="M198" s="97">
        <f t="shared" si="237"/>
        <v>44.767213938982479</v>
      </c>
      <c r="N198" s="97">
        <f t="shared" si="237"/>
        <v>41.026986704953011</v>
      </c>
      <c r="O198" s="97">
        <f t="shared" si="237"/>
        <v>54.941296116206622</v>
      </c>
      <c r="P198" s="97">
        <f t="shared" si="237"/>
        <v>43.823488857765234</v>
      </c>
      <c r="Q198" s="97">
        <f t="shared" si="237"/>
        <v>42.567874685283115</v>
      </c>
      <c r="R198" s="97">
        <f t="shared" si="237"/>
        <v>48.602749640115483</v>
      </c>
      <c r="S198" s="97">
        <f t="shared" si="237"/>
        <v>23.46859732637984</v>
      </c>
      <c r="T198" s="97">
        <f t="shared" si="237"/>
        <v>21.6572509353709</v>
      </c>
      <c r="U198" s="97">
        <f t="shared" si="237"/>
        <v>19.408048857575881</v>
      </c>
      <c r="V198" s="97">
        <f t="shared" si="237"/>
        <v>125.13198728720998</v>
      </c>
      <c r="W198" s="97">
        <f t="shared" ref="W198" si="238">IF(W46=0,0,W46/W16*1000)</f>
        <v>74.359991434862835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21.455110393349774</v>
      </c>
      <c r="C199" s="32">
        <f t="shared" si="239"/>
        <v>21.129815301843035</v>
      </c>
      <c r="D199" s="32">
        <f t="shared" si="239"/>
        <v>30.553727022898311</v>
      </c>
      <c r="E199" s="32">
        <f t="shared" si="239"/>
        <v>24.086172900724343</v>
      </c>
      <c r="F199" s="32">
        <f t="shared" si="239"/>
        <v>26.333491758251611</v>
      </c>
      <c r="G199" s="32">
        <f t="shared" si="239"/>
        <v>32.961698851512075</v>
      </c>
      <c r="H199" s="32">
        <f t="shared" si="239"/>
        <v>35.937378752771387</v>
      </c>
      <c r="I199" s="32">
        <f t="shared" si="239"/>
        <v>38.105950550661028</v>
      </c>
      <c r="J199" s="32">
        <f t="shared" si="239"/>
        <v>41.91311482741142</v>
      </c>
      <c r="K199" s="32">
        <f t="shared" si="239"/>
        <v>41.434411110100363</v>
      </c>
      <c r="L199" s="32">
        <f t="shared" si="239"/>
        <v>51.657876122497647</v>
      </c>
      <c r="M199" s="32">
        <f t="shared" si="239"/>
        <v>51.332900264470609</v>
      </c>
      <c r="N199" s="32">
        <f t="shared" si="239"/>
        <v>49.449703103205948</v>
      </c>
      <c r="O199" s="32">
        <f t="shared" si="239"/>
        <v>47.469503812031498</v>
      </c>
      <c r="P199" s="32">
        <f t="shared" si="239"/>
        <v>45.105787459079473</v>
      </c>
      <c r="Q199" s="32">
        <f t="shared" si="239"/>
        <v>43.392612150389752</v>
      </c>
      <c r="R199" s="32">
        <f t="shared" si="239"/>
        <v>49.786224830104999</v>
      </c>
      <c r="S199" s="32">
        <f t="shared" si="239"/>
        <v>58.521814576728687</v>
      </c>
      <c r="T199" s="32">
        <f t="shared" si="239"/>
        <v>59.339937803691647</v>
      </c>
      <c r="U199" s="32">
        <f t="shared" si="239"/>
        <v>58.351739072234288</v>
      </c>
      <c r="V199" s="32">
        <f t="shared" si="239"/>
        <v>58.830483164693469</v>
      </c>
      <c r="W199" s="32">
        <f t="shared" ref="W199" si="240">IF(W47=0,0,W47/W17*1000)</f>
        <v>60.349545632385855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43.976166288061336</v>
      </c>
      <c r="C200" s="141">
        <f t="shared" si="241"/>
        <v>41.796570832550749</v>
      </c>
      <c r="D200" s="141">
        <f t="shared" si="241"/>
        <v>61.480155529217235</v>
      </c>
      <c r="E200" s="141">
        <f t="shared" si="241"/>
        <v>46.621612857653211</v>
      </c>
      <c r="F200" s="141">
        <f t="shared" si="241"/>
        <v>48.432876941464201</v>
      </c>
      <c r="G200" s="141">
        <f t="shared" si="241"/>
        <v>60.581911119720104</v>
      </c>
      <c r="H200" s="141">
        <f t="shared" si="241"/>
        <v>68.834113717131146</v>
      </c>
      <c r="I200" s="141">
        <f t="shared" si="241"/>
        <v>67.814265177641573</v>
      </c>
      <c r="J200" s="141">
        <f t="shared" si="241"/>
        <v>72.595908035728201</v>
      </c>
      <c r="K200" s="141">
        <f t="shared" si="241"/>
        <v>66.594692724400716</v>
      </c>
      <c r="L200" s="141">
        <f t="shared" si="241"/>
        <v>88.574468547908637</v>
      </c>
      <c r="M200" s="141">
        <f t="shared" si="241"/>
        <v>85.752401881863975</v>
      </c>
      <c r="N200" s="141">
        <f t="shared" si="241"/>
        <v>80.761618700100769</v>
      </c>
      <c r="O200" s="141">
        <f t="shared" si="241"/>
        <v>80.396037638538033</v>
      </c>
      <c r="P200" s="141">
        <f t="shared" si="241"/>
        <v>75.778094066626764</v>
      </c>
      <c r="Q200" s="141">
        <f t="shared" si="241"/>
        <v>69.436987525172682</v>
      </c>
      <c r="R200" s="141">
        <f t="shared" si="241"/>
        <v>77.982492749488287</v>
      </c>
      <c r="S200" s="141">
        <f t="shared" si="241"/>
        <v>89.787822720296475</v>
      </c>
      <c r="T200" s="141">
        <f t="shared" si="241"/>
        <v>89.934860509028312</v>
      </c>
      <c r="U200" s="141">
        <f t="shared" si="241"/>
        <v>86.980005136173716</v>
      </c>
      <c r="V200" s="141">
        <f t="shared" si="241"/>
        <v>84.064068657119591</v>
      </c>
      <c r="W200" s="141">
        <f t="shared" ref="W200" si="242">IF(W48=0,0,W48/W18*1000)</f>
        <v>90.766232380241732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948.35213838017057</v>
      </c>
      <c r="C201" s="97">
        <f t="shared" si="243"/>
        <v>963.47071926117258</v>
      </c>
      <c r="D201" s="97">
        <f t="shared" si="243"/>
        <v>1119.3426627282322</v>
      </c>
      <c r="E201" s="97">
        <f t="shared" si="243"/>
        <v>1047.3481790140497</v>
      </c>
      <c r="F201" s="97">
        <f t="shared" si="243"/>
        <v>1059.5672327550774</v>
      </c>
      <c r="G201" s="97">
        <f t="shared" si="243"/>
        <v>1086.6763431707461</v>
      </c>
      <c r="H201" s="97">
        <f t="shared" si="243"/>
        <v>1005.9347189030412</v>
      </c>
      <c r="I201" s="97">
        <f t="shared" si="243"/>
        <v>1043.5323430992612</v>
      </c>
      <c r="J201" s="97">
        <f t="shared" si="243"/>
        <v>967.54086827566596</v>
      </c>
      <c r="K201" s="97">
        <f t="shared" si="243"/>
        <v>874.66909631889826</v>
      </c>
      <c r="L201" s="97">
        <f t="shared" si="243"/>
        <v>983.86647276980671</v>
      </c>
      <c r="M201" s="97">
        <f t="shared" si="243"/>
        <v>1005.9212407525686</v>
      </c>
      <c r="N201" s="97">
        <f t="shared" si="243"/>
        <v>938.81992736841369</v>
      </c>
      <c r="O201" s="97">
        <f t="shared" si="243"/>
        <v>917.50509318025388</v>
      </c>
      <c r="P201" s="97">
        <f t="shared" si="243"/>
        <v>955.10002243048837</v>
      </c>
      <c r="Q201" s="97">
        <f t="shared" si="243"/>
        <v>904.0358919210189</v>
      </c>
      <c r="R201" s="97">
        <f t="shared" si="243"/>
        <v>980.57684234789588</v>
      </c>
      <c r="S201" s="97">
        <f t="shared" si="243"/>
        <v>1041.8438921455436</v>
      </c>
      <c r="T201" s="97">
        <f t="shared" si="243"/>
        <v>1036.1967075258153</v>
      </c>
      <c r="U201" s="97">
        <f t="shared" si="243"/>
        <v>1024.8002756593787</v>
      </c>
      <c r="V201" s="97">
        <f t="shared" si="243"/>
        <v>1036.3798019738567</v>
      </c>
      <c r="W201" s="97">
        <f t="shared" ref="W201" si="244">IF(W49=0,0,W49/W19*1000)</f>
        <v>976.60158214998944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24.234872357589897</v>
      </c>
      <c r="C202" s="97">
        <f t="shared" si="245"/>
        <v>22.391129453227993</v>
      </c>
      <c r="D202" s="97">
        <f t="shared" si="245"/>
        <v>38.752890533720262</v>
      </c>
      <c r="E202" s="97">
        <f t="shared" si="245"/>
        <v>25.695966127790879</v>
      </c>
      <c r="F202" s="97">
        <f t="shared" si="245"/>
        <v>28.072945348901357</v>
      </c>
      <c r="G202" s="97">
        <f t="shared" si="245"/>
        <v>38.951794304164444</v>
      </c>
      <c r="H202" s="97">
        <f t="shared" si="245"/>
        <v>48.813068589400302</v>
      </c>
      <c r="I202" s="97">
        <f t="shared" si="245"/>
        <v>47.251197378776332</v>
      </c>
      <c r="J202" s="97">
        <f t="shared" si="245"/>
        <v>53.153668283283551</v>
      </c>
      <c r="K202" s="97">
        <f t="shared" si="245"/>
        <v>45.651532738545406</v>
      </c>
      <c r="L202" s="97">
        <f t="shared" si="245"/>
        <v>64.837510656247957</v>
      </c>
      <c r="M202" s="97">
        <f t="shared" si="245"/>
        <v>61.031207447384148</v>
      </c>
      <c r="N202" s="97">
        <f t="shared" si="245"/>
        <v>57.114116756575363</v>
      </c>
      <c r="O202" s="97">
        <f t="shared" si="245"/>
        <v>59.770042834477486</v>
      </c>
      <c r="P202" s="97">
        <f t="shared" si="245"/>
        <v>57.789194076902582</v>
      </c>
      <c r="Q202" s="97">
        <f t="shared" si="245"/>
        <v>50.961932744187386</v>
      </c>
      <c r="R202" s="97">
        <f t="shared" si="245"/>
        <v>60.826169918218874</v>
      </c>
      <c r="S202" s="97">
        <f t="shared" si="245"/>
        <v>73.051283502999297</v>
      </c>
      <c r="T202" s="97">
        <f t="shared" si="245"/>
        <v>73.666519191175595</v>
      </c>
      <c r="U202" s="97">
        <f t="shared" si="245"/>
        <v>71.436586044878482</v>
      </c>
      <c r="V202" s="97">
        <f t="shared" si="245"/>
        <v>67.362373981389936</v>
      </c>
      <c r="W202" s="97">
        <f t="shared" ref="W202" si="246">IF(W50=0,0,W50/W20*1000)</f>
        <v>75.049120717976095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4.4237731120859571</v>
      </c>
      <c r="C203" s="130">
        <f t="shared" si="247"/>
        <v>2.9567822061762801</v>
      </c>
      <c r="D203" s="130">
        <f t="shared" si="247"/>
        <v>2.8811284612403889</v>
      </c>
      <c r="E203" s="130">
        <f t="shared" si="247"/>
        <v>3.0267718595742497</v>
      </c>
      <c r="F203" s="130">
        <f t="shared" si="247"/>
        <v>3.0684611127581314</v>
      </c>
      <c r="G203" s="130">
        <f t="shared" si="247"/>
        <v>2.2107636705085918</v>
      </c>
      <c r="H203" s="130">
        <f t="shared" si="247"/>
        <v>2.208325151436878</v>
      </c>
      <c r="I203" s="130">
        <f t="shared" si="247"/>
        <v>2.2792824142336241</v>
      </c>
      <c r="J203" s="130">
        <f t="shared" si="247"/>
        <v>1.9956600388374071</v>
      </c>
      <c r="K203" s="130">
        <f t="shared" si="247"/>
        <v>1.9120185668359988</v>
      </c>
      <c r="L203" s="130">
        <f t="shared" si="247"/>
        <v>2.0967540343641193</v>
      </c>
      <c r="M203" s="130">
        <f t="shared" si="247"/>
        <v>2.1111167289210715</v>
      </c>
      <c r="N203" s="130">
        <f t="shared" si="247"/>
        <v>1.9012651079119802</v>
      </c>
      <c r="O203" s="130">
        <f t="shared" si="247"/>
        <v>2.230848001428325</v>
      </c>
      <c r="P203" s="130">
        <f t="shared" si="247"/>
        <v>1.8490561882141381</v>
      </c>
      <c r="Q203" s="130">
        <f t="shared" si="247"/>
        <v>1.537300681026613</v>
      </c>
      <c r="R203" s="130">
        <f t="shared" si="247"/>
        <v>1.6827234575982537</v>
      </c>
      <c r="S203" s="130">
        <f t="shared" si="247"/>
        <v>1.3207774686929896</v>
      </c>
      <c r="T203" s="130">
        <f t="shared" si="247"/>
        <v>1.4643267079174003</v>
      </c>
      <c r="U203" s="130">
        <f t="shared" si="247"/>
        <v>1.261080773122367</v>
      </c>
      <c r="V203" s="130">
        <f t="shared" si="247"/>
        <v>1.8954024069150828</v>
      </c>
      <c r="W203" s="130">
        <f t="shared" ref="W203" si="248">IF(W51=0,0,W51/W21*1000)</f>
        <v>1.9167712086841173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124.99170346374765</v>
      </c>
      <c r="C204" s="130">
        <f t="shared" si="249"/>
        <v>119.27308042143599</v>
      </c>
      <c r="D204" s="130">
        <f t="shared" si="249"/>
        <v>197.02214086335843</v>
      </c>
      <c r="E204" s="130">
        <f t="shared" si="249"/>
        <v>74.652635669139272</v>
      </c>
      <c r="F204" s="130">
        <f t="shared" si="249"/>
        <v>38.965791805638311</v>
      </c>
      <c r="G204" s="130">
        <f t="shared" si="249"/>
        <v>60.058419049769888</v>
      </c>
      <c r="H204" s="130">
        <f t="shared" si="249"/>
        <v>86.565077381707681</v>
      </c>
      <c r="I204" s="130">
        <f t="shared" si="249"/>
        <v>95.639131876314195</v>
      </c>
      <c r="J204" s="130">
        <f t="shared" si="249"/>
        <v>109.08130343474534</v>
      </c>
      <c r="K204" s="130">
        <f t="shared" si="249"/>
        <v>113.87589108629186</v>
      </c>
      <c r="L204" s="130">
        <f t="shared" si="249"/>
        <v>110.76775532020375</v>
      </c>
      <c r="M204" s="130">
        <f t="shared" si="249"/>
        <v>112.64855882745071</v>
      </c>
      <c r="N204" s="130">
        <f t="shared" si="249"/>
        <v>127.94960680404094</v>
      </c>
      <c r="O204" s="130">
        <f t="shared" si="249"/>
        <v>155.10519628088932</v>
      </c>
      <c r="P204" s="130">
        <f t="shared" si="249"/>
        <v>98.670736765368403</v>
      </c>
      <c r="Q204" s="130">
        <f t="shared" si="249"/>
        <v>106.91445708615537</v>
      </c>
      <c r="R204" s="130">
        <f t="shared" si="249"/>
        <v>102.91261302009293</v>
      </c>
      <c r="S204" s="130">
        <f t="shared" si="249"/>
        <v>100.06995730636304</v>
      </c>
      <c r="T204" s="130">
        <f t="shared" si="249"/>
        <v>99.913079043313189</v>
      </c>
      <c r="U204" s="130">
        <f t="shared" si="249"/>
        <v>104.18185977782596</v>
      </c>
      <c r="V204" s="130">
        <f t="shared" si="249"/>
        <v>343.94963849354576</v>
      </c>
      <c r="W204" s="130">
        <f t="shared" ref="W204" si="250">IF(W52=0,0,W52/W22*1000)</f>
        <v>227.54546431372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197.27560703663144</v>
      </c>
      <c r="C206" s="97">
        <f t="shared" si="253"/>
        <v>191.11863035196319</v>
      </c>
      <c r="D206" s="97">
        <f t="shared" si="253"/>
        <v>250.10086976658957</v>
      </c>
      <c r="E206" s="97">
        <f t="shared" si="253"/>
        <v>125.11278689541047</v>
      </c>
      <c r="F206" s="97">
        <f t="shared" si="253"/>
        <v>69.05012737105757</v>
      </c>
      <c r="G206" s="97">
        <f t="shared" si="253"/>
        <v>87.017653122655432</v>
      </c>
      <c r="H206" s="97">
        <f t="shared" si="253"/>
        <v>97.220196637427748</v>
      </c>
      <c r="I206" s="97">
        <f t="shared" si="253"/>
        <v>134.14679423450798</v>
      </c>
      <c r="J206" s="97">
        <f t="shared" si="253"/>
        <v>113.03233560025511</v>
      </c>
      <c r="K206" s="97">
        <f t="shared" si="253"/>
        <v>116.21376015890264</v>
      </c>
      <c r="L206" s="97">
        <f t="shared" si="253"/>
        <v>111.55531354709474</v>
      </c>
      <c r="M206" s="97">
        <f t="shared" si="253"/>
        <v>112.78428701366647</v>
      </c>
      <c r="N206" s="97">
        <f t="shared" si="253"/>
        <v>128.88126974024084</v>
      </c>
      <c r="O206" s="97">
        <f t="shared" si="253"/>
        <v>157.08952873946652</v>
      </c>
      <c r="P206" s="97">
        <f t="shared" si="253"/>
        <v>106.82867302446044</v>
      </c>
      <c r="Q206" s="97">
        <f t="shared" si="253"/>
        <v>119.23971632016001</v>
      </c>
      <c r="R206" s="97">
        <f t="shared" si="253"/>
        <v>115.66901583055522</v>
      </c>
      <c r="S206" s="97">
        <f t="shared" si="253"/>
        <v>108.04725712811307</v>
      </c>
      <c r="T206" s="97">
        <f t="shared" si="253"/>
        <v>111.97550511737997</v>
      </c>
      <c r="U206" s="97">
        <f t="shared" si="253"/>
        <v>108.33323765338442</v>
      </c>
      <c r="V206" s="97">
        <f t="shared" si="253"/>
        <v>348.31465151086678</v>
      </c>
      <c r="W206" s="97">
        <f t="shared" ref="W206" si="254">IF(W54=0,0,W54/W24*1000)</f>
        <v>228.52294198649145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92.909223305992413</v>
      </c>
      <c r="C207" s="97">
        <f t="shared" si="255"/>
        <v>89.034393142813272</v>
      </c>
      <c r="D207" s="97">
        <f t="shared" si="255"/>
        <v>114.91938017894979</v>
      </c>
      <c r="E207" s="97">
        <f t="shared" si="255"/>
        <v>65.981726525975105</v>
      </c>
      <c r="F207" s="97">
        <f t="shared" si="255"/>
        <v>33.467960836282977</v>
      </c>
      <c r="G207" s="97">
        <f t="shared" si="255"/>
        <v>55.669529122405741</v>
      </c>
      <c r="H207" s="97">
        <f t="shared" si="255"/>
        <v>85.662812664593986</v>
      </c>
      <c r="I207" s="97">
        <f t="shared" si="255"/>
        <v>91.431296964216585</v>
      </c>
      <c r="J207" s="97">
        <f t="shared" si="255"/>
        <v>98.773165389401015</v>
      </c>
      <c r="K207" s="97">
        <f t="shared" si="255"/>
        <v>99.127457114727761</v>
      </c>
      <c r="L207" s="97">
        <f t="shared" si="255"/>
        <v>108.11069262254557</v>
      </c>
      <c r="M207" s="97">
        <f t="shared" si="255"/>
        <v>105.50847940223498</v>
      </c>
      <c r="N207" s="97">
        <f t="shared" si="255"/>
        <v>84.009554234956852</v>
      </c>
      <c r="O207" s="97">
        <f t="shared" si="255"/>
        <v>103.44389433281975</v>
      </c>
      <c r="P207" s="97">
        <f t="shared" si="255"/>
        <v>75.63808554274361</v>
      </c>
      <c r="Q207" s="97">
        <f t="shared" si="255"/>
        <v>61.792475784842225</v>
      </c>
      <c r="R207" s="97">
        <f t="shared" si="255"/>
        <v>54.181066007023837</v>
      </c>
      <c r="S207" s="97">
        <f t="shared" si="255"/>
        <v>31.387564115118373</v>
      </c>
      <c r="T207" s="97">
        <f t="shared" si="255"/>
        <v>29.473742507808613</v>
      </c>
      <c r="U207" s="97">
        <f t="shared" si="255"/>
        <v>27.686408097955418</v>
      </c>
      <c r="V207" s="97">
        <f t="shared" si="255"/>
        <v>212.66521382069624</v>
      </c>
      <c r="W207" s="97">
        <f t="shared" ref="W207" si="256">IF(W55=0,0,W55/W25*1000)</f>
        <v>108.32326018566911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16.224896686725153</v>
      </c>
      <c r="C208" s="130">
        <f t="shared" si="257"/>
        <v>26.854903536977492</v>
      </c>
      <c r="D208" s="130">
        <f t="shared" si="257"/>
        <v>32.7064032016008</v>
      </c>
      <c r="E208" s="130">
        <f t="shared" si="257"/>
        <v>21.877511961722487</v>
      </c>
      <c r="F208" s="130">
        <f t="shared" si="257"/>
        <v>21.72739541160594</v>
      </c>
      <c r="G208" s="130">
        <f t="shared" si="257"/>
        <v>24.792651627718495</v>
      </c>
      <c r="H208" s="130">
        <f t="shared" si="257"/>
        <v>16.129778051787916</v>
      </c>
      <c r="I208" s="130">
        <f t="shared" si="257"/>
        <v>14.592629482071713</v>
      </c>
      <c r="J208" s="130">
        <f t="shared" si="257"/>
        <v>17.84014532243415</v>
      </c>
      <c r="K208" s="130">
        <f t="shared" si="257"/>
        <v>13.610678531701891</v>
      </c>
      <c r="L208" s="130">
        <f t="shared" si="257"/>
        <v>13.540790580319596</v>
      </c>
      <c r="M208" s="130">
        <f t="shared" si="257"/>
        <v>17.508055853920517</v>
      </c>
      <c r="N208" s="130">
        <f t="shared" si="257"/>
        <v>16.366125760649087</v>
      </c>
      <c r="O208" s="130">
        <f t="shared" si="257"/>
        <v>15.878727634194831</v>
      </c>
      <c r="P208" s="130">
        <f t="shared" si="257"/>
        <v>17.470718232044199</v>
      </c>
      <c r="Q208" s="130">
        <f t="shared" si="257"/>
        <v>21.117408906882591</v>
      </c>
      <c r="R208" s="130">
        <f t="shared" si="257"/>
        <v>19.901439645625693</v>
      </c>
      <c r="S208" s="130">
        <f t="shared" si="257"/>
        <v>19.707395498392284</v>
      </c>
      <c r="T208" s="130">
        <f t="shared" si="257"/>
        <v>20.811053984575835</v>
      </c>
      <c r="U208" s="130">
        <f t="shared" si="257"/>
        <v>19.681963713980792</v>
      </c>
      <c r="V208" s="130">
        <f t="shared" si="257"/>
        <v>20.364508393285373</v>
      </c>
      <c r="W208" s="130">
        <f t="shared" ref="W208" si="258">IF(W56=0,0,W56/W26*1000)</f>
        <v>20.243146603098928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0</v>
      </c>
      <c r="C209" s="97">
        <f t="shared" si="259"/>
        <v>0</v>
      </c>
      <c r="D209" s="97">
        <f t="shared" si="259"/>
        <v>0</v>
      </c>
      <c r="E209" s="97">
        <f t="shared" si="259"/>
        <v>0</v>
      </c>
      <c r="F209" s="97">
        <f t="shared" si="259"/>
        <v>0</v>
      </c>
      <c r="G209" s="97">
        <f t="shared" si="259"/>
        <v>0</v>
      </c>
      <c r="H209" s="97">
        <f t="shared" si="259"/>
        <v>0</v>
      </c>
      <c r="I209" s="97">
        <f t="shared" si="259"/>
        <v>0</v>
      </c>
      <c r="J209" s="97">
        <f t="shared" si="259"/>
        <v>0</v>
      </c>
      <c r="K209" s="97">
        <f t="shared" si="259"/>
        <v>0</v>
      </c>
      <c r="L209" s="97">
        <f t="shared" si="259"/>
        <v>0</v>
      </c>
      <c r="M209" s="97">
        <f t="shared" si="259"/>
        <v>0</v>
      </c>
      <c r="N209" s="97">
        <f t="shared" si="259"/>
        <v>0</v>
      </c>
      <c r="O209" s="97">
        <f t="shared" si="259"/>
        <v>0</v>
      </c>
      <c r="P209" s="97">
        <f t="shared" si="259"/>
        <v>0</v>
      </c>
      <c r="Q209" s="97">
        <f t="shared" si="259"/>
        <v>0</v>
      </c>
      <c r="R209" s="97">
        <f t="shared" si="259"/>
        <v>0</v>
      </c>
      <c r="S209" s="97">
        <f t="shared" si="259"/>
        <v>0</v>
      </c>
      <c r="T209" s="97">
        <f t="shared" si="259"/>
        <v>0</v>
      </c>
      <c r="U209" s="97">
        <f t="shared" si="259"/>
        <v>0</v>
      </c>
      <c r="V209" s="97">
        <f t="shared" si="259"/>
        <v>0</v>
      </c>
      <c r="W209" s="97">
        <f t="shared" ref="W209" si="260">IF(W57=0,0,W57/W27*1000)</f>
        <v>0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16.224896686725153</v>
      </c>
      <c r="C210" s="98">
        <f t="shared" si="261"/>
        <v>26.854903536977492</v>
      </c>
      <c r="D210" s="98">
        <f t="shared" si="261"/>
        <v>32.7064032016008</v>
      </c>
      <c r="E210" s="98">
        <f t="shared" si="261"/>
        <v>21.877511961722487</v>
      </c>
      <c r="F210" s="98">
        <f t="shared" si="261"/>
        <v>21.72739541160594</v>
      </c>
      <c r="G210" s="98">
        <f t="shared" si="261"/>
        <v>24.792651627718495</v>
      </c>
      <c r="H210" s="98">
        <f t="shared" si="261"/>
        <v>16.129778051787916</v>
      </c>
      <c r="I210" s="98">
        <f t="shared" si="261"/>
        <v>14.592629482071713</v>
      </c>
      <c r="J210" s="98">
        <f t="shared" si="261"/>
        <v>17.84014532243415</v>
      </c>
      <c r="K210" s="98">
        <f t="shared" si="261"/>
        <v>13.610678531701891</v>
      </c>
      <c r="L210" s="98">
        <f t="shared" si="261"/>
        <v>13.540790580319596</v>
      </c>
      <c r="M210" s="98">
        <f t="shared" si="261"/>
        <v>17.508055853920517</v>
      </c>
      <c r="N210" s="98">
        <f t="shared" si="261"/>
        <v>16.366125760649087</v>
      </c>
      <c r="O210" s="98">
        <f t="shared" si="261"/>
        <v>15.878727634194831</v>
      </c>
      <c r="P210" s="98">
        <f t="shared" si="261"/>
        <v>17.470718232044199</v>
      </c>
      <c r="Q210" s="98">
        <f t="shared" si="261"/>
        <v>21.117408906882591</v>
      </c>
      <c r="R210" s="98">
        <f t="shared" si="261"/>
        <v>19.901439645625693</v>
      </c>
      <c r="S210" s="98">
        <f t="shared" si="261"/>
        <v>19.707395498392284</v>
      </c>
      <c r="T210" s="98">
        <f t="shared" si="261"/>
        <v>20.811053984575835</v>
      </c>
      <c r="U210" s="98">
        <f t="shared" si="261"/>
        <v>19.681963713980792</v>
      </c>
      <c r="V210" s="98">
        <f t="shared" si="261"/>
        <v>20.364508393285373</v>
      </c>
      <c r="W210" s="98">
        <f t="shared" ref="W210:W213" si="262">IF(W58=0,0,W58/W28*1000)</f>
        <v>20.243146603098928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0</v>
      </c>
      <c r="C211" s="32">
        <f t="shared" si="263"/>
        <v>0</v>
      </c>
      <c r="D211" s="32">
        <f t="shared" si="263"/>
        <v>0</v>
      </c>
      <c r="E211" s="32">
        <f t="shared" si="263"/>
        <v>0</v>
      </c>
      <c r="F211" s="32">
        <f t="shared" si="263"/>
        <v>0</v>
      </c>
      <c r="G211" s="32">
        <f t="shared" si="263"/>
        <v>0</v>
      </c>
      <c r="H211" s="32">
        <f t="shared" si="263"/>
        <v>0</v>
      </c>
      <c r="I211" s="32">
        <f t="shared" si="263"/>
        <v>0</v>
      </c>
      <c r="J211" s="32">
        <f t="shared" si="263"/>
        <v>0</v>
      </c>
      <c r="K211" s="32">
        <f t="shared" si="263"/>
        <v>0</v>
      </c>
      <c r="L211" s="32">
        <f t="shared" si="263"/>
        <v>0</v>
      </c>
      <c r="M211" s="32">
        <f t="shared" si="263"/>
        <v>0</v>
      </c>
      <c r="N211" s="32">
        <f t="shared" si="263"/>
        <v>0</v>
      </c>
      <c r="O211" s="32">
        <f t="shared" si="263"/>
        <v>0</v>
      </c>
      <c r="P211" s="32">
        <f t="shared" si="263"/>
        <v>0</v>
      </c>
      <c r="Q211" s="32">
        <f t="shared" si="263"/>
        <v>0</v>
      </c>
      <c r="R211" s="32">
        <f t="shared" si="263"/>
        <v>0</v>
      </c>
      <c r="S211" s="32">
        <f t="shared" si="263"/>
        <v>0</v>
      </c>
      <c r="T211" s="32">
        <f t="shared" si="263"/>
        <v>0</v>
      </c>
      <c r="U211" s="32">
        <f t="shared" si="263"/>
        <v>0</v>
      </c>
      <c r="V211" s="32">
        <f t="shared" si="263"/>
        <v>0</v>
      </c>
      <c r="W211" s="32">
        <f t="shared" si="262"/>
        <v>0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0</v>
      </c>
      <c r="C212" s="97">
        <f t="shared" si="264"/>
        <v>0</v>
      </c>
      <c r="D212" s="97">
        <f t="shared" si="264"/>
        <v>0</v>
      </c>
      <c r="E212" s="97">
        <f t="shared" si="264"/>
        <v>0</v>
      </c>
      <c r="F212" s="97">
        <f t="shared" si="264"/>
        <v>0</v>
      </c>
      <c r="G212" s="97">
        <f t="shared" si="264"/>
        <v>0</v>
      </c>
      <c r="H212" s="97">
        <f t="shared" si="264"/>
        <v>0</v>
      </c>
      <c r="I212" s="97">
        <f t="shared" si="264"/>
        <v>0</v>
      </c>
      <c r="J212" s="97">
        <f t="shared" si="264"/>
        <v>0</v>
      </c>
      <c r="K212" s="97">
        <f t="shared" si="264"/>
        <v>0</v>
      </c>
      <c r="L212" s="97">
        <f t="shared" si="264"/>
        <v>0</v>
      </c>
      <c r="M212" s="97">
        <f t="shared" si="264"/>
        <v>0</v>
      </c>
      <c r="N212" s="97">
        <f t="shared" si="264"/>
        <v>0</v>
      </c>
      <c r="O212" s="97">
        <f t="shared" si="264"/>
        <v>0</v>
      </c>
      <c r="P212" s="97">
        <f t="shared" si="264"/>
        <v>0</v>
      </c>
      <c r="Q212" s="97">
        <f t="shared" si="264"/>
        <v>0</v>
      </c>
      <c r="R212" s="97">
        <f t="shared" si="264"/>
        <v>0</v>
      </c>
      <c r="S212" s="97">
        <f t="shared" si="264"/>
        <v>0</v>
      </c>
      <c r="T212" s="97">
        <f t="shared" si="264"/>
        <v>0</v>
      </c>
      <c r="U212" s="97">
        <f t="shared" si="264"/>
        <v>0</v>
      </c>
      <c r="V212" s="97">
        <f t="shared" si="264"/>
        <v>0</v>
      </c>
      <c r="W212" s="97">
        <f t="shared" si="262"/>
        <v>0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0</v>
      </c>
      <c r="C213" s="98">
        <f t="shared" si="265"/>
        <v>0</v>
      </c>
      <c r="D213" s="98">
        <f t="shared" si="265"/>
        <v>0</v>
      </c>
      <c r="E213" s="98">
        <f t="shared" si="265"/>
        <v>0</v>
      </c>
      <c r="F213" s="98">
        <f t="shared" si="265"/>
        <v>0</v>
      </c>
      <c r="G213" s="98">
        <f t="shared" si="265"/>
        <v>0</v>
      </c>
      <c r="H213" s="98">
        <f t="shared" si="265"/>
        <v>0</v>
      </c>
      <c r="I213" s="98">
        <f t="shared" si="265"/>
        <v>0</v>
      </c>
      <c r="J213" s="98">
        <f t="shared" si="265"/>
        <v>0</v>
      </c>
      <c r="K213" s="98">
        <f t="shared" si="265"/>
        <v>0</v>
      </c>
      <c r="L213" s="98">
        <f t="shared" si="265"/>
        <v>0</v>
      </c>
      <c r="M213" s="98">
        <f t="shared" si="265"/>
        <v>0</v>
      </c>
      <c r="N213" s="98">
        <f t="shared" si="265"/>
        <v>0</v>
      </c>
      <c r="O213" s="98">
        <f t="shared" si="265"/>
        <v>0</v>
      </c>
      <c r="P213" s="98">
        <f t="shared" si="265"/>
        <v>0</v>
      </c>
      <c r="Q213" s="98">
        <f t="shared" si="265"/>
        <v>0</v>
      </c>
      <c r="R213" s="98">
        <f t="shared" si="265"/>
        <v>0</v>
      </c>
      <c r="S213" s="98">
        <f t="shared" si="265"/>
        <v>0</v>
      </c>
      <c r="T213" s="98">
        <f t="shared" si="265"/>
        <v>0</v>
      </c>
      <c r="U213" s="98">
        <f t="shared" si="265"/>
        <v>0</v>
      </c>
      <c r="V213" s="98">
        <f t="shared" si="265"/>
        <v>0</v>
      </c>
      <c r="W213" s="98">
        <f t="shared" si="262"/>
        <v>0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77.972465850535144</v>
      </c>
      <c r="C216" s="32">
        <f t="shared" si="266"/>
        <v>79.035670237032875</v>
      </c>
      <c r="D216" s="32">
        <f t="shared" si="266"/>
        <v>90.449511706786964</v>
      </c>
      <c r="E216" s="32">
        <f t="shared" si="266"/>
        <v>87.135627091825754</v>
      </c>
      <c r="F216" s="32">
        <f t="shared" si="266"/>
        <v>79.626195554597331</v>
      </c>
      <c r="G216" s="32">
        <f t="shared" si="266"/>
        <v>82.711045439084543</v>
      </c>
      <c r="H216" s="32">
        <f t="shared" si="266"/>
        <v>78.515369406000886</v>
      </c>
      <c r="I216" s="32">
        <f t="shared" si="266"/>
        <v>84.69446874790161</v>
      </c>
      <c r="J216" s="32">
        <f t="shared" si="266"/>
        <v>89.797410111759561</v>
      </c>
      <c r="K216" s="32">
        <f t="shared" si="266"/>
        <v>88.43921486211147</v>
      </c>
      <c r="L216" s="32">
        <f t="shared" si="266"/>
        <v>88.408604104714954</v>
      </c>
      <c r="M216" s="32">
        <f t="shared" si="266"/>
        <v>85.96225523614288</v>
      </c>
      <c r="N216" s="32">
        <f t="shared" si="266"/>
        <v>84.113410286836285</v>
      </c>
      <c r="O216" s="32">
        <f t="shared" si="266"/>
        <v>84.125323219491207</v>
      </c>
      <c r="P216" s="32">
        <f t="shared" si="266"/>
        <v>81.071854094917299</v>
      </c>
      <c r="Q216" s="32">
        <f t="shared" si="266"/>
        <v>79.387561304080364</v>
      </c>
      <c r="R216" s="32">
        <f t="shared" si="266"/>
        <v>78.796323075617224</v>
      </c>
      <c r="S216" s="32">
        <f t="shared" si="266"/>
        <v>78.696896901033838</v>
      </c>
      <c r="T216" s="32">
        <f t="shared" si="266"/>
        <v>75.639737773849191</v>
      </c>
      <c r="U216" s="32">
        <f t="shared" si="266"/>
        <v>73.909065604658224</v>
      </c>
      <c r="V216" s="32">
        <f t="shared" si="266"/>
        <v>86.948041010747033</v>
      </c>
      <c r="W216" s="32">
        <f t="shared" ref="W216" si="267">IF(W4=0,0,W64/W4*1000)</f>
        <v>85.713983516832215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84.013373860401316</v>
      </c>
      <c r="C217" s="141">
        <f t="shared" si="268"/>
        <v>84.850345578101155</v>
      </c>
      <c r="D217" s="141">
        <f t="shared" si="268"/>
        <v>95.869939250304213</v>
      </c>
      <c r="E217" s="141">
        <f t="shared" si="268"/>
        <v>93.018958446704829</v>
      </c>
      <c r="F217" s="141">
        <f t="shared" si="268"/>
        <v>86.161567993142555</v>
      </c>
      <c r="G217" s="141">
        <f t="shared" si="268"/>
        <v>88.768183343310298</v>
      </c>
      <c r="H217" s="141">
        <f t="shared" si="268"/>
        <v>84.187963002181135</v>
      </c>
      <c r="I217" s="141">
        <f t="shared" si="268"/>
        <v>90.379578638273301</v>
      </c>
      <c r="J217" s="141">
        <f t="shared" si="268"/>
        <v>95.912150379693102</v>
      </c>
      <c r="K217" s="141">
        <f t="shared" si="268"/>
        <v>94.91549795461934</v>
      </c>
      <c r="L217" s="141">
        <f t="shared" si="268"/>
        <v>95.461865054227005</v>
      </c>
      <c r="M217" s="141">
        <f t="shared" si="268"/>
        <v>92.895066153929463</v>
      </c>
      <c r="N217" s="141">
        <f t="shared" si="268"/>
        <v>90.910531926372059</v>
      </c>
      <c r="O217" s="141">
        <f t="shared" si="268"/>
        <v>90.39686194018374</v>
      </c>
      <c r="P217" s="141">
        <f t="shared" si="268"/>
        <v>87.895506933965692</v>
      </c>
      <c r="Q217" s="141">
        <f t="shared" si="268"/>
        <v>87.604854426547703</v>
      </c>
      <c r="R217" s="141">
        <f t="shared" si="268"/>
        <v>86.754427648524114</v>
      </c>
      <c r="S217" s="141">
        <f t="shared" si="268"/>
        <v>88.483267080443184</v>
      </c>
      <c r="T217" s="141">
        <f t="shared" si="268"/>
        <v>84.790453102494666</v>
      </c>
      <c r="U217" s="141">
        <f t="shared" si="268"/>
        <v>83.306981796930799</v>
      </c>
      <c r="V217" s="141">
        <f t="shared" si="268"/>
        <v>92.227581572988356</v>
      </c>
      <c r="W217" s="141">
        <f t="shared" ref="W217" si="269">IF(W5=0,0,W65/W5*1000)</f>
        <v>90.892067445819492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97.864238301672117</v>
      </c>
      <c r="C218" s="97">
        <f t="shared" si="270"/>
        <v>97.856540497502166</v>
      </c>
      <c r="D218" s="97">
        <f t="shared" si="270"/>
        <v>97.869079620619033</v>
      </c>
      <c r="E218" s="97">
        <f t="shared" si="270"/>
        <v>97.806058308028142</v>
      </c>
      <c r="F218" s="97">
        <f t="shared" si="270"/>
        <v>97.695227184025029</v>
      </c>
      <c r="G218" s="97">
        <f t="shared" si="270"/>
        <v>97.767953437083762</v>
      </c>
      <c r="H218" s="97">
        <f t="shared" si="270"/>
        <v>97.613137503185897</v>
      </c>
      <c r="I218" s="97">
        <f t="shared" si="270"/>
        <v>95.698774401149123</v>
      </c>
      <c r="J218" s="97">
        <f t="shared" si="270"/>
        <v>95.07994749953383</v>
      </c>
      <c r="K218" s="97">
        <f t="shared" si="270"/>
        <v>92.238096670053949</v>
      </c>
      <c r="L218" s="97">
        <f t="shared" si="270"/>
        <v>92.188258829657428</v>
      </c>
      <c r="M218" s="97">
        <f t="shared" si="270"/>
        <v>92.327270327083525</v>
      </c>
      <c r="N218" s="97">
        <f t="shared" si="270"/>
        <v>92.767593799811607</v>
      </c>
      <c r="O218" s="97">
        <f t="shared" si="270"/>
        <v>92.23782024671759</v>
      </c>
      <c r="P218" s="97">
        <f t="shared" si="270"/>
        <v>90.329204974203364</v>
      </c>
      <c r="Q218" s="97">
        <f t="shared" si="270"/>
        <v>89.851859369282522</v>
      </c>
      <c r="R218" s="97">
        <f t="shared" si="270"/>
        <v>90.38312431598554</v>
      </c>
      <c r="S218" s="97">
        <f t="shared" si="270"/>
        <v>89.258391385470276</v>
      </c>
      <c r="T218" s="97">
        <f t="shared" si="270"/>
        <v>88.83900460494722</v>
      </c>
      <c r="U218" s="97">
        <f t="shared" si="270"/>
        <v>87.906053767978094</v>
      </c>
      <c r="V218" s="97">
        <f t="shared" si="270"/>
        <v>86.314529918988768</v>
      </c>
      <c r="W218" s="97">
        <f t="shared" ref="W218" si="271">IF(W6=0,0,W66/W6*1000)</f>
        <v>79.190621931115814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93.201884039442888</v>
      </c>
      <c r="C219" s="97">
        <f t="shared" si="272"/>
        <v>95.995749494861542</v>
      </c>
      <c r="D219" s="97">
        <f t="shared" si="272"/>
        <v>110.03152926126035</v>
      </c>
      <c r="E219" s="97">
        <f t="shared" si="272"/>
        <v>103.82708737172374</v>
      </c>
      <c r="F219" s="97">
        <f t="shared" si="272"/>
        <v>96.429871943762294</v>
      </c>
      <c r="G219" s="97">
        <f t="shared" si="272"/>
        <v>99.557447442113244</v>
      </c>
      <c r="H219" s="97">
        <f t="shared" si="272"/>
        <v>93.941322192264863</v>
      </c>
      <c r="I219" s="97">
        <f t="shared" si="272"/>
        <v>98.736010110235796</v>
      </c>
      <c r="J219" s="97">
        <f t="shared" si="272"/>
        <v>102.1967439794888</v>
      </c>
      <c r="K219" s="97">
        <f t="shared" si="272"/>
        <v>95.158347160059705</v>
      </c>
      <c r="L219" s="97">
        <f t="shared" si="272"/>
        <v>95.806967694125859</v>
      </c>
      <c r="M219" s="97">
        <f t="shared" si="272"/>
        <v>94.799344389514062</v>
      </c>
      <c r="N219" s="97">
        <f t="shared" si="272"/>
        <v>92.36181862707754</v>
      </c>
      <c r="O219" s="97">
        <f t="shared" si="272"/>
        <v>91.746136701301126</v>
      </c>
      <c r="P219" s="97">
        <f t="shared" si="272"/>
        <v>89.281120491401538</v>
      </c>
      <c r="Q219" s="97">
        <f t="shared" si="272"/>
        <v>89.354186250886343</v>
      </c>
      <c r="R219" s="97">
        <f t="shared" si="272"/>
        <v>90.191713752781538</v>
      </c>
      <c r="S219" s="97">
        <f t="shared" si="272"/>
        <v>91.166668815739158</v>
      </c>
      <c r="T219" s="97">
        <f t="shared" si="272"/>
        <v>87.074619312374111</v>
      </c>
      <c r="U219" s="97">
        <f t="shared" si="272"/>
        <v>84.970145258990811</v>
      </c>
      <c r="V219" s="97">
        <f t="shared" si="272"/>
        <v>90.141969161002507</v>
      </c>
      <c r="W219" s="97">
        <f t="shared" ref="W219" si="273">IF(W7=0,0,W67/W7*1000)</f>
        <v>86.800385822035324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60.326131445535189</v>
      </c>
      <c r="C220" s="97">
        <f t="shared" si="274"/>
        <v>55.762014518520687</v>
      </c>
      <c r="D220" s="97">
        <f t="shared" si="274"/>
        <v>57.612022470240738</v>
      </c>
      <c r="E220" s="97">
        <f t="shared" si="274"/>
        <v>61.916217887285292</v>
      </c>
      <c r="F220" s="97">
        <f t="shared" si="274"/>
        <v>56.691162944784701</v>
      </c>
      <c r="G220" s="97">
        <f t="shared" si="274"/>
        <v>56.065263731371068</v>
      </c>
      <c r="H220" s="97">
        <f t="shared" si="274"/>
        <v>54.495898555381245</v>
      </c>
      <c r="I220" s="97">
        <f t="shared" si="274"/>
        <v>65.228059068427967</v>
      </c>
      <c r="J220" s="97">
        <f t="shared" si="274"/>
        <v>73.651340212975427</v>
      </c>
      <c r="K220" s="97">
        <f t="shared" si="274"/>
        <v>93.757057694587175</v>
      </c>
      <c r="L220" s="97">
        <f t="shared" si="274"/>
        <v>93.742455352322779</v>
      </c>
      <c r="M220" s="97">
        <f t="shared" si="274"/>
        <v>83.555117723981198</v>
      </c>
      <c r="N220" s="97">
        <f t="shared" si="274"/>
        <v>83.682960482011637</v>
      </c>
      <c r="O220" s="97">
        <f t="shared" si="274"/>
        <v>83.394963792354574</v>
      </c>
      <c r="P220" s="97">
        <f t="shared" si="274"/>
        <v>80.794303214170185</v>
      </c>
      <c r="Q220" s="97">
        <f t="shared" si="274"/>
        <v>78.583365401001828</v>
      </c>
      <c r="R220" s="97">
        <f t="shared" si="274"/>
        <v>70.435644093815043</v>
      </c>
      <c r="S220" s="97">
        <f t="shared" si="274"/>
        <v>75.732293514504406</v>
      </c>
      <c r="T220" s="97">
        <f t="shared" si="274"/>
        <v>74.29658263433214</v>
      </c>
      <c r="U220" s="97">
        <f t="shared" si="274"/>
        <v>75.523296895703197</v>
      </c>
      <c r="V220" s="97">
        <f t="shared" si="274"/>
        <v>106.24039242724984</v>
      </c>
      <c r="W220" s="97">
        <f t="shared" ref="W220" si="275">IF(W8=0,0,W68/W8*1000)</f>
        <v>125.19578572451556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0</v>
      </c>
      <c r="C221" s="130">
        <f t="shared" si="276"/>
        <v>0</v>
      </c>
      <c r="D221" s="130">
        <f t="shared" si="276"/>
        <v>0</v>
      </c>
      <c r="E221" s="130">
        <f t="shared" si="276"/>
        <v>0</v>
      </c>
      <c r="F221" s="130">
        <f t="shared" si="276"/>
        <v>0</v>
      </c>
      <c r="G221" s="130">
        <f t="shared" si="276"/>
        <v>0</v>
      </c>
      <c r="H221" s="130">
        <f t="shared" si="276"/>
        <v>0</v>
      </c>
      <c r="I221" s="130">
        <f t="shared" si="276"/>
        <v>0</v>
      </c>
      <c r="J221" s="130">
        <f t="shared" si="276"/>
        <v>0</v>
      </c>
      <c r="K221" s="130">
        <f t="shared" si="276"/>
        <v>0</v>
      </c>
      <c r="L221" s="130">
        <f t="shared" si="276"/>
        <v>0</v>
      </c>
      <c r="M221" s="130">
        <f t="shared" si="276"/>
        <v>0</v>
      </c>
      <c r="N221" s="130">
        <f t="shared" si="276"/>
        <v>0</v>
      </c>
      <c r="O221" s="130">
        <f t="shared" si="276"/>
        <v>0</v>
      </c>
      <c r="P221" s="130">
        <f t="shared" si="276"/>
        <v>0</v>
      </c>
      <c r="Q221" s="130">
        <f t="shared" si="276"/>
        <v>0</v>
      </c>
      <c r="R221" s="130">
        <f t="shared" si="276"/>
        <v>0</v>
      </c>
      <c r="S221" s="130">
        <f t="shared" si="276"/>
        <v>0</v>
      </c>
      <c r="T221" s="130">
        <f t="shared" si="276"/>
        <v>0</v>
      </c>
      <c r="U221" s="130">
        <f t="shared" si="276"/>
        <v>0</v>
      </c>
      <c r="V221" s="130">
        <f t="shared" si="276"/>
        <v>0</v>
      </c>
      <c r="W221" s="130">
        <f t="shared" ref="W221" si="277">IF(W9=0,0,W69/W9*1000)</f>
        <v>0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0</v>
      </c>
      <c r="C223" s="97">
        <f t="shared" si="280"/>
        <v>0</v>
      </c>
      <c r="D223" s="97">
        <f t="shared" si="280"/>
        <v>0</v>
      </c>
      <c r="E223" s="97">
        <f t="shared" si="280"/>
        <v>0</v>
      </c>
      <c r="F223" s="97">
        <f t="shared" si="280"/>
        <v>0</v>
      </c>
      <c r="G223" s="97">
        <f t="shared" si="280"/>
        <v>0</v>
      </c>
      <c r="H223" s="97">
        <f t="shared" si="280"/>
        <v>0</v>
      </c>
      <c r="I223" s="97">
        <f t="shared" si="280"/>
        <v>0</v>
      </c>
      <c r="J223" s="97">
        <f t="shared" si="280"/>
        <v>0</v>
      </c>
      <c r="K223" s="97">
        <f t="shared" si="280"/>
        <v>0</v>
      </c>
      <c r="L223" s="97">
        <f t="shared" si="280"/>
        <v>0</v>
      </c>
      <c r="M223" s="97">
        <f t="shared" si="280"/>
        <v>0</v>
      </c>
      <c r="N223" s="97">
        <f t="shared" si="280"/>
        <v>0</v>
      </c>
      <c r="O223" s="97">
        <f t="shared" si="280"/>
        <v>0</v>
      </c>
      <c r="P223" s="97">
        <f t="shared" si="280"/>
        <v>0</v>
      </c>
      <c r="Q223" s="97">
        <f t="shared" si="280"/>
        <v>0</v>
      </c>
      <c r="R223" s="97">
        <f t="shared" si="280"/>
        <v>0</v>
      </c>
      <c r="S223" s="97">
        <f t="shared" si="280"/>
        <v>0</v>
      </c>
      <c r="T223" s="97">
        <f t="shared" si="280"/>
        <v>0</v>
      </c>
      <c r="U223" s="97">
        <f t="shared" si="280"/>
        <v>0</v>
      </c>
      <c r="V223" s="97">
        <f t="shared" si="280"/>
        <v>0</v>
      </c>
      <c r="W223" s="97">
        <f t="shared" ref="W223" si="281">IF(W11=0,0,W71/W11*1000)</f>
        <v>0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207.120330290287</v>
      </c>
      <c r="C225" s="130">
        <f t="shared" si="284"/>
        <v>205.13691589834977</v>
      </c>
      <c r="D225" s="130">
        <f t="shared" si="284"/>
        <v>254.13303754596544</v>
      </c>
      <c r="E225" s="130">
        <f t="shared" si="284"/>
        <v>130.99097718076902</v>
      </c>
      <c r="F225" s="130">
        <f t="shared" si="284"/>
        <v>65.34027632190265</v>
      </c>
      <c r="G225" s="130">
        <f t="shared" si="284"/>
        <v>85.544125796429739</v>
      </c>
      <c r="H225" s="130">
        <f t="shared" si="284"/>
        <v>81.851450113049111</v>
      </c>
      <c r="I225" s="130">
        <f t="shared" si="284"/>
        <v>97.474989445024875</v>
      </c>
      <c r="J225" s="130">
        <f t="shared" si="284"/>
        <v>108.0368955334629</v>
      </c>
      <c r="K225" s="130">
        <f t="shared" si="284"/>
        <v>103.7153090928081</v>
      </c>
      <c r="L225" s="130">
        <f t="shared" si="284"/>
        <v>89.882639995881149</v>
      </c>
      <c r="M225" s="130">
        <f t="shared" si="284"/>
        <v>93.72656993126914</v>
      </c>
      <c r="N225" s="130">
        <f t="shared" si="284"/>
        <v>93.336935656058102</v>
      </c>
      <c r="O225" s="130">
        <f t="shared" si="284"/>
        <v>110.48458603331555</v>
      </c>
      <c r="P225" s="130">
        <f t="shared" si="284"/>
        <v>87.056345922430737</v>
      </c>
      <c r="Q225" s="130">
        <f t="shared" si="284"/>
        <v>93.773300612542684</v>
      </c>
      <c r="R225" s="130">
        <f t="shared" si="284"/>
        <v>98.305671405450354</v>
      </c>
      <c r="S225" s="130">
        <f t="shared" si="284"/>
        <v>68.995096960182721</v>
      </c>
      <c r="T225" s="130">
        <f t="shared" si="284"/>
        <v>70.354529408881717</v>
      </c>
      <c r="U225" s="130">
        <f t="shared" si="284"/>
        <v>66.39757064348899</v>
      </c>
      <c r="V225" s="130">
        <f t="shared" si="284"/>
        <v>226.90209905180254</v>
      </c>
      <c r="W225" s="130">
        <f t="shared" ref="W225" si="285">IF(W13=0,0,W73/W13*1000)</f>
        <v>144.15124675939907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0</v>
      </c>
      <c r="C226" s="97">
        <f t="shared" si="286"/>
        <v>0</v>
      </c>
      <c r="D226" s="97">
        <f t="shared" si="286"/>
        <v>0</v>
      </c>
      <c r="E226" s="97">
        <f t="shared" si="286"/>
        <v>0</v>
      </c>
      <c r="F226" s="97">
        <f t="shared" si="286"/>
        <v>0</v>
      </c>
      <c r="G226" s="97">
        <f t="shared" si="286"/>
        <v>0</v>
      </c>
      <c r="H226" s="97">
        <f t="shared" si="286"/>
        <v>0</v>
      </c>
      <c r="I226" s="97">
        <f t="shared" si="286"/>
        <v>0</v>
      </c>
      <c r="J226" s="97">
        <f t="shared" si="286"/>
        <v>0</v>
      </c>
      <c r="K226" s="97">
        <f t="shared" si="286"/>
        <v>0</v>
      </c>
      <c r="L226" s="97">
        <f t="shared" si="286"/>
        <v>0</v>
      </c>
      <c r="M226" s="97">
        <f t="shared" si="286"/>
        <v>0</v>
      </c>
      <c r="N226" s="97">
        <f t="shared" si="286"/>
        <v>0</v>
      </c>
      <c r="O226" s="97">
        <f t="shared" si="286"/>
        <v>0</v>
      </c>
      <c r="P226" s="97">
        <f t="shared" si="286"/>
        <v>0</v>
      </c>
      <c r="Q226" s="97">
        <f t="shared" si="286"/>
        <v>0</v>
      </c>
      <c r="R226" s="97">
        <f t="shared" si="286"/>
        <v>0</v>
      </c>
      <c r="S226" s="97">
        <f t="shared" si="286"/>
        <v>0</v>
      </c>
      <c r="T226" s="97">
        <f t="shared" si="286"/>
        <v>0</v>
      </c>
      <c r="U226" s="97">
        <f t="shared" si="286"/>
        <v>0</v>
      </c>
      <c r="V226" s="97">
        <f t="shared" si="286"/>
        <v>0</v>
      </c>
      <c r="W226" s="97">
        <f t="shared" ref="W226" si="287">IF(W14=0,0,W74/W14*1000)</f>
        <v>0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191.10657441977597</v>
      </c>
      <c r="C227" s="97">
        <f t="shared" si="288"/>
        <v>189.06303458841634</v>
      </c>
      <c r="D227" s="97">
        <f t="shared" si="288"/>
        <v>230.92764149863245</v>
      </c>
      <c r="E227" s="97">
        <f t="shared" si="288"/>
        <v>118.92565652073147</v>
      </c>
      <c r="F227" s="97">
        <f t="shared" si="288"/>
        <v>60.63754125622976</v>
      </c>
      <c r="G227" s="97">
        <f t="shared" si="288"/>
        <v>74.006592569423248</v>
      </c>
      <c r="H227" s="97">
        <f t="shared" si="288"/>
        <v>65.299760910254719</v>
      </c>
      <c r="I227" s="97">
        <f t="shared" si="288"/>
        <v>87.382697133842541</v>
      </c>
      <c r="J227" s="97">
        <f t="shared" si="288"/>
        <v>99.580067099466163</v>
      </c>
      <c r="K227" s="97">
        <f t="shared" si="288"/>
        <v>92.89512252312619</v>
      </c>
      <c r="L227" s="97">
        <f t="shared" si="288"/>
        <v>79.384878929355992</v>
      </c>
      <c r="M227" s="97">
        <f t="shared" si="288"/>
        <v>78.675537536386784</v>
      </c>
      <c r="N227" s="97">
        <f t="shared" si="288"/>
        <v>80.667095905458908</v>
      </c>
      <c r="O227" s="97">
        <f t="shared" si="288"/>
        <v>90.815452785606325</v>
      </c>
      <c r="P227" s="97">
        <f t="shared" si="288"/>
        <v>72.102859439736378</v>
      </c>
      <c r="Q227" s="97">
        <f t="shared" si="288"/>
        <v>81.559482732367158</v>
      </c>
      <c r="R227" s="97">
        <f t="shared" si="288"/>
        <v>83.797059003845135</v>
      </c>
      <c r="S227" s="97">
        <f t="shared" si="288"/>
        <v>68.124722947667181</v>
      </c>
      <c r="T227" s="97">
        <f t="shared" si="288"/>
        <v>73.448106723493709</v>
      </c>
      <c r="U227" s="97">
        <f t="shared" si="288"/>
        <v>71.633414968416673</v>
      </c>
      <c r="V227" s="97">
        <f t="shared" si="288"/>
        <v>171.77960236029975</v>
      </c>
      <c r="W227" s="97">
        <f t="shared" ref="W227" si="289">IF(W15=0,0,W75/W15*1000)</f>
        <v>115.76278766296505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238.08774647682253</v>
      </c>
      <c r="C228" s="97">
        <f t="shared" si="290"/>
        <v>236.23144160821846</v>
      </c>
      <c r="D228" s="97">
        <f t="shared" si="290"/>
        <v>286.30547948487765</v>
      </c>
      <c r="E228" s="97">
        <f t="shared" si="290"/>
        <v>148.88137230652839</v>
      </c>
      <c r="F228" s="97">
        <f t="shared" si="290"/>
        <v>73.017368754394582</v>
      </c>
      <c r="G228" s="97">
        <f t="shared" si="290"/>
        <v>112.53496949535779</v>
      </c>
      <c r="H228" s="97">
        <f t="shared" si="290"/>
        <v>148.95996169091327</v>
      </c>
      <c r="I228" s="97">
        <f t="shared" si="290"/>
        <v>124.441626718677</v>
      </c>
      <c r="J228" s="97">
        <f t="shared" si="290"/>
        <v>132.23370036164306</v>
      </c>
      <c r="K228" s="97">
        <f t="shared" si="290"/>
        <v>132.51259856302875</v>
      </c>
      <c r="L228" s="97">
        <f t="shared" si="290"/>
        <v>115.60112415094724</v>
      </c>
      <c r="M228" s="97">
        <f t="shared" si="290"/>
        <v>134.76315597888728</v>
      </c>
      <c r="N228" s="97">
        <f t="shared" si="290"/>
        <v>123.50391552619774</v>
      </c>
      <c r="O228" s="97">
        <f t="shared" si="290"/>
        <v>165.39028915854112</v>
      </c>
      <c r="P228" s="97">
        <f t="shared" si="290"/>
        <v>131.92225168462815</v>
      </c>
      <c r="Q228" s="97">
        <f t="shared" si="290"/>
        <v>128.14246478955491</v>
      </c>
      <c r="R228" s="97">
        <f t="shared" si="290"/>
        <v>146.30930438693636</v>
      </c>
      <c r="S228" s="97">
        <f t="shared" si="290"/>
        <v>70.647734442696645</v>
      </c>
      <c r="T228" s="97">
        <f t="shared" si="290"/>
        <v>65.195021737455647</v>
      </c>
      <c r="U228" s="97">
        <f t="shared" si="290"/>
        <v>58.42422803001017</v>
      </c>
      <c r="V228" s="97">
        <f t="shared" si="290"/>
        <v>376.68597254497132</v>
      </c>
      <c r="W228" s="97">
        <f t="shared" ref="W228" si="291">IF(W16=0,0,W76/W16*1000)</f>
        <v>223.84656632828882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58.875847211144233</v>
      </c>
      <c r="C229" s="32">
        <f t="shared" si="292"/>
        <v>58.100802868573084</v>
      </c>
      <c r="D229" s="32">
        <f t="shared" si="292"/>
        <v>89.423555325220207</v>
      </c>
      <c r="E229" s="32">
        <f t="shared" si="292"/>
        <v>69.346311582393426</v>
      </c>
      <c r="F229" s="32">
        <f t="shared" si="292"/>
        <v>76.605379193891523</v>
      </c>
      <c r="G229" s="32">
        <f t="shared" si="292"/>
        <v>97.620130554540424</v>
      </c>
      <c r="H229" s="32">
        <f t="shared" si="292"/>
        <v>103.83702523739632</v>
      </c>
      <c r="I229" s="32">
        <f t="shared" si="292"/>
        <v>110.36801418729556</v>
      </c>
      <c r="J229" s="32">
        <f t="shared" si="292"/>
        <v>121.54576271699938</v>
      </c>
      <c r="K229" s="32">
        <f t="shared" si="292"/>
        <v>119.75578533046135</v>
      </c>
      <c r="L229" s="32">
        <f t="shared" si="292"/>
        <v>149.83933003258034</v>
      </c>
      <c r="M229" s="32">
        <f t="shared" si="292"/>
        <v>148.35113283955934</v>
      </c>
      <c r="N229" s="32">
        <f t="shared" si="292"/>
        <v>143.35097524815106</v>
      </c>
      <c r="O229" s="32">
        <f t="shared" si="292"/>
        <v>136.19620141860918</v>
      </c>
      <c r="P229" s="32">
        <f t="shared" si="292"/>
        <v>127.01583532528937</v>
      </c>
      <c r="Q229" s="32">
        <f t="shared" si="292"/>
        <v>121.24923398740611</v>
      </c>
      <c r="R229" s="32">
        <f t="shared" si="292"/>
        <v>140.11815584808352</v>
      </c>
      <c r="S229" s="32">
        <f t="shared" si="292"/>
        <v>167.77404136179234</v>
      </c>
      <c r="T229" s="32">
        <f t="shared" si="292"/>
        <v>169.96790503026273</v>
      </c>
      <c r="U229" s="32">
        <f t="shared" si="292"/>
        <v>167.05081049587736</v>
      </c>
      <c r="V229" s="32">
        <f t="shared" si="292"/>
        <v>167.58891601344476</v>
      </c>
      <c r="W229" s="32">
        <f t="shared" ref="W229" si="293">IF(W17=0,0,W77/W17*1000)</f>
        <v>172.06220409162421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135.26139491387175</v>
      </c>
      <c r="C230" s="141">
        <f t="shared" si="294"/>
        <v>123.44430884249566</v>
      </c>
      <c r="D230" s="141">
        <f t="shared" si="294"/>
        <v>189.04144089419555</v>
      </c>
      <c r="E230" s="141">
        <f t="shared" si="294"/>
        <v>143.24480707235068</v>
      </c>
      <c r="F230" s="141">
        <f t="shared" si="294"/>
        <v>148.94645033793537</v>
      </c>
      <c r="G230" s="141">
        <f t="shared" si="294"/>
        <v>184.9427486630471</v>
      </c>
      <c r="H230" s="141">
        <f t="shared" si="294"/>
        <v>204.67237905864565</v>
      </c>
      <c r="I230" s="141">
        <f t="shared" si="294"/>
        <v>201.29430690564564</v>
      </c>
      <c r="J230" s="141">
        <f t="shared" si="294"/>
        <v>214.36760377804941</v>
      </c>
      <c r="K230" s="141">
        <f t="shared" si="294"/>
        <v>195.47893410619125</v>
      </c>
      <c r="L230" s="141">
        <f t="shared" si="294"/>
        <v>260.71623231707235</v>
      </c>
      <c r="M230" s="141">
        <f t="shared" si="294"/>
        <v>251.48198674079237</v>
      </c>
      <c r="N230" s="141">
        <f t="shared" si="294"/>
        <v>237.18215872735001</v>
      </c>
      <c r="O230" s="141">
        <f t="shared" si="294"/>
        <v>234.66604599095669</v>
      </c>
      <c r="P230" s="141">
        <f t="shared" si="294"/>
        <v>216.49938366854101</v>
      </c>
      <c r="Q230" s="141">
        <f t="shared" si="294"/>
        <v>196.22060639586681</v>
      </c>
      <c r="R230" s="141">
        <f t="shared" si="294"/>
        <v>221.72207679626362</v>
      </c>
      <c r="S230" s="141">
        <f t="shared" si="294"/>
        <v>259.06547810250146</v>
      </c>
      <c r="T230" s="141">
        <f t="shared" si="294"/>
        <v>259.45205197084886</v>
      </c>
      <c r="U230" s="141">
        <f t="shared" si="294"/>
        <v>250.428790102383</v>
      </c>
      <c r="V230" s="141">
        <f t="shared" si="294"/>
        <v>241.4121843843856</v>
      </c>
      <c r="W230" s="141">
        <f t="shared" ref="W230" si="295">IF(W18=0,0,W78/W18*1000)</f>
        <v>261.1779118937913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2887.3651548224284</v>
      </c>
      <c r="C231" s="97">
        <f t="shared" si="296"/>
        <v>2837.1039748357671</v>
      </c>
      <c r="D231" s="97">
        <f t="shared" si="296"/>
        <v>3410.2669723119316</v>
      </c>
      <c r="E231" s="97">
        <f t="shared" si="296"/>
        <v>3190.6597099413548</v>
      </c>
      <c r="F231" s="97">
        <f t="shared" si="296"/>
        <v>3225.8085874744929</v>
      </c>
      <c r="G231" s="97">
        <f t="shared" si="296"/>
        <v>3289.2347658825724</v>
      </c>
      <c r="H231" s="97">
        <f t="shared" si="296"/>
        <v>2975.4424676619929</v>
      </c>
      <c r="I231" s="97">
        <f t="shared" si="296"/>
        <v>3076.4008095374643</v>
      </c>
      <c r="J231" s="97">
        <f t="shared" si="296"/>
        <v>2838.2453843687158</v>
      </c>
      <c r="K231" s="97">
        <f t="shared" si="296"/>
        <v>2544.0250298460019</v>
      </c>
      <c r="L231" s="97">
        <f t="shared" si="296"/>
        <v>2878.0973621170992</v>
      </c>
      <c r="M231" s="97">
        <f t="shared" si="296"/>
        <v>2935.2759655366981</v>
      </c>
      <c r="N231" s="97">
        <f t="shared" si="296"/>
        <v>2743.2426410039729</v>
      </c>
      <c r="O231" s="97">
        <f t="shared" si="296"/>
        <v>2663.9458286196832</v>
      </c>
      <c r="P231" s="97">
        <f t="shared" si="296"/>
        <v>2714.7742665315604</v>
      </c>
      <c r="Q231" s="97">
        <f t="shared" si="296"/>
        <v>2547.8376140685905</v>
      </c>
      <c r="R231" s="97">
        <f t="shared" si="296"/>
        <v>2782.4808668482901</v>
      </c>
      <c r="S231" s="97">
        <f t="shared" si="296"/>
        <v>2989.7160741732346</v>
      </c>
      <c r="T231" s="97">
        <f t="shared" si="296"/>
        <v>2973.3225549252602</v>
      </c>
      <c r="U231" s="97">
        <f t="shared" si="296"/>
        <v>2934.7260526221671</v>
      </c>
      <c r="V231" s="97">
        <f t="shared" si="296"/>
        <v>2955.472736290269</v>
      </c>
      <c r="W231" s="97">
        <f t="shared" ref="W231" si="297">IF(W19=0,0,W79/W19*1000)</f>
        <v>2788.2401952624764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75.186723617787223</v>
      </c>
      <c r="C232" s="97">
        <f t="shared" si="298"/>
        <v>66.309405295894578</v>
      </c>
      <c r="D232" s="97">
        <f t="shared" si="298"/>
        <v>119.83618428988092</v>
      </c>
      <c r="E232" s="97">
        <f t="shared" si="298"/>
        <v>79.52197822642546</v>
      </c>
      <c r="F232" s="97">
        <f t="shared" si="298"/>
        <v>86.991575328827665</v>
      </c>
      <c r="G232" s="97">
        <f t="shared" si="298"/>
        <v>119.50413320556044</v>
      </c>
      <c r="H232" s="97">
        <f t="shared" si="298"/>
        <v>145.47519929427119</v>
      </c>
      <c r="I232" s="97">
        <f t="shared" si="298"/>
        <v>140.70199927052403</v>
      </c>
      <c r="J232" s="97">
        <f t="shared" si="298"/>
        <v>157.36514758490088</v>
      </c>
      <c r="K232" s="97">
        <f t="shared" si="298"/>
        <v>134.61080562885752</v>
      </c>
      <c r="L232" s="97">
        <f t="shared" si="298"/>
        <v>191.3213696672191</v>
      </c>
      <c r="M232" s="97">
        <f t="shared" si="298"/>
        <v>179.37935734364285</v>
      </c>
      <c r="N232" s="97">
        <f t="shared" si="298"/>
        <v>168.11684052397288</v>
      </c>
      <c r="O232" s="97">
        <f t="shared" si="298"/>
        <v>174.80967262788954</v>
      </c>
      <c r="P232" s="97">
        <f t="shared" si="298"/>
        <v>165.39043759883012</v>
      </c>
      <c r="Q232" s="97">
        <f t="shared" si="298"/>
        <v>144.16416010553718</v>
      </c>
      <c r="R232" s="97">
        <f t="shared" si="298"/>
        <v>173.04771437122665</v>
      </c>
      <c r="S232" s="97">
        <f t="shared" si="298"/>
        <v>211.0623801153591</v>
      </c>
      <c r="T232" s="97">
        <f t="shared" si="298"/>
        <v>212.79459476309597</v>
      </c>
      <c r="U232" s="97">
        <f t="shared" si="298"/>
        <v>205.93928755230007</v>
      </c>
      <c r="V232" s="97">
        <f t="shared" si="298"/>
        <v>193.81304359155155</v>
      </c>
      <c r="W232" s="97">
        <f t="shared" ref="W232" si="299">IF(W20=0,0,W80/W20*1000)</f>
        <v>216.34100163103267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0</v>
      </c>
      <c r="C233" s="130">
        <f t="shared" si="300"/>
        <v>0</v>
      </c>
      <c r="D233" s="130">
        <f t="shared" si="300"/>
        <v>0</v>
      </c>
      <c r="E233" s="130">
        <f t="shared" si="300"/>
        <v>0</v>
      </c>
      <c r="F233" s="130">
        <f t="shared" si="300"/>
        <v>0</v>
      </c>
      <c r="G233" s="130">
        <f t="shared" si="300"/>
        <v>0</v>
      </c>
      <c r="H233" s="130">
        <f t="shared" si="300"/>
        <v>0</v>
      </c>
      <c r="I233" s="130">
        <f t="shared" si="300"/>
        <v>0</v>
      </c>
      <c r="J233" s="130">
        <f t="shared" si="300"/>
        <v>0</v>
      </c>
      <c r="K233" s="130">
        <f t="shared" si="300"/>
        <v>0</v>
      </c>
      <c r="L233" s="130">
        <f t="shared" si="300"/>
        <v>0</v>
      </c>
      <c r="M233" s="130">
        <f t="shared" si="300"/>
        <v>0</v>
      </c>
      <c r="N233" s="130">
        <f t="shared" si="300"/>
        <v>0</v>
      </c>
      <c r="O233" s="130">
        <f t="shared" si="300"/>
        <v>0</v>
      </c>
      <c r="P233" s="130">
        <f t="shared" si="300"/>
        <v>0</v>
      </c>
      <c r="Q233" s="130">
        <f t="shared" si="300"/>
        <v>0</v>
      </c>
      <c r="R233" s="130">
        <f t="shared" si="300"/>
        <v>0</v>
      </c>
      <c r="S233" s="130">
        <f t="shared" si="300"/>
        <v>0</v>
      </c>
      <c r="T233" s="130">
        <f t="shared" si="300"/>
        <v>0</v>
      </c>
      <c r="U233" s="130">
        <f t="shared" si="300"/>
        <v>0</v>
      </c>
      <c r="V233" s="130">
        <f t="shared" si="300"/>
        <v>0</v>
      </c>
      <c r="W233" s="130">
        <f t="shared" ref="W233" si="301">IF(W21=0,0,W81/W21*1000)</f>
        <v>0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376.26367486059155</v>
      </c>
      <c r="C234" s="130">
        <f t="shared" si="302"/>
        <v>359.04885130498866</v>
      </c>
      <c r="D234" s="130">
        <f t="shared" si="302"/>
        <v>593.09756324466377</v>
      </c>
      <c r="E234" s="130">
        <f t="shared" si="302"/>
        <v>224.72751595905808</v>
      </c>
      <c r="F234" s="130">
        <f t="shared" si="302"/>
        <v>117.29908155779766</v>
      </c>
      <c r="G234" s="130">
        <f t="shared" si="302"/>
        <v>180.79441140297752</v>
      </c>
      <c r="H234" s="130">
        <f t="shared" si="302"/>
        <v>260.58764884086656</v>
      </c>
      <c r="I234" s="130">
        <f t="shared" si="302"/>
        <v>287.903358567282</v>
      </c>
      <c r="J234" s="130">
        <f t="shared" si="302"/>
        <v>328.36845127760563</v>
      </c>
      <c r="K234" s="130">
        <f t="shared" si="302"/>
        <v>342.80164259526242</v>
      </c>
      <c r="L234" s="130">
        <f t="shared" si="302"/>
        <v>333.44519290375831</v>
      </c>
      <c r="M234" s="130">
        <f t="shared" si="302"/>
        <v>339.10699300501619</v>
      </c>
      <c r="N234" s="130">
        <f t="shared" si="302"/>
        <v>385.16787849858713</v>
      </c>
      <c r="O234" s="130">
        <f t="shared" si="302"/>
        <v>466.91459933216709</v>
      </c>
      <c r="P234" s="130">
        <f t="shared" si="302"/>
        <v>297.02942665556668</v>
      </c>
      <c r="Q234" s="130">
        <f t="shared" si="302"/>
        <v>321.84557377945885</v>
      </c>
      <c r="R234" s="130">
        <f t="shared" si="302"/>
        <v>309.79878577042552</v>
      </c>
      <c r="S234" s="130">
        <f t="shared" si="302"/>
        <v>301.24151312295191</v>
      </c>
      <c r="T234" s="130">
        <f t="shared" si="302"/>
        <v>300.76926104441293</v>
      </c>
      <c r="U234" s="130">
        <f t="shared" si="302"/>
        <v>313.61961096229948</v>
      </c>
      <c r="V234" s="130">
        <f t="shared" si="302"/>
        <v>1035.3947610937951</v>
      </c>
      <c r="W234" s="130">
        <f t="shared" ref="W234" si="303">IF(W22=0,0,W82/W22*1000)</f>
        <v>684.98220464186295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593.86057479795659</v>
      </c>
      <c r="C236" s="97">
        <f t="shared" si="306"/>
        <v>575.32617123991406</v>
      </c>
      <c r="D236" s="97">
        <f t="shared" si="306"/>
        <v>752.88094918636648</v>
      </c>
      <c r="E236" s="97">
        <f t="shared" si="306"/>
        <v>376.62817342889355</v>
      </c>
      <c r="F236" s="97">
        <f t="shared" si="306"/>
        <v>207.86223368626656</v>
      </c>
      <c r="G236" s="97">
        <f t="shared" si="306"/>
        <v>261.95004175753832</v>
      </c>
      <c r="H236" s="97">
        <f t="shared" si="306"/>
        <v>292.66285236345783</v>
      </c>
      <c r="I236" s="97">
        <f t="shared" si="306"/>
        <v>403.82332883464636</v>
      </c>
      <c r="J236" s="97">
        <f t="shared" si="306"/>
        <v>340.26227975493555</v>
      </c>
      <c r="K236" s="97">
        <f t="shared" si="306"/>
        <v>349.8393513729381</v>
      </c>
      <c r="L236" s="97">
        <f t="shared" si="306"/>
        <v>335.815986679704</v>
      </c>
      <c r="M236" s="97">
        <f t="shared" si="306"/>
        <v>339.51557681268076</v>
      </c>
      <c r="N236" s="97">
        <f t="shared" si="306"/>
        <v>387.97247200672876</v>
      </c>
      <c r="O236" s="97">
        <f t="shared" si="306"/>
        <v>472.88805358808065</v>
      </c>
      <c r="P236" s="97">
        <f t="shared" si="306"/>
        <v>321.58733722932504</v>
      </c>
      <c r="Q236" s="97">
        <f t="shared" si="306"/>
        <v>358.94841504396794</v>
      </c>
      <c r="R236" s="97">
        <f t="shared" si="306"/>
        <v>348.19950250966605</v>
      </c>
      <c r="S236" s="97">
        <f t="shared" si="306"/>
        <v>325.25565216752437</v>
      </c>
      <c r="T236" s="97">
        <f t="shared" si="306"/>
        <v>337.0808932294961</v>
      </c>
      <c r="U236" s="97">
        <f t="shared" si="306"/>
        <v>326.11654197376947</v>
      </c>
      <c r="V236" s="97">
        <f t="shared" si="306"/>
        <v>1048.5347999379564</v>
      </c>
      <c r="W236" s="97">
        <f t="shared" ref="W236" si="307">IF(W24=0,0,W84/W24*1000)</f>
        <v>687.9247146730014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279.68548968288343</v>
      </c>
      <c r="C237" s="97">
        <f t="shared" si="308"/>
        <v>268.02105279422778</v>
      </c>
      <c r="D237" s="97">
        <f t="shared" si="308"/>
        <v>345.94286741099023</v>
      </c>
      <c r="E237" s="97">
        <f t="shared" si="308"/>
        <v>198.62539839302684</v>
      </c>
      <c r="F237" s="97">
        <f t="shared" si="308"/>
        <v>100.74891041070236</v>
      </c>
      <c r="G237" s="97">
        <f t="shared" si="308"/>
        <v>167.58249567684592</v>
      </c>
      <c r="H237" s="97">
        <f t="shared" si="308"/>
        <v>257.87155306210377</v>
      </c>
      <c r="I237" s="97">
        <f t="shared" si="308"/>
        <v>275.23647441931337</v>
      </c>
      <c r="J237" s="97">
        <f t="shared" si="308"/>
        <v>297.33776848483558</v>
      </c>
      <c r="K237" s="97">
        <f t="shared" si="308"/>
        <v>298.40429612507046</v>
      </c>
      <c r="L237" s="97">
        <f t="shared" si="308"/>
        <v>325.44661262002109</v>
      </c>
      <c r="M237" s="97">
        <f t="shared" si="308"/>
        <v>317.61314622255861</v>
      </c>
      <c r="N237" s="97">
        <f t="shared" si="308"/>
        <v>252.89473400138957</v>
      </c>
      <c r="O237" s="97">
        <f t="shared" si="308"/>
        <v>311.3981067939153</v>
      </c>
      <c r="P237" s="97">
        <f t="shared" si="308"/>
        <v>227.694024779708</v>
      </c>
      <c r="Q237" s="97">
        <f t="shared" si="308"/>
        <v>186.01445834588782</v>
      </c>
      <c r="R237" s="97">
        <f t="shared" si="308"/>
        <v>163.10176146675116</v>
      </c>
      <c r="S237" s="97">
        <f t="shared" si="308"/>
        <v>94.486273021330717</v>
      </c>
      <c r="T237" s="97">
        <f t="shared" si="308"/>
        <v>88.725078229687341</v>
      </c>
      <c r="U237" s="97">
        <f t="shared" si="308"/>
        <v>83.344649012229709</v>
      </c>
      <c r="V237" s="97">
        <f t="shared" si="308"/>
        <v>640.18804968440907</v>
      </c>
      <c r="W237" s="97">
        <f t="shared" ref="W237" si="309">IF(W25=0,0,W85/W25*1000)</f>
        <v>326.08650671091351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50.336424508953819</v>
      </c>
      <c r="C238" s="130">
        <f t="shared" si="310"/>
        <v>83.315157605305473</v>
      </c>
      <c r="D238" s="130">
        <f t="shared" si="310"/>
        <v>101.4689601730265</v>
      </c>
      <c r="E238" s="130">
        <f t="shared" si="310"/>
        <v>67.873204407272723</v>
      </c>
      <c r="F238" s="130">
        <f t="shared" si="310"/>
        <v>67.407480000000007</v>
      </c>
      <c r="G238" s="130">
        <f t="shared" si="310"/>
        <v>76.917188511684458</v>
      </c>
      <c r="H238" s="130">
        <f t="shared" si="310"/>
        <v>50.0413266676942</v>
      </c>
      <c r="I238" s="130">
        <f t="shared" si="310"/>
        <v>45.272448046613547</v>
      </c>
      <c r="J238" s="130">
        <f t="shared" si="310"/>
        <v>55.347602243051767</v>
      </c>
      <c r="K238" s="130">
        <f t="shared" si="310"/>
        <v>42.226024957508344</v>
      </c>
      <c r="L238" s="130">
        <f t="shared" si="310"/>
        <v>42.009203263246434</v>
      </c>
      <c r="M238" s="130">
        <f t="shared" si="310"/>
        <v>54.317321632653069</v>
      </c>
      <c r="N238" s="130">
        <f t="shared" si="310"/>
        <v>50.774576243002031</v>
      </c>
      <c r="O238" s="130">
        <f t="shared" si="310"/>
        <v>49.262463132405571</v>
      </c>
      <c r="P238" s="130">
        <f t="shared" si="310"/>
        <v>54.201484692596686</v>
      </c>
      <c r="Q238" s="130">
        <f t="shared" si="310"/>
        <v>65.515046400000003</v>
      </c>
      <c r="R238" s="130">
        <f t="shared" si="310"/>
        <v>61.742600503654486</v>
      </c>
      <c r="S238" s="130">
        <f t="shared" si="310"/>
        <v>61.140594293247595</v>
      </c>
      <c r="T238" s="130">
        <f t="shared" si="310"/>
        <v>64.564605129562977</v>
      </c>
      <c r="U238" s="130">
        <f t="shared" si="310"/>
        <v>61.061694247171822</v>
      </c>
      <c r="V238" s="130">
        <f t="shared" si="310"/>
        <v>63.179233692086349</v>
      </c>
      <c r="W238" s="130">
        <f t="shared" ref="W238" si="311">IF(W26=0,0,W86/W26*1000)</f>
        <v>62.802718592610262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0</v>
      </c>
      <c r="C239" s="97">
        <f t="shared" si="312"/>
        <v>0</v>
      </c>
      <c r="D239" s="97">
        <f t="shared" si="312"/>
        <v>0</v>
      </c>
      <c r="E239" s="97">
        <f t="shared" si="312"/>
        <v>0</v>
      </c>
      <c r="F239" s="97">
        <f t="shared" si="312"/>
        <v>0</v>
      </c>
      <c r="G239" s="97">
        <f t="shared" si="312"/>
        <v>0</v>
      </c>
      <c r="H239" s="97">
        <f t="shared" si="312"/>
        <v>0</v>
      </c>
      <c r="I239" s="97">
        <f t="shared" si="312"/>
        <v>0</v>
      </c>
      <c r="J239" s="97">
        <f t="shared" si="312"/>
        <v>0</v>
      </c>
      <c r="K239" s="97">
        <f t="shared" si="312"/>
        <v>0</v>
      </c>
      <c r="L239" s="97">
        <f t="shared" si="312"/>
        <v>0</v>
      </c>
      <c r="M239" s="97">
        <f t="shared" si="312"/>
        <v>0</v>
      </c>
      <c r="N239" s="97">
        <f t="shared" si="312"/>
        <v>0</v>
      </c>
      <c r="O239" s="97">
        <f t="shared" si="312"/>
        <v>0</v>
      </c>
      <c r="P239" s="97">
        <f t="shared" si="312"/>
        <v>0</v>
      </c>
      <c r="Q239" s="97">
        <f t="shared" si="312"/>
        <v>0</v>
      </c>
      <c r="R239" s="97">
        <f t="shared" si="312"/>
        <v>0</v>
      </c>
      <c r="S239" s="97">
        <f t="shared" si="312"/>
        <v>0</v>
      </c>
      <c r="T239" s="97">
        <f t="shared" si="312"/>
        <v>0</v>
      </c>
      <c r="U239" s="97">
        <f t="shared" si="312"/>
        <v>0</v>
      </c>
      <c r="V239" s="97">
        <f t="shared" si="312"/>
        <v>0</v>
      </c>
      <c r="W239" s="97">
        <f t="shared" ref="W239" si="313">IF(W27=0,0,W87/W27*1000)</f>
        <v>0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50.336424508953819</v>
      </c>
      <c r="C240" s="98">
        <f t="shared" si="314"/>
        <v>83.315157605305473</v>
      </c>
      <c r="D240" s="98">
        <f t="shared" si="314"/>
        <v>101.4689601730265</v>
      </c>
      <c r="E240" s="98">
        <f t="shared" si="314"/>
        <v>67.873204407272723</v>
      </c>
      <c r="F240" s="98">
        <f t="shared" si="314"/>
        <v>67.407480000000007</v>
      </c>
      <c r="G240" s="98">
        <f t="shared" si="314"/>
        <v>76.917188511684458</v>
      </c>
      <c r="H240" s="98">
        <f t="shared" si="314"/>
        <v>50.0413266676942</v>
      </c>
      <c r="I240" s="98">
        <f t="shared" si="314"/>
        <v>45.272448046613547</v>
      </c>
      <c r="J240" s="98">
        <f t="shared" si="314"/>
        <v>55.347602243051767</v>
      </c>
      <c r="K240" s="98">
        <f t="shared" si="314"/>
        <v>42.226024957508344</v>
      </c>
      <c r="L240" s="98">
        <f t="shared" si="314"/>
        <v>42.009203263246434</v>
      </c>
      <c r="M240" s="98">
        <f t="shared" si="314"/>
        <v>54.317321632653069</v>
      </c>
      <c r="N240" s="98">
        <f t="shared" si="314"/>
        <v>50.774576243002031</v>
      </c>
      <c r="O240" s="98">
        <f t="shared" si="314"/>
        <v>49.262463132405571</v>
      </c>
      <c r="P240" s="98">
        <f t="shared" si="314"/>
        <v>54.201484692596686</v>
      </c>
      <c r="Q240" s="98">
        <f t="shared" si="314"/>
        <v>65.515046400000003</v>
      </c>
      <c r="R240" s="98">
        <f t="shared" si="314"/>
        <v>61.742600503654486</v>
      </c>
      <c r="S240" s="98">
        <f t="shared" si="314"/>
        <v>61.140594293247595</v>
      </c>
      <c r="T240" s="98">
        <f t="shared" si="314"/>
        <v>64.564605129562977</v>
      </c>
      <c r="U240" s="98">
        <f t="shared" si="314"/>
        <v>61.061694247171822</v>
      </c>
      <c r="V240" s="98">
        <f t="shared" si="314"/>
        <v>63.179233692086349</v>
      </c>
      <c r="W240" s="98">
        <f t="shared" ref="W240:W243" si="315">IF(W28=0,0,W88/W28*1000)</f>
        <v>62.802718592610262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0</v>
      </c>
      <c r="C241" s="32">
        <f t="shared" si="316"/>
        <v>0</v>
      </c>
      <c r="D241" s="32">
        <f t="shared" si="316"/>
        <v>0</v>
      </c>
      <c r="E241" s="32">
        <f t="shared" si="316"/>
        <v>0</v>
      </c>
      <c r="F241" s="32">
        <f t="shared" si="316"/>
        <v>0</v>
      </c>
      <c r="G241" s="32">
        <f t="shared" si="316"/>
        <v>0</v>
      </c>
      <c r="H241" s="32">
        <f t="shared" si="316"/>
        <v>0</v>
      </c>
      <c r="I241" s="32">
        <f t="shared" si="316"/>
        <v>0</v>
      </c>
      <c r="J241" s="32">
        <f t="shared" si="316"/>
        <v>0</v>
      </c>
      <c r="K241" s="32">
        <f t="shared" si="316"/>
        <v>0</v>
      </c>
      <c r="L241" s="32">
        <f t="shared" si="316"/>
        <v>0</v>
      </c>
      <c r="M241" s="32">
        <f t="shared" si="316"/>
        <v>0</v>
      </c>
      <c r="N241" s="32">
        <f t="shared" si="316"/>
        <v>0</v>
      </c>
      <c r="O241" s="32">
        <f t="shared" si="316"/>
        <v>0</v>
      </c>
      <c r="P241" s="32">
        <f t="shared" si="316"/>
        <v>0</v>
      </c>
      <c r="Q241" s="32">
        <f t="shared" si="316"/>
        <v>0</v>
      </c>
      <c r="R241" s="32">
        <f t="shared" si="316"/>
        <v>0</v>
      </c>
      <c r="S241" s="32">
        <f t="shared" si="316"/>
        <v>0</v>
      </c>
      <c r="T241" s="32">
        <f t="shared" si="316"/>
        <v>0</v>
      </c>
      <c r="U241" s="32">
        <f t="shared" si="316"/>
        <v>0</v>
      </c>
      <c r="V241" s="32">
        <f t="shared" si="316"/>
        <v>0</v>
      </c>
      <c r="W241" s="32">
        <f t="shared" si="315"/>
        <v>0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0</v>
      </c>
      <c r="C242" s="97">
        <f t="shared" si="317"/>
        <v>0</v>
      </c>
      <c r="D242" s="97">
        <f t="shared" si="317"/>
        <v>0</v>
      </c>
      <c r="E242" s="97">
        <f t="shared" si="317"/>
        <v>0</v>
      </c>
      <c r="F242" s="97">
        <f t="shared" si="317"/>
        <v>0</v>
      </c>
      <c r="G242" s="97">
        <f t="shared" si="317"/>
        <v>0</v>
      </c>
      <c r="H242" s="97">
        <f t="shared" si="317"/>
        <v>0</v>
      </c>
      <c r="I242" s="97">
        <f t="shared" si="317"/>
        <v>0</v>
      </c>
      <c r="J242" s="97">
        <f t="shared" si="317"/>
        <v>0</v>
      </c>
      <c r="K242" s="97">
        <f t="shared" si="317"/>
        <v>0</v>
      </c>
      <c r="L242" s="97">
        <f t="shared" si="317"/>
        <v>0</v>
      </c>
      <c r="M242" s="97">
        <f t="shared" si="317"/>
        <v>0</v>
      </c>
      <c r="N242" s="97">
        <f t="shared" si="317"/>
        <v>0</v>
      </c>
      <c r="O242" s="97">
        <f t="shared" si="317"/>
        <v>0</v>
      </c>
      <c r="P242" s="97">
        <f t="shared" si="317"/>
        <v>0</v>
      </c>
      <c r="Q242" s="97">
        <f t="shared" si="317"/>
        <v>0</v>
      </c>
      <c r="R242" s="97">
        <f t="shared" si="317"/>
        <v>0</v>
      </c>
      <c r="S242" s="97">
        <f t="shared" si="317"/>
        <v>0</v>
      </c>
      <c r="T242" s="97">
        <f t="shared" si="317"/>
        <v>0</v>
      </c>
      <c r="U242" s="97">
        <f t="shared" si="317"/>
        <v>0</v>
      </c>
      <c r="V242" s="97">
        <f t="shared" si="317"/>
        <v>0</v>
      </c>
      <c r="W242" s="97">
        <f t="shared" si="315"/>
        <v>0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0</v>
      </c>
      <c r="C243" s="98">
        <f t="shared" si="318"/>
        <v>0</v>
      </c>
      <c r="D243" s="98">
        <f t="shared" si="318"/>
        <v>0</v>
      </c>
      <c r="E243" s="98">
        <f t="shared" si="318"/>
        <v>0</v>
      </c>
      <c r="F243" s="98">
        <f t="shared" si="318"/>
        <v>0</v>
      </c>
      <c r="G243" s="98">
        <f t="shared" si="318"/>
        <v>0</v>
      </c>
      <c r="H243" s="98">
        <f t="shared" si="318"/>
        <v>0</v>
      </c>
      <c r="I243" s="98">
        <f t="shared" si="318"/>
        <v>0</v>
      </c>
      <c r="J243" s="98">
        <f t="shared" si="318"/>
        <v>0</v>
      </c>
      <c r="K243" s="98">
        <f t="shared" si="318"/>
        <v>0</v>
      </c>
      <c r="L243" s="98">
        <f t="shared" si="318"/>
        <v>0</v>
      </c>
      <c r="M243" s="98">
        <f t="shared" si="318"/>
        <v>0</v>
      </c>
      <c r="N243" s="98">
        <f t="shared" si="318"/>
        <v>0</v>
      </c>
      <c r="O243" s="98">
        <f t="shared" si="318"/>
        <v>0</v>
      </c>
      <c r="P243" s="98">
        <f t="shared" si="318"/>
        <v>0</v>
      </c>
      <c r="Q243" s="98">
        <f t="shared" si="318"/>
        <v>0</v>
      </c>
      <c r="R243" s="98">
        <f t="shared" si="318"/>
        <v>0</v>
      </c>
      <c r="S243" s="98">
        <f t="shared" si="318"/>
        <v>0</v>
      </c>
      <c r="T243" s="98">
        <f t="shared" si="318"/>
        <v>0</v>
      </c>
      <c r="U243" s="98">
        <f t="shared" si="318"/>
        <v>0</v>
      </c>
      <c r="V243" s="98">
        <f t="shared" si="318"/>
        <v>0</v>
      </c>
      <c r="W243" s="98">
        <f t="shared" si="315"/>
        <v>0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33306.615452639082</v>
      </c>
      <c r="C4" s="29">
        <f t="shared" si="0"/>
        <v>33365.169997701094</v>
      </c>
      <c r="D4" s="29">
        <f t="shared" si="0"/>
        <v>34282.402514893249</v>
      </c>
      <c r="E4" s="29">
        <f t="shared" si="0"/>
        <v>34054.610617788421</v>
      </c>
      <c r="F4" s="29">
        <f t="shared" si="0"/>
        <v>34241.538820873175</v>
      </c>
      <c r="G4" s="29">
        <f t="shared" si="0"/>
        <v>34427.168282080565</v>
      </c>
      <c r="H4" s="29">
        <f t="shared" si="0"/>
        <v>35093.375804088457</v>
      </c>
      <c r="I4" s="29">
        <f t="shared" si="0"/>
        <v>34720.401627257597</v>
      </c>
      <c r="J4" s="29">
        <f t="shared" si="0"/>
        <v>33924.710403967227</v>
      </c>
      <c r="K4" s="29">
        <f t="shared" si="0"/>
        <v>31865.38624960581</v>
      </c>
      <c r="L4" s="29">
        <f t="shared" ref="L4" si="1">L5+L6+L13</f>
        <v>32214.962797655673</v>
      </c>
      <c r="M4" s="29">
        <f t="shared" ref="M4:V4" si="2">M5+M6+M13</f>
        <v>32442.887144943434</v>
      </c>
      <c r="N4" s="29">
        <f t="shared" si="2"/>
        <v>32458.860918975166</v>
      </c>
      <c r="O4" s="29">
        <f t="shared" si="2"/>
        <v>32506.403313773193</v>
      </c>
      <c r="P4" s="29">
        <f t="shared" si="2"/>
        <v>32708.934375117427</v>
      </c>
      <c r="Q4" s="29">
        <f t="shared" si="2"/>
        <v>33015.748457614987</v>
      </c>
      <c r="R4" s="29">
        <f t="shared" si="2"/>
        <v>33851.716574164195</v>
      </c>
      <c r="S4" s="29">
        <f t="shared" si="2"/>
        <v>34164.028110802465</v>
      </c>
      <c r="T4" s="29">
        <f t="shared" si="2"/>
        <v>34813.581108185455</v>
      </c>
      <c r="U4" s="29">
        <f t="shared" si="2"/>
        <v>34925.75799490411</v>
      </c>
      <c r="V4" s="29">
        <f t="shared" si="2"/>
        <v>28680.615113516007</v>
      </c>
      <c r="W4" s="29">
        <f t="shared" ref="W4" si="3">W5+W6+W13</f>
        <v>30000.124148236784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60.151952639079354</v>
      </c>
      <c r="C5" s="152">
        <f t="shared" si="4"/>
        <v>63.532777701094631</v>
      </c>
      <c r="D5" s="152">
        <f t="shared" si="4"/>
        <v>55.614144893245978</v>
      </c>
      <c r="E5" s="152">
        <f t="shared" si="4"/>
        <v>56.616217788418446</v>
      </c>
      <c r="F5" s="152">
        <f t="shared" si="4"/>
        <v>59.775590873169669</v>
      </c>
      <c r="G5" s="152">
        <f t="shared" si="4"/>
        <v>65.385822080566285</v>
      </c>
      <c r="H5" s="152">
        <f t="shared" si="4"/>
        <v>67.801804088453764</v>
      </c>
      <c r="I5" s="152">
        <f t="shared" si="4"/>
        <v>74.339627257596092</v>
      </c>
      <c r="J5" s="152">
        <f t="shared" si="4"/>
        <v>80.994803967230183</v>
      </c>
      <c r="K5" s="152">
        <f t="shared" si="4"/>
        <v>71.049449605810054</v>
      </c>
      <c r="L5" s="152">
        <f t="shared" ref="L5:L7" si="5">IF(L32=0,0,L32*L142)</f>
        <v>65.18329765567141</v>
      </c>
      <c r="M5" s="152">
        <f t="shared" ref="M5:V5" si="6">IF(M32=0,0,M32*M142)</f>
        <v>78.814234943436503</v>
      </c>
      <c r="N5" s="152">
        <f t="shared" si="6"/>
        <v>91.769488975163966</v>
      </c>
      <c r="O5" s="152">
        <f t="shared" si="6"/>
        <v>93.909113773192132</v>
      </c>
      <c r="P5" s="152">
        <f t="shared" si="6"/>
        <v>104.72565511742337</v>
      </c>
      <c r="Q5" s="152">
        <f t="shared" si="6"/>
        <v>117.11800761498681</v>
      </c>
      <c r="R5" s="152">
        <f t="shared" si="6"/>
        <v>124.77168416419107</v>
      </c>
      <c r="S5" s="152">
        <f t="shared" si="6"/>
        <v>119.02811080246097</v>
      </c>
      <c r="T5" s="152">
        <f t="shared" si="6"/>
        <v>114.58110818545592</v>
      </c>
      <c r="U5" s="152">
        <f t="shared" si="6"/>
        <v>122.75799490411431</v>
      </c>
      <c r="V5" s="152">
        <f t="shared" si="6"/>
        <v>110.68836665230545</v>
      </c>
      <c r="W5" s="152">
        <f t="shared" ref="W5" si="7">IF(W32=0,0,W32*W142)</f>
        <v>115.93408285043132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23929</v>
      </c>
      <c r="C6" s="116">
        <f t="shared" si="8"/>
        <v>24056</v>
      </c>
      <c r="D6" s="116">
        <f t="shared" si="8"/>
        <v>24978</v>
      </c>
      <c r="E6" s="116">
        <f t="shared" si="8"/>
        <v>25224</v>
      </c>
      <c r="F6" s="116">
        <f t="shared" si="8"/>
        <v>25332</v>
      </c>
      <c r="G6" s="116">
        <f t="shared" si="8"/>
        <v>25824</v>
      </c>
      <c r="H6" s="116">
        <f t="shared" si="8"/>
        <v>26342</v>
      </c>
      <c r="I6" s="116">
        <f t="shared" si="8"/>
        <v>25994</v>
      </c>
      <c r="J6" s="116">
        <f t="shared" si="8"/>
        <v>26395</v>
      </c>
      <c r="K6" s="116">
        <f t="shared" si="8"/>
        <v>26420</v>
      </c>
      <c r="L6" s="116">
        <f t="shared" ref="L6" si="9">SUM(L7:L12)</f>
        <v>26879</v>
      </c>
      <c r="M6" s="116">
        <f t="shared" ref="M6:V6" si="10">SUM(M7:M12)</f>
        <v>26887</v>
      </c>
      <c r="N6" s="116">
        <f t="shared" si="10"/>
        <v>26935</v>
      </c>
      <c r="O6" s="116">
        <f t="shared" si="10"/>
        <v>27155</v>
      </c>
      <c r="P6" s="116">
        <f t="shared" si="10"/>
        <v>27251</v>
      </c>
      <c r="Q6" s="116">
        <f t="shared" si="10"/>
        <v>27531</v>
      </c>
      <c r="R6" s="116">
        <f t="shared" si="10"/>
        <v>27836</v>
      </c>
      <c r="S6" s="116">
        <f t="shared" si="10"/>
        <v>28120</v>
      </c>
      <c r="T6" s="116">
        <f t="shared" si="10"/>
        <v>28460</v>
      </c>
      <c r="U6" s="116">
        <f t="shared" si="10"/>
        <v>28616</v>
      </c>
      <c r="V6" s="116">
        <f t="shared" si="10"/>
        <v>24827.926746863701</v>
      </c>
      <c r="W6" s="116">
        <f t="shared" ref="W6" si="11">SUM(W7:W12)</f>
        <v>26664.190065386352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18453.93960960667</v>
      </c>
      <c r="C7" s="87">
        <f t="shared" si="12"/>
        <v>18264.696833367911</v>
      </c>
      <c r="D7" s="87">
        <f t="shared" si="12"/>
        <v>18371.619645110655</v>
      </c>
      <c r="E7" s="87">
        <f t="shared" si="12"/>
        <v>18144.009553713197</v>
      </c>
      <c r="F7" s="87">
        <f t="shared" si="12"/>
        <v>17988.166062032877</v>
      </c>
      <c r="G7" s="87">
        <f t="shared" si="12"/>
        <v>18220.475006536519</v>
      </c>
      <c r="H7" s="87">
        <f t="shared" si="12"/>
        <v>18375.644456699145</v>
      </c>
      <c r="I7" s="87">
        <f t="shared" si="12"/>
        <v>17490.188350461514</v>
      </c>
      <c r="J7" s="87">
        <f t="shared" si="12"/>
        <v>17420.082934920039</v>
      </c>
      <c r="K7" s="87">
        <f t="shared" si="12"/>
        <v>17206.505483037265</v>
      </c>
      <c r="L7" s="87">
        <f t="shared" si="5"/>
        <v>17493.031193737879</v>
      </c>
      <c r="M7" s="87">
        <f t="shared" ref="M7:V7" si="13">IF(M34=0,0,M34*M144)</f>
        <v>16749.370876754292</v>
      </c>
      <c r="N7" s="87">
        <f t="shared" si="13"/>
        <v>16810.132000353362</v>
      </c>
      <c r="O7" s="87">
        <f t="shared" si="13"/>
        <v>17154.021017329054</v>
      </c>
      <c r="P7" s="87">
        <f t="shared" si="13"/>
        <v>17235.74812725162</v>
      </c>
      <c r="Q7" s="87">
        <f t="shared" si="13"/>
        <v>17558.376065577537</v>
      </c>
      <c r="R7" s="87">
        <f t="shared" si="13"/>
        <v>18008.503429759749</v>
      </c>
      <c r="S7" s="87">
        <f t="shared" si="13"/>
        <v>18202.256989074482</v>
      </c>
      <c r="T7" s="87">
        <f t="shared" si="13"/>
        <v>18393.063280000115</v>
      </c>
      <c r="U7" s="87">
        <f t="shared" si="13"/>
        <v>18450.899273559455</v>
      </c>
      <c r="V7" s="87">
        <f t="shared" si="13"/>
        <v>15838.016648800969</v>
      </c>
      <c r="W7" s="87">
        <f t="shared" ref="W7" si="14">IF(W34=0,0,W34*W144)</f>
        <v>16836.259913847141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5475.0603903933297</v>
      </c>
      <c r="C8" s="87">
        <f t="shared" si="15"/>
        <v>5751.222110048624</v>
      </c>
      <c r="D8" s="87">
        <f t="shared" si="15"/>
        <v>6565.6518035398658</v>
      </c>
      <c r="E8" s="87">
        <f t="shared" si="15"/>
        <v>6961.7975280019127</v>
      </c>
      <c r="F8" s="87">
        <f t="shared" si="15"/>
        <v>7204.7009701352035</v>
      </c>
      <c r="G8" s="87">
        <f t="shared" si="15"/>
        <v>7430.4073144858921</v>
      </c>
      <c r="H8" s="87">
        <f t="shared" si="15"/>
        <v>7793.5310010849498</v>
      </c>
      <c r="I8" s="87">
        <f t="shared" si="15"/>
        <v>8203.7144132218673</v>
      </c>
      <c r="J8" s="87">
        <f t="shared" si="15"/>
        <v>8697.3754353105396</v>
      </c>
      <c r="K8" s="87">
        <f t="shared" si="15"/>
        <v>8941.1768518521276</v>
      </c>
      <c r="L8" s="87">
        <f t="shared" ref="L8" si="16">IF(L35=0,0,L35*L145)</f>
        <v>9063.5139385189395</v>
      </c>
      <c r="M8" s="87">
        <f t="shared" ref="M8:V8" si="17">IF(M35=0,0,M35*M145)</f>
        <v>9098.2297679457552</v>
      </c>
      <c r="N8" s="87">
        <f t="shared" si="17"/>
        <v>9063.2493092285258</v>
      </c>
      <c r="O8" s="87">
        <f t="shared" si="17"/>
        <v>8914.792535218894</v>
      </c>
      <c r="P8" s="87">
        <f t="shared" si="17"/>
        <v>8932.3194244978913</v>
      </c>
      <c r="Q8" s="87">
        <f t="shared" si="17"/>
        <v>8860.8774810908471</v>
      </c>
      <c r="R8" s="87">
        <f t="shared" si="17"/>
        <v>8832.5845378027334</v>
      </c>
      <c r="S8" s="87">
        <f t="shared" si="17"/>
        <v>9030.9581624167222</v>
      </c>
      <c r="T8" s="87">
        <f t="shared" si="17"/>
        <v>9227.3534840678949</v>
      </c>
      <c r="U8" s="87">
        <f t="shared" si="17"/>
        <v>9393.7045155182495</v>
      </c>
      <c r="V8" s="87">
        <f t="shared" si="17"/>
        <v>8330.4477293585733</v>
      </c>
      <c r="W8" s="87">
        <f t="shared" ref="W8" si="18">IF(W35=0,0,W35*W145)</f>
        <v>9124.0533138429782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0</v>
      </c>
      <c r="D9" s="87">
        <f t="shared" si="19"/>
        <v>0</v>
      </c>
      <c r="E9" s="87">
        <f t="shared" si="19"/>
        <v>0</v>
      </c>
      <c r="F9" s="87">
        <f t="shared" si="19"/>
        <v>0</v>
      </c>
      <c r="G9" s="87">
        <f t="shared" si="19"/>
        <v>29.353821880609743</v>
      </c>
      <c r="H9" s="87">
        <f t="shared" si="19"/>
        <v>29.184620827731862</v>
      </c>
      <c r="I9" s="87">
        <f t="shared" si="19"/>
        <v>27.966462426601897</v>
      </c>
      <c r="J9" s="87">
        <f t="shared" si="19"/>
        <v>26.478667892917652</v>
      </c>
      <c r="K9" s="87">
        <f t="shared" si="19"/>
        <v>25.324361548195569</v>
      </c>
      <c r="L9" s="87">
        <f t="shared" ref="L9" si="20">IF(L36=0,0,L36*L146)</f>
        <v>51.938856040306206</v>
      </c>
      <c r="M9" s="87">
        <f t="shared" ref="M9:V9" si="21">IF(M36=0,0,M36*M146)</f>
        <v>788.17006605546919</v>
      </c>
      <c r="N9" s="87">
        <f t="shared" si="21"/>
        <v>846.07762653510258</v>
      </c>
      <c r="O9" s="87">
        <f t="shared" si="21"/>
        <v>892.62413865379619</v>
      </c>
      <c r="P9" s="87">
        <f t="shared" si="21"/>
        <v>872.73305937842406</v>
      </c>
      <c r="Q9" s="87">
        <f t="shared" si="21"/>
        <v>906.24977062551784</v>
      </c>
      <c r="R9" s="87">
        <f t="shared" si="21"/>
        <v>850.42617415019163</v>
      </c>
      <c r="S9" s="87">
        <f t="shared" si="21"/>
        <v>751.00210276674227</v>
      </c>
      <c r="T9" s="87">
        <f t="shared" si="21"/>
        <v>707.95960045925699</v>
      </c>
      <c r="U9" s="87">
        <f t="shared" si="21"/>
        <v>659.17607351196432</v>
      </c>
      <c r="V9" s="87">
        <f t="shared" si="21"/>
        <v>561.53740684707532</v>
      </c>
      <c r="W9" s="87">
        <f t="shared" ref="W9" si="22">IF(W36=0,0,W36*W146)</f>
        <v>577.61269225404271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40.081056583464971</v>
      </c>
      <c r="D10" s="87">
        <f t="shared" si="23"/>
        <v>40.728551349477712</v>
      </c>
      <c r="E10" s="87">
        <f t="shared" si="23"/>
        <v>118.1929182848915</v>
      </c>
      <c r="F10" s="87">
        <f t="shared" si="23"/>
        <v>139.13296783191996</v>
      </c>
      <c r="G10" s="87">
        <f t="shared" si="23"/>
        <v>143.76385709697922</v>
      </c>
      <c r="H10" s="87">
        <f t="shared" si="23"/>
        <v>143.63992138817574</v>
      </c>
      <c r="I10" s="87">
        <f t="shared" si="23"/>
        <v>272.13077389001921</v>
      </c>
      <c r="J10" s="87">
        <f t="shared" si="23"/>
        <v>251.06296187650497</v>
      </c>
      <c r="K10" s="87">
        <f t="shared" si="23"/>
        <v>246.99330356241313</v>
      </c>
      <c r="L10" s="87">
        <f t="shared" ref="L10" si="24">IF(L37=0,0,L37*L147)</f>
        <v>270.51601170287398</v>
      </c>
      <c r="M10" s="87">
        <f t="shared" ref="M10:V10" si="25">IF(M37=0,0,M37*M147)</f>
        <v>251.01393872060487</v>
      </c>
      <c r="N10" s="87">
        <f t="shared" si="25"/>
        <v>215.23145482713639</v>
      </c>
      <c r="O10" s="87">
        <f t="shared" si="25"/>
        <v>193.19525374254457</v>
      </c>
      <c r="P10" s="87">
        <f t="shared" si="25"/>
        <v>208.59108857486669</v>
      </c>
      <c r="Q10" s="87">
        <f t="shared" si="25"/>
        <v>203.3193206442557</v>
      </c>
      <c r="R10" s="87">
        <f t="shared" si="25"/>
        <v>139.76044639372506</v>
      </c>
      <c r="S10" s="87">
        <f t="shared" si="25"/>
        <v>126.19639101820744</v>
      </c>
      <c r="T10" s="87">
        <f t="shared" si="25"/>
        <v>114.17328913900744</v>
      </c>
      <c r="U10" s="87">
        <f t="shared" si="25"/>
        <v>90.90506575496417</v>
      </c>
      <c r="V10" s="87">
        <f t="shared" si="25"/>
        <v>61.749887460577206</v>
      </c>
      <c r="W10" s="87">
        <f t="shared" ref="W10" si="26">IF(W37=0,0,W37*W147)</f>
        <v>65.696759973154698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8.0976367745067265E-2</v>
      </c>
      <c r="O11" s="87">
        <f t="shared" si="29"/>
        <v>8.3258960117744946E-2</v>
      </c>
      <c r="P11" s="87">
        <f t="shared" si="29"/>
        <v>0.33757323850020915</v>
      </c>
      <c r="Q11" s="87">
        <f t="shared" si="29"/>
        <v>0.63397539053069252</v>
      </c>
      <c r="R11" s="87">
        <f t="shared" si="29"/>
        <v>2.4811726951263533</v>
      </c>
      <c r="S11" s="87">
        <f t="shared" si="29"/>
        <v>5.0509195766480399</v>
      </c>
      <c r="T11" s="87">
        <f t="shared" si="29"/>
        <v>8.3889304767469106</v>
      </c>
      <c r="U11" s="87">
        <f t="shared" si="29"/>
        <v>10.39169538352523</v>
      </c>
      <c r="V11" s="87">
        <f t="shared" si="29"/>
        <v>16.740579235658988</v>
      </c>
      <c r="W11" s="87">
        <f t="shared" ref="W11" si="30">IF(W38=0,0,W38*W148)</f>
        <v>27.061271369793218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0.21535052387817996</v>
      </c>
      <c r="N12" s="87">
        <f t="shared" si="33"/>
        <v>0.22863268813032303</v>
      </c>
      <c r="O12" s="87">
        <f t="shared" si="33"/>
        <v>0.28379609559473473</v>
      </c>
      <c r="P12" s="87">
        <f t="shared" si="33"/>
        <v>1.2707270586996851</v>
      </c>
      <c r="Q12" s="87">
        <f t="shared" si="33"/>
        <v>1.5433866713124849</v>
      </c>
      <c r="R12" s="87">
        <f t="shared" si="33"/>
        <v>2.2442391984773939</v>
      </c>
      <c r="S12" s="87">
        <f t="shared" si="33"/>
        <v>4.5354351471998031</v>
      </c>
      <c r="T12" s="87">
        <f t="shared" si="33"/>
        <v>9.0614158569794725</v>
      </c>
      <c r="U12" s="87">
        <f t="shared" si="33"/>
        <v>10.923376271843695</v>
      </c>
      <c r="V12" s="87">
        <f t="shared" si="33"/>
        <v>19.434495160849103</v>
      </c>
      <c r="W12" s="87">
        <f t="shared" ref="W12" si="34">IF(W39=0,0,W39*W149)</f>
        <v>33.506114099243106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9317.4634999999998</v>
      </c>
      <c r="C13" s="116">
        <f t="shared" si="35"/>
        <v>9245.6372200000005</v>
      </c>
      <c r="D13" s="116">
        <f t="shared" si="35"/>
        <v>9248.7883700000002</v>
      </c>
      <c r="E13" s="116">
        <f t="shared" si="35"/>
        <v>8773.9943999999996</v>
      </c>
      <c r="F13" s="116">
        <f t="shared" si="35"/>
        <v>8849.7632300000005</v>
      </c>
      <c r="G13" s="116">
        <f t="shared" si="35"/>
        <v>8537.7824600000004</v>
      </c>
      <c r="H13" s="116">
        <f t="shared" si="35"/>
        <v>8683.5740000000005</v>
      </c>
      <c r="I13" s="116">
        <f t="shared" si="35"/>
        <v>8652.0620000000017</v>
      </c>
      <c r="J13" s="116">
        <f t="shared" si="35"/>
        <v>7448.7155999999995</v>
      </c>
      <c r="K13" s="116">
        <f t="shared" si="35"/>
        <v>5374.3368</v>
      </c>
      <c r="L13" s="116">
        <f t="shared" ref="L13" si="36">SUM(L14:L18)</f>
        <v>5270.7794999999996</v>
      </c>
      <c r="M13" s="116">
        <f t="shared" ref="M13:V13" si="37">SUM(M14:M18)</f>
        <v>5477.0729099999999</v>
      </c>
      <c r="N13" s="116">
        <f t="shared" si="37"/>
        <v>5432.0914300000004</v>
      </c>
      <c r="O13" s="116">
        <f t="shared" si="37"/>
        <v>5257.494200000001</v>
      </c>
      <c r="P13" s="116">
        <f t="shared" si="37"/>
        <v>5353.2087200000014</v>
      </c>
      <c r="Q13" s="116">
        <f t="shared" si="37"/>
        <v>5367.6304499999997</v>
      </c>
      <c r="R13" s="116">
        <f t="shared" si="37"/>
        <v>5890.9448899999998</v>
      </c>
      <c r="S13" s="116">
        <f t="shared" si="37"/>
        <v>5925</v>
      </c>
      <c r="T13" s="116">
        <f t="shared" si="37"/>
        <v>6239.0000000000009</v>
      </c>
      <c r="U13" s="116">
        <f t="shared" si="37"/>
        <v>6187</v>
      </c>
      <c r="V13" s="116">
        <f t="shared" si="37"/>
        <v>3742.0000000000005</v>
      </c>
      <c r="W13" s="116">
        <f t="shared" ref="W13" si="38">SUM(W14:W18)</f>
        <v>3220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0</v>
      </c>
      <c r="K14" s="101">
        <f t="shared" si="39"/>
        <v>0</v>
      </c>
      <c r="L14" s="101">
        <f t="shared" ref="L14" si="40">IF(L41=0,0,L41*L151)</f>
        <v>0</v>
      </c>
      <c r="M14" s="101">
        <f t="shared" ref="M14:V14" si="41">IF(M41=0,0,M41*M151)</f>
        <v>0</v>
      </c>
      <c r="N14" s="101">
        <f t="shared" si="41"/>
        <v>0</v>
      </c>
      <c r="O14" s="101">
        <f t="shared" si="41"/>
        <v>0</v>
      </c>
      <c r="P14" s="101">
        <f t="shared" si="41"/>
        <v>0</v>
      </c>
      <c r="Q14" s="101">
        <f t="shared" si="41"/>
        <v>0</v>
      </c>
      <c r="R14" s="101">
        <f t="shared" si="41"/>
        <v>0</v>
      </c>
      <c r="S14" s="101">
        <f t="shared" si="41"/>
        <v>0</v>
      </c>
      <c r="T14" s="101">
        <f t="shared" si="41"/>
        <v>0</v>
      </c>
      <c r="U14" s="101">
        <f t="shared" si="41"/>
        <v>0</v>
      </c>
      <c r="V14" s="101">
        <f t="shared" si="41"/>
        <v>0</v>
      </c>
      <c r="W14" s="101">
        <f t="shared" ref="W14" si="42">IF(W41=0,0,W41*W151)</f>
        <v>0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9317.4634999999998</v>
      </c>
      <c r="C15" s="101">
        <f t="shared" si="43"/>
        <v>9245.6372200000005</v>
      </c>
      <c r="D15" s="101">
        <f t="shared" si="43"/>
        <v>9248.7883700000002</v>
      </c>
      <c r="E15" s="101">
        <f t="shared" si="43"/>
        <v>8773.9943999999996</v>
      </c>
      <c r="F15" s="101">
        <f t="shared" si="43"/>
        <v>8849.7632300000005</v>
      </c>
      <c r="G15" s="101">
        <f t="shared" si="43"/>
        <v>8537.7824600000004</v>
      </c>
      <c r="H15" s="101">
        <f t="shared" si="43"/>
        <v>8683.5740000000005</v>
      </c>
      <c r="I15" s="101">
        <f t="shared" si="43"/>
        <v>8652.0620000000017</v>
      </c>
      <c r="J15" s="101">
        <f t="shared" si="43"/>
        <v>7448.7155999999995</v>
      </c>
      <c r="K15" s="101">
        <f t="shared" si="43"/>
        <v>5374.3368</v>
      </c>
      <c r="L15" s="101">
        <f t="shared" ref="L15" si="44">IF(L42=0,0,L42*L152)</f>
        <v>5186.2144535634161</v>
      </c>
      <c r="M15" s="101">
        <f t="shared" ref="M15:V15" si="45">IF(M42=0,0,M42*M152)</f>
        <v>5265.4251495560957</v>
      </c>
      <c r="N15" s="101">
        <f t="shared" si="45"/>
        <v>5220.5993971299831</v>
      </c>
      <c r="O15" s="101">
        <f t="shared" si="45"/>
        <v>5049.4665315486918</v>
      </c>
      <c r="P15" s="101">
        <f t="shared" si="45"/>
        <v>5070.3380806197329</v>
      </c>
      <c r="Q15" s="101">
        <f t="shared" si="45"/>
        <v>5014.3216769806222</v>
      </c>
      <c r="R15" s="101">
        <f t="shared" si="45"/>
        <v>5322.5272184462992</v>
      </c>
      <c r="S15" s="101">
        <f t="shared" si="45"/>
        <v>5319.3832031025195</v>
      </c>
      <c r="T15" s="101">
        <f t="shared" si="45"/>
        <v>5577.3198715799426</v>
      </c>
      <c r="U15" s="101">
        <f t="shared" si="45"/>
        <v>5503.3943098779064</v>
      </c>
      <c r="V15" s="101">
        <f t="shared" si="45"/>
        <v>3258.282578202879</v>
      </c>
      <c r="W15" s="101">
        <f t="shared" ref="W15" si="46">IF(W42=0,0,W42*W152)</f>
        <v>2798.9775492310068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0</v>
      </c>
      <c r="R17" s="101">
        <f t="shared" si="53"/>
        <v>108.99032483251327</v>
      </c>
      <c r="S17" s="101">
        <f t="shared" si="53"/>
        <v>103.77334520534342</v>
      </c>
      <c r="T17" s="101">
        <f t="shared" si="53"/>
        <v>100.35471972208735</v>
      </c>
      <c r="U17" s="101">
        <f t="shared" si="53"/>
        <v>99.357021267620198</v>
      </c>
      <c r="V17" s="101">
        <f t="shared" si="53"/>
        <v>67.981479665442535</v>
      </c>
      <c r="W17" s="101">
        <f t="shared" ref="W17" si="54">IF(W44=0,0,W44*W154)</f>
        <v>58.124057883559992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84.565046436583543</v>
      </c>
      <c r="M18" s="101">
        <f t="shared" ref="M18:V18" si="57">IF(M45=0,0,M45*M155)</f>
        <v>211.64776044390459</v>
      </c>
      <c r="N18" s="101">
        <f t="shared" si="57"/>
        <v>211.49203287001714</v>
      </c>
      <c r="O18" s="101">
        <f t="shared" si="57"/>
        <v>208.02766845130949</v>
      </c>
      <c r="P18" s="101">
        <f t="shared" si="57"/>
        <v>282.87063938026841</v>
      </c>
      <c r="Q18" s="101">
        <f t="shared" si="57"/>
        <v>353.30877301937784</v>
      </c>
      <c r="R18" s="101">
        <f t="shared" si="57"/>
        <v>459.42734672118712</v>
      </c>
      <c r="S18" s="101">
        <f t="shared" si="57"/>
        <v>501.84345169213674</v>
      </c>
      <c r="T18" s="101">
        <f t="shared" si="57"/>
        <v>561.32540869797037</v>
      </c>
      <c r="U18" s="101">
        <f t="shared" si="57"/>
        <v>584.24866885447364</v>
      </c>
      <c r="V18" s="101">
        <f t="shared" si="57"/>
        <v>415.73594213167854</v>
      </c>
      <c r="W18" s="101">
        <f t="shared" ref="W18" si="58">IF(W45=0,0,W45*W155)</f>
        <v>362.89839288543328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8785.0795419066581</v>
      </c>
      <c r="C19" s="29">
        <f t="shared" si="59"/>
        <v>9303.4105194715576</v>
      </c>
      <c r="D19" s="29">
        <f t="shared" si="59"/>
        <v>9231.3139804285456</v>
      </c>
      <c r="E19" s="29">
        <f t="shared" si="59"/>
        <v>9480.015361091173</v>
      </c>
      <c r="F19" s="29">
        <f t="shared" si="59"/>
        <v>10364.399743887881</v>
      </c>
      <c r="G19" s="29">
        <f t="shared" si="59"/>
        <v>10749.867059844955</v>
      </c>
      <c r="H19" s="29">
        <f t="shared" si="59"/>
        <v>10621.398183576413</v>
      </c>
      <c r="I19" s="29">
        <f t="shared" si="59"/>
        <v>12419.655174002948</v>
      </c>
      <c r="J19" s="29">
        <f t="shared" si="59"/>
        <v>12947.845371035341</v>
      </c>
      <c r="K19" s="29">
        <f t="shared" si="59"/>
        <v>11907.827596507543</v>
      </c>
      <c r="L19" s="29">
        <f t="shared" ref="L19" si="60">L20+L26</f>
        <v>12088.683782183014</v>
      </c>
      <c r="M19" s="29">
        <f t="shared" ref="M19:V19" si="61">M20+M26</f>
        <v>12272.485468420977</v>
      </c>
      <c r="N19" s="29">
        <f t="shared" si="61"/>
        <v>12534.725910197285</v>
      </c>
      <c r="O19" s="29">
        <f t="shared" si="61"/>
        <v>12595.550052927643</v>
      </c>
      <c r="P19" s="29">
        <f t="shared" si="61"/>
        <v>13246.561578822466</v>
      </c>
      <c r="Q19" s="29">
        <f t="shared" si="61"/>
        <v>14163.370823540903</v>
      </c>
      <c r="R19" s="29">
        <f t="shared" si="61"/>
        <v>15212.306750729324</v>
      </c>
      <c r="S19" s="29">
        <f t="shared" si="61"/>
        <v>16648.799535791382</v>
      </c>
      <c r="T19" s="29">
        <f t="shared" si="61"/>
        <v>16804.015465083165</v>
      </c>
      <c r="U19" s="29">
        <f t="shared" si="61"/>
        <v>17472.873654087402</v>
      </c>
      <c r="V19" s="29">
        <f t="shared" si="61"/>
        <v>16768.008379188261</v>
      </c>
      <c r="W19" s="29">
        <f t="shared" ref="W19" si="62">W20+W26</f>
        <v>16801.914249244837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187.66972960671094</v>
      </c>
      <c r="C20" s="152">
        <f t="shared" si="63"/>
        <v>191.84008389792399</v>
      </c>
      <c r="D20" s="152">
        <f t="shared" si="63"/>
        <v>194.15556623653663</v>
      </c>
      <c r="E20" s="152">
        <f t="shared" si="63"/>
        <v>194.17121593603156</v>
      </c>
      <c r="F20" s="152">
        <f t="shared" si="63"/>
        <v>204.57550987913464</v>
      </c>
      <c r="G20" s="152">
        <f t="shared" si="63"/>
        <v>221.92939977179989</v>
      </c>
      <c r="H20" s="152">
        <f t="shared" si="63"/>
        <v>222.17812363067722</v>
      </c>
      <c r="I20" s="152">
        <f t="shared" si="63"/>
        <v>256.33950063047837</v>
      </c>
      <c r="J20" s="152">
        <f t="shared" si="63"/>
        <v>275.30472209513323</v>
      </c>
      <c r="K20" s="152">
        <f t="shared" si="63"/>
        <v>300.82298541491434</v>
      </c>
      <c r="L20" s="152">
        <f t="shared" ref="L20" si="64">SUM(L21:L25)</f>
        <v>312.23017960539846</v>
      </c>
      <c r="M20" s="152">
        <f t="shared" ref="M20:V20" si="65">SUM(M21:M25)</f>
        <v>321.08551129269125</v>
      </c>
      <c r="N20" s="152">
        <f t="shared" si="65"/>
        <v>336.18351127487574</v>
      </c>
      <c r="O20" s="152">
        <f t="shared" si="65"/>
        <v>302.88578021994016</v>
      </c>
      <c r="P20" s="152">
        <f t="shared" si="65"/>
        <v>265.56134610164492</v>
      </c>
      <c r="Q20" s="152">
        <f t="shared" si="65"/>
        <v>306.73665399518592</v>
      </c>
      <c r="R20" s="152">
        <f t="shared" si="65"/>
        <v>283.7586896613725</v>
      </c>
      <c r="S20" s="152">
        <f t="shared" si="65"/>
        <v>287.6191290746134</v>
      </c>
      <c r="T20" s="152">
        <f t="shared" si="65"/>
        <v>284.01546508316432</v>
      </c>
      <c r="U20" s="152">
        <f t="shared" si="65"/>
        <v>284.87365408740322</v>
      </c>
      <c r="V20" s="152">
        <f t="shared" si="65"/>
        <v>289.00837918825971</v>
      </c>
      <c r="W20" s="152">
        <f t="shared" ref="W20" si="66">SUM(W21:W25)</f>
        <v>292.91424924483698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53.540075659110066</v>
      </c>
      <c r="C21" s="87">
        <f t="shared" si="67"/>
        <v>54.659704810918178</v>
      </c>
      <c r="D21" s="87">
        <f t="shared" si="67"/>
        <v>55.851051236407969</v>
      </c>
      <c r="E21" s="87">
        <f t="shared" si="67"/>
        <v>55.840184517506053</v>
      </c>
      <c r="F21" s="87">
        <f t="shared" si="67"/>
        <v>70.033654170302768</v>
      </c>
      <c r="G21" s="87">
        <f t="shared" si="67"/>
        <v>71.107883451092476</v>
      </c>
      <c r="H21" s="87">
        <f t="shared" si="67"/>
        <v>73.054739315302783</v>
      </c>
      <c r="I21" s="87">
        <f t="shared" si="67"/>
        <v>79.153210162638345</v>
      </c>
      <c r="J21" s="87">
        <f t="shared" si="67"/>
        <v>82.733505697320865</v>
      </c>
      <c r="K21" s="87">
        <f t="shared" si="67"/>
        <v>82.585233865801882</v>
      </c>
      <c r="L21" s="87">
        <f t="shared" ref="L21" si="68">IF(L48=0,0,L48*L158)</f>
        <v>63.805284361347859</v>
      </c>
      <c r="M21" s="87">
        <f t="shared" ref="M21:V21" si="69">IF(M48=0,0,M48*M158)</f>
        <v>65.413650264760776</v>
      </c>
      <c r="N21" s="87">
        <f t="shared" si="69"/>
        <v>66.67647310517323</v>
      </c>
      <c r="O21" s="87">
        <f t="shared" si="69"/>
        <v>67.670567325641514</v>
      </c>
      <c r="P21" s="87">
        <f t="shared" si="69"/>
        <v>63.202769337625149</v>
      </c>
      <c r="Q21" s="87">
        <f t="shared" si="69"/>
        <v>72.87110756540693</v>
      </c>
      <c r="R21" s="87">
        <f t="shared" si="69"/>
        <v>81.408787719255045</v>
      </c>
      <c r="S21" s="87">
        <f t="shared" si="69"/>
        <v>72.951736079976712</v>
      </c>
      <c r="T21" s="87">
        <f t="shared" si="69"/>
        <v>69.606364681449222</v>
      </c>
      <c r="U21" s="87">
        <f t="shared" si="69"/>
        <v>59.464134086529143</v>
      </c>
      <c r="V21" s="87">
        <f t="shared" si="69"/>
        <v>59.507869247515906</v>
      </c>
      <c r="W21" s="87">
        <f t="shared" ref="W21" si="70">IF(W48=0,0,W48*W158)</f>
        <v>59.553440261659908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134.12965394760087</v>
      </c>
      <c r="C22" s="87">
        <f t="shared" si="71"/>
        <v>137.1803790870058</v>
      </c>
      <c r="D22" s="87">
        <f t="shared" si="71"/>
        <v>138.30451500012865</v>
      </c>
      <c r="E22" s="87">
        <f t="shared" si="71"/>
        <v>138.3310314185255</v>
      </c>
      <c r="F22" s="87">
        <f t="shared" si="71"/>
        <v>134.54185570883189</v>
      </c>
      <c r="G22" s="87">
        <f t="shared" si="71"/>
        <v>150.82151632070742</v>
      </c>
      <c r="H22" s="87">
        <f t="shared" si="71"/>
        <v>149.12338431537444</v>
      </c>
      <c r="I22" s="87">
        <f t="shared" si="71"/>
        <v>177.18629046784</v>
      </c>
      <c r="J22" s="87">
        <f t="shared" si="71"/>
        <v>192.57121639781235</v>
      </c>
      <c r="K22" s="87">
        <f t="shared" si="71"/>
        <v>218.23775154911246</v>
      </c>
      <c r="L22" s="87">
        <f t="shared" ref="L22" si="72">IF(L49=0,0,L49*L159)</f>
        <v>248.42489524405062</v>
      </c>
      <c r="M22" s="87">
        <f t="shared" ref="M22:V22" si="73">IF(M49=0,0,M49*M159)</f>
        <v>255.67186102793048</v>
      </c>
      <c r="N22" s="87">
        <f t="shared" si="73"/>
        <v>269.49507378544502</v>
      </c>
      <c r="O22" s="87">
        <f t="shared" si="73"/>
        <v>235.197883041268</v>
      </c>
      <c r="P22" s="87">
        <f t="shared" si="73"/>
        <v>199.8297761577744</v>
      </c>
      <c r="Q22" s="87">
        <f t="shared" si="73"/>
        <v>231.28717786822827</v>
      </c>
      <c r="R22" s="87">
        <f t="shared" si="73"/>
        <v>199.29141870612332</v>
      </c>
      <c r="S22" s="87">
        <f t="shared" si="73"/>
        <v>211.45180471785889</v>
      </c>
      <c r="T22" s="87">
        <f t="shared" si="73"/>
        <v>210.84546623135716</v>
      </c>
      <c r="U22" s="87">
        <f t="shared" si="73"/>
        <v>221.59169259026746</v>
      </c>
      <c r="V22" s="87">
        <f t="shared" si="73"/>
        <v>225.33140213967653</v>
      </c>
      <c r="W22" s="87">
        <f t="shared" ref="W22" si="74">IF(W49=0,0,W49*W159)</f>
        <v>229.13046037570925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6.5664529609321546E-3</v>
      </c>
      <c r="O23" s="87">
        <f t="shared" si="77"/>
        <v>4.7642561133842583E-3</v>
      </c>
      <c r="P23" s="87">
        <f t="shared" si="77"/>
        <v>2.5156118287879545</v>
      </c>
      <c r="Q23" s="87">
        <f t="shared" si="77"/>
        <v>2.5600748792091248</v>
      </c>
      <c r="R23" s="87">
        <f t="shared" si="77"/>
        <v>2.8213749261325503</v>
      </c>
      <c r="S23" s="87">
        <f t="shared" si="77"/>
        <v>2.9480180552517665</v>
      </c>
      <c r="T23" s="87">
        <f t="shared" si="77"/>
        <v>3.0773037434055928</v>
      </c>
      <c r="U23" s="87">
        <f t="shared" si="77"/>
        <v>3.249959925485792</v>
      </c>
      <c r="V23" s="87">
        <f t="shared" si="77"/>
        <v>3.3495699376565158</v>
      </c>
      <c r="W23" s="87">
        <f t="shared" ref="W23" si="78">IF(W50=0,0,W50*W160)</f>
        <v>3.3506441430760239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5.3979312965289029E-3</v>
      </c>
      <c r="O24" s="87">
        <f t="shared" si="81"/>
        <v>9.8694319257215234E-3</v>
      </c>
      <c r="P24" s="87">
        <f t="shared" si="81"/>
        <v>7.7945827323405541E-3</v>
      </c>
      <c r="Q24" s="87">
        <f t="shared" si="81"/>
        <v>1.0198736714443728E-2</v>
      </c>
      <c r="R24" s="87">
        <f t="shared" si="81"/>
        <v>0.22092444799161445</v>
      </c>
      <c r="S24" s="87">
        <f t="shared" si="81"/>
        <v>0.23117084542942501</v>
      </c>
      <c r="T24" s="87">
        <f t="shared" si="81"/>
        <v>0.37852220480463189</v>
      </c>
      <c r="U24" s="87">
        <f t="shared" si="81"/>
        <v>0.45336564593186579</v>
      </c>
      <c r="V24" s="87">
        <f t="shared" si="81"/>
        <v>0.68027722941441937</v>
      </c>
      <c r="W24" s="87">
        <f t="shared" ref="W24" si="82">IF(W51=0,0,W51*W161)</f>
        <v>0.6804953939848587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0</v>
      </c>
      <c r="O25" s="87">
        <f t="shared" si="85"/>
        <v>2.6961649914769327E-3</v>
      </c>
      <c r="P25" s="87">
        <f t="shared" si="85"/>
        <v>5.3941947250621021E-3</v>
      </c>
      <c r="Q25" s="87">
        <f t="shared" si="85"/>
        <v>8.0949456270805221E-3</v>
      </c>
      <c r="R25" s="87">
        <f t="shared" si="85"/>
        <v>1.6183861869992162E-2</v>
      </c>
      <c r="S25" s="87">
        <f t="shared" si="85"/>
        <v>3.6399376096570013E-2</v>
      </c>
      <c r="T25" s="87">
        <f t="shared" si="85"/>
        <v>0.10780822214767377</v>
      </c>
      <c r="U25" s="87">
        <f t="shared" si="85"/>
        <v>0.11450183918900997</v>
      </c>
      <c r="V25" s="87">
        <f t="shared" si="85"/>
        <v>0.13926063399642097</v>
      </c>
      <c r="W25" s="87">
        <f t="shared" ref="W25" si="86">IF(W52=0,0,W52*W162)</f>
        <v>0.19920907040694719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8597.4098122999476</v>
      </c>
      <c r="C26" s="116">
        <f t="shared" si="87"/>
        <v>9111.5704355736343</v>
      </c>
      <c r="D26" s="116">
        <f t="shared" si="87"/>
        <v>9037.1584141920084</v>
      </c>
      <c r="E26" s="116">
        <f t="shared" si="87"/>
        <v>9285.8441451551407</v>
      </c>
      <c r="F26" s="116">
        <f t="shared" si="87"/>
        <v>10159.824234008747</v>
      </c>
      <c r="G26" s="116">
        <f t="shared" si="87"/>
        <v>10527.937660073156</v>
      </c>
      <c r="H26" s="116">
        <f t="shared" si="87"/>
        <v>10399.220059945736</v>
      </c>
      <c r="I26" s="116">
        <f t="shared" si="87"/>
        <v>12163.31567337247</v>
      </c>
      <c r="J26" s="116">
        <f t="shared" si="87"/>
        <v>12672.540648940207</v>
      </c>
      <c r="K26" s="116">
        <f t="shared" si="87"/>
        <v>11607.004611092629</v>
      </c>
      <c r="L26" s="116">
        <f t="shared" ref="L26" si="88">SUM(L27:L28)</f>
        <v>11776.453602577616</v>
      </c>
      <c r="M26" s="116">
        <f t="shared" ref="M26:V26" si="89">SUM(M27:M28)</f>
        <v>11951.399957128286</v>
      </c>
      <c r="N26" s="116">
        <f t="shared" si="89"/>
        <v>12198.542398922409</v>
      </c>
      <c r="O26" s="116">
        <f t="shared" si="89"/>
        <v>12292.664272707703</v>
      </c>
      <c r="P26" s="116">
        <f t="shared" si="89"/>
        <v>12981.00023272082</v>
      </c>
      <c r="Q26" s="116">
        <f t="shared" si="89"/>
        <v>13856.634169545718</v>
      </c>
      <c r="R26" s="116">
        <f t="shared" si="89"/>
        <v>14928.548061067951</v>
      </c>
      <c r="S26" s="116">
        <f t="shared" si="89"/>
        <v>16361.18040671677</v>
      </c>
      <c r="T26" s="116">
        <f t="shared" si="89"/>
        <v>16520</v>
      </c>
      <c r="U26" s="116">
        <f t="shared" si="89"/>
        <v>17188</v>
      </c>
      <c r="V26" s="116">
        <f t="shared" si="89"/>
        <v>16479</v>
      </c>
      <c r="W26" s="116">
        <f t="shared" ref="W26" si="90">SUM(W27:W28)</f>
        <v>16509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5056</v>
      </c>
      <c r="C27" s="101">
        <f t="shared" si="91"/>
        <v>5318</v>
      </c>
      <c r="D27" s="101">
        <f t="shared" si="91"/>
        <v>5020</v>
      </c>
      <c r="E27" s="101">
        <f t="shared" si="91"/>
        <v>5204</v>
      </c>
      <c r="F27" s="101">
        <f t="shared" si="91"/>
        <v>5422</v>
      </c>
      <c r="G27" s="101">
        <f t="shared" si="91"/>
        <v>5621</v>
      </c>
      <c r="H27" s="101">
        <f t="shared" si="91"/>
        <v>5203</v>
      </c>
      <c r="I27" s="101">
        <f t="shared" si="91"/>
        <v>5617</v>
      </c>
      <c r="J27" s="101">
        <f t="shared" si="91"/>
        <v>6319</v>
      </c>
      <c r="K27" s="101">
        <f t="shared" si="91"/>
        <v>5519</v>
      </c>
      <c r="L27" s="101">
        <f t="shared" ref="L27:V27" si="92">IF(L54=0,0,L54*L164)</f>
        <v>5198</v>
      </c>
      <c r="M27" s="101">
        <f t="shared" si="92"/>
        <v>4906</v>
      </c>
      <c r="N27" s="101">
        <f t="shared" si="92"/>
        <v>5073</v>
      </c>
      <c r="O27" s="101">
        <f t="shared" si="92"/>
        <v>4566</v>
      </c>
      <c r="P27" s="101">
        <f t="shared" si="92"/>
        <v>5094</v>
      </c>
      <c r="Q27" s="101">
        <f t="shared" si="92"/>
        <v>5245</v>
      </c>
      <c r="R27" s="101">
        <f t="shared" si="92"/>
        <v>5697</v>
      </c>
      <c r="S27" s="101">
        <f t="shared" si="92"/>
        <v>6326</v>
      </c>
      <c r="T27" s="101">
        <f t="shared" si="92"/>
        <v>6476.9999999999991</v>
      </c>
      <c r="U27" s="101">
        <f t="shared" si="92"/>
        <v>6730</v>
      </c>
      <c r="V27" s="101">
        <f t="shared" si="92"/>
        <v>6477</v>
      </c>
      <c r="W27" s="101">
        <f t="shared" ref="W27" si="93">IF(W54=0,0,W54*W164)</f>
        <v>6294.9999999999991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3541.4098122999476</v>
      </c>
      <c r="C28" s="88">
        <f t="shared" si="94"/>
        <v>3793.5704355736343</v>
      </c>
      <c r="D28" s="88">
        <f t="shared" si="94"/>
        <v>4017.158414192008</v>
      </c>
      <c r="E28" s="88">
        <f t="shared" si="94"/>
        <v>4081.8441451551407</v>
      </c>
      <c r="F28" s="88">
        <f t="shared" si="94"/>
        <v>4737.8242340087472</v>
      </c>
      <c r="G28" s="88">
        <f t="shared" si="94"/>
        <v>4906.9376600731557</v>
      </c>
      <c r="H28" s="88">
        <f t="shared" si="94"/>
        <v>5196.2200599457356</v>
      </c>
      <c r="I28" s="88">
        <f t="shared" si="94"/>
        <v>6546.31567337247</v>
      </c>
      <c r="J28" s="88">
        <f t="shared" si="94"/>
        <v>6353.5406489402067</v>
      </c>
      <c r="K28" s="88">
        <f t="shared" si="94"/>
        <v>6088.0046110926287</v>
      </c>
      <c r="L28" s="88">
        <f t="shared" ref="L28:V28" si="95">IF(L55=0,0,L55*L165)</f>
        <v>6578.453602577616</v>
      </c>
      <c r="M28" s="88">
        <f t="shared" si="95"/>
        <v>7045.3999571282857</v>
      </c>
      <c r="N28" s="88">
        <f t="shared" si="95"/>
        <v>7125.5423989224091</v>
      </c>
      <c r="O28" s="88">
        <f t="shared" si="95"/>
        <v>7726.6642727077033</v>
      </c>
      <c r="P28" s="88">
        <f t="shared" si="95"/>
        <v>7887.0002327208203</v>
      </c>
      <c r="Q28" s="88">
        <f t="shared" si="95"/>
        <v>8611.6341695457177</v>
      </c>
      <c r="R28" s="88">
        <f t="shared" si="95"/>
        <v>9231.5480610679515</v>
      </c>
      <c r="S28" s="88">
        <f t="shared" si="95"/>
        <v>10035.18040671677</v>
      </c>
      <c r="T28" s="88">
        <f t="shared" si="95"/>
        <v>10043</v>
      </c>
      <c r="U28" s="88">
        <f t="shared" si="95"/>
        <v>10458</v>
      </c>
      <c r="V28" s="88">
        <f t="shared" si="95"/>
        <v>10002</v>
      </c>
      <c r="W28" s="88">
        <f t="shared" ref="W28" si="96">IF(W55=0,0,W55*W165)</f>
        <v>10214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15473.066682572897</v>
      </c>
      <c r="C30" s="62">
        <f t="shared" ref="C30:V30" si="98">C31+C46</f>
        <v>15840.357698565047</v>
      </c>
      <c r="D30" s="62">
        <f t="shared" si="98"/>
        <v>16602.077265193631</v>
      </c>
      <c r="E30" s="62">
        <f t="shared" si="98"/>
        <v>16804.893001262539</v>
      </c>
      <c r="F30" s="62">
        <f t="shared" si="98"/>
        <v>17003.263493912873</v>
      </c>
      <c r="G30" s="62">
        <f t="shared" si="98"/>
        <v>17435.080770358043</v>
      </c>
      <c r="H30" s="62">
        <f t="shared" si="98"/>
        <v>17770.343925524739</v>
      </c>
      <c r="I30" s="62">
        <f t="shared" si="98"/>
        <v>18273.950286028179</v>
      </c>
      <c r="J30" s="62">
        <f t="shared" si="98"/>
        <v>19015.740164804723</v>
      </c>
      <c r="K30" s="62">
        <f t="shared" si="98"/>
        <v>18946.128240229911</v>
      </c>
      <c r="L30" s="62">
        <f t="shared" si="98"/>
        <v>19805.068453497155</v>
      </c>
      <c r="M30" s="62">
        <f t="shared" si="98"/>
        <v>19827.545675406356</v>
      </c>
      <c r="N30" s="62">
        <f t="shared" si="98"/>
        <v>19830.731185389657</v>
      </c>
      <c r="O30" s="62">
        <f t="shared" si="98"/>
        <v>19769.826475362359</v>
      </c>
      <c r="P30" s="62">
        <f t="shared" si="98"/>
        <v>19840.691932222631</v>
      </c>
      <c r="Q30" s="62">
        <f t="shared" si="98"/>
        <v>20322.180878659703</v>
      </c>
      <c r="R30" s="62">
        <f t="shared" si="98"/>
        <v>20514.721608126929</v>
      </c>
      <c r="S30" s="62">
        <f t="shared" si="98"/>
        <v>20682.020582019642</v>
      </c>
      <c r="T30" s="62">
        <f t="shared" si="98"/>
        <v>20715.054977190033</v>
      </c>
      <c r="U30" s="62">
        <f t="shared" si="98"/>
        <v>20978.032713989691</v>
      </c>
      <c r="V30" s="62">
        <f t="shared" si="98"/>
        <v>19730.751675359021</v>
      </c>
      <c r="W30" s="62">
        <f t="shared" ref="W30" si="99">W31+W46</f>
        <v>20050.747399593973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13159.99620956404</v>
      </c>
      <c r="C31" s="29">
        <f t="shared" ref="C31:V31" si="101">C32+C33+C40</f>
        <v>13428.971078766266</v>
      </c>
      <c r="D31" s="29">
        <f t="shared" si="101"/>
        <v>13926.442872381458</v>
      </c>
      <c r="E31" s="29">
        <f t="shared" si="101"/>
        <v>14089.903251138359</v>
      </c>
      <c r="F31" s="29">
        <f t="shared" si="101"/>
        <v>14043.789952948402</v>
      </c>
      <c r="G31" s="29">
        <f t="shared" si="101"/>
        <v>14263.04733937472</v>
      </c>
      <c r="H31" s="29">
        <f t="shared" si="101"/>
        <v>14477.790679144249</v>
      </c>
      <c r="I31" s="29">
        <f t="shared" si="101"/>
        <v>14503.372912435838</v>
      </c>
      <c r="J31" s="29">
        <f t="shared" si="101"/>
        <v>14831.3093064888</v>
      </c>
      <c r="K31" s="29">
        <f t="shared" si="101"/>
        <v>14773.678486100882</v>
      </c>
      <c r="L31" s="29">
        <f t="shared" si="101"/>
        <v>15240.290956043527</v>
      </c>
      <c r="M31" s="29">
        <f t="shared" si="101"/>
        <v>15146.103121366161</v>
      </c>
      <c r="N31" s="29">
        <f t="shared" si="101"/>
        <v>15090.931106546148</v>
      </c>
      <c r="O31" s="29">
        <f t="shared" si="101"/>
        <v>15312.821122827056</v>
      </c>
      <c r="P31" s="29">
        <f t="shared" si="101"/>
        <v>15536.007961306439</v>
      </c>
      <c r="Q31" s="29">
        <f t="shared" si="101"/>
        <v>15696.16307856363</v>
      </c>
      <c r="R31" s="29">
        <f t="shared" si="101"/>
        <v>15745.264203636669</v>
      </c>
      <c r="S31" s="29">
        <f t="shared" si="101"/>
        <v>15788.868289005424</v>
      </c>
      <c r="T31" s="29">
        <f t="shared" si="101"/>
        <v>15946.756165316221</v>
      </c>
      <c r="U31" s="29">
        <f t="shared" si="101"/>
        <v>15976.405579859927</v>
      </c>
      <c r="V31" s="29">
        <f t="shared" si="101"/>
        <v>14767.006959394237</v>
      </c>
      <c r="W31" s="29">
        <f t="shared" ref="W31" si="102">W32+W33+W40</f>
        <v>15111.982352591942</v>
      </c>
      <c r="DA31" s="173" t="s">
        <v>474</v>
      </c>
    </row>
    <row r="32" spans="1:105" ht="11.45" customHeight="1" x14ac:dyDescent="0.25">
      <c r="A32" s="136" t="s">
        <v>180</v>
      </c>
      <c r="B32" s="152">
        <v>52.081990473209899</v>
      </c>
      <c r="C32" s="152">
        <v>55.010300492689709</v>
      </c>
      <c r="D32" s="152">
        <v>48.162265648508743</v>
      </c>
      <c r="E32" s="152">
        <v>49.009485783565239</v>
      </c>
      <c r="F32" s="152">
        <v>51.737449359509064</v>
      </c>
      <c r="G32" s="152">
        <v>56.644554870790316</v>
      </c>
      <c r="H32" s="152">
        <v>58.721170310504178</v>
      </c>
      <c r="I32" s="152">
        <v>64.280214667367005</v>
      </c>
      <c r="J32" s="152">
        <v>69.997994819147323</v>
      </c>
      <c r="K32" s="152">
        <v>61.373486406628246</v>
      </c>
      <c r="L32" s="152">
        <v>56.4031241980339</v>
      </c>
      <c r="M32" s="152">
        <v>68.257771691519153</v>
      </c>
      <c r="N32" s="152">
        <v>79.97135207866441</v>
      </c>
      <c r="O32" s="152">
        <v>81.878022001180213</v>
      </c>
      <c r="P32" s="152">
        <v>91.110983475544955</v>
      </c>
      <c r="Q32" s="152">
        <v>101.71649118862555</v>
      </c>
      <c r="R32" s="152">
        <v>108.21122806127596</v>
      </c>
      <c r="S32" s="152">
        <v>103.35386384843312</v>
      </c>
      <c r="T32" s="152">
        <v>99.593959109479471</v>
      </c>
      <c r="U32" s="152">
        <v>106.59920997751051</v>
      </c>
      <c r="V32" s="152">
        <v>96.225949305891277</v>
      </c>
      <c r="W32" s="152">
        <v>100.77533812648889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12807.714219090829</v>
      </c>
      <c r="C33" s="116">
        <f t="shared" ref="C33:V33" si="104">SUM(C34:C39)</f>
        <v>13079.760778273576</v>
      </c>
      <c r="D33" s="116">
        <f t="shared" si="104"/>
        <v>13588.38060673295</v>
      </c>
      <c r="E33" s="116">
        <f t="shared" si="104"/>
        <v>13737.822548693486</v>
      </c>
      <c r="F33" s="116">
        <f t="shared" si="104"/>
        <v>13708.852503588892</v>
      </c>
      <c r="G33" s="116">
        <f t="shared" si="104"/>
        <v>13934.902784503929</v>
      </c>
      <c r="H33" s="116">
        <f t="shared" si="104"/>
        <v>14140.069508833745</v>
      </c>
      <c r="I33" s="116">
        <f t="shared" si="104"/>
        <v>14100.09269776847</v>
      </c>
      <c r="J33" s="116">
        <f t="shared" si="104"/>
        <v>14426.311311669653</v>
      </c>
      <c r="K33" s="116">
        <f t="shared" si="104"/>
        <v>14395.104999694253</v>
      </c>
      <c r="L33" s="116">
        <f t="shared" si="104"/>
        <v>14870.287831845493</v>
      </c>
      <c r="M33" s="116">
        <f t="shared" si="104"/>
        <v>14776.845349674642</v>
      </c>
      <c r="N33" s="116">
        <f t="shared" si="104"/>
        <v>14710.959754467483</v>
      </c>
      <c r="O33" s="116">
        <f t="shared" si="104"/>
        <v>14939.943100825876</v>
      </c>
      <c r="P33" s="116">
        <f t="shared" si="104"/>
        <v>15147.896977830895</v>
      </c>
      <c r="Q33" s="116">
        <f t="shared" si="104"/>
        <v>15296.446587375005</v>
      </c>
      <c r="R33" s="116">
        <f t="shared" si="104"/>
        <v>15340.052975575392</v>
      </c>
      <c r="S33" s="116">
        <f t="shared" si="104"/>
        <v>15375.514425156991</v>
      </c>
      <c r="T33" s="116">
        <f t="shared" si="104"/>
        <v>15527.162206206742</v>
      </c>
      <c r="U33" s="116">
        <f t="shared" si="104"/>
        <v>15546.006369882418</v>
      </c>
      <c r="V33" s="116">
        <f t="shared" si="104"/>
        <v>14391.781010088345</v>
      </c>
      <c r="W33" s="116">
        <f t="shared" ref="W33" si="105">SUM(W34:W39)</f>
        <v>14732.507014465453</v>
      </c>
      <c r="DA33" s="176" t="s">
        <v>476</v>
      </c>
    </row>
    <row r="34" spans="1:105" ht="11.45" customHeight="1" x14ac:dyDescent="0.25">
      <c r="A34" s="111" t="s">
        <v>110</v>
      </c>
      <c r="B34" s="87">
        <v>9953.3578064305657</v>
      </c>
      <c r="C34" s="87">
        <v>10010.504634463621</v>
      </c>
      <c r="D34" s="87">
        <v>10082.624399725892</v>
      </c>
      <c r="E34" s="87">
        <v>9972.8024972279545</v>
      </c>
      <c r="F34" s="87">
        <v>9826.8606005958645</v>
      </c>
      <c r="G34" s="87">
        <v>9925.9948968436674</v>
      </c>
      <c r="H34" s="87">
        <v>9960.9449266085048</v>
      </c>
      <c r="I34" s="87">
        <v>9586.1715363833137</v>
      </c>
      <c r="J34" s="87">
        <v>9625.0107928652997</v>
      </c>
      <c r="K34" s="87">
        <v>9480.3885778989061</v>
      </c>
      <c r="L34" s="87">
        <v>9785.6550676475945</v>
      </c>
      <c r="M34" s="87">
        <v>9303.2670376328006</v>
      </c>
      <c r="N34" s="87">
        <v>9278.0505982059149</v>
      </c>
      <c r="O34" s="87">
        <v>9534.4523725416238</v>
      </c>
      <c r="P34" s="87">
        <v>9678.8080977419413</v>
      </c>
      <c r="Q34" s="87">
        <v>9853.1991996550732</v>
      </c>
      <c r="R34" s="87">
        <v>10022.940407495153</v>
      </c>
      <c r="S34" s="87">
        <v>10053.757931330347</v>
      </c>
      <c r="T34" s="87">
        <v>10137.986030512555</v>
      </c>
      <c r="U34" s="87">
        <v>10128.547668712992</v>
      </c>
      <c r="V34" s="87">
        <v>9278.4004369371396</v>
      </c>
      <c r="W34" s="87">
        <v>9402.7035862868252</v>
      </c>
      <c r="DA34" s="171" t="s">
        <v>477</v>
      </c>
    </row>
    <row r="35" spans="1:105" ht="11.45" customHeight="1" x14ac:dyDescent="0.25">
      <c r="A35" s="111" t="s">
        <v>111</v>
      </c>
      <c r="B35" s="87">
        <v>2854.3564126602637</v>
      </c>
      <c r="C35" s="87">
        <v>3046.7892096180781</v>
      </c>
      <c r="D35" s="87">
        <v>3482.9140416831151</v>
      </c>
      <c r="E35" s="87">
        <v>3698.6574096880199</v>
      </c>
      <c r="F35" s="87">
        <v>3804.3689895355219</v>
      </c>
      <c r="G35" s="87">
        <v>3912.602603563008</v>
      </c>
      <c r="H35" s="87">
        <v>4083.485262172464</v>
      </c>
      <c r="I35" s="87">
        <v>4346.1029396381673</v>
      </c>
      <c r="J35" s="87">
        <v>4644.9173412265227</v>
      </c>
      <c r="K35" s="87">
        <v>4761.7535233921226</v>
      </c>
      <c r="L35" s="87">
        <v>4900.7235576421836</v>
      </c>
      <c r="M35" s="87">
        <v>4884.6410371667598</v>
      </c>
      <c r="N35" s="87">
        <v>4835.1316680831114</v>
      </c>
      <c r="O35" s="87">
        <v>4789.3857988481432</v>
      </c>
      <c r="P35" s="87">
        <v>4848.3587889142609</v>
      </c>
      <c r="Q35" s="87">
        <v>4806.2727583012957</v>
      </c>
      <c r="R35" s="87">
        <v>4751.6461714525285</v>
      </c>
      <c r="S35" s="87">
        <v>4821.4290310535007</v>
      </c>
      <c r="T35" s="87">
        <v>4916.0189354645499</v>
      </c>
      <c r="U35" s="87">
        <v>4984.3129099399584</v>
      </c>
      <c r="V35" s="87">
        <v>4717.1471696685639</v>
      </c>
      <c r="W35" s="87">
        <v>4925.3115131548602</v>
      </c>
      <c r="DA35" s="171" t="s">
        <v>478</v>
      </c>
    </row>
    <row r="36" spans="1:105" ht="11.45" customHeight="1" x14ac:dyDescent="0.25">
      <c r="A36" s="111" t="s">
        <v>112</v>
      </c>
      <c r="B36" s="87">
        <v>0</v>
      </c>
      <c r="C36" s="87">
        <v>0</v>
      </c>
      <c r="D36" s="87">
        <v>0</v>
      </c>
      <c r="E36" s="87">
        <v>0</v>
      </c>
      <c r="F36" s="87">
        <v>0</v>
      </c>
      <c r="G36" s="87">
        <v>16.329517425648206</v>
      </c>
      <c r="H36" s="87">
        <v>16.150468308345559</v>
      </c>
      <c r="I36" s="87">
        <v>15.63920431454625</v>
      </c>
      <c r="J36" s="87">
        <v>14.919629269896166</v>
      </c>
      <c r="K36" s="87">
        <v>14.224886002344949</v>
      </c>
      <c r="L36" s="87">
        <v>29.622855039025222</v>
      </c>
      <c r="M36" s="87">
        <v>446.56798365915989</v>
      </c>
      <c r="N36" s="87">
        <v>476.38985465633243</v>
      </c>
      <c r="O36" s="87">
        <v>506.28612914829995</v>
      </c>
      <c r="P36" s="87">
        <v>500.12618368347177</v>
      </c>
      <c r="Q36" s="87">
        <v>519.09248735143115</v>
      </c>
      <c r="R36" s="87">
        <v>483.15326156589646</v>
      </c>
      <c r="S36" s="87">
        <v>423.3345919701016</v>
      </c>
      <c r="T36" s="87">
        <v>398.19328816614382</v>
      </c>
      <c r="U36" s="87">
        <v>369.18123224593108</v>
      </c>
      <c r="V36" s="87">
        <v>335.56839020751039</v>
      </c>
      <c r="W36" s="87">
        <v>329.01314805267356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22.466934191875701</v>
      </c>
      <c r="D37" s="87">
        <v>22.842165323941568</v>
      </c>
      <c r="E37" s="87">
        <v>66.362641777511399</v>
      </c>
      <c r="F37" s="87">
        <v>77.622913457505717</v>
      </c>
      <c r="G37" s="87">
        <v>79.975766671605754</v>
      </c>
      <c r="H37" s="87">
        <v>79.488851744429923</v>
      </c>
      <c r="I37" s="87">
        <v>152.17901743244249</v>
      </c>
      <c r="J37" s="87">
        <v>141.46354830793518</v>
      </c>
      <c r="K37" s="87">
        <v>138.73801240087928</v>
      </c>
      <c r="L37" s="87">
        <v>154.28635151669087</v>
      </c>
      <c r="M37" s="87">
        <v>142.22157540922839</v>
      </c>
      <c r="N37" s="87">
        <v>121.18755805241292</v>
      </c>
      <c r="O37" s="87">
        <v>109.57812247229947</v>
      </c>
      <c r="P37" s="87">
        <v>119.53467782420088</v>
      </c>
      <c r="Q37" s="87">
        <v>116.45965086091253</v>
      </c>
      <c r="R37" s="87">
        <v>79.402207464405194</v>
      </c>
      <c r="S37" s="87">
        <v>71.136016134944512</v>
      </c>
      <c r="T37" s="87">
        <v>64.216994011400004</v>
      </c>
      <c r="U37" s="87">
        <v>50.912715951614302</v>
      </c>
      <c r="V37" s="87">
        <v>36.901032910678211</v>
      </c>
      <c r="W37" s="87">
        <v>37.421438457799432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4.4226474362748965E-2</v>
      </c>
      <c r="O38" s="87">
        <v>4.5806817410901868E-2</v>
      </c>
      <c r="P38" s="87">
        <v>0.18764539427081228</v>
      </c>
      <c r="Q38" s="87">
        <v>0.35224186186346113</v>
      </c>
      <c r="R38" s="87">
        <v>1.3673415930733379</v>
      </c>
      <c r="S38" s="87">
        <v>2.7617527315455113</v>
      </c>
      <c r="T38" s="87">
        <v>4.5768195449416913</v>
      </c>
      <c r="U38" s="87">
        <v>5.6454208354123887</v>
      </c>
      <c r="V38" s="87">
        <v>9.7038610109509236</v>
      </c>
      <c r="W38" s="87">
        <v>14.951902506627103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0.147715806692131</v>
      </c>
      <c r="N39" s="87">
        <v>0.15584899534847649</v>
      </c>
      <c r="O39" s="87">
        <v>0.19487099809895259</v>
      </c>
      <c r="P39" s="87">
        <v>0.88158427274981599</v>
      </c>
      <c r="Q39" s="87">
        <v>1.0702493444316141</v>
      </c>
      <c r="R39" s="87">
        <v>1.543586004337157</v>
      </c>
      <c r="S39" s="87">
        <v>3.0951019365527039</v>
      </c>
      <c r="T39" s="87">
        <v>6.1701385071512087</v>
      </c>
      <c r="U39" s="87">
        <v>7.4064221965096131</v>
      </c>
      <c r="V39" s="87">
        <v>14.06011935350134</v>
      </c>
      <c r="W39" s="87">
        <v>23.105426006666921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300.2</v>
      </c>
      <c r="C40" s="116">
        <f t="shared" ref="C40:V40" si="107">SUM(C41:C45)</f>
        <v>294.2</v>
      </c>
      <c r="D40" s="116">
        <f t="shared" si="107"/>
        <v>289.89999999999998</v>
      </c>
      <c r="E40" s="116">
        <f t="shared" si="107"/>
        <v>303.07121666130826</v>
      </c>
      <c r="F40" s="116">
        <f t="shared" si="107"/>
        <v>283.2</v>
      </c>
      <c r="G40" s="116">
        <f t="shared" si="107"/>
        <v>271.5</v>
      </c>
      <c r="H40" s="116">
        <f t="shared" si="107"/>
        <v>279</v>
      </c>
      <c r="I40" s="116">
        <f t="shared" si="107"/>
        <v>339</v>
      </c>
      <c r="J40" s="116">
        <f t="shared" si="107"/>
        <v>335</v>
      </c>
      <c r="K40" s="116">
        <f t="shared" si="107"/>
        <v>317.2</v>
      </c>
      <c r="L40" s="116">
        <f t="shared" si="107"/>
        <v>313.60000000000002</v>
      </c>
      <c r="M40" s="116">
        <f t="shared" si="107"/>
        <v>301</v>
      </c>
      <c r="N40" s="116">
        <f t="shared" si="107"/>
        <v>300</v>
      </c>
      <c r="O40" s="116">
        <f t="shared" si="107"/>
        <v>291</v>
      </c>
      <c r="P40" s="116">
        <f t="shared" si="107"/>
        <v>297</v>
      </c>
      <c r="Q40" s="116">
        <f t="shared" si="107"/>
        <v>298</v>
      </c>
      <c r="R40" s="116">
        <f t="shared" si="107"/>
        <v>297</v>
      </c>
      <c r="S40" s="116">
        <f t="shared" si="107"/>
        <v>310.00000000000006</v>
      </c>
      <c r="T40" s="116">
        <f t="shared" si="107"/>
        <v>320</v>
      </c>
      <c r="U40" s="116">
        <f t="shared" si="107"/>
        <v>323.79999999999995</v>
      </c>
      <c r="V40" s="116">
        <f t="shared" si="107"/>
        <v>279</v>
      </c>
      <c r="W40" s="116">
        <f t="shared" ref="W40" si="108">SUM(W41:W45)</f>
        <v>278.69999999999993</v>
      </c>
      <c r="DA40" s="176" t="s">
        <v>483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0</v>
      </c>
      <c r="R41" s="101">
        <v>0</v>
      </c>
      <c r="S41" s="101">
        <v>0</v>
      </c>
      <c r="T41" s="101">
        <v>0</v>
      </c>
      <c r="U41" s="101">
        <v>0</v>
      </c>
      <c r="V41" s="101">
        <v>0</v>
      </c>
      <c r="W41" s="101">
        <v>0</v>
      </c>
      <c r="DA41" s="175" t="s">
        <v>484</v>
      </c>
    </row>
    <row r="42" spans="1:105" ht="11.45" customHeight="1" x14ac:dyDescent="0.25">
      <c r="A42" s="111" t="s">
        <v>111</v>
      </c>
      <c r="B42" s="101">
        <v>300.2</v>
      </c>
      <c r="C42" s="101">
        <v>294.2</v>
      </c>
      <c r="D42" s="101">
        <v>289.89999999999998</v>
      </c>
      <c r="E42" s="101">
        <v>303.07121666130826</v>
      </c>
      <c r="F42" s="101">
        <v>283.2</v>
      </c>
      <c r="G42" s="101">
        <v>271.5</v>
      </c>
      <c r="H42" s="101">
        <v>279</v>
      </c>
      <c r="I42" s="101">
        <v>339</v>
      </c>
      <c r="J42" s="101">
        <v>335</v>
      </c>
      <c r="K42" s="101">
        <v>317.2</v>
      </c>
      <c r="L42" s="101">
        <v>308.56856232317961</v>
      </c>
      <c r="M42" s="101">
        <v>289.3686091201559</v>
      </c>
      <c r="N42" s="101">
        <v>288.31985604833511</v>
      </c>
      <c r="O42" s="101">
        <v>279.48575971432723</v>
      </c>
      <c r="P42" s="101">
        <v>281.30612660738183</v>
      </c>
      <c r="Q42" s="101">
        <v>278.3850106037433</v>
      </c>
      <c r="R42" s="101">
        <v>268.34244987794324</v>
      </c>
      <c r="S42" s="101">
        <v>278.31372033110233</v>
      </c>
      <c r="T42" s="101">
        <v>286.06224697957708</v>
      </c>
      <c r="U42" s="101">
        <v>288.02312551130854</v>
      </c>
      <c r="V42" s="101">
        <v>242.93448405093619</v>
      </c>
      <c r="W42" s="101">
        <v>242.25933011511847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5.4948954844587652</v>
      </c>
      <c r="S44" s="101">
        <v>5.4294914790981368</v>
      </c>
      <c r="T44" s="101">
        <v>5.1472207583054903</v>
      </c>
      <c r="U44" s="101">
        <v>5.1999035859795413</v>
      </c>
      <c r="V44" s="101">
        <v>5.0686351754832888</v>
      </c>
      <c r="W44" s="101">
        <v>5.0307996683689966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5.0314376768204028</v>
      </c>
      <c r="M45" s="101">
        <v>11.631390879844117</v>
      </c>
      <c r="N45" s="101">
        <v>11.680143951664881</v>
      </c>
      <c r="O45" s="101">
        <v>11.514240285672795</v>
      </c>
      <c r="P45" s="101">
        <v>15.693873392618196</v>
      </c>
      <c r="Q45" s="101">
        <v>19.614989396256703</v>
      </c>
      <c r="R45" s="101">
        <v>23.162654637597971</v>
      </c>
      <c r="S45" s="101">
        <v>26.256788189799558</v>
      </c>
      <c r="T45" s="101">
        <v>28.790532262117413</v>
      </c>
      <c r="U45" s="101">
        <v>30.576970902711906</v>
      </c>
      <c r="V45" s="101">
        <v>30.996880773580521</v>
      </c>
      <c r="W45" s="101">
        <v>31.409870216512502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2313.070473008856</v>
      </c>
      <c r="C46" s="29">
        <f t="shared" ref="C46:V46" si="110">C47+C53</f>
        <v>2411.3866197987818</v>
      </c>
      <c r="D46" s="29">
        <f t="shared" si="110"/>
        <v>2675.6343928121728</v>
      </c>
      <c r="E46" s="29">
        <f t="shared" si="110"/>
        <v>2714.9897501241794</v>
      </c>
      <c r="F46" s="29">
        <f t="shared" si="110"/>
        <v>2959.4735409644718</v>
      </c>
      <c r="G46" s="29">
        <f t="shared" si="110"/>
        <v>3172.0334309833224</v>
      </c>
      <c r="H46" s="29">
        <f t="shared" si="110"/>
        <v>3292.5532463804902</v>
      </c>
      <c r="I46" s="29">
        <f t="shared" si="110"/>
        <v>3770.5773735923394</v>
      </c>
      <c r="J46" s="29">
        <f t="shared" si="110"/>
        <v>4184.4308583159236</v>
      </c>
      <c r="K46" s="29">
        <f t="shared" si="110"/>
        <v>4172.4497541290311</v>
      </c>
      <c r="L46" s="29">
        <f t="shared" si="110"/>
        <v>4564.7774974536287</v>
      </c>
      <c r="M46" s="29">
        <f t="shared" si="110"/>
        <v>4681.4425540401935</v>
      </c>
      <c r="N46" s="29">
        <f t="shared" si="110"/>
        <v>4739.8000788435093</v>
      </c>
      <c r="O46" s="29">
        <f t="shared" si="110"/>
        <v>4457.0053525353032</v>
      </c>
      <c r="P46" s="29">
        <f t="shared" si="110"/>
        <v>4304.6839709161904</v>
      </c>
      <c r="Q46" s="29">
        <f t="shared" si="110"/>
        <v>4626.0178000960723</v>
      </c>
      <c r="R46" s="29">
        <f t="shared" si="110"/>
        <v>4769.457404490262</v>
      </c>
      <c r="S46" s="29">
        <f t="shared" si="110"/>
        <v>4893.1522930142164</v>
      </c>
      <c r="T46" s="29">
        <f t="shared" si="110"/>
        <v>4768.298811873814</v>
      </c>
      <c r="U46" s="29">
        <f t="shared" si="110"/>
        <v>5001.6271341297634</v>
      </c>
      <c r="V46" s="29">
        <f t="shared" si="110"/>
        <v>4963.7447159647845</v>
      </c>
      <c r="W46" s="29">
        <f t="shared" ref="W46" si="111">W47+W53</f>
        <v>4938.7650470020317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1685.3731708208782</v>
      </c>
      <c r="C47" s="152">
        <f t="shared" ref="C47:V47" si="113">SUM(C48:C52)</f>
        <v>1731.3420594940417</v>
      </c>
      <c r="D47" s="152">
        <f t="shared" si="113"/>
        <v>1757.764931682661</v>
      </c>
      <c r="E47" s="152">
        <f t="shared" si="113"/>
        <v>1751.6279936595265</v>
      </c>
      <c r="F47" s="152">
        <f t="shared" si="113"/>
        <v>1867.8915684152264</v>
      </c>
      <c r="G47" s="152">
        <f t="shared" si="113"/>
        <v>2007.5229549515388</v>
      </c>
      <c r="H47" s="152">
        <f t="shared" si="113"/>
        <v>2004.7353224871231</v>
      </c>
      <c r="I47" s="152">
        <f t="shared" si="113"/>
        <v>2308.8016650430377</v>
      </c>
      <c r="J47" s="152">
        <f t="shared" si="113"/>
        <v>2476.8490333551699</v>
      </c>
      <c r="K47" s="152">
        <f t="shared" si="113"/>
        <v>2681.0989973950877</v>
      </c>
      <c r="L47" s="152">
        <f t="shared" si="113"/>
        <v>2722.8101719725091</v>
      </c>
      <c r="M47" s="152">
        <f t="shared" si="113"/>
        <v>2810.9427006873716</v>
      </c>
      <c r="N47" s="152">
        <f t="shared" si="113"/>
        <v>2950.9554943124213</v>
      </c>
      <c r="O47" s="152">
        <f t="shared" si="113"/>
        <v>2682.2156898583216</v>
      </c>
      <c r="P47" s="152">
        <f t="shared" si="113"/>
        <v>2372.8340481901641</v>
      </c>
      <c r="Q47" s="152">
        <f t="shared" si="113"/>
        <v>2754.1451042761673</v>
      </c>
      <c r="R47" s="152">
        <f t="shared" si="113"/>
        <v>2590.797271172014</v>
      </c>
      <c r="S47" s="152">
        <f t="shared" si="113"/>
        <v>2610.8873451011609</v>
      </c>
      <c r="T47" s="152">
        <f t="shared" si="113"/>
        <v>2580.8455646512871</v>
      </c>
      <c r="U47" s="152">
        <f t="shared" si="113"/>
        <v>2573.0318913896117</v>
      </c>
      <c r="V47" s="152">
        <f t="shared" si="113"/>
        <v>2617.4918813379086</v>
      </c>
      <c r="W47" s="152">
        <f t="shared" ref="W47" si="114">SUM(W48:W52)</f>
        <v>2659.3123079654447</v>
      </c>
      <c r="DA47" s="174" t="s">
        <v>490</v>
      </c>
    </row>
    <row r="48" spans="1:105" ht="11.45" customHeight="1" x14ac:dyDescent="0.25">
      <c r="A48" s="111" t="s">
        <v>110</v>
      </c>
      <c r="B48" s="87">
        <v>573.76475670943069</v>
      </c>
      <c r="C48" s="87">
        <v>588.71728404374483</v>
      </c>
      <c r="D48" s="87">
        <v>604.58482111445983</v>
      </c>
      <c r="E48" s="87">
        <v>603.9032003653906</v>
      </c>
      <c r="F48" s="87">
        <v>756.85978574791943</v>
      </c>
      <c r="G48" s="87">
        <v>767.91768876401898</v>
      </c>
      <c r="H48" s="87">
        <v>785.0829204199365</v>
      </c>
      <c r="I48" s="87">
        <v>851.80049919652458</v>
      </c>
      <c r="J48" s="87">
        <v>891.41219679992855</v>
      </c>
      <c r="K48" s="87">
        <v>885.63061938411204</v>
      </c>
      <c r="L48" s="87">
        <v>680.87640740456834</v>
      </c>
      <c r="M48" s="87">
        <v>698.78026726944211</v>
      </c>
      <c r="N48" s="87">
        <v>713.05959590305008</v>
      </c>
      <c r="O48" s="87">
        <v>724.21494949889859</v>
      </c>
      <c r="P48" s="87">
        <v>679.52107400952013</v>
      </c>
      <c r="Q48" s="87">
        <v>787.70858817978672</v>
      </c>
      <c r="R48" s="87">
        <v>880.03159370688195</v>
      </c>
      <c r="S48" s="87">
        <v>788.73066286035305</v>
      </c>
      <c r="T48" s="87">
        <v>752.65268550869496</v>
      </c>
      <c r="U48" s="87">
        <v>643.06338583538127</v>
      </c>
      <c r="V48" s="87">
        <v>643.65464698618894</v>
      </c>
      <c r="W48" s="87">
        <v>644.26331812283365</v>
      </c>
      <c r="DA48" s="171" t="s">
        <v>491</v>
      </c>
    </row>
    <row r="49" spans="1:105" ht="11.45" customHeight="1" x14ac:dyDescent="0.25">
      <c r="A49" s="111" t="s">
        <v>111</v>
      </c>
      <c r="B49" s="87">
        <v>1111.6084141114475</v>
      </c>
      <c r="C49" s="87">
        <v>1142.624775450297</v>
      </c>
      <c r="D49" s="87">
        <v>1153.1801105682011</v>
      </c>
      <c r="E49" s="87">
        <v>1147.7247932941359</v>
      </c>
      <c r="F49" s="87">
        <v>1111.031782667307</v>
      </c>
      <c r="G49" s="87">
        <v>1239.6052661875199</v>
      </c>
      <c r="H49" s="87">
        <v>1219.6524020671866</v>
      </c>
      <c r="I49" s="87">
        <v>1457.0011658465132</v>
      </c>
      <c r="J49" s="87">
        <v>1585.4368365552411</v>
      </c>
      <c r="K49" s="87">
        <v>1795.4683780109758</v>
      </c>
      <c r="L49" s="87">
        <v>2041.9337645679407</v>
      </c>
      <c r="M49" s="87">
        <v>2112.1624334179296</v>
      </c>
      <c r="N49" s="87">
        <v>2237.7595001242807</v>
      </c>
      <c r="O49" s="87">
        <v>1957.8099164793389</v>
      </c>
      <c r="P49" s="87">
        <v>1664.4058577009826</v>
      </c>
      <c r="Q49" s="87">
        <v>1936.8410393892129</v>
      </c>
      <c r="R49" s="87">
        <v>1675.6566044647986</v>
      </c>
      <c r="S49" s="87">
        <v>1785.299867848508</v>
      </c>
      <c r="T49" s="87">
        <v>1787.5320984552654</v>
      </c>
      <c r="U49" s="87">
        <v>1886.3979401732822</v>
      </c>
      <c r="V49" s="87">
        <v>1926.2764670086224</v>
      </c>
      <c r="W49" s="87">
        <v>1966.957628842383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7.452201819648846E-2</v>
      </c>
      <c r="O50" s="87">
        <v>5.42808881240672E-2</v>
      </c>
      <c r="P50" s="87">
        <v>28.771120054600587</v>
      </c>
      <c r="Q50" s="87">
        <v>29.408174664977647</v>
      </c>
      <c r="R50" s="87">
        <v>32.408022185621846</v>
      </c>
      <c r="S50" s="87">
        <v>33.86454897296391</v>
      </c>
      <c r="T50" s="87">
        <v>35.35053753468538</v>
      </c>
      <c r="U50" s="87">
        <v>37.334865689075201</v>
      </c>
      <c r="V50" s="87">
        <v>38.482400432515576</v>
      </c>
      <c r="W50" s="87">
        <v>38.497827659320627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6.1876266893554785E-2</v>
      </c>
      <c r="O51" s="87">
        <v>0.11357610785659632</v>
      </c>
      <c r="P51" s="87">
        <v>9.0042800332485753E-2</v>
      </c>
      <c r="Q51" s="87">
        <v>0.11833269686648971</v>
      </c>
      <c r="R51" s="87">
        <v>2.5631763343967777</v>
      </c>
      <c r="S51" s="87">
        <v>2.6822002524785464</v>
      </c>
      <c r="T51" s="87">
        <v>4.3919764117951008</v>
      </c>
      <c r="U51" s="87">
        <v>5.2605139497115978</v>
      </c>
      <c r="V51" s="87">
        <v>7.8940890202825464</v>
      </c>
      <c r="W51" s="87">
        <v>7.8972536851778345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</v>
      </c>
      <c r="O52" s="87">
        <v>2.296688410340092E-2</v>
      </c>
      <c r="P52" s="87">
        <v>4.5953624728538534E-2</v>
      </c>
      <c r="Q52" s="87">
        <v>6.8969345323400461E-2</v>
      </c>
      <c r="R52" s="87">
        <v>0.13787448031453847</v>
      </c>
      <c r="S52" s="87">
        <v>0.31006516685757485</v>
      </c>
      <c r="T52" s="87">
        <v>0.91826674084644155</v>
      </c>
      <c r="U52" s="87">
        <v>0.9751857421610961</v>
      </c>
      <c r="V52" s="87">
        <v>1.1842778902993303</v>
      </c>
      <c r="W52" s="87">
        <v>1.6962796557293434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627.6973021879777</v>
      </c>
      <c r="C53" s="116">
        <f t="shared" ref="C53:V53" si="116">SUM(C54:C55)</f>
        <v>680.04456030474</v>
      </c>
      <c r="D53" s="116">
        <f t="shared" si="116"/>
        <v>917.86946112951171</v>
      </c>
      <c r="E53" s="116">
        <f t="shared" si="116"/>
        <v>963.3617564646529</v>
      </c>
      <c r="F53" s="116">
        <f t="shared" si="116"/>
        <v>1091.5819725492452</v>
      </c>
      <c r="G53" s="116">
        <f t="shared" si="116"/>
        <v>1164.5104760317834</v>
      </c>
      <c r="H53" s="116">
        <f t="shared" si="116"/>
        <v>1287.8179238933672</v>
      </c>
      <c r="I53" s="116">
        <f t="shared" si="116"/>
        <v>1461.7757085493015</v>
      </c>
      <c r="J53" s="116">
        <f t="shared" si="116"/>
        <v>1707.5818249607541</v>
      </c>
      <c r="K53" s="116">
        <f t="shared" si="116"/>
        <v>1491.3507567339429</v>
      </c>
      <c r="L53" s="116">
        <f t="shared" si="116"/>
        <v>1841.9673254811198</v>
      </c>
      <c r="M53" s="116">
        <f t="shared" si="116"/>
        <v>1870.4998533528219</v>
      </c>
      <c r="N53" s="116">
        <f t="shared" si="116"/>
        <v>1788.8445845310878</v>
      </c>
      <c r="O53" s="116">
        <f t="shared" si="116"/>
        <v>1774.7896626769816</v>
      </c>
      <c r="P53" s="116">
        <f t="shared" si="116"/>
        <v>1931.8499227260263</v>
      </c>
      <c r="Q53" s="116">
        <f t="shared" si="116"/>
        <v>1871.8726958199049</v>
      </c>
      <c r="R53" s="116">
        <f t="shared" si="116"/>
        <v>2178.6601333182475</v>
      </c>
      <c r="S53" s="116">
        <f t="shared" si="116"/>
        <v>2282.264947913055</v>
      </c>
      <c r="T53" s="116">
        <f t="shared" si="116"/>
        <v>2187.4532472225264</v>
      </c>
      <c r="U53" s="116">
        <f t="shared" si="116"/>
        <v>2428.5952427401521</v>
      </c>
      <c r="V53" s="116">
        <f t="shared" si="116"/>
        <v>2346.2528346268759</v>
      </c>
      <c r="W53" s="116">
        <f t="shared" ref="W53" si="117">SUM(W54:W55)</f>
        <v>2279.452739036587</v>
      </c>
      <c r="DA53" s="176" t="s">
        <v>496</v>
      </c>
    </row>
    <row r="54" spans="1:105" ht="11.45" customHeight="1" x14ac:dyDescent="0.25">
      <c r="A54" s="128" t="s">
        <v>27</v>
      </c>
      <c r="B54" s="101">
        <v>379.3066871637202</v>
      </c>
      <c r="C54" s="101">
        <v>413.73674096848572</v>
      </c>
      <c r="D54" s="101">
        <v>637.70561106840887</v>
      </c>
      <c r="E54" s="101">
        <v>677</v>
      </c>
      <c r="F54" s="101">
        <v>753</v>
      </c>
      <c r="G54" s="101">
        <v>814</v>
      </c>
      <c r="H54" s="101">
        <v>919</v>
      </c>
      <c r="I54" s="101">
        <v>998</v>
      </c>
      <c r="J54" s="101">
        <v>1251</v>
      </c>
      <c r="K54" s="101">
        <v>1048</v>
      </c>
      <c r="L54" s="101">
        <v>1378</v>
      </c>
      <c r="M54" s="101">
        <v>1372</v>
      </c>
      <c r="N54" s="101">
        <v>1283</v>
      </c>
      <c r="O54" s="101">
        <v>1227</v>
      </c>
      <c r="P54" s="101">
        <v>1374</v>
      </c>
      <c r="Q54" s="101">
        <v>1257</v>
      </c>
      <c r="R54" s="101">
        <v>1516</v>
      </c>
      <c r="S54" s="101">
        <v>1568</v>
      </c>
      <c r="T54" s="101">
        <v>1478</v>
      </c>
      <c r="U54" s="101">
        <v>1687</v>
      </c>
      <c r="V54" s="101">
        <v>1626</v>
      </c>
      <c r="W54" s="101">
        <v>1552</v>
      </c>
      <c r="DA54" s="175" t="s">
        <v>497</v>
      </c>
    </row>
    <row r="55" spans="1:105" ht="11.45" customHeight="1" x14ac:dyDescent="0.25">
      <c r="A55" s="138" t="s">
        <v>116</v>
      </c>
      <c r="B55" s="88">
        <v>248.3906150242575</v>
      </c>
      <c r="C55" s="88">
        <v>266.30781933625428</v>
      </c>
      <c r="D55" s="88">
        <v>280.16385006110283</v>
      </c>
      <c r="E55" s="88">
        <v>286.36175646465296</v>
      </c>
      <c r="F55" s="88">
        <v>338.58197254924528</v>
      </c>
      <c r="G55" s="88">
        <v>350.5104760317833</v>
      </c>
      <c r="H55" s="88">
        <v>368.81792389336715</v>
      </c>
      <c r="I55" s="88">
        <v>463.7757085493015</v>
      </c>
      <c r="J55" s="88">
        <v>456.5818249607542</v>
      </c>
      <c r="K55" s="88">
        <v>443.35075673394289</v>
      </c>
      <c r="L55" s="88">
        <v>463.96732548111976</v>
      </c>
      <c r="M55" s="88">
        <v>498.49985335282196</v>
      </c>
      <c r="N55" s="88">
        <v>505.84458453108783</v>
      </c>
      <c r="O55" s="88">
        <v>547.78966267698172</v>
      </c>
      <c r="P55" s="88">
        <v>557.84992272602642</v>
      </c>
      <c r="Q55" s="88">
        <v>614.87269581990506</v>
      </c>
      <c r="R55" s="88">
        <v>662.66013331824763</v>
      </c>
      <c r="S55" s="88">
        <v>714.26494791305504</v>
      </c>
      <c r="T55" s="88">
        <v>709.45324722252667</v>
      </c>
      <c r="U55" s="88">
        <v>741.595242740152</v>
      </c>
      <c r="V55" s="88">
        <v>720.25283462687605</v>
      </c>
      <c r="W55" s="88">
        <v>727.45273903658688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1448999</v>
      </c>
      <c r="C57" s="54">
        <f t="shared" si="118"/>
        <v>1472031</v>
      </c>
      <c r="D57" s="54">
        <f t="shared" si="118"/>
        <v>1515841</v>
      </c>
      <c r="E57" s="54">
        <f t="shared" si="118"/>
        <v>1556915</v>
      </c>
      <c r="F57" s="54">
        <f t="shared" si="118"/>
        <v>1511977</v>
      </c>
      <c r="G57" s="54">
        <f t="shared" si="118"/>
        <v>1530280</v>
      </c>
      <c r="H57" s="54">
        <f t="shared" si="118"/>
        <v>1577340</v>
      </c>
      <c r="I57" s="54">
        <f t="shared" si="118"/>
        <v>1710001</v>
      </c>
      <c r="J57" s="54">
        <f t="shared" si="118"/>
        <v>1857116</v>
      </c>
      <c r="K57" s="54">
        <f t="shared" si="118"/>
        <v>1932602</v>
      </c>
      <c r="L57" s="54">
        <f t="shared" ref="L57" si="119">L58+L73</f>
        <v>2025488</v>
      </c>
      <c r="M57" s="54">
        <f t="shared" ref="M57:V57" si="120">M58+M73</f>
        <v>2116500</v>
      </c>
      <c r="N57" s="54">
        <f t="shared" si="120"/>
        <v>2201765</v>
      </c>
      <c r="O57" s="54">
        <f t="shared" si="120"/>
        <v>2266802</v>
      </c>
      <c r="P57" s="54">
        <f t="shared" si="120"/>
        <v>2346194</v>
      </c>
      <c r="Q57" s="54">
        <f t="shared" si="120"/>
        <v>2450137</v>
      </c>
      <c r="R57" s="54">
        <f t="shared" si="120"/>
        <v>2546388</v>
      </c>
      <c r="S57" s="54">
        <f t="shared" si="120"/>
        <v>2660179</v>
      </c>
      <c r="T57" s="54">
        <f t="shared" si="120"/>
        <v>2756821</v>
      </c>
      <c r="U57" s="54">
        <f t="shared" si="120"/>
        <v>2848048</v>
      </c>
      <c r="V57" s="54">
        <f t="shared" si="120"/>
        <v>2902025</v>
      </c>
      <c r="W57" s="54">
        <f t="shared" ref="W57" si="121">W58+W73</f>
        <v>2957853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1330996</v>
      </c>
      <c r="C58" s="28">
        <f t="shared" si="122"/>
        <v>1350365</v>
      </c>
      <c r="D58" s="28">
        <f t="shared" si="122"/>
        <v>1385634</v>
      </c>
      <c r="E58" s="28">
        <f t="shared" si="122"/>
        <v>1415761</v>
      </c>
      <c r="F58" s="28">
        <f t="shared" si="122"/>
        <v>1370087</v>
      </c>
      <c r="G58" s="28">
        <f t="shared" si="122"/>
        <v>1369462</v>
      </c>
      <c r="H58" s="28">
        <f t="shared" si="122"/>
        <v>1400920</v>
      </c>
      <c r="I58" s="28">
        <f t="shared" si="122"/>
        <v>1508582</v>
      </c>
      <c r="J58" s="28">
        <f t="shared" si="122"/>
        <v>1626010</v>
      </c>
      <c r="K58" s="28">
        <f t="shared" si="122"/>
        <v>1680611</v>
      </c>
      <c r="L58" s="28">
        <f t="shared" ref="L58" si="123">L59+L60+L67</f>
        <v>1766581</v>
      </c>
      <c r="M58" s="28">
        <f t="shared" ref="M58:V58" si="124">M59+M60+M67</f>
        <v>1852442</v>
      </c>
      <c r="N58" s="28">
        <f t="shared" si="124"/>
        <v>1932916</v>
      </c>
      <c r="O58" s="28">
        <f t="shared" si="124"/>
        <v>1994730</v>
      </c>
      <c r="P58" s="28">
        <f t="shared" si="124"/>
        <v>2070914</v>
      </c>
      <c r="Q58" s="28">
        <f t="shared" si="124"/>
        <v>2164468</v>
      </c>
      <c r="R58" s="28">
        <f t="shared" si="124"/>
        <v>2256993</v>
      </c>
      <c r="S58" s="28">
        <f t="shared" si="124"/>
        <v>2365667</v>
      </c>
      <c r="T58" s="28">
        <f t="shared" si="124"/>
        <v>2471421</v>
      </c>
      <c r="U58" s="28">
        <f t="shared" si="124"/>
        <v>2550337</v>
      </c>
      <c r="V58" s="28">
        <f t="shared" si="124"/>
        <v>2602595</v>
      </c>
      <c r="W58" s="28">
        <f t="shared" ref="W58" si="125">W59+W60+W67</f>
        <v>2663698</v>
      </c>
      <c r="DA58" s="173" t="s">
        <v>500</v>
      </c>
    </row>
    <row r="59" spans="1:105" ht="11.45" customHeight="1" x14ac:dyDescent="0.25">
      <c r="A59" s="136" t="s">
        <v>180</v>
      </c>
      <c r="B59" s="137">
        <v>45647</v>
      </c>
      <c r="C59" s="137">
        <v>46676</v>
      </c>
      <c r="D59" s="137">
        <v>47900</v>
      </c>
      <c r="E59" s="137">
        <v>48709</v>
      </c>
      <c r="F59" s="137">
        <v>51977</v>
      </c>
      <c r="G59" s="137">
        <v>56366</v>
      </c>
      <c r="H59" s="137">
        <v>58101</v>
      </c>
      <c r="I59" s="137">
        <v>63897</v>
      </c>
      <c r="J59" s="137">
        <v>70318</v>
      </c>
      <c r="K59" s="137">
        <v>81900</v>
      </c>
      <c r="L59" s="137">
        <v>87900</v>
      </c>
      <c r="M59" s="137">
        <v>93800</v>
      </c>
      <c r="N59" s="137">
        <v>99500</v>
      </c>
      <c r="O59" s="137">
        <v>105900</v>
      </c>
      <c r="P59" s="137">
        <v>112700</v>
      </c>
      <c r="Q59" s="137">
        <v>120624</v>
      </c>
      <c r="R59" s="137">
        <v>126128</v>
      </c>
      <c r="S59" s="137">
        <v>133309</v>
      </c>
      <c r="T59" s="137">
        <v>140450</v>
      </c>
      <c r="U59" s="137">
        <v>147498</v>
      </c>
      <c r="V59" s="137">
        <v>154445</v>
      </c>
      <c r="W59" s="137">
        <v>162145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1274200</v>
      </c>
      <c r="C60" s="110">
        <f t="shared" si="126"/>
        <v>1292800</v>
      </c>
      <c r="D60" s="110">
        <f t="shared" si="126"/>
        <v>1326900</v>
      </c>
      <c r="E60" s="110">
        <f t="shared" si="126"/>
        <v>1356200</v>
      </c>
      <c r="F60" s="110">
        <f t="shared" si="126"/>
        <v>1308908</v>
      </c>
      <c r="G60" s="110">
        <f t="shared" si="126"/>
        <v>1303704</v>
      </c>
      <c r="H60" s="110">
        <f t="shared" si="126"/>
        <v>1333749</v>
      </c>
      <c r="I60" s="110">
        <f t="shared" si="126"/>
        <v>1433926</v>
      </c>
      <c r="J60" s="110">
        <f t="shared" si="126"/>
        <v>1544888</v>
      </c>
      <c r="K60" s="110">
        <f t="shared" si="126"/>
        <v>1589044</v>
      </c>
      <c r="L60" s="110">
        <f t="shared" ref="L60" si="127">SUM(L61:L66)</f>
        <v>1669065</v>
      </c>
      <c r="M60" s="110">
        <f t="shared" ref="M60:V60" si="128">SUM(M61:M66)</f>
        <v>1749300</v>
      </c>
      <c r="N60" s="110">
        <f t="shared" si="128"/>
        <v>1824190</v>
      </c>
      <c r="O60" s="110">
        <f t="shared" si="128"/>
        <v>1879759</v>
      </c>
      <c r="P60" s="110">
        <f t="shared" si="128"/>
        <v>1949055</v>
      </c>
      <c r="Q60" s="110">
        <f t="shared" si="128"/>
        <v>2034574</v>
      </c>
      <c r="R60" s="110">
        <f t="shared" si="128"/>
        <v>2121774</v>
      </c>
      <c r="S60" s="110">
        <f t="shared" si="128"/>
        <v>2223117</v>
      </c>
      <c r="T60" s="110">
        <f t="shared" si="128"/>
        <v>2321608</v>
      </c>
      <c r="U60" s="110">
        <f t="shared" si="128"/>
        <v>2393577</v>
      </c>
      <c r="V60" s="110">
        <f t="shared" si="128"/>
        <v>2439986</v>
      </c>
      <c r="W60" s="110">
        <f t="shared" ref="W60" si="129">SUM(W61:W66)</f>
        <v>2493183</v>
      </c>
      <c r="DA60" s="176" t="s">
        <v>502</v>
      </c>
    </row>
    <row r="61" spans="1:105" ht="11.45" customHeight="1" x14ac:dyDescent="0.25">
      <c r="A61" s="111" t="s">
        <v>110</v>
      </c>
      <c r="B61" s="84">
        <v>1038797</v>
      </c>
      <c r="C61" s="84">
        <v>1038897</v>
      </c>
      <c r="D61" s="84">
        <v>1038624</v>
      </c>
      <c r="E61" s="84">
        <v>1045297</v>
      </c>
      <c r="F61" s="84">
        <v>992546</v>
      </c>
      <c r="G61" s="84">
        <v>983034</v>
      </c>
      <c r="H61" s="84">
        <v>999424</v>
      </c>
      <c r="I61" s="84">
        <v>1062932</v>
      </c>
      <c r="J61" s="84">
        <v>1147072</v>
      </c>
      <c r="K61" s="84">
        <v>1174238</v>
      </c>
      <c r="L61" s="84">
        <v>1235322</v>
      </c>
      <c r="M61" s="84">
        <v>1255991</v>
      </c>
      <c r="N61" s="84">
        <v>1311658</v>
      </c>
      <c r="O61" s="84">
        <v>1356199</v>
      </c>
      <c r="P61" s="84">
        <v>1400920</v>
      </c>
      <c r="Q61" s="84">
        <v>1464701</v>
      </c>
      <c r="R61" s="84">
        <v>1552895</v>
      </c>
      <c r="S61" s="84">
        <v>1636630</v>
      </c>
      <c r="T61" s="84">
        <v>1717338</v>
      </c>
      <c r="U61" s="84">
        <v>1778261</v>
      </c>
      <c r="V61" s="84">
        <v>1808919</v>
      </c>
      <c r="W61" s="84">
        <v>1844855</v>
      </c>
      <c r="DA61" s="171" t="s">
        <v>503</v>
      </c>
    </row>
    <row r="62" spans="1:105" ht="11.45" customHeight="1" x14ac:dyDescent="0.25">
      <c r="A62" s="111" t="s">
        <v>111</v>
      </c>
      <c r="B62" s="84">
        <v>235403</v>
      </c>
      <c r="C62" s="84">
        <v>251503</v>
      </c>
      <c r="D62" s="84">
        <v>285876</v>
      </c>
      <c r="E62" s="84">
        <v>303881</v>
      </c>
      <c r="F62" s="84">
        <v>308508</v>
      </c>
      <c r="G62" s="84">
        <v>311553</v>
      </c>
      <c r="H62" s="84">
        <v>325232</v>
      </c>
      <c r="I62" s="84">
        <v>353285</v>
      </c>
      <c r="J62" s="84">
        <v>380283</v>
      </c>
      <c r="K62" s="84">
        <v>397146</v>
      </c>
      <c r="L62" s="84">
        <v>412502</v>
      </c>
      <c r="M62" s="84">
        <v>426643</v>
      </c>
      <c r="N62" s="84">
        <v>442235</v>
      </c>
      <c r="O62" s="84">
        <v>449650</v>
      </c>
      <c r="P62" s="84">
        <v>472541</v>
      </c>
      <c r="Q62" s="84">
        <v>490817</v>
      </c>
      <c r="R62" s="84">
        <v>495729</v>
      </c>
      <c r="S62" s="84">
        <v>518042</v>
      </c>
      <c r="T62" s="84">
        <v>538764</v>
      </c>
      <c r="U62" s="84">
        <v>554943</v>
      </c>
      <c r="V62" s="84">
        <v>571655</v>
      </c>
      <c r="W62" s="84">
        <v>588797</v>
      </c>
      <c r="DA62" s="171" t="s">
        <v>504</v>
      </c>
    </row>
    <row r="63" spans="1:105" ht="11.45" customHeight="1" x14ac:dyDescent="0.25">
      <c r="A63" s="111" t="s">
        <v>112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1250</v>
      </c>
      <c r="H63" s="84">
        <v>1251</v>
      </c>
      <c r="I63" s="84">
        <v>1352</v>
      </c>
      <c r="J63" s="84">
        <v>1400</v>
      </c>
      <c r="K63" s="84">
        <v>1401</v>
      </c>
      <c r="L63" s="84">
        <v>3003</v>
      </c>
      <c r="M63" s="84">
        <v>48894</v>
      </c>
      <c r="N63" s="84">
        <v>54615</v>
      </c>
      <c r="O63" s="84">
        <v>59503</v>
      </c>
      <c r="P63" s="84">
        <v>59362</v>
      </c>
      <c r="Q63" s="84">
        <v>62639</v>
      </c>
      <c r="R63" s="84">
        <v>61386</v>
      </c>
      <c r="S63" s="84">
        <v>57089</v>
      </c>
      <c r="T63" s="84">
        <v>54235</v>
      </c>
      <c r="U63" s="84">
        <v>50583</v>
      </c>
      <c r="V63" s="84">
        <v>49554</v>
      </c>
      <c r="W63" s="84">
        <v>47458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2400</v>
      </c>
      <c r="D64" s="84">
        <v>2400</v>
      </c>
      <c r="E64" s="84">
        <v>7022</v>
      </c>
      <c r="F64" s="84">
        <v>7854</v>
      </c>
      <c r="G64" s="84">
        <v>7867</v>
      </c>
      <c r="H64" s="84">
        <v>7842</v>
      </c>
      <c r="I64" s="84">
        <v>16357</v>
      </c>
      <c r="J64" s="84">
        <v>16133</v>
      </c>
      <c r="K64" s="84">
        <v>16259</v>
      </c>
      <c r="L64" s="84">
        <v>18238</v>
      </c>
      <c r="M64" s="84">
        <v>17753</v>
      </c>
      <c r="N64" s="84">
        <v>15657</v>
      </c>
      <c r="O64" s="84">
        <v>14377</v>
      </c>
      <c r="P64" s="84">
        <v>16099</v>
      </c>
      <c r="Q64" s="84">
        <v>16243</v>
      </c>
      <c r="R64" s="84">
        <v>11410</v>
      </c>
      <c r="S64" s="84">
        <v>10613</v>
      </c>
      <c r="T64" s="84">
        <v>9856</v>
      </c>
      <c r="U64" s="84">
        <v>8008</v>
      </c>
      <c r="V64" s="84">
        <v>6352</v>
      </c>
      <c r="W64" s="84">
        <v>6419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5</v>
      </c>
      <c r="O65" s="84">
        <v>5</v>
      </c>
      <c r="P65" s="84">
        <v>20</v>
      </c>
      <c r="Q65" s="84">
        <v>37</v>
      </c>
      <c r="R65" s="84">
        <v>156</v>
      </c>
      <c r="S65" s="84">
        <v>345</v>
      </c>
      <c r="T65" s="84">
        <v>620</v>
      </c>
      <c r="U65" s="84">
        <v>826</v>
      </c>
      <c r="V65" s="84">
        <v>1643</v>
      </c>
      <c r="W65" s="84">
        <v>2655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19</v>
      </c>
      <c r="N66" s="84">
        <v>20</v>
      </c>
      <c r="O66" s="84">
        <v>25</v>
      </c>
      <c r="P66" s="84">
        <v>113</v>
      </c>
      <c r="Q66" s="84">
        <v>137</v>
      </c>
      <c r="R66" s="84">
        <v>198</v>
      </c>
      <c r="S66" s="84">
        <v>398</v>
      </c>
      <c r="T66" s="84">
        <v>795</v>
      </c>
      <c r="U66" s="84">
        <v>956</v>
      </c>
      <c r="V66" s="84">
        <v>1863</v>
      </c>
      <c r="W66" s="84">
        <v>2999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11149</v>
      </c>
      <c r="C67" s="110">
        <f t="shared" si="130"/>
        <v>10889</v>
      </c>
      <c r="D67" s="110">
        <f t="shared" si="130"/>
        <v>10834</v>
      </c>
      <c r="E67" s="110">
        <f t="shared" si="130"/>
        <v>10852</v>
      </c>
      <c r="F67" s="110">
        <f t="shared" si="130"/>
        <v>9202</v>
      </c>
      <c r="G67" s="110">
        <f t="shared" si="130"/>
        <v>9392</v>
      </c>
      <c r="H67" s="110">
        <f t="shared" si="130"/>
        <v>9070</v>
      </c>
      <c r="I67" s="110">
        <f t="shared" si="130"/>
        <v>10759</v>
      </c>
      <c r="J67" s="110">
        <f t="shared" si="130"/>
        <v>10804</v>
      </c>
      <c r="K67" s="110">
        <f t="shared" si="130"/>
        <v>9667</v>
      </c>
      <c r="L67" s="110">
        <f t="shared" ref="L67" si="131">SUM(L68:L72)</f>
        <v>9616</v>
      </c>
      <c r="M67" s="110">
        <f t="shared" ref="M67:V67" si="132">SUM(M68:M72)</f>
        <v>9342</v>
      </c>
      <c r="N67" s="110">
        <f t="shared" si="132"/>
        <v>9226</v>
      </c>
      <c r="O67" s="110">
        <f t="shared" si="132"/>
        <v>9071</v>
      </c>
      <c r="P67" s="110">
        <f t="shared" si="132"/>
        <v>9159</v>
      </c>
      <c r="Q67" s="110">
        <f t="shared" si="132"/>
        <v>9270</v>
      </c>
      <c r="R67" s="110">
        <f t="shared" si="132"/>
        <v>9091</v>
      </c>
      <c r="S67" s="110">
        <f t="shared" si="132"/>
        <v>9241</v>
      </c>
      <c r="T67" s="110">
        <f t="shared" si="132"/>
        <v>9363</v>
      </c>
      <c r="U67" s="110">
        <f t="shared" si="132"/>
        <v>9262</v>
      </c>
      <c r="V67" s="110">
        <f t="shared" si="132"/>
        <v>8164</v>
      </c>
      <c r="W67" s="110">
        <f t="shared" ref="W67" si="133">SUM(W68:W72)</f>
        <v>8370</v>
      </c>
      <c r="DA67" s="176" t="s">
        <v>509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0</v>
      </c>
      <c r="M68" s="102">
        <v>0</v>
      </c>
      <c r="N68" s="102">
        <v>0</v>
      </c>
      <c r="O68" s="102">
        <v>0</v>
      </c>
      <c r="P68" s="102">
        <v>0</v>
      </c>
      <c r="Q68" s="102">
        <v>0</v>
      </c>
      <c r="R68" s="102">
        <v>0</v>
      </c>
      <c r="S68" s="102">
        <v>0</v>
      </c>
      <c r="T68" s="102">
        <v>0</v>
      </c>
      <c r="U68" s="102">
        <v>0</v>
      </c>
      <c r="V68" s="102">
        <v>0</v>
      </c>
      <c r="W68" s="102">
        <v>0</v>
      </c>
      <c r="DA68" s="175" t="s">
        <v>510</v>
      </c>
    </row>
    <row r="69" spans="1:105" ht="11.45" customHeight="1" x14ac:dyDescent="0.25">
      <c r="A69" s="111" t="s">
        <v>111</v>
      </c>
      <c r="B69" s="102">
        <v>11149</v>
      </c>
      <c r="C69" s="102">
        <v>10889</v>
      </c>
      <c r="D69" s="102">
        <v>10834</v>
      </c>
      <c r="E69" s="102">
        <v>10852</v>
      </c>
      <c r="F69" s="102">
        <v>9202</v>
      </c>
      <c r="G69" s="102">
        <v>9392</v>
      </c>
      <c r="H69" s="102">
        <v>9070</v>
      </c>
      <c r="I69" s="102">
        <v>10759</v>
      </c>
      <c r="J69" s="102">
        <v>10804</v>
      </c>
      <c r="K69" s="102">
        <v>9667</v>
      </c>
      <c r="L69" s="102">
        <v>9500</v>
      </c>
      <c r="M69" s="102">
        <v>9074</v>
      </c>
      <c r="N69" s="102">
        <v>8957</v>
      </c>
      <c r="O69" s="102">
        <v>8806</v>
      </c>
      <c r="P69" s="102">
        <v>8798</v>
      </c>
      <c r="Q69" s="102">
        <v>8819</v>
      </c>
      <c r="R69" s="102">
        <v>8300</v>
      </c>
      <c r="S69" s="102">
        <v>8383</v>
      </c>
      <c r="T69" s="102">
        <v>8459</v>
      </c>
      <c r="U69" s="102">
        <v>8321</v>
      </c>
      <c r="V69" s="102">
        <v>7206</v>
      </c>
      <c r="W69" s="102">
        <v>7413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258</v>
      </c>
      <c r="S71" s="102">
        <v>253</v>
      </c>
      <c r="T71" s="102">
        <v>240</v>
      </c>
      <c r="U71" s="102">
        <v>235</v>
      </c>
      <c r="V71" s="102">
        <v>230</v>
      </c>
      <c r="W71" s="102">
        <v>230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116</v>
      </c>
      <c r="M72" s="102">
        <v>268</v>
      </c>
      <c r="N72" s="102">
        <v>269</v>
      </c>
      <c r="O72" s="102">
        <v>265</v>
      </c>
      <c r="P72" s="102">
        <v>361</v>
      </c>
      <c r="Q72" s="102">
        <v>451</v>
      </c>
      <c r="R72" s="102">
        <v>533</v>
      </c>
      <c r="S72" s="102">
        <v>605</v>
      </c>
      <c r="T72" s="102">
        <v>664</v>
      </c>
      <c r="U72" s="102">
        <v>706</v>
      </c>
      <c r="V72" s="102">
        <v>728</v>
      </c>
      <c r="W72" s="102">
        <v>727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118003</v>
      </c>
      <c r="C73" s="28">
        <f t="shared" si="134"/>
        <v>121666</v>
      </c>
      <c r="D73" s="28">
        <f t="shared" si="134"/>
        <v>130207</v>
      </c>
      <c r="E73" s="28">
        <f t="shared" si="134"/>
        <v>141154</v>
      </c>
      <c r="F73" s="28">
        <f t="shared" si="134"/>
        <v>141890</v>
      </c>
      <c r="G73" s="28">
        <f t="shared" si="134"/>
        <v>160818</v>
      </c>
      <c r="H73" s="28">
        <f t="shared" si="134"/>
        <v>176420</v>
      </c>
      <c r="I73" s="28">
        <f t="shared" si="134"/>
        <v>201419</v>
      </c>
      <c r="J73" s="28">
        <f t="shared" si="134"/>
        <v>231106</v>
      </c>
      <c r="K73" s="28">
        <f t="shared" si="134"/>
        <v>251991</v>
      </c>
      <c r="L73" s="28">
        <f t="shared" ref="L73" si="135">L74+L80</f>
        <v>258907</v>
      </c>
      <c r="M73" s="28">
        <f t="shared" ref="M73:V73" si="136">M74+M80</f>
        <v>264058</v>
      </c>
      <c r="N73" s="28">
        <f t="shared" si="136"/>
        <v>268849</v>
      </c>
      <c r="O73" s="28">
        <f t="shared" si="136"/>
        <v>272072</v>
      </c>
      <c r="P73" s="28">
        <f t="shared" si="136"/>
        <v>275280</v>
      </c>
      <c r="Q73" s="28">
        <f t="shared" si="136"/>
        <v>285669</v>
      </c>
      <c r="R73" s="28">
        <f t="shared" si="136"/>
        <v>289395</v>
      </c>
      <c r="S73" s="28">
        <f t="shared" si="136"/>
        <v>294512</v>
      </c>
      <c r="T73" s="28">
        <f t="shared" si="136"/>
        <v>285400</v>
      </c>
      <c r="U73" s="28">
        <f t="shared" si="136"/>
        <v>297711</v>
      </c>
      <c r="V73" s="28">
        <f t="shared" si="136"/>
        <v>299430</v>
      </c>
      <c r="W73" s="28">
        <f t="shared" ref="W73" si="137">W74+W80</f>
        <v>294155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107015</v>
      </c>
      <c r="C74" s="137">
        <f t="shared" si="138"/>
        <v>107197</v>
      </c>
      <c r="D74" s="137">
        <f t="shared" si="138"/>
        <v>107525</v>
      </c>
      <c r="E74" s="137">
        <f t="shared" si="138"/>
        <v>109025</v>
      </c>
      <c r="F74" s="137">
        <f t="shared" si="138"/>
        <v>118776</v>
      </c>
      <c r="G74" s="137">
        <f t="shared" si="138"/>
        <v>129411</v>
      </c>
      <c r="H74" s="137">
        <f t="shared" si="138"/>
        <v>132517</v>
      </c>
      <c r="I74" s="137">
        <f t="shared" si="138"/>
        <v>149494</v>
      </c>
      <c r="J74" s="137">
        <f t="shared" si="138"/>
        <v>159281</v>
      </c>
      <c r="K74" s="137">
        <f t="shared" si="138"/>
        <v>173814</v>
      </c>
      <c r="L74" s="137">
        <f t="shared" ref="L74" si="139">SUM(L75:L79)</f>
        <v>176788</v>
      </c>
      <c r="M74" s="137">
        <f t="shared" ref="M74:V74" si="140">SUM(M75:M79)</f>
        <v>178896</v>
      </c>
      <c r="N74" s="137">
        <f t="shared" si="140"/>
        <v>183879</v>
      </c>
      <c r="O74" s="137">
        <f t="shared" si="140"/>
        <v>166323</v>
      </c>
      <c r="P74" s="137">
        <f t="shared" si="140"/>
        <v>147092</v>
      </c>
      <c r="Q74" s="137">
        <f t="shared" si="140"/>
        <v>166067</v>
      </c>
      <c r="R74" s="137">
        <f t="shared" si="140"/>
        <v>155800</v>
      </c>
      <c r="S74" s="137">
        <f t="shared" si="140"/>
        <v>153916</v>
      </c>
      <c r="T74" s="137">
        <f t="shared" si="140"/>
        <v>149914</v>
      </c>
      <c r="U74" s="137">
        <f t="shared" si="140"/>
        <v>146085</v>
      </c>
      <c r="V74" s="137">
        <f t="shared" si="140"/>
        <v>146404</v>
      </c>
      <c r="W74" s="137">
        <f t="shared" ref="W74" si="141">SUM(W75:W79)</f>
        <v>146450</v>
      </c>
      <c r="DA74" s="174" t="s">
        <v>516</v>
      </c>
    </row>
    <row r="75" spans="1:105" ht="11.45" customHeight="1" x14ac:dyDescent="0.25">
      <c r="A75" s="111" t="s">
        <v>110</v>
      </c>
      <c r="B75" s="84">
        <v>39970</v>
      </c>
      <c r="C75" s="84">
        <v>39993</v>
      </c>
      <c r="D75" s="84">
        <v>40050</v>
      </c>
      <c r="E75" s="84">
        <v>40192</v>
      </c>
      <c r="F75" s="84">
        <v>50553</v>
      </c>
      <c r="G75" s="84">
        <v>51476</v>
      </c>
      <c r="H75" s="84">
        <v>53933</v>
      </c>
      <c r="I75" s="84">
        <v>58112</v>
      </c>
      <c r="J75" s="84">
        <v>60446</v>
      </c>
      <c r="K75" s="84">
        <v>61486</v>
      </c>
      <c r="L75" s="84">
        <v>48449</v>
      </c>
      <c r="M75" s="84">
        <v>49460</v>
      </c>
      <c r="N75" s="84">
        <v>50192</v>
      </c>
      <c r="O75" s="84">
        <v>50793</v>
      </c>
      <c r="P75" s="84">
        <v>46574</v>
      </c>
      <c r="Q75" s="84">
        <v>52552</v>
      </c>
      <c r="R75" s="84">
        <v>58700</v>
      </c>
      <c r="S75" s="84">
        <v>52570</v>
      </c>
      <c r="T75" s="84">
        <v>50135</v>
      </c>
      <c r="U75" s="84">
        <v>42809</v>
      </c>
      <c r="V75" s="84">
        <v>42809</v>
      </c>
      <c r="W75" s="84">
        <v>42811</v>
      </c>
      <c r="DA75" s="171" t="s">
        <v>517</v>
      </c>
    </row>
    <row r="76" spans="1:105" ht="11.45" customHeight="1" x14ac:dyDescent="0.25">
      <c r="A76" s="111" t="s">
        <v>111</v>
      </c>
      <c r="B76" s="84">
        <v>67045</v>
      </c>
      <c r="C76" s="84">
        <v>67204</v>
      </c>
      <c r="D76" s="84">
        <v>67475</v>
      </c>
      <c r="E76" s="84">
        <v>68833</v>
      </c>
      <c r="F76" s="84">
        <v>68223</v>
      </c>
      <c r="G76" s="84">
        <v>77935</v>
      </c>
      <c r="H76" s="84">
        <v>78584</v>
      </c>
      <c r="I76" s="84">
        <v>91382</v>
      </c>
      <c r="J76" s="84">
        <v>98835</v>
      </c>
      <c r="K76" s="84">
        <v>112328</v>
      </c>
      <c r="L76" s="84">
        <v>128339</v>
      </c>
      <c r="M76" s="84">
        <v>129436</v>
      </c>
      <c r="N76" s="84">
        <v>133675</v>
      </c>
      <c r="O76" s="84">
        <v>115514</v>
      </c>
      <c r="P76" s="84">
        <v>97907</v>
      </c>
      <c r="Q76" s="84">
        <v>110900</v>
      </c>
      <c r="R76" s="84">
        <v>94027</v>
      </c>
      <c r="S76" s="84">
        <v>98121</v>
      </c>
      <c r="T76" s="84">
        <v>96240</v>
      </c>
      <c r="U76" s="84">
        <v>99491</v>
      </c>
      <c r="V76" s="84">
        <v>99491</v>
      </c>
      <c r="W76" s="84">
        <v>99491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7</v>
      </c>
      <c r="O77" s="84">
        <v>5</v>
      </c>
      <c r="P77" s="84">
        <v>2600</v>
      </c>
      <c r="Q77" s="84">
        <v>2600</v>
      </c>
      <c r="R77" s="84">
        <v>2866</v>
      </c>
      <c r="S77" s="84">
        <v>2994</v>
      </c>
      <c r="T77" s="84">
        <v>3125</v>
      </c>
      <c r="U77" s="84">
        <v>3300</v>
      </c>
      <c r="V77" s="84">
        <v>3400</v>
      </c>
      <c r="W77" s="84">
        <v>3400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5</v>
      </c>
      <c r="O78" s="84">
        <v>9</v>
      </c>
      <c r="P78" s="84">
        <v>7</v>
      </c>
      <c r="Q78" s="84">
        <v>9</v>
      </c>
      <c r="R78" s="84">
        <v>195</v>
      </c>
      <c r="S78" s="84">
        <v>204</v>
      </c>
      <c r="T78" s="84">
        <v>334</v>
      </c>
      <c r="U78" s="84">
        <v>400</v>
      </c>
      <c r="V78" s="84">
        <v>600</v>
      </c>
      <c r="W78" s="84">
        <v>600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2</v>
      </c>
      <c r="P79" s="84">
        <v>4</v>
      </c>
      <c r="Q79" s="84">
        <v>6</v>
      </c>
      <c r="R79" s="84">
        <v>12</v>
      </c>
      <c r="S79" s="84">
        <v>27</v>
      </c>
      <c r="T79" s="84">
        <v>80</v>
      </c>
      <c r="U79" s="84">
        <v>85</v>
      </c>
      <c r="V79" s="84">
        <v>104</v>
      </c>
      <c r="W79" s="84">
        <v>148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10988</v>
      </c>
      <c r="C80" s="110">
        <f t="shared" si="142"/>
        <v>14469</v>
      </c>
      <c r="D80" s="110">
        <f t="shared" si="142"/>
        <v>22682</v>
      </c>
      <c r="E80" s="110">
        <f t="shared" si="142"/>
        <v>32129</v>
      </c>
      <c r="F80" s="110">
        <f t="shared" si="142"/>
        <v>23114</v>
      </c>
      <c r="G80" s="110">
        <f t="shared" si="142"/>
        <v>31407</v>
      </c>
      <c r="H80" s="110">
        <f t="shared" si="142"/>
        <v>43903</v>
      </c>
      <c r="I80" s="110">
        <f t="shared" si="142"/>
        <v>51925</v>
      </c>
      <c r="J80" s="110">
        <f t="shared" si="142"/>
        <v>71825</v>
      </c>
      <c r="K80" s="110">
        <f t="shared" si="142"/>
        <v>78177</v>
      </c>
      <c r="L80" s="110">
        <f t="shared" ref="L80" si="143">SUM(L81:L82)</f>
        <v>82119</v>
      </c>
      <c r="M80" s="110">
        <f t="shared" ref="M80:V80" si="144">SUM(M81:M82)</f>
        <v>85162</v>
      </c>
      <c r="N80" s="110">
        <f t="shared" si="144"/>
        <v>84970</v>
      </c>
      <c r="O80" s="110">
        <f t="shared" si="144"/>
        <v>105749</v>
      </c>
      <c r="P80" s="110">
        <f t="shared" si="144"/>
        <v>128188</v>
      </c>
      <c r="Q80" s="110">
        <f t="shared" si="144"/>
        <v>119602</v>
      </c>
      <c r="R80" s="110">
        <f t="shared" si="144"/>
        <v>133595</v>
      </c>
      <c r="S80" s="110">
        <f t="shared" si="144"/>
        <v>140596</v>
      </c>
      <c r="T80" s="110">
        <f t="shared" si="144"/>
        <v>135486</v>
      </c>
      <c r="U80" s="110">
        <f t="shared" si="144"/>
        <v>151626</v>
      </c>
      <c r="V80" s="110">
        <f t="shared" si="144"/>
        <v>153026</v>
      </c>
      <c r="W80" s="110">
        <f t="shared" ref="W80" si="145">SUM(W81:W82)</f>
        <v>147705</v>
      </c>
      <c r="DA80" s="176" t="s">
        <v>522</v>
      </c>
    </row>
    <row r="81" spans="1:105" ht="11.45" customHeight="1" x14ac:dyDescent="0.25">
      <c r="A81" s="128" t="s">
        <v>27</v>
      </c>
      <c r="B81" s="102">
        <v>8066</v>
      </c>
      <c r="C81" s="102">
        <v>11336</v>
      </c>
      <c r="D81" s="102">
        <v>19386</v>
      </c>
      <c r="E81" s="102">
        <v>28760</v>
      </c>
      <c r="F81" s="102">
        <v>19131</v>
      </c>
      <c r="G81" s="102">
        <v>27283</v>
      </c>
      <c r="H81" s="102">
        <v>39564</v>
      </c>
      <c r="I81" s="102">
        <v>46469</v>
      </c>
      <c r="J81" s="102">
        <v>66453</v>
      </c>
      <c r="K81" s="102">
        <v>72961</v>
      </c>
      <c r="L81" s="102">
        <v>76661</v>
      </c>
      <c r="M81" s="102">
        <v>79297</v>
      </c>
      <c r="N81" s="102">
        <v>79019</v>
      </c>
      <c r="O81" s="102">
        <v>99304</v>
      </c>
      <c r="P81" s="102">
        <v>121625</v>
      </c>
      <c r="Q81" s="102">
        <v>112368</v>
      </c>
      <c r="R81" s="102">
        <v>125799</v>
      </c>
      <c r="S81" s="102">
        <v>132193</v>
      </c>
      <c r="T81" s="102">
        <v>127139</v>
      </c>
      <c r="U81" s="102">
        <v>142901</v>
      </c>
      <c r="V81" s="102">
        <v>144552</v>
      </c>
      <c r="W81" s="102">
        <v>139147</v>
      </c>
      <c r="DA81" s="175" t="s">
        <v>523</v>
      </c>
    </row>
    <row r="82" spans="1:105" ht="11.45" customHeight="1" x14ac:dyDescent="0.25">
      <c r="A82" s="138" t="s">
        <v>116</v>
      </c>
      <c r="B82" s="86">
        <v>2922</v>
      </c>
      <c r="C82" s="86">
        <v>3133</v>
      </c>
      <c r="D82" s="86">
        <v>3296</v>
      </c>
      <c r="E82" s="86">
        <v>3369</v>
      </c>
      <c r="F82" s="86">
        <v>3983</v>
      </c>
      <c r="G82" s="86">
        <v>4124</v>
      </c>
      <c r="H82" s="86">
        <v>4339</v>
      </c>
      <c r="I82" s="86">
        <v>5456</v>
      </c>
      <c r="J82" s="86">
        <v>5372</v>
      </c>
      <c r="K82" s="86">
        <v>5216</v>
      </c>
      <c r="L82" s="86">
        <v>5458</v>
      </c>
      <c r="M82" s="86">
        <v>5865</v>
      </c>
      <c r="N82" s="86">
        <v>5951</v>
      </c>
      <c r="O82" s="86">
        <v>6445</v>
      </c>
      <c r="P82" s="86">
        <v>6563</v>
      </c>
      <c r="Q82" s="86">
        <v>7234</v>
      </c>
      <c r="R82" s="86">
        <v>7796</v>
      </c>
      <c r="S82" s="86">
        <v>8403</v>
      </c>
      <c r="T82" s="86">
        <v>8347</v>
      </c>
      <c r="U82" s="86">
        <v>8725</v>
      </c>
      <c r="V82" s="86">
        <v>8474</v>
      </c>
      <c r="W82" s="86">
        <v>8558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1448999</v>
      </c>
      <c r="C84" s="54">
        <f t="shared" si="146"/>
        <v>1472031</v>
      </c>
      <c r="D84" s="54">
        <f t="shared" ref="D84:V84" si="147">D85+D100</f>
        <v>1515841</v>
      </c>
      <c r="E84" s="54">
        <f t="shared" si="147"/>
        <v>1556915</v>
      </c>
      <c r="F84" s="54">
        <f t="shared" si="147"/>
        <v>1511977</v>
      </c>
      <c r="G84" s="54">
        <f t="shared" si="147"/>
        <v>1530280</v>
      </c>
      <c r="H84" s="54">
        <f t="shared" si="147"/>
        <v>1577340</v>
      </c>
      <c r="I84" s="54">
        <f t="shared" si="147"/>
        <v>1710001</v>
      </c>
      <c r="J84" s="54">
        <f t="shared" si="147"/>
        <v>1857116</v>
      </c>
      <c r="K84" s="54">
        <f t="shared" si="147"/>
        <v>1932602</v>
      </c>
      <c r="L84" s="54">
        <f t="shared" si="147"/>
        <v>2025488</v>
      </c>
      <c r="M84" s="54">
        <f t="shared" si="147"/>
        <v>2116500</v>
      </c>
      <c r="N84" s="54">
        <f t="shared" si="147"/>
        <v>2201765</v>
      </c>
      <c r="O84" s="54">
        <f t="shared" si="147"/>
        <v>2266802</v>
      </c>
      <c r="P84" s="54">
        <f t="shared" si="147"/>
        <v>2346194</v>
      </c>
      <c r="Q84" s="54">
        <f t="shared" si="147"/>
        <v>2450137</v>
      </c>
      <c r="R84" s="54">
        <f t="shared" si="147"/>
        <v>2546388</v>
      </c>
      <c r="S84" s="54">
        <f t="shared" si="147"/>
        <v>2660179</v>
      </c>
      <c r="T84" s="54">
        <f t="shared" si="147"/>
        <v>2756821</v>
      </c>
      <c r="U84" s="54">
        <f t="shared" si="147"/>
        <v>2848048</v>
      </c>
      <c r="V84" s="54">
        <f t="shared" si="147"/>
        <v>2902025</v>
      </c>
      <c r="W84" s="54">
        <f t="shared" ref="W84" si="148">W85+W100</f>
        <v>2957853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1330996</v>
      </c>
      <c r="C85" s="28">
        <f t="shared" si="149"/>
        <v>1350365</v>
      </c>
      <c r="D85" s="28">
        <f t="shared" ref="D85:V85" si="150">D86+D87+D94</f>
        <v>1385634</v>
      </c>
      <c r="E85" s="28">
        <f t="shared" si="150"/>
        <v>1415761</v>
      </c>
      <c r="F85" s="28">
        <f t="shared" si="150"/>
        <v>1370087</v>
      </c>
      <c r="G85" s="28">
        <f t="shared" si="150"/>
        <v>1369462</v>
      </c>
      <c r="H85" s="28">
        <f t="shared" si="150"/>
        <v>1400920</v>
      </c>
      <c r="I85" s="28">
        <f t="shared" si="150"/>
        <v>1508582</v>
      </c>
      <c r="J85" s="28">
        <f t="shared" si="150"/>
        <v>1626010</v>
      </c>
      <c r="K85" s="28">
        <f t="shared" si="150"/>
        <v>1680611</v>
      </c>
      <c r="L85" s="28">
        <f t="shared" si="150"/>
        <v>1766581</v>
      </c>
      <c r="M85" s="28">
        <f t="shared" si="150"/>
        <v>1852442</v>
      </c>
      <c r="N85" s="28">
        <f t="shared" si="150"/>
        <v>1932916</v>
      </c>
      <c r="O85" s="28">
        <f t="shared" si="150"/>
        <v>1994730</v>
      </c>
      <c r="P85" s="28">
        <f t="shared" si="150"/>
        <v>2070914</v>
      </c>
      <c r="Q85" s="28">
        <f t="shared" si="150"/>
        <v>2164468</v>
      </c>
      <c r="R85" s="28">
        <f t="shared" si="150"/>
        <v>2256993</v>
      </c>
      <c r="S85" s="28">
        <f t="shared" si="150"/>
        <v>2365667</v>
      </c>
      <c r="T85" s="28">
        <f t="shared" si="150"/>
        <v>2471421</v>
      </c>
      <c r="U85" s="28">
        <f t="shared" si="150"/>
        <v>2550337</v>
      </c>
      <c r="V85" s="28">
        <f t="shared" si="150"/>
        <v>2602595</v>
      </c>
      <c r="W85" s="28">
        <f t="shared" ref="W85" si="151">W86+W87+W94</f>
        <v>2663698</v>
      </c>
      <c r="DA85" s="173"/>
    </row>
    <row r="86" spans="1:105" ht="11.45" hidden="1" customHeight="1" x14ac:dyDescent="0.25">
      <c r="A86" s="136" t="s">
        <v>180</v>
      </c>
      <c r="B86" s="137">
        <v>45647</v>
      </c>
      <c r="C86" s="137">
        <v>46676</v>
      </c>
      <c r="D86" s="137">
        <v>47900</v>
      </c>
      <c r="E86" s="137">
        <v>48709</v>
      </c>
      <c r="F86" s="137">
        <v>51977</v>
      </c>
      <c r="G86" s="137">
        <v>56366</v>
      </c>
      <c r="H86" s="137">
        <v>58101</v>
      </c>
      <c r="I86" s="137">
        <v>63897</v>
      </c>
      <c r="J86" s="137">
        <v>70318</v>
      </c>
      <c r="K86" s="137">
        <v>81900</v>
      </c>
      <c r="L86" s="137">
        <v>87900</v>
      </c>
      <c r="M86" s="137">
        <v>93800</v>
      </c>
      <c r="N86" s="137">
        <v>99500</v>
      </c>
      <c r="O86" s="137">
        <v>105900</v>
      </c>
      <c r="P86" s="137">
        <v>112700</v>
      </c>
      <c r="Q86" s="137">
        <v>120624</v>
      </c>
      <c r="R86" s="137">
        <v>126128</v>
      </c>
      <c r="S86" s="137">
        <v>133309</v>
      </c>
      <c r="T86" s="137">
        <v>140450</v>
      </c>
      <c r="U86" s="137">
        <v>147498</v>
      </c>
      <c r="V86" s="137">
        <v>154445</v>
      </c>
      <c r="W86" s="137">
        <v>162145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1274200</v>
      </c>
      <c r="C87" s="110">
        <f t="shared" si="152"/>
        <v>1292800</v>
      </c>
      <c r="D87" s="110">
        <f t="shared" ref="D87:V87" si="153">SUM(D88:D93)</f>
        <v>1326900</v>
      </c>
      <c r="E87" s="110">
        <f t="shared" si="153"/>
        <v>1356200</v>
      </c>
      <c r="F87" s="110">
        <f t="shared" si="153"/>
        <v>1308908</v>
      </c>
      <c r="G87" s="110">
        <f t="shared" si="153"/>
        <v>1303704</v>
      </c>
      <c r="H87" s="110">
        <f t="shared" si="153"/>
        <v>1333749</v>
      </c>
      <c r="I87" s="110">
        <f t="shared" si="153"/>
        <v>1433926</v>
      </c>
      <c r="J87" s="110">
        <f t="shared" si="153"/>
        <v>1544888</v>
      </c>
      <c r="K87" s="110">
        <f t="shared" si="153"/>
        <v>1589044</v>
      </c>
      <c r="L87" s="110">
        <f t="shared" si="153"/>
        <v>1669065</v>
      </c>
      <c r="M87" s="110">
        <f t="shared" si="153"/>
        <v>1749300</v>
      </c>
      <c r="N87" s="110">
        <f t="shared" si="153"/>
        <v>1824190</v>
      </c>
      <c r="O87" s="110">
        <f t="shared" si="153"/>
        <v>1879759</v>
      </c>
      <c r="P87" s="110">
        <f t="shared" si="153"/>
        <v>1949055</v>
      </c>
      <c r="Q87" s="110">
        <f t="shared" si="153"/>
        <v>2034574</v>
      </c>
      <c r="R87" s="110">
        <f t="shared" si="153"/>
        <v>2121774</v>
      </c>
      <c r="S87" s="110">
        <f t="shared" si="153"/>
        <v>2223117</v>
      </c>
      <c r="T87" s="110">
        <f t="shared" si="153"/>
        <v>2321608</v>
      </c>
      <c r="U87" s="110">
        <f t="shared" si="153"/>
        <v>2393577</v>
      </c>
      <c r="V87" s="110">
        <f t="shared" si="153"/>
        <v>2439986</v>
      </c>
      <c r="W87" s="110">
        <f t="shared" ref="W87" si="154">SUM(W88:W93)</f>
        <v>2493183</v>
      </c>
      <c r="DA87" s="176"/>
    </row>
    <row r="88" spans="1:105" ht="11.45" hidden="1" customHeight="1" x14ac:dyDescent="0.25">
      <c r="A88" s="111" t="s">
        <v>110</v>
      </c>
      <c r="B88" s="84">
        <v>1038797</v>
      </c>
      <c r="C88" s="84">
        <v>1038897</v>
      </c>
      <c r="D88" s="84">
        <v>1038624</v>
      </c>
      <c r="E88" s="84">
        <v>1045297</v>
      </c>
      <c r="F88" s="84">
        <v>992546</v>
      </c>
      <c r="G88" s="84">
        <v>983034</v>
      </c>
      <c r="H88" s="84">
        <v>999424</v>
      </c>
      <c r="I88" s="84">
        <v>1062932</v>
      </c>
      <c r="J88" s="84">
        <v>1147072</v>
      </c>
      <c r="K88" s="84">
        <v>1174238</v>
      </c>
      <c r="L88" s="84">
        <v>1235322</v>
      </c>
      <c r="M88" s="84">
        <v>1255991</v>
      </c>
      <c r="N88" s="84">
        <v>1311658</v>
      </c>
      <c r="O88" s="84">
        <v>1356199</v>
      </c>
      <c r="P88" s="84">
        <v>1400920</v>
      </c>
      <c r="Q88" s="84">
        <v>1464701</v>
      </c>
      <c r="R88" s="84">
        <v>1552895</v>
      </c>
      <c r="S88" s="84">
        <v>1636630</v>
      </c>
      <c r="T88" s="84">
        <v>1717338</v>
      </c>
      <c r="U88" s="84">
        <v>1778261</v>
      </c>
      <c r="V88" s="84">
        <v>1808919</v>
      </c>
      <c r="W88" s="84">
        <v>1844855</v>
      </c>
      <c r="DA88" s="171"/>
    </row>
    <row r="89" spans="1:105" ht="11.45" hidden="1" customHeight="1" x14ac:dyDescent="0.25">
      <c r="A89" s="111" t="s">
        <v>111</v>
      </c>
      <c r="B89" s="84">
        <v>235403</v>
      </c>
      <c r="C89" s="84">
        <v>251503</v>
      </c>
      <c r="D89" s="84">
        <v>285876</v>
      </c>
      <c r="E89" s="84">
        <v>303881</v>
      </c>
      <c r="F89" s="84">
        <v>308508</v>
      </c>
      <c r="G89" s="84">
        <v>311553</v>
      </c>
      <c r="H89" s="84">
        <v>325232</v>
      </c>
      <c r="I89" s="84">
        <v>353285</v>
      </c>
      <c r="J89" s="84">
        <v>380283</v>
      </c>
      <c r="K89" s="84">
        <v>397146</v>
      </c>
      <c r="L89" s="84">
        <v>412502</v>
      </c>
      <c r="M89" s="84">
        <v>426643</v>
      </c>
      <c r="N89" s="84">
        <v>442235</v>
      </c>
      <c r="O89" s="84">
        <v>449650</v>
      </c>
      <c r="P89" s="84">
        <v>472541</v>
      </c>
      <c r="Q89" s="84">
        <v>490817</v>
      </c>
      <c r="R89" s="84">
        <v>495729</v>
      </c>
      <c r="S89" s="84">
        <v>518042</v>
      </c>
      <c r="T89" s="84">
        <v>538764</v>
      </c>
      <c r="U89" s="84">
        <v>554943</v>
      </c>
      <c r="V89" s="84">
        <v>571655</v>
      </c>
      <c r="W89" s="84">
        <v>588797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0</v>
      </c>
      <c r="D90" s="84">
        <v>0</v>
      </c>
      <c r="E90" s="84">
        <v>0</v>
      </c>
      <c r="F90" s="84">
        <v>0</v>
      </c>
      <c r="G90" s="84">
        <v>1250</v>
      </c>
      <c r="H90" s="84">
        <v>1251</v>
      </c>
      <c r="I90" s="84">
        <v>1352</v>
      </c>
      <c r="J90" s="84">
        <v>1400</v>
      </c>
      <c r="K90" s="84">
        <v>1401</v>
      </c>
      <c r="L90" s="84">
        <v>3003</v>
      </c>
      <c r="M90" s="84">
        <v>48894</v>
      </c>
      <c r="N90" s="84">
        <v>54615</v>
      </c>
      <c r="O90" s="84">
        <v>59503</v>
      </c>
      <c r="P90" s="84">
        <v>59362</v>
      </c>
      <c r="Q90" s="84">
        <v>62639</v>
      </c>
      <c r="R90" s="84">
        <v>61386</v>
      </c>
      <c r="S90" s="84">
        <v>57089</v>
      </c>
      <c r="T90" s="84">
        <v>54235</v>
      </c>
      <c r="U90" s="84">
        <v>50583</v>
      </c>
      <c r="V90" s="84">
        <v>49554</v>
      </c>
      <c r="W90" s="84">
        <v>47458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2400</v>
      </c>
      <c r="D91" s="84">
        <v>2400</v>
      </c>
      <c r="E91" s="84">
        <v>7022</v>
      </c>
      <c r="F91" s="84">
        <v>7854</v>
      </c>
      <c r="G91" s="84">
        <v>7867</v>
      </c>
      <c r="H91" s="84">
        <v>7842</v>
      </c>
      <c r="I91" s="84">
        <v>16357</v>
      </c>
      <c r="J91" s="84">
        <v>16133</v>
      </c>
      <c r="K91" s="84">
        <v>16259</v>
      </c>
      <c r="L91" s="84">
        <v>18238</v>
      </c>
      <c r="M91" s="84">
        <v>17753</v>
      </c>
      <c r="N91" s="84">
        <v>15657</v>
      </c>
      <c r="O91" s="84">
        <v>14377</v>
      </c>
      <c r="P91" s="84">
        <v>16099</v>
      </c>
      <c r="Q91" s="84">
        <v>16243</v>
      </c>
      <c r="R91" s="84">
        <v>11410</v>
      </c>
      <c r="S91" s="84">
        <v>10613</v>
      </c>
      <c r="T91" s="84">
        <v>9856</v>
      </c>
      <c r="U91" s="84">
        <v>8008</v>
      </c>
      <c r="V91" s="84">
        <v>6352</v>
      </c>
      <c r="W91" s="84">
        <v>6419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5</v>
      </c>
      <c r="O92" s="84">
        <v>5</v>
      </c>
      <c r="P92" s="84">
        <v>20</v>
      </c>
      <c r="Q92" s="84">
        <v>37</v>
      </c>
      <c r="R92" s="84">
        <v>156</v>
      </c>
      <c r="S92" s="84">
        <v>345</v>
      </c>
      <c r="T92" s="84">
        <v>620</v>
      </c>
      <c r="U92" s="84">
        <v>826</v>
      </c>
      <c r="V92" s="84">
        <v>1643</v>
      </c>
      <c r="W92" s="84">
        <v>2655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19</v>
      </c>
      <c r="N93" s="84">
        <v>20</v>
      </c>
      <c r="O93" s="84">
        <v>25</v>
      </c>
      <c r="P93" s="84">
        <v>113</v>
      </c>
      <c r="Q93" s="84">
        <v>137</v>
      </c>
      <c r="R93" s="84">
        <v>198</v>
      </c>
      <c r="S93" s="84">
        <v>398</v>
      </c>
      <c r="T93" s="84">
        <v>795</v>
      </c>
      <c r="U93" s="84">
        <v>956</v>
      </c>
      <c r="V93" s="84">
        <v>1863</v>
      </c>
      <c r="W93" s="84">
        <v>2999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11149</v>
      </c>
      <c r="C94" s="110">
        <f t="shared" si="155"/>
        <v>10889</v>
      </c>
      <c r="D94" s="110">
        <f t="shared" ref="D94:V94" si="156">SUM(D95:D99)</f>
        <v>10834</v>
      </c>
      <c r="E94" s="110">
        <f t="shared" si="156"/>
        <v>10852</v>
      </c>
      <c r="F94" s="110">
        <f t="shared" si="156"/>
        <v>9202</v>
      </c>
      <c r="G94" s="110">
        <f t="shared" si="156"/>
        <v>9392</v>
      </c>
      <c r="H94" s="110">
        <f t="shared" si="156"/>
        <v>9070</v>
      </c>
      <c r="I94" s="110">
        <f t="shared" si="156"/>
        <v>10759</v>
      </c>
      <c r="J94" s="110">
        <f t="shared" si="156"/>
        <v>10804</v>
      </c>
      <c r="K94" s="110">
        <f t="shared" si="156"/>
        <v>9667</v>
      </c>
      <c r="L94" s="110">
        <f t="shared" si="156"/>
        <v>9616</v>
      </c>
      <c r="M94" s="110">
        <f t="shared" si="156"/>
        <v>9342</v>
      </c>
      <c r="N94" s="110">
        <f t="shared" si="156"/>
        <v>9226</v>
      </c>
      <c r="O94" s="110">
        <f t="shared" si="156"/>
        <v>9071</v>
      </c>
      <c r="P94" s="110">
        <f t="shared" si="156"/>
        <v>9159</v>
      </c>
      <c r="Q94" s="110">
        <f t="shared" si="156"/>
        <v>9270</v>
      </c>
      <c r="R94" s="110">
        <f t="shared" si="156"/>
        <v>9091</v>
      </c>
      <c r="S94" s="110">
        <f t="shared" si="156"/>
        <v>9241</v>
      </c>
      <c r="T94" s="110">
        <f t="shared" si="156"/>
        <v>9363</v>
      </c>
      <c r="U94" s="110">
        <f t="shared" si="156"/>
        <v>9262</v>
      </c>
      <c r="V94" s="110">
        <f t="shared" si="156"/>
        <v>8164</v>
      </c>
      <c r="W94" s="110">
        <f t="shared" ref="W94" si="157">SUM(W95:W99)</f>
        <v>8370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0</v>
      </c>
      <c r="M95" s="102">
        <v>0</v>
      </c>
      <c r="N95" s="102">
        <v>0</v>
      </c>
      <c r="O95" s="102">
        <v>0</v>
      </c>
      <c r="P95" s="102">
        <v>0</v>
      </c>
      <c r="Q95" s="102">
        <v>0</v>
      </c>
      <c r="R95" s="102">
        <v>0</v>
      </c>
      <c r="S95" s="102">
        <v>0</v>
      </c>
      <c r="T95" s="102">
        <v>0</v>
      </c>
      <c r="U95" s="102">
        <v>0</v>
      </c>
      <c r="V95" s="102">
        <v>0</v>
      </c>
      <c r="W95" s="102">
        <v>0</v>
      </c>
      <c r="DA95" s="175"/>
    </row>
    <row r="96" spans="1:105" ht="11.45" hidden="1" customHeight="1" x14ac:dyDescent="0.25">
      <c r="A96" s="111" t="s">
        <v>111</v>
      </c>
      <c r="B96" s="102">
        <v>11149</v>
      </c>
      <c r="C96" s="102">
        <v>10889</v>
      </c>
      <c r="D96" s="102">
        <v>10834</v>
      </c>
      <c r="E96" s="102">
        <v>10852</v>
      </c>
      <c r="F96" s="102">
        <v>9202</v>
      </c>
      <c r="G96" s="102">
        <v>9392</v>
      </c>
      <c r="H96" s="102">
        <v>9070</v>
      </c>
      <c r="I96" s="102">
        <v>10759</v>
      </c>
      <c r="J96" s="102">
        <v>10804</v>
      </c>
      <c r="K96" s="102">
        <v>9667</v>
      </c>
      <c r="L96" s="102">
        <v>9500</v>
      </c>
      <c r="M96" s="102">
        <v>9074</v>
      </c>
      <c r="N96" s="102">
        <v>8957</v>
      </c>
      <c r="O96" s="102">
        <v>8806</v>
      </c>
      <c r="P96" s="102">
        <v>8798</v>
      </c>
      <c r="Q96" s="102">
        <v>8819</v>
      </c>
      <c r="R96" s="102">
        <v>8300</v>
      </c>
      <c r="S96" s="102">
        <v>8383</v>
      </c>
      <c r="T96" s="102">
        <v>8459</v>
      </c>
      <c r="U96" s="102">
        <v>8321</v>
      </c>
      <c r="V96" s="102">
        <v>7206</v>
      </c>
      <c r="W96" s="102">
        <v>7413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258</v>
      </c>
      <c r="S98" s="102">
        <v>253</v>
      </c>
      <c r="T98" s="102">
        <v>240</v>
      </c>
      <c r="U98" s="102">
        <v>235</v>
      </c>
      <c r="V98" s="102">
        <v>230</v>
      </c>
      <c r="W98" s="102">
        <v>230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116</v>
      </c>
      <c r="M99" s="102">
        <v>268</v>
      </c>
      <c r="N99" s="102">
        <v>269</v>
      </c>
      <c r="O99" s="102">
        <v>265</v>
      </c>
      <c r="P99" s="102">
        <v>361</v>
      </c>
      <c r="Q99" s="102">
        <v>451</v>
      </c>
      <c r="R99" s="102">
        <v>533</v>
      </c>
      <c r="S99" s="102">
        <v>605</v>
      </c>
      <c r="T99" s="102">
        <v>664</v>
      </c>
      <c r="U99" s="102">
        <v>706</v>
      </c>
      <c r="V99" s="102">
        <v>728</v>
      </c>
      <c r="W99" s="102">
        <v>727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118003</v>
      </c>
      <c r="C100" s="28">
        <f t="shared" si="158"/>
        <v>121666</v>
      </c>
      <c r="D100" s="28">
        <f t="shared" ref="D100:V100" si="159">D101+D107</f>
        <v>130207</v>
      </c>
      <c r="E100" s="28">
        <f t="shared" si="159"/>
        <v>141154</v>
      </c>
      <c r="F100" s="28">
        <f t="shared" si="159"/>
        <v>141890</v>
      </c>
      <c r="G100" s="28">
        <f t="shared" si="159"/>
        <v>160818</v>
      </c>
      <c r="H100" s="28">
        <f t="shared" si="159"/>
        <v>176420</v>
      </c>
      <c r="I100" s="28">
        <f t="shared" si="159"/>
        <v>201419</v>
      </c>
      <c r="J100" s="28">
        <f t="shared" si="159"/>
        <v>231106</v>
      </c>
      <c r="K100" s="28">
        <f t="shared" si="159"/>
        <v>251991</v>
      </c>
      <c r="L100" s="28">
        <f t="shared" si="159"/>
        <v>258907</v>
      </c>
      <c r="M100" s="28">
        <f t="shared" si="159"/>
        <v>264058</v>
      </c>
      <c r="N100" s="28">
        <f t="shared" si="159"/>
        <v>268849</v>
      </c>
      <c r="O100" s="28">
        <f t="shared" si="159"/>
        <v>272072</v>
      </c>
      <c r="P100" s="28">
        <f t="shared" si="159"/>
        <v>275280</v>
      </c>
      <c r="Q100" s="28">
        <f t="shared" si="159"/>
        <v>285669</v>
      </c>
      <c r="R100" s="28">
        <f t="shared" si="159"/>
        <v>289395</v>
      </c>
      <c r="S100" s="28">
        <f t="shared" si="159"/>
        <v>294512</v>
      </c>
      <c r="T100" s="28">
        <f t="shared" si="159"/>
        <v>285400</v>
      </c>
      <c r="U100" s="28">
        <f t="shared" si="159"/>
        <v>297711</v>
      </c>
      <c r="V100" s="28">
        <f t="shared" si="159"/>
        <v>299430</v>
      </c>
      <c r="W100" s="28">
        <f t="shared" ref="W100" si="160">W101+W107</f>
        <v>294155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107015</v>
      </c>
      <c r="C101" s="137">
        <f t="shared" si="161"/>
        <v>107197</v>
      </c>
      <c r="D101" s="137">
        <f t="shared" ref="D101:V101" si="162">SUM(D102:D106)</f>
        <v>107525</v>
      </c>
      <c r="E101" s="137">
        <f t="shared" si="162"/>
        <v>109025</v>
      </c>
      <c r="F101" s="137">
        <f t="shared" si="162"/>
        <v>118776</v>
      </c>
      <c r="G101" s="137">
        <f t="shared" si="162"/>
        <v>129411</v>
      </c>
      <c r="H101" s="137">
        <f t="shared" si="162"/>
        <v>132517</v>
      </c>
      <c r="I101" s="137">
        <f t="shared" si="162"/>
        <v>149494</v>
      </c>
      <c r="J101" s="137">
        <f t="shared" si="162"/>
        <v>159281</v>
      </c>
      <c r="K101" s="137">
        <f t="shared" si="162"/>
        <v>173814</v>
      </c>
      <c r="L101" s="137">
        <f t="shared" si="162"/>
        <v>176788</v>
      </c>
      <c r="M101" s="137">
        <f t="shared" si="162"/>
        <v>178896</v>
      </c>
      <c r="N101" s="137">
        <f t="shared" si="162"/>
        <v>183879</v>
      </c>
      <c r="O101" s="137">
        <f t="shared" si="162"/>
        <v>166323</v>
      </c>
      <c r="P101" s="137">
        <f t="shared" si="162"/>
        <v>147092</v>
      </c>
      <c r="Q101" s="137">
        <f t="shared" si="162"/>
        <v>166067</v>
      </c>
      <c r="R101" s="137">
        <f t="shared" si="162"/>
        <v>155800</v>
      </c>
      <c r="S101" s="137">
        <f t="shared" si="162"/>
        <v>153916</v>
      </c>
      <c r="T101" s="137">
        <f t="shared" si="162"/>
        <v>149914</v>
      </c>
      <c r="U101" s="137">
        <f t="shared" si="162"/>
        <v>146085</v>
      </c>
      <c r="V101" s="137">
        <f t="shared" si="162"/>
        <v>146404</v>
      </c>
      <c r="W101" s="137">
        <f t="shared" ref="W101" si="163">SUM(W102:W106)</f>
        <v>146450</v>
      </c>
      <c r="DA101" s="174"/>
    </row>
    <row r="102" spans="1:105" ht="11.45" hidden="1" customHeight="1" x14ac:dyDescent="0.25">
      <c r="A102" s="111" t="s">
        <v>110</v>
      </c>
      <c r="B102" s="84">
        <v>39970</v>
      </c>
      <c r="C102" s="84">
        <v>39993</v>
      </c>
      <c r="D102" s="84">
        <v>40050</v>
      </c>
      <c r="E102" s="84">
        <v>40192</v>
      </c>
      <c r="F102" s="84">
        <v>50553</v>
      </c>
      <c r="G102" s="84">
        <v>51476</v>
      </c>
      <c r="H102" s="84">
        <v>53933</v>
      </c>
      <c r="I102" s="84">
        <v>58112</v>
      </c>
      <c r="J102" s="84">
        <v>60446</v>
      </c>
      <c r="K102" s="84">
        <v>61486</v>
      </c>
      <c r="L102" s="84">
        <v>48449</v>
      </c>
      <c r="M102" s="84">
        <v>49460</v>
      </c>
      <c r="N102" s="84">
        <v>50192</v>
      </c>
      <c r="O102" s="84">
        <v>50793</v>
      </c>
      <c r="P102" s="84">
        <v>46574</v>
      </c>
      <c r="Q102" s="84">
        <v>52552</v>
      </c>
      <c r="R102" s="84">
        <v>58700</v>
      </c>
      <c r="S102" s="84">
        <v>52570</v>
      </c>
      <c r="T102" s="84">
        <v>50135</v>
      </c>
      <c r="U102" s="84">
        <v>42809</v>
      </c>
      <c r="V102" s="84">
        <v>42809</v>
      </c>
      <c r="W102" s="84">
        <v>42811</v>
      </c>
      <c r="DA102" s="171"/>
    </row>
    <row r="103" spans="1:105" ht="11.45" hidden="1" customHeight="1" x14ac:dyDescent="0.25">
      <c r="A103" s="111" t="s">
        <v>111</v>
      </c>
      <c r="B103" s="84">
        <v>67045</v>
      </c>
      <c r="C103" s="84">
        <v>67204</v>
      </c>
      <c r="D103" s="84">
        <v>67475</v>
      </c>
      <c r="E103" s="84">
        <v>68833</v>
      </c>
      <c r="F103" s="84">
        <v>68223</v>
      </c>
      <c r="G103" s="84">
        <v>77935</v>
      </c>
      <c r="H103" s="84">
        <v>78584</v>
      </c>
      <c r="I103" s="84">
        <v>91382</v>
      </c>
      <c r="J103" s="84">
        <v>98835</v>
      </c>
      <c r="K103" s="84">
        <v>112328</v>
      </c>
      <c r="L103" s="84">
        <v>128339</v>
      </c>
      <c r="M103" s="84">
        <v>129436</v>
      </c>
      <c r="N103" s="84">
        <v>133675</v>
      </c>
      <c r="O103" s="84">
        <v>115514</v>
      </c>
      <c r="P103" s="84">
        <v>97907</v>
      </c>
      <c r="Q103" s="84">
        <v>110900</v>
      </c>
      <c r="R103" s="84">
        <v>94027</v>
      </c>
      <c r="S103" s="84">
        <v>98121</v>
      </c>
      <c r="T103" s="84">
        <v>96240</v>
      </c>
      <c r="U103" s="84">
        <v>99491</v>
      </c>
      <c r="V103" s="84">
        <v>99491</v>
      </c>
      <c r="W103" s="84">
        <v>99491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7</v>
      </c>
      <c r="O104" s="84">
        <v>5</v>
      </c>
      <c r="P104" s="84">
        <v>2600</v>
      </c>
      <c r="Q104" s="84">
        <v>2600</v>
      </c>
      <c r="R104" s="84">
        <v>2866</v>
      </c>
      <c r="S104" s="84">
        <v>2994</v>
      </c>
      <c r="T104" s="84">
        <v>3125</v>
      </c>
      <c r="U104" s="84">
        <v>3300</v>
      </c>
      <c r="V104" s="84">
        <v>3400</v>
      </c>
      <c r="W104" s="84">
        <v>3400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5</v>
      </c>
      <c r="O105" s="84">
        <v>9</v>
      </c>
      <c r="P105" s="84">
        <v>7</v>
      </c>
      <c r="Q105" s="84">
        <v>9</v>
      </c>
      <c r="R105" s="84">
        <v>195</v>
      </c>
      <c r="S105" s="84">
        <v>204</v>
      </c>
      <c r="T105" s="84">
        <v>334</v>
      </c>
      <c r="U105" s="84">
        <v>400</v>
      </c>
      <c r="V105" s="84">
        <v>600</v>
      </c>
      <c r="W105" s="84">
        <v>600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0</v>
      </c>
      <c r="O106" s="84">
        <v>2</v>
      </c>
      <c r="P106" s="84">
        <v>4</v>
      </c>
      <c r="Q106" s="84">
        <v>6</v>
      </c>
      <c r="R106" s="84">
        <v>12</v>
      </c>
      <c r="S106" s="84">
        <v>27</v>
      </c>
      <c r="T106" s="84">
        <v>80</v>
      </c>
      <c r="U106" s="84">
        <v>85</v>
      </c>
      <c r="V106" s="84">
        <v>104</v>
      </c>
      <c r="W106" s="84">
        <v>148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10988</v>
      </c>
      <c r="C107" s="110">
        <f t="shared" si="164"/>
        <v>14469</v>
      </c>
      <c r="D107" s="110">
        <f t="shared" ref="D107:V107" si="165">SUM(D108:D109)</f>
        <v>22682</v>
      </c>
      <c r="E107" s="110">
        <f t="shared" si="165"/>
        <v>32129</v>
      </c>
      <c r="F107" s="110">
        <f t="shared" si="165"/>
        <v>23114</v>
      </c>
      <c r="G107" s="110">
        <f t="shared" si="165"/>
        <v>31407</v>
      </c>
      <c r="H107" s="110">
        <f t="shared" si="165"/>
        <v>43903</v>
      </c>
      <c r="I107" s="110">
        <f t="shared" si="165"/>
        <v>51925</v>
      </c>
      <c r="J107" s="110">
        <f t="shared" si="165"/>
        <v>71825</v>
      </c>
      <c r="K107" s="110">
        <f t="shared" si="165"/>
        <v>78177</v>
      </c>
      <c r="L107" s="110">
        <f t="shared" si="165"/>
        <v>82119</v>
      </c>
      <c r="M107" s="110">
        <f t="shared" si="165"/>
        <v>85162</v>
      </c>
      <c r="N107" s="110">
        <f t="shared" si="165"/>
        <v>84970</v>
      </c>
      <c r="O107" s="110">
        <f t="shared" si="165"/>
        <v>105749</v>
      </c>
      <c r="P107" s="110">
        <f t="shared" si="165"/>
        <v>128188</v>
      </c>
      <c r="Q107" s="110">
        <f t="shared" si="165"/>
        <v>119602</v>
      </c>
      <c r="R107" s="110">
        <f t="shared" si="165"/>
        <v>133595</v>
      </c>
      <c r="S107" s="110">
        <f t="shared" si="165"/>
        <v>140596</v>
      </c>
      <c r="T107" s="110">
        <f t="shared" si="165"/>
        <v>135486</v>
      </c>
      <c r="U107" s="110">
        <f t="shared" si="165"/>
        <v>151626</v>
      </c>
      <c r="V107" s="110">
        <f t="shared" si="165"/>
        <v>153026</v>
      </c>
      <c r="W107" s="110">
        <f t="shared" ref="W107" si="166">SUM(W108:W109)</f>
        <v>147705</v>
      </c>
      <c r="DA107" s="176"/>
    </row>
    <row r="108" spans="1:105" ht="11.45" hidden="1" customHeight="1" x14ac:dyDescent="0.25">
      <c r="A108" s="128" t="s">
        <v>27</v>
      </c>
      <c r="B108" s="102">
        <v>8066</v>
      </c>
      <c r="C108" s="102">
        <v>11336</v>
      </c>
      <c r="D108" s="102">
        <v>19386</v>
      </c>
      <c r="E108" s="102">
        <v>28760</v>
      </c>
      <c r="F108" s="102">
        <v>19131</v>
      </c>
      <c r="G108" s="102">
        <v>27283</v>
      </c>
      <c r="H108" s="102">
        <v>39564</v>
      </c>
      <c r="I108" s="102">
        <v>46469</v>
      </c>
      <c r="J108" s="102">
        <v>66453</v>
      </c>
      <c r="K108" s="102">
        <v>72961</v>
      </c>
      <c r="L108" s="102">
        <v>76661</v>
      </c>
      <c r="M108" s="102">
        <v>79297</v>
      </c>
      <c r="N108" s="102">
        <v>79019</v>
      </c>
      <c r="O108" s="102">
        <v>99304</v>
      </c>
      <c r="P108" s="102">
        <v>121625</v>
      </c>
      <c r="Q108" s="102">
        <v>112368</v>
      </c>
      <c r="R108" s="102">
        <v>125799</v>
      </c>
      <c r="S108" s="102">
        <v>132193</v>
      </c>
      <c r="T108" s="102">
        <v>127139</v>
      </c>
      <c r="U108" s="102">
        <v>142901</v>
      </c>
      <c r="V108" s="102">
        <v>144552</v>
      </c>
      <c r="W108" s="102">
        <v>139147</v>
      </c>
      <c r="DA108" s="175"/>
    </row>
    <row r="109" spans="1:105" ht="11.45" hidden="1" customHeight="1" x14ac:dyDescent="0.25">
      <c r="A109" s="138" t="s">
        <v>116</v>
      </c>
      <c r="B109" s="86">
        <v>2922</v>
      </c>
      <c r="C109" s="86">
        <v>3133</v>
      </c>
      <c r="D109" s="86">
        <v>3296</v>
      </c>
      <c r="E109" s="86">
        <v>3369</v>
      </c>
      <c r="F109" s="86">
        <v>3983</v>
      </c>
      <c r="G109" s="86">
        <v>4124</v>
      </c>
      <c r="H109" s="86">
        <v>4339</v>
      </c>
      <c r="I109" s="86">
        <v>5456</v>
      </c>
      <c r="J109" s="86">
        <v>5372</v>
      </c>
      <c r="K109" s="86">
        <v>5216</v>
      </c>
      <c r="L109" s="86">
        <v>5458</v>
      </c>
      <c r="M109" s="86">
        <v>5865</v>
      </c>
      <c r="N109" s="86">
        <v>5951</v>
      </c>
      <c r="O109" s="86">
        <v>6445</v>
      </c>
      <c r="P109" s="86">
        <v>6563</v>
      </c>
      <c r="Q109" s="86">
        <v>7234</v>
      </c>
      <c r="R109" s="86">
        <v>7796</v>
      </c>
      <c r="S109" s="86">
        <v>8403</v>
      </c>
      <c r="T109" s="86">
        <v>8347</v>
      </c>
      <c r="U109" s="86">
        <v>8725</v>
      </c>
      <c r="V109" s="86">
        <v>8474</v>
      </c>
      <c r="W109" s="86">
        <v>8558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82511</v>
      </c>
      <c r="C111" s="54">
        <f t="shared" si="167"/>
        <v>103542</v>
      </c>
      <c r="D111" s="54">
        <f t="shared" si="167"/>
        <v>99878</v>
      </c>
      <c r="E111" s="54">
        <f t="shared" si="167"/>
        <v>104431</v>
      </c>
      <c r="F111" s="54">
        <f t="shared" si="167"/>
        <v>40760</v>
      </c>
      <c r="G111" s="54">
        <f t="shared" si="167"/>
        <v>94241</v>
      </c>
      <c r="H111" s="54">
        <f t="shared" si="167"/>
        <v>131673</v>
      </c>
      <c r="I111" s="54">
        <f t="shared" si="167"/>
        <v>223330</v>
      </c>
      <c r="J111" s="54">
        <f t="shared" si="167"/>
        <v>244019</v>
      </c>
      <c r="K111" s="54">
        <f t="shared" si="167"/>
        <v>176161</v>
      </c>
      <c r="L111" s="54">
        <f t="shared" ref="L111" si="168">L112+L127</f>
        <v>209741</v>
      </c>
      <c r="M111" s="54">
        <f t="shared" ref="M111:V111" si="169">M112+M127</f>
        <v>200093</v>
      </c>
      <c r="N111" s="54">
        <f t="shared" si="169"/>
        <v>199115</v>
      </c>
      <c r="O111" s="54">
        <f t="shared" si="169"/>
        <v>197301</v>
      </c>
      <c r="P111" s="54">
        <f t="shared" si="169"/>
        <v>215637</v>
      </c>
      <c r="Q111" s="54">
        <f t="shared" si="169"/>
        <v>228707</v>
      </c>
      <c r="R111" s="54">
        <f t="shared" si="169"/>
        <v>243846</v>
      </c>
      <c r="S111" s="54">
        <f t="shared" si="169"/>
        <v>213556</v>
      </c>
      <c r="T111" s="54">
        <f t="shared" si="169"/>
        <v>204370</v>
      </c>
      <c r="U111" s="54">
        <f t="shared" si="169"/>
        <v>204756</v>
      </c>
      <c r="V111" s="54">
        <f t="shared" si="169"/>
        <v>170271</v>
      </c>
      <c r="W111" s="54">
        <f t="shared" ref="W111" si="170">W112+W127</f>
        <v>230054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82219</v>
      </c>
      <c r="C112" s="28">
        <f t="shared" si="171"/>
        <v>94501</v>
      </c>
      <c r="D112" s="28">
        <f t="shared" si="171"/>
        <v>85181</v>
      </c>
      <c r="E112" s="28">
        <f t="shared" si="171"/>
        <v>86604</v>
      </c>
      <c r="F112" s="28">
        <f t="shared" si="171"/>
        <v>22565</v>
      </c>
      <c r="G112" s="28">
        <f t="shared" si="171"/>
        <v>67158</v>
      </c>
      <c r="H112" s="28">
        <f t="shared" si="171"/>
        <v>107339</v>
      </c>
      <c r="I112" s="28">
        <f t="shared" si="171"/>
        <v>189087</v>
      </c>
      <c r="J112" s="28">
        <f t="shared" si="171"/>
        <v>204611</v>
      </c>
      <c r="K112" s="28">
        <f t="shared" si="171"/>
        <v>145105</v>
      </c>
      <c r="L112" s="28">
        <f t="shared" ref="L112" si="172">L113+L114+L121</f>
        <v>181711</v>
      </c>
      <c r="M112" s="28">
        <f t="shared" ref="M112:V112" si="173">M113+M114+M121</f>
        <v>185226</v>
      </c>
      <c r="N112" s="28">
        <f t="shared" si="173"/>
        <v>184370</v>
      </c>
      <c r="O112" s="28">
        <f t="shared" si="173"/>
        <v>167707</v>
      </c>
      <c r="P112" s="28">
        <f t="shared" si="173"/>
        <v>183409</v>
      </c>
      <c r="Q112" s="28">
        <f t="shared" si="173"/>
        <v>203507</v>
      </c>
      <c r="R112" s="28">
        <f t="shared" si="173"/>
        <v>210521</v>
      </c>
      <c r="S112" s="28">
        <f t="shared" si="173"/>
        <v>192077</v>
      </c>
      <c r="T112" s="28">
        <f t="shared" si="173"/>
        <v>193575</v>
      </c>
      <c r="U112" s="28">
        <f t="shared" si="173"/>
        <v>176666</v>
      </c>
      <c r="V112" s="28">
        <f t="shared" si="173"/>
        <v>156766</v>
      </c>
      <c r="W112" s="28">
        <f t="shared" ref="W112" si="174">W113+W114+W121</f>
        <v>218584</v>
      </c>
      <c r="DA112" s="173" t="s">
        <v>526</v>
      </c>
    </row>
    <row r="113" spans="1:105" ht="11.45" customHeight="1" x14ac:dyDescent="0.25">
      <c r="A113" s="136" t="s">
        <v>180</v>
      </c>
      <c r="B113" s="137">
        <v>0</v>
      </c>
      <c r="C113" s="137">
        <v>2280</v>
      </c>
      <c r="D113" s="137">
        <v>2559</v>
      </c>
      <c r="E113" s="137">
        <v>2032</v>
      </c>
      <c r="F113" s="137">
        <v>5319</v>
      </c>
      <c r="G113" s="137">
        <v>6875</v>
      </c>
      <c r="H113" s="137">
        <v>3431</v>
      </c>
      <c r="I113" s="137">
        <v>8868</v>
      </c>
      <c r="J113" s="137">
        <v>9814</v>
      </c>
      <c r="K113" s="137">
        <v>12637</v>
      </c>
      <c r="L113" s="137">
        <v>9615</v>
      </c>
      <c r="M113" s="137">
        <v>9600</v>
      </c>
      <c r="N113" s="137">
        <v>9452</v>
      </c>
      <c r="O113" s="137">
        <v>10498</v>
      </c>
      <c r="P113" s="137">
        <v>11156</v>
      </c>
      <c r="Q113" s="137">
        <v>12787</v>
      </c>
      <c r="R113" s="137">
        <v>9726</v>
      </c>
      <c r="S113" s="137">
        <v>12067</v>
      </c>
      <c r="T113" s="137">
        <v>12158</v>
      </c>
      <c r="U113" s="137">
        <v>12176</v>
      </c>
      <c r="V113" s="137">
        <v>12181</v>
      </c>
      <c r="W113" s="137">
        <v>13323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81947</v>
      </c>
      <c r="C114" s="110">
        <f t="shared" si="175"/>
        <v>91895</v>
      </c>
      <c r="D114" s="110">
        <f t="shared" si="175"/>
        <v>82271</v>
      </c>
      <c r="E114" s="110">
        <f t="shared" si="175"/>
        <v>84240</v>
      </c>
      <c r="F114" s="110">
        <f t="shared" si="175"/>
        <v>16914</v>
      </c>
      <c r="G114" s="110">
        <f t="shared" si="175"/>
        <v>59925</v>
      </c>
      <c r="H114" s="110">
        <f t="shared" si="175"/>
        <v>103388</v>
      </c>
      <c r="I114" s="110">
        <f t="shared" si="175"/>
        <v>178530</v>
      </c>
      <c r="J114" s="110">
        <f t="shared" si="175"/>
        <v>193931</v>
      </c>
      <c r="K114" s="110">
        <f t="shared" si="175"/>
        <v>131458</v>
      </c>
      <c r="L114" s="110">
        <f t="shared" ref="L114" si="176">SUM(L115:L120)</f>
        <v>171278</v>
      </c>
      <c r="M114" s="110">
        <f t="shared" ref="M114:V114" si="177">SUM(M115:M120)</f>
        <v>175019</v>
      </c>
      <c r="N114" s="110">
        <f t="shared" si="177"/>
        <v>174348</v>
      </c>
      <c r="O114" s="110">
        <f t="shared" si="177"/>
        <v>156915</v>
      </c>
      <c r="P114" s="110">
        <f t="shared" si="177"/>
        <v>171800</v>
      </c>
      <c r="Q114" s="110">
        <f t="shared" si="177"/>
        <v>190345</v>
      </c>
      <c r="R114" s="110">
        <f t="shared" si="177"/>
        <v>200427</v>
      </c>
      <c r="S114" s="110">
        <f t="shared" si="177"/>
        <v>179609</v>
      </c>
      <c r="T114" s="110">
        <f t="shared" si="177"/>
        <v>181061</v>
      </c>
      <c r="U114" s="110">
        <f t="shared" si="177"/>
        <v>164182</v>
      </c>
      <c r="V114" s="110">
        <f t="shared" si="177"/>
        <v>144288</v>
      </c>
      <c r="W114" s="110">
        <f t="shared" ref="W114" si="178">SUM(W115:W120)</f>
        <v>204728</v>
      </c>
      <c r="DA114" s="176" t="s">
        <v>528</v>
      </c>
    </row>
    <row r="115" spans="1:105" ht="11.45" customHeight="1" x14ac:dyDescent="0.25">
      <c r="A115" s="111" t="s">
        <v>110</v>
      </c>
      <c r="B115" s="84">
        <v>53880</v>
      </c>
      <c r="C115" s="84">
        <v>62874</v>
      </c>
      <c r="D115" s="84">
        <v>39300</v>
      </c>
      <c r="E115" s="84">
        <v>51630</v>
      </c>
      <c r="F115" s="84">
        <v>0</v>
      </c>
      <c r="G115" s="84">
        <v>42677</v>
      </c>
      <c r="H115" s="84">
        <v>75362</v>
      </c>
      <c r="I115" s="84">
        <v>126113</v>
      </c>
      <c r="J115" s="84">
        <v>149974</v>
      </c>
      <c r="K115" s="84">
        <v>95947</v>
      </c>
      <c r="L115" s="84">
        <v>132441</v>
      </c>
      <c r="M115" s="84">
        <v>94187</v>
      </c>
      <c r="N115" s="84">
        <v>130956</v>
      </c>
      <c r="O115" s="84">
        <v>121250</v>
      </c>
      <c r="P115" s="84">
        <v>122616</v>
      </c>
      <c r="Q115" s="84">
        <v>142722</v>
      </c>
      <c r="R115" s="84">
        <v>129782</v>
      </c>
      <c r="S115" s="84">
        <v>131361</v>
      </c>
      <c r="T115" s="84">
        <v>134580</v>
      </c>
      <c r="U115" s="84">
        <v>121173</v>
      </c>
      <c r="V115" s="84">
        <v>97308</v>
      </c>
      <c r="W115" s="84">
        <v>147245</v>
      </c>
      <c r="DA115" s="171" t="s">
        <v>529</v>
      </c>
    </row>
    <row r="116" spans="1:105" ht="11.45" customHeight="1" x14ac:dyDescent="0.25">
      <c r="A116" s="111" t="s">
        <v>111</v>
      </c>
      <c r="B116" s="84">
        <v>28067</v>
      </c>
      <c r="C116" s="84">
        <v>26621</v>
      </c>
      <c r="D116" s="84">
        <v>42966</v>
      </c>
      <c r="E116" s="84">
        <v>27971</v>
      </c>
      <c r="F116" s="84">
        <v>16043</v>
      </c>
      <c r="G116" s="84">
        <v>15909</v>
      </c>
      <c r="H116" s="84">
        <v>27932</v>
      </c>
      <c r="I116" s="84">
        <v>43636</v>
      </c>
      <c r="J116" s="84">
        <v>43894</v>
      </c>
      <c r="K116" s="84">
        <v>35070</v>
      </c>
      <c r="L116" s="84">
        <v>34844</v>
      </c>
      <c r="M116" s="84">
        <v>34846</v>
      </c>
      <c r="N116" s="84">
        <v>37441</v>
      </c>
      <c r="O116" s="84">
        <v>30339</v>
      </c>
      <c r="P116" s="84">
        <v>46814</v>
      </c>
      <c r="Q116" s="84">
        <v>43143</v>
      </c>
      <c r="R116" s="84">
        <v>69834</v>
      </c>
      <c r="S116" s="84">
        <v>46954</v>
      </c>
      <c r="T116" s="84">
        <v>44963</v>
      </c>
      <c r="U116" s="84">
        <v>42103</v>
      </c>
      <c r="V116" s="84">
        <v>44194</v>
      </c>
      <c r="W116" s="84">
        <v>53999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1250</v>
      </c>
      <c r="H117" s="84">
        <v>4</v>
      </c>
      <c r="I117" s="84">
        <v>110</v>
      </c>
      <c r="J117" s="84">
        <v>63</v>
      </c>
      <c r="K117" s="84">
        <v>23</v>
      </c>
      <c r="L117" s="84">
        <v>1632</v>
      </c>
      <c r="M117" s="84">
        <v>45931</v>
      </c>
      <c r="N117" s="84">
        <v>5881</v>
      </c>
      <c r="O117" s="84">
        <v>5294</v>
      </c>
      <c r="P117" s="84">
        <v>545</v>
      </c>
      <c r="Q117" s="84">
        <v>4267</v>
      </c>
      <c r="R117" s="84">
        <v>441</v>
      </c>
      <c r="S117" s="84">
        <v>646</v>
      </c>
      <c r="T117" s="84">
        <v>650</v>
      </c>
      <c r="U117" s="84">
        <v>374</v>
      </c>
      <c r="V117" s="84">
        <v>561</v>
      </c>
      <c r="W117" s="84">
        <v>984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2400</v>
      </c>
      <c r="D118" s="84">
        <v>5</v>
      </c>
      <c r="E118" s="84">
        <v>4639</v>
      </c>
      <c r="F118" s="84">
        <v>871</v>
      </c>
      <c r="G118" s="84">
        <v>89</v>
      </c>
      <c r="H118" s="84">
        <v>90</v>
      </c>
      <c r="I118" s="84">
        <v>8671</v>
      </c>
      <c r="J118" s="84">
        <v>0</v>
      </c>
      <c r="K118" s="84">
        <v>418</v>
      </c>
      <c r="L118" s="84">
        <v>2361</v>
      </c>
      <c r="M118" s="84">
        <v>36</v>
      </c>
      <c r="N118" s="84">
        <v>64</v>
      </c>
      <c r="O118" s="84">
        <v>27</v>
      </c>
      <c r="P118" s="84">
        <v>1722</v>
      </c>
      <c r="Q118" s="84">
        <v>144</v>
      </c>
      <c r="R118" s="84">
        <v>188</v>
      </c>
      <c r="S118" s="84">
        <v>119</v>
      </c>
      <c r="T118" s="84">
        <v>189</v>
      </c>
      <c r="U118" s="84">
        <v>152</v>
      </c>
      <c r="V118" s="84">
        <v>407</v>
      </c>
      <c r="W118" s="84">
        <v>343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5</v>
      </c>
      <c r="O119" s="84">
        <v>0</v>
      </c>
      <c r="P119" s="84">
        <v>15</v>
      </c>
      <c r="Q119" s="84">
        <v>17</v>
      </c>
      <c r="R119" s="84">
        <v>119</v>
      </c>
      <c r="S119" s="84">
        <v>315</v>
      </c>
      <c r="T119" s="84">
        <v>281</v>
      </c>
      <c r="U119" s="84">
        <v>209</v>
      </c>
      <c r="V119" s="84">
        <v>899</v>
      </c>
      <c r="W119" s="84">
        <v>1016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19</v>
      </c>
      <c r="N120" s="84">
        <v>1</v>
      </c>
      <c r="O120" s="84">
        <v>5</v>
      </c>
      <c r="P120" s="84">
        <v>88</v>
      </c>
      <c r="Q120" s="84">
        <v>52</v>
      </c>
      <c r="R120" s="84">
        <v>63</v>
      </c>
      <c r="S120" s="84">
        <v>214</v>
      </c>
      <c r="T120" s="84">
        <v>398</v>
      </c>
      <c r="U120" s="84">
        <v>171</v>
      </c>
      <c r="V120" s="84">
        <v>919</v>
      </c>
      <c r="W120" s="84">
        <v>1141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272</v>
      </c>
      <c r="C121" s="110">
        <f t="shared" si="179"/>
        <v>326</v>
      </c>
      <c r="D121" s="110">
        <f t="shared" si="179"/>
        <v>351</v>
      </c>
      <c r="E121" s="110">
        <f t="shared" si="179"/>
        <v>332</v>
      </c>
      <c r="F121" s="110">
        <f t="shared" si="179"/>
        <v>332</v>
      </c>
      <c r="G121" s="110">
        <f t="shared" si="179"/>
        <v>358</v>
      </c>
      <c r="H121" s="110">
        <f t="shared" si="179"/>
        <v>520</v>
      </c>
      <c r="I121" s="110">
        <f t="shared" si="179"/>
        <v>1689</v>
      </c>
      <c r="J121" s="110">
        <f t="shared" si="179"/>
        <v>866</v>
      </c>
      <c r="K121" s="110">
        <f t="shared" si="179"/>
        <v>1010</v>
      </c>
      <c r="L121" s="110">
        <f t="shared" ref="L121" si="180">SUM(L122:L126)</f>
        <v>818</v>
      </c>
      <c r="M121" s="110">
        <f t="shared" ref="M121:V121" si="181">SUM(M122:M126)</f>
        <v>607</v>
      </c>
      <c r="N121" s="110">
        <f t="shared" si="181"/>
        <v>570</v>
      </c>
      <c r="O121" s="110">
        <f t="shared" si="181"/>
        <v>294</v>
      </c>
      <c r="P121" s="110">
        <f t="shared" si="181"/>
        <v>453</v>
      </c>
      <c r="Q121" s="110">
        <f t="shared" si="181"/>
        <v>375</v>
      </c>
      <c r="R121" s="110">
        <f t="shared" si="181"/>
        <v>368</v>
      </c>
      <c r="S121" s="110">
        <f t="shared" si="181"/>
        <v>401</v>
      </c>
      <c r="T121" s="110">
        <f t="shared" si="181"/>
        <v>356</v>
      </c>
      <c r="U121" s="110">
        <f t="shared" si="181"/>
        <v>308</v>
      </c>
      <c r="V121" s="110">
        <f t="shared" si="181"/>
        <v>297</v>
      </c>
      <c r="W121" s="110">
        <f t="shared" ref="W121" si="182">SUM(W122:W126)</f>
        <v>533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272</v>
      </c>
      <c r="C123" s="102">
        <v>326</v>
      </c>
      <c r="D123" s="102">
        <v>351</v>
      </c>
      <c r="E123" s="102">
        <v>332</v>
      </c>
      <c r="F123" s="102">
        <v>332</v>
      </c>
      <c r="G123" s="102">
        <v>358</v>
      </c>
      <c r="H123" s="102">
        <v>520</v>
      </c>
      <c r="I123" s="102">
        <v>1689</v>
      </c>
      <c r="J123" s="102">
        <v>866</v>
      </c>
      <c r="K123" s="102">
        <v>1010</v>
      </c>
      <c r="L123" s="102">
        <v>702</v>
      </c>
      <c r="M123" s="102">
        <v>455</v>
      </c>
      <c r="N123" s="102">
        <v>569</v>
      </c>
      <c r="O123" s="102">
        <v>294</v>
      </c>
      <c r="P123" s="102">
        <v>357</v>
      </c>
      <c r="Q123" s="102">
        <v>285</v>
      </c>
      <c r="R123" s="102">
        <v>28</v>
      </c>
      <c r="S123" s="102">
        <v>329</v>
      </c>
      <c r="T123" s="102">
        <v>297</v>
      </c>
      <c r="U123" s="102">
        <v>266</v>
      </c>
      <c r="V123" s="102">
        <v>275</v>
      </c>
      <c r="W123" s="102">
        <v>531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258</v>
      </c>
      <c r="S125" s="102">
        <v>0</v>
      </c>
      <c r="T125" s="102">
        <v>0</v>
      </c>
      <c r="U125" s="102">
        <v>0</v>
      </c>
      <c r="V125" s="102">
        <v>0</v>
      </c>
      <c r="W125" s="102">
        <v>2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116</v>
      </c>
      <c r="M126" s="102">
        <v>152</v>
      </c>
      <c r="N126" s="102">
        <v>1</v>
      </c>
      <c r="O126" s="102">
        <v>0</v>
      </c>
      <c r="P126" s="102">
        <v>96</v>
      </c>
      <c r="Q126" s="102">
        <v>90</v>
      </c>
      <c r="R126" s="102">
        <v>82</v>
      </c>
      <c r="S126" s="102">
        <v>72</v>
      </c>
      <c r="T126" s="102">
        <v>59</v>
      </c>
      <c r="U126" s="102">
        <v>42</v>
      </c>
      <c r="V126" s="102">
        <v>22</v>
      </c>
      <c r="W126" s="102">
        <v>0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292</v>
      </c>
      <c r="C127" s="28">
        <f t="shared" si="183"/>
        <v>9041</v>
      </c>
      <c r="D127" s="28">
        <f t="shared" si="183"/>
        <v>14697</v>
      </c>
      <c r="E127" s="28">
        <f t="shared" si="183"/>
        <v>17827</v>
      </c>
      <c r="F127" s="28">
        <f t="shared" si="183"/>
        <v>18195</v>
      </c>
      <c r="G127" s="28">
        <f t="shared" si="183"/>
        <v>27083</v>
      </c>
      <c r="H127" s="28">
        <f t="shared" si="183"/>
        <v>24334</v>
      </c>
      <c r="I127" s="28">
        <f t="shared" si="183"/>
        <v>34243</v>
      </c>
      <c r="J127" s="28">
        <f t="shared" si="183"/>
        <v>39408</v>
      </c>
      <c r="K127" s="28">
        <f t="shared" si="183"/>
        <v>31056</v>
      </c>
      <c r="L127" s="28">
        <f t="shared" ref="L127" si="184">L128+L134</f>
        <v>28030</v>
      </c>
      <c r="M127" s="28">
        <f t="shared" ref="M127:V127" si="185">M128+M134</f>
        <v>14867</v>
      </c>
      <c r="N127" s="28">
        <f t="shared" si="185"/>
        <v>14745</v>
      </c>
      <c r="O127" s="28">
        <f t="shared" si="185"/>
        <v>29594</v>
      </c>
      <c r="P127" s="28">
        <f t="shared" si="185"/>
        <v>32228</v>
      </c>
      <c r="Q127" s="28">
        <f t="shared" si="185"/>
        <v>25200</v>
      </c>
      <c r="R127" s="28">
        <f t="shared" si="185"/>
        <v>33325</v>
      </c>
      <c r="S127" s="28">
        <f t="shared" si="185"/>
        <v>21479</v>
      </c>
      <c r="T127" s="28">
        <f t="shared" si="185"/>
        <v>10795</v>
      </c>
      <c r="U127" s="28">
        <f t="shared" si="185"/>
        <v>28090</v>
      </c>
      <c r="V127" s="28">
        <f t="shared" si="185"/>
        <v>13505</v>
      </c>
      <c r="W127" s="28">
        <f t="shared" ref="W127" si="186">W128+W134</f>
        <v>11470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5355</v>
      </c>
      <c r="D128" s="137">
        <f t="shared" si="187"/>
        <v>6239</v>
      </c>
      <c r="E128" s="137">
        <f t="shared" si="187"/>
        <v>8097</v>
      </c>
      <c r="F128" s="137">
        <f t="shared" si="187"/>
        <v>16975</v>
      </c>
      <c r="G128" s="137">
        <f t="shared" si="187"/>
        <v>18435</v>
      </c>
      <c r="H128" s="137">
        <f t="shared" si="187"/>
        <v>11451</v>
      </c>
      <c r="I128" s="137">
        <f t="shared" si="187"/>
        <v>25809</v>
      </c>
      <c r="J128" s="137">
        <f t="shared" si="187"/>
        <v>19065</v>
      </c>
      <c r="K128" s="137">
        <f t="shared" si="187"/>
        <v>24237</v>
      </c>
      <c r="L128" s="137">
        <f t="shared" ref="L128" si="188">SUM(L129:L133)</f>
        <v>22244</v>
      </c>
      <c r="M128" s="137">
        <f t="shared" ref="M128:V128" si="189">SUM(M129:M133)</f>
        <v>8647</v>
      </c>
      <c r="N128" s="137">
        <f t="shared" si="189"/>
        <v>11849</v>
      </c>
      <c r="O128" s="137">
        <f t="shared" si="189"/>
        <v>8260</v>
      </c>
      <c r="P128" s="137">
        <f t="shared" si="189"/>
        <v>8013</v>
      </c>
      <c r="Q128" s="137">
        <f t="shared" si="189"/>
        <v>22705</v>
      </c>
      <c r="R128" s="137">
        <f t="shared" si="189"/>
        <v>17440</v>
      </c>
      <c r="S128" s="137">
        <f t="shared" si="189"/>
        <v>7375</v>
      </c>
      <c r="T128" s="137">
        <f t="shared" si="189"/>
        <v>8804</v>
      </c>
      <c r="U128" s="137">
        <f t="shared" si="189"/>
        <v>8170</v>
      </c>
      <c r="V128" s="137">
        <f t="shared" si="189"/>
        <v>6136</v>
      </c>
      <c r="W128" s="137">
        <f t="shared" ref="W128" si="190">SUM(W129:W133)</f>
        <v>9130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1955</v>
      </c>
      <c r="D129" s="84">
        <v>2265</v>
      </c>
      <c r="E129" s="84">
        <v>2605</v>
      </c>
      <c r="F129" s="84">
        <v>13057</v>
      </c>
      <c r="G129" s="84">
        <v>3850</v>
      </c>
      <c r="H129" s="84">
        <v>5618</v>
      </c>
      <c r="I129" s="84">
        <v>7547</v>
      </c>
      <c r="J129" s="84">
        <v>5893</v>
      </c>
      <c r="K129" s="84">
        <v>4772</v>
      </c>
      <c r="L129" s="84">
        <v>0</v>
      </c>
      <c r="M129" s="84">
        <v>1011</v>
      </c>
      <c r="N129" s="84">
        <v>732</v>
      </c>
      <c r="O129" s="84">
        <v>3563</v>
      </c>
      <c r="P129" s="84">
        <v>182</v>
      </c>
      <c r="Q129" s="84">
        <v>9673</v>
      </c>
      <c r="R129" s="84">
        <v>10144</v>
      </c>
      <c r="S129" s="84">
        <v>285</v>
      </c>
      <c r="T129" s="84">
        <v>951</v>
      </c>
      <c r="U129" s="84">
        <v>350</v>
      </c>
      <c r="V129" s="84">
        <v>160</v>
      </c>
      <c r="W129" s="84">
        <v>1697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3400</v>
      </c>
      <c r="D130" s="84">
        <v>3974</v>
      </c>
      <c r="E130" s="84">
        <v>5492</v>
      </c>
      <c r="F130" s="84">
        <v>3918</v>
      </c>
      <c r="G130" s="84">
        <v>14585</v>
      </c>
      <c r="H130" s="84">
        <v>5833</v>
      </c>
      <c r="I130" s="84">
        <v>18262</v>
      </c>
      <c r="J130" s="84">
        <v>13172</v>
      </c>
      <c r="K130" s="84">
        <v>19465</v>
      </c>
      <c r="L130" s="84">
        <v>22244</v>
      </c>
      <c r="M130" s="84">
        <v>7636</v>
      </c>
      <c r="N130" s="84">
        <v>11105</v>
      </c>
      <c r="O130" s="84">
        <v>4684</v>
      </c>
      <c r="P130" s="84">
        <v>5231</v>
      </c>
      <c r="Q130" s="84">
        <v>12993</v>
      </c>
      <c r="R130" s="84">
        <v>6826</v>
      </c>
      <c r="S130" s="84">
        <v>6915</v>
      </c>
      <c r="T130" s="84">
        <v>7522</v>
      </c>
      <c r="U130" s="84">
        <v>7534</v>
      </c>
      <c r="V130" s="84">
        <v>5618</v>
      </c>
      <c r="W130" s="84">
        <v>7349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7</v>
      </c>
      <c r="O131" s="84">
        <v>5</v>
      </c>
      <c r="P131" s="84">
        <v>2595</v>
      </c>
      <c r="Q131" s="84">
        <v>31</v>
      </c>
      <c r="R131" s="84">
        <v>272</v>
      </c>
      <c r="S131" s="84">
        <v>139</v>
      </c>
      <c r="T131" s="84">
        <v>147</v>
      </c>
      <c r="U131" s="84">
        <v>196</v>
      </c>
      <c r="V131" s="84">
        <v>127</v>
      </c>
      <c r="W131" s="84">
        <v>32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5</v>
      </c>
      <c r="O132" s="84">
        <v>6</v>
      </c>
      <c r="P132" s="84">
        <v>1</v>
      </c>
      <c r="Q132" s="84">
        <v>3</v>
      </c>
      <c r="R132" s="84">
        <v>186</v>
      </c>
      <c r="S132" s="84">
        <v>9</v>
      </c>
      <c r="T132" s="84">
        <v>131</v>
      </c>
      <c r="U132" s="84">
        <v>67</v>
      </c>
      <c r="V132" s="84">
        <v>202</v>
      </c>
      <c r="W132" s="84">
        <v>3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0</v>
      </c>
      <c r="O133" s="84">
        <v>2</v>
      </c>
      <c r="P133" s="84">
        <v>4</v>
      </c>
      <c r="Q133" s="84">
        <v>5</v>
      </c>
      <c r="R133" s="84">
        <v>12</v>
      </c>
      <c r="S133" s="84">
        <v>27</v>
      </c>
      <c r="T133" s="84">
        <v>53</v>
      </c>
      <c r="U133" s="84">
        <v>23</v>
      </c>
      <c r="V133" s="84">
        <v>29</v>
      </c>
      <c r="W133" s="84">
        <v>49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292</v>
      </c>
      <c r="C134" s="110">
        <f t="shared" si="191"/>
        <v>3686</v>
      </c>
      <c r="D134" s="110">
        <f t="shared" si="191"/>
        <v>8458</v>
      </c>
      <c r="E134" s="110">
        <f t="shared" si="191"/>
        <v>9730</v>
      </c>
      <c r="F134" s="110">
        <f t="shared" si="191"/>
        <v>1220</v>
      </c>
      <c r="G134" s="110">
        <f t="shared" si="191"/>
        <v>8648</v>
      </c>
      <c r="H134" s="110">
        <f t="shared" si="191"/>
        <v>12883</v>
      </c>
      <c r="I134" s="110">
        <f t="shared" si="191"/>
        <v>8434</v>
      </c>
      <c r="J134" s="110">
        <f t="shared" si="191"/>
        <v>20343</v>
      </c>
      <c r="K134" s="110">
        <f t="shared" si="191"/>
        <v>6819</v>
      </c>
      <c r="L134" s="110">
        <f t="shared" ref="L134" si="192">SUM(L135:L136)</f>
        <v>5786</v>
      </c>
      <c r="M134" s="110">
        <f t="shared" ref="M134:V134" si="193">SUM(M135:M136)</f>
        <v>6220</v>
      </c>
      <c r="N134" s="110">
        <f t="shared" si="193"/>
        <v>2896</v>
      </c>
      <c r="O134" s="110">
        <f t="shared" si="193"/>
        <v>21334</v>
      </c>
      <c r="P134" s="110">
        <f t="shared" si="193"/>
        <v>24215</v>
      </c>
      <c r="Q134" s="110">
        <f t="shared" si="193"/>
        <v>2495</v>
      </c>
      <c r="R134" s="110">
        <f t="shared" si="193"/>
        <v>15885</v>
      </c>
      <c r="S134" s="110">
        <f t="shared" si="193"/>
        <v>14104</v>
      </c>
      <c r="T134" s="110">
        <f t="shared" si="193"/>
        <v>1991</v>
      </c>
      <c r="U134" s="110">
        <f t="shared" si="193"/>
        <v>19920</v>
      </c>
      <c r="V134" s="110">
        <f t="shared" si="193"/>
        <v>7369</v>
      </c>
      <c r="W134" s="110">
        <f t="shared" ref="W134" si="194">SUM(W135:W136)</f>
        <v>2340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3270</v>
      </c>
      <c r="D135" s="102">
        <v>8050</v>
      </c>
      <c r="E135" s="102">
        <v>9374</v>
      </c>
      <c r="F135" s="102">
        <v>288</v>
      </c>
      <c r="G135" s="102">
        <v>8152</v>
      </c>
      <c r="H135" s="102">
        <v>12281</v>
      </c>
      <c r="I135" s="102">
        <v>6905</v>
      </c>
      <c r="J135" s="102">
        <v>19984</v>
      </c>
      <c r="K135" s="102">
        <v>6508</v>
      </c>
      <c r="L135" s="102">
        <v>5067</v>
      </c>
      <c r="M135" s="102">
        <v>5336</v>
      </c>
      <c r="N135" s="102">
        <v>2309</v>
      </c>
      <c r="O135" s="102">
        <v>20307</v>
      </c>
      <c r="P135" s="102">
        <v>23527</v>
      </c>
      <c r="Q135" s="102">
        <v>1216</v>
      </c>
      <c r="R135" s="102">
        <v>14677</v>
      </c>
      <c r="S135" s="102">
        <v>12815</v>
      </c>
      <c r="T135" s="102">
        <v>1322</v>
      </c>
      <c r="U135" s="102">
        <v>18777</v>
      </c>
      <c r="V135" s="102">
        <v>6825</v>
      </c>
      <c r="W135" s="102">
        <v>1446</v>
      </c>
      <c r="DA135" s="175" t="s">
        <v>549</v>
      </c>
    </row>
    <row r="136" spans="1:105" ht="11.45" customHeight="1" x14ac:dyDescent="0.25">
      <c r="A136" s="138" t="s">
        <v>116</v>
      </c>
      <c r="B136" s="86">
        <v>292</v>
      </c>
      <c r="C136" s="86">
        <v>416</v>
      </c>
      <c r="D136" s="86">
        <v>408</v>
      </c>
      <c r="E136" s="86">
        <v>356</v>
      </c>
      <c r="F136" s="86">
        <v>932</v>
      </c>
      <c r="G136" s="86">
        <v>496</v>
      </c>
      <c r="H136" s="86">
        <v>602</v>
      </c>
      <c r="I136" s="86">
        <v>1529</v>
      </c>
      <c r="J136" s="86">
        <v>359</v>
      </c>
      <c r="K136" s="86">
        <v>311</v>
      </c>
      <c r="L136" s="86">
        <v>719</v>
      </c>
      <c r="M136" s="86">
        <v>884</v>
      </c>
      <c r="N136" s="86">
        <v>587</v>
      </c>
      <c r="O136" s="86">
        <v>1027</v>
      </c>
      <c r="P136" s="86">
        <v>688</v>
      </c>
      <c r="Q136" s="86">
        <v>1279</v>
      </c>
      <c r="R136" s="86">
        <v>1208</v>
      </c>
      <c r="S136" s="86">
        <v>1289</v>
      </c>
      <c r="T136" s="86">
        <v>669</v>
      </c>
      <c r="U136" s="86">
        <v>1143</v>
      </c>
      <c r="V136" s="86">
        <v>544</v>
      </c>
      <c r="W136" s="86">
        <v>894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2.5308985597148932</v>
      </c>
      <c r="C141" s="32">
        <f t="shared" si="195"/>
        <v>2.4845663753388907</v>
      </c>
      <c r="D141" s="32">
        <f t="shared" si="195"/>
        <v>2.4616768854077717</v>
      </c>
      <c r="E141" s="32">
        <f t="shared" si="195"/>
        <v>2.4169513452859985</v>
      </c>
      <c r="F141" s="32">
        <f t="shared" si="195"/>
        <v>2.4381978750461437</v>
      </c>
      <c r="G141" s="32">
        <f t="shared" si="195"/>
        <v>2.4137316144945098</v>
      </c>
      <c r="H141" s="32">
        <f t="shared" si="195"/>
        <v>2.4239455163999337</v>
      </c>
      <c r="I141" s="32">
        <f t="shared" si="195"/>
        <v>2.3939535883743828</v>
      </c>
      <c r="J141" s="32">
        <f t="shared" si="195"/>
        <v>2.2873712430179669</v>
      </c>
      <c r="K141" s="32">
        <f t="shared" si="195"/>
        <v>2.1569026481512275</v>
      </c>
      <c r="L141" s="32">
        <f t="shared" ref="L141" si="196">IF(L4=0,0,L4/L31)</f>
        <v>2.1138023473810943</v>
      </c>
      <c r="M141" s="32">
        <f t="shared" ref="M141:V141" si="197">IF(M4=0,0,M4/M31)</f>
        <v>2.1419956595421041</v>
      </c>
      <c r="N141" s="32">
        <f t="shared" si="197"/>
        <v>2.1508852362923552</v>
      </c>
      <c r="O141" s="32">
        <f t="shared" si="197"/>
        <v>2.1228226368631318</v>
      </c>
      <c r="P141" s="32">
        <f t="shared" si="197"/>
        <v>2.1053628742069015</v>
      </c>
      <c r="Q141" s="32">
        <f t="shared" si="197"/>
        <v>2.1034279710501256</v>
      </c>
      <c r="R141" s="32">
        <f t="shared" si="197"/>
        <v>2.1499618003453698</v>
      </c>
      <c r="S141" s="32">
        <f t="shared" si="197"/>
        <v>2.1638047442952311</v>
      </c>
      <c r="T141" s="32">
        <f t="shared" si="197"/>
        <v>2.1831136531644026</v>
      </c>
      <c r="U141" s="32">
        <f t="shared" si="197"/>
        <v>2.1860835855927436</v>
      </c>
      <c r="V141" s="32">
        <f t="shared" si="197"/>
        <v>1.9422090876222169</v>
      </c>
      <c r="W141" s="32">
        <f t="shared" ref="W141" si="198">IF(W4=0,0,W4/W31)</f>
        <v>1.9851878759699115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1.1549472685768511</v>
      </c>
      <c r="C142" s="141">
        <v>1.1549251164250134</v>
      </c>
      <c r="D142" s="141">
        <v>1.1547244330057378</v>
      </c>
      <c r="E142" s="141">
        <v>1.1552093820866824</v>
      </c>
      <c r="F142" s="141">
        <v>1.1553640856511076</v>
      </c>
      <c r="G142" s="141">
        <v>1.1543178727366705</v>
      </c>
      <c r="H142" s="141">
        <v>1.1546398637822315</v>
      </c>
      <c r="I142" s="141">
        <v>1.1564931393319682</v>
      </c>
      <c r="J142" s="141">
        <v>1.1571017737935942</v>
      </c>
      <c r="K142" s="141">
        <v>1.1576570562583652</v>
      </c>
      <c r="L142" s="141">
        <v>1.1556682113354204</v>
      </c>
      <c r="M142" s="141">
        <v>1.1546558434345866</v>
      </c>
      <c r="N142" s="141">
        <v>1.1475295413899496</v>
      </c>
      <c r="O142" s="141">
        <v>1.1469392088128179</v>
      </c>
      <c r="P142" s="141">
        <v>1.1494295322312345</v>
      </c>
      <c r="Q142" s="141">
        <v>1.1514161199072459</v>
      </c>
      <c r="R142" s="141">
        <v>1.1530382419607839</v>
      </c>
      <c r="S142" s="141">
        <v>1.151656129441023</v>
      </c>
      <c r="T142" s="141">
        <v>1.1504825112886787</v>
      </c>
      <c r="U142" s="141">
        <v>1.1515844716861678</v>
      </c>
      <c r="V142" s="141">
        <v>1.1502964371953328</v>
      </c>
      <c r="W142" s="141">
        <v>1.1504211745230348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1.8683271339964853</v>
      </c>
      <c r="C143" s="130">
        <f t="shared" si="199"/>
        <v>1.8391773678276095</v>
      </c>
      <c r="D143" s="130">
        <f t="shared" si="199"/>
        <v>1.8381881346202189</v>
      </c>
      <c r="E143" s="130">
        <f t="shared" si="199"/>
        <v>1.836098836667452</v>
      </c>
      <c r="F143" s="130">
        <f t="shared" si="199"/>
        <v>1.8478570685160001</v>
      </c>
      <c r="G143" s="130">
        <f t="shared" si="199"/>
        <v>1.8531883859797815</v>
      </c>
      <c r="H143" s="130">
        <f t="shared" si="199"/>
        <v>1.8629328507574399</v>
      </c>
      <c r="I143" s="130">
        <f t="shared" si="199"/>
        <v>1.8435339793272352</v>
      </c>
      <c r="J143" s="130">
        <f t="shared" si="199"/>
        <v>1.8296430341586141</v>
      </c>
      <c r="K143" s="130">
        <f t="shared" si="199"/>
        <v>1.8353461124848447</v>
      </c>
      <c r="L143" s="130">
        <f t="shared" ref="L143" si="200">IF(L6=0,0,L6/L33)</f>
        <v>1.8075642048055873</v>
      </c>
      <c r="M143" s="130">
        <f t="shared" ref="M143:V143" si="201">IF(M6=0,0,M6/M33)</f>
        <v>1.819535859228032</v>
      </c>
      <c r="N143" s="130">
        <f t="shared" si="201"/>
        <v>1.830947840899386</v>
      </c>
      <c r="O143" s="130">
        <f t="shared" si="201"/>
        <v>1.8176106707192801</v>
      </c>
      <c r="P143" s="130">
        <f t="shared" si="201"/>
        <v>1.798995599183314</v>
      </c>
      <c r="Q143" s="130">
        <f t="shared" si="201"/>
        <v>1.7998297737150823</v>
      </c>
      <c r="R143" s="130">
        <f t="shared" si="201"/>
        <v>1.8145960802300225</v>
      </c>
      <c r="S143" s="130">
        <f t="shared" si="201"/>
        <v>1.8288818977003354</v>
      </c>
      <c r="T143" s="130">
        <f t="shared" si="201"/>
        <v>1.8329170277247158</v>
      </c>
      <c r="U143" s="130">
        <f t="shared" si="201"/>
        <v>1.8407299803657831</v>
      </c>
      <c r="V143" s="130">
        <f t="shared" si="201"/>
        <v>1.7251462296056221</v>
      </c>
      <c r="W143" s="130">
        <f t="shared" ref="W143" si="202">IF(W6=0,0,W6/W33)</f>
        <v>1.8098881635831228</v>
      </c>
      <c r="DA143" s="176" t="s">
        <v>553</v>
      </c>
    </row>
    <row r="144" spans="1:105" ht="11.45" customHeight="1" x14ac:dyDescent="0.25">
      <c r="A144" s="111" t="s">
        <v>110</v>
      </c>
      <c r="B144" s="96">
        <v>1.854041617762815</v>
      </c>
      <c r="C144" s="96">
        <v>1.8245530570444177</v>
      </c>
      <c r="D144" s="96">
        <v>1.8221069154981226</v>
      </c>
      <c r="E144" s="96">
        <v>1.8193491306738017</v>
      </c>
      <c r="F144" s="96">
        <v>1.8305099454592997</v>
      </c>
      <c r="G144" s="96">
        <v>1.8356321150568378</v>
      </c>
      <c r="H144" s="96">
        <v>1.8447692053404086</v>
      </c>
      <c r="I144" s="96">
        <v>1.8245227809745872</v>
      </c>
      <c r="J144" s="96">
        <v>1.8098767170040959</v>
      </c>
      <c r="K144" s="96">
        <v>1.8149578302254212</v>
      </c>
      <c r="L144" s="96">
        <v>1.7876198448453064</v>
      </c>
      <c r="M144" s="96">
        <v>1.8003751595005424</v>
      </c>
      <c r="N144" s="96">
        <v>1.8118172370825307</v>
      </c>
      <c r="O144" s="96">
        <v>1.7991616452698544</v>
      </c>
      <c r="P144" s="96">
        <v>1.7807717596211776</v>
      </c>
      <c r="Q144" s="96">
        <v>1.7819974720689902</v>
      </c>
      <c r="R144" s="96">
        <v>1.7967285744104589</v>
      </c>
      <c r="S144" s="96">
        <v>1.8104928638028088</v>
      </c>
      <c r="T144" s="96">
        <v>1.8142719100856959</v>
      </c>
      <c r="U144" s="96">
        <v>1.8216727488536333</v>
      </c>
      <c r="V144" s="96">
        <v>1.7069770545524334</v>
      </c>
      <c r="W144" s="96">
        <v>1.7905764825344095</v>
      </c>
      <c r="DA144" s="171" t="s">
        <v>554</v>
      </c>
    </row>
    <row r="145" spans="1:105" ht="11.45" customHeight="1" x14ac:dyDescent="0.25">
      <c r="A145" s="111" t="s">
        <v>111</v>
      </c>
      <c r="B145" s="96">
        <v>1.9181418151248206</v>
      </c>
      <c r="C145" s="96">
        <v>1.8876337397720904</v>
      </c>
      <c r="D145" s="96">
        <v>1.8851030272245881</v>
      </c>
      <c r="E145" s="96">
        <v>1.8822498968859993</v>
      </c>
      <c r="F145" s="96">
        <v>1.8937965770283578</v>
      </c>
      <c r="G145" s="96">
        <v>1.8990958365460879</v>
      </c>
      <c r="H145" s="96">
        <v>1.9085488255046856</v>
      </c>
      <c r="I145" s="96">
        <v>1.8876024169608978</v>
      </c>
      <c r="J145" s="96">
        <v>1.8724499913305104</v>
      </c>
      <c r="K145" s="96">
        <v>1.8777067750207104</v>
      </c>
      <c r="L145" s="96">
        <v>1.8494236273305611</v>
      </c>
      <c r="M145" s="96">
        <v>1.8626199343448593</v>
      </c>
      <c r="N145" s="96">
        <v>1.8744576014455574</v>
      </c>
      <c r="O145" s="96">
        <v>1.8613644650140566</v>
      </c>
      <c r="P145" s="96">
        <v>1.8423387817175532</v>
      </c>
      <c r="Q145" s="96">
        <v>1.843606870997182</v>
      </c>
      <c r="R145" s="96">
        <v>1.85884727504925</v>
      </c>
      <c r="S145" s="96">
        <v>1.8730874403109119</v>
      </c>
      <c r="T145" s="96">
        <v>1.8769971404099028</v>
      </c>
      <c r="U145" s="96">
        <v>1.8846538500391636</v>
      </c>
      <c r="V145" s="96">
        <v>1.7659927557324626</v>
      </c>
      <c r="W145" s="96">
        <v>1.8524824855186988</v>
      </c>
      <c r="DA145" s="171" t="s">
        <v>555</v>
      </c>
    </row>
    <row r="146" spans="1:105" ht="11.45" customHeight="1" x14ac:dyDescent="0.25">
      <c r="A146" s="111" t="s">
        <v>112</v>
      </c>
      <c r="B146" s="96">
        <v>0</v>
      </c>
      <c r="C146" s="96">
        <v>0</v>
      </c>
      <c r="D146" s="96">
        <v>0</v>
      </c>
      <c r="E146" s="96">
        <v>0</v>
      </c>
      <c r="F146" s="96">
        <v>0</v>
      </c>
      <c r="G146" s="96">
        <v>1.7975927344003881</v>
      </c>
      <c r="H146" s="96">
        <v>1.8070448652347166</v>
      </c>
      <c r="I146" s="96">
        <v>1.788227959947418</v>
      </c>
      <c r="J146" s="96">
        <v>1.7747537431338554</v>
      </c>
      <c r="K146" s="96">
        <v>1.7802857291102994</v>
      </c>
      <c r="L146" s="96">
        <v>1.7533372786614196</v>
      </c>
      <c r="M146" s="96">
        <v>1.7649497834511909</v>
      </c>
      <c r="N146" s="96">
        <v>1.7760194056724043</v>
      </c>
      <c r="O146" s="96">
        <v>1.7630823505977016</v>
      </c>
      <c r="P146" s="96">
        <v>1.7450257312078146</v>
      </c>
      <c r="Q146" s="96">
        <v>1.7458348805036299</v>
      </c>
      <c r="R146" s="96">
        <v>1.7601581978231218</v>
      </c>
      <c r="S146" s="96">
        <v>1.7740154407693254</v>
      </c>
      <c r="T146" s="96">
        <v>1.7779295168929743</v>
      </c>
      <c r="U146" s="96">
        <v>1.7855080809548096</v>
      </c>
      <c r="V146" s="96">
        <v>1.6733918427174537</v>
      </c>
      <c r="W146" s="96">
        <v>1.755591518675629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1.7840020467927813</v>
      </c>
      <c r="D147" s="96">
        <v>1.7830424905816122</v>
      </c>
      <c r="E147" s="96">
        <v>1.7810158715674285</v>
      </c>
      <c r="F147" s="96">
        <v>1.79242135646052</v>
      </c>
      <c r="G147" s="96">
        <v>1.7975927344003881</v>
      </c>
      <c r="H147" s="96">
        <v>1.8070448652347166</v>
      </c>
      <c r="I147" s="96">
        <v>1.788227959947418</v>
      </c>
      <c r="J147" s="96">
        <v>1.7747537431338556</v>
      </c>
      <c r="K147" s="96">
        <v>1.7802857291102994</v>
      </c>
      <c r="L147" s="96">
        <v>1.7533372786614196</v>
      </c>
      <c r="M147" s="96">
        <v>1.7649497834511909</v>
      </c>
      <c r="N147" s="96">
        <v>1.7760194056724041</v>
      </c>
      <c r="O147" s="96">
        <v>1.7630823505977016</v>
      </c>
      <c r="P147" s="96">
        <v>1.7450257312078146</v>
      </c>
      <c r="Q147" s="96">
        <v>1.7458348805036299</v>
      </c>
      <c r="R147" s="96">
        <v>1.7601581978231216</v>
      </c>
      <c r="S147" s="96">
        <v>1.7740154407693254</v>
      </c>
      <c r="T147" s="96">
        <v>1.7779295168929743</v>
      </c>
      <c r="U147" s="96">
        <v>1.7855080809548094</v>
      </c>
      <c r="V147" s="96">
        <v>1.6733918427174534</v>
      </c>
      <c r="W147" s="96">
        <v>1.7555915186756292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1.830947840899386</v>
      </c>
      <c r="O148" s="96">
        <v>1.8176106707192803</v>
      </c>
      <c r="P148" s="96">
        <v>1.798995599183314</v>
      </c>
      <c r="Q148" s="96">
        <v>1.7998297737150823</v>
      </c>
      <c r="R148" s="96">
        <v>1.8145960802300223</v>
      </c>
      <c r="S148" s="96">
        <v>1.8288818977003356</v>
      </c>
      <c r="T148" s="96">
        <v>1.8329170277247158</v>
      </c>
      <c r="U148" s="96">
        <v>1.8407299803657833</v>
      </c>
      <c r="V148" s="96">
        <v>1.7251462296056224</v>
      </c>
      <c r="W148" s="96">
        <v>1.8098881635831228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1.4578705468333062</v>
      </c>
      <c r="N149" s="96">
        <v>1.4670141929314531</v>
      </c>
      <c r="O149" s="96">
        <v>1.4563280239916836</v>
      </c>
      <c r="P149" s="96">
        <v>1.4414130310379341</v>
      </c>
      <c r="Q149" s="96">
        <v>1.4420813984540617</v>
      </c>
      <c r="R149" s="96">
        <v>1.4539126373078963</v>
      </c>
      <c r="S149" s="96">
        <v>1.4653588929130164</v>
      </c>
      <c r="T149" s="96">
        <v>1.4685919686368896</v>
      </c>
      <c r="U149" s="96">
        <v>1.4748519571287064</v>
      </c>
      <c r="V149" s="96">
        <v>1.3822425451893052</v>
      </c>
      <c r="W149" s="96">
        <v>1.4501405033421646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31.037519986675552</v>
      </c>
      <c r="C150" s="130">
        <f t="shared" si="203"/>
        <v>31.426367165193749</v>
      </c>
      <c r="D150" s="130">
        <f t="shared" si="203"/>
        <v>31.903374853397725</v>
      </c>
      <c r="E150" s="130">
        <f t="shared" si="203"/>
        <v>28.950272799429904</v>
      </c>
      <c r="F150" s="130">
        <f t="shared" si="203"/>
        <v>31.249163947740115</v>
      </c>
      <c r="G150" s="130">
        <f t="shared" si="203"/>
        <v>31.446712559852671</v>
      </c>
      <c r="H150" s="130">
        <f t="shared" si="203"/>
        <v>31.123921146953407</v>
      </c>
      <c r="I150" s="130">
        <f t="shared" si="203"/>
        <v>25.522306784660771</v>
      </c>
      <c r="J150" s="130">
        <f t="shared" si="203"/>
        <v>22.234971940298507</v>
      </c>
      <c r="K150" s="130">
        <f t="shared" si="203"/>
        <v>16.94305422446406</v>
      </c>
      <c r="L150" s="130">
        <f t="shared" ref="L150" si="204">IF(L13=0,0,L13/L40)</f>
        <v>16.807332589285711</v>
      </c>
      <c r="M150" s="130">
        <f t="shared" ref="M150:V150" si="205">IF(M13=0,0,M13/M40)</f>
        <v>18.196255514950167</v>
      </c>
      <c r="N150" s="130">
        <f t="shared" si="205"/>
        <v>18.106971433333335</v>
      </c>
      <c r="O150" s="130">
        <f t="shared" si="205"/>
        <v>18.066990378006878</v>
      </c>
      <c r="P150" s="130">
        <f t="shared" si="205"/>
        <v>18.024271784511789</v>
      </c>
      <c r="Q150" s="130">
        <f t="shared" si="205"/>
        <v>18.012182718120805</v>
      </c>
      <c r="R150" s="130">
        <f t="shared" si="205"/>
        <v>19.83483127946128</v>
      </c>
      <c r="S150" s="130">
        <f t="shared" si="205"/>
        <v>19.112903225806448</v>
      </c>
      <c r="T150" s="130">
        <f t="shared" si="205"/>
        <v>19.496875000000003</v>
      </c>
      <c r="U150" s="130">
        <f t="shared" si="205"/>
        <v>19.107473749227921</v>
      </c>
      <c r="V150" s="130">
        <f t="shared" si="205"/>
        <v>13.412186379928317</v>
      </c>
      <c r="W150" s="130">
        <f t="shared" ref="W150" si="206">IF(W13=0,0,W13/W40)</f>
        <v>11.553641908862579</v>
      </c>
      <c r="DA150" s="176" t="s">
        <v>560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0</v>
      </c>
      <c r="K151" s="97">
        <v>0</v>
      </c>
      <c r="L151" s="97">
        <v>0</v>
      </c>
      <c r="M151" s="97">
        <v>0</v>
      </c>
      <c r="N151" s="97">
        <v>0</v>
      </c>
      <c r="O151" s="97">
        <v>0</v>
      </c>
      <c r="P151" s="97">
        <v>0</v>
      </c>
      <c r="Q151" s="97">
        <v>0</v>
      </c>
      <c r="R151" s="97">
        <v>0</v>
      </c>
      <c r="S151" s="97">
        <v>0</v>
      </c>
      <c r="T151" s="97">
        <v>0</v>
      </c>
      <c r="U151" s="97">
        <v>0</v>
      </c>
      <c r="V151" s="97">
        <v>0</v>
      </c>
      <c r="W151" s="97">
        <v>0</v>
      </c>
      <c r="DA151" s="175" t="s">
        <v>561</v>
      </c>
    </row>
    <row r="152" spans="1:105" ht="11.45" customHeight="1" x14ac:dyDescent="0.25">
      <c r="A152" s="111" t="s">
        <v>111</v>
      </c>
      <c r="B152" s="97">
        <v>31.037519986675552</v>
      </c>
      <c r="C152" s="97">
        <v>31.426367165193749</v>
      </c>
      <c r="D152" s="97">
        <v>31.903374853397725</v>
      </c>
      <c r="E152" s="97">
        <v>28.950272799429904</v>
      </c>
      <c r="F152" s="97">
        <v>31.249163947740115</v>
      </c>
      <c r="G152" s="97">
        <v>31.446712559852671</v>
      </c>
      <c r="H152" s="97">
        <v>31.123921146953407</v>
      </c>
      <c r="I152" s="97">
        <v>25.522306784660771</v>
      </c>
      <c r="J152" s="97">
        <v>22.234971940298507</v>
      </c>
      <c r="K152" s="97">
        <v>16.94305422446406</v>
      </c>
      <c r="L152" s="97">
        <v>16.807332589285714</v>
      </c>
      <c r="M152" s="97">
        <v>18.196255514950167</v>
      </c>
      <c r="N152" s="97">
        <v>18.106971433333335</v>
      </c>
      <c r="O152" s="97">
        <v>18.066990378006874</v>
      </c>
      <c r="P152" s="97">
        <v>18.024271784511786</v>
      </c>
      <c r="Q152" s="97">
        <v>18.012182718120805</v>
      </c>
      <c r="R152" s="97">
        <v>19.83483127946128</v>
      </c>
      <c r="S152" s="97">
        <v>19.112903225806448</v>
      </c>
      <c r="T152" s="97">
        <v>19.496875000000003</v>
      </c>
      <c r="U152" s="97">
        <v>19.107473749227921</v>
      </c>
      <c r="V152" s="97">
        <v>13.412186379928315</v>
      </c>
      <c r="W152" s="97">
        <v>11.553641908862579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</v>
      </c>
      <c r="R154" s="97">
        <v>19.83483127946128</v>
      </c>
      <c r="S154" s="97">
        <v>19.112903225806452</v>
      </c>
      <c r="T154" s="97">
        <v>19.496874999999999</v>
      </c>
      <c r="U154" s="97">
        <v>19.107473749227918</v>
      </c>
      <c r="V154" s="97">
        <v>13.412186379928317</v>
      </c>
      <c r="W154" s="97">
        <v>11.553641908862577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16.807332589285711</v>
      </c>
      <c r="M155" s="97">
        <v>18.196255514950167</v>
      </c>
      <c r="N155" s="97">
        <v>18.106971433333335</v>
      </c>
      <c r="O155" s="97">
        <v>18.066990378006874</v>
      </c>
      <c r="P155" s="97">
        <v>18.024271784511786</v>
      </c>
      <c r="Q155" s="97">
        <v>18.012182718120805</v>
      </c>
      <c r="R155" s="97">
        <v>19.83483127946128</v>
      </c>
      <c r="S155" s="97">
        <v>19.112903225806452</v>
      </c>
      <c r="T155" s="97">
        <v>19.496874999999999</v>
      </c>
      <c r="U155" s="97">
        <v>19.107473749227918</v>
      </c>
      <c r="V155" s="97">
        <v>13.412186379928317</v>
      </c>
      <c r="W155" s="97">
        <v>11.553641908862577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3.7980163788433883</v>
      </c>
      <c r="C156" s="32">
        <f t="shared" si="207"/>
        <v>3.8581165057007247</v>
      </c>
      <c r="D156" s="32">
        <f t="shared" si="207"/>
        <v>3.4501402752287675</v>
      </c>
      <c r="E156" s="32">
        <f t="shared" si="207"/>
        <v>3.4917315472950023</v>
      </c>
      <c r="F156" s="32">
        <f t="shared" si="207"/>
        <v>3.5021092773514697</v>
      </c>
      <c r="G156" s="32">
        <f t="shared" si="207"/>
        <v>3.3889513757465424</v>
      </c>
      <c r="H156" s="32">
        <f t="shared" si="207"/>
        <v>3.2258850165149298</v>
      </c>
      <c r="I156" s="32">
        <f t="shared" si="207"/>
        <v>3.2938337934623467</v>
      </c>
      <c r="J156" s="32">
        <f t="shared" si="207"/>
        <v>3.0942906716461702</v>
      </c>
      <c r="K156" s="32">
        <f t="shared" si="207"/>
        <v>2.8539175540037669</v>
      </c>
      <c r="L156" s="32">
        <f t="shared" ref="L156" si="208">IF(L19=0,0,L19/L46)</f>
        <v>2.648252579436007</v>
      </c>
      <c r="M156" s="32">
        <f t="shared" ref="M156:V156" si="209">IF(M19=0,0,M19/M46)</f>
        <v>2.6215179032432081</v>
      </c>
      <c r="N156" s="32">
        <f t="shared" si="209"/>
        <v>2.644568484258877</v>
      </c>
      <c r="O156" s="32">
        <f t="shared" si="209"/>
        <v>2.8260118749381458</v>
      </c>
      <c r="P156" s="32">
        <f t="shared" si="209"/>
        <v>3.0772436881128638</v>
      </c>
      <c r="Q156" s="32">
        <f t="shared" si="209"/>
        <v>3.0616766808045486</v>
      </c>
      <c r="R156" s="32">
        <f t="shared" si="209"/>
        <v>3.1895256547228028</v>
      </c>
      <c r="S156" s="32">
        <f t="shared" si="209"/>
        <v>3.4024691116931502</v>
      </c>
      <c r="T156" s="32">
        <f t="shared" si="209"/>
        <v>3.5241112455533457</v>
      </c>
      <c r="U156" s="32">
        <f t="shared" si="209"/>
        <v>3.4934378724189963</v>
      </c>
      <c r="V156" s="32">
        <f t="shared" si="209"/>
        <v>3.3780964450604558</v>
      </c>
      <c r="W156" s="32">
        <f t="shared" ref="W156" si="210">IF(W19=0,0,W19/W46)</f>
        <v>3.4020476960012642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0.11135203339881368</v>
      </c>
      <c r="C157" s="141">
        <f t="shared" si="211"/>
        <v>0.11080426472974747</v>
      </c>
      <c r="D157" s="141">
        <f t="shared" si="211"/>
        <v>0.11045593340554175</v>
      </c>
      <c r="E157" s="141">
        <f t="shared" si="211"/>
        <v>0.11085185703750158</v>
      </c>
      <c r="F157" s="141">
        <f t="shared" si="211"/>
        <v>0.10952215499998347</v>
      </c>
      <c r="G157" s="141">
        <f t="shared" si="211"/>
        <v>0.11054887279092518</v>
      </c>
      <c r="H157" s="141">
        <f t="shared" si="211"/>
        <v>0.11082666182338607</v>
      </c>
      <c r="I157" s="141">
        <f t="shared" si="211"/>
        <v>0.11102707716805983</v>
      </c>
      <c r="J157" s="141">
        <f t="shared" si="211"/>
        <v>0.11115119185209367</v>
      </c>
      <c r="K157" s="141">
        <f t="shared" si="211"/>
        <v>0.11220137179089212</v>
      </c>
      <c r="L157" s="141">
        <f t="shared" ref="L157" si="212">IF(L20=0,0,L20/L47)</f>
        <v>0.11467203362884708</v>
      </c>
      <c r="M157" s="141">
        <f t="shared" ref="M157:V157" si="213">IF(M20=0,0,M20/M47)</f>
        <v>0.11422698556401555</v>
      </c>
      <c r="N157" s="141">
        <f t="shared" si="213"/>
        <v>0.11392361285110035</v>
      </c>
      <c r="O157" s="141">
        <f t="shared" si="213"/>
        <v>0.11292372249002056</v>
      </c>
      <c r="P157" s="141">
        <f t="shared" si="213"/>
        <v>0.11191736999230814</v>
      </c>
      <c r="Q157" s="141">
        <f t="shared" si="213"/>
        <v>0.11137272815398779</v>
      </c>
      <c r="R157" s="141">
        <f t="shared" si="213"/>
        <v>0.10952562472516691</v>
      </c>
      <c r="S157" s="141">
        <f t="shared" si="213"/>
        <v>0.11016144745359335</v>
      </c>
      <c r="T157" s="141">
        <f t="shared" si="213"/>
        <v>0.11004744684191876</v>
      </c>
      <c r="U157" s="141">
        <f t="shared" si="213"/>
        <v>0.11071516643097344</v>
      </c>
      <c r="V157" s="141">
        <f t="shared" si="213"/>
        <v>0.11041424091849926</v>
      </c>
      <c r="W157" s="141">
        <f t="shared" ref="W157" si="214">IF(W20=0,0,W20/W47)</f>
        <v>0.11014661511078266</v>
      </c>
      <c r="DA157" s="174" t="s">
        <v>567</v>
      </c>
    </row>
    <row r="158" spans="1:105" ht="11.45" customHeight="1" x14ac:dyDescent="0.25">
      <c r="A158" s="111" t="s">
        <v>110</v>
      </c>
      <c r="B158" s="96">
        <v>9.3313636003307443E-2</v>
      </c>
      <c r="C158" s="96">
        <v>9.2845422229622651E-2</v>
      </c>
      <c r="D158" s="96">
        <v>9.2379182020241729E-2</v>
      </c>
      <c r="E158" s="96">
        <v>9.2465455529495533E-2</v>
      </c>
      <c r="F158" s="96">
        <v>9.2531873788348235E-2</v>
      </c>
      <c r="G158" s="96">
        <v>9.2598314235399673E-2</v>
      </c>
      <c r="H158" s="96">
        <v>9.305353283730361E-2</v>
      </c>
      <c r="I158" s="96">
        <v>9.2924587667301162E-2</v>
      </c>
      <c r="J158" s="96">
        <v>9.2811727273112279E-2</v>
      </c>
      <c r="K158" s="96">
        <v>9.3250201673507588E-2</v>
      </c>
      <c r="L158" s="96">
        <v>9.3710523183740665E-2</v>
      </c>
      <c r="M158" s="96">
        <v>9.3611186990685269E-2</v>
      </c>
      <c r="N158" s="96">
        <v>9.3507574245223088E-2</v>
      </c>
      <c r="O158" s="96">
        <v>9.3439892910888375E-2</v>
      </c>
      <c r="P158" s="96">
        <v>9.3010756774174266E-2</v>
      </c>
      <c r="Q158" s="96">
        <v>9.2510236220472455E-2</v>
      </c>
      <c r="R158" s="96">
        <v>9.2506664875909458E-2</v>
      </c>
      <c r="S158" s="96">
        <v>9.2492582721984296E-2</v>
      </c>
      <c r="T158" s="96">
        <v>9.248138752657796E-2</v>
      </c>
      <c r="U158" s="96">
        <v>9.2470097654963446E-2</v>
      </c>
      <c r="V158" s="96">
        <v>9.2453102803113585E-2</v>
      </c>
      <c r="W158" s="96">
        <v>9.2436490773956492E-2</v>
      </c>
      <c r="DA158" s="171" t="s">
        <v>568</v>
      </c>
    </row>
    <row r="159" spans="1:105" ht="11.45" customHeight="1" x14ac:dyDescent="0.25">
      <c r="A159" s="111" t="s">
        <v>111</v>
      </c>
      <c r="B159" s="96">
        <v>0.12066268322988181</v>
      </c>
      <c r="C159" s="96">
        <v>0.12005724191736031</v>
      </c>
      <c r="D159" s="96">
        <v>0.11993314290859777</v>
      </c>
      <c r="E159" s="96">
        <v>0.12052630754929974</v>
      </c>
      <c r="F159" s="96">
        <v>0.1210963158820091</v>
      </c>
      <c r="G159" s="96">
        <v>0.12166898643837486</v>
      </c>
      <c r="H159" s="96">
        <v>0.12226711812531627</v>
      </c>
      <c r="I159" s="96">
        <v>0.12161025991004977</v>
      </c>
      <c r="J159" s="96">
        <v>0.12146255969189007</v>
      </c>
      <c r="K159" s="96">
        <v>0.12154920366287753</v>
      </c>
      <c r="L159" s="96">
        <v>0.12166158352184143</v>
      </c>
      <c r="M159" s="96">
        <v>0.12104744265061036</v>
      </c>
      <c r="N159" s="96">
        <v>0.12043075843068828</v>
      </c>
      <c r="O159" s="96">
        <v>0.12013315545168764</v>
      </c>
      <c r="P159" s="96">
        <v>0.12006072631455174</v>
      </c>
      <c r="Q159" s="96">
        <v>0.11941464124550211</v>
      </c>
      <c r="R159" s="96">
        <v>0.11893332928423996</v>
      </c>
      <c r="S159" s="96">
        <v>0.11844049760261433</v>
      </c>
      <c r="T159" s="96">
        <v>0.11795338747402849</v>
      </c>
      <c r="U159" s="96">
        <v>0.11746815869079687</v>
      </c>
      <c r="V159" s="96">
        <v>0.11697770595183619</v>
      </c>
      <c r="W159" s="96">
        <v>0.11648977945221921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8.8114266358416626E-2</v>
      </c>
      <c r="O160" s="96">
        <v>8.7770415666280716E-2</v>
      </c>
      <c r="P160" s="96">
        <v>8.7435310965090524E-2</v>
      </c>
      <c r="Q160" s="96">
        <v>8.7053171724320977E-2</v>
      </c>
      <c r="R160" s="96">
        <v>8.7057917634488738E-2</v>
      </c>
      <c r="S160" s="96">
        <v>8.7053220688258548E-2</v>
      </c>
      <c r="T160" s="96">
        <v>8.7051115994663211E-2</v>
      </c>
      <c r="U160" s="96">
        <v>8.704892505979428E-2</v>
      </c>
      <c r="V160" s="96">
        <v>8.704160603313893E-2</v>
      </c>
      <c r="W160" s="96">
        <v>8.7034628881580714E-2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8.7237507489178662E-2</v>
      </c>
      <c r="O161" s="96">
        <v>8.6897078196964489E-2</v>
      </c>
      <c r="P161" s="96">
        <v>8.6565307870910532E-2</v>
      </c>
      <c r="Q161" s="96">
        <v>8.6186971010646152E-2</v>
      </c>
      <c r="R161" s="96">
        <v>8.619166969782717E-2</v>
      </c>
      <c r="S161" s="96">
        <v>8.6187019487380362E-2</v>
      </c>
      <c r="T161" s="96">
        <v>8.6184935736009854E-2</v>
      </c>
      <c r="U161" s="96">
        <v>8.6182766601487881E-2</v>
      </c>
      <c r="V161" s="96">
        <v>8.6175520400968417E-2</v>
      </c>
      <c r="W161" s="96">
        <v>8.6168612673803824E-2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0.1173935906733507</v>
      </c>
      <c r="P162" s="96">
        <v>0.11738344378549427</v>
      </c>
      <c r="Q162" s="96">
        <v>0.11737019670294022</v>
      </c>
      <c r="R162" s="96">
        <v>0.1173811268994181</v>
      </c>
      <c r="S162" s="96">
        <v>0.1173926644694329</v>
      </c>
      <c r="T162" s="96">
        <v>0.11740403670538924</v>
      </c>
      <c r="U162" s="96">
        <v>0.11741541558561344</v>
      </c>
      <c r="V162" s="96">
        <v>0.11759117951718441</v>
      </c>
      <c r="W162" s="96">
        <v>0.11743881366147374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13.696744883770847</v>
      </c>
      <c r="C163" s="130">
        <f t="shared" si="215"/>
        <v>13.398490286416788</v>
      </c>
      <c r="D163" s="130">
        <f t="shared" si="215"/>
        <v>9.8457992088232924</v>
      </c>
      <c r="E163" s="130">
        <f t="shared" si="215"/>
        <v>9.6390001812323884</v>
      </c>
      <c r="F163" s="130">
        <f t="shared" si="215"/>
        <v>9.3074313148300014</v>
      </c>
      <c r="G163" s="130">
        <f t="shared" si="215"/>
        <v>9.0406551737932261</v>
      </c>
      <c r="H163" s="130">
        <f t="shared" si="215"/>
        <v>8.0750701376375655</v>
      </c>
      <c r="I163" s="130">
        <f t="shared" si="215"/>
        <v>8.320917909795897</v>
      </c>
      <c r="J163" s="130">
        <f t="shared" si="215"/>
        <v>7.4213372757299423</v>
      </c>
      <c r="K163" s="130">
        <f t="shared" si="215"/>
        <v>7.7828804247982282</v>
      </c>
      <c r="L163" s="130">
        <f t="shared" ref="L163" si="216">IF(L26=0,0,L26/L53)</f>
        <v>6.3934106971748914</v>
      </c>
      <c r="M163" s="130">
        <f t="shared" ref="M163:V163" si="217">IF(M26=0,0,M26/M53)</f>
        <v>6.3894150730382124</v>
      </c>
      <c r="N163" s="130">
        <f t="shared" si="217"/>
        <v>6.8192298561923588</v>
      </c>
      <c r="O163" s="130">
        <f t="shared" si="217"/>
        <v>6.9262654224423521</v>
      </c>
      <c r="P163" s="130">
        <f t="shared" si="217"/>
        <v>6.7194661862777512</v>
      </c>
      <c r="Q163" s="130">
        <f t="shared" si="217"/>
        <v>7.4025515733463534</v>
      </c>
      <c r="R163" s="130">
        <f t="shared" si="217"/>
        <v>6.852169291008579</v>
      </c>
      <c r="S163" s="130">
        <f t="shared" si="217"/>
        <v>7.1688348110843725</v>
      </c>
      <c r="T163" s="130">
        <f t="shared" si="217"/>
        <v>7.5521614100671313</v>
      </c>
      <c r="U163" s="130">
        <f t="shared" si="217"/>
        <v>7.0773423654602095</v>
      </c>
      <c r="V163" s="130">
        <f t="shared" si="217"/>
        <v>7.0235397297327724</v>
      </c>
      <c r="W163" s="130">
        <f t="shared" ref="W163" si="218">IF(W26=0,0,W26/W53)</f>
        <v>7.242527874027143</v>
      </c>
      <c r="DA163" s="176" t="s">
        <v>573</v>
      </c>
    </row>
    <row r="164" spans="1:105" ht="11.45" customHeight="1" x14ac:dyDescent="0.25">
      <c r="A164" s="128" t="s">
        <v>27</v>
      </c>
      <c r="B164" s="97">
        <v>13.32958308171793</v>
      </c>
      <c r="C164" s="97">
        <v>12.853584111363876</v>
      </c>
      <c r="D164" s="97">
        <v>7.8719708794619452</v>
      </c>
      <c r="E164" s="97">
        <v>7.6868537666174301</v>
      </c>
      <c r="F164" s="97">
        <v>7.2005312084993358</v>
      </c>
      <c r="G164" s="97">
        <v>6.9054054054054053</v>
      </c>
      <c r="H164" s="97">
        <v>5.6615886833514688</v>
      </c>
      <c r="I164" s="97">
        <v>5.6282565130260522</v>
      </c>
      <c r="J164" s="97">
        <v>5.0511590727418065</v>
      </c>
      <c r="K164" s="97">
        <v>5.2662213740458013</v>
      </c>
      <c r="L164" s="97">
        <v>3.7721335268505078</v>
      </c>
      <c r="M164" s="97">
        <v>3.5758017492711369</v>
      </c>
      <c r="N164" s="97">
        <v>3.9540140296180826</v>
      </c>
      <c r="O164" s="97">
        <v>3.7212713936430317</v>
      </c>
      <c r="P164" s="97">
        <v>3.7074235807860263</v>
      </c>
      <c r="Q164" s="97">
        <v>4.1726332537788382</v>
      </c>
      <c r="R164" s="97">
        <v>3.7579155672823217</v>
      </c>
      <c r="S164" s="97">
        <v>4.0344387755102042</v>
      </c>
      <c r="T164" s="97">
        <v>4.3822733423545328</v>
      </c>
      <c r="U164" s="97">
        <v>3.989330171902786</v>
      </c>
      <c r="V164" s="97">
        <v>3.9833948339483394</v>
      </c>
      <c r="W164" s="97">
        <v>4.0560567010309274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14.105166269382359</v>
      </c>
      <c r="P165" s="98">
        <v>14.138211571635042</v>
      </c>
      <c r="Q165" s="98">
        <v>14.005556317739059</v>
      </c>
      <c r="R165" s="98">
        <v>13.931044885469863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10678.452285041534</v>
      </c>
      <c r="C167" s="54">
        <f t="shared" si="219"/>
        <v>10760.885945041271</v>
      </c>
      <c r="D167" s="54">
        <f t="shared" si="219"/>
        <v>10952.387001798759</v>
      </c>
      <c r="E167" s="54">
        <f t="shared" si="219"/>
        <v>10793.712567007537</v>
      </c>
      <c r="F167" s="54">
        <f t="shared" si="219"/>
        <v>11245.715704612485</v>
      </c>
      <c r="G167" s="54">
        <f t="shared" si="219"/>
        <v>11393.392562379462</v>
      </c>
      <c r="H167" s="54">
        <f t="shared" si="219"/>
        <v>11266.019961152788</v>
      </c>
      <c r="I167" s="54">
        <f t="shared" si="219"/>
        <v>10686.514385680581</v>
      </c>
      <c r="J167" s="54">
        <f t="shared" si="219"/>
        <v>10239.392781498153</v>
      </c>
      <c r="K167" s="54">
        <f t="shared" si="219"/>
        <v>9803.4299044655399</v>
      </c>
      <c r="L167" s="54">
        <f t="shared" si="219"/>
        <v>9777.9243587210367</v>
      </c>
      <c r="M167" s="54">
        <f>IF(M30=0,0,M30*1000000/M57)</f>
        <v>9368.0820578343282</v>
      </c>
      <c r="N167" s="54">
        <f t="shared" ref="N167:V167" si="220">IF(N30=0,0,N30*1000000/N57)</f>
        <v>9006.7428564763522</v>
      </c>
      <c r="O167" s="54">
        <f t="shared" si="220"/>
        <v>8721.4615459852066</v>
      </c>
      <c r="P167" s="54">
        <f t="shared" si="220"/>
        <v>8456.5436328891083</v>
      </c>
      <c r="Q167" s="54">
        <f t="shared" si="220"/>
        <v>8294.3039016429302</v>
      </c>
      <c r="R167" s="54">
        <f t="shared" si="220"/>
        <v>8056.4005203162005</v>
      </c>
      <c r="S167" s="54">
        <f t="shared" si="220"/>
        <v>7774.672524675836</v>
      </c>
      <c r="T167" s="54">
        <f t="shared" si="220"/>
        <v>7514.1095403691543</v>
      </c>
      <c r="U167" s="54">
        <f t="shared" si="220"/>
        <v>7365.758131179563</v>
      </c>
      <c r="V167" s="54">
        <f t="shared" si="220"/>
        <v>6798.959924659167</v>
      </c>
      <c r="W167" s="54">
        <f t="shared" ref="W167:W191" si="221">IF(W30=0,0,W30*1000000/W57)</f>
        <v>6778.8180817619977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9887.3296460425427</v>
      </c>
      <c r="C168" s="28">
        <f t="shared" si="219"/>
        <v>9944.6972327972562</v>
      </c>
      <c r="D168" s="28">
        <f t="shared" si="219"/>
        <v>10050.592632961849</v>
      </c>
      <c r="E168" s="28">
        <f t="shared" si="219"/>
        <v>9952.1764274749476</v>
      </c>
      <c r="F168" s="28">
        <f t="shared" si="219"/>
        <v>10250.290640629684</v>
      </c>
      <c r="G168" s="28">
        <f t="shared" si="219"/>
        <v>10415.073466350084</v>
      </c>
      <c r="H168" s="28">
        <f t="shared" si="219"/>
        <v>10334.487821677361</v>
      </c>
      <c r="I168" s="28">
        <f t="shared" si="219"/>
        <v>9613.910886140653</v>
      </c>
      <c r="J168" s="28">
        <f t="shared" si="219"/>
        <v>9121.2903404584231</v>
      </c>
      <c r="K168" s="28">
        <f t="shared" si="219"/>
        <v>8790.6591627098005</v>
      </c>
      <c r="L168" s="28">
        <f t="shared" si="219"/>
        <v>8626.9981144615085</v>
      </c>
      <c r="M168" s="28">
        <f t="shared" ref="M168:M192" si="222">IF(M31=0,0,M31*1000000/M58)</f>
        <v>8176.2900654196792</v>
      </c>
      <c r="N168" s="28">
        <f t="shared" si="219"/>
        <v>7807.3393290480026</v>
      </c>
      <c r="O168" s="28">
        <f t="shared" si="219"/>
        <v>7676.6385038712278</v>
      </c>
      <c r="P168" s="28">
        <f t="shared" si="219"/>
        <v>7502.0053760351411</v>
      </c>
      <c r="Q168" s="28">
        <f t="shared" si="219"/>
        <v>7251.7418037890275</v>
      </c>
      <c r="R168" s="28">
        <f t="shared" si="219"/>
        <v>6976.213131204514</v>
      </c>
      <c r="S168" s="28">
        <f t="shared" si="219"/>
        <v>6674.1719307939047</v>
      </c>
      <c r="T168" s="28">
        <f t="shared" si="219"/>
        <v>6452.4644588340961</v>
      </c>
      <c r="U168" s="28">
        <f t="shared" si="219"/>
        <v>6264.4292028308137</v>
      </c>
      <c r="V168" s="28">
        <f t="shared" si="219"/>
        <v>5673.9550177396932</v>
      </c>
      <c r="W168" s="28">
        <f t="shared" si="221"/>
        <v>5673.3091936818446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1140.9729111049992</v>
      </c>
      <c r="C169" s="137">
        <f t="shared" si="219"/>
        <v>1178.5564421263541</v>
      </c>
      <c r="D169" s="137">
        <f t="shared" si="219"/>
        <v>1005.4752744991387</v>
      </c>
      <c r="E169" s="137">
        <f t="shared" si="219"/>
        <v>1006.168999231461</v>
      </c>
      <c r="F169" s="137">
        <f t="shared" si="219"/>
        <v>995.39121841408826</v>
      </c>
      <c r="G169" s="137">
        <f t="shared" si="219"/>
        <v>1004.941895305509</v>
      </c>
      <c r="H169" s="137">
        <f t="shared" si="219"/>
        <v>1010.6740040705698</v>
      </c>
      <c r="I169" s="137">
        <f t="shared" si="219"/>
        <v>1005.9973812129991</v>
      </c>
      <c r="J169" s="137">
        <f t="shared" si="219"/>
        <v>995.4491711815939</v>
      </c>
      <c r="K169" s="137">
        <f t="shared" si="219"/>
        <v>749.37101839594925</v>
      </c>
      <c r="L169" s="137">
        <f t="shared" si="219"/>
        <v>641.67376789572131</v>
      </c>
      <c r="M169" s="137">
        <f t="shared" si="222"/>
        <v>727.6947941526563</v>
      </c>
      <c r="N169" s="137">
        <f t="shared" si="219"/>
        <v>803.73218169511972</v>
      </c>
      <c r="O169" s="137">
        <f t="shared" si="219"/>
        <v>773.16356941624383</v>
      </c>
      <c r="P169" s="137">
        <f t="shared" si="219"/>
        <v>808.43818523109985</v>
      </c>
      <c r="Q169" s="137">
        <f t="shared" si="219"/>
        <v>843.25251350167093</v>
      </c>
      <c r="R169" s="137">
        <f t="shared" si="219"/>
        <v>857.94770440565105</v>
      </c>
      <c r="S169" s="137">
        <f t="shared" si="219"/>
        <v>775.29547028657566</v>
      </c>
      <c r="T169" s="137">
        <f t="shared" si="219"/>
        <v>709.10615243488405</v>
      </c>
      <c r="U169" s="137">
        <f t="shared" si="219"/>
        <v>722.71630786526271</v>
      </c>
      <c r="V169" s="137">
        <f t="shared" si="219"/>
        <v>623.04347376665658</v>
      </c>
      <c r="W169" s="137">
        <f t="shared" si="221"/>
        <v>621.51369531276873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10051.572923474203</v>
      </c>
      <c r="C170" s="110">
        <f t="shared" si="219"/>
        <v>10117.389215867557</v>
      </c>
      <c r="D170" s="110">
        <f t="shared" si="219"/>
        <v>10240.696817192667</v>
      </c>
      <c r="E170" s="110">
        <f t="shared" si="219"/>
        <v>10129.643525065245</v>
      </c>
      <c r="F170" s="110">
        <f t="shared" si="219"/>
        <v>10473.503488089989</v>
      </c>
      <c r="G170" s="110">
        <f t="shared" si="219"/>
        <v>10688.701411136215</v>
      </c>
      <c r="H170" s="110">
        <f t="shared" si="219"/>
        <v>10601.74703698653</v>
      </c>
      <c r="I170" s="110">
        <f t="shared" si="219"/>
        <v>9833.2080579949525</v>
      </c>
      <c r="J170" s="110">
        <f t="shared" si="219"/>
        <v>9338.095261060771</v>
      </c>
      <c r="K170" s="110">
        <f t="shared" si="219"/>
        <v>9058.971935134743</v>
      </c>
      <c r="L170" s="110">
        <f t="shared" si="219"/>
        <v>8909.3521413758554</v>
      </c>
      <c r="M170" s="110">
        <f t="shared" si="222"/>
        <v>8447.290544603351</v>
      </c>
      <c r="N170" s="110">
        <f t="shared" si="219"/>
        <v>8064.379124141391</v>
      </c>
      <c r="O170" s="110">
        <f t="shared" si="219"/>
        <v>7947.7970850656257</v>
      </c>
      <c r="P170" s="110">
        <f t="shared" si="219"/>
        <v>7771.9186876875692</v>
      </c>
      <c r="Q170" s="110">
        <f t="shared" si="219"/>
        <v>7518.2552157724449</v>
      </c>
      <c r="R170" s="110">
        <f t="shared" si="219"/>
        <v>7229.8241827713</v>
      </c>
      <c r="S170" s="110">
        <f t="shared" si="219"/>
        <v>6916.1966847255408</v>
      </c>
      <c r="T170" s="110">
        <f t="shared" si="219"/>
        <v>6688.1067803896012</v>
      </c>
      <c r="U170" s="110">
        <f t="shared" si="219"/>
        <v>6494.8845889989825</v>
      </c>
      <c r="V170" s="110">
        <f t="shared" si="219"/>
        <v>5898.3047485060752</v>
      </c>
      <c r="W170" s="110">
        <f t="shared" si="221"/>
        <v>5909.1157827024535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9581.6197066708555</v>
      </c>
      <c r="C171" s="84">
        <f t="shared" si="219"/>
        <v>9635.7046314154541</v>
      </c>
      <c r="D171" s="84">
        <f t="shared" si="219"/>
        <v>9707.6751545563075</v>
      </c>
      <c r="E171" s="84">
        <f t="shared" si="219"/>
        <v>9540.6401216381128</v>
      </c>
      <c r="F171" s="84">
        <f t="shared" si="219"/>
        <v>9900.6601211388333</v>
      </c>
      <c r="G171" s="84">
        <f t="shared" si="219"/>
        <v>10097.305786822906</v>
      </c>
      <c r="H171" s="84">
        <f t="shared" si="219"/>
        <v>9966.6857375933596</v>
      </c>
      <c r="I171" s="84">
        <f t="shared" si="219"/>
        <v>9018.6122314346685</v>
      </c>
      <c r="J171" s="84">
        <f t="shared" si="219"/>
        <v>8390.9386619717843</v>
      </c>
      <c r="K171" s="84">
        <f t="shared" si="219"/>
        <v>8073.651659969194</v>
      </c>
      <c r="L171" s="84">
        <f t="shared" si="219"/>
        <v>7921.5419685293346</v>
      </c>
      <c r="M171" s="84">
        <f t="shared" si="222"/>
        <v>7407.1128197835824</v>
      </c>
      <c r="N171" s="84">
        <f t="shared" si="219"/>
        <v>7073.5287690891337</v>
      </c>
      <c r="O171" s="84">
        <f t="shared" si="219"/>
        <v>7030.2753301997891</v>
      </c>
      <c r="P171" s="84">
        <f t="shared" si="219"/>
        <v>6908.8942250392183</v>
      </c>
      <c r="Q171" s="84">
        <f t="shared" si="219"/>
        <v>6727.1062146165486</v>
      </c>
      <c r="R171" s="84">
        <f t="shared" si="219"/>
        <v>6454.3580908529893</v>
      </c>
      <c r="S171" s="84">
        <f t="shared" si="219"/>
        <v>6142.9632423518733</v>
      </c>
      <c r="T171" s="84">
        <f t="shared" si="219"/>
        <v>5903.3143332952241</v>
      </c>
      <c r="U171" s="84">
        <f t="shared" si="219"/>
        <v>5695.7598849173391</v>
      </c>
      <c r="V171" s="84">
        <f t="shared" si="219"/>
        <v>5129.2514683836807</v>
      </c>
      <c r="W171" s="84">
        <f t="shared" si="221"/>
        <v>5096.7168619142558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12125.403723233194</v>
      </c>
      <c r="C172" s="84">
        <f t="shared" si="219"/>
        <v>12114.325513485239</v>
      </c>
      <c r="D172" s="84">
        <f t="shared" si="219"/>
        <v>12183.303396168671</v>
      </c>
      <c r="E172" s="84">
        <f t="shared" si="219"/>
        <v>12171.400678844744</v>
      </c>
      <c r="F172" s="84">
        <f t="shared" si="219"/>
        <v>12331.508387255832</v>
      </c>
      <c r="G172" s="84">
        <f t="shared" si="219"/>
        <v>12558.385262099893</v>
      </c>
      <c r="H172" s="84">
        <f t="shared" si="219"/>
        <v>12555.607265498056</v>
      </c>
      <c r="I172" s="84">
        <f t="shared" si="219"/>
        <v>12301.974155818014</v>
      </c>
      <c r="J172" s="84">
        <f t="shared" si="219"/>
        <v>12214.37019595018</v>
      </c>
      <c r="K172" s="84">
        <f t="shared" si="219"/>
        <v>11989.931973108434</v>
      </c>
      <c r="L172" s="84">
        <f t="shared" si="219"/>
        <v>11880.484355572054</v>
      </c>
      <c r="M172" s="84">
        <f t="shared" si="222"/>
        <v>11449.012493271328</v>
      </c>
      <c r="N172" s="84">
        <f t="shared" si="219"/>
        <v>10933.39891253092</v>
      </c>
      <c r="O172" s="84">
        <f t="shared" si="219"/>
        <v>10651.363947177013</v>
      </c>
      <c r="P172" s="84">
        <f t="shared" si="219"/>
        <v>10260.186500037586</v>
      </c>
      <c r="Q172" s="84">
        <f t="shared" si="219"/>
        <v>9792.3925990772441</v>
      </c>
      <c r="R172" s="84">
        <f t="shared" si="219"/>
        <v>9585.1688552667456</v>
      </c>
      <c r="S172" s="84">
        <f t="shared" si="219"/>
        <v>9307.02342870559</v>
      </c>
      <c r="T172" s="84">
        <f t="shared" si="219"/>
        <v>9124.6240199132644</v>
      </c>
      <c r="U172" s="84">
        <f t="shared" si="219"/>
        <v>8981.6664232902458</v>
      </c>
      <c r="V172" s="84">
        <f t="shared" si="219"/>
        <v>8251.7377958183934</v>
      </c>
      <c r="W172" s="84">
        <f t="shared" si="221"/>
        <v>8365.0417939542167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0</v>
      </c>
      <c r="D173" s="84">
        <f t="shared" si="219"/>
        <v>0</v>
      </c>
      <c r="E173" s="84">
        <f t="shared" si="219"/>
        <v>0</v>
      </c>
      <c r="F173" s="84">
        <f t="shared" si="219"/>
        <v>0</v>
      </c>
      <c r="G173" s="84">
        <f t="shared" si="219"/>
        <v>13063.613940518564</v>
      </c>
      <c r="H173" s="84">
        <f t="shared" si="219"/>
        <v>12910.046609388935</v>
      </c>
      <c r="I173" s="84">
        <f t="shared" si="219"/>
        <v>11567.458812534209</v>
      </c>
      <c r="J173" s="84">
        <f t="shared" si="219"/>
        <v>10656.878049925834</v>
      </c>
      <c r="K173" s="84">
        <f t="shared" si="219"/>
        <v>10153.38044421481</v>
      </c>
      <c r="L173" s="84">
        <f t="shared" si="219"/>
        <v>9864.4205924159905</v>
      </c>
      <c r="M173" s="84">
        <f t="shared" si="222"/>
        <v>9133.3902658641127</v>
      </c>
      <c r="N173" s="84">
        <f t="shared" si="219"/>
        <v>8722.6925690072767</v>
      </c>
      <c r="O173" s="84">
        <f t="shared" si="219"/>
        <v>8508.5815698082442</v>
      </c>
      <c r="P173" s="84">
        <f t="shared" si="219"/>
        <v>8425.0224669564996</v>
      </c>
      <c r="Q173" s="84">
        <f t="shared" si="219"/>
        <v>8287.049399757836</v>
      </c>
      <c r="R173" s="84">
        <f t="shared" si="219"/>
        <v>7870.7402594385767</v>
      </c>
      <c r="S173" s="84">
        <f t="shared" si="219"/>
        <v>7415.3443214997915</v>
      </c>
      <c r="T173" s="84">
        <f t="shared" si="219"/>
        <v>7341.9984911246211</v>
      </c>
      <c r="U173" s="84">
        <f t="shared" si="219"/>
        <v>7298.5238567489296</v>
      </c>
      <c r="V173" s="84">
        <f t="shared" si="219"/>
        <v>6771.7720104837226</v>
      </c>
      <c r="W173" s="84">
        <f t="shared" si="221"/>
        <v>6932.7225768610897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9361.2225799482076</v>
      </c>
      <c r="D174" s="84">
        <f t="shared" si="219"/>
        <v>9517.5688849756534</v>
      </c>
      <c r="E174" s="84">
        <f t="shared" si="219"/>
        <v>9450.6752744960704</v>
      </c>
      <c r="F174" s="84">
        <f t="shared" si="219"/>
        <v>9883.2331878667828</v>
      </c>
      <c r="G174" s="84">
        <f t="shared" si="219"/>
        <v>10165.980255701761</v>
      </c>
      <c r="H174" s="84">
        <f t="shared" si="219"/>
        <v>10136.298360677112</v>
      </c>
      <c r="I174" s="84">
        <f t="shared" si="219"/>
        <v>9303.6019705595463</v>
      </c>
      <c r="J174" s="84">
        <f t="shared" si="219"/>
        <v>8768.582923692753</v>
      </c>
      <c r="K174" s="84">
        <f t="shared" si="219"/>
        <v>8532.9978720019244</v>
      </c>
      <c r="L174" s="84">
        <f t="shared" si="219"/>
        <v>8459.6091411717771</v>
      </c>
      <c r="M174" s="84">
        <f t="shared" si="222"/>
        <v>8011.1291279912348</v>
      </c>
      <c r="N174" s="84">
        <f t="shared" si="219"/>
        <v>7740.1518842953901</v>
      </c>
      <c r="O174" s="84">
        <f t="shared" si="219"/>
        <v>7621.7654915698322</v>
      </c>
      <c r="P174" s="84">
        <f t="shared" si="219"/>
        <v>7424.9753291633569</v>
      </c>
      <c r="Q174" s="84">
        <f t="shared" si="219"/>
        <v>7169.8362901503742</v>
      </c>
      <c r="R174" s="84">
        <f t="shared" si="219"/>
        <v>6959.001530622716</v>
      </c>
      <c r="S174" s="84">
        <f t="shared" si="219"/>
        <v>6702.724595773534</v>
      </c>
      <c r="T174" s="84">
        <f t="shared" si="219"/>
        <v>6515.5229313514619</v>
      </c>
      <c r="U174" s="84">
        <f t="shared" si="219"/>
        <v>6357.7317621895982</v>
      </c>
      <c r="V174" s="84">
        <f t="shared" si="219"/>
        <v>5809.3565665425394</v>
      </c>
      <c r="W174" s="84">
        <f t="shared" si="221"/>
        <v>5829.7925623616502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8845.2948725497936</v>
      </c>
      <c r="O175" s="84">
        <f t="shared" si="219"/>
        <v>9161.3634821803735</v>
      </c>
      <c r="P175" s="84">
        <f t="shared" si="219"/>
        <v>9382.2697135406142</v>
      </c>
      <c r="Q175" s="84">
        <f t="shared" si="219"/>
        <v>9520.0503206340854</v>
      </c>
      <c r="R175" s="84">
        <f t="shared" si="219"/>
        <v>8765.0102120085758</v>
      </c>
      <c r="S175" s="84">
        <f t="shared" si="219"/>
        <v>8005.0803812913364</v>
      </c>
      <c r="T175" s="84">
        <f t="shared" si="219"/>
        <v>7381.9670079704701</v>
      </c>
      <c r="U175" s="84">
        <f t="shared" si="219"/>
        <v>6834.6499218067656</v>
      </c>
      <c r="V175" s="84">
        <f t="shared" si="219"/>
        <v>5906.1844254113958</v>
      </c>
      <c r="W175" s="84">
        <f t="shared" si="221"/>
        <v>5631.6016974113381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7774.516141691106</v>
      </c>
      <c r="N176" s="84">
        <f t="shared" si="219"/>
        <v>7792.4497674238246</v>
      </c>
      <c r="O176" s="84">
        <f t="shared" si="219"/>
        <v>7794.8399239581031</v>
      </c>
      <c r="P176" s="84">
        <f t="shared" si="219"/>
        <v>7801.6307322992561</v>
      </c>
      <c r="Q176" s="84">
        <f t="shared" si="219"/>
        <v>7812.0390104497374</v>
      </c>
      <c r="R176" s="84">
        <f t="shared" si="219"/>
        <v>7795.8889107937221</v>
      </c>
      <c r="S176" s="84">
        <f t="shared" si="219"/>
        <v>7776.6380315394572</v>
      </c>
      <c r="T176" s="84">
        <f t="shared" si="219"/>
        <v>7761.1805121398856</v>
      </c>
      <c r="U176" s="84">
        <f t="shared" si="219"/>
        <v>7747.3035528343225</v>
      </c>
      <c r="V176" s="84">
        <f t="shared" si="219"/>
        <v>7547.0313223302956</v>
      </c>
      <c r="W176" s="84">
        <f t="shared" si="221"/>
        <v>7704.3767944871361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26926.181720333661</v>
      </c>
      <c r="C177" s="110">
        <f t="shared" si="219"/>
        <v>27018.091652125997</v>
      </c>
      <c r="D177" s="110">
        <f t="shared" si="219"/>
        <v>26758.353332102641</v>
      </c>
      <c r="E177" s="110">
        <f t="shared" si="219"/>
        <v>27927.683068679344</v>
      </c>
      <c r="F177" s="110">
        <f t="shared" si="219"/>
        <v>30775.918278635079</v>
      </c>
      <c r="G177" s="110">
        <f t="shared" si="219"/>
        <v>28907.580919931857</v>
      </c>
      <c r="H177" s="110">
        <f t="shared" si="219"/>
        <v>30760.749724366044</v>
      </c>
      <c r="I177" s="110">
        <f t="shared" si="219"/>
        <v>31508.50450785389</v>
      </c>
      <c r="J177" s="110">
        <f t="shared" si="219"/>
        <v>31007.034431691965</v>
      </c>
      <c r="K177" s="110">
        <f t="shared" si="219"/>
        <v>32812.661632357507</v>
      </c>
      <c r="L177" s="110">
        <f t="shared" si="219"/>
        <v>32612.312811980035</v>
      </c>
      <c r="M177" s="110">
        <f t="shared" si="222"/>
        <v>32220.081353029331</v>
      </c>
      <c r="N177" s="110">
        <f t="shared" si="219"/>
        <v>32516.80034684587</v>
      </c>
      <c r="O177" s="110">
        <f t="shared" si="219"/>
        <v>32080.255760114651</v>
      </c>
      <c r="P177" s="110">
        <f t="shared" si="219"/>
        <v>32427.120864723223</v>
      </c>
      <c r="Q177" s="110">
        <f t="shared" si="219"/>
        <v>32146.709816612729</v>
      </c>
      <c r="R177" s="110">
        <f t="shared" si="219"/>
        <v>32669.673303266969</v>
      </c>
      <c r="S177" s="110">
        <f t="shared" si="219"/>
        <v>33546.153013743111</v>
      </c>
      <c r="T177" s="110">
        <f t="shared" si="219"/>
        <v>34177.079995727865</v>
      </c>
      <c r="U177" s="110">
        <f t="shared" si="219"/>
        <v>34960.051824659895</v>
      </c>
      <c r="V177" s="110">
        <f t="shared" si="219"/>
        <v>34174.42430181284</v>
      </c>
      <c r="W177" s="110">
        <f t="shared" si="221"/>
        <v>33297.491039426517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0</v>
      </c>
      <c r="K178" s="102">
        <f t="shared" si="219"/>
        <v>0</v>
      </c>
      <c r="L178" s="102">
        <f t="shared" si="219"/>
        <v>0</v>
      </c>
      <c r="M178" s="102">
        <f t="shared" si="222"/>
        <v>0</v>
      </c>
      <c r="N178" s="102">
        <f t="shared" si="219"/>
        <v>0</v>
      </c>
      <c r="O178" s="102">
        <f t="shared" si="219"/>
        <v>0</v>
      </c>
      <c r="P178" s="102">
        <f t="shared" si="219"/>
        <v>0</v>
      </c>
      <c r="Q178" s="102">
        <f t="shared" si="219"/>
        <v>0</v>
      </c>
      <c r="R178" s="102">
        <f t="shared" si="219"/>
        <v>0</v>
      </c>
      <c r="S178" s="102">
        <f t="shared" si="219"/>
        <v>0</v>
      </c>
      <c r="T178" s="102">
        <f t="shared" si="219"/>
        <v>0</v>
      </c>
      <c r="U178" s="102">
        <f t="shared" si="219"/>
        <v>0</v>
      </c>
      <c r="V178" s="102">
        <f t="shared" si="219"/>
        <v>0</v>
      </c>
      <c r="W178" s="102">
        <f t="shared" si="221"/>
        <v>0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26926.181720333661</v>
      </c>
      <c r="C179" s="102">
        <f t="shared" si="219"/>
        <v>27018.091652125997</v>
      </c>
      <c r="D179" s="102">
        <f t="shared" si="219"/>
        <v>26758.353332102641</v>
      </c>
      <c r="E179" s="102">
        <f t="shared" si="219"/>
        <v>27927.683068679344</v>
      </c>
      <c r="F179" s="102">
        <f t="shared" si="219"/>
        <v>30775.918278635079</v>
      </c>
      <c r="G179" s="102">
        <f t="shared" si="219"/>
        <v>28907.580919931857</v>
      </c>
      <c r="H179" s="102">
        <f t="shared" si="219"/>
        <v>30760.749724366044</v>
      </c>
      <c r="I179" s="102">
        <f t="shared" si="219"/>
        <v>31508.50450785389</v>
      </c>
      <c r="J179" s="102">
        <f t="shared" si="219"/>
        <v>31007.034431691965</v>
      </c>
      <c r="K179" s="102">
        <f t="shared" si="219"/>
        <v>32812.661632357507</v>
      </c>
      <c r="L179" s="102">
        <f t="shared" si="219"/>
        <v>32480.901297176799</v>
      </c>
      <c r="M179" s="102">
        <f t="shared" si="222"/>
        <v>31889.862146810214</v>
      </c>
      <c r="N179" s="102">
        <f t="shared" si="219"/>
        <v>32189.333041010956</v>
      </c>
      <c r="O179" s="102">
        <f t="shared" si="219"/>
        <v>31738.10580448867</v>
      </c>
      <c r="P179" s="102">
        <f t="shared" si="219"/>
        <v>31973.872085403709</v>
      </c>
      <c r="Q179" s="102">
        <f t="shared" si="219"/>
        <v>31566.505341166041</v>
      </c>
      <c r="R179" s="102">
        <f t="shared" si="219"/>
        <v>32330.41564794497</v>
      </c>
      <c r="S179" s="102">
        <f t="shared" si="219"/>
        <v>33199.775776106682</v>
      </c>
      <c r="T179" s="102">
        <f t="shared" si="219"/>
        <v>33817.501711736266</v>
      </c>
      <c r="U179" s="102">
        <f t="shared" si="219"/>
        <v>34614.00378696173</v>
      </c>
      <c r="V179" s="102">
        <f t="shared" si="219"/>
        <v>33712.806557165721</v>
      </c>
      <c r="W179" s="102">
        <f t="shared" si="221"/>
        <v>32680.33591192749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0</v>
      </c>
      <c r="R181" s="102">
        <f t="shared" si="223"/>
        <v>21298.044513406065</v>
      </c>
      <c r="S181" s="102">
        <f t="shared" si="223"/>
        <v>21460.440628846391</v>
      </c>
      <c r="T181" s="102">
        <f t="shared" si="223"/>
        <v>21446.753159606207</v>
      </c>
      <c r="U181" s="102">
        <f t="shared" si="223"/>
        <v>22127.2493020406</v>
      </c>
      <c r="V181" s="102">
        <f t="shared" si="223"/>
        <v>22037.544241231692</v>
      </c>
      <c r="W181" s="102">
        <f t="shared" si="221"/>
        <v>21873.042036386945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43374.462731210369</v>
      </c>
      <c r="M182" s="102">
        <f t="shared" si="222"/>
        <v>43400.712238224318</v>
      </c>
      <c r="N182" s="102">
        <f t="shared" si="223"/>
        <v>43420.609485743058</v>
      </c>
      <c r="O182" s="102">
        <f t="shared" si="223"/>
        <v>43449.963342161493</v>
      </c>
      <c r="P182" s="102">
        <f t="shared" si="223"/>
        <v>43473.333497557331</v>
      </c>
      <c r="Q182" s="102">
        <f t="shared" si="223"/>
        <v>43492.215956223292</v>
      </c>
      <c r="R182" s="102">
        <f t="shared" si="223"/>
        <v>43457.138156844223</v>
      </c>
      <c r="S182" s="102">
        <f t="shared" si="223"/>
        <v>43399.64990049514</v>
      </c>
      <c r="T182" s="102">
        <f t="shared" si="223"/>
        <v>43359.235334514175</v>
      </c>
      <c r="U182" s="102">
        <f t="shared" si="223"/>
        <v>43310.1570859942</v>
      </c>
      <c r="V182" s="102">
        <f t="shared" si="223"/>
        <v>42578.132930742475</v>
      </c>
      <c r="W182" s="102">
        <f t="shared" si="221"/>
        <v>43204.773337706327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19601.79379345318</v>
      </c>
      <c r="C183" s="28">
        <f t="shared" si="223"/>
        <v>19819.724654371657</v>
      </c>
      <c r="D183" s="28">
        <f t="shared" si="223"/>
        <v>20549.082559402897</v>
      </c>
      <c r="E183" s="28">
        <f t="shared" si="223"/>
        <v>19234.238846395987</v>
      </c>
      <c r="F183" s="28">
        <f t="shared" si="223"/>
        <v>20857.520198495116</v>
      </c>
      <c r="G183" s="28">
        <f t="shared" si="223"/>
        <v>19724.36811167483</v>
      </c>
      <c r="H183" s="28">
        <f t="shared" si="223"/>
        <v>18663.151833014908</v>
      </c>
      <c r="I183" s="28">
        <f t="shared" si="223"/>
        <v>18720.067985603837</v>
      </c>
      <c r="J183" s="28">
        <f t="shared" si="223"/>
        <v>18106.110868241947</v>
      </c>
      <c r="K183" s="28">
        <f t="shared" si="223"/>
        <v>16557.931648864567</v>
      </c>
      <c r="L183" s="28">
        <f t="shared" si="223"/>
        <v>17630.954348293511</v>
      </c>
      <c r="M183" s="28">
        <f t="shared" si="222"/>
        <v>17728.841974263963</v>
      </c>
      <c r="N183" s="28">
        <f t="shared" si="223"/>
        <v>17629.971020325571</v>
      </c>
      <c r="O183" s="28">
        <f t="shared" si="223"/>
        <v>16381.712754474194</v>
      </c>
      <c r="P183" s="28">
        <f t="shared" si="223"/>
        <v>15637.474465693804</v>
      </c>
      <c r="Q183" s="28">
        <f t="shared" si="223"/>
        <v>16193.628990531251</v>
      </c>
      <c r="R183" s="28">
        <f t="shared" si="223"/>
        <v>16480.78717493482</v>
      </c>
      <c r="S183" s="28">
        <f t="shared" si="223"/>
        <v>16614.441153549655</v>
      </c>
      <c r="T183" s="28">
        <f t="shared" si="223"/>
        <v>16707.424007967111</v>
      </c>
      <c r="U183" s="28">
        <f t="shared" si="223"/>
        <v>16800.276557230885</v>
      </c>
      <c r="V183" s="28">
        <f t="shared" si="223"/>
        <v>16577.312613848928</v>
      </c>
      <c r="W183" s="28">
        <f t="shared" si="221"/>
        <v>16789.66887186018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15748.943333372688</v>
      </c>
      <c r="C184" s="137">
        <f t="shared" si="223"/>
        <v>16151.030900995753</v>
      </c>
      <c r="D184" s="137">
        <f t="shared" si="223"/>
        <v>16347.499945897802</v>
      </c>
      <c r="E184" s="137">
        <f t="shared" si="223"/>
        <v>16066.296662779423</v>
      </c>
      <c r="F184" s="137">
        <f t="shared" si="223"/>
        <v>15726.170004169415</v>
      </c>
      <c r="G184" s="137">
        <f t="shared" si="223"/>
        <v>15512.769045533523</v>
      </c>
      <c r="H184" s="137">
        <f t="shared" si="223"/>
        <v>15128.136937050514</v>
      </c>
      <c r="I184" s="137">
        <f t="shared" si="223"/>
        <v>15444.10922875191</v>
      </c>
      <c r="J184" s="137">
        <f t="shared" si="223"/>
        <v>15550.185102775407</v>
      </c>
      <c r="K184" s="137">
        <f t="shared" si="223"/>
        <v>15425.103831653882</v>
      </c>
      <c r="L184" s="137">
        <f t="shared" si="223"/>
        <v>15401.555376906288</v>
      </c>
      <c r="M184" s="137">
        <f t="shared" si="222"/>
        <v>15712.719684550642</v>
      </c>
      <c r="N184" s="137">
        <f t="shared" si="223"/>
        <v>16048.355137413306</v>
      </c>
      <c r="O184" s="137">
        <f t="shared" si="223"/>
        <v>16126.547079227297</v>
      </c>
      <c r="P184" s="137">
        <f t="shared" si="223"/>
        <v>16131.632231461697</v>
      </c>
      <c r="Q184" s="137">
        <f t="shared" si="223"/>
        <v>16584.541807078873</v>
      </c>
      <c r="R184" s="137">
        <f t="shared" si="223"/>
        <v>16628.994038331286</v>
      </c>
      <c r="S184" s="137">
        <f t="shared" si="223"/>
        <v>16963.066510961569</v>
      </c>
      <c r="T184" s="137">
        <f t="shared" si="223"/>
        <v>17215.50732187312</v>
      </c>
      <c r="U184" s="137">
        <f t="shared" si="223"/>
        <v>17613.25181496808</v>
      </c>
      <c r="V184" s="137">
        <f t="shared" si="223"/>
        <v>17878.554420220134</v>
      </c>
      <c r="W184" s="137">
        <f t="shared" si="221"/>
        <v>18158.499883683471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14354.885081546927</v>
      </c>
      <c r="C185" s="84">
        <f t="shared" si="223"/>
        <v>14720.508190026874</v>
      </c>
      <c r="D185" s="84">
        <f t="shared" si="223"/>
        <v>15095.750839312357</v>
      </c>
      <c r="E185" s="84">
        <f t="shared" si="223"/>
        <v>15025.4578116389</v>
      </c>
      <c r="F185" s="84">
        <f t="shared" si="223"/>
        <v>14971.609711548661</v>
      </c>
      <c r="G185" s="84">
        <f t="shared" si="223"/>
        <v>14917.975148885287</v>
      </c>
      <c r="H185" s="84">
        <f t="shared" si="223"/>
        <v>14556.633608735588</v>
      </c>
      <c r="I185" s="84">
        <f t="shared" si="223"/>
        <v>14657.910572627419</v>
      </c>
      <c r="J185" s="84">
        <f t="shared" si="223"/>
        <v>14747.24873109765</v>
      </c>
      <c r="K185" s="84">
        <f t="shared" si="223"/>
        <v>14403.776784700778</v>
      </c>
      <c r="L185" s="84">
        <f t="shared" si="223"/>
        <v>14053.466684649184</v>
      </c>
      <c r="M185" s="84">
        <f t="shared" si="222"/>
        <v>14128.189795176751</v>
      </c>
      <c r="N185" s="84">
        <f t="shared" si="223"/>
        <v>14206.638426503228</v>
      </c>
      <c r="O185" s="84">
        <f t="shared" si="223"/>
        <v>14258.164500992236</v>
      </c>
      <c r="P185" s="84">
        <f t="shared" si="223"/>
        <v>14590.13771652682</v>
      </c>
      <c r="Q185" s="84">
        <f t="shared" si="223"/>
        <v>14989.126735039326</v>
      </c>
      <c r="R185" s="84">
        <f t="shared" si="223"/>
        <v>14992.020335722011</v>
      </c>
      <c r="S185" s="84">
        <f t="shared" si="223"/>
        <v>15003.436615186474</v>
      </c>
      <c r="T185" s="84">
        <f t="shared" si="223"/>
        <v>15012.519906426549</v>
      </c>
      <c r="U185" s="84">
        <f t="shared" si="223"/>
        <v>15021.686697549143</v>
      </c>
      <c r="V185" s="84">
        <f t="shared" si="223"/>
        <v>15035.498306108269</v>
      </c>
      <c r="W185" s="84">
        <f t="shared" si="221"/>
        <v>15049.01352743065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16580.034515794578</v>
      </c>
      <c r="C186" s="84">
        <f t="shared" si="223"/>
        <v>17002.332829151492</v>
      </c>
      <c r="D186" s="84">
        <f t="shared" si="223"/>
        <v>17090.479593452405</v>
      </c>
      <c r="E186" s="84">
        <f t="shared" si="223"/>
        <v>16674.048687317649</v>
      </c>
      <c r="F186" s="84">
        <f t="shared" si="223"/>
        <v>16285.296493371838</v>
      </c>
      <c r="G186" s="84">
        <f t="shared" si="223"/>
        <v>15905.629899114901</v>
      </c>
      <c r="H186" s="84">
        <f t="shared" si="223"/>
        <v>15520.365495103159</v>
      </c>
      <c r="I186" s="84">
        <f t="shared" si="223"/>
        <v>15944.071763000517</v>
      </c>
      <c r="J186" s="84">
        <f t="shared" si="223"/>
        <v>16041.24891541702</v>
      </c>
      <c r="K186" s="84">
        <f t="shared" si="223"/>
        <v>15984.156915559573</v>
      </c>
      <c r="L186" s="84">
        <f t="shared" si="223"/>
        <v>15910.469651220134</v>
      </c>
      <c r="M186" s="84">
        <f t="shared" si="222"/>
        <v>16318.199213649446</v>
      </c>
      <c r="N186" s="84">
        <f t="shared" si="223"/>
        <v>16740.299234144612</v>
      </c>
      <c r="O186" s="84">
        <f t="shared" si="223"/>
        <v>16948.680822059134</v>
      </c>
      <c r="P186" s="84">
        <f t="shared" si="223"/>
        <v>16999.865767524105</v>
      </c>
      <c r="Q186" s="84">
        <f t="shared" si="223"/>
        <v>17464.752384032578</v>
      </c>
      <c r="R186" s="84">
        <f t="shared" si="223"/>
        <v>17821.015287787537</v>
      </c>
      <c r="S186" s="84">
        <f t="shared" si="223"/>
        <v>18194.880482756067</v>
      </c>
      <c r="T186" s="84">
        <f t="shared" si="223"/>
        <v>18573.69179608547</v>
      </c>
      <c r="U186" s="84">
        <f t="shared" si="223"/>
        <v>18960.488287114233</v>
      </c>
      <c r="V186" s="84">
        <f t="shared" si="223"/>
        <v>19361.313757109914</v>
      </c>
      <c r="W186" s="84">
        <f t="shared" si="221"/>
        <v>19770.206640222561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10646.00259949835</v>
      </c>
      <c r="O187" s="84">
        <f t="shared" si="223"/>
        <v>10856.177624813439</v>
      </c>
      <c r="P187" s="84">
        <f t="shared" si="223"/>
        <v>11065.815405615609</v>
      </c>
      <c r="Q187" s="84">
        <f t="shared" si="223"/>
        <v>11310.836409606787</v>
      </c>
      <c r="R187" s="84">
        <f t="shared" si="223"/>
        <v>11307.753728409576</v>
      </c>
      <c r="S187" s="84">
        <f t="shared" si="223"/>
        <v>11310.804600188345</v>
      </c>
      <c r="T187" s="84">
        <f t="shared" si="223"/>
        <v>11312.172011099321</v>
      </c>
      <c r="U187" s="84">
        <f t="shared" si="223"/>
        <v>11313.595663356122</v>
      </c>
      <c r="V187" s="84">
        <f t="shared" si="223"/>
        <v>11318.353068386934</v>
      </c>
      <c r="W187" s="84">
        <f t="shared" si="221"/>
        <v>11322.89048803548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12375.253378710957</v>
      </c>
      <c r="O188" s="84">
        <f t="shared" si="223"/>
        <v>12619.567539621812</v>
      </c>
      <c r="P188" s="84">
        <f t="shared" si="223"/>
        <v>12863.257190355109</v>
      </c>
      <c r="Q188" s="84">
        <f t="shared" si="223"/>
        <v>13148.077429609968</v>
      </c>
      <c r="R188" s="84">
        <f t="shared" si="223"/>
        <v>13144.494022547578</v>
      </c>
      <c r="S188" s="84">
        <f t="shared" si="223"/>
        <v>13148.040453326208</v>
      </c>
      <c r="T188" s="84">
        <f t="shared" si="223"/>
        <v>13149.629975434435</v>
      </c>
      <c r="U188" s="84">
        <f t="shared" si="223"/>
        <v>13151.284874278994</v>
      </c>
      <c r="V188" s="84">
        <f t="shared" si="223"/>
        <v>13156.815033804243</v>
      </c>
      <c r="W188" s="84">
        <f t="shared" si="221"/>
        <v>13162.08947529639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0</v>
      </c>
      <c r="O189" s="84">
        <f t="shared" si="223"/>
        <v>11483.44205170046</v>
      </c>
      <c r="P189" s="84">
        <f t="shared" si="223"/>
        <v>11488.406182134633</v>
      </c>
      <c r="Q189" s="84">
        <f t="shared" si="223"/>
        <v>11494.890887233409</v>
      </c>
      <c r="R189" s="84">
        <f t="shared" si="223"/>
        <v>11489.540026211538</v>
      </c>
      <c r="S189" s="84">
        <f t="shared" si="223"/>
        <v>11483.895068799067</v>
      </c>
      <c r="T189" s="84">
        <f t="shared" si="223"/>
        <v>11478.334260580519</v>
      </c>
      <c r="U189" s="84">
        <f t="shared" si="223"/>
        <v>11472.773437189366</v>
      </c>
      <c r="V189" s="84">
        <f t="shared" si="223"/>
        <v>11387.287406724328</v>
      </c>
      <c r="W189" s="84">
        <f t="shared" si="221"/>
        <v>11461.349025198266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57125.710064431893</v>
      </c>
      <c r="C190" s="110">
        <f t="shared" si="223"/>
        <v>47000.107837773168</v>
      </c>
      <c r="D190" s="110">
        <f t="shared" si="223"/>
        <v>40466.866287342906</v>
      </c>
      <c r="E190" s="110">
        <f t="shared" si="223"/>
        <v>29984.181159222288</v>
      </c>
      <c r="F190" s="110">
        <f t="shared" si="223"/>
        <v>47226.009022637583</v>
      </c>
      <c r="G190" s="110">
        <f t="shared" si="223"/>
        <v>37078.055084273677</v>
      </c>
      <c r="H190" s="110">
        <f t="shared" si="223"/>
        <v>29333.255674859738</v>
      </c>
      <c r="I190" s="110">
        <f t="shared" si="223"/>
        <v>28151.674695220056</v>
      </c>
      <c r="J190" s="110">
        <f t="shared" si="223"/>
        <v>23774.198746407994</v>
      </c>
      <c r="K190" s="110">
        <f t="shared" si="223"/>
        <v>19076.59230635536</v>
      </c>
      <c r="L190" s="110">
        <f t="shared" si="223"/>
        <v>22430.464636455872</v>
      </c>
      <c r="M190" s="110">
        <f t="shared" si="222"/>
        <v>21964.019789962917</v>
      </c>
      <c r="N190" s="110">
        <f t="shared" si="223"/>
        <v>21052.660757103542</v>
      </c>
      <c r="O190" s="110">
        <f t="shared" si="223"/>
        <v>16783.039675807635</v>
      </c>
      <c r="P190" s="110">
        <f t="shared" si="223"/>
        <v>15070.442808422211</v>
      </c>
      <c r="Q190" s="110">
        <f t="shared" si="223"/>
        <v>15650.847776959457</v>
      </c>
      <c r="R190" s="110">
        <f t="shared" si="223"/>
        <v>16307.946654577247</v>
      </c>
      <c r="S190" s="110">
        <f t="shared" si="223"/>
        <v>16232.787191051346</v>
      </c>
      <c r="T190" s="110">
        <f t="shared" si="223"/>
        <v>16145.234542480599</v>
      </c>
      <c r="U190" s="110">
        <f t="shared" si="223"/>
        <v>16017.010557161384</v>
      </c>
      <c r="V190" s="110">
        <f t="shared" si="223"/>
        <v>15332.380344692248</v>
      </c>
      <c r="W190" s="110">
        <f t="shared" si="221"/>
        <v>15432.468359477247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47025.376539018122</v>
      </c>
      <c r="C191" s="102">
        <f t="shared" si="223"/>
        <v>36497.595357135295</v>
      </c>
      <c r="D191" s="102">
        <f t="shared" si="223"/>
        <v>32895.16202766991</v>
      </c>
      <c r="E191" s="102">
        <f t="shared" si="223"/>
        <v>23539.638386648123</v>
      </c>
      <c r="F191" s="102">
        <f t="shared" si="223"/>
        <v>39360.200721342328</v>
      </c>
      <c r="G191" s="102">
        <f t="shared" si="223"/>
        <v>29835.428655206539</v>
      </c>
      <c r="H191" s="102">
        <f t="shared" si="223"/>
        <v>23228.187240926094</v>
      </c>
      <c r="I191" s="102">
        <f t="shared" si="223"/>
        <v>21476.68338031806</v>
      </c>
      <c r="J191" s="102">
        <f t="shared" si="223"/>
        <v>18825.335199313802</v>
      </c>
      <c r="K191" s="102">
        <f t="shared" si="223"/>
        <v>14363.838214936746</v>
      </c>
      <c r="L191" s="102">
        <f t="shared" si="223"/>
        <v>17975.241648295745</v>
      </c>
      <c r="M191" s="102">
        <f t="shared" si="222"/>
        <v>17302.041691362851</v>
      </c>
      <c r="N191" s="102">
        <f t="shared" si="223"/>
        <v>16236.601323732268</v>
      </c>
      <c r="O191" s="102">
        <f t="shared" si="223"/>
        <v>12355.99774430033</v>
      </c>
      <c r="P191" s="102">
        <f t="shared" si="223"/>
        <v>11297.019527235354</v>
      </c>
      <c r="Q191" s="102">
        <f t="shared" si="223"/>
        <v>11186.458778299871</v>
      </c>
      <c r="R191" s="102">
        <f t="shared" si="223"/>
        <v>12050.970198491244</v>
      </c>
      <c r="S191" s="102">
        <f t="shared" si="223"/>
        <v>11861.445008434637</v>
      </c>
      <c r="T191" s="102">
        <f t="shared" si="223"/>
        <v>11625.071771840268</v>
      </c>
      <c r="U191" s="102">
        <f t="shared" si="223"/>
        <v>11805.37574964486</v>
      </c>
      <c r="V191" s="102">
        <f t="shared" si="223"/>
        <v>11248.547235596878</v>
      </c>
      <c r="W191" s="102">
        <f t="shared" si="221"/>
        <v>11153.672015925604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85007.055107548775</v>
      </c>
      <c r="C192" s="86">
        <f t="shared" si="223"/>
        <v>85000.899883898586</v>
      </c>
      <c r="D192" s="86">
        <f t="shared" si="223"/>
        <v>85001.168101062751</v>
      </c>
      <c r="E192" s="86">
        <f t="shared" si="223"/>
        <v>84999.037240918056</v>
      </c>
      <c r="F192" s="86">
        <f t="shared" si="223"/>
        <v>85006.771917962673</v>
      </c>
      <c r="G192" s="86">
        <f t="shared" si="223"/>
        <v>84992.84093884172</v>
      </c>
      <c r="H192" s="86">
        <f t="shared" si="223"/>
        <v>85000.673863417192</v>
      </c>
      <c r="I192" s="86">
        <f t="shared" si="223"/>
        <v>85002.87913293649</v>
      </c>
      <c r="J192" s="86">
        <f t="shared" si="223"/>
        <v>84992.893700810542</v>
      </c>
      <c r="K192" s="86">
        <f t="shared" si="223"/>
        <v>84998.227901446095</v>
      </c>
      <c r="L192" s="86">
        <f t="shared" si="223"/>
        <v>85006.838673711944</v>
      </c>
      <c r="M192" s="86">
        <f t="shared" si="222"/>
        <v>84995.712421623524</v>
      </c>
      <c r="N192" s="86">
        <f t="shared" si="223"/>
        <v>85001.610574876118</v>
      </c>
      <c r="O192" s="86">
        <f t="shared" si="223"/>
        <v>84994.517094954484</v>
      </c>
      <c r="P192" s="86">
        <f t="shared" si="223"/>
        <v>84999.226379098953</v>
      </c>
      <c r="Q192" s="86">
        <f t="shared" si="223"/>
        <v>84997.607937504159</v>
      </c>
      <c r="R192" s="86">
        <f t="shared" si="223"/>
        <v>85000.01710085271</v>
      </c>
      <c r="S192" s="86">
        <f t="shared" si="223"/>
        <v>85001.183852559217</v>
      </c>
      <c r="T192" s="86">
        <f t="shared" si="223"/>
        <v>84994.997870196079</v>
      </c>
      <c r="U192" s="86">
        <f t="shared" si="223"/>
        <v>84996.589425805389</v>
      </c>
      <c r="V192" s="86">
        <f t="shared" ref="V192:W192" si="224">IF(V55=0,0,V55*1000000/V82)</f>
        <v>84995.614187736137</v>
      </c>
      <c r="W192" s="86">
        <f t="shared" si="224"/>
        <v>85002.657050313966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25023.828360595435</v>
      </c>
      <c r="C195" s="28">
        <f t="shared" si="225"/>
        <v>24708.260357533774</v>
      </c>
      <c r="D195" s="28">
        <f t="shared" si="225"/>
        <v>24741.311569211819</v>
      </c>
      <c r="E195" s="28">
        <f t="shared" si="225"/>
        <v>24053.926204909178</v>
      </c>
      <c r="F195" s="28">
        <f t="shared" si="225"/>
        <v>24992.236858588672</v>
      </c>
      <c r="G195" s="28">
        <f t="shared" si="225"/>
        <v>25139.192093012123</v>
      </c>
      <c r="H195" s="28">
        <f t="shared" si="225"/>
        <v>25050.235419644559</v>
      </c>
      <c r="I195" s="28">
        <f t="shared" si="225"/>
        <v>23015.256464187958</v>
      </c>
      <c r="J195" s="28">
        <f t="shared" si="225"/>
        <v>20863.777223982157</v>
      </c>
      <c r="K195" s="28">
        <f t="shared" si="225"/>
        <v>18960.596027043623</v>
      </c>
      <c r="L195" s="28">
        <f t="shared" si="225"/>
        <v>18235.768865201015</v>
      </c>
      <c r="M195" s="28">
        <f>IF(M4=0,0,M4*1000000/M58)</f>
        <v>17513.57783128618</v>
      </c>
      <c r="N195" s="28">
        <f t="shared" ref="N195:V195" si="226">IF(N4=0,0,N4*1000000/N58)</f>
        <v>16792.690897574012</v>
      </c>
      <c r="O195" s="28">
        <f t="shared" si="226"/>
        <v>16296.141991032968</v>
      </c>
      <c r="P195" s="28">
        <f t="shared" si="226"/>
        <v>15794.443600804972</v>
      </c>
      <c r="Q195" s="28">
        <f t="shared" si="226"/>
        <v>15253.516548923331</v>
      </c>
      <c r="R195" s="28">
        <f t="shared" si="226"/>
        <v>14998.591743157465</v>
      </c>
      <c r="S195" s="28">
        <f t="shared" si="226"/>
        <v>14441.604888093912</v>
      </c>
      <c r="T195" s="28">
        <f t="shared" si="226"/>
        <v>14086.463256638774</v>
      </c>
      <c r="U195" s="28">
        <f t="shared" si="226"/>
        <v>13694.565853416279</v>
      </c>
      <c r="V195" s="28">
        <f t="shared" si="226"/>
        <v>11020.006998213708</v>
      </c>
      <c r="W195" s="28">
        <f t="shared" ref="W195" si="227">IF(W4=0,0,W4*1000000/W58)</f>
        <v>11262.584627925833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1317.7635472008972</v>
      </c>
      <c r="C196" s="137">
        <f t="shared" si="228"/>
        <v>1361.1444361362292</v>
      </c>
      <c r="D196" s="137">
        <f t="shared" si="228"/>
        <v>1161.0468662473065</v>
      </c>
      <c r="E196" s="137">
        <f t="shared" si="228"/>
        <v>1162.3358678769519</v>
      </c>
      <c r="F196" s="137">
        <f t="shared" si="228"/>
        <v>1150.0392649281348</v>
      </c>
      <c r="G196" s="137">
        <f t="shared" si="228"/>
        <v>1160.0223908130129</v>
      </c>
      <c r="H196" s="137">
        <f t="shared" si="228"/>
        <v>1166.9644943882854</v>
      </c>
      <c r="I196" s="137">
        <f t="shared" si="228"/>
        <v>1163.4290695587601</v>
      </c>
      <c r="J196" s="137">
        <f t="shared" si="228"/>
        <v>1151.8360016955855</v>
      </c>
      <c r="K196" s="137">
        <f t="shared" si="228"/>
        <v>867.51464720158799</v>
      </c>
      <c r="L196" s="137">
        <f t="shared" si="228"/>
        <v>741.56197560490796</v>
      </c>
      <c r="M196" s="137">
        <f>IF(M5=0,0,M5*1000000/M59)</f>
        <v>840.23704630529323</v>
      </c>
      <c r="N196" s="137">
        <f t="shared" ref="N196:V196" si="229">IF(N5=0,0,N5*1000000/N59)</f>
        <v>922.3064218609444</v>
      </c>
      <c r="O196" s="137">
        <f t="shared" si="229"/>
        <v>886.7716125891609</v>
      </c>
      <c r="P196" s="137">
        <f t="shared" si="229"/>
        <v>929.2427250880512</v>
      </c>
      <c r="Q196" s="137">
        <f t="shared" si="229"/>
        <v>970.93453719812646</v>
      </c>
      <c r="R196" s="137">
        <f t="shared" si="229"/>
        <v>989.24651278218209</v>
      </c>
      <c r="S196" s="137">
        <f t="shared" si="229"/>
        <v>892.87378048339554</v>
      </c>
      <c r="T196" s="137">
        <f t="shared" si="229"/>
        <v>815.81422702353802</v>
      </c>
      <c r="U196" s="137">
        <f t="shared" si="229"/>
        <v>832.26887757199631</v>
      </c>
      <c r="V196" s="137">
        <f t="shared" si="229"/>
        <v>716.6846880915889</v>
      </c>
      <c r="W196" s="137">
        <f t="shared" ref="W196" si="230">IF(W5=0,0,W5*1000000/W59)</f>
        <v>715.002515343867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18779.62643227123</v>
      </c>
      <c r="C197" s="110">
        <f t="shared" si="231"/>
        <v>18607.673267326732</v>
      </c>
      <c r="D197" s="110">
        <f t="shared" si="231"/>
        <v>18824.327379606602</v>
      </c>
      <c r="E197" s="110">
        <f t="shared" si="231"/>
        <v>18599.026692228286</v>
      </c>
      <c r="F197" s="110">
        <f t="shared" si="231"/>
        <v>19353.537452594072</v>
      </c>
      <c r="G197" s="110">
        <f t="shared" si="231"/>
        <v>19808.177316323337</v>
      </c>
      <c r="H197" s="110">
        <f t="shared" si="231"/>
        <v>19750.342830622554</v>
      </c>
      <c r="I197" s="110">
        <f t="shared" si="231"/>
        <v>18127.853180708069</v>
      </c>
      <c r="J197" s="110">
        <f t="shared" si="231"/>
        <v>17085.380946709407</v>
      </c>
      <c r="K197" s="110">
        <f t="shared" si="231"/>
        <v>16626.348924258862</v>
      </c>
      <c r="L197" s="110">
        <f t="shared" si="231"/>
        <v>16104.226018759005</v>
      </c>
      <c r="M197" s="110">
        <f>IF(M6=0,0,M6*1000000/M60)</f>
        <v>15370.148059223689</v>
      </c>
      <c r="N197" s="110">
        <f t="shared" ref="N197:V197" si="232">IF(N6=0,0,N6*1000000/N60)</f>
        <v>14765.457545540761</v>
      </c>
      <c r="O197" s="110">
        <f t="shared" si="232"/>
        <v>14446.00079052687</v>
      </c>
      <c r="P197" s="110">
        <f t="shared" si="232"/>
        <v>13981.647516360492</v>
      </c>
      <c r="Q197" s="110">
        <f t="shared" si="232"/>
        <v>13531.579583735956</v>
      </c>
      <c r="R197" s="110">
        <f t="shared" si="232"/>
        <v>13119.210622809027</v>
      </c>
      <c r="S197" s="110">
        <f t="shared" si="232"/>
        <v>12648.906917629616</v>
      </c>
      <c r="T197" s="110">
        <f t="shared" si="232"/>
        <v>12258.744801017227</v>
      </c>
      <c r="U197" s="110">
        <f t="shared" si="232"/>
        <v>11955.328781986123</v>
      </c>
      <c r="V197" s="110">
        <f t="shared" si="232"/>
        <v>10175.438197950194</v>
      </c>
      <c r="W197" s="110">
        <f t="shared" ref="W197:W209" si="233">IF(W6=0,0,W6*1000000/W60)</f>
        <v>10694.838712355391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17764.721701744103</v>
      </c>
      <c r="C198" s="84">
        <f t="shared" si="231"/>
        <v>17580.854342026123</v>
      </c>
      <c r="D198" s="84">
        <f t="shared" si="231"/>
        <v>17688.42203252636</v>
      </c>
      <c r="E198" s="84">
        <f t="shared" si="231"/>
        <v>17357.755311373894</v>
      </c>
      <c r="F198" s="84">
        <f t="shared" si="231"/>
        <v>18123.256818356909</v>
      </c>
      <c r="G198" s="84">
        <f t="shared" si="231"/>
        <v>18534.938777841377</v>
      </c>
      <c r="H198" s="84">
        <f t="shared" si="231"/>
        <v>18386.234928017686</v>
      </c>
      <c r="I198" s="84">
        <f t="shared" si="231"/>
        <v>16454.663469028605</v>
      </c>
      <c r="J198" s="84">
        <f t="shared" si="231"/>
        <v>15186.564518112236</v>
      </c>
      <c r="K198" s="84">
        <f t="shared" si="231"/>
        <v>14653.337298773558</v>
      </c>
      <c r="L198" s="84">
        <f t="shared" si="231"/>
        <v>14160.705624717993</v>
      </c>
      <c r="M198" s="84">
        <f t="shared" ref="M198:M219" si="234">IF(M7=0,0,M7*1000000/M61)</f>
        <v>13335.581924356378</v>
      </c>
      <c r="N198" s="84">
        <f t="shared" si="231"/>
        <v>12815.941350834868</v>
      </c>
      <c r="O198" s="84">
        <f t="shared" si="231"/>
        <v>12648.60172978232</v>
      </c>
      <c r="P198" s="84">
        <f t="shared" si="231"/>
        <v>12303.163726159682</v>
      </c>
      <c r="Q198" s="84">
        <f t="shared" si="231"/>
        <v>11987.686268786283</v>
      </c>
      <c r="R198" s="84">
        <f t="shared" si="231"/>
        <v>11596.729611312903</v>
      </c>
      <c r="S198" s="84">
        <f t="shared" si="231"/>
        <v>11121.791112881032</v>
      </c>
      <c r="T198" s="84">
        <f t="shared" si="231"/>
        <v>10710.217371303794</v>
      </c>
      <c r="U198" s="84">
        <f t="shared" si="231"/>
        <v>10375.810566367623</v>
      </c>
      <c r="V198" s="84">
        <f t="shared" si="231"/>
        <v>8755.5145635603185</v>
      </c>
      <c r="W198" s="84">
        <f t="shared" si="233"/>
        <v>9126.0613510802432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23258.243906803778</v>
      </c>
      <c r="C199" s="84">
        <f t="shared" si="231"/>
        <v>22867.40957383659</v>
      </c>
      <c r="D199" s="84">
        <f t="shared" si="231"/>
        <v>22966.782113713169</v>
      </c>
      <c r="E199" s="84">
        <f t="shared" si="231"/>
        <v>22909.617672713703</v>
      </c>
      <c r="F199" s="84">
        <f t="shared" si="231"/>
        <v>23353.368373381578</v>
      </c>
      <c r="G199" s="84">
        <f t="shared" si="231"/>
        <v>23849.577164995659</v>
      </c>
      <c r="H199" s="84">
        <f t="shared" si="231"/>
        <v>23962.989500064414</v>
      </c>
      <c r="I199" s="84">
        <f t="shared" si="231"/>
        <v>23221.236149912584</v>
      </c>
      <c r="J199" s="84">
        <f t="shared" si="231"/>
        <v>22870.797367514559</v>
      </c>
      <c r="K199" s="84">
        <f t="shared" si="231"/>
        <v>22513.576497943141</v>
      </c>
      <c r="L199" s="84">
        <f t="shared" si="231"/>
        <v>21972.048471326056</v>
      </c>
      <c r="M199" s="84">
        <f t="shared" si="234"/>
        <v>21325.158898530517</v>
      </c>
      <c r="N199" s="84">
        <f t="shared" si="231"/>
        <v>20494.192701230171</v>
      </c>
      <c r="O199" s="84">
        <f t="shared" si="231"/>
        <v>19826.07035520715</v>
      </c>
      <c r="P199" s="84">
        <f t="shared" si="231"/>
        <v>18902.73949667413</v>
      </c>
      <c r="Q199" s="84">
        <f t="shared" si="231"/>
        <v>18053.322279160762</v>
      </c>
      <c r="R199" s="84">
        <f t="shared" si="231"/>
        <v>17817.365007499528</v>
      </c>
      <c r="S199" s="84">
        <f t="shared" si="231"/>
        <v>17432.868690987838</v>
      </c>
      <c r="T199" s="84">
        <f t="shared" si="231"/>
        <v>17126.893192692707</v>
      </c>
      <c r="U199" s="84">
        <f t="shared" si="231"/>
        <v>16927.332204421444</v>
      </c>
      <c r="V199" s="84">
        <f t="shared" si="231"/>
        <v>14572.509169619041</v>
      </c>
      <c r="W199" s="84">
        <f t="shared" si="233"/>
        <v>15496.093413932098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0</v>
      </c>
      <c r="C200" s="84">
        <f t="shared" si="231"/>
        <v>0</v>
      </c>
      <c r="D200" s="84">
        <f t="shared" si="231"/>
        <v>0</v>
      </c>
      <c r="E200" s="84">
        <f t="shared" si="231"/>
        <v>0</v>
      </c>
      <c r="F200" s="84">
        <f t="shared" si="231"/>
        <v>0</v>
      </c>
      <c r="G200" s="84">
        <f t="shared" si="231"/>
        <v>23483.057504487795</v>
      </c>
      <c r="H200" s="84">
        <f t="shared" si="231"/>
        <v>23329.033435437141</v>
      </c>
      <c r="I200" s="84">
        <f t="shared" si="231"/>
        <v>20685.253274113831</v>
      </c>
      <c r="J200" s="84">
        <f t="shared" si="231"/>
        <v>18913.334209226894</v>
      </c>
      <c r="K200" s="84">
        <f t="shared" si="231"/>
        <v>18075.918307063217</v>
      </c>
      <c r="L200" s="84">
        <f t="shared" si="231"/>
        <v>17295.656357078322</v>
      </c>
      <c r="M200" s="84">
        <f t="shared" si="234"/>
        <v>16119.975171912078</v>
      </c>
      <c r="N200" s="84">
        <f t="shared" si="231"/>
        <v>15491.671272271402</v>
      </c>
      <c r="O200" s="84">
        <f t="shared" si="231"/>
        <v>15001.3299943498</v>
      </c>
      <c r="P200" s="84">
        <f t="shared" si="231"/>
        <v>14701.880990843032</v>
      </c>
      <c r="Q200" s="84">
        <f t="shared" si="231"/>
        <v>14467.819898553902</v>
      </c>
      <c r="R200" s="84">
        <f t="shared" si="231"/>
        <v>13853.747990587295</v>
      </c>
      <c r="S200" s="84">
        <f t="shared" si="231"/>
        <v>13154.935324961765</v>
      </c>
      <c r="T200" s="84">
        <f t="shared" si="231"/>
        <v>13053.555830354144</v>
      </c>
      <c r="U200" s="84">
        <f t="shared" si="231"/>
        <v>13031.573325266678</v>
      </c>
      <c r="V200" s="84">
        <f t="shared" si="231"/>
        <v>11331.828043085832</v>
      </c>
      <c r="W200" s="84">
        <f t="shared" si="233"/>
        <v>12171.02895726838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16700.440243110406</v>
      </c>
      <c r="D201" s="84">
        <f t="shared" si="231"/>
        <v>16970.229728949045</v>
      </c>
      <c r="E201" s="84">
        <f t="shared" si="231"/>
        <v>16831.802660907364</v>
      </c>
      <c r="F201" s="84">
        <f t="shared" si="231"/>
        <v>17714.918236811813</v>
      </c>
      <c r="G201" s="84">
        <f t="shared" si="231"/>
        <v>18274.292245707289</v>
      </c>
      <c r="H201" s="84">
        <f t="shared" si="231"/>
        <v>18316.745905148651</v>
      </c>
      <c r="I201" s="84">
        <f t="shared" si="231"/>
        <v>16636.961171976476</v>
      </c>
      <c r="J201" s="84">
        <f t="shared" si="231"/>
        <v>15562.075365803319</v>
      </c>
      <c r="K201" s="84">
        <f t="shared" si="231"/>
        <v>15191.174338053577</v>
      </c>
      <c r="L201" s="84">
        <f t="shared" si="231"/>
        <v>14832.548070121395</v>
      </c>
      <c r="M201" s="84">
        <f t="shared" si="234"/>
        <v>14139.240619647657</v>
      </c>
      <c r="N201" s="84">
        <f t="shared" si="231"/>
        <v>13746.659949360439</v>
      </c>
      <c r="O201" s="84">
        <f t="shared" si="231"/>
        <v>13437.800218581384</v>
      </c>
      <c r="P201" s="84">
        <f t="shared" si="231"/>
        <v>12956.77300297327</v>
      </c>
      <c r="Q201" s="84">
        <f t="shared" si="231"/>
        <v>12517.350282845269</v>
      </c>
      <c r="R201" s="84">
        <f t="shared" si="231"/>
        <v>12248.943592789226</v>
      </c>
      <c r="S201" s="84">
        <f t="shared" si="231"/>
        <v>11890.736928126584</v>
      </c>
      <c r="T201" s="84">
        <f t="shared" si="231"/>
        <v>11584.140537642799</v>
      </c>
      <c r="U201" s="84">
        <f t="shared" si="231"/>
        <v>11351.781437932588</v>
      </c>
      <c r="V201" s="84">
        <f t="shared" si="231"/>
        <v>9721.329889889359</v>
      </c>
      <c r="W201" s="84">
        <f t="shared" si="233"/>
        <v>10234.734378120378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16195.273549013455</v>
      </c>
      <c r="O202" s="84">
        <f t="shared" si="231"/>
        <v>16651.792023548991</v>
      </c>
      <c r="P202" s="84">
        <f t="shared" si="231"/>
        <v>16878.66192501046</v>
      </c>
      <c r="Q202" s="84">
        <f t="shared" si="231"/>
        <v>17134.470014343042</v>
      </c>
      <c r="R202" s="84">
        <f t="shared" si="231"/>
        <v>15904.953173886881</v>
      </c>
      <c r="S202" s="84">
        <f t="shared" si="231"/>
        <v>14640.346598979826</v>
      </c>
      <c r="T202" s="84">
        <f t="shared" si="231"/>
        <v>13530.533027011146</v>
      </c>
      <c r="U202" s="84">
        <f t="shared" si="231"/>
        <v>12580.745016374371</v>
      </c>
      <c r="V202" s="84">
        <f t="shared" si="231"/>
        <v>10189.031792853919</v>
      </c>
      <c r="W202" s="84">
        <f t="shared" si="233"/>
        <v>10192.569254159403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0</v>
      </c>
      <c r="M203" s="84">
        <f t="shared" si="234"/>
        <v>11334.238098851576</v>
      </c>
      <c r="N203" s="84">
        <f t="shared" si="231"/>
        <v>11431.63440651615</v>
      </c>
      <c r="O203" s="84">
        <f t="shared" si="231"/>
        <v>11351.843823789388</v>
      </c>
      <c r="P203" s="84">
        <f t="shared" si="231"/>
        <v>11245.37220088217</v>
      </c>
      <c r="Q203" s="84">
        <f t="shared" si="231"/>
        <v>11265.596140967044</v>
      </c>
      <c r="R203" s="84">
        <f t="shared" si="231"/>
        <v>11334.541406451484</v>
      </c>
      <c r="S203" s="84">
        <f t="shared" si="231"/>
        <v>11395.565696481917</v>
      </c>
      <c r="T203" s="84">
        <f t="shared" si="231"/>
        <v>11398.007367269776</v>
      </c>
      <c r="U203" s="84">
        <f t="shared" si="231"/>
        <v>11426.125807367884</v>
      </c>
      <c r="V203" s="84">
        <f t="shared" si="231"/>
        <v>10431.827783601235</v>
      </c>
      <c r="W203" s="84">
        <f t="shared" si="233"/>
        <v>11172.428842695268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835721.90330971393</v>
      </c>
      <c r="C204" s="110">
        <f t="shared" si="231"/>
        <v>849080.46836256771</v>
      </c>
      <c r="D204" s="110">
        <f t="shared" si="231"/>
        <v>853681.77681373456</v>
      </c>
      <c r="E204" s="110">
        <f t="shared" si="231"/>
        <v>808514.04349428671</v>
      </c>
      <c r="F204" s="110">
        <f t="shared" si="231"/>
        <v>961721.71593131928</v>
      </c>
      <c r="G204" s="110">
        <f t="shared" si="231"/>
        <v>909048.38798977854</v>
      </c>
      <c r="H204" s="110">
        <f t="shared" si="231"/>
        <v>957395.14884233742</v>
      </c>
      <c r="I204" s="110">
        <f t="shared" si="231"/>
        <v>804169.71837531391</v>
      </c>
      <c r="J204" s="110">
        <f t="shared" si="231"/>
        <v>689440.54054054059</v>
      </c>
      <c r="K204" s="110">
        <f t="shared" si="231"/>
        <v>555946.7052860246</v>
      </c>
      <c r="L204" s="110">
        <f t="shared" si="231"/>
        <v>548125.98793677206</v>
      </c>
      <c r="M204" s="110">
        <f t="shared" si="234"/>
        <v>586284.83301220299</v>
      </c>
      <c r="N204" s="110">
        <f t="shared" si="231"/>
        <v>588780.77498374158</v>
      </c>
      <c r="O204" s="110">
        <f t="shared" si="231"/>
        <v>579593.67214199109</v>
      </c>
      <c r="P204" s="110">
        <f t="shared" si="231"/>
        <v>584475.23965498433</v>
      </c>
      <c r="Q204" s="110">
        <f t="shared" si="231"/>
        <v>579032.41100323619</v>
      </c>
      <c r="R204" s="110">
        <f t="shared" si="231"/>
        <v>647997.45792542072</v>
      </c>
      <c r="S204" s="110">
        <f t="shared" si="231"/>
        <v>641164.37614976731</v>
      </c>
      <c r="T204" s="110">
        <f t="shared" si="231"/>
        <v>666346.25654170685</v>
      </c>
      <c r="U204" s="110">
        <f t="shared" si="231"/>
        <v>667998.2725113366</v>
      </c>
      <c r="V204" s="110">
        <f t="shared" si="231"/>
        <v>458353.7481626654</v>
      </c>
      <c r="W204" s="110">
        <f t="shared" si="233"/>
        <v>384707.28793309437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0</v>
      </c>
      <c r="C205" s="102">
        <f t="shared" si="231"/>
        <v>0</v>
      </c>
      <c r="D205" s="102">
        <f t="shared" si="231"/>
        <v>0</v>
      </c>
      <c r="E205" s="102">
        <f t="shared" si="231"/>
        <v>0</v>
      </c>
      <c r="F205" s="102">
        <f t="shared" si="231"/>
        <v>0</v>
      </c>
      <c r="G205" s="102">
        <f t="shared" si="231"/>
        <v>0</v>
      </c>
      <c r="H205" s="102">
        <f t="shared" si="231"/>
        <v>0</v>
      </c>
      <c r="I205" s="102">
        <f t="shared" si="231"/>
        <v>0</v>
      </c>
      <c r="J205" s="102">
        <f t="shared" si="231"/>
        <v>0</v>
      </c>
      <c r="K205" s="102">
        <f t="shared" si="231"/>
        <v>0</v>
      </c>
      <c r="L205" s="102">
        <f t="shared" si="231"/>
        <v>0</v>
      </c>
      <c r="M205" s="102">
        <f t="shared" si="234"/>
        <v>0</v>
      </c>
      <c r="N205" s="102">
        <f t="shared" si="231"/>
        <v>0</v>
      </c>
      <c r="O205" s="102">
        <f t="shared" si="231"/>
        <v>0</v>
      </c>
      <c r="P205" s="102">
        <f t="shared" si="231"/>
        <v>0</v>
      </c>
      <c r="Q205" s="102">
        <f t="shared" si="231"/>
        <v>0</v>
      </c>
      <c r="R205" s="102">
        <f t="shared" si="231"/>
        <v>0</v>
      </c>
      <c r="S205" s="102">
        <f t="shared" si="231"/>
        <v>0</v>
      </c>
      <c r="T205" s="102">
        <f t="shared" si="231"/>
        <v>0</v>
      </c>
      <c r="U205" s="102">
        <f t="shared" si="231"/>
        <v>0</v>
      </c>
      <c r="V205" s="102">
        <f t="shared" si="231"/>
        <v>0</v>
      </c>
      <c r="W205" s="102">
        <f t="shared" si="233"/>
        <v>0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835721.90330971393</v>
      </c>
      <c r="C206" s="102">
        <f t="shared" si="231"/>
        <v>849080.46836256771</v>
      </c>
      <c r="D206" s="102">
        <f t="shared" si="231"/>
        <v>853681.77681373456</v>
      </c>
      <c r="E206" s="102">
        <f t="shared" si="231"/>
        <v>808514.04349428671</v>
      </c>
      <c r="F206" s="102">
        <f t="shared" si="231"/>
        <v>961721.71593131928</v>
      </c>
      <c r="G206" s="102">
        <f t="shared" si="231"/>
        <v>909048.38798977854</v>
      </c>
      <c r="H206" s="102">
        <f t="shared" si="231"/>
        <v>957395.14884233742</v>
      </c>
      <c r="I206" s="102">
        <f t="shared" si="231"/>
        <v>804169.71837531391</v>
      </c>
      <c r="J206" s="102">
        <f t="shared" si="231"/>
        <v>689440.54054054059</v>
      </c>
      <c r="K206" s="102">
        <f t="shared" si="231"/>
        <v>555946.7052860246</v>
      </c>
      <c r="L206" s="102">
        <f t="shared" si="231"/>
        <v>545917.31090141227</v>
      </c>
      <c r="M206" s="102">
        <f t="shared" si="234"/>
        <v>580276.07995989593</v>
      </c>
      <c r="N206" s="102">
        <f t="shared" si="231"/>
        <v>582851.3338316381</v>
      </c>
      <c r="O206" s="102">
        <f t="shared" si="231"/>
        <v>573412.05218586093</v>
      </c>
      <c r="P206" s="102">
        <f t="shared" si="231"/>
        <v>576305.76047053118</v>
      </c>
      <c r="Q206" s="102">
        <f t="shared" si="231"/>
        <v>568581.66197761905</v>
      </c>
      <c r="R206" s="102">
        <f t="shared" si="231"/>
        <v>641268.33957184327</v>
      </c>
      <c r="S206" s="102">
        <f t="shared" si="231"/>
        <v>634544.1015272002</v>
      </c>
      <c r="T206" s="102">
        <f t="shared" si="231"/>
        <v>659335.60368600814</v>
      </c>
      <c r="U206" s="102">
        <f t="shared" si="231"/>
        <v>661386.16871504707</v>
      </c>
      <c r="V206" s="102">
        <f t="shared" si="231"/>
        <v>452162.44493517611</v>
      </c>
      <c r="W206" s="102">
        <f t="shared" si="233"/>
        <v>377576.89858775213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0</v>
      </c>
      <c r="L208" s="102">
        <f t="shared" si="231"/>
        <v>0</v>
      </c>
      <c r="M208" s="102">
        <f t="shared" si="234"/>
        <v>0</v>
      </c>
      <c r="N208" s="102">
        <f t="shared" si="231"/>
        <v>0</v>
      </c>
      <c r="O208" s="102">
        <f t="shared" si="231"/>
        <v>0</v>
      </c>
      <c r="P208" s="102">
        <f t="shared" si="231"/>
        <v>0</v>
      </c>
      <c r="Q208" s="102">
        <f t="shared" si="231"/>
        <v>0</v>
      </c>
      <c r="R208" s="102">
        <f t="shared" si="231"/>
        <v>422443.11950586538</v>
      </c>
      <c r="S208" s="102">
        <f t="shared" si="231"/>
        <v>410171.324922306</v>
      </c>
      <c r="T208" s="102">
        <f t="shared" si="231"/>
        <v>418144.66550869733</v>
      </c>
      <c r="U208" s="102">
        <f t="shared" si="231"/>
        <v>422795.83518136252</v>
      </c>
      <c r="V208" s="102">
        <f t="shared" si="231"/>
        <v>295571.6507193154</v>
      </c>
      <c r="W208" s="102">
        <f t="shared" si="233"/>
        <v>252713.29514591303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729009.02100503061</v>
      </c>
      <c r="M209" s="102">
        <f t="shared" si="234"/>
        <v>789730.44941755442</v>
      </c>
      <c r="N209" s="102">
        <f t="shared" si="231"/>
        <v>786215.73557627189</v>
      </c>
      <c r="O209" s="102">
        <f t="shared" si="231"/>
        <v>785010.06962758303</v>
      </c>
      <c r="P209" s="102">
        <f t="shared" si="231"/>
        <v>783575.17833869357</v>
      </c>
      <c r="Q209" s="102">
        <f t="shared" si="231"/>
        <v>783389.74061946303</v>
      </c>
      <c r="R209" s="102">
        <f t="shared" si="231"/>
        <v>861965.00322924415</v>
      </c>
      <c r="S209" s="102">
        <f t="shared" si="231"/>
        <v>829493.30858204421</v>
      </c>
      <c r="T209" s="102">
        <f t="shared" si="231"/>
        <v>845369.59141260607</v>
      </c>
      <c r="U209" s="102">
        <f t="shared" si="231"/>
        <v>827547.6895955716</v>
      </c>
      <c r="V209" s="102">
        <f t="shared" si="231"/>
        <v>571065.85457648151</v>
      </c>
      <c r="W209" s="102">
        <f t="shared" si="233"/>
        <v>499172.47989743226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74447.933882245867</v>
      </c>
      <c r="C210" s="28">
        <f t="shared" si="231"/>
        <v>76466.806827474866</v>
      </c>
      <c r="D210" s="28">
        <f t="shared" si="231"/>
        <v>70897.217357196962</v>
      </c>
      <c r="E210" s="28">
        <f t="shared" si="231"/>
        <v>67160.798568167913</v>
      </c>
      <c r="F210" s="28">
        <f t="shared" ref="B210:V219" si="235">IF(F19=0,0,F19*1000000/F73)</f>
        <v>73045.314989695413</v>
      </c>
      <c r="G210" s="28">
        <f t="shared" si="235"/>
        <v>66844.924447791636</v>
      </c>
      <c r="H210" s="28">
        <f t="shared" si="235"/>
        <v>60205.181859065946</v>
      </c>
      <c r="I210" s="28">
        <f t="shared" si="235"/>
        <v>61660.792546894525</v>
      </c>
      <c r="J210" s="28">
        <f t="shared" si="235"/>
        <v>56025.569959392407</v>
      </c>
      <c r="K210" s="28">
        <f t="shared" si="235"/>
        <v>47254.971790689124</v>
      </c>
      <c r="L210" s="28">
        <f t="shared" si="235"/>
        <v>46691.220330786782</v>
      </c>
      <c r="M210" s="28">
        <f t="shared" si="234"/>
        <v>46476.476639302644</v>
      </c>
      <c r="N210" s="28">
        <f t="shared" si="235"/>
        <v>46623.665738750322</v>
      </c>
      <c r="O210" s="28">
        <f t="shared" si="235"/>
        <v>46294.914775969752</v>
      </c>
      <c r="P210" s="28">
        <f t="shared" si="235"/>
        <v>48120.31959758234</v>
      </c>
      <c r="Q210" s="28">
        <f t="shared" si="235"/>
        <v>49579.656257910043</v>
      </c>
      <c r="R210" s="28">
        <f t="shared" si="235"/>
        <v>52565.893504481159</v>
      </c>
      <c r="S210" s="28">
        <f t="shared" si="235"/>
        <v>56530.122832996218</v>
      </c>
      <c r="T210" s="28">
        <f t="shared" si="235"/>
        <v>58878.820830704848</v>
      </c>
      <c r="U210" s="28">
        <f t="shared" si="235"/>
        <v>58690.722392143398</v>
      </c>
      <c r="V210" s="28">
        <f t="shared" si="235"/>
        <v>55999.760809498919</v>
      </c>
      <c r="W210" s="28">
        <f t="shared" ref="W210" si="236">IF(W19=0,0,W19*1000000/W73)</f>
        <v>57119.254302136076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1753.6768640537396</v>
      </c>
      <c r="C211" s="137">
        <f t="shared" si="235"/>
        <v>1789.6031036122652</v>
      </c>
      <c r="D211" s="137">
        <f t="shared" si="235"/>
        <v>1805.6783653711846</v>
      </c>
      <c r="E211" s="137">
        <f t="shared" si="235"/>
        <v>1780.9788207845131</v>
      </c>
      <c r="F211" s="137">
        <f t="shared" si="235"/>
        <v>1722.3640287527332</v>
      </c>
      <c r="G211" s="137">
        <f t="shared" si="235"/>
        <v>1714.9191318496873</v>
      </c>
      <c r="H211" s="137">
        <f t="shared" si="235"/>
        <v>1676.600916340373</v>
      </c>
      <c r="I211" s="137">
        <f t="shared" si="235"/>
        <v>1714.7143071325831</v>
      </c>
      <c r="J211" s="137">
        <f t="shared" si="235"/>
        <v>1728.4216076941584</v>
      </c>
      <c r="K211" s="137">
        <f t="shared" si="235"/>
        <v>1730.717809928512</v>
      </c>
      <c r="L211" s="137">
        <f t="shared" si="235"/>
        <v>1766.1276761171487</v>
      </c>
      <c r="M211" s="137">
        <f t="shared" si="234"/>
        <v>1794.8166045785888</v>
      </c>
      <c r="N211" s="137">
        <f t="shared" si="235"/>
        <v>1828.2865975716409</v>
      </c>
      <c r="O211" s="137">
        <f t="shared" si="235"/>
        <v>1821.0697270969149</v>
      </c>
      <c r="P211" s="137">
        <f t="shared" si="235"/>
        <v>1805.4098530283422</v>
      </c>
      <c r="Q211" s="137">
        <f t="shared" si="235"/>
        <v>1847.0656662382407</v>
      </c>
      <c r="R211" s="137">
        <f t="shared" si="235"/>
        <v>1821.30096059931</v>
      </c>
      <c r="S211" s="137">
        <f t="shared" si="235"/>
        <v>1868.675960099102</v>
      </c>
      <c r="T211" s="137">
        <f t="shared" si="235"/>
        <v>1894.5226268604956</v>
      </c>
      <c r="U211" s="137">
        <f t="shared" si="235"/>
        <v>1950.0541060848359</v>
      </c>
      <c r="V211" s="137">
        <f t="shared" si="235"/>
        <v>1974.0470150286858</v>
      </c>
      <c r="W211" s="137">
        <f t="shared" ref="W211" si="237">IF(W20=0,0,W20*1000000/W74)</f>
        <v>2000.0972976772755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1339.5065213687783</v>
      </c>
      <c r="C212" s="84">
        <f t="shared" si="235"/>
        <v>1366.7317983376636</v>
      </c>
      <c r="D212" s="84">
        <f t="shared" si="235"/>
        <v>1394.5331145170528</v>
      </c>
      <c r="E212" s="84">
        <f t="shared" si="235"/>
        <v>1389.3358010924078</v>
      </c>
      <c r="F212" s="84">
        <f t="shared" si="235"/>
        <v>1385.3511002374294</v>
      </c>
      <c r="G212" s="84">
        <f t="shared" si="235"/>
        <v>1381.3793505923632</v>
      </c>
      <c r="H212" s="84">
        <f t="shared" si="235"/>
        <v>1354.5461835110746</v>
      </c>
      <c r="I212" s="84">
        <f t="shared" si="235"/>
        <v>1362.0802960255774</v>
      </c>
      <c r="J212" s="84">
        <f t="shared" si="235"/>
        <v>1368.7176272593863</v>
      </c>
      <c r="K212" s="84">
        <f t="shared" si="235"/>
        <v>1343.1550900335342</v>
      </c>
      <c r="L212" s="84">
        <f t="shared" si="235"/>
        <v>1316.9577155637446</v>
      </c>
      <c r="M212" s="84">
        <f t="shared" si="234"/>
        <v>1322.5566167561824</v>
      </c>
      <c r="N212" s="84">
        <f t="shared" si="235"/>
        <v>1328.4282974412899</v>
      </c>
      <c r="O212" s="84">
        <f t="shared" si="235"/>
        <v>1332.2813640785446</v>
      </c>
      <c r="P212" s="84">
        <f t="shared" si="235"/>
        <v>1357.0397504535824</v>
      </c>
      <c r="Q212" s="84">
        <f t="shared" si="235"/>
        <v>1386.6476549970873</v>
      </c>
      <c r="R212" s="84">
        <f t="shared" si="235"/>
        <v>1386.8618010094556</v>
      </c>
      <c r="S212" s="84">
        <f t="shared" si="235"/>
        <v>1387.7066022441832</v>
      </c>
      <c r="T212" s="84">
        <f t="shared" si="235"/>
        <v>1388.3786712166993</v>
      </c>
      <c r="U212" s="84">
        <f t="shared" si="235"/>
        <v>1389.0568358646346</v>
      </c>
      <c r="V212" s="84">
        <f t="shared" si="235"/>
        <v>1390.0784705906681</v>
      </c>
      <c r="W212" s="84">
        <f t="shared" ref="W212" si="238">IF(W21=0,0,W21*1000000/W75)</f>
        <v>1391.0780000854897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2000.5914527198281</v>
      </c>
      <c r="C213" s="84">
        <f t="shared" si="235"/>
        <v>2041.2531856289179</v>
      </c>
      <c r="D213" s="84">
        <f t="shared" si="235"/>
        <v>2049.7149314580015</v>
      </c>
      <c r="E213" s="84">
        <f t="shared" si="235"/>
        <v>2009.6615201796446</v>
      </c>
      <c r="F213" s="84">
        <f t="shared" si="235"/>
        <v>1972.0894083935311</v>
      </c>
      <c r="G213" s="84">
        <f t="shared" si="235"/>
        <v>1935.2218684892207</v>
      </c>
      <c r="H213" s="84">
        <f t="shared" si="235"/>
        <v>1897.6303613378604</v>
      </c>
      <c r="I213" s="84">
        <f t="shared" si="235"/>
        <v>1938.9627111229781</v>
      </c>
      <c r="J213" s="84">
        <f t="shared" si="235"/>
        <v>1948.4111539213065</v>
      </c>
      <c r="K213" s="84">
        <f t="shared" si="235"/>
        <v>1942.8615443087429</v>
      </c>
      <c r="L213" s="84">
        <f t="shared" si="235"/>
        <v>1935.6929323436416</v>
      </c>
      <c r="M213" s="84">
        <f t="shared" si="234"/>
        <v>1975.2762834754665</v>
      </c>
      <c r="N213" s="84">
        <f t="shared" si="235"/>
        <v>2016.0469331247057</v>
      </c>
      <c r="O213" s="84">
        <f t="shared" si="235"/>
        <v>2036.0985078974668</v>
      </c>
      <c r="P213" s="84">
        <f t="shared" si="235"/>
        <v>2041.0162312988286</v>
      </c>
      <c r="Q213" s="84">
        <f t="shared" si="235"/>
        <v>2085.5471403807778</v>
      </c>
      <c r="R213" s="84">
        <f t="shared" si="235"/>
        <v>2119.5126794019093</v>
      </c>
      <c r="S213" s="84">
        <f t="shared" si="235"/>
        <v>2155.0106981977242</v>
      </c>
      <c r="T213" s="84">
        <f t="shared" si="235"/>
        <v>2190.8298652468534</v>
      </c>
      <c r="U213" s="84">
        <f t="shared" si="235"/>
        <v>2227.2536469657302</v>
      </c>
      <c r="V213" s="84">
        <f t="shared" si="235"/>
        <v>2264.8420675204443</v>
      </c>
      <c r="W213" s="84">
        <f t="shared" ref="W213" si="239">IF(W22=0,0,W22*1000000/W76)</f>
        <v>2303.0270112443259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938.0647087045935</v>
      </c>
      <c r="O214" s="84">
        <f t="shared" si="235"/>
        <v>952.85122267685165</v>
      </c>
      <c r="P214" s="84">
        <f t="shared" si="235"/>
        <v>967.54301107229026</v>
      </c>
      <c r="Q214" s="84">
        <f t="shared" si="235"/>
        <v>984.64418431120191</v>
      </c>
      <c r="R214" s="84">
        <f t="shared" si="235"/>
        <v>984.42949271896384</v>
      </c>
      <c r="S214" s="84">
        <f t="shared" si="235"/>
        <v>984.64196902196613</v>
      </c>
      <c r="T214" s="84">
        <f t="shared" si="235"/>
        <v>984.73719788978963</v>
      </c>
      <c r="U214" s="84">
        <f t="shared" si="235"/>
        <v>984.83634105630063</v>
      </c>
      <c r="V214" s="84">
        <f t="shared" si="235"/>
        <v>985.16762872250467</v>
      </c>
      <c r="W214" s="84">
        <f t="shared" ref="W214" si="240">IF(W23=0,0,W23*1000000/W77)</f>
        <v>985.48357149294827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1079.5862593057805</v>
      </c>
      <c r="O215" s="84">
        <f t="shared" si="235"/>
        <v>1096.6035473023915</v>
      </c>
      <c r="P215" s="84">
        <f t="shared" si="235"/>
        <v>1113.5118189057935</v>
      </c>
      <c r="Q215" s="84">
        <f t="shared" si="235"/>
        <v>1133.1929682715254</v>
      </c>
      <c r="R215" s="84">
        <f t="shared" si="235"/>
        <v>1132.9458871364843</v>
      </c>
      <c r="S215" s="84">
        <f t="shared" si="235"/>
        <v>1133.1904187716912</v>
      </c>
      <c r="T215" s="84">
        <f t="shared" si="235"/>
        <v>1133.3000143851255</v>
      </c>
      <c r="U215" s="84">
        <f t="shared" si="235"/>
        <v>1133.4141148296644</v>
      </c>
      <c r="V215" s="84">
        <f t="shared" si="235"/>
        <v>1133.7953823573657</v>
      </c>
      <c r="W215" s="84">
        <f t="shared" ref="W215" si="241">IF(W24=0,0,W24*1000000/W78)</f>
        <v>1134.1589899747644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0</v>
      </c>
      <c r="N216" s="84">
        <f t="shared" si="235"/>
        <v>0</v>
      </c>
      <c r="O216" s="84">
        <f t="shared" si="235"/>
        <v>1348.0824957384664</v>
      </c>
      <c r="P216" s="84">
        <f t="shared" si="235"/>
        <v>1348.5486812655256</v>
      </c>
      <c r="Q216" s="84">
        <f t="shared" si="235"/>
        <v>1349.1576045134204</v>
      </c>
      <c r="R216" s="84">
        <f t="shared" si="235"/>
        <v>1348.6551558326803</v>
      </c>
      <c r="S216" s="84">
        <f t="shared" si="235"/>
        <v>1348.1250406137042</v>
      </c>
      <c r="T216" s="84">
        <f t="shared" si="235"/>
        <v>1347.6027768459221</v>
      </c>
      <c r="U216" s="84">
        <f t="shared" si="235"/>
        <v>1347.0804610471762</v>
      </c>
      <c r="V216" s="84">
        <f t="shared" si="235"/>
        <v>1339.0445576578941</v>
      </c>
      <c r="W216" s="84">
        <f t="shared" ref="W216" si="242">IF(W25=0,0,W25*1000000/W79)</f>
        <v>1346.007232479373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782436.27705678449</v>
      </c>
      <c r="C217" s="110">
        <f t="shared" si="235"/>
        <v>629730.48832494544</v>
      </c>
      <c r="D217" s="110">
        <f t="shared" si="235"/>
        <v>398428.64007547876</v>
      </c>
      <c r="E217" s="110">
        <f t="shared" si="235"/>
        <v>289017.52762784838</v>
      </c>
      <c r="F217" s="110">
        <f t="shared" si="235"/>
        <v>439552.83525174123</v>
      </c>
      <c r="G217" s="110">
        <f t="shared" si="235"/>
        <v>335209.91053182911</v>
      </c>
      <c r="H217" s="110">
        <f t="shared" si="235"/>
        <v>236868.09693974754</v>
      </c>
      <c r="I217" s="110">
        <f t="shared" si="235"/>
        <v>234247.77416220453</v>
      </c>
      <c r="J217" s="110">
        <f t="shared" si="235"/>
        <v>176436.34735732971</v>
      </c>
      <c r="K217" s="110">
        <f t="shared" si="235"/>
        <v>148470.83683298962</v>
      </c>
      <c r="L217" s="110">
        <f t="shared" si="235"/>
        <v>143407.17254932009</v>
      </c>
      <c r="M217" s="110">
        <f t="shared" si="234"/>
        <v>140337.23911049866</v>
      </c>
      <c r="N217" s="110">
        <f t="shared" si="235"/>
        <v>143562.93278712968</v>
      </c>
      <c r="O217" s="110">
        <f t="shared" si="235"/>
        <v>116243.78739002452</v>
      </c>
      <c r="P217" s="110">
        <f t="shared" si="235"/>
        <v>101265.33086342574</v>
      </c>
      <c r="Q217" s="110">
        <f t="shared" si="235"/>
        <v>115856.2078355355</v>
      </c>
      <c r="R217" s="110">
        <f t="shared" si="235"/>
        <v>111744.81126590031</v>
      </c>
      <c r="S217" s="110">
        <f t="shared" si="235"/>
        <v>116370.16989613339</v>
      </c>
      <c r="T217" s="110">
        <f t="shared" si="235"/>
        <v>121931.41726820484</v>
      </c>
      <c r="U217" s="110">
        <f t="shared" si="235"/>
        <v>113357.86738422171</v>
      </c>
      <c r="V217" s="110">
        <f t="shared" si="235"/>
        <v>107687.58250231987</v>
      </c>
      <c r="W217" s="110">
        <f t="shared" ref="W217" si="243">IF(W26=0,0,W26*1000000/W80)</f>
        <v>111770.08225855591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626828.66352591128</v>
      </c>
      <c r="C218" s="163">
        <f t="shared" si="235"/>
        <v>469124.91178546223</v>
      </c>
      <c r="D218" s="163">
        <f t="shared" si="235"/>
        <v>258949.75755699989</v>
      </c>
      <c r="E218" s="163">
        <f t="shared" si="235"/>
        <v>180945.75799721834</v>
      </c>
      <c r="F218" s="163">
        <f t="shared" si="235"/>
        <v>283414.35366682347</v>
      </c>
      <c r="G218" s="163">
        <f t="shared" si="235"/>
        <v>206025.73030825055</v>
      </c>
      <c r="H218" s="163">
        <f t="shared" si="235"/>
        <v>131508.44201799616</v>
      </c>
      <c r="I218" s="163">
        <f t="shared" si="235"/>
        <v>120876.2831134735</v>
      </c>
      <c r="J218" s="163">
        <f t="shared" si="235"/>
        <v>95089.762689419586</v>
      </c>
      <c r="K218" s="163">
        <f t="shared" si="235"/>
        <v>75643.151820835788</v>
      </c>
      <c r="L218" s="163">
        <f t="shared" si="235"/>
        <v>67805.01167477596</v>
      </c>
      <c r="M218" s="163">
        <f t="shared" si="234"/>
        <v>61868.670945937425</v>
      </c>
      <c r="N218" s="163">
        <f t="shared" si="235"/>
        <v>64199.749427352916</v>
      </c>
      <c r="O218" s="163">
        <f t="shared" si="235"/>
        <v>45980.02094578265</v>
      </c>
      <c r="P218" s="163">
        <f t="shared" si="235"/>
        <v>41882.83658787256</v>
      </c>
      <c r="Q218" s="163">
        <f t="shared" si="235"/>
        <v>46676.989890360244</v>
      </c>
      <c r="R218" s="163">
        <f t="shared" si="235"/>
        <v>45286.52850976558</v>
      </c>
      <c r="S218" s="163">
        <f t="shared" si="235"/>
        <v>47854.273675610661</v>
      </c>
      <c r="T218" s="163">
        <f t="shared" si="235"/>
        <v>50944.242128693782</v>
      </c>
      <c r="U218" s="163">
        <f t="shared" si="235"/>
        <v>47095.541668707709</v>
      </c>
      <c r="V218" s="163">
        <f t="shared" si="235"/>
        <v>44807.404947700481</v>
      </c>
      <c r="W218" s="163">
        <f t="shared" ref="W218" si="244">IF(W27=0,0,W27*1000000/W81)</f>
        <v>45239.926121296179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1211981.4552703449</v>
      </c>
      <c r="C219" s="86">
        <f t="shared" si="235"/>
        <v>1210842.7818619963</v>
      </c>
      <c r="D219" s="86">
        <f t="shared" si="235"/>
        <v>1218798.0625582549</v>
      </c>
      <c r="E219" s="86">
        <f t="shared" si="235"/>
        <v>1211589.2386925321</v>
      </c>
      <c r="F219" s="86">
        <f t="shared" si="235"/>
        <v>1189511.4823019702</v>
      </c>
      <c r="G219" s="86">
        <f t="shared" si="235"/>
        <v>1189849.0931312209</v>
      </c>
      <c r="H219" s="86">
        <f t="shared" si="235"/>
        <v>1197561.6639653689</v>
      </c>
      <c r="I219" s="86">
        <f t="shared" si="235"/>
        <v>1199837.9166738398</v>
      </c>
      <c r="J219" s="86">
        <f t="shared" si="235"/>
        <v>1182714.1937714457</v>
      </c>
      <c r="K219" s="86">
        <f t="shared" si="235"/>
        <v>1167178.7981389242</v>
      </c>
      <c r="L219" s="86">
        <f t="shared" si="235"/>
        <v>1205286.4790358401</v>
      </c>
      <c r="M219" s="86">
        <f t="shared" si="234"/>
        <v>1201261.7147703811</v>
      </c>
      <c r="N219" s="86">
        <f t="shared" si="235"/>
        <v>1197368.9126066894</v>
      </c>
      <c r="O219" s="86">
        <f t="shared" si="235"/>
        <v>1198861.7956101946</v>
      </c>
      <c r="P219" s="86">
        <f t="shared" si="235"/>
        <v>1201737.0459730034</v>
      </c>
      <c r="Q219" s="86">
        <f t="shared" si="235"/>
        <v>1190438.7848418187</v>
      </c>
      <c r="R219" s="86">
        <f t="shared" si="235"/>
        <v>1184139.0534976849</v>
      </c>
      <c r="S219" s="86">
        <f t="shared" si="235"/>
        <v>1194237.8206255825</v>
      </c>
      <c r="T219" s="86">
        <f t="shared" si="235"/>
        <v>1203186.7736911466</v>
      </c>
      <c r="U219" s="86">
        <f t="shared" si="235"/>
        <v>1198624.6418338108</v>
      </c>
      <c r="V219" s="86">
        <f t="shared" si="235"/>
        <v>1180316.2615057824</v>
      </c>
      <c r="W219" s="86">
        <f t="shared" ref="W219" si="245">IF(W28=0,0,W28*1000000/W82)</f>
        <v>1193503.1549427437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1.8060061588849657E-3</v>
      </c>
      <c r="C223" s="154">
        <f t="shared" si="250"/>
        <v>1.9041646634940605E-3</v>
      </c>
      <c r="D223" s="154">
        <f t="shared" si="250"/>
        <v>1.6222359231995371E-3</v>
      </c>
      <c r="E223" s="154">
        <f t="shared" si="250"/>
        <v>1.6625125573699843E-3</v>
      </c>
      <c r="F223" s="154">
        <f t="shared" si="250"/>
        <v>1.7457039879507775E-3</v>
      </c>
      <c r="G223" s="154">
        <f t="shared" si="250"/>
        <v>1.8992506599678656E-3</v>
      </c>
      <c r="H223" s="154">
        <f t="shared" si="250"/>
        <v>1.9320399515556066E-3</v>
      </c>
      <c r="I223" s="154">
        <f t="shared" si="250"/>
        <v>2.1410935292647949E-3</v>
      </c>
      <c r="J223" s="154">
        <f t="shared" si="250"/>
        <v>2.3874869675455943E-3</v>
      </c>
      <c r="K223" s="154">
        <f t="shared" si="250"/>
        <v>2.2296748280177829E-3</v>
      </c>
      <c r="L223" s="154">
        <f t="shared" ref="L223" si="251">IF(L5=0,0,L5/L$4)</f>
        <v>2.0233857808587903E-3</v>
      </c>
      <c r="M223" s="154">
        <f t="shared" ref="M223:V223" si="252">IF(M5=0,0,M5/M$4)</f>
        <v>2.4293224764899055E-3</v>
      </c>
      <c r="N223" s="154">
        <f t="shared" si="252"/>
        <v>2.82725537424871E-3</v>
      </c>
      <c r="O223" s="154">
        <f t="shared" si="252"/>
        <v>2.8889419991107467E-3</v>
      </c>
      <c r="P223" s="154">
        <f t="shared" si="252"/>
        <v>3.2017446339398636E-3</v>
      </c>
      <c r="Q223" s="154">
        <f t="shared" si="252"/>
        <v>3.5473376520705189E-3</v>
      </c>
      <c r="R223" s="154">
        <f t="shared" si="252"/>
        <v>3.6858303445509014E-3</v>
      </c>
      <c r="S223" s="154">
        <f t="shared" si="252"/>
        <v>3.4840186413739949E-3</v>
      </c>
      <c r="T223" s="154">
        <f t="shared" si="252"/>
        <v>3.2912761209307286E-3</v>
      </c>
      <c r="U223" s="154">
        <f t="shared" si="252"/>
        <v>3.5148269343796483E-3</v>
      </c>
      <c r="V223" s="154">
        <f t="shared" si="252"/>
        <v>3.8593442370119363E-3</v>
      </c>
      <c r="W223" s="154">
        <f t="shared" ref="W223" si="253">IF(W5=0,0,W5/W$4)</f>
        <v>3.8644534361783698E-3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0.71844586052360249</v>
      </c>
      <c r="C224" s="156">
        <f t="shared" si="254"/>
        <v>0.72099138118155826</v>
      </c>
      <c r="D224" s="156">
        <f t="shared" si="254"/>
        <v>0.72859537744324798</v>
      </c>
      <c r="E224" s="156">
        <f t="shared" si="254"/>
        <v>0.74069265636601489</v>
      </c>
      <c r="F224" s="156">
        <f t="shared" si="254"/>
        <v>0.73980320021593071</v>
      </c>
      <c r="G224" s="156">
        <f t="shared" si="254"/>
        <v>0.75010525955576379</v>
      </c>
      <c r="H224" s="156">
        <f t="shared" si="254"/>
        <v>0.7506259912712957</v>
      </c>
      <c r="I224" s="156">
        <f t="shared" si="254"/>
        <v>0.74866645492928718</v>
      </c>
      <c r="J224" s="156">
        <f t="shared" si="254"/>
        <v>0.77804643534741313</v>
      </c>
      <c r="K224" s="156">
        <f t="shared" si="254"/>
        <v>0.829112812035248</v>
      </c>
      <c r="L224" s="156">
        <f t="shared" ref="L224" si="255">IF(L6=0,0,L6/L$4)</f>
        <v>0.83436383797270819</v>
      </c>
      <c r="M224" s="156">
        <f t="shared" ref="M224:V224" si="256">IF(M6=0,0,M6/M$4)</f>
        <v>0.82874868318218164</v>
      </c>
      <c r="N224" s="156">
        <f t="shared" si="256"/>
        <v>0.82981963129377823</v>
      </c>
      <c r="O224" s="156">
        <f t="shared" si="256"/>
        <v>0.83537387196861101</v>
      </c>
      <c r="P224" s="156">
        <f t="shared" si="256"/>
        <v>0.83313628281117513</v>
      </c>
      <c r="Q224" s="156">
        <f t="shared" si="256"/>
        <v>0.83387478055643027</v>
      </c>
      <c r="R224" s="156">
        <f t="shared" si="256"/>
        <v>0.82229212628007697</v>
      </c>
      <c r="S224" s="156">
        <f t="shared" si="256"/>
        <v>0.8230879540550613</v>
      </c>
      <c r="T224" s="156">
        <f t="shared" si="256"/>
        <v>0.81749705413984008</v>
      </c>
      <c r="U224" s="156">
        <f t="shared" si="256"/>
        <v>0.81933797984213419</v>
      </c>
      <c r="V224" s="156">
        <f t="shared" si="256"/>
        <v>0.86566925599734812</v>
      </c>
      <c r="W224" s="156">
        <f t="shared" ref="W224" si="257">IF(W6=0,0,W6/W$4)</f>
        <v>0.88880265740345288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0.55406228939255531</v>
      </c>
      <c r="C225" s="103">
        <f t="shared" si="258"/>
        <v>0.54741806604391263</v>
      </c>
      <c r="D225" s="103">
        <f t="shared" si="258"/>
        <v>0.53589066977232713</v>
      </c>
      <c r="E225" s="103">
        <f t="shared" si="258"/>
        <v>0.53279157284610601</v>
      </c>
      <c r="F225" s="103">
        <f t="shared" si="258"/>
        <v>0.52533170767043724</v>
      </c>
      <c r="G225" s="103">
        <f t="shared" si="258"/>
        <v>0.52924698474316068</v>
      </c>
      <c r="H225" s="103">
        <f t="shared" si="258"/>
        <v>0.52362145378326186</v>
      </c>
      <c r="I225" s="103">
        <f t="shared" si="258"/>
        <v>0.50374383736191197</v>
      </c>
      <c r="J225" s="103">
        <f t="shared" si="258"/>
        <v>0.51349245807807686</v>
      </c>
      <c r="K225" s="103">
        <f t="shared" si="258"/>
        <v>0.53997479736339671</v>
      </c>
      <c r="L225" s="103">
        <f t="shared" ref="L225" si="259">IF(L7=0,0,L7/L$4)</f>
        <v>0.54300951094101124</v>
      </c>
      <c r="M225" s="103">
        <f t="shared" ref="M225:V225" si="260">IF(M7=0,0,M7/M$4)</f>
        <v>0.51627251304496979</v>
      </c>
      <c r="N225" s="103">
        <f t="shared" si="260"/>
        <v>0.51789038568899093</v>
      </c>
      <c r="O225" s="103">
        <f t="shared" si="260"/>
        <v>0.52771205881337158</v>
      </c>
      <c r="P225" s="103">
        <f t="shared" si="260"/>
        <v>0.52694312598466431</v>
      </c>
      <c r="Q225" s="103">
        <f t="shared" si="260"/>
        <v>0.53181820451893314</v>
      </c>
      <c r="R225" s="103">
        <f t="shared" si="260"/>
        <v>0.53198198650593487</v>
      </c>
      <c r="S225" s="103">
        <f t="shared" si="260"/>
        <v>0.53279013031016198</v>
      </c>
      <c r="T225" s="103">
        <f t="shared" si="260"/>
        <v>0.52833011412536046</v>
      </c>
      <c r="U225" s="103">
        <f t="shared" si="260"/>
        <v>0.52828915771138185</v>
      </c>
      <c r="V225" s="103">
        <f t="shared" si="260"/>
        <v>0.55222025699641131</v>
      </c>
      <c r="W225" s="103">
        <f t="shared" ref="W225" si="261">IF(W7=0,0,W7/W$4)</f>
        <v>0.56120634136897962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0.16438357113104712</v>
      </c>
      <c r="C226" s="103">
        <f t="shared" si="262"/>
        <v>0.17237203078674232</v>
      </c>
      <c r="D226" s="103">
        <f t="shared" si="262"/>
        <v>0.19151667683405679</v>
      </c>
      <c r="E226" s="103">
        <f t="shared" si="262"/>
        <v>0.2044303958173998</v>
      </c>
      <c r="F226" s="103">
        <f t="shared" si="262"/>
        <v>0.21040821231268134</v>
      </c>
      <c r="G226" s="103">
        <f t="shared" si="262"/>
        <v>0.21582975554668082</v>
      </c>
      <c r="H226" s="103">
        <f t="shared" si="262"/>
        <v>0.2220798319487117</v>
      </c>
      <c r="I226" s="103">
        <f t="shared" si="262"/>
        <v>0.23627936396857402</v>
      </c>
      <c r="J226" s="103">
        <f t="shared" si="262"/>
        <v>0.2563728719197394</v>
      </c>
      <c r="K226" s="103">
        <f t="shared" si="262"/>
        <v>0.28059213787068826</v>
      </c>
      <c r="L226" s="103">
        <f t="shared" ref="L226" si="263">IF(L8=0,0,L8/L$4)</f>
        <v>0.28134485193875514</v>
      </c>
      <c r="M226" s="103">
        <f t="shared" ref="M226:V226" si="264">IF(M8=0,0,M8/M$4)</f>
        <v>0.28043835085632352</v>
      </c>
      <c r="N226" s="103">
        <f t="shared" si="264"/>
        <v>0.27922265454269929</v>
      </c>
      <c r="O226" s="103">
        <f t="shared" si="264"/>
        <v>0.27424727519582681</v>
      </c>
      <c r="P226" s="103">
        <f t="shared" si="264"/>
        <v>0.27308500246626649</v>
      </c>
      <c r="Q226" s="103">
        <f t="shared" si="264"/>
        <v>0.26838335930703733</v>
      </c>
      <c r="R226" s="103">
        <f t="shared" si="264"/>
        <v>0.26091984193628182</v>
      </c>
      <c r="S226" s="103">
        <f t="shared" si="264"/>
        <v>0.26434114072049913</v>
      </c>
      <c r="T226" s="103">
        <f t="shared" si="264"/>
        <v>0.26505039672285641</v>
      </c>
      <c r="U226" s="103">
        <f t="shared" si="264"/>
        <v>0.26896207998946942</v>
      </c>
      <c r="V226" s="103">
        <f t="shared" si="264"/>
        <v>0.2904556857092222</v>
      </c>
      <c r="W226" s="103">
        <f t="shared" ref="W226" si="265">IF(W8=0,0,W8/W$4)</f>
        <v>0.30413385187205072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0</v>
      </c>
      <c r="C227" s="103">
        <f t="shared" si="266"/>
        <v>0</v>
      </c>
      <c r="D227" s="103">
        <f t="shared" si="266"/>
        <v>0</v>
      </c>
      <c r="E227" s="103">
        <f t="shared" si="266"/>
        <v>0</v>
      </c>
      <c r="F227" s="103">
        <f t="shared" si="266"/>
        <v>0</v>
      </c>
      <c r="G227" s="103">
        <f t="shared" si="266"/>
        <v>8.5263538494069198E-4</v>
      </c>
      <c r="H227" s="103">
        <f t="shared" si="266"/>
        <v>8.3162762655429091E-4</v>
      </c>
      <c r="I227" s="103">
        <f t="shared" si="266"/>
        <v>8.0547635153639891E-4</v>
      </c>
      <c r="J227" s="103">
        <f t="shared" si="266"/>
        <v>7.8051271706128353E-4</v>
      </c>
      <c r="K227" s="103">
        <f t="shared" si="266"/>
        <v>7.947294707124048E-4</v>
      </c>
      <c r="L227" s="103">
        <f t="shared" ref="L227" si="267">IF(L9=0,0,L9/L$4)</f>
        <v>1.6122587620708308E-3</v>
      </c>
      <c r="M227" s="103">
        <f t="shared" ref="M227:V227" si="268">IF(M9=0,0,M9/M$4)</f>
        <v>2.4294079085323137E-2</v>
      </c>
      <c r="N227" s="103">
        <f t="shared" si="268"/>
        <v>2.6066152741684567E-2</v>
      </c>
      <c r="O227" s="103">
        <f t="shared" si="268"/>
        <v>2.7459947815130475E-2</v>
      </c>
      <c r="P227" s="103">
        <f t="shared" si="268"/>
        <v>2.6681794318629215E-2</v>
      </c>
      <c r="Q227" s="103">
        <f t="shared" si="268"/>
        <v>2.7449014878125351E-2</v>
      </c>
      <c r="R227" s="103">
        <f t="shared" si="268"/>
        <v>2.5122098972057486E-2</v>
      </c>
      <c r="S227" s="103">
        <f t="shared" si="268"/>
        <v>2.1982246950829544E-2</v>
      </c>
      <c r="T227" s="103">
        <f t="shared" si="268"/>
        <v>2.0335730422539031E-2</v>
      </c>
      <c r="U227" s="103">
        <f t="shared" si="268"/>
        <v>1.8873636861600606E-2</v>
      </c>
      <c r="V227" s="103">
        <f t="shared" si="268"/>
        <v>1.9578987571380418E-2</v>
      </c>
      <c r="W227" s="103">
        <f t="shared" ref="W227" si="269">IF(W9=0,0,W9/W$4)</f>
        <v>1.9253676731467495E-2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1.2012843509032506E-3</v>
      </c>
      <c r="D228" s="103">
        <f t="shared" si="270"/>
        <v>1.1880308368640172E-3</v>
      </c>
      <c r="E228" s="103">
        <f t="shared" si="270"/>
        <v>3.4706877025090237E-3</v>
      </c>
      <c r="F228" s="103">
        <f t="shared" si="270"/>
        <v>4.0632802328120369E-3</v>
      </c>
      <c r="G228" s="103">
        <f t="shared" si="270"/>
        <v>4.1758838809815412E-3</v>
      </c>
      <c r="H228" s="103">
        <f t="shared" si="270"/>
        <v>4.0930779127678384E-3</v>
      </c>
      <c r="I228" s="103">
        <f t="shared" si="270"/>
        <v>7.8377772472649123E-3</v>
      </c>
      <c r="J228" s="103">
        <f t="shared" si="270"/>
        <v>7.4005926325356386E-3</v>
      </c>
      <c r="K228" s="103">
        <f t="shared" si="270"/>
        <v>7.7511473304507196E-3</v>
      </c>
      <c r="L228" s="103">
        <f t="shared" ref="L228" si="271">IF(L10=0,0,L10/L$4)</f>
        <v>8.397216330870939E-3</v>
      </c>
      <c r="M228" s="103">
        <f t="shared" ref="M228:V228" si="272">IF(M10=0,0,M10/M$4)</f>
        <v>7.7371023608090944E-3</v>
      </c>
      <c r="N228" s="103">
        <f t="shared" si="272"/>
        <v>6.6308998139030188E-3</v>
      </c>
      <c r="O228" s="103">
        <f t="shared" si="272"/>
        <v>5.9432983673307948E-3</v>
      </c>
      <c r="P228" s="103">
        <f t="shared" si="272"/>
        <v>6.3771899806539583E-3</v>
      </c>
      <c r="Q228" s="103">
        <f t="shared" si="272"/>
        <v>6.1582526564640302E-3</v>
      </c>
      <c r="R228" s="103">
        <f t="shared" si="272"/>
        <v>4.1286073658194028E-3</v>
      </c>
      <c r="S228" s="103">
        <f t="shared" si="272"/>
        <v>3.6938381682897889E-3</v>
      </c>
      <c r="T228" s="103">
        <f t="shared" si="272"/>
        <v>3.2795617544833021E-3</v>
      </c>
      <c r="U228" s="103">
        <f t="shared" si="272"/>
        <v>2.6028086711311405E-3</v>
      </c>
      <c r="V228" s="103">
        <f t="shared" si="272"/>
        <v>2.1530182395382794E-3</v>
      </c>
      <c r="W228" s="103">
        <f t="shared" ref="W228" si="273">IF(W10=0,0,W10/W$4)</f>
        <v>2.1898829367683111E-3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2.4947384305075594E-6</v>
      </c>
      <c r="O229" s="103">
        <f t="shared" si="276"/>
        <v>2.5613095153614716E-6</v>
      </c>
      <c r="P229" s="103">
        <f t="shared" si="276"/>
        <v>1.0320520828615263E-5</v>
      </c>
      <c r="Q229" s="103">
        <f t="shared" si="276"/>
        <v>1.9202211676181703E-5</v>
      </c>
      <c r="R229" s="103">
        <f t="shared" si="276"/>
        <v>7.3295328752102251E-5</v>
      </c>
      <c r="S229" s="103">
        <f t="shared" si="276"/>
        <v>1.4784320983072161E-4</v>
      </c>
      <c r="T229" s="103">
        <f t="shared" si="276"/>
        <v>2.4096718032763612E-4</v>
      </c>
      <c r="U229" s="103">
        <f t="shared" si="276"/>
        <v>2.9753671731452309E-4</v>
      </c>
      <c r="V229" s="103">
        <f t="shared" si="276"/>
        <v>5.8368968620097113E-4</v>
      </c>
      <c r="W229" s="103">
        <f t="shared" ref="W229" si="277">IF(W11=0,0,W11/W$4)</f>
        <v>9.0203864610952642E-4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0</v>
      </c>
      <c r="M230" s="103">
        <f t="shared" ref="M230:V230" si="280">IF(M12=0,0,M12/M$4)</f>
        <v>6.6378347560767137E-6</v>
      </c>
      <c r="N230" s="103">
        <f t="shared" si="280"/>
        <v>7.0437680700207928E-6</v>
      </c>
      <c r="O230" s="103">
        <f t="shared" si="280"/>
        <v>8.7304674360724583E-6</v>
      </c>
      <c r="P230" s="103">
        <f t="shared" si="280"/>
        <v>3.8849540132568839E-5</v>
      </c>
      <c r="Q230" s="103">
        <f t="shared" si="280"/>
        <v>4.6746984194341567E-5</v>
      </c>
      <c r="R230" s="103">
        <f t="shared" si="280"/>
        <v>6.6296171231393597E-5</v>
      </c>
      <c r="S230" s="103">
        <f t="shared" si="280"/>
        <v>1.3275469545014586E-4</v>
      </c>
      <c r="T230" s="103">
        <f t="shared" si="280"/>
        <v>2.6028393427325207E-4</v>
      </c>
      <c r="U230" s="103">
        <f t="shared" si="280"/>
        <v>3.1275989123664792E-4</v>
      </c>
      <c r="V230" s="103">
        <f t="shared" si="280"/>
        <v>6.7761779459501255E-4</v>
      </c>
      <c r="W230" s="103">
        <f t="shared" ref="W230" si="281">IF(W12=0,0,W12/W$4)</f>
        <v>1.1168658480772448E-3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0.27974813331751253</v>
      </c>
      <c r="C231" s="156">
        <f t="shared" si="282"/>
        <v>0.27710445415494772</v>
      </c>
      <c r="D231" s="156">
        <f t="shared" si="282"/>
        <v>0.26978238663355242</v>
      </c>
      <c r="E231" s="156">
        <f t="shared" si="282"/>
        <v>0.25764483107661507</v>
      </c>
      <c r="F231" s="156">
        <f t="shared" si="282"/>
        <v>0.25845109579611841</v>
      </c>
      <c r="G231" s="156">
        <f t="shared" si="282"/>
        <v>0.24799548978426841</v>
      </c>
      <c r="H231" s="156">
        <f t="shared" si="282"/>
        <v>0.24744196877714866</v>
      </c>
      <c r="I231" s="156">
        <f t="shared" si="282"/>
        <v>0.24919245154144801</v>
      </c>
      <c r="J231" s="156">
        <f t="shared" si="282"/>
        <v>0.21956607768504138</v>
      </c>
      <c r="K231" s="156">
        <f t="shared" si="282"/>
        <v>0.16865751313673416</v>
      </c>
      <c r="L231" s="156">
        <f t="shared" ref="L231" si="283">IF(L13=0,0,L13/L$4)</f>
        <v>0.16361277624643297</v>
      </c>
      <c r="M231" s="156">
        <f t="shared" ref="M231:V231" si="284">IF(M13=0,0,M13/M$4)</f>
        <v>0.16882199434132852</v>
      </c>
      <c r="N231" s="156">
        <f t="shared" si="284"/>
        <v>0.167353113331973</v>
      </c>
      <c r="O231" s="156">
        <f t="shared" si="284"/>
        <v>0.16173718603227824</v>
      </c>
      <c r="P231" s="156">
        <f t="shared" si="284"/>
        <v>0.16366197255488496</v>
      </c>
      <c r="Q231" s="156">
        <f t="shared" si="284"/>
        <v>0.16257788179149915</v>
      </c>
      <c r="R231" s="156">
        <f t="shared" si="284"/>
        <v>0.17402204337537197</v>
      </c>
      <c r="S231" s="156">
        <f t="shared" si="284"/>
        <v>0.17342802730356466</v>
      </c>
      <c r="T231" s="156">
        <f t="shared" si="284"/>
        <v>0.1792116697392292</v>
      </c>
      <c r="U231" s="156">
        <f t="shared" si="284"/>
        <v>0.17714719322348629</v>
      </c>
      <c r="V231" s="156">
        <f t="shared" si="284"/>
        <v>0.1304713997656399</v>
      </c>
      <c r="W231" s="156">
        <f t="shared" ref="W231" si="285">IF(W13=0,0,W13/W$4)</f>
        <v>0.10733288916036873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0</v>
      </c>
      <c r="C232" s="103">
        <f t="shared" si="286"/>
        <v>0</v>
      </c>
      <c r="D232" s="103">
        <f t="shared" si="286"/>
        <v>0</v>
      </c>
      <c r="E232" s="103">
        <f t="shared" si="286"/>
        <v>0</v>
      </c>
      <c r="F232" s="103">
        <f t="shared" si="286"/>
        <v>0</v>
      </c>
      <c r="G232" s="103">
        <f t="shared" si="286"/>
        <v>0</v>
      </c>
      <c r="H232" s="103">
        <f t="shared" si="286"/>
        <v>0</v>
      </c>
      <c r="I232" s="103">
        <f t="shared" si="286"/>
        <v>0</v>
      </c>
      <c r="J232" s="103">
        <f t="shared" si="286"/>
        <v>0</v>
      </c>
      <c r="K232" s="103">
        <f t="shared" si="286"/>
        <v>0</v>
      </c>
      <c r="L232" s="103">
        <f t="shared" ref="L232" si="287">IF(L14=0,0,L14/L$4)</f>
        <v>0</v>
      </c>
      <c r="M232" s="103">
        <f t="shared" ref="M232:V232" si="288">IF(M14=0,0,M14/M$4)</f>
        <v>0</v>
      </c>
      <c r="N232" s="103">
        <f t="shared" si="288"/>
        <v>0</v>
      </c>
      <c r="O232" s="103">
        <f t="shared" si="288"/>
        <v>0</v>
      </c>
      <c r="P232" s="103">
        <f t="shared" si="288"/>
        <v>0</v>
      </c>
      <c r="Q232" s="103">
        <f t="shared" si="288"/>
        <v>0</v>
      </c>
      <c r="R232" s="103">
        <f t="shared" si="288"/>
        <v>0</v>
      </c>
      <c r="S232" s="103">
        <f t="shared" si="288"/>
        <v>0</v>
      </c>
      <c r="T232" s="103">
        <f t="shared" si="288"/>
        <v>0</v>
      </c>
      <c r="U232" s="103">
        <f t="shared" si="288"/>
        <v>0</v>
      </c>
      <c r="V232" s="103">
        <f t="shared" si="288"/>
        <v>0</v>
      </c>
      <c r="W232" s="103">
        <f t="shared" ref="W232" si="289">IF(W14=0,0,W14/W$4)</f>
        <v>0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0.27974813331751253</v>
      </c>
      <c r="C233" s="103">
        <f t="shared" si="290"/>
        <v>0.27710445415494772</v>
      </c>
      <c r="D233" s="103">
        <f t="shared" si="290"/>
        <v>0.26978238663355242</v>
      </c>
      <c r="E233" s="103">
        <f t="shared" si="290"/>
        <v>0.25764483107661507</v>
      </c>
      <c r="F233" s="103">
        <f t="shared" si="290"/>
        <v>0.25845109579611841</v>
      </c>
      <c r="G233" s="103">
        <f t="shared" si="290"/>
        <v>0.24799548978426841</v>
      </c>
      <c r="H233" s="103">
        <f t="shared" si="290"/>
        <v>0.24744196877714866</v>
      </c>
      <c r="I233" s="103">
        <f t="shared" si="290"/>
        <v>0.24919245154144801</v>
      </c>
      <c r="J233" s="103">
        <f t="shared" si="290"/>
        <v>0.21956607768504138</v>
      </c>
      <c r="K233" s="103">
        <f t="shared" si="290"/>
        <v>0.16865751313673416</v>
      </c>
      <c r="L233" s="103">
        <f t="shared" ref="L233" si="291">IF(L15=0,0,L15/L$4)</f>
        <v>0.16098775237265908</v>
      </c>
      <c r="M233" s="103">
        <f t="shared" ref="M233:V233" si="292">IF(M15=0,0,M15/M$4)</f>
        <v>0.16229829133369122</v>
      </c>
      <c r="N233" s="103">
        <f t="shared" si="292"/>
        <v>0.16083741848371721</v>
      </c>
      <c r="O233" s="103">
        <f t="shared" si="292"/>
        <v>0.15533759557487548</v>
      </c>
      <c r="P233" s="103">
        <f t="shared" si="292"/>
        <v>0.15501385714592025</v>
      </c>
      <c r="Q233" s="103">
        <f t="shared" si="292"/>
        <v>0.15187666223644503</v>
      </c>
      <c r="R233" s="103">
        <f t="shared" si="292"/>
        <v>0.15723064461990915</v>
      </c>
      <c r="S233" s="103">
        <f t="shared" si="292"/>
        <v>0.15570128867270666</v>
      </c>
      <c r="T233" s="103">
        <f t="shared" si="292"/>
        <v>0.16020529040801806</v>
      </c>
      <c r="U233" s="103">
        <f t="shared" si="292"/>
        <v>0.15757408359414524</v>
      </c>
      <c r="V233" s="103">
        <f t="shared" si="292"/>
        <v>0.11360574260024789</v>
      </c>
      <c r="W233" s="103">
        <f t="shared" ref="W233" si="293">IF(W15=0,0,W15/W$4)</f>
        <v>9.3298865544711854E-2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0</v>
      </c>
      <c r="L235" s="103">
        <f t="shared" ref="L235" si="299">IF(L17=0,0,L17/L$4)</f>
        <v>0</v>
      </c>
      <c r="M235" s="103">
        <f t="shared" ref="M235:V235" si="300">IF(M17=0,0,M17/M$4)</f>
        <v>0</v>
      </c>
      <c r="N235" s="103">
        <f t="shared" si="300"/>
        <v>0</v>
      </c>
      <c r="O235" s="103">
        <f t="shared" si="300"/>
        <v>0</v>
      </c>
      <c r="P235" s="103">
        <f t="shared" si="300"/>
        <v>0</v>
      </c>
      <c r="Q235" s="103">
        <f t="shared" si="300"/>
        <v>0</v>
      </c>
      <c r="R235" s="103">
        <f t="shared" si="300"/>
        <v>3.2196395297630267E-3</v>
      </c>
      <c r="S235" s="103">
        <f t="shared" si="300"/>
        <v>3.0375032144564621E-3</v>
      </c>
      <c r="T235" s="103">
        <f t="shared" si="300"/>
        <v>2.8826313331635884E-3</v>
      </c>
      <c r="U235" s="103">
        <f t="shared" si="300"/>
        <v>2.8448064400525544E-3</v>
      </c>
      <c r="V235" s="103">
        <f t="shared" si="300"/>
        <v>2.3702936424611627E-3</v>
      </c>
      <c r="W235" s="103">
        <f t="shared" ref="W235" si="301">IF(W17=0,0,W17/W$4)</f>
        <v>1.937460578374845E-3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2.6250238737738807E-3</v>
      </c>
      <c r="M236" s="103">
        <f t="shared" ref="M236:V236" si="304">IF(M18=0,0,M18/M$4)</f>
        <v>6.523703007637288E-3</v>
      </c>
      <c r="N236" s="103">
        <f t="shared" si="304"/>
        <v>6.5156948482557736E-3</v>
      </c>
      <c r="O236" s="103">
        <f t="shared" si="304"/>
        <v>6.3995904574027946E-3</v>
      </c>
      <c r="P236" s="103">
        <f t="shared" si="304"/>
        <v>8.6481154089647072E-3</v>
      </c>
      <c r="Q236" s="103">
        <f t="shared" si="304"/>
        <v>1.0701219555054133E-2</v>
      </c>
      <c r="R236" s="103">
        <f t="shared" si="304"/>
        <v>1.3571759225699781E-2</v>
      </c>
      <c r="S236" s="103">
        <f t="shared" si="304"/>
        <v>1.4689235416401521E-2</v>
      </c>
      <c r="T236" s="103">
        <f t="shared" si="304"/>
        <v>1.6123747998047524E-2</v>
      </c>
      <c r="U236" s="103">
        <f t="shared" si="304"/>
        <v>1.6728303189288526E-2</v>
      </c>
      <c r="V236" s="103">
        <f t="shared" si="304"/>
        <v>1.4495363522930828E-2</v>
      </c>
      <c r="W236" s="103">
        <f t="shared" ref="W236" si="305">IF(W18=0,0,W18/W$4)</f>
        <v>1.2096563037282035E-2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2.1362325601206825E-2</v>
      </c>
      <c r="C238" s="154">
        <f t="shared" si="310"/>
        <v>2.062040404391622E-2</v>
      </c>
      <c r="D238" s="154">
        <f t="shared" si="310"/>
        <v>2.1032278465250874E-2</v>
      </c>
      <c r="E238" s="154">
        <f t="shared" si="310"/>
        <v>2.0482162585196695E-2</v>
      </c>
      <c r="F238" s="154">
        <f t="shared" si="310"/>
        <v>1.973828826891566E-2</v>
      </c>
      <c r="G238" s="154">
        <f t="shared" si="310"/>
        <v>2.0644850632692453E-2</v>
      </c>
      <c r="H238" s="154">
        <f t="shared" si="310"/>
        <v>2.0917973301690672E-2</v>
      </c>
      <c r="I238" s="154">
        <f t="shared" si="310"/>
        <v>2.0639824297783479E-2</v>
      </c>
      <c r="J238" s="154">
        <f t="shared" si="310"/>
        <v>2.1262589581969901E-2</v>
      </c>
      <c r="K238" s="154">
        <f t="shared" si="310"/>
        <v>2.5262625191444909E-2</v>
      </c>
      <c r="L238" s="154">
        <f t="shared" ref="L238" si="311">IF(L20=0,0,L20/L$19)</f>
        <v>2.582830233888498E-2</v>
      </c>
      <c r="M238" s="154">
        <f t="shared" ref="M238:V238" si="312">IF(M20=0,0,M20/M$19)</f>
        <v>2.6163038621548541E-2</v>
      </c>
      <c r="N238" s="154">
        <f t="shared" si="312"/>
        <v>2.6820172509825907E-2</v>
      </c>
      <c r="O238" s="154">
        <f t="shared" si="312"/>
        <v>2.4047046690869923E-2</v>
      </c>
      <c r="P238" s="154">
        <f t="shared" si="312"/>
        <v>2.0047568157324915E-2</v>
      </c>
      <c r="Q238" s="154">
        <f t="shared" si="312"/>
        <v>2.1657037566605239E-2</v>
      </c>
      <c r="R238" s="154">
        <f t="shared" si="312"/>
        <v>1.8653232169918495E-2</v>
      </c>
      <c r="S238" s="154">
        <f t="shared" si="312"/>
        <v>1.7275667741466487E-2</v>
      </c>
      <c r="T238" s="154">
        <f t="shared" si="312"/>
        <v>1.6901642686137499E-2</v>
      </c>
      <c r="U238" s="154">
        <f t="shared" si="312"/>
        <v>1.6303766611439049E-2</v>
      </c>
      <c r="V238" s="154">
        <f t="shared" si="312"/>
        <v>1.7235701023799857E-2</v>
      </c>
      <c r="W238" s="154">
        <f t="shared" ref="W238" si="313">IF(W20=0,0,W20/W$19)</f>
        <v>1.7433385559505639E-2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6.0944326575203744E-3</v>
      </c>
      <c r="C239" s="103">
        <f t="shared" si="314"/>
        <v>5.8752330337910209E-3</v>
      </c>
      <c r="D239" s="103">
        <f t="shared" si="314"/>
        <v>6.0501735023658241E-3</v>
      </c>
      <c r="E239" s="103">
        <f t="shared" si="314"/>
        <v>5.8903052780579787E-3</v>
      </c>
      <c r="F239" s="103">
        <f t="shared" si="314"/>
        <v>6.7571355699207938E-3</v>
      </c>
      <c r="G239" s="103">
        <f t="shared" si="314"/>
        <v>6.6147686343684016E-3</v>
      </c>
      <c r="H239" s="103">
        <f t="shared" si="314"/>
        <v>6.8780717992726597E-3</v>
      </c>
      <c r="I239" s="103">
        <f t="shared" si="314"/>
        <v>6.3732212411439009E-3</v>
      </c>
      <c r="J239" s="103">
        <f t="shared" si="314"/>
        <v>6.389750829307695E-3</v>
      </c>
      <c r="K239" s="103">
        <f t="shared" si="314"/>
        <v>6.9353736604335272E-3</v>
      </c>
      <c r="L239" s="103">
        <f t="shared" ref="L239" si="315">IF(L21=0,0,L21/L$19)</f>
        <v>5.2781002060280288E-3</v>
      </c>
      <c r="M239" s="103">
        <f t="shared" ref="M239:V239" si="316">IF(M21=0,0,M21/M$19)</f>
        <v>5.3301061494902824E-3</v>
      </c>
      <c r="N239" s="103">
        <f t="shared" si="316"/>
        <v>5.3193403336350897E-3</v>
      </c>
      <c r="O239" s="103">
        <f t="shared" si="316"/>
        <v>5.3725773817962421E-3</v>
      </c>
      <c r="P239" s="103">
        <f t="shared" si="316"/>
        <v>4.77125848557324E-3</v>
      </c>
      <c r="Q239" s="103">
        <f t="shared" si="316"/>
        <v>5.1450398689193424E-3</v>
      </c>
      <c r="R239" s="103">
        <f t="shared" si="316"/>
        <v>5.3515084236223451E-3</v>
      </c>
      <c r="S239" s="103">
        <f t="shared" si="316"/>
        <v>4.3818015781345665E-3</v>
      </c>
      <c r="T239" s="103">
        <f t="shared" si="316"/>
        <v>4.1422459308064399E-3</v>
      </c>
      <c r="U239" s="103">
        <f t="shared" si="316"/>
        <v>3.4032257809303618E-3</v>
      </c>
      <c r="V239" s="103">
        <f t="shared" si="316"/>
        <v>3.5488931005887704E-3</v>
      </c>
      <c r="W239" s="103">
        <f t="shared" ref="W239" si="317">IF(W21=0,0,W21/W$19)</f>
        <v>3.5444437686221698E-3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1.5267892943686452E-2</v>
      </c>
      <c r="C240" s="103">
        <f t="shared" si="318"/>
        <v>1.4745171010125195E-2</v>
      </c>
      <c r="D240" s="103">
        <f t="shared" si="318"/>
        <v>1.4982104962885049E-2</v>
      </c>
      <c r="E240" s="103">
        <f t="shared" si="318"/>
        <v>1.4591857307138715E-2</v>
      </c>
      <c r="F240" s="103">
        <f t="shared" si="318"/>
        <v>1.2981152698994868E-2</v>
      </c>
      <c r="G240" s="103">
        <f t="shared" si="318"/>
        <v>1.4030081998324052E-2</v>
      </c>
      <c r="H240" s="103">
        <f t="shared" si="318"/>
        <v>1.4039901502418012E-2</v>
      </c>
      <c r="I240" s="103">
        <f t="shared" si="318"/>
        <v>1.4266603056639578E-2</v>
      </c>
      <c r="J240" s="103">
        <f t="shared" si="318"/>
        <v>1.4872838752662204E-2</v>
      </c>
      <c r="K240" s="103">
        <f t="shared" si="318"/>
        <v>1.8327251531011383E-2</v>
      </c>
      <c r="L240" s="103">
        <f t="shared" ref="L240" si="319">IF(L22=0,0,L22/L$19)</f>
        <v>2.0550202132856951E-2</v>
      </c>
      <c r="M240" s="103">
        <f t="shared" ref="M240:V240" si="320">IF(M22=0,0,M22/M$19)</f>
        <v>2.0832932472058259E-2</v>
      </c>
      <c r="N240" s="103">
        <f t="shared" si="320"/>
        <v>2.1499877677118143E-2</v>
      </c>
      <c r="O240" s="103">
        <f t="shared" si="320"/>
        <v>1.8673093437995576E-2</v>
      </c>
      <c r="P240" s="103">
        <f t="shared" si="320"/>
        <v>1.5085407255966419E-2</v>
      </c>
      <c r="Q240" s="103">
        <f t="shared" si="320"/>
        <v>1.6329952858665991E-2</v>
      </c>
      <c r="R240" s="103">
        <f t="shared" si="320"/>
        <v>1.3100670527602179E-2</v>
      </c>
      <c r="S240" s="103">
        <f t="shared" si="320"/>
        <v>1.2700723812745923E-2</v>
      </c>
      <c r="T240" s="103">
        <f t="shared" si="320"/>
        <v>1.2547326361932367E-2</v>
      </c>
      <c r="U240" s="103">
        <f t="shared" si="320"/>
        <v>1.2682040571982895E-2</v>
      </c>
      <c r="V240" s="103">
        <f t="shared" si="320"/>
        <v>1.3438173278786542E-2</v>
      </c>
      <c r="W240" s="103">
        <f t="shared" ref="W240" si="321">IF(W22=0,0,W22/W$19)</f>
        <v>1.363716401457099E-2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5.2386091311260304E-7</v>
      </c>
      <c r="O241" s="103">
        <f t="shared" si="324"/>
        <v>3.7824915095922148E-7</v>
      </c>
      <c r="P241" s="103">
        <f t="shared" si="324"/>
        <v>1.8990677798302858E-4</v>
      </c>
      <c r="Q241" s="103">
        <f t="shared" si="324"/>
        <v>1.8075321977406895E-4</v>
      </c>
      <c r="R241" s="103">
        <f t="shared" si="324"/>
        <v>1.8546660755426096E-4</v>
      </c>
      <c r="S241" s="103">
        <f t="shared" si="324"/>
        <v>1.7707090826063189E-4</v>
      </c>
      <c r="T241" s="103">
        <f t="shared" si="324"/>
        <v>1.8312907113183038E-4</v>
      </c>
      <c r="U241" s="103">
        <f t="shared" si="324"/>
        <v>1.8600031052851652E-4</v>
      </c>
      <c r="V241" s="103">
        <f t="shared" si="324"/>
        <v>1.9975955771908246E-4</v>
      </c>
      <c r="W241" s="103">
        <f t="shared" ref="W241" si="325">IF(W23=0,0,W23/W$19)</f>
        <v>1.9942038111678964E-4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4.3063815955780597E-7</v>
      </c>
      <c r="O242" s="103">
        <f t="shared" si="328"/>
        <v>7.835649800325731E-7</v>
      </c>
      <c r="P242" s="103">
        <f t="shared" si="328"/>
        <v>5.8842309273690349E-7</v>
      </c>
      <c r="Q242" s="103">
        <f t="shared" si="328"/>
        <v>7.2007835151025162E-7</v>
      </c>
      <c r="R242" s="103">
        <f t="shared" si="328"/>
        <v>1.4522744749478751E-5</v>
      </c>
      <c r="S242" s="103">
        <f t="shared" si="328"/>
        <v>1.3885135978270193E-5</v>
      </c>
      <c r="T242" s="103">
        <f t="shared" si="328"/>
        <v>2.2525699621686141E-5</v>
      </c>
      <c r="U242" s="103">
        <f t="shared" si="328"/>
        <v>2.594682791778848E-5</v>
      </c>
      <c r="V242" s="103">
        <f t="shared" si="328"/>
        <v>4.0569948083920959E-5</v>
      </c>
      <c r="W242" s="103">
        <f t="shared" ref="W242" si="329">IF(W24=0,0,W24/W$19)</f>
        <v>4.0501063384217875E-5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0</v>
      </c>
      <c r="N243" s="103">
        <f t="shared" si="332"/>
        <v>0</v>
      </c>
      <c r="O243" s="103">
        <f t="shared" si="332"/>
        <v>2.1405694710809794E-7</v>
      </c>
      <c r="P243" s="103">
        <f t="shared" si="332"/>
        <v>4.0721470949003893E-7</v>
      </c>
      <c r="Q243" s="103">
        <f t="shared" si="332"/>
        <v>5.7154089432057609E-7</v>
      </c>
      <c r="R243" s="103">
        <f t="shared" si="332"/>
        <v>1.0638663902314657E-6</v>
      </c>
      <c r="S243" s="103">
        <f t="shared" si="332"/>
        <v>2.1863063470924185E-6</v>
      </c>
      <c r="T243" s="103">
        <f t="shared" si="332"/>
        <v>6.4156226451759109E-6</v>
      </c>
      <c r="U243" s="103">
        <f t="shared" si="332"/>
        <v>6.5531200794910306E-6</v>
      </c>
      <c r="V243" s="103">
        <f t="shared" si="332"/>
        <v>8.3051386215470492E-6</v>
      </c>
      <c r="W243" s="103">
        <f t="shared" ref="W243" si="333">IF(W25=0,0,W25/W$19)</f>
        <v>1.1856331811472056E-5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0.97863767439879323</v>
      </c>
      <c r="C244" s="156">
        <f t="shared" si="334"/>
        <v>0.97937959595608381</v>
      </c>
      <c r="D244" s="156">
        <f t="shared" si="334"/>
        <v>0.97896772153474909</v>
      </c>
      <c r="E244" s="156">
        <f t="shared" si="334"/>
        <v>0.97951783741480325</v>
      </c>
      <c r="F244" s="156">
        <f t="shared" si="334"/>
        <v>0.98026171173108434</v>
      </c>
      <c r="G244" s="156">
        <f t="shared" si="334"/>
        <v>0.97935514936730761</v>
      </c>
      <c r="H244" s="156">
        <f t="shared" si="334"/>
        <v>0.97908202669830924</v>
      </c>
      <c r="I244" s="156">
        <f t="shared" si="334"/>
        <v>0.97936017570221656</v>
      </c>
      <c r="J244" s="156">
        <f t="shared" si="334"/>
        <v>0.97873741041803008</v>
      </c>
      <c r="K244" s="156">
        <f t="shared" si="334"/>
        <v>0.97473737480855516</v>
      </c>
      <c r="L244" s="156">
        <f t="shared" ref="L244" si="335">IF(L26=0,0,L26/L$19)</f>
        <v>0.97417169766111511</v>
      </c>
      <c r="M244" s="156">
        <f t="shared" ref="M244:V244" si="336">IF(M26=0,0,M26/M$19)</f>
        <v>0.97383696137845144</v>
      </c>
      <c r="N244" s="156">
        <f t="shared" si="336"/>
        <v>0.97317982749017407</v>
      </c>
      <c r="O244" s="156">
        <f t="shared" si="336"/>
        <v>0.97595295330913012</v>
      </c>
      <c r="P244" s="156">
        <f t="shared" si="336"/>
        <v>0.979952431842675</v>
      </c>
      <c r="Q244" s="156">
        <f t="shared" si="336"/>
        <v>0.9783429624333948</v>
      </c>
      <c r="R244" s="156">
        <f t="shared" si="336"/>
        <v>0.98134676783008157</v>
      </c>
      <c r="S244" s="156">
        <f t="shared" si="336"/>
        <v>0.98272433225853362</v>
      </c>
      <c r="T244" s="156">
        <f t="shared" si="336"/>
        <v>0.98309835731386253</v>
      </c>
      <c r="U244" s="156">
        <f t="shared" si="336"/>
        <v>0.98369623338856105</v>
      </c>
      <c r="V244" s="156">
        <f t="shared" si="336"/>
        <v>0.9827642989762001</v>
      </c>
      <c r="W244" s="156">
        <f t="shared" ref="W244" si="337">IF(W26=0,0,W26/W$19)</f>
        <v>0.98256661444049431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0.57552125463199599</v>
      </c>
      <c r="C245" s="103">
        <f t="shared" si="338"/>
        <v>0.57161833167199283</v>
      </c>
      <c r="D245" s="103">
        <f t="shared" si="338"/>
        <v>0.54380124114974115</v>
      </c>
      <c r="E245" s="103">
        <f t="shared" si="338"/>
        <v>0.5489442581874685</v>
      </c>
      <c r="F245" s="103">
        <f t="shared" si="338"/>
        <v>0.52313690459473783</v>
      </c>
      <c r="G245" s="103">
        <f t="shared" si="338"/>
        <v>0.52289018726535497</v>
      </c>
      <c r="H245" s="103">
        <f t="shared" si="338"/>
        <v>0.4898601775466116</v>
      </c>
      <c r="I245" s="103">
        <f t="shared" si="338"/>
        <v>0.45226698497697493</v>
      </c>
      <c r="J245" s="103">
        <f t="shared" si="338"/>
        <v>0.48803486749507868</v>
      </c>
      <c r="K245" s="103">
        <f t="shared" si="338"/>
        <v>0.4634766463715575</v>
      </c>
      <c r="L245" s="103">
        <f t="shared" ref="L245" si="339">IF(L27=0,0,L27/L$19)</f>
        <v>0.42998891307431719</v>
      </c>
      <c r="M245" s="103">
        <f t="shared" ref="M245:V245" si="340">IF(M27=0,0,M27/M$19)</f>
        <v>0.39975602437044272</v>
      </c>
      <c r="N245" s="103">
        <f t="shared" si="340"/>
        <v>0.40471567039794615</v>
      </c>
      <c r="O245" s="103">
        <f t="shared" si="340"/>
        <v>0.36250897982329111</v>
      </c>
      <c r="P245" s="103">
        <f t="shared" si="340"/>
        <v>0.38455262293453391</v>
      </c>
      <c r="Q245" s="103">
        <f t="shared" si="340"/>
        <v>0.37032144856945343</v>
      </c>
      <c r="R245" s="103">
        <f t="shared" si="340"/>
        <v>0.37449941638383466</v>
      </c>
      <c r="S245" s="103">
        <f t="shared" si="340"/>
        <v>0.37996733556677426</v>
      </c>
      <c r="T245" s="103">
        <f t="shared" si="340"/>
        <v>0.38544358718655486</v>
      </c>
      <c r="U245" s="103">
        <f t="shared" si="340"/>
        <v>0.38516846932191157</v>
      </c>
      <c r="V245" s="103">
        <f t="shared" si="340"/>
        <v>0.3862712764408549</v>
      </c>
      <c r="W245" s="103">
        <f t="shared" ref="W245" si="341">IF(W27=0,0,W27/W$19)</f>
        <v>0.374659690950567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0.4031164197667973</v>
      </c>
      <c r="C246" s="105">
        <f t="shared" si="342"/>
        <v>0.40776126428409104</v>
      </c>
      <c r="D246" s="105">
        <f t="shared" si="342"/>
        <v>0.43516648038500788</v>
      </c>
      <c r="E246" s="105">
        <f t="shared" si="342"/>
        <v>0.43057357922733475</v>
      </c>
      <c r="F246" s="105">
        <f t="shared" si="342"/>
        <v>0.45712480713634651</v>
      </c>
      <c r="G246" s="105">
        <f t="shared" si="342"/>
        <v>0.45646496210195259</v>
      </c>
      <c r="H246" s="105">
        <f t="shared" si="342"/>
        <v>0.48922184915169764</v>
      </c>
      <c r="I246" s="105">
        <f t="shared" si="342"/>
        <v>0.52709319072524163</v>
      </c>
      <c r="J246" s="105">
        <f t="shared" si="342"/>
        <v>0.4907025429229514</v>
      </c>
      <c r="K246" s="105">
        <f t="shared" si="342"/>
        <v>0.51126072843699766</v>
      </c>
      <c r="L246" s="105">
        <f t="shared" ref="L246" si="343">IF(L28=0,0,L28/L$19)</f>
        <v>0.54418278458679792</v>
      </c>
      <c r="M246" s="105">
        <f t="shared" ref="M246:V246" si="344">IF(M28=0,0,M28/M$19)</f>
        <v>0.57408093700800877</v>
      </c>
      <c r="N246" s="105">
        <f t="shared" si="344"/>
        <v>0.56846415709222797</v>
      </c>
      <c r="O246" s="105">
        <f t="shared" si="344"/>
        <v>0.61344397348583901</v>
      </c>
      <c r="P246" s="105">
        <f t="shared" si="344"/>
        <v>0.59539980890814115</v>
      </c>
      <c r="Q246" s="105">
        <f t="shared" si="344"/>
        <v>0.60802151386394132</v>
      </c>
      <c r="R246" s="105">
        <f t="shared" si="344"/>
        <v>0.60684735144624691</v>
      </c>
      <c r="S246" s="105">
        <f t="shared" si="344"/>
        <v>0.60275699669175931</v>
      </c>
      <c r="T246" s="105">
        <f t="shared" si="344"/>
        <v>0.59765477012730761</v>
      </c>
      <c r="U246" s="105">
        <f t="shared" si="344"/>
        <v>0.59852776406664954</v>
      </c>
      <c r="V246" s="105">
        <f t="shared" si="344"/>
        <v>0.5964930225353452</v>
      </c>
      <c r="W246" s="105">
        <f t="shared" ref="W246" si="345">IF(W28=0,0,W28/W$19)</f>
        <v>0.60790692348992725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3.9575992001699258E-3</v>
      </c>
      <c r="C250" s="154">
        <f t="shared" si="350"/>
        <v>4.0963898254030321E-3</v>
      </c>
      <c r="D250" s="154">
        <f t="shared" si="350"/>
        <v>3.4583321879001015E-3</v>
      </c>
      <c r="E250" s="154">
        <f t="shared" si="350"/>
        <v>3.4783408310206558E-3</v>
      </c>
      <c r="F250" s="154">
        <f t="shared" si="350"/>
        <v>3.6840090554506708E-3</v>
      </c>
      <c r="G250" s="154">
        <f t="shared" si="350"/>
        <v>3.9714202388164803E-3</v>
      </c>
      <c r="H250" s="154">
        <f t="shared" si="350"/>
        <v>4.0559482874064495E-3</v>
      </c>
      <c r="I250" s="154">
        <f t="shared" si="350"/>
        <v>4.4320872844861E-3</v>
      </c>
      <c r="J250" s="154">
        <f t="shared" si="350"/>
        <v>4.7196099395299318E-3</v>
      </c>
      <c r="K250" s="154">
        <f t="shared" si="350"/>
        <v>4.1542454348365973E-3</v>
      </c>
      <c r="L250" s="154">
        <f t="shared" ref="L250" si="351">IF(L32=0,0,L32/L$31)</f>
        <v>3.7009217449137529E-3</v>
      </c>
      <c r="M250" s="154">
        <f t="shared" ref="M250:V250" si="352">IF(M32=0,0,M32/M$31)</f>
        <v>4.5066226701724965E-3</v>
      </c>
      <c r="N250" s="154">
        <f t="shared" si="352"/>
        <v>5.2992987320692499E-3</v>
      </c>
      <c r="O250" s="154">
        <f t="shared" si="352"/>
        <v>5.3470239967162809E-3</v>
      </c>
      <c r="P250" s="154">
        <f t="shared" si="352"/>
        <v>5.8645041700843299E-3</v>
      </c>
      <c r="Q250" s="154">
        <f t="shared" si="352"/>
        <v>6.4803411304728701E-3</v>
      </c>
      <c r="R250" s="154">
        <f t="shared" si="352"/>
        <v>6.8726206598859431E-3</v>
      </c>
      <c r="S250" s="154">
        <f t="shared" si="352"/>
        <v>6.5459956949798339E-3</v>
      </c>
      <c r="T250" s="154">
        <f t="shared" si="352"/>
        <v>6.2454055280592889E-3</v>
      </c>
      <c r="U250" s="154">
        <f t="shared" si="352"/>
        <v>6.6722899243300956E-3</v>
      </c>
      <c r="V250" s="154">
        <f t="shared" si="352"/>
        <v>6.5162798101531198E-3</v>
      </c>
      <c r="W250" s="154">
        <f t="shared" ref="W250" si="353">IF(W32=0,0,W32/W$31)</f>
        <v>6.6685717184684469E-3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0.97323084407750893</v>
      </c>
      <c r="C251" s="156">
        <f t="shared" si="354"/>
        <v>0.97399575154012674</v>
      </c>
      <c r="D251" s="156">
        <f t="shared" si="354"/>
        <v>0.97572515331111975</v>
      </c>
      <c r="E251" s="156">
        <f t="shared" si="354"/>
        <v>0.97501184385943684</v>
      </c>
      <c r="F251" s="156">
        <f t="shared" si="354"/>
        <v>0.97615049424110822</v>
      </c>
      <c r="G251" s="156">
        <f t="shared" si="354"/>
        <v>0.97699337686660326</v>
      </c>
      <c r="H251" s="156">
        <f t="shared" si="354"/>
        <v>0.97667315560812717</v>
      </c>
      <c r="I251" s="156">
        <f t="shared" si="354"/>
        <v>0.97219403947604655</v>
      </c>
      <c r="J251" s="156">
        <f t="shared" si="354"/>
        <v>0.9726930383252167</v>
      </c>
      <c r="K251" s="156">
        <f t="shared" si="354"/>
        <v>0.97437513705453982</v>
      </c>
      <c r="L251" s="156">
        <f t="shared" ref="L251" si="355">IF(L33=0,0,L33/L$31)</f>
        <v>0.97572204328216516</v>
      </c>
      <c r="M251" s="156">
        <f t="shared" ref="M251:V251" si="356">IF(M33=0,0,M33/M$31)</f>
        <v>0.97562027877846569</v>
      </c>
      <c r="N251" s="156">
        <f t="shared" si="356"/>
        <v>0.97482121219718243</v>
      </c>
      <c r="O251" s="156">
        <f t="shared" si="356"/>
        <v>0.97564929290231672</v>
      </c>
      <c r="P251" s="156">
        <f t="shared" si="356"/>
        <v>0.97501861582189175</v>
      </c>
      <c r="Q251" s="156">
        <f t="shared" si="356"/>
        <v>0.97453412727760702</v>
      </c>
      <c r="R251" s="156">
        <f t="shared" si="356"/>
        <v>0.97426456470843559</v>
      </c>
      <c r="S251" s="156">
        <f t="shared" si="356"/>
        <v>0.97381991816751856</v>
      </c>
      <c r="T251" s="156">
        <f t="shared" si="356"/>
        <v>0.97368781746208144</v>
      </c>
      <c r="U251" s="156">
        <f t="shared" si="356"/>
        <v>0.9730603227474347</v>
      </c>
      <c r="V251" s="156">
        <f t="shared" si="356"/>
        <v>0.97459025039145208</v>
      </c>
      <c r="W251" s="156">
        <f t="shared" ref="W251" si="357">IF(W33=0,0,W33/W$31)</f>
        <v>0.97488910923315075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0.75633439766471611</v>
      </c>
      <c r="C252" s="103">
        <f t="shared" si="358"/>
        <v>0.74544092587198396</v>
      </c>
      <c r="D252" s="103">
        <f t="shared" si="358"/>
        <v>0.72399136607392245</v>
      </c>
      <c r="E252" s="103">
        <f t="shared" si="358"/>
        <v>0.70779779814472654</v>
      </c>
      <c r="F252" s="103">
        <f t="shared" si="358"/>
        <v>0.6997299613223551</v>
      </c>
      <c r="G252" s="103">
        <f t="shared" si="358"/>
        <v>0.69592385558742842</v>
      </c>
      <c r="H252" s="103">
        <f t="shared" si="358"/>
        <v>0.68801553685657202</v>
      </c>
      <c r="I252" s="103">
        <f t="shared" si="358"/>
        <v>0.66096152903602878</v>
      </c>
      <c r="J252" s="103">
        <f t="shared" si="358"/>
        <v>0.64896568428077295</v>
      </c>
      <c r="K252" s="103">
        <f t="shared" si="358"/>
        <v>0.64170806118585033</v>
      </c>
      <c r="L252" s="103">
        <f t="shared" ref="L252" si="359">IF(L34=0,0,L34/L$31)</f>
        <v>0.64209109234670481</v>
      </c>
      <c r="M252" s="103">
        <f t="shared" ref="M252:V252" si="360">IF(M34=0,0,M34/M$31)</f>
        <v>0.61423502554323406</v>
      </c>
      <c r="N252" s="103">
        <f t="shared" si="360"/>
        <v>0.61480968488294796</v>
      </c>
      <c r="O252" s="103">
        <f t="shared" si="360"/>
        <v>0.62264505645719781</v>
      </c>
      <c r="P252" s="103">
        <f t="shared" si="360"/>
        <v>0.62299196304788973</v>
      </c>
      <c r="Q252" s="103">
        <f t="shared" si="360"/>
        <v>0.62774572042460897</v>
      </c>
      <c r="R252" s="103">
        <f t="shared" si="360"/>
        <v>0.63656857565973157</v>
      </c>
      <c r="S252" s="103">
        <f t="shared" si="360"/>
        <v>0.63676241686880619</v>
      </c>
      <c r="T252" s="103">
        <f t="shared" si="360"/>
        <v>0.63573970313551353</v>
      </c>
      <c r="U252" s="103">
        <f t="shared" si="360"/>
        <v>0.63396911264453482</v>
      </c>
      <c r="V252" s="103">
        <f t="shared" si="360"/>
        <v>0.6283196359594424</v>
      </c>
      <c r="W252" s="103">
        <f t="shared" ref="W252" si="361">IF(W34=0,0,W34/W$31)</f>
        <v>0.62220186385236975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0.21689644641279282</v>
      </c>
      <c r="C253" s="103">
        <f t="shared" si="362"/>
        <v>0.22688180589171317</v>
      </c>
      <c r="D253" s="103">
        <f t="shared" si="362"/>
        <v>0.25009358625168637</v>
      </c>
      <c r="E253" s="103">
        <f t="shared" si="362"/>
        <v>0.26250410267289775</v>
      </c>
      <c r="F253" s="103">
        <f t="shared" si="362"/>
        <v>0.27089332739107364</v>
      </c>
      <c r="G253" s="103">
        <f t="shared" si="362"/>
        <v>0.27431743795463931</v>
      </c>
      <c r="H253" s="103">
        <f t="shared" si="362"/>
        <v>0.28205168541736575</v>
      </c>
      <c r="I253" s="103">
        <f t="shared" si="362"/>
        <v>0.29966153155392045</v>
      </c>
      <c r="J253" s="103">
        <f t="shared" si="362"/>
        <v>0.31318322915660179</v>
      </c>
      <c r="K253" s="103">
        <f t="shared" si="362"/>
        <v>0.32231333096032877</v>
      </c>
      <c r="L253" s="103">
        <f t="shared" ref="L253" si="363">IF(L35=0,0,L35/L$31)</f>
        <v>0.32156364808106269</v>
      </c>
      <c r="M253" s="103">
        <f t="shared" ref="M253:V253" si="364">IF(M35=0,0,M35/M$31)</f>
        <v>0.32250150405196576</v>
      </c>
      <c r="N253" s="103">
        <f t="shared" si="364"/>
        <v>0.32039982383762439</v>
      </c>
      <c r="O253" s="103">
        <f t="shared" si="364"/>
        <v>0.31276965625285941</v>
      </c>
      <c r="P253" s="103">
        <f t="shared" si="364"/>
        <v>0.31207236768862712</v>
      </c>
      <c r="Q253" s="103">
        <f t="shared" si="364"/>
        <v>0.30620685668494735</v>
      </c>
      <c r="R253" s="103">
        <f t="shared" si="364"/>
        <v>0.30178256204523041</v>
      </c>
      <c r="S253" s="103">
        <f t="shared" si="364"/>
        <v>0.30536888032759779</v>
      </c>
      <c r="T253" s="103">
        <f t="shared" si="364"/>
        <v>0.30827704923191607</v>
      </c>
      <c r="U253" s="103">
        <f t="shared" si="364"/>
        <v>0.31197961800764812</v>
      </c>
      <c r="V253" s="103">
        <f t="shared" si="364"/>
        <v>0.31943827091296151</v>
      </c>
      <c r="W253" s="103">
        <f t="shared" ref="W253" si="365">IF(W35=0,0,W35/W$31)</f>
        <v>0.32592094129266186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0</v>
      </c>
      <c r="C254" s="103">
        <f t="shared" si="366"/>
        <v>0</v>
      </c>
      <c r="D254" s="103">
        <f t="shared" si="366"/>
        <v>0</v>
      </c>
      <c r="E254" s="103">
        <f t="shared" si="366"/>
        <v>0</v>
      </c>
      <c r="F254" s="103">
        <f t="shared" si="366"/>
        <v>0</v>
      </c>
      <c r="G254" s="103">
        <f t="shared" si="366"/>
        <v>1.144882789568311E-3</v>
      </c>
      <c r="H254" s="103">
        <f t="shared" si="366"/>
        <v>1.1155340387405143E-3</v>
      </c>
      <c r="I254" s="103">
        <f t="shared" si="366"/>
        <v>1.0783149829331424E-3</v>
      </c>
      <c r="J254" s="103">
        <f t="shared" si="366"/>
        <v>1.0059549673991847E-3</v>
      </c>
      <c r="K254" s="103">
        <f t="shared" si="366"/>
        <v>9.6285336219600025E-4</v>
      </c>
      <c r="L254" s="103">
        <f t="shared" ref="L254" si="367">IF(L36=0,0,L36/L$31)</f>
        <v>1.9437197835962768E-3</v>
      </c>
      <c r="M254" s="103">
        <f t="shared" ref="M254:V254" si="368">IF(M36=0,0,M36/M$31)</f>
        <v>2.9484018435685915E-2</v>
      </c>
      <c r="N254" s="103">
        <f t="shared" si="368"/>
        <v>3.1567956363519806E-2</v>
      </c>
      <c r="O254" s="103">
        <f t="shared" si="368"/>
        <v>3.3062890573022599E-2</v>
      </c>
      <c r="P254" s="103">
        <f t="shared" si="368"/>
        <v>3.2191421691406985E-2</v>
      </c>
      <c r="Q254" s="103">
        <f t="shared" si="368"/>
        <v>3.3071298046104002E-2</v>
      </c>
      <c r="R254" s="103">
        <f t="shared" si="368"/>
        <v>3.0685624281509546E-2</v>
      </c>
      <c r="S254" s="103">
        <f t="shared" si="368"/>
        <v>2.6812218850726027E-2</v>
      </c>
      <c r="T254" s="103">
        <f t="shared" si="368"/>
        <v>2.4970174751414574E-2</v>
      </c>
      <c r="U254" s="103">
        <f t="shared" si="368"/>
        <v>2.3107903113784613E-2</v>
      </c>
      <c r="V254" s="103">
        <f t="shared" si="368"/>
        <v>2.2724198013195484E-2</v>
      </c>
      <c r="W254" s="103">
        <f t="shared" ref="W254" si="369">IF(W36=0,0,W36/W$31)</f>
        <v>2.1771673654465501E-2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1.6730197764294955E-3</v>
      </c>
      <c r="D255" s="103">
        <f t="shared" si="370"/>
        <v>1.6402009855109182E-3</v>
      </c>
      <c r="E255" s="103">
        <f t="shared" si="370"/>
        <v>4.7099430418125685E-3</v>
      </c>
      <c r="F255" s="103">
        <f t="shared" si="370"/>
        <v>5.5272055276794629E-3</v>
      </c>
      <c r="G255" s="103">
        <f t="shared" si="370"/>
        <v>5.6072005349672932E-3</v>
      </c>
      <c r="H255" s="103">
        <f t="shared" si="370"/>
        <v>5.490399295448878E-3</v>
      </c>
      <c r="I255" s="103">
        <f t="shared" si="370"/>
        <v>1.0492663903164031E-2</v>
      </c>
      <c r="J255" s="103">
        <f t="shared" si="370"/>
        <v>9.5381699204428235E-3</v>
      </c>
      <c r="K255" s="103">
        <f t="shared" si="370"/>
        <v>9.3908915461646467E-3</v>
      </c>
      <c r="L255" s="103">
        <f t="shared" ref="L255" si="371">IF(L37=0,0,L37/L$31)</f>
        <v>1.0123583070801462E-2</v>
      </c>
      <c r="M255" s="103">
        <f t="shared" ref="M255:V255" si="372">IF(M37=0,0,M37/M$31)</f>
        <v>9.3899780207227432E-3</v>
      </c>
      <c r="N255" s="103">
        <f t="shared" si="372"/>
        <v>8.0304891193787344E-3</v>
      </c>
      <c r="O255" s="103">
        <f t="shared" si="372"/>
        <v>7.1559722139606071E-3</v>
      </c>
      <c r="P255" s="103">
        <f t="shared" si="372"/>
        <v>7.6940407163739047E-3</v>
      </c>
      <c r="Q255" s="103">
        <f t="shared" si="372"/>
        <v>7.4196254382679272E-3</v>
      </c>
      <c r="R255" s="103">
        <f t="shared" si="372"/>
        <v>5.0429263324819756E-3</v>
      </c>
      <c r="S255" s="103">
        <f t="shared" si="372"/>
        <v>4.5054537686200135E-3</v>
      </c>
      <c r="T255" s="103">
        <f t="shared" si="372"/>
        <v>4.0269628095944863E-3</v>
      </c>
      <c r="U255" s="103">
        <f t="shared" si="372"/>
        <v>3.1867440831494388E-3</v>
      </c>
      <c r="V255" s="103">
        <f t="shared" si="372"/>
        <v>2.4988836947221118E-3</v>
      </c>
      <c r="W255" s="103">
        <f t="shared" ref="W255" si="373">IF(W37=0,0,W37/W$31)</f>
        <v>2.476275950082821E-3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2.9306657124399962E-6</v>
      </c>
      <c r="O256" s="103">
        <f t="shared" si="376"/>
        <v>2.9914028932668028E-6</v>
      </c>
      <c r="P256" s="103">
        <f t="shared" si="376"/>
        <v>1.2078095913580684E-5</v>
      </c>
      <c r="Q256" s="103">
        <f t="shared" si="376"/>
        <v>2.2441271800018474E-5</v>
      </c>
      <c r="R256" s="103">
        <f t="shared" si="376"/>
        <v>8.684145120648559E-5</v>
      </c>
      <c r="S256" s="103">
        <f t="shared" si="376"/>
        <v>1.7491771297304805E-4</v>
      </c>
      <c r="T256" s="103">
        <f t="shared" si="376"/>
        <v>2.8700630382097112E-4</v>
      </c>
      <c r="U256" s="103">
        <f t="shared" si="376"/>
        <v>3.5335988481220596E-4</v>
      </c>
      <c r="V256" s="103">
        <f t="shared" si="376"/>
        <v>6.5713120049541772E-4</v>
      </c>
      <c r="W256" s="103">
        <f t="shared" ref="W256" si="377">IF(W38=0,0,W38/W$31)</f>
        <v>9.8940709152314614E-4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0</v>
      </c>
      <c r="M257" s="103">
        <f t="shared" ref="M257:V257" si="380">IF(M39=0,0,M39/M$31)</f>
        <v>9.7527268570984872E-6</v>
      </c>
      <c r="N257" s="103">
        <f t="shared" si="380"/>
        <v>1.0327327999057147E-5</v>
      </c>
      <c r="O257" s="103">
        <f t="shared" si="380"/>
        <v>1.2726002382960995E-5</v>
      </c>
      <c r="P257" s="103">
        <f t="shared" si="380"/>
        <v>5.6744581680536336E-5</v>
      </c>
      <c r="Q257" s="103">
        <f t="shared" si="380"/>
        <v>6.8185411878987282E-5</v>
      </c>
      <c r="R257" s="103">
        <f t="shared" si="380"/>
        <v>9.8034938275639506E-5</v>
      </c>
      <c r="S257" s="103">
        <f t="shared" si="380"/>
        <v>1.9603063879556064E-4</v>
      </c>
      <c r="T257" s="103">
        <f t="shared" si="380"/>
        <v>3.8692122982171751E-4</v>
      </c>
      <c r="U257" s="103">
        <f t="shared" si="380"/>
        <v>4.6358501350555651E-4</v>
      </c>
      <c r="V257" s="103">
        <f t="shared" si="380"/>
        <v>9.5213061063513613E-4</v>
      </c>
      <c r="W257" s="103">
        <f t="shared" ref="W257" si="381">IF(W39=0,0,W39/W$31)</f>
        <v>1.5289473920477401E-3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2.281155672232104E-2</v>
      </c>
      <c r="C258" s="156">
        <f t="shared" si="382"/>
        <v>2.1907858634470187E-2</v>
      </c>
      <c r="D258" s="156">
        <f t="shared" si="382"/>
        <v>2.081651450098013E-2</v>
      </c>
      <c r="E258" s="156">
        <f t="shared" si="382"/>
        <v>2.150981530954248E-2</v>
      </c>
      <c r="F258" s="156">
        <f t="shared" si="382"/>
        <v>2.0165496703441081E-2</v>
      </c>
      <c r="G258" s="156">
        <f t="shared" si="382"/>
        <v>1.9035202894580196E-2</v>
      </c>
      <c r="H258" s="156">
        <f t="shared" si="382"/>
        <v>1.9270896104466341E-2</v>
      </c>
      <c r="I258" s="156">
        <f t="shared" si="382"/>
        <v>2.3373873239467373E-2</v>
      </c>
      <c r="J258" s="156">
        <f t="shared" si="382"/>
        <v>2.2587351735253419E-2</v>
      </c>
      <c r="K258" s="156">
        <f t="shared" si="382"/>
        <v>2.1470617510623548E-2</v>
      </c>
      <c r="L258" s="156">
        <f t="shared" ref="L258" si="383">IF(L40=0,0,L40/L$31)</f>
        <v>2.0577034972921047E-2</v>
      </c>
      <c r="M258" s="156">
        <f t="shared" ref="M258:V258" si="384">IF(M40=0,0,M40/M$31)</f>
        <v>1.9873098551361913E-2</v>
      </c>
      <c r="N258" s="156">
        <f t="shared" si="384"/>
        <v>1.9879489070748321E-2</v>
      </c>
      <c r="O258" s="156">
        <f t="shared" si="384"/>
        <v>1.9003683100967061E-2</v>
      </c>
      <c r="P258" s="156">
        <f t="shared" si="384"/>
        <v>1.9116880008023952E-2</v>
      </c>
      <c r="Q258" s="156">
        <f t="shared" si="384"/>
        <v>1.8985531591920124E-2</v>
      </c>
      <c r="R258" s="156">
        <f t="shared" si="384"/>
        <v>1.8862814631678406E-2</v>
      </c>
      <c r="S258" s="156">
        <f t="shared" si="384"/>
        <v>1.9634086137501602E-2</v>
      </c>
      <c r="T258" s="156">
        <f t="shared" si="384"/>
        <v>2.0066777009859326E-2</v>
      </c>
      <c r="U258" s="156">
        <f t="shared" si="384"/>
        <v>2.0267387328235246E-2</v>
      </c>
      <c r="V258" s="156">
        <f t="shared" si="384"/>
        <v>1.8893469798394742E-2</v>
      </c>
      <c r="W258" s="156">
        <f t="shared" ref="W258" si="385">IF(W40=0,0,W40/W$31)</f>
        <v>1.8442319048380739E-2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0</v>
      </c>
      <c r="C259" s="103">
        <f t="shared" si="386"/>
        <v>0</v>
      </c>
      <c r="D259" s="103">
        <f t="shared" si="386"/>
        <v>0</v>
      </c>
      <c r="E259" s="103">
        <f t="shared" si="386"/>
        <v>0</v>
      </c>
      <c r="F259" s="103">
        <f t="shared" si="386"/>
        <v>0</v>
      </c>
      <c r="G259" s="103">
        <f t="shared" si="386"/>
        <v>0</v>
      </c>
      <c r="H259" s="103">
        <f t="shared" si="386"/>
        <v>0</v>
      </c>
      <c r="I259" s="103">
        <f t="shared" si="386"/>
        <v>0</v>
      </c>
      <c r="J259" s="103">
        <f t="shared" si="386"/>
        <v>0</v>
      </c>
      <c r="K259" s="103">
        <f t="shared" si="386"/>
        <v>0</v>
      </c>
      <c r="L259" s="103">
        <f t="shared" ref="L259" si="387">IF(L41=0,0,L41/L$31)</f>
        <v>0</v>
      </c>
      <c r="M259" s="103">
        <f t="shared" ref="M259:V259" si="388">IF(M41=0,0,M41/M$31)</f>
        <v>0</v>
      </c>
      <c r="N259" s="103">
        <f t="shared" si="388"/>
        <v>0</v>
      </c>
      <c r="O259" s="103">
        <f t="shared" si="388"/>
        <v>0</v>
      </c>
      <c r="P259" s="103">
        <f t="shared" si="388"/>
        <v>0</v>
      </c>
      <c r="Q259" s="103">
        <f t="shared" si="388"/>
        <v>0</v>
      </c>
      <c r="R259" s="103">
        <f t="shared" si="388"/>
        <v>0</v>
      </c>
      <c r="S259" s="103">
        <f t="shared" si="388"/>
        <v>0</v>
      </c>
      <c r="T259" s="103">
        <f t="shared" si="388"/>
        <v>0</v>
      </c>
      <c r="U259" s="103">
        <f t="shared" si="388"/>
        <v>0</v>
      </c>
      <c r="V259" s="103">
        <f t="shared" si="388"/>
        <v>0</v>
      </c>
      <c r="W259" s="103">
        <f t="shared" ref="W259" si="389">IF(W41=0,0,W41/W$31)</f>
        <v>0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2.281155672232104E-2</v>
      </c>
      <c r="C260" s="103">
        <f t="shared" si="390"/>
        <v>2.1907858634470187E-2</v>
      </c>
      <c r="D260" s="103">
        <f t="shared" si="390"/>
        <v>2.081651450098013E-2</v>
      </c>
      <c r="E260" s="103">
        <f t="shared" si="390"/>
        <v>2.150981530954248E-2</v>
      </c>
      <c r="F260" s="103">
        <f t="shared" si="390"/>
        <v>2.0165496703441081E-2</v>
      </c>
      <c r="G260" s="103">
        <f t="shared" si="390"/>
        <v>1.9035202894580196E-2</v>
      </c>
      <c r="H260" s="103">
        <f t="shared" si="390"/>
        <v>1.9270896104466341E-2</v>
      </c>
      <c r="I260" s="103">
        <f t="shared" si="390"/>
        <v>2.3373873239467373E-2</v>
      </c>
      <c r="J260" s="103">
        <f t="shared" si="390"/>
        <v>2.2587351735253419E-2</v>
      </c>
      <c r="K260" s="103">
        <f t="shared" si="390"/>
        <v>2.1470617510623548E-2</v>
      </c>
      <c r="L260" s="103">
        <f t="shared" ref="L260" si="391">IF(L42=0,0,L42/L$31)</f>
        <v>2.0246894446645517E-2</v>
      </c>
      <c r="M260" s="103">
        <f t="shared" ref="M260:V260" si="392">IF(M42=0,0,M42/M$31)</f>
        <v>1.9105152447559406E-2</v>
      </c>
      <c r="N260" s="103">
        <f t="shared" si="392"/>
        <v>1.910550475730869E-2</v>
      </c>
      <c r="O260" s="103">
        <f t="shared" si="392"/>
        <v>1.8251748484000348E-2</v>
      </c>
      <c r="P260" s="103">
        <f t="shared" si="392"/>
        <v>1.8106718747054922E-2</v>
      </c>
      <c r="Q260" s="103">
        <f t="shared" si="392"/>
        <v>1.7735863803806668E-2</v>
      </c>
      <c r="R260" s="103">
        <f t="shared" si="392"/>
        <v>1.7042740369892583E-2</v>
      </c>
      <c r="S260" s="103">
        <f t="shared" si="392"/>
        <v>1.7627211478159332E-2</v>
      </c>
      <c r="T260" s="103">
        <f t="shared" si="392"/>
        <v>1.7938585378370241E-2</v>
      </c>
      <c r="U260" s="103">
        <f t="shared" si="392"/>
        <v>1.8028030402182225E-2</v>
      </c>
      <c r="V260" s="103">
        <f t="shared" si="392"/>
        <v>1.6451166083888788E-2</v>
      </c>
      <c r="W260" s="103">
        <f t="shared" ref="W260" si="393">IF(W42=0,0,W42/W$31)</f>
        <v>1.6030943159059948E-2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0</v>
      </c>
      <c r="L262" s="103">
        <f t="shared" ref="L262" si="399">IF(L44=0,0,L44/L$31)</f>
        <v>0</v>
      </c>
      <c r="M262" s="103">
        <f t="shared" ref="M262:V262" si="400">IF(M44=0,0,M44/M$31)</f>
        <v>0</v>
      </c>
      <c r="N262" s="103">
        <f t="shared" si="400"/>
        <v>0</v>
      </c>
      <c r="O262" s="103">
        <f t="shared" si="400"/>
        <v>0</v>
      </c>
      <c r="P262" s="103">
        <f t="shared" si="400"/>
        <v>0</v>
      </c>
      <c r="Q262" s="103">
        <f t="shared" si="400"/>
        <v>0</v>
      </c>
      <c r="R262" s="103">
        <f t="shared" si="400"/>
        <v>3.4898718836293737E-4</v>
      </c>
      <c r="S262" s="103">
        <f t="shared" si="400"/>
        <v>3.4388097865627025E-4</v>
      </c>
      <c r="T262" s="103">
        <f t="shared" si="400"/>
        <v>3.2277540992948529E-4</v>
      </c>
      <c r="U262" s="103">
        <f t="shared" si="400"/>
        <v>3.2547393467117597E-4</v>
      </c>
      <c r="V262" s="103">
        <f t="shared" si="400"/>
        <v>3.4324052188915681E-4</v>
      </c>
      <c r="W262" s="103">
        <f t="shared" ref="W262" si="401">IF(W44=0,0,W44/W$31)</f>
        <v>3.3290137263203827E-4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3.3014052627552948E-4</v>
      </c>
      <c r="M263" s="103">
        <f t="shared" ref="M263:V263" si="404">IF(M45=0,0,M45/M$31)</f>
        <v>7.6794610380250591E-4</v>
      </c>
      <c r="N263" s="103">
        <f t="shared" si="404"/>
        <v>7.7398431343963039E-4</v>
      </c>
      <c r="O263" s="103">
        <f t="shared" si="404"/>
        <v>7.5193461696671567E-4</v>
      </c>
      <c r="P263" s="103">
        <f t="shared" si="404"/>
        <v>1.0101612609690297E-3</v>
      </c>
      <c r="Q263" s="103">
        <f t="shared" si="404"/>
        <v>1.2496677881134559E-3</v>
      </c>
      <c r="R263" s="103">
        <f t="shared" si="404"/>
        <v>1.4710870734228846E-3</v>
      </c>
      <c r="S263" s="103">
        <f t="shared" si="404"/>
        <v>1.6629936806859976E-3</v>
      </c>
      <c r="T263" s="103">
        <f t="shared" si="404"/>
        <v>1.8054162215595966E-3</v>
      </c>
      <c r="U263" s="103">
        <f t="shared" si="404"/>
        <v>1.9138829913818442E-3</v>
      </c>
      <c r="V263" s="103">
        <f t="shared" si="404"/>
        <v>2.0990631926167966E-3</v>
      </c>
      <c r="W263" s="103">
        <f t="shared" ref="W263" si="405">IF(W45=0,0,W45/W$31)</f>
        <v>2.0784745166887533E-3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0.72863027326120966</v>
      </c>
      <c r="C265" s="154">
        <f t="shared" si="410"/>
        <v>0.7179860936768877</v>
      </c>
      <c r="D265" s="154">
        <f t="shared" si="410"/>
        <v>0.65695258530265666</v>
      </c>
      <c r="E265" s="154">
        <f t="shared" si="410"/>
        <v>0.64516928418584629</v>
      </c>
      <c r="F265" s="154">
        <f t="shared" si="410"/>
        <v>0.63115670492073184</v>
      </c>
      <c r="G265" s="154">
        <f t="shared" si="410"/>
        <v>0.63288202934519888</v>
      </c>
      <c r="H265" s="154">
        <f t="shared" si="410"/>
        <v>0.60886952236563896</v>
      </c>
      <c r="I265" s="154">
        <f t="shared" si="410"/>
        <v>0.61232045819109526</v>
      </c>
      <c r="J265" s="154">
        <f t="shared" si="410"/>
        <v>0.59192017199490987</v>
      </c>
      <c r="K265" s="154">
        <f t="shared" si="410"/>
        <v>0.64257190748477877</v>
      </c>
      <c r="L265" s="154">
        <f t="shared" ref="L265" si="411">IF(L47=0,0,L47/L$46)</f>
        <v>0.59648256097726016</v>
      </c>
      <c r="M265" s="154">
        <f t="shared" ref="M265:V265" si="412">IF(M47=0,0,M47/M$46)</f>
        <v>0.60044370260646751</v>
      </c>
      <c r="N265" s="154">
        <f t="shared" si="412"/>
        <v>0.62259070957111795</v>
      </c>
      <c r="O265" s="154">
        <f t="shared" si="412"/>
        <v>0.60179772688237454</v>
      </c>
      <c r="P265" s="154">
        <f t="shared" si="412"/>
        <v>0.55122142861631263</v>
      </c>
      <c r="Q265" s="154">
        <f t="shared" si="412"/>
        <v>0.59535981556728335</v>
      </c>
      <c r="R265" s="154">
        <f t="shared" si="412"/>
        <v>0.54320587258686437</v>
      </c>
      <c r="S265" s="154">
        <f t="shared" si="412"/>
        <v>0.5335798251831716</v>
      </c>
      <c r="T265" s="154">
        <f t="shared" si="412"/>
        <v>0.54125080379286961</v>
      </c>
      <c r="U265" s="154">
        <f t="shared" si="412"/>
        <v>0.51443896603805817</v>
      </c>
      <c r="V265" s="154">
        <f t="shared" si="412"/>
        <v>0.52732201817698765</v>
      </c>
      <c r="W265" s="154">
        <f t="shared" ref="W265" si="413">IF(W47=0,0,W47/W$46)</f>
        <v>0.53845693865913336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0.24805329686435107</v>
      </c>
      <c r="C266" s="103">
        <f t="shared" si="414"/>
        <v>0.24414056178717222</v>
      </c>
      <c r="D266" s="103">
        <f t="shared" si="414"/>
        <v>0.22595942956130971</v>
      </c>
      <c r="E266" s="103">
        <f t="shared" si="414"/>
        <v>0.22243295774423053</v>
      </c>
      <c r="F266" s="103">
        <f t="shared" si="414"/>
        <v>0.255741359154461</v>
      </c>
      <c r="G266" s="103">
        <f t="shared" si="414"/>
        <v>0.24209003639850241</v>
      </c>
      <c r="H266" s="103">
        <f t="shared" si="414"/>
        <v>0.23844198154820415</v>
      </c>
      <c r="I266" s="103">
        <f t="shared" si="414"/>
        <v>0.22590717940499105</v>
      </c>
      <c r="J266" s="103">
        <f t="shared" si="414"/>
        <v>0.2130306909070756</v>
      </c>
      <c r="K266" s="103">
        <f t="shared" si="414"/>
        <v>0.21225674880990414</v>
      </c>
      <c r="L266" s="103">
        <f t="shared" ref="L266" si="415">IF(L48=0,0,L48/L$46)</f>
        <v>0.14915872849977505</v>
      </c>
      <c r="M266" s="103">
        <f t="shared" ref="M266:V266" si="416">IF(M48=0,0,M48/M$46)</f>
        <v>0.14926601345697996</v>
      </c>
      <c r="N266" s="103">
        <f t="shared" si="416"/>
        <v>0.15044085911679075</v>
      </c>
      <c r="O266" s="103">
        <f t="shared" si="416"/>
        <v>0.16248913613867197</v>
      </c>
      <c r="P266" s="103">
        <f t="shared" si="416"/>
        <v>0.15785620468321948</v>
      </c>
      <c r="Q266" s="103">
        <f t="shared" si="416"/>
        <v>0.17027789823105041</v>
      </c>
      <c r="R266" s="103">
        <f t="shared" si="416"/>
        <v>0.18451398535992078</v>
      </c>
      <c r="S266" s="103">
        <f t="shared" si="416"/>
        <v>0.1611907039939052</v>
      </c>
      <c r="T266" s="103">
        <f t="shared" si="416"/>
        <v>0.15784511734761072</v>
      </c>
      <c r="U266" s="103">
        <f t="shared" si="416"/>
        <v>0.12857083676775685</v>
      </c>
      <c r="V266" s="103">
        <f t="shared" si="416"/>
        <v>0.12967118250783857</v>
      </c>
      <c r="W266" s="103">
        <f t="shared" ref="W266" si="417">IF(W48=0,0,W48/W$46)</f>
        <v>0.13045028706395326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0.48057697639685859</v>
      </c>
      <c r="C267" s="103">
        <f t="shared" si="418"/>
        <v>0.47384553188971551</v>
      </c>
      <c r="D267" s="103">
        <f t="shared" si="418"/>
        <v>0.430993155741347</v>
      </c>
      <c r="E267" s="103">
        <f t="shared" si="418"/>
        <v>0.42273632644161574</v>
      </c>
      <c r="F267" s="103">
        <f t="shared" si="418"/>
        <v>0.37541534576627078</v>
      </c>
      <c r="G267" s="103">
        <f t="shared" si="418"/>
        <v>0.39079199294669642</v>
      </c>
      <c r="H267" s="103">
        <f t="shared" si="418"/>
        <v>0.37042754081743484</v>
      </c>
      <c r="I267" s="103">
        <f t="shared" si="418"/>
        <v>0.38641327878610421</v>
      </c>
      <c r="J267" s="103">
        <f t="shared" si="418"/>
        <v>0.37888948108783427</v>
      </c>
      <c r="K267" s="103">
        <f t="shared" si="418"/>
        <v>0.43031515867487469</v>
      </c>
      <c r="L267" s="103">
        <f t="shared" ref="L267" si="419">IF(L49=0,0,L49/L$46)</f>
        <v>0.44732383247748508</v>
      </c>
      <c r="M267" s="103">
        <f t="shared" ref="M267:V267" si="420">IF(M49=0,0,M49/M$46)</f>
        <v>0.45117768914948758</v>
      </c>
      <c r="N267" s="103">
        <f t="shared" si="420"/>
        <v>0.47212107323106428</v>
      </c>
      <c r="O267" s="103">
        <f t="shared" si="420"/>
        <v>0.43926577637284347</v>
      </c>
      <c r="P267" s="103">
        <f t="shared" si="420"/>
        <v>0.38664995361941462</v>
      </c>
      <c r="Q267" s="103">
        <f t="shared" si="420"/>
        <v>0.41868430323570932</v>
      </c>
      <c r="R267" s="103">
        <f t="shared" si="420"/>
        <v>0.35133065721212481</v>
      </c>
      <c r="S267" s="103">
        <f t="shared" si="420"/>
        <v>0.36485679597533038</v>
      </c>
      <c r="T267" s="103">
        <f t="shared" si="420"/>
        <v>0.37487837255585355</v>
      </c>
      <c r="U267" s="103">
        <f t="shared" si="420"/>
        <v>0.3771568510777239</v>
      </c>
      <c r="V267" s="103">
        <f t="shared" si="420"/>
        <v>0.38806920525408595</v>
      </c>
      <c r="W267" s="103">
        <f t="shared" ref="W267" si="421">IF(W49=0,0,W49/W$46)</f>
        <v>0.39826912398604203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1.5722607906844776E-5</v>
      </c>
      <c r="O268" s="103">
        <f t="shared" si="424"/>
        <v>1.2178780106959104E-5</v>
      </c>
      <c r="P268" s="103">
        <f t="shared" si="424"/>
        <v>6.6836776518293551E-3</v>
      </c>
      <c r="Q268" s="103">
        <f t="shared" si="424"/>
        <v>6.3571252718411294E-3</v>
      </c>
      <c r="R268" s="103">
        <f t="shared" si="424"/>
        <v>6.7949075622545513E-3</v>
      </c>
      <c r="S268" s="103">
        <f t="shared" si="424"/>
        <v>6.9208042065870608E-3</v>
      </c>
      <c r="T268" s="103">
        <f t="shared" si="424"/>
        <v>7.4136581890918794E-3</v>
      </c>
      <c r="U268" s="103">
        <f t="shared" si="424"/>
        <v>7.4645439749620839E-3</v>
      </c>
      <c r="V268" s="103">
        <f t="shared" si="424"/>
        <v>7.7526953206810707E-3</v>
      </c>
      <c r="W268" s="103">
        <f t="shared" ref="W268" si="425">IF(W50=0,0,W50/W$46)</f>
        <v>7.7950312057646649E-3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1.3054615355981918E-5</v>
      </c>
      <c r="O269" s="103">
        <f t="shared" si="428"/>
        <v>2.5482605218768738E-5</v>
      </c>
      <c r="P269" s="103">
        <f t="shared" si="428"/>
        <v>2.0917400891875794E-5</v>
      </c>
      <c r="Q269" s="103">
        <f t="shared" si="428"/>
        <v>2.5579818751244798E-5</v>
      </c>
      <c r="R269" s="103">
        <f t="shared" si="428"/>
        <v>5.3741466104375842E-4</v>
      </c>
      <c r="S269" s="103">
        <f t="shared" si="428"/>
        <v>5.4815384681728189E-4</v>
      </c>
      <c r="T269" s="103">
        <f t="shared" si="428"/>
        <v>9.2107826817782238E-4</v>
      </c>
      <c r="U269" s="103">
        <f t="shared" si="428"/>
        <v>1.0517605188550062E-3</v>
      </c>
      <c r="V269" s="103">
        <f t="shared" si="428"/>
        <v>1.5903495187600924E-3</v>
      </c>
      <c r="W269" s="103">
        <f t="shared" ref="W269" si="429">IF(W51=0,0,W51/W$46)</f>
        <v>1.5990340925352761E-3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0</v>
      </c>
      <c r="N270" s="103">
        <f t="shared" si="432"/>
        <v>0</v>
      </c>
      <c r="O270" s="103">
        <f t="shared" si="432"/>
        <v>5.1529855332878476E-6</v>
      </c>
      <c r="P270" s="103">
        <f t="shared" si="432"/>
        <v>1.0675260957370108E-5</v>
      </c>
      <c r="Q270" s="103">
        <f t="shared" si="432"/>
        <v>1.4909009931169767E-5</v>
      </c>
      <c r="R270" s="103">
        <f t="shared" si="432"/>
        <v>2.89077915204222E-5</v>
      </c>
      <c r="S270" s="103">
        <f t="shared" si="432"/>
        <v>6.3367160531717793E-5</v>
      </c>
      <c r="T270" s="103">
        <f t="shared" si="432"/>
        <v>1.9257743213571535E-4</v>
      </c>
      <c r="U270" s="103">
        <f t="shared" si="432"/>
        <v>1.949736987602874E-4</v>
      </c>
      <c r="V270" s="103">
        <f t="shared" si="432"/>
        <v>2.3858557562204255E-4</v>
      </c>
      <c r="W270" s="103">
        <f t="shared" ref="W270" si="433">IF(W52=0,0,W52/W$46)</f>
        <v>3.4346231083801657E-4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0.27136972673879034</v>
      </c>
      <c r="C271" s="156">
        <f t="shared" si="434"/>
        <v>0.2820139063231123</v>
      </c>
      <c r="D271" s="156">
        <f t="shared" si="434"/>
        <v>0.34304741469734329</v>
      </c>
      <c r="E271" s="156">
        <f t="shared" si="434"/>
        <v>0.35483071581415371</v>
      </c>
      <c r="F271" s="156">
        <f t="shared" si="434"/>
        <v>0.36884329507926811</v>
      </c>
      <c r="G271" s="156">
        <f t="shared" si="434"/>
        <v>0.36711797065480106</v>
      </c>
      <c r="H271" s="156">
        <f t="shared" si="434"/>
        <v>0.39113047763436104</v>
      </c>
      <c r="I271" s="156">
        <f t="shared" si="434"/>
        <v>0.38767954180890474</v>
      </c>
      <c r="J271" s="156">
        <f t="shared" si="434"/>
        <v>0.40807982800509024</v>
      </c>
      <c r="K271" s="156">
        <f t="shared" si="434"/>
        <v>0.35742809251522112</v>
      </c>
      <c r="L271" s="156">
        <f t="shared" ref="L271" si="435">IF(L53=0,0,L53/L$46)</f>
        <v>0.4035174390227399</v>
      </c>
      <c r="M271" s="156">
        <f t="shared" ref="M271:V271" si="436">IF(M53=0,0,M53/M$46)</f>
        <v>0.39955629739353249</v>
      </c>
      <c r="N271" s="156">
        <f t="shared" si="436"/>
        <v>0.37740929042888199</v>
      </c>
      <c r="O271" s="156">
        <f t="shared" si="436"/>
        <v>0.39820227311762552</v>
      </c>
      <c r="P271" s="156">
        <f t="shared" si="436"/>
        <v>0.44877857138368737</v>
      </c>
      <c r="Q271" s="156">
        <f t="shared" si="436"/>
        <v>0.40464018443271665</v>
      </c>
      <c r="R271" s="156">
        <f t="shared" si="436"/>
        <v>0.45679412741313558</v>
      </c>
      <c r="S271" s="156">
        <f t="shared" si="436"/>
        <v>0.46642017481682829</v>
      </c>
      <c r="T271" s="156">
        <f t="shared" si="436"/>
        <v>0.45874919620713028</v>
      </c>
      <c r="U271" s="156">
        <f t="shared" si="436"/>
        <v>0.48556103396194189</v>
      </c>
      <c r="V271" s="156">
        <f t="shared" si="436"/>
        <v>0.47267798182301235</v>
      </c>
      <c r="W271" s="156">
        <f t="shared" ref="W271" si="437">IF(W53=0,0,W53/W$46)</f>
        <v>0.4615430613408667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0.16398405997129684</v>
      </c>
      <c r="C272" s="104">
        <f t="shared" si="438"/>
        <v>0.17157627796865274</v>
      </c>
      <c r="D272" s="104">
        <f t="shared" si="438"/>
        <v>0.23833809760464356</v>
      </c>
      <c r="E272" s="104">
        <f t="shared" si="438"/>
        <v>0.24935637417011797</v>
      </c>
      <c r="F272" s="104">
        <f t="shared" si="438"/>
        <v>0.25443714551832164</v>
      </c>
      <c r="G272" s="104">
        <f t="shared" si="438"/>
        <v>0.25661772415420669</v>
      </c>
      <c r="H272" s="104">
        <f t="shared" si="438"/>
        <v>0.27911469647765252</v>
      </c>
      <c r="I272" s="104">
        <f t="shared" si="438"/>
        <v>0.26468094965763195</v>
      </c>
      <c r="J272" s="104">
        <f t="shared" si="438"/>
        <v>0.29896538916728105</v>
      </c>
      <c r="K272" s="104">
        <f t="shared" si="438"/>
        <v>0.25117138893354091</v>
      </c>
      <c r="L272" s="104">
        <f t="shared" ref="L272" si="439">IF(L54=0,0,L54/L$46)</f>
        <v>0.30187670719299903</v>
      </c>
      <c r="M272" s="104">
        <f t="shared" ref="M272:V272" si="440">IF(M54=0,0,M54/M$46)</f>
        <v>0.29307205720508783</v>
      </c>
      <c r="N272" s="104">
        <f t="shared" si="440"/>
        <v>0.27068652235497798</v>
      </c>
      <c r="O272" s="104">
        <f t="shared" si="440"/>
        <v>0.27529695455762437</v>
      </c>
      <c r="P272" s="104">
        <f t="shared" si="440"/>
        <v>0.31918719452651567</v>
      </c>
      <c r="Q272" s="104">
        <f t="shared" si="440"/>
        <v>0.27172398687568711</v>
      </c>
      <c r="R272" s="104">
        <f t="shared" si="440"/>
        <v>0.31785586313712411</v>
      </c>
      <c r="S272" s="104">
        <f t="shared" si="440"/>
        <v>0.32044782301964708</v>
      </c>
      <c r="T272" s="104">
        <f t="shared" si="440"/>
        <v>0.30996379596000728</v>
      </c>
      <c r="U272" s="104">
        <f t="shared" si="440"/>
        <v>0.33729023670884301</v>
      </c>
      <c r="V272" s="104">
        <f t="shared" si="440"/>
        <v>0.32757526686864685</v>
      </c>
      <c r="W272" s="104">
        <f t="shared" ref="W272" si="441">IF(W54=0,0,W54/W$46)</f>
        <v>0.31424859964579754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0.10738566676749346</v>
      </c>
      <c r="C273" s="105">
        <f t="shared" si="442"/>
        <v>0.11043762835445954</v>
      </c>
      <c r="D273" s="105">
        <f t="shared" si="442"/>
        <v>0.10470931709269971</v>
      </c>
      <c r="E273" s="105">
        <f t="shared" si="442"/>
        <v>0.10547434164403575</v>
      </c>
      <c r="F273" s="105">
        <f t="shared" si="442"/>
        <v>0.1144061495609465</v>
      </c>
      <c r="G273" s="105">
        <f t="shared" si="442"/>
        <v>0.1105002465005944</v>
      </c>
      <c r="H273" s="105">
        <f t="shared" si="442"/>
        <v>0.11201578115670852</v>
      </c>
      <c r="I273" s="105">
        <f t="shared" si="442"/>
        <v>0.12299859215127279</v>
      </c>
      <c r="J273" s="105">
        <f t="shared" si="442"/>
        <v>0.10911443883780918</v>
      </c>
      <c r="K273" s="105">
        <f t="shared" si="442"/>
        <v>0.1062567035816802</v>
      </c>
      <c r="L273" s="105">
        <f t="shared" ref="L273" si="443">IF(L55=0,0,L55/L$46)</f>
        <v>0.10164073182974083</v>
      </c>
      <c r="M273" s="105">
        <f t="shared" ref="M273:V273" si="444">IF(M55=0,0,M55/M$46)</f>
        <v>0.1064842401884447</v>
      </c>
      <c r="N273" s="105">
        <f t="shared" si="444"/>
        <v>0.10672276807390402</v>
      </c>
      <c r="O273" s="105">
        <f t="shared" si="444"/>
        <v>0.12290531856000116</v>
      </c>
      <c r="P273" s="105">
        <f t="shared" si="444"/>
        <v>0.1295913768571717</v>
      </c>
      <c r="Q273" s="105">
        <f t="shared" si="444"/>
        <v>0.1329161975570296</v>
      </c>
      <c r="R273" s="105">
        <f t="shared" si="444"/>
        <v>0.13893826427601144</v>
      </c>
      <c r="S273" s="105">
        <f t="shared" si="444"/>
        <v>0.14597235179718118</v>
      </c>
      <c r="T273" s="105">
        <f t="shared" si="444"/>
        <v>0.14878540024712303</v>
      </c>
      <c r="U273" s="105">
        <f t="shared" si="444"/>
        <v>0.14827079725309886</v>
      </c>
      <c r="V273" s="105">
        <f t="shared" si="444"/>
        <v>0.1451027149543655</v>
      </c>
      <c r="W273" s="105">
        <f t="shared" ref="W273" si="445">IF(W55=0,0,W55/W$46)</f>
        <v>0.1472944616950691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1324.150578675838</v>
      </c>
      <c r="C4" s="145">
        <f t="shared" si="0"/>
        <v>1357.2951521926054</v>
      </c>
      <c r="D4" s="145">
        <f t="shared" si="0"/>
        <v>1673.6791772227</v>
      </c>
      <c r="E4" s="145">
        <f t="shared" si="0"/>
        <v>1506.6519750644884</v>
      </c>
      <c r="F4" s="145">
        <f t="shared" si="0"/>
        <v>1492.0246775580395</v>
      </c>
      <c r="G4" s="145">
        <f t="shared" si="0"/>
        <v>1682.3166792777299</v>
      </c>
      <c r="H4" s="145">
        <f t="shared" si="0"/>
        <v>1739.6046474634563</v>
      </c>
      <c r="I4" s="145">
        <f t="shared" si="0"/>
        <v>1924.4416053310404</v>
      </c>
      <c r="J4" s="145">
        <f t="shared" si="0"/>
        <v>2063.7231762682709</v>
      </c>
      <c r="K4" s="145">
        <f t="shared" si="0"/>
        <v>1851.5338194325016</v>
      </c>
      <c r="L4" s="145">
        <f t="shared" ref="L4" si="1">L5+L9+L10+L15</f>
        <v>2147.8560382439887</v>
      </c>
      <c r="M4" s="145">
        <f t="shared" ref="M4:V4" si="2">M5+M9+M10+M15</f>
        <v>2111.5767606266554</v>
      </c>
      <c r="N4" s="145">
        <f t="shared" si="2"/>
        <v>2046.987169084528</v>
      </c>
      <c r="O4" s="145">
        <f t="shared" si="2"/>
        <v>2045.918256067587</v>
      </c>
      <c r="P4" s="145">
        <f t="shared" si="2"/>
        <v>2032.2672506028964</v>
      </c>
      <c r="Q4" s="145">
        <f t="shared" si="2"/>
        <v>2022.5749594904614</v>
      </c>
      <c r="R4" s="145">
        <f t="shared" si="2"/>
        <v>2232.0379515919171</v>
      </c>
      <c r="S4" s="145">
        <f t="shared" si="2"/>
        <v>2568.2225177661699</v>
      </c>
      <c r="T4" s="145">
        <f t="shared" si="2"/>
        <v>2559.1416157365575</v>
      </c>
      <c r="U4" s="145">
        <f t="shared" si="2"/>
        <v>2556.9080325820501</v>
      </c>
      <c r="V4" s="145">
        <f t="shared" si="2"/>
        <v>2361.8021077593953</v>
      </c>
      <c r="W4" s="145">
        <f t="shared" ref="W4" si="3">W5+W9+W10+W15</f>
        <v>2505.4613776765136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1324.150578675838</v>
      </c>
      <c r="C5" s="97">
        <f t="shared" si="4"/>
        <v>1321.5132089423903</v>
      </c>
      <c r="D5" s="97">
        <f t="shared" si="4"/>
        <v>1669.3369588220121</v>
      </c>
      <c r="E5" s="97">
        <f t="shared" si="4"/>
        <v>1500.7119062768702</v>
      </c>
      <c r="F5" s="97">
        <f t="shared" si="4"/>
        <v>1485.1315563198623</v>
      </c>
      <c r="G5" s="97">
        <f t="shared" si="4"/>
        <v>1663.2615631986241</v>
      </c>
      <c r="H5" s="97">
        <f t="shared" si="4"/>
        <v>1690.6097205503008</v>
      </c>
      <c r="I5" s="97">
        <f t="shared" si="4"/>
        <v>1845.2299114359414</v>
      </c>
      <c r="J5" s="97">
        <f t="shared" si="4"/>
        <v>1981.4758847807389</v>
      </c>
      <c r="K5" s="97">
        <f t="shared" si="4"/>
        <v>1758.8902252794492</v>
      </c>
      <c r="L5" s="97">
        <f t="shared" ref="L5" si="5">SUM(L6:L8)</f>
        <v>2038.8554600171969</v>
      </c>
      <c r="M5" s="97">
        <f t="shared" ref="M5:V5" si="6">SUM(M6:M8)</f>
        <v>1999.6812553740324</v>
      </c>
      <c r="N5" s="97">
        <f t="shared" si="6"/>
        <v>1943.5412459157355</v>
      </c>
      <c r="O5" s="97">
        <f t="shared" si="6"/>
        <v>1936.1782785898542</v>
      </c>
      <c r="P5" s="97">
        <f t="shared" si="6"/>
        <v>1885.2801435941533</v>
      </c>
      <c r="Q5" s="97">
        <f t="shared" si="6"/>
        <v>1865.2171762682719</v>
      </c>
      <c r="R5" s="97">
        <f t="shared" si="6"/>
        <v>2073.278269131556</v>
      </c>
      <c r="S5" s="97">
        <f t="shared" si="6"/>
        <v>2403.7935674978507</v>
      </c>
      <c r="T5" s="97">
        <f t="shared" si="6"/>
        <v>2394.2662656921748</v>
      </c>
      <c r="U5" s="97">
        <f t="shared" si="6"/>
        <v>2384.0605795356832</v>
      </c>
      <c r="V5" s="97">
        <f t="shared" si="6"/>
        <v>2189.3816921754087</v>
      </c>
      <c r="W5" s="97">
        <f t="shared" ref="W5" si="7">SUM(W6:W8)</f>
        <v>2326.6386139294927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0</v>
      </c>
      <c r="D6" s="97">
        <v>0</v>
      </c>
      <c r="E6" s="97">
        <v>0</v>
      </c>
      <c r="F6" s="97">
        <v>0</v>
      </c>
      <c r="G6" s="97">
        <v>1.098710232158211</v>
      </c>
      <c r="H6" s="97">
        <v>1.098710232158211</v>
      </c>
      <c r="I6" s="97">
        <v>1.098710232158211</v>
      </c>
      <c r="J6" s="97">
        <v>1.098710232158211</v>
      </c>
      <c r="K6" s="97">
        <v>1.098710232158211</v>
      </c>
      <c r="L6" s="97">
        <v>2.1974204643164228</v>
      </c>
      <c r="M6" s="97">
        <v>31.862080825451411</v>
      </c>
      <c r="N6" s="97">
        <v>34.059415305245047</v>
      </c>
      <c r="O6" s="97">
        <v>36.256835769561476</v>
      </c>
      <c r="P6" s="97">
        <v>32.960705073086842</v>
      </c>
      <c r="Q6" s="97">
        <v>37.355460017196897</v>
      </c>
      <c r="R6" s="97">
        <v>36.256835769561476</v>
      </c>
      <c r="S6" s="97">
        <v>34.059415305245047</v>
      </c>
      <c r="T6" s="97">
        <v>35.158125537403272</v>
      </c>
      <c r="U6" s="97">
        <v>35.158125537403272</v>
      </c>
      <c r="V6" s="97">
        <v>34.059415305245047</v>
      </c>
      <c r="W6" s="97">
        <v>37.355460017196897</v>
      </c>
      <c r="DA6" s="175" t="s">
        <v>629</v>
      </c>
    </row>
    <row r="7" spans="1:105" ht="11.45" customHeight="1" x14ac:dyDescent="0.25">
      <c r="A7" s="128" t="s">
        <v>53</v>
      </c>
      <c r="B7" s="97">
        <v>605.00859845227853</v>
      </c>
      <c r="C7" s="97">
        <v>635.47532244196043</v>
      </c>
      <c r="D7" s="97">
        <v>748.18478073946676</v>
      </c>
      <c r="E7" s="97">
        <v>693.59415305245057</v>
      </c>
      <c r="F7" s="97">
        <v>633.3849527085124</v>
      </c>
      <c r="G7" s="97">
        <v>666.83095442820286</v>
      </c>
      <c r="H7" s="97">
        <v>631.85717970765256</v>
      </c>
      <c r="I7" s="97">
        <v>640.71590713671537</v>
      </c>
      <c r="J7" s="97">
        <v>679.24909716251068</v>
      </c>
      <c r="K7" s="97">
        <v>610.5023215821152</v>
      </c>
      <c r="L7" s="97">
        <v>599.50017196904548</v>
      </c>
      <c r="M7" s="97">
        <v>569.88873602751494</v>
      </c>
      <c r="N7" s="97">
        <v>554.74204643164228</v>
      </c>
      <c r="O7" s="97">
        <v>562.67962166809968</v>
      </c>
      <c r="P7" s="97">
        <v>551.59140154772138</v>
      </c>
      <c r="Q7" s="97">
        <v>576.81160791057607</v>
      </c>
      <c r="R7" s="97">
        <v>609.30894239036968</v>
      </c>
      <c r="S7" s="97">
        <v>609.18409286328449</v>
      </c>
      <c r="T7" s="97">
        <v>570.84402407566631</v>
      </c>
      <c r="U7" s="97">
        <v>548.80773860705074</v>
      </c>
      <c r="V7" s="97">
        <v>503.66294067067929</v>
      </c>
      <c r="W7" s="97">
        <v>513.05993121238168</v>
      </c>
      <c r="DA7" s="175" t="s">
        <v>630</v>
      </c>
    </row>
    <row r="8" spans="1:105" ht="11.45" customHeight="1" x14ac:dyDescent="0.25">
      <c r="A8" s="128" t="s">
        <v>54</v>
      </c>
      <c r="B8" s="97">
        <v>719.14198022355959</v>
      </c>
      <c r="C8" s="97">
        <v>686.03788650042986</v>
      </c>
      <c r="D8" s="97">
        <v>921.15217808254522</v>
      </c>
      <c r="E8" s="97">
        <v>807.11775322441952</v>
      </c>
      <c r="F8" s="97">
        <v>851.74660361134988</v>
      </c>
      <c r="G8" s="97">
        <v>995.33189853826298</v>
      </c>
      <c r="H8" s="97">
        <v>1057.6538306104901</v>
      </c>
      <c r="I8" s="97">
        <v>1203.4152940670679</v>
      </c>
      <c r="J8" s="97">
        <v>1301.1280773860699</v>
      </c>
      <c r="K8" s="97">
        <v>1147.2891934651759</v>
      </c>
      <c r="L8" s="97">
        <v>1437.157867583835</v>
      </c>
      <c r="M8" s="97">
        <v>1397.930438521066</v>
      </c>
      <c r="N8" s="97">
        <v>1354.7397841788481</v>
      </c>
      <c r="O8" s="97">
        <v>1337.2418211521931</v>
      </c>
      <c r="P8" s="97">
        <v>1300.7280369733451</v>
      </c>
      <c r="Q8" s="97">
        <v>1251.050108340499</v>
      </c>
      <c r="R8" s="97">
        <v>1427.7124909716249</v>
      </c>
      <c r="S8" s="97">
        <v>1760.5500593293211</v>
      </c>
      <c r="T8" s="97">
        <v>1788.264116079105</v>
      </c>
      <c r="U8" s="97">
        <v>1800.0947153912291</v>
      </c>
      <c r="V8" s="97">
        <v>1651.6593361994842</v>
      </c>
      <c r="W8" s="97">
        <v>1776.223222699914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3.1169389509888221</v>
      </c>
      <c r="D9" s="97">
        <v>1.3327601031814269</v>
      </c>
      <c r="E9" s="97">
        <v>3.9337919174548581</v>
      </c>
      <c r="F9" s="97">
        <v>5.8899398108340497</v>
      </c>
      <c r="G9" s="97">
        <v>7.8890799656061903</v>
      </c>
      <c r="H9" s="97">
        <v>4.6216680997420463</v>
      </c>
      <c r="I9" s="97">
        <v>18.14273430782459</v>
      </c>
      <c r="J9" s="97">
        <v>8.104041272570937</v>
      </c>
      <c r="K9" s="97">
        <v>7.9320722269991393</v>
      </c>
      <c r="L9" s="97">
        <v>9.8452278589853819</v>
      </c>
      <c r="M9" s="97">
        <v>10.834049871023209</v>
      </c>
      <c r="N9" s="97">
        <v>9.0928632846087698</v>
      </c>
      <c r="O9" s="97">
        <v>7.308684436801375</v>
      </c>
      <c r="P9" s="97">
        <v>8.4909716251074805</v>
      </c>
      <c r="Q9" s="97">
        <v>7.6311263972484946</v>
      </c>
      <c r="R9" s="97">
        <v>7.0937231298366292</v>
      </c>
      <c r="S9" s="97">
        <v>7.0722269991401543</v>
      </c>
      <c r="T9" s="97">
        <v>6.212295786758383</v>
      </c>
      <c r="U9" s="97">
        <v>6.5564058469475492</v>
      </c>
      <c r="V9" s="97">
        <v>7.523731728288908</v>
      </c>
      <c r="W9" s="97">
        <v>7.308684436801375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32.66500429922614</v>
      </c>
      <c r="D10" s="97">
        <f t="shared" si="8"/>
        <v>3.0094582975064492</v>
      </c>
      <c r="E10" s="97">
        <f t="shared" si="8"/>
        <v>2.00627687016337</v>
      </c>
      <c r="F10" s="97">
        <f t="shared" si="8"/>
        <v>1.0031814273430779</v>
      </c>
      <c r="G10" s="97">
        <f t="shared" si="8"/>
        <v>11.166036113499571</v>
      </c>
      <c r="H10" s="97">
        <f t="shared" si="8"/>
        <v>44.373258813413592</v>
      </c>
      <c r="I10" s="97">
        <f t="shared" si="8"/>
        <v>61.068959587274279</v>
      </c>
      <c r="J10" s="97">
        <f t="shared" si="8"/>
        <v>74.143250214961299</v>
      </c>
      <c r="K10" s="97">
        <f t="shared" si="8"/>
        <v>84.711521926053308</v>
      </c>
      <c r="L10" s="97">
        <f t="shared" si="8"/>
        <v>97.688134135855535</v>
      </c>
      <c r="M10" s="97">
        <f t="shared" si="8"/>
        <v>97.659071367153913</v>
      </c>
      <c r="N10" s="97">
        <f t="shared" si="8"/>
        <v>90.935769561478921</v>
      </c>
      <c r="O10" s="97">
        <f t="shared" si="8"/>
        <v>99.061306964746336</v>
      </c>
      <c r="P10" s="97">
        <f t="shared" si="8"/>
        <v>133.86526225279445</v>
      </c>
      <c r="Q10" s="97">
        <f t="shared" si="8"/>
        <v>143.9094582975064</v>
      </c>
      <c r="R10" s="97">
        <f t="shared" si="8"/>
        <v>144.75451418744629</v>
      </c>
      <c r="S10" s="97">
        <f t="shared" si="8"/>
        <v>149.46414445399833</v>
      </c>
      <c r="T10" s="97">
        <f t="shared" si="8"/>
        <v>149.91195184866723</v>
      </c>
      <c r="U10" s="97">
        <f t="shared" si="8"/>
        <v>156.9587274290628</v>
      </c>
      <c r="V10" s="97">
        <f t="shared" si="8"/>
        <v>155.2510748065348</v>
      </c>
      <c r="W10" s="97">
        <f t="shared" si="8"/>
        <v>161.49269131556315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1.0174548581255369</v>
      </c>
      <c r="I12" s="97">
        <v>10.68357695614789</v>
      </c>
      <c r="J12" s="97">
        <v>11.802665520206361</v>
      </c>
      <c r="K12" s="97">
        <v>24.88538263112639</v>
      </c>
      <c r="L12" s="97">
        <v>23.834565778159931</v>
      </c>
      <c r="M12" s="97">
        <v>20.000257953568362</v>
      </c>
      <c r="N12" s="97">
        <v>17.805932932072221</v>
      </c>
      <c r="O12" s="97">
        <v>17.805932932072221</v>
      </c>
      <c r="P12" s="97">
        <v>24.58013757523646</v>
      </c>
      <c r="Q12" s="97">
        <v>22.929234737747201</v>
      </c>
      <c r="R12" s="97">
        <v>15.54883920894239</v>
      </c>
      <c r="S12" s="97">
        <v>19.561478933791921</v>
      </c>
      <c r="T12" s="97">
        <v>17.555202063628549</v>
      </c>
      <c r="U12" s="97">
        <v>19.84092863284609</v>
      </c>
      <c r="V12" s="97">
        <v>25.945829750644879</v>
      </c>
      <c r="W12" s="97">
        <v>26.081943250214959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32.66500429922614</v>
      </c>
      <c r="D13" s="97">
        <v>3.0094582975064492</v>
      </c>
      <c r="E13" s="97">
        <v>2.00627687016337</v>
      </c>
      <c r="F13" s="97">
        <v>1.0031814273430779</v>
      </c>
      <c r="G13" s="97">
        <v>11.166036113499571</v>
      </c>
      <c r="H13" s="97">
        <v>43.355803955288053</v>
      </c>
      <c r="I13" s="97">
        <v>50.38538263112639</v>
      </c>
      <c r="J13" s="97">
        <v>62.340584694754938</v>
      </c>
      <c r="K13" s="97">
        <v>59.826139294926911</v>
      </c>
      <c r="L13" s="97">
        <v>73.853568357695607</v>
      </c>
      <c r="M13" s="97">
        <v>77.658813413585548</v>
      </c>
      <c r="N13" s="97">
        <v>73.129836629406697</v>
      </c>
      <c r="O13" s="97">
        <v>81.255374032674112</v>
      </c>
      <c r="P13" s="97">
        <v>109.285124677558</v>
      </c>
      <c r="Q13" s="97">
        <v>120.9802235597592</v>
      </c>
      <c r="R13" s="97">
        <v>129.20567497850391</v>
      </c>
      <c r="S13" s="97">
        <v>129.9026655202064</v>
      </c>
      <c r="T13" s="97">
        <v>132.35674978503869</v>
      </c>
      <c r="U13" s="97">
        <v>137.1177987962167</v>
      </c>
      <c r="V13" s="97">
        <v>129.30524505588991</v>
      </c>
      <c r="W13" s="97">
        <v>135.4107480653482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0</v>
      </c>
      <c r="L15" s="98">
        <v>1.4672162319505977</v>
      </c>
      <c r="M15" s="98">
        <v>3.4023840144460911</v>
      </c>
      <c r="N15" s="98">
        <v>3.4172903227046838</v>
      </c>
      <c r="O15" s="98">
        <v>3.3699860761851652</v>
      </c>
      <c r="P15" s="98">
        <v>4.6308731308409969</v>
      </c>
      <c r="Q15" s="98">
        <v>5.8171985274346785</v>
      </c>
      <c r="R15" s="98">
        <v>6.9114451430784598</v>
      </c>
      <c r="S15" s="98">
        <v>7.8925788151807206</v>
      </c>
      <c r="T15" s="98">
        <v>8.7511024089571503</v>
      </c>
      <c r="U15" s="98">
        <v>9.3323197703560989</v>
      </c>
      <c r="V15" s="98">
        <v>9.6456090491628981</v>
      </c>
      <c r="W15" s="98">
        <v>10.021387994656376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1324.150578675838</v>
      </c>
      <c r="C17" s="79">
        <f t="shared" si="9"/>
        <v>1357.2951521926052</v>
      </c>
      <c r="D17" s="79">
        <f t="shared" si="9"/>
        <v>1673.6791772226998</v>
      </c>
      <c r="E17" s="79">
        <f t="shared" si="9"/>
        <v>1506.6519750644884</v>
      </c>
      <c r="F17" s="79">
        <f t="shared" si="9"/>
        <v>1492.0246775580395</v>
      </c>
      <c r="G17" s="79">
        <f t="shared" si="9"/>
        <v>1682.3166792777297</v>
      </c>
      <c r="H17" s="79">
        <f t="shared" si="9"/>
        <v>1739.6046474634563</v>
      </c>
      <c r="I17" s="79">
        <f t="shared" si="9"/>
        <v>1924.4416053310401</v>
      </c>
      <c r="J17" s="79">
        <f t="shared" si="9"/>
        <v>2063.7231762682709</v>
      </c>
      <c r="K17" s="79">
        <f t="shared" si="9"/>
        <v>1851.5338194325016</v>
      </c>
      <c r="L17" s="79">
        <f t="shared" ref="L17" si="10">L18+L42</f>
        <v>2147.8560382439887</v>
      </c>
      <c r="M17" s="79">
        <f t="shared" ref="M17:V17" si="11">M18+M42</f>
        <v>2111.5767606266554</v>
      </c>
      <c r="N17" s="79">
        <f t="shared" si="11"/>
        <v>2046.987169084528</v>
      </c>
      <c r="O17" s="79">
        <f t="shared" si="11"/>
        <v>2045.9182560675872</v>
      </c>
      <c r="P17" s="79">
        <f t="shared" si="11"/>
        <v>2032.2672506028962</v>
      </c>
      <c r="Q17" s="79">
        <f t="shared" si="11"/>
        <v>2022.5749594904617</v>
      </c>
      <c r="R17" s="79">
        <f t="shared" si="11"/>
        <v>2232.0379515919176</v>
      </c>
      <c r="S17" s="79">
        <f t="shared" si="11"/>
        <v>2568.2225177661703</v>
      </c>
      <c r="T17" s="79">
        <f t="shared" si="11"/>
        <v>2559.1416157365575</v>
      </c>
      <c r="U17" s="79">
        <f t="shared" si="11"/>
        <v>2556.9080325820496</v>
      </c>
      <c r="V17" s="79">
        <f t="shared" si="11"/>
        <v>2361.8021077593949</v>
      </c>
      <c r="W17" s="79">
        <f t="shared" ref="W17" si="12">W18+W42</f>
        <v>2505.4613776765132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937.81645988710511</v>
      </c>
      <c r="C18" s="32">
        <f t="shared" si="13"/>
        <v>968.44449543121459</v>
      </c>
      <c r="D18" s="32">
        <f t="shared" si="13"/>
        <v>1106.1365579669152</v>
      </c>
      <c r="E18" s="32">
        <f t="shared" si="13"/>
        <v>1064.6783690150901</v>
      </c>
      <c r="F18" s="32">
        <f t="shared" si="13"/>
        <v>990.04698019017462</v>
      </c>
      <c r="G18" s="32">
        <f t="shared" si="13"/>
        <v>1031.0691885093959</v>
      </c>
      <c r="H18" s="32">
        <f t="shared" si="13"/>
        <v>1008.4901170602272</v>
      </c>
      <c r="I18" s="32">
        <f t="shared" si="13"/>
        <v>1082.2118159463362</v>
      </c>
      <c r="J18" s="32">
        <f t="shared" si="13"/>
        <v>1123.7625844517602</v>
      </c>
      <c r="K18" s="32">
        <f t="shared" si="13"/>
        <v>1058.5356996279427</v>
      </c>
      <c r="L18" s="32">
        <f t="shared" ref="L18" si="14">L19+L21+L33</f>
        <v>1077.107296793406</v>
      </c>
      <c r="M18" s="32">
        <f t="shared" ref="M18:V18" si="15">M19+M21+M33</f>
        <v>1059.1816546492844</v>
      </c>
      <c r="N18" s="32">
        <f t="shared" si="15"/>
        <v>1034.6624146149013</v>
      </c>
      <c r="O18" s="32">
        <f t="shared" si="15"/>
        <v>1033.2859399343265</v>
      </c>
      <c r="P18" s="32">
        <f t="shared" si="15"/>
        <v>1028.4680612235234</v>
      </c>
      <c r="Q18" s="32">
        <f t="shared" si="15"/>
        <v>1039.1131563018571</v>
      </c>
      <c r="R18" s="32">
        <f t="shared" si="15"/>
        <v>1045.7443507001763</v>
      </c>
      <c r="S18" s="32">
        <f t="shared" si="15"/>
        <v>1073.3630565407791</v>
      </c>
      <c r="T18" s="32">
        <f t="shared" si="15"/>
        <v>1047.8748288927486</v>
      </c>
      <c r="U18" s="32">
        <f t="shared" si="15"/>
        <v>1037.1173924058128</v>
      </c>
      <c r="V18" s="32">
        <f t="shared" si="15"/>
        <v>952.21510012815634</v>
      </c>
      <c r="W18" s="32">
        <f t="shared" ref="W18" si="16">W19+W21+W33</f>
        <v>980.41492449666157</v>
      </c>
      <c r="DA18" s="173" t="s">
        <v>390</v>
      </c>
    </row>
    <row r="19" spans="1:105" ht="11.45" customHeight="1" x14ac:dyDescent="0.25">
      <c r="A19" s="107" t="s">
        <v>181</v>
      </c>
      <c r="B19" s="129">
        <v>2.0288890582460555</v>
      </c>
      <c r="C19" s="129">
        <v>2.1427536891613213</v>
      </c>
      <c r="D19" s="129">
        <v>1.8759243386483722</v>
      </c>
      <c r="E19" s="129">
        <v>1.9084955859327812</v>
      </c>
      <c r="F19" s="129">
        <v>2.0127126436448322</v>
      </c>
      <c r="G19" s="129">
        <v>2.2032544833815808</v>
      </c>
      <c r="H19" s="129">
        <v>2.2847192288984401</v>
      </c>
      <c r="I19" s="129">
        <v>2.4928331355518627</v>
      </c>
      <c r="J19" s="129">
        <v>2.7003008367837618</v>
      </c>
      <c r="K19" s="129">
        <v>2.3507534764741091</v>
      </c>
      <c r="L19" s="129">
        <v>2.1534188410436284</v>
      </c>
      <c r="M19" s="129">
        <v>2.5959685694455077</v>
      </c>
      <c r="N19" s="129">
        <v>3.0283073961875178</v>
      </c>
      <c r="O19" s="129">
        <v>3.0798640976292031</v>
      </c>
      <c r="P19" s="129">
        <v>3.405650976103781</v>
      </c>
      <c r="Q19" s="129">
        <v>3.7710729010453989</v>
      </c>
      <c r="R19" s="129">
        <v>3.9859474382042221</v>
      </c>
      <c r="S19" s="129">
        <v>3.7792840199623345</v>
      </c>
      <c r="T19" s="129">
        <v>3.616228677541153</v>
      </c>
      <c r="U19" s="129">
        <v>3.8536912722932644</v>
      </c>
      <c r="V19" s="129">
        <v>3.4624667386537795</v>
      </c>
      <c r="W19" s="129">
        <v>3.3250976192131776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3.6730792354957944E-3</v>
      </c>
      <c r="I20" s="97">
        <v>4.0884856824214291E-2</v>
      </c>
      <c r="J20" s="97">
        <v>4.611919005425491E-2</v>
      </c>
      <c r="K20" s="97">
        <v>9.2068825609309984E-2</v>
      </c>
      <c r="L20" s="97">
        <v>8.2340674932187982E-2</v>
      </c>
      <c r="M20" s="97">
        <v>8.801662949814415E-2</v>
      </c>
      <c r="N20" s="97">
        <v>9.4178724469760167E-2</v>
      </c>
      <c r="O20" s="97">
        <v>9.447238286585001E-2</v>
      </c>
      <c r="P20" s="97">
        <v>0.145288970110002</v>
      </c>
      <c r="Q20" s="97">
        <v>0.1441752997501462</v>
      </c>
      <c r="R20" s="97">
        <v>9.918553891303819E-2</v>
      </c>
      <c r="S20" s="97">
        <v>0.11758076407601256</v>
      </c>
      <c r="T20" s="97">
        <v>0.1078920948945884</v>
      </c>
      <c r="U20" s="97">
        <v>0.13446055167546159</v>
      </c>
      <c r="V20" s="97">
        <v>0.16962818128354093</v>
      </c>
      <c r="W20" s="97">
        <v>0.1608574876366046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754.61070075574833</v>
      </c>
      <c r="C21" s="130">
        <f t="shared" si="17"/>
        <v>792.21080117306576</v>
      </c>
      <c r="D21" s="130">
        <f t="shared" si="17"/>
        <v>931.94920115100911</v>
      </c>
      <c r="E21" s="130">
        <f t="shared" si="17"/>
        <v>887.22847708075358</v>
      </c>
      <c r="F21" s="130">
        <f t="shared" si="17"/>
        <v>826.13018414154396</v>
      </c>
      <c r="G21" s="130">
        <f t="shared" si="17"/>
        <v>872.84477626066848</v>
      </c>
      <c r="H21" s="130">
        <f t="shared" si="17"/>
        <v>847.42039662284617</v>
      </c>
      <c r="I21" s="130">
        <f t="shared" si="17"/>
        <v>890.19392903196945</v>
      </c>
      <c r="J21" s="130">
        <f t="shared" si="17"/>
        <v>935.75745544704046</v>
      </c>
      <c r="K21" s="130">
        <f t="shared" si="17"/>
        <v>885.29980985289194</v>
      </c>
      <c r="L21" s="130">
        <f t="shared" ref="L21" si="18">L22+L24+L26+L27+L29+L32</f>
        <v>906.0409522929549</v>
      </c>
      <c r="M21" s="130">
        <f t="shared" ref="M21:V21" si="19">M22+M24+M26+M27+M29+M32</f>
        <v>897.48098745699247</v>
      </c>
      <c r="N21" s="130">
        <f t="shared" si="19"/>
        <v>873.78786659529305</v>
      </c>
      <c r="O21" s="130">
        <f t="shared" si="19"/>
        <v>876.92781397039448</v>
      </c>
      <c r="P21" s="130">
        <f t="shared" si="19"/>
        <v>869.32453957787948</v>
      </c>
      <c r="Q21" s="130">
        <f t="shared" si="19"/>
        <v>880.43850228570386</v>
      </c>
      <c r="R21" s="130">
        <f t="shared" si="19"/>
        <v>888.8432484124836</v>
      </c>
      <c r="S21" s="130">
        <f t="shared" si="19"/>
        <v>906.15336951698237</v>
      </c>
      <c r="T21" s="130">
        <f t="shared" si="19"/>
        <v>874.99700069528183</v>
      </c>
      <c r="U21" s="130">
        <f t="shared" si="19"/>
        <v>861.62431177354995</v>
      </c>
      <c r="V21" s="130">
        <f t="shared" si="19"/>
        <v>800.77216427801693</v>
      </c>
      <c r="W21" s="130">
        <f t="shared" ref="W21" si="20">W22+W24+W26+W27+W29+W32</f>
        <v>827.3260603839658</v>
      </c>
      <c r="DA21" s="176" t="s">
        <v>392</v>
      </c>
    </row>
    <row r="22" spans="1:105" ht="11.45" customHeight="1" x14ac:dyDescent="0.25">
      <c r="A22" s="111" t="s">
        <v>110</v>
      </c>
      <c r="B22" s="96">
        <v>551.7864753808542</v>
      </c>
      <c r="C22" s="96">
        <v>581.72098213084621</v>
      </c>
      <c r="D22" s="96">
        <v>694.33332383429376</v>
      </c>
      <c r="E22" s="96">
        <v>640.85462994686372</v>
      </c>
      <c r="F22" s="96">
        <v>571.70966922155708</v>
      </c>
      <c r="G22" s="96">
        <v>605.07854125898473</v>
      </c>
      <c r="H22" s="96">
        <v>570.70705803153112</v>
      </c>
      <c r="I22" s="96">
        <v>584.81698990402481</v>
      </c>
      <c r="J22" s="96">
        <v>621.90942819043858</v>
      </c>
      <c r="K22" s="96">
        <v>567.43521058514807</v>
      </c>
      <c r="L22" s="96">
        <v>572.32600906872926</v>
      </c>
      <c r="M22" s="96">
        <v>537.10202792190466</v>
      </c>
      <c r="N22" s="96">
        <v>518.24499932922095</v>
      </c>
      <c r="O22" s="96">
        <v>524.91672939254806</v>
      </c>
      <c r="P22" s="96">
        <v>523.43235178410896</v>
      </c>
      <c r="Q22" s="96">
        <v>537.78491590270517</v>
      </c>
      <c r="R22" s="96">
        <v>555.05228592966319</v>
      </c>
      <c r="S22" s="96">
        <v>565.87604016679722</v>
      </c>
      <c r="T22" s="96">
        <v>527.86636475858779</v>
      </c>
      <c r="U22" s="96">
        <v>515.55341234104094</v>
      </c>
      <c r="V22" s="96">
        <v>476.79540232737708</v>
      </c>
      <c r="W22" s="96">
        <v>486.19773125153159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0.91750978321183163</v>
      </c>
      <c r="I23" s="96">
        <v>9.5915601247416848</v>
      </c>
      <c r="J23" s="96">
        <v>10.621764332528947</v>
      </c>
      <c r="K23" s="96">
        <v>22.223977958890615</v>
      </c>
      <c r="L23" s="96">
        <v>21.88413557537455</v>
      </c>
      <c r="M23" s="96">
        <v>18.210509460983861</v>
      </c>
      <c r="N23" s="96">
        <v>16.117139581372768</v>
      </c>
      <c r="O23" s="96">
        <v>16.101403393102878</v>
      </c>
      <c r="P23" s="96">
        <v>22.330223457006419</v>
      </c>
      <c r="Q23" s="96">
        <v>20.560541651126851</v>
      </c>
      <c r="R23" s="96">
        <v>13.81181286465994</v>
      </c>
      <c r="S23" s="96">
        <v>17.605487394880551</v>
      </c>
      <c r="T23" s="96">
        <v>15.749172133914879</v>
      </c>
      <c r="U23" s="96">
        <v>17.988362674493903</v>
      </c>
      <c r="V23" s="96">
        <v>23.358473321419631</v>
      </c>
      <c r="W23" s="96">
        <v>23.520676533474241</v>
      </c>
      <c r="DA23" s="171" t="s">
        <v>641</v>
      </c>
    </row>
    <row r="24" spans="1:105" ht="11.45" customHeight="1" x14ac:dyDescent="0.25">
      <c r="A24" s="111" t="s">
        <v>111</v>
      </c>
      <c r="B24" s="96">
        <v>202.82422537489416</v>
      </c>
      <c r="C24" s="96">
        <v>207.37288009123071</v>
      </c>
      <c r="D24" s="96">
        <v>236.28311721353401</v>
      </c>
      <c r="E24" s="96">
        <v>242.44005521643498</v>
      </c>
      <c r="F24" s="96">
        <v>248.53057510915292</v>
      </c>
      <c r="G24" s="96">
        <v>258.77844480391934</v>
      </c>
      <c r="H24" s="96">
        <v>270.99296025941487</v>
      </c>
      <c r="I24" s="96">
        <v>286.13549458796183</v>
      </c>
      <c r="J24" s="96">
        <v>304.64527575187282</v>
      </c>
      <c r="K24" s="96">
        <v>308.83381680858662</v>
      </c>
      <c r="L24" s="96">
        <v>321.67229490092382</v>
      </c>
      <c r="M24" s="96">
        <v>317.68067505455855</v>
      </c>
      <c r="N24" s="96">
        <v>312.40166653061823</v>
      </c>
      <c r="O24" s="96">
        <v>308.45831843056465</v>
      </c>
      <c r="P24" s="96">
        <v>308.04611708134729</v>
      </c>
      <c r="Q24" s="96">
        <v>301.33475486436038</v>
      </c>
      <c r="R24" s="96">
        <v>295.92701547697123</v>
      </c>
      <c r="S24" s="96">
        <v>305.26939867882703</v>
      </c>
      <c r="T24" s="96">
        <v>311.55420595370612</v>
      </c>
      <c r="U24" s="96">
        <v>311.56183200113429</v>
      </c>
      <c r="V24" s="96">
        <v>290.68994463942249</v>
      </c>
      <c r="W24" s="96">
        <v>304.34951099856397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9.4250852562818164</v>
      </c>
      <c r="D25" s="96">
        <v>0.76943703316259826</v>
      </c>
      <c r="E25" s="96">
        <v>0.60114624840026776</v>
      </c>
      <c r="F25" s="96">
        <v>0.29237328633871573</v>
      </c>
      <c r="G25" s="96">
        <v>2.8708747038567597</v>
      </c>
      <c r="H25" s="96">
        <v>10.671221476553232</v>
      </c>
      <c r="I25" s="96">
        <v>11.498674906706416</v>
      </c>
      <c r="J25" s="96">
        <v>13.929007056079143</v>
      </c>
      <c r="K25" s="96">
        <v>15.306188598505983</v>
      </c>
      <c r="L25" s="96">
        <v>15.722347465516782</v>
      </c>
      <c r="M25" s="96">
        <v>16.719221990007043</v>
      </c>
      <c r="N25" s="96">
        <v>15.999978221545494</v>
      </c>
      <c r="O25" s="96">
        <v>17.669330699169087</v>
      </c>
      <c r="P25" s="96">
        <v>23.875563170102915</v>
      </c>
      <c r="Q25" s="96">
        <v>26.570510259291954</v>
      </c>
      <c r="R25" s="96">
        <v>24.558419713564447</v>
      </c>
      <c r="S25" s="96">
        <v>20.976620080931468</v>
      </c>
      <c r="T25" s="96">
        <v>21.470297868151956</v>
      </c>
      <c r="U25" s="96">
        <v>22.052651570254376</v>
      </c>
      <c r="V25" s="96">
        <v>21.105267854562602</v>
      </c>
      <c r="W25" s="96">
        <v>21.558622407793091</v>
      </c>
      <c r="DA25" s="171" t="s">
        <v>643</v>
      </c>
    </row>
    <row r="26" spans="1:105" ht="11.45" customHeight="1" x14ac:dyDescent="0.25">
      <c r="A26" s="111" t="s">
        <v>112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1.098710232158211</v>
      </c>
      <c r="H26" s="96">
        <v>1.098710232158211</v>
      </c>
      <c r="I26" s="96">
        <v>1.098710232158211</v>
      </c>
      <c r="J26" s="96">
        <v>1.098710232158211</v>
      </c>
      <c r="K26" s="96">
        <v>1.098710232158211</v>
      </c>
      <c r="L26" s="96">
        <v>2.1974204643164228</v>
      </c>
      <c r="M26" s="96">
        <v>31.862080825451411</v>
      </c>
      <c r="N26" s="96">
        <v>34.051373444157207</v>
      </c>
      <c r="O26" s="96">
        <v>36.252114167555433</v>
      </c>
      <c r="P26" s="96">
        <v>29.342180052566874</v>
      </c>
      <c r="Q26" s="96">
        <v>33.666948171117269</v>
      </c>
      <c r="R26" s="96">
        <v>32.194032185433663</v>
      </c>
      <c r="S26" s="96">
        <v>29.851413069526888</v>
      </c>
      <c r="T26" s="96">
        <v>30.840392717311715</v>
      </c>
      <c r="U26" s="96">
        <v>30.693802885195971</v>
      </c>
      <c r="V26" s="96">
        <v>29.49867063234387</v>
      </c>
      <c r="W26" s="96">
        <v>32.804389413005296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3.1169389509888221</v>
      </c>
      <c r="D27" s="96">
        <v>1.3327601031814269</v>
      </c>
      <c r="E27" s="96">
        <v>3.9337919174548581</v>
      </c>
      <c r="F27" s="96">
        <v>5.8899398108340497</v>
      </c>
      <c r="G27" s="96">
        <v>7.8890799656061903</v>
      </c>
      <c r="H27" s="96">
        <v>4.6216680997420463</v>
      </c>
      <c r="I27" s="96">
        <v>18.14273430782459</v>
      </c>
      <c r="J27" s="96">
        <v>8.104041272570937</v>
      </c>
      <c r="K27" s="96">
        <v>7.9320722269991393</v>
      </c>
      <c r="L27" s="96">
        <v>9.8452278589853819</v>
      </c>
      <c r="M27" s="96">
        <v>10.834049871023209</v>
      </c>
      <c r="N27" s="96">
        <v>9.086598870760076</v>
      </c>
      <c r="O27" s="96">
        <v>7.2968446824584241</v>
      </c>
      <c r="P27" s="96">
        <v>8.4818153734065511</v>
      </c>
      <c r="Q27" s="96">
        <v>7.6200297286012191</v>
      </c>
      <c r="R27" s="96">
        <v>5.5962615601409773</v>
      </c>
      <c r="S27" s="96">
        <v>4.9951893977213366</v>
      </c>
      <c r="T27" s="96">
        <v>4.4761838144964132</v>
      </c>
      <c r="U27" s="96">
        <v>3.4987938194499701</v>
      </c>
      <c r="V27" s="96">
        <v>3.2326463301396329</v>
      </c>
      <c r="W27" s="96">
        <v>3.1354335701034555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9.6462051544502869E-4</v>
      </c>
      <c r="O29" s="96">
        <v>9.9217656154886578E-4</v>
      </c>
      <c r="P29" s="96">
        <v>9.567003678123116E-3</v>
      </c>
      <c r="Q29" s="96">
        <v>1.6398462957023775E-2</v>
      </c>
      <c r="R29" s="96">
        <v>5.1285005739475406E-2</v>
      </c>
      <c r="S29" s="96">
        <v>0.11766863604447791</v>
      </c>
      <c r="T29" s="96">
        <v>0.16879759392010074</v>
      </c>
      <c r="U29" s="96">
        <v>0.20453720706215439</v>
      </c>
      <c r="V29" s="96">
        <v>0.33775421922181659</v>
      </c>
      <c r="W29" s="96">
        <v>0.4739072806351583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1.5989995092659811E-5</v>
      </c>
      <c r="O30" s="96">
        <v>1.6122862745366734E-5</v>
      </c>
      <c r="P30" s="96">
        <v>2.9918900410721912E-4</v>
      </c>
      <c r="Q30" s="96">
        <v>4.4976564327574086E-4</v>
      </c>
      <c r="R30" s="96">
        <v>8.5399158445789139E-4</v>
      </c>
      <c r="S30" s="96">
        <v>2.5930829426187517E-3</v>
      </c>
      <c r="T30" s="96">
        <v>3.2673901806852656E-3</v>
      </c>
      <c r="U30" s="96">
        <v>4.4686743392643048E-3</v>
      </c>
      <c r="V30" s="96">
        <v>9.2940677262512567E-3</v>
      </c>
      <c r="W30" s="96">
        <v>1.1586862888179943E-2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4.5046383433971338E-4</v>
      </c>
      <c r="O31" s="96">
        <v>4.6656024264040932E-4</v>
      </c>
      <c r="P31" s="96">
        <v>2.5538537940967641E-3</v>
      </c>
      <c r="Q31" s="96">
        <v>4.6343186679693119E-3</v>
      </c>
      <c r="R31" s="96">
        <v>1.6965833755116334E-2</v>
      </c>
      <c r="S31" s="96">
        <v>3.4321695713825325E-2</v>
      </c>
      <c r="T31" s="96">
        <v>5.9284194595948143E-2</v>
      </c>
      <c r="U31" s="96">
        <v>7.6463276936472382E-2</v>
      </c>
      <c r="V31" s="96">
        <v>0.14804281557745633</v>
      </c>
      <c r="W31" s="96">
        <v>0.23439433803173693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2.153784054603067E-3</v>
      </c>
      <c r="N32" s="96">
        <v>2.2638000211158316E-3</v>
      </c>
      <c r="O32" s="96">
        <v>2.8151207063236861E-3</v>
      </c>
      <c r="P32" s="96">
        <v>1.2508282771636925E-2</v>
      </c>
      <c r="Q32" s="96">
        <v>1.5455155962713733E-2</v>
      </c>
      <c r="R32" s="96">
        <v>2.2368254534955456E-2</v>
      </c>
      <c r="S32" s="96">
        <v>4.3659568065316588E-2</v>
      </c>
      <c r="T32" s="96">
        <v>9.105585725962774E-2</v>
      </c>
      <c r="U32" s="96">
        <v>0.11193351966679757</v>
      </c>
      <c r="V32" s="96">
        <v>0.21774612951195782</v>
      </c>
      <c r="W32" s="96">
        <v>0.36508787012629768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181.17687007311082</v>
      </c>
      <c r="C33" s="130">
        <f t="shared" si="21"/>
        <v>174.09094056898755</v>
      </c>
      <c r="D33" s="130">
        <f t="shared" si="21"/>
        <v>172.31143247725777</v>
      </c>
      <c r="E33" s="130">
        <f t="shared" si="21"/>
        <v>175.54139634840377</v>
      </c>
      <c r="F33" s="130">
        <f t="shared" si="21"/>
        <v>161.90408340498584</v>
      </c>
      <c r="G33" s="130">
        <f t="shared" si="21"/>
        <v>156.02115776534578</v>
      </c>
      <c r="H33" s="130">
        <f t="shared" si="21"/>
        <v>158.78500120848258</v>
      </c>
      <c r="I33" s="130">
        <f t="shared" si="21"/>
        <v>189.52505377881494</v>
      </c>
      <c r="J33" s="130">
        <f t="shared" si="21"/>
        <v>185.30482816793599</v>
      </c>
      <c r="K33" s="130">
        <f t="shared" si="21"/>
        <v>170.88513629857667</v>
      </c>
      <c r="L33" s="130">
        <f t="shared" ref="L33" si="22">L34+L36+L38+L39+L41</f>
        <v>168.91292565940751</v>
      </c>
      <c r="M33" s="130">
        <f t="shared" ref="M33:V33" si="23">M34+M36+M38+M39+M41</f>
        <v>159.10469862284631</v>
      </c>
      <c r="N33" s="130">
        <f t="shared" si="23"/>
        <v>157.84624062342064</v>
      </c>
      <c r="O33" s="130">
        <f t="shared" si="23"/>
        <v>153.27826186630293</v>
      </c>
      <c r="P33" s="130">
        <f t="shared" si="23"/>
        <v>155.73787066954017</v>
      </c>
      <c r="Q33" s="130">
        <f t="shared" si="23"/>
        <v>154.90358111510781</v>
      </c>
      <c r="R33" s="130">
        <f t="shared" si="23"/>
        <v>152.91515484948837</v>
      </c>
      <c r="S33" s="130">
        <f t="shared" si="23"/>
        <v>163.43040300383439</v>
      </c>
      <c r="T33" s="130">
        <f t="shared" si="23"/>
        <v>169.26159951992565</v>
      </c>
      <c r="U33" s="130">
        <f t="shared" si="23"/>
        <v>171.63938935996958</v>
      </c>
      <c r="V33" s="130">
        <f t="shared" si="23"/>
        <v>147.98046911148555</v>
      </c>
      <c r="W33" s="130">
        <f t="shared" ref="W33" si="24">W34+W36+W38+W39+W41</f>
        <v>149.76376649348268</v>
      </c>
      <c r="DA33" s="176" t="s">
        <v>393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v>0</v>
      </c>
      <c r="M34" s="97">
        <v>0</v>
      </c>
      <c r="N34" s="97">
        <v>0</v>
      </c>
      <c r="O34" s="97">
        <v>0</v>
      </c>
      <c r="P34" s="97">
        <v>0</v>
      </c>
      <c r="Q34" s="97">
        <v>0</v>
      </c>
      <c r="R34" s="97">
        <v>0</v>
      </c>
      <c r="S34" s="97">
        <v>0</v>
      </c>
      <c r="T34" s="97">
        <v>0</v>
      </c>
      <c r="U34" s="97">
        <v>0</v>
      </c>
      <c r="V34" s="97">
        <v>0</v>
      </c>
      <c r="W34" s="97">
        <v>0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0</v>
      </c>
      <c r="U35" s="97">
        <v>0</v>
      </c>
      <c r="V35" s="97">
        <v>0</v>
      </c>
      <c r="W35" s="97">
        <v>0</v>
      </c>
      <c r="DA35" s="175" t="s">
        <v>652</v>
      </c>
    </row>
    <row r="36" spans="1:105" ht="11.45" customHeight="1" x14ac:dyDescent="0.25">
      <c r="A36" s="111" t="s">
        <v>111</v>
      </c>
      <c r="B36" s="97">
        <v>181.17687007311082</v>
      </c>
      <c r="C36" s="97">
        <v>174.09094056898755</v>
      </c>
      <c r="D36" s="97">
        <v>172.31143247725777</v>
      </c>
      <c r="E36" s="97">
        <v>175.54139634840377</v>
      </c>
      <c r="F36" s="97">
        <v>161.90408340498584</v>
      </c>
      <c r="G36" s="97">
        <v>156.02115776534578</v>
      </c>
      <c r="H36" s="97">
        <v>158.78500120848258</v>
      </c>
      <c r="I36" s="97">
        <v>189.52505377881494</v>
      </c>
      <c r="J36" s="97">
        <v>185.30482816793599</v>
      </c>
      <c r="K36" s="97">
        <v>170.88513629857667</v>
      </c>
      <c r="L36" s="97">
        <v>167.4457094274569</v>
      </c>
      <c r="M36" s="97">
        <v>155.70446839245483</v>
      </c>
      <c r="N36" s="97">
        <v>154.43166456457141</v>
      </c>
      <c r="O36" s="97">
        <v>149.91211601606184</v>
      </c>
      <c r="P36" s="97">
        <v>151.12320594372369</v>
      </c>
      <c r="Q36" s="97">
        <v>149.1082990678261</v>
      </c>
      <c r="R36" s="97">
        <v>144.90981796976303</v>
      </c>
      <c r="S36" s="97">
        <v>153.91922438458136</v>
      </c>
      <c r="T36" s="97">
        <v>159.52262999393687</v>
      </c>
      <c r="U36" s="97">
        <v>160.1520426170903</v>
      </c>
      <c r="V36" s="97">
        <v>135.67625876672608</v>
      </c>
      <c r="W36" s="97">
        <v>137.42864404519017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7.9124230540036988</v>
      </c>
      <c r="D37" s="97">
        <v>0.56111836913629642</v>
      </c>
      <c r="E37" s="97">
        <v>0.43526657242995781</v>
      </c>
      <c r="F37" s="97">
        <v>0.19046521304665798</v>
      </c>
      <c r="G37" s="97">
        <v>1.7308906676302576</v>
      </c>
      <c r="H37" s="97">
        <v>6.2526713366592777</v>
      </c>
      <c r="I37" s="97">
        <v>7.6162762792391074</v>
      </c>
      <c r="J37" s="97">
        <v>8.4725169386147865</v>
      </c>
      <c r="K37" s="97">
        <v>8.469280184069186</v>
      </c>
      <c r="L37" s="97">
        <v>8.1842286916232556</v>
      </c>
      <c r="M37" s="97">
        <v>8.1945732816212491</v>
      </c>
      <c r="N37" s="97">
        <v>7.9093792846588107</v>
      </c>
      <c r="O37" s="97">
        <v>8.5873733837924284</v>
      </c>
      <c r="P37" s="97">
        <v>11.713024284039342</v>
      </c>
      <c r="Q37" s="97">
        <v>13.147781748277279</v>
      </c>
      <c r="R37" s="97">
        <v>12.025789955613575</v>
      </c>
      <c r="S37" s="97">
        <v>10.576576319278946</v>
      </c>
      <c r="T37" s="97">
        <v>10.993266395478344</v>
      </c>
      <c r="U37" s="97">
        <v>11.335718407530624</v>
      </c>
      <c r="V37" s="97">
        <v>9.8506461457709662</v>
      </c>
      <c r="W37" s="97">
        <v>9.7347691976388191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1.137004781130492</v>
      </c>
      <c r="S39" s="97">
        <v>1.7050927028026148</v>
      </c>
      <c r="T39" s="97">
        <v>1.1648906391077212</v>
      </c>
      <c r="U39" s="97">
        <v>2.3723127789122538</v>
      </c>
      <c r="V39" s="97">
        <v>3.0602087274718741</v>
      </c>
      <c r="W39" s="97">
        <v>2.9677143618717436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1.4672162319505977</v>
      </c>
      <c r="M41" s="97">
        <v>3.4002302303914882</v>
      </c>
      <c r="N41" s="97">
        <v>3.4145760588492284</v>
      </c>
      <c r="O41" s="97">
        <v>3.3661458502410802</v>
      </c>
      <c r="P41" s="97">
        <v>4.6146647258164926</v>
      </c>
      <c r="Q41" s="97">
        <v>5.7952820472817113</v>
      </c>
      <c r="R41" s="97">
        <v>6.8683320985948519</v>
      </c>
      <c r="S41" s="97">
        <v>7.8060859164504404</v>
      </c>
      <c r="T41" s="97">
        <v>8.5740788868810824</v>
      </c>
      <c r="U41" s="97">
        <v>9.1150339639670293</v>
      </c>
      <c r="V41" s="97">
        <v>9.2440016172875978</v>
      </c>
      <c r="W41" s="97">
        <v>9.3674080864207738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386.33411878873289</v>
      </c>
      <c r="C42" s="32">
        <f t="shared" si="25"/>
        <v>388.85065676139072</v>
      </c>
      <c r="D42" s="32">
        <f t="shared" si="25"/>
        <v>567.54261925578442</v>
      </c>
      <c r="E42" s="32">
        <f t="shared" si="25"/>
        <v>441.9736060493982</v>
      </c>
      <c r="F42" s="32">
        <f t="shared" si="25"/>
        <v>501.97769736786483</v>
      </c>
      <c r="G42" s="32">
        <f t="shared" si="25"/>
        <v>651.24749076833393</v>
      </c>
      <c r="H42" s="32">
        <f t="shared" si="25"/>
        <v>731.11453040322908</v>
      </c>
      <c r="I42" s="32">
        <f t="shared" si="25"/>
        <v>842.22978938470396</v>
      </c>
      <c r="J42" s="32">
        <f t="shared" si="25"/>
        <v>939.96059181651071</v>
      </c>
      <c r="K42" s="32">
        <f t="shared" si="25"/>
        <v>792.99811980455888</v>
      </c>
      <c r="L42" s="32">
        <f t="shared" ref="L42" si="26">L43+L52</f>
        <v>1070.7487414505827</v>
      </c>
      <c r="M42" s="32">
        <f t="shared" ref="M42:V42" si="27">M43+M52</f>
        <v>1052.3951059773713</v>
      </c>
      <c r="N42" s="32">
        <f t="shared" si="27"/>
        <v>1012.3247544696266</v>
      </c>
      <c r="O42" s="32">
        <f t="shared" si="27"/>
        <v>1012.6323161332606</v>
      </c>
      <c r="P42" s="32">
        <f t="shared" si="27"/>
        <v>1003.7991893793728</v>
      </c>
      <c r="Q42" s="32">
        <f t="shared" si="27"/>
        <v>983.46180318860456</v>
      </c>
      <c r="R42" s="32">
        <f t="shared" si="27"/>
        <v>1186.2936008917413</v>
      </c>
      <c r="S42" s="32">
        <f t="shared" si="27"/>
        <v>1494.859461225391</v>
      </c>
      <c r="T42" s="32">
        <f t="shared" si="27"/>
        <v>1511.2667868438089</v>
      </c>
      <c r="U42" s="32">
        <f t="shared" si="27"/>
        <v>1519.7906401762366</v>
      </c>
      <c r="V42" s="32">
        <f t="shared" si="27"/>
        <v>1409.5870076312385</v>
      </c>
      <c r="W42" s="32">
        <f t="shared" ref="W42" si="28">W43+W52</f>
        <v>1525.0464531798516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177.97698938175273</v>
      </c>
      <c r="C43" s="141">
        <f t="shared" si="29"/>
        <v>184.83230361625652</v>
      </c>
      <c r="D43" s="141">
        <f t="shared" si="29"/>
        <v>217.32660849471256</v>
      </c>
      <c r="E43" s="141">
        <f t="shared" si="29"/>
        <v>203.36486942754649</v>
      </c>
      <c r="F43" s="141">
        <f t="shared" si="29"/>
        <v>216.76150689209371</v>
      </c>
      <c r="G43" s="141">
        <f t="shared" si="29"/>
        <v>241.1654285860981</v>
      </c>
      <c r="H43" s="141">
        <f t="shared" si="29"/>
        <v>223.49668834083042</v>
      </c>
      <c r="I43" s="141">
        <f t="shared" si="29"/>
        <v>267.49855972181763</v>
      </c>
      <c r="J43" s="141">
        <f t="shared" si="29"/>
        <v>266.36856985631613</v>
      </c>
      <c r="K43" s="141">
        <f t="shared" si="29"/>
        <v>263.12056880481623</v>
      </c>
      <c r="L43" s="141">
        <f t="shared" ref="L43" si="30">L44+L46+L48+L49+L51</f>
        <v>307.19280550064661</v>
      </c>
      <c r="M43" s="141">
        <f t="shared" ref="M43:V43" si="31">M44+M46+M48+M49+M51</f>
        <v>322.98673590721688</v>
      </c>
      <c r="N43" s="141">
        <f t="shared" si="31"/>
        <v>315.61577963753712</v>
      </c>
      <c r="O43" s="141">
        <f t="shared" si="31"/>
        <v>277.8992460036701</v>
      </c>
      <c r="P43" s="141">
        <f t="shared" si="31"/>
        <v>253.63764761835176</v>
      </c>
      <c r="Q43" s="141">
        <f t="shared" si="31"/>
        <v>277.30094457940686</v>
      </c>
      <c r="R43" s="141">
        <f t="shared" si="31"/>
        <v>278.24719989692517</v>
      </c>
      <c r="S43" s="141">
        <f t="shared" si="31"/>
        <v>299.65423289060669</v>
      </c>
      <c r="T43" s="141">
        <f t="shared" si="31"/>
        <v>294.29588980558805</v>
      </c>
      <c r="U43" s="141">
        <f t="shared" si="31"/>
        <v>291.93859923686534</v>
      </c>
      <c r="V43" s="141">
        <f t="shared" si="31"/>
        <v>299.52244679191392</v>
      </c>
      <c r="W43" s="141">
        <f t="shared" ref="W43" si="32">W44+W46+W48+W49+W51</f>
        <v>286.06051924678417</v>
      </c>
      <c r="DA43" s="174" t="s">
        <v>399</v>
      </c>
    </row>
    <row r="44" spans="1:105" ht="11.45" customHeight="1" x14ac:dyDescent="0.25">
      <c r="A44" s="111" t="s">
        <v>110</v>
      </c>
      <c r="B44" s="96">
        <v>51.193234013178284</v>
      </c>
      <c r="C44" s="96">
        <v>51.611586621952945</v>
      </c>
      <c r="D44" s="96">
        <v>51.975532566524613</v>
      </c>
      <c r="E44" s="96">
        <v>50.831027519654128</v>
      </c>
      <c r="F44" s="96">
        <v>59.662570843310561</v>
      </c>
      <c r="G44" s="96">
        <v>59.549158685836581</v>
      </c>
      <c r="H44" s="96">
        <v>59.882857305348423</v>
      </c>
      <c r="I44" s="96">
        <v>64.089661053286676</v>
      </c>
      <c r="J44" s="96">
        <v>66.442033655494768</v>
      </c>
      <c r="K44" s="96">
        <v>65.601740151619367</v>
      </c>
      <c r="L44" s="96">
        <v>48.855309837432607</v>
      </c>
      <c r="M44" s="96">
        <v>50.190997489733093</v>
      </c>
      <c r="N44" s="96">
        <v>51.274158481624916</v>
      </c>
      <c r="O44" s="96">
        <v>52.488435493675688</v>
      </c>
      <c r="P44" s="96">
        <v>49.326523212861112</v>
      </c>
      <c r="Q44" s="96">
        <v>58.173089700283633</v>
      </c>
      <c r="R44" s="96">
        <v>65.785229059460235</v>
      </c>
      <c r="S44" s="96">
        <v>59.006900669986273</v>
      </c>
      <c r="T44" s="96">
        <v>56.807119303841731</v>
      </c>
      <c r="U44" s="96">
        <v>49.113489696436972</v>
      </c>
      <c r="V44" s="96">
        <v>49.161189951648957</v>
      </c>
      <c r="W44" s="96">
        <v>49.379532649248432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9.6271995678209571E-2</v>
      </c>
      <c r="I45" s="96">
        <v>1.0511319745819923</v>
      </c>
      <c r="J45" s="96">
        <v>1.1347819976231588</v>
      </c>
      <c r="K45" s="96">
        <v>2.5693358466264655</v>
      </c>
      <c r="L45" s="96">
        <v>1.8680895278531942</v>
      </c>
      <c r="M45" s="96">
        <v>1.701731863086354</v>
      </c>
      <c r="N45" s="96">
        <v>1.5945986362346003</v>
      </c>
      <c r="O45" s="96">
        <v>1.6100410332407462</v>
      </c>
      <c r="P45" s="96">
        <v>2.1043259591159318</v>
      </c>
      <c r="Q45" s="96">
        <v>2.2240680212269295</v>
      </c>
      <c r="R45" s="96">
        <v>1.6369868137849526</v>
      </c>
      <c r="S45" s="96">
        <v>1.8358176918927385</v>
      </c>
      <c r="T45" s="96">
        <v>1.6948704446383971</v>
      </c>
      <c r="U45" s="96">
        <v>1.7136367323374588</v>
      </c>
      <c r="V45" s="96">
        <v>2.4084341802154565</v>
      </c>
      <c r="W45" s="96">
        <v>2.3888223662159342</v>
      </c>
      <c r="DA45" s="171" t="s">
        <v>660</v>
      </c>
    </row>
    <row r="46" spans="1:105" ht="11.45" customHeight="1" x14ac:dyDescent="0.25">
      <c r="A46" s="111" t="s">
        <v>111</v>
      </c>
      <c r="B46" s="96">
        <v>126.78375536857446</v>
      </c>
      <c r="C46" s="96">
        <v>133.22071699430359</v>
      </c>
      <c r="D46" s="96">
        <v>165.35107592818795</v>
      </c>
      <c r="E46" s="96">
        <v>152.53384190789237</v>
      </c>
      <c r="F46" s="96">
        <v>157.09893604878314</v>
      </c>
      <c r="G46" s="96">
        <v>181.61626990026153</v>
      </c>
      <c r="H46" s="96">
        <v>163.61383103548198</v>
      </c>
      <c r="I46" s="96">
        <v>203.40889866853098</v>
      </c>
      <c r="J46" s="96">
        <v>199.92653620082135</v>
      </c>
      <c r="K46" s="96">
        <v>197.51882865319683</v>
      </c>
      <c r="L46" s="96">
        <v>258.33749566321399</v>
      </c>
      <c r="M46" s="96">
        <v>272.79573841748379</v>
      </c>
      <c r="N46" s="96">
        <v>264.32731488097568</v>
      </c>
      <c r="O46" s="96">
        <v>225.39369060865033</v>
      </c>
      <c r="P46" s="96">
        <v>200.68229686481098</v>
      </c>
      <c r="Q46" s="96">
        <v>215.42641935887409</v>
      </c>
      <c r="R46" s="96">
        <v>208.03493150857841</v>
      </c>
      <c r="S46" s="96">
        <v>236.0588734513349</v>
      </c>
      <c r="T46" s="96">
        <v>232.57313287827998</v>
      </c>
      <c r="U46" s="96">
        <v>237.64659862984993</v>
      </c>
      <c r="V46" s="96">
        <v>244.5338170099005</v>
      </c>
      <c r="W46" s="96">
        <v>230.86988178844047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6.0548737859160404</v>
      </c>
      <c r="D47" s="96">
        <v>0.53845252590539727</v>
      </c>
      <c r="E47" s="96">
        <v>0.37821781031665525</v>
      </c>
      <c r="F47" s="96">
        <v>0.1848124006180151</v>
      </c>
      <c r="G47" s="96">
        <v>2.0148415199749503</v>
      </c>
      <c r="H47" s="96">
        <v>6.442822078978077</v>
      </c>
      <c r="I47" s="96">
        <v>8.1742141158988808</v>
      </c>
      <c r="J47" s="96">
        <v>9.1410514296202194</v>
      </c>
      <c r="K47" s="96">
        <v>9.789279148130392</v>
      </c>
      <c r="L47" s="96">
        <v>12.626738250614633</v>
      </c>
      <c r="M47" s="96">
        <v>14.356971848371034</v>
      </c>
      <c r="N47" s="96">
        <v>13.537800000950719</v>
      </c>
      <c r="O47" s="96">
        <v>12.911163093716132</v>
      </c>
      <c r="P47" s="96">
        <v>15.554173840314473</v>
      </c>
      <c r="Q47" s="96">
        <v>18.995452045596366</v>
      </c>
      <c r="R47" s="96">
        <v>17.264422968736625</v>
      </c>
      <c r="S47" s="96">
        <v>16.220811278666741</v>
      </c>
      <c r="T47" s="96">
        <v>16.027433889844293</v>
      </c>
      <c r="U47" s="96">
        <v>16.820858969724803</v>
      </c>
      <c r="V47" s="96">
        <v>17.754145964334246</v>
      </c>
      <c r="W47" s="96">
        <v>16.353686886102142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8.0418610878391691E-3</v>
      </c>
      <c r="O48" s="96">
        <v>4.721602006045383E-3</v>
      </c>
      <c r="P48" s="96">
        <v>3.6185250205199662</v>
      </c>
      <c r="Q48" s="96">
        <v>3.6885118460796287</v>
      </c>
      <c r="R48" s="96">
        <v>4.0628035841278116</v>
      </c>
      <c r="S48" s="96">
        <v>4.2080022357181575</v>
      </c>
      <c r="T48" s="96">
        <v>4.317732820091555</v>
      </c>
      <c r="U48" s="96">
        <v>4.4643226522072998</v>
      </c>
      <c r="V48" s="96">
        <v>4.5607446729011771</v>
      </c>
      <c r="W48" s="96">
        <v>4.5510706041915991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6.2644138486932658E-3</v>
      </c>
      <c r="O49" s="96">
        <v>1.1839754342950625E-2</v>
      </c>
      <c r="P49" s="96">
        <v>9.1562517009298947E-3</v>
      </c>
      <c r="Q49" s="96">
        <v>1.109666864727517E-2</v>
      </c>
      <c r="R49" s="96">
        <v>0.36045678856516034</v>
      </c>
      <c r="S49" s="96">
        <v>0.37194489861620278</v>
      </c>
      <c r="T49" s="96">
        <v>0.57122133315424828</v>
      </c>
      <c r="U49" s="96">
        <v>0.68529924858532554</v>
      </c>
      <c r="V49" s="96">
        <v>1.230876670677401</v>
      </c>
      <c r="W49" s="96">
        <v>1.2055365048261761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0</v>
      </c>
      <c r="O51" s="96">
        <v>5.5854499512087981E-4</v>
      </c>
      <c r="P51" s="96">
        <v>1.1462684587710608E-3</v>
      </c>
      <c r="Q51" s="96">
        <v>1.8270055222836346E-3</v>
      </c>
      <c r="R51" s="96">
        <v>3.7789561935366572E-3</v>
      </c>
      <c r="S51" s="96">
        <v>8.5116349511379467E-3</v>
      </c>
      <c r="T51" s="96">
        <v>2.6683470220492951E-2</v>
      </c>
      <c r="U51" s="96">
        <v>2.8889009785800578E-2</v>
      </c>
      <c r="V51" s="96">
        <v>3.5818486785885138E-2</v>
      </c>
      <c r="W51" s="96">
        <v>5.4497700077566373E-2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208.35712940698014</v>
      </c>
      <c r="C52" s="130">
        <f t="shared" si="33"/>
        <v>204.01835314513423</v>
      </c>
      <c r="D52" s="130">
        <f t="shared" si="33"/>
        <v>350.21601076107186</v>
      </c>
      <c r="E52" s="130">
        <f t="shared" si="33"/>
        <v>238.60873662185173</v>
      </c>
      <c r="F52" s="130">
        <f t="shared" si="33"/>
        <v>285.21619047577116</v>
      </c>
      <c r="G52" s="130">
        <f t="shared" si="33"/>
        <v>410.08206218223586</v>
      </c>
      <c r="H52" s="130">
        <f t="shared" si="33"/>
        <v>507.61784206239872</v>
      </c>
      <c r="I52" s="130">
        <f t="shared" si="33"/>
        <v>574.73122966288634</v>
      </c>
      <c r="J52" s="130">
        <f t="shared" si="33"/>
        <v>673.59202196019464</v>
      </c>
      <c r="K52" s="130">
        <f t="shared" si="33"/>
        <v>529.87755099974265</v>
      </c>
      <c r="L52" s="130">
        <f t="shared" ref="L52" si="34">L53+L55</f>
        <v>763.55593594993593</v>
      </c>
      <c r="M52" s="130">
        <f t="shared" ref="M52:V52" si="35">M53+M55</f>
        <v>729.40837007015443</v>
      </c>
      <c r="N52" s="130">
        <f t="shared" si="35"/>
        <v>696.70897483208944</v>
      </c>
      <c r="O52" s="130">
        <f t="shared" si="35"/>
        <v>734.73307012959049</v>
      </c>
      <c r="P52" s="130">
        <f t="shared" si="35"/>
        <v>750.16154176102111</v>
      </c>
      <c r="Q52" s="130">
        <f t="shared" si="35"/>
        <v>706.1608586091977</v>
      </c>
      <c r="R52" s="130">
        <f t="shared" si="35"/>
        <v>908.04640099481617</v>
      </c>
      <c r="S52" s="130">
        <f t="shared" si="35"/>
        <v>1195.2052283347844</v>
      </c>
      <c r="T52" s="130">
        <f t="shared" si="35"/>
        <v>1216.9708970382208</v>
      </c>
      <c r="U52" s="130">
        <f t="shared" si="35"/>
        <v>1227.8520409393714</v>
      </c>
      <c r="V52" s="130">
        <f t="shared" si="35"/>
        <v>1110.0645608393247</v>
      </c>
      <c r="W52" s="130">
        <f t="shared" ref="W52" si="36">W53+W55</f>
        <v>1238.9859339330674</v>
      </c>
      <c r="DA52" s="176" t="s">
        <v>400</v>
      </c>
    </row>
    <row r="53" spans="1:105" ht="11.45" customHeight="1" x14ac:dyDescent="0.25">
      <c r="A53" s="128" t="s">
        <v>27</v>
      </c>
      <c r="B53" s="97">
        <v>112.80090281278731</v>
      </c>
      <c r="C53" s="97">
        <v>119.03565219349953</v>
      </c>
      <c r="D53" s="97">
        <v>193.93375595681141</v>
      </c>
      <c r="E53" s="97">
        <v>185.58360838742041</v>
      </c>
      <c r="F53" s="97">
        <v>206.47769033586613</v>
      </c>
      <c r="G53" s="97">
        <v>239.95068001107322</v>
      </c>
      <c r="H53" s="97">
        <v>280.40974244135606</v>
      </c>
      <c r="I53" s="97">
        <v>304.20486134644659</v>
      </c>
      <c r="J53" s="97">
        <v>384.32436019857158</v>
      </c>
      <c r="K53" s="97">
        <v>312.55646695474843</v>
      </c>
      <c r="L53" s="97">
        <v>431.14487255508061</v>
      </c>
      <c r="M53" s="97">
        <v>421.8084963383144</v>
      </c>
      <c r="N53" s="97">
        <v>394.15524778302876</v>
      </c>
      <c r="O53" s="97">
        <v>384.40435392213664</v>
      </c>
      <c r="P53" s="97">
        <v>424.73888841907927</v>
      </c>
      <c r="Q53" s="97">
        <v>385.15416001599857</v>
      </c>
      <c r="R53" s="97">
        <v>478.91112327451219</v>
      </c>
      <c r="S53" s="97">
        <v>532.82641265904874</v>
      </c>
      <c r="T53" s="97">
        <v>512.97736197994345</v>
      </c>
      <c r="U53" s="97">
        <v>566.65577525767071</v>
      </c>
      <c r="V53" s="97">
        <v>535.05595695309478</v>
      </c>
      <c r="W53" s="97">
        <v>535.25932698663678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5.4101634214043255</v>
      </c>
      <c r="D54" s="97">
        <v>0.63152973252268096</v>
      </c>
      <c r="E54" s="97">
        <v>0.46016690537001403</v>
      </c>
      <c r="F54" s="97">
        <v>0.24290194819132968</v>
      </c>
      <c r="G54" s="97">
        <v>2.6620004534727943</v>
      </c>
      <c r="H54" s="97">
        <v>11.042037634152898</v>
      </c>
      <c r="I54" s="97">
        <v>12.224812621375694</v>
      </c>
      <c r="J54" s="97">
        <v>17.572098276649861</v>
      </c>
      <c r="K54" s="97">
        <v>15.490687776129155</v>
      </c>
      <c r="L54" s="97">
        <v>21.073028674647787</v>
      </c>
      <c r="M54" s="97">
        <v>22.199366978618329</v>
      </c>
      <c r="N54" s="97">
        <v>20.187073425289292</v>
      </c>
      <c r="O54" s="97">
        <v>22.019725991534958</v>
      </c>
      <c r="P54" s="97">
        <v>32.920006450109113</v>
      </c>
      <c r="Q54" s="97">
        <v>33.961374832851831</v>
      </c>
      <c r="R54" s="97">
        <v>39.743922507086296</v>
      </c>
      <c r="S54" s="97">
        <v>36.613225157211559</v>
      </c>
      <c r="T54" s="97">
        <v>35.351077118710862</v>
      </c>
      <c r="U54" s="97">
        <v>40.108450678208499</v>
      </c>
      <c r="V54" s="97">
        <v>38.847230518007173</v>
      </c>
      <c r="W54" s="97">
        <v>37.915138036179741</v>
      </c>
      <c r="DA54" s="175" t="s">
        <v>668</v>
      </c>
    </row>
    <row r="55" spans="1:105" ht="11.45" customHeight="1" x14ac:dyDescent="0.25">
      <c r="A55" s="128" t="s">
        <v>116</v>
      </c>
      <c r="B55" s="97">
        <v>95.556226594192822</v>
      </c>
      <c r="C55" s="97">
        <v>84.982700951634698</v>
      </c>
      <c r="D55" s="97">
        <v>156.28225480426042</v>
      </c>
      <c r="E55" s="97">
        <v>53.025128234431321</v>
      </c>
      <c r="F55" s="97">
        <v>78.738500139905014</v>
      </c>
      <c r="G55" s="97">
        <v>170.13138217116264</v>
      </c>
      <c r="H55" s="97">
        <v>227.20809962104269</v>
      </c>
      <c r="I55" s="97">
        <v>270.5263683164398</v>
      </c>
      <c r="J55" s="97">
        <v>289.26766176162312</v>
      </c>
      <c r="K55" s="97">
        <v>217.32108404499428</v>
      </c>
      <c r="L55" s="97">
        <v>332.41106339485532</v>
      </c>
      <c r="M55" s="97">
        <v>307.59987373184009</v>
      </c>
      <c r="N55" s="97">
        <v>302.55372704906068</v>
      </c>
      <c r="O55" s="97">
        <v>350.32871620745385</v>
      </c>
      <c r="P55" s="97">
        <v>325.42265334194184</v>
      </c>
      <c r="Q55" s="97">
        <v>321.00669859319908</v>
      </c>
      <c r="R55" s="97">
        <v>429.13527772030392</v>
      </c>
      <c r="S55" s="97">
        <v>662.37881567573561</v>
      </c>
      <c r="T55" s="97">
        <v>703.9935350582773</v>
      </c>
      <c r="U55" s="97">
        <v>661.19626568170065</v>
      </c>
      <c r="V55" s="97">
        <v>575.00860388623005</v>
      </c>
      <c r="W55" s="97">
        <v>703.72660694643071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3.862458781620258</v>
      </c>
      <c r="D56" s="98">
        <v>0.5089206367794763</v>
      </c>
      <c r="E56" s="98">
        <v>0.13147933364647504</v>
      </c>
      <c r="F56" s="98">
        <v>9.2628579148359452E-2</v>
      </c>
      <c r="G56" s="98">
        <v>1.8874287685648081</v>
      </c>
      <c r="H56" s="98">
        <v>8.9470514289445724</v>
      </c>
      <c r="I56" s="98">
        <v>10.871404707906294</v>
      </c>
      <c r="J56" s="98">
        <v>13.225910993790928</v>
      </c>
      <c r="K56" s="98">
        <v>10.770703588092198</v>
      </c>
      <c r="L56" s="98">
        <v>16.247225275293147</v>
      </c>
      <c r="M56" s="98">
        <v>16.188679314967899</v>
      </c>
      <c r="N56" s="98">
        <v>15.495605696962381</v>
      </c>
      <c r="O56" s="98">
        <v>20.067780864461515</v>
      </c>
      <c r="P56" s="98">
        <v>25.222356932992149</v>
      </c>
      <c r="Q56" s="98">
        <v>28.305104673741763</v>
      </c>
      <c r="R56" s="98">
        <v>35.613119833502964</v>
      </c>
      <c r="S56" s="98">
        <v>45.515432684117684</v>
      </c>
      <c r="T56" s="98">
        <v>48.514674512853233</v>
      </c>
      <c r="U56" s="98">
        <v>46.800119170498391</v>
      </c>
      <c r="V56" s="98">
        <v>41.747954573214933</v>
      </c>
      <c r="W56" s="98">
        <v>49.8485315376344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8.5577772386078497</v>
      </c>
      <c r="C60" s="79">
        <f>IF(C17=0,0,C17/TrRoad_act!C30*100)</f>
        <v>8.5685890307613484</v>
      </c>
      <c r="D60" s="79">
        <f>IF(D17=0,0,D17/TrRoad_act!D30*100)</f>
        <v>10.081143163521951</v>
      </c>
      <c r="E60" s="79">
        <f>IF(E17=0,0,E17/TrRoad_act!E30*100)</f>
        <v>8.9655552995862262</v>
      </c>
      <c r="F60" s="79">
        <f>IF(F17=0,0,F17/TrRoad_act!F30*100)</f>
        <v>8.7749312247744715</v>
      </c>
      <c r="G60" s="79">
        <f>IF(G17=0,0,G17/TrRoad_act!G30*100)</f>
        <v>9.6490328977304873</v>
      </c>
      <c r="H60" s="79">
        <f>IF(H17=0,0,H17/TrRoad_act!H30*100)</f>
        <v>9.7893696078934358</v>
      </c>
      <c r="I60" s="79">
        <f>IF(I17=0,0,I17/TrRoad_act!I30*100)</f>
        <v>10.531065123901655</v>
      </c>
      <c r="J60" s="79">
        <f>IF(J17=0,0,J17/TrRoad_act!J30*100)</f>
        <v>10.852710219967731</v>
      </c>
      <c r="K60" s="79">
        <f>IF(K17=0,0,K17/TrRoad_act!K30*100)</f>
        <v>9.7726237041982209</v>
      </c>
      <c r="L60" s="79">
        <f>IF(L17=0,0,L17/TrRoad_act!L30*100)</f>
        <v>10.844981643397061</v>
      </c>
      <c r="M60" s="79">
        <f>IF(M17=0,0,M17/TrRoad_act!M30*100)</f>
        <v>10.64971325848871</v>
      </c>
      <c r="N60" s="79">
        <f>IF(N17=0,0,N17/TrRoad_act!N30*100)</f>
        <v>10.322298002771834</v>
      </c>
      <c r="O60" s="79">
        <f>IF(O17=0,0,O17/TrRoad_act!O30*100)</f>
        <v>10.348691014649322</v>
      </c>
      <c r="P60" s="79">
        <f>IF(P17=0,0,P17/TrRoad_act!P30*100)</f>
        <v>10.242925284789873</v>
      </c>
      <c r="Q60" s="79">
        <f>IF(Q17=0,0,Q17/TrRoad_act!Q30*100)</f>
        <v>9.9525487523554368</v>
      </c>
      <c r="R60" s="79">
        <f>IF(R17=0,0,R17/TrRoad_act!R30*100)</f>
        <v>10.880176656687816</v>
      </c>
      <c r="S60" s="79">
        <f>IF(S17=0,0,S17/TrRoad_act!S30*100)</f>
        <v>12.417657682822874</v>
      </c>
      <c r="T60" s="79">
        <f>IF(T17=0,0,T17/TrRoad_act!T30*100)</f>
        <v>12.354017976561032</v>
      </c>
      <c r="U60" s="79">
        <f>IF(U17=0,0,U17/TrRoad_act!U30*100)</f>
        <v>12.188502456080716</v>
      </c>
      <c r="V60" s="79">
        <f>IF(V17=0,0,V17/TrRoad_act!V30*100)</f>
        <v>11.970157785265521</v>
      </c>
      <c r="W60" s="79">
        <f>IF(W17=0,0,W17/TrRoad_act!W30*100)</f>
        <v>12.495600925715362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7.1262669453167931</v>
      </c>
      <c r="C61" s="32">
        <f>IF(C18=0,0,C18/TrRoad_act!C31*100)</f>
        <v>7.2116060847171521</v>
      </c>
      <c r="D61" s="32">
        <f>IF(D18=0,0,D18/TrRoad_act!D31*100)</f>
        <v>7.9427070365583097</v>
      </c>
      <c r="E61" s="32">
        <f>IF(E18=0,0,E18/TrRoad_act!E31*100)</f>
        <v>7.5563213603263888</v>
      </c>
      <c r="F61" s="32">
        <f>IF(F18=0,0,F18/TrRoad_act!F31*100)</f>
        <v>7.0497136706485746</v>
      </c>
      <c r="G61" s="32">
        <f>IF(G18=0,0,G18/TrRoad_act!G31*100)</f>
        <v>7.2289544020723771</v>
      </c>
      <c r="H61" s="32">
        <f>IF(H18=0,0,H18/TrRoad_act!H31*100)</f>
        <v>6.9657735728490096</v>
      </c>
      <c r="I61" s="32">
        <f>IF(I18=0,0,I18/TrRoad_act!I31*100)</f>
        <v>7.4617940425319924</v>
      </c>
      <c r="J61" s="32">
        <f>IF(J18=0,0,J18/TrRoad_act!J31*100)</f>
        <v>7.5769614214714425</v>
      </c>
      <c r="K61" s="32">
        <f>IF(K18=0,0,K18/TrRoad_act!K31*100)</f>
        <v>7.1650110744173574</v>
      </c>
      <c r="L61" s="32">
        <f>IF(L18=0,0,L18/TrRoad_act!L31*100)</f>
        <v>7.0674982511818767</v>
      </c>
      <c r="M61" s="32">
        <f>IF(M18=0,0,M18/TrRoad_act!M31*100)</f>
        <v>6.9930968128371447</v>
      </c>
      <c r="N61" s="32">
        <f>IF(N18=0,0,N18/TrRoad_act!N31*100)</f>
        <v>6.8561867210836649</v>
      </c>
      <c r="O61" s="32">
        <f>IF(O18=0,0,O18/TrRoad_act!O31*100)</f>
        <v>6.7478483007549235</v>
      </c>
      <c r="P61" s="32">
        <f>IF(P18=0,0,P18/TrRoad_act!P31*100)</f>
        <v>6.6198991644764744</v>
      </c>
      <c r="Q61" s="32">
        <f>IF(Q18=0,0,Q18/TrRoad_act!Q31*100)</f>
        <v>6.6201730391103153</v>
      </c>
      <c r="R61" s="32">
        <f>IF(R18=0,0,R18/TrRoad_act!R31*100)</f>
        <v>6.6416437169637437</v>
      </c>
      <c r="S61" s="32">
        <f>IF(S18=0,0,S18/TrRoad_act!S31*100)</f>
        <v>6.7982266803011795</v>
      </c>
      <c r="T61" s="32">
        <f>IF(T18=0,0,T18/TrRoad_act!T31*100)</f>
        <v>6.5710845392610251</v>
      </c>
      <c r="U61" s="32">
        <f>IF(U18=0,0,U18/TrRoad_act!U31*100)</f>
        <v>6.4915564844774414</v>
      </c>
      <c r="V61" s="32">
        <f>IF(V18=0,0,V18/TrRoad_act!V31*100)</f>
        <v>6.4482606580095876</v>
      </c>
      <c r="W61" s="32">
        <f>IF(W18=0,0,W18/TrRoad_act!W31*100)</f>
        <v>6.487665890693056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3.8955674309139203</v>
      </c>
      <c r="C62" s="141">
        <f>IF(C19=0,0,C19/TrRoad_act!C32*100)</f>
        <v>3.8951863014201691</v>
      </c>
      <c r="D62" s="141">
        <f>IF(D19=0,0,D19/TrRoad_act!D32*100)</f>
        <v>3.8950084955284008</v>
      </c>
      <c r="E62" s="141">
        <f>IF(E19=0,0,E19/TrRoad_act!E32*100)</f>
        <v>3.8941350953181657</v>
      </c>
      <c r="F62" s="141">
        <f>IF(F19=0,0,F19/TrRoad_act!F32*100)</f>
        <v>3.8902432736083585</v>
      </c>
      <c r="G62" s="141">
        <f>IF(G19=0,0,G19/TrRoad_act!G32*100)</f>
        <v>3.889613906239247</v>
      </c>
      <c r="H62" s="141">
        <f>IF(H19=0,0,H19/TrRoad_act!H32*100)</f>
        <v>3.8907930765299215</v>
      </c>
      <c r="I62" s="141">
        <f>IF(I19=0,0,I19/TrRoad_act!I32*100)</f>
        <v>3.8780722006788717</v>
      </c>
      <c r="J62" s="141">
        <f>IF(J19=0,0,J19/TrRoad_act!J32*100)</f>
        <v>3.8576831290103168</v>
      </c>
      <c r="K62" s="141">
        <f>IF(K19=0,0,K19/TrRoad_act!K32*100)</f>
        <v>3.830242689651457</v>
      </c>
      <c r="L62" s="141">
        <f>IF(L19=0,0,L19/TrRoad_act!L32*100)</f>
        <v>3.8179070249422318</v>
      </c>
      <c r="M62" s="141">
        <f>IF(M19=0,0,M19/TrRoad_act!M32*100)</f>
        <v>3.8031838794527331</v>
      </c>
      <c r="N62" s="141">
        <f>IF(N19=0,0,N19/TrRoad_act!N32*100)</f>
        <v>3.7867402732027102</v>
      </c>
      <c r="O62" s="141">
        <f>IF(O19=0,0,O19/TrRoad_act!O32*100)</f>
        <v>3.7615272357028959</v>
      </c>
      <c r="P62" s="141">
        <f>IF(P19=0,0,P19/TrRoad_act!P32*100)</f>
        <v>3.7379148442820727</v>
      </c>
      <c r="Q62" s="141">
        <f>IF(Q19=0,0,Q19/TrRoad_act!Q32*100)</f>
        <v>3.7074351041585074</v>
      </c>
      <c r="R62" s="141">
        <f>IF(R19=0,0,R19/TrRoad_act!R32*100)</f>
        <v>3.6834878502137776</v>
      </c>
      <c r="S62" s="141">
        <f>IF(S19=0,0,S19/TrRoad_act!S32*100)</f>
        <v>3.6566451211776632</v>
      </c>
      <c r="T62" s="141">
        <f>IF(T19=0,0,T19/TrRoad_act!T32*100)</f>
        <v>3.6309719082118068</v>
      </c>
      <c r="U62" s="141">
        <f>IF(U19=0,0,U19/TrRoad_act!U32*100)</f>
        <v>3.6151217941542781</v>
      </c>
      <c r="V62" s="141">
        <f>IF(V19=0,0,V19/TrRoad_act!V32*100)</f>
        <v>3.5982671655927176</v>
      </c>
      <c r="W62" s="141">
        <f>IF(W19=0,0,W19/TrRoad_act!W32*100)</f>
        <v>3.2995152197253437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5.8918452414478937</v>
      </c>
      <c r="C63" s="130">
        <f>IF(C21=0,0,C21/TrRoad_act!C33*100)</f>
        <v>6.0567682743019651</v>
      </c>
      <c r="D63" s="130">
        <f>IF(D21=0,0,D21/TrRoad_act!D33*100)</f>
        <v>6.8584272704963434</v>
      </c>
      <c r="E63" s="130">
        <f>IF(E21=0,0,E21/TrRoad_act!E33*100)</f>
        <v>6.4582904163741146</v>
      </c>
      <c r="F63" s="130">
        <f>IF(F21=0,0,F21/TrRoad_act!F33*100)</f>
        <v>6.0262533565465688</v>
      </c>
      <c r="G63" s="130">
        <f>IF(G21=0,0,G21/TrRoad_act!G33*100)</f>
        <v>6.2637306464118332</v>
      </c>
      <c r="H63" s="130">
        <f>IF(H21=0,0,H21/TrRoad_act!H33*100)</f>
        <v>5.9930426515473352</v>
      </c>
      <c r="I63" s="130">
        <f>IF(I21=0,0,I21/TrRoad_act!I33*100)</f>
        <v>6.3133906146081911</v>
      </c>
      <c r="J63" s="130">
        <f>IF(J21=0,0,J21/TrRoad_act!J33*100)</f>
        <v>6.4864637621544512</v>
      </c>
      <c r="K63" s="130">
        <f>IF(K21=0,0,K21/TrRoad_act!K33*100)</f>
        <v>6.1500059212607026</v>
      </c>
      <c r="L63" s="130">
        <f>IF(L21=0,0,L21/TrRoad_act!L33*100)</f>
        <v>6.0929617673749474</v>
      </c>
      <c r="M63" s="130">
        <f>IF(M21=0,0,M21/TrRoad_act!M33*100)</f>
        <v>6.0735628357696338</v>
      </c>
      <c r="N63" s="130">
        <f>IF(N21=0,0,N21/TrRoad_act!N33*100)</f>
        <v>5.9397067300788287</v>
      </c>
      <c r="O63" s="130">
        <f>IF(O21=0,0,O21/TrRoad_act!O33*100)</f>
        <v>5.8696864375736357</v>
      </c>
      <c r="P63" s="130">
        <f>IF(P21=0,0,P21/TrRoad_act!P33*100)</f>
        <v>5.7389124104167397</v>
      </c>
      <c r="Q63" s="130">
        <f>IF(Q21=0,0,Q21/TrRoad_act!Q33*100)</f>
        <v>5.755836803381368</v>
      </c>
      <c r="R63" s="130">
        <f>IF(R21=0,0,R21/TrRoad_act!R33*100)</f>
        <v>5.7942645297751572</v>
      </c>
      <c r="S63" s="130">
        <f>IF(S21=0,0,S21/TrRoad_act!S33*100)</f>
        <v>5.8934832647573678</v>
      </c>
      <c r="T63" s="130">
        <f>IF(T21=0,0,T21/TrRoad_act!T33*100)</f>
        <v>5.6352666963543108</v>
      </c>
      <c r="U63" s="130">
        <f>IF(U21=0,0,U21/TrRoad_act!U33*100)</f>
        <v>5.5424157900950792</v>
      </c>
      <c r="V63" s="130">
        <f>IF(V21=0,0,V21/TrRoad_act!V33*100)</f>
        <v>5.5640935872821577</v>
      </c>
      <c r="W63" s="130">
        <f>IF(W21=0,0,W21/TrRoad_act!W33*100)</f>
        <v>5.61565020516628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5.543721888751568</v>
      </c>
      <c r="C64" s="96">
        <f>IF(C22=0,0,C22/TrRoad_act!C34*100)</f>
        <v>5.81110546743197</v>
      </c>
      <c r="D64" s="96">
        <f>IF(D22=0,0,D22/TrRoad_act!D34*100)</f>
        <v>6.8864344867708258</v>
      </c>
      <c r="E64" s="96">
        <f>IF(E22=0,0,E22/TrRoad_act!E34*100)</f>
        <v>6.4260234786058978</v>
      </c>
      <c r="F64" s="96">
        <f>IF(F22=0,0,F22/TrRoad_act!F34*100)</f>
        <v>5.8178261853728817</v>
      </c>
      <c r="G64" s="96">
        <f>IF(G22=0,0,G22/TrRoad_act!G34*100)</f>
        <v>6.0958981698790877</v>
      </c>
      <c r="H64" s="96">
        <f>IF(H22=0,0,H22/TrRoad_act!H34*100)</f>
        <v>5.7294469775353436</v>
      </c>
      <c r="I64" s="96">
        <f>IF(I22=0,0,I22/TrRoad_act!I34*100)</f>
        <v>6.1006313905860434</v>
      </c>
      <c r="J64" s="96">
        <f>IF(J22=0,0,J22/TrRoad_act!J34*100)</f>
        <v>6.4613894111312522</v>
      </c>
      <c r="K64" s="96">
        <f>IF(K22=0,0,K22/TrRoad_act!K34*100)</f>
        <v>5.9853581519641263</v>
      </c>
      <c r="L64" s="96">
        <f>IF(L22=0,0,L22/TrRoad_act!L34*100)</f>
        <v>5.8486223468155876</v>
      </c>
      <c r="M64" s="96">
        <f>IF(M22=0,0,M22/TrRoad_act!M34*100)</f>
        <v>5.7732625082056046</v>
      </c>
      <c r="N64" s="96">
        <f>IF(N22=0,0,N22/TrRoad_act!N34*100)</f>
        <v>5.5857099920260547</v>
      </c>
      <c r="O64" s="96">
        <f>IF(O22=0,0,O22/TrRoad_act!O34*100)</f>
        <v>5.5054732970743201</v>
      </c>
      <c r="P64" s="96">
        <f>IF(P22=0,0,P22/TrRoad_act!P34*100)</f>
        <v>5.4080248982953316</v>
      </c>
      <c r="Q64" s="96">
        <f>IF(Q22=0,0,Q22/TrRoad_act!Q34*100)</f>
        <v>5.4579726341220338</v>
      </c>
      <c r="R64" s="96">
        <f>IF(R22=0,0,R22/TrRoad_act!R34*100)</f>
        <v>5.5378188771290633</v>
      </c>
      <c r="S64" s="96">
        <f>IF(S22=0,0,S22/TrRoad_act!S34*100)</f>
        <v>5.6285027353142034</v>
      </c>
      <c r="T64" s="96">
        <f>IF(T22=0,0,T22/TrRoad_act!T34*100)</f>
        <v>5.2068168487296678</v>
      </c>
      <c r="U64" s="96">
        <f>IF(U22=0,0,U22/TrRoad_act!U34*100)</f>
        <v>5.0901020482292987</v>
      </c>
      <c r="V64" s="96">
        <f>IF(V22=0,0,V22/TrRoad_act!V34*100)</f>
        <v>5.1387672429965781</v>
      </c>
      <c r="W64" s="96">
        <f>IF(W22=0,0,W22/TrRoad_act!W34*100)</f>
        <v>5.1708290789961353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7.1057778375287661</v>
      </c>
      <c r="C65" s="96">
        <f>IF(C24=0,0,C24/TrRoad_act!C35*100)</f>
        <v>6.8062759129052246</v>
      </c>
      <c r="D65" s="96">
        <f>IF(D24=0,0,D24/TrRoad_act!D35*100)</f>
        <v>6.7840639873888593</v>
      </c>
      <c r="E65" s="96">
        <f>IF(E24=0,0,E24/TrRoad_act!E35*100)</f>
        <v>6.5548124187280346</v>
      </c>
      <c r="F65" s="96">
        <f>IF(F24=0,0,F24/TrRoad_act!F35*100)</f>
        <v>6.5327673470363408</v>
      </c>
      <c r="G65" s="96">
        <f>IF(G24=0,0,G24/TrRoad_act!G35*100)</f>
        <v>6.6139721056327829</v>
      </c>
      <c r="H65" s="96">
        <f>IF(H24=0,0,H24/TrRoad_act!H35*100)</f>
        <v>6.6363153742654459</v>
      </c>
      <c r="I65" s="96">
        <f>IF(I24=0,0,I24/TrRoad_act!I35*100)</f>
        <v>6.583725663244044</v>
      </c>
      <c r="J65" s="96">
        <f>IF(J24=0,0,J24/TrRoad_act!J35*100)</f>
        <v>6.5586802384610161</v>
      </c>
      <c r="K65" s="96">
        <f>IF(K24=0,0,K24/TrRoad_act!K35*100)</f>
        <v>6.4857161398934231</v>
      </c>
      <c r="L65" s="96">
        <f>IF(L24=0,0,L24/TrRoad_act!L35*100)</f>
        <v>6.5637714740981128</v>
      </c>
      <c r="M65" s="96">
        <f>IF(M24=0,0,M24/TrRoad_act!M35*100)</f>
        <v>6.5036647040664226</v>
      </c>
      <c r="N65" s="96">
        <f>IF(N24=0,0,N24/TrRoad_act!N35*100)</f>
        <v>6.461078787012017</v>
      </c>
      <c r="O65" s="96">
        <f>IF(O24=0,0,O24/TrRoad_act!O35*100)</f>
        <v>6.4404566970727117</v>
      </c>
      <c r="P65" s="96">
        <f>IF(P24=0,0,P24/TrRoad_act!P35*100)</f>
        <v>6.3536163574711635</v>
      </c>
      <c r="Q65" s="96">
        <f>IF(Q24=0,0,Q24/TrRoad_act!Q35*100)</f>
        <v>6.2696141067712219</v>
      </c>
      <c r="R65" s="96">
        <f>IF(R24=0,0,R24/TrRoad_act!R35*100)</f>
        <v>6.2278840805713749</v>
      </c>
      <c r="S65" s="96">
        <f>IF(S24=0,0,S24/TrRoad_act!S35*100)</f>
        <v>6.3315128504986937</v>
      </c>
      <c r="T65" s="96">
        <f>IF(T24=0,0,T24/TrRoad_act!T35*100)</f>
        <v>6.3375306328893366</v>
      </c>
      <c r="U65" s="96">
        <f>IF(U24=0,0,U24/TrRoad_act!U35*100)</f>
        <v>6.2508481636416242</v>
      </c>
      <c r="V65" s="96">
        <f>IF(V24=0,0,V24/TrRoad_act!V35*100)</f>
        <v>6.1624099097134373</v>
      </c>
      <c r="W65" s="96">
        <f>IF(W24=0,0,W24/TrRoad_act!W35*100)</f>
        <v>6.1792946534586983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0</v>
      </c>
      <c r="D66" s="96">
        <f>IF(D26=0,0,D26/TrRoad_act!D36*100)</f>
        <v>0</v>
      </c>
      <c r="E66" s="96">
        <f>IF(E26=0,0,E26/TrRoad_act!E36*100)</f>
        <v>0</v>
      </c>
      <c r="F66" s="96">
        <f>IF(F26=0,0,F26/TrRoad_act!F36*100)</f>
        <v>0</v>
      </c>
      <c r="G66" s="96">
        <f>IF(G26=0,0,G26/TrRoad_act!G36*100)</f>
        <v>6.7283692684788399</v>
      </c>
      <c r="H66" s="96">
        <f>IF(H26=0,0,H26/TrRoad_act!H36*100)</f>
        <v>6.8029620638954835</v>
      </c>
      <c r="I66" s="96">
        <f>IF(I26=0,0,I26/TrRoad_act!I36*100)</f>
        <v>7.0253588997253829</v>
      </c>
      <c r="J66" s="96">
        <f>IF(J26=0,0,J26/TrRoad_act!J36*100)</f>
        <v>7.3641925833580553</v>
      </c>
      <c r="K66" s="96">
        <f>IF(K26=0,0,K26/TrRoad_act!K36*100)</f>
        <v>7.7238596638109458</v>
      </c>
      <c r="L66" s="96">
        <f>IF(L26=0,0,L26/TrRoad_act!L36*100)</f>
        <v>7.4179901343794707</v>
      </c>
      <c r="M66" s="96">
        <f>IF(M26=0,0,M26/TrRoad_act!M36*100)</f>
        <v>7.1348780009652319</v>
      </c>
      <c r="N66" s="96">
        <f>IF(N26=0,0,N26/TrRoad_act!N36*100)</f>
        <v>7.147795678546065</v>
      </c>
      <c r="O66" s="96">
        <f>IF(O26=0,0,O26/TrRoad_act!O36*100)</f>
        <v>7.160400429800549</v>
      </c>
      <c r="P66" s="96">
        <f>IF(P26=0,0,P26/TrRoad_act!P36*100)</f>
        <v>5.8669553824315352</v>
      </c>
      <c r="Q66" s="96">
        <f>IF(Q26=0,0,Q26/TrRoad_act!Q36*100)</f>
        <v>6.4857321173913238</v>
      </c>
      <c r="R66" s="96">
        <f>IF(R26=0,0,R26/TrRoad_act!R36*100)</f>
        <v>6.6633167457243321</v>
      </c>
      <c r="S66" s="96">
        <f>IF(S26=0,0,S26/TrRoad_act!S36*100)</f>
        <v>7.0514939331098105</v>
      </c>
      <c r="T66" s="96">
        <f>IF(T26=0,0,T26/TrRoad_act!T36*100)</f>
        <v>7.7450810030840449</v>
      </c>
      <c r="U66" s="96">
        <f>IF(U26=0,0,U26/TrRoad_act!U36*100)</f>
        <v>8.3140203792237237</v>
      </c>
      <c r="V66" s="96">
        <f>IF(V26=0,0,V26/TrRoad_act!V36*100)</f>
        <v>8.7906583257446691</v>
      </c>
      <c r="W66" s="96">
        <f>IF(W26=0,0,W26/TrRoad_act!W36*100)</f>
        <v>9.9705405717565601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13.873450308658237</v>
      </c>
      <c r="D67" s="96">
        <f>IF(D27=0,0,D27/TrRoad_act!D37*100)</f>
        <v>5.8346487046239899</v>
      </c>
      <c r="E67" s="96">
        <f>IF(E27=0,0,E27/TrRoad_act!E37*100)</f>
        <v>5.9277204946773532</v>
      </c>
      <c r="F67" s="96">
        <f>IF(F27=0,0,F27/TrRoad_act!F37*100)</f>
        <v>7.5878880970610156</v>
      </c>
      <c r="G67" s="96">
        <f>IF(G27=0,0,G27/TrRoad_act!G37*100)</f>
        <v>9.8643380287932825</v>
      </c>
      <c r="H67" s="96">
        <f>IF(H27=0,0,H27/TrRoad_act!H37*100)</f>
        <v>5.8142343213127408</v>
      </c>
      <c r="I67" s="96">
        <f>IF(I27=0,0,I27/TrRoad_act!I37*100)</f>
        <v>11.921968359323106</v>
      </c>
      <c r="J67" s="96">
        <f>IF(J27=0,0,J27/TrRoad_act!J37*100)</f>
        <v>5.7287134173463627</v>
      </c>
      <c r="K67" s="96">
        <f>IF(K27=0,0,K27/TrRoad_act!K37*100)</f>
        <v>5.7173027706924735</v>
      </c>
      <c r="L67" s="96">
        <f>IF(L27=0,0,L27/TrRoad_act!L37*100)</f>
        <v>6.3811398495091858</v>
      </c>
      <c r="M67" s="96">
        <f>IF(M27=0,0,M27/TrRoad_act!M37*100)</f>
        <v>7.6177259602485154</v>
      </c>
      <c r="N67" s="96">
        <f>IF(N27=0,0,N27/TrRoad_act!N37*100)</f>
        <v>7.4979635011955388</v>
      </c>
      <c r="O67" s="96">
        <f>IF(O27=0,0,O27/TrRoad_act!O37*100)</f>
        <v>6.6590342285733284</v>
      </c>
      <c r="P67" s="96">
        <f>IF(P27=0,0,P27/TrRoad_act!P37*100)</f>
        <v>7.0956943439298161</v>
      </c>
      <c r="Q67" s="96">
        <f>IF(Q27=0,0,Q27/TrRoad_act!Q37*100)</f>
        <v>6.5430642048736702</v>
      </c>
      <c r="R67" s="96">
        <f>IF(R27=0,0,R27/TrRoad_act!R37*100)</f>
        <v>7.0479924158905733</v>
      </c>
      <c r="S67" s="96">
        <f>IF(S27=0,0,S27/TrRoad_act!S37*100)</f>
        <v>7.0220257882385466</v>
      </c>
      <c r="T67" s="96">
        <f>IF(T27=0,0,T27/TrRoad_act!T37*100)</f>
        <v>6.970403836874997</v>
      </c>
      <c r="U67" s="96">
        <f>IF(U27=0,0,U27/TrRoad_act!U37*100)</f>
        <v>6.8721413777554199</v>
      </c>
      <c r="V67" s="96">
        <f>IF(V27=0,0,V27/TrRoad_act!V37*100)</f>
        <v>8.7603139401666663</v>
      </c>
      <c r="W67" s="96">
        <f>IF(W27=0,0,W27/TrRoad_act!W37*100)</f>
        <v>8.3787093690674617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2.1810929524545335</v>
      </c>
      <c r="O68" s="96">
        <f>IF(O29=0,0,O29/TrRoad_act!O38*100)</f>
        <v>2.1660019569766731</v>
      </c>
      <c r="P68" s="96">
        <f>IF(P29=0,0,P29/TrRoad_act!P38*100)</f>
        <v>5.0984484406347281</v>
      </c>
      <c r="Q68" s="96">
        <f>IF(Q29=0,0,Q29/TrRoad_act!Q38*100)</f>
        <v>4.6554554504882448</v>
      </c>
      <c r="R68" s="96">
        <f>IF(R29=0,0,R29/TrRoad_act!R38*100)</f>
        <v>3.7507091131634076</v>
      </c>
      <c r="S68" s="96">
        <f>IF(S29=0,0,S29/TrRoad_act!S38*100)</f>
        <v>4.2606506621839779</v>
      </c>
      <c r="T68" s="96">
        <f>IF(T29=0,0,T29/TrRoad_act!T38*100)</f>
        <v>3.6880980834530854</v>
      </c>
      <c r="U68" s="96">
        <f>IF(U29=0,0,U29/TrRoad_act!U38*100)</f>
        <v>3.6230639490884524</v>
      </c>
      <c r="V68" s="96">
        <f>IF(V29=0,0,V29/TrRoad_act!V38*100)</f>
        <v>3.480616827061485</v>
      </c>
      <c r="W68" s="96">
        <f>IF(W29=0,0,W29/TrRoad_act!W38*100)</f>
        <v>3.1695450155932283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1.4580592983471157</v>
      </c>
      <c r="N69" s="96">
        <f>IF(N32=0,0,N32/TrRoad_act!N39*100)</f>
        <v>1.4525599065005212</v>
      </c>
      <c r="O69" s="96">
        <f>IF(O32=0,0,O32/TrRoad_act!O39*100)</f>
        <v>1.4446073216570738</v>
      </c>
      <c r="P69" s="96">
        <f>IF(P32=0,0,P32/TrRoad_act!P39*100)</f>
        <v>1.4188414151969155</v>
      </c>
      <c r="Q69" s="96">
        <f>IF(Q32=0,0,Q32/TrRoad_act!Q39*100)</f>
        <v>1.4440705844040134</v>
      </c>
      <c r="R69" s="96">
        <f>IF(R32=0,0,R32/TrRoad_act!R39*100)</f>
        <v>1.4491097011831731</v>
      </c>
      <c r="S69" s="96">
        <f>IF(S32=0,0,S32/TrRoad_act!S39*100)</f>
        <v>1.4106019433383901</v>
      </c>
      <c r="T69" s="96">
        <f>IF(T32=0,0,T32/TrRoad_act!T39*100)</f>
        <v>1.4757506197647545</v>
      </c>
      <c r="U69" s="96">
        <f>IF(U32=0,0,U32/TrRoad_act!U39*100)</f>
        <v>1.5113035241165149</v>
      </c>
      <c r="V69" s="96">
        <f>IF(V32=0,0,V32/TrRoad_act!V39*100)</f>
        <v>1.5486790975051952</v>
      </c>
      <c r="W69" s="96">
        <f>IF(W32=0,0,W32/TrRoad_act!W39*100)</f>
        <v>1.5800958182764253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60.352055320823062</v>
      </c>
      <c r="C70" s="130">
        <f>IF(C33=0,0,C33/TrRoad_act!C40*100)</f>
        <v>59.174350975182719</v>
      </c>
      <c r="D70" s="130">
        <f>IF(D33=0,0,D33/TrRoad_act!D40*100)</f>
        <v>59.438231278805716</v>
      </c>
      <c r="E70" s="130">
        <f>IF(E33=0,0,E33/TrRoad_act!E40*100)</f>
        <v>57.920840613701984</v>
      </c>
      <c r="F70" s="130">
        <f>IF(F33=0,0,F33/TrRoad_act!F40*100)</f>
        <v>57.169520976336806</v>
      </c>
      <c r="G70" s="130">
        <f>IF(G33=0,0,G33/TrRoad_act!G40*100)</f>
        <v>57.466356451324408</v>
      </c>
      <c r="H70" s="130">
        <f>IF(H33=0,0,H33/TrRoad_act!H40*100)</f>
        <v>56.91218681307619</v>
      </c>
      <c r="I70" s="130">
        <f>IF(I33=0,0,I33/TrRoad_act!I40*100)</f>
        <v>55.907095509974901</v>
      </c>
      <c r="J70" s="130">
        <f>IF(J33=0,0,J33/TrRoad_act!J40*100)</f>
        <v>55.314874079980889</v>
      </c>
      <c r="K70" s="130">
        <f>IF(K33=0,0,K33/TrRoad_act!K40*100)</f>
        <v>53.872993788958603</v>
      </c>
      <c r="L70" s="130">
        <f>IF(L33=0,0,L33/TrRoad_act!L40*100)</f>
        <v>53.862540069964126</v>
      </c>
      <c r="M70" s="130">
        <f>IF(M33=0,0,M33/TrRoad_act!M40*100)</f>
        <v>52.858703861410739</v>
      </c>
      <c r="N70" s="130">
        <f>IF(N33=0,0,N33/TrRoad_act!N40*100)</f>
        <v>52.615413541140214</v>
      </c>
      <c r="O70" s="130">
        <f>IF(O33=0,0,O33/TrRoad_act!O40*100)</f>
        <v>52.672942222097227</v>
      </c>
      <c r="P70" s="130">
        <f>IF(P33=0,0,P33/TrRoad_act!P40*100)</f>
        <v>52.436993491427664</v>
      </c>
      <c r="Q70" s="130">
        <f>IF(Q33=0,0,Q33/TrRoad_act!Q40*100)</f>
        <v>51.98106748829121</v>
      </c>
      <c r="R70" s="130">
        <f>IF(R33=0,0,R33/TrRoad_act!R40*100)</f>
        <v>51.486584124406868</v>
      </c>
      <c r="S70" s="130">
        <f>IF(S33=0,0,S33/TrRoad_act!S40*100)</f>
        <v>52.71948483994656</v>
      </c>
      <c r="T70" s="130">
        <f>IF(T33=0,0,T33/TrRoad_act!T40*100)</f>
        <v>52.894249849976774</v>
      </c>
      <c r="U70" s="130">
        <f>IF(U33=0,0,U33/TrRoad_act!U40*100)</f>
        <v>53.007841062374808</v>
      </c>
      <c r="V70" s="130">
        <f>IF(V33=0,0,V33/TrRoad_act!V40*100)</f>
        <v>53.039594663614885</v>
      </c>
      <c r="W70" s="130">
        <f>IF(W33=0,0,W33/TrRoad_act!W40*100)</f>
        <v>53.736550589695987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0</v>
      </c>
      <c r="K71" s="97">
        <f>IF(K34=0,0,K34/TrRoad_act!K41*100)</f>
        <v>0</v>
      </c>
      <c r="L71" s="97">
        <f>IF(L34=0,0,L34/TrRoad_act!L41*100)</f>
        <v>0</v>
      </c>
      <c r="M71" s="97">
        <f>IF(M34=0,0,M34/TrRoad_act!M41*100)</f>
        <v>0</v>
      </c>
      <c r="N71" s="97">
        <f>IF(N34=0,0,N34/TrRoad_act!N41*100)</f>
        <v>0</v>
      </c>
      <c r="O71" s="97">
        <f>IF(O34=0,0,O34/TrRoad_act!O41*100)</f>
        <v>0</v>
      </c>
      <c r="P71" s="97">
        <f>IF(P34=0,0,P34/TrRoad_act!P41*100)</f>
        <v>0</v>
      </c>
      <c r="Q71" s="97">
        <f>IF(Q34=0,0,Q34/TrRoad_act!Q41*100)</f>
        <v>0</v>
      </c>
      <c r="R71" s="97">
        <f>IF(R34=0,0,R34/TrRoad_act!R41*100)</f>
        <v>0</v>
      </c>
      <c r="S71" s="97">
        <f>IF(S34=0,0,S34/TrRoad_act!S41*100)</f>
        <v>0</v>
      </c>
      <c r="T71" s="97">
        <f>IF(T34=0,0,T34/TrRoad_act!T41*100)</f>
        <v>0</v>
      </c>
      <c r="U71" s="97">
        <f>IF(U34=0,0,U34/TrRoad_act!U41*100)</f>
        <v>0</v>
      </c>
      <c r="V71" s="97">
        <f>IF(V34=0,0,V34/TrRoad_act!V41*100)</f>
        <v>0</v>
      </c>
      <c r="W71" s="97">
        <f>IF(W34=0,0,W34/TrRoad_act!W41*100)</f>
        <v>0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60.352055320823062</v>
      </c>
      <c r="C72" s="97">
        <f>IF(C36=0,0,C36/TrRoad_act!C42*100)</f>
        <v>59.174350975182719</v>
      </c>
      <c r="D72" s="97">
        <f>IF(D36=0,0,D36/TrRoad_act!D42*100)</f>
        <v>59.438231278805716</v>
      </c>
      <c r="E72" s="97">
        <f>IF(E36=0,0,E36/TrRoad_act!E42*100)</f>
        <v>57.920840613701984</v>
      </c>
      <c r="F72" s="97">
        <f>IF(F36=0,0,F36/TrRoad_act!F42*100)</f>
        <v>57.169520976336806</v>
      </c>
      <c r="G72" s="97">
        <f>IF(G36=0,0,G36/TrRoad_act!G42*100)</f>
        <v>57.466356451324408</v>
      </c>
      <c r="H72" s="97">
        <f>IF(H36=0,0,H36/TrRoad_act!H42*100)</f>
        <v>56.91218681307619</v>
      </c>
      <c r="I72" s="97">
        <f>IF(I36=0,0,I36/TrRoad_act!I42*100)</f>
        <v>55.907095509974901</v>
      </c>
      <c r="J72" s="97">
        <f>IF(J36=0,0,J36/TrRoad_act!J42*100)</f>
        <v>55.314874079980889</v>
      </c>
      <c r="K72" s="97">
        <f>IF(K36=0,0,K36/TrRoad_act!K42*100)</f>
        <v>53.872993788958603</v>
      </c>
      <c r="L72" s="97">
        <f>IF(L36=0,0,L36/TrRoad_act!L42*100)</f>
        <v>54.265317298293816</v>
      </c>
      <c r="M72" s="97">
        <f>IF(M36=0,0,M36/TrRoad_act!M42*100)</f>
        <v>53.808348067153652</v>
      </c>
      <c r="N72" s="97">
        <f>IF(N36=0,0,N36/TrRoad_act!N42*100)</f>
        <v>53.562618503347849</v>
      </c>
      <c r="O72" s="97">
        <f>IF(O36=0,0,O36/TrRoad_act!O42*100)</f>
        <v>53.638552522065019</v>
      </c>
      <c r="P72" s="97">
        <f>IF(P36=0,0,P36/TrRoad_act!P42*100)</f>
        <v>53.721974621137889</v>
      </c>
      <c r="Q72" s="97">
        <f>IF(Q36=0,0,Q36/TrRoad_act!Q42*100)</f>
        <v>53.561899307886485</v>
      </c>
      <c r="R72" s="97">
        <f>IF(R36=0,0,R36/TrRoad_act!R42*100)</f>
        <v>54.001824174921232</v>
      </c>
      <c r="S72" s="97">
        <f>IF(S36=0,0,S36/TrRoad_act!S42*100)</f>
        <v>55.304217198299746</v>
      </c>
      <c r="T72" s="97">
        <f>IF(T36=0,0,T36/TrRoad_act!T42*100)</f>
        <v>55.765006280372852</v>
      </c>
      <c r="U72" s="97">
        <f>IF(U36=0,0,U36/TrRoad_act!U42*100)</f>
        <v>55.603883310683088</v>
      </c>
      <c r="V72" s="97">
        <f>IF(V36=0,0,V36/TrRoad_act!V42*100)</f>
        <v>55.848908933932485</v>
      </c>
      <c r="W72" s="97">
        <f>IF(W36=0,0,W36/TrRoad_act!W42*100)</f>
        <v>56.727905579482062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0</v>
      </c>
      <c r="R74" s="97">
        <f>IF(R39=0,0,R39/TrRoad_act!R44*100)</f>
        <v>20.69201833494899</v>
      </c>
      <c r="S74" s="97">
        <f>IF(S39=0,0,S39/TrRoad_act!S44*100)</f>
        <v>31.404279928731714</v>
      </c>
      <c r="T74" s="97">
        <f>IF(T39=0,0,T39/TrRoad_act!T44*100)</f>
        <v>22.63144896647513</v>
      </c>
      <c r="U74" s="97">
        <f>IF(U39=0,0,U39/TrRoad_act!U44*100)</f>
        <v>45.622245483718231</v>
      </c>
      <c r="V74" s="97">
        <f>IF(V39=0,0,V39/TrRoad_act!V44*100)</f>
        <v>60.375399323942993</v>
      </c>
      <c r="W74" s="97">
        <f>IF(W39=0,0,W39/TrRoad_act!W44*100)</f>
        <v>58.990907161959946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29.16097398383754</v>
      </c>
      <c r="M75" s="97">
        <f>IF(M41=0,0,M41/TrRoad_act!M45*100)</f>
        <v>29.233221250295198</v>
      </c>
      <c r="N75" s="97">
        <f>IF(N41=0,0,N41/TrRoad_act!N45*100)</f>
        <v>29.234023766997471</v>
      </c>
      <c r="O75" s="97">
        <f>IF(O41=0,0,O41/TrRoad_act!O45*100)</f>
        <v>29.234632652486731</v>
      </c>
      <c r="P75" s="97">
        <f>IF(P41=0,0,P41/TrRoad_act!P45*100)</f>
        <v>29.404243365357186</v>
      </c>
      <c r="Q75" s="97">
        <f>IF(Q41=0,0,Q41/TrRoad_act!Q45*100)</f>
        <v>29.54517043168871</v>
      </c>
      <c r="R75" s="97">
        <f>IF(R41=0,0,R41/TrRoad_act!R45*100)</f>
        <v>29.652611956861247</v>
      </c>
      <c r="S75" s="97">
        <f>IF(S41=0,0,S41/TrRoad_act!S45*100)</f>
        <v>29.729782104435031</v>
      </c>
      <c r="T75" s="97">
        <f>IF(T41=0,0,T41/TrRoad_act!T45*100)</f>
        <v>29.780897445105094</v>
      </c>
      <c r="U75" s="97">
        <f>IF(U41=0,0,U41/TrRoad_act!U45*100)</f>
        <v>29.810127343773633</v>
      </c>
      <c r="V75" s="97">
        <f>IF(V41=0,0,V41/TrRoad_act!V45*100)</f>
        <v>29.822360787884534</v>
      </c>
      <c r="W75" s="97">
        <f>IF(W41=0,0,W41/TrRoad_act!W45*100)</f>
        <v>29.823135281521246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16.70221998407974</v>
      </c>
      <c r="C76" s="32">
        <f>IF(C42=0,0,C42/TrRoad_act!C46*100)</f>
        <v>16.125603981075351</v>
      </c>
      <c r="D76" s="32">
        <f>IF(D42=0,0,D42/TrRoad_act!D46*100)</f>
        <v>21.211516071868097</v>
      </c>
      <c r="E76" s="32">
        <f>IF(E42=0,0,E42/TrRoad_act!E46*100)</f>
        <v>16.279015640084204</v>
      </c>
      <c r="F76" s="32">
        <f>IF(F42=0,0,F42/TrRoad_act!F46*100)</f>
        <v>16.961722766552384</v>
      </c>
      <c r="G76" s="32">
        <f>IF(G42=0,0,G42/TrRoad_act!G46*100)</f>
        <v>20.530915103453019</v>
      </c>
      <c r="H76" s="32">
        <f>IF(H42=0,0,H42/TrRoad_act!H46*100)</f>
        <v>22.205093606517817</v>
      </c>
      <c r="I76" s="32">
        <f>IF(I42=0,0,I42/TrRoad_act!I46*100)</f>
        <v>22.336891832093265</v>
      </c>
      <c r="J76" s="32">
        <f>IF(J42=0,0,J42/TrRoad_act!J46*100)</f>
        <v>22.463284103463703</v>
      </c>
      <c r="K76" s="32">
        <f>IF(K42=0,0,K42/TrRoad_act!K46*100)</f>
        <v>19.005576256965412</v>
      </c>
      <c r="L76" s="32">
        <f>IF(L42=0,0,L42/TrRoad_act!L46*100)</f>
        <v>23.456756480417255</v>
      </c>
      <c r="M76" s="32">
        <f>IF(M42=0,0,M42/TrRoad_act!M46*100)</f>
        <v>22.480145677941298</v>
      </c>
      <c r="N76" s="32">
        <f>IF(N42=0,0,N42/TrRoad_act!N46*100)</f>
        <v>21.357963155201883</v>
      </c>
      <c r="O76" s="32">
        <f>IF(O42=0,0,O42/TrRoad_act!O46*100)</f>
        <v>22.720015706448258</v>
      </c>
      <c r="P76" s="32">
        <f>IF(P42=0,0,P42/TrRoad_act!P46*100)</f>
        <v>23.318766166375006</v>
      </c>
      <c r="Q76" s="32">
        <f>IF(Q42=0,0,Q42/TrRoad_act!Q46*100)</f>
        <v>21.259360549113758</v>
      </c>
      <c r="R76" s="32">
        <f>IF(R42=0,0,R42/TrRoad_act!R46*100)</f>
        <v>24.87271612437279</v>
      </c>
      <c r="S76" s="32">
        <f>IF(S42=0,0,S42/TrRoad_act!S46*100)</f>
        <v>30.550029341198918</v>
      </c>
      <c r="T76" s="32">
        <f>IF(T42=0,0,T42/TrRoad_act!T46*100)</f>
        <v>31.694045328713816</v>
      </c>
      <c r="U76" s="32">
        <f>IF(U42=0,0,U42/TrRoad_act!U46*100)</f>
        <v>30.38592440859081</v>
      </c>
      <c r="V76" s="32">
        <f>IF(V42=0,0,V42/TrRoad_act!V46*100)</f>
        <v>28.397653148793378</v>
      </c>
      <c r="W76" s="32">
        <f>IF(W42=0,0,W42/TrRoad_act!W46*100)</f>
        <v>30.879105174391668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10.560093898674513</v>
      </c>
      <c r="C77" s="141">
        <f>IF(C43=0,0,C43/TrRoad_act!C47*100)</f>
        <v>10.675666463637517</v>
      </c>
      <c r="D77" s="141">
        <f>IF(D43=0,0,D43/TrRoad_act!D47*100)</f>
        <v>12.363803861229137</v>
      </c>
      <c r="E77" s="141">
        <f>IF(E43=0,0,E43/TrRoad_act!E47*100)</f>
        <v>11.610049060855305</v>
      </c>
      <c r="F77" s="141">
        <f>IF(F43=0,0,F43/TrRoad_act!F47*100)</f>
        <v>11.604608669870515</v>
      </c>
      <c r="G77" s="141">
        <f>IF(G43=0,0,G43/TrRoad_act!G47*100)</f>
        <v>12.013084482609056</v>
      </c>
      <c r="H77" s="141">
        <f>IF(H43=0,0,H43/TrRoad_act!H47*100)</f>
        <v>11.148438690827028</v>
      </c>
      <c r="I77" s="141">
        <f>IF(I43=0,0,I43/TrRoad_act!I47*100)</f>
        <v>11.586034598464796</v>
      </c>
      <c r="J77" s="141">
        <f>IF(J43=0,0,J43/TrRoad_act!J47*100)</f>
        <v>10.754332067444983</v>
      </c>
      <c r="K77" s="141">
        <f>IF(K43=0,0,K43/TrRoad_act!K47*100)</f>
        <v>9.8139072470080322</v>
      </c>
      <c r="L77" s="141">
        <f>IF(L43=0,0,L43/TrRoad_act!L47*100)</f>
        <v>11.282196925175443</v>
      </c>
      <c r="M77" s="141">
        <f>IF(M43=0,0,M43/TrRoad_act!M47*100)</f>
        <v>11.490335104598026</v>
      </c>
      <c r="N77" s="141">
        <f>IF(N43=0,0,N43/TrRoad_act!N47*100)</f>
        <v>10.69537579424173</v>
      </c>
      <c r="O77" s="141">
        <f>IF(O43=0,0,O43/TrRoad_act!O47*100)</f>
        <v>10.360809052546745</v>
      </c>
      <c r="P77" s="141">
        <f>IF(P43=0,0,P43/TrRoad_act!P47*100)</f>
        <v>10.689228259001478</v>
      </c>
      <c r="Q77" s="141">
        <f>IF(Q43=0,0,Q43/TrRoad_act!Q47*100)</f>
        <v>10.068494363236752</v>
      </c>
      <c r="R77" s="141">
        <f>IF(R43=0,0,R43/TrRoad_act!R47*100)</f>
        <v>10.739829124918481</v>
      </c>
      <c r="S77" s="141">
        <f>IF(S43=0,0,S43/TrRoad_act!S47*100)</f>
        <v>11.477103117943848</v>
      </c>
      <c r="T77" s="141">
        <f>IF(T43=0,0,T43/TrRoad_act!T47*100)</f>
        <v>11.403080208921841</v>
      </c>
      <c r="U77" s="141">
        <f>IF(U43=0,0,U43/TrRoad_act!U47*100)</f>
        <v>11.346093307813558</v>
      </c>
      <c r="V77" s="141">
        <f>IF(V43=0,0,V43/TrRoad_act!V47*100)</f>
        <v>11.443108913820799</v>
      </c>
      <c r="W77" s="141">
        <f>IF(W43=0,0,W43/TrRoad_act!W47*100)</f>
        <v>10.75693585856563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8.9223385393648122</v>
      </c>
      <c r="C78" s="96">
        <f>IF(C44=0,0,C44/TrRoad_act!C48*100)</f>
        <v>8.7667863711162806</v>
      </c>
      <c r="D78" s="96">
        <f>IF(D44=0,0,D44/TrRoad_act!D48*100)</f>
        <v>8.5968967051993896</v>
      </c>
      <c r="E78" s="96">
        <f>IF(E44=0,0,E44/TrRoad_act!E48*100)</f>
        <v>8.4170819907725107</v>
      </c>
      <c r="F78" s="96">
        <f>IF(F44=0,0,F44/TrRoad_act!F48*100)</f>
        <v>7.8829093534613888</v>
      </c>
      <c r="G78" s="96">
        <f>IF(G44=0,0,G44/TrRoad_act!G48*100)</f>
        <v>7.7546278145620411</v>
      </c>
      <c r="H78" s="96">
        <f>IF(H44=0,0,H44/TrRoad_act!H48*100)</f>
        <v>7.6275837555245012</v>
      </c>
      <c r="I78" s="96">
        <f>IF(I44=0,0,I44/TrRoad_act!I48*100)</f>
        <v>7.5240224810551704</v>
      </c>
      <c r="J78" s="96">
        <f>IF(J44=0,0,J44/TrRoad_act!J48*100)</f>
        <v>7.4535701770756937</v>
      </c>
      <c r="K78" s="96">
        <f>IF(K44=0,0,K44/TrRoad_act!K48*100)</f>
        <v>7.4073477944157275</v>
      </c>
      <c r="L78" s="96">
        <f>IF(L44=0,0,L44/TrRoad_act!L48*100)</f>
        <v>7.1753565413823157</v>
      </c>
      <c r="M78" s="96">
        <f>IF(M44=0,0,M44/TrRoad_act!M48*100)</f>
        <v>7.1826581030772001</v>
      </c>
      <c r="N78" s="96">
        <f>IF(N44=0,0,N44/TrRoad_act!N48*100)</f>
        <v>7.1907255405053574</v>
      </c>
      <c r="O78" s="96">
        <f>IF(O44=0,0,O44/TrRoad_act!O48*100)</f>
        <v>7.2476321470571232</v>
      </c>
      <c r="P78" s="96">
        <f>IF(P44=0,0,P44/TrRoad_act!P48*100)</f>
        <v>7.2590130165955742</v>
      </c>
      <c r="Q78" s="96">
        <f>IF(Q44=0,0,Q44/TrRoad_act!Q48*100)</f>
        <v>7.3851028887101835</v>
      </c>
      <c r="R78" s="96">
        <f>IF(R44=0,0,R44/TrRoad_act!R48*100)</f>
        <v>7.4753258326054786</v>
      </c>
      <c r="S78" s="96">
        <f>IF(S44=0,0,S44/TrRoad_act!S48*100)</f>
        <v>7.4812484728305293</v>
      </c>
      <c r="T78" s="96">
        <f>IF(T44=0,0,T44/TrRoad_act!T48*100)</f>
        <v>7.547587406194868</v>
      </c>
      <c r="U78" s="96">
        <f>IF(U44=0,0,U44/TrRoad_act!U48*100)</f>
        <v>7.6374259176076933</v>
      </c>
      <c r="V78" s="96">
        <f>IF(V44=0,0,V44/TrRoad_act!V48*100)</f>
        <v>7.6378210243394413</v>
      </c>
      <c r="W78" s="96">
        <f>IF(W44=0,0,W44/TrRoad_act!W48*100)</f>
        <v>7.6644954415725177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11.405433222626128</v>
      </c>
      <c r="C79" s="96">
        <f>IF(C46=0,0,C46/TrRoad_act!C49*100)</f>
        <v>11.659183299417137</v>
      </c>
      <c r="D79" s="96">
        <f>IF(D46=0,0,D46/TrRoad_act!D49*100)</f>
        <v>14.338703417865512</v>
      </c>
      <c r="E79" s="96">
        <f>IF(E46=0,0,E46/TrRoad_act!E49*100)</f>
        <v>13.290106025338899</v>
      </c>
      <c r="F79" s="96">
        <f>IF(F46=0,0,F46/TrRoad_act!F49*100)</f>
        <v>14.139913772010035</v>
      </c>
      <c r="G79" s="96">
        <f>IF(G46=0,0,G46/TrRoad_act!G49*100)</f>
        <v>14.651137330098091</v>
      </c>
      <c r="H79" s="96">
        <f>IF(H46=0,0,H46/TrRoad_act!H49*100)</f>
        <v>13.414791850380748</v>
      </c>
      <c r="I79" s="96">
        <f>IF(I46=0,0,I46/TrRoad_act!I49*100)</f>
        <v>13.960791757524163</v>
      </c>
      <c r="J79" s="96">
        <f>IF(J46=0,0,J46/TrRoad_act!J49*100)</f>
        <v>12.610186138680357</v>
      </c>
      <c r="K79" s="96">
        <f>IF(K46=0,0,K46/TrRoad_act!K49*100)</f>
        <v>11.000963930760433</v>
      </c>
      <c r="L79" s="96">
        <f>IF(L46=0,0,L46/TrRoad_act!L49*100)</f>
        <v>12.651609966294691</v>
      </c>
      <c r="M79" s="96">
        <f>IF(M46=0,0,M46/TrRoad_act!M49*100)</f>
        <v>12.915471561343987</v>
      </c>
      <c r="N79" s="96">
        <f>IF(N46=0,0,N46/TrRoad_act!N49*100)</f>
        <v>11.812141334504242</v>
      </c>
      <c r="O79" s="96">
        <f>IF(O46=0,0,O46/TrRoad_act!O49*100)</f>
        <v>11.512542086515117</v>
      </c>
      <c r="P79" s="96">
        <f>IF(P46=0,0,P46/TrRoad_act!P49*100)</f>
        <v>12.057293354038675</v>
      </c>
      <c r="Q79" s="96">
        <f>IF(Q46=0,0,Q46/TrRoad_act!Q49*100)</f>
        <v>11.122565816077982</v>
      </c>
      <c r="R79" s="96">
        <f>IF(R46=0,0,R46/TrRoad_act!R49*100)</f>
        <v>12.415129147241021</v>
      </c>
      <c r="S79" s="96">
        <f>IF(S46=0,0,S46/TrRoad_act!S49*100)</f>
        <v>13.222365480585232</v>
      </c>
      <c r="T79" s="96">
        <f>IF(T46=0,0,T46/TrRoad_act!T49*100)</f>
        <v>13.010850718667546</v>
      </c>
      <c r="U79" s="96">
        <f>IF(U46=0,0,U46/TrRoad_act!U49*100)</f>
        <v>12.597903844616157</v>
      </c>
      <c r="V79" s="96">
        <f>IF(V46=0,0,V46/TrRoad_act!V49*100)</f>
        <v>12.694637618121613</v>
      </c>
      <c r="W79" s="96">
        <f>IF(W46=0,0,W46/TrRoad_act!W49*100)</f>
        <v>11.737410018553106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10.791255098104829</v>
      </c>
      <c r="O80" s="96">
        <f>IF(O48=0,0,O48/TrRoad_act!O50*100)</f>
        <v>8.6984612249774642</v>
      </c>
      <c r="P80" s="96">
        <f>IF(P48=0,0,P48/TrRoad_act!P50*100)</f>
        <v>12.576934834837456</v>
      </c>
      <c r="Q80" s="96">
        <f>IF(Q48=0,0,Q48/TrRoad_act!Q50*100)</f>
        <v>12.542471228152413</v>
      </c>
      <c r="R80" s="96">
        <f>IF(R48=0,0,R48/TrRoad_act!R50*100)</f>
        <v>12.536413240084476</v>
      </c>
      <c r="S80" s="96">
        <f>IF(S48=0,0,S48/TrRoad_act!S50*100)</f>
        <v>12.425980452530631</v>
      </c>
      <c r="T80" s="96">
        <f>IF(T48=0,0,T48/TrRoad_act!T50*100)</f>
        <v>12.21405138706891</v>
      </c>
      <c r="U80" s="96">
        <f>IF(U48=0,0,U48/TrRoad_act!U50*100)</f>
        <v>11.957516304963258</v>
      </c>
      <c r="V80" s="96">
        <f>IF(V48=0,0,V48/TrRoad_act!V50*100)</f>
        <v>11.851507758459867</v>
      </c>
      <c r="W80" s="96">
        <f>IF(W48=0,0,W48/TrRoad_act!W50*100)</f>
        <v>11.821629637041999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10.124097918625058</v>
      </c>
      <c r="O81" s="96">
        <f>IF(O49=0,0,O49/TrRoad_act!O51*100)</f>
        <v>10.424511427966662</v>
      </c>
      <c r="P81" s="96">
        <f>IF(P49=0,0,P49/TrRoad_act!P51*100)</f>
        <v>10.168777145002332</v>
      </c>
      <c r="Q81" s="96">
        <f>IF(Q49=0,0,Q49/TrRoad_act!Q51*100)</f>
        <v>9.3775169003332355</v>
      </c>
      <c r="R81" s="96">
        <f>IF(R49=0,0,R49/TrRoad_act!R51*100)</f>
        <v>14.062894687656785</v>
      </c>
      <c r="S81" s="96">
        <f>IF(S49=0,0,S49/TrRoad_act!S51*100)</f>
        <v>13.867156200306031</v>
      </c>
      <c r="T81" s="96">
        <f>IF(T49=0,0,T49/TrRoad_act!T51*100)</f>
        <v>13.006020060129995</v>
      </c>
      <c r="U81" s="96">
        <f>IF(U49=0,0,U49/TrRoad_act!U51*100)</f>
        <v>13.027229946284931</v>
      </c>
      <c r="V81" s="96">
        <f>IF(V49=0,0,V49/TrRoad_act!V51*100)</f>
        <v>15.592383966216602</v>
      </c>
      <c r="W81" s="96">
        <f>IF(W49=0,0,W49/TrRoad_act!W51*100)</f>
        <v>15.265262493578224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0</v>
      </c>
      <c r="O82" s="96">
        <f>IF(O51=0,0,O51/TrRoad_act!O52*100)</f>
        <v>2.4319580862872505</v>
      </c>
      <c r="P82" s="96">
        <f>IF(P51=0,0,P51/TrRoad_act!P52*100)</f>
        <v>2.4944027060811913</v>
      </c>
      <c r="Q82" s="96">
        <f>IF(Q51=0,0,Q51/TrRoad_act!Q52*100)</f>
        <v>2.649010968157985</v>
      </c>
      <c r="R82" s="96">
        <f>IF(R51=0,0,R51/TrRoad_act!R52*100)</f>
        <v>2.7408670443693248</v>
      </c>
      <c r="S82" s="96">
        <f>IF(S51=0,0,S51/TrRoad_act!S52*100)</f>
        <v>2.7451116284363786</v>
      </c>
      <c r="T82" s="96">
        <f>IF(T51=0,0,T51/TrRoad_act!T52*100)</f>
        <v>2.9058517567451712</v>
      </c>
      <c r="U82" s="96">
        <f>IF(U51=0,0,U51/TrRoad_act!U52*100)</f>
        <v>2.9624110091868272</v>
      </c>
      <c r="V82" s="96">
        <f>IF(V51=0,0,V51/TrRoad_act!V52*100)</f>
        <v>3.0245001683542276</v>
      </c>
      <c r="W82" s="96">
        <f>IF(W51=0,0,W51/TrRoad_act!W52*100)</f>
        <v>3.2127780282865088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33.193886397265899</v>
      </c>
      <c r="C83" s="130">
        <f>IF(C52=0,0,C52/TrRoad_act!C53*100)</f>
        <v>30.000733048097612</v>
      </c>
      <c r="D83" s="130">
        <f>IF(D52=0,0,D52/TrRoad_act!D53*100)</f>
        <v>38.155317895651855</v>
      </c>
      <c r="E83" s="130">
        <f>IF(E52=0,0,E52/TrRoad_act!E53*100)</f>
        <v>24.768342216271758</v>
      </c>
      <c r="F83" s="130">
        <f>IF(F52=0,0,F52/TrRoad_act!F53*100)</f>
        <v>26.128701063987574</v>
      </c>
      <c r="G83" s="130">
        <f>IF(G52=0,0,G52/TrRoad_act!G53*100)</f>
        <v>35.214974070447383</v>
      </c>
      <c r="H83" s="130">
        <f>IF(H52=0,0,H52/TrRoad_act!H53*100)</f>
        <v>39.416895249272059</v>
      </c>
      <c r="I83" s="130">
        <f>IF(I52=0,0,I52/TrRoad_act!I53*100)</f>
        <v>39.317333452836088</v>
      </c>
      <c r="J83" s="130">
        <f>IF(J52=0,0,J52/TrRoad_act!J53*100)</f>
        <v>39.447129977251663</v>
      </c>
      <c r="K83" s="130">
        <f>IF(K52=0,0,K52/TrRoad_act!K53*100)</f>
        <v>35.530042051286046</v>
      </c>
      <c r="L83" s="130">
        <f>IF(L52=0,0,L52/TrRoad_act!L53*100)</f>
        <v>41.453283420784679</v>
      </c>
      <c r="M83" s="130">
        <f>IF(M52=0,0,M52/TrRoad_act!M53*100)</f>
        <v>38.995371679003824</v>
      </c>
      <c r="N83" s="130">
        <f>IF(N52=0,0,N52/TrRoad_act!N53*100)</f>
        <v>38.947429019649498</v>
      </c>
      <c r="O83" s="130">
        <f>IF(O52=0,0,O52/TrRoad_act!O53*100)</f>
        <v>41.398318098233972</v>
      </c>
      <c r="P83" s="130">
        <f>IF(P52=0,0,P52/TrRoad_act!P53*100)</f>
        <v>38.831253553198941</v>
      </c>
      <c r="Q83" s="130">
        <f>IF(Q52=0,0,Q52/TrRoad_act!Q53*100)</f>
        <v>37.724833541625543</v>
      </c>
      <c r="R83" s="130">
        <f>IF(R52=0,0,R52/TrRoad_act!R53*100)</f>
        <v>41.679121360328921</v>
      </c>
      <c r="S83" s="130">
        <f>IF(S52=0,0,S52/TrRoad_act!S53*100)</f>
        <v>52.369258417069496</v>
      </c>
      <c r="T83" s="130">
        <f>IF(T52=0,0,T52/TrRoad_act!T53*100)</f>
        <v>55.634144344956603</v>
      </c>
      <c r="U83" s="130">
        <f>IF(U52=0,0,U52/TrRoad_act!U53*100)</f>
        <v>50.558117685926206</v>
      </c>
      <c r="V83" s="130">
        <f>IF(V52=0,0,V52/TrRoad_act!V53*100)</f>
        <v>47.312230994740936</v>
      </c>
      <c r="W83" s="130">
        <f>IF(W52=0,0,W52/TrRoad_act!W53*100)</f>
        <v>54.354534872116979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29.738706600787939</v>
      </c>
      <c r="C84" s="97">
        <f>IF(C53=0,0,C53/TrRoad_act!C54*100)</f>
        <v>28.770868140658184</v>
      </c>
      <c r="D84" s="97">
        <f>IF(D53=0,0,D53/TrRoad_act!D54*100)</f>
        <v>30.411172897145399</v>
      </c>
      <c r="E84" s="97">
        <f>IF(E53=0,0,E53/TrRoad_act!E54*100)</f>
        <v>27.412645256635216</v>
      </c>
      <c r="F84" s="97">
        <f>IF(F53=0,0,F53/TrRoad_act!F54*100)</f>
        <v>27.420676007419143</v>
      </c>
      <c r="G84" s="97">
        <f>IF(G53=0,0,G53/TrRoad_act!G54*100)</f>
        <v>29.477970517330863</v>
      </c>
      <c r="H84" s="97">
        <f>IF(H53=0,0,H53/TrRoad_act!H54*100)</f>
        <v>30.51248557577324</v>
      </c>
      <c r="I84" s="97">
        <f>IF(I53=0,0,I53/TrRoad_act!I54*100)</f>
        <v>30.481449032710078</v>
      </c>
      <c r="J84" s="97">
        <f>IF(J53=0,0,J53/TrRoad_act!J54*100)</f>
        <v>30.72137171851092</v>
      </c>
      <c r="K84" s="97">
        <f>IF(K53=0,0,K53/TrRoad_act!K54*100)</f>
        <v>29.824090358277523</v>
      </c>
      <c r="L84" s="97">
        <f>IF(L53=0,0,L53/TrRoad_act!L54*100)</f>
        <v>31.287726600513832</v>
      </c>
      <c r="M84" s="97">
        <f>IF(M53=0,0,M53/TrRoad_act!M54*100)</f>
        <v>30.744059499877142</v>
      </c>
      <c r="N84" s="97">
        <f>IF(N53=0,0,N53/TrRoad_act!N54*100)</f>
        <v>30.721375509199433</v>
      </c>
      <c r="O84" s="97">
        <f>IF(O53=0,0,O53/TrRoad_act!O54*100)</f>
        <v>31.328798200663133</v>
      </c>
      <c r="P84" s="97">
        <f>IF(P53=0,0,P53/TrRoad_act!P54*100)</f>
        <v>30.912582854372584</v>
      </c>
      <c r="Q84" s="97">
        <f>IF(Q53=0,0,Q53/TrRoad_act!Q54*100)</f>
        <v>30.640744631344358</v>
      </c>
      <c r="R84" s="97">
        <f>IF(R53=0,0,R53/TrRoad_act!R54*100)</f>
        <v>31.590443487764659</v>
      </c>
      <c r="S84" s="97">
        <f>IF(S53=0,0,S53/TrRoad_act!S54*100)</f>
        <v>33.981276317541372</v>
      </c>
      <c r="T84" s="97">
        <f>IF(T53=0,0,T53/TrRoad_act!T54*100)</f>
        <v>34.707534640050305</v>
      </c>
      <c r="U84" s="97">
        <f>IF(U53=0,0,U53/TrRoad_act!U54*100)</f>
        <v>33.589553957182616</v>
      </c>
      <c r="V84" s="97">
        <f>IF(V53=0,0,V53/TrRoad_act!V54*100)</f>
        <v>32.906270415319483</v>
      </c>
      <c r="W84" s="97">
        <f>IF(W53=0,0,W53/TrRoad_act!W54*100)</f>
        <v>34.488358697592574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38.470143722966718</v>
      </c>
      <c r="C85" s="98">
        <f>IF(C55=0,0,C55/TrRoad_act!C55*100)</f>
        <v>31.911455384015991</v>
      </c>
      <c r="D85" s="98">
        <f>IF(D55=0,0,D55/TrRoad_act!D55*100)</f>
        <v>55.78244829594388</v>
      </c>
      <c r="E85" s="98">
        <f>IF(E55=0,0,E55/TrRoad_act!E55*100)</f>
        <v>18.516833004890607</v>
      </c>
      <c r="F85" s="98">
        <f>IF(F55=0,0,F55/TrRoad_act!F55*100)</f>
        <v>23.255372856111777</v>
      </c>
      <c r="G85" s="98">
        <f>IF(G55=0,0,G55/TrRoad_act!G55*100)</f>
        <v>48.538173265821477</v>
      </c>
      <c r="H85" s="98">
        <f>IF(H55=0,0,H55/TrRoad_act!H55*100)</f>
        <v>61.604408273480018</v>
      </c>
      <c r="I85" s="98">
        <f>IF(I55=0,0,I55/TrRoad_act!I55*100)</f>
        <v>58.331293193999102</v>
      </c>
      <c r="J85" s="98">
        <f>IF(J55=0,0,J55/TrRoad_act!J55*100)</f>
        <v>63.355054000777912</v>
      </c>
      <c r="K85" s="98">
        <f>IF(K55=0,0,K55/TrRoad_act!K55*100)</f>
        <v>49.017866947142672</v>
      </c>
      <c r="L85" s="98">
        <f>IF(L55=0,0,L55/TrRoad_act!L55*100)</f>
        <v>71.645360597355705</v>
      </c>
      <c r="M85" s="98">
        <f>IF(M55=0,0,M55/TrRoad_act!M55*100)</f>
        <v>61.705108168633885</v>
      </c>
      <c r="N85" s="98">
        <f>IF(N55=0,0,N55/TrRoad_act!N55*100)</f>
        <v>59.811597534354256</v>
      </c>
      <c r="O85" s="98">
        <f>IF(O55=0,0,O55/TrRoad_act!O55*100)</f>
        <v>63.953144806610595</v>
      </c>
      <c r="P85" s="98">
        <f>IF(P55=0,0,P55/TrRoad_act!P55*100)</f>
        <v>58.335161498581897</v>
      </c>
      <c r="Q85" s="98">
        <f>IF(Q55=0,0,Q55/TrRoad_act!Q55*100)</f>
        <v>52.20701793647725</v>
      </c>
      <c r="R85" s="98">
        <f>IF(R55=0,0,R55/TrRoad_act!R55*100)</f>
        <v>64.759483201656323</v>
      </c>
      <c r="S85" s="98">
        <f>IF(S55=0,0,S55/TrRoad_act!S55*100)</f>
        <v>92.735730293230716</v>
      </c>
      <c r="T85" s="98">
        <f>IF(T55=0,0,T55/TrRoad_act!T55*100)</f>
        <v>99.230433832585319</v>
      </c>
      <c r="U85" s="98">
        <f>IF(U55=0,0,U55/TrRoad_act!U55*100)</f>
        <v>89.158644443108642</v>
      </c>
      <c r="V85" s="98">
        <f>IF(V55=0,0,V55/TrRoad_act!V55*100)</f>
        <v>79.834271556058624</v>
      </c>
      <c r="W85" s="98">
        <f>IF(W55=0,0,W55/TrRoad_act!W55*100)</f>
        <v>96.73846412049005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28.157062707877042</v>
      </c>
      <c r="C88" s="29">
        <f>IF(TrRoad_act!C4=0,0,C18/TrRoad_act!C4*1000)</f>
        <v>29.025612502437173</v>
      </c>
      <c r="D88" s="29">
        <f>IF(TrRoad_act!D4=0,0,D18/TrRoad_act!D4*1000)</f>
        <v>32.265432899178464</v>
      </c>
      <c r="E88" s="29">
        <f>IF(TrRoad_act!E4=0,0,E18/TrRoad_act!E4*1000)</f>
        <v>31.263853842420843</v>
      </c>
      <c r="F88" s="29">
        <f>IF(TrRoad_act!F4=0,0,F18/TrRoad_act!F4*1000)</f>
        <v>28.913624045034314</v>
      </c>
      <c r="G88" s="29">
        <f>IF(TrRoad_act!G4=0,0,G18/TrRoad_act!G4*1000)</f>
        <v>29.949288308038689</v>
      </c>
      <c r="H88" s="29">
        <f>IF(TrRoad_act!H4=0,0,H18/TrRoad_act!H4*1000)</f>
        <v>28.737335578378183</v>
      </c>
      <c r="I88" s="29">
        <f>IF(TrRoad_act!I4=0,0,I18/TrRoad_act!I4*1000)</f>
        <v>31.16933460518311</v>
      </c>
      <c r="J88" s="29">
        <f>IF(TrRoad_act!J4=0,0,J18/TrRoad_act!J4*1000)</f>
        <v>33.125193143000125</v>
      </c>
      <c r="K88" s="29">
        <f>IF(TrRoad_act!K4=0,0,K18/TrRoad_act!K4*1000)</f>
        <v>33.218982231575403</v>
      </c>
      <c r="L88" s="29">
        <f>IF(TrRoad_act!L4=0,0,L18/TrRoad_act!L4*1000)</f>
        <v>33.435000485916703</v>
      </c>
      <c r="M88" s="29">
        <f>IF(TrRoad_act!M4=0,0,M18/TrRoad_act!M4*1000)</f>
        <v>32.647576953223442</v>
      </c>
      <c r="N88" s="29">
        <f>IF(TrRoad_act!N4=0,0,N18/TrRoad_act!N4*1000)</f>
        <v>31.876115960990077</v>
      </c>
      <c r="O88" s="29">
        <f>IF(TrRoad_act!O4=0,0,O18/TrRoad_act!O4*1000)</f>
        <v>31.787150671834429</v>
      </c>
      <c r="P88" s="29">
        <f>IF(TrRoad_act!P4=0,0,P18/TrRoad_act!P4*1000)</f>
        <v>31.443031724259011</v>
      </c>
      <c r="Q88" s="29">
        <f>IF(TrRoad_act!Q4=0,0,Q18/TrRoad_act!Q4*1000)</f>
        <v>31.473257607224976</v>
      </c>
      <c r="R88" s="29">
        <f>IF(TrRoad_act!R4=0,0,R18/TrRoad_act!R4*1000)</f>
        <v>30.891914990753932</v>
      </c>
      <c r="S88" s="29">
        <f>IF(TrRoad_act!S4=0,0,S18/TrRoad_act!S4*1000)</f>
        <v>31.417930375762335</v>
      </c>
      <c r="T88" s="29">
        <f>IF(TrRoad_act!T4=0,0,T18/TrRoad_act!T4*1000)</f>
        <v>30.099598936300456</v>
      </c>
      <c r="U88" s="29">
        <f>IF(TrRoad_act!U4=0,0,U18/TrRoad_act!U4*1000)</f>
        <v>29.694914353960041</v>
      </c>
      <c r="V88" s="29">
        <f>IF(TrRoad_act!V4=0,0,V18/TrRoad_act!V4*1000)</f>
        <v>33.200651253794632</v>
      </c>
      <c r="W88" s="29">
        <f>IF(TrRoad_act!W4=0,0,W18/TrRoad_act!W4*1000)</f>
        <v>32.680362242910391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33.729396457330175</v>
      </c>
      <c r="C89" s="152">
        <f>IF(TrRoad_act!C5=0,0,C19/TrRoad_act!C5*1000)</f>
        <v>33.726743370838058</v>
      </c>
      <c r="D89" s="152">
        <f>IF(TrRoad_act!D5=0,0,D19/TrRoad_act!D5*1000)</f>
        <v>33.731065041983456</v>
      </c>
      <c r="E89" s="152">
        <f>IF(TrRoad_act!E5=0,0,E19/TrRoad_act!E5*1000)</f>
        <v>33.709344433163245</v>
      </c>
      <c r="F89" s="152">
        <f>IF(TrRoad_act!F5=0,0,F19/TrRoad_act!F5*1000)</f>
        <v>33.671145935058256</v>
      </c>
      <c r="G89" s="152">
        <f>IF(TrRoad_act!G5=0,0,G19/TrRoad_act!G5*1000)</f>
        <v>33.696211399878131</v>
      </c>
      <c r="H89" s="152">
        <f>IF(TrRoad_act!H5=0,0,H19/TrRoad_act!H5*1000)</f>
        <v>33.697027086739624</v>
      </c>
      <c r="I89" s="152">
        <f>IF(TrRoad_act!I5=0,0,I19/TrRoad_act!I5*1000)</f>
        <v>33.533032482311008</v>
      </c>
      <c r="J89" s="152">
        <f>IF(TrRoad_act!J5=0,0,J19/TrRoad_act!J5*1000)</f>
        <v>33.339186028233129</v>
      </c>
      <c r="K89" s="152">
        <f>IF(TrRoad_act!K5=0,0,K19/TrRoad_act!K5*1000)</f>
        <v>33.086160266073009</v>
      </c>
      <c r="L89" s="152">
        <f>IF(TrRoad_act!L5=0,0,L19/TrRoad_act!L5*1000)</f>
        <v>33.036359289752276</v>
      </c>
      <c r="M89" s="152">
        <f>IF(TrRoad_act!M5=0,0,M19/TrRoad_act!M5*1000)</f>
        <v>32.937813471241405</v>
      </c>
      <c r="N89" s="152">
        <f>IF(TrRoad_act!N5=0,0,N19/TrRoad_act!N5*1000)</f>
        <v>32.999065702622396</v>
      </c>
      <c r="O89" s="152">
        <f>IF(TrRoad_act!O5=0,0,O19/TrRoad_act!O5*1000)</f>
        <v>32.796221515492569</v>
      </c>
      <c r="P89" s="152">
        <f>IF(TrRoad_act!P5=0,0,P19/TrRoad_act!P5*1000)</f>
        <v>32.519739048518758</v>
      </c>
      <c r="Q89" s="152">
        <f>IF(TrRoad_act!Q5=0,0,Q19/TrRoad_act!Q5*1000)</f>
        <v>32.198916100437827</v>
      </c>
      <c r="R89" s="152">
        <f>IF(TrRoad_act!R5=0,0,R19/TrRoad_act!R5*1000)</f>
        <v>31.945929598569698</v>
      </c>
      <c r="S89" s="152">
        <f>IF(TrRoad_act!S5=0,0,S19/TrRoad_act!S5*1000)</f>
        <v>31.751188811476926</v>
      </c>
      <c r="T89" s="152">
        <f>IF(TrRoad_act!T5=0,0,T19/TrRoad_act!T5*1000)</f>
        <v>31.560426799923118</v>
      </c>
      <c r="U89" s="152">
        <f>IF(TrRoad_act!U5=0,0,U19/TrRoad_act!U5*1000)</f>
        <v>31.392588933237015</v>
      </c>
      <c r="V89" s="152">
        <f>IF(TrRoad_act!V5=0,0,V19/TrRoad_act!V5*1000)</f>
        <v>31.281216295566885</v>
      </c>
      <c r="W89" s="152">
        <f>IF(TrRoad_act!W5=0,0,W19/TrRoad_act!W5*1000)</f>
        <v>28.680932625334574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31.535404770602543</v>
      </c>
      <c r="C90" s="116">
        <f>IF(TrRoad_act!C6=0,0,C21/TrRoad_act!C6*1000)</f>
        <v>32.931942183782247</v>
      </c>
      <c r="D90" s="116">
        <f>IF(TrRoad_act!D6=0,0,D21/TrRoad_act!D6*1000)</f>
        <v>37.310801551405596</v>
      </c>
      <c r="E90" s="116">
        <f>IF(TrRoad_act!E6=0,0,E21/TrRoad_act!E6*1000)</f>
        <v>35.173980220454872</v>
      </c>
      <c r="F90" s="116">
        <f>IF(TrRoad_act!F6=0,0,F21/TrRoad_act!F6*1000)</f>
        <v>32.612118432873203</v>
      </c>
      <c r="G90" s="116">
        <f>IF(TrRoad_act!G6=0,0,G21/TrRoad_act!G6*1000)</f>
        <v>33.799751249251415</v>
      </c>
      <c r="H90" s="116">
        <f>IF(TrRoad_act!H6=0,0,H21/TrRoad_act!H6*1000)</f>
        <v>32.169933817585836</v>
      </c>
      <c r="I90" s="116">
        <f>IF(TrRoad_act!I6=0,0,I21/TrRoad_act!I6*1000)</f>
        <v>34.246130992997209</v>
      </c>
      <c r="J90" s="116">
        <f>IF(TrRoad_act!J6=0,0,J21/TrRoad_act!J6*1000)</f>
        <v>35.452072568556183</v>
      </c>
      <c r="K90" s="116">
        <f>IF(TrRoad_act!K6=0,0,K21/TrRoad_act!K6*1000)</f>
        <v>33.508698329026949</v>
      </c>
      <c r="L90" s="116">
        <f>IF(TrRoad_act!L6=0,0,L21/TrRoad_act!L6*1000)</f>
        <v>33.708134688528403</v>
      </c>
      <c r="M90" s="116">
        <f>IF(TrRoad_act!M6=0,0,M21/TrRoad_act!M6*1000)</f>
        <v>33.37973695306254</v>
      </c>
      <c r="N90" s="116">
        <f>IF(TrRoad_act!N6=0,0,N21/TrRoad_act!N6*1000)</f>
        <v>32.440611345657807</v>
      </c>
      <c r="O90" s="116">
        <f>IF(TrRoad_act!O6=0,0,O21/TrRoad_act!O6*1000)</f>
        <v>32.29341977427341</v>
      </c>
      <c r="P90" s="116">
        <f>IF(TrRoad_act!P6=0,0,P21/TrRoad_act!P6*1000)</f>
        <v>31.900647300204746</v>
      </c>
      <c r="Q90" s="116">
        <f>IF(TrRoad_act!Q6=0,0,Q21/TrRoad_act!Q6*1000)</f>
        <v>31.979895473673455</v>
      </c>
      <c r="R90" s="116">
        <f>IF(TrRoad_act!R6=0,0,R21/TrRoad_act!R6*1000)</f>
        <v>31.931428668360525</v>
      </c>
      <c r="S90" s="116">
        <f>IF(TrRoad_act!S6=0,0,S21/TrRoad_act!S6*1000)</f>
        <v>32.224515274430381</v>
      </c>
      <c r="T90" s="116">
        <f>IF(TrRoad_act!T6=0,0,T21/TrRoad_act!T6*1000)</f>
        <v>30.744799743333868</v>
      </c>
      <c r="U90" s="116">
        <f>IF(TrRoad_act!U6=0,0,U21/TrRoad_act!U6*1000)</f>
        <v>30.109879500054163</v>
      </c>
      <c r="V90" s="116">
        <f>IF(TrRoad_act!V6=0,0,V21/TrRoad_act!V6*1000)</f>
        <v>32.252880896677027</v>
      </c>
      <c r="W90" s="116">
        <f>IF(TrRoad_act!W6=0,0,W21/TrRoad_act!W6*1000)</f>
        <v>31.027608877493886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29.90074136221881</v>
      </c>
      <c r="C91" s="87">
        <f>IF(TrRoad_act!C7=0,0,C22/TrRoad_act!C7*1000)</f>
        <v>31.849473738216982</v>
      </c>
      <c r="D91" s="87">
        <f>IF(TrRoad_act!D7=0,0,D22/TrRoad_act!D7*1000)</f>
        <v>37.793800287993697</v>
      </c>
      <c r="E91" s="87">
        <f>IF(TrRoad_act!E7=0,0,E22/TrRoad_act!E7*1000)</f>
        <v>35.32045262926529</v>
      </c>
      <c r="F91" s="87">
        <f>IF(TrRoad_act!F7=0,0,F22/TrRoad_act!F7*1000)</f>
        <v>31.782543437168332</v>
      </c>
      <c r="G91" s="87">
        <f>IF(TrRoad_act!G7=0,0,G22/TrRoad_act!G7*1000)</f>
        <v>33.208713880506153</v>
      </c>
      <c r="H91" s="87">
        <f>IF(TrRoad_act!H7=0,0,H22/TrRoad_act!H7*1000)</f>
        <v>31.057798238116781</v>
      </c>
      <c r="I91" s="87">
        <f>IF(TrRoad_act!I7=0,0,I22/TrRoad_act!I7*1000)</f>
        <v>33.436860609256577</v>
      </c>
      <c r="J91" s="87">
        <f>IF(TrRoad_act!J7=0,0,J22/TrRoad_act!J7*1000)</f>
        <v>35.700715691988364</v>
      </c>
      <c r="K91" s="87">
        <f>IF(TrRoad_act!K7=0,0,K22/TrRoad_act!K7*1000)</f>
        <v>32.977946111402126</v>
      </c>
      <c r="L91" s="87">
        <f>IF(TrRoad_act!L7=0,0,L22/TrRoad_act!L7*1000)</f>
        <v>32.717372005465208</v>
      </c>
      <c r="M91" s="87">
        <f>IF(TrRoad_act!M7=0,0,M22/TrRoad_act!M7*1000)</f>
        <v>32.066997135237159</v>
      </c>
      <c r="N91" s="87">
        <f>IF(TrRoad_act!N7=0,0,N22/TrRoad_act!N7*1000)</f>
        <v>30.829323607829316</v>
      </c>
      <c r="O91" s="87">
        <f>IF(TrRoad_act!O7=0,0,O22/TrRoad_act!O7*1000)</f>
        <v>30.600214892023001</v>
      </c>
      <c r="P91" s="87">
        <f>IF(TrRoad_act!P7=0,0,P22/TrRoad_act!P7*1000)</f>
        <v>30.368995179066506</v>
      </c>
      <c r="Q91" s="87">
        <f>IF(TrRoad_act!Q7=0,0,Q22/TrRoad_act!Q7*1000)</f>
        <v>30.628397176035545</v>
      </c>
      <c r="R91" s="87">
        <f>IF(TrRoad_act!R7=0,0,R22/TrRoad_act!R7*1000)</f>
        <v>30.821677553306166</v>
      </c>
      <c r="S91" s="87">
        <f>IF(TrRoad_act!S7=0,0,S22/TrRoad_act!S7*1000)</f>
        <v>31.088234854966192</v>
      </c>
      <c r="T91" s="87">
        <f>IF(TrRoad_act!T7=0,0,T22/TrRoad_act!T7*1000)</f>
        <v>28.699208866016825</v>
      </c>
      <c r="U91" s="87">
        <f>IF(TrRoad_act!U7=0,0,U22/TrRoad_act!U7*1000)</f>
        <v>27.941912461678239</v>
      </c>
      <c r="V91" s="87">
        <f>IF(TrRoad_act!V7=0,0,V22/TrRoad_act!V7*1000)</f>
        <v>30.104489274133535</v>
      </c>
      <c r="W91" s="87">
        <f>IF(TrRoad_act!W7=0,0,W22/TrRoad_act!W7*1000)</f>
        <v>28.878012916137845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37.045112001097621</v>
      </c>
      <c r="C92" s="87">
        <f>IF(TrRoad_act!C8=0,0,C24/TrRoad_act!C8*1000)</f>
        <v>36.057185085741274</v>
      </c>
      <c r="D92" s="87">
        <f>IF(TrRoad_act!D8=0,0,D24/TrRoad_act!D8*1000)</f>
        <v>35.987762416237508</v>
      </c>
      <c r="E92" s="87">
        <f>IF(TrRoad_act!E8=0,0,E24/TrRoad_act!E8*1000)</f>
        <v>34.824347338641587</v>
      </c>
      <c r="F92" s="87">
        <f>IF(TrRoad_act!F8=0,0,F24/TrRoad_act!F8*1000)</f>
        <v>34.49561281437736</v>
      </c>
      <c r="G92" s="87">
        <f>IF(TrRoad_act!G8=0,0,G24/TrRoad_act!G8*1000)</f>
        <v>34.826952796977878</v>
      </c>
      <c r="H92" s="87">
        <f>IF(TrRoad_act!H8=0,0,H24/TrRoad_act!H8*1000)</f>
        <v>34.771525284455727</v>
      </c>
      <c r="I92" s="87">
        <f>IF(TrRoad_act!I8=0,0,I24/TrRoad_act!I8*1000)</f>
        <v>34.878773220920429</v>
      </c>
      <c r="J92" s="87">
        <f>IF(TrRoad_act!J8=0,0,J24/TrRoad_act!J8*1000)</f>
        <v>35.027265181061544</v>
      </c>
      <c r="K92" s="87">
        <f>IF(TrRoad_act!K8=0,0,K24/TrRoad_act!K8*1000)</f>
        <v>34.540622775469764</v>
      </c>
      <c r="L92" s="87">
        <f>IF(TrRoad_act!L8=0,0,L24/TrRoad_act!L8*1000)</f>
        <v>35.490903095967212</v>
      </c>
      <c r="M92" s="87">
        <f>IF(TrRoad_act!M8=0,0,M24/TrRoad_act!M8*1000)</f>
        <v>34.91675668312849</v>
      </c>
      <c r="N92" s="87">
        <f>IF(TrRoad_act!N8=0,0,N24/TrRoad_act!N8*1000)</f>
        <v>34.469058046601411</v>
      </c>
      <c r="O92" s="87">
        <f>IF(TrRoad_act!O8=0,0,O24/TrRoad_act!O8*1000)</f>
        <v>34.600728756386111</v>
      </c>
      <c r="P92" s="87">
        <f>IF(TrRoad_act!P8=0,0,P24/TrRoad_act!P8*1000)</f>
        <v>34.486688444716407</v>
      </c>
      <c r="Q92" s="87">
        <f>IF(TrRoad_act!Q8=0,0,Q24/TrRoad_act!Q8*1000)</f>
        <v>34.007326645403921</v>
      </c>
      <c r="R92" s="87">
        <f>IF(TrRoad_act!R8=0,0,R24/TrRoad_act!R8*1000)</f>
        <v>33.504011675226884</v>
      </c>
      <c r="S92" s="87">
        <f>IF(TrRoad_act!S8=0,0,S24/TrRoad_act!S8*1000)</f>
        <v>33.802548211244911</v>
      </c>
      <c r="T92" s="87">
        <f>IF(TrRoad_act!T8=0,0,T24/TrRoad_act!T8*1000)</f>
        <v>33.764199723316217</v>
      </c>
      <c r="U92" s="87">
        <f>IF(TrRoad_act!U8=0,0,U24/TrRoad_act!U8*1000)</f>
        <v>33.167088818520867</v>
      </c>
      <c r="V92" s="87">
        <f>IF(TrRoad_act!V8=0,0,V24/TrRoad_act!V8*1000)</f>
        <v>34.89487649204721</v>
      </c>
      <c r="W92" s="87">
        <f>IF(TrRoad_act!W8=0,0,W24/TrRoad_act!W8*1000)</f>
        <v>33.356831720481743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0</v>
      </c>
      <c r="D93" s="87">
        <f>IF(TrRoad_act!D9=0,0,D26/TrRoad_act!D9*1000)</f>
        <v>0</v>
      </c>
      <c r="E93" s="87">
        <f>IF(TrRoad_act!E9=0,0,E26/TrRoad_act!E9*1000)</f>
        <v>0</v>
      </c>
      <c r="F93" s="87">
        <f>IF(TrRoad_act!F9=0,0,F26/TrRoad_act!F9*1000)</f>
        <v>0</v>
      </c>
      <c r="G93" s="87">
        <f>IF(TrRoad_act!G9=0,0,G26/TrRoad_act!G9*1000)</f>
        <v>37.429886868802804</v>
      </c>
      <c r="H93" s="87">
        <f>IF(TrRoad_act!H9=0,0,H26/TrRoad_act!H9*1000)</f>
        <v>37.646890759471255</v>
      </c>
      <c r="I93" s="87">
        <f>IF(TrRoad_act!I9=0,0,I26/TrRoad_act!I9*1000)</f>
        <v>39.286707607076899</v>
      </c>
      <c r="J93" s="87">
        <f>IF(TrRoad_act!J9=0,0,J26/TrRoad_act!J9*1000)</f>
        <v>41.494165665791932</v>
      </c>
      <c r="K93" s="87">
        <f>IF(TrRoad_act!K9=0,0,K26/TrRoad_act!K9*1000)</f>
        <v>43.385505694476123</v>
      </c>
      <c r="L93" s="87">
        <f>IF(TrRoad_act!L9=0,0,L26/TrRoad_act!L9*1000)</f>
        <v>42.307833322535146</v>
      </c>
      <c r="M93" s="87">
        <f>IF(TrRoad_act!M9=0,0,M26/TrRoad_act!M9*1000)</f>
        <v>40.425388120752416</v>
      </c>
      <c r="N93" s="87">
        <f>IF(TrRoad_act!N9=0,0,N26/TrRoad_act!N9*1000)</f>
        <v>40.246157534747745</v>
      </c>
      <c r="O93" s="87">
        <f>IF(TrRoad_act!O9=0,0,O26/TrRoad_act!O9*1000)</f>
        <v>40.612966418574302</v>
      </c>
      <c r="P93" s="87">
        <f>IF(TrRoad_act!P9=0,0,P26/TrRoad_act!P9*1000)</f>
        <v>33.621025051422819</v>
      </c>
      <c r="Q93" s="87">
        <f>IF(TrRoad_act!Q9=0,0,Q26/TrRoad_act!Q9*1000)</f>
        <v>37.149745315664404</v>
      </c>
      <c r="R93" s="87">
        <f>IF(TrRoad_act!R9=0,0,R26/TrRoad_act!R9*1000)</f>
        <v>37.856351514115033</v>
      </c>
      <c r="S93" s="87">
        <f>IF(TrRoad_act!S9=0,0,S26/TrRoad_act!S9*1000)</f>
        <v>39.748774283789984</v>
      </c>
      <c r="T93" s="87">
        <f>IF(TrRoad_act!T9=0,0,T26/TrRoad_act!T9*1000)</f>
        <v>43.562362453034602</v>
      </c>
      <c r="U93" s="87">
        <f>IF(TrRoad_act!U9=0,0,U26/TrRoad_act!U9*1000)</f>
        <v>46.563891073389918</v>
      </c>
      <c r="V93" s="87">
        <f>IF(TrRoad_act!V9=0,0,V26/TrRoad_act!V9*1000)</f>
        <v>52.531977874765708</v>
      </c>
      <c r="W93" s="87">
        <f>IF(TrRoad_act!W9=0,0,W26/TrRoad_act!W9*1000)</f>
        <v>56.793055022720026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77.765887845249154</v>
      </c>
      <c r="D94" s="87">
        <f>IF(TrRoad_act!D10=0,0,D27/TrRoad_act!D10*1000)</f>
        <v>32.722993060702549</v>
      </c>
      <c r="E94" s="87">
        <f>IF(TrRoad_act!E10=0,0,E27/TrRoad_act!E10*1000)</f>
        <v>33.282805556699003</v>
      </c>
      <c r="F94" s="87">
        <f>IF(TrRoad_act!F10=0,0,F27/TrRoad_act!F10*1000)</f>
        <v>42.333171660288386</v>
      </c>
      <c r="G94" s="87">
        <f>IF(TrRoad_act!G10=0,0,G27/TrRoad_act!G10*1000)</f>
        <v>54.875266460640589</v>
      </c>
      <c r="H94" s="87">
        <f>IF(TrRoad_act!H10=0,0,H27/TrRoad_act!H10*1000)</f>
        <v>32.175373357747446</v>
      </c>
      <c r="I94" s="87">
        <f>IF(TrRoad_act!I10=0,0,I27/TrRoad_act!I10*1000)</f>
        <v>66.669175442674927</v>
      </c>
      <c r="J94" s="87">
        <f>IF(TrRoad_act!J10=0,0,J27/TrRoad_act!J10*1000)</f>
        <v>32.278920044595125</v>
      </c>
      <c r="K94" s="87">
        <f>IF(TrRoad_act!K10=0,0,K27/TrRoad_act!K10*1000)</f>
        <v>32.114523400407784</v>
      </c>
      <c r="L94" s="87">
        <f>IF(TrRoad_act!L10=0,0,L27/TrRoad_act!L10*1000)</f>
        <v>36.394251848571024</v>
      </c>
      <c r="M94" s="87">
        <f>IF(TrRoad_act!M10=0,0,M27/TrRoad_act!M10*1000)</f>
        <v>43.161148445553948</v>
      </c>
      <c r="N94" s="87">
        <f>IF(TrRoad_act!N10=0,0,N27/TrRoad_act!N10*1000)</f>
        <v>42.217801659418221</v>
      </c>
      <c r="O94" s="87">
        <f>IF(TrRoad_act!O10=0,0,O27/TrRoad_act!O10*1000)</f>
        <v>37.769275078477492</v>
      </c>
      <c r="P94" s="87">
        <f>IF(TrRoad_act!P10=0,0,P27/TrRoad_act!P10*1000)</f>
        <v>40.662405241546509</v>
      </c>
      <c r="Q94" s="87">
        <f>IF(TrRoad_act!Q10=0,0,Q27/TrRoad_act!Q10*1000)</f>
        <v>37.478138843154277</v>
      </c>
      <c r="R94" s="87">
        <f>IF(TrRoad_act!R10=0,0,R27/TrRoad_act!R10*1000)</f>
        <v>40.041812290549736</v>
      </c>
      <c r="S94" s="87">
        <f>IF(TrRoad_act!S10=0,0,S27/TrRoad_act!S10*1000)</f>
        <v>39.582664428181921</v>
      </c>
      <c r="T94" s="87">
        <f>IF(TrRoad_act!T10=0,0,T27/TrRoad_act!T10*1000)</f>
        <v>39.205175293203673</v>
      </c>
      <c r="U94" s="87">
        <f>IF(TrRoad_act!U10=0,0,U27/TrRoad_act!U10*1000)</f>
        <v>38.48843615471349</v>
      </c>
      <c r="V94" s="87">
        <f>IF(TrRoad_act!V10=0,0,V27/TrRoad_act!V10*1000)</f>
        <v>52.350643265600141</v>
      </c>
      <c r="W94" s="87">
        <f>IF(TrRoad_act!W10=0,0,W27/TrRoad_act!W10*1000)</f>
        <v>47.725847840664748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11.912370760835827</v>
      </c>
      <c r="O95" s="87">
        <f>IF(TrRoad_act!O11=0,0,O29/TrRoad_act!O11*1000)</f>
        <v>11.916754186525129</v>
      </c>
      <c r="P95" s="87">
        <f>IF(TrRoad_act!P11=0,0,P29/TrRoad_act!P11*1000)</f>
        <v>28.340527586333504</v>
      </c>
      <c r="Q95" s="87">
        <f>IF(TrRoad_act!Q11=0,0,Q29/TrRoad_act!Q11*1000)</f>
        <v>25.866087551595399</v>
      </c>
      <c r="R95" s="87">
        <f>IF(TrRoad_act!R11=0,0,R29/TrRoad_act!R11*1000)</f>
        <v>20.669663921504554</v>
      </c>
      <c r="S95" s="87">
        <f>IF(TrRoad_act!S11=0,0,S29/TrRoad_act!S11*1000)</f>
        <v>23.296477850983081</v>
      </c>
      <c r="T95" s="87">
        <f>IF(TrRoad_act!T11=0,0,T29/TrRoad_act!T11*1000)</f>
        <v>20.121467735128693</v>
      </c>
      <c r="U95" s="87">
        <f>IF(TrRoad_act!U11=0,0,U29/TrRoad_act!U11*1000)</f>
        <v>19.682756231136576</v>
      </c>
      <c r="V95" s="87">
        <f>IF(TrRoad_act!V11=0,0,V29/TrRoad_act!V11*1000)</f>
        <v>20.175778535928359</v>
      </c>
      <c r="W95" s="87">
        <f>IF(TrRoad_act!W11=0,0,W29/TrRoad_act!W11*1000)</f>
        <v>17.512380484981609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10.001294706956113</v>
      </c>
      <c r="N96" s="87">
        <f>IF(TrRoad_act!N12=0,0,N32/TrRoad_act!N12*1000)</f>
        <v>9.9014713933881655</v>
      </c>
      <c r="O96" s="87">
        <f>IF(TrRoad_act!O12=0,0,O32/TrRoad_act!O12*1000)</f>
        <v>9.9195188024845926</v>
      </c>
      <c r="P96" s="87">
        <f>IF(TrRoad_act!P12=0,0,P32/TrRoad_act!P12*1000)</f>
        <v>9.843406328685921</v>
      </c>
      <c r="Q96" s="87">
        <f>IF(TrRoad_act!Q12=0,0,Q32/TrRoad_act!Q12*1000)</f>
        <v>10.013793853468218</v>
      </c>
      <c r="R96" s="87">
        <f>IF(TrRoad_act!R12=0,0,R32/TrRoad_act!R12*1000)</f>
        <v>9.9669654420666109</v>
      </c>
      <c r="S96" s="87">
        <f>IF(TrRoad_act!S12=0,0,S32/TrRoad_act!S12*1000)</f>
        <v>9.6263239685550772</v>
      </c>
      <c r="T96" s="87">
        <f>IF(TrRoad_act!T12=0,0,T32/TrRoad_act!T12*1000)</f>
        <v>10.04874499711795</v>
      </c>
      <c r="U96" s="87">
        <f>IF(TrRoad_act!U12=0,0,U32/TrRoad_act!U12*1000)</f>
        <v>10.24715407408601</v>
      </c>
      <c r="V96" s="87">
        <f>IF(TrRoad_act!V12=0,0,V32/TrRoad_act!V12*1000)</f>
        <v>11.204105262821983</v>
      </c>
      <c r="W96" s="87">
        <f>IF(TrRoad_act!W12=0,0,W32/TrRoad_act!W12*1000)</f>
        <v>10.896156714709715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19.444870384854294</v>
      </c>
      <c r="C97" s="116">
        <f>IF(TrRoad_act!C13=0,0,C33/TrRoad_act!C13*1000)</f>
        <v>18.829523203916878</v>
      </c>
      <c r="D97" s="116">
        <f>IF(TrRoad_act!D13=0,0,D33/TrRoad_act!D13*1000)</f>
        <v>18.630703350957717</v>
      </c>
      <c r="E97" s="116">
        <f>IF(TrRoad_act!E13=0,0,E33/TrRoad_act!E13*1000)</f>
        <v>20.00701030176219</v>
      </c>
      <c r="F97" s="116">
        <f>IF(TrRoad_act!F13=0,0,F33/TrRoad_act!F13*1000)</f>
        <v>18.29473616380422</v>
      </c>
      <c r="G97" s="116">
        <f>IF(TrRoad_act!G13=0,0,G33/TrRoad_act!G13*1000)</f>
        <v>18.274201585284448</v>
      </c>
      <c r="H97" s="116">
        <f>IF(TrRoad_act!H13=0,0,H33/TrRoad_act!H13*1000)</f>
        <v>18.285673756967185</v>
      </c>
      <c r="I97" s="116">
        <f>IF(TrRoad_act!I13=0,0,I33/TrRoad_act!I13*1000)</f>
        <v>21.905189049594753</v>
      </c>
      <c r="J97" s="116">
        <f>IF(TrRoad_act!J13=0,0,J33/TrRoad_act!J13*1000)</f>
        <v>24.877420231742505</v>
      </c>
      <c r="K97" s="116">
        <f>IF(TrRoad_act!K13=0,0,K33/TrRoad_act!K13*1000)</f>
        <v>31.796506742669468</v>
      </c>
      <c r="L97" s="116">
        <f>IF(TrRoad_act!L13=0,0,L33/TrRoad_act!L13*1000)</f>
        <v>32.047048384286903</v>
      </c>
      <c r="M97" s="116">
        <f>IF(TrRoad_act!M13=0,0,M33/TrRoad_act!M13*1000)</f>
        <v>29.04922049373382</v>
      </c>
      <c r="N97" s="116">
        <f>IF(TrRoad_act!N13=0,0,N33/TrRoad_act!N13*1000)</f>
        <v>29.058097172606065</v>
      </c>
      <c r="O97" s="116">
        <f>IF(TrRoad_act!O13=0,0,O33/TrRoad_act!O13*1000)</f>
        <v>29.154242693468479</v>
      </c>
      <c r="P97" s="116">
        <f>IF(TrRoad_act!P13=0,0,P33/TrRoad_act!P13*1000)</f>
        <v>29.092433868250168</v>
      </c>
      <c r="Q97" s="116">
        <f>IF(TrRoad_act!Q13=0,0,Q33/TrRoad_act!Q13*1000)</f>
        <v>28.858838654793725</v>
      </c>
      <c r="R97" s="116">
        <f>IF(TrRoad_act!R13=0,0,R33/TrRoad_act!R13*1000)</f>
        <v>25.957661751184432</v>
      </c>
      <c r="S97" s="116">
        <f>IF(TrRoad_act!S13=0,0,S33/TrRoad_act!S13*1000)</f>
        <v>27.583190380393987</v>
      </c>
      <c r="T97" s="116">
        <f>IF(TrRoad_act!T13=0,0,T33/TrRoad_act!T13*1000)</f>
        <v>27.129604026274343</v>
      </c>
      <c r="U97" s="116">
        <f>IF(TrRoad_act!U13=0,0,U33/TrRoad_act!U13*1000)</f>
        <v>27.74194106351537</v>
      </c>
      <c r="V97" s="116">
        <f>IF(TrRoad_act!V13=0,0,V33/TrRoad_act!V13*1000)</f>
        <v>39.545822851813341</v>
      </c>
      <c r="W97" s="116">
        <f>IF(TrRoad_act!W13=0,0,W33/TrRoad_act!W13*1000)</f>
        <v>46.510486488659211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0</v>
      </c>
      <c r="K98" s="101">
        <f>IF(TrRoad_act!K14=0,0,K34/TrRoad_act!K14*1000)</f>
        <v>0</v>
      </c>
      <c r="L98" s="101">
        <f>IF(TrRoad_act!L14=0,0,L34/TrRoad_act!L14*1000)</f>
        <v>0</v>
      </c>
      <c r="M98" s="101">
        <f>IF(TrRoad_act!M14=0,0,M34/TrRoad_act!M14*1000)</f>
        <v>0</v>
      </c>
      <c r="N98" s="101">
        <f>IF(TrRoad_act!N14=0,0,N34/TrRoad_act!N14*1000)</f>
        <v>0</v>
      </c>
      <c r="O98" s="101">
        <f>IF(TrRoad_act!O14=0,0,O34/TrRoad_act!O14*1000)</f>
        <v>0</v>
      </c>
      <c r="P98" s="101">
        <f>IF(TrRoad_act!P14=0,0,P34/TrRoad_act!P14*1000)</f>
        <v>0</v>
      </c>
      <c r="Q98" s="101">
        <f>IF(TrRoad_act!Q14=0,0,Q34/TrRoad_act!Q14*1000)</f>
        <v>0</v>
      </c>
      <c r="R98" s="101">
        <f>IF(TrRoad_act!R14=0,0,R34/TrRoad_act!R14*1000)</f>
        <v>0</v>
      </c>
      <c r="S98" s="101">
        <f>IF(TrRoad_act!S14=0,0,S34/TrRoad_act!S14*1000)</f>
        <v>0</v>
      </c>
      <c r="T98" s="101">
        <f>IF(TrRoad_act!T14=0,0,T34/TrRoad_act!T14*1000)</f>
        <v>0</v>
      </c>
      <c r="U98" s="101">
        <f>IF(TrRoad_act!U14=0,0,U34/TrRoad_act!U14*1000)</f>
        <v>0</v>
      </c>
      <c r="V98" s="101">
        <f>IF(TrRoad_act!V14=0,0,V34/TrRoad_act!V14*1000)</f>
        <v>0</v>
      </c>
      <c r="W98" s="101">
        <f>IF(TrRoad_act!W14=0,0,W34/TrRoad_act!W14*1000)</f>
        <v>0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19.444870384854294</v>
      </c>
      <c r="C99" s="101">
        <f>IF(TrRoad_act!C15=0,0,C36/TrRoad_act!C15*1000)</f>
        <v>18.829523203916878</v>
      </c>
      <c r="D99" s="101">
        <f>IF(TrRoad_act!D15=0,0,D36/TrRoad_act!D15*1000)</f>
        <v>18.630703350957717</v>
      </c>
      <c r="E99" s="101">
        <f>IF(TrRoad_act!E15=0,0,E36/TrRoad_act!E15*1000)</f>
        <v>20.00701030176219</v>
      </c>
      <c r="F99" s="101">
        <f>IF(TrRoad_act!F15=0,0,F36/TrRoad_act!F15*1000)</f>
        <v>18.29473616380422</v>
      </c>
      <c r="G99" s="101">
        <f>IF(TrRoad_act!G15=0,0,G36/TrRoad_act!G15*1000)</f>
        <v>18.274201585284448</v>
      </c>
      <c r="H99" s="101">
        <f>IF(TrRoad_act!H15=0,0,H36/TrRoad_act!H15*1000)</f>
        <v>18.285673756967185</v>
      </c>
      <c r="I99" s="101">
        <f>IF(TrRoad_act!I15=0,0,I36/TrRoad_act!I15*1000)</f>
        <v>21.905189049594753</v>
      </c>
      <c r="J99" s="101">
        <f>IF(TrRoad_act!J15=0,0,J36/TrRoad_act!J15*1000)</f>
        <v>24.877420231742505</v>
      </c>
      <c r="K99" s="101">
        <f>IF(TrRoad_act!K15=0,0,K36/TrRoad_act!K15*1000)</f>
        <v>31.796506742669468</v>
      </c>
      <c r="L99" s="101">
        <f>IF(TrRoad_act!L15=0,0,L36/TrRoad_act!L15*1000)</f>
        <v>32.286692138695877</v>
      </c>
      <c r="M99" s="101">
        <f>IF(TrRoad_act!M15=0,0,M36/TrRoad_act!M15*1000)</f>
        <v>29.571110398479707</v>
      </c>
      <c r="N99" s="101">
        <f>IF(TrRoad_act!N15=0,0,N36/TrRoad_act!N15*1000)</f>
        <v>29.581213346779681</v>
      </c>
      <c r="O99" s="101">
        <f>IF(TrRoad_act!O15=0,0,O36/TrRoad_act!O15*1000)</f>
        <v>29.688703762946457</v>
      </c>
      <c r="P99" s="101">
        <f>IF(TrRoad_act!P15=0,0,P36/TrRoad_act!P15*1000)</f>
        <v>29.805350953097065</v>
      </c>
      <c r="Q99" s="101">
        <f>IF(TrRoad_act!Q15=0,0,Q36/TrRoad_act!Q15*1000)</f>
        <v>29.736484548317165</v>
      </c>
      <c r="R99" s="101">
        <f>IF(TrRoad_act!R15=0,0,R36/TrRoad_act!R15*1000)</f>
        <v>27.225754237112895</v>
      </c>
      <c r="S99" s="101">
        <f>IF(TrRoad_act!S15=0,0,S36/TrRoad_act!S15*1000)</f>
        <v>28.935539799954302</v>
      </c>
      <c r="T99" s="101">
        <f>IF(TrRoad_act!T15=0,0,T36/TrRoad_act!T15*1000)</f>
        <v>28.602022775636019</v>
      </c>
      <c r="U99" s="101">
        <f>IF(TrRoad_act!U15=0,0,U36/TrRoad_act!U15*1000)</f>
        <v>29.100593851623053</v>
      </c>
      <c r="V99" s="101">
        <f>IF(TrRoad_act!V15=0,0,V36/TrRoad_act!V15*1000)</f>
        <v>41.640421145289046</v>
      </c>
      <c r="W99" s="101">
        <f>IF(TrRoad_act!W15=0,0,W36/TrRoad_act!W15*1000)</f>
        <v>49.099587841620028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0</v>
      </c>
      <c r="R101" s="101">
        <f>IF(TrRoad_act!R17=0,0,R39/TrRoad_act!R17*1000)</f>
        <v>10.432162514220787</v>
      </c>
      <c r="S101" s="101">
        <f>IF(TrRoad_act!S17=0,0,S39/TrRoad_act!S17*1000)</f>
        <v>16.430931270728831</v>
      </c>
      <c r="T101" s="101">
        <f>IF(TrRoad_act!T17=0,0,T39/TrRoad_act!T17*1000)</f>
        <v>11.607731478236964</v>
      </c>
      <c r="U101" s="101">
        <f>IF(TrRoad_act!U17=0,0,U39/TrRoad_act!U17*1000)</f>
        <v>23.876649567848659</v>
      </c>
      <c r="V101" s="101">
        <f>IF(TrRoad_act!V17=0,0,V39/TrRoad_act!V17*1000)</f>
        <v>45.015329800588169</v>
      </c>
      <c r="W101" s="101">
        <f>IF(TrRoad_act!W17=0,0,W39/TrRoad_act!W17*1000)</f>
        <v>51.058278962851666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17.350149899709248</v>
      </c>
      <c r="M102" s="101">
        <f>IF(TrRoad_act!M18=0,0,M41/TrRoad_act!M18*1000)</f>
        <v>16.065514812251887</v>
      </c>
      <c r="N102" s="101">
        <f>IF(TrRoad_act!N18=0,0,N41/TrRoad_act!N18*1000)</f>
        <v>16.145175837180709</v>
      </c>
      <c r="O102" s="101">
        <f>IF(TrRoad_act!O18=0,0,O41/TrRoad_act!O18*1000)</f>
        <v>16.181241059426441</v>
      </c>
      <c r="P102" s="101">
        <f>IF(TrRoad_act!P18=0,0,P41/TrRoad_act!P18*1000)</f>
        <v>16.313692845346562</v>
      </c>
      <c r="Q102" s="101">
        <f>IF(TrRoad_act!Q18=0,0,Q41/TrRoad_act!Q18*1000)</f>
        <v>16.402881812855121</v>
      </c>
      <c r="R102" s="101">
        <f>IF(TrRoad_act!R18=0,0,R41/TrRoad_act!R18*1000)</f>
        <v>14.949767678420413</v>
      </c>
      <c r="S102" s="101">
        <f>IF(TrRoad_act!S18=0,0,S41/TrRoad_act!S18*1000)</f>
        <v>15.554822704430144</v>
      </c>
      <c r="T102" s="101">
        <f>IF(TrRoad_act!T18=0,0,T41/TrRoad_act!T18*1000)</f>
        <v>15.27470296911946</v>
      </c>
      <c r="U102" s="101">
        <f>IF(TrRoad_act!U18=0,0,U41/TrRoad_act!U18*1000)</f>
        <v>15.601291795561504</v>
      </c>
      <c r="V102" s="101">
        <f>IF(TrRoad_act!V18=0,0,V41/TrRoad_act!V18*1000)</f>
        <v>22.235271672420591</v>
      </c>
      <c r="W102" s="101">
        <f>IF(TrRoad_act!W18=0,0,W41/TrRoad_act!W18*1000)</f>
        <v>25.812757152049599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43.976166288061336</v>
      </c>
      <c r="C103" s="29">
        <f>IF(TrRoad_act!C19=0,0,C42/TrRoad_act!C19*1000)</f>
        <v>41.796570832550749</v>
      </c>
      <c r="D103" s="29">
        <f>IF(TrRoad_act!D19=0,0,D42/TrRoad_act!D19*1000)</f>
        <v>61.480155529217235</v>
      </c>
      <c r="E103" s="29">
        <f>IF(TrRoad_act!E19=0,0,E42/TrRoad_act!E19*1000)</f>
        <v>46.621612857653211</v>
      </c>
      <c r="F103" s="29">
        <f>IF(TrRoad_act!F19=0,0,F42/TrRoad_act!F19*1000)</f>
        <v>48.432876941464201</v>
      </c>
      <c r="G103" s="29">
        <f>IF(TrRoad_act!G19=0,0,G42/TrRoad_act!G19*1000)</f>
        <v>60.581911119720104</v>
      </c>
      <c r="H103" s="29">
        <f>IF(TrRoad_act!H19=0,0,H42/TrRoad_act!H19*1000)</f>
        <v>68.834113717131146</v>
      </c>
      <c r="I103" s="29">
        <f>IF(TrRoad_act!I19=0,0,I42/TrRoad_act!I19*1000)</f>
        <v>67.814265177641573</v>
      </c>
      <c r="J103" s="29">
        <f>IF(TrRoad_act!J19=0,0,J42/TrRoad_act!J19*1000)</f>
        <v>72.595908035728201</v>
      </c>
      <c r="K103" s="29">
        <f>IF(TrRoad_act!K19=0,0,K42/TrRoad_act!K19*1000)</f>
        <v>66.594692724400716</v>
      </c>
      <c r="L103" s="29">
        <f>IF(TrRoad_act!L19=0,0,L42/TrRoad_act!L19*1000)</f>
        <v>88.574468547908637</v>
      </c>
      <c r="M103" s="29">
        <f>IF(TrRoad_act!M19=0,0,M42/TrRoad_act!M19*1000)</f>
        <v>85.752401881863975</v>
      </c>
      <c r="N103" s="29">
        <f>IF(TrRoad_act!N19=0,0,N42/TrRoad_act!N19*1000)</f>
        <v>80.761618700100769</v>
      </c>
      <c r="O103" s="29">
        <f>IF(TrRoad_act!O19=0,0,O42/TrRoad_act!O19*1000)</f>
        <v>80.396037638538033</v>
      </c>
      <c r="P103" s="29">
        <f>IF(TrRoad_act!P19=0,0,P42/TrRoad_act!P19*1000)</f>
        <v>75.778094066626764</v>
      </c>
      <c r="Q103" s="29">
        <f>IF(TrRoad_act!Q19=0,0,Q42/TrRoad_act!Q19*1000)</f>
        <v>69.436987525172682</v>
      </c>
      <c r="R103" s="29">
        <f>IF(TrRoad_act!R19=0,0,R42/TrRoad_act!R19*1000)</f>
        <v>77.982492749488287</v>
      </c>
      <c r="S103" s="29">
        <f>IF(TrRoad_act!S19=0,0,S42/TrRoad_act!S19*1000)</f>
        <v>89.787822720296475</v>
      </c>
      <c r="T103" s="29">
        <f>IF(TrRoad_act!T19=0,0,T42/TrRoad_act!T19*1000)</f>
        <v>89.934860509028312</v>
      </c>
      <c r="U103" s="29">
        <f>IF(TrRoad_act!U19=0,0,U42/TrRoad_act!U19*1000)</f>
        <v>86.980005136173716</v>
      </c>
      <c r="V103" s="29">
        <f>IF(TrRoad_act!V19=0,0,V42/TrRoad_act!V19*1000)</f>
        <v>84.064068657119591</v>
      </c>
      <c r="W103" s="29">
        <f>IF(TrRoad_act!W19=0,0,W42/TrRoad_act!W19*1000)</f>
        <v>90.766232380241732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948.35213838017057</v>
      </c>
      <c r="C104" s="152">
        <f>IF(TrRoad_act!C20=0,0,C43/TrRoad_act!C20*1000)</f>
        <v>963.47071926117258</v>
      </c>
      <c r="D104" s="152">
        <f>IF(TrRoad_act!D20=0,0,D43/TrRoad_act!D20*1000)</f>
        <v>1119.3426627282322</v>
      </c>
      <c r="E104" s="152">
        <f>IF(TrRoad_act!E20=0,0,E43/TrRoad_act!E20*1000)</f>
        <v>1047.3481790140497</v>
      </c>
      <c r="F104" s="152">
        <f>IF(TrRoad_act!F20=0,0,F43/TrRoad_act!F20*1000)</f>
        <v>1059.5672327550774</v>
      </c>
      <c r="G104" s="152">
        <f>IF(TrRoad_act!G20=0,0,G43/TrRoad_act!G20*1000)</f>
        <v>1086.6763431707461</v>
      </c>
      <c r="H104" s="152">
        <f>IF(TrRoad_act!H20=0,0,H43/TrRoad_act!H20*1000)</f>
        <v>1005.9347189030412</v>
      </c>
      <c r="I104" s="152">
        <f>IF(TrRoad_act!I20=0,0,I43/TrRoad_act!I20*1000)</f>
        <v>1043.5323430992612</v>
      </c>
      <c r="J104" s="152">
        <f>IF(TrRoad_act!J20=0,0,J43/TrRoad_act!J20*1000)</f>
        <v>967.54086827566596</v>
      </c>
      <c r="K104" s="152">
        <f>IF(TrRoad_act!K20=0,0,K43/TrRoad_act!K20*1000)</f>
        <v>874.66909631889826</v>
      </c>
      <c r="L104" s="152">
        <f>IF(TrRoad_act!L20=0,0,L43/TrRoad_act!L20*1000)</f>
        <v>983.86647276980671</v>
      </c>
      <c r="M104" s="152">
        <f>IF(TrRoad_act!M20=0,0,M43/TrRoad_act!M20*1000)</f>
        <v>1005.9212407525686</v>
      </c>
      <c r="N104" s="152">
        <f>IF(TrRoad_act!N20=0,0,N43/TrRoad_act!N20*1000)</f>
        <v>938.81992736841369</v>
      </c>
      <c r="O104" s="152">
        <f>IF(TrRoad_act!O20=0,0,O43/TrRoad_act!O20*1000)</f>
        <v>917.50509318025388</v>
      </c>
      <c r="P104" s="152">
        <f>IF(TrRoad_act!P20=0,0,P43/TrRoad_act!P20*1000)</f>
        <v>955.10002243048837</v>
      </c>
      <c r="Q104" s="152">
        <f>IF(TrRoad_act!Q20=0,0,Q43/TrRoad_act!Q20*1000)</f>
        <v>904.0358919210189</v>
      </c>
      <c r="R104" s="152">
        <f>IF(TrRoad_act!R20=0,0,R43/TrRoad_act!R20*1000)</f>
        <v>980.57684234789588</v>
      </c>
      <c r="S104" s="152">
        <f>IF(TrRoad_act!S20=0,0,S43/TrRoad_act!S20*1000)</f>
        <v>1041.8438921455436</v>
      </c>
      <c r="T104" s="152">
        <f>IF(TrRoad_act!T20=0,0,T43/TrRoad_act!T20*1000)</f>
        <v>1036.1967075258153</v>
      </c>
      <c r="U104" s="152">
        <f>IF(TrRoad_act!U20=0,0,U43/TrRoad_act!U20*1000)</f>
        <v>1024.8002756593787</v>
      </c>
      <c r="V104" s="152">
        <f>IF(TrRoad_act!V20=0,0,V43/TrRoad_act!V20*1000)</f>
        <v>1036.3798019738567</v>
      </c>
      <c r="W104" s="152">
        <f>IF(TrRoad_act!W20=0,0,W43/TrRoad_act!W20*1000)</f>
        <v>976.60158214998944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956.16663560817256</v>
      </c>
      <c r="C105" s="87">
        <f>IF(TrRoad_act!C21=0,0,C44/TrRoad_act!C21*1000)</f>
        <v>944.23463867012367</v>
      </c>
      <c r="D105" s="87">
        <f>IF(TrRoad_act!D21=0,0,D44/TrRoad_act!D21*1000)</f>
        <v>930.60974531206318</v>
      </c>
      <c r="E105" s="87">
        <f>IF(TrRoad_act!E21=0,0,E44/TrRoad_act!E21*1000)</f>
        <v>910.29476279252731</v>
      </c>
      <c r="F105" s="87">
        <f>IF(TrRoad_act!F21=0,0,F44/TrRoad_act!F21*1000)</f>
        <v>851.91286318185598</v>
      </c>
      <c r="G105" s="87">
        <f>IF(TrRoad_act!G21=0,0,G44/TrRoad_act!G21*1000)</f>
        <v>837.44805492339106</v>
      </c>
      <c r="H105" s="87">
        <f>IF(TrRoad_act!H21=0,0,H44/TrRoad_act!H21*1000)</f>
        <v>819.69845990272063</v>
      </c>
      <c r="I105" s="87">
        <f>IF(TrRoad_act!I21=0,0,I44/TrRoad_act!I21*1000)</f>
        <v>809.69124210628775</v>
      </c>
      <c r="J105" s="87">
        <f>IF(TrRoad_act!J21=0,0,J44/TrRoad_act!J21*1000)</f>
        <v>803.08495446296968</v>
      </c>
      <c r="K105" s="87">
        <f>IF(TrRoad_act!K21=0,0,K44/TrRoad_act!K21*1000)</f>
        <v>794.35193291599683</v>
      </c>
      <c r="L105" s="87">
        <f>IF(TrRoad_act!L21=0,0,L44/TrRoad_act!L21*1000)</f>
        <v>765.69378737897</v>
      </c>
      <c r="M105" s="87">
        <f>IF(TrRoad_act!M21=0,0,M44/TrRoad_act!M21*1000)</f>
        <v>767.28629707386415</v>
      </c>
      <c r="N105" s="87">
        <f>IF(TrRoad_act!N21=0,0,N44/TrRoad_act!N21*1000)</f>
        <v>768.99926006504234</v>
      </c>
      <c r="O105" s="87">
        <f>IF(TrRoad_act!O21=0,0,O44/TrRoad_act!O21*1000)</f>
        <v>775.64645263121554</v>
      </c>
      <c r="P105" s="87">
        <f>IF(TrRoad_act!P21=0,0,P44/TrRoad_act!P21*1000)</f>
        <v>780.44876403060721</v>
      </c>
      <c r="Q105" s="87">
        <f>IF(TrRoad_act!Q21=0,0,Q44/TrRoad_act!Q21*1000)</f>
        <v>798.30116000459043</v>
      </c>
      <c r="R105" s="87">
        <f>IF(TrRoad_act!R21=0,0,R44/TrRoad_act!R21*1000)</f>
        <v>808.08510853061773</v>
      </c>
      <c r="S105" s="87">
        <f>IF(TrRoad_act!S21=0,0,S44/TrRoad_act!S21*1000)</f>
        <v>808.84847764688197</v>
      </c>
      <c r="T105" s="87">
        <f>IF(TrRoad_act!T21=0,0,T44/TrRoad_act!T21*1000)</f>
        <v>816.11961153002699</v>
      </c>
      <c r="U105" s="87">
        <f>IF(TrRoad_act!U21=0,0,U44/TrRoad_act!U21*1000)</f>
        <v>825.93466550727123</v>
      </c>
      <c r="V105" s="87">
        <f>IF(TrRoad_act!V21=0,0,V44/TrRoad_act!V21*1000)</f>
        <v>826.12922582001431</v>
      </c>
      <c r="W105" s="87">
        <f>IF(TrRoad_act!W21=0,0,W44/TrRoad_act!W21*1000)</f>
        <v>829.16339395826026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945.23285222299796</v>
      </c>
      <c r="C106" s="87">
        <f>IF(TrRoad_act!C22=0,0,C46/TrRoad_act!C22*1000)</f>
        <v>971.13536120066533</v>
      </c>
      <c r="D106" s="87">
        <f>IF(TrRoad_act!D22=0,0,D46/TrRoad_act!D22*1000)</f>
        <v>1195.5580476026696</v>
      </c>
      <c r="E106" s="87">
        <f>IF(TrRoad_act!E22=0,0,E46/TrRoad_act!E22*1000)</f>
        <v>1102.6726277084983</v>
      </c>
      <c r="F106" s="87">
        <f>IF(TrRoad_act!F22=0,0,F46/TrRoad_act!F22*1000)</f>
        <v>1167.6584600465751</v>
      </c>
      <c r="G106" s="87">
        <f>IF(TrRoad_act!G22=0,0,G46/TrRoad_act!G22*1000)</f>
        <v>1204.1801085865761</v>
      </c>
      <c r="H106" s="87">
        <f>IF(TrRoad_act!H22=0,0,H46/TrRoad_act!H22*1000)</f>
        <v>1097.1708547699154</v>
      </c>
      <c r="I106" s="87">
        <f>IF(TrRoad_act!I22=0,0,I46/TrRoad_act!I22*1000)</f>
        <v>1147.9945662356449</v>
      </c>
      <c r="J106" s="87">
        <f>IF(TrRoad_act!J22=0,0,J46/TrRoad_act!J22*1000)</f>
        <v>1038.1953229594524</v>
      </c>
      <c r="K106" s="87">
        <f>IF(TrRoad_act!K22=0,0,K46/TrRoad_act!K22*1000)</f>
        <v>905.06260833037857</v>
      </c>
      <c r="L106" s="87">
        <f>IF(TrRoad_act!L22=0,0,L46/TrRoad_act!L22*1000)</f>
        <v>1039.9017997347864</v>
      </c>
      <c r="M106" s="87">
        <f>IF(TrRoad_act!M22=0,0,M46/TrRoad_act!M22*1000)</f>
        <v>1066.9759954056212</v>
      </c>
      <c r="N106" s="87">
        <f>IF(TrRoad_act!N22=0,0,N46/TrRoad_act!N22*1000)</f>
        <v>980.82429176949051</v>
      </c>
      <c r="O106" s="87">
        <f>IF(TrRoad_act!O22=0,0,O46/TrRoad_act!O22*1000)</f>
        <v>958.315133172787</v>
      </c>
      <c r="P106" s="87">
        <f>IF(TrRoad_act!P22=0,0,P46/TrRoad_act!P22*1000)</f>
        <v>1004.2662346094182</v>
      </c>
      <c r="Q106" s="87">
        <f>IF(TrRoad_act!Q22=0,0,Q46/TrRoad_act!Q22*1000)</f>
        <v>931.42396108793127</v>
      </c>
      <c r="R106" s="87">
        <f>IF(TrRoad_act!R22=0,0,R46/TrRoad_act!R22*1000)</f>
        <v>1043.8730019547322</v>
      </c>
      <c r="S106" s="87">
        <f>IF(TrRoad_act!S22=0,0,S46/TrRoad_act!S22*1000)</f>
        <v>1116.3719967597785</v>
      </c>
      <c r="T106" s="87">
        <f>IF(TrRoad_act!T22=0,0,T46/TrRoad_act!T22*1000)</f>
        <v>1103.0501961236455</v>
      </c>
      <c r="U106" s="87">
        <f>IF(TrRoad_act!U22=0,0,U46/TrRoad_act!U22*1000)</f>
        <v>1072.4526531293241</v>
      </c>
      <c r="V106" s="87">
        <f>IF(TrRoad_act!V22=0,0,V46/TrRoad_act!V22*1000)</f>
        <v>1085.2185478272618</v>
      </c>
      <c r="W106" s="87">
        <f>IF(TrRoad_act!W22=0,0,W46/TrRoad_act!W22*1000)</f>
        <v>1007.5914019021261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1224.6887529211158</v>
      </c>
      <c r="O107" s="87">
        <f>IF(TrRoad_act!O23=0,0,O48/TrRoad_act!O23*1000)</f>
        <v>991.0470582765173</v>
      </c>
      <c r="P107" s="87">
        <f>IF(TrRoad_act!P23=0,0,P48/TrRoad_act!P23*1000)</f>
        <v>1438.4274151960103</v>
      </c>
      <c r="Q107" s="87">
        <f>IF(TrRoad_act!Q23=0,0,Q48/TrRoad_act!Q23*1000)</f>
        <v>1440.7827974231395</v>
      </c>
      <c r="R107" s="87">
        <f>IF(TrRoad_act!R23=0,0,R48/TrRoad_act!R23*1000)</f>
        <v>1440.0083967914791</v>
      </c>
      <c r="S107" s="87">
        <f>IF(TrRoad_act!S23=0,0,S48/TrRoad_act!S23*1000)</f>
        <v>1427.4004286445206</v>
      </c>
      <c r="T107" s="87">
        <f>IF(TrRoad_act!T23=0,0,T48/TrRoad_act!T23*1000)</f>
        <v>1403.0895810477268</v>
      </c>
      <c r="U107" s="87">
        <f>IF(TrRoad_act!U23=0,0,U48/TrRoad_act!U23*1000)</f>
        <v>1373.6546771542082</v>
      </c>
      <c r="V107" s="87">
        <f>IF(TrRoad_act!V23=0,0,V48/TrRoad_act!V23*1000)</f>
        <v>1361.5911170053205</v>
      </c>
      <c r="W107" s="87">
        <f>IF(TrRoad_act!W23=0,0,W48/TrRoad_act!W23*1000)</f>
        <v>1358.2673688568839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1160.5212264782897</v>
      </c>
      <c r="O108" s="87">
        <f>IF(TrRoad_act!O24=0,0,O49/TrRoad_act!O24*1000)</f>
        <v>1199.638888241793</v>
      </c>
      <c r="P108" s="87">
        <f>IF(TrRoad_act!P24=0,0,P49/TrRoad_act!P24*1000)</f>
        <v>1174.6942736189881</v>
      </c>
      <c r="Q108" s="87">
        <f>IF(TrRoad_act!Q24=0,0,Q49/TrRoad_act!Q24*1000)</f>
        <v>1088.0434467496123</v>
      </c>
      <c r="R108" s="87">
        <f>IF(TrRoad_act!R24=0,0,R49/TrRoad_act!R24*1000)</f>
        <v>1631.5839729011886</v>
      </c>
      <c r="S108" s="87">
        <f>IF(TrRoad_act!S24=0,0,S49/TrRoad_act!S24*1000)</f>
        <v>1608.9611037467751</v>
      </c>
      <c r="T108" s="87">
        <f>IF(TrRoad_act!T24=0,0,T49/TrRoad_act!T24*1000)</f>
        <v>1509.0827589601379</v>
      </c>
      <c r="U108" s="87">
        <f>IF(TrRoad_act!U24=0,0,U49/TrRoad_act!U24*1000)</f>
        <v>1511.5817767284379</v>
      </c>
      <c r="V108" s="87">
        <f>IF(TrRoad_act!V24=0,0,V49/TrRoad_act!V24*1000)</f>
        <v>1809.3750862967088</v>
      </c>
      <c r="W108" s="87">
        <f>IF(TrRoad_act!W24=0,0,W49/TrRoad_act!W24*1000)</f>
        <v>1771.5571853716322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0</v>
      </c>
      <c r="O109" s="87">
        <f>IF(TrRoad_act!O25=0,0,O51/TrRoad_act!O25*1000)</f>
        <v>207.1627652189469</v>
      </c>
      <c r="P109" s="87">
        <f>IF(TrRoad_act!P25=0,0,P51/TrRoad_act!P25*1000)</f>
        <v>212.50038554324976</v>
      </c>
      <c r="Q109" s="87">
        <f>IF(TrRoad_act!Q25=0,0,Q51/TrRoad_act!Q25*1000)</f>
        <v>225.69707153703911</v>
      </c>
      <c r="R109" s="87">
        <f>IF(TrRoad_act!R25=0,0,R51/TrRoad_act!R25*1000)</f>
        <v>233.50151057230244</v>
      </c>
      <c r="S109" s="87">
        <f>IF(TrRoad_act!S25=0,0,S51/TrRoad_act!S25*1000)</f>
        <v>233.84013309887516</v>
      </c>
      <c r="T109" s="87">
        <f>IF(TrRoad_act!T25=0,0,T51/TrRoad_act!T25*1000)</f>
        <v>247.5086750242705</v>
      </c>
      <c r="U109" s="87">
        <f>IF(TrRoad_act!U25=0,0,U51/TrRoad_act!U25*1000)</f>
        <v>252.30170965300425</v>
      </c>
      <c r="V109" s="87">
        <f>IF(TrRoad_act!V25=0,0,V51/TrRoad_act!V25*1000)</f>
        <v>257.20467987245905</v>
      </c>
      <c r="W109" s="87">
        <f>IF(TrRoad_act!W25=0,0,W51/TrRoad_act!W25*1000)</f>
        <v>273.5703749143434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24.234872357589897</v>
      </c>
      <c r="C110" s="116">
        <f>IF(TrRoad_act!C26=0,0,C52/TrRoad_act!C26*1000)</f>
        <v>22.391129453227993</v>
      </c>
      <c r="D110" s="116">
        <f>IF(TrRoad_act!D26=0,0,D52/TrRoad_act!D26*1000)</f>
        <v>38.752890533720262</v>
      </c>
      <c r="E110" s="116">
        <f>IF(TrRoad_act!E26=0,0,E52/TrRoad_act!E26*1000)</f>
        <v>25.695966127790879</v>
      </c>
      <c r="F110" s="116">
        <f>IF(TrRoad_act!F26=0,0,F52/TrRoad_act!F26*1000)</f>
        <v>28.072945348901357</v>
      </c>
      <c r="G110" s="116">
        <f>IF(TrRoad_act!G26=0,0,G52/TrRoad_act!G26*1000)</f>
        <v>38.951794304164444</v>
      </c>
      <c r="H110" s="116">
        <f>IF(TrRoad_act!H26=0,0,H52/TrRoad_act!H26*1000)</f>
        <v>48.813068589400302</v>
      </c>
      <c r="I110" s="116">
        <f>IF(TrRoad_act!I26=0,0,I52/TrRoad_act!I26*1000)</f>
        <v>47.251197378776332</v>
      </c>
      <c r="J110" s="116">
        <f>IF(TrRoad_act!J26=0,0,J52/TrRoad_act!J26*1000)</f>
        <v>53.153668283283551</v>
      </c>
      <c r="K110" s="116">
        <f>IF(TrRoad_act!K26=0,0,K52/TrRoad_act!K26*1000)</f>
        <v>45.651532738545406</v>
      </c>
      <c r="L110" s="116">
        <f>IF(TrRoad_act!L26=0,0,L52/TrRoad_act!L26*1000)</f>
        <v>64.837510656247957</v>
      </c>
      <c r="M110" s="116">
        <f>IF(TrRoad_act!M26=0,0,M52/TrRoad_act!M26*1000)</f>
        <v>61.031207447384148</v>
      </c>
      <c r="N110" s="116">
        <f>IF(TrRoad_act!N26=0,0,N52/TrRoad_act!N26*1000)</f>
        <v>57.114116756575363</v>
      </c>
      <c r="O110" s="116">
        <f>IF(TrRoad_act!O26=0,0,O52/TrRoad_act!O26*1000)</f>
        <v>59.770042834477486</v>
      </c>
      <c r="P110" s="116">
        <f>IF(TrRoad_act!P26=0,0,P52/TrRoad_act!P26*1000)</f>
        <v>57.789194076902582</v>
      </c>
      <c r="Q110" s="116">
        <f>IF(TrRoad_act!Q26=0,0,Q52/TrRoad_act!Q26*1000)</f>
        <v>50.961932744187386</v>
      </c>
      <c r="R110" s="116">
        <f>IF(TrRoad_act!R26=0,0,R52/TrRoad_act!R26*1000)</f>
        <v>60.826169918218874</v>
      </c>
      <c r="S110" s="116">
        <f>IF(TrRoad_act!S26=0,0,S52/TrRoad_act!S26*1000)</f>
        <v>73.051283502999297</v>
      </c>
      <c r="T110" s="116">
        <f>IF(TrRoad_act!T26=0,0,T52/TrRoad_act!T26*1000)</f>
        <v>73.666519191175595</v>
      </c>
      <c r="U110" s="116">
        <f>IF(TrRoad_act!U26=0,0,U52/TrRoad_act!U26*1000)</f>
        <v>71.436586044878482</v>
      </c>
      <c r="V110" s="116">
        <f>IF(TrRoad_act!V26=0,0,V52/TrRoad_act!V26*1000)</f>
        <v>67.362373981389936</v>
      </c>
      <c r="W110" s="116">
        <f>IF(TrRoad_act!W26=0,0,W52/TrRoad_act!W26*1000)</f>
        <v>75.049120717976095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22.310305144934198</v>
      </c>
      <c r="C111" s="101">
        <f>IF(TrRoad_act!C27=0,0,C53/TrRoad_act!C27*1000)</f>
        <v>22.383537456468506</v>
      </c>
      <c r="D111" s="101">
        <f>IF(TrRoad_act!D27=0,0,D53/TrRoad_act!D27*1000)</f>
        <v>38.632222302153664</v>
      </c>
      <c r="E111" s="101">
        <f>IF(TrRoad_act!E27=0,0,E53/TrRoad_act!E27*1000)</f>
        <v>35.661723364223754</v>
      </c>
      <c r="F111" s="101">
        <f>IF(TrRoad_act!F27=0,0,F53/TrRoad_act!F27*1000)</f>
        <v>38.081462621886047</v>
      </c>
      <c r="G111" s="101">
        <f>IF(TrRoad_act!G27=0,0,G53/TrRoad_act!G27*1000)</f>
        <v>42.688254760909665</v>
      </c>
      <c r="H111" s="101">
        <f>IF(TrRoad_act!H27=0,0,H53/TrRoad_act!H27*1000)</f>
        <v>53.893857859188174</v>
      </c>
      <c r="I111" s="101">
        <f>IF(TrRoad_act!I27=0,0,I53/TrRoad_act!I27*1000)</f>
        <v>54.157888792317358</v>
      </c>
      <c r="J111" s="101">
        <f>IF(TrRoad_act!J27=0,0,J53/TrRoad_act!J27*1000)</f>
        <v>60.820439974453485</v>
      </c>
      <c r="K111" s="101">
        <f>IF(TrRoad_act!K27=0,0,K53/TrRoad_act!K27*1000)</f>
        <v>56.632807928021094</v>
      </c>
      <c r="L111" s="101">
        <f>IF(TrRoad_act!L27=0,0,L53/TrRoad_act!L27*1000)</f>
        <v>82.944377174890462</v>
      </c>
      <c r="M111" s="101">
        <f>IF(TrRoad_act!M27=0,0,M53/TrRoad_act!M27*1000)</f>
        <v>85.978087309073459</v>
      </c>
      <c r="N111" s="101">
        <f>IF(TrRoad_act!N27=0,0,N53/TrRoad_act!N27*1000)</f>
        <v>77.696678056973937</v>
      </c>
      <c r="O111" s="101">
        <f>IF(TrRoad_act!O27=0,0,O53/TrRoad_act!O27*1000)</f>
        <v>84.188426176552042</v>
      </c>
      <c r="P111" s="101">
        <f>IF(TrRoad_act!P27=0,0,P53/TrRoad_act!P27*1000)</f>
        <v>83.380229371629227</v>
      </c>
      <c r="Q111" s="101">
        <f>IF(TrRoad_act!Q27=0,0,Q53/TrRoad_act!Q27*1000)</f>
        <v>73.432632986844339</v>
      </c>
      <c r="R111" s="101">
        <f>IF(TrRoad_act!R27=0,0,R53/TrRoad_act!R27*1000)</f>
        <v>84.063739384678286</v>
      </c>
      <c r="S111" s="101">
        <f>IF(TrRoad_act!S27=0,0,S53/TrRoad_act!S27*1000)</f>
        <v>84.228013382713996</v>
      </c>
      <c r="T111" s="101">
        <f>IF(TrRoad_act!T27=0,0,T53/TrRoad_act!T27*1000)</f>
        <v>79.199839737524087</v>
      </c>
      <c r="U111" s="101">
        <f>IF(TrRoad_act!U27=0,0,U53/TrRoad_act!U27*1000)</f>
        <v>84.198480721793558</v>
      </c>
      <c r="V111" s="101">
        <f>IF(TrRoad_act!V27=0,0,V53/TrRoad_act!V27*1000)</f>
        <v>82.608608453465308</v>
      </c>
      <c r="W111" s="101">
        <f>IF(TrRoad_act!W27=0,0,W53/TrRoad_act!W27*1000)</f>
        <v>85.029281491125786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26.982538497044036</v>
      </c>
      <c r="C112" s="88">
        <f>IF(TrRoad_act!C28=0,0,C55/TrRoad_act!C28*1000)</f>
        <v>22.401772260433663</v>
      </c>
      <c r="D112" s="88">
        <f>IF(TrRoad_act!D28=0,0,D55/TrRoad_act!D28*1000)</f>
        <v>38.903682327323473</v>
      </c>
      <c r="E112" s="88">
        <f>IF(TrRoad_act!E28=0,0,E55/TrRoad_act!E28*1000)</f>
        <v>12.990483308229294</v>
      </c>
      <c r="F112" s="88">
        <f>IF(TrRoad_act!F28=0,0,F55/TrRoad_act!F28*1000)</f>
        <v>16.619126470481817</v>
      </c>
      <c r="G112" s="88">
        <f>IF(TrRoad_act!G28=0,0,G55/TrRoad_act!G28*1000)</f>
        <v>34.671600488322944</v>
      </c>
      <c r="H112" s="88">
        <f>IF(TrRoad_act!H28=0,0,H55/TrRoad_act!H28*1000)</f>
        <v>43.725649991700976</v>
      </c>
      <c r="I112" s="88">
        <f>IF(TrRoad_act!I28=0,0,I55/TrRoad_act!I28*1000)</f>
        <v>41.324980617238175</v>
      </c>
      <c r="J112" s="88">
        <f>IF(TrRoad_act!J28=0,0,J55/TrRoad_act!J28*1000)</f>
        <v>45.528576544146922</v>
      </c>
      <c r="K112" s="88">
        <f>IF(TrRoad_act!K28=0,0,K55/TrRoad_act!K28*1000)</f>
        <v>35.696603062524808</v>
      </c>
      <c r="L112" s="88">
        <f>IF(TrRoad_act!L28=0,0,L55/TrRoad_act!L28*1000)</f>
        <v>50.530274054772946</v>
      </c>
      <c r="M112" s="88">
        <f>IF(TrRoad_act!M28=0,0,M55/TrRoad_act!M28*1000)</f>
        <v>43.659675192835785</v>
      </c>
      <c r="N112" s="88">
        <f>IF(TrRoad_act!N28=0,0,N55/TrRoad_act!N28*1000)</f>
        <v>42.460448638242006</v>
      </c>
      <c r="O112" s="88">
        <f>IF(TrRoad_act!O28=0,0,O55/TrRoad_act!O28*1000)</f>
        <v>45.340227534525191</v>
      </c>
      <c r="P112" s="88">
        <f>IF(TrRoad_act!P28=0,0,P55/TrRoad_act!P28*1000)</f>
        <v>41.260636964591427</v>
      </c>
      <c r="Q112" s="88">
        <f>IF(TrRoad_act!Q28=0,0,Q55/TrRoad_act!Q28*1000)</f>
        <v>37.275933031202243</v>
      </c>
      <c r="R112" s="88">
        <f>IF(TrRoad_act!R28=0,0,R55/TrRoad_act!R28*1000)</f>
        <v>46.485732932495772</v>
      </c>
      <c r="S112" s="88">
        <f>IF(TrRoad_act!S28=0,0,S55/TrRoad_act!S28*1000)</f>
        <v>66.005670932671094</v>
      </c>
      <c r="T112" s="88">
        <f>IF(TrRoad_act!T28=0,0,T55/TrRoad_act!T28*1000)</f>
        <v>70.09793239652268</v>
      </c>
      <c r="U112" s="88">
        <f>IF(TrRoad_act!U28=0,0,U55/TrRoad_act!U28*1000)</f>
        <v>63.22396879725575</v>
      </c>
      <c r="V112" s="88">
        <f>IF(TrRoad_act!V28=0,0,V55/TrRoad_act!V28*1000)</f>
        <v>57.489362516119783</v>
      </c>
      <c r="W112" s="88">
        <f>IF(TrRoad_act!W28=0,0,W55/TrRoad_act!W28*1000)</f>
        <v>68.898238393032173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44.447369120556779</v>
      </c>
      <c r="C116" s="152">
        <f>IF(C19=0,0,1000000*C19/TrRoad_act!C59)</f>
        <v>45.906969088210666</v>
      </c>
      <c r="D116" s="152">
        <f>IF(D19=0,0,1000000*D19/TrRoad_act!D59)</f>
        <v>39.163347362178961</v>
      </c>
      <c r="E116" s="152">
        <f>IF(E19=0,0,1000000*E19/TrRoad_act!E59)</f>
        <v>39.181580117283893</v>
      </c>
      <c r="F116" s="152">
        <f>IF(F19=0,0,1000000*F19/TrRoad_act!F59)</f>
        <v>38.72313992044235</v>
      </c>
      <c r="G116" s="152">
        <f>IF(G19=0,0,1000000*G19/TrRoad_act!G59)</f>
        <v>39.08835970942733</v>
      </c>
      <c r="H116" s="152">
        <f>IF(H19=0,0,1000000*H19/TrRoad_act!H59)</f>
        <v>39.323234176665466</v>
      </c>
      <c r="I116" s="152">
        <f>IF(I19=0,0,1000000*I19/TrRoad_act!I59)</f>
        <v>39.013304780378782</v>
      </c>
      <c r="J116" s="152">
        <f>IF(J19=0,0,1000000*J19/TrRoad_act!J59)</f>
        <v>38.401274734545375</v>
      </c>
      <c r="K116" s="152">
        <f>IF(K19=0,0,1000000*K19/TrRoad_act!K59)</f>
        <v>28.702728650477521</v>
      </c>
      <c r="L116" s="152">
        <f>IF(L19=0,0,1000000*L19/TrRoad_act!L59)</f>
        <v>24.498507861702254</v>
      </c>
      <c r="M116" s="152">
        <f>IF(M19=0,0,1000000*M19/TrRoad_act!M59)</f>
        <v>27.67557110283057</v>
      </c>
      <c r="N116" s="152">
        <f>IF(N19=0,0,1000000*N19/TrRoad_act!N59)</f>
        <v>30.435250212939877</v>
      </c>
      <c r="O116" s="152">
        <f>IF(O19=0,0,1000000*O19/TrRoad_act!O59)</f>
        <v>29.082758240124676</v>
      </c>
      <c r="P116" s="152">
        <f>IF(P19=0,0,1000000*P19/TrRoad_act!P59)</f>
        <v>30.218730932597879</v>
      </c>
      <c r="Q116" s="152">
        <f>IF(Q19=0,0,1000000*Q19/TrRoad_act!Q59)</f>
        <v>31.263039702259906</v>
      </c>
      <c r="R116" s="152">
        <f>IF(R19=0,0,1000000*R19/TrRoad_act!R59)</f>
        <v>31.602399452970175</v>
      </c>
      <c r="S116" s="152">
        <f>IF(S19=0,0,1000000*S19/TrRoad_act!S59)</f>
        <v>28.349803988945492</v>
      </c>
      <c r="T116" s="152">
        <f>IF(T19=0,0,1000000*T19/TrRoad_act!T59)</f>
        <v>25.747445194312231</v>
      </c>
      <c r="U116" s="152">
        <f>IF(U19=0,0,1000000*U19/TrRoad_act!U59)</f>
        <v>26.127074755544243</v>
      </c>
      <c r="V116" s="152">
        <f>IF(V19=0,0,1000000*V19/TrRoad_act!V59)</f>
        <v>22.418768743913883</v>
      </c>
      <c r="W116" s="152">
        <f>IF(W19=0,0,1000000*W19/TrRoad_act!W59)</f>
        <v>20.506938969522203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592.22312098237978</v>
      </c>
      <c r="C117" s="116">
        <f>IF(C21=0,0,1000000*C21/TrRoad_act!C60)</f>
        <v>612.7868202143145</v>
      </c>
      <c r="D117" s="116">
        <f>IF(D21=0,0,1000000*D21/TrRoad_act!D60)</f>
        <v>702.35074319919295</v>
      </c>
      <c r="E117" s="116">
        <f>IF(E21=0,0,1000000*E21/TrRoad_act!E60)</f>
        <v>654.20179699214975</v>
      </c>
      <c r="F117" s="116">
        <f>IF(F21=0,0,1000000*F21/TrRoad_act!F60)</f>
        <v>631.15985549904497</v>
      </c>
      <c r="G117" s="116">
        <f>IF(G21=0,0,1000000*G21/TrRoad_act!G60)</f>
        <v>669.51146599279321</v>
      </c>
      <c r="H117" s="116">
        <f>IF(H21=0,0,1000000*H21/TrRoad_act!H60)</f>
        <v>635.36722173575845</v>
      </c>
      <c r="I117" s="116">
        <f>IF(I21=0,0,1000000*I21/TrRoad_act!I60)</f>
        <v>620.8088346483496</v>
      </c>
      <c r="J117" s="116">
        <f>IF(J21=0,0,1000000*J21/TrRoad_act!J60)</f>
        <v>605.71216518416895</v>
      </c>
      <c r="K117" s="116">
        <f>IF(K21=0,0,1000000*K21/TrRoad_act!K60)</f>
        <v>557.12731041613188</v>
      </c>
      <c r="L117" s="116">
        <f>IF(L21=0,0,1000000*L21/TrRoad_act!L60)</f>
        <v>542.84341969483205</v>
      </c>
      <c r="M117" s="116">
        <f>IF(M21=0,0,1000000*M21/TrRoad_act!M60)</f>
        <v>513.05149914651145</v>
      </c>
      <c r="N117" s="116">
        <f>IF(N21=0,0,1000000*N21/TrRoad_act!N60)</f>
        <v>479.00046957569828</v>
      </c>
      <c r="O117" s="116">
        <f>IF(O21=0,0,1000000*O21/TrRoad_act!O60)</f>
        <v>466.51076758796978</v>
      </c>
      <c r="P117" s="116">
        <f>IF(P21=0,0,1000000*P21/TrRoad_act!P60)</f>
        <v>446.02360609519968</v>
      </c>
      <c r="Q117" s="116">
        <f>IF(Q21=0,0,1000000*Q21/TrRoad_act!Q60)</f>
        <v>432.73850068156963</v>
      </c>
      <c r="R117" s="116">
        <f>IF(R21=0,0,1000000*R21/TrRoad_act!R60)</f>
        <v>418.91513818742408</v>
      </c>
      <c r="S117" s="116">
        <f>IF(S21=0,0,1000000*S21/TrRoad_act!S60)</f>
        <v>407.6048941720037</v>
      </c>
      <c r="T117" s="116">
        <f>IF(T21=0,0,1000000*T21/TrRoad_act!T60)</f>
        <v>376.89265401190977</v>
      </c>
      <c r="U117" s="116">
        <f>IF(U21=0,0,1000000*U21/TrRoad_act!U60)</f>
        <v>359.97350900913148</v>
      </c>
      <c r="V117" s="116">
        <f>IF(V21=0,0,1000000*V21/TrRoad_act!V60)</f>
        <v>328.18719626998552</v>
      </c>
      <c r="W117" s="116">
        <f>IF(W21=0,0,1000000*W21/TrRoad_act!W60)</f>
        <v>331.83527257484343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531.17834897564614</v>
      </c>
      <c r="C118" s="87">
        <f>IF(C22=0,0,1000000*C22/TrRoad_act!C61)</f>
        <v>559.94095866177906</v>
      </c>
      <c r="D118" s="87">
        <f>IF(D22=0,0,1000000*D22/TrRoad_act!D61)</f>
        <v>668.51268970704871</v>
      </c>
      <c r="E118" s="87">
        <f>IF(E22=0,0,1000000*E22/TrRoad_act!E61)</f>
        <v>613.0837742257595</v>
      </c>
      <c r="F118" s="87">
        <f>IF(F22=0,0,1000000*F22/TrRoad_act!F61)</f>
        <v>576.00319705238553</v>
      </c>
      <c r="G118" s="87">
        <f>IF(G22=0,0,1000000*G22/TrRoad_act!G61)</f>
        <v>615.52147866603264</v>
      </c>
      <c r="H118" s="87">
        <f>IF(H22=0,0,1000000*H22/TrRoad_act!H61)</f>
        <v>571.03597475298886</v>
      </c>
      <c r="I118" s="87">
        <f>IF(I22=0,0,1000000*I22/TrRoad_act!I61)</f>
        <v>550.19228878613569</v>
      </c>
      <c r="J118" s="87">
        <f>IF(J22=0,0,1000000*J22/TrRoad_act!J61)</f>
        <v>542.17122219916325</v>
      </c>
      <c r="K118" s="87">
        <f>IF(K22=0,0,1000000*K22/TrRoad_act!K61)</f>
        <v>483.23696779115318</v>
      </c>
      <c r="L118" s="87">
        <f>IF(L22=0,0,1000000*L22/TrRoad_act!L61)</f>
        <v>463.3010737837821</v>
      </c>
      <c r="M118" s="87">
        <f>IF(M22=0,0,1000000*M22/TrRoad_act!M61)</f>
        <v>427.63206736505651</v>
      </c>
      <c r="N118" s="87">
        <f>IF(N22=0,0,1000000*N22/TrRoad_act!N61)</f>
        <v>395.10680324384936</v>
      </c>
      <c r="O118" s="87">
        <f>IF(O22=0,0,1000000*O22/TrRoad_act!O61)</f>
        <v>387.0499310149529</v>
      </c>
      <c r="P118" s="87">
        <f>IF(P22=0,0,1000000*P22/TrRoad_act!P61)</f>
        <v>373.63471988700923</v>
      </c>
      <c r="Q118" s="87">
        <f>IF(Q22=0,0,1000000*Q22/TrRoad_act!Q61)</f>
        <v>367.16361626209391</v>
      </c>
      <c r="R118" s="87">
        <f>IF(R22=0,0,1000000*R22/TrRoad_act!R61)</f>
        <v>357.4306607527638</v>
      </c>
      <c r="S118" s="87">
        <f>IF(S22=0,0,1000000*S22/TrRoad_act!S61)</f>
        <v>345.75685412512132</v>
      </c>
      <c r="T118" s="87">
        <f>IF(T22=0,0,1000000*T22/TrRoad_act!T61)</f>
        <v>307.37476533948922</v>
      </c>
      <c r="U118" s="87">
        <f>IF(U22=0,0,1000000*U22/TrRoad_act!U61)</f>
        <v>289.91999056440028</v>
      </c>
      <c r="V118" s="87">
        <f>IF(V22=0,0,1000000*V22/TrRoad_act!V61)</f>
        <v>263.58029426822156</v>
      </c>
      <c r="W118" s="87">
        <f>IF(W22=0,0,1000000*W22/TrRoad_act!W61)</f>
        <v>263.54251756996166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861.60425047639217</v>
      </c>
      <c r="C119" s="87">
        <f>IF(C24=0,0,1000000*C24/TrRoad_act!C62)</f>
        <v>824.53441943527798</v>
      </c>
      <c r="D119" s="87">
        <f>IF(D24=0,0,1000000*D24/TrRoad_act!D62)</f>
        <v>826.52309817380274</v>
      </c>
      <c r="E119" s="87">
        <f>IF(E24=0,0,1000000*E24/TrRoad_act!E62)</f>
        <v>797.81248323006366</v>
      </c>
      <c r="F119" s="87">
        <f>IF(F24=0,0,1000000*F24/TrRoad_act!F62)</f>
        <v>805.58875331969648</v>
      </c>
      <c r="G119" s="87">
        <f>IF(G24=0,0,1000000*G24/TrRoad_act!G62)</f>
        <v>830.60809815318532</v>
      </c>
      <c r="H119" s="87">
        <f>IF(H24=0,0,1000000*H24/TrRoad_act!H62)</f>
        <v>833.22969529263685</v>
      </c>
      <c r="I119" s="87">
        <f>IF(I24=0,0,1000000*I24/TrRoad_act!I62)</f>
        <v>809.92822958224053</v>
      </c>
      <c r="J119" s="87">
        <f>IF(J24=0,0,1000000*J24/TrRoad_act!J62)</f>
        <v>801.10148429425669</v>
      </c>
      <c r="K119" s="87">
        <f>IF(K24=0,0,1000000*K24/TrRoad_act!K62)</f>
        <v>777.63295314213565</v>
      </c>
      <c r="L119" s="87">
        <f>IF(L24=0,0,1000000*L24/TrRoad_act!L62)</f>
        <v>779.80784311572745</v>
      </c>
      <c r="M119" s="87">
        <f>IF(M24=0,0,1000000*M24/TrRoad_act!M62)</f>
        <v>744.60538448904254</v>
      </c>
      <c r="N119" s="87">
        <f>IF(N24=0,0,1000000*N24/TrRoad_act!N62)</f>
        <v>706.41551783693797</v>
      </c>
      <c r="O119" s="87">
        <f>IF(O24=0,0,1000000*O24/TrRoad_act!O62)</f>
        <v>685.99648266555016</v>
      </c>
      <c r="P119" s="87">
        <f>IF(P24=0,0,1000000*P24/TrRoad_act!P62)</f>
        <v>651.89288777343609</v>
      </c>
      <c r="Q119" s="87">
        <f>IF(Q24=0,0,1000000*Q24/TrRoad_act!Q62)</f>
        <v>613.9452277821681</v>
      </c>
      <c r="R119" s="87">
        <f>IF(R24=0,0,1000000*R24/TrRoad_act!R62)</f>
        <v>596.95320523304304</v>
      </c>
      <c r="S119" s="87">
        <f>IF(S24=0,0,1000000*S24/TrRoad_act!S62)</f>
        <v>589.27538438741851</v>
      </c>
      <c r="T119" s="87">
        <f>IF(T24=0,0,1000000*T24/TrRoad_act!T62)</f>
        <v>578.27584239798159</v>
      </c>
      <c r="U119" s="87">
        <f>IF(U24=0,0,1000000*U24/TrRoad_act!U62)</f>
        <v>561.43033068465456</v>
      </c>
      <c r="V119" s="87">
        <f>IF(V24=0,0,1000000*V24/TrRoad_act!V62)</f>
        <v>508.50590765308181</v>
      </c>
      <c r="W119" s="87">
        <f>IF(W24=0,0,1000000*W24/TrRoad_act!W62)</f>
        <v>516.90058033339835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0</v>
      </c>
      <c r="D120" s="87">
        <f>IF(D26=0,0,1000000*D26/TrRoad_act!D63)</f>
        <v>0</v>
      </c>
      <c r="E120" s="87">
        <f>IF(E26=0,0,1000000*E26/TrRoad_act!E63)</f>
        <v>0</v>
      </c>
      <c r="F120" s="87">
        <f>IF(F26=0,0,1000000*F26/TrRoad_act!F63)</f>
        <v>0</v>
      </c>
      <c r="G120" s="87">
        <f>IF(G26=0,0,1000000*G26/TrRoad_act!G63)</f>
        <v>878.96818572656889</v>
      </c>
      <c r="H120" s="87">
        <f>IF(H26=0,0,1000000*H26/TrRoad_act!H63)</f>
        <v>878.26557326795444</v>
      </c>
      <c r="I120" s="87">
        <f>IF(I26=0,0,1000000*I26/TrRoad_act!I63)</f>
        <v>812.65549715844008</v>
      </c>
      <c r="J120" s="87">
        <f>IF(J26=0,0,1000000*J26/TrRoad_act!J63)</f>
        <v>784.79302297015079</v>
      </c>
      <c r="K120" s="87">
        <f>IF(K26=0,0,1000000*K26/TrRoad_act!K63)</f>
        <v>784.23285664397645</v>
      </c>
      <c r="L120" s="87">
        <f>IF(L26=0,0,1000000*L26/TrRoad_act!L63)</f>
        <v>731.74174635911504</v>
      </c>
      <c r="M120" s="87">
        <f>IF(M26=0,0,1000000*M26/TrRoad_act!M63)</f>
        <v>651.65625282143844</v>
      </c>
      <c r="N120" s="87">
        <f>IF(N26=0,0,1000000*N26/TrRoad_act!N63)</f>
        <v>623.48024250036076</v>
      </c>
      <c r="O120" s="87">
        <f>IF(O26=0,0,1000000*O26/TrRoad_act!O63)</f>
        <v>609.24851129447984</v>
      </c>
      <c r="P120" s="87">
        <f>IF(P26=0,0,1000000*P26/TrRoad_act!P63)</f>
        <v>494.29230909617053</v>
      </c>
      <c r="Q120" s="87">
        <f>IF(Q26=0,0,1000000*Q26/TrRoad_act!Q63)</f>
        <v>537.47582450417906</v>
      </c>
      <c r="R120" s="87">
        <f>IF(R26=0,0,1000000*R26/TrRoad_act!R63)</f>
        <v>524.45235371963747</v>
      </c>
      <c r="S120" s="87">
        <f>IF(S26=0,0,1000000*S26/TrRoad_act!S63)</f>
        <v>522.89255494976067</v>
      </c>
      <c r="T120" s="87">
        <f>IF(T26=0,0,1000000*T26/TrRoad_act!T63)</f>
        <v>568.6437303828103</v>
      </c>
      <c r="U120" s="87">
        <f>IF(U26=0,0,1000000*U26/TrRoad_act!U63)</f>
        <v>606.80076083261122</v>
      </c>
      <c r="V120" s="87">
        <f>IF(V26=0,0,1000000*V26/TrRoad_act!V63)</f>
        <v>595.28334004003455</v>
      </c>
      <c r="W120" s="87">
        <f>IF(W26=0,0,1000000*W26/TrRoad_act!W63)</f>
        <v>691.22991725326176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1298.7245629120093</v>
      </c>
      <c r="D121" s="87">
        <f>IF(D27=0,0,1000000*D27/TrRoad_act!D64)</f>
        <v>555.31670965892783</v>
      </c>
      <c r="E121" s="87">
        <f>IF(E27=0,0,1000000*E27/TrRoad_act!E64)</f>
        <v>560.20961513170869</v>
      </c>
      <c r="F121" s="87">
        <f>IF(F27=0,0,1000000*F27/TrRoad_act!F64)</f>
        <v>749.92867466692769</v>
      </c>
      <c r="G121" s="87">
        <f>IF(G27=0,0,1000000*G27/TrRoad_act!G64)</f>
        <v>1002.8066563628054</v>
      </c>
      <c r="H121" s="87">
        <f>IF(H27=0,0,1000000*H27/TrRoad_act!H64)</f>
        <v>589.34813819714952</v>
      </c>
      <c r="I121" s="87">
        <f>IF(I27=0,0,1000000*I27/TrRoad_act!I64)</f>
        <v>1109.1724832074701</v>
      </c>
      <c r="J121" s="87">
        <f>IF(J27=0,0,1000000*J27/TrRoad_act!J64)</f>
        <v>502.32698646072873</v>
      </c>
      <c r="K121" s="87">
        <f>IF(K27=0,0,1000000*K27/TrRoad_act!K64)</f>
        <v>487.85732375909583</v>
      </c>
      <c r="L121" s="87">
        <f>IF(L27=0,0,1000000*L27/TrRoad_act!L64)</f>
        <v>539.8194900200341</v>
      </c>
      <c r="M121" s="87">
        <f>IF(M27=0,0,1000000*M27/TrRoad_act!M64)</f>
        <v>610.26586329201882</v>
      </c>
      <c r="N121" s="87">
        <f>IF(N27=0,0,1000000*N27/TrRoad_act!N64)</f>
        <v>580.35376322156708</v>
      </c>
      <c r="O121" s="87">
        <f>IF(O27=0,0,1000000*O27/TrRoad_act!O64)</f>
        <v>507.53597290522526</v>
      </c>
      <c r="P121" s="87">
        <f>IF(P27=0,0,1000000*P27/TrRoad_act!P64)</f>
        <v>526.85355446962865</v>
      </c>
      <c r="Q121" s="87">
        <f>IF(Q27=0,0,1000000*Q27/TrRoad_act!Q64)</f>
        <v>469.12699184887146</v>
      </c>
      <c r="R121" s="87">
        <f>IF(R27=0,0,1000000*R27/TrRoad_act!R64)</f>
        <v>490.46990009999803</v>
      </c>
      <c r="S121" s="87">
        <f>IF(S27=0,0,1000000*S27/TrRoad_act!S64)</f>
        <v>470.66704962982533</v>
      </c>
      <c r="T121" s="87">
        <f>IF(T27=0,0,1000000*T27/TrRoad_act!T64)</f>
        <v>454.15826039939253</v>
      </c>
      <c r="U121" s="87">
        <f>IF(U27=0,0,1000000*U27/TrRoad_act!U64)</f>
        <v>436.91231511613012</v>
      </c>
      <c r="V121" s="87">
        <f>IF(V27=0,0,1000000*V27/TrRoad_act!V64)</f>
        <v>508.91787313281372</v>
      </c>
      <c r="W121" s="87">
        <f>IF(W27=0,0,1000000*W27/TrRoad_act!W64)</f>
        <v>488.46137561979361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192.92410308900574</v>
      </c>
      <c r="O122" s="87">
        <f>IF(O29=0,0,1000000*O29/TrRoad_act!O65)</f>
        <v>198.43531230977317</v>
      </c>
      <c r="P122" s="87">
        <f>IF(P29=0,0,1000000*P29/TrRoad_act!P65)</f>
        <v>478.35018390615579</v>
      </c>
      <c r="Q122" s="87">
        <f>IF(Q29=0,0,1000000*Q29/TrRoad_act!Q65)</f>
        <v>443.20170154118307</v>
      </c>
      <c r="R122" s="87">
        <f>IF(R29=0,0,1000000*R29/TrRoad_act!R65)</f>
        <v>328.75003679150899</v>
      </c>
      <c r="S122" s="87">
        <f>IF(S29=0,0,1000000*S29/TrRoad_act!S65)</f>
        <v>341.06851027384903</v>
      </c>
      <c r="T122" s="87">
        <f>IF(T29=0,0,1000000*T29/TrRoad_act!T65)</f>
        <v>272.25418374209795</v>
      </c>
      <c r="U122" s="87">
        <f>IF(U29=0,0,1000000*U29/TrRoad_act!U65)</f>
        <v>247.62373736338304</v>
      </c>
      <c r="V122" s="87">
        <f>IF(V29=0,0,1000000*V29/TrRoad_act!V65)</f>
        <v>205.57164894815372</v>
      </c>
      <c r="W122" s="87">
        <f>IF(W29=0,0,1000000*W29/TrRoad_act!W65)</f>
        <v>178.4961508983647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113.35705550542458</v>
      </c>
      <c r="N123" s="87">
        <f>IF(N32=0,0,1000000*N32/TrRoad_act!N66)</f>
        <v>113.19000105579157</v>
      </c>
      <c r="O123" s="87">
        <f>IF(O32=0,0,1000000*O32/TrRoad_act!O66)</f>
        <v>112.60482825294744</v>
      </c>
      <c r="P123" s="87">
        <f>IF(P32=0,0,1000000*P32/TrRoad_act!P66)</f>
        <v>110.69276789059225</v>
      </c>
      <c r="Q123" s="87">
        <f>IF(Q32=0,0,1000000*Q32/TrRoad_act!Q66)</f>
        <v>112.81135739207105</v>
      </c>
      <c r="R123" s="87">
        <f>IF(R32=0,0,1000000*R32/TrRoad_act!R66)</f>
        <v>112.97098249977503</v>
      </c>
      <c r="S123" s="87">
        <f>IF(S32=0,0,1000000*S32/TrRoad_act!S66)</f>
        <v>109.69740719928792</v>
      </c>
      <c r="T123" s="87">
        <f>IF(T32=0,0,1000000*T32/TrRoad_act!T66)</f>
        <v>114.53566950896571</v>
      </c>
      <c r="U123" s="87">
        <f>IF(U32=0,0,1000000*U32/TrRoad_act!U66)</f>
        <v>117.08527161798909</v>
      </c>
      <c r="V123" s="87">
        <f>IF(V32=0,0,1000000*V32/TrRoad_act!V66)</f>
        <v>116.8792965710992</v>
      </c>
      <c r="W123" s="87">
        <f>IF(W32=0,0,1000000*W32/TrRoad_act!W66)</f>
        <v>121.73653555395055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16250.504087641117</v>
      </c>
      <c r="C124" s="116">
        <f>IF(C33=0,0,1000000*C33/TrRoad_act!C67)</f>
        <v>15987.780381025581</v>
      </c>
      <c r="D124" s="116">
        <f>IF(D33=0,0,1000000*D33/TrRoad_act!D67)</f>
        <v>15904.691939935181</v>
      </c>
      <c r="E124" s="116">
        <f>IF(E33=0,0,1000000*E33/TrRoad_act!E67)</f>
        <v>16175.948797309598</v>
      </c>
      <c r="F124" s="116">
        <f>IF(F33=0,0,1000000*F33/TrRoad_act!F67)</f>
        <v>17594.445055964556</v>
      </c>
      <c r="G124" s="116">
        <f>IF(G33=0,0,1000000*G33/TrRoad_act!G67)</f>
        <v>16612.133492903085</v>
      </c>
      <c r="H124" s="116">
        <f>IF(H33=0,0,1000000*H33/TrRoad_act!H67)</f>
        <v>17506.615348234023</v>
      </c>
      <c r="I124" s="116">
        <f>IF(I33=0,0,1000000*I33/TrRoad_act!I67)</f>
        <v>17615.489708970625</v>
      </c>
      <c r="J124" s="116">
        <f>IF(J33=0,0,1000000*J33/TrRoad_act!J67)</f>
        <v>17151.50205182673</v>
      </c>
      <c r="K124" s="116">
        <f>IF(K33=0,0,1000000*K33/TrRoad_act!K67)</f>
        <v>17677.163163191959</v>
      </c>
      <c r="L124" s="116">
        <f>IF(L33=0,0,1000000*L33/TrRoad_act!L67)</f>
        <v>17565.820056094788</v>
      </c>
      <c r="M124" s="116">
        <f>IF(M33=0,0,1000000*M33/TrRoad_act!M67)</f>
        <v>17031.117386303395</v>
      </c>
      <c r="N124" s="116">
        <f>IF(N33=0,0,1000000*N33/TrRoad_act!N67)</f>
        <v>17108.848972839871</v>
      </c>
      <c r="O124" s="116">
        <f>IF(O33=0,0,1000000*O33/TrRoad_act!O67)</f>
        <v>16897.614581226208</v>
      </c>
      <c r="P124" s="116">
        <f>IF(P33=0,0,1000000*P33/TrRoad_act!P67)</f>
        <v>17003.807257292297</v>
      </c>
      <c r="Q124" s="116">
        <f>IF(Q33=0,0,1000000*Q33/TrRoad_act!Q67)</f>
        <v>16710.202925038597</v>
      </c>
      <c r="R124" s="116">
        <f>IF(R33=0,0,1000000*R33/TrRoad_act!R67)</f>
        <v>16820.498828455438</v>
      </c>
      <c r="S124" s="116">
        <f>IF(S33=0,0,1000000*S33/TrRoad_act!S67)</f>
        <v>17685.359052465577</v>
      </c>
      <c r="T124" s="116">
        <f>IF(T33=0,0,1000000*T33/TrRoad_act!T67)</f>
        <v>18077.710084366725</v>
      </c>
      <c r="U124" s="116">
        <f>IF(U33=0,0,1000000*U33/TrRoad_act!U67)</f>
        <v>18531.56870653958</v>
      </c>
      <c r="V124" s="116">
        <f>IF(V33=0,0,1000000*V33/TrRoad_act!V67)</f>
        <v>18125.976128305432</v>
      </c>
      <c r="W124" s="116">
        <f>IF(W33=0,0,1000000*W33/TrRoad_act!W67)</f>
        <v>17892.923117500919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0</v>
      </c>
      <c r="K125" s="101">
        <f>IF(K34=0,0,1000000*K34/TrRoad_act!K68)</f>
        <v>0</v>
      </c>
      <c r="L125" s="101">
        <f>IF(L34=0,0,1000000*L34/TrRoad_act!L68)</f>
        <v>0</v>
      </c>
      <c r="M125" s="101">
        <f>IF(M34=0,0,1000000*M34/TrRoad_act!M68)</f>
        <v>0</v>
      </c>
      <c r="N125" s="101">
        <f>IF(N34=0,0,1000000*N34/TrRoad_act!N68)</f>
        <v>0</v>
      </c>
      <c r="O125" s="101">
        <f>IF(O34=0,0,1000000*O34/TrRoad_act!O68)</f>
        <v>0</v>
      </c>
      <c r="P125" s="101">
        <f>IF(P34=0,0,1000000*P34/TrRoad_act!P68)</f>
        <v>0</v>
      </c>
      <c r="Q125" s="101">
        <f>IF(Q34=0,0,1000000*Q34/TrRoad_act!Q68)</f>
        <v>0</v>
      </c>
      <c r="R125" s="101">
        <f>IF(R34=0,0,1000000*R34/TrRoad_act!R68)</f>
        <v>0</v>
      </c>
      <c r="S125" s="101">
        <f>IF(S34=0,0,1000000*S34/TrRoad_act!S68)</f>
        <v>0</v>
      </c>
      <c r="T125" s="101">
        <f>IF(T34=0,0,1000000*T34/TrRoad_act!T68)</f>
        <v>0</v>
      </c>
      <c r="U125" s="101">
        <f>IF(U34=0,0,1000000*U34/TrRoad_act!U68)</f>
        <v>0</v>
      </c>
      <c r="V125" s="101">
        <f>IF(V34=0,0,1000000*V34/TrRoad_act!V68)</f>
        <v>0</v>
      </c>
      <c r="W125" s="101">
        <f>IF(W34=0,0,1000000*W34/TrRoad_act!W68)</f>
        <v>0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16250.504087641117</v>
      </c>
      <c r="C126" s="101">
        <f>IF(C36=0,0,1000000*C36/TrRoad_act!C69)</f>
        <v>15987.780381025581</v>
      </c>
      <c r="D126" s="101">
        <f>IF(D36=0,0,1000000*D36/TrRoad_act!D69)</f>
        <v>15904.691939935181</v>
      </c>
      <c r="E126" s="101">
        <f>IF(E36=0,0,1000000*E36/TrRoad_act!E69)</f>
        <v>16175.948797309598</v>
      </c>
      <c r="F126" s="101">
        <f>IF(F36=0,0,1000000*F36/TrRoad_act!F69)</f>
        <v>17594.445055964556</v>
      </c>
      <c r="G126" s="101">
        <f>IF(G36=0,0,1000000*G36/TrRoad_act!G69)</f>
        <v>16612.133492903085</v>
      </c>
      <c r="H126" s="101">
        <f>IF(H36=0,0,1000000*H36/TrRoad_act!H69)</f>
        <v>17506.615348234023</v>
      </c>
      <c r="I126" s="101">
        <f>IF(I36=0,0,1000000*I36/TrRoad_act!I69)</f>
        <v>17615.489708970625</v>
      </c>
      <c r="J126" s="101">
        <f>IF(J36=0,0,1000000*J36/TrRoad_act!J69)</f>
        <v>17151.50205182673</v>
      </c>
      <c r="K126" s="101">
        <f>IF(K36=0,0,1000000*K36/TrRoad_act!K69)</f>
        <v>17677.163163191959</v>
      </c>
      <c r="L126" s="101">
        <f>IF(L36=0,0,1000000*L36/TrRoad_act!L69)</f>
        <v>17625.864150258622</v>
      </c>
      <c r="M126" s="101">
        <f>IF(M36=0,0,1000000*M36/TrRoad_act!M69)</f>
        <v>17159.40802209112</v>
      </c>
      <c r="N126" s="101">
        <f>IF(N36=0,0,1000000*N36/TrRoad_act!N69)</f>
        <v>17241.449655528795</v>
      </c>
      <c r="O126" s="101">
        <f>IF(O36=0,0,1000000*O36/TrRoad_act!O69)</f>
        <v>17023.860551449223</v>
      </c>
      <c r="P126" s="101">
        <f>IF(P36=0,0,1000000*P36/TrRoad_act!P69)</f>
        <v>17176.995447115671</v>
      </c>
      <c r="Q126" s="101">
        <f>IF(Q36=0,0,1000000*Q36/TrRoad_act!Q69)</f>
        <v>16907.619805853963</v>
      </c>
      <c r="R126" s="101">
        <f>IF(R36=0,0,1000000*R36/TrRoad_act!R69)</f>
        <v>17459.014213224462</v>
      </c>
      <c r="S126" s="101">
        <f>IF(S36=0,0,1000000*S36/TrRoad_act!S69)</f>
        <v>18360.876104566545</v>
      </c>
      <c r="T126" s="101">
        <f>IF(T36=0,0,1000000*T36/TrRoad_act!T69)</f>
        <v>18858.331953414927</v>
      </c>
      <c r="U126" s="101">
        <f>IF(U36=0,0,1000000*U36/TrRoad_act!U69)</f>
        <v>19246.730274857626</v>
      </c>
      <c r="V126" s="101">
        <f>IF(V36=0,0,1000000*V36/TrRoad_act!V69)</f>
        <v>18828.2346331843</v>
      </c>
      <c r="W126" s="101">
        <f>IF(W36=0,0,1000000*W36/TrRoad_act!W69)</f>
        <v>18538.870099175794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0</v>
      </c>
      <c r="R128" s="101">
        <f>IF(R39=0,0,1000000*R39/TrRoad_act!R71)</f>
        <v>4406.9952756995817</v>
      </c>
      <c r="S128" s="101">
        <f>IF(S39=0,0,1000000*S39/TrRoad_act!S71)</f>
        <v>6739.4968490221927</v>
      </c>
      <c r="T128" s="101">
        <f>IF(T39=0,0,1000000*T39/TrRoad_act!T71)</f>
        <v>4853.7109962821714</v>
      </c>
      <c r="U128" s="101">
        <f>IF(U39=0,0,1000000*U39/TrRoad_act!U71)</f>
        <v>10094.947995371293</v>
      </c>
      <c r="V128" s="101">
        <f>IF(V39=0,0,1000000*V39/TrRoad_act!V71)</f>
        <v>13305.255336834236</v>
      </c>
      <c r="W128" s="101">
        <f>IF(W39=0,0,1000000*W39/TrRoad_act!W71)</f>
        <v>12903.105921181494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12648.415792677566</v>
      </c>
      <c r="M129" s="101">
        <f>IF(M41=0,0,1000000*M41/TrRoad_act!M72)</f>
        <v>12687.42623280406</v>
      </c>
      <c r="N129" s="101">
        <f>IF(N41=0,0,1000000*N41/TrRoad_act!N72)</f>
        <v>12693.591296837281</v>
      </c>
      <c r="O129" s="101">
        <f>IF(O41=0,0,1000000*O41/TrRoad_act!O72)</f>
        <v>12702.437170721056</v>
      </c>
      <c r="P129" s="101">
        <f>IF(P41=0,0,1000000*P41/TrRoad_act!P72)</f>
        <v>12783.004780655105</v>
      </c>
      <c r="Q129" s="101">
        <f>IF(Q41=0,0,1000000*Q41/TrRoad_act!Q72)</f>
        <v>12849.849328784283</v>
      </c>
      <c r="R129" s="101">
        <f>IF(R41=0,0,1000000*R41/TrRoad_act!R72)</f>
        <v>12886.176545206101</v>
      </c>
      <c r="S129" s="101">
        <f>IF(S41=0,0,1000000*S41/TrRoad_act!S72)</f>
        <v>12902.62134950486</v>
      </c>
      <c r="T129" s="101">
        <f>IF(T41=0,0,1000000*T41/TrRoad_act!T72)</f>
        <v>12912.769407953439</v>
      </c>
      <c r="U129" s="101">
        <f>IF(U41=0,0,1000000*U41/TrRoad_act!U72)</f>
        <v>12910.81298012327</v>
      </c>
      <c r="V129" s="101">
        <f>IF(V41=0,0,1000000*V41/TrRoad_act!V72)</f>
        <v>12697.804419351098</v>
      </c>
      <c r="W129" s="101">
        <f>IF(W41=0,0,1000000*W41/TrRoad_act!W72)</f>
        <v>12885.018000578782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1663.1032040531957</v>
      </c>
      <c r="C131" s="152">
        <f>IF(C43=0,0,1000000*C43/TrRoad_act!C74)</f>
        <v>1724.230189429336</v>
      </c>
      <c r="D131" s="152">
        <f>IF(D43=0,0,1000000*D43/TrRoad_act!D74)</f>
        <v>2021.1728295253436</v>
      </c>
      <c r="E131" s="152">
        <f>IF(E43=0,0,1000000*E43/TrRoad_act!E74)</f>
        <v>1865.3049248112497</v>
      </c>
      <c r="F131" s="152">
        <f>IF(F43=0,0,1000000*F43/TrRoad_act!F74)</f>
        <v>1824.9604877424204</v>
      </c>
      <c r="G131" s="152">
        <f>IF(G43=0,0,1000000*G43/TrRoad_act!G74)</f>
        <v>1863.5620510319686</v>
      </c>
      <c r="H131" s="152">
        <f>IF(H43=0,0,1000000*H43/TrRoad_act!H74)</f>
        <v>1686.5510714914344</v>
      </c>
      <c r="I131" s="152">
        <f>IF(I43=0,0,1000000*I43/TrRoad_act!I74)</f>
        <v>1789.3598386678907</v>
      </c>
      <c r="J131" s="152">
        <f>IF(J43=0,0,1000000*J43/TrRoad_act!J74)</f>
        <v>1672.3185430548283</v>
      </c>
      <c r="K131" s="152">
        <f>IF(K43=0,0,1000000*K43/TrRoad_act!K74)</f>
        <v>1513.805382793194</v>
      </c>
      <c r="L131" s="152">
        <f>IF(L43=0,0,1000000*L43/TrRoad_act!L74)</f>
        <v>1737.6338071625144</v>
      </c>
      <c r="M131" s="152">
        <f>IF(M43=0,0,1000000*M43/TrRoad_act!M74)</f>
        <v>1805.4441458010067</v>
      </c>
      <c r="N131" s="152">
        <f>IF(N43=0,0,1000000*N43/TrRoad_act!N74)</f>
        <v>1716.4318907408519</v>
      </c>
      <c r="O131" s="152">
        <f>IF(O43=0,0,1000000*O43/TrRoad_act!O74)</f>
        <v>1670.8407496477944</v>
      </c>
      <c r="P131" s="152">
        <f>IF(P43=0,0,1000000*P43/TrRoad_act!P74)</f>
        <v>1724.3469911235945</v>
      </c>
      <c r="Q131" s="152">
        <f>IF(Q43=0,0,1000000*Q43/TrRoad_act!Q74)</f>
        <v>1669.8136570143788</v>
      </c>
      <c r="R131" s="152">
        <f>IF(R43=0,0,1000000*R43/TrRoad_act!R74)</f>
        <v>1785.9255449096609</v>
      </c>
      <c r="S131" s="152">
        <f>IF(S43=0,0,1000000*S43/TrRoad_act!S74)</f>
        <v>1946.8686354284591</v>
      </c>
      <c r="T131" s="152">
        <f>IF(T43=0,0,1000000*T43/TrRoad_act!T74)</f>
        <v>1963.0981082860044</v>
      </c>
      <c r="U131" s="152">
        <f>IF(U43=0,0,1000000*U43/TrRoad_act!U74)</f>
        <v>1998.4159854664431</v>
      </c>
      <c r="V131" s="152">
        <f>IF(V43=0,0,1000000*V43/TrRoad_act!V74)</f>
        <v>2045.8624545225125</v>
      </c>
      <c r="W131" s="152">
        <f>IF(W43=0,0,1000000*W43/TrRoad_act!W74)</f>
        <v>1953.2981853655456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1280.7914439123913</v>
      </c>
      <c r="C132" s="87">
        <f>IF(C44=0,0,1000000*C44/TrRoad_act!C75)</f>
        <v>1290.5155057623319</v>
      </c>
      <c r="D132" s="87">
        <f>IF(D44=0,0,1000000*D44/TrRoad_act!D75)</f>
        <v>1297.7661065299528</v>
      </c>
      <c r="E132" s="87">
        <f>IF(E44=0,0,1000000*E44/TrRoad_act!E75)</f>
        <v>1264.7051034945791</v>
      </c>
      <c r="F132" s="87">
        <f>IF(F44=0,0,1000000*F44/TrRoad_act!F75)</f>
        <v>1180.1984223154029</v>
      </c>
      <c r="G132" s="87">
        <f>IF(G44=0,0,1000000*G44/TrRoad_act!G75)</f>
        <v>1156.8334502649116</v>
      </c>
      <c r="H132" s="87">
        <f>IF(H44=0,0,1000000*H44/TrRoad_act!H75)</f>
        <v>1110.3194204911358</v>
      </c>
      <c r="I132" s="87">
        <f>IF(I44=0,0,1000000*I44/TrRoad_act!I75)</f>
        <v>1102.8644867374496</v>
      </c>
      <c r="J132" s="87">
        <f>IF(J44=0,0,1000000*J44/TrRoad_act!J75)</f>
        <v>1099.1965333602682</v>
      </c>
      <c r="K132" s="87">
        <f>IF(K44=0,0,1000000*K44/TrRoad_act!K75)</f>
        <v>1066.9378419740976</v>
      </c>
      <c r="L132" s="87">
        <f>IF(L44=0,0,1000000*L44/TrRoad_act!L75)</f>
        <v>1008.3863410479598</v>
      </c>
      <c r="M132" s="87">
        <f>IF(M44=0,0,1000000*M44/TrRoad_act!M75)</f>
        <v>1014.7795691413888</v>
      </c>
      <c r="N132" s="87">
        <f>IF(N44=0,0,1000000*N44/TrRoad_act!N75)</f>
        <v>1021.5603777818161</v>
      </c>
      <c r="O132" s="87">
        <f>IF(O44=0,0,1000000*O44/TrRoad_act!O75)</f>
        <v>1033.3793139542001</v>
      </c>
      <c r="P132" s="87">
        <f>IF(P44=0,0,1000000*P44/TrRoad_act!P75)</f>
        <v>1059.0999959819021</v>
      </c>
      <c r="Q132" s="87">
        <f>IF(Q44=0,0,1000000*Q44/TrRoad_act!Q75)</f>
        <v>1106.9624315018198</v>
      </c>
      <c r="R132" s="87">
        <f>IF(R44=0,0,1000000*R44/TrRoad_act!R75)</f>
        <v>1120.702368985694</v>
      </c>
      <c r="S132" s="87">
        <f>IF(S44=0,0,1000000*S44/TrRoad_act!S75)</f>
        <v>1122.4443726457346</v>
      </c>
      <c r="T132" s="87">
        <f>IF(T44=0,0,1000000*T44/TrRoad_act!T75)</f>
        <v>1133.0830618099478</v>
      </c>
      <c r="U132" s="87">
        <f>IF(U44=0,0,1000000*U44/TrRoad_act!U75)</f>
        <v>1147.2701931004456</v>
      </c>
      <c r="V132" s="87">
        <f>IF(V44=0,0,1000000*V44/TrRoad_act!V75)</f>
        <v>1148.3844507381382</v>
      </c>
      <c r="W132" s="87">
        <f>IF(W44=0,0,1000000*W44/TrRoad_act!W75)</f>
        <v>1153.4309558115538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1891.0247649873138</v>
      </c>
      <c r="C133" s="87">
        <f>IF(C46=0,0,1000000*C46/TrRoad_act!C76)</f>
        <v>1982.3331497277482</v>
      </c>
      <c r="D133" s="87">
        <f>IF(D46=0,0,1000000*D46/TrRoad_act!D76)</f>
        <v>2450.5531815959685</v>
      </c>
      <c r="E133" s="87">
        <f>IF(E46=0,0,1000000*E46/TrRoad_act!E76)</f>
        <v>2215.9987492611449</v>
      </c>
      <c r="F133" s="87">
        <f>IF(F46=0,0,1000000*F46/TrRoad_act!F76)</f>
        <v>2302.7268816789519</v>
      </c>
      <c r="G133" s="87">
        <f>IF(G46=0,0,1000000*G46/TrRoad_act!G76)</f>
        <v>2330.3556797364668</v>
      </c>
      <c r="H133" s="87">
        <f>IF(H46=0,0,1000000*H46/TrRoad_act!H76)</f>
        <v>2082.0247255864042</v>
      </c>
      <c r="I133" s="87">
        <f>IF(I46=0,0,1000000*I46/TrRoad_act!I76)</f>
        <v>2225.9186565027135</v>
      </c>
      <c r="J133" s="87">
        <f>IF(J46=0,0,1000000*J46/TrRoad_act!J76)</f>
        <v>2022.8313472031298</v>
      </c>
      <c r="K133" s="87">
        <f>IF(K46=0,0,1000000*K46/TrRoad_act!K76)</f>
        <v>1758.4113369168581</v>
      </c>
      <c r="L133" s="87">
        <f>IF(L46=0,0,1000000*L46/TrRoad_act!L76)</f>
        <v>2012.930564078059</v>
      </c>
      <c r="M133" s="87">
        <f>IF(M46=0,0,1000000*M46/TrRoad_act!M76)</f>
        <v>2107.5723787623519</v>
      </c>
      <c r="N133" s="87">
        <f>IF(N46=0,0,1000000*N46/TrRoad_act!N76)</f>
        <v>1977.3878053560925</v>
      </c>
      <c r="O133" s="87">
        <f>IF(O46=0,0,1000000*O46/TrRoad_act!O76)</f>
        <v>1951.2240127486739</v>
      </c>
      <c r="P133" s="87">
        <f>IF(P46=0,0,1000000*P46/TrRoad_act!P76)</f>
        <v>2049.7236853831796</v>
      </c>
      <c r="Q133" s="87">
        <f>IF(Q46=0,0,1000000*Q46/TrRoad_act!Q76)</f>
        <v>1942.5285785290721</v>
      </c>
      <c r="R133" s="87">
        <f>IF(R46=0,0,1000000*R46/TrRoad_act!R76)</f>
        <v>2212.5020633283889</v>
      </c>
      <c r="S133" s="87">
        <f>IF(S46=0,0,1000000*S46/TrRoad_act!S76)</f>
        <v>2405.7935961856779</v>
      </c>
      <c r="T133" s="87">
        <f>IF(T46=0,0,1000000*T46/TrRoad_act!T76)</f>
        <v>2416.5953125340811</v>
      </c>
      <c r="U133" s="87">
        <f>IF(U46=0,0,1000000*U46/TrRoad_act!U76)</f>
        <v>2388.6240828803602</v>
      </c>
      <c r="V133" s="87">
        <f>IF(V46=0,0,1000000*V46/TrRoad_act!V76)</f>
        <v>2457.84861957263</v>
      </c>
      <c r="W133" s="87">
        <f>IF(W46=0,0,1000000*W46/TrRoad_act!W76)</f>
        <v>2320.5102148781343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1148.8372982627384</v>
      </c>
      <c r="O134" s="87">
        <f>IF(O48=0,0,1000000*O48/TrRoad_act!O77)</f>
        <v>944.32040120907664</v>
      </c>
      <c r="P134" s="87">
        <f>IF(P48=0,0,1000000*P48/TrRoad_act!P77)</f>
        <v>1391.7403925076794</v>
      </c>
      <c r="Q134" s="87">
        <f>IF(Q48=0,0,1000000*Q48/TrRoad_act!Q77)</f>
        <v>1418.6584023383186</v>
      </c>
      <c r="R134" s="87">
        <f>IF(R48=0,0,1000000*R48/TrRoad_act!R77)</f>
        <v>1417.5867355644841</v>
      </c>
      <c r="S134" s="87">
        <f>IF(S48=0,0,1000000*S48/TrRoad_act!S77)</f>
        <v>1405.4783686433391</v>
      </c>
      <c r="T134" s="87">
        <f>IF(T48=0,0,1000000*T48/TrRoad_act!T77)</f>
        <v>1381.6745024292975</v>
      </c>
      <c r="U134" s="87">
        <f>IF(U48=0,0,1000000*U48/TrRoad_act!U77)</f>
        <v>1352.8250461234243</v>
      </c>
      <c r="V134" s="87">
        <f>IF(V48=0,0,1000000*V48/TrRoad_act!V77)</f>
        <v>1341.3954920297579</v>
      </c>
      <c r="W134" s="87">
        <f>IF(W48=0,0,1000000*W48/TrRoad_act!W77)</f>
        <v>1338.5501777034117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1252.8827697386532</v>
      </c>
      <c r="O135" s="87">
        <f>IF(O49=0,0,1000000*O49/TrRoad_act!O78)</f>
        <v>1315.5282603278474</v>
      </c>
      <c r="P135" s="87">
        <f>IF(P49=0,0,1000000*P49/TrRoad_act!P78)</f>
        <v>1308.0359572756993</v>
      </c>
      <c r="Q135" s="87">
        <f>IF(Q49=0,0,1000000*Q49/TrRoad_act!Q78)</f>
        <v>1232.9631830305743</v>
      </c>
      <c r="R135" s="87">
        <f>IF(R49=0,0,1000000*R49/TrRoad_act!R78)</f>
        <v>1848.496351616207</v>
      </c>
      <c r="S135" s="87">
        <f>IF(S49=0,0,1000000*S49/TrRoad_act!S78)</f>
        <v>1823.2593069421703</v>
      </c>
      <c r="T135" s="87">
        <f>IF(T49=0,0,1000000*T49/TrRoad_act!T78)</f>
        <v>1710.2435124378692</v>
      </c>
      <c r="U135" s="87">
        <f>IF(U49=0,0,1000000*U49/TrRoad_act!U78)</f>
        <v>1713.248121463314</v>
      </c>
      <c r="V135" s="87">
        <f>IF(V49=0,0,1000000*V49/TrRoad_act!V78)</f>
        <v>2051.4611177956685</v>
      </c>
      <c r="W135" s="87">
        <f>IF(W49=0,0,1000000*W49/TrRoad_act!W78)</f>
        <v>2009.227508043627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0</v>
      </c>
      <c r="O136" s="87">
        <f>IF(O51=0,0,1000000*O51/TrRoad_act!O79)</f>
        <v>279.27249756043989</v>
      </c>
      <c r="P136" s="87">
        <f>IF(P51=0,0,1000000*P51/TrRoad_act!P79)</f>
        <v>286.56711469276519</v>
      </c>
      <c r="Q136" s="87">
        <f>IF(Q51=0,0,1000000*Q51/TrRoad_act!Q79)</f>
        <v>304.50092038060575</v>
      </c>
      <c r="R136" s="87">
        <f>IF(R51=0,0,1000000*R51/TrRoad_act!R79)</f>
        <v>314.91301612805478</v>
      </c>
      <c r="S136" s="87">
        <f>IF(S51=0,0,1000000*S51/TrRoad_act!S79)</f>
        <v>315.24573893103508</v>
      </c>
      <c r="T136" s="87">
        <f>IF(T51=0,0,1000000*T51/TrRoad_act!T79)</f>
        <v>333.54337775616193</v>
      </c>
      <c r="U136" s="87">
        <f>IF(U51=0,0,1000000*U51/TrRoad_act!U79)</f>
        <v>339.87070336235973</v>
      </c>
      <c r="V136" s="87">
        <f>IF(V51=0,0,1000000*V51/TrRoad_act!V79)</f>
        <v>344.40852678735706</v>
      </c>
      <c r="W136" s="87">
        <f>IF(W51=0,0,1000000*W51/TrRoad_act!W79)</f>
        <v>368.22770322679986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18962.243302419014</v>
      </c>
      <c r="C137" s="116">
        <f>IF(C52=0,0,1000000*C52/TrRoad_act!C80)</f>
        <v>14100.376884728332</v>
      </c>
      <c r="D137" s="116">
        <f>IF(D52=0,0,1000000*D52/TrRoad_act!D80)</f>
        <v>15440.261474344055</v>
      </c>
      <c r="E137" s="116">
        <f>IF(E52=0,0,1000000*E52/TrRoad_act!E80)</f>
        <v>7426.5846002630569</v>
      </c>
      <c r="F137" s="116">
        <f>IF(F52=0,0,1000000*F52/TrRoad_act!F80)</f>
        <v>12339.542721976773</v>
      </c>
      <c r="G137" s="116">
        <f>IF(G52=0,0,1000000*G52/TrRoad_act!G80)</f>
        <v>13057.027483753171</v>
      </c>
      <c r="H137" s="116">
        <f>IF(H52=0,0,1000000*H52/TrRoad_act!H80)</f>
        <v>11562.258662560616</v>
      </c>
      <c r="I137" s="116">
        <f>IF(I52=0,0,1000000*I52/TrRoad_act!I80)</f>
        <v>11068.48781247735</v>
      </c>
      <c r="J137" s="116">
        <f>IF(J52=0,0,1000000*J52/TrRoad_act!J80)</f>
        <v>9378.2390805456962</v>
      </c>
      <c r="K137" s="116">
        <f>IF(K52=0,0,1000000*K52/TrRoad_act!K80)</f>
        <v>6777.9212684004578</v>
      </c>
      <c r="L137" s="116">
        <f>IF(L52=0,0,1000000*L52/TrRoad_act!L80)</f>
        <v>9298.1640783489311</v>
      </c>
      <c r="M137" s="116">
        <f>IF(M52=0,0,1000000*M52/TrRoad_act!M80)</f>
        <v>8564.9511527459945</v>
      </c>
      <c r="N137" s="116">
        <f>IF(N52=0,0,1000000*N52/TrRoad_act!N80)</f>
        <v>8199.4701051205066</v>
      </c>
      <c r="O137" s="116">
        <f>IF(O52=0,0,1000000*O52/TrRoad_act!O80)</f>
        <v>6947.8961515436604</v>
      </c>
      <c r="P137" s="116">
        <f>IF(P52=0,0,1000000*P52/TrRoad_act!P80)</f>
        <v>5852.0418585282641</v>
      </c>
      <c r="Q137" s="116">
        <f>IF(Q52=0,0,1000000*Q52/TrRoad_act!Q80)</f>
        <v>5904.2562717111568</v>
      </c>
      <c r="R137" s="116">
        <f>IF(R52=0,0,1000000*R52/TrRoad_act!R80)</f>
        <v>6797.0088775389513</v>
      </c>
      <c r="S137" s="116">
        <f>IF(S52=0,0,1000000*S52/TrRoad_act!S80)</f>
        <v>8500.9902723746363</v>
      </c>
      <c r="T137" s="116">
        <f>IF(T52=0,0,1000000*T52/TrRoad_act!T80)</f>
        <v>8982.263090195449</v>
      </c>
      <c r="U137" s="116">
        <f>IF(U52=0,0,1000000*U52/TrRoad_act!U80)</f>
        <v>8097.8990472568776</v>
      </c>
      <c r="V137" s="116">
        <f>IF(V52=0,0,1000000*V52/TrRoad_act!V80)</f>
        <v>7254.091205673054</v>
      </c>
      <c r="W137" s="116">
        <f>IF(W52=0,0,1000000*W52/TrRoad_act!W80)</f>
        <v>8388.2463960804798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13984.738756854365</v>
      </c>
      <c r="C138" s="101">
        <f>IF(C53=0,0,1000000*C53/TrRoad_act!C81)</f>
        <v>10500.67503471238</v>
      </c>
      <c r="D138" s="101">
        <f>IF(D53=0,0,1000000*D53/TrRoad_act!D81)</f>
        <v>10003.804599030816</v>
      </c>
      <c r="E138" s="101">
        <f>IF(E53=0,0,1000000*E53/TrRoad_act!E81)</f>
        <v>6452.8375656265789</v>
      </c>
      <c r="F138" s="101">
        <f>IF(F53=0,0,1000000*F53/TrRoad_act!F81)</f>
        <v>10792.833115669129</v>
      </c>
      <c r="G138" s="101">
        <f>IF(G53=0,0,1000000*G53/TrRoad_act!G81)</f>
        <v>8794.8788627010672</v>
      </c>
      <c r="H138" s="101">
        <f>IF(H53=0,0,1000000*H53/TrRoad_act!H81)</f>
        <v>7087.4972814011744</v>
      </c>
      <c r="I138" s="101">
        <f>IF(I53=0,0,1000000*I53/TrRoad_act!I81)</f>
        <v>6546.4042984881653</v>
      </c>
      <c r="J138" s="101">
        <f>IF(J53=0,0,1000000*J53/TrRoad_act!J81)</f>
        <v>5783.401203836871</v>
      </c>
      <c r="K138" s="101">
        <f>IF(K53=0,0,1000000*K53/TrRoad_act!K81)</f>
        <v>4283.8840881395327</v>
      </c>
      <c r="L138" s="101">
        <f>IF(L53=0,0,1000000*L53/TrRoad_act!L81)</f>
        <v>5624.0444627004681</v>
      </c>
      <c r="M138" s="101">
        <f>IF(M53=0,0,1000000*M53/TrRoad_act!M81)</f>
        <v>5319.3499922861447</v>
      </c>
      <c r="N138" s="101">
        <f>IF(N53=0,0,1000000*N53/TrRoad_act!N81)</f>
        <v>4988.1072625954366</v>
      </c>
      <c r="O138" s="101">
        <f>IF(O53=0,0,1000000*O53/TrRoad_act!O81)</f>
        <v>3870.9855989903394</v>
      </c>
      <c r="P138" s="101">
        <f>IF(P53=0,0,1000000*P53/TrRoad_act!P81)</f>
        <v>3492.2005214312785</v>
      </c>
      <c r="Q138" s="101">
        <f>IF(Q53=0,0,1000000*Q53/TrRoad_act!Q81)</f>
        <v>3427.6142675494675</v>
      </c>
      <c r="R138" s="101">
        <f>IF(R53=0,0,1000000*R53/TrRoad_act!R81)</f>
        <v>3806.9549302817363</v>
      </c>
      <c r="S138" s="101">
        <f>IF(S53=0,0,1000000*S53/TrRoad_act!S81)</f>
        <v>4030.6704035693929</v>
      </c>
      <c r="T138" s="101">
        <f>IF(T53=0,0,1000000*T53/TrRoad_act!T81)</f>
        <v>4034.7758121421707</v>
      </c>
      <c r="U138" s="101">
        <f>IF(U53=0,0,1000000*U53/TrRoad_act!U81)</f>
        <v>3965.3730572751119</v>
      </c>
      <c r="V138" s="101">
        <f>IF(V53=0,0,1000000*V53/TrRoad_act!V81)</f>
        <v>3701.4773711404532</v>
      </c>
      <c r="W138" s="101">
        <f>IF(W53=0,0,1000000*W53/TrRoad_act!W81)</f>
        <v>3846.7184128054269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32702.33627453553</v>
      </c>
      <c r="C139" s="88">
        <f>IF(C55=0,0,1000000*C55/TrRoad_act!C82)</f>
        <v>27125.024242462401</v>
      </c>
      <c r="D139" s="88">
        <f>IF(D55=0,0,1000000*D55/TrRoad_act!D82)</f>
        <v>47415.732646923672</v>
      </c>
      <c r="E139" s="88">
        <f>IF(E55=0,0,1000000*E55/TrRoad_act!E82)</f>
        <v>15739.129781665573</v>
      </c>
      <c r="F139" s="88">
        <f>IF(F55=0,0,1000000*F55/TrRoad_act!F82)</f>
        <v>19768.641762466737</v>
      </c>
      <c r="G139" s="88">
        <f>IF(G55=0,0,1000000*G55/TrRoad_act!G82)</f>
        <v>41253.972398439051</v>
      </c>
      <c r="H139" s="88">
        <f>IF(H55=0,0,1000000*H55/TrRoad_act!H82)</f>
        <v>52364.162162028741</v>
      </c>
      <c r="I139" s="88">
        <f>IF(I55=0,0,1000000*I55/TrRoad_act!I82)</f>
        <v>49583.278650373868</v>
      </c>
      <c r="J139" s="88">
        <f>IF(J55=0,0,1000000*J55/TrRoad_act!J82)</f>
        <v>53847.293700972288</v>
      </c>
      <c r="K139" s="88">
        <f>IF(K55=0,0,1000000*K55/TrRoad_act!K82)</f>
        <v>41664.31826015994</v>
      </c>
      <c r="L139" s="88">
        <f>IF(L55=0,0,1000000*L55/TrRoad_act!L82)</f>
        <v>60903.456100193354</v>
      </c>
      <c r="M139" s="88">
        <f>IF(M55=0,0,1000000*M55/TrRoad_act!M82)</f>
        <v>52446.696288463783</v>
      </c>
      <c r="N139" s="88">
        <f>IF(N55=0,0,1000000*N55/TrRoad_act!N82)</f>
        <v>50840.821214764022</v>
      </c>
      <c r="O139" s="88">
        <f>IF(O55=0,0,1000000*O55/TrRoad_act!O82)</f>
        <v>54356.666595415649</v>
      </c>
      <c r="P139" s="88">
        <f>IF(P55=0,0,1000000*P55/TrRoad_act!P82)</f>
        <v>49584.435980792601</v>
      </c>
      <c r="Q139" s="88">
        <f>IF(Q55=0,0,1000000*Q55/TrRoad_act!Q82)</f>
        <v>44374.716421509409</v>
      </c>
      <c r="R139" s="88">
        <f>IF(R55=0,0,1000000*R55/TrRoad_act!R82)</f>
        <v>55045.571795831696</v>
      </c>
      <c r="S139" s="88">
        <f>IF(S55=0,0,1000000*S55/TrRoad_act!S82)</f>
        <v>78826.468603562491</v>
      </c>
      <c r="T139" s="88">
        <f>IF(T55=0,0,1000000*T55/TrRoad_act!T82)</f>
        <v>84340.905122592216</v>
      </c>
      <c r="U139" s="88">
        <f>IF(U55=0,0,1000000*U55/TrRoad_act!U82)</f>
        <v>75781.806954922722</v>
      </c>
      <c r="V139" s="88">
        <f>IF(V55=0,0,1000000*V55/TrRoad_act!V82)</f>
        <v>67855.629441377154</v>
      </c>
      <c r="W139" s="88">
        <f>IF(W55=0,0,1000000*W55/TrRoad_act!W82)</f>
        <v>82230.264892081177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0.70824004081539549</v>
      </c>
      <c r="C142" s="46">
        <f t="shared" si="41"/>
        <v>0.713510612534619</v>
      </c>
      <c r="D142" s="46">
        <f t="shared" si="41"/>
        <v>0.66090118884219873</v>
      </c>
      <c r="E142" s="46">
        <f t="shared" si="41"/>
        <v>0.70665182579375652</v>
      </c>
      <c r="F142" s="46">
        <f t="shared" si="41"/>
        <v>0.66355938683974081</v>
      </c>
      <c r="G142" s="46">
        <f t="shared" si="41"/>
        <v>0.61288650419376789</v>
      </c>
      <c r="H142" s="46">
        <f t="shared" si="41"/>
        <v>0.57972374270827676</v>
      </c>
      <c r="I142" s="46">
        <f t="shared" si="41"/>
        <v>0.56235108041128401</v>
      </c>
      <c r="J142" s="46">
        <f t="shared" si="41"/>
        <v>0.54453164909636997</v>
      </c>
      <c r="K142" s="46">
        <f t="shared" si="41"/>
        <v>0.5717074614129305</v>
      </c>
      <c r="L142" s="46">
        <f t="shared" ref="L142" si="42">IF(L18=0,0,L18/L$17)</f>
        <v>0.50148020985336195</v>
      </c>
      <c r="M142" s="46">
        <f t="shared" ref="M142:V142" si="43">IF(M18=0,0,M18/M$17)</f>
        <v>0.50160698602069742</v>
      </c>
      <c r="N142" s="46">
        <f t="shared" si="43"/>
        <v>0.50545622866685203</v>
      </c>
      <c r="O142" s="46">
        <f t="shared" si="43"/>
        <v>0.50504751930821612</v>
      </c>
      <c r="P142" s="46">
        <f t="shared" si="43"/>
        <v>0.50606929817838486</v>
      </c>
      <c r="Q142" s="46">
        <f t="shared" si="43"/>
        <v>0.51375755020898517</v>
      </c>
      <c r="R142" s="46">
        <f t="shared" si="43"/>
        <v>0.46851548825786687</v>
      </c>
      <c r="S142" s="46">
        <f t="shared" si="43"/>
        <v>0.41794005352557456</v>
      </c>
      <c r="T142" s="46">
        <f t="shared" si="43"/>
        <v>0.40946340071577292</v>
      </c>
      <c r="U142" s="46">
        <f t="shared" si="43"/>
        <v>0.40561388176269197</v>
      </c>
      <c r="V142" s="46">
        <f t="shared" si="43"/>
        <v>0.40317310963512859</v>
      </c>
      <c r="W142" s="46">
        <f t="shared" ref="W142" si="44">IF(W18=0,0,W18/W$17)</f>
        <v>0.39131113064926504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1.5322192890441222E-3</v>
      </c>
      <c r="C143" s="154">
        <f t="shared" si="45"/>
        <v>1.5786939824399052E-3</v>
      </c>
      <c r="D143" s="154">
        <f t="shared" si="45"/>
        <v>1.1208386673969843E-3</v>
      </c>
      <c r="E143" s="154">
        <f t="shared" si="45"/>
        <v>1.2667129619307691E-3</v>
      </c>
      <c r="F143" s="154">
        <f t="shared" si="45"/>
        <v>1.3489808003303203E-3</v>
      </c>
      <c r="G143" s="154">
        <f t="shared" si="45"/>
        <v>1.309655019486287E-3</v>
      </c>
      <c r="H143" s="154">
        <f t="shared" si="45"/>
        <v>1.3133554409789738E-3</v>
      </c>
      <c r="I143" s="154">
        <f t="shared" si="45"/>
        <v>1.295354002244744E-3</v>
      </c>
      <c r="J143" s="154">
        <f t="shared" si="45"/>
        <v>1.3084607799320174E-3</v>
      </c>
      <c r="K143" s="154">
        <f t="shared" si="45"/>
        <v>1.2696249195138219E-3</v>
      </c>
      <c r="L143" s="154">
        <f t="shared" ref="L143" si="46">IF(L19=0,0,L19/L$17)</f>
        <v>1.0025899327983769E-3</v>
      </c>
      <c r="M143" s="154">
        <f t="shared" ref="M143:V143" si="47">IF(M19=0,0,M19/M$17)</f>
        <v>1.2293981530063338E-3</v>
      </c>
      <c r="N143" s="154">
        <f t="shared" si="47"/>
        <v>1.4793973513482573E-3</v>
      </c>
      <c r="O143" s="154">
        <f t="shared" si="47"/>
        <v>1.5053700647595469E-3</v>
      </c>
      <c r="P143" s="154">
        <f t="shared" si="47"/>
        <v>1.6757889372539239E-3</v>
      </c>
      <c r="Q143" s="154">
        <f t="shared" si="47"/>
        <v>1.8644910456102101E-3</v>
      </c>
      <c r="R143" s="154">
        <f t="shared" si="47"/>
        <v>1.7857883802385145E-3</v>
      </c>
      <c r="S143" s="154">
        <f t="shared" si="47"/>
        <v>1.4715562977189144E-3</v>
      </c>
      <c r="T143" s="154">
        <f t="shared" si="47"/>
        <v>1.4130631362111435E-3</v>
      </c>
      <c r="U143" s="154">
        <f t="shared" si="47"/>
        <v>1.5071685110244972E-3</v>
      </c>
      <c r="V143" s="154">
        <f t="shared" si="47"/>
        <v>1.4660274572870834E-3</v>
      </c>
      <c r="W143" s="154">
        <f t="shared" ref="W143" si="48">IF(W19=0,0,W19/W$17)</f>
        <v>1.327139842920576E-3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0.56988284633788822</v>
      </c>
      <c r="C144" s="156">
        <f t="shared" si="49"/>
        <v>0.58366877675302276</v>
      </c>
      <c r="D144" s="156">
        <f t="shared" si="49"/>
        <v>0.55682666895425204</v>
      </c>
      <c r="E144" s="156">
        <f t="shared" si="49"/>
        <v>0.58887420038909655</v>
      </c>
      <c r="F144" s="156">
        <f t="shared" si="49"/>
        <v>0.55369739962589037</v>
      </c>
      <c r="G144" s="156">
        <f t="shared" si="49"/>
        <v>0.51883500116958214</v>
      </c>
      <c r="H144" s="156">
        <f t="shared" si="49"/>
        <v>0.48713390014132385</v>
      </c>
      <c r="I144" s="156">
        <f t="shared" si="49"/>
        <v>0.46257258550531044</v>
      </c>
      <c r="J144" s="156">
        <f t="shared" si="49"/>
        <v>0.45343167446475291</v>
      </c>
      <c r="K144" s="156">
        <f t="shared" si="49"/>
        <v>0.47814401258100592</v>
      </c>
      <c r="L144" s="156">
        <f t="shared" ref="L144" si="50">IF(L21=0,0,L21/L$17)</f>
        <v>0.42183504674442801</v>
      </c>
      <c r="M144" s="156">
        <f t="shared" ref="M144:V144" si="51">IF(M21=0,0,M21/M$17)</f>
        <v>0.4250288240483599</v>
      </c>
      <c r="N144" s="156">
        <f t="shared" si="51"/>
        <v>0.42686533642811075</v>
      </c>
      <c r="O144" s="156">
        <f t="shared" si="51"/>
        <v>0.42862309448077235</v>
      </c>
      <c r="P144" s="156">
        <f t="shared" si="51"/>
        <v>0.4277609351427496</v>
      </c>
      <c r="Q144" s="156">
        <f t="shared" si="51"/>
        <v>0.43530574634796665</v>
      </c>
      <c r="R144" s="156">
        <f t="shared" si="51"/>
        <v>0.3982204907307017</v>
      </c>
      <c r="S144" s="156">
        <f t="shared" si="51"/>
        <v>0.35283288860232831</v>
      </c>
      <c r="T144" s="156">
        <f t="shared" si="51"/>
        <v>0.34191034810843995</v>
      </c>
      <c r="U144" s="156">
        <f t="shared" si="51"/>
        <v>0.33697899994606118</v>
      </c>
      <c r="V144" s="156">
        <f t="shared" si="51"/>
        <v>0.33905133780987989</v>
      </c>
      <c r="W144" s="156">
        <f t="shared" ref="W144" si="52">IF(W21=0,0,W21/W$17)</f>
        <v>0.33020906558583724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0.41670976418153699</v>
      </c>
      <c r="C145" s="103">
        <f t="shared" si="53"/>
        <v>0.42858841806892262</v>
      </c>
      <c r="D145" s="103">
        <f t="shared" si="53"/>
        <v>0.41485449140047809</v>
      </c>
      <c r="E145" s="103">
        <f t="shared" si="53"/>
        <v>0.42535014094375284</v>
      </c>
      <c r="F145" s="103">
        <f t="shared" si="53"/>
        <v>0.38317708669353939</v>
      </c>
      <c r="G145" s="103">
        <f t="shared" si="53"/>
        <v>0.35966982240154899</v>
      </c>
      <c r="H145" s="103">
        <f t="shared" si="53"/>
        <v>0.32806710355924129</v>
      </c>
      <c r="I145" s="103">
        <f t="shared" si="53"/>
        <v>0.30388918441795237</v>
      </c>
      <c r="J145" s="103">
        <f t="shared" si="53"/>
        <v>0.30135312494527816</v>
      </c>
      <c r="K145" s="103">
        <f t="shared" si="53"/>
        <v>0.30646764570526075</v>
      </c>
      <c r="L145" s="103">
        <f t="shared" ref="L145" si="54">IF(L22=0,0,L22/L$17)</f>
        <v>0.26646385925224431</v>
      </c>
      <c r="M145" s="103">
        <f t="shared" ref="M145:V145" si="55">IF(M22=0,0,M22/M$17)</f>
        <v>0.25436064553130816</v>
      </c>
      <c r="N145" s="103">
        <f t="shared" si="55"/>
        <v>0.2531745226136396</v>
      </c>
      <c r="O145" s="103">
        <f t="shared" si="55"/>
        <v>0.2565677919124093</v>
      </c>
      <c r="P145" s="103">
        <f t="shared" si="55"/>
        <v>0.25756078666761301</v>
      </c>
      <c r="Q145" s="103">
        <f t="shared" si="55"/>
        <v>0.26589121623368012</v>
      </c>
      <c r="R145" s="103">
        <f t="shared" si="55"/>
        <v>0.24867511125148786</v>
      </c>
      <c r="S145" s="103">
        <f t="shared" si="55"/>
        <v>0.22033762115713942</v>
      </c>
      <c r="T145" s="103">
        <f t="shared" si="55"/>
        <v>0.20626696135636102</v>
      </c>
      <c r="U145" s="103">
        <f t="shared" si="55"/>
        <v>0.20163158227494721</v>
      </c>
      <c r="V145" s="103">
        <f t="shared" si="55"/>
        <v>0.20187779524835189</v>
      </c>
      <c r="W145" s="103">
        <f t="shared" ref="W145" si="56">IF(W22=0,0,W22/W$17)</f>
        <v>0.19405516907325718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0.15317308215635123</v>
      </c>
      <c r="C146" s="103">
        <f t="shared" si="57"/>
        <v>0.15278392452535905</v>
      </c>
      <c r="D146" s="103">
        <f t="shared" si="57"/>
        <v>0.14117587195272502</v>
      </c>
      <c r="E146" s="103">
        <f t="shared" si="57"/>
        <v>0.16091311014679283</v>
      </c>
      <c r="F146" s="103">
        <f t="shared" si="57"/>
        <v>0.1665726973872288</v>
      </c>
      <c r="G146" s="103">
        <f t="shared" si="57"/>
        <v>0.15382267083925061</v>
      </c>
      <c r="H146" s="103">
        <f t="shared" si="57"/>
        <v>0.15577847567523678</v>
      </c>
      <c r="I146" s="103">
        <f t="shared" si="57"/>
        <v>0.14868494517854761</v>
      </c>
      <c r="J146" s="103">
        <f t="shared" si="57"/>
        <v>0.14761925400418668</v>
      </c>
      <c r="K146" s="103">
        <f t="shared" si="57"/>
        <v>0.16679890670495273</v>
      </c>
      <c r="L146" s="103">
        <f t="shared" ref="L146" si="58">IF(L24=0,0,L24/L$17)</f>
        <v>0.14976436463773043</v>
      </c>
      <c r="M146" s="103">
        <f t="shared" ref="M146:V146" si="59">IF(M24=0,0,M24/M$17)</f>
        <v>0.15044713551416433</v>
      </c>
      <c r="N146" s="103">
        <f t="shared" si="59"/>
        <v>0.15261535160004608</v>
      </c>
      <c r="O146" s="103">
        <f t="shared" si="59"/>
        <v>0.15076766508914455</v>
      </c>
      <c r="P146" s="103">
        <f t="shared" si="59"/>
        <v>0.15157756293615504</v>
      </c>
      <c r="Q146" s="103">
        <f t="shared" si="59"/>
        <v>0.14898570431242475</v>
      </c>
      <c r="R146" s="103">
        <f t="shared" si="59"/>
        <v>0.13258153395909436</v>
      </c>
      <c r="S146" s="103">
        <f t="shared" si="59"/>
        <v>0.11886407683410125</v>
      </c>
      <c r="T146" s="103">
        <f t="shared" si="59"/>
        <v>0.12174168246020897</v>
      </c>
      <c r="U146" s="103">
        <f t="shared" si="59"/>
        <v>0.12185101225033461</v>
      </c>
      <c r="V146" s="103">
        <f t="shared" si="59"/>
        <v>0.12307972106739948</v>
      </c>
      <c r="W146" s="103">
        <f t="shared" ref="W146" si="60">IF(W24=0,0,W24/W$17)</f>
        <v>0.12147443728739823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0</v>
      </c>
      <c r="C147" s="103">
        <f t="shared" si="61"/>
        <v>0</v>
      </c>
      <c r="D147" s="103">
        <f t="shared" si="61"/>
        <v>0</v>
      </c>
      <c r="E147" s="103">
        <f t="shared" si="61"/>
        <v>0</v>
      </c>
      <c r="F147" s="103">
        <f t="shared" si="61"/>
        <v>0</v>
      </c>
      <c r="G147" s="103">
        <f t="shared" si="61"/>
        <v>6.5309358558456488E-4</v>
      </c>
      <c r="H147" s="103">
        <f t="shared" si="61"/>
        <v>6.315861674434228E-4</v>
      </c>
      <c r="I147" s="103">
        <f t="shared" si="61"/>
        <v>5.7092417307679866E-4</v>
      </c>
      <c r="J147" s="103">
        <f t="shared" si="61"/>
        <v>5.3239225337622779E-4</v>
      </c>
      <c r="K147" s="103">
        <f t="shared" si="61"/>
        <v>5.9340543533521176E-4</v>
      </c>
      <c r="L147" s="103">
        <f t="shared" ref="L147" si="62">IF(L26=0,0,L26/L$17)</f>
        <v>1.0230762328526247E-3</v>
      </c>
      <c r="M147" s="103">
        <f t="shared" ref="M147:V147" si="63">IF(M26=0,0,M26/M$17)</f>
        <v>1.5089236356245775E-2</v>
      </c>
      <c r="N147" s="103">
        <f t="shared" si="63"/>
        <v>1.6634873905626856E-2</v>
      </c>
      <c r="O147" s="103">
        <f t="shared" si="63"/>
        <v>1.7719238811248889E-2</v>
      </c>
      <c r="P147" s="103">
        <f t="shared" si="63"/>
        <v>1.4438150318990855E-2</v>
      </c>
      <c r="Q147" s="103">
        <f t="shared" si="63"/>
        <v>1.6645587355436673E-2</v>
      </c>
      <c r="R147" s="103">
        <f t="shared" si="63"/>
        <v>1.4423604295111771E-2</v>
      </c>
      <c r="S147" s="103">
        <f t="shared" si="63"/>
        <v>1.1623374868425159E-2</v>
      </c>
      <c r="T147" s="103">
        <f t="shared" si="63"/>
        <v>1.2051069205263739E-2</v>
      </c>
      <c r="U147" s="103">
        <f t="shared" si="63"/>
        <v>1.2004265501172666E-2</v>
      </c>
      <c r="V147" s="103">
        <f t="shared" si="63"/>
        <v>1.248989935923497E-2</v>
      </c>
      <c r="W147" s="103">
        <f t="shared" ref="W147" si="64">IF(W26=0,0,W26/W$17)</f>
        <v>1.3093153103572111E-2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2.2964341587411174E-3</v>
      </c>
      <c r="D148" s="103">
        <f t="shared" si="65"/>
        <v>7.9630560104894572E-4</v>
      </c>
      <c r="E148" s="103">
        <f t="shared" si="65"/>
        <v>2.6109492985508364E-3</v>
      </c>
      <c r="F148" s="103">
        <f t="shared" si="65"/>
        <v>3.9476155451221963E-3</v>
      </c>
      <c r="G148" s="103">
        <f t="shared" si="65"/>
        <v>4.689414343197985E-3</v>
      </c>
      <c r="H148" s="103">
        <f t="shared" si="65"/>
        <v>2.6567347394024095E-3</v>
      </c>
      <c r="I148" s="103">
        <f t="shared" si="65"/>
        <v>9.4275317357336488E-3</v>
      </c>
      <c r="J148" s="103">
        <f t="shared" si="65"/>
        <v>3.9269032619118401E-3</v>
      </c>
      <c r="K148" s="103">
        <f t="shared" si="65"/>
        <v>4.2840547354572947E-3</v>
      </c>
      <c r="L148" s="103">
        <f t="shared" ref="L148" si="66">IF(L27=0,0,L27/L$17)</f>
        <v>4.5837466216006231E-3</v>
      </c>
      <c r="M148" s="103">
        <f t="shared" ref="M148:V148" si="67">IF(M27=0,0,M27/M$17)</f>
        <v>5.1307866581217602E-3</v>
      </c>
      <c r="N148" s="103">
        <f t="shared" si="67"/>
        <v>4.4390111516057363E-3</v>
      </c>
      <c r="O148" s="103">
        <f t="shared" si="67"/>
        <v>3.5665377445155228E-3</v>
      </c>
      <c r="P148" s="103">
        <f t="shared" si="67"/>
        <v>4.1735728265513902E-3</v>
      </c>
      <c r="Q148" s="103">
        <f t="shared" si="67"/>
        <v>3.7674894039630056E-3</v>
      </c>
      <c r="R148" s="103">
        <f t="shared" si="67"/>
        <v>2.5072430135650932E-3</v>
      </c>
      <c r="S148" s="103">
        <f t="shared" si="67"/>
        <v>1.944998676386551E-3</v>
      </c>
      <c r="T148" s="103">
        <f t="shared" si="67"/>
        <v>1.7490957854663716E-3</v>
      </c>
      <c r="U148" s="103">
        <f t="shared" si="67"/>
        <v>1.3683690515519924E-3</v>
      </c>
      <c r="V148" s="103">
        <f t="shared" si="67"/>
        <v>1.3687202325373461E-3</v>
      </c>
      <c r="W148" s="103">
        <f t="shared" ref="W148" si="68">IF(W27=0,0,W27/W$17)</f>
        <v>1.2514395943357781E-3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4.7123916066187896E-7</v>
      </c>
      <c r="O149" s="103">
        <f t="shared" si="71"/>
        <v>4.8495415621145378E-7</v>
      </c>
      <c r="P149" s="103">
        <f t="shared" si="71"/>
        <v>4.7075519596573488E-6</v>
      </c>
      <c r="Q149" s="103">
        <f t="shared" si="71"/>
        <v>8.1077158006321636E-6</v>
      </c>
      <c r="R149" s="103">
        <f t="shared" si="71"/>
        <v>2.2976762425969636E-5</v>
      </c>
      <c r="S149" s="103">
        <f t="shared" si="71"/>
        <v>4.5817149888875527E-5</v>
      </c>
      <c r="T149" s="103">
        <f t="shared" si="71"/>
        <v>6.5958676488295226E-5</v>
      </c>
      <c r="U149" s="103">
        <f t="shared" si="71"/>
        <v>7.9993963199218401E-5</v>
      </c>
      <c r="V149" s="103">
        <f t="shared" si="71"/>
        <v>1.430069937325269E-4</v>
      </c>
      <c r="W149" s="103">
        <f t="shared" ref="W149" si="72">IF(W29=0,0,W29/W$17)</f>
        <v>1.8914970506336249E-4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0</v>
      </c>
      <c r="M150" s="103">
        <f t="shared" ref="M150:V150" si="75">IF(M32=0,0,M32/M$17)</f>
        <v>1.0199885198413936E-6</v>
      </c>
      <c r="N150" s="103">
        <f t="shared" si="75"/>
        <v>1.1059180317814442E-6</v>
      </c>
      <c r="O150" s="103">
        <f t="shared" si="75"/>
        <v>1.3759692978812191E-6</v>
      </c>
      <c r="P150" s="103">
        <f t="shared" si="75"/>
        <v>6.1548414795968365E-6</v>
      </c>
      <c r="Q150" s="103">
        <f t="shared" si="75"/>
        <v>7.641326661439179E-6</v>
      </c>
      <c r="R150" s="103">
        <f t="shared" si="75"/>
        <v>1.0021449016582418E-5</v>
      </c>
      <c r="S150" s="103">
        <f t="shared" si="75"/>
        <v>1.6999916387031566E-5</v>
      </c>
      <c r="T150" s="103">
        <f t="shared" si="75"/>
        <v>3.558062465152815E-5</v>
      </c>
      <c r="U150" s="103">
        <f t="shared" si="75"/>
        <v>4.3776904855574111E-5</v>
      </c>
      <c r="V150" s="103">
        <f t="shared" si="75"/>
        <v>9.2194908623623084E-5</v>
      </c>
      <c r="W150" s="103">
        <f t="shared" ref="W150" si="76">IF(W32=0,0,W32/W$17)</f>
        <v>1.4571682221055382E-4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0.13682497518846326</v>
      </c>
      <c r="C151" s="156">
        <f t="shared" si="77"/>
        <v>0.12826314179915629</v>
      </c>
      <c r="D151" s="156">
        <f t="shared" si="77"/>
        <v>0.10295368122054972</v>
      </c>
      <c r="E151" s="156">
        <f t="shared" si="77"/>
        <v>0.11651091244272929</v>
      </c>
      <c r="F151" s="156">
        <f t="shared" si="77"/>
        <v>0.10851300641352013</v>
      </c>
      <c r="G151" s="156">
        <f t="shared" si="77"/>
        <v>9.2741848004699368E-2</v>
      </c>
      <c r="H151" s="156">
        <f t="shared" si="77"/>
        <v>9.1276487125973929E-2</v>
      </c>
      <c r="I151" s="156">
        <f t="shared" si="77"/>
        <v>9.8483140903728839E-2</v>
      </c>
      <c r="J151" s="156">
        <f t="shared" si="77"/>
        <v>8.9791513851685087E-2</v>
      </c>
      <c r="K151" s="156">
        <f t="shared" si="77"/>
        <v>9.2293823912410783E-2</v>
      </c>
      <c r="L151" s="156">
        <f t="shared" ref="L151" si="78">IF(L33=0,0,L33/L$17)</f>
        <v>7.8642573176135558E-2</v>
      </c>
      <c r="M151" s="156">
        <f t="shared" ref="M151:V151" si="79">IF(M33=0,0,M33/M$17)</f>
        <v>7.5348763819331199E-2</v>
      </c>
      <c r="N151" s="156">
        <f t="shared" si="79"/>
        <v>7.7111494887392995E-2</v>
      </c>
      <c r="O151" s="156">
        <f t="shared" si="79"/>
        <v>7.4919054762684206E-2</v>
      </c>
      <c r="P151" s="156">
        <f t="shared" si="79"/>
        <v>7.663257409838134E-2</v>
      </c>
      <c r="Q151" s="156">
        <f t="shared" si="79"/>
        <v>7.6587312815408329E-2</v>
      </c>
      <c r="R151" s="156">
        <f t="shared" si="79"/>
        <v>6.8509209146926625E-2</v>
      </c>
      <c r="S151" s="156">
        <f t="shared" si="79"/>
        <v>6.3635608625527321E-2</v>
      </c>
      <c r="T151" s="156">
        <f t="shared" si="79"/>
        <v>6.6139989471121846E-2</v>
      </c>
      <c r="U151" s="156">
        <f t="shared" si="79"/>
        <v>6.7127713305606268E-2</v>
      </c>
      <c r="V151" s="156">
        <f t="shared" si="79"/>
        <v>6.2655744367961605E-2</v>
      </c>
      <c r="W151" s="156">
        <f t="shared" ref="W151" si="80">IF(W33=0,0,W33/W$17)</f>
        <v>5.9774925220507265E-2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0</v>
      </c>
      <c r="C152" s="103">
        <f t="shared" si="81"/>
        <v>0</v>
      </c>
      <c r="D152" s="103">
        <f t="shared" si="81"/>
        <v>0</v>
      </c>
      <c r="E152" s="103">
        <f t="shared" si="81"/>
        <v>0</v>
      </c>
      <c r="F152" s="103">
        <f t="shared" si="81"/>
        <v>0</v>
      </c>
      <c r="G152" s="103">
        <f t="shared" si="81"/>
        <v>0</v>
      </c>
      <c r="H152" s="103">
        <f t="shared" si="81"/>
        <v>0</v>
      </c>
      <c r="I152" s="103">
        <f t="shared" si="81"/>
        <v>0</v>
      </c>
      <c r="J152" s="103">
        <f t="shared" si="81"/>
        <v>0</v>
      </c>
      <c r="K152" s="103">
        <f t="shared" si="81"/>
        <v>0</v>
      </c>
      <c r="L152" s="103">
        <f t="shared" ref="L152" si="82">IF(L34=0,0,L34/L$17)</f>
        <v>0</v>
      </c>
      <c r="M152" s="103">
        <f t="shared" ref="M152:V152" si="83">IF(M34=0,0,M34/M$17)</f>
        <v>0</v>
      </c>
      <c r="N152" s="103">
        <f t="shared" si="83"/>
        <v>0</v>
      </c>
      <c r="O152" s="103">
        <f t="shared" si="83"/>
        <v>0</v>
      </c>
      <c r="P152" s="103">
        <f t="shared" si="83"/>
        <v>0</v>
      </c>
      <c r="Q152" s="103">
        <f t="shared" si="83"/>
        <v>0</v>
      </c>
      <c r="R152" s="103">
        <f t="shared" si="83"/>
        <v>0</v>
      </c>
      <c r="S152" s="103">
        <f t="shared" si="83"/>
        <v>0</v>
      </c>
      <c r="T152" s="103">
        <f t="shared" si="83"/>
        <v>0</v>
      </c>
      <c r="U152" s="103">
        <f t="shared" si="83"/>
        <v>0</v>
      </c>
      <c r="V152" s="103">
        <f t="shared" si="83"/>
        <v>0</v>
      </c>
      <c r="W152" s="103">
        <f t="shared" ref="W152" si="84">IF(W34=0,0,W34/W$17)</f>
        <v>0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0.13682497518846326</v>
      </c>
      <c r="C153" s="103">
        <f t="shared" si="85"/>
        <v>0.12826314179915629</v>
      </c>
      <c r="D153" s="103">
        <f t="shared" si="85"/>
        <v>0.10295368122054972</v>
      </c>
      <c r="E153" s="103">
        <f t="shared" si="85"/>
        <v>0.11651091244272929</v>
      </c>
      <c r="F153" s="103">
        <f t="shared" si="85"/>
        <v>0.10851300641352013</v>
      </c>
      <c r="G153" s="103">
        <f t="shared" si="85"/>
        <v>9.2741848004699368E-2</v>
      </c>
      <c r="H153" s="103">
        <f t="shared" si="85"/>
        <v>9.1276487125973929E-2</v>
      </c>
      <c r="I153" s="103">
        <f t="shared" si="85"/>
        <v>9.8483140903728839E-2</v>
      </c>
      <c r="J153" s="103">
        <f t="shared" si="85"/>
        <v>8.9791513851685087E-2</v>
      </c>
      <c r="K153" s="103">
        <f t="shared" si="85"/>
        <v>9.2293823912410783E-2</v>
      </c>
      <c r="L153" s="103">
        <f t="shared" ref="L153" si="86">IF(L36=0,0,L36/L$17)</f>
        <v>7.7959465832893815E-2</v>
      </c>
      <c r="M153" s="103">
        <f t="shared" ref="M153:V153" si="87">IF(M36=0,0,M36/M$17)</f>
        <v>7.3738483627867835E-2</v>
      </c>
      <c r="N153" s="103">
        <f t="shared" si="87"/>
        <v>7.5443396469181453E-2</v>
      </c>
      <c r="O153" s="103">
        <f t="shared" si="87"/>
        <v>7.3273756452129468E-2</v>
      </c>
      <c r="P153" s="103">
        <f t="shared" si="87"/>
        <v>7.4361876322561027E-2</v>
      </c>
      <c r="Q153" s="103">
        <f t="shared" si="87"/>
        <v>7.3722013796408456E-2</v>
      </c>
      <c r="R153" s="103">
        <f t="shared" si="87"/>
        <v>6.4922649664810372E-2</v>
      </c>
      <c r="S153" s="103">
        <f t="shared" si="87"/>
        <v>5.9932199534820561E-2</v>
      </c>
      <c r="T153" s="103">
        <f t="shared" si="87"/>
        <v>6.2334428471252847E-2</v>
      </c>
      <c r="U153" s="103">
        <f t="shared" si="87"/>
        <v>6.2635042237073932E-2</v>
      </c>
      <c r="V153" s="103">
        <f t="shared" si="87"/>
        <v>5.7446074047008133E-2</v>
      </c>
      <c r="W153" s="103">
        <f t="shared" ref="W153" si="88">IF(W36=0,0,W36/W$17)</f>
        <v>5.485163142791577E-2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0</v>
      </c>
      <c r="L155" s="103">
        <f t="shared" ref="L155" si="94">IF(L39=0,0,L39/L$17)</f>
        <v>0</v>
      </c>
      <c r="M155" s="103">
        <f t="shared" ref="M155:V155" si="95">IF(M39=0,0,M39/M$17)</f>
        <v>0</v>
      </c>
      <c r="N155" s="103">
        <f t="shared" si="95"/>
        <v>0</v>
      </c>
      <c r="O155" s="103">
        <f t="shared" si="95"/>
        <v>0</v>
      </c>
      <c r="P155" s="103">
        <f t="shared" si="95"/>
        <v>0</v>
      </c>
      <c r="Q155" s="103">
        <f t="shared" si="95"/>
        <v>0</v>
      </c>
      <c r="R155" s="103">
        <f t="shared" si="95"/>
        <v>5.0940208266600745E-4</v>
      </c>
      <c r="S155" s="103">
        <f t="shared" si="95"/>
        <v>6.6391938043035997E-4</v>
      </c>
      <c r="T155" s="103">
        <f t="shared" si="95"/>
        <v>4.551880333408001E-4</v>
      </c>
      <c r="U155" s="103">
        <f t="shared" si="95"/>
        <v>9.2780528227157804E-4</v>
      </c>
      <c r="V155" s="103">
        <f t="shared" si="95"/>
        <v>1.2957092033316232E-3</v>
      </c>
      <c r="W155" s="103">
        <f t="shared" ref="W155" si="96">IF(W39=0,0,W39/W$17)</f>
        <v>1.1844981480512422E-3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6.8310734324174814E-4</v>
      </c>
      <c r="M156" s="103">
        <f t="shared" ref="M156:V156" si="99">IF(M41=0,0,M41/M$17)</f>
        <v>1.6102801914633677E-3</v>
      </c>
      <c r="N156" s="103">
        <f t="shared" si="99"/>
        <v>1.6680984182115444E-3</v>
      </c>
      <c r="O156" s="103">
        <f t="shared" si="99"/>
        <v>1.6452983105547296E-3</v>
      </c>
      <c r="P156" s="103">
        <f t="shared" si="99"/>
        <v>2.2706977758203293E-3</v>
      </c>
      <c r="Q156" s="103">
        <f t="shared" si="99"/>
        <v>2.865299018999865E-3</v>
      </c>
      <c r="R156" s="103">
        <f t="shared" si="99"/>
        <v>3.0771573994502516E-3</v>
      </c>
      <c r="S156" s="103">
        <f t="shared" si="99"/>
        <v>3.0394897102764065E-3</v>
      </c>
      <c r="T156" s="103">
        <f t="shared" si="99"/>
        <v>3.3503729665282085E-3</v>
      </c>
      <c r="U156" s="103">
        <f t="shared" si="99"/>
        <v>3.5648657862607474E-3</v>
      </c>
      <c r="V156" s="103">
        <f t="shared" si="99"/>
        <v>3.9139611176218485E-3</v>
      </c>
      <c r="W156" s="103">
        <f t="shared" ref="W156" si="100">IF(W41=0,0,W41/W$17)</f>
        <v>3.738795644540255E-3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0.29175995918460446</v>
      </c>
      <c r="C157" s="46">
        <f t="shared" si="101"/>
        <v>0.28648938746538111</v>
      </c>
      <c r="D157" s="46">
        <f t="shared" si="101"/>
        <v>0.33909881115780122</v>
      </c>
      <c r="E157" s="46">
        <f t="shared" si="101"/>
        <v>0.29334817420624337</v>
      </c>
      <c r="F157" s="46">
        <f t="shared" si="101"/>
        <v>0.33644061316025919</v>
      </c>
      <c r="G157" s="46">
        <f t="shared" si="101"/>
        <v>0.38711349580623222</v>
      </c>
      <c r="H157" s="46">
        <f t="shared" si="101"/>
        <v>0.42027625729172324</v>
      </c>
      <c r="I157" s="46">
        <f t="shared" si="101"/>
        <v>0.43764891958871605</v>
      </c>
      <c r="J157" s="46">
        <f t="shared" si="101"/>
        <v>0.45546835090363003</v>
      </c>
      <c r="K157" s="46">
        <f t="shared" si="101"/>
        <v>0.4282925385870695</v>
      </c>
      <c r="L157" s="46">
        <f t="shared" ref="L157" si="102">IF(L42=0,0,L42/L$17)</f>
        <v>0.49851979014663805</v>
      </c>
      <c r="M157" s="46">
        <f t="shared" ref="M157:V157" si="103">IF(M42=0,0,M42/M$17)</f>
        <v>0.49839301397930263</v>
      </c>
      <c r="N157" s="46">
        <f t="shared" si="103"/>
        <v>0.49454377133314792</v>
      </c>
      <c r="O157" s="46">
        <f t="shared" si="103"/>
        <v>0.49495248069178388</v>
      </c>
      <c r="P157" s="46">
        <f t="shared" si="103"/>
        <v>0.49393070182161519</v>
      </c>
      <c r="Q157" s="46">
        <f t="shared" si="103"/>
        <v>0.48624244979101477</v>
      </c>
      <c r="R157" s="46">
        <f t="shared" si="103"/>
        <v>0.53148451174213318</v>
      </c>
      <c r="S157" s="46">
        <f t="shared" si="103"/>
        <v>0.58205994647442538</v>
      </c>
      <c r="T157" s="46">
        <f t="shared" si="103"/>
        <v>0.59053659928422708</v>
      </c>
      <c r="U157" s="46">
        <f t="shared" si="103"/>
        <v>0.59438611823730791</v>
      </c>
      <c r="V157" s="46">
        <f t="shared" si="103"/>
        <v>0.59682689036487135</v>
      </c>
      <c r="W157" s="46">
        <f t="shared" ref="W157" si="104">IF(W42=0,0,W42/W$17)</f>
        <v>0.60868886935073496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0.13440842170663947</v>
      </c>
      <c r="C158" s="154">
        <f t="shared" si="105"/>
        <v>0.13617694229414601</v>
      </c>
      <c r="D158" s="154">
        <f t="shared" si="105"/>
        <v>0.12984962198988695</v>
      </c>
      <c r="E158" s="154">
        <f t="shared" si="105"/>
        <v>0.1349779994274006</v>
      </c>
      <c r="F158" s="154">
        <f t="shared" si="105"/>
        <v>0.1452801084006613</v>
      </c>
      <c r="G158" s="154">
        <f t="shared" si="105"/>
        <v>0.14335316980251175</v>
      </c>
      <c r="H158" s="154">
        <f t="shared" si="105"/>
        <v>0.12847556406952251</v>
      </c>
      <c r="I158" s="154">
        <f t="shared" si="105"/>
        <v>0.13900061138815528</v>
      </c>
      <c r="J158" s="154">
        <f t="shared" si="105"/>
        <v>0.12907185077892924</v>
      </c>
      <c r="K158" s="154">
        <f t="shared" si="105"/>
        <v>0.14210951268795249</v>
      </c>
      <c r="L158" s="154">
        <f t="shared" ref="L158" si="106">IF(L43=0,0,L43/L$17)</f>
        <v>0.14302299596941173</v>
      </c>
      <c r="M158" s="154">
        <f t="shared" ref="M158:V158" si="107">IF(M43=0,0,M43/M$17)</f>
        <v>0.15295997850031448</v>
      </c>
      <c r="N158" s="154">
        <f t="shared" si="107"/>
        <v>0.15418551928622476</v>
      </c>
      <c r="O158" s="154">
        <f t="shared" si="107"/>
        <v>0.13583106029749883</v>
      </c>
      <c r="P158" s="154">
        <f t="shared" si="107"/>
        <v>0.1248052624688545</v>
      </c>
      <c r="Q158" s="154">
        <f t="shared" si="107"/>
        <v>0.1371029257918164</v>
      </c>
      <c r="R158" s="154">
        <f t="shared" si="107"/>
        <v>0.12466060431386293</v>
      </c>
      <c r="S158" s="154">
        <f t="shared" si="107"/>
        <v>0.11667767524725418</v>
      </c>
      <c r="T158" s="154">
        <f t="shared" si="107"/>
        <v>0.11499789147889164</v>
      </c>
      <c r="U158" s="154">
        <f t="shared" si="107"/>
        <v>0.11417641757809184</v>
      </c>
      <c r="V158" s="154">
        <f t="shared" si="107"/>
        <v>0.12681945104878675</v>
      </c>
      <c r="W158" s="154">
        <f t="shared" ref="W158" si="108">IF(W43=0,0,W43/W$17)</f>
        <v>0.11417478704543743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3.8661187660675236E-2</v>
      </c>
      <c r="C159" s="103">
        <f t="shared" si="109"/>
        <v>3.8025323039412924E-2</v>
      </c>
      <c r="D159" s="103">
        <f t="shared" si="109"/>
        <v>3.1054656874427225E-2</v>
      </c>
      <c r="E159" s="103">
        <f t="shared" si="109"/>
        <v>3.3737736624596691E-2</v>
      </c>
      <c r="F159" s="103">
        <f t="shared" si="109"/>
        <v>3.9987656867015657E-2</v>
      </c>
      <c r="G159" s="103">
        <f t="shared" si="109"/>
        <v>3.5397116024197574E-2</v>
      </c>
      <c r="H159" s="103">
        <f t="shared" si="109"/>
        <v>3.4423256682295324E-2</v>
      </c>
      <c r="I159" s="103">
        <f t="shared" si="109"/>
        <v>3.3302990787430022E-2</v>
      </c>
      <c r="J159" s="103">
        <f t="shared" si="109"/>
        <v>3.2195225803316622E-2</v>
      </c>
      <c r="K159" s="103">
        <f t="shared" si="109"/>
        <v>3.543102451767606E-2</v>
      </c>
      <c r="L159" s="103">
        <f t="shared" ref="L159" si="110">IF(L44=0,0,L44/L$17)</f>
        <v>2.2746082124468166E-2</v>
      </c>
      <c r="M159" s="103">
        <f t="shared" ref="M159:V159" si="111">IF(M44=0,0,M44/M$17)</f>
        <v>2.376944017646692E-2</v>
      </c>
      <c r="N159" s="103">
        <f t="shared" si="111"/>
        <v>2.5048597888650277E-2</v>
      </c>
      <c r="O159" s="103">
        <f t="shared" si="111"/>
        <v>2.5655196798801978E-2</v>
      </c>
      <c r="P159" s="103">
        <f t="shared" si="111"/>
        <v>2.4271671552168059E-2</v>
      </c>
      <c r="Q159" s="103">
        <f t="shared" si="111"/>
        <v>2.8761895536835343E-2</v>
      </c>
      <c r="R159" s="103">
        <f t="shared" si="111"/>
        <v>2.9473167789347568E-2</v>
      </c>
      <c r="S159" s="103">
        <f t="shared" si="111"/>
        <v>2.2975774202505725E-2</v>
      </c>
      <c r="T159" s="103">
        <f t="shared" si="111"/>
        <v>2.2197724015945806E-2</v>
      </c>
      <c r="U159" s="103">
        <f t="shared" si="111"/>
        <v>1.9208156519748016E-2</v>
      </c>
      <c r="V159" s="103">
        <f t="shared" si="111"/>
        <v>2.0815118163429628E-2</v>
      </c>
      <c r="W159" s="103">
        <f t="shared" ref="W159" si="112">IF(W44=0,0,W44/W$17)</f>
        <v>1.9708758270718774E-2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9.5747234045964247E-2</v>
      </c>
      <c r="C160" s="103">
        <f t="shared" si="113"/>
        <v>9.8151619254733091E-2</v>
      </c>
      <c r="D160" s="103">
        <f t="shared" si="113"/>
        <v>9.8794965115459724E-2</v>
      </c>
      <c r="E160" s="103">
        <f t="shared" si="113"/>
        <v>0.1012402628028039</v>
      </c>
      <c r="F160" s="103">
        <f t="shared" si="113"/>
        <v>0.10529245153364565</v>
      </c>
      <c r="G160" s="103">
        <f t="shared" si="113"/>
        <v>0.10795605377831419</v>
      </c>
      <c r="H160" s="103">
        <f t="shared" si="113"/>
        <v>9.4052307387227183E-2</v>
      </c>
      <c r="I160" s="103">
        <f t="shared" si="113"/>
        <v>0.10569762060072528</v>
      </c>
      <c r="J160" s="103">
        <f t="shared" si="113"/>
        <v>9.6876624975612599E-2</v>
      </c>
      <c r="K160" s="103">
        <f t="shared" si="113"/>
        <v>0.10667848817027642</v>
      </c>
      <c r="L160" s="103">
        <f t="shared" ref="L160" si="114">IF(L46=0,0,L46/L$17)</f>
        <v>0.12027691384494354</v>
      </c>
      <c r="M160" s="103">
        <f t="shared" ref="M160:V160" si="115">IF(M46=0,0,M46/M$17)</f>
        <v>0.12919053832384755</v>
      </c>
      <c r="N160" s="103">
        <f t="shared" si="115"/>
        <v>0.12912993245540982</v>
      </c>
      <c r="O160" s="103">
        <f t="shared" si="115"/>
        <v>0.11016749566616332</v>
      </c>
      <c r="P160" s="103">
        <f t="shared" si="115"/>
        <v>9.8747985436106495E-2</v>
      </c>
      <c r="Q160" s="103">
        <f t="shared" si="115"/>
        <v>0.1065109692711441</v>
      </c>
      <c r="R160" s="103">
        <f t="shared" si="115"/>
        <v>9.3204029689640935E-2</v>
      </c>
      <c r="S160" s="103">
        <f t="shared" si="115"/>
        <v>9.1915272846629342E-2</v>
      </c>
      <c r="T160" s="103">
        <f t="shared" si="115"/>
        <v>9.0879352454804302E-2</v>
      </c>
      <c r="U160" s="103">
        <f t="shared" si="115"/>
        <v>9.294295907462366E-2</v>
      </c>
      <c r="V160" s="103">
        <f t="shared" si="115"/>
        <v>0.10353696281602778</v>
      </c>
      <c r="W160" s="103">
        <f t="shared" ref="W160" si="116">IF(W46=0,0,W46/W$17)</f>
        <v>9.2146653644504389E-2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3.9286328753275585E-6</v>
      </c>
      <c r="O161" s="103">
        <f t="shared" si="119"/>
        <v>2.3078155698755367E-6</v>
      </c>
      <c r="P161" s="103">
        <f t="shared" si="119"/>
        <v>1.7805360094478163E-3</v>
      </c>
      <c r="Q161" s="103">
        <f t="shared" si="119"/>
        <v>1.8236712705119514E-3</v>
      </c>
      <c r="R161" s="103">
        <f t="shared" si="119"/>
        <v>1.8202215518917E-3</v>
      </c>
      <c r="S161" s="103">
        <f t="shared" si="119"/>
        <v>1.6384881787339287E-3</v>
      </c>
      <c r="T161" s="103">
        <f t="shared" si="119"/>
        <v>1.6871801050559877E-3</v>
      </c>
      <c r="U161" s="103">
        <f t="shared" si="119"/>
        <v>1.7459848361065535E-3</v>
      </c>
      <c r="V161" s="103">
        <f t="shared" si="119"/>
        <v>1.9310443740893622E-3</v>
      </c>
      <c r="W161" s="103">
        <f t="shared" ref="W161" si="120">IF(W48=0,0,W48/W$17)</f>
        <v>1.8164600918383026E-3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3.0603092893322303E-6</v>
      </c>
      <c r="O162" s="103">
        <f t="shared" si="123"/>
        <v>5.7870124125621456E-6</v>
      </c>
      <c r="P162" s="103">
        <f t="shared" si="123"/>
        <v>4.5054368209759736E-6</v>
      </c>
      <c r="Q162" s="103">
        <f t="shared" si="123"/>
        <v>5.4864066200397855E-6</v>
      </c>
      <c r="R162" s="103">
        <f t="shared" si="123"/>
        <v>1.6149223103849018E-4</v>
      </c>
      <c r="S162" s="103">
        <f t="shared" si="123"/>
        <v>1.4482580697085351E-4</v>
      </c>
      <c r="T162" s="103">
        <f t="shared" si="123"/>
        <v>2.2320817638294028E-4</v>
      </c>
      <c r="U162" s="103">
        <f t="shared" si="123"/>
        <v>2.6801873194214494E-4</v>
      </c>
      <c r="V162" s="103">
        <f t="shared" si="123"/>
        <v>5.2115995096859097E-4</v>
      </c>
      <c r="W162" s="103">
        <f t="shared" ref="W162" si="124">IF(W49=0,0,W49/W$17)</f>
        <v>4.8116347574439689E-4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0</v>
      </c>
      <c r="N163" s="103">
        <f t="shared" si="127"/>
        <v>0</v>
      </c>
      <c r="O163" s="103">
        <f t="shared" si="127"/>
        <v>2.730045511175243E-7</v>
      </c>
      <c r="P163" s="103">
        <f t="shared" si="127"/>
        <v>5.6403431115223985E-7</v>
      </c>
      <c r="Q163" s="103">
        <f t="shared" si="127"/>
        <v>9.0330670500533828E-7</v>
      </c>
      <c r="R163" s="103">
        <f t="shared" si="127"/>
        <v>1.6930519442294689E-6</v>
      </c>
      <c r="S163" s="103">
        <f t="shared" si="127"/>
        <v>3.3142124143282307E-6</v>
      </c>
      <c r="T163" s="103">
        <f t="shared" si="127"/>
        <v>1.0426726702583463E-5</v>
      </c>
      <c r="U163" s="103">
        <f t="shared" si="127"/>
        <v>1.1298415671457494E-5</v>
      </c>
      <c r="V163" s="103">
        <f t="shared" si="127"/>
        <v>1.5165744271379952E-5</v>
      </c>
      <c r="W163" s="103">
        <f t="shared" ref="W163" si="128">IF(W51=0,0,W51/W$17)</f>
        <v>2.1751562631592366E-5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0.15735153747796499</v>
      </c>
      <c r="C164" s="156">
        <f t="shared" si="129"/>
        <v>0.15031244517123515</v>
      </c>
      <c r="D164" s="156">
        <f t="shared" si="129"/>
        <v>0.2092491891679143</v>
      </c>
      <c r="E164" s="156">
        <f t="shared" si="129"/>
        <v>0.1583701747788428</v>
      </c>
      <c r="F164" s="156">
        <f t="shared" si="129"/>
        <v>0.19116050475959792</v>
      </c>
      <c r="G164" s="156">
        <f t="shared" si="129"/>
        <v>0.24376032600372047</v>
      </c>
      <c r="H164" s="156">
        <f t="shared" si="129"/>
        <v>0.29180069322220076</v>
      </c>
      <c r="I164" s="156">
        <f t="shared" si="129"/>
        <v>0.29864830820056071</v>
      </c>
      <c r="J164" s="156">
        <f t="shared" si="129"/>
        <v>0.32639650012470084</v>
      </c>
      <c r="K164" s="156">
        <f t="shared" si="129"/>
        <v>0.28618302589911704</v>
      </c>
      <c r="L164" s="156">
        <f t="shared" ref="L164" si="130">IF(L52=0,0,L52/L$17)</f>
        <v>0.35549679417722629</v>
      </c>
      <c r="M164" s="156">
        <f t="shared" ref="M164:V164" si="131">IF(M52=0,0,M52/M$17)</f>
        <v>0.34543303547898818</v>
      </c>
      <c r="N164" s="156">
        <f t="shared" si="131"/>
        <v>0.34035825204692316</v>
      </c>
      <c r="O164" s="156">
        <f t="shared" si="131"/>
        <v>0.35912142039428502</v>
      </c>
      <c r="P164" s="156">
        <f t="shared" si="131"/>
        <v>0.36912543935276071</v>
      </c>
      <c r="Q164" s="156">
        <f t="shared" si="131"/>
        <v>0.34913952399919834</v>
      </c>
      <c r="R164" s="156">
        <f t="shared" si="131"/>
        <v>0.40682390742827024</v>
      </c>
      <c r="S164" s="156">
        <f t="shared" si="131"/>
        <v>0.46538227122717118</v>
      </c>
      <c r="T164" s="156">
        <f t="shared" si="131"/>
        <v>0.47553870780533541</v>
      </c>
      <c r="U164" s="156">
        <f t="shared" si="131"/>
        <v>0.48020970065921614</v>
      </c>
      <c r="V164" s="156">
        <f t="shared" si="131"/>
        <v>0.47000743931608469</v>
      </c>
      <c r="W164" s="156">
        <f t="shared" ref="W164" si="132">IF(W52=0,0,W52/W$17)</f>
        <v>0.49451408230529753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8.5187368135721531E-2</v>
      </c>
      <c r="C165" s="104">
        <f t="shared" si="133"/>
        <v>8.7700639025496158E-2</v>
      </c>
      <c r="D165" s="104">
        <f t="shared" si="133"/>
        <v>0.11587271837761927</v>
      </c>
      <c r="E165" s="104">
        <f t="shared" si="133"/>
        <v>0.12317616241765254</v>
      </c>
      <c r="F165" s="104">
        <f t="shared" si="133"/>
        <v>0.13838758395994036</v>
      </c>
      <c r="G165" s="104">
        <f t="shared" si="133"/>
        <v>0.14263110089004849</v>
      </c>
      <c r="H165" s="104">
        <f t="shared" si="133"/>
        <v>0.16119164940736719</v>
      </c>
      <c r="I165" s="104">
        <f t="shared" si="133"/>
        <v>0.15807435284279131</v>
      </c>
      <c r="J165" s="104">
        <f t="shared" si="133"/>
        <v>0.18622863987675248</v>
      </c>
      <c r="K165" s="104">
        <f t="shared" si="133"/>
        <v>0.16880948307525248</v>
      </c>
      <c r="L165" s="104">
        <f t="shared" ref="L165" si="134">IF(L53=0,0,L53/L$17)</f>
        <v>0.2007326677758019</v>
      </c>
      <c r="M165" s="104">
        <f t="shared" ref="M165:V165" si="135">IF(M53=0,0,M53/M$17)</f>
        <v>0.19975996336175519</v>
      </c>
      <c r="N165" s="104">
        <f t="shared" si="135"/>
        <v>0.19255384388134997</v>
      </c>
      <c r="O165" s="104">
        <f t="shared" si="135"/>
        <v>0.18788842261029112</v>
      </c>
      <c r="P165" s="104">
        <f t="shared" si="135"/>
        <v>0.20899755595287747</v>
      </c>
      <c r="Q165" s="104">
        <f t="shared" si="135"/>
        <v>0.1904276319692145</v>
      </c>
      <c r="R165" s="104">
        <f t="shared" si="135"/>
        <v>0.21456226715721691</v>
      </c>
      <c r="S165" s="104">
        <f t="shared" si="135"/>
        <v>0.20746894358768375</v>
      </c>
      <c r="T165" s="104">
        <f t="shared" si="135"/>
        <v>0.20044899384448533</v>
      </c>
      <c r="U165" s="104">
        <f t="shared" si="135"/>
        <v>0.22161758187502861</v>
      </c>
      <c r="V165" s="104">
        <f t="shared" si="135"/>
        <v>0.22654563445228446</v>
      </c>
      <c r="W165" s="104">
        <f t="shared" ref="W165" si="136">IF(W53=0,0,W53/W$17)</f>
        <v>0.21363702979250057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7.2164169342243442E-2</v>
      </c>
      <c r="C166" s="105">
        <f t="shared" si="137"/>
        <v>6.2611806145738996E-2</v>
      </c>
      <c r="D166" s="105">
        <f t="shared" si="137"/>
        <v>9.3376470790295013E-2</v>
      </c>
      <c r="E166" s="105">
        <f t="shared" si="137"/>
        <v>3.5194012361190255E-2</v>
      </c>
      <c r="F166" s="105">
        <f t="shared" si="137"/>
        <v>5.2772920799657549E-2</v>
      </c>
      <c r="G166" s="105">
        <f t="shared" si="137"/>
        <v>0.10112922511367199</v>
      </c>
      <c r="H166" s="105">
        <f t="shared" si="137"/>
        <v>0.13060904381483357</v>
      </c>
      <c r="I166" s="105">
        <f t="shared" si="137"/>
        <v>0.14057395535776945</v>
      </c>
      <c r="J166" s="105">
        <f t="shared" si="137"/>
        <v>0.14016786024794836</v>
      </c>
      <c r="K166" s="105">
        <f t="shared" si="137"/>
        <v>0.11737354282386459</v>
      </c>
      <c r="L166" s="105">
        <f t="shared" ref="L166" si="138">IF(L55=0,0,L55/L$17)</f>
        <v>0.1547641264014244</v>
      </c>
      <c r="M166" s="105">
        <f t="shared" ref="M166:V166" si="139">IF(M55=0,0,M55/M$17)</f>
        <v>0.14567307211723304</v>
      </c>
      <c r="N166" s="105">
        <f t="shared" si="139"/>
        <v>0.14780440816557316</v>
      </c>
      <c r="O166" s="105">
        <f t="shared" si="139"/>
        <v>0.17123299778399392</v>
      </c>
      <c r="P166" s="105">
        <f t="shared" si="139"/>
        <v>0.16012788339988324</v>
      </c>
      <c r="Q166" s="105">
        <f t="shared" si="139"/>
        <v>0.15871189202998384</v>
      </c>
      <c r="R166" s="105">
        <f t="shared" si="139"/>
        <v>0.1922616402710533</v>
      </c>
      <c r="S166" s="105">
        <f t="shared" si="139"/>
        <v>0.25791332763948743</v>
      </c>
      <c r="T166" s="105">
        <f t="shared" si="139"/>
        <v>0.27508971396085008</v>
      </c>
      <c r="U166" s="105">
        <f t="shared" si="139"/>
        <v>0.25859211878418753</v>
      </c>
      <c r="V166" s="105">
        <f t="shared" si="139"/>
        <v>0.24346180486380031</v>
      </c>
      <c r="W166" s="105">
        <f t="shared" ref="W166" si="140">IF(W55=0,0,W55/W$17)</f>
        <v>0.28087705251279699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3986.4832493147997</v>
      </c>
      <c r="C4" s="146">
        <f t="shared" si="0"/>
        <v>3979.4992860312</v>
      </c>
      <c r="D4" s="146">
        <f t="shared" si="0"/>
        <v>5031.7527426642364</v>
      </c>
      <c r="E4" s="146">
        <f t="shared" si="0"/>
        <v>4525.6873814172004</v>
      </c>
      <c r="F4" s="146">
        <f t="shared" si="0"/>
        <v>4494.0452270399992</v>
      </c>
      <c r="G4" s="146">
        <f t="shared" si="0"/>
        <v>5044.1471478648</v>
      </c>
      <c r="H4" s="146">
        <f t="shared" si="0"/>
        <v>5128.3466589780001</v>
      </c>
      <c r="I4" s="146">
        <f t="shared" si="0"/>
        <v>5638.0211494811992</v>
      </c>
      <c r="J4" s="146">
        <f t="shared" si="0"/>
        <v>6029.3905121303987</v>
      </c>
      <c r="K4" s="146">
        <f t="shared" si="0"/>
        <v>5352.2484494831988</v>
      </c>
      <c r="L4" s="146">
        <f t="shared" ref="L4" si="1">L5+L9+L10+L15</f>
        <v>6227.0165206800011</v>
      </c>
      <c r="M4" s="146">
        <f t="shared" ref="M4:V4" si="2">M5+M9+M10+M15</f>
        <v>6100.0931753999994</v>
      </c>
      <c r="N4" s="146">
        <f t="shared" si="2"/>
        <v>5923.8656623044017</v>
      </c>
      <c r="O4" s="146">
        <f t="shared" si="2"/>
        <v>5894.2247805288016</v>
      </c>
      <c r="P4" s="146">
        <f t="shared" si="2"/>
        <v>5742.8407857132006</v>
      </c>
      <c r="Q4" s="146">
        <f t="shared" si="2"/>
        <v>5671.4850490176013</v>
      </c>
      <c r="R4" s="146">
        <f t="shared" si="2"/>
        <v>6309.6905419451987</v>
      </c>
      <c r="S4" s="146">
        <f t="shared" si="2"/>
        <v>7336.0740354444015</v>
      </c>
      <c r="T4" s="146">
        <f t="shared" si="2"/>
        <v>7311.6956100491971</v>
      </c>
      <c r="U4" s="146">
        <f t="shared" si="2"/>
        <v>7285.2700943303989</v>
      </c>
      <c r="V4" s="146">
        <f t="shared" si="2"/>
        <v>6693.1453005408011</v>
      </c>
      <c r="W4" s="146">
        <f t="shared" ref="W4" si="3">W5+W9+W10+W15</f>
        <v>7115.0621869008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3986.4832493147997</v>
      </c>
      <c r="C5" s="101">
        <f t="shared" si="4"/>
        <v>3972.1782360312</v>
      </c>
      <c r="D5" s="101">
        <f t="shared" si="4"/>
        <v>5028.6223626642368</v>
      </c>
      <c r="E5" s="101">
        <f t="shared" si="4"/>
        <v>4516.4477114172005</v>
      </c>
      <c r="F5" s="101">
        <f t="shared" si="4"/>
        <v>4480.2109670399996</v>
      </c>
      <c r="G5" s="101">
        <f t="shared" si="4"/>
        <v>5025.6173178647996</v>
      </c>
      <c r="H5" s="101">
        <f t="shared" si="4"/>
        <v>5117.4913089780002</v>
      </c>
      <c r="I5" s="101">
        <f t="shared" si="4"/>
        <v>5595.4075894811995</v>
      </c>
      <c r="J5" s="101">
        <f t="shared" si="4"/>
        <v>6010.3557821303984</v>
      </c>
      <c r="K5" s="101">
        <f t="shared" si="4"/>
        <v>5333.6176394831991</v>
      </c>
      <c r="L5" s="101">
        <f t="shared" ref="L5" si="5">SUM(L6:L8)</f>
        <v>6203.892100680001</v>
      </c>
      <c r="M5" s="101">
        <f t="shared" ref="M5:V5" si="6">SUM(M6:M8)</f>
        <v>6074.6462153999992</v>
      </c>
      <c r="N5" s="101">
        <f t="shared" si="6"/>
        <v>5902.5083923044012</v>
      </c>
      <c r="O5" s="101">
        <f t="shared" si="6"/>
        <v>5877.058180528802</v>
      </c>
      <c r="P5" s="101">
        <f t="shared" si="6"/>
        <v>5722.8972357132006</v>
      </c>
      <c r="Q5" s="101">
        <f t="shared" si="6"/>
        <v>5653.561099017601</v>
      </c>
      <c r="R5" s="101">
        <f t="shared" si="6"/>
        <v>6293.028841945199</v>
      </c>
      <c r="S5" s="101">
        <f t="shared" si="6"/>
        <v>7319.4628254444015</v>
      </c>
      <c r="T5" s="101">
        <f t="shared" si="6"/>
        <v>7297.1042020091973</v>
      </c>
      <c r="U5" s="101">
        <f t="shared" si="6"/>
        <v>7269.8704423703994</v>
      </c>
      <c r="V5" s="101">
        <f t="shared" si="6"/>
        <v>6675.4735985808011</v>
      </c>
      <c r="W5" s="101">
        <f t="shared" ref="W5" si="7">SUM(W6:W8)</f>
        <v>7097.8955869008005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0</v>
      </c>
      <c r="D6" s="101">
        <v>0</v>
      </c>
      <c r="E6" s="101">
        <v>0</v>
      </c>
      <c r="F6" s="101">
        <v>0</v>
      </c>
      <c r="G6" s="101">
        <v>2.9026504799999988</v>
      </c>
      <c r="H6" s="101">
        <v>2.9026504799999988</v>
      </c>
      <c r="I6" s="101">
        <v>2.9026504799999988</v>
      </c>
      <c r="J6" s="101">
        <v>2.9026504799999988</v>
      </c>
      <c r="K6" s="101">
        <v>2.9026504799999988</v>
      </c>
      <c r="L6" s="101">
        <v>5.8053009600000003</v>
      </c>
      <c r="M6" s="101">
        <v>84.175500959999994</v>
      </c>
      <c r="N6" s="101">
        <v>89.980574759999996</v>
      </c>
      <c r="O6" s="101">
        <v>95.785875720000007</v>
      </c>
      <c r="P6" s="101">
        <v>87.077924280000005</v>
      </c>
      <c r="Q6" s="101">
        <v>98.68829903999999</v>
      </c>
      <c r="R6" s="101">
        <v>95.785875720000007</v>
      </c>
      <c r="S6" s="101">
        <v>89.980574759999996</v>
      </c>
      <c r="T6" s="101">
        <v>92.88322524000003</v>
      </c>
      <c r="U6" s="101">
        <v>92.88322524000003</v>
      </c>
      <c r="V6" s="101">
        <v>89.980574759999996</v>
      </c>
      <c r="W6" s="101">
        <v>98.68829903999999</v>
      </c>
      <c r="DA6" s="175" t="s">
        <v>740</v>
      </c>
    </row>
    <row r="7" spans="1:105" ht="11.45" customHeight="1" x14ac:dyDescent="0.25">
      <c r="A7" s="128" t="s">
        <v>53</v>
      </c>
      <c r="B7" s="101">
        <v>1755.40365</v>
      </c>
      <c r="C7" s="101">
        <v>1843.8013994400001</v>
      </c>
      <c r="D7" s="101">
        <v>2170.8225277199999</v>
      </c>
      <c r="E7" s="101">
        <v>2012.4304200000001</v>
      </c>
      <c r="F7" s="101">
        <v>1837.7362911599998</v>
      </c>
      <c r="G7" s="101">
        <v>1934.77827312</v>
      </c>
      <c r="H7" s="101">
        <v>1833.3035305199999</v>
      </c>
      <c r="I7" s="101">
        <v>1859.00670648</v>
      </c>
      <c r="J7" s="101">
        <v>1970.8089231599999</v>
      </c>
      <c r="K7" s="101">
        <v>1771.34342616</v>
      </c>
      <c r="L7" s="101">
        <v>1739.4212127599999</v>
      </c>
      <c r="M7" s="101">
        <v>1653.5050408799998</v>
      </c>
      <c r="N7" s="101">
        <v>1609.557642</v>
      </c>
      <c r="O7" s="101">
        <v>1632.58813872</v>
      </c>
      <c r="P7" s="101">
        <v>1600.41619584</v>
      </c>
      <c r="Q7" s="101">
        <v>1673.5914241200001</v>
      </c>
      <c r="R7" s="101">
        <v>1767.88089324</v>
      </c>
      <c r="S7" s="101">
        <v>1767.5186482799998</v>
      </c>
      <c r="T7" s="101">
        <v>1656.2767636799999</v>
      </c>
      <c r="U7" s="101">
        <v>1592.33953032</v>
      </c>
      <c r="V7" s="101">
        <v>1461.3540480000001</v>
      </c>
      <c r="W7" s="101">
        <v>1488.6189687599999</v>
      </c>
      <c r="DA7" s="175" t="s">
        <v>741</v>
      </c>
    </row>
    <row r="8" spans="1:105" ht="11.45" customHeight="1" x14ac:dyDescent="0.25">
      <c r="A8" s="128" t="s">
        <v>54</v>
      </c>
      <c r="B8" s="101">
        <v>2231.0795993147995</v>
      </c>
      <c r="C8" s="101">
        <v>2128.3768365912001</v>
      </c>
      <c r="D8" s="101">
        <v>2857.7998349442364</v>
      </c>
      <c r="E8" s="101">
        <v>2504.0172914171999</v>
      </c>
      <c r="F8" s="101">
        <v>2642.4746758799997</v>
      </c>
      <c r="G8" s="101">
        <v>3087.9363942647997</v>
      </c>
      <c r="H8" s="101">
        <v>3281.2851279780002</v>
      </c>
      <c r="I8" s="101">
        <v>3733.4982325212</v>
      </c>
      <c r="J8" s="101">
        <v>4036.6442084903983</v>
      </c>
      <c r="K8" s="101">
        <v>3559.3715628431992</v>
      </c>
      <c r="L8" s="101">
        <v>4458.6655869600008</v>
      </c>
      <c r="M8" s="101">
        <v>4336.9656735599992</v>
      </c>
      <c r="N8" s="101">
        <v>4202.9701755444012</v>
      </c>
      <c r="O8" s="101">
        <v>4148.6841660888022</v>
      </c>
      <c r="P8" s="101">
        <v>4035.4031155932012</v>
      </c>
      <c r="Q8" s="101">
        <v>3881.2813758576012</v>
      </c>
      <c r="R8" s="101">
        <v>4429.3620729851991</v>
      </c>
      <c r="S8" s="101">
        <v>5461.9636024044012</v>
      </c>
      <c r="T8" s="101">
        <v>5547.9442130891975</v>
      </c>
      <c r="U8" s="101">
        <v>5584.6476868103991</v>
      </c>
      <c r="V8" s="101">
        <v>5124.1389758208006</v>
      </c>
      <c r="W8" s="101">
        <v>5510.5883191008006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7.3210500000000014</v>
      </c>
      <c r="D9" s="101">
        <v>3.1303799999999993</v>
      </c>
      <c r="E9" s="101">
        <v>9.2396700000000003</v>
      </c>
      <c r="F9" s="101">
        <v>13.834260000000002</v>
      </c>
      <c r="G9" s="101">
        <v>18.52983</v>
      </c>
      <c r="H9" s="101">
        <v>10.855350000000001</v>
      </c>
      <c r="I9" s="101">
        <v>42.61356</v>
      </c>
      <c r="J9" s="101">
        <v>19.034730000000003</v>
      </c>
      <c r="K9" s="101">
        <v>18.63081</v>
      </c>
      <c r="L9" s="101">
        <v>23.124420000000001</v>
      </c>
      <c r="M9" s="101">
        <v>25.446959999999986</v>
      </c>
      <c r="N9" s="101">
        <v>21.35727</v>
      </c>
      <c r="O9" s="101">
        <v>17.166599999999999</v>
      </c>
      <c r="P9" s="101">
        <v>19.943550000000002</v>
      </c>
      <c r="Q9" s="101">
        <v>17.923950000000001</v>
      </c>
      <c r="R9" s="101">
        <v>16.661700000000003</v>
      </c>
      <c r="S9" s="101">
        <v>16.61121</v>
      </c>
      <c r="T9" s="101">
        <v>14.591408040000001</v>
      </c>
      <c r="U9" s="101">
        <v>15.399651960000002</v>
      </c>
      <c r="V9" s="101">
        <v>17.671701960000004</v>
      </c>
      <c r="W9" s="101">
        <v>17.166599999999999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3986.4832493147992</v>
      </c>
      <c r="C17" s="79">
        <f t="shared" si="12"/>
        <v>3979.4992860312004</v>
      </c>
      <c r="D17" s="79">
        <f t="shared" si="12"/>
        <v>5031.7527426642355</v>
      </c>
      <c r="E17" s="79">
        <f t="shared" si="12"/>
        <v>4525.6873814171995</v>
      </c>
      <c r="F17" s="79">
        <f t="shared" si="12"/>
        <v>4494.0452270400001</v>
      </c>
      <c r="G17" s="79">
        <f t="shared" si="12"/>
        <v>5044.1471478648</v>
      </c>
      <c r="H17" s="79">
        <f t="shared" si="12"/>
        <v>5128.3466589780001</v>
      </c>
      <c r="I17" s="79">
        <f t="shared" si="12"/>
        <v>5638.0211494811992</v>
      </c>
      <c r="J17" s="79">
        <f t="shared" si="12"/>
        <v>6029.3905121303987</v>
      </c>
      <c r="K17" s="79">
        <f t="shared" si="12"/>
        <v>5352.2484494831988</v>
      </c>
      <c r="L17" s="79">
        <f t="shared" ref="L17" si="13">SUM(L18,L33)</f>
        <v>6227.0165206800011</v>
      </c>
      <c r="M17" s="79">
        <f t="shared" ref="M17:V17" si="14">SUM(M18,M33)</f>
        <v>6100.0931753999994</v>
      </c>
      <c r="N17" s="79">
        <f t="shared" si="14"/>
        <v>5923.8656623044017</v>
      </c>
      <c r="O17" s="79">
        <f t="shared" si="14"/>
        <v>5894.2247805288025</v>
      </c>
      <c r="P17" s="79">
        <f t="shared" si="14"/>
        <v>5742.8407857132024</v>
      </c>
      <c r="Q17" s="79">
        <f t="shared" si="14"/>
        <v>5671.4850490176013</v>
      </c>
      <c r="R17" s="79">
        <f t="shared" si="14"/>
        <v>6309.6905419451996</v>
      </c>
      <c r="S17" s="79">
        <f t="shared" si="14"/>
        <v>7336.0740354444024</v>
      </c>
      <c r="T17" s="79">
        <f t="shared" si="14"/>
        <v>7311.6956100491989</v>
      </c>
      <c r="U17" s="79">
        <f t="shared" si="14"/>
        <v>7285.2700943303989</v>
      </c>
      <c r="V17" s="79">
        <f t="shared" si="14"/>
        <v>6693.1453005408002</v>
      </c>
      <c r="W17" s="79">
        <f t="shared" ref="W17" si="15">SUM(W18,W33)</f>
        <v>7115.0621869008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2798.201136047187</v>
      </c>
      <c r="C18" s="32">
        <f t="shared" si="16"/>
        <v>2831.0462045770305</v>
      </c>
      <c r="D18" s="32">
        <f t="shared" si="16"/>
        <v>3286.6518464572919</v>
      </c>
      <c r="E18" s="32">
        <f t="shared" si="16"/>
        <v>3167.7244099747741</v>
      </c>
      <c r="F18" s="32">
        <f t="shared" si="16"/>
        <v>2950.3046753044941</v>
      </c>
      <c r="G18" s="32">
        <f t="shared" si="16"/>
        <v>3056.0371860547248</v>
      </c>
      <c r="H18" s="32">
        <f t="shared" si="16"/>
        <v>2954.4398238162375</v>
      </c>
      <c r="I18" s="32">
        <f t="shared" si="16"/>
        <v>3138.01526922316</v>
      </c>
      <c r="J18" s="32">
        <f t="shared" si="16"/>
        <v>3253.7919258528436</v>
      </c>
      <c r="K18" s="32">
        <f t="shared" si="16"/>
        <v>3024.5190033976155</v>
      </c>
      <c r="L18" s="32">
        <f t="shared" ref="L18" si="17">SUM(L19,L20,L27)</f>
        <v>3075.3004313167489</v>
      </c>
      <c r="M18" s="32">
        <f t="shared" ref="M18:V18" si="18">SUM(M19,M20,M27)</f>
        <v>3013.7841475539881</v>
      </c>
      <c r="N18" s="32">
        <f t="shared" si="18"/>
        <v>2950.8523118681624</v>
      </c>
      <c r="O18" s="32">
        <f t="shared" si="18"/>
        <v>2938.4768525270865</v>
      </c>
      <c r="P18" s="32">
        <f t="shared" si="18"/>
        <v>2874.9683681707629</v>
      </c>
      <c r="Q18" s="32">
        <f t="shared" si="18"/>
        <v>2892.3398374128778</v>
      </c>
      <c r="R18" s="32">
        <f t="shared" si="18"/>
        <v>2936.7862963116722</v>
      </c>
      <c r="S18" s="32">
        <f t="shared" si="18"/>
        <v>3022.9448238719033</v>
      </c>
      <c r="T18" s="32">
        <f t="shared" si="18"/>
        <v>2951.8593162834932</v>
      </c>
      <c r="U18" s="32">
        <f t="shared" si="18"/>
        <v>2909.5594855254872</v>
      </c>
      <c r="V18" s="32">
        <f t="shared" si="18"/>
        <v>2645.1437699452804</v>
      </c>
      <c r="W18" s="32">
        <f t="shared" ref="W18" si="19">SUM(W19,W20,W27)</f>
        <v>2726.7733074644957</v>
      </c>
      <c r="DA18" s="173" t="s">
        <v>402</v>
      </c>
    </row>
    <row r="19" spans="1:105" ht="11.45" customHeight="1" x14ac:dyDescent="0.25">
      <c r="A19" s="136" t="s">
        <v>180</v>
      </c>
      <c r="B19" s="141">
        <v>5.8867250273817575</v>
      </c>
      <c r="C19" s="141">
        <v>6.2170978340259699</v>
      </c>
      <c r="D19" s="141">
        <v>5.4429051745897334</v>
      </c>
      <c r="E19" s="141">
        <v>5.5374090981940745</v>
      </c>
      <c r="F19" s="141">
        <v>5.8397899304136436</v>
      </c>
      <c r="G19" s="141">
        <v>6.3926380086182482</v>
      </c>
      <c r="H19" s="141">
        <v>6.6183468254503088</v>
      </c>
      <c r="I19" s="141">
        <v>7.1142112179902046</v>
      </c>
      <c r="J19" s="141">
        <v>7.7009817089392802</v>
      </c>
      <c r="K19" s="141">
        <v>6.5534660010948338</v>
      </c>
      <c r="L19" s="141">
        <v>6.0091347156516379</v>
      </c>
      <c r="M19" s="141">
        <v>7.2767031752449345</v>
      </c>
      <c r="N19" s="141">
        <v>8.5132346764643003</v>
      </c>
      <c r="O19" s="141">
        <v>8.6619719557402473</v>
      </c>
      <c r="P19" s="141">
        <v>9.459785167159465</v>
      </c>
      <c r="Q19" s="141">
        <v>10.523270749832355</v>
      </c>
      <c r="R19" s="141">
        <v>11.277254640926966</v>
      </c>
      <c r="S19" s="141">
        <v>10.624257699879184</v>
      </c>
      <c r="T19" s="141">
        <v>10.179271597727674</v>
      </c>
      <c r="U19" s="141">
        <v>10.791170900490254</v>
      </c>
      <c r="V19" s="141">
        <v>9.5540143350944167</v>
      </c>
      <c r="W19" s="141">
        <v>9.1808921239391648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2230.227883179829</v>
      </c>
      <c r="C20" s="130">
        <f t="shared" si="20"/>
        <v>2309.2737498483893</v>
      </c>
      <c r="D20" s="130">
        <f t="shared" si="20"/>
        <v>2748.367537887761</v>
      </c>
      <c r="E20" s="130">
        <f t="shared" si="20"/>
        <v>2618.9344518643593</v>
      </c>
      <c r="F20" s="130">
        <f t="shared" si="20"/>
        <v>2442.7615160793862</v>
      </c>
      <c r="G20" s="130">
        <f t="shared" si="20"/>
        <v>2570.9715227451325</v>
      </c>
      <c r="H20" s="130">
        <f t="shared" si="20"/>
        <v>2474.6023091886409</v>
      </c>
      <c r="I20" s="130">
        <f t="shared" si="20"/>
        <v>2566.543846805469</v>
      </c>
      <c r="J20" s="130">
        <f t="shared" si="20"/>
        <v>2697.4830573386071</v>
      </c>
      <c r="K20" s="130">
        <f t="shared" si="20"/>
        <v>2514.0835319687776</v>
      </c>
      <c r="L20" s="130">
        <f t="shared" ref="L20" si="21">SUM(L21:L26)</f>
        <v>2575.1954846504091</v>
      </c>
      <c r="M20" s="130">
        <f t="shared" ref="M20:V20" si="22">SUM(M21:M26)</f>
        <v>2548.8699726008649</v>
      </c>
      <c r="N20" s="130">
        <f t="shared" si="22"/>
        <v>2487.7655847203337</v>
      </c>
      <c r="O20" s="130">
        <f t="shared" si="22"/>
        <v>2491.3663421238321</v>
      </c>
      <c r="P20" s="130">
        <f t="shared" si="22"/>
        <v>2432.9998145111831</v>
      </c>
      <c r="Q20" s="130">
        <f t="shared" si="22"/>
        <v>2460.0101016731519</v>
      </c>
      <c r="R20" s="130">
        <f t="shared" si="22"/>
        <v>2510.5765440224268</v>
      </c>
      <c r="S20" s="130">
        <f t="shared" si="22"/>
        <v>2563.6067270985855</v>
      </c>
      <c r="T20" s="130">
        <f t="shared" si="22"/>
        <v>2478.1436656301671</v>
      </c>
      <c r="U20" s="130">
        <f t="shared" si="22"/>
        <v>2431.5056767312813</v>
      </c>
      <c r="V20" s="130">
        <f t="shared" si="22"/>
        <v>2238.0382071474169</v>
      </c>
      <c r="W20" s="130">
        <f t="shared" ref="W20" si="23">SUM(W21:W26)</f>
        <v>2314.4619853076165</v>
      </c>
      <c r="DA20" s="176" t="s">
        <v>404</v>
      </c>
    </row>
    <row r="21" spans="1:105" ht="11.45" customHeight="1" x14ac:dyDescent="0.25">
      <c r="A21" s="111" t="s">
        <v>110</v>
      </c>
      <c r="B21" s="96">
        <v>1600.9821932813204</v>
      </c>
      <c r="C21" s="96">
        <v>1687.8357397339009</v>
      </c>
      <c r="D21" s="96">
        <v>2014.5750888389894</v>
      </c>
      <c r="E21" s="96">
        <v>1859.4092041104398</v>
      </c>
      <c r="F21" s="96">
        <v>1658.788391866093</v>
      </c>
      <c r="G21" s="96">
        <v>1755.6065857243805</v>
      </c>
      <c r="H21" s="96">
        <v>1653.2172522600019</v>
      </c>
      <c r="I21" s="96">
        <v>1668.9892037741324</v>
      </c>
      <c r="J21" s="96">
        <v>1773.6220593909252</v>
      </c>
      <c r="K21" s="96">
        <v>1581.904439410413</v>
      </c>
      <c r="L21" s="96">
        <v>1597.0808949077905</v>
      </c>
      <c r="M21" s="96">
        <v>1505.539041578083</v>
      </c>
      <c r="N21" s="96">
        <v>1456.9000837722576</v>
      </c>
      <c r="O21" s="96">
        <v>1476.3034487778727</v>
      </c>
      <c r="P21" s="96">
        <v>1453.9239728797797</v>
      </c>
      <c r="Q21" s="96">
        <v>1500.7019020107402</v>
      </c>
      <c r="R21" s="96">
        <v>1570.3834695515891</v>
      </c>
      <c r="S21" s="96">
        <v>1590.7809111894044</v>
      </c>
      <c r="T21" s="96">
        <v>1485.8836576221197</v>
      </c>
      <c r="U21" s="96">
        <v>1443.6613075111222</v>
      </c>
      <c r="V21" s="96">
        <v>1315.6256659129649</v>
      </c>
      <c r="W21" s="96">
        <v>1342.4354508366389</v>
      </c>
      <c r="DA21" s="171" t="s">
        <v>750</v>
      </c>
    </row>
    <row r="22" spans="1:105" ht="11.45" customHeight="1" x14ac:dyDescent="0.25">
      <c r="A22" s="111" t="s">
        <v>111</v>
      </c>
      <c r="B22" s="96">
        <v>629.24568989850866</v>
      </c>
      <c r="C22" s="96">
        <v>614.11696011448851</v>
      </c>
      <c r="D22" s="96">
        <v>730.66206904877174</v>
      </c>
      <c r="E22" s="96">
        <v>750.2855777539196</v>
      </c>
      <c r="F22" s="96">
        <v>770.13886421329312</v>
      </c>
      <c r="G22" s="96">
        <v>793.93245654075201</v>
      </c>
      <c r="H22" s="96">
        <v>807.62705644863911</v>
      </c>
      <c r="I22" s="96">
        <v>852.03843255133688</v>
      </c>
      <c r="J22" s="96">
        <v>901.92361746768188</v>
      </c>
      <c r="K22" s="96">
        <v>910.64563207836466</v>
      </c>
      <c r="L22" s="96">
        <v>949.18486878261854</v>
      </c>
      <c r="M22" s="96">
        <v>933.70847006278223</v>
      </c>
      <c r="N22" s="96">
        <v>919.56217016180744</v>
      </c>
      <c r="O22" s="96">
        <v>902.14922237085102</v>
      </c>
      <c r="P22" s="96">
        <v>881.61606886065817</v>
      </c>
      <c r="Q22" s="96">
        <v>852.4337580305629</v>
      </c>
      <c r="R22" s="96">
        <v>841.89903322599355</v>
      </c>
      <c r="S22" s="96">
        <v>881.99526102634889</v>
      </c>
      <c r="T22" s="96">
        <v>899.96177002209538</v>
      </c>
      <c r="U22" s="96">
        <v>898.17872414135388</v>
      </c>
      <c r="V22" s="96">
        <v>836.36456944927284</v>
      </c>
      <c r="W22" s="96">
        <v>877.33576923271323</v>
      </c>
      <c r="DA22" s="171" t="s">
        <v>751</v>
      </c>
    </row>
    <row r="23" spans="1:105" ht="11.45" customHeight="1" x14ac:dyDescent="0.25">
      <c r="A23" s="111" t="s">
        <v>112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2.9026504799999988</v>
      </c>
      <c r="H23" s="96">
        <v>2.9026504799999988</v>
      </c>
      <c r="I23" s="96">
        <v>2.9026504799999988</v>
      </c>
      <c r="J23" s="96">
        <v>2.9026504799999988</v>
      </c>
      <c r="K23" s="96">
        <v>2.9026504799999988</v>
      </c>
      <c r="L23" s="96">
        <v>5.8053009600000003</v>
      </c>
      <c r="M23" s="96">
        <v>84.175500959999994</v>
      </c>
      <c r="N23" s="96">
        <v>89.959329202014374</v>
      </c>
      <c r="O23" s="96">
        <v>95.773401857531027</v>
      </c>
      <c r="P23" s="96">
        <v>77.518248689218908</v>
      </c>
      <c r="Q23" s="96">
        <v>88.943727298388126</v>
      </c>
      <c r="R23" s="96">
        <v>85.052473564957396</v>
      </c>
      <c r="S23" s="96">
        <v>78.863576527121467</v>
      </c>
      <c r="T23" s="96">
        <v>81.476332980398482</v>
      </c>
      <c r="U23" s="96">
        <v>81.089061583355004</v>
      </c>
      <c r="V23" s="96">
        <v>77.931676582406823</v>
      </c>
      <c r="W23" s="96">
        <v>86.664958502047853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7.3210500000000014</v>
      </c>
      <c r="D24" s="96">
        <v>3.1303799999999993</v>
      </c>
      <c r="E24" s="96">
        <v>9.2396700000000003</v>
      </c>
      <c r="F24" s="96">
        <v>13.834260000000002</v>
      </c>
      <c r="G24" s="96">
        <v>18.52983</v>
      </c>
      <c r="H24" s="96">
        <v>10.855350000000001</v>
      </c>
      <c r="I24" s="96">
        <v>42.61356</v>
      </c>
      <c r="J24" s="96">
        <v>19.034730000000003</v>
      </c>
      <c r="K24" s="96">
        <v>18.63081</v>
      </c>
      <c r="L24" s="96">
        <v>23.124420000000001</v>
      </c>
      <c r="M24" s="96">
        <v>25.446959999999986</v>
      </c>
      <c r="N24" s="96">
        <v>21.34255617732714</v>
      </c>
      <c r="O24" s="96">
        <v>17.138790846566</v>
      </c>
      <c r="P24" s="96">
        <v>19.922043843617367</v>
      </c>
      <c r="Q24" s="96">
        <v>17.897886202383958</v>
      </c>
      <c r="R24" s="96">
        <v>13.144470051899019</v>
      </c>
      <c r="S24" s="96">
        <v>11.732674882383009</v>
      </c>
      <c r="T24" s="96">
        <v>10.51363726733334</v>
      </c>
      <c r="U24" s="96">
        <v>8.2179487293962303</v>
      </c>
      <c r="V24" s="96">
        <v>7.5928228904710542</v>
      </c>
      <c r="W24" s="96">
        <v>7.3644900652044329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1.4454069267314659E-3</v>
      </c>
      <c r="O25" s="96">
        <v>1.4782710111686914E-3</v>
      </c>
      <c r="P25" s="96">
        <v>1.9480237908547478E-2</v>
      </c>
      <c r="Q25" s="96">
        <v>3.2828131076303432E-2</v>
      </c>
      <c r="R25" s="96">
        <v>9.709762798772624E-2</v>
      </c>
      <c r="S25" s="96">
        <v>0.23430347332776852</v>
      </c>
      <c r="T25" s="96">
        <v>0.3082677382197353</v>
      </c>
      <c r="U25" s="96">
        <v>0.35863476605411554</v>
      </c>
      <c r="V25" s="96">
        <v>0.52347231230120361</v>
      </c>
      <c r="W25" s="96">
        <v>0.66131667101237857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562.08652783997638</v>
      </c>
      <c r="C27" s="130">
        <f t="shared" si="24"/>
        <v>515.55535689461522</v>
      </c>
      <c r="D27" s="130">
        <f t="shared" si="24"/>
        <v>532.84140339494127</v>
      </c>
      <c r="E27" s="130">
        <f t="shared" si="24"/>
        <v>543.25254901222092</v>
      </c>
      <c r="F27" s="130">
        <f t="shared" si="24"/>
        <v>501.7033692946942</v>
      </c>
      <c r="G27" s="130">
        <f t="shared" si="24"/>
        <v>478.67302530097407</v>
      </c>
      <c r="H27" s="130">
        <f t="shared" si="24"/>
        <v>473.21916780214622</v>
      </c>
      <c r="I27" s="130">
        <f t="shared" si="24"/>
        <v>564.35721119970106</v>
      </c>
      <c r="J27" s="130">
        <f t="shared" si="24"/>
        <v>548.60788680529731</v>
      </c>
      <c r="K27" s="130">
        <f t="shared" si="24"/>
        <v>503.88200542774297</v>
      </c>
      <c r="L27" s="130">
        <f t="shared" ref="L27" si="25">SUM(L28:L32)</f>
        <v>494.09581195068819</v>
      </c>
      <c r="M27" s="130">
        <f t="shared" ref="M27:V27" si="26">SUM(M28:M32)</f>
        <v>457.6374717778782</v>
      </c>
      <c r="N27" s="130">
        <f t="shared" si="26"/>
        <v>454.57349247136415</v>
      </c>
      <c r="O27" s="130">
        <f t="shared" si="26"/>
        <v>438.44853844751424</v>
      </c>
      <c r="P27" s="130">
        <f t="shared" si="26"/>
        <v>432.50876849241996</v>
      </c>
      <c r="Q27" s="130">
        <f t="shared" si="26"/>
        <v>421.80646498989387</v>
      </c>
      <c r="R27" s="130">
        <f t="shared" si="26"/>
        <v>414.93249764831836</v>
      </c>
      <c r="S27" s="130">
        <f t="shared" si="26"/>
        <v>448.71383907343858</v>
      </c>
      <c r="T27" s="130">
        <f t="shared" si="26"/>
        <v>463.53637905559833</v>
      </c>
      <c r="U27" s="130">
        <f t="shared" si="26"/>
        <v>467.26263789371569</v>
      </c>
      <c r="V27" s="130">
        <f t="shared" si="26"/>
        <v>397.55154846276901</v>
      </c>
      <c r="W27" s="130">
        <f t="shared" ref="W27" si="27">SUM(W28:W32)</f>
        <v>403.13043003294013</v>
      </c>
      <c r="DA27" s="176" t="s">
        <v>405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</v>
      </c>
      <c r="M28" s="97">
        <v>0</v>
      </c>
      <c r="N28" s="97">
        <v>0</v>
      </c>
      <c r="O28" s="97">
        <v>0</v>
      </c>
      <c r="P28" s="97">
        <v>0</v>
      </c>
      <c r="Q28" s="97">
        <v>0</v>
      </c>
      <c r="R28" s="97">
        <v>0</v>
      </c>
      <c r="S28" s="97">
        <v>0</v>
      </c>
      <c r="T28" s="97">
        <v>0</v>
      </c>
      <c r="U28" s="97">
        <v>0</v>
      </c>
      <c r="V28" s="97">
        <v>0</v>
      </c>
      <c r="W28" s="97">
        <v>0</v>
      </c>
      <c r="DA28" s="175" t="s">
        <v>756</v>
      </c>
    </row>
    <row r="29" spans="1:105" ht="11.45" customHeight="1" x14ac:dyDescent="0.25">
      <c r="A29" s="111" t="s">
        <v>111</v>
      </c>
      <c r="B29" s="97">
        <v>562.08652783997638</v>
      </c>
      <c r="C29" s="97">
        <v>515.55535689461522</v>
      </c>
      <c r="D29" s="97">
        <v>532.84140339494127</v>
      </c>
      <c r="E29" s="97">
        <v>543.25254901222092</v>
      </c>
      <c r="F29" s="97">
        <v>501.7033692946942</v>
      </c>
      <c r="G29" s="97">
        <v>478.67302530097407</v>
      </c>
      <c r="H29" s="97">
        <v>473.21916780214622</v>
      </c>
      <c r="I29" s="97">
        <v>564.35721119970106</v>
      </c>
      <c r="J29" s="97">
        <v>548.60788680529731</v>
      </c>
      <c r="K29" s="97">
        <v>503.88200542774297</v>
      </c>
      <c r="L29" s="97">
        <v>494.09581195068819</v>
      </c>
      <c r="M29" s="97">
        <v>457.6374717778782</v>
      </c>
      <c r="N29" s="97">
        <v>454.57349247136415</v>
      </c>
      <c r="O29" s="97">
        <v>438.44853844751424</v>
      </c>
      <c r="P29" s="97">
        <v>432.50876849241996</v>
      </c>
      <c r="Q29" s="97">
        <v>421.80646498989387</v>
      </c>
      <c r="R29" s="97">
        <v>412.26190673082391</v>
      </c>
      <c r="S29" s="97">
        <v>444.70892619957783</v>
      </c>
      <c r="T29" s="97">
        <v>460.80028997989342</v>
      </c>
      <c r="U29" s="97">
        <v>461.69056197463306</v>
      </c>
      <c r="V29" s="97">
        <v>390.36374611676843</v>
      </c>
      <c r="W29" s="97">
        <v>396.15987797189047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2.6705909174944384</v>
      </c>
      <c r="S31" s="97">
        <v>4.0049128738607278</v>
      </c>
      <c r="T31" s="97">
        <v>2.7360890757048923</v>
      </c>
      <c r="U31" s="97">
        <v>5.5720759190826517</v>
      </c>
      <c r="V31" s="97">
        <v>7.1878023460005558</v>
      </c>
      <c r="W31" s="97">
        <v>6.9705520610496707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1188.2821132676122</v>
      </c>
      <c r="C33" s="32">
        <f t="shared" si="28"/>
        <v>1148.4530814541699</v>
      </c>
      <c r="D33" s="32">
        <f t="shared" si="28"/>
        <v>1745.1008962069441</v>
      </c>
      <c r="E33" s="32">
        <f t="shared" si="28"/>
        <v>1357.9629714424259</v>
      </c>
      <c r="F33" s="32">
        <f t="shared" si="28"/>
        <v>1543.7405517355064</v>
      </c>
      <c r="G33" s="32">
        <f t="shared" si="28"/>
        <v>1988.1099618100748</v>
      </c>
      <c r="H33" s="32">
        <f t="shared" si="28"/>
        <v>2173.906835161762</v>
      </c>
      <c r="I33" s="32">
        <f t="shared" si="28"/>
        <v>2500.0058802580393</v>
      </c>
      <c r="J33" s="32">
        <f t="shared" si="28"/>
        <v>2775.5985862775551</v>
      </c>
      <c r="K33" s="32">
        <f t="shared" si="28"/>
        <v>2327.7294460855837</v>
      </c>
      <c r="L33" s="32">
        <f t="shared" ref="L33" si="29">L34+L40</f>
        <v>3151.7160893632517</v>
      </c>
      <c r="M33" s="32">
        <f t="shared" ref="M33:V33" si="30">M34+M40</f>
        <v>3086.3090278460113</v>
      </c>
      <c r="N33" s="32">
        <f t="shared" si="30"/>
        <v>2973.0133504362393</v>
      </c>
      <c r="O33" s="32">
        <f t="shared" si="30"/>
        <v>2955.7479280017155</v>
      </c>
      <c r="P33" s="32">
        <f t="shared" si="30"/>
        <v>2867.8724175424395</v>
      </c>
      <c r="Q33" s="32">
        <f t="shared" si="30"/>
        <v>2779.1452116047235</v>
      </c>
      <c r="R33" s="32">
        <f t="shared" si="30"/>
        <v>3372.9042456335269</v>
      </c>
      <c r="S33" s="32">
        <f t="shared" si="30"/>
        <v>4313.1292115724991</v>
      </c>
      <c r="T33" s="32">
        <f t="shared" si="30"/>
        <v>4359.8362937657057</v>
      </c>
      <c r="U33" s="32">
        <f t="shared" si="30"/>
        <v>4375.7106088049113</v>
      </c>
      <c r="V33" s="32">
        <f t="shared" si="30"/>
        <v>4048.0015305955194</v>
      </c>
      <c r="W33" s="32">
        <f t="shared" ref="W33" si="31">W34+W40</f>
        <v>4388.2888794363043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541.87103788136415</v>
      </c>
      <c r="C34" s="141">
        <f t="shared" si="32"/>
        <v>544.27026455962721</v>
      </c>
      <c r="D34" s="141">
        <f t="shared" si="32"/>
        <v>662.12231502698239</v>
      </c>
      <c r="E34" s="141">
        <f t="shared" si="32"/>
        <v>619.53427551741856</v>
      </c>
      <c r="F34" s="141">
        <f t="shared" si="32"/>
        <v>659.92143655508551</v>
      </c>
      <c r="G34" s="141">
        <f t="shared" si="32"/>
        <v>729.97789730085606</v>
      </c>
      <c r="H34" s="141">
        <f t="shared" si="32"/>
        <v>661.07822443617351</v>
      </c>
      <c r="I34" s="141">
        <f t="shared" si="32"/>
        <v>788.60304725603294</v>
      </c>
      <c r="J34" s="141">
        <f t="shared" si="32"/>
        <v>781.38235678142382</v>
      </c>
      <c r="K34" s="141">
        <f t="shared" si="32"/>
        <v>765.30120444854083</v>
      </c>
      <c r="L34" s="141">
        <f t="shared" ref="L34" si="33">SUM(L35:L39)</f>
        <v>898.62885629564551</v>
      </c>
      <c r="M34" s="141">
        <f t="shared" ref="M34:V34" si="34">SUM(M35:M39)</f>
        <v>942.47458417949872</v>
      </c>
      <c r="N34" s="141">
        <f t="shared" si="34"/>
        <v>922.23294333167905</v>
      </c>
      <c r="O34" s="141">
        <f t="shared" si="34"/>
        <v>806.87131076512776</v>
      </c>
      <c r="P34" s="141">
        <f t="shared" si="34"/>
        <v>720.93910858222694</v>
      </c>
      <c r="Q34" s="141">
        <f t="shared" si="34"/>
        <v>781.51518466247728</v>
      </c>
      <c r="R34" s="141">
        <f t="shared" si="34"/>
        <v>789.55312478471069</v>
      </c>
      <c r="S34" s="141">
        <f t="shared" si="34"/>
        <v>859.89953343407808</v>
      </c>
      <c r="T34" s="141">
        <f t="shared" si="34"/>
        <v>844.4695882793601</v>
      </c>
      <c r="U34" s="141">
        <f t="shared" si="34"/>
        <v>836.02613435597755</v>
      </c>
      <c r="V34" s="141">
        <f t="shared" si="34"/>
        <v>854.1563852503416</v>
      </c>
      <c r="W34" s="141">
        <f t="shared" ref="W34" si="35">SUM(W35:W39)</f>
        <v>816.71528350958602</v>
      </c>
      <c r="DA34" s="174" t="s">
        <v>411</v>
      </c>
    </row>
    <row r="35" spans="1:105" ht="11.45" customHeight="1" x14ac:dyDescent="0.25">
      <c r="A35" s="111" t="s">
        <v>110</v>
      </c>
      <c r="B35" s="96">
        <v>148.53473169129776</v>
      </c>
      <c r="C35" s="96">
        <v>149.74856187207328</v>
      </c>
      <c r="D35" s="96">
        <v>150.80453370642104</v>
      </c>
      <c r="E35" s="96">
        <v>147.48380679136653</v>
      </c>
      <c r="F35" s="96">
        <v>173.10810936349347</v>
      </c>
      <c r="G35" s="96">
        <v>172.77904938700141</v>
      </c>
      <c r="H35" s="96">
        <v>173.46793143454741</v>
      </c>
      <c r="I35" s="96">
        <v>182.90329148787751</v>
      </c>
      <c r="J35" s="96">
        <v>189.48588206013557</v>
      </c>
      <c r="K35" s="96">
        <v>182.88552074849198</v>
      </c>
      <c r="L35" s="96">
        <v>136.33118313655794</v>
      </c>
      <c r="M35" s="96">
        <v>140.68929612667171</v>
      </c>
      <c r="N35" s="96">
        <v>144.14287814435136</v>
      </c>
      <c r="O35" s="96">
        <v>147.62123971537568</v>
      </c>
      <c r="P35" s="96">
        <v>137.01295755515235</v>
      </c>
      <c r="Q35" s="96">
        <v>162.33342322835111</v>
      </c>
      <c r="R35" s="96">
        <v>186.12307141949594</v>
      </c>
      <c r="S35" s="96">
        <v>165.87917591738864</v>
      </c>
      <c r="T35" s="96">
        <v>159.90556672193279</v>
      </c>
      <c r="U35" s="96">
        <v>137.52841714233367</v>
      </c>
      <c r="V35" s="96">
        <v>135.65089543963958</v>
      </c>
      <c r="W35" s="96">
        <v>136.34130912840934</v>
      </c>
      <c r="DA35" s="171" t="s">
        <v>761</v>
      </c>
    </row>
    <row r="36" spans="1:105" ht="11.45" customHeight="1" x14ac:dyDescent="0.25">
      <c r="A36" s="111" t="s">
        <v>111</v>
      </c>
      <c r="B36" s="96">
        <v>393.33630619006635</v>
      </c>
      <c r="C36" s="96">
        <v>394.5217026875539</v>
      </c>
      <c r="D36" s="96">
        <v>511.31778132056138</v>
      </c>
      <c r="E36" s="96">
        <v>472.05046872605197</v>
      </c>
      <c r="F36" s="96">
        <v>486.81332719159207</v>
      </c>
      <c r="G36" s="96">
        <v>557.19884791385471</v>
      </c>
      <c r="H36" s="96">
        <v>487.61029300162608</v>
      </c>
      <c r="I36" s="96">
        <v>605.69975576815546</v>
      </c>
      <c r="J36" s="96">
        <v>591.8964747212882</v>
      </c>
      <c r="K36" s="96">
        <v>582.41568370004882</v>
      </c>
      <c r="L36" s="96">
        <v>762.29767315908759</v>
      </c>
      <c r="M36" s="96">
        <v>801.78528805282701</v>
      </c>
      <c r="N36" s="96">
        <v>778.05410580666921</v>
      </c>
      <c r="O36" s="96">
        <v>659.20978803384924</v>
      </c>
      <c r="P36" s="96">
        <v>574.34496927991086</v>
      </c>
      <c r="Q36" s="96">
        <v>609.4111258948983</v>
      </c>
      <c r="R36" s="96">
        <v>591.85001217956562</v>
      </c>
      <c r="S36" s="96">
        <v>682.02973704005467</v>
      </c>
      <c r="T36" s="96">
        <v>671.81544760086388</v>
      </c>
      <c r="U36" s="96">
        <v>685.09392624547786</v>
      </c>
      <c r="V36" s="96">
        <v>703.56551490958043</v>
      </c>
      <c r="W36" s="96">
        <v>665.51907596947876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2.124555798561854E-2</v>
      </c>
      <c r="O37" s="96">
        <v>1.2473862468992724E-2</v>
      </c>
      <c r="P37" s="96">
        <v>9.5596755907811009</v>
      </c>
      <c r="Q37" s="96">
        <v>9.7445717416118676</v>
      </c>
      <c r="R37" s="96">
        <v>10.733402155042612</v>
      </c>
      <c r="S37" s="96">
        <v>11.116998232878519</v>
      </c>
      <c r="T37" s="96">
        <v>11.406892259601534</v>
      </c>
      <c r="U37" s="96">
        <v>11.794163656645022</v>
      </c>
      <c r="V37" s="96">
        <v>12.048898177593173</v>
      </c>
      <c r="W37" s="96">
        <v>12.023340537952146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1.4713822672858732E-2</v>
      </c>
      <c r="O38" s="96">
        <v>2.780915343399985E-2</v>
      </c>
      <c r="P38" s="96">
        <v>2.1506156382635293E-2</v>
      </c>
      <c r="Q38" s="96">
        <v>2.6063797616042956E-2</v>
      </c>
      <c r="R38" s="96">
        <v>0.84663903060654833</v>
      </c>
      <c r="S38" s="96">
        <v>0.8736222437562644</v>
      </c>
      <c r="T38" s="96">
        <v>1.3416816969617662</v>
      </c>
      <c r="U38" s="96">
        <v>1.6096273115211202</v>
      </c>
      <c r="V38" s="96">
        <v>2.8910767235283923</v>
      </c>
      <c r="W38" s="96">
        <v>2.831557873745898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646.41107538624806</v>
      </c>
      <c r="C40" s="130">
        <f t="shared" si="36"/>
        <v>604.18281689454284</v>
      </c>
      <c r="D40" s="130">
        <f t="shared" si="36"/>
        <v>1082.9785811799616</v>
      </c>
      <c r="E40" s="130">
        <f t="shared" si="36"/>
        <v>738.42869592500733</v>
      </c>
      <c r="F40" s="130">
        <f t="shared" si="36"/>
        <v>883.81911518042079</v>
      </c>
      <c r="G40" s="130">
        <f t="shared" si="36"/>
        <v>1258.1320645092187</v>
      </c>
      <c r="H40" s="130">
        <f t="shared" si="36"/>
        <v>1512.8286107255885</v>
      </c>
      <c r="I40" s="130">
        <f t="shared" si="36"/>
        <v>1711.4028330020064</v>
      </c>
      <c r="J40" s="130">
        <f t="shared" si="36"/>
        <v>1994.2162294961313</v>
      </c>
      <c r="K40" s="130">
        <f t="shared" si="36"/>
        <v>1562.4282416370427</v>
      </c>
      <c r="L40" s="130">
        <f t="shared" ref="L40" si="37">SUM(L41:L42)</f>
        <v>2253.0872330676061</v>
      </c>
      <c r="M40" s="130">
        <f t="shared" ref="M40:V40" si="38">SUM(M41:M42)</f>
        <v>2143.8344436665125</v>
      </c>
      <c r="N40" s="130">
        <f t="shared" si="38"/>
        <v>2050.7804071045603</v>
      </c>
      <c r="O40" s="130">
        <f t="shared" si="38"/>
        <v>2148.8766172365877</v>
      </c>
      <c r="P40" s="130">
        <f t="shared" si="38"/>
        <v>2146.9333089602123</v>
      </c>
      <c r="Q40" s="130">
        <f t="shared" si="38"/>
        <v>1997.6300269422461</v>
      </c>
      <c r="R40" s="130">
        <f t="shared" si="38"/>
        <v>2583.3511208488162</v>
      </c>
      <c r="S40" s="130">
        <f t="shared" si="38"/>
        <v>3453.2296781384207</v>
      </c>
      <c r="T40" s="130">
        <f t="shared" si="38"/>
        <v>3515.3667054863454</v>
      </c>
      <c r="U40" s="130">
        <f t="shared" si="38"/>
        <v>3539.6844744489335</v>
      </c>
      <c r="V40" s="130">
        <f t="shared" si="38"/>
        <v>3193.845145345178</v>
      </c>
      <c r="W40" s="130">
        <f t="shared" ref="W40" si="39">SUM(W41:W42)</f>
        <v>3571.5735959267186</v>
      </c>
      <c r="DA40" s="176" t="s">
        <v>412</v>
      </c>
    </row>
    <row r="41" spans="1:105" ht="11.45" customHeight="1" x14ac:dyDescent="0.25">
      <c r="A41" s="128" t="s">
        <v>27</v>
      </c>
      <c r="B41" s="97">
        <v>349.95564154336427</v>
      </c>
      <c r="C41" s="97">
        <v>352.51385252573715</v>
      </c>
      <c r="D41" s="97">
        <v>599.70446072008633</v>
      </c>
      <c r="E41" s="97">
        <v>574.33044517461303</v>
      </c>
      <c r="F41" s="97">
        <v>639.82668470794397</v>
      </c>
      <c r="G41" s="97">
        <v>736.16886048667527</v>
      </c>
      <c r="H41" s="97">
        <v>835.69143150671744</v>
      </c>
      <c r="I41" s="97">
        <v>905.844392389576</v>
      </c>
      <c r="J41" s="97">
        <v>1137.8191123290942</v>
      </c>
      <c r="K41" s="97">
        <v>921.62245816039706</v>
      </c>
      <c r="L41" s="97">
        <v>1272.2145978053197</v>
      </c>
      <c r="M41" s="97">
        <v>1239.7548755771531</v>
      </c>
      <c r="N41" s="97">
        <v>1160.2058947291289</v>
      </c>
      <c r="O41" s="97">
        <v>1124.2688825229038</v>
      </c>
      <c r="P41" s="97">
        <v>1215.5862656155141</v>
      </c>
      <c r="Q41" s="97">
        <v>1089.547099176556</v>
      </c>
      <c r="R41" s="97">
        <v>1362.4805800042366</v>
      </c>
      <c r="S41" s="97">
        <v>1539.4611217136248</v>
      </c>
      <c r="T41" s="97">
        <v>1481.7967655276434</v>
      </c>
      <c r="U41" s="97">
        <v>1633.5703188650255</v>
      </c>
      <c r="V41" s="97">
        <v>1539.4472816162729</v>
      </c>
      <c r="W41" s="97">
        <v>1542.9699618706504</v>
      </c>
      <c r="DA41" s="175" t="s">
        <v>766</v>
      </c>
    </row>
    <row r="42" spans="1:105" ht="11.45" customHeight="1" x14ac:dyDescent="0.25">
      <c r="A42" s="138" t="s">
        <v>116</v>
      </c>
      <c r="B42" s="98">
        <v>296.45543384288379</v>
      </c>
      <c r="C42" s="98">
        <v>251.66896436880563</v>
      </c>
      <c r="D42" s="98">
        <v>483.27412045987529</v>
      </c>
      <c r="E42" s="98">
        <v>164.09825075039424</v>
      </c>
      <c r="F42" s="98">
        <v>243.99243047247683</v>
      </c>
      <c r="G42" s="98">
        <v>521.96320402254355</v>
      </c>
      <c r="H42" s="98">
        <v>677.13717921887121</v>
      </c>
      <c r="I42" s="98">
        <v>805.55844061243033</v>
      </c>
      <c r="J42" s="98">
        <v>856.39711716703709</v>
      </c>
      <c r="K42" s="98">
        <v>640.80578347664562</v>
      </c>
      <c r="L42" s="98">
        <v>980.87263526228639</v>
      </c>
      <c r="M42" s="98">
        <v>904.07956808935944</v>
      </c>
      <c r="N42" s="98">
        <v>890.57451237543114</v>
      </c>
      <c r="O42" s="98">
        <v>1024.6077347136841</v>
      </c>
      <c r="P42" s="98">
        <v>931.34704334469802</v>
      </c>
      <c r="Q42" s="98">
        <v>908.0829277656901</v>
      </c>
      <c r="R42" s="98">
        <v>1220.8705408445794</v>
      </c>
      <c r="S42" s="98">
        <v>1913.7685564247959</v>
      </c>
      <c r="T42" s="98">
        <v>2033.5699399587018</v>
      </c>
      <c r="U42" s="98">
        <v>1906.1141555839083</v>
      </c>
      <c r="V42" s="98">
        <v>1654.3978637289053</v>
      </c>
      <c r="W42" s="98">
        <v>2028.6036340560679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3.010596614549168</v>
      </c>
      <c r="C47" s="145">
        <f>IF(C4=0,0,C4/TrRoad_ene!C4)</f>
        <v>2.9319336178300102</v>
      </c>
      <c r="D47" s="145">
        <f>IF(D4=0,0,D4/TrRoad_ene!D4)</f>
        <v>3.006402189345462</v>
      </c>
      <c r="E47" s="145">
        <f>IF(E4=0,0,E4/TrRoad_ene!E4)</f>
        <v>3.0038041009593406</v>
      </c>
      <c r="F47" s="145">
        <f>IF(F4=0,0,F4/TrRoad_ene!F4)</f>
        <v>3.0120448372176347</v>
      </c>
      <c r="G47" s="145">
        <f>IF(G4=0,0,G4/TrRoad_ene!G4)</f>
        <v>2.9983339106109361</v>
      </c>
      <c r="H47" s="145">
        <f>IF(H4=0,0,H4/TrRoad_ene!H4)</f>
        <v>2.9479954922261902</v>
      </c>
      <c r="I47" s="145">
        <f>IF(I4=0,0,I4/TrRoad_ene!I4)</f>
        <v>2.9296919864249937</v>
      </c>
      <c r="J47" s="145">
        <f>IF(J4=0,0,J4/TrRoad_ene!J4)</f>
        <v>2.9216081795587763</v>
      </c>
      <c r="K47" s="145">
        <f>IF(K4=0,0,K4/TrRoad_ene!K4)</f>
        <v>2.890710606152294</v>
      </c>
      <c r="L47" s="145">
        <f>IF(L4=0,0,L4/TrRoad_ene!L4)</f>
        <v>2.8991777892949426</v>
      </c>
      <c r="M47" s="145">
        <f>IF(M4=0,0,M4/TrRoad_ene!M4)</f>
        <v>2.8888806171506012</v>
      </c>
      <c r="N47" s="145">
        <f>IF(N4=0,0,N4/TrRoad_ene!N4)</f>
        <v>2.8939437197125795</v>
      </c>
      <c r="O47" s="145">
        <f>IF(O4=0,0,O4/TrRoad_ene!O4)</f>
        <v>2.8809678798496852</v>
      </c>
      <c r="P47" s="145">
        <f>IF(P4=0,0,P4/TrRoad_ene!P4)</f>
        <v>2.8258295182434878</v>
      </c>
      <c r="Q47" s="145">
        <f>IF(Q4=0,0,Q4/TrRoad_ene!Q4)</f>
        <v>2.8040913996316825</v>
      </c>
      <c r="R47" s="145">
        <f>IF(R4=0,0,R4/TrRoad_ene!R4)</f>
        <v>2.8268742193406924</v>
      </c>
      <c r="S47" s="145">
        <f>IF(S4=0,0,S4/TrRoad_ene!S4)</f>
        <v>2.8564791347695566</v>
      </c>
      <c r="T47" s="145">
        <f>IF(T4=0,0,T4/TrRoad_ene!T4)</f>
        <v>2.8570890978007824</v>
      </c>
      <c r="U47" s="145">
        <f>IF(U4=0,0,U4/TrRoad_ene!U4)</f>
        <v>2.8492499540444922</v>
      </c>
      <c r="V47" s="145">
        <f>IF(V4=0,0,V4/TrRoad_ene!V4)</f>
        <v>2.8339145259254948</v>
      </c>
      <c r="W47" s="145">
        <f>IF(W4=0,0,W4/TrRoad_ene!W4)</f>
        <v>2.839821140447627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2.9014524000000006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2.896787816085959</v>
      </c>
      <c r="I48" s="97">
        <f>IF(I7=0,0,(I7+I12)/(TrRoad_ene!I7+TrRoad_ene!I12))</f>
        <v>2.8538657949182236</v>
      </c>
      <c r="J48" s="97">
        <f>IF(J7=0,0,(J7+J12)/(TrRoad_ene!J7+TrRoad_ene!J12))</f>
        <v>2.8518976863747016</v>
      </c>
      <c r="K48" s="97">
        <f>IF(K7=0,0,(K7+K12)/(TrRoad_ene!K7+TrRoad_ene!K12))</f>
        <v>2.7878150842615645</v>
      </c>
      <c r="L48" s="97">
        <f>IF(L7=0,0,(L7+L12)/(TrRoad_ene!L7+TrRoad_ene!L12))</f>
        <v>2.7905090273749922</v>
      </c>
      <c r="M48" s="97">
        <f>IF(M7=0,0,(M7+M12)/(TrRoad_ene!M7+TrRoad_ene!M12))</f>
        <v>2.8030783041411089</v>
      </c>
      <c r="N48" s="97">
        <f>IF(N7=0,0,(N7+N12)/(TrRoad_ene!N7+TrRoad_ene!N12))</f>
        <v>2.8112187973988445</v>
      </c>
      <c r="O48" s="97">
        <f>IF(O7=0,0,(O7+O12)/(TrRoad_ene!O7+TrRoad_ene!O12))</f>
        <v>2.8124526541310706</v>
      </c>
      <c r="P48" s="97">
        <f>IF(P7=0,0,(P7+P12)/(TrRoad_ene!P7+TrRoad_ene!P12))</f>
        <v>2.7776731184538139</v>
      </c>
      <c r="Q48" s="97">
        <f>IF(Q7=0,0,(Q7+Q12)/(TrRoad_ene!Q7+TrRoad_ene!Q12))</f>
        <v>2.7905243483665205</v>
      </c>
      <c r="R48" s="97">
        <f>IF(R7=0,0,(R7+R12)/(TrRoad_ene!R7+TrRoad_ene!R12))</f>
        <v>2.8292532241738932</v>
      </c>
      <c r="S48" s="97">
        <f>IF(S7=0,0,(S7+S12)/(TrRoad_ene!S7+TrRoad_ene!S12))</f>
        <v>2.8111826588743831</v>
      </c>
      <c r="T48" s="97">
        <f>IF(T7=0,0,(T7+T12)/(TrRoad_ene!T7+TrRoad_ene!T12))</f>
        <v>2.8148860333271419</v>
      </c>
      <c r="U48" s="97">
        <f>IF(U7=0,0,(U7+U12)/(TrRoad_ene!U7+TrRoad_ene!U12))</f>
        <v>2.8002167631006456</v>
      </c>
      <c r="V48" s="97">
        <f>IF(V7=0,0,(V7+V12)/(TrRoad_ene!V7+TrRoad_ene!V12))</f>
        <v>2.7593086248126837</v>
      </c>
      <c r="W48" s="97">
        <f>IF(W7=0,0,(W7+W12)/(TrRoad_ene!W7+TrRoad_ene!W12))</f>
        <v>2.761089500317182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2.9614140472192725</v>
      </c>
      <c r="D49" s="97">
        <f>IF(D8=0,0,(D8+D13+D14)/(TrRoad_ene!D8+TrRoad_ene!D13+TrRoad_ene!D14))</f>
        <v>3.0923160218360293</v>
      </c>
      <c r="E49" s="97">
        <f>IF(E8=0,0,(E8+E13+E14)/(TrRoad_ene!E8+TrRoad_ene!E13+TrRoad_ene!E14))</f>
        <v>3.0947261461564697</v>
      </c>
      <c r="F49" s="97">
        <f>IF(F8=0,0,(F8+F13+F14)/(TrRoad_ene!F8+TrRoad_ene!F13+TrRoad_ene!F14))</f>
        <v>3.0987690905839385</v>
      </c>
      <c r="G49" s="97">
        <f>IF(G8=0,0,(G8+G13+G14)/(TrRoad_ene!G8+TrRoad_ene!G13+TrRoad_ene!G14))</f>
        <v>3.0680007260354611</v>
      </c>
      <c r="H49" s="97">
        <f>IF(H8=0,0,(H8+H13+H14)/(TrRoad_ene!H8+TrRoad_ene!H13+TrRoad_ene!H14))</f>
        <v>2.9802510577231143</v>
      </c>
      <c r="I49" s="97">
        <f>IF(I8=0,0,(I8+I13+I14)/(TrRoad_ene!I8+TrRoad_ene!I13+TrRoad_ene!I14))</f>
        <v>2.9777446303132757</v>
      </c>
      <c r="J49" s="97">
        <f>IF(J8=0,0,(J8+J13+J14)/(TrRoad_ene!J8+TrRoad_ene!J13+TrRoad_ene!J14))</f>
        <v>2.960569847149968</v>
      </c>
      <c r="K49" s="97">
        <f>IF(K8=0,0,(K8+K13+K14)/(TrRoad_ene!K8+TrRoad_ene!K13+TrRoad_ene!K14))</f>
        <v>2.9486590603605349</v>
      </c>
      <c r="L49" s="97">
        <f>IF(L8=0,0,(L8+L13+L14)/(TrRoad_ene!L8+TrRoad_ene!L13+TrRoad_ene!L14))</f>
        <v>2.9507821588271099</v>
      </c>
      <c r="M49" s="97">
        <f>IF(M8=0,0,(M8+M13+M14)/(TrRoad_ene!M8+TrRoad_ene!M13+TrRoad_ene!M14))</f>
        <v>2.9391415448938685</v>
      </c>
      <c r="N49" s="97">
        <f>IF(N8=0,0,(N8+N13+N14)/(TrRoad_ene!N8+TrRoad_ene!N13+TrRoad_ene!N14))</f>
        <v>2.9435251750543459</v>
      </c>
      <c r="O49" s="97">
        <f>IF(O8=0,0,(O8+O13+O14)/(TrRoad_ene!O8+TrRoad_ene!O13+TrRoad_ene!O14))</f>
        <v>2.9247038204739773</v>
      </c>
      <c r="P49" s="97">
        <f>IF(P8=0,0,(P8+P13+P14)/(TrRoad_ene!P8+TrRoad_ene!P13+TrRoad_ene!P14))</f>
        <v>2.8619613102535726</v>
      </c>
      <c r="Q49" s="97">
        <f>IF(Q8=0,0,(Q8+Q13+Q14)/(TrRoad_ene!Q8+TrRoad_ene!Q13+TrRoad_ene!Q14))</f>
        <v>2.828859745747776</v>
      </c>
      <c r="R49" s="97">
        <f>IF(R8=0,0,(R8+R13+R14)/(TrRoad_ene!R8+TrRoad_ene!R13+TrRoad_ene!R14))</f>
        <v>2.844954969281976</v>
      </c>
      <c r="S49" s="97">
        <f>IF(S8=0,0,(S8+S13+S14)/(TrRoad_ene!S8+TrRoad_ene!S13+TrRoad_ene!S14))</f>
        <v>2.8892357532183999</v>
      </c>
      <c r="T49" s="97">
        <f>IF(T8=0,0,(T8+T13+T14)/(TrRoad_ene!T8+TrRoad_ene!T13+TrRoad_ene!T14))</f>
        <v>2.8886201913634917</v>
      </c>
      <c r="U49" s="97">
        <f>IF(U8=0,0,(U8+U13+U14)/(TrRoad_ene!U8+TrRoad_ene!U13+TrRoad_ene!U14))</f>
        <v>2.8828265592496711</v>
      </c>
      <c r="V49" s="97">
        <f>IF(V8=0,0,(V8+V13+V14)/(TrRoad_ene!V8+TrRoad_ene!V13+TrRoad_ene!V14))</f>
        <v>2.8771706241394623</v>
      </c>
      <c r="W49" s="97">
        <f>IF(W8=0,0,(W8+W13+W14)/(TrRoad_ene!W8+TrRoad_ene!W13+TrRoad_ene!W14))</f>
        <v>2.8826587115392237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0</v>
      </c>
      <c r="D50" s="97">
        <f>IF(D6=0,0,D6/TrRoad_ene!D6)</f>
        <v>0</v>
      </c>
      <c r="E50" s="97">
        <f>IF(E6=0,0,E6/TrRoad_ene!E6)</f>
        <v>0</v>
      </c>
      <c r="F50" s="97">
        <f>IF(F6=0,0,F6/TrRoad_ene!F6)</f>
        <v>0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2.3487947999999998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2.3487948000000007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257.64015182618715</v>
      </c>
      <c r="C54" s="62">
        <f>IF(TrRoad_act!C30=0,0,C17/TrRoad_act!C30*1000
)</f>
        <v>251.22534236658666</v>
      </c>
      <c r="D54" s="62">
        <f>IF(TrRoad_act!D30=0,0,D17/TrRoad_act!D30*1000
)</f>
        <v>303.07970877917421</v>
      </c>
      <c r="E54" s="62">
        <f>IF(TrRoad_act!E30=0,0,E17/TrRoad_act!E30*1000
)</f>
        <v>269.30771776274855</v>
      </c>
      <c r="F54" s="62">
        <f>IF(TrRoad_act!F30=0,0,F17/TrRoad_act!F30*1000
)</f>
        <v>264.30486292521772</v>
      </c>
      <c r="G54" s="62">
        <f>IF(TrRoad_act!G30=0,0,G17/TrRoad_act!G30*1000
)</f>
        <v>289.31022541865832</v>
      </c>
      <c r="H54" s="62">
        <f>IF(TrRoad_act!H30=0,0,H17/TrRoad_act!H30*1000
)</f>
        <v>288.59017475805922</v>
      </c>
      <c r="I54" s="62">
        <f>IF(TrRoad_act!I30=0,0,I17/TrRoad_act!I30*1000
)</f>
        <v>308.52777102014409</v>
      </c>
      <c r="J54" s="62">
        <f>IF(TrRoad_act!J30=0,0,J17/TrRoad_act!J30*1000
)</f>
        <v>317.07366949038851</v>
      </c>
      <c r="K54" s="62">
        <f>IF(TrRoad_act!K30=0,0,K17/TrRoad_act!K30*1000
)</f>
        <v>282.49826991661115</v>
      </c>
      <c r="L54" s="62">
        <f>IF(TrRoad_act!L30=0,0,L17/TrRoad_act!L30*1000
)</f>
        <v>314.41529905848125</v>
      </c>
      <c r="M54" s="62">
        <f>IF(TrRoad_act!M30=0,0,M17/TrRoad_act!M30*1000
)</f>
        <v>307.65750210659803</v>
      </c>
      <c r="N54" s="62">
        <f>IF(TrRoad_act!N30=0,0,N17/TrRoad_act!N30*1000
)</f>
        <v>298.72149478123254</v>
      </c>
      <c r="O54" s="62">
        <f>IF(TrRoad_act!O30=0,0,O17/TrRoad_act!O30*1000
)</f>
        <v>298.14246411693745</v>
      </c>
      <c r="P54" s="62">
        <f>IF(TrRoad_act!P30=0,0,P17/TrRoad_act!P30*1000
)</f>
        <v>289.4476062292182</v>
      </c>
      <c r="Q54" s="62">
        <f>IF(TrRoad_act!Q30=0,0,Q17/TrRoad_act!Q30*1000
)</f>
        <v>279.07856360894914</v>
      </c>
      <c r="R54" s="62">
        <f>IF(TrRoad_act!R30=0,0,R17/TrRoad_act!R30*1000
)</f>
        <v>307.56890892663193</v>
      </c>
      <c r="S54" s="62">
        <f>IF(TrRoad_act!S30=0,0,S17/TrRoad_act!S30*1000
)</f>
        <v>354.70780073694419</v>
      </c>
      <c r="T54" s="62">
        <f>IF(TrRoad_act!T30=0,0,T17/TrRoad_act!T30*1000
)</f>
        <v>352.96530074867411</v>
      </c>
      <c r="U54" s="62">
        <f>IF(TrRoad_act!U30=0,0,U17/TrRoad_act!U30*1000
)</f>
        <v>347.28090062859167</v>
      </c>
      <c r="V54" s="62">
        <f>IF(TrRoad_act!V30=0,0,V17/TrRoad_act!V30*1000
)</f>
        <v>339.22404025284106</v>
      </c>
      <c r="W54" s="62">
        <f>IF(TrRoad_act!W30=0,0,W17/TrRoad_act!W30*1000
)</f>
        <v>354.85271671443428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212.62932690007855</v>
      </c>
      <c r="C55" s="29">
        <f>IF(TrRoad_act!C31=0,0,C18/TrRoad_act!C31*1000
)</f>
        <v>210.81631555923508</v>
      </c>
      <c r="D55" s="29">
        <f>IF(TrRoad_act!D31=0,0,D18/TrRoad_act!D31*1000
)</f>
        <v>236.00081345792111</v>
      </c>
      <c r="E55" s="29">
        <f>IF(TrRoad_act!E31=0,0,E18/TrRoad_act!E31*1000
)</f>
        <v>224.82229675486562</v>
      </c>
      <c r="F55" s="29">
        <f>IF(TrRoad_act!F31=0,0,F18/TrRoad_act!F31*1000
)</f>
        <v>210.07895199152398</v>
      </c>
      <c r="G55" s="29">
        <f>IF(TrRoad_act!G31=0,0,G18/TrRoad_act!G31*1000
)</f>
        <v>214.26257049699305</v>
      </c>
      <c r="H55" s="29">
        <f>IF(TrRoad_act!H31=0,0,H18/TrRoad_act!H31*1000
)</f>
        <v>204.06703545398048</v>
      </c>
      <c r="I55" s="29">
        <f>IF(TrRoad_act!I31=0,0,I18/TrRoad_act!I31*1000
)</f>
        <v>216.36451659685906</v>
      </c>
      <c r="J55" s="29">
        <f>IF(TrRoad_act!J31=0,0,J18/TrRoad_act!J31*1000
)</f>
        <v>219.38669463452476</v>
      </c>
      <c r="K55" s="29">
        <f>IF(TrRoad_act!K31=0,0,K18/TrRoad_act!K31*1000
)</f>
        <v>204.72348888891088</v>
      </c>
      <c r="L55" s="29">
        <f>IF(TrRoad_act!L31=0,0,L18/TrRoad_act!L31*1000
)</f>
        <v>201.7875144370023</v>
      </c>
      <c r="M55" s="29">
        <f>IF(TrRoad_act!M31=0,0,M18/TrRoad_act!M31*1000
)</f>
        <v>198.98082849459357</v>
      </c>
      <c r="N55" s="29">
        <f>IF(TrRoad_act!N31=0,0,N18/TrRoad_act!N31*1000
)</f>
        <v>195.53812094391847</v>
      </c>
      <c r="O55" s="29">
        <f>IF(TrRoad_act!O31=0,0,O18/TrRoad_act!O31*1000
)</f>
        <v>191.89650482801332</v>
      </c>
      <c r="P55" s="29">
        <f>IF(TrRoad_act!P31=0,0,P18/TrRoad_act!P31*1000
)</f>
        <v>185.05193710836664</v>
      </c>
      <c r="Q55" s="29">
        <f>IF(TrRoad_act!Q31=0,0,Q18/TrRoad_act!Q31*1000
)</f>
        <v>184.27050120057484</v>
      </c>
      <c r="R55" s="29">
        <f>IF(TrRoad_act!R31=0,0,R18/TrRoad_act!R31*1000
)</f>
        <v>186.518705455153</v>
      </c>
      <c r="S55" s="29">
        <f>IF(TrRoad_act!S31=0,0,S18/TrRoad_act!S31*1000
)</f>
        <v>191.46051309940501</v>
      </c>
      <c r="T55" s="29">
        <f>IF(TrRoad_act!T31=0,0,T18/TrRoad_act!T31*1000
)</f>
        <v>185.10719582605208</v>
      </c>
      <c r="U55" s="29">
        <f>IF(TrRoad_act!U31=0,0,U18/TrRoad_act!U31*1000
)</f>
        <v>182.11602547154394</v>
      </c>
      <c r="V55" s="29">
        <f>IF(TrRoad_act!V31=0,0,V18/TrRoad_act!V31*1000
)</f>
        <v>179.12524706047731</v>
      </c>
      <c r="W55" s="29">
        <f>IF(TrRoad_act!W31=0,0,W18/TrRoad_act!W31*1000
)</f>
        <v>180.43783031528034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113.02803471787027</v>
      </c>
      <c r="C56" s="152">
        <f>IF(TrRoad_act!C32=0,0,C19/TrRoad_act!C32*1000
)</f>
        <v>113.01697642702673</v>
      </c>
      <c r="D56" s="152">
        <f>IF(TrRoad_act!D32=0,0,D19/TrRoad_act!D32*1000
)</f>
        <v>113.01181747371271</v>
      </c>
      <c r="E56" s="152">
        <f>IF(TrRoad_act!E32=0,0,E19/TrRoad_act!E32*1000
)</f>
        <v>112.98647618235123</v>
      </c>
      <c r="F56" s="152">
        <f>IF(TrRoad_act!F32=0,0,F19/TrRoad_act!F32*1000
)</f>
        <v>112.87355682794829</v>
      </c>
      <c r="G56" s="152">
        <f>IF(TrRoad_act!G32=0,0,G19/TrRoad_act!G32*1000
)</f>
        <v>112.85529603331238</v>
      </c>
      <c r="H56" s="152">
        <f>IF(TrRoad_act!H32=0,0,H19/TrRoad_act!H32*1000
)</f>
        <v>112.7080197900348</v>
      </c>
      <c r="I56" s="152">
        <f>IF(TrRoad_act!I32=0,0,I19/TrRoad_act!I32*1000
)</f>
        <v>110.67497603740674</v>
      </c>
      <c r="J56" s="152">
        <f>IF(TrRoad_act!J32=0,0,J19/TrRoad_act!J32*1000
)</f>
        <v>110.01717590391242</v>
      </c>
      <c r="K56" s="152">
        <f>IF(TrRoad_act!K32=0,0,K19/TrRoad_act!K32*1000
)</f>
        <v>106.78008346592918</v>
      </c>
      <c r="L56" s="152">
        <f>IF(TrRoad_act!L32=0,0,L19/TrRoad_act!L32*1000
)</f>
        <v>106.53904018779697</v>
      </c>
      <c r="M56" s="152">
        <f>IF(TrRoad_act!M32=0,0,M19/TrRoad_act!M32*1000
)</f>
        <v>106.60622219153173</v>
      </c>
      <c r="N56" s="152">
        <f>IF(TrRoad_act!N32=0,0,N19/TrRoad_act!N32*1000
)</f>
        <v>106.45355436894695</v>
      </c>
      <c r="O56" s="152">
        <f>IF(TrRoad_act!O32=0,0,O19/TrRoad_act!O32*1000
)</f>
        <v>105.79117257638919</v>
      </c>
      <c r="P56" s="152">
        <f>IF(TrRoad_act!P32=0,0,P19/TrRoad_act!P32*1000
)</f>
        <v>103.82705582031787</v>
      </c>
      <c r="Q56" s="152">
        <f>IF(TrRoad_act!Q32=0,0,Q19/TrRoad_act!Q32*1000
)</f>
        <v>103.45687928143082</v>
      </c>
      <c r="R56" s="152">
        <f>IF(TrRoad_act!R32=0,0,R19/TrRoad_act!R32*1000
)</f>
        <v>104.21519876422694</v>
      </c>
      <c r="S56" s="152">
        <f>IF(TrRoad_act!S32=0,0,S19/TrRoad_act!S32*1000
)</f>
        <v>102.79497354312265</v>
      </c>
      <c r="T56" s="152">
        <f>IF(TrRoad_act!T32=0,0,T19/TrRoad_act!T32*1000
)</f>
        <v>102.20772111828616</v>
      </c>
      <c r="U56" s="152">
        <f>IF(TrRoad_act!U32=0,0,U19/TrRoad_act!U32*1000
)</f>
        <v>101.23124648641291</v>
      </c>
      <c r="V56" s="152">
        <f>IF(TrRoad_act!V32=0,0,V19/TrRoad_act!V32*1000
)</f>
        <v>99.287296244002732</v>
      </c>
      <c r="W56" s="152">
        <f>IF(TrRoad_act!W32=0,0,W19/TrRoad_act!W32*1000
)</f>
        <v>91.102568293203859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174.1316088904851</v>
      </c>
      <c r="C57" s="116">
        <f>IF(TrRoad_act!C33=0,0,C20/TrRoad_act!C33*1000
)</f>
        <v>176.55320987859801</v>
      </c>
      <c r="D57" s="116">
        <f>IF(TrRoad_act!D33=0,0,D20/TrRoad_act!D33*1000
)</f>
        <v>202.25865152216622</v>
      </c>
      <c r="E57" s="116">
        <f>IF(TrRoad_act!E33=0,0,E20/TrRoad_act!E33*1000
)</f>
        <v>190.63679433779183</v>
      </c>
      <c r="F57" s="116">
        <f>IF(TrRoad_act!F33=0,0,F20/TrRoad_act!F33*1000
)</f>
        <v>178.18862048737387</v>
      </c>
      <c r="G57" s="116">
        <f>IF(TrRoad_act!G33=0,0,G20/TrRoad_act!G33*1000
)</f>
        <v>184.49870533751678</v>
      </c>
      <c r="H57" s="116">
        <f>IF(TrRoad_act!H33=0,0,H20/TrRoad_act!H33*1000
)</f>
        <v>175.00637515555911</v>
      </c>
      <c r="I57" s="116">
        <f>IF(TrRoad_act!I33=0,0,I20/TrRoad_act!I33*1000
)</f>
        <v>182.02318962141712</v>
      </c>
      <c r="J57" s="116">
        <f>IF(TrRoad_act!J33=0,0,J20/TrRoad_act!J33*1000
)</f>
        <v>186.98356073576298</v>
      </c>
      <c r="K57" s="116">
        <f>IF(TrRoad_act!K33=0,0,K20/TrRoad_act!K33*1000
)</f>
        <v>174.64850253069886</v>
      </c>
      <c r="L57" s="116">
        <f>IF(TrRoad_act!L33=0,0,L20/TrRoad_act!L33*1000
)</f>
        <v>173.1772453748672</v>
      </c>
      <c r="M57" s="116">
        <f>IF(TrRoad_act!M33=0,0,M20/TrRoad_act!M33*1000
)</f>
        <v>172.49080654802862</v>
      </c>
      <c r="N57" s="116">
        <f>IF(TrRoad_act!N33=0,0,N20/TrRoad_act!N33*1000
)</f>
        <v>169.10967239678831</v>
      </c>
      <c r="O57" s="116">
        <f>IF(TrRoad_act!O33=0,0,O20/TrRoad_act!O33*1000
)</f>
        <v>166.75875706555468</v>
      </c>
      <c r="P57" s="116">
        <f>IF(TrRoad_act!P33=0,0,P20/TrRoad_act!P33*1000
)</f>
        <v>160.61634285418654</v>
      </c>
      <c r="Q57" s="116">
        <f>IF(TrRoad_act!Q33=0,0,Q20/TrRoad_act!Q33*1000
)</f>
        <v>160.82232482042809</v>
      </c>
      <c r="R57" s="116">
        <f>IF(TrRoad_act!R33=0,0,R20/TrRoad_act!R33*1000
)</f>
        <v>163.66153024502557</v>
      </c>
      <c r="S57" s="116">
        <f>IF(TrRoad_act!S33=0,0,S20/TrRoad_act!S33*1000
)</f>
        <v>166.73307027074705</v>
      </c>
      <c r="T57" s="116">
        <f>IF(TrRoad_act!T33=0,0,T20/TrRoad_act!T33*1000
)</f>
        <v>159.60055242029787</v>
      </c>
      <c r="U57" s="116">
        <f>IF(TrRoad_act!U33=0,0,U20/TrRoad_act!U33*1000
)</f>
        <v>156.40709381425989</v>
      </c>
      <c r="V57" s="116">
        <f>IF(TrRoad_act!V33=0,0,V20/TrRoad_act!V33*1000
)</f>
        <v>155.50807822732972</v>
      </c>
      <c r="W57" s="116">
        <f>IF(TrRoad_act!W33=0,0,W20/TrRoad_act!W33*1000
)</f>
        <v>157.09899089375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160.84845179050771</v>
      </c>
      <c r="C58" s="87">
        <f>IF(TrRoad_act!C34=0,0,C21/TrRoad_act!C34*1000
)</f>
        <v>168.60645905133612</v>
      </c>
      <c r="D58" s="87">
        <f>IF(TrRoad_act!D34=0,0,D21/TrRoad_act!D34*1000
)</f>
        <v>199.80661869083985</v>
      </c>
      <c r="E58" s="87">
        <f>IF(TrRoad_act!E34=0,0,E21/TrRoad_act!E34*1000
)</f>
        <v>186.44801244457435</v>
      </c>
      <c r="F58" s="87">
        <f>IF(TrRoad_act!F34=0,0,F21/TrRoad_act!F34*1000
)</f>
        <v>168.80145748332995</v>
      </c>
      <c r="G58" s="87">
        <f>IF(TrRoad_act!G34=0,0,G21/TrRoad_act!G34*1000
)</f>
        <v>176.86958375151286</v>
      </c>
      <c r="H58" s="87">
        <f>IF(TrRoad_act!H34=0,0,H21/TrRoad_act!H34*1000
)</f>
        <v>165.96992197434909</v>
      </c>
      <c r="I58" s="87">
        <f>IF(TrRoad_act!I34=0,0,I21/TrRoad_act!I34*1000
)</f>
        <v>174.10383252997906</v>
      </c>
      <c r="J58" s="87">
        <f>IF(TrRoad_act!J34=0,0,J21/TrRoad_act!J34*1000
)</f>
        <v>184.27221512371207</v>
      </c>
      <c r="K58" s="87">
        <f>IF(TrRoad_act!K34=0,0,K21/TrRoad_act!K34*1000
)</f>
        <v>166.86071740753511</v>
      </c>
      <c r="L58" s="87">
        <f>IF(TrRoad_act!L34=0,0,L21/TrRoad_act!L34*1000
)</f>
        <v>163.20633456496009</v>
      </c>
      <c r="M58" s="87">
        <f>IF(TrRoad_act!M34=0,0,M21/TrRoad_act!M34*1000
)</f>
        <v>161.8290688086241</v>
      </c>
      <c r="N58" s="87">
        <f>IF(TrRoad_act!N34=0,0,N21/TrRoad_act!N34*1000
)</f>
        <v>157.02652926402197</v>
      </c>
      <c r="O58" s="87">
        <f>IF(TrRoad_act!O34=0,0,O21/TrRoad_act!O34*1000
)</f>
        <v>154.83882986604408</v>
      </c>
      <c r="P58" s="87">
        <f>IF(TrRoad_act!P34=0,0,P21/TrRoad_act!P34*1000
)</f>
        <v>150.21725383923865</v>
      </c>
      <c r="Q58" s="87">
        <f>IF(TrRoad_act!Q34=0,0,Q21/TrRoad_act!Q34*1000
)</f>
        <v>152.30605528235688</v>
      </c>
      <c r="R58" s="87">
        <f>IF(TrRoad_act!R34=0,0,R21/TrRoad_act!R34*1000
)</f>
        <v>156.67891913008449</v>
      </c>
      <c r="S58" s="87">
        <f>IF(TrRoad_act!S34=0,0,S21/TrRoad_act!S34*1000
)</f>
        <v>158.22749284942321</v>
      </c>
      <c r="T58" s="87">
        <f>IF(TrRoad_act!T34=0,0,T21/TrRoad_act!T34*1000
)</f>
        <v>146.5659602558159</v>
      </c>
      <c r="U58" s="87">
        <f>IF(TrRoad_act!U34=0,0,U21/TrRoad_act!U34*1000
)</f>
        <v>142.53389081344616</v>
      </c>
      <c r="V58" s="87">
        <f>IF(TrRoad_act!V34=0,0,V21/TrRoad_act!V34*1000
)</f>
        <v>141.7944477450535</v>
      </c>
      <c r="W58" s="87">
        <f>IF(TrRoad_act!W34=0,0,W21/TrRoad_act!W34*1000
)</f>
        <v>142.77121877950992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220.45098751772591</v>
      </c>
      <c r="C59" s="87">
        <f>IF(TrRoad_act!C35=0,0,C22/TrRoad_act!C35*1000
)</f>
        <v>201.56201097727711</v>
      </c>
      <c r="D59" s="87">
        <f>IF(TrRoad_act!D35=0,0,D22/TrRoad_act!D35*1000
)</f>
        <v>209.78469761363388</v>
      </c>
      <c r="E59" s="87">
        <f>IF(TrRoad_act!E35=0,0,E22/TrRoad_act!E35*1000
)</f>
        <v>202.85349375388782</v>
      </c>
      <c r="F59" s="87">
        <f>IF(TrRoad_act!F35=0,0,F22/TrRoad_act!F35*1000
)</f>
        <v>202.4353753097225</v>
      </c>
      <c r="G59" s="87">
        <f>IF(TrRoad_act!G35=0,0,G22/TrRoad_act!G35*1000
)</f>
        <v>202.91671222059662</v>
      </c>
      <c r="H59" s="87">
        <f>IF(TrRoad_act!H35=0,0,H22/TrRoad_act!H35*1000
)</f>
        <v>197.77885913538762</v>
      </c>
      <c r="I59" s="87">
        <f>IF(TrRoad_act!I35=0,0,I22/TrRoad_act!I35*1000
)</f>
        <v>196.04653741180667</v>
      </c>
      <c r="J59" s="87">
        <f>IF(TrRoad_act!J35=0,0,J22/TrRoad_act!J35*1000
)</f>
        <v>194.17430951086047</v>
      </c>
      <c r="K59" s="87">
        <f>IF(TrRoad_act!K35=0,0,K22/TrRoad_act!K35*1000
)</f>
        <v>191.24165658823298</v>
      </c>
      <c r="L59" s="87">
        <f>IF(TrRoad_act!L35=0,0,L22/TrRoad_act!L35*1000
)</f>
        <v>193.68259760387028</v>
      </c>
      <c r="M59" s="87">
        <f>IF(TrRoad_act!M35=0,0,M22/TrRoad_act!M35*1000
)</f>
        <v>191.15191125781504</v>
      </c>
      <c r="N59" s="87">
        <f>IF(TrRoad_act!N35=0,0,N22/TrRoad_act!N35*1000
)</f>
        <v>190.18348067579473</v>
      </c>
      <c r="O59" s="87">
        <f>IF(TrRoad_act!O35=0,0,O22/TrRoad_act!O35*1000
)</f>
        <v>188.36428307525773</v>
      </c>
      <c r="P59" s="87">
        <f>IF(TrRoad_act!P35=0,0,P22/TrRoad_act!P35*1000
)</f>
        <v>181.83804195276704</v>
      </c>
      <c r="Q59" s="87">
        <f>IF(TrRoad_act!Q35=0,0,Q22/TrRoad_act!Q35*1000
)</f>
        <v>177.3585896801751</v>
      </c>
      <c r="R59" s="87">
        <f>IF(TrRoad_act!R35=0,0,R22/TrRoad_act!R35*1000
)</f>
        <v>177.18049763133641</v>
      </c>
      <c r="S59" s="87">
        <f>IF(TrRoad_act!S35=0,0,S22/TrRoad_act!S35*1000
)</f>
        <v>182.93233299622571</v>
      </c>
      <c r="T59" s="87">
        <f>IF(TrRoad_act!T35=0,0,T22/TrRoad_act!T35*1000
)</f>
        <v>183.0671894954879</v>
      </c>
      <c r="U59" s="87">
        <f>IF(TrRoad_act!U35=0,0,U22/TrRoad_act!U35*1000
)</f>
        <v>180.20111103983106</v>
      </c>
      <c r="V59" s="87">
        <f>IF(TrRoad_act!V35=0,0,V22/TrRoad_act!V35*1000
)</f>
        <v>177.30304766133415</v>
      </c>
      <c r="W59" s="87">
        <f>IF(TrRoad_act!W35=0,0,W22/TrRoad_act!W35*1000
)</f>
        <v>178.12797563960464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0</v>
      </c>
      <c r="D60" s="87">
        <f>IF(TrRoad_act!D36=0,0,D23/TrRoad_act!D36*1000
)</f>
        <v>0</v>
      </c>
      <c r="E60" s="87">
        <f>IF(TrRoad_act!E36=0,0,E23/TrRoad_act!E36*1000
)</f>
        <v>0</v>
      </c>
      <c r="F60" s="87">
        <f>IF(TrRoad_act!F36=0,0,F23/TrRoad_act!F36*1000
)</f>
        <v>0</v>
      </c>
      <c r="G60" s="87">
        <f>IF(TrRoad_act!G36=0,0,G23/TrRoad_act!G36*1000
)</f>
        <v>177.75482302011611</v>
      </c>
      <c r="H60" s="87">
        <f>IF(TrRoad_act!H36=0,0,H23/TrRoad_act!H36*1000
)</f>
        <v>179.72546830113211</v>
      </c>
      <c r="I60" s="87">
        <f>IF(TrRoad_act!I36=0,0,I23/TrRoad_act!I36*1000
)</f>
        <v>185.60090536704618</v>
      </c>
      <c r="J60" s="87">
        <f>IF(TrRoad_act!J36=0,0,J23/TrRoad_act!J36*1000
)</f>
        <v>194.55245351550212</v>
      </c>
      <c r="K60" s="87">
        <f>IF(TrRoad_act!K36=0,0,K23/TrRoad_act!K36*1000
)</f>
        <v>204.05439309119959</v>
      </c>
      <c r="L60" s="87">
        <f>IF(TrRoad_act!L36=0,0,L23/TrRoad_act!L36*1000
)</f>
        <v>195.973715307052</v>
      </c>
      <c r="M60" s="87">
        <f>IF(TrRoad_act!M36=0,0,M23/TrRoad_act!M36*1000
)</f>
        <v>188.49425852312422</v>
      </c>
      <c r="N60" s="87">
        <f>IF(TrRoad_act!N36=0,0,N23/TrRoad_act!N36*1000
)</f>
        <v>188.83552687517039</v>
      </c>
      <c r="O60" s="87">
        <f>IF(TrRoad_act!O36=0,0,O23/TrRoad_act!O36*1000
)</f>
        <v>189.16852811797526</v>
      </c>
      <c r="P60" s="87">
        <f>IF(TrRoad_act!P36=0,0,P23/TrRoad_act!P36*1000
)</f>
        <v>154.99738109748708</v>
      </c>
      <c r="Q60" s="87">
        <f>IF(TrRoad_act!Q36=0,0,Q23/TrRoad_act!Q36*1000
)</f>
        <v>171.34466297558316</v>
      </c>
      <c r="R60" s="87">
        <f>IF(TrRoad_act!R36=0,0,R23/TrRoad_act!R36*1000
)</f>
        <v>176.03621941680143</v>
      </c>
      <c r="S60" s="87">
        <f>IF(TrRoad_act!S36=0,0,S23/TrRoad_act!S36*1000
)</f>
        <v>186.29135918259965</v>
      </c>
      <c r="T60" s="87">
        <f>IF(TrRoad_act!T36=0,0,T23/TrRoad_act!T36*1000
)</f>
        <v>204.61503345682453</v>
      </c>
      <c r="U60" s="87">
        <f>IF(TrRoad_act!U36=0,0,U23/TrRoad_act!U36*1000
)</f>
        <v>219.64567670476083</v>
      </c>
      <c r="V60" s="87">
        <f>IF(TrRoad_act!V36=0,0,V23/TrRoad_act!V36*1000
)</f>
        <v>232.23783543561734</v>
      </c>
      <c r="W60" s="87">
        <f>IF(TrRoad_act!W36=0,0,W23/TrRoad_act!W36*1000
)</f>
        <v>263.40879996738971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325.85887943034862</v>
      </c>
      <c r="D61" s="87">
        <f>IF(TrRoad_act!D37=0,0,D24/TrRoad_act!D37*1000
)</f>
        <v>137.04392537247566</v>
      </c>
      <c r="E61" s="87">
        <f>IF(TrRoad_act!E37=0,0,E24/TrRoad_act!E37*1000
)</f>
        <v>139.22999073751595</v>
      </c>
      <c r="F61" s="87">
        <f>IF(TrRoad_act!F37=0,0,F24/TrRoad_act!F37*1000
)</f>
        <v>178.2239210535881</v>
      </c>
      <c r="G61" s="87">
        <f>IF(TrRoad_act!G37=0,0,G24/TrRoad_act!G37*1000
)</f>
        <v>231.69305867471914</v>
      </c>
      <c r="H61" s="87">
        <f>IF(TrRoad_act!H37=0,0,H24/TrRoad_act!H37*1000
)</f>
        <v>136.56443339880897</v>
      </c>
      <c r="I61" s="87">
        <f>IF(TrRoad_act!I37=0,0,I24/TrRoad_act!I37*1000
)</f>
        <v>280.02257288142653</v>
      </c>
      <c r="J61" s="87">
        <f>IF(TrRoad_act!J37=0,0,J24/TrRoad_act!J37*1000
)</f>
        <v>134.55572285353369</v>
      </c>
      <c r="K61" s="87">
        <f>IF(TrRoad_act!K37=0,0,K24/TrRoad_act!K37*1000
)</f>
        <v>134.28771017828075</v>
      </c>
      <c r="L61" s="87">
        <f>IF(TrRoad_act!L37=0,0,L24/TrRoad_act!L37*1000
)</f>
        <v>149.8798809659996</v>
      </c>
      <c r="M61" s="87">
        <f>IF(TrRoad_act!M37=0,0,M24/TrRoad_act!M37*1000
)</f>
        <v>178.92475123256722</v>
      </c>
      <c r="N61" s="87">
        <f>IF(TrRoad_act!N37=0,0,N24/TrRoad_act!N37*1000
)</f>
        <v>176.11177682197876</v>
      </c>
      <c r="O61" s="87">
        <f>IF(TrRoad_act!O37=0,0,O24/TrRoad_act!O37*1000
)</f>
        <v>156.40704969095049</v>
      </c>
      <c r="P61" s="87">
        <f>IF(TrRoad_act!P37=0,0,P24/TrRoad_act!P37*1000
)</f>
        <v>166.66329977411766</v>
      </c>
      <c r="Q61" s="87">
        <f>IF(TrRoad_act!Q37=0,0,Q24/TrRoad_act!Q37*1000
)</f>
        <v>153.68315180473417</v>
      </c>
      <c r="R61" s="87">
        <f>IF(TrRoad_act!R37=0,0,R24/TrRoad_act!R37*1000
)</f>
        <v>165.54287936883222</v>
      </c>
      <c r="S61" s="87">
        <f>IF(TrRoad_act!S37=0,0,S24/TrRoad_act!S37*1000
)</f>
        <v>164.932976568806</v>
      </c>
      <c r="T61" s="87">
        <f>IF(TrRoad_act!T37=0,0,T24/TrRoad_act!T37*1000
)</f>
        <v>163.72048285952042</v>
      </c>
      <c r="U61" s="87">
        <f>IF(TrRoad_act!U37=0,0,U24/TrRoad_act!U37*1000
)</f>
        <v>161.41249932936765</v>
      </c>
      <c r="V61" s="87">
        <f>IF(TrRoad_act!V37=0,0,V24/TrRoad_act!V37*1000
)</f>
        <v>205.76179829030983</v>
      </c>
      <c r="W61" s="87">
        <f>IF(TrRoad_act!W37=0,0,W24/TrRoad_act!W37*1000
)</f>
        <v>196.79868996776941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32.681938760845512</v>
      </c>
      <c r="O62" s="87">
        <f>IF(TrRoad_act!O38=0,0,O25/TrRoad_act!O38*1000
)</f>
        <v>32.271855909746485</v>
      </c>
      <c r="P62" s="87">
        <f>IF(TrRoad_act!P38=0,0,P25/TrRoad_act!P38*1000
)</f>
        <v>103.81410097619207</v>
      </c>
      <c r="Q62" s="87">
        <f>IF(TrRoad_act!Q38=0,0,Q25/TrRoad_act!Q38*1000
)</f>
        <v>93.19769916793291</v>
      </c>
      <c r="R62" s="87">
        <f>IF(TrRoad_act!R38=0,0,R25/TrRoad_act!R38*1000
)</f>
        <v>71.011975704975399</v>
      </c>
      <c r="S62" s="87">
        <f>IF(TrRoad_act!S38=0,0,S25/TrRoad_act!S38*1000
)</f>
        <v>84.838686190653064</v>
      </c>
      <c r="T62" s="87">
        <f>IF(TrRoad_act!T38=0,0,T25/TrRoad_act!T38*1000
)</f>
        <v>67.354138652993939</v>
      </c>
      <c r="U62" s="87">
        <f>IF(TrRoad_act!U38=0,0,U25/TrRoad_act!U38*1000
)</f>
        <v>63.526666392075605</v>
      </c>
      <c r="V62" s="87">
        <f>IF(TrRoad_act!V38=0,0,V25/TrRoad_act!V38*1000
)</f>
        <v>53.94474546888695</v>
      </c>
      <c r="W62" s="87">
        <f>IF(TrRoad_act!W38=0,0,W25/TrRoad_act!W38*1000
)</f>
        <v>44.229600261188459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1872.3735104596149</v>
      </c>
      <c r="C64" s="116">
        <f>IF(TrRoad_act!C40=0,0,C27/TrRoad_act!C40*1000
)</f>
        <v>1752.3975421298953</v>
      </c>
      <c r="D64" s="116">
        <f>IF(TrRoad_act!D40=0,0,D27/TrRoad_act!D40*1000
)</f>
        <v>1838.0179489304633</v>
      </c>
      <c r="E64" s="116">
        <f>IF(TrRoad_act!E40=0,0,E27/TrRoad_act!E40*1000
)</f>
        <v>1792.4913985458506</v>
      </c>
      <c r="F64" s="116">
        <f>IF(TrRoad_act!F40=0,0,F27/TrRoad_act!F40*1000
)</f>
        <v>1771.5514452496263</v>
      </c>
      <c r="G64" s="116">
        <f>IF(TrRoad_act!G40=0,0,G27/TrRoad_act!G40*1000
)</f>
        <v>1763.0682331527589</v>
      </c>
      <c r="H64" s="116">
        <f>IF(TrRoad_act!H40=0,0,H27/TrRoad_act!H40*1000
)</f>
        <v>1696.126049470058</v>
      </c>
      <c r="I64" s="116">
        <f>IF(TrRoad_act!I40=0,0,I27/TrRoad_act!I40*1000
)</f>
        <v>1664.7705345123925</v>
      </c>
      <c r="J64" s="116">
        <f>IF(TrRoad_act!J40=0,0,J27/TrRoad_act!J40*1000
)</f>
        <v>1637.6354830008875</v>
      </c>
      <c r="K64" s="116">
        <f>IF(TrRoad_act!K40=0,0,K27/TrRoad_act!K40*1000
)</f>
        <v>1588.5309124455957</v>
      </c>
      <c r="L64" s="116">
        <f>IF(TrRoad_act!L40=0,0,L27/TrRoad_act!L40*1000
)</f>
        <v>1575.5606248427557</v>
      </c>
      <c r="M64" s="116">
        <f>IF(TrRoad_act!M40=0,0,M27/TrRoad_act!M40*1000
)</f>
        <v>1520.3902716873031</v>
      </c>
      <c r="N64" s="116">
        <f>IF(TrRoad_act!N40=0,0,N27/TrRoad_act!N40*1000
)</f>
        <v>1515.2449749045472</v>
      </c>
      <c r="O64" s="116">
        <f>IF(TrRoad_act!O40=0,0,O27/TrRoad_act!O40*1000
)</f>
        <v>1506.696008410702</v>
      </c>
      <c r="P64" s="116">
        <f>IF(TrRoad_act!P40=0,0,P27/TrRoad_act!P40*1000
)</f>
        <v>1456.2584797724578</v>
      </c>
      <c r="Q64" s="116">
        <f>IF(TrRoad_act!Q40=0,0,Q27/TrRoad_act!Q40*1000
)</f>
        <v>1415.4579362076975</v>
      </c>
      <c r="R64" s="116">
        <f>IF(TrRoad_act!R40=0,0,R27/TrRoad_act!R40*1000
)</f>
        <v>1397.0791166610045</v>
      </c>
      <c r="S64" s="116">
        <f>IF(TrRoad_act!S40=0,0,S27/TrRoad_act!S40*1000
)</f>
        <v>1447.4639970110918</v>
      </c>
      <c r="T64" s="116">
        <f>IF(TrRoad_act!T40=0,0,T27/TrRoad_act!T40*1000
)</f>
        <v>1448.5511845487449</v>
      </c>
      <c r="U64" s="116">
        <f>IF(TrRoad_act!U40=0,0,U27/TrRoad_act!U40*1000
)</f>
        <v>1443.0594128897953</v>
      </c>
      <c r="V64" s="116">
        <f>IF(TrRoad_act!V40=0,0,V27/TrRoad_act!V40*1000
)</f>
        <v>1424.915944311</v>
      </c>
      <c r="W64" s="116">
        <f>IF(TrRoad_act!W40=0,0,W27/TrRoad_act!W40*1000
)</f>
        <v>1446.4672767597424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0</v>
      </c>
      <c r="K65" s="101">
        <f>IF(TrRoad_act!K41=0,0,K28/TrRoad_act!K41*1000
)</f>
        <v>0</v>
      </c>
      <c r="L65" s="101">
        <f>IF(TrRoad_act!L41=0,0,L28/TrRoad_act!L41*1000
)</f>
        <v>0</v>
      </c>
      <c r="M65" s="101">
        <f>IF(TrRoad_act!M41=0,0,M28/TrRoad_act!M41*1000
)</f>
        <v>0</v>
      </c>
      <c r="N65" s="101">
        <f>IF(TrRoad_act!N41=0,0,N28/TrRoad_act!N41*1000
)</f>
        <v>0</v>
      </c>
      <c r="O65" s="101">
        <f>IF(TrRoad_act!O41=0,0,O28/TrRoad_act!O41*1000
)</f>
        <v>0</v>
      </c>
      <c r="P65" s="101">
        <f>IF(TrRoad_act!P41=0,0,P28/TrRoad_act!P41*1000
)</f>
        <v>0</v>
      </c>
      <c r="Q65" s="101">
        <f>IF(TrRoad_act!Q41=0,0,Q28/TrRoad_act!Q41*1000
)</f>
        <v>0</v>
      </c>
      <c r="R65" s="101">
        <f>IF(TrRoad_act!R41=0,0,R28/TrRoad_act!R41*1000
)</f>
        <v>0</v>
      </c>
      <c r="S65" s="101">
        <f>IF(TrRoad_act!S41=0,0,S28/TrRoad_act!S41*1000
)</f>
        <v>0</v>
      </c>
      <c r="T65" s="101">
        <f>IF(TrRoad_act!T41=0,0,T28/TrRoad_act!T41*1000
)</f>
        <v>0</v>
      </c>
      <c r="U65" s="101">
        <f>IF(TrRoad_act!U41=0,0,U28/TrRoad_act!U41*1000
)</f>
        <v>0</v>
      </c>
      <c r="V65" s="101">
        <f>IF(TrRoad_act!V41=0,0,V28/TrRoad_act!V41*1000
)</f>
        <v>0</v>
      </c>
      <c r="W65" s="101">
        <f>IF(TrRoad_act!W41=0,0,W28/TrRoad_act!W41*1000
)</f>
        <v>0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1872.3735104596149</v>
      </c>
      <c r="C66" s="101">
        <f>IF(TrRoad_act!C42=0,0,C29/TrRoad_act!C42*1000
)</f>
        <v>1752.3975421298953</v>
      </c>
      <c r="D66" s="101">
        <f>IF(TrRoad_act!D42=0,0,D29/TrRoad_act!D42*1000
)</f>
        <v>1838.0179489304633</v>
      </c>
      <c r="E66" s="101">
        <f>IF(TrRoad_act!E42=0,0,E29/TrRoad_act!E42*1000
)</f>
        <v>1792.4913985458506</v>
      </c>
      <c r="F66" s="101">
        <f>IF(TrRoad_act!F42=0,0,F29/TrRoad_act!F42*1000
)</f>
        <v>1771.5514452496263</v>
      </c>
      <c r="G66" s="101">
        <f>IF(TrRoad_act!G42=0,0,G29/TrRoad_act!G42*1000
)</f>
        <v>1763.0682331527589</v>
      </c>
      <c r="H66" s="101">
        <f>IF(TrRoad_act!H42=0,0,H29/TrRoad_act!H42*1000
)</f>
        <v>1696.126049470058</v>
      </c>
      <c r="I66" s="101">
        <f>IF(TrRoad_act!I42=0,0,I29/TrRoad_act!I42*1000
)</f>
        <v>1664.7705345123925</v>
      </c>
      <c r="J66" s="101">
        <f>IF(TrRoad_act!J42=0,0,J29/TrRoad_act!J42*1000
)</f>
        <v>1637.6354830008875</v>
      </c>
      <c r="K66" s="101">
        <f>IF(TrRoad_act!K42=0,0,K29/TrRoad_act!K42*1000
)</f>
        <v>1588.5309124455957</v>
      </c>
      <c r="L66" s="101">
        <f>IF(TrRoad_act!L42=0,0,L29/TrRoad_act!L42*1000
)</f>
        <v>1601.2513012689751</v>
      </c>
      <c r="M66" s="101">
        <f>IF(TrRoad_act!M42=0,0,M29/TrRoad_act!M42*1000
)</f>
        <v>1581.5035126628102</v>
      </c>
      <c r="N66" s="101">
        <f>IF(TrRoad_act!N42=0,0,N29/TrRoad_act!N42*1000
)</f>
        <v>1576.6291600643615</v>
      </c>
      <c r="O66" s="101">
        <f>IF(TrRoad_act!O42=0,0,O29/TrRoad_act!O42*1000
)</f>
        <v>1568.7687948597766</v>
      </c>
      <c r="P66" s="101">
        <f>IF(TrRoad_act!P42=0,0,P29/TrRoad_act!P42*1000
)</f>
        <v>1537.5021287612099</v>
      </c>
      <c r="Q66" s="101">
        <f>IF(TrRoad_act!Q42=0,0,Q29/TrRoad_act!Q42*1000
)</f>
        <v>1515.1910085787574</v>
      </c>
      <c r="R66" s="101">
        <f>IF(TrRoad_act!R42=0,0,R29/TrRoad_act!R42*1000
)</f>
        <v>1536.3275803673369</v>
      </c>
      <c r="S66" s="101">
        <f>IF(TrRoad_act!S42=0,0,S29/TrRoad_act!S42*1000
)</f>
        <v>1597.8692163308356</v>
      </c>
      <c r="T66" s="101">
        <f>IF(TrRoad_act!T42=0,0,T29/TrRoad_act!T42*1000
)</f>
        <v>1610.8392311299694</v>
      </c>
      <c r="U66" s="101">
        <f>IF(TrRoad_act!U42=0,0,U29/TrRoad_act!U42*1000
)</f>
        <v>1602.9635160545672</v>
      </c>
      <c r="V66" s="101">
        <f>IF(TrRoad_act!V42=0,0,V29/TrRoad_act!V42*1000
)</f>
        <v>1606.868401749505</v>
      </c>
      <c r="W66" s="101">
        <f>IF(TrRoad_act!W42=0,0,W29/TrRoad_act!W42*1000
)</f>
        <v>1635.2719120606848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0</v>
      </c>
      <c r="R68" s="101">
        <f>IF(TrRoad_act!R44=0,0,R31/TrRoad_act!R44*1000
)</f>
        <v>486.01305066632864</v>
      </c>
      <c r="S68" s="101">
        <f>IF(TrRoad_act!S44=0,0,S31/TrRoad_act!S44*1000
)</f>
        <v>737.62209394349429</v>
      </c>
      <c r="T68" s="101">
        <f>IF(TrRoad_act!T44=0,0,T31/TrRoad_act!T44*1000
)</f>
        <v>531.5662964892216</v>
      </c>
      <c r="U68" s="101">
        <f>IF(TrRoad_act!U44=0,0,U31/TrRoad_act!U44*1000
)</f>
        <v>1071.5729295648089</v>
      </c>
      <c r="V68" s="101">
        <f>IF(TrRoad_act!V44=0,0,V31/TrRoad_act!V44*1000
)</f>
        <v>1418.0942398000082</v>
      </c>
      <c r="W68" s="101">
        <f>IF(TrRoad_act!W44=0,0,W31/TrRoad_act!W44*1000
)</f>
        <v>1385.575359892943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513.72499330808876</v>
      </c>
      <c r="C70" s="29">
        <f>IF(TrRoad_act!C46=0,0,C33/TrRoad_act!C46*1000
)</f>
        <v>476.26252548005039</v>
      </c>
      <c r="D70" s="29">
        <f>IF(TrRoad_act!D46=0,0,D33/TrRoad_act!D46*1000
)</f>
        <v>652.21948891634258</v>
      </c>
      <c r="E70" s="29">
        <f>IF(TrRoad_act!E46=0,0,E33/TrRoad_act!E46*1000
)</f>
        <v>500.17241184071315</v>
      </c>
      <c r="F70" s="29">
        <f>IF(TrRoad_act!F46=0,0,F33/TrRoad_act!F46*1000
)</f>
        <v>521.62674555705348</v>
      </c>
      <c r="G70" s="29">
        <f>IF(TrRoad_act!G46=0,0,G33/TrRoad_act!G46*1000
)</f>
        <v>626.76198251598043</v>
      </c>
      <c r="H70" s="29">
        <f>IF(TrRoad_act!H46=0,0,H33/TrRoad_act!H46*1000
)</f>
        <v>660.2495608997491</v>
      </c>
      <c r="I70" s="29">
        <f>IF(TrRoad_act!I46=0,0,I33/TrRoad_act!I46*1000
)</f>
        <v>663.02999051739664</v>
      </c>
      <c r="J70" s="29">
        <f>IF(TrRoad_act!J46=0,0,J33/TrRoad_act!J46*1000
)</f>
        <v>663.31567667356057</v>
      </c>
      <c r="K70" s="29">
        <f>IF(TrRoad_act!K46=0,0,K33/TrRoad_act!K46*1000
)</f>
        <v>557.88076148360483</v>
      </c>
      <c r="L70" s="29">
        <f>IF(TrRoad_act!L46=0,0,L33/TrRoad_act!L46*1000
)</f>
        <v>690.44243473452411</v>
      </c>
      <c r="M70" s="29">
        <f>IF(TrRoad_act!M46=0,0,M33/TrRoad_act!M46*1000
)</f>
        <v>659.26453058415836</v>
      </c>
      <c r="N70" s="29">
        <f>IF(TrRoad_act!N46=0,0,N33/TrRoad_act!N46*1000
)</f>
        <v>627.24446199883641</v>
      </c>
      <c r="O70" s="29">
        <f>IF(TrRoad_act!O46=0,0,O33/TrRoad_act!O46*1000
)</f>
        <v>663.16903261522464</v>
      </c>
      <c r="P70" s="29">
        <f>IF(TrRoad_act!P46=0,0,P33/TrRoad_act!P46*1000
)</f>
        <v>666.22136187434307</v>
      </c>
      <c r="Q70" s="29">
        <f>IF(TrRoad_act!Q46=0,0,Q33/TrRoad_act!Q46*1000
)</f>
        <v>600.76405489555327</v>
      </c>
      <c r="R70" s="29">
        <f>IF(TrRoad_act!R46=0,0,R33/TrRoad_act!R46*1000
)</f>
        <v>707.18825216010237</v>
      </c>
      <c r="S70" s="29">
        <f>IF(TrRoad_act!S46=0,0,S33/TrRoad_act!S46*1000
)</f>
        <v>881.46228714977951</v>
      </c>
      <c r="T70" s="29">
        <f>IF(TrRoad_act!T46=0,0,T33/TrRoad_act!T46*1000
)</f>
        <v>914.3378940323596</v>
      </c>
      <c r="U70" s="29">
        <f>IF(TrRoad_act!U46=0,0,U33/TrRoad_act!U46*1000
)</f>
        <v>874.85741968773209</v>
      </c>
      <c r="V70" s="29">
        <f>IF(TrRoad_act!V46=0,0,V33/TrRoad_act!V46*1000
)</f>
        <v>815.51364186317232</v>
      </c>
      <c r="W70" s="29">
        <f>IF(TrRoad_act!W46=0,0,W33/TrRoad_act!W46*1000
)</f>
        <v>888.53971340469388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321.51398115435785</v>
      </c>
      <c r="C71" s="152">
        <f>IF(TrRoad_act!C47=0,0,C34/TrRoad_act!C47*1000
)</f>
        <v>314.36321989352115</v>
      </c>
      <c r="D71" s="152">
        <f>IF(TrRoad_act!D47=0,0,D34/TrRoad_act!D47*1000
)</f>
        <v>376.68422158880514</v>
      </c>
      <c r="E71" s="152">
        <f>IF(TrRoad_act!E47=0,0,E34/TrRoad_act!E47*1000
)</f>
        <v>353.6905540217353</v>
      </c>
      <c r="F71" s="152">
        <f>IF(TrRoad_act!F47=0,0,F34/TrRoad_act!F47*1000
)</f>
        <v>353.29750811765916</v>
      </c>
      <c r="G71" s="152">
        <f>IF(TrRoad_act!G47=0,0,G34/TrRoad_act!G47*1000
)</f>
        <v>363.62119571304106</v>
      </c>
      <c r="H71" s="152">
        <f>IF(TrRoad_act!H47=0,0,H34/TrRoad_act!H47*1000
)</f>
        <v>329.758356138517</v>
      </c>
      <c r="I71" s="152">
        <f>IF(TrRoad_act!I47=0,0,I34/TrRoad_act!I47*1000
)</f>
        <v>341.56379008039778</v>
      </c>
      <c r="J71" s="152">
        <f>IF(TrRoad_act!J47=0,0,J34/TrRoad_act!J47*1000
)</f>
        <v>315.47435724128644</v>
      </c>
      <c r="K71" s="152">
        <f>IF(TrRoad_act!K47=0,0,K34/TrRoad_act!K47*1000
)</f>
        <v>285.44309821908672</v>
      </c>
      <c r="L71" s="152">
        <f>IF(TrRoad_act!L47=0,0,L34/TrRoad_act!L47*1000
)</f>
        <v>330.03727749578809</v>
      </c>
      <c r="M71" s="152">
        <f>IF(TrRoad_act!M47=0,0,M34/TrRoad_act!M47*1000
)</f>
        <v>335.28772534176221</v>
      </c>
      <c r="N71" s="152">
        <f>IF(TrRoad_act!N47=0,0,N34/TrRoad_act!N47*1000
)</f>
        <v>312.52011259036664</v>
      </c>
      <c r="O71" s="152">
        <f>IF(TrRoad_act!O47=0,0,O34/TrRoad_act!O47*1000
)</f>
        <v>300.82267947949697</v>
      </c>
      <c r="P71" s="152">
        <f>IF(TrRoad_act!P47=0,0,P34/TrRoad_act!P47*1000
)</f>
        <v>303.83039603300961</v>
      </c>
      <c r="Q71" s="152">
        <f>IF(TrRoad_act!Q47=0,0,Q34/TrRoad_act!Q47*1000
)</f>
        <v>283.75962597216596</v>
      </c>
      <c r="R71" s="152">
        <f>IF(TrRoad_act!R47=0,0,R34/TrRoad_act!R47*1000
)</f>
        <v>304.75295522738293</v>
      </c>
      <c r="S71" s="152">
        <f>IF(TrRoad_act!S47=0,0,S34/TrRoad_act!S47*1000
)</f>
        <v>329.35145020619819</v>
      </c>
      <c r="T71" s="152">
        <f>IF(TrRoad_act!T47=0,0,T34/TrRoad_act!T47*1000
)</f>
        <v>327.2065558070156</v>
      </c>
      <c r="U71" s="152">
        <f>IF(TrRoad_act!U47=0,0,U34/TrRoad_act!U47*1000
)</f>
        <v>324.91868334537696</v>
      </c>
      <c r="V71" s="152">
        <f>IF(TrRoad_act!V47=0,0,V34/TrRoad_act!V47*1000
)</f>
        <v>326.32627873281001</v>
      </c>
      <c r="W71" s="152">
        <f>IF(TrRoad_act!W47=0,0,W34/TrRoad_act!W47*1000
)</f>
        <v>307.1152196239895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258.87740568652526</v>
      </c>
      <c r="C72" s="87">
        <f>IF(TrRoad_act!C48=0,0,C35/TrRoad_act!C48*1000
)</f>
        <v>254.36413356762628</v>
      </c>
      <c r="D72" s="87">
        <f>IF(TrRoad_act!D48=0,0,D35/TrRoad_act!D48*1000
)</f>
        <v>249.43486577852863</v>
      </c>
      <c r="E72" s="87">
        <f>IF(TrRoad_act!E48=0,0,E35/TrRoad_act!E48*1000
)</f>
        <v>244.21762743123685</v>
      </c>
      <c r="F72" s="87">
        <f>IF(TrRoad_act!F48=0,0,F35/TrRoad_act!F48*1000
)</f>
        <v>228.71886262582993</v>
      </c>
      <c r="G72" s="87">
        <f>IF(TrRoad_act!G48=0,0,G35/TrRoad_act!G48*1000
)</f>
        <v>224.99683483667789</v>
      </c>
      <c r="H72" s="87">
        <f>IF(TrRoad_act!H48=0,0,H35/TrRoad_act!H48*1000
)</f>
        <v>220.95491689178562</v>
      </c>
      <c r="I72" s="87">
        <f>IF(TrRoad_act!I48=0,0,I35/TrRoad_act!I48*1000
)</f>
        <v>214.72550398879102</v>
      </c>
      <c r="J72" s="87">
        <f>IF(TrRoad_act!J48=0,0,J35/TrRoad_act!J48*1000
)</f>
        <v>212.56819543233644</v>
      </c>
      <c r="K72" s="87">
        <f>IF(TrRoad_act!K48=0,0,K35/TrRoad_act!K48*1000
)</f>
        <v>206.5031591564379</v>
      </c>
      <c r="L72" s="87">
        <f>IF(TrRoad_act!L48=0,0,L35/TrRoad_act!L48*1000
)</f>
        <v>200.22897203361555</v>
      </c>
      <c r="M72" s="87">
        <f>IF(TrRoad_act!M48=0,0,M35/TrRoad_act!M48*1000
)</f>
        <v>201.33553094799032</v>
      </c>
      <c r="N72" s="87">
        <f>IF(TrRoad_act!N48=0,0,N35/TrRoad_act!N48*1000
)</f>
        <v>202.14702806404628</v>
      </c>
      <c r="O72" s="87">
        <f>IF(TrRoad_act!O48=0,0,O35/TrRoad_act!O48*1000
)</f>
        <v>203.83622268156475</v>
      </c>
      <c r="P72" s="87">
        <f>IF(TrRoad_act!P48=0,0,P35/TrRoad_act!P48*1000
)</f>
        <v>201.63165322703856</v>
      </c>
      <c r="Q72" s="87">
        <f>IF(TrRoad_act!Q48=0,0,Q35/TrRoad_act!Q48*1000
)</f>
        <v>206.08309426137691</v>
      </c>
      <c r="R72" s="87">
        <f>IF(TrRoad_act!R48=0,0,R35/TrRoad_act!R48*1000
)</f>
        <v>211.49589713649442</v>
      </c>
      <c r="S72" s="87">
        <f>IF(TrRoad_act!S48=0,0,S35/TrRoad_act!S48*1000
)</f>
        <v>210.31155973551645</v>
      </c>
      <c r="T72" s="87">
        <f>IF(TrRoad_act!T48=0,0,T35/TrRoad_act!T48*1000
)</f>
        <v>212.45598375013768</v>
      </c>
      <c r="U72" s="87">
        <f>IF(TrRoad_act!U48=0,0,U35/TrRoad_act!U48*1000
)</f>
        <v>213.86448081424396</v>
      </c>
      <c r="V72" s="87">
        <f>IF(TrRoad_act!V48=0,0,V35/TrRoad_act!V48*1000
)</f>
        <v>210.75105427235465</v>
      </c>
      <c r="W72" s="87">
        <f>IF(TrRoad_act!W48=0,0,W35/TrRoad_act!W48*1000
)</f>
        <v>211.62357888954784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353.84430452019888</v>
      </c>
      <c r="C73" s="87">
        <f>IF(TrRoad_act!C49=0,0,C36/TrRoad_act!C49*1000
)</f>
        <v>345.27669201998259</v>
      </c>
      <c r="D73" s="87">
        <f>IF(TrRoad_act!D49=0,0,D36/TrRoad_act!D49*1000
)</f>
        <v>443.39802311420556</v>
      </c>
      <c r="E73" s="87">
        <f>IF(TrRoad_act!E49=0,0,E36/TrRoad_act!E49*1000
)</f>
        <v>411.29238601807924</v>
      </c>
      <c r="F73" s="87">
        <f>IF(TrRoad_act!F49=0,0,F36/TrRoad_act!F49*1000
)</f>
        <v>438.16327740226848</v>
      </c>
      <c r="G73" s="87">
        <f>IF(TrRoad_act!G49=0,0,G36/TrRoad_act!G49*1000
)</f>
        <v>449.49699965986196</v>
      </c>
      <c r="H73" s="87">
        <f>IF(TrRoad_act!H49=0,0,H36/TrRoad_act!H49*1000
)</f>
        <v>399.79447601232636</v>
      </c>
      <c r="I73" s="87">
        <f>IF(TrRoad_act!I49=0,0,I36/TrRoad_act!I49*1000
)</f>
        <v>415.7167269088942</v>
      </c>
      <c r="J73" s="87">
        <f>IF(TrRoad_act!J49=0,0,J36/TrRoad_act!J49*1000
)</f>
        <v>373.3333684912555</v>
      </c>
      <c r="K73" s="87">
        <f>IF(TrRoad_act!K49=0,0,K36/TrRoad_act!K49*1000
)</f>
        <v>324.38091967136188</v>
      </c>
      <c r="L73" s="87">
        <f>IF(TrRoad_act!L49=0,0,L36/TrRoad_act!L49*1000
)</f>
        <v>373.32144968981629</v>
      </c>
      <c r="M73" s="87">
        <f>IF(TrRoad_act!M49=0,0,M36/TrRoad_act!M49*1000
)</f>
        <v>379.60399037841393</v>
      </c>
      <c r="N73" s="87">
        <f>IF(TrRoad_act!N49=0,0,N36/TrRoad_act!N49*1000
)</f>
        <v>347.69335389413283</v>
      </c>
      <c r="O73" s="87">
        <f>IF(TrRoad_act!O49=0,0,O36/TrRoad_act!O49*1000
)</f>
        <v>336.70775823798215</v>
      </c>
      <c r="P73" s="87">
        <f>IF(TrRoad_act!P49=0,0,P36/TrRoad_act!P49*1000
)</f>
        <v>345.07507085636217</v>
      </c>
      <c r="Q73" s="87">
        <f>IF(TrRoad_act!Q49=0,0,Q36/TrRoad_act!Q49*1000
)</f>
        <v>314.64178706533261</v>
      </c>
      <c r="R73" s="87">
        <f>IF(TrRoad_act!R49=0,0,R36/TrRoad_act!R49*1000
)</f>
        <v>353.20483361720841</v>
      </c>
      <c r="S73" s="87">
        <f>IF(TrRoad_act!S49=0,0,S36/TrRoad_act!S49*1000
)</f>
        <v>382.02531088627649</v>
      </c>
      <c r="T73" s="87">
        <f>IF(TrRoad_act!T49=0,0,T36/TrRoad_act!T49*1000
)</f>
        <v>375.8340609275927</v>
      </c>
      <c r="U73" s="87">
        <f>IF(TrRoad_act!U49=0,0,U36/TrRoad_act!U49*1000
)</f>
        <v>363.17571794133005</v>
      </c>
      <c r="V73" s="87">
        <f>IF(TrRoad_act!V49=0,0,V36/TrRoad_act!V49*1000
)</f>
        <v>365.24638438955247</v>
      </c>
      <c r="W73" s="87">
        <f>IF(TrRoad_act!W49=0,0,W36/TrRoad_act!W49*1000
)</f>
        <v>338.34947240889875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285.09101739034287</v>
      </c>
      <c r="O74" s="87">
        <f>IF(TrRoad_act!O50=0,0,O37/TrRoad_act!O50*1000
)</f>
        <v>229.80210715200201</v>
      </c>
      <c r="P74" s="87">
        <f>IF(TrRoad_act!P50=0,0,P37/TrRoad_act!P50*1000
)</f>
        <v>332.26636893659901</v>
      </c>
      <c r="Q74" s="87">
        <f>IF(TrRoad_act!Q50=0,0,Q37/TrRoad_act!Q50*1000
)</f>
        <v>331.35588497496002</v>
      </c>
      <c r="R74" s="87">
        <f>IF(TrRoad_act!R50=0,0,R37/TrRoad_act!R50*1000
)</f>
        <v>331.19584075712578</v>
      </c>
      <c r="S74" s="87">
        <f>IF(TrRoad_act!S50=0,0,S37/TrRoad_act!S50*1000
)</f>
        <v>328.27834918911464</v>
      </c>
      <c r="T74" s="87">
        <f>IF(TrRoad_act!T50=0,0,T37/TrRoad_act!T50*1000
)</f>
        <v>322.67945709196857</v>
      </c>
      <c r="U74" s="87">
        <f>IF(TrRoad_act!U50=0,0,U37/TrRoad_act!U50*1000
)</f>
        <v>315.90213166606327</v>
      </c>
      <c r="V74" s="87">
        <f>IF(TrRoad_act!V50=0,0,V37/TrRoad_act!V50*1000
)</f>
        <v>313.10152283048581</v>
      </c>
      <c r="W74" s="87">
        <f>IF(TrRoad_act!W50=0,0,W37/TrRoad_act!W50*1000
)</f>
        <v>312.31218146515857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237.79428545957362</v>
      </c>
      <c r="O75" s="87">
        <f>IF(TrRoad_act!O51=0,0,O38/TrRoad_act!O51*1000
)</f>
        <v>244.85038234548676</v>
      </c>
      <c r="P75" s="87">
        <f>IF(TrRoad_act!P51=0,0,P38/TrRoad_act!P51*1000
)</f>
        <v>238.84370880540322</v>
      </c>
      <c r="Q75" s="87">
        <f>IF(TrRoad_act!Q51=0,0,Q38/TrRoad_act!Q51*1000
)</f>
        <v>220.25862932414825</v>
      </c>
      <c r="R75" s="87">
        <f>IF(TrRoad_act!R51=0,0,R38/TrRoad_act!R51*1000
)</f>
        <v>330.3085391531589</v>
      </c>
      <c r="S75" s="87">
        <f>IF(TrRoad_act!S51=0,0,S38/TrRoad_act!S51*1000
)</f>
        <v>325.71104374066567</v>
      </c>
      <c r="T75" s="87">
        <f>IF(TrRoad_act!T51=0,0,T38/TrRoad_act!T51*1000
)</f>
        <v>305.48472285929017</v>
      </c>
      <c r="U75" s="87">
        <f>IF(TrRoad_act!U51=0,0,U38/TrRoad_act!U51*1000
)</f>
        <v>305.9828995623833</v>
      </c>
      <c r="V75" s="87">
        <f>IF(TrRoad_act!V51=0,0,V38/TrRoad_act!V51*1000
)</f>
        <v>366.23310379452931</v>
      </c>
      <c r="W75" s="87">
        <f>IF(TrRoad_act!W51=0,0,W38/TrRoad_act!W51*1000
)</f>
        <v>358.54969165551574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1029.8133720394198</v>
      </c>
      <c r="C77" s="116">
        <f>IF(TrRoad_act!C53=0,0,C40/TrRoad_act!C53*1000
)</f>
        <v>888.44592275511752</v>
      </c>
      <c r="D77" s="116">
        <f>IF(TrRoad_act!D53=0,0,D40/TrRoad_act!D53*1000
)</f>
        <v>1179.8830084697117</v>
      </c>
      <c r="E77" s="116">
        <f>IF(TrRoad_act!E53=0,0,E40/TrRoad_act!E53*1000
)</f>
        <v>766.51236253647289</v>
      </c>
      <c r="F77" s="116">
        <f>IF(TrRoad_act!F53=0,0,F40/TrRoad_act!F53*1000
)</f>
        <v>809.66811234192357</v>
      </c>
      <c r="G77" s="116">
        <f>IF(TrRoad_act!G53=0,0,G40/TrRoad_act!G53*1000
)</f>
        <v>1080.3956601545251</v>
      </c>
      <c r="H77" s="116">
        <f>IF(TrRoad_act!H53=0,0,H40/TrRoad_act!H53*1000
)</f>
        <v>1174.7224375880426</v>
      </c>
      <c r="I77" s="116">
        <f>IF(TrRoad_act!I53=0,0,I40/TrRoad_act!I53*1000
)</f>
        <v>1170.7697856741922</v>
      </c>
      <c r="J77" s="116">
        <f>IF(TrRoad_act!J53=0,0,J40/TrRoad_act!J53*1000
)</f>
        <v>1167.8598356725686</v>
      </c>
      <c r="K77" s="116">
        <f>IF(TrRoad_act!K53=0,0,K40/TrRoad_act!K53*1000
)</f>
        <v>1047.6598040951542</v>
      </c>
      <c r="L77" s="116">
        <f>IF(TrRoad_act!L53=0,0,L40/TrRoad_act!L53*1000
)</f>
        <v>1223.1960914285503</v>
      </c>
      <c r="M77" s="116">
        <f>IF(TrRoad_act!M53=0,0,M40/TrRoad_act!M53*1000
)</f>
        <v>1146.1291696033793</v>
      </c>
      <c r="N77" s="116">
        <f>IF(TrRoad_act!N53=0,0,N40/TrRoad_act!N53*1000
)</f>
        <v>1146.4273782298053</v>
      </c>
      <c r="O77" s="116">
        <f>IF(TrRoad_act!O53=0,0,O40/TrRoad_act!O53*1000
)</f>
        <v>1210.7781910310187</v>
      </c>
      <c r="P77" s="116">
        <f>IF(TrRoad_act!P53=0,0,P40/TrRoad_act!P53*1000
)</f>
        <v>1111.3354529790197</v>
      </c>
      <c r="Q77" s="116">
        <f>IF(TrRoad_act!Q53=0,0,Q40/TrRoad_act!Q53*1000
)</f>
        <v>1067.1826302093998</v>
      </c>
      <c r="R77" s="116">
        <f>IF(TrRoad_act!R53=0,0,R40/TrRoad_act!R53*1000
)</f>
        <v>1185.752234293743</v>
      </c>
      <c r="S77" s="116">
        <f>IF(TrRoad_act!S53=0,0,S40/TrRoad_act!S53*1000
)</f>
        <v>1513.0713378813084</v>
      </c>
      <c r="T77" s="116">
        <f>IF(TrRoad_act!T53=0,0,T40/TrRoad_act!T53*1000
)</f>
        <v>1607.0591268407265</v>
      </c>
      <c r="U77" s="116">
        <f>IF(TrRoad_act!U53=0,0,U40/TrRoad_act!U53*1000
)</f>
        <v>1457.5028445065857</v>
      </c>
      <c r="V77" s="116">
        <f>IF(TrRoad_act!V53=0,0,V40/TrRoad_act!V53*1000
)</f>
        <v>1361.2536118056921</v>
      </c>
      <c r="W77" s="116">
        <f>IF(TrRoad_act!W53=0,0,W40/TrRoad_act!W53*1000
)</f>
        <v>1566.8557346077057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922.61922445968605</v>
      </c>
      <c r="C78" s="101">
        <f>IF(TrRoad_act!C54=0,0,C41/TrRoad_act!C54*1000
)</f>
        <v>852.02453062438587</v>
      </c>
      <c r="D78" s="101">
        <f>IF(TrRoad_act!D54=0,0,D41/TrRoad_act!D54*1000
)</f>
        <v>940.40957192668316</v>
      </c>
      <c r="E78" s="101">
        <f>IF(TrRoad_act!E54=0,0,E41/TrRoad_act!E54*1000
)</f>
        <v>848.34630011021125</v>
      </c>
      <c r="F78" s="101">
        <f>IF(TrRoad_act!F54=0,0,F41/TrRoad_act!F54*1000
)</f>
        <v>849.70343254707041</v>
      </c>
      <c r="G78" s="101">
        <f>IF(TrRoad_act!G54=0,0,G41/TrRoad_act!G54*1000
)</f>
        <v>904.38434949223006</v>
      </c>
      <c r="H78" s="101">
        <f>IF(TrRoad_act!H54=0,0,H41/TrRoad_act!H54*1000
)</f>
        <v>909.34867410959464</v>
      </c>
      <c r="I78" s="101">
        <f>IF(TrRoad_act!I54=0,0,I41/TrRoad_act!I54*1000
)</f>
        <v>907.65971181320242</v>
      </c>
      <c r="J78" s="101">
        <f>IF(TrRoad_act!J54=0,0,J41/TrRoad_act!J54*1000
)</f>
        <v>909.52766772909206</v>
      </c>
      <c r="K78" s="101">
        <f>IF(TrRoad_act!K54=0,0,K41/TrRoad_act!K54*1000
)</f>
        <v>879.41074251946281</v>
      </c>
      <c r="L78" s="101">
        <f>IF(TrRoad_act!L54=0,0,L41/TrRoad_act!L54*1000
)</f>
        <v>923.23265443056584</v>
      </c>
      <c r="M78" s="101">
        <f>IF(TrRoad_act!M54=0,0,M41/TrRoad_act!M54*1000
)</f>
        <v>903.61142534777923</v>
      </c>
      <c r="N78" s="101">
        <f>IF(TrRoad_act!N54=0,0,N41/TrRoad_act!N54*1000
)</f>
        <v>904.2914222362657</v>
      </c>
      <c r="O78" s="101">
        <f>IF(TrRoad_act!O54=0,0,O41/TrRoad_act!O54*1000
)</f>
        <v>916.27455788337716</v>
      </c>
      <c r="P78" s="101">
        <f>IF(TrRoad_act!P54=0,0,P41/TrRoad_act!P54*1000
)</f>
        <v>884.70616129222276</v>
      </c>
      <c r="Q78" s="101">
        <f>IF(TrRoad_act!Q54=0,0,Q41/TrRoad_act!Q54*1000
)</f>
        <v>866.78369067347342</v>
      </c>
      <c r="R78" s="101">
        <f>IF(TrRoad_act!R54=0,0,R41/TrRoad_act!R54*1000
)</f>
        <v>898.73389182337507</v>
      </c>
      <c r="S78" s="101">
        <f>IF(TrRoad_act!S54=0,0,S41/TrRoad_act!S54*1000
)</f>
        <v>981.79918476634236</v>
      </c>
      <c r="T78" s="101">
        <f>IF(TrRoad_act!T54=0,0,T41/TrRoad_act!T54*1000
)</f>
        <v>1002.5688535369712</v>
      </c>
      <c r="U78" s="101">
        <f>IF(TrRoad_act!U54=0,0,U41/TrRoad_act!U54*1000
)</f>
        <v>968.32858261115916</v>
      </c>
      <c r="V78" s="101">
        <f>IF(TrRoad_act!V54=0,0,V41/TrRoad_act!V54*1000
)</f>
        <v>946.76954588946671</v>
      </c>
      <c r="W78" s="101">
        <f>IF(TrRoad_act!W54=0,0,W41/TrRoad_act!W54*1000
)</f>
        <v>994.18167646304801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1193.5049712483394</v>
      </c>
      <c r="C79" s="88">
        <f>IF(TrRoad_act!C55=0,0,C42/TrRoad_act!C55*1000
)</f>
        <v>945.03032241436051</v>
      </c>
      <c r="D79" s="88">
        <f>IF(TrRoad_act!D55=0,0,D42/TrRoad_act!D55*1000
)</f>
        <v>1724.9695860278719</v>
      </c>
      <c r="E79" s="88">
        <f>IF(TrRoad_act!E55=0,0,E42/TrRoad_act!E55*1000
)</f>
        <v>573.04527244248027</v>
      </c>
      <c r="F79" s="88">
        <f>IF(TrRoad_act!F55=0,0,F42/TrRoad_act!F55*1000
)</f>
        <v>720.63030596523913</v>
      </c>
      <c r="G79" s="88">
        <f>IF(TrRoad_act!G55=0,0,G42/TrRoad_act!G55*1000
)</f>
        <v>1489.1515081997534</v>
      </c>
      <c r="H79" s="88">
        <f>IF(TrRoad_act!H55=0,0,H42/TrRoad_act!H55*1000
)</f>
        <v>1835.9660291744538</v>
      </c>
      <c r="I79" s="88">
        <f>IF(TrRoad_act!I55=0,0,I42/TrRoad_act!I55*1000
)</f>
        <v>1736.9569508766019</v>
      </c>
      <c r="J79" s="88">
        <f>IF(TrRoad_act!J55=0,0,J42/TrRoad_act!J55*1000
)</f>
        <v>1875.6706253926102</v>
      </c>
      <c r="K79" s="88">
        <f>IF(TrRoad_act!K55=0,0,K42/TrRoad_act!K55*1000
)</f>
        <v>1445.369774932394</v>
      </c>
      <c r="L79" s="88">
        <f>IF(TrRoad_act!L55=0,0,L42/TrRoad_act!L55*1000
)</f>
        <v>2114.0985181341202</v>
      </c>
      <c r="M79" s="88">
        <f>IF(TrRoad_act!M55=0,0,M42/TrRoad_act!M55*1000
)</f>
        <v>1813.6004695060187</v>
      </c>
      <c r="N79" s="88">
        <f>IF(TrRoad_act!N55=0,0,N42/TrRoad_act!N55*1000
)</f>
        <v>1760.5694310259021</v>
      </c>
      <c r="O79" s="88">
        <f>IF(TrRoad_act!O55=0,0,O42/TrRoad_act!O55*1000
)</f>
        <v>1870.4400694721953</v>
      </c>
      <c r="P79" s="88">
        <f>IF(TrRoad_act!P55=0,0,P42/TrRoad_act!P55*1000
)</f>
        <v>1669.5297523633521</v>
      </c>
      <c r="Q79" s="88">
        <f>IF(TrRoad_act!Q55=0,0,Q42/TrRoad_act!Q55*1000
)</f>
        <v>1476.8633148603262</v>
      </c>
      <c r="R79" s="88">
        <f>IF(TrRoad_act!R55=0,0,R42/TrRoad_act!R55*1000
)</f>
        <v>1842.3781354268478</v>
      </c>
      <c r="S79" s="88">
        <f>IF(TrRoad_act!S55=0,0,S42/TrRoad_act!S55*1000
)</f>
        <v>2679.3538756402086</v>
      </c>
      <c r="T79" s="88">
        <f>IF(TrRoad_act!T55=0,0,T42/TrRoad_act!T55*1000
)</f>
        <v>2866.3903476656487</v>
      </c>
      <c r="U79" s="88">
        <f>IF(TrRoad_act!U55=0,0,U42/TrRoad_act!U55*1000
)</f>
        <v>2570.289081872917</v>
      </c>
      <c r="V79" s="88">
        <f>IF(TrRoad_act!V55=0,0,V42/TrRoad_act!V55*1000
)</f>
        <v>2296.968209206645</v>
      </c>
      <c r="W79" s="88">
        <f>IF(TrRoad_act!W55=0,0,W42/TrRoad_act!W55*1000
)</f>
        <v>2788.6397633785532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84.013373860401316</v>
      </c>
      <c r="C82" s="29">
        <f>IF(TrRoad_act!C4=0,0,C18/TrRoad_act!C4*1000)</f>
        <v>84.850345578101155</v>
      </c>
      <c r="D82" s="29">
        <f>IF(TrRoad_act!D4=0,0,D18/TrRoad_act!D4*1000)</f>
        <v>95.869939250304213</v>
      </c>
      <c r="E82" s="29">
        <f>IF(TrRoad_act!E4=0,0,E18/TrRoad_act!E4*1000)</f>
        <v>93.018958446704829</v>
      </c>
      <c r="F82" s="29">
        <f>IF(TrRoad_act!F4=0,0,F18/TrRoad_act!F4*1000)</f>
        <v>86.161567993142555</v>
      </c>
      <c r="G82" s="29">
        <f>IF(TrRoad_act!G4=0,0,G18/TrRoad_act!G4*1000)</f>
        <v>88.768183343310298</v>
      </c>
      <c r="H82" s="29">
        <f>IF(TrRoad_act!H4=0,0,H18/TrRoad_act!H4*1000)</f>
        <v>84.187963002181135</v>
      </c>
      <c r="I82" s="29">
        <f>IF(TrRoad_act!I4=0,0,I18/TrRoad_act!I4*1000)</f>
        <v>90.379578638273301</v>
      </c>
      <c r="J82" s="29">
        <f>IF(TrRoad_act!J4=0,0,J18/TrRoad_act!J4*1000)</f>
        <v>95.912150379693102</v>
      </c>
      <c r="K82" s="29">
        <f>IF(TrRoad_act!K4=0,0,K18/TrRoad_act!K4*1000)</f>
        <v>94.91549795461934</v>
      </c>
      <c r="L82" s="29">
        <f>IF(TrRoad_act!L4=0,0,L18/TrRoad_act!L4*1000)</f>
        <v>95.461865054227005</v>
      </c>
      <c r="M82" s="29">
        <f>IF(TrRoad_act!M4=0,0,M18/TrRoad_act!M4*1000)</f>
        <v>92.895066153929463</v>
      </c>
      <c r="N82" s="29">
        <f>IF(TrRoad_act!N4=0,0,N18/TrRoad_act!N4*1000)</f>
        <v>90.910531926372059</v>
      </c>
      <c r="O82" s="29">
        <f>IF(TrRoad_act!O4=0,0,O18/TrRoad_act!O4*1000)</f>
        <v>90.39686194018374</v>
      </c>
      <c r="P82" s="29">
        <f>IF(TrRoad_act!P4=0,0,P18/TrRoad_act!P4*1000)</f>
        <v>87.895506933965692</v>
      </c>
      <c r="Q82" s="29">
        <f>IF(TrRoad_act!Q4=0,0,Q18/TrRoad_act!Q4*1000)</f>
        <v>87.604854426547703</v>
      </c>
      <c r="R82" s="29">
        <f>IF(TrRoad_act!R4=0,0,R18/TrRoad_act!R4*1000)</f>
        <v>86.754427648524114</v>
      </c>
      <c r="S82" s="29">
        <f>IF(TrRoad_act!S4=0,0,S18/TrRoad_act!S4*1000)</f>
        <v>88.483267080443184</v>
      </c>
      <c r="T82" s="29">
        <f>IF(TrRoad_act!T4=0,0,T18/TrRoad_act!T4*1000)</f>
        <v>84.790453102494666</v>
      </c>
      <c r="U82" s="29">
        <f>IF(TrRoad_act!U4=0,0,U18/TrRoad_act!U4*1000)</f>
        <v>83.306981796930799</v>
      </c>
      <c r="V82" s="29">
        <f>IF(TrRoad_act!V4=0,0,V18/TrRoad_act!V4*1000)</f>
        <v>92.227581572988356</v>
      </c>
      <c r="W82" s="29">
        <f>IF(TrRoad_act!W4=0,0,W18/TrRoad_act!W4*1000)</f>
        <v>90.892067445819492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97.864238301672117</v>
      </c>
      <c r="C83" s="152">
        <f>IF(TrRoad_act!C5=0,0,C19/TrRoad_act!C5*1000)</f>
        <v>97.856540497502166</v>
      </c>
      <c r="D83" s="152">
        <f>IF(TrRoad_act!D5=0,0,D19/TrRoad_act!D5*1000)</f>
        <v>97.869079620619033</v>
      </c>
      <c r="E83" s="152">
        <f>IF(TrRoad_act!E5=0,0,E19/TrRoad_act!E5*1000)</f>
        <v>97.806058308028142</v>
      </c>
      <c r="F83" s="152">
        <f>IF(TrRoad_act!F5=0,0,F19/TrRoad_act!F5*1000)</f>
        <v>97.695227184025029</v>
      </c>
      <c r="G83" s="152">
        <f>IF(TrRoad_act!G5=0,0,G19/TrRoad_act!G5*1000)</f>
        <v>97.767953437083762</v>
      </c>
      <c r="H83" s="152">
        <f>IF(TrRoad_act!H5=0,0,H19/TrRoad_act!H5*1000)</f>
        <v>97.613137503185897</v>
      </c>
      <c r="I83" s="152">
        <f>IF(TrRoad_act!I5=0,0,I19/TrRoad_act!I5*1000)</f>
        <v>95.698774401149123</v>
      </c>
      <c r="J83" s="152">
        <f>IF(TrRoad_act!J5=0,0,J19/TrRoad_act!J5*1000)</f>
        <v>95.07994749953383</v>
      </c>
      <c r="K83" s="152">
        <f>IF(TrRoad_act!K5=0,0,K19/TrRoad_act!K5*1000)</f>
        <v>92.238096670053949</v>
      </c>
      <c r="L83" s="152">
        <f>IF(TrRoad_act!L5=0,0,L19/TrRoad_act!L5*1000)</f>
        <v>92.188258829657428</v>
      </c>
      <c r="M83" s="152">
        <f>IF(TrRoad_act!M5=0,0,M19/TrRoad_act!M5*1000)</f>
        <v>92.327270327083525</v>
      </c>
      <c r="N83" s="152">
        <f>IF(TrRoad_act!N5=0,0,N19/TrRoad_act!N5*1000)</f>
        <v>92.767593799811607</v>
      </c>
      <c r="O83" s="152">
        <f>IF(TrRoad_act!O5=0,0,O19/TrRoad_act!O5*1000)</f>
        <v>92.23782024671759</v>
      </c>
      <c r="P83" s="152">
        <f>IF(TrRoad_act!P5=0,0,P19/TrRoad_act!P5*1000)</f>
        <v>90.329204974203364</v>
      </c>
      <c r="Q83" s="152">
        <f>IF(TrRoad_act!Q5=0,0,Q19/TrRoad_act!Q5*1000)</f>
        <v>89.851859369282522</v>
      </c>
      <c r="R83" s="152">
        <f>IF(TrRoad_act!R5=0,0,R19/TrRoad_act!R5*1000)</f>
        <v>90.38312431598554</v>
      </c>
      <c r="S83" s="152">
        <f>IF(TrRoad_act!S5=0,0,S19/TrRoad_act!S5*1000)</f>
        <v>89.258391385470276</v>
      </c>
      <c r="T83" s="152">
        <f>IF(TrRoad_act!T5=0,0,T19/TrRoad_act!T5*1000)</f>
        <v>88.83900460494722</v>
      </c>
      <c r="U83" s="152">
        <f>IF(TrRoad_act!U5=0,0,U19/TrRoad_act!U5*1000)</f>
        <v>87.906053767978094</v>
      </c>
      <c r="V83" s="152">
        <f>IF(TrRoad_act!V5=0,0,V19/TrRoad_act!V5*1000)</f>
        <v>86.314529918988768</v>
      </c>
      <c r="W83" s="152">
        <f>IF(TrRoad_act!W5=0,0,W19/TrRoad_act!W5*1000)</f>
        <v>79.190621931115814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93.201884039442888</v>
      </c>
      <c r="C84" s="116">
        <f>IF(TrRoad_act!C6=0,0,C20/TrRoad_act!C6*1000)</f>
        <v>95.995749494861542</v>
      </c>
      <c r="D84" s="116">
        <f>IF(TrRoad_act!D6=0,0,D20/TrRoad_act!D6*1000)</f>
        <v>110.03152926126035</v>
      </c>
      <c r="E84" s="116">
        <f>IF(TrRoad_act!E6=0,0,E20/TrRoad_act!E6*1000)</f>
        <v>103.82708737172374</v>
      </c>
      <c r="F84" s="116">
        <f>IF(TrRoad_act!F6=0,0,F20/TrRoad_act!F6*1000)</f>
        <v>96.429871943762294</v>
      </c>
      <c r="G84" s="116">
        <f>IF(TrRoad_act!G6=0,0,G20/TrRoad_act!G6*1000)</f>
        <v>99.557447442113244</v>
      </c>
      <c r="H84" s="116">
        <f>IF(TrRoad_act!H6=0,0,H20/TrRoad_act!H6*1000)</f>
        <v>93.941322192264863</v>
      </c>
      <c r="I84" s="116">
        <f>IF(TrRoad_act!I6=0,0,I20/TrRoad_act!I6*1000)</f>
        <v>98.736010110235796</v>
      </c>
      <c r="J84" s="116">
        <f>IF(TrRoad_act!J6=0,0,J20/TrRoad_act!J6*1000)</f>
        <v>102.1967439794888</v>
      </c>
      <c r="K84" s="116">
        <f>IF(TrRoad_act!K6=0,0,K20/TrRoad_act!K6*1000)</f>
        <v>95.158347160059705</v>
      </c>
      <c r="L84" s="116">
        <f>IF(TrRoad_act!L6=0,0,L20/TrRoad_act!L6*1000)</f>
        <v>95.806967694125859</v>
      </c>
      <c r="M84" s="116">
        <f>IF(TrRoad_act!M6=0,0,M20/TrRoad_act!M6*1000)</f>
        <v>94.799344389514062</v>
      </c>
      <c r="N84" s="116">
        <f>IF(TrRoad_act!N6=0,0,N20/TrRoad_act!N6*1000)</f>
        <v>92.36181862707754</v>
      </c>
      <c r="O84" s="116">
        <f>IF(TrRoad_act!O6=0,0,O20/TrRoad_act!O6*1000)</f>
        <v>91.746136701301126</v>
      </c>
      <c r="P84" s="116">
        <f>IF(TrRoad_act!P6=0,0,P20/TrRoad_act!P6*1000)</f>
        <v>89.281120491401538</v>
      </c>
      <c r="Q84" s="116">
        <f>IF(TrRoad_act!Q6=0,0,Q20/TrRoad_act!Q6*1000)</f>
        <v>89.354186250886343</v>
      </c>
      <c r="R84" s="116">
        <f>IF(TrRoad_act!R6=0,0,R20/TrRoad_act!R6*1000)</f>
        <v>90.191713752781538</v>
      </c>
      <c r="S84" s="116">
        <f>IF(TrRoad_act!S6=0,0,S20/TrRoad_act!S6*1000)</f>
        <v>91.166668815739158</v>
      </c>
      <c r="T84" s="116">
        <f>IF(TrRoad_act!T6=0,0,T20/TrRoad_act!T6*1000)</f>
        <v>87.074619312374111</v>
      </c>
      <c r="U84" s="116">
        <f>IF(TrRoad_act!U6=0,0,U20/TrRoad_act!U6*1000)</f>
        <v>84.970145258990811</v>
      </c>
      <c r="V84" s="116">
        <f>IF(TrRoad_act!V6=0,0,V20/TrRoad_act!V6*1000)</f>
        <v>90.141969161002507</v>
      </c>
      <c r="W84" s="116">
        <f>IF(TrRoad_act!W6=0,0,W20/TrRoad_act!W6*1000)</f>
        <v>86.800385822035324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86.75557778718904</v>
      </c>
      <c r="C85" s="87">
        <f>IF(TrRoad_act!C7=0,0,C21/TrRoad_act!C7*1000)</f>
        <v>92.409732016486657</v>
      </c>
      <c r="D85" s="87">
        <f>IF(TrRoad_act!D7=0,0,D21/TrRoad_act!D7*1000)</f>
        <v>109.65691255072004</v>
      </c>
      <c r="E85" s="87">
        <f>IF(TrRoad_act!E7=0,0,E21/TrRoad_act!E7*1000)</f>
        <v>102.48061205026808</v>
      </c>
      <c r="F85" s="87">
        <f>IF(TrRoad_act!F7=0,0,F21/TrRoad_act!F7*1000)</f>
        <v>92.215536933876294</v>
      </c>
      <c r="G85" s="87">
        <f>IF(TrRoad_act!G7=0,0,G21/TrRoad_act!G7*1000)</f>
        <v>96.353502589507912</v>
      </c>
      <c r="H85" s="87">
        <f>IF(TrRoad_act!H7=0,0,H21/TrRoad_act!H7*1000)</f>
        <v>89.967851530632672</v>
      </c>
      <c r="I85" s="87">
        <f>IF(TrRoad_act!I7=0,0,I21/TrRoad_act!I7*1000)</f>
        <v>95.424312782205845</v>
      </c>
      <c r="J85" s="87">
        <f>IF(TrRoad_act!J7=0,0,J21/TrRoad_act!J7*1000)</f>
        <v>101.81478848390262</v>
      </c>
      <c r="K85" s="87">
        <f>IF(TrRoad_act!K7=0,0,K21/TrRoad_act!K7*1000)</f>
        <v>91.936415617331832</v>
      </c>
      <c r="L85" s="87">
        <f>IF(TrRoad_act!L7=0,0,L21/TrRoad_act!L7*1000)</f>
        <v>91.298121933236501</v>
      </c>
      <c r="M85" s="87">
        <f>IF(TrRoad_act!M7=0,0,M21/TrRoad_act!M7*1000)</f>
        <v>89.886303948738387</v>
      </c>
      <c r="N85" s="87">
        <f>IF(TrRoad_act!N7=0,0,N21/TrRoad_act!N7*1000)</f>
        <v>86.667974037421743</v>
      </c>
      <c r="O85" s="87">
        <f>IF(TrRoad_act!O7=0,0,O21/TrRoad_act!O7*1000)</f>
        <v>86.061655590051203</v>
      </c>
      <c r="P85" s="87">
        <f>IF(TrRoad_act!P7=0,0,P21/TrRoad_act!P7*1000)</f>
        <v>84.355141543346505</v>
      </c>
      <c r="Q85" s="87">
        <f>IF(TrRoad_act!Q7=0,0,Q21/TrRoad_act!Q7*1000)</f>
        <v>85.469288071167568</v>
      </c>
      <c r="R85" s="87">
        <f>IF(TrRoad_act!R7=0,0,R21/TrRoad_act!R7*1000)</f>
        <v>87.202330592139589</v>
      </c>
      <c r="S85" s="87">
        <f>IF(TrRoad_act!S7=0,0,S21/TrRoad_act!S7*1000)</f>
        <v>87.394706719295129</v>
      </c>
      <c r="T85" s="87">
        <f>IF(TrRoad_act!T7=0,0,T21/TrRoad_act!T7*1000)</f>
        <v>80.78500220448926</v>
      </c>
      <c r="U85" s="87">
        <f>IF(TrRoad_act!U7=0,0,U21/TrRoad_act!U7*1000)</f>
        <v>78.243411668282249</v>
      </c>
      <c r="V85" s="87">
        <f>IF(TrRoad_act!V7=0,0,V21/TrRoad_act!V7*1000)</f>
        <v>83.067576899697571</v>
      </c>
      <c r="W85" s="87">
        <f>IF(TrRoad_act!W7=0,0,W21/TrRoad_act!W7*1000)</f>
        <v>79.734778252772173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114.92945192031087</v>
      </c>
      <c r="C86" s="87">
        <f>IF(TrRoad_act!C8=0,0,C22/TrRoad_act!C8*1000)</f>
        <v>106.78025441609947</v>
      </c>
      <c r="D86" s="87">
        <f>IF(TrRoad_act!D8=0,0,D22/TrRoad_act!D8*1000)</f>
        <v>111.28553430975975</v>
      </c>
      <c r="E86" s="87">
        <f>IF(TrRoad_act!E8=0,0,E22/TrRoad_act!E8*1000)</f>
        <v>107.7718182317286</v>
      </c>
      <c r="F86" s="87">
        <f>IF(TrRoad_act!F8=0,0,F22/TrRoad_act!F8*1000)</f>
        <v>106.8939387499438</v>
      </c>
      <c r="G86" s="87">
        <f>IF(TrRoad_act!G8=0,0,G22/TrRoad_act!G8*1000)</f>
        <v>106.84911646673088</v>
      </c>
      <c r="H86" s="87">
        <f>IF(TrRoad_act!H8=0,0,H22/TrRoad_act!H8*1000)</f>
        <v>103.6278750076452</v>
      </c>
      <c r="I86" s="87">
        <f>IF(TrRoad_act!I8=0,0,I22/TrRoad_act!I8*1000)</f>
        <v>103.8600796705103</v>
      </c>
      <c r="J86" s="87">
        <f>IF(TrRoad_act!J8=0,0,J22/TrRoad_act!J8*1000)</f>
        <v>103.70066512317675</v>
      </c>
      <c r="K86" s="87">
        <f>IF(TrRoad_act!K8=0,0,K22/TrRoad_act!K8*1000)</f>
        <v>101.84852029738437</v>
      </c>
      <c r="L86" s="87">
        <f>IF(TrRoad_act!L8=0,0,L22/TrRoad_act!L8*1000)</f>
        <v>104.72592365624186</v>
      </c>
      <c r="M86" s="87">
        <f>IF(TrRoad_act!M8=0,0,M22/TrRoad_act!M8*1000)</f>
        <v>102.62529018033359</v>
      </c>
      <c r="N86" s="87">
        <f>IF(TrRoad_act!N8=0,0,N22/TrRoad_act!N8*1000)</f>
        <v>101.46054012058084</v>
      </c>
      <c r="O86" s="87">
        <f>IF(TrRoad_act!O8=0,0,O22/TrRoad_act!O8*1000)</f>
        <v>101.19688358498627</v>
      </c>
      <c r="P86" s="87">
        <f>IF(TrRoad_act!P8=0,0,P22/TrRoad_act!P8*1000)</f>
        <v>98.699568047547302</v>
      </c>
      <c r="Q86" s="87">
        <f>IF(TrRoad_act!Q8=0,0,Q22/TrRoad_act!Q8*1000)</f>
        <v>96.201957407678904</v>
      </c>
      <c r="R86" s="87">
        <f>IF(TrRoad_act!R8=0,0,R22/TrRoad_act!R8*1000)</f>
        <v>95.31740450631807</v>
      </c>
      <c r="S86" s="87">
        <f>IF(TrRoad_act!S8=0,0,S22/TrRoad_act!S8*1000)</f>
        <v>97.66353084181749</v>
      </c>
      <c r="T86" s="87">
        <f>IF(TrRoad_act!T8=0,0,T22/TrRoad_act!T8*1000)</f>
        <v>97.531949066000848</v>
      </c>
      <c r="U86" s="87">
        <f>IF(TrRoad_act!U8=0,0,U22/TrRoad_act!U8*1000)</f>
        <v>95.614964539024726</v>
      </c>
      <c r="V86" s="87">
        <f>IF(TrRoad_act!V8=0,0,V22/TrRoad_act!V8*1000)</f>
        <v>100.39851357589289</v>
      </c>
      <c r="W86" s="87">
        <f>IF(TrRoad_act!W8=0,0,W22/TrRoad_act!W8*1000)</f>
        <v>96.156361548394585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0</v>
      </c>
      <c r="D87" s="87">
        <f>IF(TrRoad_act!D9=0,0,D23/TrRoad_act!D9*1000)</f>
        <v>0</v>
      </c>
      <c r="E87" s="87">
        <f>IF(TrRoad_act!E9=0,0,E23/TrRoad_act!E9*1000)</f>
        <v>0</v>
      </c>
      <c r="F87" s="87">
        <f>IF(TrRoad_act!F9=0,0,F23/TrRoad_act!F9*1000)</f>
        <v>0</v>
      </c>
      <c r="G87" s="87">
        <f>IF(TrRoad_act!G9=0,0,G23/TrRoad_act!G9*1000)</f>
        <v>98.884925165993565</v>
      </c>
      <c r="H87" s="87">
        <f>IF(TrRoad_act!H9=0,0,H23/TrRoad_act!H9*1000)</f>
        <v>99.458221408236938</v>
      </c>
      <c r="I87" s="87">
        <f>IF(TrRoad_act!I9=0,0,I23/TrRoad_act!I9*1000)</f>
        <v>103.79040565527434</v>
      </c>
      <c r="J87" s="87">
        <f>IF(TrRoad_act!J9=0,0,J23/TrRoad_act!J9*1000)</f>
        <v>109.6222246428183</v>
      </c>
      <c r="K87" s="87">
        <f>IF(TrRoad_act!K9=0,0,K23/TrRoad_act!K9*1000)</f>
        <v>114.61890063747019</v>
      </c>
      <c r="L87" s="87">
        <f>IF(TrRoad_act!L9=0,0,L23/TrRoad_act!L9*1000)</f>
        <v>111.7718294660726</v>
      </c>
      <c r="M87" s="87">
        <f>IF(TrRoad_act!M9=0,0,M23/TrRoad_act!M9*1000)</f>
        <v>106.7986524548827</v>
      </c>
      <c r="N87" s="87">
        <f>IF(TrRoad_act!N9=0,0,N23/TrRoad_act!N9*1000)</f>
        <v>106.32514840325007</v>
      </c>
      <c r="O87" s="87">
        <f>IF(TrRoad_act!O9=0,0,O23/TrRoad_act!O9*1000)</f>
        <v>107.29421008261204</v>
      </c>
      <c r="P87" s="87">
        <f>IF(TrRoad_act!P9=0,0,P23/TrRoad_act!P9*1000)</f>
        <v>88.82240434942247</v>
      </c>
      <c r="Q87" s="87">
        <f>IF(TrRoad_act!Q9=0,0,Q23/TrRoad_act!Q9*1000)</f>
        <v>98.144827376890575</v>
      </c>
      <c r="R87" s="87">
        <f>IF(TrRoad_act!R9=0,0,R23/TrRoad_act!R9*1000)</f>
        <v>100.01158965967632</v>
      </c>
      <c r="S87" s="87">
        <f>IF(TrRoad_act!S9=0,0,S23/TrRoad_act!S9*1000)</f>
        <v>105.01112611613569</v>
      </c>
      <c r="T87" s="87">
        <f>IF(TrRoad_act!T9=0,0,T23/TrRoad_act!T9*1000)</f>
        <v>115.0861333436885</v>
      </c>
      <c r="U87" s="87">
        <f>IF(TrRoad_act!U9=0,0,U23/TrRoad_act!U9*1000)</f>
        <v>123.01578416116949</v>
      </c>
      <c r="V87" s="87">
        <f>IF(TrRoad_act!V9=0,0,V23/TrRoad_act!V9*1000)</f>
        <v>138.78269841358963</v>
      </c>
      <c r="W87" s="87">
        <f>IF(TrRoad_act!W9=0,0,W23/TrRoad_act!W9*1000)</f>
        <v>150.0399137073174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182.65611298830444</v>
      </c>
      <c r="D88" s="87">
        <f>IF(TrRoad_act!D10=0,0,D24/TrRoad_act!D10*1000)</f>
        <v>76.859595941414256</v>
      </c>
      <c r="E88" s="87">
        <f>IF(TrRoad_act!E10=0,0,E24/TrRoad_act!E10*1000)</f>
        <v>78.174480620985719</v>
      </c>
      <c r="F88" s="87">
        <f>IF(TrRoad_act!F10=0,0,F24/TrRoad_act!F10*1000)</f>
        <v>99.431933463192749</v>
      </c>
      <c r="G88" s="87">
        <f>IF(TrRoad_act!G10=0,0,G24/TrRoad_act!G10*1000)</f>
        <v>128.89074051136703</v>
      </c>
      <c r="H88" s="87">
        <f>IF(TrRoad_act!H10=0,0,H24/TrRoad_act!H10*1000)</f>
        <v>75.573349630735734</v>
      </c>
      <c r="I88" s="87">
        <f>IF(TrRoad_act!I10=0,0,I24/TrRoad_act!I10*1000)</f>
        <v>156.59221260004256</v>
      </c>
      <c r="J88" s="87">
        <f>IF(TrRoad_act!J10=0,0,J24/TrRoad_act!J10*1000)</f>
        <v>75.816559550360807</v>
      </c>
      <c r="K88" s="87">
        <f>IF(TrRoad_act!K10=0,0,K24/TrRoad_act!K10*1000)</f>
        <v>75.430425567356124</v>
      </c>
      <c r="L88" s="87">
        <f>IF(TrRoad_act!L10=0,0,L24/TrRoad_act!L10*1000)</f>
        <v>85.482629491814009</v>
      </c>
      <c r="M88" s="87">
        <f>IF(TrRoad_act!M10=0,0,M24/TrRoad_act!M10*1000)</f>
        <v>101.37668103094521</v>
      </c>
      <c r="N88" s="87">
        <f>IF(TrRoad_act!N10=0,0,N24/TrRoad_act!N10*1000)</f>
        <v>99.160953005072884</v>
      </c>
      <c r="O88" s="87">
        <f>IF(TrRoad_act!O10=0,0,O24/TrRoad_act!O10*1000)</f>
        <v>88.712276904097536</v>
      </c>
      <c r="P88" s="87">
        <f>IF(TrRoad_act!P10=0,0,P24/TrRoad_act!P10*1000)</f>
        <v>95.50764598683719</v>
      </c>
      <c r="Q88" s="87">
        <f>IF(TrRoad_act!Q10=0,0,Q24/TrRoad_act!Q10*1000)</f>
        <v>88.028457628478805</v>
      </c>
      <c r="R88" s="87">
        <f>IF(TrRoad_act!R10=0,0,R24/TrRoad_act!R10*1000)</f>
        <v>94.050000490619325</v>
      </c>
      <c r="S88" s="87">
        <f>IF(TrRoad_act!S10=0,0,S24/TrRoad_act!S10*1000)</f>
        <v>92.971556379058697</v>
      </c>
      <c r="T88" s="87">
        <f>IF(TrRoad_act!T10=0,0,T24/TrRoad_act!T10*1000)</f>
        <v>92.084911861765264</v>
      </c>
      <c r="U88" s="87">
        <f>IF(TrRoad_act!U10=0,0,U24/TrRoad_act!U10*1000)</f>
        <v>90.401438700323069</v>
      </c>
      <c r="V88" s="87">
        <f>IF(TrRoad_act!V10=0,0,V24/TrRoad_act!V10*1000)</f>
        <v>122.96091867889666</v>
      </c>
      <c r="W88" s="87">
        <f>IF(TrRoad_act!W10=0,0,W24/TrRoad_act!W10*1000)</f>
        <v>112.0982232337446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17.849737731901588</v>
      </c>
      <c r="O89" s="87">
        <f>IF(TrRoad_act!O11=0,0,O25/TrRoad_act!O11*1000)</f>
        <v>17.755098178960179</v>
      </c>
      <c r="P89" s="87">
        <f>IF(TrRoad_act!P11=0,0,P25/TrRoad_act!P11*1000)</f>
        <v>57.706700907617737</v>
      </c>
      <c r="Q89" s="87">
        <f>IF(TrRoad_act!Q11=0,0,Q25/TrRoad_act!Q11*1000)</f>
        <v>51.781396512605063</v>
      </c>
      <c r="R89" s="87">
        <f>IF(TrRoad_act!R11=0,0,R25/TrRoad_act!R11*1000)</f>
        <v>39.133764521288818</v>
      </c>
      <c r="S89" s="87">
        <f>IF(TrRoad_act!S11=0,0,S25/TrRoad_act!S11*1000)</f>
        <v>46.388280346221663</v>
      </c>
      <c r="T89" s="87">
        <f>IF(TrRoad_act!T11=0,0,T25/TrRoad_act!T11*1000)</f>
        <v>36.746965429528323</v>
      </c>
      <c r="U89" s="87">
        <f>IF(TrRoad_act!U11=0,0,U25/TrRoad_act!U11*1000)</f>
        <v>34.511670407764967</v>
      </c>
      <c r="V89" s="87">
        <f>IF(TrRoad_act!V11=0,0,V25/TrRoad_act!V11*1000)</f>
        <v>31.269665459732657</v>
      </c>
      <c r="W89" s="87">
        <f>IF(TrRoad_act!W11=0,0,W25/TrRoad_act!W11*1000)</f>
        <v>24.437753199968441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60.326131445535189</v>
      </c>
      <c r="C91" s="116">
        <f>IF(TrRoad_act!C13=0,0,C27/TrRoad_act!C13*1000)</f>
        <v>55.762014518520687</v>
      </c>
      <c r="D91" s="116">
        <f>IF(TrRoad_act!D13=0,0,D27/TrRoad_act!D13*1000)</f>
        <v>57.612022470240738</v>
      </c>
      <c r="E91" s="116">
        <f>IF(TrRoad_act!E13=0,0,E27/TrRoad_act!E13*1000)</f>
        <v>61.916217887285292</v>
      </c>
      <c r="F91" s="116">
        <f>IF(TrRoad_act!F13=0,0,F27/TrRoad_act!F13*1000)</f>
        <v>56.691162944784701</v>
      </c>
      <c r="G91" s="116">
        <f>IF(TrRoad_act!G13=0,0,G27/TrRoad_act!G13*1000)</f>
        <v>56.065263731371068</v>
      </c>
      <c r="H91" s="116">
        <f>IF(TrRoad_act!H13=0,0,H27/TrRoad_act!H13*1000)</f>
        <v>54.495898555381245</v>
      </c>
      <c r="I91" s="116">
        <f>IF(TrRoad_act!I13=0,0,I27/TrRoad_act!I13*1000)</f>
        <v>65.228059068427967</v>
      </c>
      <c r="J91" s="116">
        <f>IF(TrRoad_act!J13=0,0,J27/TrRoad_act!J13*1000)</f>
        <v>73.651340212975427</v>
      </c>
      <c r="K91" s="116">
        <f>IF(TrRoad_act!K13=0,0,K27/TrRoad_act!K13*1000)</f>
        <v>93.757057694587175</v>
      </c>
      <c r="L91" s="116">
        <f>IF(TrRoad_act!L13=0,0,L27/TrRoad_act!L13*1000)</f>
        <v>93.742455352322779</v>
      </c>
      <c r="M91" s="116">
        <f>IF(TrRoad_act!M13=0,0,M27/TrRoad_act!M13*1000)</f>
        <v>83.555117723981198</v>
      </c>
      <c r="N91" s="116">
        <f>IF(TrRoad_act!N13=0,0,N27/TrRoad_act!N13*1000)</f>
        <v>83.682960482011637</v>
      </c>
      <c r="O91" s="116">
        <f>IF(TrRoad_act!O13=0,0,O27/TrRoad_act!O13*1000)</f>
        <v>83.394963792354574</v>
      </c>
      <c r="P91" s="116">
        <f>IF(TrRoad_act!P13=0,0,P27/TrRoad_act!P13*1000)</f>
        <v>80.794303214170185</v>
      </c>
      <c r="Q91" s="116">
        <f>IF(TrRoad_act!Q13=0,0,Q27/TrRoad_act!Q13*1000)</f>
        <v>78.583365401001828</v>
      </c>
      <c r="R91" s="116">
        <f>IF(TrRoad_act!R13=0,0,R27/TrRoad_act!R13*1000)</f>
        <v>70.435644093815043</v>
      </c>
      <c r="S91" s="116">
        <f>IF(TrRoad_act!S13=0,0,S27/TrRoad_act!S13*1000)</f>
        <v>75.732293514504406</v>
      </c>
      <c r="T91" s="116">
        <f>IF(TrRoad_act!T13=0,0,T27/TrRoad_act!T13*1000)</f>
        <v>74.29658263433214</v>
      </c>
      <c r="U91" s="116">
        <f>IF(TrRoad_act!U13=0,0,U27/TrRoad_act!U13*1000)</f>
        <v>75.523296895703197</v>
      </c>
      <c r="V91" s="116">
        <f>IF(TrRoad_act!V13=0,0,V27/TrRoad_act!V13*1000)</f>
        <v>106.24039242724984</v>
      </c>
      <c r="W91" s="116">
        <f>IF(TrRoad_act!W13=0,0,W27/TrRoad_act!W13*1000)</f>
        <v>125.19578572451556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0</v>
      </c>
      <c r="K92" s="101">
        <f>IF(TrRoad_act!K14=0,0,K28/TrRoad_act!K14*1000)</f>
        <v>0</v>
      </c>
      <c r="L92" s="101">
        <f>IF(TrRoad_act!L14=0,0,L28/TrRoad_act!L14*1000)</f>
        <v>0</v>
      </c>
      <c r="M92" s="101">
        <f>IF(TrRoad_act!M14=0,0,M28/TrRoad_act!M14*1000)</f>
        <v>0</v>
      </c>
      <c r="N92" s="101">
        <f>IF(TrRoad_act!N14=0,0,N28/TrRoad_act!N14*1000)</f>
        <v>0</v>
      </c>
      <c r="O92" s="101">
        <f>IF(TrRoad_act!O14=0,0,O28/TrRoad_act!O14*1000)</f>
        <v>0</v>
      </c>
      <c r="P92" s="101">
        <f>IF(TrRoad_act!P14=0,0,P28/TrRoad_act!P14*1000)</f>
        <v>0</v>
      </c>
      <c r="Q92" s="101">
        <f>IF(TrRoad_act!Q14=0,0,Q28/TrRoad_act!Q14*1000)</f>
        <v>0</v>
      </c>
      <c r="R92" s="101">
        <f>IF(TrRoad_act!R14=0,0,R28/TrRoad_act!R14*1000)</f>
        <v>0</v>
      </c>
      <c r="S92" s="101">
        <f>IF(TrRoad_act!S14=0,0,S28/TrRoad_act!S14*1000)</f>
        <v>0</v>
      </c>
      <c r="T92" s="101">
        <f>IF(TrRoad_act!T14=0,0,T28/TrRoad_act!T14*1000)</f>
        <v>0</v>
      </c>
      <c r="U92" s="101">
        <f>IF(TrRoad_act!U14=0,0,U28/TrRoad_act!U14*1000)</f>
        <v>0</v>
      </c>
      <c r="V92" s="101">
        <f>IF(TrRoad_act!V14=0,0,V28/TrRoad_act!V14*1000)</f>
        <v>0</v>
      </c>
      <c r="W92" s="101">
        <f>IF(TrRoad_act!W14=0,0,W28/TrRoad_act!W14*1000)</f>
        <v>0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60.326131445535189</v>
      </c>
      <c r="C93" s="101">
        <f>IF(TrRoad_act!C15=0,0,C29/TrRoad_act!C15*1000)</f>
        <v>55.762014518520687</v>
      </c>
      <c r="D93" s="101">
        <f>IF(TrRoad_act!D15=0,0,D29/TrRoad_act!D15*1000)</f>
        <v>57.612022470240738</v>
      </c>
      <c r="E93" s="101">
        <f>IF(TrRoad_act!E15=0,0,E29/TrRoad_act!E15*1000)</f>
        <v>61.916217887285292</v>
      </c>
      <c r="F93" s="101">
        <f>IF(TrRoad_act!F15=0,0,F29/TrRoad_act!F15*1000)</f>
        <v>56.691162944784701</v>
      </c>
      <c r="G93" s="101">
        <f>IF(TrRoad_act!G15=0,0,G29/TrRoad_act!G15*1000)</f>
        <v>56.065263731371068</v>
      </c>
      <c r="H93" s="101">
        <f>IF(TrRoad_act!H15=0,0,H29/TrRoad_act!H15*1000)</f>
        <v>54.495898555381245</v>
      </c>
      <c r="I93" s="101">
        <f>IF(TrRoad_act!I15=0,0,I29/TrRoad_act!I15*1000)</f>
        <v>65.228059068427967</v>
      </c>
      <c r="J93" s="101">
        <f>IF(TrRoad_act!J15=0,0,J29/TrRoad_act!J15*1000)</f>
        <v>73.651340212975427</v>
      </c>
      <c r="K93" s="101">
        <f>IF(TrRoad_act!K15=0,0,K29/TrRoad_act!K15*1000)</f>
        <v>93.757057694587175</v>
      </c>
      <c r="L93" s="101">
        <f>IF(TrRoad_act!L15=0,0,L29/TrRoad_act!L15*1000)</f>
        <v>95.2709951304073</v>
      </c>
      <c r="M93" s="101">
        <f>IF(TrRoad_act!M15=0,0,M29/TrRoad_act!M15*1000)</f>
        <v>86.913679100814775</v>
      </c>
      <c r="N93" s="101">
        <f>IF(TrRoad_act!N15=0,0,N29/TrRoad_act!N15*1000)</f>
        <v>87.073046194899632</v>
      </c>
      <c r="O93" s="101">
        <f>IF(TrRoad_act!O15=0,0,O29/TrRoad_act!O15*1000)</f>
        <v>86.830665320409665</v>
      </c>
      <c r="P93" s="101">
        <f>IF(TrRoad_act!P15=0,0,P29/TrRoad_act!P15*1000)</f>
        <v>85.301761266293241</v>
      </c>
      <c r="Q93" s="101">
        <f>IF(TrRoad_act!Q15=0,0,Q29/TrRoad_act!Q15*1000)</f>
        <v>84.120344118785155</v>
      </c>
      <c r="R93" s="101">
        <f>IF(TrRoad_act!R15=0,0,R29/TrRoad_act!R15*1000)</f>
        <v>77.45604480932414</v>
      </c>
      <c r="S93" s="101">
        <f>IF(TrRoad_act!S15=0,0,S29/TrRoad_act!S15*1000)</f>
        <v>83.601596128701971</v>
      </c>
      <c r="T93" s="101">
        <f>IF(TrRoad_act!T15=0,0,T29/TrRoad_act!T15*1000)</f>
        <v>82.620380503540659</v>
      </c>
      <c r="U93" s="101">
        <f>IF(TrRoad_act!U15=0,0,U29/TrRoad_act!U15*1000)</f>
        <v>83.891964845396615</v>
      </c>
      <c r="V93" s="101">
        <f>IF(TrRoad_act!V15=0,0,V29/TrRoad_act!V15*1000)</f>
        <v>119.80659649602134</v>
      </c>
      <c r="W93" s="101">
        <f>IF(TrRoad_act!W15=0,0,W29/TrRoad_act!W15*1000)</f>
        <v>141.53735462463132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0</v>
      </c>
      <c r="R95" s="101">
        <f>IF(TrRoad_act!R17=0,0,R31/TrRoad_act!R17*1000)</f>
        <v>24.503009066156718</v>
      </c>
      <c r="S95" s="101">
        <f>IF(TrRoad_act!S17=0,0,S31/TrRoad_act!S17*1000)</f>
        <v>38.592885927845273</v>
      </c>
      <c r="T95" s="101">
        <f>IF(TrRoad_act!T17=0,0,T31/TrRoad_act!T17*1000)</f>
        <v>27.264179335879295</v>
      </c>
      <c r="U95" s="101">
        <f>IF(TrRoad_act!U17=0,0,U31/TrRoad_act!U17*1000)</f>
        <v>56.081350346385179</v>
      </c>
      <c r="V95" s="101">
        <f>IF(TrRoad_act!V17=0,0,V31/TrRoad_act!V17*1000)</f>
        <v>105.73177255590655</v>
      </c>
      <c r="W95" s="101">
        <f>IF(TrRoad_act!W17=0,0,W31/TrRoad_act!W17*1000)</f>
        <v>119.92542012489541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135.26139491387175</v>
      </c>
      <c r="C97" s="29">
        <f>IF(TrRoad_act!C19=0,0,C33/TrRoad_act!C19*1000)</f>
        <v>123.44430884249566</v>
      </c>
      <c r="D97" s="29">
        <f>IF(TrRoad_act!D19=0,0,D33/TrRoad_act!D19*1000)</f>
        <v>189.04144089419555</v>
      </c>
      <c r="E97" s="29">
        <f>IF(TrRoad_act!E19=0,0,E33/TrRoad_act!E19*1000)</f>
        <v>143.24480707235068</v>
      </c>
      <c r="F97" s="29">
        <f>IF(TrRoad_act!F19=0,0,F33/TrRoad_act!F19*1000)</f>
        <v>148.94645033793537</v>
      </c>
      <c r="G97" s="29">
        <f>IF(TrRoad_act!G19=0,0,G33/TrRoad_act!G19*1000)</f>
        <v>184.9427486630471</v>
      </c>
      <c r="H97" s="29">
        <f>IF(TrRoad_act!H19=0,0,H33/TrRoad_act!H19*1000)</f>
        <v>204.67237905864565</v>
      </c>
      <c r="I97" s="29">
        <f>IF(TrRoad_act!I19=0,0,I33/TrRoad_act!I19*1000)</f>
        <v>201.29430690564564</v>
      </c>
      <c r="J97" s="29">
        <f>IF(TrRoad_act!J19=0,0,J33/TrRoad_act!J19*1000)</f>
        <v>214.36760377804941</v>
      </c>
      <c r="K97" s="29">
        <f>IF(TrRoad_act!K19=0,0,K33/TrRoad_act!K19*1000)</f>
        <v>195.47893410619125</v>
      </c>
      <c r="L97" s="29">
        <f>IF(TrRoad_act!L19=0,0,L33/TrRoad_act!L19*1000)</f>
        <v>260.71623231707235</v>
      </c>
      <c r="M97" s="29">
        <f>IF(TrRoad_act!M19=0,0,M33/TrRoad_act!M19*1000)</f>
        <v>251.48198674079237</v>
      </c>
      <c r="N97" s="29">
        <f>IF(TrRoad_act!N19=0,0,N33/TrRoad_act!N19*1000)</f>
        <v>237.18215872735001</v>
      </c>
      <c r="O97" s="29">
        <f>IF(TrRoad_act!O19=0,0,O33/TrRoad_act!O19*1000)</f>
        <v>234.66604599095669</v>
      </c>
      <c r="P97" s="29">
        <f>IF(TrRoad_act!P19=0,0,P33/TrRoad_act!P19*1000)</f>
        <v>216.49938366854101</v>
      </c>
      <c r="Q97" s="29">
        <f>IF(TrRoad_act!Q19=0,0,Q33/TrRoad_act!Q19*1000)</f>
        <v>196.22060639586681</v>
      </c>
      <c r="R97" s="29">
        <f>IF(TrRoad_act!R19=0,0,R33/TrRoad_act!R19*1000)</f>
        <v>221.72207679626362</v>
      </c>
      <c r="S97" s="29">
        <f>IF(TrRoad_act!S19=0,0,S33/TrRoad_act!S19*1000)</f>
        <v>259.06547810250146</v>
      </c>
      <c r="T97" s="29">
        <f>IF(TrRoad_act!T19=0,0,T33/TrRoad_act!T19*1000)</f>
        <v>259.45205197084886</v>
      </c>
      <c r="U97" s="29">
        <f>IF(TrRoad_act!U19=0,0,U33/TrRoad_act!U19*1000)</f>
        <v>250.428790102383</v>
      </c>
      <c r="V97" s="29">
        <f>IF(TrRoad_act!V19=0,0,V33/TrRoad_act!V19*1000)</f>
        <v>241.4121843843856</v>
      </c>
      <c r="W97" s="29">
        <f>IF(TrRoad_act!W19=0,0,W33/TrRoad_act!W19*1000)</f>
        <v>261.1779118937913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2887.3651548224284</v>
      </c>
      <c r="C98" s="152">
        <f>IF(TrRoad_act!C20=0,0,C34/TrRoad_act!C20*1000)</f>
        <v>2837.1039748357671</v>
      </c>
      <c r="D98" s="152">
        <f>IF(TrRoad_act!D20=0,0,D34/TrRoad_act!D20*1000)</f>
        <v>3410.2669723119316</v>
      </c>
      <c r="E98" s="152">
        <f>IF(TrRoad_act!E20=0,0,E34/TrRoad_act!E20*1000)</f>
        <v>3190.6597099413548</v>
      </c>
      <c r="F98" s="152">
        <f>IF(TrRoad_act!F20=0,0,F34/TrRoad_act!F20*1000)</f>
        <v>3225.8085874744929</v>
      </c>
      <c r="G98" s="152">
        <f>IF(TrRoad_act!G20=0,0,G34/TrRoad_act!G20*1000)</f>
        <v>3289.2347658825724</v>
      </c>
      <c r="H98" s="152">
        <f>IF(TrRoad_act!H20=0,0,H34/TrRoad_act!H20*1000)</f>
        <v>2975.4424676619929</v>
      </c>
      <c r="I98" s="152">
        <f>IF(TrRoad_act!I20=0,0,I34/TrRoad_act!I20*1000)</f>
        <v>3076.4008095374643</v>
      </c>
      <c r="J98" s="152">
        <f>IF(TrRoad_act!J20=0,0,J34/TrRoad_act!J20*1000)</f>
        <v>2838.2453843687158</v>
      </c>
      <c r="K98" s="152">
        <f>IF(TrRoad_act!K20=0,0,K34/TrRoad_act!K20*1000)</f>
        <v>2544.0250298460019</v>
      </c>
      <c r="L98" s="152">
        <f>IF(TrRoad_act!L20=0,0,L34/TrRoad_act!L20*1000)</f>
        <v>2878.0973621170992</v>
      </c>
      <c r="M98" s="152">
        <f>IF(TrRoad_act!M20=0,0,M34/TrRoad_act!M20*1000)</f>
        <v>2935.2759655366981</v>
      </c>
      <c r="N98" s="152">
        <f>IF(TrRoad_act!N20=0,0,N34/TrRoad_act!N20*1000)</f>
        <v>2743.2426410039729</v>
      </c>
      <c r="O98" s="152">
        <f>IF(TrRoad_act!O20=0,0,O34/TrRoad_act!O20*1000)</f>
        <v>2663.9458286196832</v>
      </c>
      <c r="P98" s="152">
        <f>IF(TrRoad_act!P20=0,0,P34/TrRoad_act!P20*1000)</f>
        <v>2714.7742665315604</v>
      </c>
      <c r="Q98" s="152">
        <f>IF(TrRoad_act!Q20=0,0,Q34/TrRoad_act!Q20*1000)</f>
        <v>2547.8376140685905</v>
      </c>
      <c r="R98" s="152">
        <f>IF(TrRoad_act!R20=0,0,R34/TrRoad_act!R20*1000)</f>
        <v>2782.4808668482901</v>
      </c>
      <c r="S98" s="152">
        <f>IF(TrRoad_act!S20=0,0,S34/TrRoad_act!S20*1000)</f>
        <v>2989.7160741732346</v>
      </c>
      <c r="T98" s="152">
        <f>IF(TrRoad_act!T20=0,0,T34/TrRoad_act!T20*1000)</f>
        <v>2973.3225549252602</v>
      </c>
      <c r="U98" s="152">
        <f>IF(TrRoad_act!U20=0,0,U34/TrRoad_act!U20*1000)</f>
        <v>2934.7260526221671</v>
      </c>
      <c r="V98" s="152">
        <f>IF(TrRoad_act!V20=0,0,V34/TrRoad_act!V20*1000)</f>
        <v>2955.472736290269</v>
      </c>
      <c r="W98" s="152">
        <f>IF(TrRoad_act!W20=0,0,W34/TrRoad_act!W20*1000)</f>
        <v>2788.2401952624764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2774.271979685258</v>
      </c>
      <c r="C99" s="87">
        <f>IF(TrRoad_act!C21=0,0,C35/TrRoad_act!C21*1000)</f>
        <v>2739.6518585325634</v>
      </c>
      <c r="D99" s="87">
        <f>IF(TrRoad_act!D21=0,0,D35/TrRoad_act!D21*1000)</f>
        <v>2700.1198789990754</v>
      </c>
      <c r="E99" s="87">
        <f>IF(TrRoad_act!E21=0,0,E35/TrRoad_act!E21*1000)</f>
        <v>2641.1769242118094</v>
      </c>
      <c r="F99" s="87">
        <f>IF(TrRoad_act!F21=0,0,F35/TrRoad_act!F21*1000)</f>
        <v>2471.7846214698679</v>
      </c>
      <c r="G99" s="87">
        <f>IF(TrRoad_act!G21=0,0,G35/TrRoad_act!G21*1000)</f>
        <v>2429.8156688328049</v>
      </c>
      <c r="H99" s="87">
        <f>IF(TrRoad_act!H21=0,0,H35/TrRoad_act!H21*1000)</f>
        <v>2374.4925115106262</v>
      </c>
      <c r="I99" s="87">
        <f>IF(TrRoad_act!I21=0,0,I35/TrRoad_act!I21*1000)</f>
        <v>2310.7501402919847</v>
      </c>
      <c r="J99" s="87">
        <f>IF(TrRoad_act!J21=0,0,J35/TrRoad_act!J21*1000)</f>
        <v>2290.3161235952757</v>
      </c>
      <c r="K99" s="87">
        <f>IF(TrRoad_act!K21=0,0,K35/TrRoad_act!K21*1000)</f>
        <v>2214.5063007955459</v>
      </c>
      <c r="L99" s="87">
        <f>IF(TrRoad_act!L21=0,0,L35/TrRoad_act!L21*1000)</f>
        <v>2136.6754258859633</v>
      </c>
      <c r="M99" s="87">
        <f>IF(TrRoad_act!M21=0,0,M35/TrRoad_act!M21*1000)</f>
        <v>2150.7635723925187</v>
      </c>
      <c r="N99" s="87">
        <f>IF(TrRoad_act!N21=0,0,N35/TrRoad_act!N21*1000)</f>
        <v>2161.8251750806498</v>
      </c>
      <c r="O99" s="87">
        <f>IF(TrRoad_act!O21=0,0,O35/TrRoad_act!O21*1000)</f>
        <v>2181.4689243700122</v>
      </c>
      <c r="P99" s="87">
        <f>IF(TrRoad_act!P21=0,0,P35/TrRoad_act!P21*1000)</f>
        <v>2167.8315521783215</v>
      </c>
      <c r="Q99" s="87">
        <f>IF(TrRoad_act!Q21=0,0,Q35/TrRoad_act!Q21*1000)</f>
        <v>2227.6788243220467</v>
      </c>
      <c r="R99" s="87">
        <f>IF(TrRoad_act!R21=0,0,R35/TrRoad_act!R21*1000)</f>
        <v>2286.2773987171604</v>
      </c>
      <c r="S99" s="87">
        <f>IF(TrRoad_act!S21=0,0,S35/TrRoad_act!S21*1000)</f>
        <v>2273.8208140178585</v>
      </c>
      <c r="T99" s="87">
        <f>IF(TrRoad_act!T21=0,0,T35/TrRoad_act!T21*1000)</f>
        <v>2297.2836960202462</v>
      </c>
      <c r="U99" s="87">
        <f>IF(TrRoad_act!U21=0,0,U35/TrRoad_act!U21*1000)</f>
        <v>2312.796095579386</v>
      </c>
      <c r="V99" s="87">
        <f>IF(TrRoad_act!V21=0,0,V35/TrRoad_act!V21*1000)</f>
        <v>2279.5454980149902</v>
      </c>
      <c r="W99" s="87">
        <f>IF(TrRoad_act!W21=0,0,W35/TrRoad_act!W21*1000)</f>
        <v>2289.3943411055116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2932.5081711142507</v>
      </c>
      <c r="C100" s="87">
        <f>IF(TrRoad_act!C22=0,0,C36/TrRoad_act!C22*1000)</f>
        <v>2875.9339004110129</v>
      </c>
      <c r="D100" s="87">
        <f>IF(TrRoad_act!D22=0,0,D36/TrRoad_act!D22*1000)</f>
        <v>3697.0433056367374</v>
      </c>
      <c r="E100" s="87">
        <f>IF(TrRoad_act!E22=0,0,E36/TrRoad_act!E22*1000)</f>
        <v>3412.4698116205491</v>
      </c>
      <c r="F100" s="87">
        <f>IF(TrRoad_act!F22=0,0,F36/TrRoad_act!F22*1000)</f>
        <v>3618.3039443511675</v>
      </c>
      <c r="G100" s="87">
        <f>IF(TrRoad_act!G22=0,0,G36/TrRoad_act!G22*1000)</f>
        <v>3694.4254474210766</v>
      </c>
      <c r="H100" s="87">
        <f>IF(TrRoad_act!H22=0,0,H36/TrRoad_act!H22*1000)</f>
        <v>3269.8446004310144</v>
      </c>
      <c r="I100" s="87">
        <f>IF(TrRoad_act!I22=0,0,I36/TrRoad_act!I22*1000)</f>
        <v>3418.4346552370107</v>
      </c>
      <c r="J100" s="87">
        <f>IF(TrRoad_act!J22=0,0,J36/TrRoad_act!J22*1000)</f>
        <v>3073.6497686058774</v>
      </c>
      <c r="K100" s="87">
        <f>IF(TrRoad_act!K22=0,0,K36/TrRoad_act!K22*1000)</f>
        <v>2668.7210602469086</v>
      </c>
      <c r="L100" s="87">
        <f>IF(TrRoad_act!L22=0,0,L36/TrRoad_act!L22*1000)</f>
        <v>3068.5236775896092</v>
      </c>
      <c r="M100" s="87">
        <f>IF(TrRoad_act!M22=0,0,M36/TrRoad_act!M22*1000)</f>
        <v>3135.9934755011514</v>
      </c>
      <c r="N100" s="87">
        <f>IF(TrRoad_act!N22=0,0,N36/TrRoad_act!N22*1000)</f>
        <v>2887.0809951283441</v>
      </c>
      <c r="O100" s="87">
        <f>IF(TrRoad_act!O22=0,0,O36/TrRoad_act!O22*1000)</f>
        <v>2802.7879312084788</v>
      </c>
      <c r="P100" s="87">
        <f>IF(TrRoad_act!P22=0,0,P36/TrRoad_act!P22*1000)</f>
        <v>2874.1711086461919</v>
      </c>
      <c r="Q100" s="87">
        <f>IF(TrRoad_act!Q22=0,0,Q36/TrRoad_act!Q22*1000)</f>
        <v>2634.8677497465919</v>
      </c>
      <c r="R100" s="87">
        <f>IF(TrRoad_act!R22=0,0,R36/TrRoad_act!R22*1000)</f>
        <v>2969.7716842104091</v>
      </c>
      <c r="S100" s="87">
        <f>IF(TrRoad_act!S22=0,0,S36/TrRoad_act!S22*1000)</f>
        <v>3225.4618869301685</v>
      </c>
      <c r="T100" s="87">
        <f>IF(TrRoad_act!T22=0,0,T36/TrRoad_act!T22*1000)</f>
        <v>3186.2930686102213</v>
      </c>
      <c r="U100" s="87">
        <f>IF(TrRoad_act!U22=0,0,U36/TrRoad_act!U22*1000)</f>
        <v>3091.6949919789904</v>
      </c>
      <c r="V100" s="87">
        <f>IF(TrRoad_act!V22=0,0,V36/TrRoad_act!V22*1000)</f>
        <v>3122.3589265798832</v>
      </c>
      <c r="W100" s="87">
        <f>IF(TrRoad_act!W22=0,0,W36/TrRoad_act!W22*1000)</f>
        <v>2904.542132365184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3235.4694554307116</v>
      </c>
      <c r="O101" s="87">
        <f>IF(TrRoad_act!O23=0,0,O37/TrRoad_act!O23*1000)</f>
        <v>2618.2182846866299</v>
      </c>
      <c r="P101" s="87">
        <f>IF(TrRoad_act!P23=0,0,P37/TrRoad_act!P23*1000)</f>
        <v>3800.1393861258166</v>
      </c>
      <c r="Q101" s="87">
        <f>IF(TrRoad_act!Q23=0,0,Q37/TrRoad_act!Q23*1000)</f>
        <v>3806.3620016545083</v>
      </c>
      <c r="R101" s="87">
        <f>IF(TrRoad_act!R23=0,0,R37/TrRoad_act!R23*1000)</f>
        <v>3804.3161352382235</v>
      </c>
      <c r="S101" s="87">
        <f>IF(TrRoad_act!S23=0,0,S37/TrRoad_act!S23*1000)</f>
        <v>3771.0075123434431</v>
      </c>
      <c r="T101" s="87">
        <f>IF(TrRoad_act!T23=0,0,T37/TrRoad_act!T23*1000)</f>
        <v>3706.7813939542239</v>
      </c>
      <c r="U101" s="87">
        <f>IF(TrRoad_act!U23=0,0,U37/TrRoad_act!U23*1000)</f>
        <v>3629.0181808571297</v>
      </c>
      <c r="V101" s="87">
        <f>IF(TrRoad_act!V23=0,0,V37/TrRoad_act!V23*1000)</f>
        <v>3597.1478135557404</v>
      </c>
      <c r="W101" s="87">
        <f>IF(TrRoad_act!W23=0,0,W37/TrRoad_act!W23*1000)</f>
        <v>3588.3669003758314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2725.8262220418292</v>
      </c>
      <c r="O102" s="87">
        <f>IF(TrRoad_act!O24=0,0,O38/TrRoad_act!O24*1000)</f>
        <v>2817.7055825801049</v>
      </c>
      <c r="P102" s="87">
        <f>IF(TrRoad_act!P24=0,0,P38/TrRoad_act!P24*1000)</f>
        <v>2759.1158014660568</v>
      </c>
      <c r="Q102" s="87">
        <f>IF(TrRoad_act!Q24=0,0,Q38/TrRoad_act!Q24*1000)</f>
        <v>2555.5907898995661</v>
      </c>
      <c r="R102" s="87">
        <f>IF(TrRoad_act!R24=0,0,R38/TrRoad_act!R24*1000)</f>
        <v>3832.2559513136539</v>
      </c>
      <c r="S102" s="87">
        <f>IF(TrRoad_act!S24=0,0,S38/TrRoad_act!S24*1000)</f>
        <v>3779.1194738826862</v>
      </c>
      <c r="T102" s="87">
        <f>IF(TrRoad_act!T24=0,0,T38/TrRoad_act!T24*1000)</f>
        <v>3544.5257370152258</v>
      </c>
      <c r="U102" s="87">
        <f>IF(TrRoad_act!U24=0,0,U38/TrRoad_act!U24*1000)</f>
        <v>3550.3954169545163</v>
      </c>
      <c r="V102" s="87">
        <f>IF(TrRoad_act!V24=0,0,V38/TrRoad_act!V24*1000)</f>
        <v>4249.850793943262</v>
      </c>
      <c r="W102" s="87">
        <f>IF(TrRoad_act!W24=0,0,W38/TrRoad_act!W24*1000)</f>
        <v>4161.0243049035271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75.186723617787223</v>
      </c>
      <c r="C104" s="116">
        <f>IF(TrRoad_act!C26=0,0,C40/TrRoad_act!C26*1000)</f>
        <v>66.309405295894578</v>
      </c>
      <c r="D104" s="116">
        <f>IF(TrRoad_act!D26=0,0,D40/TrRoad_act!D26*1000)</f>
        <v>119.83618428988092</v>
      </c>
      <c r="E104" s="116">
        <f>IF(TrRoad_act!E26=0,0,E40/TrRoad_act!E26*1000)</f>
        <v>79.52197822642546</v>
      </c>
      <c r="F104" s="116">
        <f>IF(TrRoad_act!F26=0,0,F40/TrRoad_act!F26*1000)</f>
        <v>86.991575328827665</v>
      </c>
      <c r="G104" s="116">
        <f>IF(TrRoad_act!G26=0,0,G40/TrRoad_act!G26*1000)</f>
        <v>119.50413320556044</v>
      </c>
      <c r="H104" s="116">
        <f>IF(TrRoad_act!H26=0,0,H40/TrRoad_act!H26*1000)</f>
        <v>145.47519929427119</v>
      </c>
      <c r="I104" s="116">
        <f>IF(TrRoad_act!I26=0,0,I40/TrRoad_act!I26*1000)</f>
        <v>140.70199927052403</v>
      </c>
      <c r="J104" s="116">
        <f>IF(TrRoad_act!J26=0,0,J40/TrRoad_act!J26*1000)</f>
        <v>157.36514758490088</v>
      </c>
      <c r="K104" s="116">
        <f>IF(TrRoad_act!K26=0,0,K40/TrRoad_act!K26*1000)</f>
        <v>134.61080562885752</v>
      </c>
      <c r="L104" s="116">
        <f>IF(TrRoad_act!L26=0,0,L40/TrRoad_act!L26*1000)</f>
        <v>191.3213696672191</v>
      </c>
      <c r="M104" s="116">
        <f>IF(TrRoad_act!M26=0,0,M40/TrRoad_act!M26*1000)</f>
        <v>179.37935734364285</v>
      </c>
      <c r="N104" s="116">
        <f>IF(TrRoad_act!N26=0,0,N40/TrRoad_act!N26*1000)</f>
        <v>168.11684052397288</v>
      </c>
      <c r="O104" s="116">
        <f>IF(TrRoad_act!O26=0,0,O40/TrRoad_act!O26*1000)</f>
        <v>174.80967262788954</v>
      </c>
      <c r="P104" s="116">
        <f>IF(TrRoad_act!P26=0,0,P40/TrRoad_act!P26*1000)</f>
        <v>165.39043759883012</v>
      </c>
      <c r="Q104" s="116">
        <f>IF(TrRoad_act!Q26=0,0,Q40/TrRoad_act!Q26*1000)</f>
        <v>144.16416010553718</v>
      </c>
      <c r="R104" s="116">
        <f>IF(TrRoad_act!R26=0,0,R40/TrRoad_act!R26*1000)</f>
        <v>173.04771437122665</v>
      </c>
      <c r="S104" s="116">
        <f>IF(TrRoad_act!S26=0,0,S40/TrRoad_act!S26*1000)</f>
        <v>211.0623801153591</v>
      </c>
      <c r="T104" s="116">
        <f>IF(TrRoad_act!T26=0,0,T40/TrRoad_act!T26*1000)</f>
        <v>212.79459476309597</v>
      </c>
      <c r="U104" s="116">
        <f>IF(TrRoad_act!U26=0,0,U40/TrRoad_act!U26*1000)</f>
        <v>205.93928755230007</v>
      </c>
      <c r="V104" s="116">
        <f>IF(TrRoad_act!V26=0,0,V40/TrRoad_act!V26*1000)</f>
        <v>193.81304359155155</v>
      </c>
      <c r="W104" s="116">
        <f>IF(TrRoad_act!W26=0,0,W40/TrRoad_act!W26*1000)</f>
        <v>216.34100163103267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69.215910115380581</v>
      </c>
      <c r="C105" s="101">
        <f>IF(TrRoad_act!C27=0,0,C41/TrRoad_act!C27*1000)</f>
        <v>66.286922250044597</v>
      </c>
      <c r="D105" s="101">
        <f>IF(TrRoad_act!D27=0,0,D41/TrRoad_act!D27*1000)</f>
        <v>119.46303998408095</v>
      </c>
      <c r="E105" s="101">
        <f>IF(TrRoad_act!E27=0,0,E41/TrRoad_act!E27*1000)</f>
        <v>110.3632677122623</v>
      </c>
      <c r="F105" s="101">
        <f>IF(TrRoad_act!F27=0,0,F41/TrRoad_act!F27*1000)</f>
        <v>118.00565929692806</v>
      </c>
      <c r="G105" s="101">
        <f>IF(TrRoad_act!G27=0,0,G41/TrRoad_act!G27*1000)</f>
        <v>130.96759659965758</v>
      </c>
      <c r="H105" s="101">
        <f>IF(TrRoad_act!H27=0,0,H41/TrRoad_act!H27*1000)</f>
        <v>160.61722688962473</v>
      </c>
      <c r="I105" s="101">
        <f>IF(TrRoad_act!I27=0,0,I41/TrRoad_act!I27*1000)</f>
        <v>161.26836254042655</v>
      </c>
      <c r="J105" s="101">
        <f>IF(TrRoad_act!J27=0,0,J41/TrRoad_act!J27*1000)</f>
        <v>180.06316067876153</v>
      </c>
      <c r="K105" s="101">
        <f>IF(TrRoad_act!K27=0,0,K41/TrRoad_act!K27*1000)</f>
        <v>166.99084221061733</v>
      </c>
      <c r="L105" s="101">
        <f>IF(TrRoad_act!L27=0,0,L41/TrRoad_act!L27*1000)</f>
        <v>244.75078834269328</v>
      </c>
      <c r="M105" s="101">
        <f>IF(TrRoad_act!M27=0,0,M41/TrRoad_act!M27*1000)</f>
        <v>252.70176836061009</v>
      </c>
      <c r="N105" s="101">
        <f>IF(TrRoad_act!N27=0,0,N41/TrRoad_act!N27*1000)</f>
        <v>228.70212787879538</v>
      </c>
      <c r="O105" s="101">
        <f>IF(TrRoad_act!O27=0,0,O41/TrRoad_act!O27*1000)</f>
        <v>246.22621167825315</v>
      </c>
      <c r="P105" s="101">
        <f>IF(TrRoad_act!P27=0,0,P41/TrRoad_act!P27*1000)</f>
        <v>238.63099050167139</v>
      </c>
      <c r="Q105" s="101">
        <f>IF(TrRoad_act!Q27=0,0,Q41/TrRoad_act!Q27*1000)</f>
        <v>207.73061948075426</v>
      </c>
      <c r="R105" s="101">
        <f>IF(TrRoad_act!R27=0,0,R41/TrRoad_act!R27*1000)</f>
        <v>239.15755309886546</v>
      </c>
      <c r="S105" s="101">
        <f>IF(TrRoad_act!S27=0,0,S41/TrRoad_act!S27*1000)</f>
        <v>243.35458768789516</v>
      </c>
      <c r="T105" s="101">
        <f>IF(TrRoad_act!T27=0,0,T41/TrRoad_act!T27*1000)</f>
        <v>228.77825621856471</v>
      </c>
      <c r="U105" s="101">
        <f>IF(TrRoad_act!U27=0,0,U41/TrRoad_act!U27*1000)</f>
        <v>242.72961647325786</v>
      </c>
      <c r="V105" s="101">
        <f>IF(TrRoad_act!V27=0,0,V41/TrRoad_act!V27*1000)</f>
        <v>237.67906154334923</v>
      </c>
      <c r="W105" s="101">
        <f>IF(TrRoad_act!W27=0,0,W41/TrRoad_act!W27*1000)</f>
        <v>245.11039902631464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83.711134704953153</v>
      </c>
      <c r="C106" s="88">
        <f>IF(TrRoad_act!C28=0,0,C42/TrRoad_act!C28*1000)</f>
        <v>66.340923054655292</v>
      </c>
      <c r="D106" s="88">
        <f>IF(TrRoad_act!D28=0,0,D42/TrRoad_act!D28*1000)</f>
        <v>120.30248016920157</v>
      </c>
      <c r="E106" s="88">
        <f>IF(TrRoad_act!E28=0,0,E42/TrRoad_act!E28*1000)</f>
        <v>40.201988345186379</v>
      </c>
      <c r="F106" s="88">
        <f>IF(TrRoad_act!F28=0,0,F42/TrRoad_act!F28*1000)</f>
        <v>51.49883541923441</v>
      </c>
      <c r="G106" s="88">
        <f>IF(TrRoad_act!G28=0,0,G42/TrRoad_act!G28*1000)</f>
        <v>106.37249547098624</v>
      </c>
      <c r="H106" s="88">
        <f>IF(TrRoad_act!H28=0,0,H42/TrRoad_act!H28*1000)</f>
        <v>130.3134146373975</v>
      </c>
      <c r="I106" s="88">
        <f>IF(TrRoad_act!I28=0,0,I42/TrRoad_act!I28*1000)</f>
        <v>123.05523913078122</v>
      </c>
      <c r="J106" s="88">
        <f>IF(TrRoad_act!J28=0,0,J42/TrRoad_act!J28*1000)</f>
        <v>134.79053090026068</v>
      </c>
      <c r="K106" s="88">
        <f>IF(TrRoad_act!K28=0,0,K42/TrRoad_act!K28*1000)</f>
        <v>105.25711204440738</v>
      </c>
      <c r="L106" s="88">
        <f>IF(TrRoad_act!L28=0,0,L42/TrRoad_act!L28*1000)</f>
        <v>149.10383116146838</v>
      </c>
      <c r="M106" s="88">
        <f>IF(TrRoad_act!M28=0,0,M42/TrRoad_act!M28*1000)</f>
        <v>128.32196519583587</v>
      </c>
      <c r="N106" s="88">
        <f>IF(TrRoad_act!N28=0,0,N42/TrRoad_act!N28*1000)</f>
        <v>124.98339951076737</v>
      </c>
      <c r="O106" s="88">
        <f>IF(TrRoad_act!O28=0,0,O42/TrRoad_act!O28*1000)</f>
        <v>132.60673669138524</v>
      </c>
      <c r="P106" s="88">
        <f>IF(TrRoad_act!P28=0,0,P42/TrRoad_act!P28*1000)</f>
        <v>118.08634662907906</v>
      </c>
      <c r="Q106" s="88">
        <f>IF(TrRoad_act!Q28=0,0,Q42/TrRoad_act!Q28*1000)</f>
        <v>105.44838643715788</v>
      </c>
      <c r="R106" s="88">
        <f>IF(TrRoad_act!R28=0,0,R42/TrRoad_act!R28*1000)</f>
        <v>132.24981690701861</v>
      </c>
      <c r="S106" s="88">
        <f>IF(TrRoad_act!S28=0,0,S42/TrRoad_act!S28*1000)</f>
        <v>190.70594437384185</v>
      </c>
      <c r="T106" s="88">
        <f>IF(TrRoad_act!T28=0,0,T42/TrRoad_act!T28*1000)</f>
        <v>202.48630289342842</v>
      </c>
      <c r="U106" s="88">
        <f>IF(TrRoad_act!U28=0,0,U42/TrRoad_act!U28*1000)</f>
        <v>182.26373642990134</v>
      </c>
      <c r="V106" s="88">
        <f>IF(TrRoad_act!V28=0,0,V42/TrRoad_act!V28*1000)</f>
        <v>165.40670503188414</v>
      </c>
      <c r="W106" s="88">
        <f>IF(TrRoad_act!W28=0,0,W42/TrRoad_act!W28*1000)</f>
        <v>198.61010711338045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128.96192580852536</v>
      </c>
      <c r="C110" s="152">
        <f>IF(C19=0,0,1000000*C19/TrRoad_act!C59)</f>
        <v>133.19688563771467</v>
      </c>
      <c r="D110" s="152">
        <f>IF(D19=0,0,1000000*D19/TrRoad_act!D59)</f>
        <v>113.63058819602784</v>
      </c>
      <c r="E110" s="152">
        <f>IF(E19=0,0,1000000*E19/TrRoad_act!E59)</f>
        <v>113.68348966708565</v>
      </c>
      <c r="F110" s="152">
        <f>IF(F19=0,0,1000000*F19/TrRoad_act!F59)</f>
        <v>112.35334725770329</v>
      </c>
      <c r="G110" s="152">
        <f>IF(G19=0,0,1000000*G19/TrRoad_act!G59)</f>
        <v>113.41301509098122</v>
      </c>
      <c r="H110" s="152">
        <f>IF(H19=0,0,1000000*H19/TrRoad_act!H59)</f>
        <v>113.91106565205949</v>
      </c>
      <c r="I110" s="152">
        <f>IF(I19=0,0,1000000*I19/TrRoad_act!I59)</f>
        <v>111.33873605944261</v>
      </c>
      <c r="J110" s="152">
        <f>IF(J19=0,0,1000000*J19/TrRoad_act!J59)</f>
        <v>109.51650656928923</v>
      </c>
      <c r="K110" s="152">
        <f>IF(K19=0,0,1000000*K19/TrRoad_act!K59)</f>
        <v>80.017899891267817</v>
      </c>
      <c r="L110" s="152">
        <f>IF(L19=0,0,1000000*L19/TrRoad_act!L59)</f>
        <v>68.363307345297358</v>
      </c>
      <c r="M110" s="152">
        <f>IF(M19=0,0,1000000*M19/TrRoad_act!M59)</f>
        <v>77.576792913059009</v>
      </c>
      <c r="N110" s="152">
        <f>IF(N19=0,0,1000000*N19/TrRoad_act!N59)</f>
        <v>85.560147502153768</v>
      </c>
      <c r="O110" s="152">
        <f>IF(O19=0,0,1000000*O19/TrRoad_act!O59)</f>
        <v>81.793880601890905</v>
      </c>
      <c r="P110" s="152">
        <f>IF(P19=0,0,1000000*P19/TrRoad_act!P59)</f>
        <v>83.937756585265873</v>
      </c>
      <c r="Q110" s="152">
        <f>IF(Q19=0,0,1000000*Q19/TrRoad_act!Q59)</f>
        <v>87.240273493105477</v>
      </c>
      <c r="R110" s="152">
        <f>IF(R19=0,0,1000000*R19/TrRoad_act!R59)</f>
        <v>89.411190543947157</v>
      </c>
      <c r="S110" s="152">
        <f>IF(S19=0,0,1000000*S19/TrRoad_act!S59)</f>
        <v>79.696477356211389</v>
      </c>
      <c r="T110" s="152">
        <f>IF(T19=0,0,1000000*T19/TrRoad_act!T59)</f>
        <v>72.476123871325541</v>
      </c>
      <c r="U110" s="152">
        <f>IF(U19=0,0,1000000*U19/TrRoad_act!U59)</f>
        <v>73.161472701258688</v>
      </c>
      <c r="V110" s="152">
        <f>IF(V19=0,0,1000000*V19/TrRoad_act!V59)</f>
        <v>61.860301952762576</v>
      </c>
      <c r="W110" s="152">
        <f>IF(W19=0,0,1000000*W19/TrRoad_act!W59)</f>
        <v>56.621493872393003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1750.2965650445999</v>
      </c>
      <c r="C111" s="116">
        <f>IF(C20=0,0,1000000*C20/TrRoad_act!C60)</f>
        <v>1786.2575416525287</v>
      </c>
      <c r="D111" s="116">
        <f>IF(D20=0,0,1000000*D20/TrRoad_act!D60)</f>
        <v>2071.2695288927284</v>
      </c>
      <c r="E111" s="116">
        <f>IF(E20=0,0,1000000*E20/TrRoad_act!E60)</f>
        <v>1931.0827694030079</v>
      </c>
      <c r="F111" s="116">
        <f>IF(F20=0,0,1000000*F20/TrRoad_act!F60)</f>
        <v>1866.2591382124535</v>
      </c>
      <c r="G111" s="116">
        <f>IF(G20=0,0,1000000*G20/TrRoad_act!G60)</f>
        <v>1972.0515720939204</v>
      </c>
      <c r="H111" s="116">
        <f>IF(H20=0,0,1000000*H20/TrRoad_act!H60)</f>
        <v>1855.3733192592017</v>
      </c>
      <c r="I111" s="116">
        <f>IF(I20=0,0,1000000*I20/TrRoad_act!I60)</f>
        <v>1789.871894927262</v>
      </c>
      <c r="J111" s="116">
        <f>IF(J20=0,0,1000000*J20/TrRoad_act!J60)</f>
        <v>1746.0703024028971</v>
      </c>
      <c r="K111" s="116">
        <f>IF(K20=0,0,1000000*K20/TrRoad_act!K60)</f>
        <v>1582.1358829389103</v>
      </c>
      <c r="L111" s="116">
        <f>IF(L20=0,0,1000000*L20/TrRoad_act!L60)</f>
        <v>1542.8970619181453</v>
      </c>
      <c r="M111" s="116">
        <f>IF(M20=0,0,1000000*M20/TrRoad_act!M60)</f>
        <v>1457.0799591841678</v>
      </c>
      <c r="N111" s="116">
        <f>IF(N20=0,0,1000000*N20/TrRoad_act!N60)</f>
        <v>1363.7645117670493</v>
      </c>
      <c r="O111" s="116">
        <f>IF(O20=0,0,1000000*O20/TrRoad_act!O60)</f>
        <v>1325.3647633147825</v>
      </c>
      <c r="P111" s="116">
        <f>IF(P20=0,0,1000000*P20/TrRoad_act!P60)</f>
        <v>1248.2971565764863</v>
      </c>
      <c r="Q111" s="116">
        <f>IF(Q20=0,0,1000000*Q20/TrRoad_act!Q60)</f>
        <v>1209.1032823938338</v>
      </c>
      <c r="R111" s="116">
        <f>IF(R20=0,0,1000000*R20/TrRoad_act!R60)</f>
        <v>1183.2440891548424</v>
      </c>
      <c r="S111" s="116">
        <f>IF(S20=0,0,1000000*S20/TrRoad_act!S60)</f>
        <v>1153.1587078406515</v>
      </c>
      <c r="T111" s="116">
        <f>IF(T20=0,0,1000000*T20/TrRoad_act!T60)</f>
        <v>1067.4255367961202</v>
      </c>
      <c r="U111" s="116">
        <f>IF(U20=0,0,1000000*U20/TrRoad_act!U60)</f>
        <v>1015.8460232243547</v>
      </c>
      <c r="V111" s="116">
        <f>IF(V20=0,0,1000000*V20/TrRoad_act!V60)</f>
        <v>917.23403623931324</v>
      </c>
      <c r="W111" s="116">
        <f>IF(W20=0,0,1000000*W20/TrRoad_act!W60)</f>
        <v>928.31612653688751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1541.1886954634258</v>
      </c>
      <c r="C112" s="87">
        <f>IF(C21=0,0,1000000*C21/TrRoad_act!C61)</f>
        <v>1624.6420383675197</v>
      </c>
      <c r="D112" s="87">
        <f>IF(D21=0,0,1000000*D21/TrRoad_act!D61)</f>
        <v>1939.6577479809721</v>
      </c>
      <c r="E112" s="87">
        <f>IF(E21=0,0,1000000*E21/TrRoad_act!E61)</f>
        <v>1778.8333881283882</v>
      </c>
      <c r="F112" s="87">
        <f>IF(F21=0,0,1000000*F21/TrRoad_act!F61)</f>
        <v>1671.245858495317</v>
      </c>
      <c r="G112" s="87">
        <f>IF(G21=0,0,1000000*G21/TrRoad_act!G61)</f>
        <v>1785.9062715271095</v>
      </c>
      <c r="H112" s="87">
        <f>IF(H21=0,0,1000000*H21/TrRoad_act!H61)</f>
        <v>1654.1700542112276</v>
      </c>
      <c r="I112" s="87">
        <f>IF(I21=0,0,1000000*I21/TrRoad_act!I61)</f>
        <v>1570.1749535945221</v>
      </c>
      <c r="J112" s="87">
        <f>IF(J21=0,0,1000000*J21/TrRoad_act!J61)</f>
        <v>1546.2168542087377</v>
      </c>
      <c r="K112" s="87">
        <f>IF(K21=0,0,1000000*K21/TrRoad_act!K61)</f>
        <v>1347.1753080809963</v>
      </c>
      <c r="L112" s="87">
        <f>IF(L21=0,0,1000000*L21/TrRoad_act!L61)</f>
        <v>1292.8458287861711</v>
      </c>
      <c r="M112" s="87">
        <f>IF(M21=0,0,1000000*M21/TrRoad_act!M61)</f>
        <v>1198.6861701859989</v>
      </c>
      <c r="N112" s="87">
        <f>IF(N21=0,0,1000000*N21/TrRoad_act!N61)</f>
        <v>1110.7316722592761</v>
      </c>
      <c r="O112" s="87">
        <f>IF(O21=0,0,1000000*O21/TrRoad_act!O61)</f>
        <v>1088.559605764252</v>
      </c>
      <c r="P112" s="87">
        <f>IF(P21=0,0,1000000*P21/TrRoad_act!P61)</f>
        <v>1037.8351175511661</v>
      </c>
      <c r="Q112" s="87">
        <f>IF(Q21=0,0,1000000*Q21/TrRoad_act!Q61)</f>
        <v>1024.5790110136747</v>
      </c>
      <c r="R112" s="87">
        <f>IF(R21=0,0,1000000*R21/TrRoad_act!R61)</f>
        <v>1011.261849353362</v>
      </c>
      <c r="S112" s="87">
        <f>IF(S21=0,0,1000000*S21/TrRoad_act!S61)</f>
        <v>971.98567250350084</v>
      </c>
      <c r="T112" s="87">
        <f>IF(T21=0,0,1000000*T21/TrRoad_act!T61)</f>
        <v>865.22493395133608</v>
      </c>
      <c r="U112" s="87">
        <f>IF(U21=0,0,1000000*U21/TrRoad_act!U61)</f>
        <v>811.83881753641458</v>
      </c>
      <c r="V112" s="87">
        <f>IF(V21=0,0,1000000*V21/TrRoad_act!V61)</f>
        <v>727.29937930496874</v>
      </c>
      <c r="W112" s="87">
        <f>IF(W21=0,0,1000000*W21/TrRoad_act!W61)</f>
        <v>727.66447814957758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2673.057224837868</v>
      </c>
      <c r="C113" s="87">
        <f>IF(C22=0,0,1000000*C22/TrRoad_act!C62)</f>
        <v>2441.7878121314197</v>
      </c>
      <c r="D113" s="87">
        <f>IF(D22=0,0,1000000*D22/TrRoad_act!D62)</f>
        <v>2555.8706189004033</v>
      </c>
      <c r="E113" s="87">
        <f>IF(E22=0,0,1000000*E22/TrRoad_act!E62)</f>
        <v>2469.0111515820981</v>
      </c>
      <c r="F113" s="87">
        <f>IF(F22=0,0,1000000*F22/TrRoad_act!F62)</f>
        <v>2496.3335285091248</v>
      </c>
      <c r="G113" s="87">
        <f>IF(G22=0,0,1000000*G22/TrRoad_act!G62)</f>
        <v>2548.3062481849061</v>
      </c>
      <c r="H113" s="87">
        <f>IF(H22=0,0,1000000*H22/TrRoad_act!H62)</f>
        <v>2483.2336807221895</v>
      </c>
      <c r="I113" s="87">
        <f>IF(I22=0,0,1000000*I22/TrRoad_act!I62)</f>
        <v>2411.7594365776549</v>
      </c>
      <c r="J113" s="87">
        <f>IF(J22=0,0,1000000*J22/TrRoad_act!J62)</f>
        <v>2371.7168989086599</v>
      </c>
      <c r="K113" s="87">
        <f>IF(K22=0,0,1000000*K22/TrRoad_act!K62)</f>
        <v>2292.9744529174777</v>
      </c>
      <c r="L113" s="87">
        <f>IF(L22=0,0,1000000*L22/TrRoad_act!L62)</f>
        <v>2301.043070779338</v>
      </c>
      <c r="M113" s="87">
        <f>IF(M22=0,0,1000000*M22/TrRoad_act!M62)</f>
        <v>2188.5006201034171</v>
      </c>
      <c r="N113" s="87">
        <f>IF(N22=0,0,1000000*N22/TrRoad_act!N62)</f>
        <v>2079.351860802079</v>
      </c>
      <c r="O113" s="87">
        <f>IF(O22=0,0,1000000*O22/TrRoad_act!O62)</f>
        <v>2006.3365336836453</v>
      </c>
      <c r="P113" s="87">
        <f>IF(P22=0,0,1000000*P22/TrRoad_act!P62)</f>
        <v>1865.6922232370487</v>
      </c>
      <c r="Q113" s="87">
        <f>IF(Q22=0,0,1000000*Q22/TrRoad_act!Q62)</f>
        <v>1736.7649409669243</v>
      </c>
      <c r="R113" s="87">
        <f>IF(R22=0,0,1000000*R22/TrRoad_act!R62)</f>
        <v>1698.3049876565492</v>
      </c>
      <c r="S113" s="87">
        <f>IF(S22=0,0,1000000*S22/TrRoad_act!S62)</f>
        <v>1702.5555090636451</v>
      </c>
      <c r="T113" s="87">
        <f>IF(T22=0,0,1000000*T22/TrRoad_act!T62)</f>
        <v>1670.4192745285418</v>
      </c>
      <c r="U113" s="87">
        <f>IF(U22=0,0,1000000*U22/TrRoad_act!U62)</f>
        <v>1618.5062684660477</v>
      </c>
      <c r="V113" s="87">
        <f>IF(V22=0,0,1000000*V22/TrRoad_act!V62)</f>
        <v>1463.0582597008211</v>
      </c>
      <c r="W113" s="87">
        <f>IF(W22=0,0,1000000*W22/TrRoad_act!W62)</f>
        <v>1490.0479608977512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0</v>
      </c>
      <c r="D114" s="87">
        <f>IF(D23=0,0,1000000*D23/TrRoad_act!D63)</f>
        <v>0</v>
      </c>
      <c r="E114" s="87">
        <f>IF(E23=0,0,1000000*E23/TrRoad_act!E63)</f>
        <v>0</v>
      </c>
      <c r="F114" s="87">
        <f>IF(F23=0,0,1000000*F23/TrRoad_act!F63)</f>
        <v>0</v>
      </c>
      <c r="G114" s="87">
        <f>IF(G23=0,0,1000000*G23/TrRoad_act!G63)</f>
        <v>2322.1203839999989</v>
      </c>
      <c r="H114" s="87">
        <f>IF(H23=0,0,1000000*H23/TrRoad_act!H63)</f>
        <v>2320.2641726618695</v>
      </c>
      <c r="I114" s="87">
        <f>IF(I23=0,0,1000000*I23/TrRoad_act!I63)</f>
        <v>2146.9308284023659</v>
      </c>
      <c r="J114" s="87">
        <f>IF(J23=0,0,1000000*J23/TrRoad_act!J63)</f>
        <v>2073.3217714285706</v>
      </c>
      <c r="K114" s="87">
        <f>IF(K23=0,0,1000000*K23/TrRoad_act!K63)</f>
        <v>2071.8418843683075</v>
      </c>
      <c r="L114" s="87">
        <f>IF(L23=0,0,1000000*L23/TrRoad_act!L63)</f>
        <v>1933.1671528471529</v>
      </c>
      <c r="M114" s="87">
        <f>IF(M23=0,0,1000000*M23/TrRoad_act!M63)</f>
        <v>1721.5916259663761</v>
      </c>
      <c r="N114" s="87">
        <f>IF(N23=0,0,1000000*N23/TrRoad_act!N63)</f>
        <v>1647.1542470386225</v>
      </c>
      <c r="O114" s="87">
        <f>IF(O23=0,0,1000000*O23/TrRoad_act!O63)</f>
        <v>1609.5558519323567</v>
      </c>
      <c r="P114" s="87">
        <f>IF(P23=0,0,1000000*P23/TrRoad_act!P63)</f>
        <v>1305.8564180657477</v>
      </c>
      <c r="Q114" s="87">
        <f>IF(Q23=0,0,1000000*Q23/TrRoad_act!Q63)</f>
        <v>1419.9416864635152</v>
      </c>
      <c r="R114" s="87">
        <f>IF(R23=0,0,1000000*R23/TrRoad_act!R63)</f>
        <v>1385.5353592831818</v>
      </c>
      <c r="S114" s="87">
        <f>IF(S23=0,0,1000000*S23/TrRoad_act!S63)</f>
        <v>1381.4145724591685</v>
      </c>
      <c r="T114" s="87">
        <f>IF(T23=0,0,1000000*T23/TrRoad_act!T63)</f>
        <v>1502.2832669014192</v>
      </c>
      <c r="U114" s="87">
        <f>IF(U23=0,0,1000000*U23/TrRoad_act!U63)</f>
        <v>1603.0892114614596</v>
      </c>
      <c r="V114" s="87">
        <f>IF(V23=0,0,1000000*V23/TrRoad_act!V63)</f>
        <v>1572.6616737782383</v>
      </c>
      <c r="W114" s="87">
        <f>IF(W23=0,0,1000000*W23/TrRoad_act!W63)</f>
        <v>1826.1401344778089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3050.4375000000005</v>
      </c>
      <c r="D115" s="87">
        <f>IF(D24=0,0,1000000*D24/TrRoad_act!D64)</f>
        <v>1304.3249999999996</v>
      </c>
      <c r="E115" s="87">
        <f>IF(E24=0,0,1000000*E24/TrRoad_act!E64)</f>
        <v>1315.8174309313586</v>
      </c>
      <c r="F115" s="87">
        <f>IF(F24=0,0,1000000*F24/TrRoad_act!F64)</f>
        <v>1761.4285714285716</v>
      </c>
      <c r="G115" s="87">
        <f>IF(G24=0,0,1000000*G24/TrRoad_act!G64)</f>
        <v>2355.3870598703443</v>
      </c>
      <c r="H115" s="87">
        <f>IF(H24=0,0,1000000*H24/TrRoad_act!H64)</f>
        <v>1384.2578423871464</v>
      </c>
      <c r="I115" s="87">
        <f>IF(I24=0,0,1000000*I24/TrRoad_act!I64)</f>
        <v>2605.2185608607933</v>
      </c>
      <c r="J115" s="87">
        <f>IF(J24=0,0,1000000*J24/TrRoad_act!J64)</f>
        <v>1179.8630136986303</v>
      </c>
      <c r="K115" s="87">
        <f>IF(K24=0,0,1000000*K24/TrRoad_act!K64)</f>
        <v>1145.8767451872809</v>
      </c>
      <c r="L115" s="87">
        <f>IF(L24=0,0,1000000*L24/TrRoad_act!L64)</f>
        <v>1267.9252110977081</v>
      </c>
      <c r="M115" s="87">
        <f>IF(M24=0,0,1000000*M24/TrRoad_act!M64)</f>
        <v>1433.3892863178046</v>
      </c>
      <c r="N115" s="87">
        <f>IF(N24=0,0,1000000*N24/TrRoad_act!N64)</f>
        <v>1363.1319012152483</v>
      </c>
      <c r="O115" s="87">
        <f>IF(O24=0,0,1000000*O24/TrRoad_act!O64)</f>
        <v>1192.0978539727341</v>
      </c>
      <c r="P115" s="87">
        <f>IF(P24=0,0,1000000*P24/TrRoad_act!P64)</f>
        <v>1237.4708890997804</v>
      </c>
      <c r="Q115" s="87">
        <f>IF(Q24=0,0,1000000*Q24/TrRoad_act!Q64)</f>
        <v>1101.8830389942718</v>
      </c>
      <c r="R115" s="87">
        <f>IF(R24=0,0,1000000*R24/TrRoad_act!R64)</f>
        <v>1152.0131509113951</v>
      </c>
      <c r="S115" s="87">
        <f>IF(S24=0,0,1000000*S24/TrRoad_act!S64)</f>
        <v>1105.500318701876</v>
      </c>
      <c r="T115" s="87">
        <f>IF(T24=0,0,1000000*T24/TrRoad_act!T64)</f>
        <v>1066.7245604031391</v>
      </c>
      <c r="U115" s="87">
        <f>IF(U24=0,0,1000000*U24/TrRoad_act!U64)</f>
        <v>1026.2173738007282</v>
      </c>
      <c r="V115" s="87">
        <f>IF(V24=0,0,1000000*V24/TrRoad_act!V64)</f>
        <v>1195.3436540414127</v>
      </c>
      <c r="W115" s="87">
        <f>IF(W24=0,0,1000000*W24/TrRoad_act!W64)</f>
        <v>1147.2955390566183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289.08138534629313</v>
      </c>
      <c r="O116" s="87">
        <f>IF(O25=0,0,1000000*O25/TrRoad_act!O65)</f>
        <v>295.65420223373826</v>
      </c>
      <c r="P116" s="87">
        <f>IF(P25=0,0,1000000*P25/TrRoad_act!P65)</f>
        <v>974.01189542737393</v>
      </c>
      <c r="Q116" s="87">
        <f>IF(Q25=0,0,1000000*Q25/TrRoad_act!Q65)</f>
        <v>887.24678584603873</v>
      </c>
      <c r="R116" s="87">
        <f>IF(R25=0,0,1000000*R25/TrRoad_act!R65)</f>
        <v>622.42069222901432</v>
      </c>
      <c r="S116" s="87">
        <f>IF(S25=0,0,1000000*S25/TrRoad_act!S65)</f>
        <v>679.14050239932908</v>
      </c>
      <c r="T116" s="87">
        <f>IF(T25=0,0,1000000*T25/TrRoad_act!T65)</f>
        <v>497.2060293866698</v>
      </c>
      <c r="U116" s="87">
        <f>IF(U25=0,0,1000000*U25/TrRoad_act!U65)</f>
        <v>434.18252548924403</v>
      </c>
      <c r="V116" s="87">
        <f>IF(V25=0,0,1000000*V25/TrRoad_act!V65)</f>
        <v>318.60761552112211</v>
      </c>
      <c r="W116" s="87">
        <f>IF(W25=0,0,1000000*W25/TrRoad_act!W65)</f>
        <v>249.08349190673391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50415.869390974658</v>
      </c>
      <c r="C118" s="116">
        <f>IF(C27=0,0,1000000*C27/TrRoad_act!C67)</f>
        <v>47346.437404225842</v>
      </c>
      <c r="D118" s="116">
        <f>IF(D27=0,0,1000000*D27/TrRoad_act!D67)</f>
        <v>49182.333708227918</v>
      </c>
      <c r="E118" s="116">
        <f>IF(E27=0,0,1000000*E27/TrRoad_act!E67)</f>
        <v>50060.131681922314</v>
      </c>
      <c r="F118" s="116">
        <f>IF(F27=0,0,1000000*F27/TrRoad_act!F67)</f>
        <v>54521.122505400366</v>
      </c>
      <c r="G118" s="116">
        <f>IF(G27=0,0,1000000*G27/TrRoad_act!G67)</f>
        <v>50966.037617224669</v>
      </c>
      <c r="H118" s="116">
        <f>IF(H27=0,0,1000000*H27/TrRoad_act!H67)</f>
        <v>52174.10890872615</v>
      </c>
      <c r="I118" s="116">
        <f>IF(I27=0,0,1000000*I27/TrRoad_act!I67)</f>
        <v>52454.429891226049</v>
      </c>
      <c r="J118" s="116">
        <f>IF(J27=0,0,1000000*J27/TrRoad_act!J67)</f>
        <v>50778.219807969013</v>
      </c>
      <c r="K118" s="116">
        <f>IF(K27=0,0,1000000*K27/TrRoad_act!K67)</f>
        <v>52123.927322617456</v>
      </c>
      <c r="L118" s="116">
        <f>IF(L27=0,0,1000000*L27/TrRoad_act!L67)</f>
        <v>51382.675951610669</v>
      </c>
      <c r="M118" s="116">
        <f>IF(M27=0,0,1000000*M27/TrRoad_act!M67)</f>
        <v>48987.098242119268</v>
      </c>
      <c r="N118" s="116">
        <f>IF(N27=0,0,1000000*N27/TrRoad_act!N67)</f>
        <v>49270.918325532642</v>
      </c>
      <c r="O118" s="116">
        <f>IF(O27=0,0,1000000*O27/TrRoad_act!O67)</f>
        <v>48335.193302559172</v>
      </c>
      <c r="P118" s="116">
        <f>IF(P27=0,0,1000000*P27/TrRoad_act!P67)</f>
        <v>47222.26973385959</v>
      </c>
      <c r="Q118" s="116">
        <f>IF(Q27=0,0,1000000*Q27/TrRoad_act!Q67)</f>
        <v>45502.315532890381</v>
      </c>
      <c r="R118" s="116">
        <f>IF(R27=0,0,1000000*R27/TrRoad_act!R67)</f>
        <v>45642.11832013182</v>
      </c>
      <c r="S118" s="116">
        <f>IF(S27=0,0,1000000*S27/TrRoad_act!S67)</f>
        <v>48556.848725618285</v>
      </c>
      <c r="T118" s="116">
        <f>IF(T27=0,0,1000000*T27/TrRoad_act!T67)</f>
        <v>49507.249712228804</v>
      </c>
      <c r="U118" s="116">
        <f>IF(U27=0,0,1000000*U27/TrRoad_act!U67)</f>
        <v>50449.431860690529</v>
      </c>
      <c r="V118" s="116">
        <f>IF(V27=0,0,1000000*V27/TrRoad_act!V67)</f>
        <v>48695.682075302429</v>
      </c>
      <c r="W118" s="116">
        <f>IF(W27=0,0,1000000*W27/TrRoad_act!W67)</f>
        <v>48163.731186731202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0</v>
      </c>
      <c r="K119" s="101">
        <f>IF(K28=0,0,1000000*K28/TrRoad_act!K68)</f>
        <v>0</v>
      </c>
      <c r="L119" s="101">
        <f>IF(L28=0,0,1000000*L28/TrRoad_act!L68)</f>
        <v>0</v>
      </c>
      <c r="M119" s="101">
        <f>IF(M28=0,0,1000000*M28/TrRoad_act!M68)</f>
        <v>0</v>
      </c>
      <c r="N119" s="101">
        <f>IF(N28=0,0,1000000*N28/TrRoad_act!N68)</f>
        <v>0</v>
      </c>
      <c r="O119" s="101">
        <f>IF(O28=0,0,1000000*O28/TrRoad_act!O68)</f>
        <v>0</v>
      </c>
      <c r="P119" s="101">
        <f>IF(P28=0,0,1000000*P28/TrRoad_act!P68)</f>
        <v>0</v>
      </c>
      <c r="Q119" s="101">
        <f>IF(Q28=0,0,1000000*Q28/TrRoad_act!Q68)</f>
        <v>0</v>
      </c>
      <c r="R119" s="101">
        <f>IF(R28=0,0,1000000*R28/TrRoad_act!R68)</f>
        <v>0</v>
      </c>
      <c r="S119" s="101">
        <f>IF(S28=0,0,1000000*S28/TrRoad_act!S68)</f>
        <v>0</v>
      </c>
      <c r="T119" s="101">
        <f>IF(T28=0,0,1000000*T28/TrRoad_act!T68)</f>
        <v>0</v>
      </c>
      <c r="U119" s="101">
        <f>IF(U28=0,0,1000000*U28/TrRoad_act!U68)</f>
        <v>0</v>
      </c>
      <c r="V119" s="101">
        <f>IF(V28=0,0,1000000*V28/TrRoad_act!V68)</f>
        <v>0</v>
      </c>
      <c r="W119" s="101">
        <f>IF(W28=0,0,1000000*W28/TrRoad_act!W68)</f>
        <v>0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50415.869390974658</v>
      </c>
      <c r="C120" s="101">
        <f>IF(C29=0,0,1000000*C29/TrRoad_act!C69)</f>
        <v>47346.437404225842</v>
      </c>
      <c r="D120" s="101">
        <f>IF(D29=0,0,1000000*D29/TrRoad_act!D69)</f>
        <v>49182.333708227918</v>
      </c>
      <c r="E120" s="101">
        <f>IF(E29=0,0,1000000*E29/TrRoad_act!E69)</f>
        <v>50060.131681922314</v>
      </c>
      <c r="F120" s="101">
        <f>IF(F29=0,0,1000000*F29/TrRoad_act!F69)</f>
        <v>54521.122505400366</v>
      </c>
      <c r="G120" s="101">
        <f>IF(G29=0,0,1000000*G29/TrRoad_act!G69)</f>
        <v>50966.037617224669</v>
      </c>
      <c r="H120" s="101">
        <f>IF(H29=0,0,1000000*H29/TrRoad_act!H69)</f>
        <v>52174.10890872615</v>
      </c>
      <c r="I120" s="101">
        <f>IF(I29=0,0,1000000*I29/TrRoad_act!I69)</f>
        <v>52454.429891226049</v>
      </c>
      <c r="J120" s="101">
        <f>IF(J29=0,0,1000000*J29/TrRoad_act!J69)</f>
        <v>50778.219807969013</v>
      </c>
      <c r="K120" s="101">
        <f>IF(K29=0,0,1000000*K29/TrRoad_act!K69)</f>
        <v>52123.927322617456</v>
      </c>
      <c r="L120" s="101">
        <f>IF(L29=0,0,1000000*L29/TrRoad_act!L69)</f>
        <v>52010.085468493497</v>
      </c>
      <c r="M120" s="101">
        <f>IF(M29=0,0,1000000*M29/TrRoad_act!M69)</f>
        <v>50433.929003513142</v>
      </c>
      <c r="N120" s="101">
        <f>IF(N29=0,0,1000000*N29/TrRoad_act!N69)</f>
        <v>50750.641115481092</v>
      </c>
      <c r="O120" s="101">
        <f>IF(O29=0,0,1000000*O29/TrRoad_act!O69)</f>
        <v>49789.749994039776</v>
      </c>
      <c r="P120" s="101">
        <f>IF(P29=0,0,1000000*P29/TrRoad_act!P69)</f>
        <v>49159.896396046825</v>
      </c>
      <c r="Q120" s="101">
        <f>IF(Q29=0,0,1000000*Q29/TrRoad_act!Q69)</f>
        <v>47829.285065188102</v>
      </c>
      <c r="R120" s="101">
        <f>IF(R29=0,0,1000000*R29/TrRoad_act!R69)</f>
        <v>49670.10924467758</v>
      </c>
      <c r="S120" s="101">
        <f>IF(S29=0,0,1000000*S29/TrRoad_act!S69)</f>
        <v>53048.899701727045</v>
      </c>
      <c r="T120" s="101">
        <f>IF(T29=0,0,1000000*T29/TrRoad_act!T69)</f>
        <v>54474.558456069681</v>
      </c>
      <c r="U120" s="101">
        <f>IF(U29=0,0,1000000*U29/TrRoad_act!U69)</f>
        <v>55484.985215074274</v>
      </c>
      <c r="V120" s="101">
        <f>IF(V29=0,0,1000000*V29/TrRoad_act!V69)</f>
        <v>54172.043591003108</v>
      </c>
      <c r="W120" s="101">
        <f>IF(W29=0,0,1000000*W29/TrRoad_act!W69)</f>
        <v>53441.235393483134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0</v>
      </c>
      <c r="R122" s="101">
        <f>IF(R31=0,0,1000000*R31/TrRoad_act!R71)</f>
        <v>10351.127587187746</v>
      </c>
      <c r="S122" s="101">
        <f>IF(S31=0,0,1000000*S31/TrRoad_act!S71)</f>
        <v>15829.695153599716</v>
      </c>
      <c r="T122" s="101">
        <f>IF(T31=0,0,1000000*T31/TrRoad_act!T71)</f>
        <v>11400.371148770384</v>
      </c>
      <c r="U122" s="101">
        <f>IF(U31=0,0,1000000*U31/TrRoad_act!U71)</f>
        <v>23710.961357798518</v>
      </c>
      <c r="V122" s="101">
        <f>IF(V31=0,0,1000000*V31/TrRoad_act!V71)</f>
        <v>31251.314547828504</v>
      </c>
      <c r="W122" s="101">
        <f>IF(W31=0,0,1000000*W31/TrRoad_act!W71)</f>
        <v>30306.748091520309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5063.505470087036</v>
      </c>
      <c r="C125" s="152">
        <f>IF(C34=0,0,1000000*C34/TrRoad_act!C74)</f>
        <v>5077.2900786367827</v>
      </c>
      <c r="D125" s="152">
        <f>IF(D34=0,0,1000000*D34/TrRoad_act!D74)</f>
        <v>6157.8452920435475</v>
      </c>
      <c r="E125" s="152">
        <f>IF(E34=0,0,1000000*E34/TrRoad_act!E74)</f>
        <v>5682.4973677360113</v>
      </c>
      <c r="F125" s="152">
        <f>IF(F34=0,0,1000000*F34/TrRoad_act!F74)</f>
        <v>5556.0166747077319</v>
      </c>
      <c r="G125" s="152">
        <f>IF(G34=0,0,1000000*G34/TrRoad_act!G74)</f>
        <v>5640.7716291571514</v>
      </c>
      <c r="H125" s="152">
        <f>IF(H34=0,0,1000000*H34/TrRoad_act!H74)</f>
        <v>4988.6295678001579</v>
      </c>
      <c r="I125" s="152">
        <f>IF(I34=0,0,1000000*I34/TrRoad_act!I74)</f>
        <v>5275.1484825881507</v>
      </c>
      <c r="J125" s="152">
        <f>IF(J34=0,0,1000000*J34/TrRoad_act!J74)</f>
        <v>4905.6846502810995</v>
      </c>
      <c r="K125" s="152">
        <f>IF(K34=0,0,1000000*K34/TrRoad_act!K74)</f>
        <v>4402.9894280583885</v>
      </c>
      <c r="L125" s="152">
        <f>IF(L34=0,0,1000000*L34/TrRoad_act!L74)</f>
        <v>5083.0874057947685</v>
      </c>
      <c r="M125" s="152">
        <f>IF(M34=0,0,1000000*M34/TrRoad_act!M74)</f>
        <v>5268.2820419657155</v>
      </c>
      <c r="N125" s="152">
        <f>IF(N34=0,0,1000000*N34/TrRoad_act!N74)</f>
        <v>5015.4337544345963</v>
      </c>
      <c r="O125" s="152">
        <f>IF(O34=0,0,1000000*O34/TrRoad_act!O74)</f>
        <v>4851.2311031254112</v>
      </c>
      <c r="P125" s="152">
        <f>IF(P34=0,0,1000000*P34/TrRoad_act!P74)</f>
        <v>4901.2802095438701</v>
      </c>
      <c r="Q125" s="152">
        <f>IF(Q34=0,0,1000000*Q34/TrRoad_act!Q74)</f>
        <v>4706.0233800964506</v>
      </c>
      <c r="R125" s="152">
        <f>IF(R34=0,0,1000000*R34/TrRoad_act!R74)</f>
        <v>5067.735075639991</v>
      </c>
      <c r="S125" s="152">
        <f>IF(S34=0,0,1000000*S34/TrRoad_act!S74)</f>
        <v>5586.8105553293881</v>
      </c>
      <c r="T125" s="152">
        <f>IF(T34=0,0,1000000*T34/TrRoad_act!T74)</f>
        <v>5633.0268572605628</v>
      </c>
      <c r="U125" s="152">
        <f>IF(U34=0,0,1000000*U34/TrRoad_act!U74)</f>
        <v>5722.8745891499984</v>
      </c>
      <c r="V125" s="152">
        <f>IF(V34=0,0,1000000*V34/TrRoad_act!V74)</f>
        <v>5834.2421330724683</v>
      </c>
      <c r="W125" s="152">
        <f>IF(W34=0,0,1000000*W34/TrRoad_act!W74)</f>
        <v>5576.7516798196375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3716.1554088390735</v>
      </c>
      <c r="C126" s="87">
        <f>IF(C35=0,0,1000000*C35/TrRoad_act!C75)</f>
        <v>3744.3693114313328</v>
      </c>
      <c r="D126" s="87">
        <f>IF(D35=0,0,1000000*D35/TrRoad_act!D75)</f>
        <v>3765.4065844299889</v>
      </c>
      <c r="E126" s="87">
        <f>IF(E35=0,0,1000000*E35/TrRoad_act!E75)</f>
        <v>3669.4816578265959</v>
      </c>
      <c r="F126" s="87">
        <f>IF(F35=0,0,1000000*F35/TrRoad_act!F75)</f>
        <v>3424.2895449032394</v>
      </c>
      <c r="G126" s="87">
        <f>IF(G35=0,0,1000000*G35/TrRoad_act!G75)</f>
        <v>3356.4971906714081</v>
      </c>
      <c r="H126" s="87">
        <f>IF(H35=0,0,1000000*H35/TrRoad_act!H75)</f>
        <v>3216.3597692423455</v>
      </c>
      <c r="I126" s="87">
        <f>IF(I35=0,0,1000000*I35/TrRoad_act!I75)</f>
        <v>3147.427235130051</v>
      </c>
      <c r="J126" s="87">
        <f>IF(J35=0,0,1000000*J35/TrRoad_act!J75)</f>
        <v>3134.7960503612412</v>
      </c>
      <c r="K126" s="87">
        <f>IF(K35=0,0,1000000*K35/TrRoad_act!K75)</f>
        <v>2974.4254098248703</v>
      </c>
      <c r="L126" s="87">
        <f>IF(L35=0,0,1000000*L35/TrRoad_act!L75)</f>
        <v>2813.9111877759692</v>
      </c>
      <c r="M126" s="87">
        <f>IF(M35=0,0,1000000*M35/TrRoad_act!M75)</f>
        <v>2844.5065937458899</v>
      </c>
      <c r="N126" s="87">
        <f>IF(N35=0,0,1000000*N35/TrRoad_act!N75)</f>
        <v>2871.8297366981064</v>
      </c>
      <c r="O126" s="87">
        <f>IF(O35=0,0,1000000*O35/TrRoad_act!O75)</f>
        <v>2906.3303942546354</v>
      </c>
      <c r="P126" s="87">
        <f>IF(P35=0,0,1000000*P35/TrRoad_act!P75)</f>
        <v>2941.8335885934716</v>
      </c>
      <c r="Q126" s="87">
        <f>IF(Q35=0,0,1000000*Q35/TrRoad_act!Q75)</f>
        <v>3089.0056178328346</v>
      </c>
      <c r="R126" s="87">
        <f>IF(R35=0,0,1000000*R35/TrRoad_act!R75)</f>
        <v>3170.7507907920944</v>
      </c>
      <c r="S126" s="87">
        <f>IF(S35=0,0,1000000*S35/TrRoad_act!S75)</f>
        <v>3155.3961559328259</v>
      </c>
      <c r="T126" s="87">
        <f>IF(T35=0,0,1000000*T35/TrRoad_act!T75)</f>
        <v>3189.4996852883773</v>
      </c>
      <c r="U126" s="87">
        <f>IF(U35=0,0,1000000*U35/TrRoad_act!U75)</f>
        <v>3212.6052265255826</v>
      </c>
      <c r="V126" s="87">
        <f>IF(V35=0,0,1000000*V35/TrRoad_act!V75)</f>
        <v>3168.7471195225207</v>
      </c>
      <c r="W126" s="87">
        <f>IF(W35=0,0,1000000*W35/TrRoad_act!W75)</f>
        <v>3184.7261014320929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5866.7507821622248</v>
      </c>
      <c r="C127" s="87">
        <f>IF(C36=0,0,1000000*C36/TrRoad_act!C76)</f>
        <v>5870.5092358721786</v>
      </c>
      <c r="D127" s="87">
        <f>IF(D36=0,0,1000000*D36/TrRoad_act!D76)</f>
        <v>7577.8848658104689</v>
      </c>
      <c r="E127" s="87">
        <f>IF(E36=0,0,1000000*E36/TrRoad_act!E76)</f>
        <v>6857.9092691884998</v>
      </c>
      <c r="F127" s="87">
        <f>IF(F36=0,0,1000000*F36/TrRoad_act!F76)</f>
        <v>7135.6188850034741</v>
      </c>
      <c r="G127" s="87">
        <f>IF(G36=0,0,1000000*G36/TrRoad_act!G76)</f>
        <v>7149.5329173523414</v>
      </c>
      <c r="H127" s="87">
        <f>IF(H36=0,0,1000000*H36/TrRoad_act!H76)</f>
        <v>6204.9563906345575</v>
      </c>
      <c r="I127" s="87">
        <f>IF(I36=0,0,1000000*I36/TrRoad_act!I76)</f>
        <v>6628.2173269150981</v>
      </c>
      <c r="J127" s="87">
        <f>IF(J36=0,0,1000000*J36/TrRoad_act!J76)</f>
        <v>5988.733492399334</v>
      </c>
      <c r="K127" s="87">
        <f>IF(K36=0,0,1000000*K36/TrRoad_act!K76)</f>
        <v>5184.9555204405742</v>
      </c>
      <c r="L127" s="87">
        <f>IF(L36=0,0,1000000*L36/TrRoad_act!L76)</f>
        <v>5939.7195954393246</v>
      </c>
      <c r="M127" s="87">
        <f>IF(M36=0,0,1000000*M36/TrRoad_act!M76)</f>
        <v>6194.4535372912251</v>
      </c>
      <c r="N127" s="87">
        <f>IF(N36=0,0,1000000*N36/TrRoad_act!N76)</f>
        <v>5820.4907859111217</v>
      </c>
      <c r="O127" s="87">
        <f>IF(O36=0,0,1000000*O36/TrRoad_act!O76)</f>
        <v>5706.7523246866112</v>
      </c>
      <c r="P127" s="87">
        <f>IF(P36=0,0,1000000*P36/TrRoad_act!P76)</f>
        <v>5866.229884277026</v>
      </c>
      <c r="Q127" s="87">
        <f>IF(Q36=0,0,1000000*Q36/TrRoad_act!Q76)</f>
        <v>5495.1409007655393</v>
      </c>
      <c r="R127" s="87">
        <f>IF(R36=0,0,1000000*R36/TrRoad_act!R76)</f>
        <v>6294.4687396127247</v>
      </c>
      <c r="S127" s="87">
        <f>IF(S36=0,0,1000000*S36/TrRoad_act!S76)</f>
        <v>6950.9048729635315</v>
      </c>
      <c r="T127" s="87">
        <f>IF(T36=0,0,1000000*T36/TrRoad_act!T76)</f>
        <v>6980.6260141403154</v>
      </c>
      <c r="U127" s="87">
        <f>IF(U36=0,0,1000000*U36/TrRoad_act!U76)</f>
        <v>6885.9889461908906</v>
      </c>
      <c r="V127" s="87">
        <f>IF(V36=0,0,1000000*V36/TrRoad_act!V76)</f>
        <v>7071.6498468160989</v>
      </c>
      <c r="W127" s="87">
        <f>IF(W36=0,0,1000000*W36/TrRoad_act!W76)</f>
        <v>6689.2389861342108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3035.0797122312201</v>
      </c>
      <c r="O128" s="87">
        <f>IF(O37=0,0,1000000*O37/TrRoad_act!O77)</f>
        <v>2494.7724937985449</v>
      </c>
      <c r="P128" s="87">
        <f>IF(P37=0,0,1000000*P37/TrRoad_act!P77)</f>
        <v>3676.7983041465768</v>
      </c>
      <c r="Q128" s="87">
        <f>IF(Q37=0,0,1000000*Q37/TrRoad_act!Q77)</f>
        <v>3747.912208312257</v>
      </c>
      <c r="R128" s="87">
        <f>IF(R37=0,0,1000000*R37/TrRoad_act!R77)</f>
        <v>3745.0810031551327</v>
      </c>
      <c r="S128" s="87">
        <f>IF(S37=0,0,1000000*S37/TrRoad_act!S77)</f>
        <v>3713.0922621504742</v>
      </c>
      <c r="T128" s="87">
        <f>IF(T37=0,0,1000000*T37/TrRoad_act!T77)</f>
        <v>3650.2055230724909</v>
      </c>
      <c r="U128" s="87">
        <f>IF(U37=0,0,1000000*U37/TrRoad_act!U77)</f>
        <v>3573.9889868621281</v>
      </c>
      <c r="V128" s="87">
        <f>IF(V37=0,0,1000000*V37/TrRoad_act!V77)</f>
        <v>3543.7935816450508</v>
      </c>
      <c r="W128" s="87">
        <f>IF(W37=0,0,1000000*W37/TrRoad_act!W77)</f>
        <v>3536.2766288094545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2942.7645345717465</v>
      </c>
      <c r="O129" s="87">
        <f>IF(O38=0,0,1000000*O38/TrRoad_act!O78)</f>
        <v>3089.9059371110943</v>
      </c>
      <c r="P129" s="87">
        <f>IF(P38=0,0,1000000*P38/TrRoad_act!P78)</f>
        <v>3072.308054662185</v>
      </c>
      <c r="Q129" s="87">
        <f>IF(Q38=0,0,1000000*Q38/TrRoad_act!Q78)</f>
        <v>2895.9775128936617</v>
      </c>
      <c r="R129" s="87">
        <f>IF(R38=0,0,1000000*R38/TrRoad_act!R78)</f>
        <v>4341.7386184951192</v>
      </c>
      <c r="S129" s="87">
        <f>IF(S38=0,0,1000000*S38/TrRoad_act!S78)</f>
        <v>4282.4619791973746</v>
      </c>
      <c r="T129" s="87">
        <f>IF(T38=0,0,1000000*T38/TrRoad_act!T78)</f>
        <v>4017.0110687478027</v>
      </c>
      <c r="U129" s="87">
        <f>IF(U38=0,0,1000000*U38/TrRoad_act!U78)</f>
        <v>4024.0682788028003</v>
      </c>
      <c r="V129" s="87">
        <f>IF(V38=0,0,1000000*V38/TrRoad_act!V78)</f>
        <v>4818.4612058806533</v>
      </c>
      <c r="W129" s="87">
        <f>IF(W38=0,0,1000000*W38/TrRoad_act!W78)</f>
        <v>4719.2631229098297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58828.820111598849</v>
      </c>
      <c r="C131" s="116">
        <f>IF(C40=0,0,1000000*C40/TrRoad_act!C80)</f>
        <v>41757.054177520411</v>
      </c>
      <c r="D131" s="116">
        <f>IF(D40=0,0,1000000*D40/TrRoad_act!D80)</f>
        <v>47746.167938451712</v>
      </c>
      <c r="E131" s="116">
        <f>IF(E40=0,0,1000000*E40/TrRoad_act!E80)</f>
        <v>22983.245539077074</v>
      </c>
      <c r="F131" s="116">
        <f>IF(F40=0,0,1000000*F40/TrRoad_act!F80)</f>
        <v>38237.393578801624</v>
      </c>
      <c r="G131" s="116">
        <f>IF(G40=0,0,1000000*G40/TrRoad_act!G80)</f>
        <v>40058.969800019702</v>
      </c>
      <c r="H131" s="116">
        <f>IF(H40=0,0,1000000*H40/TrRoad_act!H80)</f>
        <v>34458.433608764513</v>
      </c>
      <c r="I131" s="116">
        <f>IF(I40=0,0,1000000*I40/TrRoad_act!I80)</f>
        <v>32959.130149292374</v>
      </c>
      <c r="J131" s="116">
        <f>IF(J40=0,0,1000000*J40/TrRoad_act!J80)</f>
        <v>27764.931841227026</v>
      </c>
      <c r="K131" s="116">
        <f>IF(K40=0,0,1000000*K40/TrRoad_act!K80)</f>
        <v>19985.778958479383</v>
      </c>
      <c r="L131" s="116">
        <f>IF(L40=0,0,1000000*L40/TrRoad_act!L80)</f>
        <v>27436.856672239141</v>
      </c>
      <c r="M131" s="116">
        <f>IF(M40=0,0,1000000*M40/TrRoad_act!M80)</f>
        <v>25173.603763022387</v>
      </c>
      <c r="N131" s="116">
        <f>IF(N40=0,0,1000000*N40/TrRoad_act!N80)</f>
        <v>24135.346676527719</v>
      </c>
      <c r="O131" s="116">
        <f>IF(O40=0,0,1000000*O40/TrRoad_act!O80)</f>
        <v>20320.53841867618</v>
      </c>
      <c r="P131" s="116">
        <f>IF(P40=0,0,1000000*P40/TrRoad_act!P80)</f>
        <v>16748.317385092305</v>
      </c>
      <c r="Q131" s="116">
        <f>IF(Q40=0,0,1000000*Q40/TrRoad_act!Q80)</f>
        <v>16702.312895622534</v>
      </c>
      <c r="R131" s="116">
        <f>IF(R40=0,0,1000000*R40/TrRoad_act!R80)</f>
        <v>19337.184182408146</v>
      </c>
      <c r="S131" s="116">
        <f>IF(S40=0,0,1000000*S40/TrRoad_act!S80)</f>
        <v>24561.365032706624</v>
      </c>
      <c r="T131" s="116">
        <f>IF(T40=0,0,1000000*T40/TrRoad_act!T80)</f>
        <v>25946.34652647761</v>
      </c>
      <c r="U131" s="116">
        <f>IF(U40=0,0,1000000*U40/TrRoad_act!U80)</f>
        <v>23344.838447554732</v>
      </c>
      <c r="V131" s="116">
        <f>IF(V40=0,0,1000000*V40/TrRoad_act!V80)</f>
        <v>20871.258121790925</v>
      </c>
      <c r="W131" s="116">
        <f>IF(W40=0,0,1000000*W40/TrRoad_act!W80)</f>
        <v>24180.4515481989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43386.516432353616</v>
      </c>
      <c r="C132" s="101">
        <f>IF(C41=0,0,1000000*C41/TrRoad_act!C81)</f>
        <v>31096.846553081967</v>
      </c>
      <c r="D132" s="101">
        <f>IF(D41=0,0,1000000*D41/TrRoad_act!D81)</f>
        <v>30934.925240899945</v>
      </c>
      <c r="E132" s="101">
        <f>IF(E41=0,0,1000000*E41/TrRoad_act!E81)</f>
        <v>19969.765131245236</v>
      </c>
      <c r="F132" s="101">
        <f>IF(F41=0,0,1000000*F41/TrRoad_act!F81)</f>
        <v>33444.497658666245</v>
      </c>
      <c r="G132" s="101">
        <f>IF(G41=0,0,1000000*G41/TrRoad_act!G81)</f>
        <v>26982.694736160807</v>
      </c>
      <c r="H132" s="101">
        <f>IF(H41=0,0,1000000*H41/TrRoad_act!H81)</f>
        <v>21122.521269505545</v>
      </c>
      <c r="I132" s="101">
        <f>IF(I41=0,0,1000000*I41/TrRoad_act!I81)</f>
        <v>19493.520247682885</v>
      </c>
      <c r="J132" s="101">
        <f>IF(J41=0,0,1000000*J41/TrRoad_act!J81)</f>
        <v>17122.163218050264</v>
      </c>
      <c r="K132" s="101">
        <f>IF(K41=0,0,1000000*K41/TrRoad_act!K81)</f>
        <v>12631.713630026959</v>
      </c>
      <c r="L132" s="101">
        <f>IF(L41=0,0,1000000*L41/TrRoad_act!L81)</f>
        <v>16595.33006098694</v>
      </c>
      <c r="M132" s="101">
        <f>IF(M41=0,0,1000000*M41/TrRoad_act!M81)</f>
        <v>15634.322554159087</v>
      </c>
      <c r="N132" s="101">
        <f>IF(N41=0,0,1000000*N41/TrRoad_act!N81)</f>
        <v>14682.619303321086</v>
      </c>
      <c r="O132" s="101">
        <f>IF(O41=0,0,1000000*O41/TrRoad_act!O81)</f>
        <v>11321.486370366792</v>
      </c>
      <c r="P132" s="101">
        <f>IF(P41=0,0,1000000*P41/TrRoad_act!P81)</f>
        <v>9994.5427799836707</v>
      </c>
      <c r="Q132" s="101">
        <f>IF(Q41=0,0,1000000*Q41/TrRoad_act!Q81)</f>
        <v>9696.2400254214372</v>
      </c>
      <c r="R132" s="101">
        <f>IF(R41=0,0,1000000*R41/TrRoad_act!R81)</f>
        <v>10830.615346737546</v>
      </c>
      <c r="S132" s="101">
        <f>IF(S41=0,0,1000000*S41/TrRoad_act!S81)</f>
        <v>11645.557039431927</v>
      </c>
      <c r="T132" s="101">
        <f>IF(T41=0,0,1000000*T41/TrRoad_act!T81)</f>
        <v>11654.934878578906</v>
      </c>
      <c r="U132" s="101">
        <f>IF(U41=0,0,1000000*U41/TrRoad_act!U81)</f>
        <v>11431.482766845756</v>
      </c>
      <c r="V132" s="101">
        <f>IF(V41=0,0,1000000*V41/TrRoad_act!V81)</f>
        <v>10649.781958162273</v>
      </c>
      <c r="W132" s="101">
        <f>IF(W41=0,0,1000000*W41/TrRoad_act!W81)</f>
        <v>11088.776343511901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101456.34286204098</v>
      </c>
      <c r="C133" s="88">
        <f>IF(C42=0,0,1000000*C42/TrRoad_act!C82)</f>
        <v>80328.427822791462</v>
      </c>
      <c r="D133" s="88">
        <f>IF(D42=0,0,1000000*D42/TrRoad_act!D82)</f>
        <v>146624.42975117575</v>
      </c>
      <c r="E133" s="88">
        <f>IF(E42=0,0,1000000*E42/TrRoad_act!E82)</f>
        <v>48708.296453070419</v>
      </c>
      <c r="F133" s="88">
        <f>IF(F42=0,0,1000000*F42/TrRoad_act!F82)</f>
        <v>61258.456056358737</v>
      </c>
      <c r="G133" s="88">
        <f>IF(G42=0,0,1000000*G42/TrRoad_act!G82)</f>
        <v>126567.2172702579</v>
      </c>
      <c r="H133" s="88">
        <f>IF(H42=0,0,1000000*H42/TrRoad_act!H82)</f>
        <v>156058.34967017084</v>
      </c>
      <c r="I133" s="88">
        <f>IF(I42=0,0,1000000*I42/TrRoad_act!I82)</f>
        <v>147646.3417544777</v>
      </c>
      <c r="J133" s="88">
        <f>IF(J42=0,0,1000000*J42/TrRoad_act!J82)</f>
        <v>159418.67408172693</v>
      </c>
      <c r="K133" s="88">
        <f>IF(K42=0,0,1000000*K42/TrRoad_act!K82)</f>
        <v>122853.86953156549</v>
      </c>
      <c r="L133" s="88">
        <f>IF(L42=0,0,1000000*L42/TrRoad_act!L82)</f>
        <v>179712.83167136065</v>
      </c>
      <c r="M133" s="88">
        <f>IF(M42=0,0,1000000*M42/TrRoad_act!M82)</f>
        <v>154148.26395385497</v>
      </c>
      <c r="N133" s="88">
        <f>IF(N42=0,0,1000000*N42/TrRoad_act!N82)</f>
        <v>149651.23716609497</v>
      </c>
      <c r="O133" s="88">
        <f>IF(O42=0,0,1000000*O42/TrRoad_act!O82)</f>
        <v>158977.15045984238</v>
      </c>
      <c r="P133" s="88">
        <f>IF(P42=0,0,1000000*P42/TrRoad_act!P82)</f>
        <v>141908.7373677736</v>
      </c>
      <c r="Q133" s="88">
        <f>IF(Q42=0,0,1000000*Q42/TrRoad_act!Q82)</f>
        <v>125529.84901378077</v>
      </c>
      <c r="R133" s="88">
        <f>IF(R42=0,0,1000000*R42/TrRoad_act!R82)</f>
        <v>156602.17301751918</v>
      </c>
      <c r="S133" s="88">
        <f>IF(S42=0,0,1000000*S42/TrRoad_act!S82)</f>
        <v>227748.25138936046</v>
      </c>
      <c r="T133" s="88">
        <f>IF(T42=0,0,1000000*T42/TrRoad_act!T82)</f>
        <v>243628.84149499243</v>
      </c>
      <c r="U133" s="88">
        <f>IF(U42=0,0,1000000*U42/TrRoad_act!U82)</f>
        <v>218465.80579758261</v>
      </c>
      <c r="V133" s="88">
        <f>IF(V42=0,0,1000000*V42/TrRoad_act!V82)</f>
        <v>195232.2237112232</v>
      </c>
      <c r="W133" s="88">
        <f>IF(W42=0,0,1000000*W42/TrRoad_act!W82)</f>
        <v>237041.78944333582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0.7019222108930584</v>
      </c>
      <c r="C136" s="46">
        <f t="shared" si="40"/>
        <v>0.71140764229171782</v>
      </c>
      <c r="D136" s="46">
        <f t="shared" si="40"/>
        <v>0.65318230337309069</v>
      </c>
      <c r="E136" s="46">
        <f t="shared" si="40"/>
        <v>0.69994326673593943</v>
      </c>
      <c r="F136" s="46">
        <f t="shared" si="40"/>
        <v>0.65649198578442214</v>
      </c>
      <c r="G136" s="46">
        <f t="shared" si="40"/>
        <v>0.60585805617275712</v>
      </c>
      <c r="H136" s="46">
        <f t="shared" si="40"/>
        <v>0.57609986615160125</v>
      </c>
      <c r="I136" s="46">
        <f t="shared" si="40"/>
        <v>0.55658096804264645</v>
      </c>
      <c r="J136" s="46">
        <f t="shared" si="40"/>
        <v>0.53965519720552368</v>
      </c>
      <c r="K136" s="46">
        <f t="shared" si="40"/>
        <v>0.5650931626108755</v>
      </c>
      <c r="L136" s="46">
        <f t="shared" si="41"/>
        <v>0.49386418377141555</v>
      </c>
      <c r="M136" s="46">
        <f t="shared" si="40"/>
        <v>0.49405542848226514</v>
      </c>
      <c r="N136" s="46">
        <f t="shared" si="40"/>
        <v>0.49812951205923733</v>
      </c>
      <c r="O136" s="46">
        <f t="shared" si="40"/>
        <v>0.49853491543691347</v>
      </c>
      <c r="P136" s="46">
        <f t="shared" si="40"/>
        <v>0.50061780840642289</v>
      </c>
      <c r="Q136" s="46">
        <f t="shared" si="40"/>
        <v>0.50997927569497525</v>
      </c>
      <c r="R136" s="46">
        <f t="shared" si="40"/>
        <v>0.46544062292574767</v>
      </c>
      <c r="S136" s="46">
        <f t="shared" si="40"/>
        <v>0.41206574651052852</v>
      </c>
      <c r="T136" s="46">
        <f t="shared" si="40"/>
        <v>0.40371747864154189</v>
      </c>
      <c r="U136" s="46">
        <f t="shared" si="40"/>
        <v>0.39937565084783716</v>
      </c>
      <c r="V136" s="46">
        <f t="shared" si="40"/>
        <v>0.39520190451140441</v>
      </c>
      <c r="W136" s="46">
        <f t="shared" si="42"/>
        <v>0.3832395607848133</v>
      </c>
      <c r="DA136" s="211"/>
    </row>
    <row r="137" spans="1:105" ht="11.45" customHeight="1" x14ac:dyDescent="0.25">
      <c r="A137" s="153" t="s">
        <v>180</v>
      </c>
      <c r="B137" s="154">
        <f t="shared" si="40"/>
        <v>1.4766712059792486E-3</v>
      </c>
      <c r="C137" s="154">
        <f t="shared" si="40"/>
        <v>1.5622814296886963E-3</v>
      </c>
      <c r="D137" s="154">
        <f t="shared" si="40"/>
        <v>1.081711573074594E-3</v>
      </c>
      <c r="E137" s="154">
        <f t="shared" si="40"/>
        <v>1.2235509507199011E-3</v>
      </c>
      <c r="F137" s="154">
        <f t="shared" si="40"/>
        <v>1.2994506364280667E-3</v>
      </c>
      <c r="G137" s="154">
        <f t="shared" si="40"/>
        <v>1.267337732469654E-3</v>
      </c>
      <c r="H137" s="154">
        <f t="shared" si="40"/>
        <v>1.2905420139381223E-3</v>
      </c>
      <c r="I137" s="154">
        <f t="shared" si="40"/>
        <v>1.2618276926195714E-3</v>
      </c>
      <c r="J137" s="154">
        <f t="shared" si="40"/>
        <v>1.2772404927904146E-3</v>
      </c>
      <c r="K137" s="154">
        <f t="shared" si="40"/>
        <v>1.2244323227797137E-3</v>
      </c>
      <c r="L137" s="154">
        <f t="shared" si="41"/>
        <v>9.6501024137244935E-4</v>
      </c>
      <c r="M137" s="154">
        <f t="shared" si="40"/>
        <v>1.1928839389847158E-3</v>
      </c>
      <c r="N137" s="154">
        <f t="shared" si="40"/>
        <v>1.4371079902498374E-3</v>
      </c>
      <c r="O137" s="154">
        <f t="shared" si="40"/>
        <v>1.4695693290073567E-3</v>
      </c>
      <c r="P137" s="154">
        <f t="shared" si="40"/>
        <v>1.6472309646287113E-3</v>
      </c>
      <c r="Q137" s="154">
        <f t="shared" si="40"/>
        <v>1.8554700680477269E-3</v>
      </c>
      <c r="R137" s="154">
        <f t="shared" si="40"/>
        <v>1.7872912412991854E-3</v>
      </c>
      <c r="S137" s="154">
        <f t="shared" si="40"/>
        <v>1.44822116687316E-3</v>
      </c>
      <c r="T137" s="154">
        <f t="shared" si="40"/>
        <v>1.3921902853473928E-3</v>
      </c>
      <c r="U137" s="154">
        <f t="shared" si="40"/>
        <v>1.4812314108832074E-3</v>
      </c>
      <c r="V137" s="154">
        <f t="shared" si="40"/>
        <v>1.4274326801664474E-3</v>
      </c>
      <c r="W137" s="154">
        <f t="shared" si="42"/>
        <v>1.2903460128348091E-3</v>
      </c>
      <c r="DA137" s="212"/>
    </row>
    <row r="138" spans="1:105" ht="11.45" customHeight="1" x14ac:dyDescent="0.25">
      <c r="A138" s="155" t="s">
        <v>20</v>
      </c>
      <c r="B138" s="156">
        <f t="shared" si="40"/>
        <v>0.55944744871640006</v>
      </c>
      <c r="C138" s="156">
        <f t="shared" si="40"/>
        <v>0.58029254030887245</v>
      </c>
      <c r="D138" s="156">
        <f t="shared" si="40"/>
        <v>0.54620480743903621</v>
      </c>
      <c r="E138" s="156">
        <f t="shared" si="40"/>
        <v>0.57868213845655669</v>
      </c>
      <c r="F138" s="156">
        <f t="shared" si="40"/>
        <v>0.54355516971250184</v>
      </c>
      <c r="G138" s="156">
        <f t="shared" si="40"/>
        <v>0.50969399729613973</v>
      </c>
      <c r="H138" s="156">
        <f t="shared" si="40"/>
        <v>0.48253413307317078</v>
      </c>
      <c r="I138" s="156">
        <f t="shared" si="40"/>
        <v>0.45522068448459757</v>
      </c>
      <c r="J138" s="156">
        <f t="shared" si="40"/>
        <v>0.44738901086463051</v>
      </c>
      <c r="K138" s="156">
        <f t="shared" si="40"/>
        <v>0.46972474385256385</v>
      </c>
      <c r="L138" s="156">
        <f t="shared" si="41"/>
        <v>0.41355205596422495</v>
      </c>
      <c r="M138" s="156">
        <f t="shared" si="40"/>
        <v>0.41784115411216299</v>
      </c>
      <c r="N138" s="156">
        <f t="shared" si="40"/>
        <v>0.41995644846419178</v>
      </c>
      <c r="O138" s="156">
        <f t="shared" si="40"/>
        <v>0.42267922159227839</v>
      </c>
      <c r="P138" s="156">
        <f t="shared" si="40"/>
        <v>0.42365789080621868</v>
      </c>
      <c r="Q138" s="156">
        <f t="shared" si="40"/>
        <v>0.4337506103624954</v>
      </c>
      <c r="R138" s="156">
        <f t="shared" si="40"/>
        <v>0.39789218303699042</v>
      </c>
      <c r="S138" s="156">
        <f t="shared" si="40"/>
        <v>0.34945213403142655</v>
      </c>
      <c r="T138" s="156">
        <f t="shared" si="40"/>
        <v>0.33892872430632986</v>
      </c>
      <c r="U138" s="156">
        <f t="shared" si="40"/>
        <v>0.33375642155306595</v>
      </c>
      <c r="V138" s="156">
        <f t="shared" si="40"/>
        <v>0.33437765156040844</v>
      </c>
      <c r="W138" s="156">
        <f t="shared" si="42"/>
        <v>0.32529047877735512</v>
      </c>
      <c r="DA138" s="213"/>
    </row>
    <row r="139" spans="1:105" ht="11.45" customHeight="1" x14ac:dyDescent="0.25">
      <c r="A139" s="157" t="s">
        <v>110</v>
      </c>
      <c r="B139" s="103">
        <f t="shared" si="40"/>
        <v>0.40160263900682358</v>
      </c>
      <c r="C139" s="103">
        <f t="shared" si="40"/>
        <v>0.42413269067757481</v>
      </c>
      <c r="D139" s="103">
        <f t="shared" si="40"/>
        <v>0.40037243319955007</v>
      </c>
      <c r="E139" s="103">
        <f t="shared" si="40"/>
        <v>0.41085674890963719</v>
      </c>
      <c r="F139" s="103">
        <f t="shared" si="40"/>
        <v>0.36910807703612114</v>
      </c>
      <c r="G139" s="103">
        <f t="shared" si="40"/>
        <v>0.34804824963671671</v>
      </c>
      <c r="H139" s="103">
        <f t="shared" si="40"/>
        <v>0.32236846730432661</v>
      </c>
      <c r="I139" s="103">
        <f t="shared" si="40"/>
        <v>0.29602393455507164</v>
      </c>
      <c r="J139" s="103">
        <f t="shared" si="40"/>
        <v>0.29416274428113653</v>
      </c>
      <c r="K139" s="103">
        <f t="shared" si="40"/>
        <v>0.2955588579904504</v>
      </c>
      <c r="L139" s="103">
        <f t="shared" si="41"/>
        <v>0.25647609727770343</v>
      </c>
      <c r="M139" s="103">
        <f t="shared" si="40"/>
        <v>0.24680590907193165</v>
      </c>
      <c r="N139" s="103">
        <f t="shared" si="40"/>
        <v>0.24593739406398341</v>
      </c>
      <c r="O139" s="103">
        <f t="shared" si="40"/>
        <v>0.25046609244607493</v>
      </c>
      <c r="P139" s="103">
        <f t="shared" si="40"/>
        <v>0.25317156214687175</v>
      </c>
      <c r="Q139" s="103">
        <f t="shared" si="40"/>
        <v>0.26460475325958721</v>
      </c>
      <c r="R139" s="103">
        <f t="shared" si="40"/>
        <v>0.2488843880871944</v>
      </c>
      <c r="S139" s="103">
        <f t="shared" si="40"/>
        <v>0.21684362828176373</v>
      </c>
      <c r="T139" s="103">
        <f t="shared" si="40"/>
        <v>0.20322011977357485</v>
      </c>
      <c r="U139" s="103">
        <f t="shared" si="40"/>
        <v>0.19816167263786416</v>
      </c>
      <c r="V139" s="103">
        <f t="shared" si="40"/>
        <v>0.19656314136892614</v>
      </c>
      <c r="W139" s="103">
        <f t="shared" si="42"/>
        <v>0.18867515357885872</v>
      </c>
      <c r="DA139" s="191"/>
    </row>
    <row r="140" spans="1:105" ht="11.45" customHeight="1" x14ac:dyDescent="0.25">
      <c r="A140" s="157" t="s">
        <v>111</v>
      </c>
      <c r="B140" s="103">
        <f t="shared" si="40"/>
        <v>0.15784480970957648</v>
      </c>
      <c r="C140" s="103">
        <f t="shared" si="40"/>
        <v>0.15432015838529131</v>
      </c>
      <c r="D140" s="103">
        <f t="shared" si="40"/>
        <v>0.14521024907553337</v>
      </c>
      <c r="E140" s="103">
        <f t="shared" si="40"/>
        <v>0.16578378366005717</v>
      </c>
      <c r="F140" s="103">
        <f t="shared" si="40"/>
        <v>0.17136873914385248</v>
      </c>
      <c r="G140" s="103">
        <f t="shared" si="40"/>
        <v>0.15739676763332044</v>
      </c>
      <c r="H140" s="103">
        <f t="shared" si="40"/>
        <v>0.15748292971473707</v>
      </c>
      <c r="I140" s="103">
        <f t="shared" si="40"/>
        <v>0.151123667322486</v>
      </c>
      <c r="J140" s="103">
        <f t="shared" si="40"/>
        <v>0.14958785894745438</v>
      </c>
      <c r="K140" s="103">
        <f t="shared" si="40"/>
        <v>0.17014263083513895</v>
      </c>
      <c r="L140" s="103">
        <f t="shared" si="41"/>
        <v>0.15243011892298078</v>
      </c>
      <c r="M140" s="103">
        <f t="shared" si="40"/>
        <v>0.1530646242959324</v>
      </c>
      <c r="N140" s="103">
        <f t="shared" si="40"/>
        <v>0.15523008497868179</v>
      </c>
      <c r="O140" s="103">
        <f t="shared" si="40"/>
        <v>0.15305646729847219</v>
      </c>
      <c r="P140" s="103">
        <f t="shared" si="40"/>
        <v>0.15351567312364039</v>
      </c>
      <c r="Q140" s="103">
        <f t="shared" si="40"/>
        <v>0.15030168477270678</v>
      </c>
      <c r="R140" s="103">
        <f t="shared" si="40"/>
        <v>0.13342952837849423</v>
      </c>
      <c r="S140" s="103">
        <f t="shared" si="40"/>
        <v>0.12022714830370707</v>
      </c>
      <c r="T140" s="103">
        <f t="shared" si="40"/>
        <v>0.1230852346732251</v>
      </c>
      <c r="U140" s="103">
        <f t="shared" si="40"/>
        <v>0.12328694921556055</v>
      </c>
      <c r="V140" s="103">
        <f t="shared" si="40"/>
        <v>0.12495837635284794</v>
      </c>
      <c r="W140" s="103">
        <f t="shared" si="42"/>
        <v>0.12330683080295968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0</v>
      </c>
      <c r="D141" s="103">
        <f t="shared" si="40"/>
        <v>0</v>
      </c>
      <c r="E141" s="103">
        <f t="shared" si="40"/>
        <v>0</v>
      </c>
      <c r="F141" s="103">
        <f t="shared" si="40"/>
        <v>0</v>
      </c>
      <c r="G141" s="103">
        <f t="shared" si="40"/>
        <v>5.7544920774737867E-4</v>
      </c>
      <c r="H141" s="103">
        <f t="shared" si="40"/>
        <v>5.6600122281485002E-4</v>
      </c>
      <c r="I141" s="103">
        <f t="shared" si="40"/>
        <v>5.1483497543585756E-4</v>
      </c>
      <c r="J141" s="103">
        <f t="shared" si="40"/>
        <v>4.8141689846763447E-4</v>
      </c>
      <c r="K141" s="103">
        <f t="shared" si="40"/>
        <v>5.4232356875740179E-4</v>
      </c>
      <c r="L141" s="103">
        <f t="shared" si="41"/>
        <v>9.3227646670287795E-4</v>
      </c>
      <c r="M141" s="103">
        <f t="shared" si="40"/>
        <v>1.3799051676695149E-2</v>
      </c>
      <c r="N141" s="103">
        <f t="shared" si="40"/>
        <v>1.5185916482619884E-2</v>
      </c>
      <c r="O141" s="103">
        <f t="shared" si="40"/>
        <v>1.6248685013491915E-2</v>
      </c>
      <c r="P141" s="103">
        <f t="shared" si="40"/>
        <v>1.3498240954557811E-2</v>
      </c>
      <c r="Q141" s="103">
        <f t="shared" si="40"/>
        <v>1.5682616903626451E-2</v>
      </c>
      <c r="R141" s="103">
        <f t="shared" si="40"/>
        <v>1.3479658471291171E-2</v>
      </c>
      <c r="S141" s="103">
        <f t="shared" si="40"/>
        <v>1.075010641197054E-2</v>
      </c>
      <c r="T141" s="103">
        <f t="shared" si="40"/>
        <v>1.1143288414306712E-2</v>
      </c>
      <c r="U141" s="103">
        <f t="shared" si="40"/>
        <v>1.1130549798896376E-2</v>
      </c>
      <c r="V141" s="103">
        <f t="shared" si="40"/>
        <v>1.16435058680274E-2</v>
      </c>
      <c r="W141" s="103">
        <f t="shared" si="42"/>
        <v>1.2180492063948865E-2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1.8396912460063204E-3</v>
      </c>
      <c r="D142" s="103">
        <f t="shared" si="40"/>
        <v>6.2212516395281211E-4</v>
      </c>
      <c r="E142" s="103">
        <f t="shared" si="40"/>
        <v>2.0416058868623485E-3</v>
      </c>
      <c r="F142" s="103">
        <f t="shared" si="40"/>
        <v>3.0783535325281824E-3</v>
      </c>
      <c r="G142" s="103">
        <f t="shared" si="40"/>
        <v>3.6735308183552346E-3</v>
      </c>
      <c r="H142" s="103">
        <f t="shared" si="40"/>
        <v>2.1167348312922558E-3</v>
      </c>
      <c r="I142" s="103">
        <f t="shared" si="40"/>
        <v>7.5582476316040821E-3</v>
      </c>
      <c r="J142" s="103">
        <f t="shared" si="40"/>
        <v>3.1569907375719728E-3</v>
      </c>
      <c r="K142" s="103">
        <f t="shared" si="40"/>
        <v>3.4809314582171444E-3</v>
      </c>
      <c r="L142" s="103">
        <f t="shared" si="41"/>
        <v>3.7135632968378208E-3</v>
      </c>
      <c r="M142" s="103">
        <f t="shared" si="40"/>
        <v>4.1715690676038504E-3</v>
      </c>
      <c r="N142" s="103">
        <f t="shared" si="40"/>
        <v>3.6028089416573336E-3</v>
      </c>
      <c r="O142" s="103">
        <f t="shared" si="40"/>
        <v>2.907726034334983E-3</v>
      </c>
      <c r="P142" s="103">
        <f t="shared" si="40"/>
        <v>3.4690224902592789E-3</v>
      </c>
      <c r="Q142" s="103">
        <f t="shared" si="40"/>
        <v>3.155767148761889E-3</v>
      </c>
      <c r="R142" s="103">
        <f t="shared" si="40"/>
        <v>2.0832194486429981E-3</v>
      </c>
      <c r="S142" s="103">
        <f t="shared" si="40"/>
        <v>1.5993124968063754E-3</v>
      </c>
      <c r="T142" s="103">
        <f t="shared" si="40"/>
        <v>1.4379205355435462E-3</v>
      </c>
      <c r="U142" s="103">
        <f t="shared" si="40"/>
        <v>1.1280225198227953E-3</v>
      </c>
      <c r="V142" s="103">
        <f t="shared" si="40"/>
        <v>1.1344177586967313E-3</v>
      </c>
      <c r="W142" s="103">
        <f t="shared" si="42"/>
        <v>1.0350563173942237E-3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2.439972492842112E-7</v>
      </c>
      <c r="O143" s="103">
        <f t="shared" si="40"/>
        <v>2.5079990434909538E-7</v>
      </c>
      <c r="P143" s="103">
        <f t="shared" si="40"/>
        <v>3.3920908894095747E-6</v>
      </c>
      <c r="Q143" s="103">
        <f t="shared" si="40"/>
        <v>5.7882778130553002E-6</v>
      </c>
      <c r="R143" s="103">
        <f t="shared" si="40"/>
        <v>1.5388651367645716E-5</v>
      </c>
      <c r="S143" s="103">
        <f t="shared" si="40"/>
        <v>3.193853717884064E-5</v>
      </c>
      <c r="T143" s="103">
        <f t="shared" si="40"/>
        <v>4.2160909679562143E-5</v>
      </c>
      <c r="U143" s="103">
        <f t="shared" si="40"/>
        <v>4.9227380922117791E-5</v>
      </c>
      <c r="V143" s="103">
        <f t="shared" si="40"/>
        <v>7.821021191022217E-5</v>
      </c>
      <c r="W143" s="103">
        <f t="shared" si="42"/>
        <v>9.2946014193649214E-5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0.14099809097067909</v>
      </c>
      <c r="C145" s="156">
        <f t="shared" si="40"/>
        <v>0.12955282055315667</v>
      </c>
      <c r="D145" s="156">
        <f t="shared" si="40"/>
        <v>0.10589578436097993</v>
      </c>
      <c r="E145" s="156">
        <f t="shared" si="40"/>
        <v>0.12003757732866288</v>
      </c>
      <c r="F145" s="156">
        <f t="shared" si="40"/>
        <v>0.11163736543549224</v>
      </c>
      <c r="G145" s="156">
        <f t="shared" si="40"/>
        <v>9.4896721144147739E-2</v>
      </c>
      <c r="H145" s="156">
        <f t="shared" si="40"/>
        <v>9.2275191064492404E-2</v>
      </c>
      <c r="I145" s="156">
        <f t="shared" si="40"/>
        <v>0.10009845586542934</v>
      </c>
      <c r="J145" s="156">
        <f t="shared" si="40"/>
        <v>9.0988945848102742E-2</v>
      </c>
      <c r="K145" s="156">
        <f t="shared" si="40"/>
        <v>9.4143986435531915E-2</v>
      </c>
      <c r="L145" s="156">
        <f t="shared" si="41"/>
        <v>7.9347117565818193E-2</v>
      </c>
      <c r="M145" s="156">
        <f t="shared" si="40"/>
        <v>7.5021390431117427E-2</v>
      </c>
      <c r="N145" s="156">
        <f t="shared" si="40"/>
        <v>7.673595560479568E-2</v>
      </c>
      <c r="O145" s="156">
        <f t="shared" si="40"/>
        <v>7.4386124515627761E-2</v>
      </c>
      <c r="P145" s="156">
        <f t="shared" si="40"/>
        <v>7.5312686635575388E-2</v>
      </c>
      <c r="Q145" s="156">
        <f t="shared" si="40"/>
        <v>7.4373195264432201E-2</v>
      </c>
      <c r="R145" s="156">
        <f t="shared" si="40"/>
        <v>6.5761148647458037E-2</v>
      </c>
      <c r="S145" s="156">
        <f t="shared" si="40"/>
        <v>6.1165391312228833E-2</v>
      </c>
      <c r="T145" s="156">
        <f t="shared" si="40"/>
        <v>6.339656404986467E-2</v>
      </c>
      <c r="U145" s="156">
        <f t="shared" si="40"/>
        <v>6.4137997883888007E-2</v>
      </c>
      <c r="V145" s="156">
        <f t="shared" si="40"/>
        <v>5.9396820270829501E-2</v>
      </c>
      <c r="W145" s="156">
        <f t="shared" si="42"/>
        <v>5.6658735994623385E-2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0</v>
      </c>
      <c r="K146" s="103">
        <f t="shared" si="40"/>
        <v>0</v>
      </c>
      <c r="L146" s="103">
        <f t="shared" si="41"/>
        <v>0</v>
      </c>
      <c r="M146" s="103">
        <f t="shared" si="40"/>
        <v>0</v>
      </c>
      <c r="N146" s="103">
        <f t="shared" si="40"/>
        <v>0</v>
      </c>
      <c r="O146" s="103">
        <f t="shared" si="40"/>
        <v>0</v>
      </c>
      <c r="P146" s="103">
        <f t="shared" si="40"/>
        <v>0</v>
      </c>
      <c r="Q146" s="103">
        <f t="shared" si="40"/>
        <v>0</v>
      </c>
      <c r="R146" s="103">
        <f t="shared" si="40"/>
        <v>0</v>
      </c>
      <c r="S146" s="103">
        <f t="shared" si="40"/>
        <v>0</v>
      </c>
      <c r="T146" s="103">
        <f t="shared" si="40"/>
        <v>0</v>
      </c>
      <c r="U146" s="103">
        <f t="shared" si="40"/>
        <v>0</v>
      </c>
      <c r="V146" s="103">
        <f t="shared" si="40"/>
        <v>0</v>
      </c>
      <c r="W146" s="103">
        <f t="shared" si="42"/>
        <v>0</v>
      </c>
      <c r="DA146" s="191"/>
    </row>
    <row r="147" spans="1:105" ht="11.45" customHeight="1" x14ac:dyDescent="0.25">
      <c r="A147" s="157" t="s">
        <v>111</v>
      </c>
      <c r="B147" s="103">
        <f t="shared" si="40"/>
        <v>0.14099809097067909</v>
      </c>
      <c r="C147" s="103">
        <f t="shared" si="40"/>
        <v>0.12955282055315667</v>
      </c>
      <c r="D147" s="103">
        <f t="shared" si="40"/>
        <v>0.10589578436097993</v>
      </c>
      <c r="E147" s="103">
        <f t="shared" si="40"/>
        <v>0.12003757732866288</v>
      </c>
      <c r="F147" s="103">
        <f t="shared" si="40"/>
        <v>0.11163736543549224</v>
      </c>
      <c r="G147" s="103">
        <f t="shared" si="40"/>
        <v>9.4896721144147739E-2</v>
      </c>
      <c r="H147" s="103">
        <f t="shared" si="40"/>
        <v>9.2275191064492404E-2</v>
      </c>
      <c r="I147" s="103">
        <f t="shared" si="40"/>
        <v>0.10009845586542934</v>
      </c>
      <c r="J147" s="103">
        <f t="shared" si="40"/>
        <v>9.0988945848102742E-2</v>
      </c>
      <c r="K147" s="103">
        <f t="shared" si="40"/>
        <v>9.4143986435531915E-2</v>
      </c>
      <c r="L147" s="103">
        <f t="shared" si="41"/>
        <v>7.9347117565818193E-2</v>
      </c>
      <c r="M147" s="103">
        <f t="shared" si="40"/>
        <v>7.5021390431117427E-2</v>
      </c>
      <c r="N147" s="103">
        <f t="shared" si="40"/>
        <v>7.673595560479568E-2</v>
      </c>
      <c r="O147" s="103">
        <f t="shared" si="40"/>
        <v>7.4386124515627761E-2</v>
      </c>
      <c r="P147" s="103">
        <f t="shared" si="40"/>
        <v>7.5312686635575388E-2</v>
      </c>
      <c r="Q147" s="103">
        <f t="shared" si="40"/>
        <v>7.4373195264432201E-2</v>
      </c>
      <c r="R147" s="103">
        <f t="shared" ref="R147:V147" si="43">IF(R29=0,0,R29/R$17)</f>
        <v>6.5337896365948986E-2</v>
      </c>
      <c r="S147" s="103">
        <f t="shared" si="43"/>
        <v>6.0619470857430954E-2</v>
      </c>
      <c r="T147" s="103">
        <f t="shared" si="43"/>
        <v>6.3022356858861747E-2</v>
      </c>
      <c r="U147" s="103">
        <f t="shared" si="43"/>
        <v>6.3373156519472562E-2</v>
      </c>
      <c r="V147" s="103">
        <f t="shared" si="43"/>
        <v>5.832291524961028E-2</v>
      </c>
      <c r="W147" s="103">
        <f t="shared" ref="W147" si="44">IF(W29=0,0,W29/W$17)</f>
        <v>5.5679046446177438E-2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0</v>
      </c>
      <c r="R149" s="103">
        <f t="shared" si="50"/>
        <v>4.2325228150905927E-4</v>
      </c>
      <c r="S149" s="103">
        <f t="shared" si="50"/>
        <v>5.4592045479788011E-4</v>
      </c>
      <c r="T149" s="103">
        <f t="shared" si="50"/>
        <v>3.7420719100292001E-4</v>
      </c>
      <c r="U149" s="103">
        <f t="shared" si="50"/>
        <v>7.6484136441543841E-4</v>
      </c>
      <c r="V149" s="103">
        <f t="shared" si="50"/>
        <v>1.0739050212192148E-3</v>
      </c>
      <c r="W149" s="103">
        <f t="shared" ref="W149" si="51">IF(W31=0,0,W31/W$17)</f>
        <v>9.7968954844594616E-4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0.29807778910694166</v>
      </c>
      <c r="C151" s="46">
        <f t="shared" si="55"/>
        <v>0.28859235770828223</v>
      </c>
      <c r="D151" s="46">
        <f t="shared" si="55"/>
        <v>0.34681769662690937</v>
      </c>
      <c r="E151" s="46">
        <f t="shared" si="55"/>
        <v>0.30005673326406068</v>
      </c>
      <c r="F151" s="46">
        <f t="shared" si="55"/>
        <v>0.34350801421557792</v>
      </c>
      <c r="G151" s="46">
        <f t="shared" si="55"/>
        <v>0.39414194382724277</v>
      </c>
      <c r="H151" s="46">
        <f t="shared" si="55"/>
        <v>0.42390013384839859</v>
      </c>
      <c r="I151" s="46">
        <f t="shared" si="55"/>
        <v>0.4434190319573536</v>
      </c>
      <c r="J151" s="46">
        <f t="shared" si="55"/>
        <v>0.46034480279447632</v>
      </c>
      <c r="K151" s="46">
        <f t="shared" si="55"/>
        <v>0.43490683738912461</v>
      </c>
      <c r="L151" s="46">
        <f t="shared" ref="L151" si="56">IF(L33=0,0,L33/L$17)</f>
        <v>0.50613581622858439</v>
      </c>
      <c r="M151" s="46">
        <f t="shared" ref="M151:V151" si="57">IF(M33=0,0,M33/M$17)</f>
        <v>0.50594457151773486</v>
      </c>
      <c r="N151" s="46">
        <f t="shared" si="57"/>
        <v>0.50187048794076272</v>
      </c>
      <c r="O151" s="46">
        <f t="shared" si="57"/>
        <v>0.50146508456308647</v>
      </c>
      <c r="P151" s="46">
        <f t="shared" si="57"/>
        <v>0.49938219159357716</v>
      </c>
      <c r="Q151" s="46">
        <f t="shared" si="57"/>
        <v>0.49002072430502469</v>
      </c>
      <c r="R151" s="46">
        <f t="shared" si="57"/>
        <v>0.53455937707425227</v>
      </c>
      <c r="S151" s="46">
        <f t="shared" si="57"/>
        <v>0.58793425348947148</v>
      </c>
      <c r="T151" s="46">
        <f t="shared" si="57"/>
        <v>0.59628252135845805</v>
      </c>
      <c r="U151" s="46">
        <f t="shared" si="57"/>
        <v>0.60062434915216278</v>
      </c>
      <c r="V151" s="46">
        <f t="shared" si="57"/>
        <v>0.60479809548859553</v>
      </c>
      <c r="W151" s="46">
        <f t="shared" ref="W151" si="58">IF(W33=0,0,W33/W$17)</f>
        <v>0.61676043921518675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0.13592708259203184</v>
      </c>
      <c r="C152" s="154">
        <f t="shared" si="59"/>
        <v>0.13676852926450306</v>
      </c>
      <c r="D152" s="154">
        <f t="shared" si="59"/>
        <v>0.1315888019323459</v>
      </c>
      <c r="E152" s="154">
        <f t="shared" si="59"/>
        <v>0.13689285699698817</v>
      </c>
      <c r="F152" s="154">
        <f t="shared" si="59"/>
        <v>0.14684352364422962</v>
      </c>
      <c r="G152" s="154">
        <f t="shared" si="59"/>
        <v>0.14471780380353447</v>
      </c>
      <c r="H152" s="154">
        <f t="shared" si="59"/>
        <v>0.12890669613350908</v>
      </c>
      <c r="I152" s="154">
        <f t="shared" si="59"/>
        <v>0.13987231093104338</v>
      </c>
      <c r="J152" s="154">
        <f t="shared" si="59"/>
        <v>0.12959557938889144</v>
      </c>
      <c r="K152" s="154">
        <f t="shared" si="59"/>
        <v>0.14298686088132487</v>
      </c>
      <c r="L152" s="154">
        <f t="shared" ref="L152" si="60">IF(L34=0,0,L34/L$17)</f>
        <v>0.14431130113615206</v>
      </c>
      <c r="M152" s="154">
        <f t="shared" ref="M152:V152" si="61">IF(M34=0,0,M34/M$17)</f>
        <v>0.15450167023353675</v>
      </c>
      <c r="N152" s="154">
        <f t="shared" si="61"/>
        <v>0.15568093469778779</v>
      </c>
      <c r="O152" s="154">
        <f t="shared" si="61"/>
        <v>0.13689184596939294</v>
      </c>
      <c r="P152" s="154">
        <f t="shared" si="61"/>
        <v>0.12553701826032665</v>
      </c>
      <c r="Q152" s="154">
        <f t="shared" si="61"/>
        <v>0.13779727494791671</v>
      </c>
      <c r="R152" s="154">
        <f t="shared" si="61"/>
        <v>0.12513341494895266</v>
      </c>
      <c r="S152" s="154">
        <f t="shared" si="61"/>
        <v>0.11721522019535989</v>
      </c>
      <c r="T152" s="154">
        <f t="shared" si="61"/>
        <v>0.1154957253853293</v>
      </c>
      <c r="U152" s="154">
        <f t="shared" si="61"/>
        <v>0.11475568146836401</v>
      </c>
      <c r="V152" s="154">
        <f t="shared" si="61"/>
        <v>0.12761659083978447</v>
      </c>
      <c r="W152" s="154">
        <f t="shared" ref="W152" si="62">IF(W34=0,0,W34/W$17)</f>
        <v>0.11478680889299905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3.7259590070227451E-2</v>
      </c>
      <c r="C153" s="103">
        <f t="shared" si="63"/>
        <v>3.7630000939494881E-2</v>
      </c>
      <c r="D153" s="103">
        <f t="shared" si="63"/>
        <v>2.9970577136620661E-2</v>
      </c>
      <c r="E153" s="103">
        <f t="shared" si="63"/>
        <v>3.2588156088055424E-2</v>
      </c>
      <c r="F153" s="103">
        <f t="shared" si="63"/>
        <v>3.8519440864085611E-2</v>
      </c>
      <c r="G153" s="103">
        <f t="shared" si="63"/>
        <v>3.4253372140449788E-2</v>
      </c>
      <c r="H153" s="103">
        <f t="shared" si="63"/>
        <v>3.3825313101809092E-2</v>
      </c>
      <c r="I153" s="103">
        <f t="shared" si="63"/>
        <v>3.2441043876663703E-2</v>
      </c>
      <c r="J153" s="103">
        <f t="shared" si="63"/>
        <v>3.142703755527413E-2</v>
      </c>
      <c r="K153" s="103">
        <f t="shared" si="63"/>
        <v>3.4169848891478685E-2</v>
      </c>
      <c r="L153" s="103">
        <f t="shared" ref="L153" si="64">IF(L35=0,0,L35/L$17)</f>
        <v>2.1893499508761596E-2</v>
      </c>
      <c r="M153" s="103">
        <f t="shared" ref="M153:V153" si="65">IF(M35=0,0,M35/M$17)</f>
        <v>2.3063466750644565E-2</v>
      </c>
      <c r="N153" s="103">
        <f t="shared" si="65"/>
        <v>2.4332570379099271E-2</v>
      </c>
      <c r="O153" s="103">
        <f t="shared" si="65"/>
        <v>2.5045064484651668E-2</v>
      </c>
      <c r="P153" s="103">
        <f t="shared" si="65"/>
        <v>2.3858045637623705E-2</v>
      </c>
      <c r="Q153" s="103">
        <f t="shared" si="65"/>
        <v>2.8622736695121862E-2</v>
      </c>
      <c r="R153" s="103">
        <f t="shared" si="65"/>
        <v>2.949797144284615E-2</v>
      </c>
      <c r="S153" s="103">
        <f t="shared" si="65"/>
        <v>2.2611437005125599E-2</v>
      </c>
      <c r="T153" s="103">
        <f t="shared" si="65"/>
        <v>2.1869833654201698E-2</v>
      </c>
      <c r="U153" s="103">
        <f t="shared" si="65"/>
        <v>1.887760033074987E-2</v>
      </c>
      <c r="V153" s="103">
        <f t="shared" si="65"/>
        <v>2.0267137399314954E-2</v>
      </c>
      <c r="W153" s="103">
        <f t="shared" ref="W153" si="66">IF(W35=0,0,W35/W$17)</f>
        <v>1.9162349610860857E-2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9.8667492521804373E-2</v>
      </c>
      <c r="C154" s="103">
        <f t="shared" si="67"/>
        <v>9.9138528325008163E-2</v>
      </c>
      <c r="D154" s="103">
        <f t="shared" si="67"/>
        <v>0.10161822479572526</v>
      </c>
      <c r="E154" s="103">
        <f t="shared" si="67"/>
        <v>0.10430470090893273</v>
      </c>
      <c r="F154" s="103">
        <f t="shared" si="67"/>
        <v>0.10832408278014401</v>
      </c>
      <c r="G154" s="103">
        <f t="shared" si="67"/>
        <v>0.11046443166308469</v>
      </c>
      <c r="H154" s="103">
        <f t="shared" si="67"/>
        <v>9.5081383031699981E-2</v>
      </c>
      <c r="I154" s="103">
        <f t="shared" si="67"/>
        <v>0.10743126705437969</v>
      </c>
      <c r="J154" s="103">
        <f t="shared" si="67"/>
        <v>9.8168541833617284E-2</v>
      </c>
      <c r="K154" s="103">
        <f t="shared" si="67"/>
        <v>0.10881701198984617</v>
      </c>
      <c r="L154" s="103">
        <f t="shared" ref="L154" si="68">IF(L36=0,0,L36/L$17)</f>
        <v>0.12241780162739047</v>
      </c>
      <c r="M154" s="103">
        <f t="shared" ref="M154:V154" si="69">IF(M36=0,0,M36/M$17)</f>
        <v>0.13143820348289217</v>
      </c>
      <c r="N154" s="103">
        <f t="shared" si="69"/>
        <v>0.13134229406275966</v>
      </c>
      <c r="O154" s="103">
        <f t="shared" si="69"/>
        <v>0.11183994716514832</v>
      </c>
      <c r="P154" s="103">
        <f t="shared" si="69"/>
        <v>0.10001060288990461</v>
      </c>
      <c r="Q154" s="103">
        <f t="shared" si="69"/>
        <v>0.10745177332354226</v>
      </c>
      <c r="R154" s="103">
        <f t="shared" si="69"/>
        <v>9.3800164722041279E-2</v>
      </c>
      <c r="S154" s="103">
        <f t="shared" si="69"/>
        <v>9.2969309435102898E-2</v>
      </c>
      <c r="T154" s="103">
        <f t="shared" si="69"/>
        <v>9.1882305203942069E-2</v>
      </c>
      <c r="U154" s="103">
        <f t="shared" si="69"/>
        <v>9.4038232951532866E-2</v>
      </c>
      <c r="V154" s="103">
        <f t="shared" si="69"/>
        <v>0.10511732277091504</v>
      </c>
      <c r="W154" s="103">
        <f t="shared" ref="W154" si="70">IF(W36=0,0,W36/W$17)</f>
        <v>9.3536649222087487E-2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3.5864348040184883E-6</v>
      </c>
      <c r="O155" s="103">
        <f t="shared" si="73"/>
        <v>2.1162855054661872E-6</v>
      </c>
      <c r="P155" s="103">
        <f t="shared" si="73"/>
        <v>1.664624869030543E-3</v>
      </c>
      <c r="Q155" s="103">
        <f t="shared" si="73"/>
        <v>1.7181693431951822E-3</v>
      </c>
      <c r="R155" s="103">
        <f t="shared" si="73"/>
        <v>1.7010980306703975E-3</v>
      </c>
      <c r="S155" s="103">
        <f t="shared" si="73"/>
        <v>1.5153879553513906E-3</v>
      </c>
      <c r="T155" s="103">
        <f t="shared" si="73"/>
        <v>1.5600885031269484E-3</v>
      </c>
      <c r="U155" s="103">
        <f t="shared" si="73"/>
        <v>1.6189054769326357E-3</v>
      </c>
      <c r="V155" s="103">
        <f t="shared" si="73"/>
        <v>1.8001847616575175E-3</v>
      </c>
      <c r="W155" s="103">
        <f t="shared" ref="W155" si="74">IF(W37=0,0,W37/W$17)</f>
        <v>1.6898433523304605E-3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2.4838211248590352E-6</v>
      </c>
      <c r="O156" s="103">
        <f t="shared" si="77"/>
        <v>4.7180340875131911E-6</v>
      </c>
      <c r="P156" s="103">
        <f t="shared" si="77"/>
        <v>3.7448637677954443E-6</v>
      </c>
      <c r="Q156" s="103">
        <f t="shared" si="77"/>
        <v>4.595586057404428E-6</v>
      </c>
      <c r="R156" s="103">
        <f t="shared" si="77"/>
        <v>1.3418075339484715E-4</v>
      </c>
      <c r="S156" s="103">
        <f t="shared" si="77"/>
        <v>1.1908579978001031E-4</v>
      </c>
      <c r="T156" s="103">
        <f t="shared" si="77"/>
        <v>1.8349802405857242E-4</v>
      </c>
      <c r="U156" s="103">
        <f t="shared" si="77"/>
        <v>2.2094270914866659E-4</v>
      </c>
      <c r="V156" s="103">
        <f t="shared" si="77"/>
        <v>4.3194590789696376E-4</v>
      </c>
      <c r="W156" s="103">
        <f t="shared" ref="W156" si="78">IF(W38=0,0,W38/W$17)</f>
        <v>3.9796670772027033E-4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0.16215070651490981</v>
      </c>
      <c r="C158" s="156">
        <f t="shared" si="83"/>
        <v>0.1518238284437792</v>
      </c>
      <c r="D158" s="156">
        <f t="shared" si="83"/>
        <v>0.21522889469456344</v>
      </c>
      <c r="E158" s="156">
        <f t="shared" si="83"/>
        <v>0.16316387626707252</v>
      </c>
      <c r="F158" s="156">
        <f t="shared" si="83"/>
        <v>0.19666449057134827</v>
      </c>
      <c r="G158" s="156">
        <f t="shared" si="83"/>
        <v>0.2494241400237083</v>
      </c>
      <c r="H158" s="156">
        <f t="shared" si="83"/>
        <v>0.29499343771488956</v>
      </c>
      <c r="I158" s="156">
        <f t="shared" si="83"/>
        <v>0.3035467210263102</v>
      </c>
      <c r="J158" s="156">
        <f t="shared" si="83"/>
        <v>0.33074922340558494</v>
      </c>
      <c r="K158" s="156">
        <f t="shared" si="83"/>
        <v>0.29191997650779966</v>
      </c>
      <c r="L158" s="156">
        <f t="shared" ref="L158" si="84">IF(L40=0,0,L40/L$17)</f>
        <v>0.36182451509243224</v>
      </c>
      <c r="M158" s="156">
        <f t="shared" ref="M158:V158" si="85">IF(M40=0,0,M40/M$17)</f>
        <v>0.35144290128419808</v>
      </c>
      <c r="N158" s="156">
        <f t="shared" si="85"/>
        <v>0.34618955324297485</v>
      </c>
      <c r="O158" s="156">
        <f t="shared" si="85"/>
        <v>0.36457323859369345</v>
      </c>
      <c r="P158" s="156">
        <f t="shared" si="85"/>
        <v>0.37384517333325046</v>
      </c>
      <c r="Q158" s="156">
        <f t="shared" si="85"/>
        <v>0.35222344935710798</v>
      </c>
      <c r="R158" s="156">
        <f t="shared" si="85"/>
        <v>0.40942596212529958</v>
      </c>
      <c r="S158" s="156">
        <f t="shared" si="85"/>
        <v>0.47071903329411152</v>
      </c>
      <c r="T158" s="156">
        <f t="shared" si="85"/>
        <v>0.48078679597312873</v>
      </c>
      <c r="U158" s="156">
        <f t="shared" si="85"/>
        <v>0.48586866768379872</v>
      </c>
      <c r="V158" s="156">
        <f t="shared" si="85"/>
        <v>0.47718150464881109</v>
      </c>
      <c r="W158" s="156">
        <f t="shared" ref="W158" si="86">IF(W40=0,0,W40/W$17)</f>
        <v>0.50197363032218767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8.7785554248475769E-2</v>
      </c>
      <c r="C159" s="103">
        <f t="shared" si="87"/>
        <v>8.8582464071077449E-2</v>
      </c>
      <c r="D159" s="103">
        <f t="shared" si="87"/>
        <v>0.1191840083148744</v>
      </c>
      <c r="E159" s="103">
        <f t="shared" si="87"/>
        <v>0.12690457753066539</v>
      </c>
      <c r="F159" s="103">
        <f t="shared" si="87"/>
        <v>0.14237210628371122</v>
      </c>
      <c r="G159" s="103">
        <f t="shared" si="87"/>
        <v>0.14594515958922757</v>
      </c>
      <c r="H159" s="103">
        <f t="shared" si="87"/>
        <v>0.16295533182096894</v>
      </c>
      <c r="I159" s="103">
        <f t="shared" si="87"/>
        <v>0.16066707952539877</v>
      </c>
      <c r="J159" s="103">
        <f t="shared" si="87"/>
        <v>0.18871212770842108</v>
      </c>
      <c r="K159" s="103">
        <f t="shared" si="87"/>
        <v>0.17219351210226178</v>
      </c>
      <c r="L159" s="103">
        <f t="shared" ref="L159" si="88">IF(L41=0,0,L41/L$17)</f>
        <v>0.20430564036248802</v>
      </c>
      <c r="M159" s="103">
        <f t="shared" ref="M159:V159" si="89">IF(M41=0,0,M41/M$17)</f>
        <v>0.20323539984220965</v>
      </c>
      <c r="N159" s="103">
        <f t="shared" si="89"/>
        <v>0.19585283679066504</v>
      </c>
      <c r="O159" s="103">
        <f t="shared" si="89"/>
        <v>0.1907407546174443</v>
      </c>
      <c r="P159" s="103">
        <f t="shared" si="89"/>
        <v>0.21166985312209916</v>
      </c>
      <c r="Q159" s="103">
        <f t="shared" si="89"/>
        <v>0.19210966612091912</v>
      </c>
      <c r="R159" s="103">
        <f t="shared" si="89"/>
        <v>0.2159346121567795</v>
      </c>
      <c r="S159" s="103">
        <f t="shared" si="89"/>
        <v>0.2098480896288239</v>
      </c>
      <c r="T159" s="103">
        <f t="shared" si="89"/>
        <v>0.20266116706103862</v>
      </c>
      <c r="U159" s="103">
        <f t="shared" si="89"/>
        <v>0.22422920464353346</v>
      </c>
      <c r="V159" s="103">
        <f t="shared" si="89"/>
        <v>0.23000356521348594</v>
      </c>
      <c r="W159" s="103">
        <f t="shared" ref="W159" si="90">IF(W41=0,0,W41/W$17)</f>
        <v>0.2168596593170104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7.4365152266434045E-2</v>
      </c>
      <c r="C160" s="105">
        <f t="shared" si="91"/>
        <v>6.3241364372701753E-2</v>
      </c>
      <c r="D160" s="105">
        <f t="shared" si="91"/>
        <v>9.6044886379689054E-2</v>
      </c>
      <c r="E160" s="105">
        <f t="shared" si="91"/>
        <v>3.6259298736407104E-2</v>
      </c>
      <c r="F160" s="105">
        <f t="shared" si="91"/>
        <v>5.4292384287637059E-2</v>
      </c>
      <c r="G160" s="105">
        <f t="shared" si="91"/>
        <v>0.10347898043448076</v>
      </c>
      <c r="H160" s="105">
        <f t="shared" si="91"/>
        <v>0.13203810589392062</v>
      </c>
      <c r="I160" s="105">
        <f t="shared" si="91"/>
        <v>0.14287964150091143</v>
      </c>
      <c r="J160" s="105">
        <f t="shared" si="91"/>
        <v>0.14203709569716383</v>
      </c>
      <c r="K160" s="105">
        <f t="shared" si="91"/>
        <v>0.1197264644055379</v>
      </c>
      <c r="L160" s="105">
        <f t="shared" ref="L160" si="92">IF(L42=0,0,L42/L$17)</f>
        <v>0.15751887472994425</v>
      </c>
      <c r="M160" s="105">
        <f t="shared" ref="M160:V160" si="93">IF(M42=0,0,M42/M$17)</f>
        <v>0.14820750144198847</v>
      </c>
      <c r="N160" s="105">
        <f t="shared" si="93"/>
        <v>0.15033671645230978</v>
      </c>
      <c r="O160" s="105">
        <f t="shared" si="93"/>
        <v>0.1738324839762492</v>
      </c>
      <c r="P160" s="105">
        <f t="shared" si="93"/>
        <v>0.16217532021115125</v>
      </c>
      <c r="Q160" s="105">
        <f t="shared" si="93"/>
        <v>0.16011378323618886</v>
      </c>
      <c r="R160" s="105">
        <f t="shared" si="93"/>
        <v>0.19349134996852002</v>
      </c>
      <c r="S160" s="105">
        <f t="shared" si="93"/>
        <v>0.26087094366528762</v>
      </c>
      <c r="T160" s="105">
        <f t="shared" si="93"/>
        <v>0.27812562891209008</v>
      </c>
      <c r="U160" s="105">
        <f t="shared" si="93"/>
        <v>0.26163946304026525</v>
      </c>
      <c r="V160" s="105">
        <f t="shared" si="93"/>
        <v>0.24717793943532518</v>
      </c>
      <c r="W160" s="105">
        <f t="shared" ref="W160" si="94">IF(W42=0,0,W42/W$17)</f>
        <v>0.28511397100517727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1448999</v>
      </c>
      <c r="C3" s="54">
        <f>TrRoad_act!C57</f>
        <v>1472031</v>
      </c>
      <c r="D3" s="54">
        <f>TrRoad_act!D57</f>
        <v>1515841</v>
      </c>
      <c r="E3" s="54">
        <f>TrRoad_act!E57</f>
        <v>1556915</v>
      </c>
      <c r="F3" s="54">
        <f>TrRoad_act!F57</f>
        <v>1511977</v>
      </c>
      <c r="G3" s="54">
        <f>TrRoad_act!G57</f>
        <v>1530280</v>
      </c>
      <c r="H3" s="54">
        <f>TrRoad_act!H57</f>
        <v>1577340</v>
      </c>
      <c r="I3" s="54">
        <f>TrRoad_act!I57</f>
        <v>1710001</v>
      </c>
      <c r="J3" s="54">
        <f>TrRoad_act!J57</f>
        <v>1857116</v>
      </c>
      <c r="K3" s="54">
        <f>TrRoad_act!K57</f>
        <v>1932602</v>
      </c>
      <c r="L3" s="54">
        <f>TrRoad_act!L57</f>
        <v>2025488</v>
      </c>
      <c r="M3" s="54">
        <f>TrRoad_act!M57</f>
        <v>2116500</v>
      </c>
      <c r="N3" s="54">
        <f>TrRoad_act!N57</f>
        <v>2201765</v>
      </c>
      <c r="O3" s="54">
        <f>TrRoad_act!O57</f>
        <v>2266802</v>
      </c>
      <c r="P3" s="54">
        <f>TrRoad_act!P57</f>
        <v>2346194</v>
      </c>
      <c r="Q3" s="54">
        <f>TrRoad_act!Q57</f>
        <v>2450137</v>
      </c>
      <c r="R3" s="54">
        <f>TrRoad_act!R57</f>
        <v>2546388</v>
      </c>
      <c r="S3" s="54">
        <f>TrRoad_act!S57</f>
        <v>2660179</v>
      </c>
      <c r="T3" s="54">
        <f>TrRoad_act!T57</f>
        <v>2756821</v>
      </c>
      <c r="U3" s="54">
        <f>TrRoad_act!U57</f>
        <v>2848048</v>
      </c>
      <c r="V3" s="54">
        <f>TrRoad_act!V57</f>
        <v>2902025</v>
      </c>
      <c r="W3" s="54">
        <f>TrRoad_act!W57</f>
        <v>2957853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1330996</v>
      </c>
      <c r="C4" s="28">
        <f>TrRoad_act!C58</f>
        <v>1350365</v>
      </c>
      <c r="D4" s="28">
        <f>TrRoad_act!D58</f>
        <v>1385634</v>
      </c>
      <c r="E4" s="28">
        <f>TrRoad_act!E58</f>
        <v>1415761</v>
      </c>
      <c r="F4" s="28">
        <f>TrRoad_act!F58</f>
        <v>1370087</v>
      </c>
      <c r="G4" s="28">
        <f>TrRoad_act!G58</f>
        <v>1369462</v>
      </c>
      <c r="H4" s="28">
        <f>TrRoad_act!H58</f>
        <v>1400920</v>
      </c>
      <c r="I4" s="28">
        <f>TrRoad_act!I58</f>
        <v>1508582</v>
      </c>
      <c r="J4" s="28">
        <f>TrRoad_act!J58</f>
        <v>1626010</v>
      </c>
      <c r="K4" s="28">
        <f>TrRoad_act!K58</f>
        <v>1680611</v>
      </c>
      <c r="L4" s="28">
        <f>TrRoad_act!L58</f>
        <v>1766581</v>
      </c>
      <c r="M4" s="28">
        <f>TrRoad_act!M58</f>
        <v>1852442</v>
      </c>
      <c r="N4" s="28">
        <f>TrRoad_act!N58</f>
        <v>1932916</v>
      </c>
      <c r="O4" s="28">
        <f>TrRoad_act!O58</f>
        <v>1994730</v>
      </c>
      <c r="P4" s="28">
        <f>TrRoad_act!P58</f>
        <v>2070914</v>
      </c>
      <c r="Q4" s="28">
        <f>TrRoad_act!Q58</f>
        <v>2164468</v>
      </c>
      <c r="R4" s="28">
        <f>TrRoad_act!R58</f>
        <v>2256993</v>
      </c>
      <c r="S4" s="28">
        <f>TrRoad_act!S58</f>
        <v>2365667</v>
      </c>
      <c r="T4" s="28">
        <f>TrRoad_act!T58</f>
        <v>2471421</v>
      </c>
      <c r="U4" s="28">
        <f>TrRoad_act!U58</f>
        <v>2550337</v>
      </c>
      <c r="V4" s="28">
        <f>TrRoad_act!V58</f>
        <v>2602595</v>
      </c>
      <c r="W4" s="28">
        <f>TrRoad_act!W58</f>
        <v>2663698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45647</v>
      </c>
      <c r="C5" s="137">
        <f>TrRoad_act!C59</f>
        <v>46676</v>
      </c>
      <c r="D5" s="137">
        <f>TrRoad_act!D59</f>
        <v>47900</v>
      </c>
      <c r="E5" s="137">
        <f>TrRoad_act!E59</f>
        <v>48709</v>
      </c>
      <c r="F5" s="137">
        <f>TrRoad_act!F59</f>
        <v>51977</v>
      </c>
      <c r="G5" s="137">
        <f>TrRoad_act!G59</f>
        <v>56366</v>
      </c>
      <c r="H5" s="137">
        <f>TrRoad_act!H59</f>
        <v>58101</v>
      </c>
      <c r="I5" s="137">
        <f>TrRoad_act!I59</f>
        <v>63897</v>
      </c>
      <c r="J5" s="137">
        <f>TrRoad_act!J59</f>
        <v>70318</v>
      </c>
      <c r="K5" s="137">
        <f>TrRoad_act!K59</f>
        <v>81900</v>
      </c>
      <c r="L5" s="137">
        <f>TrRoad_act!L59</f>
        <v>87900</v>
      </c>
      <c r="M5" s="137">
        <f>TrRoad_act!M59</f>
        <v>93800</v>
      </c>
      <c r="N5" s="137">
        <f>TrRoad_act!N59</f>
        <v>99500</v>
      </c>
      <c r="O5" s="137">
        <f>TrRoad_act!O59</f>
        <v>105900</v>
      </c>
      <c r="P5" s="137">
        <f>TrRoad_act!P59</f>
        <v>112700</v>
      </c>
      <c r="Q5" s="137">
        <f>TrRoad_act!Q59</f>
        <v>120624</v>
      </c>
      <c r="R5" s="137">
        <f>TrRoad_act!R59</f>
        <v>126128</v>
      </c>
      <c r="S5" s="137">
        <f>TrRoad_act!S59</f>
        <v>133309</v>
      </c>
      <c r="T5" s="137">
        <f>TrRoad_act!T59</f>
        <v>140450</v>
      </c>
      <c r="U5" s="137">
        <f>TrRoad_act!U59</f>
        <v>147498</v>
      </c>
      <c r="V5" s="137">
        <f>TrRoad_act!V59</f>
        <v>154445</v>
      </c>
      <c r="W5" s="137">
        <f>TrRoad_act!W59</f>
        <v>162145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1274200</v>
      </c>
      <c r="C6" s="110">
        <f>TrRoad_act!C60</f>
        <v>1292800</v>
      </c>
      <c r="D6" s="110">
        <f>TrRoad_act!D60</f>
        <v>1326900</v>
      </c>
      <c r="E6" s="110">
        <f>TrRoad_act!E60</f>
        <v>1356200</v>
      </c>
      <c r="F6" s="110">
        <f>TrRoad_act!F60</f>
        <v>1308908</v>
      </c>
      <c r="G6" s="110">
        <f>TrRoad_act!G60</f>
        <v>1303704</v>
      </c>
      <c r="H6" s="110">
        <f>TrRoad_act!H60</f>
        <v>1333749</v>
      </c>
      <c r="I6" s="110">
        <f>TrRoad_act!I60</f>
        <v>1433926</v>
      </c>
      <c r="J6" s="110">
        <f>TrRoad_act!J60</f>
        <v>1544888</v>
      </c>
      <c r="K6" s="110">
        <f>TrRoad_act!K60</f>
        <v>1589044</v>
      </c>
      <c r="L6" s="110">
        <f>TrRoad_act!L60</f>
        <v>1669065</v>
      </c>
      <c r="M6" s="110">
        <f>TrRoad_act!M60</f>
        <v>1749300</v>
      </c>
      <c r="N6" s="110">
        <f>TrRoad_act!N60</f>
        <v>1824190</v>
      </c>
      <c r="O6" s="110">
        <f>TrRoad_act!O60</f>
        <v>1879759</v>
      </c>
      <c r="P6" s="110">
        <f>TrRoad_act!P60</f>
        <v>1949055</v>
      </c>
      <c r="Q6" s="110">
        <f>TrRoad_act!Q60</f>
        <v>2034574</v>
      </c>
      <c r="R6" s="110">
        <f>TrRoad_act!R60</f>
        <v>2121774</v>
      </c>
      <c r="S6" s="110">
        <f>TrRoad_act!S60</f>
        <v>2223117</v>
      </c>
      <c r="T6" s="110">
        <f>TrRoad_act!T60</f>
        <v>2321608</v>
      </c>
      <c r="U6" s="110">
        <f>TrRoad_act!U60</f>
        <v>2393577</v>
      </c>
      <c r="V6" s="110">
        <f>TrRoad_act!V60</f>
        <v>2439986</v>
      </c>
      <c r="W6" s="110">
        <f>TrRoad_act!W60</f>
        <v>2493183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1038797</v>
      </c>
      <c r="C7" s="84">
        <f>TrRoad_act!C61</f>
        <v>1038897</v>
      </c>
      <c r="D7" s="84">
        <f>TrRoad_act!D61</f>
        <v>1038624</v>
      </c>
      <c r="E7" s="84">
        <f>TrRoad_act!E61</f>
        <v>1045297</v>
      </c>
      <c r="F7" s="84">
        <f>TrRoad_act!F61</f>
        <v>992546</v>
      </c>
      <c r="G7" s="84">
        <f>TrRoad_act!G61</f>
        <v>983034</v>
      </c>
      <c r="H7" s="84">
        <f>TrRoad_act!H61</f>
        <v>999424</v>
      </c>
      <c r="I7" s="84">
        <f>TrRoad_act!I61</f>
        <v>1062932</v>
      </c>
      <c r="J7" s="84">
        <f>TrRoad_act!J61</f>
        <v>1147072</v>
      </c>
      <c r="K7" s="84">
        <f>TrRoad_act!K61</f>
        <v>1174238</v>
      </c>
      <c r="L7" s="84">
        <f>TrRoad_act!L61</f>
        <v>1235322</v>
      </c>
      <c r="M7" s="84">
        <f>TrRoad_act!M61</f>
        <v>1255991</v>
      </c>
      <c r="N7" s="84">
        <f>TrRoad_act!N61</f>
        <v>1311658</v>
      </c>
      <c r="O7" s="84">
        <f>TrRoad_act!O61</f>
        <v>1356199</v>
      </c>
      <c r="P7" s="84">
        <f>TrRoad_act!P61</f>
        <v>1400920</v>
      </c>
      <c r="Q7" s="84">
        <f>TrRoad_act!Q61</f>
        <v>1464701</v>
      </c>
      <c r="R7" s="84">
        <f>TrRoad_act!R61</f>
        <v>1552895</v>
      </c>
      <c r="S7" s="84">
        <f>TrRoad_act!S61</f>
        <v>1636630</v>
      </c>
      <c r="T7" s="84">
        <f>TrRoad_act!T61</f>
        <v>1717338</v>
      </c>
      <c r="U7" s="84">
        <f>TrRoad_act!U61</f>
        <v>1778261</v>
      </c>
      <c r="V7" s="84">
        <f>TrRoad_act!V61</f>
        <v>1808919</v>
      </c>
      <c r="W7" s="84">
        <f>TrRoad_act!W61</f>
        <v>1844855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235403</v>
      </c>
      <c r="C8" s="84">
        <f>TrRoad_act!C62</f>
        <v>251503</v>
      </c>
      <c r="D8" s="84">
        <f>TrRoad_act!D62</f>
        <v>285876</v>
      </c>
      <c r="E8" s="84">
        <f>TrRoad_act!E62</f>
        <v>303881</v>
      </c>
      <c r="F8" s="84">
        <f>TrRoad_act!F62</f>
        <v>308508</v>
      </c>
      <c r="G8" s="84">
        <f>TrRoad_act!G62</f>
        <v>311553</v>
      </c>
      <c r="H8" s="84">
        <f>TrRoad_act!H62</f>
        <v>325232</v>
      </c>
      <c r="I8" s="84">
        <f>TrRoad_act!I62</f>
        <v>353285</v>
      </c>
      <c r="J8" s="84">
        <f>TrRoad_act!J62</f>
        <v>380283</v>
      </c>
      <c r="K8" s="84">
        <f>TrRoad_act!K62</f>
        <v>397146</v>
      </c>
      <c r="L8" s="84">
        <f>TrRoad_act!L62</f>
        <v>412502</v>
      </c>
      <c r="M8" s="84">
        <f>TrRoad_act!M62</f>
        <v>426643</v>
      </c>
      <c r="N8" s="84">
        <f>TrRoad_act!N62</f>
        <v>442235</v>
      </c>
      <c r="O8" s="84">
        <f>TrRoad_act!O62</f>
        <v>449650</v>
      </c>
      <c r="P8" s="84">
        <f>TrRoad_act!P62</f>
        <v>472541</v>
      </c>
      <c r="Q8" s="84">
        <f>TrRoad_act!Q62</f>
        <v>490817</v>
      </c>
      <c r="R8" s="84">
        <f>TrRoad_act!R62</f>
        <v>495729</v>
      </c>
      <c r="S8" s="84">
        <f>TrRoad_act!S62</f>
        <v>518042</v>
      </c>
      <c r="T8" s="84">
        <f>TrRoad_act!T62</f>
        <v>538764</v>
      </c>
      <c r="U8" s="84">
        <f>TrRoad_act!U62</f>
        <v>554943</v>
      </c>
      <c r="V8" s="84">
        <f>TrRoad_act!V62</f>
        <v>571655</v>
      </c>
      <c r="W8" s="84">
        <f>TrRoad_act!W62</f>
        <v>588797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0</v>
      </c>
      <c r="D9" s="84">
        <f>TrRoad_act!D63</f>
        <v>0</v>
      </c>
      <c r="E9" s="84">
        <f>TrRoad_act!E63</f>
        <v>0</v>
      </c>
      <c r="F9" s="84">
        <f>TrRoad_act!F63</f>
        <v>0</v>
      </c>
      <c r="G9" s="84">
        <f>TrRoad_act!G63</f>
        <v>1250</v>
      </c>
      <c r="H9" s="84">
        <f>TrRoad_act!H63</f>
        <v>1251</v>
      </c>
      <c r="I9" s="84">
        <f>TrRoad_act!I63</f>
        <v>1352</v>
      </c>
      <c r="J9" s="84">
        <f>TrRoad_act!J63</f>
        <v>1400</v>
      </c>
      <c r="K9" s="84">
        <f>TrRoad_act!K63</f>
        <v>1401</v>
      </c>
      <c r="L9" s="84">
        <f>TrRoad_act!L63</f>
        <v>3003</v>
      </c>
      <c r="M9" s="84">
        <f>TrRoad_act!M63</f>
        <v>48894</v>
      </c>
      <c r="N9" s="84">
        <f>TrRoad_act!N63</f>
        <v>54615</v>
      </c>
      <c r="O9" s="84">
        <f>TrRoad_act!O63</f>
        <v>59503</v>
      </c>
      <c r="P9" s="84">
        <f>TrRoad_act!P63</f>
        <v>59362</v>
      </c>
      <c r="Q9" s="84">
        <f>TrRoad_act!Q63</f>
        <v>62639</v>
      </c>
      <c r="R9" s="84">
        <f>TrRoad_act!R63</f>
        <v>61386</v>
      </c>
      <c r="S9" s="84">
        <f>TrRoad_act!S63</f>
        <v>57089</v>
      </c>
      <c r="T9" s="84">
        <f>TrRoad_act!T63</f>
        <v>54235</v>
      </c>
      <c r="U9" s="84">
        <f>TrRoad_act!U63</f>
        <v>50583</v>
      </c>
      <c r="V9" s="84">
        <f>TrRoad_act!V63</f>
        <v>49554</v>
      </c>
      <c r="W9" s="84">
        <f>TrRoad_act!W63</f>
        <v>47458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2400</v>
      </c>
      <c r="D10" s="84">
        <f>TrRoad_act!D64</f>
        <v>2400</v>
      </c>
      <c r="E10" s="84">
        <f>TrRoad_act!E64</f>
        <v>7022</v>
      </c>
      <c r="F10" s="84">
        <f>TrRoad_act!F64</f>
        <v>7854</v>
      </c>
      <c r="G10" s="84">
        <f>TrRoad_act!G64</f>
        <v>7867</v>
      </c>
      <c r="H10" s="84">
        <f>TrRoad_act!H64</f>
        <v>7842</v>
      </c>
      <c r="I10" s="84">
        <f>TrRoad_act!I64</f>
        <v>16357</v>
      </c>
      <c r="J10" s="84">
        <f>TrRoad_act!J64</f>
        <v>16133</v>
      </c>
      <c r="K10" s="84">
        <f>TrRoad_act!K64</f>
        <v>16259</v>
      </c>
      <c r="L10" s="84">
        <f>TrRoad_act!L64</f>
        <v>18238</v>
      </c>
      <c r="M10" s="84">
        <f>TrRoad_act!M64</f>
        <v>17753</v>
      </c>
      <c r="N10" s="84">
        <f>TrRoad_act!N64</f>
        <v>15657</v>
      </c>
      <c r="O10" s="84">
        <f>TrRoad_act!O64</f>
        <v>14377</v>
      </c>
      <c r="P10" s="84">
        <f>TrRoad_act!P64</f>
        <v>16099</v>
      </c>
      <c r="Q10" s="84">
        <f>TrRoad_act!Q64</f>
        <v>16243</v>
      </c>
      <c r="R10" s="84">
        <f>TrRoad_act!R64</f>
        <v>11410</v>
      </c>
      <c r="S10" s="84">
        <f>TrRoad_act!S64</f>
        <v>10613</v>
      </c>
      <c r="T10" s="84">
        <f>TrRoad_act!T64</f>
        <v>9856</v>
      </c>
      <c r="U10" s="84">
        <f>TrRoad_act!U64</f>
        <v>8008</v>
      </c>
      <c r="V10" s="84">
        <f>TrRoad_act!V64</f>
        <v>6352</v>
      </c>
      <c r="W10" s="84">
        <f>TrRoad_act!W64</f>
        <v>6419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5</v>
      </c>
      <c r="O11" s="84">
        <f>TrRoad_act!O65</f>
        <v>5</v>
      </c>
      <c r="P11" s="84">
        <f>TrRoad_act!P65</f>
        <v>20</v>
      </c>
      <c r="Q11" s="84">
        <f>TrRoad_act!Q65</f>
        <v>37</v>
      </c>
      <c r="R11" s="84">
        <f>TrRoad_act!R65</f>
        <v>156</v>
      </c>
      <c r="S11" s="84">
        <f>TrRoad_act!S65</f>
        <v>345</v>
      </c>
      <c r="T11" s="84">
        <f>TrRoad_act!T65</f>
        <v>620</v>
      </c>
      <c r="U11" s="84">
        <f>TrRoad_act!U65</f>
        <v>826</v>
      </c>
      <c r="V11" s="84">
        <f>TrRoad_act!V65</f>
        <v>1643</v>
      </c>
      <c r="W11" s="84">
        <f>TrRoad_act!W65</f>
        <v>2655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19</v>
      </c>
      <c r="N12" s="84">
        <f>TrRoad_act!N66</f>
        <v>20</v>
      </c>
      <c r="O12" s="84">
        <f>TrRoad_act!O66</f>
        <v>25</v>
      </c>
      <c r="P12" s="84">
        <f>TrRoad_act!P66</f>
        <v>113</v>
      </c>
      <c r="Q12" s="84">
        <f>TrRoad_act!Q66</f>
        <v>137</v>
      </c>
      <c r="R12" s="84">
        <f>TrRoad_act!R66</f>
        <v>198</v>
      </c>
      <c r="S12" s="84">
        <f>TrRoad_act!S66</f>
        <v>398</v>
      </c>
      <c r="T12" s="84">
        <f>TrRoad_act!T66</f>
        <v>795</v>
      </c>
      <c r="U12" s="84">
        <f>TrRoad_act!U66</f>
        <v>956</v>
      </c>
      <c r="V12" s="84">
        <f>TrRoad_act!V66</f>
        <v>1863</v>
      </c>
      <c r="W12" s="84">
        <f>TrRoad_act!W66</f>
        <v>2999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11149</v>
      </c>
      <c r="C13" s="110">
        <f>TrRoad_act!C67</f>
        <v>10889</v>
      </c>
      <c r="D13" s="110">
        <f>TrRoad_act!D67</f>
        <v>10834</v>
      </c>
      <c r="E13" s="110">
        <f>TrRoad_act!E67</f>
        <v>10852</v>
      </c>
      <c r="F13" s="110">
        <f>TrRoad_act!F67</f>
        <v>9202</v>
      </c>
      <c r="G13" s="110">
        <f>TrRoad_act!G67</f>
        <v>9392</v>
      </c>
      <c r="H13" s="110">
        <f>TrRoad_act!H67</f>
        <v>9070</v>
      </c>
      <c r="I13" s="110">
        <f>TrRoad_act!I67</f>
        <v>10759</v>
      </c>
      <c r="J13" s="110">
        <f>TrRoad_act!J67</f>
        <v>10804</v>
      </c>
      <c r="K13" s="110">
        <f>TrRoad_act!K67</f>
        <v>9667</v>
      </c>
      <c r="L13" s="110">
        <f>TrRoad_act!L67</f>
        <v>9616</v>
      </c>
      <c r="M13" s="110">
        <f>TrRoad_act!M67</f>
        <v>9342</v>
      </c>
      <c r="N13" s="110">
        <f>TrRoad_act!N67</f>
        <v>9226</v>
      </c>
      <c r="O13" s="110">
        <f>TrRoad_act!O67</f>
        <v>9071</v>
      </c>
      <c r="P13" s="110">
        <f>TrRoad_act!P67</f>
        <v>9159</v>
      </c>
      <c r="Q13" s="110">
        <f>TrRoad_act!Q67</f>
        <v>9270</v>
      </c>
      <c r="R13" s="110">
        <f>TrRoad_act!R67</f>
        <v>9091</v>
      </c>
      <c r="S13" s="110">
        <f>TrRoad_act!S67</f>
        <v>9241</v>
      </c>
      <c r="T13" s="110">
        <f>TrRoad_act!T67</f>
        <v>9363</v>
      </c>
      <c r="U13" s="110">
        <f>TrRoad_act!U67</f>
        <v>9262</v>
      </c>
      <c r="V13" s="110">
        <f>TrRoad_act!V67</f>
        <v>8164</v>
      </c>
      <c r="W13" s="110">
        <f>TrRoad_act!W67</f>
        <v>8370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0</v>
      </c>
      <c r="K14" s="102">
        <f>TrRoad_act!K68</f>
        <v>0</v>
      </c>
      <c r="L14" s="102">
        <f>TrRoad_act!L68</f>
        <v>0</v>
      </c>
      <c r="M14" s="102">
        <f>TrRoad_act!M68</f>
        <v>0</v>
      </c>
      <c r="N14" s="102">
        <f>TrRoad_act!N68</f>
        <v>0</v>
      </c>
      <c r="O14" s="102">
        <f>TrRoad_act!O68</f>
        <v>0</v>
      </c>
      <c r="P14" s="102">
        <f>TrRoad_act!P68</f>
        <v>0</v>
      </c>
      <c r="Q14" s="102">
        <f>TrRoad_act!Q68</f>
        <v>0</v>
      </c>
      <c r="R14" s="102">
        <f>TrRoad_act!R68</f>
        <v>0</v>
      </c>
      <c r="S14" s="102">
        <f>TrRoad_act!S68</f>
        <v>0</v>
      </c>
      <c r="T14" s="102">
        <f>TrRoad_act!T68</f>
        <v>0</v>
      </c>
      <c r="U14" s="102">
        <f>TrRoad_act!U68</f>
        <v>0</v>
      </c>
      <c r="V14" s="102">
        <f>TrRoad_act!V68</f>
        <v>0</v>
      </c>
      <c r="W14" s="102">
        <f>TrRoad_act!W68</f>
        <v>0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11149</v>
      </c>
      <c r="C15" s="102">
        <f>TrRoad_act!C69</f>
        <v>10889</v>
      </c>
      <c r="D15" s="102">
        <f>TrRoad_act!D69</f>
        <v>10834</v>
      </c>
      <c r="E15" s="102">
        <f>TrRoad_act!E69</f>
        <v>10852</v>
      </c>
      <c r="F15" s="102">
        <f>TrRoad_act!F69</f>
        <v>9202</v>
      </c>
      <c r="G15" s="102">
        <f>TrRoad_act!G69</f>
        <v>9392</v>
      </c>
      <c r="H15" s="102">
        <f>TrRoad_act!H69</f>
        <v>9070</v>
      </c>
      <c r="I15" s="102">
        <f>TrRoad_act!I69</f>
        <v>10759</v>
      </c>
      <c r="J15" s="102">
        <f>TrRoad_act!J69</f>
        <v>10804</v>
      </c>
      <c r="K15" s="102">
        <f>TrRoad_act!K69</f>
        <v>9667</v>
      </c>
      <c r="L15" s="102">
        <f>TrRoad_act!L69</f>
        <v>9500</v>
      </c>
      <c r="M15" s="102">
        <f>TrRoad_act!M69</f>
        <v>9074</v>
      </c>
      <c r="N15" s="102">
        <f>TrRoad_act!N69</f>
        <v>8957</v>
      </c>
      <c r="O15" s="102">
        <f>TrRoad_act!O69</f>
        <v>8806</v>
      </c>
      <c r="P15" s="102">
        <f>TrRoad_act!P69</f>
        <v>8798</v>
      </c>
      <c r="Q15" s="102">
        <f>TrRoad_act!Q69</f>
        <v>8819</v>
      </c>
      <c r="R15" s="102">
        <f>TrRoad_act!R69</f>
        <v>8300</v>
      </c>
      <c r="S15" s="102">
        <f>TrRoad_act!S69</f>
        <v>8383</v>
      </c>
      <c r="T15" s="102">
        <f>TrRoad_act!T69</f>
        <v>8459</v>
      </c>
      <c r="U15" s="102">
        <f>TrRoad_act!U69</f>
        <v>8321</v>
      </c>
      <c r="V15" s="102">
        <f>TrRoad_act!V69</f>
        <v>7206</v>
      </c>
      <c r="W15" s="102">
        <f>TrRoad_act!W69</f>
        <v>7413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0</v>
      </c>
      <c r="R17" s="102">
        <f>TrRoad_act!R71</f>
        <v>258</v>
      </c>
      <c r="S17" s="102">
        <f>TrRoad_act!S71</f>
        <v>253</v>
      </c>
      <c r="T17" s="102">
        <f>TrRoad_act!T71</f>
        <v>240</v>
      </c>
      <c r="U17" s="102">
        <f>TrRoad_act!U71</f>
        <v>235</v>
      </c>
      <c r="V17" s="102">
        <f>TrRoad_act!V71</f>
        <v>230</v>
      </c>
      <c r="W17" s="102">
        <f>TrRoad_act!W71</f>
        <v>230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116</v>
      </c>
      <c r="M18" s="102">
        <f>TrRoad_act!M72</f>
        <v>268</v>
      </c>
      <c r="N18" s="102">
        <f>TrRoad_act!N72</f>
        <v>269</v>
      </c>
      <c r="O18" s="102">
        <f>TrRoad_act!O72</f>
        <v>265</v>
      </c>
      <c r="P18" s="102">
        <f>TrRoad_act!P72</f>
        <v>361</v>
      </c>
      <c r="Q18" s="102">
        <f>TrRoad_act!Q72</f>
        <v>451</v>
      </c>
      <c r="R18" s="102">
        <f>TrRoad_act!R72</f>
        <v>533</v>
      </c>
      <c r="S18" s="102">
        <f>TrRoad_act!S72</f>
        <v>605</v>
      </c>
      <c r="T18" s="102">
        <f>TrRoad_act!T72</f>
        <v>664</v>
      </c>
      <c r="U18" s="102">
        <f>TrRoad_act!U72</f>
        <v>706</v>
      </c>
      <c r="V18" s="102">
        <f>TrRoad_act!V72</f>
        <v>728</v>
      </c>
      <c r="W18" s="102">
        <f>TrRoad_act!W72</f>
        <v>727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118003</v>
      </c>
      <c r="C19" s="28">
        <f>TrRoad_act!C73</f>
        <v>121666</v>
      </c>
      <c r="D19" s="28">
        <f>TrRoad_act!D73</f>
        <v>130207</v>
      </c>
      <c r="E19" s="28">
        <f>TrRoad_act!E73</f>
        <v>141154</v>
      </c>
      <c r="F19" s="28">
        <f>TrRoad_act!F73</f>
        <v>141890</v>
      </c>
      <c r="G19" s="28">
        <f>TrRoad_act!G73</f>
        <v>160818</v>
      </c>
      <c r="H19" s="28">
        <f>TrRoad_act!H73</f>
        <v>176420</v>
      </c>
      <c r="I19" s="28">
        <f>TrRoad_act!I73</f>
        <v>201419</v>
      </c>
      <c r="J19" s="28">
        <f>TrRoad_act!J73</f>
        <v>231106</v>
      </c>
      <c r="K19" s="28">
        <f>TrRoad_act!K73</f>
        <v>251991</v>
      </c>
      <c r="L19" s="28">
        <f>TrRoad_act!L73</f>
        <v>258907</v>
      </c>
      <c r="M19" s="28">
        <f>TrRoad_act!M73</f>
        <v>264058</v>
      </c>
      <c r="N19" s="28">
        <f>TrRoad_act!N73</f>
        <v>268849</v>
      </c>
      <c r="O19" s="28">
        <f>TrRoad_act!O73</f>
        <v>272072</v>
      </c>
      <c r="P19" s="28">
        <f>TrRoad_act!P73</f>
        <v>275280</v>
      </c>
      <c r="Q19" s="28">
        <f>TrRoad_act!Q73</f>
        <v>285669</v>
      </c>
      <c r="R19" s="28">
        <f>TrRoad_act!R73</f>
        <v>289395</v>
      </c>
      <c r="S19" s="28">
        <f>TrRoad_act!S73</f>
        <v>294512</v>
      </c>
      <c r="T19" s="28">
        <f>TrRoad_act!T73</f>
        <v>285400</v>
      </c>
      <c r="U19" s="28">
        <f>TrRoad_act!U73</f>
        <v>297711</v>
      </c>
      <c r="V19" s="28">
        <f>TrRoad_act!V73</f>
        <v>299430</v>
      </c>
      <c r="W19" s="28">
        <f>TrRoad_act!W73</f>
        <v>294155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107015</v>
      </c>
      <c r="C20" s="137">
        <f>TrRoad_act!C74</f>
        <v>107197</v>
      </c>
      <c r="D20" s="137">
        <f>TrRoad_act!D74</f>
        <v>107525</v>
      </c>
      <c r="E20" s="137">
        <f>TrRoad_act!E74</f>
        <v>109025</v>
      </c>
      <c r="F20" s="137">
        <f>TrRoad_act!F74</f>
        <v>118776</v>
      </c>
      <c r="G20" s="137">
        <f>TrRoad_act!G74</f>
        <v>129411</v>
      </c>
      <c r="H20" s="137">
        <f>TrRoad_act!H74</f>
        <v>132517</v>
      </c>
      <c r="I20" s="137">
        <f>TrRoad_act!I74</f>
        <v>149494</v>
      </c>
      <c r="J20" s="137">
        <f>TrRoad_act!J74</f>
        <v>159281</v>
      </c>
      <c r="K20" s="137">
        <f>TrRoad_act!K74</f>
        <v>173814</v>
      </c>
      <c r="L20" s="137">
        <f>TrRoad_act!L74</f>
        <v>176788</v>
      </c>
      <c r="M20" s="137">
        <f>TrRoad_act!M74</f>
        <v>178896</v>
      </c>
      <c r="N20" s="137">
        <f>TrRoad_act!N74</f>
        <v>183879</v>
      </c>
      <c r="O20" s="137">
        <f>TrRoad_act!O74</f>
        <v>166323</v>
      </c>
      <c r="P20" s="137">
        <f>TrRoad_act!P74</f>
        <v>147092</v>
      </c>
      <c r="Q20" s="137">
        <f>TrRoad_act!Q74</f>
        <v>166067</v>
      </c>
      <c r="R20" s="137">
        <f>TrRoad_act!R74</f>
        <v>155800</v>
      </c>
      <c r="S20" s="137">
        <f>TrRoad_act!S74</f>
        <v>153916</v>
      </c>
      <c r="T20" s="137">
        <f>TrRoad_act!T74</f>
        <v>149914</v>
      </c>
      <c r="U20" s="137">
        <f>TrRoad_act!U74</f>
        <v>146085</v>
      </c>
      <c r="V20" s="137">
        <f>TrRoad_act!V74</f>
        <v>146404</v>
      </c>
      <c r="W20" s="137">
        <f>TrRoad_act!W74</f>
        <v>146450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39970</v>
      </c>
      <c r="C21" s="84">
        <f>TrRoad_act!C75</f>
        <v>39993</v>
      </c>
      <c r="D21" s="84">
        <f>TrRoad_act!D75</f>
        <v>40050</v>
      </c>
      <c r="E21" s="84">
        <f>TrRoad_act!E75</f>
        <v>40192</v>
      </c>
      <c r="F21" s="84">
        <f>TrRoad_act!F75</f>
        <v>50553</v>
      </c>
      <c r="G21" s="84">
        <f>TrRoad_act!G75</f>
        <v>51476</v>
      </c>
      <c r="H21" s="84">
        <f>TrRoad_act!H75</f>
        <v>53933</v>
      </c>
      <c r="I21" s="84">
        <f>TrRoad_act!I75</f>
        <v>58112</v>
      </c>
      <c r="J21" s="84">
        <f>TrRoad_act!J75</f>
        <v>60446</v>
      </c>
      <c r="K21" s="84">
        <f>TrRoad_act!K75</f>
        <v>61486</v>
      </c>
      <c r="L21" s="84">
        <f>TrRoad_act!L75</f>
        <v>48449</v>
      </c>
      <c r="M21" s="84">
        <f>TrRoad_act!M75</f>
        <v>49460</v>
      </c>
      <c r="N21" s="84">
        <f>TrRoad_act!N75</f>
        <v>50192</v>
      </c>
      <c r="O21" s="84">
        <f>TrRoad_act!O75</f>
        <v>50793</v>
      </c>
      <c r="P21" s="84">
        <f>TrRoad_act!P75</f>
        <v>46574</v>
      </c>
      <c r="Q21" s="84">
        <f>TrRoad_act!Q75</f>
        <v>52552</v>
      </c>
      <c r="R21" s="84">
        <f>TrRoad_act!R75</f>
        <v>58700</v>
      </c>
      <c r="S21" s="84">
        <f>TrRoad_act!S75</f>
        <v>52570</v>
      </c>
      <c r="T21" s="84">
        <f>TrRoad_act!T75</f>
        <v>50135</v>
      </c>
      <c r="U21" s="84">
        <f>TrRoad_act!U75</f>
        <v>42809</v>
      </c>
      <c r="V21" s="84">
        <f>TrRoad_act!V75</f>
        <v>42809</v>
      </c>
      <c r="W21" s="84">
        <f>TrRoad_act!W75</f>
        <v>42811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67045</v>
      </c>
      <c r="C22" s="84">
        <f>TrRoad_act!C76</f>
        <v>67204</v>
      </c>
      <c r="D22" s="84">
        <f>TrRoad_act!D76</f>
        <v>67475</v>
      </c>
      <c r="E22" s="84">
        <f>TrRoad_act!E76</f>
        <v>68833</v>
      </c>
      <c r="F22" s="84">
        <f>TrRoad_act!F76</f>
        <v>68223</v>
      </c>
      <c r="G22" s="84">
        <f>TrRoad_act!G76</f>
        <v>77935</v>
      </c>
      <c r="H22" s="84">
        <f>TrRoad_act!H76</f>
        <v>78584</v>
      </c>
      <c r="I22" s="84">
        <f>TrRoad_act!I76</f>
        <v>91382</v>
      </c>
      <c r="J22" s="84">
        <f>TrRoad_act!J76</f>
        <v>98835</v>
      </c>
      <c r="K22" s="84">
        <f>TrRoad_act!K76</f>
        <v>112328</v>
      </c>
      <c r="L22" s="84">
        <f>TrRoad_act!L76</f>
        <v>128339</v>
      </c>
      <c r="M22" s="84">
        <f>TrRoad_act!M76</f>
        <v>129436</v>
      </c>
      <c r="N22" s="84">
        <f>TrRoad_act!N76</f>
        <v>133675</v>
      </c>
      <c r="O22" s="84">
        <f>TrRoad_act!O76</f>
        <v>115514</v>
      </c>
      <c r="P22" s="84">
        <f>TrRoad_act!P76</f>
        <v>97907</v>
      </c>
      <c r="Q22" s="84">
        <f>TrRoad_act!Q76</f>
        <v>110900</v>
      </c>
      <c r="R22" s="84">
        <f>TrRoad_act!R76</f>
        <v>94027</v>
      </c>
      <c r="S22" s="84">
        <f>TrRoad_act!S76</f>
        <v>98121</v>
      </c>
      <c r="T22" s="84">
        <f>TrRoad_act!T76</f>
        <v>96240</v>
      </c>
      <c r="U22" s="84">
        <f>TrRoad_act!U76</f>
        <v>99491</v>
      </c>
      <c r="V22" s="84">
        <f>TrRoad_act!V76</f>
        <v>99491</v>
      </c>
      <c r="W22" s="84">
        <f>TrRoad_act!W76</f>
        <v>99491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7</v>
      </c>
      <c r="O23" s="84">
        <f>TrRoad_act!O77</f>
        <v>5</v>
      </c>
      <c r="P23" s="84">
        <f>TrRoad_act!P77</f>
        <v>2600</v>
      </c>
      <c r="Q23" s="84">
        <f>TrRoad_act!Q77</f>
        <v>2600</v>
      </c>
      <c r="R23" s="84">
        <f>TrRoad_act!R77</f>
        <v>2866</v>
      </c>
      <c r="S23" s="84">
        <f>TrRoad_act!S77</f>
        <v>2994</v>
      </c>
      <c r="T23" s="84">
        <f>TrRoad_act!T77</f>
        <v>3125</v>
      </c>
      <c r="U23" s="84">
        <f>TrRoad_act!U77</f>
        <v>3300</v>
      </c>
      <c r="V23" s="84">
        <f>TrRoad_act!V77</f>
        <v>3400</v>
      </c>
      <c r="W23" s="84">
        <f>TrRoad_act!W77</f>
        <v>3400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5</v>
      </c>
      <c r="O24" s="84">
        <f>TrRoad_act!O78</f>
        <v>9</v>
      </c>
      <c r="P24" s="84">
        <f>TrRoad_act!P78</f>
        <v>7</v>
      </c>
      <c r="Q24" s="84">
        <f>TrRoad_act!Q78</f>
        <v>9</v>
      </c>
      <c r="R24" s="84">
        <f>TrRoad_act!R78</f>
        <v>195</v>
      </c>
      <c r="S24" s="84">
        <f>TrRoad_act!S78</f>
        <v>204</v>
      </c>
      <c r="T24" s="84">
        <f>TrRoad_act!T78</f>
        <v>334</v>
      </c>
      <c r="U24" s="84">
        <f>TrRoad_act!U78</f>
        <v>400</v>
      </c>
      <c r="V24" s="84">
        <f>TrRoad_act!V78</f>
        <v>600</v>
      </c>
      <c r="W24" s="84">
        <f>TrRoad_act!W78</f>
        <v>600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0</v>
      </c>
      <c r="O25" s="84">
        <f>TrRoad_act!O79</f>
        <v>2</v>
      </c>
      <c r="P25" s="84">
        <f>TrRoad_act!P79</f>
        <v>4</v>
      </c>
      <c r="Q25" s="84">
        <f>TrRoad_act!Q79</f>
        <v>6</v>
      </c>
      <c r="R25" s="84">
        <f>TrRoad_act!R79</f>
        <v>12</v>
      </c>
      <c r="S25" s="84">
        <f>TrRoad_act!S79</f>
        <v>27</v>
      </c>
      <c r="T25" s="84">
        <f>TrRoad_act!T79</f>
        <v>80</v>
      </c>
      <c r="U25" s="84">
        <f>TrRoad_act!U79</f>
        <v>85</v>
      </c>
      <c r="V25" s="84">
        <f>TrRoad_act!V79</f>
        <v>104</v>
      </c>
      <c r="W25" s="84">
        <f>TrRoad_act!W79</f>
        <v>148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10988</v>
      </c>
      <c r="C26" s="110">
        <f>TrRoad_act!C80</f>
        <v>14469</v>
      </c>
      <c r="D26" s="110">
        <f>TrRoad_act!D80</f>
        <v>22682</v>
      </c>
      <c r="E26" s="110">
        <f>TrRoad_act!E80</f>
        <v>32129</v>
      </c>
      <c r="F26" s="110">
        <f>TrRoad_act!F80</f>
        <v>23114</v>
      </c>
      <c r="G26" s="110">
        <f>TrRoad_act!G80</f>
        <v>31407</v>
      </c>
      <c r="H26" s="110">
        <f>TrRoad_act!H80</f>
        <v>43903</v>
      </c>
      <c r="I26" s="110">
        <f>TrRoad_act!I80</f>
        <v>51925</v>
      </c>
      <c r="J26" s="110">
        <f>TrRoad_act!J80</f>
        <v>71825</v>
      </c>
      <c r="K26" s="110">
        <f>TrRoad_act!K80</f>
        <v>78177</v>
      </c>
      <c r="L26" s="110">
        <f>TrRoad_act!L80</f>
        <v>82119</v>
      </c>
      <c r="M26" s="110">
        <f>TrRoad_act!M80</f>
        <v>85162</v>
      </c>
      <c r="N26" s="110">
        <f>TrRoad_act!N80</f>
        <v>84970</v>
      </c>
      <c r="O26" s="110">
        <f>TrRoad_act!O80</f>
        <v>105749</v>
      </c>
      <c r="P26" s="110">
        <f>TrRoad_act!P80</f>
        <v>128188</v>
      </c>
      <c r="Q26" s="110">
        <f>TrRoad_act!Q80</f>
        <v>119602</v>
      </c>
      <c r="R26" s="110">
        <f>TrRoad_act!R80</f>
        <v>133595</v>
      </c>
      <c r="S26" s="110">
        <f>TrRoad_act!S80</f>
        <v>140596</v>
      </c>
      <c r="T26" s="110">
        <f>TrRoad_act!T80</f>
        <v>135486</v>
      </c>
      <c r="U26" s="110">
        <f>TrRoad_act!U80</f>
        <v>151626</v>
      </c>
      <c r="V26" s="110">
        <f>TrRoad_act!V80</f>
        <v>153026</v>
      </c>
      <c r="W26" s="110">
        <f>TrRoad_act!W80</f>
        <v>147705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8066</v>
      </c>
      <c r="C27" s="102">
        <f>TrRoad_act!C81</f>
        <v>11336</v>
      </c>
      <c r="D27" s="102">
        <f>TrRoad_act!D81</f>
        <v>19386</v>
      </c>
      <c r="E27" s="102">
        <f>TrRoad_act!E81</f>
        <v>28760</v>
      </c>
      <c r="F27" s="102">
        <f>TrRoad_act!F81</f>
        <v>19131</v>
      </c>
      <c r="G27" s="102">
        <f>TrRoad_act!G81</f>
        <v>27283</v>
      </c>
      <c r="H27" s="102">
        <f>TrRoad_act!H81</f>
        <v>39564</v>
      </c>
      <c r="I27" s="102">
        <f>TrRoad_act!I81</f>
        <v>46469</v>
      </c>
      <c r="J27" s="102">
        <f>TrRoad_act!J81</f>
        <v>66453</v>
      </c>
      <c r="K27" s="102">
        <f>TrRoad_act!K81</f>
        <v>72961</v>
      </c>
      <c r="L27" s="102">
        <f>TrRoad_act!L81</f>
        <v>76661</v>
      </c>
      <c r="M27" s="102">
        <f>TrRoad_act!M81</f>
        <v>79297</v>
      </c>
      <c r="N27" s="102">
        <f>TrRoad_act!N81</f>
        <v>79019</v>
      </c>
      <c r="O27" s="102">
        <f>TrRoad_act!O81</f>
        <v>99304</v>
      </c>
      <c r="P27" s="102">
        <f>TrRoad_act!P81</f>
        <v>121625</v>
      </c>
      <c r="Q27" s="102">
        <f>TrRoad_act!Q81</f>
        <v>112368</v>
      </c>
      <c r="R27" s="102">
        <f>TrRoad_act!R81</f>
        <v>125799</v>
      </c>
      <c r="S27" s="102">
        <f>TrRoad_act!S81</f>
        <v>132193</v>
      </c>
      <c r="T27" s="102">
        <f>TrRoad_act!T81</f>
        <v>127139</v>
      </c>
      <c r="U27" s="102">
        <f>TrRoad_act!U81</f>
        <v>142901</v>
      </c>
      <c r="V27" s="102">
        <f>TrRoad_act!V81</f>
        <v>144552</v>
      </c>
      <c r="W27" s="102">
        <f>TrRoad_act!W81</f>
        <v>139147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2922</v>
      </c>
      <c r="C28" s="86">
        <f>TrRoad_act!C82</f>
        <v>3133</v>
      </c>
      <c r="D28" s="86">
        <f>TrRoad_act!D82</f>
        <v>3296</v>
      </c>
      <c r="E28" s="86">
        <f>TrRoad_act!E82</f>
        <v>3369</v>
      </c>
      <c r="F28" s="86">
        <f>TrRoad_act!F82</f>
        <v>3983</v>
      </c>
      <c r="G28" s="86">
        <f>TrRoad_act!G82</f>
        <v>4124</v>
      </c>
      <c r="H28" s="86">
        <f>TrRoad_act!H82</f>
        <v>4339</v>
      </c>
      <c r="I28" s="86">
        <f>TrRoad_act!I82</f>
        <v>5456</v>
      </c>
      <c r="J28" s="86">
        <f>TrRoad_act!J82</f>
        <v>5372</v>
      </c>
      <c r="K28" s="86">
        <f>TrRoad_act!K82</f>
        <v>5216</v>
      </c>
      <c r="L28" s="86">
        <f>TrRoad_act!L82</f>
        <v>5458</v>
      </c>
      <c r="M28" s="86">
        <f>TrRoad_act!M82</f>
        <v>5865</v>
      </c>
      <c r="N28" s="86">
        <f>TrRoad_act!N82</f>
        <v>5951</v>
      </c>
      <c r="O28" s="86">
        <f>TrRoad_act!O82</f>
        <v>6445</v>
      </c>
      <c r="P28" s="86">
        <f>TrRoad_act!P82</f>
        <v>6563</v>
      </c>
      <c r="Q28" s="86">
        <f>TrRoad_act!Q82</f>
        <v>7234</v>
      </c>
      <c r="R28" s="86">
        <f>TrRoad_act!R82</f>
        <v>7796</v>
      </c>
      <c r="S28" s="86">
        <f>TrRoad_act!S82</f>
        <v>8403</v>
      </c>
      <c r="T28" s="86">
        <f>TrRoad_act!T82</f>
        <v>8347</v>
      </c>
      <c r="U28" s="86">
        <f>TrRoad_act!U82</f>
        <v>8725</v>
      </c>
      <c r="V28" s="86">
        <f>TrRoad_act!V82</f>
        <v>8474</v>
      </c>
      <c r="W28" s="86">
        <f>TrRoad_act!W82</f>
        <v>8558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82511</v>
      </c>
      <c r="C30" s="54">
        <f>TrRoad_act!C111</f>
        <v>103542</v>
      </c>
      <c r="D30" s="54">
        <f>TrRoad_act!D111</f>
        <v>99878</v>
      </c>
      <c r="E30" s="54">
        <f>TrRoad_act!E111</f>
        <v>104431</v>
      </c>
      <c r="F30" s="54">
        <f>TrRoad_act!F111</f>
        <v>40760</v>
      </c>
      <c r="G30" s="54">
        <f>TrRoad_act!G111</f>
        <v>94241</v>
      </c>
      <c r="H30" s="54">
        <f>TrRoad_act!H111</f>
        <v>131673</v>
      </c>
      <c r="I30" s="54">
        <f>TrRoad_act!I111</f>
        <v>223330</v>
      </c>
      <c r="J30" s="54">
        <f>TrRoad_act!J111</f>
        <v>244019</v>
      </c>
      <c r="K30" s="54">
        <f>TrRoad_act!K111</f>
        <v>176161</v>
      </c>
      <c r="L30" s="54">
        <f>TrRoad_act!L111</f>
        <v>209741</v>
      </c>
      <c r="M30" s="54">
        <f>TrRoad_act!M111</f>
        <v>200093</v>
      </c>
      <c r="N30" s="54">
        <f>TrRoad_act!N111</f>
        <v>199115</v>
      </c>
      <c r="O30" s="54">
        <f>TrRoad_act!O111</f>
        <v>197301</v>
      </c>
      <c r="P30" s="54">
        <f>TrRoad_act!P111</f>
        <v>215637</v>
      </c>
      <c r="Q30" s="54">
        <f>TrRoad_act!Q111</f>
        <v>228707</v>
      </c>
      <c r="R30" s="54">
        <f>TrRoad_act!R111</f>
        <v>243846</v>
      </c>
      <c r="S30" s="54">
        <f>TrRoad_act!S111</f>
        <v>213556</v>
      </c>
      <c r="T30" s="54">
        <f>TrRoad_act!T111</f>
        <v>204370</v>
      </c>
      <c r="U30" s="54">
        <f>TrRoad_act!U111</f>
        <v>204756</v>
      </c>
      <c r="V30" s="54">
        <f>TrRoad_act!V111</f>
        <v>170271</v>
      </c>
      <c r="W30" s="54">
        <f>TrRoad_act!W111</f>
        <v>230054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82219</v>
      </c>
      <c r="C31" s="28">
        <f>TrRoad_act!C112</f>
        <v>94501</v>
      </c>
      <c r="D31" s="28">
        <f>TrRoad_act!D112</f>
        <v>85181</v>
      </c>
      <c r="E31" s="28">
        <f>TrRoad_act!E112</f>
        <v>86604</v>
      </c>
      <c r="F31" s="28">
        <f>TrRoad_act!F112</f>
        <v>22565</v>
      </c>
      <c r="G31" s="28">
        <f>TrRoad_act!G112</f>
        <v>67158</v>
      </c>
      <c r="H31" s="28">
        <f>TrRoad_act!H112</f>
        <v>107339</v>
      </c>
      <c r="I31" s="28">
        <f>TrRoad_act!I112</f>
        <v>189087</v>
      </c>
      <c r="J31" s="28">
        <f>TrRoad_act!J112</f>
        <v>204611</v>
      </c>
      <c r="K31" s="28">
        <f>TrRoad_act!K112</f>
        <v>145105</v>
      </c>
      <c r="L31" s="28">
        <f>TrRoad_act!L112</f>
        <v>181711</v>
      </c>
      <c r="M31" s="28">
        <f>TrRoad_act!M112</f>
        <v>185226</v>
      </c>
      <c r="N31" s="28">
        <f>TrRoad_act!N112</f>
        <v>184370</v>
      </c>
      <c r="O31" s="28">
        <f>TrRoad_act!O112</f>
        <v>167707</v>
      </c>
      <c r="P31" s="28">
        <f>TrRoad_act!P112</f>
        <v>183409</v>
      </c>
      <c r="Q31" s="28">
        <f>TrRoad_act!Q112</f>
        <v>203507</v>
      </c>
      <c r="R31" s="28">
        <f>TrRoad_act!R112</f>
        <v>210521</v>
      </c>
      <c r="S31" s="28">
        <f>TrRoad_act!S112</f>
        <v>192077</v>
      </c>
      <c r="T31" s="28">
        <f>TrRoad_act!T112</f>
        <v>193575</v>
      </c>
      <c r="U31" s="28">
        <f>TrRoad_act!U112</f>
        <v>176666</v>
      </c>
      <c r="V31" s="28">
        <f>TrRoad_act!V112</f>
        <v>156766</v>
      </c>
      <c r="W31" s="28">
        <f>TrRoad_act!W112</f>
        <v>218584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0</v>
      </c>
      <c r="C32" s="137">
        <f>TrRoad_act!C113</f>
        <v>2280</v>
      </c>
      <c r="D32" s="137">
        <f>TrRoad_act!D113</f>
        <v>2559</v>
      </c>
      <c r="E32" s="137">
        <f>TrRoad_act!E113</f>
        <v>2032</v>
      </c>
      <c r="F32" s="137">
        <f>TrRoad_act!F113</f>
        <v>5319</v>
      </c>
      <c r="G32" s="137">
        <f>TrRoad_act!G113</f>
        <v>6875</v>
      </c>
      <c r="H32" s="137">
        <f>TrRoad_act!H113</f>
        <v>3431</v>
      </c>
      <c r="I32" s="137">
        <f>TrRoad_act!I113</f>
        <v>8868</v>
      </c>
      <c r="J32" s="137">
        <f>TrRoad_act!J113</f>
        <v>9814</v>
      </c>
      <c r="K32" s="137">
        <f>TrRoad_act!K113</f>
        <v>12637</v>
      </c>
      <c r="L32" s="137">
        <f>TrRoad_act!L113</f>
        <v>9615</v>
      </c>
      <c r="M32" s="137">
        <f>TrRoad_act!M113</f>
        <v>9600</v>
      </c>
      <c r="N32" s="137">
        <f>TrRoad_act!N113</f>
        <v>9452</v>
      </c>
      <c r="O32" s="137">
        <f>TrRoad_act!O113</f>
        <v>10498</v>
      </c>
      <c r="P32" s="137">
        <f>TrRoad_act!P113</f>
        <v>11156</v>
      </c>
      <c r="Q32" s="137">
        <f>TrRoad_act!Q113</f>
        <v>12787</v>
      </c>
      <c r="R32" s="137">
        <f>TrRoad_act!R113</f>
        <v>9726</v>
      </c>
      <c r="S32" s="137">
        <f>TrRoad_act!S113</f>
        <v>12067</v>
      </c>
      <c r="T32" s="137">
        <f>TrRoad_act!T113</f>
        <v>12158</v>
      </c>
      <c r="U32" s="137">
        <f>TrRoad_act!U113</f>
        <v>12176</v>
      </c>
      <c r="V32" s="137">
        <f>TrRoad_act!V113</f>
        <v>12181</v>
      </c>
      <c r="W32" s="137">
        <f>TrRoad_act!W113</f>
        <v>13323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81947</v>
      </c>
      <c r="C33" s="110">
        <f>TrRoad_act!C114</f>
        <v>91895</v>
      </c>
      <c r="D33" s="110">
        <f>TrRoad_act!D114</f>
        <v>82271</v>
      </c>
      <c r="E33" s="110">
        <f>TrRoad_act!E114</f>
        <v>84240</v>
      </c>
      <c r="F33" s="110">
        <f>TrRoad_act!F114</f>
        <v>16914</v>
      </c>
      <c r="G33" s="110">
        <f>TrRoad_act!G114</f>
        <v>59925</v>
      </c>
      <c r="H33" s="110">
        <f>TrRoad_act!H114</f>
        <v>103388</v>
      </c>
      <c r="I33" s="110">
        <f>TrRoad_act!I114</f>
        <v>178530</v>
      </c>
      <c r="J33" s="110">
        <f>TrRoad_act!J114</f>
        <v>193931</v>
      </c>
      <c r="K33" s="110">
        <f>TrRoad_act!K114</f>
        <v>131458</v>
      </c>
      <c r="L33" s="110">
        <f>TrRoad_act!L114</f>
        <v>171278</v>
      </c>
      <c r="M33" s="110">
        <f>TrRoad_act!M114</f>
        <v>175019</v>
      </c>
      <c r="N33" s="110">
        <f>TrRoad_act!N114</f>
        <v>174348</v>
      </c>
      <c r="O33" s="110">
        <f>TrRoad_act!O114</f>
        <v>156915</v>
      </c>
      <c r="P33" s="110">
        <f>TrRoad_act!P114</f>
        <v>171800</v>
      </c>
      <c r="Q33" s="110">
        <f>TrRoad_act!Q114</f>
        <v>190345</v>
      </c>
      <c r="R33" s="110">
        <f>TrRoad_act!R114</f>
        <v>200427</v>
      </c>
      <c r="S33" s="110">
        <f>TrRoad_act!S114</f>
        <v>179609</v>
      </c>
      <c r="T33" s="110">
        <f>TrRoad_act!T114</f>
        <v>181061</v>
      </c>
      <c r="U33" s="110">
        <f>TrRoad_act!U114</f>
        <v>164182</v>
      </c>
      <c r="V33" s="110">
        <f>TrRoad_act!V114</f>
        <v>144288</v>
      </c>
      <c r="W33" s="110">
        <f>TrRoad_act!W114</f>
        <v>204728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53880</v>
      </c>
      <c r="C34" s="84">
        <f>TrRoad_act!C115</f>
        <v>62874</v>
      </c>
      <c r="D34" s="84">
        <f>TrRoad_act!D115</f>
        <v>39300</v>
      </c>
      <c r="E34" s="84">
        <f>TrRoad_act!E115</f>
        <v>51630</v>
      </c>
      <c r="F34" s="84">
        <f>TrRoad_act!F115</f>
        <v>0</v>
      </c>
      <c r="G34" s="84">
        <f>TrRoad_act!G115</f>
        <v>42677</v>
      </c>
      <c r="H34" s="84">
        <f>TrRoad_act!H115</f>
        <v>75362</v>
      </c>
      <c r="I34" s="84">
        <f>TrRoad_act!I115</f>
        <v>126113</v>
      </c>
      <c r="J34" s="84">
        <f>TrRoad_act!J115</f>
        <v>149974</v>
      </c>
      <c r="K34" s="84">
        <f>TrRoad_act!K115</f>
        <v>95947</v>
      </c>
      <c r="L34" s="84">
        <f>TrRoad_act!L115</f>
        <v>132441</v>
      </c>
      <c r="M34" s="84">
        <f>TrRoad_act!M115</f>
        <v>94187</v>
      </c>
      <c r="N34" s="84">
        <f>TrRoad_act!N115</f>
        <v>130956</v>
      </c>
      <c r="O34" s="84">
        <f>TrRoad_act!O115</f>
        <v>121250</v>
      </c>
      <c r="P34" s="84">
        <f>TrRoad_act!P115</f>
        <v>122616</v>
      </c>
      <c r="Q34" s="84">
        <f>TrRoad_act!Q115</f>
        <v>142722</v>
      </c>
      <c r="R34" s="84">
        <f>TrRoad_act!R115</f>
        <v>129782</v>
      </c>
      <c r="S34" s="84">
        <f>TrRoad_act!S115</f>
        <v>131361</v>
      </c>
      <c r="T34" s="84">
        <f>TrRoad_act!T115</f>
        <v>134580</v>
      </c>
      <c r="U34" s="84">
        <f>TrRoad_act!U115</f>
        <v>121173</v>
      </c>
      <c r="V34" s="84">
        <f>TrRoad_act!V115</f>
        <v>97308</v>
      </c>
      <c r="W34" s="84">
        <f>TrRoad_act!W115</f>
        <v>147245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28067</v>
      </c>
      <c r="C35" s="84">
        <f>TrRoad_act!C116</f>
        <v>26621</v>
      </c>
      <c r="D35" s="84">
        <f>TrRoad_act!D116</f>
        <v>42966</v>
      </c>
      <c r="E35" s="84">
        <f>TrRoad_act!E116</f>
        <v>27971</v>
      </c>
      <c r="F35" s="84">
        <f>TrRoad_act!F116</f>
        <v>16043</v>
      </c>
      <c r="G35" s="84">
        <f>TrRoad_act!G116</f>
        <v>15909</v>
      </c>
      <c r="H35" s="84">
        <f>TrRoad_act!H116</f>
        <v>27932</v>
      </c>
      <c r="I35" s="84">
        <f>TrRoad_act!I116</f>
        <v>43636</v>
      </c>
      <c r="J35" s="84">
        <f>TrRoad_act!J116</f>
        <v>43894</v>
      </c>
      <c r="K35" s="84">
        <f>TrRoad_act!K116</f>
        <v>35070</v>
      </c>
      <c r="L35" s="84">
        <f>TrRoad_act!L116</f>
        <v>34844</v>
      </c>
      <c r="M35" s="84">
        <f>TrRoad_act!M116</f>
        <v>34846</v>
      </c>
      <c r="N35" s="84">
        <f>TrRoad_act!N116</f>
        <v>37441</v>
      </c>
      <c r="O35" s="84">
        <f>TrRoad_act!O116</f>
        <v>30339</v>
      </c>
      <c r="P35" s="84">
        <f>TrRoad_act!P116</f>
        <v>46814</v>
      </c>
      <c r="Q35" s="84">
        <f>TrRoad_act!Q116</f>
        <v>43143</v>
      </c>
      <c r="R35" s="84">
        <f>TrRoad_act!R116</f>
        <v>69834</v>
      </c>
      <c r="S35" s="84">
        <f>TrRoad_act!S116</f>
        <v>46954</v>
      </c>
      <c r="T35" s="84">
        <f>TrRoad_act!T116</f>
        <v>44963</v>
      </c>
      <c r="U35" s="84">
        <f>TrRoad_act!U116</f>
        <v>42103</v>
      </c>
      <c r="V35" s="84">
        <f>TrRoad_act!V116</f>
        <v>44194</v>
      </c>
      <c r="W35" s="84">
        <f>TrRoad_act!W116</f>
        <v>53999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1250</v>
      </c>
      <c r="H36" s="84">
        <f>TrRoad_act!H117</f>
        <v>4</v>
      </c>
      <c r="I36" s="84">
        <f>TrRoad_act!I117</f>
        <v>110</v>
      </c>
      <c r="J36" s="84">
        <f>TrRoad_act!J117</f>
        <v>63</v>
      </c>
      <c r="K36" s="84">
        <f>TrRoad_act!K117</f>
        <v>23</v>
      </c>
      <c r="L36" s="84">
        <f>TrRoad_act!L117</f>
        <v>1632</v>
      </c>
      <c r="M36" s="84">
        <f>TrRoad_act!M117</f>
        <v>45931</v>
      </c>
      <c r="N36" s="84">
        <f>TrRoad_act!N117</f>
        <v>5881</v>
      </c>
      <c r="O36" s="84">
        <f>TrRoad_act!O117</f>
        <v>5294</v>
      </c>
      <c r="P36" s="84">
        <f>TrRoad_act!P117</f>
        <v>545</v>
      </c>
      <c r="Q36" s="84">
        <f>TrRoad_act!Q117</f>
        <v>4267</v>
      </c>
      <c r="R36" s="84">
        <f>TrRoad_act!R117</f>
        <v>441</v>
      </c>
      <c r="S36" s="84">
        <f>TrRoad_act!S117</f>
        <v>646</v>
      </c>
      <c r="T36" s="84">
        <f>TrRoad_act!T117</f>
        <v>650</v>
      </c>
      <c r="U36" s="84">
        <f>TrRoad_act!U117</f>
        <v>374</v>
      </c>
      <c r="V36" s="84">
        <f>TrRoad_act!V117</f>
        <v>561</v>
      </c>
      <c r="W36" s="84">
        <f>TrRoad_act!W117</f>
        <v>984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2400</v>
      </c>
      <c r="D37" s="84">
        <f>TrRoad_act!D118</f>
        <v>5</v>
      </c>
      <c r="E37" s="84">
        <f>TrRoad_act!E118</f>
        <v>4639</v>
      </c>
      <c r="F37" s="84">
        <f>TrRoad_act!F118</f>
        <v>871</v>
      </c>
      <c r="G37" s="84">
        <f>TrRoad_act!G118</f>
        <v>89</v>
      </c>
      <c r="H37" s="84">
        <f>TrRoad_act!H118</f>
        <v>90</v>
      </c>
      <c r="I37" s="84">
        <f>TrRoad_act!I118</f>
        <v>8671</v>
      </c>
      <c r="J37" s="84">
        <f>TrRoad_act!J118</f>
        <v>0</v>
      </c>
      <c r="K37" s="84">
        <f>TrRoad_act!K118</f>
        <v>418</v>
      </c>
      <c r="L37" s="84">
        <f>TrRoad_act!L118</f>
        <v>2361</v>
      </c>
      <c r="M37" s="84">
        <f>TrRoad_act!M118</f>
        <v>36</v>
      </c>
      <c r="N37" s="84">
        <f>TrRoad_act!N118</f>
        <v>64</v>
      </c>
      <c r="O37" s="84">
        <f>TrRoad_act!O118</f>
        <v>27</v>
      </c>
      <c r="P37" s="84">
        <f>TrRoad_act!P118</f>
        <v>1722</v>
      </c>
      <c r="Q37" s="84">
        <f>TrRoad_act!Q118</f>
        <v>144</v>
      </c>
      <c r="R37" s="84">
        <f>TrRoad_act!R118</f>
        <v>188</v>
      </c>
      <c r="S37" s="84">
        <f>TrRoad_act!S118</f>
        <v>119</v>
      </c>
      <c r="T37" s="84">
        <f>TrRoad_act!T118</f>
        <v>189</v>
      </c>
      <c r="U37" s="84">
        <f>TrRoad_act!U118</f>
        <v>152</v>
      </c>
      <c r="V37" s="84">
        <f>TrRoad_act!V118</f>
        <v>407</v>
      </c>
      <c r="W37" s="84">
        <f>TrRoad_act!W118</f>
        <v>343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5</v>
      </c>
      <c r="O38" s="84">
        <f>TrRoad_act!O119</f>
        <v>0</v>
      </c>
      <c r="P38" s="84">
        <f>TrRoad_act!P119</f>
        <v>15</v>
      </c>
      <c r="Q38" s="84">
        <f>TrRoad_act!Q119</f>
        <v>17</v>
      </c>
      <c r="R38" s="84">
        <f>TrRoad_act!R119</f>
        <v>119</v>
      </c>
      <c r="S38" s="84">
        <f>TrRoad_act!S119</f>
        <v>315</v>
      </c>
      <c r="T38" s="84">
        <f>TrRoad_act!T119</f>
        <v>281</v>
      </c>
      <c r="U38" s="84">
        <f>TrRoad_act!U119</f>
        <v>209</v>
      </c>
      <c r="V38" s="84">
        <f>TrRoad_act!V119</f>
        <v>899</v>
      </c>
      <c r="W38" s="84">
        <f>TrRoad_act!W119</f>
        <v>1016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19</v>
      </c>
      <c r="N39" s="84">
        <f>TrRoad_act!N120</f>
        <v>1</v>
      </c>
      <c r="O39" s="84">
        <f>TrRoad_act!O120</f>
        <v>5</v>
      </c>
      <c r="P39" s="84">
        <f>TrRoad_act!P120</f>
        <v>88</v>
      </c>
      <c r="Q39" s="84">
        <f>TrRoad_act!Q120</f>
        <v>52</v>
      </c>
      <c r="R39" s="84">
        <f>TrRoad_act!R120</f>
        <v>63</v>
      </c>
      <c r="S39" s="84">
        <f>TrRoad_act!S120</f>
        <v>214</v>
      </c>
      <c r="T39" s="84">
        <f>TrRoad_act!T120</f>
        <v>398</v>
      </c>
      <c r="U39" s="84">
        <f>TrRoad_act!U120</f>
        <v>171</v>
      </c>
      <c r="V39" s="84">
        <f>TrRoad_act!V120</f>
        <v>919</v>
      </c>
      <c r="W39" s="84">
        <f>TrRoad_act!W120</f>
        <v>1141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272</v>
      </c>
      <c r="C40" s="110">
        <f>TrRoad_act!C121</f>
        <v>326</v>
      </c>
      <c r="D40" s="110">
        <f>TrRoad_act!D121</f>
        <v>351</v>
      </c>
      <c r="E40" s="110">
        <f>TrRoad_act!E121</f>
        <v>332</v>
      </c>
      <c r="F40" s="110">
        <f>TrRoad_act!F121</f>
        <v>332</v>
      </c>
      <c r="G40" s="110">
        <f>TrRoad_act!G121</f>
        <v>358</v>
      </c>
      <c r="H40" s="110">
        <f>TrRoad_act!H121</f>
        <v>520</v>
      </c>
      <c r="I40" s="110">
        <f>TrRoad_act!I121</f>
        <v>1689</v>
      </c>
      <c r="J40" s="110">
        <f>TrRoad_act!J121</f>
        <v>866</v>
      </c>
      <c r="K40" s="110">
        <f>TrRoad_act!K121</f>
        <v>1010</v>
      </c>
      <c r="L40" s="110">
        <f>TrRoad_act!L121</f>
        <v>818</v>
      </c>
      <c r="M40" s="110">
        <f>TrRoad_act!M121</f>
        <v>607</v>
      </c>
      <c r="N40" s="110">
        <f>TrRoad_act!N121</f>
        <v>570</v>
      </c>
      <c r="O40" s="110">
        <f>TrRoad_act!O121</f>
        <v>294</v>
      </c>
      <c r="P40" s="110">
        <f>TrRoad_act!P121</f>
        <v>453</v>
      </c>
      <c r="Q40" s="110">
        <f>TrRoad_act!Q121</f>
        <v>375</v>
      </c>
      <c r="R40" s="110">
        <f>TrRoad_act!R121</f>
        <v>368</v>
      </c>
      <c r="S40" s="110">
        <f>TrRoad_act!S121</f>
        <v>401</v>
      </c>
      <c r="T40" s="110">
        <f>TrRoad_act!T121</f>
        <v>356</v>
      </c>
      <c r="U40" s="110">
        <f>TrRoad_act!U121</f>
        <v>308</v>
      </c>
      <c r="V40" s="110">
        <f>TrRoad_act!V121</f>
        <v>297</v>
      </c>
      <c r="W40" s="110">
        <f>TrRoad_act!W121</f>
        <v>533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272</v>
      </c>
      <c r="C42" s="102">
        <f>TrRoad_act!C123</f>
        <v>326</v>
      </c>
      <c r="D42" s="102">
        <f>TrRoad_act!D123</f>
        <v>351</v>
      </c>
      <c r="E42" s="102">
        <f>TrRoad_act!E123</f>
        <v>332</v>
      </c>
      <c r="F42" s="102">
        <f>TrRoad_act!F123</f>
        <v>332</v>
      </c>
      <c r="G42" s="102">
        <f>TrRoad_act!G123</f>
        <v>358</v>
      </c>
      <c r="H42" s="102">
        <f>TrRoad_act!H123</f>
        <v>520</v>
      </c>
      <c r="I42" s="102">
        <f>TrRoad_act!I123</f>
        <v>1689</v>
      </c>
      <c r="J42" s="102">
        <f>TrRoad_act!J123</f>
        <v>866</v>
      </c>
      <c r="K42" s="102">
        <f>TrRoad_act!K123</f>
        <v>1010</v>
      </c>
      <c r="L42" s="102">
        <f>TrRoad_act!L123</f>
        <v>702</v>
      </c>
      <c r="M42" s="102">
        <f>TrRoad_act!M123</f>
        <v>455</v>
      </c>
      <c r="N42" s="102">
        <f>TrRoad_act!N123</f>
        <v>569</v>
      </c>
      <c r="O42" s="102">
        <f>TrRoad_act!O123</f>
        <v>294</v>
      </c>
      <c r="P42" s="102">
        <f>TrRoad_act!P123</f>
        <v>357</v>
      </c>
      <c r="Q42" s="102">
        <f>TrRoad_act!Q123</f>
        <v>285</v>
      </c>
      <c r="R42" s="102">
        <f>TrRoad_act!R123</f>
        <v>28</v>
      </c>
      <c r="S42" s="102">
        <f>TrRoad_act!S123</f>
        <v>329</v>
      </c>
      <c r="T42" s="102">
        <f>TrRoad_act!T123</f>
        <v>297</v>
      </c>
      <c r="U42" s="102">
        <f>TrRoad_act!U123</f>
        <v>266</v>
      </c>
      <c r="V42" s="102">
        <f>TrRoad_act!V123</f>
        <v>275</v>
      </c>
      <c r="W42" s="102">
        <f>TrRoad_act!W123</f>
        <v>531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258</v>
      </c>
      <c r="S44" s="102">
        <f>TrRoad_act!S125</f>
        <v>0</v>
      </c>
      <c r="T44" s="102">
        <f>TrRoad_act!T125</f>
        <v>0</v>
      </c>
      <c r="U44" s="102">
        <f>TrRoad_act!U125</f>
        <v>0</v>
      </c>
      <c r="V44" s="102">
        <f>TrRoad_act!V125</f>
        <v>0</v>
      </c>
      <c r="W44" s="102">
        <f>TrRoad_act!W125</f>
        <v>2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116</v>
      </c>
      <c r="M45" s="102">
        <f>TrRoad_act!M126</f>
        <v>152</v>
      </c>
      <c r="N45" s="102">
        <f>TrRoad_act!N126</f>
        <v>1</v>
      </c>
      <c r="O45" s="102">
        <f>TrRoad_act!O126</f>
        <v>0</v>
      </c>
      <c r="P45" s="102">
        <f>TrRoad_act!P126</f>
        <v>96</v>
      </c>
      <c r="Q45" s="102">
        <f>TrRoad_act!Q126</f>
        <v>90</v>
      </c>
      <c r="R45" s="102">
        <f>TrRoad_act!R126</f>
        <v>82</v>
      </c>
      <c r="S45" s="102">
        <f>TrRoad_act!S126</f>
        <v>72</v>
      </c>
      <c r="T45" s="102">
        <f>TrRoad_act!T126</f>
        <v>59</v>
      </c>
      <c r="U45" s="102">
        <f>TrRoad_act!U126</f>
        <v>42</v>
      </c>
      <c r="V45" s="102">
        <f>TrRoad_act!V126</f>
        <v>22</v>
      </c>
      <c r="W45" s="102">
        <f>TrRoad_act!W126</f>
        <v>0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292</v>
      </c>
      <c r="C46" s="28">
        <f>TrRoad_act!C127</f>
        <v>9041</v>
      </c>
      <c r="D46" s="28">
        <f>TrRoad_act!D127</f>
        <v>14697</v>
      </c>
      <c r="E46" s="28">
        <f>TrRoad_act!E127</f>
        <v>17827</v>
      </c>
      <c r="F46" s="28">
        <f>TrRoad_act!F127</f>
        <v>18195</v>
      </c>
      <c r="G46" s="28">
        <f>TrRoad_act!G127</f>
        <v>27083</v>
      </c>
      <c r="H46" s="28">
        <f>TrRoad_act!H127</f>
        <v>24334</v>
      </c>
      <c r="I46" s="28">
        <f>TrRoad_act!I127</f>
        <v>34243</v>
      </c>
      <c r="J46" s="28">
        <f>TrRoad_act!J127</f>
        <v>39408</v>
      </c>
      <c r="K46" s="28">
        <f>TrRoad_act!K127</f>
        <v>31056</v>
      </c>
      <c r="L46" s="28">
        <f>TrRoad_act!L127</f>
        <v>28030</v>
      </c>
      <c r="M46" s="28">
        <f>TrRoad_act!M127</f>
        <v>14867</v>
      </c>
      <c r="N46" s="28">
        <f>TrRoad_act!N127</f>
        <v>14745</v>
      </c>
      <c r="O46" s="28">
        <f>TrRoad_act!O127</f>
        <v>29594</v>
      </c>
      <c r="P46" s="28">
        <f>TrRoad_act!P127</f>
        <v>32228</v>
      </c>
      <c r="Q46" s="28">
        <f>TrRoad_act!Q127</f>
        <v>25200</v>
      </c>
      <c r="R46" s="28">
        <f>TrRoad_act!R127</f>
        <v>33325</v>
      </c>
      <c r="S46" s="28">
        <f>TrRoad_act!S127</f>
        <v>21479</v>
      </c>
      <c r="T46" s="28">
        <f>TrRoad_act!T127</f>
        <v>10795</v>
      </c>
      <c r="U46" s="28">
        <f>TrRoad_act!U127</f>
        <v>28090</v>
      </c>
      <c r="V46" s="28">
        <f>TrRoad_act!V127</f>
        <v>13505</v>
      </c>
      <c r="W46" s="28">
        <f>TrRoad_act!W127</f>
        <v>11470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5355</v>
      </c>
      <c r="D47" s="137">
        <f>TrRoad_act!D128</f>
        <v>6239</v>
      </c>
      <c r="E47" s="137">
        <f>TrRoad_act!E128</f>
        <v>8097</v>
      </c>
      <c r="F47" s="137">
        <f>TrRoad_act!F128</f>
        <v>16975</v>
      </c>
      <c r="G47" s="137">
        <f>TrRoad_act!G128</f>
        <v>18435</v>
      </c>
      <c r="H47" s="137">
        <f>TrRoad_act!H128</f>
        <v>11451</v>
      </c>
      <c r="I47" s="137">
        <f>TrRoad_act!I128</f>
        <v>25809</v>
      </c>
      <c r="J47" s="137">
        <f>TrRoad_act!J128</f>
        <v>19065</v>
      </c>
      <c r="K47" s="137">
        <f>TrRoad_act!K128</f>
        <v>24237</v>
      </c>
      <c r="L47" s="137">
        <f>TrRoad_act!L128</f>
        <v>22244</v>
      </c>
      <c r="M47" s="137">
        <f>TrRoad_act!M128</f>
        <v>8647</v>
      </c>
      <c r="N47" s="137">
        <f>TrRoad_act!N128</f>
        <v>11849</v>
      </c>
      <c r="O47" s="137">
        <f>TrRoad_act!O128</f>
        <v>8260</v>
      </c>
      <c r="P47" s="137">
        <f>TrRoad_act!P128</f>
        <v>8013</v>
      </c>
      <c r="Q47" s="137">
        <f>TrRoad_act!Q128</f>
        <v>22705</v>
      </c>
      <c r="R47" s="137">
        <f>TrRoad_act!R128</f>
        <v>17440</v>
      </c>
      <c r="S47" s="137">
        <f>TrRoad_act!S128</f>
        <v>7375</v>
      </c>
      <c r="T47" s="137">
        <f>TrRoad_act!T128</f>
        <v>8804</v>
      </c>
      <c r="U47" s="137">
        <f>TrRoad_act!U128</f>
        <v>8170</v>
      </c>
      <c r="V47" s="137">
        <f>TrRoad_act!V128</f>
        <v>6136</v>
      </c>
      <c r="W47" s="137">
        <f>TrRoad_act!W128</f>
        <v>9130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1955</v>
      </c>
      <c r="D48" s="84">
        <f>TrRoad_act!D129</f>
        <v>2265</v>
      </c>
      <c r="E48" s="84">
        <f>TrRoad_act!E129</f>
        <v>2605</v>
      </c>
      <c r="F48" s="84">
        <f>TrRoad_act!F129</f>
        <v>13057</v>
      </c>
      <c r="G48" s="84">
        <f>TrRoad_act!G129</f>
        <v>3850</v>
      </c>
      <c r="H48" s="84">
        <f>TrRoad_act!H129</f>
        <v>5618</v>
      </c>
      <c r="I48" s="84">
        <f>TrRoad_act!I129</f>
        <v>7547</v>
      </c>
      <c r="J48" s="84">
        <f>TrRoad_act!J129</f>
        <v>5893</v>
      </c>
      <c r="K48" s="84">
        <f>TrRoad_act!K129</f>
        <v>4772</v>
      </c>
      <c r="L48" s="84">
        <f>TrRoad_act!L129</f>
        <v>0</v>
      </c>
      <c r="M48" s="84">
        <f>TrRoad_act!M129</f>
        <v>1011</v>
      </c>
      <c r="N48" s="84">
        <f>TrRoad_act!N129</f>
        <v>732</v>
      </c>
      <c r="O48" s="84">
        <f>TrRoad_act!O129</f>
        <v>3563</v>
      </c>
      <c r="P48" s="84">
        <f>TrRoad_act!P129</f>
        <v>182</v>
      </c>
      <c r="Q48" s="84">
        <f>TrRoad_act!Q129</f>
        <v>9673</v>
      </c>
      <c r="R48" s="84">
        <f>TrRoad_act!R129</f>
        <v>10144</v>
      </c>
      <c r="S48" s="84">
        <f>TrRoad_act!S129</f>
        <v>285</v>
      </c>
      <c r="T48" s="84">
        <f>TrRoad_act!T129</f>
        <v>951</v>
      </c>
      <c r="U48" s="84">
        <f>TrRoad_act!U129</f>
        <v>350</v>
      </c>
      <c r="V48" s="84">
        <f>TrRoad_act!V129</f>
        <v>160</v>
      </c>
      <c r="W48" s="84">
        <f>TrRoad_act!W129</f>
        <v>1697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3400</v>
      </c>
      <c r="D49" s="84">
        <f>TrRoad_act!D130</f>
        <v>3974</v>
      </c>
      <c r="E49" s="84">
        <f>TrRoad_act!E130</f>
        <v>5492</v>
      </c>
      <c r="F49" s="84">
        <f>TrRoad_act!F130</f>
        <v>3918</v>
      </c>
      <c r="G49" s="84">
        <f>TrRoad_act!G130</f>
        <v>14585</v>
      </c>
      <c r="H49" s="84">
        <f>TrRoad_act!H130</f>
        <v>5833</v>
      </c>
      <c r="I49" s="84">
        <f>TrRoad_act!I130</f>
        <v>18262</v>
      </c>
      <c r="J49" s="84">
        <f>TrRoad_act!J130</f>
        <v>13172</v>
      </c>
      <c r="K49" s="84">
        <f>TrRoad_act!K130</f>
        <v>19465</v>
      </c>
      <c r="L49" s="84">
        <f>TrRoad_act!L130</f>
        <v>22244</v>
      </c>
      <c r="M49" s="84">
        <f>TrRoad_act!M130</f>
        <v>7636</v>
      </c>
      <c r="N49" s="84">
        <f>TrRoad_act!N130</f>
        <v>11105</v>
      </c>
      <c r="O49" s="84">
        <f>TrRoad_act!O130</f>
        <v>4684</v>
      </c>
      <c r="P49" s="84">
        <f>TrRoad_act!P130</f>
        <v>5231</v>
      </c>
      <c r="Q49" s="84">
        <f>TrRoad_act!Q130</f>
        <v>12993</v>
      </c>
      <c r="R49" s="84">
        <f>TrRoad_act!R130</f>
        <v>6826</v>
      </c>
      <c r="S49" s="84">
        <f>TrRoad_act!S130</f>
        <v>6915</v>
      </c>
      <c r="T49" s="84">
        <f>TrRoad_act!T130</f>
        <v>7522</v>
      </c>
      <c r="U49" s="84">
        <f>TrRoad_act!U130</f>
        <v>7534</v>
      </c>
      <c r="V49" s="84">
        <f>TrRoad_act!V130</f>
        <v>5618</v>
      </c>
      <c r="W49" s="84">
        <f>TrRoad_act!W130</f>
        <v>7349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7</v>
      </c>
      <c r="O50" s="84">
        <f>TrRoad_act!O131</f>
        <v>5</v>
      </c>
      <c r="P50" s="84">
        <f>TrRoad_act!P131</f>
        <v>2595</v>
      </c>
      <c r="Q50" s="84">
        <f>TrRoad_act!Q131</f>
        <v>31</v>
      </c>
      <c r="R50" s="84">
        <f>TrRoad_act!R131</f>
        <v>272</v>
      </c>
      <c r="S50" s="84">
        <f>TrRoad_act!S131</f>
        <v>139</v>
      </c>
      <c r="T50" s="84">
        <f>TrRoad_act!T131</f>
        <v>147</v>
      </c>
      <c r="U50" s="84">
        <f>TrRoad_act!U131</f>
        <v>196</v>
      </c>
      <c r="V50" s="84">
        <f>TrRoad_act!V131</f>
        <v>127</v>
      </c>
      <c r="W50" s="84">
        <f>TrRoad_act!W131</f>
        <v>32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5</v>
      </c>
      <c r="O51" s="84">
        <f>TrRoad_act!O132</f>
        <v>6</v>
      </c>
      <c r="P51" s="84">
        <f>TrRoad_act!P132</f>
        <v>1</v>
      </c>
      <c r="Q51" s="84">
        <f>TrRoad_act!Q132</f>
        <v>3</v>
      </c>
      <c r="R51" s="84">
        <f>TrRoad_act!R132</f>
        <v>186</v>
      </c>
      <c r="S51" s="84">
        <f>TrRoad_act!S132</f>
        <v>9</v>
      </c>
      <c r="T51" s="84">
        <f>TrRoad_act!T132</f>
        <v>131</v>
      </c>
      <c r="U51" s="84">
        <f>TrRoad_act!U132</f>
        <v>67</v>
      </c>
      <c r="V51" s="84">
        <f>TrRoad_act!V132</f>
        <v>202</v>
      </c>
      <c r="W51" s="84">
        <f>TrRoad_act!W132</f>
        <v>3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0</v>
      </c>
      <c r="O52" s="84">
        <f>TrRoad_act!O133</f>
        <v>2</v>
      </c>
      <c r="P52" s="84">
        <f>TrRoad_act!P133</f>
        <v>4</v>
      </c>
      <c r="Q52" s="84">
        <f>TrRoad_act!Q133</f>
        <v>5</v>
      </c>
      <c r="R52" s="84">
        <f>TrRoad_act!R133</f>
        <v>12</v>
      </c>
      <c r="S52" s="84">
        <f>TrRoad_act!S133</f>
        <v>27</v>
      </c>
      <c r="T52" s="84">
        <f>TrRoad_act!T133</f>
        <v>53</v>
      </c>
      <c r="U52" s="84">
        <f>TrRoad_act!U133</f>
        <v>23</v>
      </c>
      <c r="V52" s="84">
        <f>TrRoad_act!V133</f>
        <v>29</v>
      </c>
      <c r="W52" s="84">
        <f>TrRoad_act!W133</f>
        <v>49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292</v>
      </c>
      <c r="C53" s="110">
        <f>TrRoad_act!C134</f>
        <v>3686</v>
      </c>
      <c r="D53" s="110">
        <f>TrRoad_act!D134</f>
        <v>8458</v>
      </c>
      <c r="E53" s="110">
        <f>TrRoad_act!E134</f>
        <v>9730</v>
      </c>
      <c r="F53" s="110">
        <f>TrRoad_act!F134</f>
        <v>1220</v>
      </c>
      <c r="G53" s="110">
        <f>TrRoad_act!G134</f>
        <v>8648</v>
      </c>
      <c r="H53" s="110">
        <f>TrRoad_act!H134</f>
        <v>12883</v>
      </c>
      <c r="I53" s="110">
        <f>TrRoad_act!I134</f>
        <v>8434</v>
      </c>
      <c r="J53" s="110">
        <f>TrRoad_act!J134</f>
        <v>20343</v>
      </c>
      <c r="K53" s="110">
        <f>TrRoad_act!K134</f>
        <v>6819</v>
      </c>
      <c r="L53" s="110">
        <f>TrRoad_act!L134</f>
        <v>5786</v>
      </c>
      <c r="M53" s="110">
        <f>TrRoad_act!M134</f>
        <v>6220</v>
      </c>
      <c r="N53" s="110">
        <f>TrRoad_act!N134</f>
        <v>2896</v>
      </c>
      <c r="O53" s="110">
        <f>TrRoad_act!O134</f>
        <v>21334</v>
      </c>
      <c r="P53" s="110">
        <f>TrRoad_act!P134</f>
        <v>24215</v>
      </c>
      <c r="Q53" s="110">
        <f>TrRoad_act!Q134</f>
        <v>2495</v>
      </c>
      <c r="R53" s="110">
        <f>TrRoad_act!R134</f>
        <v>15885</v>
      </c>
      <c r="S53" s="110">
        <f>TrRoad_act!S134</f>
        <v>14104</v>
      </c>
      <c r="T53" s="110">
        <f>TrRoad_act!T134</f>
        <v>1991</v>
      </c>
      <c r="U53" s="110">
        <f>TrRoad_act!U134</f>
        <v>19920</v>
      </c>
      <c r="V53" s="110">
        <f>TrRoad_act!V134</f>
        <v>7369</v>
      </c>
      <c r="W53" s="110">
        <f>TrRoad_act!W134</f>
        <v>2340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3270</v>
      </c>
      <c r="D54" s="102">
        <f>TrRoad_act!D135</f>
        <v>8050</v>
      </c>
      <c r="E54" s="102">
        <f>TrRoad_act!E135</f>
        <v>9374</v>
      </c>
      <c r="F54" s="102">
        <f>TrRoad_act!F135</f>
        <v>288</v>
      </c>
      <c r="G54" s="102">
        <f>TrRoad_act!G135</f>
        <v>8152</v>
      </c>
      <c r="H54" s="102">
        <f>TrRoad_act!H135</f>
        <v>12281</v>
      </c>
      <c r="I54" s="102">
        <f>TrRoad_act!I135</f>
        <v>6905</v>
      </c>
      <c r="J54" s="102">
        <f>TrRoad_act!J135</f>
        <v>19984</v>
      </c>
      <c r="K54" s="102">
        <f>TrRoad_act!K135</f>
        <v>6508</v>
      </c>
      <c r="L54" s="102">
        <f>TrRoad_act!L135</f>
        <v>5067</v>
      </c>
      <c r="M54" s="102">
        <f>TrRoad_act!M135</f>
        <v>5336</v>
      </c>
      <c r="N54" s="102">
        <f>TrRoad_act!N135</f>
        <v>2309</v>
      </c>
      <c r="O54" s="102">
        <f>TrRoad_act!O135</f>
        <v>20307</v>
      </c>
      <c r="P54" s="102">
        <f>TrRoad_act!P135</f>
        <v>23527</v>
      </c>
      <c r="Q54" s="102">
        <f>TrRoad_act!Q135</f>
        <v>1216</v>
      </c>
      <c r="R54" s="102">
        <f>TrRoad_act!R135</f>
        <v>14677</v>
      </c>
      <c r="S54" s="102">
        <f>TrRoad_act!S135</f>
        <v>12815</v>
      </c>
      <c r="T54" s="102">
        <f>TrRoad_act!T135</f>
        <v>1322</v>
      </c>
      <c r="U54" s="102">
        <f>TrRoad_act!U135</f>
        <v>18777</v>
      </c>
      <c r="V54" s="102">
        <f>TrRoad_act!V135</f>
        <v>6825</v>
      </c>
      <c r="W54" s="102">
        <f>TrRoad_act!W135</f>
        <v>1446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292</v>
      </c>
      <c r="C55" s="86">
        <f>TrRoad_act!C136</f>
        <v>416</v>
      </c>
      <c r="D55" s="86">
        <f>TrRoad_act!D136</f>
        <v>408</v>
      </c>
      <c r="E55" s="86">
        <f>TrRoad_act!E136</f>
        <v>356</v>
      </c>
      <c r="F55" s="86">
        <f>TrRoad_act!F136</f>
        <v>932</v>
      </c>
      <c r="G55" s="86">
        <f>TrRoad_act!G136</f>
        <v>496</v>
      </c>
      <c r="H55" s="86">
        <f>TrRoad_act!H136</f>
        <v>602</v>
      </c>
      <c r="I55" s="86">
        <f>TrRoad_act!I136</f>
        <v>1529</v>
      </c>
      <c r="J55" s="86">
        <f>TrRoad_act!J136</f>
        <v>359</v>
      </c>
      <c r="K55" s="86">
        <f>TrRoad_act!K136</f>
        <v>311</v>
      </c>
      <c r="L55" s="86">
        <f>TrRoad_act!L136</f>
        <v>719</v>
      </c>
      <c r="M55" s="86">
        <f>TrRoad_act!M136</f>
        <v>884</v>
      </c>
      <c r="N55" s="86">
        <f>TrRoad_act!N136</f>
        <v>587</v>
      </c>
      <c r="O55" s="86">
        <f>TrRoad_act!O136</f>
        <v>1027</v>
      </c>
      <c r="P55" s="86">
        <f>TrRoad_act!P136</f>
        <v>688</v>
      </c>
      <c r="Q55" s="86">
        <f>TrRoad_act!Q136</f>
        <v>1279</v>
      </c>
      <c r="R55" s="86">
        <f>TrRoad_act!R136</f>
        <v>1208</v>
      </c>
      <c r="S55" s="86">
        <f>TrRoad_act!S136</f>
        <v>1289</v>
      </c>
      <c r="T55" s="86">
        <f>TrRoad_act!T136</f>
        <v>669</v>
      </c>
      <c r="U55" s="86">
        <f>TrRoad_act!U136</f>
        <v>1143</v>
      </c>
      <c r="V55" s="86">
        <f>TrRoad_act!V136</f>
        <v>544</v>
      </c>
      <c r="W55" s="86">
        <f>TrRoad_act!W136</f>
        <v>894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495</v>
      </c>
      <c r="C59" s="54">
        <f t="shared" si="0"/>
        <v>15693</v>
      </c>
      <c r="D59" s="54">
        <f t="shared" si="0"/>
        <v>18691</v>
      </c>
      <c r="E59" s="54">
        <f t="shared" si="0"/>
        <v>26935</v>
      </c>
      <c r="F59" s="54">
        <f t="shared" si="0"/>
        <v>6071</v>
      </c>
      <c r="G59" s="54">
        <f t="shared" si="0"/>
        <v>37202</v>
      </c>
      <c r="H59" s="54">
        <f t="shared" si="0"/>
        <v>68070</v>
      </c>
      <c r="I59" s="54">
        <f t="shared" si="0"/>
        <v>128852</v>
      </c>
      <c r="J59" s="54">
        <f t="shared" si="0"/>
        <v>166178</v>
      </c>
      <c r="K59" s="54">
        <f t="shared" si="0"/>
        <v>129582</v>
      </c>
      <c r="L59" s="54">
        <f t="shared" ref="L59" si="1">L60+L75</f>
        <v>165800</v>
      </c>
      <c r="M59" s="54">
        <f t="shared" ref="M59:V59" si="2">M60+M75</f>
        <v>159447</v>
      </c>
      <c r="N59" s="54">
        <f t="shared" si="2"/>
        <v>174684</v>
      </c>
      <c r="O59" s="54">
        <f t="shared" si="2"/>
        <v>181322</v>
      </c>
      <c r="P59" s="54">
        <f t="shared" si="2"/>
        <v>203477</v>
      </c>
      <c r="Q59" s="54">
        <f t="shared" si="2"/>
        <v>218977</v>
      </c>
      <c r="R59" s="54">
        <f t="shared" si="2"/>
        <v>237828</v>
      </c>
      <c r="S59" s="54">
        <f t="shared" si="2"/>
        <v>210682</v>
      </c>
      <c r="T59" s="54">
        <f t="shared" si="2"/>
        <v>203187</v>
      </c>
      <c r="U59" s="54">
        <f t="shared" si="2"/>
        <v>204405</v>
      </c>
      <c r="V59" s="54">
        <f t="shared" si="2"/>
        <v>170221</v>
      </c>
      <c r="W59" s="54">
        <f t="shared" ref="W59" si="3">W60+W75</f>
        <v>230054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495</v>
      </c>
      <c r="C60" s="28">
        <f t="shared" si="4"/>
        <v>15693</v>
      </c>
      <c r="D60" s="28">
        <f t="shared" si="4"/>
        <v>18691</v>
      </c>
      <c r="E60" s="28">
        <f t="shared" si="4"/>
        <v>26935</v>
      </c>
      <c r="F60" s="28">
        <f t="shared" si="4"/>
        <v>4636</v>
      </c>
      <c r="G60" s="28">
        <f t="shared" si="4"/>
        <v>35954</v>
      </c>
      <c r="H60" s="28">
        <f t="shared" si="4"/>
        <v>64531</v>
      </c>
      <c r="I60" s="28">
        <f t="shared" si="4"/>
        <v>120347</v>
      </c>
      <c r="J60" s="28">
        <f t="shared" si="4"/>
        <v>147126</v>
      </c>
      <c r="K60" s="28">
        <f t="shared" si="4"/>
        <v>110669</v>
      </c>
      <c r="L60" s="28">
        <f t="shared" ref="L60" si="5">L61+L62+L69</f>
        <v>146934</v>
      </c>
      <c r="M60" s="28">
        <f t="shared" ref="M60:V60" si="6">M61+M62+M69</f>
        <v>147667</v>
      </c>
      <c r="N60" s="28">
        <f t="shared" si="6"/>
        <v>162917</v>
      </c>
      <c r="O60" s="28">
        <f t="shared" si="6"/>
        <v>153600</v>
      </c>
      <c r="P60" s="28">
        <f t="shared" si="6"/>
        <v>172474</v>
      </c>
      <c r="Q60" s="28">
        <f t="shared" si="6"/>
        <v>195603</v>
      </c>
      <c r="R60" s="28">
        <f t="shared" si="6"/>
        <v>205422</v>
      </c>
      <c r="S60" s="28">
        <f t="shared" si="6"/>
        <v>189651</v>
      </c>
      <c r="T60" s="28">
        <f t="shared" si="6"/>
        <v>192585</v>
      </c>
      <c r="U60" s="28">
        <f t="shared" si="6"/>
        <v>176441</v>
      </c>
      <c r="V60" s="28">
        <f t="shared" si="6"/>
        <v>156743</v>
      </c>
      <c r="W60" s="28">
        <f t="shared" ref="W60" si="7">W61+W62+W69</f>
        <v>218584</v>
      </c>
      <c r="DA60" s="173" t="s">
        <v>837</v>
      </c>
    </row>
    <row r="61" spans="1:105" ht="11.45" customHeight="1" x14ac:dyDescent="0.25">
      <c r="A61" s="136" t="s">
        <v>180</v>
      </c>
      <c r="B61" s="137">
        <v>344</v>
      </c>
      <c r="C61" s="137">
        <v>921</v>
      </c>
      <c r="D61" s="137">
        <v>1152</v>
      </c>
      <c r="E61" s="137">
        <v>1010</v>
      </c>
      <c r="F61" s="137">
        <v>2897</v>
      </c>
      <c r="G61" s="137">
        <v>4069</v>
      </c>
      <c r="H61" s="137">
        <v>2189</v>
      </c>
      <c r="I61" s="137">
        <v>6057</v>
      </c>
      <c r="J61" s="137">
        <v>7125</v>
      </c>
      <c r="K61" s="137">
        <v>9689</v>
      </c>
      <c r="L61" s="137">
        <v>7738</v>
      </c>
      <c r="M61" s="137">
        <v>8063</v>
      </c>
      <c r="N61" s="137">
        <v>8239</v>
      </c>
      <c r="O61" s="137">
        <v>9449</v>
      </c>
      <c r="P61" s="137">
        <v>10319</v>
      </c>
      <c r="Q61" s="137">
        <v>12099</v>
      </c>
      <c r="R61" s="137">
        <v>9373</v>
      </c>
      <c r="S61" s="137">
        <v>11797</v>
      </c>
      <c r="T61" s="137">
        <v>12012</v>
      </c>
      <c r="U61" s="137">
        <v>12114</v>
      </c>
      <c r="V61" s="137">
        <v>12166</v>
      </c>
      <c r="W61" s="137">
        <v>13323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0</v>
      </c>
      <c r="C62" s="110">
        <f t="shared" si="8"/>
        <v>14772</v>
      </c>
      <c r="D62" s="110">
        <f t="shared" si="8"/>
        <v>17509</v>
      </c>
      <c r="E62" s="110">
        <f t="shared" si="8"/>
        <v>25853</v>
      </c>
      <c r="F62" s="110">
        <f t="shared" si="8"/>
        <v>1630</v>
      </c>
      <c r="G62" s="110">
        <f t="shared" si="8"/>
        <v>31727</v>
      </c>
      <c r="H62" s="110">
        <f t="shared" si="8"/>
        <v>62061</v>
      </c>
      <c r="I62" s="110">
        <f t="shared" si="8"/>
        <v>113225</v>
      </c>
      <c r="J62" s="110">
        <f t="shared" si="8"/>
        <v>139386</v>
      </c>
      <c r="K62" s="110">
        <f t="shared" si="8"/>
        <v>100193</v>
      </c>
      <c r="L62" s="110">
        <f t="shared" ref="L62" si="9">SUM(L63:L68)</f>
        <v>138497</v>
      </c>
      <c r="M62" s="110">
        <f t="shared" ref="M62:V62" si="10">SUM(M63:M68)</f>
        <v>139052</v>
      </c>
      <c r="N62" s="110">
        <f t="shared" si="10"/>
        <v>154153</v>
      </c>
      <c r="O62" s="110">
        <f t="shared" si="10"/>
        <v>143871</v>
      </c>
      <c r="P62" s="110">
        <f t="shared" si="10"/>
        <v>161713</v>
      </c>
      <c r="Q62" s="110">
        <f t="shared" si="10"/>
        <v>183133</v>
      </c>
      <c r="R62" s="110">
        <f t="shared" si="10"/>
        <v>195711</v>
      </c>
      <c r="S62" s="110">
        <f t="shared" si="10"/>
        <v>177453</v>
      </c>
      <c r="T62" s="110">
        <f t="shared" si="10"/>
        <v>180217</v>
      </c>
      <c r="U62" s="110">
        <f t="shared" si="10"/>
        <v>164019</v>
      </c>
      <c r="V62" s="110">
        <f t="shared" si="10"/>
        <v>144280</v>
      </c>
      <c r="W62" s="110">
        <f t="shared" ref="W62" si="11">SUM(W63:W68)</f>
        <v>204728</v>
      </c>
      <c r="DA62" s="176" t="s">
        <v>839</v>
      </c>
    </row>
    <row r="63" spans="1:105" ht="11.45" customHeight="1" x14ac:dyDescent="0.25">
      <c r="A63" s="111" t="s">
        <v>110</v>
      </c>
      <c r="B63" s="84">
        <v>0</v>
      </c>
      <c r="C63" s="84">
        <v>14772</v>
      </c>
      <c r="D63" s="84">
        <v>17509</v>
      </c>
      <c r="E63" s="84">
        <v>25853</v>
      </c>
      <c r="F63" s="84">
        <v>0</v>
      </c>
      <c r="G63" s="84">
        <v>25985</v>
      </c>
      <c r="H63" s="84">
        <v>49760</v>
      </c>
      <c r="I63" s="84">
        <v>89422</v>
      </c>
      <c r="J63" s="84">
        <v>113186</v>
      </c>
      <c r="K63" s="84">
        <v>76447</v>
      </c>
      <c r="L63" s="84">
        <v>110580</v>
      </c>
      <c r="M63" s="84">
        <v>81852</v>
      </c>
      <c r="N63" s="84">
        <v>117722</v>
      </c>
      <c r="O63" s="84">
        <v>112114</v>
      </c>
      <c r="P63" s="84">
        <v>116024</v>
      </c>
      <c r="Q63" s="84">
        <v>137558</v>
      </c>
      <c r="R63" s="84">
        <v>126874</v>
      </c>
      <c r="S63" s="84">
        <v>129758</v>
      </c>
      <c r="T63" s="84">
        <v>133870</v>
      </c>
      <c r="U63" s="84">
        <v>121017</v>
      </c>
      <c r="V63" s="84">
        <v>97307</v>
      </c>
      <c r="W63" s="84">
        <v>147245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1630</v>
      </c>
      <c r="G64" s="84">
        <v>5742</v>
      </c>
      <c r="H64" s="84">
        <v>12301</v>
      </c>
      <c r="I64" s="84">
        <v>22681</v>
      </c>
      <c r="J64" s="84">
        <v>26200</v>
      </c>
      <c r="K64" s="84">
        <v>23489</v>
      </c>
      <c r="L64" s="84">
        <v>25675</v>
      </c>
      <c r="M64" s="84">
        <v>27767</v>
      </c>
      <c r="N64" s="84">
        <v>31787</v>
      </c>
      <c r="O64" s="84">
        <v>27088</v>
      </c>
      <c r="P64" s="84">
        <v>43459</v>
      </c>
      <c r="Q64" s="84">
        <v>41237</v>
      </c>
      <c r="R64" s="84">
        <v>68153</v>
      </c>
      <c r="S64" s="84">
        <v>46461</v>
      </c>
      <c r="T64" s="84">
        <v>44838</v>
      </c>
      <c r="U64" s="84">
        <v>42096</v>
      </c>
      <c r="V64" s="84">
        <v>44194</v>
      </c>
      <c r="W64" s="84">
        <v>53999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514</v>
      </c>
      <c r="M65" s="84">
        <v>29403</v>
      </c>
      <c r="N65" s="84">
        <v>4587</v>
      </c>
      <c r="O65" s="84">
        <v>4644</v>
      </c>
      <c r="P65" s="84">
        <v>513</v>
      </c>
      <c r="Q65" s="84">
        <v>4149</v>
      </c>
      <c r="R65" s="84">
        <v>436</v>
      </c>
      <c r="S65" s="84">
        <v>644</v>
      </c>
      <c r="T65" s="84">
        <v>649</v>
      </c>
      <c r="U65" s="84">
        <v>374</v>
      </c>
      <c r="V65" s="84">
        <v>561</v>
      </c>
      <c r="W65" s="84">
        <v>984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1122</v>
      </c>
      <c r="J66" s="84">
        <v>0</v>
      </c>
      <c r="K66" s="84">
        <v>257</v>
      </c>
      <c r="L66" s="84">
        <v>1728</v>
      </c>
      <c r="M66" s="84">
        <v>30</v>
      </c>
      <c r="N66" s="84">
        <v>57</v>
      </c>
      <c r="O66" s="84">
        <v>25</v>
      </c>
      <c r="P66" s="84">
        <v>1661</v>
      </c>
      <c r="Q66" s="84">
        <v>142</v>
      </c>
      <c r="R66" s="84">
        <v>187</v>
      </c>
      <c r="S66" s="84">
        <v>119</v>
      </c>
      <c r="T66" s="84">
        <v>189</v>
      </c>
      <c r="U66" s="84">
        <v>152</v>
      </c>
      <c r="V66" s="84">
        <v>407</v>
      </c>
      <c r="W66" s="84">
        <v>343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260</v>
      </c>
      <c r="T67" s="84">
        <v>275</v>
      </c>
      <c r="U67" s="84">
        <v>209</v>
      </c>
      <c r="V67" s="84">
        <v>895</v>
      </c>
      <c r="W67" s="84">
        <v>1016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56</v>
      </c>
      <c r="Q68" s="84">
        <v>47</v>
      </c>
      <c r="R68" s="84">
        <v>61</v>
      </c>
      <c r="S68" s="84">
        <v>211</v>
      </c>
      <c r="T68" s="84">
        <v>396</v>
      </c>
      <c r="U68" s="84">
        <v>171</v>
      </c>
      <c r="V68" s="84">
        <v>916</v>
      </c>
      <c r="W68" s="84">
        <v>1141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151</v>
      </c>
      <c r="C69" s="110">
        <f t="shared" si="12"/>
        <v>0</v>
      </c>
      <c r="D69" s="110">
        <f t="shared" si="12"/>
        <v>30</v>
      </c>
      <c r="E69" s="110">
        <f t="shared" si="12"/>
        <v>72</v>
      </c>
      <c r="F69" s="110">
        <f t="shared" si="12"/>
        <v>109</v>
      </c>
      <c r="G69" s="110">
        <f t="shared" si="12"/>
        <v>158</v>
      </c>
      <c r="H69" s="110">
        <f t="shared" si="12"/>
        <v>281</v>
      </c>
      <c r="I69" s="110">
        <f t="shared" si="12"/>
        <v>1065</v>
      </c>
      <c r="J69" s="110">
        <f t="shared" si="12"/>
        <v>615</v>
      </c>
      <c r="K69" s="110">
        <f t="shared" si="12"/>
        <v>787</v>
      </c>
      <c r="L69" s="110">
        <f t="shared" ref="L69" si="13">SUM(L70:L74)</f>
        <v>699</v>
      </c>
      <c r="M69" s="110">
        <f t="shared" ref="M69:V69" si="14">SUM(M70:M74)</f>
        <v>552</v>
      </c>
      <c r="N69" s="110">
        <f t="shared" si="14"/>
        <v>525</v>
      </c>
      <c r="O69" s="110">
        <f t="shared" si="14"/>
        <v>280</v>
      </c>
      <c r="P69" s="110">
        <f t="shared" si="14"/>
        <v>442</v>
      </c>
      <c r="Q69" s="110">
        <f t="shared" si="14"/>
        <v>371</v>
      </c>
      <c r="R69" s="110">
        <f t="shared" si="14"/>
        <v>338</v>
      </c>
      <c r="S69" s="110">
        <f t="shared" si="14"/>
        <v>401</v>
      </c>
      <c r="T69" s="110">
        <f t="shared" si="14"/>
        <v>356</v>
      </c>
      <c r="U69" s="110">
        <f t="shared" si="14"/>
        <v>308</v>
      </c>
      <c r="V69" s="110">
        <f t="shared" si="14"/>
        <v>297</v>
      </c>
      <c r="W69" s="110">
        <f t="shared" ref="W69" si="15">SUM(W70:W74)</f>
        <v>533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151</v>
      </c>
      <c r="C71" s="102">
        <v>0</v>
      </c>
      <c r="D71" s="102">
        <v>30</v>
      </c>
      <c r="E71" s="102">
        <v>72</v>
      </c>
      <c r="F71" s="102">
        <v>109</v>
      </c>
      <c r="G71" s="102">
        <v>158</v>
      </c>
      <c r="H71" s="102">
        <v>281</v>
      </c>
      <c r="I71" s="102">
        <v>1065</v>
      </c>
      <c r="J71" s="102">
        <v>615</v>
      </c>
      <c r="K71" s="102">
        <v>787</v>
      </c>
      <c r="L71" s="102">
        <v>587</v>
      </c>
      <c r="M71" s="102">
        <v>401</v>
      </c>
      <c r="N71" s="102">
        <v>524</v>
      </c>
      <c r="O71" s="102">
        <v>280</v>
      </c>
      <c r="P71" s="102">
        <v>346</v>
      </c>
      <c r="Q71" s="102">
        <v>281</v>
      </c>
      <c r="R71" s="102">
        <v>28</v>
      </c>
      <c r="S71" s="102">
        <v>329</v>
      </c>
      <c r="T71" s="102">
        <v>297</v>
      </c>
      <c r="U71" s="102">
        <v>266</v>
      </c>
      <c r="V71" s="102">
        <v>275</v>
      </c>
      <c r="W71" s="102">
        <v>531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228</v>
      </c>
      <c r="S73" s="102">
        <v>0</v>
      </c>
      <c r="T73" s="102">
        <v>0</v>
      </c>
      <c r="U73" s="102">
        <v>0</v>
      </c>
      <c r="V73" s="102">
        <v>0</v>
      </c>
      <c r="W73" s="102">
        <v>2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112</v>
      </c>
      <c r="M74" s="102">
        <v>151</v>
      </c>
      <c r="N74" s="102">
        <v>1</v>
      </c>
      <c r="O74" s="102">
        <v>0</v>
      </c>
      <c r="P74" s="102">
        <v>96</v>
      </c>
      <c r="Q74" s="102">
        <v>90</v>
      </c>
      <c r="R74" s="102">
        <v>82</v>
      </c>
      <c r="S74" s="102">
        <v>72</v>
      </c>
      <c r="T74" s="102">
        <v>59</v>
      </c>
      <c r="U74" s="102">
        <v>42</v>
      </c>
      <c r="V74" s="102">
        <v>22</v>
      </c>
      <c r="W74" s="102">
        <v>0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1435</v>
      </c>
      <c r="G75" s="28">
        <f t="shared" si="16"/>
        <v>1248</v>
      </c>
      <c r="H75" s="28">
        <f t="shared" si="16"/>
        <v>3539</v>
      </c>
      <c r="I75" s="28">
        <f t="shared" si="16"/>
        <v>8505</v>
      </c>
      <c r="J75" s="28">
        <f t="shared" si="16"/>
        <v>19052</v>
      </c>
      <c r="K75" s="28">
        <f t="shared" si="16"/>
        <v>18913</v>
      </c>
      <c r="L75" s="28">
        <f t="shared" ref="L75" si="17">L76+L82</f>
        <v>18866</v>
      </c>
      <c r="M75" s="28">
        <f t="shared" ref="M75:V75" si="18">M76+M82</f>
        <v>11780</v>
      </c>
      <c r="N75" s="28">
        <f t="shared" si="18"/>
        <v>11767</v>
      </c>
      <c r="O75" s="28">
        <f t="shared" si="18"/>
        <v>27722</v>
      </c>
      <c r="P75" s="28">
        <f t="shared" si="18"/>
        <v>31003</v>
      </c>
      <c r="Q75" s="28">
        <f t="shared" si="18"/>
        <v>23374</v>
      </c>
      <c r="R75" s="28">
        <f t="shared" si="18"/>
        <v>32406</v>
      </c>
      <c r="S75" s="28">
        <f t="shared" si="18"/>
        <v>21031</v>
      </c>
      <c r="T75" s="28">
        <f t="shared" si="18"/>
        <v>10602</v>
      </c>
      <c r="U75" s="28">
        <f t="shared" si="18"/>
        <v>27964</v>
      </c>
      <c r="V75" s="28">
        <f t="shared" si="18"/>
        <v>13478</v>
      </c>
      <c r="W75" s="28">
        <f t="shared" ref="W75" si="19">W76+W82</f>
        <v>11470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1435</v>
      </c>
      <c r="G76" s="137">
        <f t="shared" si="20"/>
        <v>1248</v>
      </c>
      <c r="H76" s="137">
        <f t="shared" si="20"/>
        <v>2320</v>
      </c>
      <c r="I76" s="137">
        <f t="shared" si="20"/>
        <v>3784</v>
      </c>
      <c r="J76" s="137">
        <f t="shared" si="20"/>
        <v>3461</v>
      </c>
      <c r="K76" s="137">
        <f t="shared" si="20"/>
        <v>13368</v>
      </c>
      <c r="L76" s="137">
        <f t="shared" ref="L76" si="21">SUM(L77:L81)</f>
        <v>14056</v>
      </c>
      <c r="M76" s="137">
        <f t="shared" ref="M76:V76" si="22">SUM(M77:M81)</f>
        <v>6172</v>
      </c>
      <c r="N76" s="137">
        <f t="shared" si="22"/>
        <v>9133</v>
      </c>
      <c r="O76" s="137">
        <f t="shared" si="22"/>
        <v>7072</v>
      </c>
      <c r="P76" s="137">
        <f t="shared" si="22"/>
        <v>7197</v>
      </c>
      <c r="Q76" s="137">
        <f t="shared" si="22"/>
        <v>21171</v>
      </c>
      <c r="R76" s="137">
        <f t="shared" si="22"/>
        <v>16781</v>
      </c>
      <c r="S76" s="137">
        <f t="shared" si="22"/>
        <v>7144</v>
      </c>
      <c r="T76" s="137">
        <f t="shared" si="22"/>
        <v>8697</v>
      </c>
      <c r="U76" s="137">
        <f t="shared" si="22"/>
        <v>8147</v>
      </c>
      <c r="V76" s="137">
        <f t="shared" si="22"/>
        <v>6134</v>
      </c>
      <c r="W76" s="137">
        <f t="shared" ref="W76" si="23">SUM(W77:W81)</f>
        <v>9130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1435</v>
      </c>
      <c r="G77" s="84">
        <v>1248</v>
      </c>
      <c r="H77" s="84">
        <v>2320</v>
      </c>
      <c r="I77" s="84">
        <v>3784</v>
      </c>
      <c r="J77" s="84">
        <v>3461</v>
      </c>
      <c r="K77" s="84">
        <v>3186</v>
      </c>
      <c r="L77" s="84">
        <v>0</v>
      </c>
      <c r="M77" s="84">
        <v>813</v>
      </c>
      <c r="N77" s="84">
        <v>627</v>
      </c>
      <c r="O77" s="84">
        <v>3209</v>
      </c>
      <c r="P77" s="84">
        <v>170</v>
      </c>
      <c r="Q77" s="84">
        <v>9260</v>
      </c>
      <c r="R77" s="84">
        <v>9870</v>
      </c>
      <c r="S77" s="84">
        <v>281</v>
      </c>
      <c r="T77" s="84">
        <v>942</v>
      </c>
      <c r="U77" s="84">
        <v>349</v>
      </c>
      <c r="V77" s="84">
        <v>159</v>
      </c>
      <c r="W77" s="84">
        <v>1697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10182</v>
      </c>
      <c r="L78" s="84">
        <v>14056</v>
      </c>
      <c r="M78" s="84">
        <v>5359</v>
      </c>
      <c r="N78" s="84">
        <v>8506</v>
      </c>
      <c r="O78" s="84">
        <v>3857</v>
      </c>
      <c r="P78" s="84">
        <v>4566</v>
      </c>
      <c r="Q78" s="84">
        <v>11877</v>
      </c>
      <c r="R78" s="84">
        <v>6463</v>
      </c>
      <c r="S78" s="84">
        <v>6716</v>
      </c>
      <c r="T78" s="84">
        <v>7430</v>
      </c>
      <c r="U78" s="84">
        <v>7512</v>
      </c>
      <c r="V78" s="84">
        <v>5618</v>
      </c>
      <c r="W78" s="84">
        <v>7349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2</v>
      </c>
      <c r="P79" s="84">
        <v>2460</v>
      </c>
      <c r="Q79" s="84">
        <v>31</v>
      </c>
      <c r="R79" s="84">
        <v>267</v>
      </c>
      <c r="S79" s="84">
        <v>138</v>
      </c>
      <c r="T79" s="84">
        <v>147</v>
      </c>
      <c r="U79" s="84">
        <v>196</v>
      </c>
      <c r="V79" s="84">
        <v>127</v>
      </c>
      <c r="W79" s="84">
        <v>32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4</v>
      </c>
      <c r="P80" s="84">
        <v>1</v>
      </c>
      <c r="Q80" s="84">
        <v>3</v>
      </c>
      <c r="R80" s="84">
        <v>181</v>
      </c>
      <c r="S80" s="84">
        <v>9</v>
      </c>
      <c r="T80" s="84">
        <v>131</v>
      </c>
      <c r="U80" s="84">
        <v>67</v>
      </c>
      <c r="V80" s="84">
        <v>201</v>
      </c>
      <c r="W80" s="84">
        <v>3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47</v>
      </c>
      <c r="U81" s="84">
        <v>23</v>
      </c>
      <c r="V81" s="84">
        <v>29</v>
      </c>
      <c r="W81" s="84">
        <v>49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1219</v>
      </c>
      <c r="I82" s="110">
        <f t="shared" si="24"/>
        <v>4721</v>
      </c>
      <c r="J82" s="110">
        <f t="shared" si="24"/>
        <v>15591</v>
      </c>
      <c r="K82" s="110">
        <f t="shared" si="24"/>
        <v>5545</v>
      </c>
      <c r="L82" s="110">
        <f t="shared" ref="L82" si="25">SUM(L83:L84)</f>
        <v>4810</v>
      </c>
      <c r="M82" s="110">
        <f t="shared" ref="M82:V82" si="26">SUM(M83:M84)</f>
        <v>5608</v>
      </c>
      <c r="N82" s="110">
        <f t="shared" si="26"/>
        <v>2634</v>
      </c>
      <c r="O82" s="110">
        <f t="shared" si="26"/>
        <v>20650</v>
      </c>
      <c r="P82" s="110">
        <f t="shared" si="26"/>
        <v>23806</v>
      </c>
      <c r="Q82" s="110">
        <f t="shared" si="26"/>
        <v>2203</v>
      </c>
      <c r="R82" s="110">
        <f t="shared" si="26"/>
        <v>15625</v>
      </c>
      <c r="S82" s="110">
        <f t="shared" si="26"/>
        <v>13887</v>
      </c>
      <c r="T82" s="110">
        <f t="shared" si="26"/>
        <v>1905</v>
      </c>
      <c r="U82" s="110">
        <f t="shared" si="26"/>
        <v>19817</v>
      </c>
      <c r="V82" s="110">
        <f t="shared" si="26"/>
        <v>7344</v>
      </c>
      <c r="W82" s="110">
        <f t="shared" ref="W82" si="27">SUM(W83:W84)</f>
        <v>2340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1219</v>
      </c>
      <c r="I83" s="102">
        <v>4721</v>
      </c>
      <c r="J83" s="102">
        <v>15591</v>
      </c>
      <c r="K83" s="102">
        <v>5545</v>
      </c>
      <c r="L83" s="102">
        <v>4581</v>
      </c>
      <c r="M83" s="102">
        <v>5016</v>
      </c>
      <c r="N83" s="102">
        <v>2228</v>
      </c>
      <c r="O83" s="102">
        <v>19912</v>
      </c>
      <c r="P83" s="102">
        <v>23293</v>
      </c>
      <c r="Q83" s="102">
        <v>1211</v>
      </c>
      <c r="R83" s="102">
        <v>14652</v>
      </c>
      <c r="S83" s="102">
        <v>12808</v>
      </c>
      <c r="T83" s="102">
        <v>1322</v>
      </c>
      <c r="U83" s="102">
        <v>18777</v>
      </c>
      <c r="V83" s="102">
        <v>6825</v>
      </c>
      <c r="W83" s="102">
        <v>1446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229</v>
      </c>
      <c r="M84" s="86">
        <v>592</v>
      </c>
      <c r="N84" s="86">
        <v>406</v>
      </c>
      <c r="O84" s="86">
        <v>738</v>
      </c>
      <c r="P84" s="86">
        <v>513</v>
      </c>
      <c r="Q84" s="86">
        <v>992</v>
      </c>
      <c r="R84" s="86">
        <v>973</v>
      </c>
      <c r="S84" s="86">
        <v>1079</v>
      </c>
      <c r="T84" s="86">
        <v>583</v>
      </c>
      <c r="U84" s="86">
        <v>1040</v>
      </c>
      <c r="V84" s="86">
        <v>519</v>
      </c>
      <c r="W84" s="86">
        <v>894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3.4550487191929808</v>
      </c>
      <c r="C90" s="141">
        <v>3.4541004276425227</v>
      </c>
      <c r="D90" s="141">
        <v>3.4524072739544209</v>
      </c>
      <c r="E90" s="141">
        <v>3.4496146847697848</v>
      </c>
      <c r="F90" s="141">
        <v>3.4389576487549269</v>
      </c>
      <c r="G90" s="141">
        <v>3.4269388076770917</v>
      </c>
      <c r="H90" s="141">
        <v>3.420818723049087</v>
      </c>
      <c r="I90" s="141">
        <v>3.3897005243012854</v>
      </c>
      <c r="J90" s="141">
        <v>3.3489300636913324</v>
      </c>
      <c r="K90" s="141">
        <v>3.2991895320458675</v>
      </c>
      <c r="L90" s="141">
        <v>3.2651599997655287</v>
      </c>
      <c r="M90" s="141">
        <v>3.2280385954915705</v>
      </c>
      <c r="N90" s="141">
        <v>3.1888540569239936</v>
      </c>
      <c r="O90" s="141">
        <v>3.1393305367719857</v>
      </c>
      <c r="P90" s="141">
        <v>3.0889829659859069</v>
      </c>
      <c r="Q90" s="141">
        <v>3.0293101661797635</v>
      </c>
      <c r="R90" s="141">
        <v>2.9845826980157621</v>
      </c>
      <c r="S90" s="141">
        <v>2.9326723384320985</v>
      </c>
      <c r="T90" s="141">
        <v>2.8775643190878819</v>
      </c>
      <c r="U90" s="141">
        <v>2.837396071789223</v>
      </c>
      <c r="V90" s="141">
        <v>2.7871506995274022</v>
      </c>
      <c r="W90" s="141">
        <v>2.5512853090811176</v>
      </c>
      <c r="DA90" s="174" t="s">
        <v>862</v>
      </c>
    </row>
    <row r="91" spans="1:105" ht="11.45" customHeight="1" x14ac:dyDescent="0.25">
      <c r="A91" s="109" t="s">
        <v>20</v>
      </c>
      <c r="B91" s="130">
        <v>6.3768222850510696</v>
      </c>
      <c r="C91" s="130">
        <v>6.3152250567792141</v>
      </c>
      <c r="D91" s="130">
        <v>6.2924436475499093</v>
      </c>
      <c r="E91" s="130">
        <v>6.2726316282916237</v>
      </c>
      <c r="F91" s="130">
        <v>6.2656669108591601</v>
      </c>
      <c r="G91" s="130">
        <v>6.2488378281833397</v>
      </c>
      <c r="H91" s="130">
        <v>6.2253648268096953</v>
      </c>
      <c r="I91" s="130">
        <v>6.2005843403972394</v>
      </c>
      <c r="J91" s="130">
        <v>6.1715502147935162</v>
      </c>
      <c r="K91" s="130">
        <v>6.156732752053486</v>
      </c>
      <c r="L91" s="130">
        <v>6.1394954562317077</v>
      </c>
      <c r="M91" s="130">
        <v>6.149955563526083</v>
      </c>
      <c r="N91" s="130">
        <v>6.1245002951148173</v>
      </c>
      <c r="O91" s="130">
        <v>6.094564434332904</v>
      </c>
      <c r="P91" s="130">
        <v>6.0552322845135818</v>
      </c>
      <c r="Q91" s="130">
        <v>6.0141627478646225</v>
      </c>
      <c r="R91" s="130">
        <v>5.9507176737370608</v>
      </c>
      <c r="S91" s="130">
        <v>5.9032378835471571</v>
      </c>
      <c r="T91" s="130">
        <v>5.8509155575776761</v>
      </c>
      <c r="U91" s="130">
        <v>5.803351719046673</v>
      </c>
      <c r="V91" s="130">
        <v>5.7514531198339789</v>
      </c>
      <c r="W91" s="130">
        <v>5.6706716855090091</v>
      </c>
      <c r="DA91" s="176" t="s">
        <v>863</v>
      </c>
    </row>
    <row r="92" spans="1:105" ht="11.45" customHeight="1" x14ac:dyDescent="0.25">
      <c r="A92" s="111" t="s">
        <v>110</v>
      </c>
      <c r="B92" s="96">
        <v>6.2529619355638992</v>
      </c>
      <c r="C92" s="96">
        <v>6.2054399242926577</v>
      </c>
      <c r="D92" s="96">
        <v>6.1913472069467552</v>
      </c>
      <c r="E92" s="96">
        <v>6.1734613815926034</v>
      </c>
      <c r="F92" s="96">
        <v>6.1703418845427871</v>
      </c>
      <c r="G92" s="96">
        <v>6.1548589920648054</v>
      </c>
      <c r="H92" s="96">
        <v>6.1313068939585955</v>
      </c>
      <c r="I92" s="96">
        <v>6.1108632826387685</v>
      </c>
      <c r="J92" s="96">
        <v>6.0916184833895839</v>
      </c>
      <c r="K92" s="96">
        <v>6.0850730963479318</v>
      </c>
      <c r="L92" s="96">
        <v>6.0731274430806268</v>
      </c>
      <c r="M92" s="96">
        <v>6.0572052698795895</v>
      </c>
      <c r="N92" s="96">
        <v>6.040917628650341</v>
      </c>
      <c r="O92" s="96">
        <v>6.0200101047953556</v>
      </c>
      <c r="P92" s="96">
        <v>5.9929169416695132</v>
      </c>
      <c r="Q92" s="96">
        <v>5.9621889884883696</v>
      </c>
      <c r="R92" s="96">
        <v>5.924757587333672</v>
      </c>
      <c r="S92" s="96">
        <v>5.8788880351930635</v>
      </c>
      <c r="T92" s="96">
        <v>5.8228303839182294</v>
      </c>
      <c r="U92" s="96">
        <v>5.771537307999977</v>
      </c>
      <c r="V92" s="96">
        <v>5.7170762945232898</v>
      </c>
      <c r="W92" s="96">
        <v>5.6343501173798671</v>
      </c>
      <c r="DA92" s="171" t="s">
        <v>864</v>
      </c>
    </row>
    <row r="93" spans="1:105" ht="11.45" customHeight="1" x14ac:dyDescent="0.25">
      <c r="A93" s="111" t="s">
        <v>111</v>
      </c>
      <c r="B93" s="96">
        <v>6.9233988344842716</v>
      </c>
      <c r="C93" s="96">
        <v>6.6607792541878652</v>
      </c>
      <c r="D93" s="96">
        <v>6.5285273272563114</v>
      </c>
      <c r="E93" s="96">
        <v>6.4575042935461848</v>
      </c>
      <c r="F93" s="96">
        <v>6.4172376532327098</v>
      </c>
      <c r="G93" s="96">
        <v>6.3796602766970363</v>
      </c>
      <c r="H93" s="96">
        <v>6.3384440269050435</v>
      </c>
      <c r="I93" s="96">
        <v>6.2786382467834017</v>
      </c>
      <c r="J93" s="96">
        <v>6.231792301788742</v>
      </c>
      <c r="K93" s="96">
        <v>6.2087001170768534</v>
      </c>
      <c r="L93" s="96">
        <v>6.1843563028672675</v>
      </c>
      <c r="M93" s="96">
        <v>6.1468840834266283</v>
      </c>
      <c r="N93" s="96">
        <v>6.09443364781903</v>
      </c>
      <c r="O93" s="96">
        <v>6.0323345809224831</v>
      </c>
      <c r="P93" s="96">
        <v>5.9610488694771719</v>
      </c>
      <c r="Q93" s="96">
        <v>5.8814715336819967</v>
      </c>
      <c r="R93" s="96">
        <v>5.7528422339435865</v>
      </c>
      <c r="S93" s="96">
        <v>5.6891515762263856</v>
      </c>
      <c r="T93" s="96">
        <v>5.6420586730476261</v>
      </c>
      <c r="U93" s="96">
        <v>5.6038356574765071</v>
      </c>
      <c r="V93" s="96">
        <v>5.5482029088887872</v>
      </c>
      <c r="W93" s="96">
        <v>5.4628508952800043</v>
      </c>
      <c r="DA93" s="171" t="s">
        <v>865</v>
      </c>
    </row>
    <row r="94" spans="1:105" ht="11.45" customHeight="1" x14ac:dyDescent="0.25">
      <c r="A94" s="111" t="s">
        <v>112</v>
      </c>
      <c r="B94" s="96">
        <v>0</v>
      </c>
      <c r="C94" s="96">
        <v>0</v>
      </c>
      <c r="D94" s="96">
        <v>0</v>
      </c>
      <c r="E94" s="96">
        <v>0</v>
      </c>
      <c r="F94" s="96">
        <v>0</v>
      </c>
      <c r="G94" s="96">
        <v>7.0963869452944159</v>
      </c>
      <c r="H94" s="96">
        <v>7.0970204333126112</v>
      </c>
      <c r="I94" s="96">
        <v>7.1315073741049142</v>
      </c>
      <c r="J94" s="96">
        <v>7.1583211846600445</v>
      </c>
      <c r="K94" s="96">
        <v>7.1661278596499418</v>
      </c>
      <c r="L94" s="96">
        <v>7.2374298976236524</v>
      </c>
      <c r="M94" s="96">
        <v>7.3858962449612822</v>
      </c>
      <c r="N94" s="96">
        <v>7.3693830075040783</v>
      </c>
      <c r="O94" s="96">
        <v>7.3447596989403152</v>
      </c>
      <c r="P94" s="96">
        <v>7.3282329424266228</v>
      </c>
      <c r="Q94" s="96">
        <v>7.3013676541009405</v>
      </c>
      <c r="R94" s="96">
        <v>7.2864921401158398</v>
      </c>
      <c r="S94" s="96">
        <v>7.2618822327960206</v>
      </c>
      <c r="T94" s="96">
        <v>7.2344803553229822</v>
      </c>
      <c r="U94" s="96">
        <v>7.2144483855389065</v>
      </c>
      <c r="V94" s="96">
        <v>7.1730223082100597</v>
      </c>
      <c r="W94" s="96">
        <v>7.1052569367395524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6.8497170775759617</v>
      </c>
      <c r="D95" s="96">
        <v>6.849923187746354</v>
      </c>
      <c r="E95" s="96">
        <v>6.9065878262980576</v>
      </c>
      <c r="F95" s="96">
        <v>6.9151234601019222</v>
      </c>
      <c r="G95" s="96">
        <v>6.9163486296386418</v>
      </c>
      <c r="H95" s="96">
        <v>6.9174593477438329</v>
      </c>
      <c r="I95" s="96">
        <v>6.9670095764413915</v>
      </c>
      <c r="J95" s="96">
        <v>6.9680026569104809</v>
      </c>
      <c r="K95" s="96">
        <v>6.968892999504507</v>
      </c>
      <c r="L95" s="96">
        <v>6.9706339363604739</v>
      </c>
      <c r="M95" s="96">
        <v>6.9723509672322246</v>
      </c>
      <c r="N95" s="96">
        <v>6.98040566756465</v>
      </c>
      <c r="O95" s="96">
        <v>6.9833590469043534</v>
      </c>
      <c r="P95" s="96">
        <v>6.7945943893023406</v>
      </c>
      <c r="Q95" s="96">
        <v>6.784976962407157</v>
      </c>
      <c r="R95" s="96">
        <v>6.693972867035952</v>
      </c>
      <c r="S95" s="96">
        <v>6.6612089752346018</v>
      </c>
      <c r="T95" s="96">
        <v>6.6013371238799516</v>
      </c>
      <c r="U95" s="96">
        <v>6.486846616764951</v>
      </c>
      <c r="V95" s="96">
        <v>6.2088229849259378</v>
      </c>
      <c r="W95" s="96">
        <v>6.0560284256353674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2.1796122248661649</v>
      </c>
      <c r="O96" s="96">
        <v>2.1796122248661649</v>
      </c>
      <c r="P96" s="96">
        <v>5.2750253562615796</v>
      </c>
      <c r="Q96" s="96">
        <v>4.7516755984896184</v>
      </c>
      <c r="R96" s="96">
        <v>3.7335553178919358</v>
      </c>
      <c r="S96" s="96">
        <v>4.1718017344267437</v>
      </c>
      <c r="T96" s="96">
        <v>3.7658539693154953</v>
      </c>
      <c r="U96" s="96">
        <v>3.7247449551771448</v>
      </c>
      <c r="V96" s="96">
        <v>3.4944704593657461</v>
      </c>
      <c r="W96" s="96">
        <v>3.1214560622694476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1.3750471901917645</v>
      </c>
      <c r="N97" s="96">
        <v>1.3695396870648786</v>
      </c>
      <c r="O97" s="96">
        <v>1.3592748201665308</v>
      </c>
      <c r="P97" s="96">
        <v>1.3210545661352762</v>
      </c>
      <c r="Q97" s="96">
        <v>1.33764996256285</v>
      </c>
      <c r="R97" s="96">
        <v>1.3386617122910276</v>
      </c>
      <c r="S97" s="96">
        <v>1.2968303665626366</v>
      </c>
      <c r="T97" s="96">
        <v>1.3522060376111078</v>
      </c>
      <c r="U97" s="96">
        <v>1.3833334123070551</v>
      </c>
      <c r="V97" s="96">
        <v>1.4137957638775569</v>
      </c>
      <c r="W97" s="96">
        <v>1.4405275999954872</v>
      </c>
      <c r="DA97" s="171" t="s">
        <v>869</v>
      </c>
    </row>
    <row r="98" spans="1:105" ht="11.45" customHeight="1" x14ac:dyDescent="0.25">
      <c r="A98" s="109" t="s">
        <v>21</v>
      </c>
      <c r="B98" s="130">
        <v>54.866189163855353</v>
      </c>
      <c r="C98" s="130">
        <v>54.302104014725046</v>
      </c>
      <c r="D98" s="130">
        <v>53.973483560982991</v>
      </c>
      <c r="E98" s="130">
        <v>53.669633851380752</v>
      </c>
      <c r="F98" s="130">
        <v>53.094177683293019</v>
      </c>
      <c r="G98" s="130">
        <v>52.748542811157314</v>
      </c>
      <c r="H98" s="130">
        <v>52.097741843617392</v>
      </c>
      <c r="I98" s="130">
        <v>50.968664024536189</v>
      </c>
      <c r="J98" s="130">
        <v>50.189135195265415</v>
      </c>
      <c r="K98" s="130">
        <v>48.599013997112081</v>
      </c>
      <c r="L98" s="130">
        <v>47.471458067776588</v>
      </c>
      <c r="M98" s="130">
        <v>46.259563669131488</v>
      </c>
      <c r="N98" s="130">
        <v>45.503942666917844</v>
      </c>
      <c r="O98" s="130">
        <v>45.008001745887505</v>
      </c>
      <c r="P98" s="130">
        <v>44.734927245278101</v>
      </c>
      <c r="Q98" s="130">
        <v>44.197961702060041</v>
      </c>
      <c r="R98" s="130">
        <v>43.324577646069756</v>
      </c>
      <c r="S98" s="130">
        <v>43.100908650328897</v>
      </c>
      <c r="T98" s="130">
        <v>42.915419392835034</v>
      </c>
      <c r="U98" s="130">
        <v>42.715613682955521</v>
      </c>
      <c r="V98" s="130">
        <v>42.261492134434654</v>
      </c>
      <c r="W98" s="130">
        <v>42.100578184101082</v>
      </c>
      <c r="DA98" s="176" t="s">
        <v>870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0</v>
      </c>
      <c r="U99" s="97">
        <v>0</v>
      </c>
      <c r="V99" s="97">
        <v>0</v>
      </c>
      <c r="W99" s="97">
        <v>0</v>
      </c>
      <c r="DA99" s="175" t="s">
        <v>871</v>
      </c>
    </row>
    <row r="100" spans="1:105" ht="11.45" customHeight="1" x14ac:dyDescent="0.25">
      <c r="A100" s="111" t="s">
        <v>111</v>
      </c>
      <c r="B100" s="97">
        <v>54.866189163855353</v>
      </c>
      <c r="C100" s="97">
        <v>53.907545814898981</v>
      </c>
      <c r="D100" s="97">
        <v>53.359652468262787</v>
      </c>
      <c r="E100" s="97">
        <v>52.861955053729162</v>
      </c>
      <c r="F100" s="97">
        <v>51.984402028180895</v>
      </c>
      <c r="G100" s="97">
        <v>51.465492798509999</v>
      </c>
      <c r="H100" s="97">
        <v>50.564691357182156</v>
      </c>
      <c r="I100" s="97">
        <v>49.158734745708301</v>
      </c>
      <c r="J100" s="97">
        <v>48.355687936952918</v>
      </c>
      <c r="K100" s="97">
        <v>47.013977830481892</v>
      </c>
      <c r="L100" s="97">
        <v>46.415067112194123</v>
      </c>
      <c r="M100" s="97">
        <v>45.882923805040356</v>
      </c>
      <c r="N100" s="97">
        <v>45.428525678802288</v>
      </c>
      <c r="O100" s="97">
        <v>45.144056912261725</v>
      </c>
      <c r="P100" s="97">
        <v>45.075453544525011</v>
      </c>
      <c r="Q100" s="97">
        <v>44.870009883761099</v>
      </c>
      <c r="R100" s="97">
        <v>44.689998119927537</v>
      </c>
      <c r="S100" s="97">
        <v>44.570319050422825</v>
      </c>
      <c r="T100" s="97">
        <v>44.449947249004921</v>
      </c>
      <c r="U100" s="97">
        <v>44.321849072157029</v>
      </c>
      <c r="V100" s="97">
        <v>44.101520990674658</v>
      </c>
      <c r="W100" s="97">
        <v>43.810335324313989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34.634105438082152</v>
      </c>
      <c r="S102" s="97">
        <v>34.634105438082152</v>
      </c>
      <c r="T102" s="97">
        <v>34.634105438082152</v>
      </c>
      <c r="U102" s="97">
        <v>34.634105438082152</v>
      </c>
      <c r="V102" s="97">
        <v>34.634105438082152</v>
      </c>
      <c r="W102" s="97">
        <v>34.583787417000337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24.300811653054293</v>
      </c>
      <c r="M103" s="97">
        <v>24.160797570755012</v>
      </c>
      <c r="N103" s="97">
        <v>24.159451726861189</v>
      </c>
      <c r="O103" s="97">
        <v>24.158274839329469</v>
      </c>
      <c r="P103" s="97">
        <v>23.920959829812649</v>
      </c>
      <c r="Q103" s="97">
        <v>23.741940666652873</v>
      </c>
      <c r="R103" s="97">
        <v>23.596913455756241</v>
      </c>
      <c r="S103" s="97">
        <v>23.477228230559351</v>
      </c>
      <c r="T103" s="97">
        <v>23.381236748141848</v>
      </c>
      <c r="U103" s="97">
        <v>23.311670506441086</v>
      </c>
      <c r="V103" s="97">
        <v>23.272929689336795</v>
      </c>
      <c r="W103" s="97">
        <v>23.271726024499042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9.2315456926967006</v>
      </c>
      <c r="C105" s="141">
        <v>9.1626194311999534</v>
      </c>
      <c r="D105" s="141">
        <v>9.0855396300667799</v>
      </c>
      <c r="E105" s="141">
        <v>9.0005153997394913</v>
      </c>
      <c r="F105" s="141">
        <v>8.6812890994911118</v>
      </c>
      <c r="G105" s="141">
        <v>8.6196130787732077</v>
      </c>
      <c r="H105" s="141">
        <v>8.5146383239296899</v>
      </c>
      <c r="I105" s="141">
        <v>8.4456501499481149</v>
      </c>
      <c r="J105" s="141">
        <v>8.3902004336721188</v>
      </c>
      <c r="K105" s="141">
        <v>8.3913151467939695</v>
      </c>
      <c r="L105" s="141">
        <v>8.4663412225717654</v>
      </c>
      <c r="M105" s="141">
        <v>8.4472854533310944</v>
      </c>
      <c r="N105" s="141">
        <v>8.4256108219030672</v>
      </c>
      <c r="O105" s="141">
        <v>8.2678288337575019</v>
      </c>
      <c r="P105" s="141">
        <v>8.2419046465874466</v>
      </c>
      <c r="Q105" s="141">
        <v>8.2008945525947912</v>
      </c>
      <c r="R105" s="141">
        <v>7.9849825864286066</v>
      </c>
      <c r="S105" s="141">
        <v>7.9792634382556455</v>
      </c>
      <c r="T105" s="141">
        <v>7.9043742871387472</v>
      </c>
      <c r="U105" s="141">
        <v>7.9319444940033552</v>
      </c>
      <c r="V105" s="141">
        <v>7.8801035359807656</v>
      </c>
      <c r="W105" s="141">
        <v>7.783135736641511</v>
      </c>
      <c r="DA105" s="174" t="s">
        <v>876</v>
      </c>
    </row>
    <row r="106" spans="1:105" ht="11.45" customHeight="1" x14ac:dyDescent="0.25">
      <c r="A106" s="111" t="s">
        <v>110</v>
      </c>
      <c r="B106" s="96">
        <v>8.111216853918382</v>
      </c>
      <c r="C106" s="96">
        <v>7.9697270962117459</v>
      </c>
      <c r="D106" s="96">
        <v>7.8150673584424393</v>
      </c>
      <c r="E106" s="96">
        <v>7.6511841526217657</v>
      </c>
      <c r="F106" s="96">
        <v>7.1633883374416261</v>
      </c>
      <c r="G106" s="96">
        <v>7.0459639273063122</v>
      </c>
      <c r="H106" s="96">
        <v>6.9261500446214344</v>
      </c>
      <c r="I106" s="96">
        <v>6.8217762376711768</v>
      </c>
      <c r="J106" s="96">
        <v>6.7458422905007209</v>
      </c>
      <c r="K106" s="96">
        <v>6.6900587015718322</v>
      </c>
      <c r="L106" s="96">
        <v>6.4714056070620263</v>
      </c>
      <c r="M106" s="96">
        <v>6.4727617389324319</v>
      </c>
      <c r="N106" s="96">
        <v>6.4731129646112242</v>
      </c>
      <c r="O106" s="96">
        <v>6.488674419342443</v>
      </c>
      <c r="P106" s="96">
        <v>6.4888042395633301</v>
      </c>
      <c r="Q106" s="96">
        <v>6.4835773800792627</v>
      </c>
      <c r="R106" s="96">
        <v>6.4568142482574711</v>
      </c>
      <c r="S106" s="96">
        <v>6.4274007262476678</v>
      </c>
      <c r="T106" s="96">
        <v>6.4434079373867528</v>
      </c>
      <c r="U106" s="96">
        <v>6.4624747821515776</v>
      </c>
      <c r="V106" s="96">
        <v>6.4584935237683183</v>
      </c>
      <c r="W106" s="96">
        <v>6.4380763899270708</v>
      </c>
      <c r="DA106" s="171" t="s">
        <v>877</v>
      </c>
    </row>
    <row r="107" spans="1:105" ht="11.45" customHeight="1" x14ac:dyDescent="0.25">
      <c r="A107" s="111" t="s">
        <v>111</v>
      </c>
      <c r="B107" s="96">
        <v>9.8994484995573071</v>
      </c>
      <c r="C107" s="96">
        <v>9.8337313075442374</v>
      </c>
      <c r="D107" s="96">
        <v>9.760514086812746</v>
      </c>
      <c r="E107" s="96">
        <v>9.6686369868507214</v>
      </c>
      <c r="F107" s="96">
        <v>9.6050670666152129</v>
      </c>
      <c r="G107" s="96">
        <v>9.4532781780159603</v>
      </c>
      <c r="H107" s="96">
        <v>9.4004809329916075</v>
      </c>
      <c r="I107" s="96">
        <v>9.2982743508154435</v>
      </c>
      <c r="J107" s="96">
        <v>9.2402449733902099</v>
      </c>
      <c r="K107" s="96">
        <v>9.2014899345701036</v>
      </c>
      <c r="L107" s="96">
        <v>9.1658148159423032</v>
      </c>
      <c r="M107" s="96">
        <v>9.1583045071590661</v>
      </c>
      <c r="N107" s="96">
        <v>9.1193775693706982</v>
      </c>
      <c r="O107" s="96">
        <v>9.0364491170640449</v>
      </c>
      <c r="P107" s="96">
        <v>8.9904553155994016</v>
      </c>
      <c r="Q107" s="96">
        <v>8.9320606572397399</v>
      </c>
      <c r="R107" s="96">
        <v>8.8161931025570084</v>
      </c>
      <c r="S107" s="96">
        <v>8.68477880360226</v>
      </c>
      <c r="T107" s="96">
        <v>8.5202504230008245</v>
      </c>
      <c r="U107" s="96">
        <v>8.4081131377920002</v>
      </c>
      <c r="V107" s="96">
        <v>8.330306377693887</v>
      </c>
      <c r="W107" s="96">
        <v>8.1873917877015643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8.7307889142769852</v>
      </c>
      <c r="O108" s="96">
        <v>6.9255264529732132</v>
      </c>
      <c r="P108" s="96">
        <v>10.620622803940687</v>
      </c>
      <c r="Q108" s="96">
        <v>10.582662859319932</v>
      </c>
      <c r="R108" s="96">
        <v>10.542952916401976</v>
      </c>
      <c r="S108" s="96">
        <v>10.429589949171051</v>
      </c>
      <c r="T108" s="96">
        <v>10.224788704419177</v>
      </c>
      <c r="U108" s="96">
        <v>9.9748570848198064</v>
      </c>
      <c r="V108" s="96">
        <v>9.8573851324772797</v>
      </c>
      <c r="W108" s="96">
        <v>9.8222174083629792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7.9545825342236522</v>
      </c>
      <c r="O109" s="96">
        <v>8.340963121006773</v>
      </c>
      <c r="P109" s="96">
        <v>8.0823636770233147</v>
      </c>
      <c r="Q109" s="96">
        <v>7.3799595662576092</v>
      </c>
      <c r="R109" s="96">
        <v>10.686987749409866</v>
      </c>
      <c r="S109" s="96">
        <v>10.534525314112306</v>
      </c>
      <c r="T109" s="96">
        <v>9.8148864505049076</v>
      </c>
      <c r="U109" s="96">
        <v>9.8009103075455393</v>
      </c>
      <c r="V109" s="96">
        <v>8.8175271821160646</v>
      </c>
      <c r="W109" s="96">
        <v>8.8230906630462478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0</v>
      </c>
      <c r="O110" s="96">
        <v>1.9362723616840751</v>
      </c>
      <c r="P110" s="96">
        <v>1.9528204901371666</v>
      </c>
      <c r="Q110" s="96">
        <v>2.0432037914584136</v>
      </c>
      <c r="R110" s="96">
        <v>2.0807278817595618</v>
      </c>
      <c r="S110" s="96">
        <v>2.0634328000182762</v>
      </c>
      <c r="T110" s="96">
        <v>2.1731325502022232</v>
      </c>
      <c r="U110" s="96">
        <v>2.2085595716132045</v>
      </c>
      <c r="V110" s="96">
        <v>2.2476683095293692</v>
      </c>
      <c r="W110" s="96">
        <v>2.378900819117121</v>
      </c>
      <c r="DA110" s="171" t="s">
        <v>881</v>
      </c>
    </row>
    <row r="111" spans="1:105" ht="11.45" customHeight="1" x14ac:dyDescent="0.25">
      <c r="A111" s="109" t="s">
        <v>158</v>
      </c>
      <c r="B111" s="130">
        <v>29.740694963745852</v>
      </c>
      <c r="C111" s="130">
        <v>28.868906784787114</v>
      </c>
      <c r="D111" s="130">
        <v>27.76837044546523</v>
      </c>
      <c r="E111" s="130">
        <v>27.140909362038062</v>
      </c>
      <c r="F111" s="130">
        <v>27.301370858448877</v>
      </c>
      <c r="G111" s="130">
        <v>26.795138304111642</v>
      </c>
      <c r="H111" s="130">
        <v>26.357316537007183</v>
      </c>
      <c r="I111" s="130">
        <v>26.272232617670223</v>
      </c>
      <c r="J111" s="130">
        <v>25.851848005769547</v>
      </c>
      <c r="K111" s="130">
        <v>25.717103330651206</v>
      </c>
      <c r="L111" s="130">
        <v>25.627371663251513</v>
      </c>
      <c r="M111" s="130">
        <v>25.53696288352209</v>
      </c>
      <c r="N111" s="130">
        <v>25.475519586970826</v>
      </c>
      <c r="O111" s="130">
        <v>25.11494022737255</v>
      </c>
      <c r="P111" s="130">
        <v>24.764428880571895</v>
      </c>
      <c r="Q111" s="130">
        <v>24.678197679122189</v>
      </c>
      <c r="R111" s="130">
        <v>24.4062823950382</v>
      </c>
      <c r="S111" s="130">
        <v>24.123225847435805</v>
      </c>
      <c r="T111" s="130">
        <v>24.016873627861386</v>
      </c>
      <c r="U111" s="130">
        <v>23.593049361783947</v>
      </c>
      <c r="V111" s="130">
        <v>23.416591287586201</v>
      </c>
      <c r="W111" s="130">
        <v>23.28288987626728</v>
      </c>
      <c r="DA111" s="176" t="s">
        <v>882</v>
      </c>
    </row>
    <row r="112" spans="1:105" ht="11.45" customHeight="1" x14ac:dyDescent="0.25">
      <c r="A112" s="128" t="s">
        <v>27</v>
      </c>
      <c r="B112" s="97">
        <v>27.204295691217254</v>
      </c>
      <c r="C112" s="97">
        <v>26.819071864731121</v>
      </c>
      <c r="D112" s="97">
        <v>26.389858949695764</v>
      </c>
      <c r="E112" s="97">
        <v>26.159003140983568</v>
      </c>
      <c r="F112" s="97">
        <v>25.737368193427255</v>
      </c>
      <c r="G112" s="97">
        <v>25.640629717580904</v>
      </c>
      <c r="H112" s="97">
        <v>25.519426694378129</v>
      </c>
      <c r="I112" s="97">
        <v>25.452290911506108</v>
      </c>
      <c r="J112" s="97">
        <v>25.276102367183579</v>
      </c>
      <c r="K112" s="97">
        <v>25.219989726804933</v>
      </c>
      <c r="L112" s="97">
        <v>25.160464585336857</v>
      </c>
      <c r="M112" s="97">
        <v>25.075584384135098</v>
      </c>
      <c r="N112" s="97">
        <v>25.022641930621912</v>
      </c>
      <c r="O112" s="97">
        <v>24.731506062797671</v>
      </c>
      <c r="P112" s="97">
        <v>24.445837553505438</v>
      </c>
      <c r="Q112" s="97">
        <v>24.33084705292158</v>
      </c>
      <c r="R112" s="97">
        <v>24.090884744122057</v>
      </c>
      <c r="S112" s="97">
        <v>23.818382149797248</v>
      </c>
      <c r="T112" s="97">
        <v>23.719421463792621</v>
      </c>
      <c r="U112" s="97">
        <v>23.326406658149285</v>
      </c>
      <c r="V112" s="97">
        <v>23.172367164036785</v>
      </c>
      <c r="W112" s="97">
        <v>23.047599943327882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36.28573686897311</v>
      </c>
      <c r="D113" s="98">
        <v>35.876326712754917</v>
      </c>
      <c r="E113" s="98">
        <v>35.52310672550712</v>
      </c>
      <c r="F113" s="98">
        <v>34.813531286399801</v>
      </c>
      <c r="G113" s="98">
        <v>34.432979663548636</v>
      </c>
      <c r="H113" s="98">
        <v>33.997388842555893</v>
      </c>
      <c r="I113" s="98">
        <v>33.255713399147531</v>
      </c>
      <c r="J113" s="98">
        <v>32.97396731346749</v>
      </c>
      <c r="K113" s="98">
        <v>32.670689536599809</v>
      </c>
      <c r="L113" s="98">
        <v>32.185371571645618</v>
      </c>
      <c r="M113" s="98">
        <v>31.774973261338008</v>
      </c>
      <c r="N113" s="98">
        <v>31.488952543958675</v>
      </c>
      <c r="O113" s="98">
        <v>31.022860518907649</v>
      </c>
      <c r="P113" s="98">
        <v>30.668538305295023</v>
      </c>
      <c r="Q113" s="98">
        <v>30.073704337251865</v>
      </c>
      <c r="R113" s="98">
        <v>29.495649902426567</v>
      </c>
      <c r="S113" s="98">
        <v>28.918918209917479</v>
      </c>
      <c r="T113" s="98">
        <v>28.547575758871211</v>
      </c>
      <c r="U113" s="98">
        <v>27.960213716179016</v>
      </c>
      <c r="V113" s="98">
        <v>27.582638668671279</v>
      </c>
      <c r="W113" s="98">
        <v>27.108537024984102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1.1275000000068984</v>
      </c>
      <c r="C117" s="150">
        <f>IF(TrRoad_act!C59=0,0,TrRoad_ene!C62/TrRoad_tech!C90)</f>
        <v>1.1276992036038438</v>
      </c>
      <c r="D117" s="150">
        <f>IF(TrRoad_act!D59=0,0,TrRoad_ene!D62/TrRoad_tech!D90)</f>
        <v>1.1282007557199416</v>
      </c>
      <c r="E117" s="150">
        <f>IF(TrRoad_act!E59=0,0,TrRoad_ene!E62/TrRoad_tech!E90)</f>
        <v>1.1288608877133322</v>
      </c>
      <c r="F117" s="150">
        <f>IF(TrRoad_act!F59=0,0,TrRoad_ene!F62/TrRoad_tech!F90)</f>
        <v>1.1312274447511208</v>
      </c>
      <c r="G117" s="150">
        <f>IF(TrRoad_act!G59=0,0,TrRoad_ene!G62/TrRoad_tech!G90)</f>
        <v>1.1350111935251548</v>
      </c>
      <c r="H117" s="150">
        <f>IF(TrRoad_act!H59=0,0,TrRoad_ene!H62/TrRoad_tech!H90)</f>
        <v>1.1373865122738602</v>
      </c>
      <c r="I117" s="150">
        <f>IF(TrRoad_act!I59=0,0,TrRoad_ene!I62/TrRoad_tech!I90)</f>
        <v>1.144075169141455</v>
      </c>
      <c r="J117" s="150">
        <f>IF(TrRoad_act!J59=0,0,TrRoad_ene!J62/TrRoad_tech!J90)</f>
        <v>1.1519151059124284</v>
      </c>
      <c r="K117" s="150">
        <f>IF(TrRoad_act!K59=0,0,TrRoad_ene!K62/TrRoad_tech!K90)</f>
        <v>1.1609647316249445</v>
      </c>
      <c r="L117" s="150">
        <f>IF(TrRoad_act!L59=0,0,TrRoad_ene!L62/TrRoad_tech!L90)</f>
        <v>1.1692863520367749</v>
      </c>
      <c r="M117" s="150">
        <f>IF(TrRoad_act!M59=0,0,TrRoad_ene!M62/TrRoad_tech!M90)</f>
        <v>1.1781717494841719</v>
      </c>
      <c r="N117" s="150">
        <f>IF(TrRoad_act!N59=0,0,TrRoad_ene!N62/TrRoad_tech!N90)</f>
        <v>1.1874924990626397</v>
      </c>
      <c r="O117" s="150">
        <f>IF(TrRoad_act!O59=0,0,TrRoad_ene!O62/TrRoad_tech!O90)</f>
        <v>1.198194070883241</v>
      </c>
      <c r="P117" s="150">
        <f>IF(TrRoad_act!P59=0,0,TrRoad_ene!P62/TrRoad_tech!P90)</f>
        <v>1.2100794615709534</v>
      </c>
      <c r="Q117" s="150">
        <f>IF(TrRoad_act!Q59=0,0,TrRoad_ene!Q62/TrRoad_tech!Q90)</f>
        <v>1.2238545744009837</v>
      </c>
      <c r="R117" s="150">
        <f>IF(TrRoad_act!R59=0,0,TrRoad_ene!R62/TrRoad_tech!R90)</f>
        <v>1.2341718166035969</v>
      </c>
      <c r="S117" s="150">
        <f>IF(TrRoad_act!S59=0,0,TrRoad_ene!S62/TrRoad_tech!S90)</f>
        <v>1.2468645314575524</v>
      </c>
      <c r="T117" s="150">
        <f>IF(TrRoad_act!T59=0,0,TrRoad_ene!T62/TrRoad_tech!T90)</f>
        <v>1.2618212854970126</v>
      </c>
      <c r="U117" s="150">
        <f>IF(TrRoad_act!U59=0,0,TrRoad_ene!U62/TrRoad_tech!U90)</f>
        <v>1.2740983996198429</v>
      </c>
      <c r="V117" s="150">
        <f>IF(TrRoad_act!V59=0,0,TrRoad_ene!V62/TrRoad_tech!V90)</f>
        <v>1.291019953173989</v>
      </c>
      <c r="W117" s="150">
        <f>IF(TrRoad_act!W59=0,0,TrRoad_ene!W62/TrRoad_tech!W90)</f>
        <v>1.2932756708867312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0.92394690930307277</v>
      </c>
      <c r="C118" s="151">
        <f>IF(TrRoad_act!C60=0,0,TrRoad_ene!C63/TrRoad_tech!C91)</f>
        <v>0.95907401871611797</v>
      </c>
      <c r="D118" s="151">
        <f>IF(TrRoad_act!D60=0,0,TrRoad_ene!D63/TrRoad_tech!D91)</f>
        <v>1.0899465540969622</v>
      </c>
      <c r="E118" s="151">
        <f>IF(TrRoad_act!E60=0,0,TrRoad_ene!E63/TrRoad_tech!E91)</f>
        <v>1.0295982291140944</v>
      </c>
      <c r="F118" s="151">
        <f>IF(TrRoad_act!F60=0,0,TrRoad_ene!F63/TrRoad_tech!F91)</f>
        <v>0.96178961350504311</v>
      </c>
      <c r="G118" s="151">
        <f>IF(TrRoad_act!G60=0,0,TrRoad_ene!G63/TrRoad_tech!G91)</f>
        <v>1.0023832940841135</v>
      </c>
      <c r="H118" s="151">
        <f>IF(TrRoad_act!H60=0,0,TrRoad_ene!H63/TrRoad_tech!H91)</f>
        <v>0.96268135575575287</v>
      </c>
      <c r="I118" s="151">
        <f>IF(TrRoad_act!I60=0,0,TrRoad_ene!I63/TrRoad_tech!I91)</f>
        <v>1.0181928457090748</v>
      </c>
      <c r="J118" s="151">
        <f>IF(TrRoad_act!J60=0,0,TrRoad_ene!J63/TrRoad_tech!J91)</f>
        <v>1.051026652364599</v>
      </c>
      <c r="K118" s="151">
        <f>IF(TrRoad_act!K60=0,0,TrRoad_ene!K63/TrRoad_tech!K91)</f>
        <v>0.99890740250329368</v>
      </c>
      <c r="L118" s="151">
        <f>IF(TrRoad_act!L60=0,0,TrRoad_ene!L63/TrRoad_tech!L91)</f>
        <v>0.99242060048932401</v>
      </c>
      <c r="M118" s="151">
        <f>IF(TrRoad_act!M60=0,0,TrRoad_ene!M63/TrRoad_tech!M91)</f>
        <v>0.98757832849890559</v>
      </c>
      <c r="N118" s="151">
        <f>IF(TrRoad_act!N60=0,0,TrRoad_ene!N63/TrRoad_tech!N91)</f>
        <v>0.96982716039978178</v>
      </c>
      <c r="O118" s="151">
        <f>IF(TrRoad_act!O60=0,0,TrRoad_ene!O63/TrRoad_tech!O91)</f>
        <v>0.9631018755840125</v>
      </c>
      <c r="P118" s="151">
        <f>IF(TrRoad_act!P60=0,0,TrRoad_ene!P63/TrRoad_tech!P91)</f>
        <v>0.94776090177319228</v>
      </c>
      <c r="Q118" s="151">
        <f>IF(TrRoad_act!Q60=0,0,TrRoad_ene!Q63/TrRoad_tech!Q91)</f>
        <v>0.95704706451866883</v>
      </c>
      <c r="R118" s="151">
        <f>IF(TrRoad_act!R60=0,0,TrRoad_ene!R63/TrRoad_tech!R91)</f>
        <v>0.97370852516623418</v>
      </c>
      <c r="S118" s="151">
        <f>IF(TrRoad_act!S60=0,0,TrRoad_ene!S63/TrRoad_tech!S91)</f>
        <v>0.9983475816183901</v>
      </c>
      <c r="T118" s="151">
        <f>IF(TrRoad_act!T60=0,0,TrRoad_ene!T63/TrRoad_tech!T91)</f>
        <v>0.96314271516975269</v>
      </c>
      <c r="U118" s="151">
        <f>IF(TrRoad_act!U60=0,0,TrRoad_ene!U63/TrRoad_tech!U91)</f>
        <v>0.95503703005020379</v>
      </c>
      <c r="V118" s="151">
        <f>IF(TrRoad_act!V60=0,0,TrRoad_ene!V63/TrRoad_tech!V91)</f>
        <v>0.96742396597031999</v>
      </c>
      <c r="W118" s="151">
        <f>IF(TrRoad_act!W60=0,0,TrRoad_ene!W63/TrRoad_tech!W91)</f>
        <v>0.9902971846380505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0.88657534555287976</v>
      </c>
      <c r="C119" s="91">
        <f>IF(TrRoad_act!C61=0,0,TrRoad_ene!C64/TrRoad_tech!C92)</f>
        <v>0.93645342446762359</v>
      </c>
      <c r="D119" s="91">
        <f>IF(TrRoad_act!D61=0,0,TrRoad_ene!D64/TrRoad_tech!D92)</f>
        <v>1.112267533477072</v>
      </c>
      <c r="E119" s="91">
        <f>IF(TrRoad_act!E61=0,0,TrRoad_ene!E64/TrRoad_tech!E92)</f>
        <v>1.0409109381920423</v>
      </c>
      <c r="F119" s="91">
        <f>IF(TrRoad_act!F61=0,0,TrRoad_ene!F64/TrRoad_tech!F92)</f>
        <v>0.94286934082972185</v>
      </c>
      <c r="G119" s="91">
        <f>IF(TrRoad_act!G61=0,0,TrRoad_ene!G64/TrRoad_tech!G92)</f>
        <v>0.99042044305779653</v>
      </c>
      <c r="H119" s="91">
        <f>IF(TrRoad_act!H61=0,0,TrRoad_ene!H64/TrRoad_tech!H92)</f>
        <v>0.93445770642809944</v>
      </c>
      <c r="I119" s="91">
        <f>IF(TrRoad_act!I61=0,0,TrRoad_ene!I64/TrRoad_tech!I92)</f>
        <v>0.99832562248908518</v>
      </c>
      <c r="J119" s="91">
        <f>IF(TrRoad_act!J61=0,0,TrRoad_ene!J64/TrRoad_tech!J92)</f>
        <v>1.0607015900207715</v>
      </c>
      <c r="K119" s="91">
        <f>IF(TrRoad_act!K61=0,0,TrRoad_ene!K64/TrRoad_tech!K92)</f>
        <v>0.98361318873167669</v>
      </c>
      <c r="L119" s="91">
        <f>IF(TrRoad_act!L61=0,0,TrRoad_ene!L64/TrRoad_tech!L92)</f>
        <v>0.96303303390729478</v>
      </c>
      <c r="M119" s="91">
        <f>IF(TrRoad_act!M61=0,0,TrRoad_ene!M64/TrRoad_tech!M92)</f>
        <v>0.9531231402894772</v>
      </c>
      <c r="N119" s="91">
        <f>IF(TrRoad_act!N61=0,0,TrRoad_ene!N64/TrRoad_tech!N92)</f>
        <v>0.92464594543296419</v>
      </c>
      <c r="O119" s="91">
        <f>IF(TrRoad_act!O61=0,0,TrRoad_ene!O64/TrRoad_tech!O92)</f>
        <v>0.91452891294797478</v>
      </c>
      <c r="P119" s="91">
        <f>IF(TrRoad_act!P61=0,0,TrRoad_ene!P64/TrRoad_tech!P92)</f>
        <v>0.9024027783019396</v>
      </c>
      <c r="Q119" s="91">
        <f>IF(TrRoad_act!Q61=0,0,TrRoad_ene!Q64/TrRoad_tech!Q92)</f>
        <v>0.91543100104007724</v>
      </c>
      <c r="R119" s="91">
        <f>IF(TrRoad_act!R61=0,0,TrRoad_ene!R64/TrRoad_tech!R92)</f>
        <v>0.93469121656017939</v>
      </c>
      <c r="S119" s="91">
        <f>IF(TrRoad_act!S61=0,0,TrRoad_ene!S64/TrRoad_tech!S92)</f>
        <v>0.95740941171528238</v>
      </c>
      <c r="T119" s="91">
        <f>IF(TrRoad_act!T61=0,0,TrRoad_ene!T64/TrRoad_tech!T92)</f>
        <v>0.89420719915010793</v>
      </c>
      <c r="U119" s="91">
        <f>IF(TrRoad_act!U61=0,0,TrRoad_ene!U64/TrRoad_tech!U92)</f>
        <v>0.88193175866226581</v>
      </c>
      <c r="V119" s="91">
        <f>IF(TrRoad_act!V61=0,0,TrRoad_ene!V64/TrRoad_tech!V92)</f>
        <v>0.89884531502916853</v>
      </c>
      <c r="W119" s="91">
        <f>IF(TrRoad_act!W61=0,0,TrRoad_ene!W64/TrRoad_tech!W92)</f>
        <v>0.91773300758255283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1.0263424088954829</v>
      </c>
      <c r="C120" s="91">
        <f>IF(TrRoad_act!C62=0,0,TrRoad_ene!C65/TrRoad_tech!C93)</f>
        <v>1.0218437893172756</v>
      </c>
      <c r="D120" s="91">
        <f>IF(TrRoad_act!D62=0,0,TrRoad_ene!D65/TrRoad_tech!D93)</f>
        <v>1.0391415471396885</v>
      </c>
      <c r="E120" s="91">
        <f>IF(TrRoad_act!E62=0,0,TrRoad_ene!E65/TrRoad_tech!E93)</f>
        <v>1.0150689989132646</v>
      </c>
      <c r="F120" s="91">
        <f>IF(TrRoad_act!F62=0,0,TrRoad_ene!F65/TrRoad_tech!F93)</f>
        <v>1.0180030256079784</v>
      </c>
      <c r="G120" s="91">
        <f>IF(TrRoad_act!G62=0,0,TrRoad_ene!G65/TrRoad_tech!G93)</f>
        <v>1.0367279476920765</v>
      </c>
      <c r="H120" s="91">
        <f>IF(TrRoad_act!H62=0,0,TrRoad_ene!H65/TrRoad_tech!H93)</f>
        <v>1.0469943958006123</v>
      </c>
      <c r="I120" s="91">
        <f>IF(TrRoad_act!I62=0,0,TrRoad_ene!I65/TrRoad_tech!I93)</f>
        <v>1.0485913353292715</v>
      </c>
      <c r="J120" s="91">
        <f>IF(TrRoad_act!J62=0,0,TrRoad_ene!J65/TrRoad_tech!J93)</f>
        <v>1.0524548830965446</v>
      </c>
      <c r="K120" s="91">
        <f>IF(TrRoad_act!K62=0,0,TrRoad_ene!K65/TrRoad_tech!K93)</f>
        <v>1.0446173945581048</v>
      </c>
      <c r="L120" s="91">
        <f>IF(TrRoad_act!L62=0,0,TrRoad_ene!L65/TrRoad_tech!L93)</f>
        <v>1.0613507942702034</v>
      </c>
      <c r="M120" s="91">
        <f>IF(TrRoad_act!M62=0,0,TrRoad_ene!M65/TrRoad_tech!M93)</f>
        <v>1.0580425164681004</v>
      </c>
      <c r="N120" s="91">
        <f>IF(TrRoad_act!N62=0,0,TrRoad_ene!N65/TrRoad_tech!N93)</f>
        <v>1.0601606581317355</v>
      </c>
      <c r="O120" s="91">
        <f>IF(TrRoad_act!O62=0,0,TrRoad_ene!O65/TrRoad_tech!O93)</f>
        <v>1.067655749308225</v>
      </c>
      <c r="P120" s="91">
        <f>IF(TrRoad_act!P62=0,0,TrRoad_ene!P65/TrRoad_tech!P93)</f>
        <v>1.0658554386299508</v>
      </c>
      <c r="Q120" s="91">
        <f>IF(TrRoad_act!Q62=0,0,TrRoad_ene!Q65/TrRoad_tech!Q93)</f>
        <v>1.0659941259370909</v>
      </c>
      <c r="R120" s="91">
        <f>IF(TrRoad_act!R62=0,0,TrRoad_ene!R65/TrRoad_tech!R93)</f>
        <v>1.0825751562983756</v>
      </c>
      <c r="S120" s="91">
        <f>IF(TrRoad_act!S62=0,0,TrRoad_ene!S65/TrRoad_tech!S93)</f>
        <v>1.1129098540732476</v>
      </c>
      <c r="T120" s="91">
        <f>IF(TrRoad_act!T62=0,0,TrRoad_ene!T65/TrRoad_tech!T93)</f>
        <v>1.1232656376233754</v>
      </c>
      <c r="U120" s="91">
        <f>IF(TrRoad_act!U62=0,0,TrRoad_ene!U65/TrRoad_tech!U93)</f>
        <v>1.1154588652688071</v>
      </c>
      <c r="V120" s="91">
        <f>IF(TrRoad_act!V62=0,0,TrRoad_ene!V65/TrRoad_tech!V93)</f>
        <v>1.1107037739806935</v>
      </c>
      <c r="W120" s="91">
        <f>IF(TrRoad_act!W62=0,0,TrRoad_ene!W65/TrRoad_tech!W93)</f>
        <v>1.1311483274781879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0</v>
      </c>
      <c r="D121" s="91">
        <f>IF(TrRoad_act!D63=0,0,TrRoad_ene!D66/TrRoad_tech!D94)</f>
        <v>0</v>
      </c>
      <c r="E121" s="91">
        <f>IF(TrRoad_act!E63=0,0,TrRoad_ene!E66/TrRoad_tech!E94)</f>
        <v>0</v>
      </c>
      <c r="F121" s="91">
        <f>IF(TrRoad_act!F63=0,0,TrRoad_ene!F66/TrRoad_tech!F94)</f>
        <v>0</v>
      </c>
      <c r="G121" s="91">
        <f>IF(TrRoad_act!G63=0,0,TrRoad_ene!G66/TrRoad_tech!G94)</f>
        <v>0.94814013389452967</v>
      </c>
      <c r="H121" s="91">
        <f>IF(TrRoad_act!H63=0,0,TrRoad_ene!H66/TrRoad_tech!H94)</f>
        <v>0.95856594014625474</v>
      </c>
      <c r="I121" s="91">
        <f>IF(TrRoad_act!I63=0,0,TrRoad_ene!I66/TrRoad_tech!I94)</f>
        <v>0.98511556269787159</v>
      </c>
      <c r="J121" s="91">
        <f>IF(TrRoad_act!J63=0,0,TrRoad_ene!J66/TrRoad_tech!J94)</f>
        <v>1.0287597319800603</v>
      </c>
      <c r="K121" s="91">
        <f>IF(TrRoad_act!K63=0,0,TrRoad_ene!K66/TrRoad_tech!K94)</f>
        <v>1.0778288938021054</v>
      </c>
      <c r="L121" s="91">
        <f>IF(TrRoad_act!L63=0,0,TrRoad_ene!L66/TrRoad_tech!L94)</f>
        <v>1.0249481154650084</v>
      </c>
      <c r="M121" s="91">
        <f>IF(TrRoad_act!M63=0,0,TrRoad_ene!M66/TrRoad_tech!M94)</f>
        <v>0.96601384101932153</v>
      </c>
      <c r="N121" s="91">
        <f>IF(TrRoad_act!N63=0,0,TrRoad_ene!N66/TrRoad_tech!N94)</f>
        <v>0.96993135941877684</v>
      </c>
      <c r="O121" s="91">
        <f>IF(TrRoad_act!O63=0,0,TrRoad_ene!O66/TrRoad_tech!O94)</f>
        <v>0.97489921022652859</v>
      </c>
      <c r="P121" s="91">
        <f>IF(TrRoad_act!P63=0,0,TrRoad_ene!P66/TrRoad_tech!P94)</f>
        <v>0.80059619126801262</v>
      </c>
      <c r="Q121" s="91">
        <f>IF(TrRoad_act!Q63=0,0,TrRoad_ene!Q66/TrRoad_tech!Q94)</f>
        <v>0.8882900334088093</v>
      </c>
      <c r="R121" s="91">
        <f>IF(TrRoad_act!R63=0,0,TrRoad_ene!R66/TrRoad_tech!R94)</f>
        <v>0.91447525333066504</v>
      </c>
      <c r="S121" s="91">
        <f>IF(TrRoad_act!S63=0,0,TrRoad_ene!S66/TrRoad_tech!S94)</f>
        <v>0.97102840655607758</v>
      </c>
      <c r="T121" s="91">
        <f>IF(TrRoad_act!T63=0,0,TrRoad_ene!T66/TrRoad_tech!T94)</f>
        <v>1.0705787593141189</v>
      </c>
      <c r="U121" s="91">
        <f>IF(TrRoad_act!U63=0,0,TrRoad_ene!U66/TrRoad_tech!U94)</f>
        <v>1.1524124832452705</v>
      </c>
      <c r="V121" s="91">
        <f>IF(TrRoad_act!V63=0,0,TrRoad_ene!V66/TrRoad_tech!V94)</f>
        <v>1.2255166578365586</v>
      </c>
      <c r="W121" s="91">
        <f>IF(TrRoad_act!W63=0,0,TrRoad_ene!W66/TrRoad_tech!W94)</f>
        <v>1.4032624943091536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2.0254048673157601</v>
      </c>
      <c r="D122" s="91">
        <f>IF(TrRoad_act!D64=0,0,TrRoad_ene!D67/TrRoad_tech!D95)</f>
        <v>0.85178308496384869</v>
      </c>
      <c r="E122" s="91">
        <f>IF(TrRoad_act!E64=0,0,TrRoad_ene!E67/TrRoad_tech!E95)</f>
        <v>0.85827048663690431</v>
      </c>
      <c r="F122" s="91">
        <f>IF(TrRoad_act!F64=0,0,TrRoad_ene!F67/TrRoad_tech!F95)</f>
        <v>1.0972888829593186</v>
      </c>
      <c r="G122" s="91">
        <f>IF(TrRoad_act!G64=0,0,TrRoad_ene!G67/TrRoad_tech!G95)</f>
        <v>1.4262349336355915</v>
      </c>
      <c r="H122" s="91">
        <f>IF(TrRoad_act!H64=0,0,TrRoad_ene!H67/TrRoad_tech!H95)</f>
        <v>0.84051586413862844</v>
      </c>
      <c r="I122" s="91">
        <f>IF(TrRoad_act!I64=0,0,TrRoad_ene!I67/TrRoad_tech!I95)</f>
        <v>1.7112030963236609</v>
      </c>
      <c r="J122" s="91">
        <f>IF(TrRoad_act!J64=0,0,TrRoad_ene!J67/TrRoad_tech!J95)</f>
        <v>0.82214569933680215</v>
      </c>
      <c r="K122" s="91">
        <f>IF(TrRoad_act!K64=0,0,TrRoad_ene!K67/TrRoad_tech!K95)</f>
        <v>0.82040329376544852</v>
      </c>
      <c r="L122" s="91">
        <f>IF(TrRoad_act!L64=0,0,TrRoad_ene!L67/TrRoad_tech!L95)</f>
        <v>0.91543178249881296</v>
      </c>
      <c r="M122" s="91">
        <f>IF(TrRoad_act!M64=0,0,TrRoad_ene!M67/TrRoad_tech!M95)</f>
        <v>1.0925620348214458</v>
      </c>
      <c r="N122" s="91">
        <f>IF(TrRoad_act!N64=0,0,TrRoad_ene!N67/TrRoad_tech!N95)</f>
        <v>1.0741443776019763</v>
      </c>
      <c r="O122" s="91">
        <f>IF(TrRoad_act!O64=0,0,TrRoad_ene!O67/TrRoad_tech!O95)</f>
        <v>0.95355747625853571</v>
      </c>
      <c r="P122" s="91">
        <f>IF(TrRoad_act!P64=0,0,TrRoad_ene!P67/TrRoad_tech!P95)</f>
        <v>1.0443146326882349</v>
      </c>
      <c r="Q122" s="91">
        <f>IF(TrRoad_act!Q64=0,0,TrRoad_ene!Q67/TrRoad_tech!Q95)</f>
        <v>0.96434582477231268</v>
      </c>
      <c r="R122" s="91">
        <f>IF(TrRoad_act!R64=0,0,TrRoad_ene!R67/TrRoad_tech!R95)</f>
        <v>1.0528863136864459</v>
      </c>
      <c r="S122" s="91">
        <f>IF(TrRoad_act!S64=0,0,TrRoad_ene!S67/TrRoad_tech!S95)</f>
        <v>1.0541668658565448</v>
      </c>
      <c r="T122" s="91">
        <f>IF(TrRoad_act!T64=0,0,TrRoad_ene!T67/TrRoad_tech!T95)</f>
        <v>1.0559078723096822</v>
      </c>
      <c r="U122" s="91">
        <f>IF(TrRoad_act!U64=0,0,TrRoad_ene!U67/TrRoad_tech!U95)</f>
        <v>1.0593963112978027</v>
      </c>
      <c r="V122" s="91">
        <f>IF(TrRoad_act!V64=0,0,TrRoad_ene!V67/TrRoad_tech!V95)</f>
        <v>1.4109459975643297</v>
      </c>
      <c r="W122" s="91">
        <f>IF(TrRoad_act!W64=0,0,TrRoad_ene!W67/TrRoad_tech!W95)</f>
        <v>1.3835320411641578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1.000679353681116</v>
      </c>
      <c r="O123" s="91">
        <f>IF(TrRoad_act!O65=0,0,TrRoad_ene!O68/TrRoad_tech!O96)</f>
        <v>0.99375564711272091</v>
      </c>
      <c r="P123" s="91">
        <f>IF(TrRoad_act!P65=0,0,TrRoad_ene!P68/TrRoad_tech!P96)</f>
        <v>0.96652586410466246</v>
      </c>
      <c r="Q123" s="91">
        <f>IF(TrRoad_act!Q65=0,0,TrRoad_ene!Q68/TrRoad_tech!Q96)</f>
        <v>0.97975026998224413</v>
      </c>
      <c r="R123" s="91">
        <f>IF(TrRoad_act!R65=0,0,TrRoad_ene!R68/TrRoad_tech!R96)</f>
        <v>1.0045944934013078</v>
      </c>
      <c r="S123" s="91">
        <f>IF(TrRoad_act!S65=0,0,TrRoad_ene!S68/TrRoad_tech!S96)</f>
        <v>1.0212974952822016</v>
      </c>
      <c r="T123" s="91">
        <f>IF(TrRoad_act!T65=0,0,TrRoad_ene!T68/TrRoad_tech!T96)</f>
        <v>0.97935238952546444</v>
      </c>
      <c r="U123" s="91">
        <f>IF(TrRoad_act!U65=0,0,TrRoad_ene!U68/TrRoad_tech!U96)</f>
        <v>0.97270121650950558</v>
      </c>
      <c r="V123" s="91">
        <f>IF(TrRoad_act!V65=0,0,TrRoad_ene!V68/TrRoad_tech!V96)</f>
        <v>0.99603555604050653</v>
      </c>
      <c r="W123" s="91">
        <f>IF(TrRoad_act!W65=0,0,TrRoad_ene!W68/TrRoad_tech!W96)</f>
        <v>1.0154059363208905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1.06037037037527</v>
      </c>
      <c r="N124" s="91">
        <f>IF(TrRoad_act!N66=0,0,TrRoad_ene!N69/TrRoad_tech!N97)</f>
        <v>1.0606190680122363</v>
      </c>
      <c r="O124" s="91">
        <f>IF(TrRoad_act!O66=0,0,TrRoad_ene!O69/TrRoad_tech!O97)</f>
        <v>1.0627779608836487</v>
      </c>
      <c r="P124" s="91">
        <f>IF(TrRoad_act!P66=0,0,TrRoad_ene!P69/TrRoad_tech!P97)</f>
        <v>1.0740218092184588</v>
      </c>
      <c r="Q124" s="91">
        <f>IF(TrRoad_act!Q66=0,0,TrRoad_ene!Q69/TrRoad_tech!Q97)</f>
        <v>1.0795578999137176</v>
      </c>
      <c r="R124" s="91">
        <f>IF(TrRoad_act!R66=0,0,TrRoad_ene!R69/TrRoad_tech!R97)</f>
        <v>1.0825062731518043</v>
      </c>
      <c r="S124" s="91">
        <f>IF(TrRoad_act!S66=0,0,TrRoad_ene!S69/TrRoad_tech!S97)</f>
        <v>1.0877305002328987</v>
      </c>
      <c r="T124" s="91">
        <f>IF(TrRoad_act!T66=0,0,TrRoad_ene!T69/TrRoad_tech!T97)</f>
        <v>1.0913652052403999</v>
      </c>
      <c r="U124" s="91">
        <f>IF(TrRoad_act!U66=0,0,TrRoad_ene!U69/TrRoad_tech!U97)</f>
        <v>1.0925085092797966</v>
      </c>
      <c r="V124" s="91">
        <f>IF(TrRoad_act!V66=0,0,TrRoad_ene!V69/TrRoad_tech!V97)</f>
        <v>1.0954051052308287</v>
      </c>
      <c r="W124" s="91">
        <f>IF(TrRoad_act!W66=0,0,TrRoad_ene!W69/TrRoad_tech!W97)</f>
        <v>1.0968868755318366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1.0999862800856175</v>
      </c>
      <c r="C125" s="151">
        <f>IF(TrRoad_act!C67=0,0,TrRoad_ene!C70/TrRoad_tech!C98)</f>
        <v>1.089724828325924</v>
      </c>
      <c r="D125" s="151">
        <f>IF(TrRoad_act!D67=0,0,TrRoad_ene!D70/TrRoad_tech!D98)</f>
        <v>1.1012487495206469</v>
      </c>
      <c r="E125" s="151">
        <f>IF(TrRoad_act!E67=0,0,TrRoad_ene!E70/TrRoad_tech!E98)</f>
        <v>1.0792106533481012</v>
      </c>
      <c r="F125" s="151">
        <f>IF(TrRoad_act!F67=0,0,TrRoad_ene!F70/TrRoad_tech!F98)</f>
        <v>1.0767568775121299</v>
      </c>
      <c r="G125" s="151">
        <f>IF(TrRoad_act!G67=0,0,TrRoad_ene!G70/TrRoad_tech!G98)</f>
        <v>1.0894396961269077</v>
      </c>
      <c r="H125" s="151">
        <f>IF(TrRoad_act!H67=0,0,TrRoad_ene!H70/TrRoad_tech!H98)</f>
        <v>1.0924117783052938</v>
      </c>
      <c r="I125" s="151">
        <f>IF(TrRoad_act!I67=0,0,TrRoad_ene!I70/TrRoad_tech!I98)</f>
        <v>1.0968915230554477</v>
      </c>
      <c r="J125" s="151">
        <f>IF(TrRoad_act!J67=0,0,TrRoad_ene!J70/TrRoad_tech!J98)</f>
        <v>1.102128455985012</v>
      </c>
      <c r="K125" s="151">
        <f>IF(TrRoad_act!K67=0,0,TrRoad_ene!K70/TrRoad_tech!K98)</f>
        <v>1.1085203043864207</v>
      </c>
      <c r="L125" s="151">
        <f>IF(TrRoad_act!L67=0,0,TrRoad_ene!L70/TrRoad_tech!L98)</f>
        <v>1.1346299916270273</v>
      </c>
      <c r="M125" s="151">
        <f>IF(TrRoad_act!M67=0,0,TrRoad_ene!M70/TrRoad_tech!M98)</f>
        <v>1.1426546138541032</v>
      </c>
      <c r="N125" s="151">
        <f>IF(TrRoad_act!N67=0,0,TrRoad_ene!N70/TrRoad_tech!N98)</f>
        <v>1.1562825209735623</v>
      </c>
      <c r="O125" s="151">
        <f>IF(TrRoad_act!O67=0,0,TrRoad_ene!O70/TrRoad_tech!O98)</f>
        <v>1.1703017281123813</v>
      </c>
      <c r="P125" s="151">
        <f>IF(TrRoad_act!P67=0,0,TrRoad_ene!P70/TrRoad_tech!P98)</f>
        <v>1.1721712031388749</v>
      </c>
      <c r="Q125" s="151">
        <f>IF(TrRoad_act!Q67=0,0,TrRoad_ene!Q70/TrRoad_tech!Q98)</f>
        <v>1.176096486953343</v>
      </c>
      <c r="R125" s="151">
        <f>IF(TrRoad_act!R67=0,0,TrRoad_ene!R70/TrRoad_tech!R98)</f>
        <v>1.1883920610840055</v>
      </c>
      <c r="S125" s="151">
        <f>IF(TrRoad_act!S67=0,0,TrRoad_ene!S70/TrRoad_tech!S98)</f>
        <v>1.2231641162754063</v>
      </c>
      <c r="T125" s="151">
        <f>IF(TrRoad_act!T67=0,0,TrRoad_ene!T70/TrRoad_tech!T98)</f>
        <v>1.2325231955861478</v>
      </c>
      <c r="U125" s="151">
        <f>IF(TrRoad_act!U67=0,0,TrRoad_ene!U70/TrRoad_tech!U98)</f>
        <v>1.2409476650812139</v>
      </c>
      <c r="V125" s="151">
        <f>IF(TrRoad_act!V67=0,0,TrRoad_ene!V70/TrRoad_tech!V98)</f>
        <v>1.2550336484782618</v>
      </c>
      <c r="W125" s="151">
        <f>IF(TrRoad_act!W67=0,0,TrRoad_ene!W70/TrRoad_tech!W98)</f>
        <v>1.2763850974851725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0</v>
      </c>
      <c r="K126" s="93">
        <f>IF(TrRoad_act!K68=0,0,TrRoad_ene!K71/TrRoad_tech!K99)</f>
        <v>0</v>
      </c>
      <c r="L126" s="93">
        <f>IF(TrRoad_act!L68=0,0,TrRoad_ene!L71/TrRoad_tech!L99)</f>
        <v>0</v>
      </c>
      <c r="M126" s="93">
        <f>IF(TrRoad_act!M68=0,0,TrRoad_ene!M71/TrRoad_tech!M99)</f>
        <v>0</v>
      </c>
      <c r="N126" s="93">
        <f>IF(TrRoad_act!N68=0,0,TrRoad_ene!N71/TrRoad_tech!N99)</f>
        <v>0</v>
      </c>
      <c r="O126" s="93">
        <f>IF(TrRoad_act!O68=0,0,TrRoad_ene!O71/TrRoad_tech!O99)</f>
        <v>0</v>
      </c>
      <c r="P126" s="93">
        <f>IF(TrRoad_act!P68=0,0,TrRoad_ene!P71/TrRoad_tech!P99)</f>
        <v>0</v>
      </c>
      <c r="Q126" s="93">
        <f>IF(TrRoad_act!Q68=0,0,TrRoad_ene!Q71/TrRoad_tech!Q99)</f>
        <v>0</v>
      </c>
      <c r="R126" s="93">
        <f>IF(TrRoad_act!R68=0,0,TrRoad_ene!R71/TrRoad_tech!R99)</f>
        <v>0</v>
      </c>
      <c r="S126" s="93">
        <f>IF(TrRoad_act!S68=0,0,TrRoad_ene!S71/TrRoad_tech!S99)</f>
        <v>0</v>
      </c>
      <c r="T126" s="93">
        <f>IF(TrRoad_act!T68=0,0,TrRoad_ene!T71/TrRoad_tech!T99)</f>
        <v>0</v>
      </c>
      <c r="U126" s="93">
        <f>IF(TrRoad_act!U68=0,0,TrRoad_ene!U71/TrRoad_tech!U99)</f>
        <v>0</v>
      </c>
      <c r="V126" s="93">
        <f>IF(TrRoad_act!V68=0,0,TrRoad_ene!V71/TrRoad_tech!V99)</f>
        <v>0</v>
      </c>
      <c r="W126" s="93">
        <f>IF(TrRoad_act!W68=0,0,TrRoad_ene!W71/TrRoad_tech!W99)</f>
        <v>0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1.0999862800856175</v>
      </c>
      <c r="C127" s="93">
        <f>IF(TrRoad_act!C69=0,0,TrRoad_ene!C72/TrRoad_tech!C100)</f>
        <v>1.0977007036893913</v>
      </c>
      <c r="D127" s="93">
        <f>IF(TrRoad_act!D69=0,0,TrRoad_ene!D72/TrRoad_tech!D100)</f>
        <v>1.1139171364385918</v>
      </c>
      <c r="E127" s="93">
        <f>IF(TrRoad_act!E69=0,0,TrRoad_ene!E72/TrRoad_tech!E100)</f>
        <v>1.0956999330583015</v>
      </c>
      <c r="F127" s="93">
        <f>IF(TrRoad_act!F69=0,0,TrRoad_ene!F72/TrRoad_tech!F100)</f>
        <v>1.09974374515927</v>
      </c>
      <c r="G127" s="93">
        <f>IF(TrRoad_act!G69=0,0,TrRoad_ene!G72/TrRoad_tech!G100)</f>
        <v>1.1165997511440937</v>
      </c>
      <c r="H127" s="93">
        <f>IF(TrRoad_act!H69=0,0,TrRoad_ene!H72/TrRoad_tech!H100)</f>
        <v>1.125532170483474</v>
      </c>
      <c r="I127" s="93">
        <f>IF(TrRoad_act!I69=0,0,TrRoad_ene!I72/TrRoad_tech!I100)</f>
        <v>1.1372769417108677</v>
      </c>
      <c r="J127" s="93">
        <f>IF(TrRoad_act!J69=0,0,TrRoad_ene!J72/TrRoad_tech!J100)</f>
        <v>1.1439165988518556</v>
      </c>
      <c r="K127" s="93">
        <f>IF(TrRoad_act!K69=0,0,TrRoad_ene!K72/TrRoad_tech!K100)</f>
        <v>1.1458931210460055</v>
      </c>
      <c r="L127" s="93">
        <f>IF(TrRoad_act!L69=0,0,TrRoad_ene!L72/TrRoad_tech!L100)</f>
        <v>1.1691315056622482</v>
      </c>
      <c r="M127" s="93">
        <f>IF(TrRoad_act!M69=0,0,TrRoad_ene!M72/TrRoad_tech!M100)</f>
        <v>1.1727314566043994</v>
      </c>
      <c r="N127" s="93">
        <f>IF(TrRoad_act!N69=0,0,TrRoad_ene!N72/TrRoad_tech!N100)</f>
        <v>1.1790525380915249</v>
      </c>
      <c r="O127" s="93">
        <f>IF(TrRoad_act!O69=0,0,TrRoad_ene!O72/TrRoad_tech!O100)</f>
        <v>1.1881642056741266</v>
      </c>
      <c r="P127" s="93">
        <f>IF(TrRoad_act!P69=0,0,TrRoad_ene!P72/TrRoad_tech!P100)</f>
        <v>1.1918232740148016</v>
      </c>
      <c r="Q127" s="93">
        <f>IF(TrRoad_act!Q69=0,0,TrRoad_ene!Q72/TrRoad_tech!Q100)</f>
        <v>1.1937126701474399</v>
      </c>
      <c r="R127" s="93">
        <f>IF(TrRoad_act!R69=0,0,TrRoad_ene!R72/TrRoad_tech!R100)</f>
        <v>1.2083648790945349</v>
      </c>
      <c r="S127" s="93">
        <f>IF(TrRoad_act!S69=0,0,TrRoad_ene!S72/TrRoad_tech!S100)</f>
        <v>1.2408306329540419</v>
      </c>
      <c r="T127" s="93">
        <f>IF(TrRoad_act!T69=0,0,TrRoad_ene!T72/TrRoad_tech!T100)</f>
        <v>1.2545573106753514</v>
      </c>
      <c r="U127" s="93">
        <f>IF(TrRoad_act!U69=0,0,TrRoad_ene!U72/TrRoad_tech!U100)</f>
        <v>1.2545479142839604</v>
      </c>
      <c r="V127" s="93">
        <f>IF(TrRoad_act!V69=0,0,TrRoad_ene!V72/TrRoad_tech!V100)</f>
        <v>1.2663714919433693</v>
      </c>
      <c r="W127" s="93">
        <f>IF(TrRoad_act!W69=0,0,TrRoad_ene!W72/TrRoad_tech!W100)</f>
        <v>1.2948521201571137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0</v>
      </c>
      <c r="R129" s="93">
        <f>IF(TrRoad_act!R71=0,0,TrRoad_ene!R74/TrRoad_tech!R102)</f>
        <v>0.59744630540383326</v>
      </c>
      <c r="S129" s="93">
        <f>IF(TrRoad_act!S71=0,0,TrRoad_ene!S74/TrRoad_tech!S102)</f>
        <v>0.90674436459389351</v>
      </c>
      <c r="T129" s="93">
        <f>IF(TrRoad_act!T71=0,0,TrRoad_ene!T74/TrRoad_tech!T102)</f>
        <v>0.65344401653263362</v>
      </c>
      <c r="U129" s="93">
        <f>IF(TrRoad_act!U71=0,0,TrRoad_ene!U74/TrRoad_tech!U102)</f>
        <v>1.3172635731932028</v>
      </c>
      <c r="V129" s="93">
        <f>IF(TrRoad_act!V71=0,0,TrRoad_ene!V74/TrRoad_tech!V102)</f>
        <v>1.7432354195456377</v>
      </c>
      <c r="W129" s="93">
        <f>IF(TrRoad_act!W71=0,0,TrRoad_ene!W74/TrRoad_tech!W102)</f>
        <v>1.7057387743761636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1.2000000000070938</v>
      </c>
      <c r="M130" s="93">
        <f>IF(TrRoad_act!M72=0,0,TrRoad_ene!M75/TrRoad_tech!M103)</f>
        <v>1.2099443805480994</v>
      </c>
      <c r="N130" s="93">
        <f>IF(TrRoad_act!N72=0,0,TrRoad_ene!N75/TrRoad_tech!N103)</f>
        <v>1.2100450000897256</v>
      </c>
      <c r="O130" s="93">
        <f>IF(TrRoad_act!O72=0,0,TrRoad_ene!O75/TrRoad_tech!O103)</f>
        <v>1.2101291523057347</v>
      </c>
      <c r="P130" s="93">
        <f>IF(TrRoad_act!P72=0,0,TrRoad_ene!P75/TrRoad_tech!P103)</f>
        <v>1.2292250634822242</v>
      </c>
      <c r="Q130" s="93">
        <f>IF(TrRoad_act!Q72=0,0,TrRoad_ene!Q75/TrRoad_tech!Q103)</f>
        <v>1.2444294612018325</v>
      </c>
      <c r="R130" s="93">
        <f>IF(TrRoad_act!R72=0,0,TrRoad_ene!R75/TrRoad_tech!R103)</f>
        <v>1.2566309577928201</v>
      </c>
      <c r="S130" s="93">
        <f>IF(TrRoad_act!S72=0,0,TrRoad_ene!S75/TrRoad_tech!S103)</f>
        <v>1.2663241934896294</v>
      </c>
      <c r="T130" s="93">
        <f>IF(TrRoad_act!T72=0,0,TrRoad_ene!T75/TrRoad_tech!T103)</f>
        <v>1.2737092466878099</v>
      </c>
      <c r="U130" s="93">
        <f>IF(TrRoad_act!U72=0,0,TrRoad_ene!U75/TrRoad_tech!U103)</f>
        <v>1.2787640995327643</v>
      </c>
      <c r="V130" s="93">
        <f>IF(TrRoad_act!V72=0,0,TrRoad_ene!V75/TrRoad_tech!V103)</f>
        <v>1.2814184198540575</v>
      </c>
      <c r="W130" s="93">
        <f>IF(TrRoad_act!W72=0,0,TrRoad_ene!W75/TrRoad_tech!W103)</f>
        <v>1.2815179780874562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1.1439139500797639</v>
      </c>
      <c r="C132" s="150">
        <f>IF(TrRoad_act!C74=0,0,TrRoad_ene!C77/TrRoad_tech!C105)</f>
        <v>1.1651325850428138</v>
      </c>
      <c r="D132" s="150">
        <f>IF(TrRoad_act!D74=0,0,TrRoad_ene!D77/TrRoad_tech!D105)</f>
        <v>1.3608221816911783</v>
      </c>
      <c r="E132" s="150">
        <f>IF(TrRoad_act!E74=0,0,TrRoad_ene!E77/TrRoad_tech!E105)</f>
        <v>1.2899315811616014</v>
      </c>
      <c r="F132" s="150">
        <f>IF(TrRoad_act!F74=0,0,TrRoad_ene!F77/TrRoad_tech!F105)</f>
        <v>1.3367379587152288</v>
      </c>
      <c r="G132" s="150">
        <f>IF(TrRoad_act!G74=0,0,TrRoad_ene!G77/TrRoad_tech!G105)</f>
        <v>1.3936918482098302</v>
      </c>
      <c r="H132" s="150">
        <f>IF(TrRoad_act!H74=0,0,TrRoad_ene!H77/TrRoad_tech!H105)</f>
        <v>1.3093261588686931</v>
      </c>
      <c r="I132" s="150">
        <f>IF(TrRoad_act!I74=0,0,TrRoad_ene!I77/TrRoad_tech!I105)</f>
        <v>1.3718345411852009</v>
      </c>
      <c r="J132" s="150">
        <f>IF(TrRoad_act!J74=0,0,TrRoad_ene!J77/TrRoad_tech!J105)</f>
        <v>1.2817729626916863</v>
      </c>
      <c r="K132" s="150">
        <f>IF(TrRoad_act!K74=0,0,TrRoad_ene!K77/TrRoad_tech!K105)</f>
        <v>1.1695314828877075</v>
      </c>
      <c r="L132" s="150">
        <f>IF(TrRoad_act!L74=0,0,TrRoad_ene!L77/TrRoad_tech!L105)</f>
        <v>1.3325941665446273</v>
      </c>
      <c r="M132" s="150">
        <f>IF(TrRoad_act!M74=0,0,TrRoad_ene!M77/TrRoad_tech!M105)</f>
        <v>1.360239945492423</v>
      </c>
      <c r="N132" s="150">
        <f>IF(TrRoad_act!N74=0,0,TrRoad_ene!N77/TrRoad_tech!N105)</f>
        <v>1.2693887743352947</v>
      </c>
      <c r="O132" s="150">
        <f>IF(TrRoad_act!O74=0,0,TrRoad_ene!O77/TrRoad_tech!O105)</f>
        <v>1.2531475023096288</v>
      </c>
      <c r="P132" s="150">
        <f>IF(TrRoad_act!P74=0,0,TrRoad_ene!P77/TrRoad_tech!P105)</f>
        <v>1.2969366569203569</v>
      </c>
      <c r="Q132" s="150">
        <f>IF(TrRoad_act!Q74=0,0,TrRoad_ene!Q77/TrRoad_tech!Q105)</f>
        <v>1.2277312308632289</v>
      </c>
      <c r="R132" s="150">
        <f>IF(TrRoad_act!R74=0,0,TrRoad_ene!R77/TrRoad_tech!R105)</f>
        <v>1.3450034497472858</v>
      </c>
      <c r="S132" s="150">
        <f>IF(TrRoad_act!S74=0,0,TrRoad_ene!S77/TrRoad_tech!S105)</f>
        <v>1.4383662360260245</v>
      </c>
      <c r="T132" s="150">
        <f>IF(TrRoad_act!T74=0,0,TrRoad_ene!T77/TrRoad_tech!T105)</f>
        <v>1.4426290803910764</v>
      </c>
      <c r="U132" s="150">
        <f>IF(TrRoad_act!U74=0,0,TrRoad_ene!U77/TrRoad_tech!U105)</f>
        <v>1.430430245243312</v>
      </c>
      <c r="V132" s="150">
        <f>IF(TrRoad_act!V74=0,0,TrRoad_ene!V77/TrRoad_tech!V105)</f>
        <v>1.4521521020087178</v>
      </c>
      <c r="W132" s="150">
        <f>IF(TrRoad_act!W74=0,0,TrRoad_ene!W77/TrRoad_tech!W105)</f>
        <v>1.3820825207922351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1.1000000000067305</v>
      </c>
      <c r="C133" s="91">
        <f>IF(TrRoad_act!C75=0,0,TrRoad_ene!C78/TrRoad_tech!C106)</f>
        <v>1.1000108617625566</v>
      </c>
      <c r="D133" s="91">
        <f>IF(TrRoad_act!D75=0,0,TrRoad_ene!D78/TrRoad_tech!D106)</f>
        <v>1.1000412806311077</v>
      </c>
      <c r="E133" s="91">
        <f>IF(TrRoad_act!E75=0,0,TrRoad_ene!E78/TrRoad_tech!E106)</f>
        <v>1.1001018695763978</v>
      </c>
      <c r="F133" s="91">
        <f>IF(TrRoad_act!F75=0,0,TrRoad_ene!F78/TrRoad_tech!F106)</f>
        <v>1.1004442286423266</v>
      </c>
      <c r="G133" s="91">
        <f>IF(TrRoad_act!G75=0,0,TrRoad_ene!G78/TrRoad_tech!G106)</f>
        <v>1.1005772800665832</v>
      </c>
      <c r="H133" s="91">
        <f>IF(TrRoad_act!H75=0,0,TrRoad_ene!H78/TrRoad_tech!H106)</f>
        <v>1.1012732479637475</v>
      </c>
      <c r="I133" s="91">
        <f>IF(TrRoad_act!I75=0,0,TrRoad_ene!I78/TrRoad_tech!I106)</f>
        <v>1.1029418466566014</v>
      </c>
      <c r="J133" s="91">
        <f>IF(TrRoad_act!J75=0,0,TrRoad_ene!J78/TrRoad_tech!J106)</f>
        <v>1.1049131978035676</v>
      </c>
      <c r="K133" s="91">
        <f>IF(TrRoad_act!K75=0,0,TrRoad_ene!K78/TrRoad_tech!K106)</f>
        <v>1.107217159794931</v>
      </c>
      <c r="L133" s="91">
        <f>IF(TrRoad_act!L75=0,0,TrRoad_ene!L78/TrRoad_tech!L106)</f>
        <v>1.1087786760811424</v>
      </c>
      <c r="M133" s="91">
        <f>IF(TrRoad_act!M75=0,0,TrRoad_ene!M78/TrRoad_tech!M106)</f>
        <v>1.1096744160803689</v>
      </c>
      <c r="N133" s="91">
        <f>IF(TrRoad_act!N75=0,0,TrRoad_ene!N78/TrRoad_tech!N106)</f>
        <v>1.1108605055739567</v>
      </c>
      <c r="O133" s="91">
        <f>IF(TrRoad_act!O75=0,0,TrRoad_ene!O78/TrRoad_tech!O106)</f>
        <v>1.1169665294736104</v>
      </c>
      <c r="P133" s="91">
        <f>IF(TrRoad_act!P75=0,0,TrRoad_ene!P78/TrRoad_tech!P106)</f>
        <v>1.118698106553462</v>
      </c>
      <c r="Q133" s="91">
        <f>IF(TrRoad_act!Q75=0,0,TrRoad_ene!Q78/TrRoad_tech!Q106)</f>
        <v>1.1390475436293628</v>
      </c>
      <c r="R133" s="91">
        <f>IF(TrRoad_act!R75=0,0,TrRoad_ene!R78/TrRoad_tech!R106)</f>
        <v>1.1577421225371129</v>
      </c>
      <c r="S133" s="91">
        <f>IF(TrRoad_act!S75=0,0,TrRoad_ene!S78/TrRoad_tech!S106)</f>
        <v>1.1639617306385222</v>
      </c>
      <c r="T133" s="91">
        <f>IF(TrRoad_act!T75=0,0,TrRoad_ene!T78/TrRoad_tech!T106)</f>
        <v>1.171365755441512</v>
      </c>
      <c r="U133" s="91">
        <f>IF(TrRoad_act!U75=0,0,TrRoad_ene!U78/TrRoad_tech!U106)</f>
        <v>1.1818113300343023</v>
      </c>
      <c r="V133" s="91">
        <f>IF(TrRoad_act!V75=0,0,TrRoad_ene!V78/TrRoad_tech!V106)</f>
        <v>1.1826010192982317</v>
      </c>
      <c r="W133" s="91">
        <f>IF(TrRoad_act!W75=0,0,TrRoad_ene!W78/TrRoad_tech!W106)</f>
        <v>1.1904946411577666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1.1521281436169062</v>
      </c>
      <c r="C134" s="91">
        <f>IF(TrRoad_act!C76=0,0,TrRoad_ene!C79/TrRoad_tech!C107)</f>
        <v>1.1856316727377378</v>
      </c>
      <c r="D134" s="91">
        <f>IF(TrRoad_act!D76=0,0,TrRoad_ene!D79/TrRoad_tech!D107)</f>
        <v>1.4690520694230926</v>
      </c>
      <c r="E134" s="91">
        <f>IF(TrRoad_act!E76=0,0,TrRoad_ene!E79/TrRoad_tech!E107)</f>
        <v>1.3745583832978061</v>
      </c>
      <c r="F134" s="91">
        <f>IF(TrRoad_act!F76=0,0,TrRoad_ene!F79/TrRoad_tech!F107)</f>
        <v>1.4721306654023065</v>
      </c>
      <c r="G134" s="91">
        <f>IF(TrRoad_act!G76=0,0,TrRoad_ene!G79/TrRoad_tech!G107)</f>
        <v>1.5498472650651491</v>
      </c>
      <c r="H134" s="91">
        <f>IF(TrRoad_act!H76=0,0,TrRoad_ene!H79/TrRoad_tech!H107)</f>
        <v>1.4270325046137429</v>
      </c>
      <c r="I134" s="91">
        <f>IF(TrRoad_act!I76=0,0,TrRoad_ene!I79/TrRoad_tech!I107)</f>
        <v>1.5014390015605235</v>
      </c>
      <c r="J134" s="91">
        <f>IF(TrRoad_act!J76=0,0,TrRoad_ene!J79/TrRoad_tech!J107)</f>
        <v>1.3647025782319415</v>
      </c>
      <c r="K134" s="91">
        <f>IF(TrRoad_act!K76=0,0,TrRoad_ene!K79/TrRoad_tech!K107)</f>
        <v>1.1955633282203229</v>
      </c>
      <c r="L134" s="91">
        <f>IF(TrRoad_act!L76=0,0,TrRoad_ene!L79/TrRoad_tech!L107)</f>
        <v>1.3803039031826683</v>
      </c>
      <c r="M134" s="91">
        <f>IF(TrRoad_act!M76=0,0,TrRoad_ene!M79/TrRoad_tech!M107)</f>
        <v>1.4102470114689827</v>
      </c>
      <c r="N134" s="91">
        <f>IF(TrRoad_act!N76=0,0,TrRoad_ene!N79/TrRoad_tech!N107)</f>
        <v>1.2952793372847884</v>
      </c>
      <c r="O134" s="91">
        <f>IF(TrRoad_act!O76=0,0,TrRoad_ene!O79/TrRoad_tech!O107)</f>
        <v>1.2740117204638848</v>
      </c>
      <c r="P134" s="91">
        <f>IF(TrRoad_act!P76=0,0,TrRoad_ene!P79/TrRoad_tech!P107)</f>
        <v>1.3411215484401531</v>
      </c>
      <c r="Q134" s="91">
        <f>IF(TrRoad_act!Q76=0,0,TrRoad_ene!Q79/TrRoad_tech!Q107)</f>
        <v>1.2452407392758538</v>
      </c>
      <c r="R134" s="91">
        <f>IF(TrRoad_act!R76=0,0,TrRoad_ene!R79/TrRoad_tech!R107)</f>
        <v>1.4082188312821997</v>
      </c>
      <c r="S134" s="91">
        <f>IF(TrRoad_act!S76=0,0,TrRoad_ene!S79/TrRoad_tech!S107)</f>
        <v>1.5224757912200226</v>
      </c>
      <c r="T134" s="91">
        <f>IF(TrRoad_act!T76=0,0,TrRoad_ene!T79/TrRoad_tech!T107)</f>
        <v>1.5270502711450982</v>
      </c>
      <c r="U134" s="91">
        <f>IF(TrRoad_act!U76=0,0,TrRoad_ene!U79/TrRoad_tech!U107)</f>
        <v>1.4983033218228567</v>
      </c>
      <c r="V134" s="91">
        <f>IF(TrRoad_act!V76=0,0,TrRoad_ene!V79/TrRoad_tech!V107)</f>
        <v>1.5239100511493937</v>
      </c>
      <c r="W134" s="91">
        <f>IF(TrRoad_act!W76=0,0,TrRoad_ene!W79/TrRoad_tech!W107)</f>
        <v>1.4335957436633351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1.2360000000066975</v>
      </c>
      <c r="O135" s="91">
        <f>IF(TrRoad_act!O77=0,0,TrRoad_ene!O80/TrRoad_tech!O108)</f>
        <v>1.2560000000062246</v>
      </c>
      <c r="P135" s="91">
        <f>IF(TrRoad_act!P77=0,0,TrRoad_ene!P80/TrRoad_tech!P108)</f>
        <v>1.1841993701321261</v>
      </c>
      <c r="Q135" s="91">
        <f>IF(TrRoad_act!Q77=0,0,TrRoad_ene!Q80/TrRoad_tech!Q108)</f>
        <v>1.1851904756756491</v>
      </c>
      <c r="R135" s="91">
        <f>IF(TrRoad_act!R77=0,0,TrRoad_ene!R80/TrRoad_tech!R108)</f>
        <v>1.1890798848756325</v>
      </c>
      <c r="S135" s="91">
        <f>IF(TrRoad_act!S77=0,0,TrRoad_ene!S80/TrRoad_tech!S108)</f>
        <v>1.1914160108967902</v>
      </c>
      <c r="T135" s="91">
        <f>IF(TrRoad_act!T77=0,0,TrRoad_ene!T80/TrRoad_tech!T108)</f>
        <v>1.1945529379780697</v>
      </c>
      <c r="U135" s="91">
        <f>IF(TrRoad_act!U77=0,0,TrRoad_ene!U80/TrRoad_tech!U108)</f>
        <v>1.1987656768697723</v>
      </c>
      <c r="V135" s="91">
        <f>IF(TrRoad_act!V77=0,0,TrRoad_ene!V80/TrRoad_tech!V108)</f>
        <v>1.2022973231929956</v>
      </c>
      <c r="W135" s="91">
        <f>IF(TrRoad_act!W77=0,0,TrRoad_ene!W80/TrRoad_tech!W108)</f>
        <v>1.2035601682952619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1.2727378055438261</v>
      </c>
      <c r="O136" s="91">
        <f>IF(TrRoad_act!O78=0,0,TrRoad_ene!O81/TrRoad_tech!O109)</f>
        <v>1.2497970889851386</v>
      </c>
      <c r="P136" s="91">
        <f>IF(TrRoad_act!P78=0,0,TrRoad_ene!P81/TrRoad_tech!P109)</f>
        <v>1.2581439726487822</v>
      </c>
      <c r="Q136" s="91">
        <f>IF(TrRoad_act!Q78=0,0,TrRoad_ene!Q81/TrRoad_tech!Q109)</f>
        <v>1.2706732084561529</v>
      </c>
      <c r="R136" s="91">
        <f>IF(TrRoad_act!R78=0,0,TrRoad_ene!R81/TrRoad_tech!R109)</f>
        <v>1.31588947394773</v>
      </c>
      <c r="S136" s="91">
        <f>IF(TrRoad_act!S78=0,0,TrRoad_ene!S81/TrRoad_tech!S109)</f>
        <v>1.3163532087895078</v>
      </c>
      <c r="T136" s="91">
        <f>IF(TrRoad_act!T78=0,0,TrRoad_ene!T81/TrRoad_tech!T109)</f>
        <v>1.3251319947222544</v>
      </c>
      <c r="U136" s="91">
        <f>IF(TrRoad_act!U78=0,0,TrRoad_ene!U81/TrRoad_tech!U109)</f>
        <v>1.3291857120920194</v>
      </c>
      <c r="V136" s="91">
        <f>IF(TrRoad_act!V78=0,0,TrRoad_ene!V81/TrRoad_tech!V109)</f>
        <v>1.7683397673943637</v>
      </c>
      <c r="W136" s="91">
        <f>IF(TrRoad_act!W78=0,0,TrRoad_ene!W81/TrRoad_tech!W109)</f>
        <v>1.7301491140189373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0</v>
      </c>
      <c r="O137" s="91">
        <f>IF(TrRoad_act!O79=0,0,TrRoad_ene!O82/TrRoad_tech!O110)</f>
        <v>1.2560000000062244</v>
      </c>
      <c r="P137" s="91">
        <f>IF(TrRoad_act!P79=0,0,TrRoad_ene!P82/TrRoad_tech!P110)</f>
        <v>1.2773333333398114</v>
      </c>
      <c r="Q137" s="91">
        <f>IF(TrRoad_act!Q79=0,0,TrRoad_ene!Q82/TrRoad_tech!Q110)</f>
        <v>1.296498655313846</v>
      </c>
      <c r="R137" s="91">
        <f>IF(TrRoad_act!R79=0,0,TrRoad_ene!R82/TrRoad_tech!R110)</f>
        <v>1.317263573193203</v>
      </c>
      <c r="S137" s="91">
        <f>IF(TrRoad_act!S79=0,0,TrRoad_ene!S82/TrRoad_tech!S110)</f>
        <v>1.3303615355983798</v>
      </c>
      <c r="T137" s="91">
        <f>IF(TrRoad_act!T79=0,0,TrRoad_ene!T82/TrRoad_tech!T110)</f>
        <v>1.3371718887901081</v>
      </c>
      <c r="U137" s="91">
        <f>IF(TrRoad_act!U79=0,0,TrRoad_ene!U82/TrRoad_tech!U110)</f>
        <v>1.3413317201233494</v>
      </c>
      <c r="V137" s="91">
        <f>IF(TrRoad_act!V79=0,0,TrRoad_ene!V82/TrRoad_tech!V110)</f>
        <v>1.3456167689562328</v>
      </c>
      <c r="W137" s="91">
        <f>IF(TrRoad_act!W79=0,0,TrRoad_ene!W82/TrRoad_tech!W110)</f>
        <v>1.3505304645188461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1.1161099778512074</v>
      </c>
      <c r="C138" s="151">
        <f>IF(TrRoad_act!C80=0,0,TrRoad_ene!C83/TrRoad_tech!C111)</f>
        <v>1.0392057195566176</v>
      </c>
      <c r="D138" s="151">
        <f>IF(TrRoad_act!D80=0,0,TrRoad_ene!D83/TrRoad_tech!D111)</f>
        <v>1.3740567877609429</v>
      </c>
      <c r="E138" s="151">
        <f>IF(TrRoad_act!E80=0,0,TrRoad_ene!E83/TrRoad_tech!E111)</f>
        <v>0.91258335842332505</v>
      </c>
      <c r="F138" s="151">
        <f>IF(TrRoad_act!F80=0,0,TrRoad_ene!F83/TrRoad_tech!F111)</f>
        <v>0.9570472193304389</v>
      </c>
      <c r="G138" s="151">
        <f>IF(TrRoad_act!G80=0,0,TrRoad_ene!G83/TrRoad_tech!G111)</f>
        <v>1.3142299797364263</v>
      </c>
      <c r="H138" s="151">
        <f>IF(TrRoad_act!H80=0,0,TrRoad_ene!H83/TrRoad_tech!H111)</f>
        <v>1.4954821062276382</v>
      </c>
      <c r="I138" s="151">
        <f>IF(TrRoad_act!I80=0,0,TrRoad_ene!I83/TrRoad_tech!I111)</f>
        <v>1.496535677991522</v>
      </c>
      <c r="J138" s="151">
        <f>IF(TrRoad_act!J80=0,0,TrRoad_ene!J83/TrRoad_tech!J111)</f>
        <v>1.5258920742705882</v>
      </c>
      <c r="K138" s="151">
        <f>IF(TrRoad_act!K80=0,0,TrRoad_ene!K83/TrRoad_tech!K111)</f>
        <v>1.381572473169604</v>
      </c>
      <c r="L138" s="151">
        <f>IF(TrRoad_act!L80=0,0,TrRoad_ene!L83/TrRoad_tech!L111)</f>
        <v>1.6175394014450106</v>
      </c>
      <c r="M138" s="151">
        <f>IF(TrRoad_act!M80=0,0,TrRoad_ene!M83/TrRoad_tech!M111)</f>
        <v>1.5270168131138988</v>
      </c>
      <c r="N138" s="151">
        <f>IF(TrRoad_act!N80=0,0,TrRoad_ene!N83/TrRoad_tech!N111)</f>
        <v>1.5288178475295449</v>
      </c>
      <c r="O138" s="151">
        <f>IF(TrRoad_act!O80=0,0,TrRoad_ene!O83/TrRoad_tech!O111)</f>
        <v>1.6483542355045828</v>
      </c>
      <c r="P138" s="151">
        <f>IF(TrRoad_act!P80=0,0,TrRoad_ene!P83/TrRoad_tech!P111)</f>
        <v>1.5680254020985198</v>
      </c>
      <c r="Q138" s="151">
        <f>IF(TrRoad_act!Q80=0,0,TrRoad_ene!Q83/TrRoad_tech!Q111)</f>
        <v>1.5286705306498471</v>
      </c>
      <c r="R138" s="151">
        <f>IF(TrRoad_act!R80=0,0,TrRoad_ene!R83/TrRoad_tech!R111)</f>
        <v>1.7077210156677647</v>
      </c>
      <c r="S138" s="151">
        <f>IF(TrRoad_act!S80=0,0,TrRoad_ene!S83/TrRoad_tech!S111)</f>
        <v>2.1709061113249133</v>
      </c>
      <c r="T138" s="151">
        <f>IF(TrRoad_act!T80=0,0,TrRoad_ene!T83/TrRoad_tech!T111)</f>
        <v>2.3164607187014048</v>
      </c>
      <c r="U138" s="151">
        <f>IF(TrRoad_act!U80=0,0,TrRoad_ene!U83/TrRoad_tech!U111)</f>
        <v>2.1429242532684354</v>
      </c>
      <c r="V138" s="151">
        <f>IF(TrRoad_act!V80=0,0,TrRoad_ene!V83/TrRoad_tech!V111)</f>
        <v>2.020457649607716</v>
      </c>
      <c r="W138" s="151">
        <f>IF(TrRoad_act!W80=0,0,TrRoad_ene!W83/TrRoad_tech!W111)</f>
        <v>2.3345269921807108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1.0931621585920677</v>
      </c>
      <c r="C139" s="93">
        <f>IF(TrRoad_act!C81=0,0,TrRoad_ene!C84/TrRoad_tech!C112)</f>
        <v>1.0727764288701507</v>
      </c>
      <c r="D139" s="93">
        <f>IF(TrRoad_act!D81=0,0,TrRoad_ene!D84/TrRoad_tech!D112)</f>
        <v>1.1523810322410228</v>
      </c>
      <c r="E139" s="93">
        <f>IF(TrRoad_act!E81=0,0,TrRoad_ene!E84/TrRoad_tech!E112)</f>
        <v>1.0479239254223551</v>
      </c>
      <c r="F139" s="93">
        <f>IF(TrRoad_act!F81=0,0,TrRoad_ene!F84/TrRoad_tech!F112)</f>
        <v>1.0654032611781095</v>
      </c>
      <c r="G139" s="93">
        <f>IF(TrRoad_act!G81=0,0,TrRoad_ene!G84/TrRoad_tech!G112)</f>
        <v>1.1496586020708699</v>
      </c>
      <c r="H139" s="93">
        <f>IF(TrRoad_act!H81=0,0,TrRoad_ene!H84/TrRoad_tech!H112)</f>
        <v>1.1956571729134915</v>
      </c>
      <c r="I139" s="93">
        <f>IF(TrRoad_act!I81=0,0,TrRoad_ene!I84/TrRoad_tech!I112)</f>
        <v>1.197591569996179</v>
      </c>
      <c r="J139" s="93">
        <f>IF(TrRoad_act!J81=0,0,TrRoad_ene!J84/TrRoad_tech!J112)</f>
        <v>1.2154315278607604</v>
      </c>
      <c r="K139" s="93">
        <f>IF(TrRoad_act!K81=0,0,TrRoad_ene!K84/TrRoad_tech!K112)</f>
        <v>1.1825575934544947</v>
      </c>
      <c r="L139" s="93">
        <f>IF(TrRoad_act!L81=0,0,TrRoad_ene!L84/TrRoad_tech!L112)</f>
        <v>1.2435273798063273</v>
      </c>
      <c r="M139" s="93">
        <f>IF(TrRoad_act!M81=0,0,TrRoad_ene!M84/TrRoad_tech!M112)</f>
        <v>1.2260555538369982</v>
      </c>
      <c r="N139" s="93">
        <f>IF(TrRoad_act!N81=0,0,TrRoad_ene!N84/TrRoad_tech!N112)</f>
        <v>1.2277430814211345</v>
      </c>
      <c r="O139" s="93">
        <f>IF(TrRoad_act!O81=0,0,TrRoad_ene!O84/TrRoad_tech!O112)</f>
        <v>1.2667565865626529</v>
      </c>
      <c r="P139" s="93">
        <f>IF(TrRoad_act!P81=0,0,TrRoad_ene!P84/TrRoad_tech!P112)</f>
        <v>1.2645335954112089</v>
      </c>
      <c r="Q139" s="93">
        <f>IF(TrRoad_act!Q81=0,0,TrRoad_ene!Q84/TrRoad_tech!Q112)</f>
        <v>1.2593373574170368</v>
      </c>
      <c r="R139" s="93">
        <f>IF(TrRoad_act!R81=0,0,TrRoad_ene!R84/TrRoad_tech!R112)</f>
        <v>1.3113027530245613</v>
      </c>
      <c r="S139" s="93">
        <f>IF(TrRoad_act!S81=0,0,TrRoad_ene!S84/TrRoad_tech!S112)</f>
        <v>1.4266828075823208</v>
      </c>
      <c r="T139" s="93">
        <f>IF(TrRoad_act!T81=0,0,TrRoad_ene!T84/TrRoad_tech!T112)</f>
        <v>1.4632538442402945</v>
      </c>
      <c r="U139" s="93">
        <f>IF(TrRoad_act!U81=0,0,TrRoad_ene!U84/TrRoad_tech!U112)</f>
        <v>1.4399797812599573</v>
      </c>
      <c r="V139" s="93">
        <f>IF(TrRoad_act!V81=0,0,TrRoad_ene!V84/TrRoad_tech!V112)</f>
        <v>1.4200651224959697</v>
      </c>
      <c r="W139" s="93">
        <f>IF(TrRoad_act!W81=0,0,TrRoad_ene!W84/TrRoad_tech!W112)</f>
        <v>1.4963969689857755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1.0470269195104385</v>
      </c>
      <c r="C140" s="94">
        <f>IF(TrRoad_act!C82=0,0,TrRoad_ene!C85/TrRoad_tech!C113)</f>
        <v>0.87944901048165181</v>
      </c>
      <c r="D140" s="94">
        <f>IF(TrRoad_act!D82=0,0,TrRoad_ene!D85/TrRoad_tech!D113)</f>
        <v>1.5548539498641549</v>
      </c>
      <c r="E140" s="94">
        <f>IF(TrRoad_act!E82=0,0,TrRoad_ene!E85/TrRoad_tech!E113)</f>
        <v>0.52126164380759876</v>
      </c>
      <c r="F140" s="94">
        <f>IF(TrRoad_act!F82=0,0,TrRoad_ene!F85/TrRoad_tech!F113)</f>
        <v>0.66799810294443429</v>
      </c>
      <c r="G140" s="94">
        <f>IF(TrRoad_act!G82=0,0,TrRoad_ene!G85/TrRoad_tech!G113)</f>
        <v>1.4096419694170368</v>
      </c>
      <c r="H140" s="94">
        <f>IF(TrRoad_act!H82=0,0,TrRoad_ene!H85/TrRoad_tech!H113)</f>
        <v>1.8120335228912439</v>
      </c>
      <c r="I140" s="94">
        <f>IF(TrRoad_act!I82=0,0,TrRoad_ene!I85/TrRoad_tech!I113)</f>
        <v>1.7540232108054656</v>
      </c>
      <c r="J140" s="94">
        <f>IF(TrRoad_act!J82=0,0,TrRoad_ene!J85/TrRoad_tech!J113)</f>
        <v>1.9213658277298631</v>
      </c>
      <c r="K140" s="94">
        <f>IF(TrRoad_act!K82=0,0,TrRoad_ene!K85/TrRoad_tech!K113)</f>
        <v>1.5003621791401036</v>
      </c>
      <c r="L140" s="94">
        <f>IF(TrRoad_act!L82=0,0,TrRoad_ene!L85/TrRoad_tech!L113)</f>
        <v>2.2260224784999281</v>
      </c>
      <c r="M140" s="94">
        <f>IF(TrRoad_act!M82=0,0,TrRoad_ene!M85/TrRoad_tech!M113)</f>
        <v>1.9419405222195159</v>
      </c>
      <c r="N140" s="94">
        <f>IF(TrRoad_act!N82=0,0,TrRoad_ene!N85/TrRoad_tech!N113)</f>
        <v>1.8994470346657952</v>
      </c>
      <c r="O140" s="94">
        <f>IF(TrRoad_act!O82=0,0,TrRoad_ene!O85/TrRoad_tech!O113)</f>
        <v>2.0614844581347609</v>
      </c>
      <c r="P140" s="94">
        <f>IF(TrRoad_act!P82=0,0,TrRoad_ene!P85/TrRoad_tech!P113)</f>
        <v>1.9021174376774959</v>
      </c>
      <c r="Q140" s="94">
        <f>IF(TrRoad_act!Q82=0,0,TrRoad_ene!Q85/TrRoad_tech!Q113)</f>
        <v>1.7359689831029286</v>
      </c>
      <c r="R140" s="94">
        <f>IF(TrRoad_act!R82=0,0,TrRoad_ene!R85/TrRoad_tech!R113)</f>
        <v>2.1955604781004894</v>
      </c>
      <c r="S140" s="94">
        <f>IF(TrRoad_act!S82=0,0,TrRoad_ene!S85/TrRoad_tech!S113)</f>
        <v>3.2067496308152994</v>
      </c>
      <c r="T140" s="94">
        <f>IF(TrRoad_act!T82=0,0,TrRoad_ene!T85/TrRoad_tech!T113)</f>
        <v>3.47596708984122</v>
      </c>
      <c r="U140" s="94">
        <f>IF(TrRoad_act!U82=0,0,TrRoad_ene!U85/TrRoad_tech!U113)</f>
        <v>3.1887683459128033</v>
      </c>
      <c r="V140" s="94">
        <f>IF(TrRoad_act!V82=0,0,TrRoad_ene!V85/TrRoad_tech!V113)</f>
        <v>2.8943667252087608</v>
      </c>
      <c r="W140" s="94">
        <f>IF(TrRoad_act!W82=0,0,TrRoad_ene!W85/TrRoad_tech!W113)</f>
        <v>3.5685608570957834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0</v>
      </c>
      <c r="C144" s="141">
        <v>3.4356353611187767</v>
      </c>
      <c r="D144" s="141">
        <v>3.4228870946388734</v>
      </c>
      <c r="E144" s="141">
        <v>3.3870019815702812</v>
      </c>
      <c r="F144" s="141">
        <v>3.347480802505066</v>
      </c>
      <c r="G144" s="141">
        <v>3.3460033752502913</v>
      </c>
      <c r="H144" s="141">
        <v>3.3364462676959694</v>
      </c>
      <c r="I144" s="141">
        <v>3.2074861756421544</v>
      </c>
      <c r="J144" s="141">
        <v>3.1184124222307275</v>
      </c>
      <c r="K144" s="141">
        <v>3.0346020034144354</v>
      </c>
      <c r="L144" s="141">
        <v>3.0408978581933033</v>
      </c>
      <c r="M144" s="141">
        <v>2.9658548686871788</v>
      </c>
      <c r="N144" s="141">
        <v>2.8897406483181727</v>
      </c>
      <c r="O144" s="141">
        <v>2.7700677634012192</v>
      </c>
      <c r="P144" s="141">
        <v>2.7210282114118707</v>
      </c>
      <c r="Q144" s="141">
        <v>2.6212605149461283</v>
      </c>
      <c r="R144" s="141">
        <v>2.5660069035679922</v>
      </c>
      <c r="S144" s="141">
        <v>2.5218040144654834</v>
      </c>
      <c r="T144" s="141">
        <v>2.486441703183476</v>
      </c>
      <c r="U144" s="141">
        <v>2.4581518541578702</v>
      </c>
      <c r="V144" s="141">
        <v>2.4355199749373857</v>
      </c>
      <c r="W144" s="141">
        <v>2.4174144715609982</v>
      </c>
      <c r="DA144" s="174" t="s">
        <v>885</v>
      </c>
    </row>
    <row r="145" spans="1:105" ht="11.45" customHeight="1" x14ac:dyDescent="0.25">
      <c r="A145" s="109" t="s">
        <v>20</v>
      </c>
      <c r="B145" s="130">
        <v>5.9688914331130549</v>
      </c>
      <c r="C145" s="130">
        <v>5.9820975653982496</v>
      </c>
      <c r="D145" s="130">
        <v>6.0192379024847433</v>
      </c>
      <c r="E145" s="130">
        <v>6.0612285527699319</v>
      </c>
      <c r="F145" s="130">
        <v>6.0858152667937677</v>
      </c>
      <c r="G145" s="130">
        <v>6.0727313537124408</v>
      </c>
      <c r="H145" s="130">
        <v>6.0597431528980792</v>
      </c>
      <c r="I145" s="130">
        <v>6.1092257214672756</v>
      </c>
      <c r="J145" s="130">
        <v>6.0694416312928352</v>
      </c>
      <c r="K145" s="130">
        <v>6.0666029060213766</v>
      </c>
      <c r="L145" s="130">
        <v>6.0795559177184666</v>
      </c>
      <c r="M145" s="130">
        <v>6.2200248844614183</v>
      </c>
      <c r="N145" s="130">
        <v>5.7715465845060283</v>
      </c>
      <c r="O145" s="130">
        <v>5.5158007607108903</v>
      </c>
      <c r="P145" s="130">
        <v>5.3845154783614255</v>
      </c>
      <c r="Q145" s="130">
        <v>5.2167214625419085</v>
      </c>
      <c r="R145" s="130">
        <v>5.1070054791433908</v>
      </c>
      <c r="S145" s="130">
        <v>5.164093195541402</v>
      </c>
      <c r="T145" s="130">
        <v>5.2203806108467523</v>
      </c>
      <c r="U145" s="130">
        <v>5.2541414690520298</v>
      </c>
      <c r="V145" s="130">
        <v>4.9795106845173747</v>
      </c>
      <c r="W145" s="130">
        <v>4.7901268667223347</v>
      </c>
      <c r="DA145" s="176" t="s">
        <v>886</v>
      </c>
    </row>
    <row r="146" spans="1:105" ht="11.45" customHeight="1" x14ac:dyDescent="0.25">
      <c r="A146" s="111" t="s">
        <v>110</v>
      </c>
      <c r="B146" s="96">
        <v>5.9332672069504051</v>
      </c>
      <c r="C146" s="96">
        <v>5.9354171703767618</v>
      </c>
      <c r="D146" s="96">
        <v>6.0180550418517029</v>
      </c>
      <c r="E146" s="96">
        <v>6.0081318262053687</v>
      </c>
      <c r="F146" s="96">
        <v>0</v>
      </c>
      <c r="G146" s="96">
        <v>6.0433217169848072</v>
      </c>
      <c r="H146" s="96">
        <v>6.0260603250621907</v>
      </c>
      <c r="I146" s="96">
        <v>6.0690053339517922</v>
      </c>
      <c r="J146" s="96">
        <v>6.0740086359583492</v>
      </c>
      <c r="K146" s="96">
        <v>6.0289789178993498</v>
      </c>
      <c r="L146" s="96">
        <v>6.0414871729157786</v>
      </c>
      <c r="M146" s="96">
        <v>5.8911674883608756</v>
      </c>
      <c r="N146" s="96">
        <v>5.7377483971074028</v>
      </c>
      <c r="O146" s="96">
        <v>5.5025679663719025</v>
      </c>
      <c r="P146" s="96">
        <v>5.406276189188473</v>
      </c>
      <c r="Q146" s="96">
        <v>5.2084964848559387</v>
      </c>
      <c r="R146" s="96">
        <v>5.1768261528617341</v>
      </c>
      <c r="S146" s="96">
        <v>5.1835187877683762</v>
      </c>
      <c r="T146" s="96">
        <v>5.2227946313010101</v>
      </c>
      <c r="U146" s="96">
        <v>5.236744898372601</v>
      </c>
      <c r="V146" s="96">
        <v>4.9534158953184235</v>
      </c>
      <c r="W146" s="96">
        <v>4.7660920127143527</v>
      </c>
      <c r="DA146" s="171" t="s">
        <v>887</v>
      </c>
    </row>
    <row r="147" spans="1:105" ht="11.45" customHeight="1" x14ac:dyDescent="0.25">
      <c r="A147" s="111" t="s">
        <v>111</v>
      </c>
      <c r="B147" s="96">
        <v>5.9810746195311237</v>
      </c>
      <c r="C147" s="96">
        <v>6.0141285307021253</v>
      </c>
      <c r="D147" s="96">
        <v>6.020212095786027</v>
      </c>
      <c r="E147" s="96">
        <v>6.0145480869148091</v>
      </c>
      <c r="F147" s="96">
        <v>6.0374139005060234</v>
      </c>
      <c r="G147" s="96">
        <v>6.0516788117372391</v>
      </c>
      <c r="H147" s="96">
        <v>6.147547406335268</v>
      </c>
      <c r="I147" s="96">
        <v>6.0447561342279714</v>
      </c>
      <c r="J147" s="96">
        <v>6.0520983679499212</v>
      </c>
      <c r="K147" s="96">
        <v>6.1580363116523387</v>
      </c>
      <c r="L147" s="96">
        <v>6.1045428945352782</v>
      </c>
      <c r="M147" s="96">
        <v>5.9061907534306162</v>
      </c>
      <c r="N147" s="96">
        <v>5.7250583469658602</v>
      </c>
      <c r="O147" s="96">
        <v>5.4961175613946756</v>
      </c>
      <c r="P147" s="96">
        <v>5.3234781892281307</v>
      </c>
      <c r="Q147" s="96">
        <v>5.1878205927043917</v>
      </c>
      <c r="R147" s="96">
        <v>4.9788039369203698</v>
      </c>
      <c r="S147" s="96">
        <v>5.1218486644588461</v>
      </c>
      <c r="T147" s="96">
        <v>5.2487167564451571</v>
      </c>
      <c r="U147" s="96">
        <v>5.3189466966943044</v>
      </c>
      <c r="V147" s="96">
        <v>5.1485467173849537</v>
      </c>
      <c r="W147" s="96">
        <v>4.9627409915583049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7.2805756622230655</v>
      </c>
      <c r="H148" s="96">
        <v>7.395912014054594</v>
      </c>
      <c r="I148" s="96">
        <v>7.2722472166859946</v>
      </c>
      <c r="J148" s="96">
        <v>7.2810804164980381</v>
      </c>
      <c r="K148" s="96">
        <v>7.4085308709289395</v>
      </c>
      <c r="L148" s="96">
        <v>7.3441747008697726</v>
      </c>
      <c r="M148" s="96">
        <v>7.1338657568966353</v>
      </c>
      <c r="N148" s="96">
        <v>6.808634330221695</v>
      </c>
      <c r="O148" s="96">
        <v>5.9321190720078274</v>
      </c>
      <c r="P148" s="96">
        <v>5.735874680799407</v>
      </c>
      <c r="Q148" s="96">
        <v>5.8097910691319763</v>
      </c>
      <c r="R148" s="96">
        <v>5.6203676392666804</v>
      </c>
      <c r="S148" s="96">
        <v>5.8515979222118037</v>
      </c>
      <c r="T148" s="96">
        <v>5.8637084830168371</v>
      </c>
      <c r="U148" s="96">
        <v>6.1417482373300007</v>
      </c>
      <c r="V148" s="96">
        <v>4.7634099765553248</v>
      </c>
      <c r="W148" s="96">
        <v>5.1721263287636239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6.8497170775759599</v>
      </c>
      <c r="D149" s="96">
        <v>6.9450846015844698</v>
      </c>
      <c r="E149" s="96">
        <v>6.9336328000133181</v>
      </c>
      <c r="F149" s="96">
        <v>6.9773228665116678</v>
      </c>
      <c r="G149" s="96">
        <v>6.9742433904589234</v>
      </c>
      <c r="H149" s="96">
        <v>6.9543230297427145</v>
      </c>
      <c r="I149" s="96">
        <v>7.003883347466612</v>
      </c>
      <c r="J149" s="96">
        <v>0</v>
      </c>
      <c r="K149" s="96">
        <v>6.9576912066754071</v>
      </c>
      <c r="L149" s="96">
        <v>6.9721262506726571</v>
      </c>
      <c r="M149" s="96">
        <v>7.0085015730858897</v>
      </c>
      <c r="N149" s="96">
        <v>7.1776565910707477</v>
      </c>
      <c r="O149" s="96">
        <v>6.2057815675398658</v>
      </c>
      <c r="P149" s="96">
        <v>5.5839435363376815</v>
      </c>
      <c r="Q149" s="96">
        <v>5.9631478957749104</v>
      </c>
      <c r="R149" s="96">
        <v>5.6442375277856689</v>
      </c>
      <c r="S149" s="96">
        <v>6.1221372714698568</v>
      </c>
      <c r="T149" s="96">
        <v>5.465210064764447</v>
      </c>
      <c r="U149" s="96">
        <v>5.455765520347085</v>
      </c>
      <c r="V149" s="96">
        <v>4.7803838392002529</v>
      </c>
      <c r="W149" s="96">
        <v>4.4523652333070167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2.1796122248661645</v>
      </c>
      <c r="O150" s="96">
        <v>0</v>
      </c>
      <c r="P150" s="96">
        <v>6.2336514937232028</v>
      </c>
      <c r="Q150" s="96">
        <v>4.168727827893477</v>
      </c>
      <c r="R150" s="96">
        <v>3.4372039656700331</v>
      </c>
      <c r="S150" s="96">
        <v>4.239236873254991</v>
      </c>
      <c r="T150" s="96">
        <v>3.2831467609785037</v>
      </c>
      <c r="U150" s="96">
        <v>3.6095078193869012</v>
      </c>
      <c r="V150" s="96">
        <v>3.3358598029985149</v>
      </c>
      <c r="W150" s="96">
        <v>2.5600280407304421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1.3750471901917645</v>
      </c>
      <c r="N151" s="96">
        <v>1.2686761245493905</v>
      </c>
      <c r="O151" s="96">
        <v>1.321055934017817</v>
      </c>
      <c r="P151" s="96">
        <v>1.3111679024807961</v>
      </c>
      <c r="Q151" s="96">
        <v>1.379374669857534</v>
      </c>
      <c r="R151" s="96">
        <v>1.3399239780743561</v>
      </c>
      <c r="S151" s="96">
        <v>1.2621256019831668</v>
      </c>
      <c r="T151" s="96">
        <v>1.4037219194819983</v>
      </c>
      <c r="U151" s="96">
        <v>1.5150584583086733</v>
      </c>
      <c r="V151" s="96">
        <v>1.4417224108699982</v>
      </c>
      <c r="W151" s="96">
        <v>1.480545033425515</v>
      </c>
      <c r="DA151" s="171" t="s">
        <v>892</v>
      </c>
    </row>
    <row r="152" spans="1:105" ht="11.45" customHeight="1" x14ac:dyDescent="0.25">
      <c r="A152" s="109" t="s">
        <v>21</v>
      </c>
      <c r="B152" s="130">
        <v>44.519515701147519</v>
      </c>
      <c r="C152" s="130">
        <v>44.657514295685345</v>
      </c>
      <c r="D152" s="130">
        <v>44.811347817304565</v>
      </c>
      <c r="E152" s="130">
        <v>44.792852503467259</v>
      </c>
      <c r="F152" s="130">
        <v>44.863082557951529</v>
      </c>
      <c r="G152" s="130">
        <v>44.858130782834756</v>
      </c>
      <c r="H152" s="130">
        <v>44.826030221512355</v>
      </c>
      <c r="I152" s="130">
        <v>44.905469341844345</v>
      </c>
      <c r="J152" s="130">
        <v>44.914718666116613</v>
      </c>
      <c r="K152" s="130">
        <v>44.831009312628296</v>
      </c>
      <c r="L152" s="130">
        <v>41.939560700791013</v>
      </c>
      <c r="M152" s="130">
        <v>39.43521200884453</v>
      </c>
      <c r="N152" s="130">
        <v>44.244797040817154</v>
      </c>
      <c r="O152" s="130">
        <v>43.807552745837349</v>
      </c>
      <c r="P152" s="130">
        <v>39.315896390729826</v>
      </c>
      <c r="Q152" s="130">
        <v>38.378359220701995</v>
      </c>
      <c r="R152" s="130">
        <v>32.643684154352748</v>
      </c>
      <c r="S152" s="130">
        <v>38.952732293123567</v>
      </c>
      <c r="T152" s="130">
        <v>38.954786638223588</v>
      </c>
      <c r="U152" s="130">
        <v>39.286202743306646</v>
      </c>
      <c r="V152" s="130">
        <v>40.277535176038242</v>
      </c>
      <c r="W152" s="130">
        <v>41.464851823070738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44.519515701147519</v>
      </c>
      <c r="C154" s="97">
        <v>44.657514295685345</v>
      </c>
      <c r="D154" s="97">
        <v>44.811347817304565</v>
      </c>
      <c r="E154" s="97">
        <v>44.792852503467259</v>
      </c>
      <c r="F154" s="97">
        <v>44.863082557951529</v>
      </c>
      <c r="G154" s="97">
        <v>44.858130782834756</v>
      </c>
      <c r="H154" s="97">
        <v>44.826030221512355</v>
      </c>
      <c r="I154" s="97">
        <v>44.905469341844345</v>
      </c>
      <c r="J154" s="97">
        <v>44.914718666116606</v>
      </c>
      <c r="K154" s="97">
        <v>44.831009312628296</v>
      </c>
      <c r="L154" s="97">
        <v>44.85422578560221</v>
      </c>
      <c r="M154" s="97">
        <v>44.572280333663784</v>
      </c>
      <c r="N154" s="97">
        <v>44.280697869533604</v>
      </c>
      <c r="O154" s="97">
        <v>43.807552745837349</v>
      </c>
      <c r="P154" s="97">
        <v>43.61105838791822</v>
      </c>
      <c r="Q154" s="97">
        <v>43.199999999908329</v>
      </c>
      <c r="R154" s="97">
        <v>42.833361151556659</v>
      </c>
      <c r="S154" s="97">
        <v>42.506047418345645</v>
      </c>
      <c r="T154" s="97">
        <v>42.213604119885076</v>
      </c>
      <c r="U154" s="97">
        <v>41.952125824951878</v>
      </c>
      <c r="V154" s="97">
        <v>41.718180439275244</v>
      </c>
      <c r="W154" s="97">
        <v>41.508745226712179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34.634105438082152</v>
      </c>
      <c r="S156" s="97">
        <v>0</v>
      </c>
      <c r="T156" s="97">
        <v>0</v>
      </c>
      <c r="U156" s="97">
        <v>0</v>
      </c>
      <c r="V156" s="97">
        <v>0</v>
      </c>
      <c r="W156" s="97">
        <v>29.811153156270553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24.300811653054296</v>
      </c>
      <c r="M157" s="97">
        <v>24.057803536523753</v>
      </c>
      <c r="N157" s="97">
        <v>23.817225501158514</v>
      </c>
      <c r="O157" s="97">
        <v>0</v>
      </c>
      <c r="P157" s="97">
        <v>23.343262713685462</v>
      </c>
      <c r="Q157" s="97">
        <v>23.109830086548605</v>
      </c>
      <c r="R157" s="97">
        <v>22.901737238207694</v>
      </c>
      <c r="S157" s="97">
        <v>22.716056234817145</v>
      </c>
      <c r="T157" s="97">
        <v>22.550230840707275</v>
      </c>
      <c r="U157" s="97">
        <v>22.40202322622018</v>
      </c>
      <c r="V157" s="97">
        <v>22.269469385575654</v>
      </c>
      <c r="W157" s="97">
        <v>0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7.8518088536394952</v>
      </c>
      <c r="D159" s="141">
        <v>7.8976287899044504</v>
      </c>
      <c r="E159" s="141">
        <v>8.0538511879640886</v>
      </c>
      <c r="F159" s="141">
        <v>6.8579926043025798</v>
      </c>
      <c r="G159" s="141">
        <v>8.4642868612326225</v>
      </c>
      <c r="H159" s="141">
        <v>7.7932937486384475</v>
      </c>
      <c r="I159" s="141">
        <v>8.3159238223096441</v>
      </c>
      <c r="J159" s="141">
        <v>8.2691682457609961</v>
      </c>
      <c r="K159" s="141">
        <v>8.6235275583504727</v>
      </c>
      <c r="L159" s="141">
        <v>9.0932497586084473</v>
      </c>
      <c r="M159" s="141">
        <v>8.9202007010095574</v>
      </c>
      <c r="N159" s="141">
        <v>8.7210807359296947</v>
      </c>
      <c r="O159" s="141">
        <v>7.6242270839598607</v>
      </c>
      <c r="P159" s="141">
        <v>8.9923264118775208</v>
      </c>
      <c r="Q159" s="141">
        <v>7.6761602778439162</v>
      </c>
      <c r="R159" s="141">
        <v>7.0903341451685939</v>
      </c>
      <c r="S159" s="141">
        <v>7.2818624381892247</v>
      </c>
      <c r="T159" s="141">
        <v>7.201122733012653</v>
      </c>
      <c r="U159" s="141">
        <v>7.4123650554256919</v>
      </c>
      <c r="V159" s="141">
        <v>7.5211962039312388</v>
      </c>
      <c r="W159" s="141">
        <v>7.01087032660811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6.4270110822608739</v>
      </c>
      <c r="D160" s="96">
        <v>6.5164933377684822</v>
      </c>
      <c r="E160" s="96">
        <v>6.5057482435147946</v>
      </c>
      <c r="F160" s="96">
        <v>6.546742132516262</v>
      </c>
      <c r="G160" s="96">
        <v>6.5438526954060263</v>
      </c>
      <c r="H160" s="96">
        <v>6.5251616490991884</v>
      </c>
      <c r="I160" s="96">
        <v>6.5716635275920403</v>
      </c>
      <c r="J160" s="96">
        <v>6.577081222173736</v>
      </c>
      <c r="K160" s="96">
        <v>6.5283219709385092</v>
      </c>
      <c r="L160" s="96">
        <v>0</v>
      </c>
      <c r="M160" s="96">
        <v>6.3804266523517414</v>
      </c>
      <c r="N160" s="96">
        <v>6.2166825644691732</v>
      </c>
      <c r="O160" s="96">
        <v>6.2007194404306949</v>
      </c>
      <c r="P160" s="96">
        <v>6.1061153468761686</v>
      </c>
      <c r="Q160" s="96">
        <v>5.9805555238303993</v>
      </c>
      <c r="R160" s="96">
        <v>6.213784261610793</v>
      </c>
      <c r="S160" s="96">
        <v>6.3348531096966019</v>
      </c>
      <c r="T160" s="96">
        <v>6.7231804825771704</v>
      </c>
      <c r="U160" s="96">
        <v>6.6490779315776027</v>
      </c>
      <c r="V160" s="96">
        <v>5.6768982320716344</v>
      </c>
      <c r="W160" s="96">
        <v>5.5161491846833117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9.0368267238472555</v>
      </c>
      <c r="D161" s="96">
        <v>9.0459678859035417</v>
      </c>
      <c r="E161" s="96">
        <v>9.0374571488166549</v>
      </c>
      <c r="F161" s="96">
        <v>9.0718153096488905</v>
      </c>
      <c r="G161" s="96">
        <v>9.0932497586084473</v>
      </c>
      <c r="H161" s="96">
        <v>9.2373018641160769</v>
      </c>
      <c r="I161" s="96">
        <v>9.0828477466133659</v>
      </c>
      <c r="J161" s="96">
        <v>9.0938801835778449</v>
      </c>
      <c r="K161" s="96">
        <v>9.2530624883510466</v>
      </c>
      <c r="L161" s="96">
        <v>9.1726833047526988</v>
      </c>
      <c r="M161" s="96">
        <v>8.8746394700863203</v>
      </c>
      <c r="N161" s="96">
        <v>8.6024700006545842</v>
      </c>
      <c r="O161" s="96">
        <v>8.441503923378745</v>
      </c>
      <c r="P161" s="96">
        <v>8.287622433467293</v>
      </c>
      <c r="Q161" s="96">
        <v>7.9959579052548611</v>
      </c>
      <c r="R161" s="96">
        <v>7.9323650956099527</v>
      </c>
      <c r="S161" s="96">
        <v>7.3200051585054071</v>
      </c>
      <c r="T161" s="96">
        <v>7.2805284877407193</v>
      </c>
      <c r="U161" s="96">
        <v>7.4626724981409911</v>
      </c>
      <c r="V161" s="96">
        <v>7.6182687490689638</v>
      </c>
      <c r="W161" s="96">
        <v>7.2495000560125735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8.7307889142769852</v>
      </c>
      <c r="O162" s="96">
        <v>6.9255264529732132</v>
      </c>
      <c r="P162" s="96">
        <v>6.6467065568145527</v>
      </c>
      <c r="Q162" s="96">
        <v>7.4463190789927598</v>
      </c>
      <c r="R162" s="96">
        <v>6.7296852147764428</v>
      </c>
      <c r="S162" s="96">
        <v>5.976639387013897</v>
      </c>
      <c r="T162" s="96">
        <v>5.9903142272139114</v>
      </c>
      <c r="U162" s="96">
        <v>6.6871804127085506</v>
      </c>
      <c r="V162" s="96">
        <v>6.7376496988421977</v>
      </c>
      <c r="W162" s="96">
        <v>8.1917960055679746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7.9545825342236514</v>
      </c>
      <c r="O163" s="96">
        <v>8.527176659213378</v>
      </c>
      <c r="P163" s="96">
        <v>5.5098679951840186</v>
      </c>
      <c r="Q163" s="96">
        <v>6.2043891710475494</v>
      </c>
      <c r="R163" s="96">
        <v>10.834530343471094</v>
      </c>
      <c r="S163" s="96">
        <v>7.3619244641534349</v>
      </c>
      <c r="T163" s="96">
        <v>8.7827990364409132</v>
      </c>
      <c r="U163" s="96">
        <v>9.7505325866331152</v>
      </c>
      <c r="V163" s="96">
        <v>7.0805543467523124</v>
      </c>
      <c r="W163" s="96">
        <v>9.7496809853291566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0</v>
      </c>
      <c r="O164" s="96">
        <v>1.9362723616840751</v>
      </c>
      <c r="P164" s="96">
        <v>1.9528204901371666</v>
      </c>
      <c r="Q164" s="96">
        <v>2.0606276423552186</v>
      </c>
      <c r="R164" s="96">
        <v>2.0807278817595618</v>
      </c>
      <c r="S164" s="96">
        <v>2.0634328000182762</v>
      </c>
      <c r="T164" s="96">
        <v>2.2269991401547724</v>
      </c>
      <c r="U164" s="96">
        <v>2.2269991401547724</v>
      </c>
      <c r="V164" s="96">
        <v>2.3129836629406708</v>
      </c>
      <c r="W164" s="96">
        <v>2.6132275782195942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26.71904702798826</v>
      </c>
      <c r="D165" s="130">
        <v>26.1451673596662</v>
      </c>
      <c r="E165" s="130">
        <v>25.950963732099147</v>
      </c>
      <c r="F165" s="130">
        <v>31.095827581127743</v>
      </c>
      <c r="G165" s="130">
        <v>25.821889817952417</v>
      </c>
      <c r="H165" s="130">
        <v>25.57585347127586</v>
      </c>
      <c r="I165" s="130">
        <v>26.301038073421331</v>
      </c>
      <c r="J165" s="130">
        <v>24.983240759585883</v>
      </c>
      <c r="K165" s="130">
        <v>24.939853073101968</v>
      </c>
      <c r="L165" s="130">
        <v>25.181020924876513</v>
      </c>
      <c r="M165" s="130">
        <v>25.004799684066143</v>
      </c>
      <c r="N165" s="130">
        <v>25.046024422167978</v>
      </c>
      <c r="O165" s="130">
        <v>23.861839389284146</v>
      </c>
      <c r="P165" s="130">
        <v>23.444440869959926</v>
      </c>
      <c r="Q165" s="130">
        <v>25.494020244070512</v>
      </c>
      <c r="R165" s="130">
        <v>22.730587715050255</v>
      </c>
      <c r="S165" s="130">
        <v>22.365371763864712</v>
      </c>
      <c r="T165" s="130">
        <v>23.003468843833954</v>
      </c>
      <c r="U165" s="130">
        <v>21.196303739472537</v>
      </c>
      <c r="V165" s="130">
        <v>21.618977069463501</v>
      </c>
      <c r="W165" s="130">
        <v>22.476980943300944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25.868853092731996</v>
      </c>
      <c r="D166" s="97">
        <v>25.785441855926717</v>
      </c>
      <c r="E166" s="97">
        <v>25.681579340290739</v>
      </c>
      <c r="F166" s="97">
        <v>25.557529462432512</v>
      </c>
      <c r="G166" s="97">
        <v>25.413605210537661</v>
      </c>
      <c r="H166" s="97">
        <v>25.250166692583388</v>
      </c>
      <c r="I166" s="97">
        <v>25.0676189182333</v>
      </c>
      <c r="J166" s="97">
        <v>24.866409339455213</v>
      </c>
      <c r="K166" s="97">
        <v>24.647025176853798</v>
      </c>
      <c r="L166" s="97">
        <v>24.409990561166754</v>
      </c>
      <c r="M166" s="97">
        <v>24.155863519831396</v>
      </c>
      <c r="N166" s="97">
        <v>23.885232839687468</v>
      </c>
      <c r="O166" s="97">
        <v>23.598714837245296</v>
      </c>
      <c r="P166" s="97">
        <v>23.296950067209227</v>
      </c>
      <c r="Q166" s="97">
        <v>22.980599999951231</v>
      </c>
      <c r="R166" s="97">
        <v>22.370693197765487</v>
      </c>
      <c r="S166" s="97">
        <v>21.943758436235466</v>
      </c>
      <c r="T166" s="97">
        <v>21.495476936628947</v>
      </c>
      <c r="U166" s="97">
        <v>20.947577325998754</v>
      </c>
      <c r="V166" s="97">
        <v>21.359101820225245</v>
      </c>
      <c r="W166" s="97">
        <v>21.145510802022994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31.067582811954381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100.24659398419401</v>
      </c>
      <c r="C171" s="152">
        <v>100.21907975624423</v>
      </c>
      <c r="D171" s="152">
        <v>100.16995370792513</v>
      </c>
      <c r="E171" s="152">
        <v>100.08892806200538</v>
      </c>
      <c r="F171" s="152">
        <v>99.779719234783386</v>
      </c>
      <c r="G171" s="152">
        <v>99.430998281878374</v>
      </c>
      <c r="H171" s="152">
        <v>99.253426939557087</v>
      </c>
      <c r="I171" s="152">
        <v>98.350547215152233</v>
      </c>
      <c r="J171" s="152">
        <v>97.167611707293702</v>
      </c>
      <c r="K171" s="152">
        <v>95.724413858093598</v>
      </c>
      <c r="L171" s="152">
        <v>94.73706317703693</v>
      </c>
      <c r="M171" s="152">
        <v>93.660003301816474</v>
      </c>
      <c r="N171" s="152">
        <v>92.523082567118578</v>
      </c>
      <c r="O171" s="152">
        <v>91.086181203103678</v>
      </c>
      <c r="P171" s="152">
        <v>89.625370402189276</v>
      </c>
      <c r="Q171" s="152">
        <v>87.893992520066746</v>
      </c>
      <c r="R171" s="152">
        <v>86.596246321563086</v>
      </c>
      <c r="S171" s="152">
        <v>85.090091947574265</v>
      </c>
      <c r="T171" s="152">
        <v>83.491158997719026</v>
      </c>
      <c r="U171" s="152">
        <v>82.325696422434149</v>
      </c>
      <c r="V171" s="152">
        <v>80.867850863054599</v>
      </c>
      <c r="W171" s="152">
        <v>74.024328831181506</v>
      </c>
      <c r="DA171" s="174" t="s">
        <v>908</v>
      </c>
    </row>
    <row r="172" spans="1:105" ht="11.45" customHeight="1" x14ac:dyDescent="0.25">
      <c r="A172" s="109" t="s">
        <v>20</v>
      </c>
      <c r="B172" s="116">
        <v>187.69700889884697</v>
      </c>
      <c r="C172" s="116">
        <v>185.88580274356372</v>
      </c>
      <c r="D172" s="116">
        <v>189.17509846358146</v>
      </c>
      <c r="E172" s="116">
        <v>183.96703854572178</v>
      </c>
      <c r="F172" s="116">
        <v>191.59941346395121</v>
      </c>
      <c r="G172" s="116">
        <v>184.16487575704053</v>
      </c>
      <c r="H172" s="116">
        <v>184.0198656794914</v>
      </c>
      <c r="I172" s="116">
        <v>181.00068313121761</v>
      </c>
      <c r="J172" s="116">
        <v>181.85754184904101</v>
      </c>
      <c r="K172" s="116">
        <v>181.8577453597631</v>
      </c>
      <c r="L172" s="116">
        <v>179.93507969279619</v>
      </c>
      <c r="M172" s="116">
        <v>175.95737567700817</v>
      </c>
      <c r="N172" s="116">
        <v>179.67219245426395</v>
      </c>
      <c r="O172" s="116">
        <v>178.60864742637406</v>
      </c>
      <c r="P172" s="116">
        <v>178.54207331770775</v>
      </c>
      <c r="Q172" s="116">
        <v>176.7878224450472</v>
      </c>
      <c r="R172" s="116">
        <v>176.61153108676126</v>
      </c>
      <c r="S172" s="116">
        <v>174.15156255228871</v>
      </c>
      <c r="T172" s="116">
        <v>172.43976165425101</v>
      </c>
      <c r="U172" s="116">
        <v>171.23104582706222</v>
      </c>
      <c r="V172" s="116">
        <v>169.77407251258001</v>
      </c>
      <c r="W172" s="116">
        <v>166.99564850781366</v>
      </c>
      <c r="DA172" s="176" t="s">
        <v>909</v>
      </c>
    </row>
    <row r="173" spans="1:105" ht="11.45" customHeight="1" x14ac:dyDescent="0.25">
      <c r="A173" s="111" t="s">
        <v>110</v>
      </c>
      <c r="B173" s="87">
        <v>181.42671415050521</v>
      </c>
      <c r="C173" s="87">
        <v>180.0478856139475</v>
      </c>
      <c r="D173" s="87">
        <v>179.6389921282896</v>
      </c>
      <c r="E173" s="87">
        <v>179.12004341929176</v>
      </c>
      <c r="F173" s="87">
        <v>179.02953269727195</v>
      </c>
      <c r="G173" s="87">
        <v>178.58030394188015</v>
      </c>
      <c r="H173" s="87">
        <v>177.89695102612714</v>
      </c>
      <c r="I173" s="87">
        <v>177.30378937484133</v>
      </c>
      <c r="J173" s="87">
        <v>176.74541068515069</v>
      </c>
      <c r="K173" s="87">
        <v>176.55549939574138</v>
      </c>
      <c r="L173" s="87">
        <v>176.2089019523215</v>
      </c>
      <c r="M173" s="87">
        <v>175.74692767584784</v>
      </c>
      <c r="N173" s="87">
        <v>175.27434951849838</v>
      </c>
      <c r="O173" s="87">
        <v>174.66772766582739</v>
      </c>
      <c r="P173" s="87">
        <v>173.88163243407669</v>
      </c>
      <c r="Q173" s="87">
        <v>172.99007549903155</v>
      </c>
      <c r="R173" s="87">
        <v>171.90402121187492</v>
      </c>
      <c r="S173" s="87">
        <v>170.573137990422</v>
      </c>
      <c r="T173" s="87">
        <v>168.94665192212466</v>
      </c>
      <c r="U173" s="87">
        <v>167.45840773986072</v>
      </c>
      <c r="V173" s="87">
        <v>165.87824735727708</v>
      </c>
      <c r="W173" s="87">
        <v>163.47798670512097</v>
      </c>
      <c r="DA173" s="171" t="s">
        <v>910</v>
      </c>
    </row>
    <row r="174" spans="1:105" ht="11.45" customHeight="1" x14ac:dyDescent="0.25">
      <c r="A174" s="111" t="s">
        <v>111</v>
      </c>
      <c r="B174" s="87">
        <v>214.79282704002094</v>
      </c>
      <c r="C174" s="87">
        <v>206.64526780842414</v>
      </c>
      <c r="D174" s="87">
        <v>202.54225916393733</v>
      </c>
      <c r="E174" s="87">
        <v>200.33882721378404</v>
      </c>
      <c r="F174" s="87">
        <v>199.0895873945704</v>
      </c>
      <c r="G174" s="87">
        <v>197.92377980038088</v>
      </c>
      <c r="H174" s="87">
        <v>196.64507911817915</v>
      </c>
      <c r="I174" s="87">
        <v>194.78965335219863</v>
      </c>
      <c r="J174" s="87">
        <v>193.33629594764668</v>
      </c>
      <c r="K174" s="87">
        <v>192.61987966781433</v>
      </c>
      <c r="L174" s="87">
        <v>191.86463259913904</v>
      </c>
      <c r="M174" s="87">
        <v>190.70208741843544</v>
      </c>
      <c r="N174" s="87">
        <v>189.07485524346339</v>
      </c>
      <c r="O174" s="87">
        <v>187.14828211744032</v>
      </c>
      <c r="P174" s="87">
        <v>184.93670080384723</v>
      </c>
      <c r="Q174" s="87">
        <v>182.46787857759858</v>
      </c>
      <c r="R174" s="87">
        <v>178.47725900020581</v>
      </c>
      <c r="S174" s="87">
        <v>176.50130806134376</v>
      </c>
      <c r="T174" s="87">
        <v>175.04028897966012</v>
      </c>
      <c r="U174" s="87">
        <v>173.85445095865478</v>
      </c>
      <c r="V174" s="87">
        <v>172.12849010751262</v>
      </c>
      <c r="W174" s="87">
        <v>169.4805131911352</v>
      </c>
      <c r="DA174" s="171" t="s">
        <v>911</v>
      </c>
    </row>
    <row r="175" spans="1:105" ht="11.45" customHeight="1" x14ac:dyDescent="0.25">
      <c r="A175" s="111" t="s">
        <v>112</v>
      </c>
      <c r="B175" s="87">
        <v>0</v>
      </c>
      <c r="C175" s="87">
        <v>0</v>
      </c>
      <c r="D175" s="87">
        <v>0</v>
      </c>
      <c r="E175" s="87">
        <v>0</v>
      </c>
      <c r="F175" s="87">
        <v>0</v>
      </c>
      <c r="G175" s="87">
        <v>187.47737456274518</v>
      </c>
      <c r="H175" s="87">
        <v>187.49411049771936</v>
      </c>
      <c r="I175" s="87">
        <v>188.40521091632451</v>
      </c>
      <c r="J175" s="87">
        <v>189.11359714774784</v>
      </c>
      <c r="K175" s="87">
        <v>189.31983941475684</v>
      </c>
      <c r="L175" s="87">
        <v>191.20354713578922</v>
      </c>
      <c r="M175" s="87">
        <v>195.12583621392861</v>
      </c>
      <c r="N175" s="87">
        <v>194.68957781541209</v>
      </c>
      <c r="O175" s="87">
        <v>194.03906181647213</v>
      </c>
      <c r="P175" s="87">
        <v>193.60244626194978</v>
      </c>
      <c r="Q175" s="87">
        <v>192.89270005433778</v>
      </c>
      <c r="R175" s="87">
        <v>192.49970819401551</v>
      </c>
      <c r="S175" s="87">
        <v>191.84954623862615</v>
      </c>
      <c r="T175" s="87">
        <v>191.12562403901413</v>
      </c>
      <c r="U175" s="87">
        <v>190.59640527862382</v>
      </c>
      <c r="V175" s="87">
        <v>189.50198183808757</v>
      </c>
      <c r="W175" s="87">
        <v>187.71170827669675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160.88579853281618</v>
      </c>
      <c r="D176" s="87">
        <v>160.89063963778062</v>
      </c>
      <c r="E176" s="87">
        <v>162.22157572152182</v>
      </c>
      <c r="F176" s="87">
        <v>162.42206024445406</v>
      </c>
      <c r="G176" s="87">
        <v>162.45083696282367</v>
      </c>
      <c r="H176" s="87">
        <v>162.47692545192106</v>
      </c>
      <c r="I176" s="87">
        <v>163.64075864695744</v>
      </c>
      <c r="J176" s="87">
        <v>163.66408406937524</v>
      </c>
      <c r="K176" s="87">
        <v>163.68499638992589</v>
      </c>
      <c r="L176" s="87">
        <v>163.72588742427016</v>
      </c>
      <c r="M176" s="87">
        <v>163.76621695610024</v>
      </c>
      <c r="N176" s="87">
        <v>163.95540533866381</v>
      </c>
      <c r="O176" s="87">
        <v>164.02477415901905</v>
      </c>
      <c r="P176" s="87">
        <v>159.59107969702515</v>
      </c>
      <c r="Q176" s="87">
        <v>159.36518607421729</v>
      </c>
      <c r="R176" s="87">
        <v>157.22768661435137</v>
      </c>
      <c r="S176" s="87">
        <v>156.45813002744362</v>
      </c>
      <c r="T176" s="87">
        <v>155.0518630961619</v>
      </c>
      <c r="U176" s="87">
        <v>152.36271601855111</v>
      </c>
      <c r="V176" s="87">
        <v>145.83251141114522</v>
      </c>
      <c r="W176" s="87">
        <v>142.24368074784539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35.506126991131211</v>
      </c>
      <c r="O177" s="87">
        <v>35.506126991131218</v>
      </c>
      <c r="P177" s="87">
        <v>116.34986123713958</v>
      </c>
      <c r="Q177" s="87">
        <v>102.48894688058199</v>
      </c>
      <c r="R177" s="87">
        <v>75.167740854562609</v>
      </c>
      <c r="S177" s="87">
        <v>88.011143745069916</v>
      </c>
      <c r="T177" s="87">
        <v>74.872625754227812</v>
      </c>
      <c r="U177" s="87">
        <v>72.141284411392874</v>
      </c>
      <c r="V177" s="87">
        <v>61.007081553347646</v>
      </c>
      <c r="W177" s="87">
        <v>49.106987649322996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1702.1789674630113</v>
      </c>
      <c r="C179" s="116">
        <v>1684.6786837483846</v>
      </c>
      <c r="D179" s="116">
        <v>1674.4835010108457</v>
      </c>
      <c r="E179" s="116">
        <v>1665.0568104964004</v>
      </c>
      <c r="F179" s="116">
        <v>1647.2037501518871</v>
      </c>
      <c r="G179" s="116">
        <v>1636.4807088993932</v>
      </c>
      <c r="H179" s="116">
        <v>1616.2901373318525</v>
      </c>
      <c r="I179" s="116">
        <v>1581.2614148060475</v>
      </c>
      <c r="J179" s="116">
        <v>1557.0771658553308</v>
      </c>
      <c r="K179" s="116">
        <v>1507.7449468610369</v>
      </c>
      <c r="L179" s="116">
        <v>1351.7497278288997</v>
      </c>
      <c r="M179" s="116">
        <v>1215.9209308527047</v>
      </c>
      <c r="N179" s="116">
        <v>1410.3896467084412</v>
      </c>
      <c r="O179" s="116">
        <v>1396.3367076687421</v>
      </c>
      <c r="P179" s="116">
        <v>1213.2369194248222</v>
      </c>
      <c r="Q179" s="116">
        <v>1173.0421033730822</v>
      </c>
      <c r="R179" s="116">
        <v>891.1230942026624</v>
      </c>
      <c r="S179" s="116">
        <v>1197.1571702943627</v>
      </c>
      <c r="T179" s="116">
        <v>1203.6822017427723</v>
      </c>
      <c r="U179" s="116">
        <v>1222.1708263245275</v>
      </c>
      <c r="V179" s="116">
        <v>1257.4304332772763</v>
      </c>
      <c r="W179" s="116">
        <v>1305.280310712443</v>
      </c>
      <c r="DA179" s="176" t="s">
        <v>916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0</v>
      </c>
      <c r="M180" s="101">
        <v>0</v>
      </c>
      <c r="N180" s="101">
        <v>0</v>
      </c>
      <c r="O180" s="101">
        <v>0</v>
      </c>
      <c r="P180" s="101">
        <v>0</v>
      </c>
      <c r="Q180" s="101">
        <v>0</v>
      </c>
      <c r="R180" s="101">
        <v>0</v>
      </c>
      <c r="S180" s="101">
        <v>0</v>
      </c>
      <c r="T180" s="101">
        <v>0</v>
      </c>
      <c r="U180" s="101">
        <v>0</v>
      </c>
      <c r="V180" s="101">
        <v>0</v>
      </c>
      <c r="W180" s="101">
        <v>0</v>
      </c>
      <c r="DA180" s="175" t="s">
        <v>917</v>
      </c>
    </row>
    <row r="181" spans="1:105" ht="11.45" customHeight="1" x14ac:dyDescent="0.25">
      <c r="A181" s="111" t="s">
        <v>111</v>
      </c>
      <c r="B181" s="101">
        <v>1702.1789674630113</v>
      </c>
      <c r="C181" s="101">
        <v>1672.4378359800394</v>
      </c>
      <c r="D181" s="101">
        <v>1655.4398897900487</v>
      </c>
      <c r="E181" s="101">
        <v>1639.9992316344435</v>
      </c>
      <c r="F181" s="101">
        <v>1612.7738615898654</v>
      </c>
      <c r="G181" s="101">
        <v>1596.6751240936205</v>
      </c>
      <c r="H181" s="101">
        <v>1568.7284908271943</v>
      </c>
      <c r="I181" s="101">
        <v>1525.1098285929866</v>
      </c>
      <c r="J181" s="101">
        <v>1500.1959534253597</v>
      </c>
      <c r="K181" s="101">
        <v>1458.5704868407026</v>
      </c>
      <c r="L181" s="101">
        <v>1439.9897681213276</v>
      </c>
      <c r="M181" s="101">
        <v>1423.4804541172475</v>
      </c>
      <c r="N181" s="101">
        <v>1409.38312122199</v>
      </c>
      <c r="O181" s="101">
        <v>1400.5577087287072</v>
      </c>
      <c r="P181" s="101">
        <v>1398.4293449506101</v>
      </c>
      <c r="Q181" s="101">
        <v>1392.0556221956629</v>
      </c>
      <c r="R181" s="101">
        <v>1386.4709033922786</v>
      </c>
      <c r="S181" s="101">
        <v>1382.7579574402994</v>
      </c>
      <c r="T181" s="101">
        <v>1379.0235200432114</v>
      </c>
      <c r="U181" s="101">
        <v>1375.0493781222251</v>
      </c>
      <c r="V181" s="101">
        <v>1368.2138783006369</v>
      </c>
      <c r="W181" s="101">
        <v>1359.1800794445583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813.48406755619101</v>
      </c>
      <c r="S183" s="101">
        <v>813.48406755619089</v>
      </c>
      <c r="T183" s="101">
        <v>813.48406755619089</v>
      </c>
      <c r="U183" s="101">
        <v>813.48406755619078</v>
      </c>
      <c r="V183" s="101">
        <v>813.48406755619101</v>
      </c>
      <c r="W183" s="101">
        <v>812.3022004935583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288.13209350839907</v>
      </c>
      <c r="C186" s="152">
        <v>287.16766894495765</v>
      </c>
      <c r="D186" s="152">
        <v>284.61235082038041</v>
      </c>
      <c r="E186" s="152">
        <v>280.39555781441067</v>
      </c>
      <c r="F186" s="152">
        <v>267.18422831229134</v>
      </c>
      <c r="G186" s="152">
        <v>267.6697299388386</v>
      </c>
      <c r="H186" s="152">
        <v>260.97441545699127</v>
      </c>
      <c r="I186" s="152">
        <v>259.12476700851738</v>
      </c>
      <c r="J186" s="152">
        <v>257.62593630040283</v>
      </c>
      <c r="K186" s="152">
        <v>260.62963324546138</v>
      </c>
      <c r="L186" s="152">
        <v>264.9558245719424</v>
      </c>
      <c r="M186" s="152">
        <v>250.74423546446806</v>
      </c>
      <c r="N186" s="152">
        <v>252.62596596143405</v>
      </c>
      <c r="O186" s="152">
        <v>245.48165887379869</v>
      </c>
      <c r="P186" s="152">
        <v>209.66655352151733</v>
      </c>
      <c r="Q186" s="152">
        <v>230.94867303174766</v>
      </c>
      <c r="R186" s="152">
        <v>232.75216399510808</v>
      </c>
      <c r="S186" s="152">
        <v>244.60085701836735</v>
      </c>
      <c r="T186" s="152">
        <v>241.22705308935454</v>
      </c>
      <c r="U186" s="152">
        <v>243.85489633506924</v>
      </c>
      <c r="V186" s="152">
        <v>240.82040433152281</v>
      </c>
      <c r="W186" s="152">
        <v>234.92883979882282</v>
      </c>
      <c r="DA186" s="174" t="s">
        <v>922</v>
      </c>
    </row>
    <row r="187" spans="1:105" ht="11.45" customHeight="1" x14ac:dyDescent="0.25">
      <c r="A187" s="111" t="s">
        <v>110</v>
      </c>
      <c r="B187" s="87">
        <v>235.3430960772194</v>
      </c>
      <c r="C187" s="87">
        <v>231.23783810648601</v>
      </c>
      <c r="D187" s="87">
        <v>226.75045943314475</v>
      </c>
      <c r="E187" s="87">
        <v>221.99546622466389</v>
      </c>
      <c r="F187" s="87">
        <v>207.84230283802015</v>
      </c>
      <c r="G187" s="87">
        <v>204.43528947196327</v>
      </c>
      <c r="H187" s="87">
        <v>200.95894669726968</v>
      </c>
      <c r="I187" s="87">
        <v>197.9305903705401</v>
      </c>
      <c r="J187" s="87">
        <v>195.72740303794814</v>
      </c>
      <c r="K187" s="87">
        <v>194.10886875816476</v>
      </c>
      <c r="L187" s="87">
        <v>187.76475329983577</v>
      </c>
      <c r="M187" s="87">
        <v>187.8041008205368</v>
      </c>
      <c r="N187" s="87">
        <v>187.81429146642353</v>
      </c>
      <c r="O187" s="87">
        <v>188.26579966819736</v>
      </c>
      <c r="P187" s="87">
        <v>188.26956634011199</v>
      </c>
      <c r="Q187" s="87">
        <v>188.11791150016691</v>
      </c>
      <c r="R187" s="87">
        <v>187.34139196960834</v>
      </c>
      <c r="S187" s="87">
        <v>186.48797262933039</v>
      </c>
      <c r="T187" s="87">
        <v>186.95241424109844</v>
      </c>
      <c r="U187" s="87">
        <v>187.50562966613171</v>
      </c>
      <c r="V187" s="87">
        <v>187.39011534922045</v>
      </c>
      <c r="W187" s="87">
        <v>186.79772192937236</v>
      </c>
      <c r="DA187" s="171" t="s">
        <v>923</v>
      </c>
    </row>
    <row r="188" spans="1:105" ht="11.45" customHeight="1" x14ac:dyDescent="0.25">
      <c r="A188" s="111" t="s">
        <v>111</v>
      </c>
      <c r="B188" s="87">
        <v>307.12235134658386</v>
      </c>
      <c r="C188" s="87">
        <v>305.08352882673825</v>
      </c>
      <c r="D188" s="87">
        <v>302.8120240059269</v>
      </c>
      <c r="E188" s="87">
        <v>299.96161158381034</v>
      </c>
      <c r="F188" s="87">
        <v>297.98940642727894</v>
      </c>
      <c r="G188" s="87">
        <v>293.28027941106461</v>
      </c>
      <c r="H188" s="87">
        <v>291.64228775554704</v>
      </c>
      <c r="I188" s="87">
        <v>288.47141153527627</v>
      </c>
      <c r="J188" s="87">
        <v>286.67109722051288</v>
      </c>
      <c r="K188" s="87">
        <v>285.46875361021063</v>
      </c>
      <c r="L188" s="87">
        <v>284.36196202297941</v>
      </c>
      <c r="M188" s="87">
        <v>284.12896079135021</v>
      </c>
      <c r="N188" s="87">
        <v>282.92128415513957</v>
      </c>
      <c r="O188" s="87">
        <v>280.3484962602289</v>
      </c>
      <c r="P188" s="87">
        <v>278.92157591675522</v>
      </c>
      <c r="Q188" s="87">
        <v>277.10992905760924</v>
      </c>
      <c r="R188" s="87">
        <v>273.51523225803192</v>
      </c>
      <c r="S188" s="87">
        <v>269.43821034137159</v>
      </c>
      <c r="T188" s="87">
        <v>264.33385093025714</v>
      </c>
      <c r="U188" s="87">
        <v>260.85488271212893</v>
      </c>
      <c r="V188" s="87">
        <v>258.44099115917419</v>
      </c>
      <c r="W188" s="87">
        <v>254.0071820513094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230.65616293592075</v>
      </c>
      <c r="O189" s="87">
        <v>182.96346110737508</v>
      </c>
      <c r="P189" s="87">
        <v>280.58313263545028</v>
      </c>
      <c r="Q189" s="87">
        <v>279.58027994281838</v>
      </c>
      <c r="R189" s="87">
        <v>278.5311945561723</v>
      </c>
      <c r="S189" s="87">
        <v>275.53629142688493</v>
      </c>
      <c r="T189" s="87">
        <v>270.12570714374863</v>
      </c>
      <c r="U189" s="87">
        <v>263.52283666558577</v>
      </c>
      <c r="V189" s="87">
        <v>260.41937945845865</v>
      </c>
      <c r="W189" s="87">
        <v>259.49029362405832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186.83682092555338</v>
      </c>
      <c r="O190" s="87">
        <v>195.91210805612479</v>
      </c>
      <c r="P190" s="87">
        <v>189.83813776301244</v>
      </c>
      <c r="Q190" s="87">
        <v>173.3401065343613</v>
      </c>
      <c r="R190" s="87">
        <v>251.015412534776</v>
      </c>
      <c r="S190" s="87">
        <v>247.4343827825536</v>
      </c>
      <c r="T190" s="87">
        <v>230.53154257536383</v>
      </c>
      <c r="U190" s="87">
        <v>230.20327165629365</v>
      </c>
      <c r="V190" s="87">
        <v>207.10561994212867</v>
      </c>
      <c r="W190" s="87">
        <v>207.23629469291578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922.68091180590454</v>
      </c>
      <c r="C192" s="116">
        <v>895.634391445711</v>
      </c>
      <c r="D192" s="116">
        <v>861.49114515375709</v>
      </c>
      <c r="E192" s="116">
        <v>842.024674538829</v>
      </c>
      <c r="F192" s="116">
        <v>847.00286217023938</v>
      </c>
      <c r="G192" s="116">
        <v>831.29740823276086</v>
      </c>
      <c r="H192" s="116">
        <v>817.71434341961981</v>
      </c>
      <c r="I192" s="116">
        <v>815.07468391033319</v>
      </c>
      <c r="J192" s="116">
        <v>802.03259267841952</v>
      </c>
      <c r="K192" s="116">
        <v>797.85224854554917</v>
      </c>
      <c r="L192" s="116">
        <v>795.0683964265877</v>
      </c>
      <c r="M192" s="116">
        <v>792.26353744741152</v>
      </c>
      <c r="N192" s="116">
        <v>790.35730906386527</v>
      </c>
      <c r="O192" s="116">
        <v>779.17062722276876</v>
      </c>
      <c r="P192" s="116">
        <v>768.29629730349211</v>
      </c>
      <c r="Q192" s="116">
        <v>765.62104429825047</v>
      </c>
      <c r="R192" s="116">
        <v>757.18509340475543</v>
      </c>
      <c r="S192" s="116">
        <v>748.40349385730769</v>
      </c>
      <c r="T192" s="116">
        <v>745.10400260301367</v>
      </c>
      <c r="U192" s="116">
        <v>731.95519889326533</v>
      </c>
      <c r="V192" s="116">
        <v>726.4807304252364</v>
      </c>
      <c r="W192" s="116">
        <v>722.33275270461297</v>
      </c>
      <c r="DA192" s="176" t="s">
        <v>928</v>
      </c>
    </row>
    <row r="193" spans="1:105" ht="11.45" customHeight="1" x14ac:dyDescent="0.25">
      <c r="A193" s="128" t="s">
        <v>27</v>
      </c>
      <c r="B193" s="101">
        <v>789.31969023591967</v>
      </c>
      <c r="C193" s="101">
        <v>778.14260427696593</v>
      </c>
      <c r="D193" s="101">
        <v>765.68919585256253</v>
      </c>
      <c r="E193" s="101">
        <v>758.99102445014307</v>
      </c>
      <c r="F193" s="101">
        <v>746.75748714503186</v>
      </c>
      <c r="G193" s="101">
        <v>743.95066631586428</v>
      </c>
      <c r="H193" s="101">
        <v>740.43401829027482</v>
      </c>
      <c r="I193" s="101">
        <v>738.48610550687579</v>
      </c>
      <c r="J193" s="101">
        <v>733.3740787591048</v>
      </c>
      <c r="K193" s="101">
        <v>731.74599720813524</v>
      </c>
      <c r="L193" s="101">
        <v>730.01890356240631</v>
      </c>
      <c r="M193" s="101">
        <v>727.55614492751306</v>
      </c>
      <c r="N193" s="101">
        <v>726.02004483943574</v>
      </c>
      <c r="O193" s="101">
        <v>717.57287621518856</v>
      </c>
      <c r="P193" s="101">
        <v>709.28434039628485</v>
      </c>
      <c r="Q193" s="101">
        <v>705.94794575732249</v>
      </c>
      <c r="R193" s="101">
        <v>698.98555358956321</v>
      </c>
      <c r="S193" s="101">
        <v>691.07902052646386</v>
      </c>
      <c r="T193" s="101">
        <v>688.20772332732622</v>
      </c>
      <c r="U193" s="101">
        <v>676.80458581663231</v>
      </c>
      <c r="V193" s="101">
        <v>672.33520321775723</v>
      </c>
      <c r="W193" s="101">
        <v>668.71514169808552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1052.8133832425053</v>
      </c>
      <c r="D194" s="88">
        <v>1040.9345424390688</v>
      </c>
      <c r="E194" s="88">
        <v>1030.6860326417877</v>
      </c>
      <c r="F194" s="88">
        <v>1010.0980390339979</v>
      </c>
      <c r="G194" s="88">
        <v>999.05651483954387</v>
      </c>
      <c r="H194" s="88">
        <v>986.41805450967024</v>
      </c>
      <c r="I194" s="88">
        <v>964.8986945566877</v>
      </c>
      <c r="J194" s="88">
        <v>956.72396599181809</v>
      </c>
      <c r="K194" s="88">
        <v>947.92450565622426</v>
      </c>
      <c r="L194" s="88">
        <v>933.84323591442967</v>
      </c>
      <c r="M194" s="88">
        <v>921.9357242904498</v>
      </c>
      <c r="N194" s="88">
        <v>913.63696932155017</v>
      </c>
      <c r="O194" s="88">
        <v>900.11353107449838</v>
      </c>
      <c r="P194" s="88">
        <v>889.83304070390182</v>
      </c>
      <c r="Q194" s="88">
        <v>872.57421626209828</v>
      </c>
      <c r="R194" s="88">
        <v>855.80224198955329</v>
      </c>
      <c r="S194" s="88">
        <v>839.06864645568771</v>
      </c>
      <c r="T194" s="88">
        <v>828.29432199758708</v>
      </c>
      <c r="U194" s="88">
        <v>811.25229191320534</v>
      </c>
      <c r="V194" s="88">
        <v>800.29713163549093</v>
      </c>
      <c r="W194" s="88">
        <v>786.54129811628991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1.1275000000068982</v>
      </c>
      <c r="C198" s="150">
        <f>IF(TrRoad_act!C59=0,0,TrRoad_emi!C56/TrRoad_tech!C171)</f>
        <v>1.127699203603844</v>
      </c>
      <c r="D198" s="150">
        <f>IF(TrRoad_act!D59=0,0,TrRoad_emi!D56/TrRoad_tech!D171)</f>
        <v>1.1282007557199416</v>
      </c>
      <c r="E198" s="150">
        <f>IF(TrRoad_act!E59=0,0,TrRoad_emi!E56/TrRoad_tech!E171)</f>
        <v>1.1288608877133322</v>
      </c>
      <c r="F198" s="150">
        <f>IF(TrRoad_act!F59=0,0,TrRoad_emi!F56/TrRoad_tech!F171)</f>
        <v>1.131227444751121</v>
      </c>
      <c r="G198" s="150">
        <f>IF(TrRoad_act!G59=0,0,TrRoad_emi!G56/TrRoad_tech!G171)</f>
        <v>1.1350111935251548</v>
      </c>
      <c r="H198" s="150">
        <f>IF(TrRoad_act!H59=0,0,TrRoad_emi!H56/TrRoad_tech!H171)</f>
        <v>1.1355579677734575</v>
      </c>
      <c r="I198" s="150">
        <f>IF(TrRoad_act!I59=0,0,TrRoad_emi!I56/TrRoad_tech!I171)</f>
        <v>1.1253112379262467</v>
      </c>
      <c r="J198" s="150">
        <f>IF(TrRoad_act!J59=0,0,TrRoad_emi!J56/TrRoad_tech!J171)</f>
        <v>1.1322412269978042</v>
      </c>
      <c r="K198" s="150">
        <f>IF(TrRoad_act!K59=0,0,TrRoad_emi!K56/TrRoad_tech!K171)</f>
        <v>1.1154947746582708</v>
      </c>
      <c r="L198" s="150">
        <f>IF(TrRoad_act!L59=0,0,TrRoad_emi!L56/TrRoad_tech!L171)</f>
        <v>1.1245761332996513</v>
      </c>
      <c r="M198" s="150">
        <f>IF(TrRoad_act!M59=0,0,TrRoad_emi!M56/TrRoad_tech!M171)</f>
        <v>1.1382256932876296</v>
      </c>
      <c r="N198" s="150">
        <f>IF(TrRoad_act!N59=0,0,TrRoad_emi!N56/TrRoad_tech!N171)</f>
        <v>1.1505621236919215</v>
      </c>
      <c r="O198" s="150">
        <f>IF(TrRoad_act!O59=0,0,TrRoad_emi!O56/TrRoad_tech!O171)</f>
        <v>1.1614404202597577</v>
      </c>
      <c r="P198" s="150">
        <f>IF(TrRoad_act!P59=0,0,TrRoad_emi!P56/TrRoad_tech!P171)</f>
        <v>1.1584560861996915</v>
      </c>
      <c r="Q198" s="150">
        <f>IF(TrRoad_act!Q59=0,0,TrRoad_emi!Q56/TrRoad_tech!Q171)</f>
        <v>1.1770642829521138</v>
      </c>
      <c r="R198" s="150">
        <f>IF(TrRoad_act!R59=0,0,TrRoad_emi!R56/TrRoad_tech!R171)</f>
        <v>1.2034609257454223</v>
      </c>
      <c r="S198" s="150">
        <f>IF(TrRoad_act!S59=0,0,TrRoad_emi!S56/TrRoad_tech!S171)</f>
        <v>1.2080721878459917</v>
      </c>
      <c r="T198" s="150">
        <f>IF(TrRoad_act!T59=0,0,TrRoad_emi!T56/TrRoad_tech!T171)</f>
        <v>1.2241741801797059</v>
      </c>
      <c r="U198" s="150">
        <f>IF(TrRoad_act!U59=0,0,TrRoad_emi!U56/TrRoad_tech!U171)</f>
        <v>1.229643366355136</v>
      </c>
      <c r="V198" s="150">
        <f>IF(TrRoad_act!V59=0,0,TrRoad_emi!V56/TrRoad_tech!V171)</f>
        <v>1.2277721638991059</v>
      </c>
      <c r="W198" s="150">
        <f>IF(TrRoad_act!W59=0,0,TrRoad_emi!W56/TrRoad_tech!W171)</f>
        <v>1.2307111693098989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0.92772713807244267</v>
      </c>
      <c r="C199" s="151">
        <f>IF(TrRoad_act!C60=0,0,TrRoad_emi!C57/TrRoad_tech!C172)</f>
        <v>0.94979394484558699</v>
      </c>
      <c r="D199" s="151">
        <f>IF(TrRoad_act!D60=0,0,TrRoad_emi!D57/TrRoad_tech!D172)</f>
        <v>1.0691610743953359</v>
      </c>
      <c r="E199" s="151">
        <f>IF(TrRoad_act!E60=0,0,TrRoad_emi!E57/TrRoad_tech!E172)</f>
        <v>1.0362551674734515</v>
      </c>
      <c r="F199" s="151">
        <f>IF(TrRoad_act!F60=0,0,TrRoad_emi!F57/TrRoad_tech!F172)</f>
        <v>0.93000608543563967</v>
      </c>
      <c r="G199" s="151">
        <f>IF(TrRoad_act!G60=0,0,TrRoad_emi!G57/TrRoad_tech!G172)</f>
        <v>1.0018126669328447</v>
      </c>
      <c r="H199" s="151">
        <f>IF(TrRoad_act!H60=0,0,TrRoad_emi!H57/TrRoad_tech!H172)</f>
        <v>0.95101892673027411</v>
      </c>
      <c r="I199" s="151">
        <f>IF(TrRoad_act!I60=0,0,TrRoad_emi!I57/TrRoad_tech!I172)</f>
        <v>1.0056491858069851</v>
      </c>
      <c r="J199" s="151">
        <f>IF(TrRoad_act!J60=0,0,TrRoad_emi!J57/TrRoad_tech!J172)</f>
        <v>1.0281870019500046</v>
      </c>
      <c r="K199" s="151">
        <f>IF(TrRoad_act!K60=0,0,TrRoad_emi!K57/TrRoad_tech!K172)</f>
        <v>0.9603577905642543</v>
      </c>
      <c r="L199" s="151">
        <f>IF(TrRoad_act!L60=0,0,TrRoad_emi!L57/TrRoad_tech!L172)</f>
        <v>0.96244293036429207</v>
      </c>
      <c r="M199" s="151">
        <f>IF(TrRoad_act!M60=0,0,TrRoad_emi!M57/TrRoad_tech!M172)</f>
        <v>0.98029881318903689</v>
      </c>
      <c r="N199" s="151">
        <f>IF(TrRoad_act!N60=0,0,TrRoad_emi!N57/TrRoad_tech!N172)</f>
        <v>0.94121227156414666</v>
      </c>
      <c r="O199" s="151">
        <f>IF(TrRoad_act!O60=0,0,TrRoad_emi!O57/TrRoad_tech!O172)</f>
        <v>0.93365444209130943</v>
      </c>
      <c r="P199" s="151">
        <f>IF(TrRoad_act!P60=0,0,TrRoad_emi!P57/TrRoad_tech!P172)</f>
        <v>0.89959940460855325</v>
      </c>
      <c r="Q199" s="151">
        <f>IF(TrRoad_act!Q60=0,0,TrRoad_emi!Q57/TrRoad_tech!Q172)</f>
        <v>0.90969119137387522</v>
      </c>
      <c r="R199" s="151">
        <f>IF(TrRoad_act!R60=0,0,TrRoad_emi!R57/TrRoad_tech!R172)</f>
        <v>0.92667522464671948</v>
      </c>
      <c r="S199" s="151">
        <f>IF(TrRoad_act!S60=0,0,TrRoad_emi!S57/TrRoad_tech!S172)</f>
        <v>0.95740209175950253</v>
      </c>
      <c r="T199" s="151">
        <f>IF(TrRoad_act!T60=0,0,TrRoad_emi!T57/TrRoad_tech!T172)</f>
        <v>0.92554380085669397</v>
      </c>
      <c r="U199" s="151">
        <f>IF(TrRoad_act!U60=0,0,TrRoad_emi!U57/TrRoad_tech!U172)</f>
        <v>0.91342719457677068</v>
      </c>
      <c r="V199" s="151">
        <f>IF(TrRoad_act!V60=0,0,TrRoad_emi!V57/TrRoad_tech!V172)</f>
        <v>0.91597071287670739</v>
      </c>
      <c r="W199" s="151">
        <f>IF(TrRoad_act!W60=0,0,TrRoad_emi!W57/TrRoad_tech!W172)</f>
        <v>0.94073703295567845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0.88657534555287987</v>
      </c>
      <c r="C200" s="91">
        <f>IF(TrRoad_act!C61=0,0,TrRoad_emi!C58/TrRoad_tech!C173)</f>
        <v>0.93645342446762359</v>
      </c>
      <c r="D200" s="91">
        <f>IF(TrRoad_act!D61=0,0,TrRoad_emi!D58/TrRoad_tech!D173)</f>
        <v>1.1122675334770722</v>
      </c>
      <c r="E200" s="91">
        <f>IF(TrRoad_act!E61=0,0,TrRoad_emi!E58/TrRoad_tech!E173)</f>
        <v>1.0409109381920423</v>
      </c>
      <c r="F200" s="91">
        <f>IF(TrRoad_act!F61=0,0,TrRoad_emi!F58/TrRoad_tech!F173)</f>
        <v>0.94286934082972196</v>
      </c>
      <c r="G200" s="91">
        <f>IF(TrRoad_act!G61=0,0,TrRoad_emi!G58/TrRoad_tech!G173)</f>
        <v>0.99042044305779631</v>
      </c>
      <c r="H200" s="91">
        <f>IF(TrRoad_act!H61=0,0,TrRoad_emi!H58/TrRoad_tech!H173)</f>
        <v>0.9329554048960268</v>
      </c>
      <c r="I200" s="91">
        <f>IF(TrRoad_act!I61=0,0,TrRoad_emi!I58/TrRoad_tech!I173)</f>
        <v>0.98195212377499064</v>
      </c>
      <c r="J200" s="91">
        <f>IF(TrRoad_act!J61=0,0,TrRoad_emi!J58/TrRoad_tech!J173)</f>
        <v>1.0425855721480057</v>
      </c>
      <c r="K200" s="91">
        <f>IF(TrRoad_act!K61=0,0,TrRoad_emi!K58/TrRoad_tech!K173)</f>
        <v>0.94508932306619431</v>
      </c>
      <c r="L200" s="91">
        <f>IF(TrRoad_act!L61=0,0,TrRoad_emi!L58/TrRoad_tech!L173)</f>
        <v>0.92620936148345312</v>
      </c>
      <c r="M200" s="91">
        <f>IF(TrRoad_act!M61=0,0,TrRoad_emi!M58/TrRoad_tech!M173)</f>
        <v>0.92080738450862598</v>
      </c>
      <c r="N200" s="91">
        <f>IF(TrRoad_act!N61=0,0,TrRoad_emi!N58/TrRoad_tech!N173)</f>
        <v>0.89588995591993026</v>
      </c>
      <c r="O200" s="91">
        <f>IF(TrRoad_act!O61=0,0,TrRoad_emi!O58/TrRoad_tech!O173)</f>
        <v>0.88647646554537107</v>
      </c>
      <c r="P200" s="91">
        <f>IF(TrRoad_act!P61=0,0,TrRoad_emi!P58/TrRoad_tech!P173)</f>
        <v>0.86390524252865031</v>
      </c>
      <c r="Q200" s="91">
        <f>IF(TrRoad_act!Q61=0,0,TrRoad_emi!Q58/TrRoad_tech!Q173)</f>
        <v>0.88043233025359036</v>
      </c>
      <c r="R200" s="91">
        <f>IF(TrRoad_act!R61=0,0,TrRoad_emi!R58/TrRoad_tech!R173)</f>
        <v>0.91143254256382289</v>
      </c>
      <c r="S200" s="91">
        <f>IF(TrRoad_act!S61=0,0,TrRoad_emi!S58/TrRoad_tech!S173)</f>
        <v>0.92762257125332348</v>
      </c>
      <c r="T200" s="91">
        <f>IF(TrRoad_act!T61=0,0,TrRoad_emi!T58/TrRoad_tech!T173)</f>
        <v>0.86752805449719672</v>
      </c>
      <c r="U200" s="91">
        <f>IF(TrRoad_act!U61=0,0,TrRoad_emi!U58/TrRoad_tech!U173)</f>
        <v>0.85115995510279963</v>
      </c>
      <c r="V200" s="91">
        <f>IF(TrRoad_act!V61=0,0,TrRoad_emi!V58/TrRoad_tech!V173)</f>
        <v>0.85481038052957814</v>
      </c>
      <c r="W200" s="91">
        <f>IF(TrRoad_act!W61=0,0,TrRoad_emi!W58/TrRoad_tech!W173)</f>
        <v>0.87333604760522532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1.0263424088954829</v>
      </c>
      <c r="C201" s="91">
        <f>IF(TrRoad_act!C62=0,0,TrRoad_emi!C59/TrRoad_tech!C174)</f>
        <v>0.97540104893251367</v>
      </c>
      <c r="D201" s="91">
        <f>IF(TrRoad_act!D62=0,0,TrRoad_emi!D59/TrRoad_tech!D174)</f>
        <v>1.0357576659784096</v>
      </c>
      <c r="E201" s="91">
        <f>IF(TrRoad_act!E62=0,0,TrRoad_emi!E59/TrRoad_tech!E174)</f>
        <v>1.0125520677897368</v>
      </c>
      <c r="F201" s="91">
        <f>IF(TrRoad_act!F62=0,0,TrRoad_emi!F59/TrRoad_tech!F174)</f>
        <v>1.0168054389932566</v>
      </c>
      <c r="G201" s="91">
        <f>IF(TrRoad_act!G62=0,0,TrRoad_emi!G59/TrRoad_tech!G174)</f>
        <v>1.0252265413749244</v>
      </c>
      <c r="H201" s="91">
        <f>IF(TrRoad_act!H62=0,0,TrRoad_emi!H59/TrRoad_tech!H174)</f>
        <v>1.0057656160138495</v>
      </c>
      <c r="I201" s="91">
        <f>IF(TrRoad_act!I62=0,0,TrRoad_emi!I59/TrRoad_tech!I174)</f>
        <v>1.0064525196178438</v>
      </c>
      <c r="J201" s="91">
        <f>IF(TrRoad_act!J62=0,0,TrRoad_emi!J59/TrRoad_tech!J174)</f>
        <v>1.0043344864920796</v>
      </c>
      <c r="K201" s="91">
        <f>IF(TrRoad_act!K62=0,0,TrRoad_emi!K59/TrRoad_tech!K174)</f>
        <v>0.99284485546373413</v>
      </c>
      <c r="L201" s="91">
        <f>IF(TrRoad_act!L62=0,0,TrRoad_emi!L59/TrRoad_tech!L174)</f>
        <v>1.0094752481481539</v>
      </c>
      <c r="M201" s="91">
        <f>IF(TrRoad_act!M62=0,0,TrRoad_emi!M59/TrRoad_tech!M174)</f>
        <v>1.0023587777431748</v>
      </c>
      <c r="N201" s="91">
        <f>IF(TrRoad_act!N62=0,0,TrRoad_emi!N59/TrRoad_tech!N174)</f>
        <v>1.005863420764775</v>
      </c>
      <c r="O201" s="91">
        <f>IF(TrRoad_act!O62=0,0,TrRoad_emi!O59/TrRoad_tech!O174)</f>
        <v>1.0064975266887801</v>
      </c>
      <c r="P201" s="91">
        <f>IF(TrRoad_act!P62=0,0,TrRoad_emi!P59/TrRoad_tech!P174)</f>
        <v>0.98324475976043946</v>
      </c>
      <c r="Q201" s="91">
        <f>IF(TrRoad_act!Q62=0,0,TrRoad_emi!Q59/TrRoad_tech!Q174)</f>
        <v>0.97199896805261188</v>
      </c>
      <c r="R201" s="91">
        <f>IF(TrRoad_act!R62=0,0,TrRoad_emi!R59/TrRoad_tech!R174)</f>
        <v>0.99273430477286795</v>
      </c>
      <c r="S201" s="91">
        <f>IF(TrRoad_act!S62=0,0,TrRoad_emi!S59/TrRoad_tech!S174)</f>
        <v>1.0364361318650783</v>
      </c>
      <c r="T201" s="91">
        <f>IF(TrRoad_act!T62=0,0,TrRoad_emi!T59/TrRoad_tech!T174)</f>
        <v>1.0458574455207881</v>
      </c>
      <c r="U201" s="91">
        <f>IF(TrRoad_act!U62=0,0,TrRoad_emi!U59/TrRoad_tech!U174)</f>
        <v>1.0365055944566275</v>
      </c>
      <c r="V201" s="91">
        <f>IF(TrRoad_act!V62=0,0,TrRoad_emi!V59/TrRoad_tech!V174)</f>
        <v>1.0300621794253204</v>
      </c>
      <c r="W201" s="91">
        <f>IF(TrRoad_act!W62=0,0,TrRoad_emi!W59/TrRoad_tech!W174)</f>
        <v>1.0510233435434377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0</v>
      </c>
      <c r="D202" s="91">
        <f>IF(TrRoad_act!D63=0,0,TrRoad_emi!D60/TrRoad_tech!D175)</f>
        <v>0</v>
      </c>
      <c r="E202" s="91">
        <f>IF(TrRoad_act!E63=0,0,TrRoad_emi!E60/TrRoad_tech!E175)</f>
        <v>0</v>
      </c>
      <c r="F202" s="91">
        <f>IF(TrRoad_act!F63=0,0,TrRoad_emi!F60/TrRoad_tech!F175)</f>
        <v>0</v>
      </c>
      <c r="G202" s="91">
        <f>IF(TrRoad_act!G63=0,0,TrRoad_emi!G60/TrRoad_tech!G175)</f>
        <v>0.94814013389452967</v>
      </c>
      <c r="H202" s="91">
        <f>IF(TrRoad_act!H63=0,0,TrRoad_emi!H60/TrRoad_tech!H175)</f>
        <v>0.95856594014625462</v>
      </c>
      <c r="I202" s="91">
        <f>IF(TrRoad_act!I63=0,0,TrRoad_emi!I60/TrRoad_tech!I175)</f>
        <v>0.98511556269787148</v>
      </c>
      <c r="J202" s="91">
        <f>IF(TrRoad_act!J63=0,0,TrRoad_emi!J60/TrRoad_tech!J175)</f>
        <v>1.0287597319800601</v>
      </c>
      <c r="K202" s="91">
        <f>IF(TrRoad_act!K63=0,0,TrRoad_emi!K60/TrRoad_tech!K175)</f>
        <v>1.0778288938021052</v>
      </c>
      <c r="L202" s="91">
        <f>IF(TrRoad_act!L63=0,0,TrRoad_emi!L60/TrRoad_tech!L175)</f>
        <v>1.024948115465008</v>
      </c>
      <c r="M202" s="91">
        <f>IF(TrRoad_act!M63=0,0,TrRoad_emi!M60/TrRoad_tech!M175)</f>
        <v>0.96601384101932164</v>
      </c>
      <c r="N202" s="91">
        <f>IF(TrRoad_act!N63=0,0,TrRoad_emi!N60/TrRoad_tech!N175)</f>
        <v>0.96993135941877684</v>
      </c>
      <c r="O202" s="91">
        <f>IF(TrRoad_act!O63=0,0,TrRoad_emi!O60/TrRoad_tech!O175)</f>
        <v>0.9748992102265287</v>
      </c>
      <c r="P202" s="91">
        <f>IF(TrRoad_act!P63=0,0,TrRoad_emi!P60/TrRoad_tech!P175)</f>
        <v>0.80059619126801262</v>
      </c>
      <c r="Q202" s="91">
        <f>IF(TrRoad_act!Q63=0,0,TrRoad_emi!Q60/TrRoad_tech!Q175)</f>
        <v>0.88829003340880941</v>
      </c>
      <c r="R202" s="91">
        <f>IF(TrRoad_act!R63=0,0,TrRoad_emi!R60/TrRoad_tech!R175)</f>
        <v>0.91447525333066504</v>
      </c>
      <c r="S202" s="91">
        <f>IF(TrRoad_act!S63=0,0,TrRoad_emi!S60/TrRoad_tech!S175)</f>
        <v>0.97102840655607747</v>
      </c>
      <c r="T202" s="91">
        <f>IF(TrRoad_act!T63=0,0,TrRoad_emi!T60/TrRoad_tech!T175)</f>
        <v>1.0705787593141192</v>
      </c>
      <c r="U202" s="91">
        <f>IF(TrRoad_act!U63=0,0,TrRoad_emi!U60/TrRoad_tech!U175)</f>
        <v>1.1524124832452705</v>
      </c>
      <c r="V202" s="91">
        <f>IF(TrRoad_act!V63=0,0,TrRoad_emi!V60/TrRoad_tech!V175)</f>
        <v>1.2255166578365588</v>
      </c>
      <c r="W202" s="91">
        <f>IF(TrRoad_act!W63=0,0,TrRoad_emi!W60/TrRoad_tech!W175)</f>
        <v>1.4032624943091538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2.0254048673157596</v>
      </c>
      <c r="D203" s="91">
        <f>IF(TrRoad_act!D64=0,0,TrRoad_emi!D61/TrRoad_tech!D176)</f>
        <v>0.85178308496384869</v>
      </c>
      <c r="E203" s="91">
        <f>IF(TrRoad_act!E64=0,0,TrRoad_emi!E61/TrRoad_tech!E176)</f>
        <v>0.85827048663690431</v>
      </c>
      <c r="F203" s="91">
        <f>IF(TrRoad_act!F64=0,0,TrRoad_emi!F61/TrRoad_tech!F176)</f>
        <v>1.0972888829593184</v>
      </c>
      <c r="G203" s="91">
        <f>IF(TrRoad_act!G64=0,0,TrRoad_emi!G61/TrRoad_tech!G176)</f>
        <v>1.4262349336355917</v>
      </c>
      <c r="H203" s="91">
        <f>IF(TrRoad_act!H64=0,0,TrRoad_emi!H61/TrRoad_tech!H176)</f>
        <v>0.84051586413862867</v>
      </c>
      <c r="I203" s="91">
        <f>IF(TrRoad_act!I64=0,0,TrRoad_emi!I61/TrRoad_tech!I176)</f>
        <v>1.7112030963236613</v>
      </c>
      <c r="J203" s="91">
        <f>IF(TrRoad_act!J64=0,0,TrRoad_emi!J61/TrRoad_tech!J176)</f>
        <v>0.82214569933680226</v>
      </c>
      <c r="K203" s="91">
        <f>IF(TrRoad_act!K64=0,0,TrRoad_emi!K61/TrRoad_tech!K176)</f>
        <v>0.82040329376544852</v>
      </c>
      <c r="L203" s="91">
        <f>IF(TrRoad_act!L64=0,0,TrRoad_emi!L61/TrRoad_tech!L176)</f>
        <v>0.91543178249881285</v>
      </c>
      <c r="M203" s="91">
        <f>IF(TrRoad_act!M64=0,0,TrRoad_emi!M61/TrRoad_tech!M176)</f>
        <v>1.0925620348214458</v>
      </c>
      <c r="N203" s="91">
        <f>IF(TrRoad_act!N64=0,0,TrRoad_emi!N61/TrRoad_tech!N176)</f>
        <v>1.0741443776019761</v>
      </c>
      <c r="O203" s="91">
        <f>IF(TrRoad_act!O64=0,0,TrRoad_emi!O61/TrRoad_tech!O176)</f>
        <v>0.95355747625853571</v>
      </c>
      <c r="P203" s="91">
        <f>IF(TrRoad_act!P64=0,0,TrRoad_emi!P61/TrRoad_tech!P176)</f>
        <v>1.0443146326882351</v>
      </c>
      <c r="Q203" s="91">
        <f>IF(TrRoad_act!Q64=0,0,TrRoad_emi!Q61/TrRoad_tech!Q176)</f>
        <v>0.96434582477231279</v>
      </c>
      <c r="R203" s="91">
        <f>IF(TrRoad_act!R64=0,0,TrRoad_emi!R61/TrRoad_tech!R176)</f>
        <v>1.0528863136864461</v>
      </c>
      <c r="S203" s="91">
        <f>IF(TrRoad_act!S64=0,0,TrRoad_emi!S61/TrRoad_tech!S176)</f>
        <v>1.0541668658565448</v>
      </c>
      <c r="T203" s="91">
        <f>IF(TrRoad_act!T64=0,0,TrRoad_emi!T61/TrRoad_tech!T176)</f>
        <v>1.055907872309682</v>
      </c>
      <c r="U203" s="91">
        <f>IF(TrRoad_act!U64=0,0,TrRoad_emi!U61/TrRoad_tech!U176)</f>
        <v>1.0593963112978024</v>
      </c>
      <c r="V203" s="91">
        <f>IF(TrRoad_act!V64=0,0,TrRoad_emi!V61/TrRoad_tech!V176)</f>
        <v>1.4109459975643299</v>
      </c>
      <c r="W203" s="91">
        <f>IF(TrRoad_act!W64=0,0,TrRoad_emi!W61/TrRoad_tech!W176)</f>
        <v>1.3835320411641583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0.92045913002589297</v>
      </c>
      <c r="O204" s="91">
        <f>IF(TrRoad_act!O65=0,0,TrRoad_emi!O62/TrRoad_tech!O177)</f>
        <v>0.90890949378419683</v>
      </c>
      <c r="P204" s="91">
        <f>IF(TrRoad_act!P65=0,0,TrRoad_emi!P62/TrRoad_tech!P177)</f>
        <v>0.89225805576684247</v>
      </c>
      <c r="Q204" s="91">
        <f>IF(TrRoad_act!Q65=0,0,TrRoad_emi!Q62/TrRoad_tech!Q177)</f>
        <v>0.90934390492396167</v>
      </c>
      <c r="R204" s="91">
        <f>IF(TrRoad_act!R65=0,0,TrRoad_emi!R62/TrRoad_tech!R177)</f>
        <v>0.94471344884998021</v>
      </c>
      <c r="S204" s="91">
        <f>IF(TrRoad_act!S65=0,0,TrRoad_emi!S62/TrRoad_tech!S177)</f>
        <v>0.96395391061379587</v>
      </c>
      <c r="T204" s="91">
        <f>IF(TrRoad_act!T65=0,0,TrRoad_emi!T62/TrRoad_tech!T177)</f>
        <v>0.89958296472847654</v>
      </c>
      <c r="U204" s="91">
        <f>IF(TrRoad_act!U65=0,0,TrRoad_emi!U62/TrRoad_tech!U177)</f>
        <v>0.88058684996247705</v>
      </c>
      <c r="V204" s="91">
        <f>IF(TrRoad_act!V65=0,0,TrRoad_emi!V62/TrRoad_tech!V177)</f>
        <v>0.88423743761148388</v>
      </c>
      <c r="W204" s="91">
        <f>IF(TrRoad_act!W65=0,0,TrRoad_emi!W62/TrRoad_tech!W177)</f>
        <v>0.90067834290784932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1.0999862800856173</v>
      </c>
      <c r="C206" s="151">
        <f>IF(TrRoad_act!C67=0,0,TrRoad_emi!C64/TrRoad_tech!C179)</f>
        <v>1.0401968986933683</v>
      </c>
      <c r="D206" s="151">
        <f>IF(TrRoad_act!D67=0,0,TrRoad_emi!D64/TrRoad_tech!D179)</f>
        <v>1.0976626212326941</v>
      </c>
      <c r="E206" s="151">
        <f>IF(TrRoad_act!E67=0,0,TrRoad_emi!E64/TrRoad_tech!E179)</f>
        <v>1.0765346787245405</v>
      </c>
      <c r="F206" s="151">
        <f>IF(TrRoad_act!F67=0,0,TrRoad_emi!F64/TrRoad_tech!F179)</f>
        <v>1.0754901724126558</v>
      </c>
      <c r="G206" s="151">
        <f>IF(TrRoad_act!G67=0,0,TrRoad_emi!G64/TrRoad_tech!G179)</f>
        <v>1.0773535083945485</v>
      </c>
      <c r="H206" s="151">
        <f>IF(TrRoad_act!H67=0,0,TrRoad_emi!H64/TrRoad_tech!H179)</f>
        <v>1.0493945426592761</v>
      </c>
      <c r="I206" s="151">
        <f>IF(TrRoad_act!I67=0,0,TrRoad_emi!I64/TrRoad_tech!I179)</f>
        <v>1.0528117102740966</v>
      </c>
      <c r="J206" s="151">
        <f>IF(TrRoad_act!J67=0,0,TrRoad_emi!J64/TrRoad_tech!J179)</f>
        <v>1.051736881711514</v>
      </c>
      <c r="K206" s="151">
        <f>IF(TrRoad_act!K67=0,0,TrRoad_emi!K64/TrRoad_tech!K179)</f>
        <v>1.0535806574929976</v>
      </c>
      <c r="L206" s="151">
        <f>IF(TrRoad_act!L67=0,0,TrRoad_emi!L64/TrRoad_tech!L179)</f>
        <v>1.165571253617582</v>
      </c>
      <c r="M206" s="151">
        <f>IF(TrRoad_act!M67=0,0,TrRoad_emi!M64/TrRoad_tech!M179)</f>
        <v>1.2504022532296399</v>
      </c>
      <c r="N206" s="151">
        <f>IF(TrRoad_act!N67=0,0,TrRoad_emi!N64/TrRoad_tech!N179)</f>
        <v>1.0743449361251458</v>
      </c>
      <c r="O206" s="151">
        <f>IF(TrRoad_act!O67=0,0,TrRoad_emi!O64/TrRoad_tech!O179)</f>
        <v>1.0790348775734835</v>
      </c>
      <c r="P206" s="151">
        <f>IF(TrRoad_act!P67=0,0,TrRoad_emi!P64/TrRoad_tech!P179)</f>
        <v>1.2003084117015237</v>
      </c>
      <c r="Q206" s="151">
        <f>IF(TrRoad_act!Q67=0,0,TrRoad_emi!Q64/TrRoad_tech!Q179)</f>
        <v>1.2066556964473385</v>
      </c>
      <c r="R206" s="151">
        <f>IF(TrRoad_act!R67=0,0,TrRoad_emi!R64/TrRoad_tech!R179)</f>
        <v>1.5677734375305907</v>
      </c>
      <c r="S206" s="151">
        <f>IF(TrRoad_act!S67=0,0,TrRoad_emi!S64/TrRoad_tech!S179)</f>
        <v>1.2090843482607907</v>
      </c>
      <c r="T206" s="151">
        <f>IF(TrRoad_act!T67=0,0,TrRoad_emi!T64/TrRoad_tech!T179)</f>
        <v>1.2034332504471983</v>
      </c>
      <c r="U206" s="151">
        <f>IF(TrRoad_act!U67=0,0,TrRoad_emi!U64/TrRoad_tech!U179)</f>
        <v>1.1807346254774818</v>
      </c>
      <c r="V206" s="151">
        <f>IF(TrRoad_act!V67=0,0,TrRoad_emi!V64/TrRoad_tech!V179)</f>
        <v>1.1331966418191435</v>
      </c>
      <c r="W206" s="151">
        <f>IF(TrRoad_act!W67=0,0,TrRoad_emi!W64/TrRoad_tech!W179)</f>
        <v>1.1081660122263219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0</v>
      </c>
      <c r="K207" s="93">
        <f>IF(TrRoad_act!K68=0,0,TrRoad_emi!K65/TrRoad_tech!K180)</f>
        <v>0</v>
      </c>
      <c r="L207" s="93">
        <f>IF(TrRoad_act!L68=0,0,TrRoad_emi!L65/TrRoad_tech!L180)</f>
        <v>0</v>
      </c>
      <c r="M207" s="93">
        <f>IF(TrRoad_act!M68=0,0,TrRoad_emi!M65/TrRoad_tech!M180)</f>
        <v>0</v>
      </c>
      <c r="N207" s="93">
        <f>IF(TrRoad_act!N68=0,0,TrRoad_emi!N65/TrRoad_tech!N180)</f>
        <v>0</v>
      </c>
      <c r="O207" s="93">
        <f>IF(TrRoad_act!O68=0,0,TrRoad_emi!O65/TrRoad_tech!O180)</f>
        <v>0</v>
      </c>
      <c r="P207" s="93">
        <f>IF(TrRoad_act!P68=0,0,TrRoad_emi!P65/TrRoad_tech!P180)</f>
        <v>0</v>
      </c>
      <c r="Q207" s="93">
        <f>IF(TrRoad_act!Q68=0,0,TrRoad_emi!Q65/TrRoad_tech!Q180)</f>
        <v>0</v>
      </c>
      <c r="R207" s="93">
        <f>IF(TrRoad_act!R68=0,0,TrRoad_emi!R65/TrRoad_tech!R180)</f>
        <v>0</v>
      </c>
      <c r="S207" s="93">
        <f>IF(TrRoad_act!S68=0,0,TrRoad_emi!S65/TrRoad_tech!S180)</f>
        <v>0</v>
      </c>
      <c r="T207" s="93">
        <f>IF(TrRoad_act!T68=0,0,TrRoad_emi!T65/TrRoad_tech!T180)</f>
        <v>0</v>
      </c>
      <c r="U207" s="93">
        <f>IF(TrRoad_act!U68=0,0,TrRoad_emi!U65/TrRoad_tech!U180)</f>
        <v>0</v>
      </c>
      <c r="V207" s="93">
        <f>IF(TrRoad_act!V68=0,0,TrRoad_emi!V65/TrRoad_tech!V180)</f>
        <v>0</v>
      </c>
      <c r="W207" s="93">
        <f>IF(TrRoad_act!W68=0,0,TrRoad_emi!W65/TrRoad_tech!W180)</f>
        <v>0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1.0999862800856173</v>
      </c>
      <c r="C208" s="93">
        <f>IF(TrRoad_act!C69=0,0,TrRoad_emi!C66/TrRoad_tech!C181)</f>
        <v>1.0478102709886374</v>
      </c>
      <c r="D208" s="93">
        <f>IF(TrRoad_act!D69=0,0,TrRoad_emi!D66/TrRoad_tech!D181)</f>
        <v>1.1102897545640089</v>
      </c>
      <c r="E208" s="93">
        <f>IF(TrRoad_act!E69=0,0,TrRoad_emi!E66/TrRoad_tech!E181)</f>
        <v>1.0929830721685347</v>
      </c>
      <c r="F208" s="93">
        <f>IF(TrRoad_act!F69=0,0,TrRoad_emi!F66/TrRoad_tech!F181)</f>
        <v>1.0984499981313181</v>
      </c>
      <c r="G208" s="93">
        <f>IF(TrRoad_act!G69=0,0,TrRoad_emi!G66/TrRoad_tech!G181)</f>
        <v>1.1042122511638641</v>
      </c>
      <c r="H208" s="93">
        <f>IF(TrRoad_act!H69=0,0,TrRoad_emi!H66/TrRoad_tech!H181)</f>
        <v>1.0812107126171251</v>
      </c>
      <c r="I208" s="93">
        <f>IF(TrRoad_act!I69=0,0,TrRoad_emi!I66/TrRoad_tech!I181)</f>
        <v>1.0915741957077623</v>
      </c>
      <c r="J208" s="93">
        <f>IF(TrRoad_act!J69=0,0,TrRoad_emi!J66/TrRoad_tech!J181)</f>
        <v>1.0916143849486566</v>
      </c>
      <c r="K208" s="93">
        <f>IF(TrRoad_act!K69=0,0,TrRoad_emi!K66/TrRoad_tech!K181)</f>
        <v>1.0891012308129109</v>
      </c>
      <c r="L208" s="93">
        <f>IF(TrRoad_act!L69=0,0,TrRoad_emi!L66/TrRoad_tech!L181)</f>
        <v>1.1119879715242951</v>
      </c>
      <c r="M208" s="93">
        <f>IF(TrRoad_act!M69=0,0,TrRoad_emi!M66/TrRoad_tech!M181)</f>
        <v>1.1110117515758644</v>
      </c>
      <c r="N208" s="93">
        <f>IF(TrRoad_act!N69=0,0,TrRoad_emi!N66/TrRoad_tech!N181)</f>
        <v>1.1186661286942068</v>
      </c>
      <c r="O208" s="93">
        <f>IF(TrRoad_act!O69=0,0,TrRoad_emi!O66/TrRoad_tech!O181)</f>
        <v>1.1201029311985691</v>
      </c>
      <c r="P208" s="93">
        <f>IF(TrRoad_act!P69=0,0,TrRoad_emi!P66/TrRoad_tech!P181)</f>
        <v>1.0994492745112636</v>
      </c>
      <c r="Q208" s="93">
        <f>IF(TrRoad_act!Q69=0,0,TrRoad_emi!Q66/TrRoad_tech!Q181)</f>
        <v>1.0884557947396352</v>
      </c>
      <c r="R208" s="93">
        <f>IF(TrRoad_act!R69=0,0,TrRoad_emi!R66/TrRoad_tech!R181)</f>
        <v>1.1080849779165245</v>
      </c>
      <c r="S208" s="93">
        <f>IF(TrRoad_act!S69=0,0,TrRoad_emi!S66/TrRoad_tech!S181)</f>
        <v>1.1555668204497196</v>
      </c>
      <c r="T208" s="93">
        <f>IF(TrRoad_act!T69=0,0,TrRoad_emi!T66/TrRoad_tech!T181)</f>
        <v>1.1681013468715125</v>
      </c>
      <c r="U208" s="93">
        <f>IF(TrRoad_act!U69=0,0,TrRoad_emi!U66/TrRoad_tech!U181)</f>
        <v>1.1657497843776221</v>
      </c>
      <c r="V208" s="93">
        <f>IF(TrRoad_act!V69=0,0,TrRoad_emi!V66/TrRoad_tech!V181)</f>
        <v>1.1744277902993385</v>
      </c>
      <c r="W208" s="93">
        <f>IF(TrRoad_act!W69=0,0,TrRoad_emi!W66/TrRoad_tech!W181)</f>
        <v>1.203131164730544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0</v>
      </c>
      <c r="R210" s="93">
        <f>IF(TrRoad_act!R71=0,0,TrRoad_emi!R68/TrRoad_tech!R183)</f>
        <v>0.59744630540383326</v>
      </c>
      <c r="S210" s="93">
        <f>IF(TrRoad_act!S71=0,0,TrRoad_emi!S68/TrRoad_tech!S183)</f>
        <v>0.90674436459389351</v>
      </c>
      <c r="T210" s="93">
        <f>IF(TrRoad_act!T71=0,0,TrRoad_emi!T68/TrRoad_tech!T183)</f>
        <v>0.65344401653263351</v>
      </c>
      <c r="U210" s="93">
        <f>IF(TrRoad_act!U71=0,0,TrRoad_emi!U68/TrRoad_tech!U183)</f>
        <v>1.317263573193203</v>
      </c>
      <c r="V210" s="93">
        <f>IF(TrRoad_act!V71=0,0,TrRoad_emi!V68/TrRoad_tech!V183)</f>
        <v>1.7432354195456372</v>
      </c>
      <c r="W210" s="93">
        <f>IF(TrRoad_act!W71=0,0,TrRoad_emi!W68/TrRoad_tech!W183)</f>
        <v>1.7057387743761638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1.1158561937321492</v>
      </c>
      <c r="C213" s="150">
        <f>IF(TrRoad_act!C74=0,0,TrRoad_emi!C71/TrRoad_tech!C186)</f>
        <v>1.0947026907606934</v>
      </c>
      <c r="D213" s="150">
        <f>IF(TrRoad_act!D74=0,0,TrRoad_emi!D71/TrRoad_tech!D186)</f>
        <v>1.3234992104279113</v>
      </c>
      <c r="E213" s="150">
        <f>IF(TrRoad_act!E74=0,0,TrRoad_emi!E71/TrRoad_tech!E186)</f>
        <v>1.2613985641521377</v>
      </c>
      <c r="F213" s="150">
        <f>IF(TrRoad_act!F74=0,0,TrRoad_emi!F71/TrRoad_tech!F186)</f>
        <v>1.3222992627570687</v>
      </c>
      <c r="G213" s="150">
        <f>IF(TrRoad_act!G74=0,0,TrRoad_emi!G71/TrRoad_tech!G186)</f>
        <v>1.3584696177491828</v>
      </c>
      <c r="H213" s="150">
        <f>IF(TrRoad_act!H74=0,0,TrRoad_emi!H71/TrRoad_tech!H186)</f>
        <v>1.2635658386707311</v>
      </c>
      <c r="I213" s="150">
        <f>IF(TrRoad_act!I74=0,0,TrRoad_emi!I71/TrRoad_tech!I186)</f>
        <v>1.31814412811096</v>
      </c>
      <c r="J213" s="150">
        <f>IF(TrRoad_act!J74=0,0,TrRoad_emi!J71/TrRoad_tech!J186)</f>
        <v>1.2245442433770717</v>
      </c>
      <c r="K213" s="150">
        <f>IF(TrRoad_act!K74=0,0,TrRoad_emi!K71/TrRoad_tech!K186)</f>
        <v>1.0952058469508568</v>
      </c>
      <c r="L213" s="150">
        <f>IF(TrRoad_act!L74=0,0,TrRoad_emi!L71/TrRoad_tech!L186)</f>
        <v>1.2456313350687422</v>
      </c>
      <c r="M213" s="150">
        <f>IF(TrRoad_act!M74=0,0,TrRoad_emi!M71/TrRoad_tech!M186)</f>
        <v>1.337170223358034</v>
      </c>
      <c r="N213" s="150">
        <f>IF(TrRoad_act!N74=0,0,TrRoad_emi!N71/TrRoad_tech!N186)</f>
        <v>1.2370862646719223</v>
      </c>
      <c r="O213" s="150">
        <f>IF(TrRoad_act!O74=0,0,TrRoad_emi!O71/TrRoad_tech!O186)</f>
        <v>1.2254385148755611</v>
      </c>
      <c r="P213" s="150">
        <f>IF(TrRoad_act!P74=0,0,TrRoad_emi!P71/TrRoad_tech!P186)</f>
        <v>1.4491123688062559</v>
      </c>
      <c r="Q213" s="150">
        <f>IF(TrRoad_act!Q74=0,0,TrRoad_emi!Q71/TrRoad_tech!Q186)</f>
        <v>1.2286696530755064</v>
      </c>
      <c r="R213" s="150">
        <f>IF(TrRoad_act!R74=0,0,TrRoad_emi!R71/TrRoad_tech!R186)</f>
        <v>1.3093453139013056</v>
      </c>
      <c r="S213" s="150">
        <f>IF(TrRoad_act!S74=0,0,TrRoad_emi!S71/TrRoad_tech!S186)</f>
        <v>1.3464852667358678</v>
      </c>
      <c r="T213" s="150">
        <f>IF(TrRoad_act!T74=0,0,TrRoad_emi!T71/TrRoad_tech!T186)</f>
        <v>1.3564256231485481</v>
      </c>
      <c r="U213" s="150">
        <f>IF(TrRoad_act!U74=0,0,TrRoad_emi!U71/TrRoad_tech!U186)</f>
        <v>1.332426324952368</v>
      </c>
      <c r="V213" s="150">
        <f>IF(TrRoad_act!V74=0,0,TrRoad_emi!V71/TrRoad_tech!V186)</f>
        <v>1.3550607542522703</v>
      </c>
      <c r="W213" s="150">
        <f>IF(TrRoad_act!W74=0,0,TrRoad_emi!W71/TrRoad_tech!W186)</f>
        <v>1.3072691283325717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1.1000108617625568</v>
      </c>
      <c r="D214" s="91">
        <f>IF(TrRoad_act!D75=0,0,TrRoad_emi!D72/TrRoad_tech!D187)</f>
        <v>1.100041280631108</v>
      </c>
      <c r="E214" s="91">
        <f>IF(TrRoad_act!E75=0,0,TrRoad_emi!E72/TrRoad_tech!E187)</f>
        <v>1.100101869576398</v>
      </c>
      <c r="F214" s="91">
        <f>IF(TrRoad_act!F75=0,0,TrRoad_emi!F72/TrRoad_tech!F187)</f>
        <v>1.1004442286423266</v>
      </c>
      <c r="G214" s="91">
        <f>IF(TrRoad_act!G75=0,0,TrRoad_emi!G72/TrRoad_tech!G187)</f>
        <v>1.100577280066583</v>
      </c>
      <c r="H214" s="91">
        <f>IF(TrRoad_act!H75=0,0,TrRoad_emi!H72/TrRoad_tech!H187)</f>
        <v>1.0995027617488384</v>
      </c>
      <c r="I214" s="91">
        <f>IF(TrRoad_act!I75=0,0,TrRoad_emi!I72/TrRoad_tech!I187)</f>
        <v>1.0848525414227768</v>
      </c>
      <c r="J214" s="91">
        <f>IF(TrRoad_act!J75=0,0,TrRoad_emi!J72/TrRoad_tech!J187)</f>
        <v>1.0860420775680715</v>
      </c>
      <c r="K214" s="91">
        <f>IF(TrRoad_act!K75=0,0,TrRoad_emi!K72/TrRoad_tech!K187)</f>
        <v>1.0638522622771804</v>
      </c>
      <c r="L214" s="91">
        <f>IF(TrRoad_act!L75=0,0,TrRoad_emi!L72/TrRoad_tech!L187)</f>
        <v>1.0663821005525784</v>
      </c>
      <c r="M214" s="91">
        <f>IF(TrRoad_act!M75=0,0,TrRoad_emi!M72/TrRoad_tech!M187)</f>
        <v>1.0720507702884718</v>
      </c>
      <c r="N214" s="91">
        <f>IF(TrRoad_act!N75=0,0,TrRoad_emi!N72/TrRoad_tech!N187)</f>
        <v>1.0763133438127368</v>
      </c>
      <c r="O214" s="91">
        <f>IF(TrRoad_act!O75=0,0,TrRoad_emi!O72/TrRoad_tech!O187)</f>
        <v>1.0827044691112722</v>
      </c>
      <c r="P214" s="91">
        <f>IF(TrRoad_act!P75=0,0,TrRoad_emi!P72/TrRoad_tech!P187)</f>
        <v>1.0709731644188722</v>
      </c>
      <c r="Q214" s="91">
        <f>IF(TrRoad_act!Q75=0,0,TrRoad_emi!Q72/TrRoad_tech!Q187)</f>
        <v>1.0954995864984078</v>
      </c>
      <c r="R214" s="91">
        <f>IF(TrRoad_act!R75=0,0,TrRoad_emi!R72/TrRoad_tech!R187)</f>
        <v>1.1289330932846093</v>
      </c>
      <c r="S214" s="91">
        <f>IF(TrRoad_act!S75=0,0,TrRoad_emi!S72/TrRoad_tech!S187)</f>
        <v>1.1277486519387425</v>
      </c>
      <c r="T214" s="91">
        <f>IF(TrRoad_act!T75=0,0,TrRoad_emi!T72/TrRoad_tech!T187)</f>
        <v>1.136417438697257</v>
      </c>
      <c r="U214" s="91">
        <f>IF(TrRoad_act!U75=0,0,TrRoad_emi!U72/TrRoad_tech!U187)</f>
        <v>1.1405763186686513</v>
      </c>
      <c r="V214" s="91">
        <f>IF(TrRoad_act!V75=0,0,TrRoad_emi!V72/TrRoad_tech!V187)</f>
        <v>1.124664734207558</v>
      </c>
      <c r="W214" s="91">
        <f>IF(TrRoad_act!W75=0,0,TrRoad_emi!W72/TrRoad_tech!W187)</f>
        <v>1.1329023539674754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1.1521281436169062</v>
      </c>
      <c r="C215" s="91">
        <f>IF(TrRoad_act!C76=0,0,TrRoad_emi!C73/TrRoad_tech!C188)</f>
        <v>1.1317447826430207</v>
      </c>
      <c r="D215" s="91">
        <f>IF(TrRoad_act!D76=0,0,TrRoad_emi!D73/TrRoad_tech!D188)</f>
        <v>1.4642682191032381</v>
      </c>
      <c r="E215" s="91">
        <f>IF(TrRoad_act!E76=0,0,TrRoad_emi!E73/TrRoad_tech!E188)</f>
        <v>1.3711500743259699</v>
      </c>
      <c r="F215" s="91">
        <f>IF(TrRoad_act!F76=0,0,TrRoad_emi!F73/TrRoad_tech!F188)</f>
        <v>1.4703988395278658</v>
      </c>
      <c r="G215" s="91">
        <f>IF(TrRoad_act!G76=0,0,TrRoad_emi!G73/TrRoad_tech!G188)</f>
        <v>1.532653339537509</v>
      </c>
      <c r="H215" s="91">
        <f>IF(TrRoad_act!H76=0,0,TrRoad_emi!H73/TrRoad_tech!H188)</f>
        <v>1.3708384990705871</v>
      </c>
      <c r="I215" s="91">
        <f>IF(TrRoad_act!I76=0,0,TrRoad_emi!I73/TrRoad_tech!I188)</f>
        <v>1.4411019958491016</v>
      </c>
      <c r="J215" s="91">
        <f>IF(TrRoad_act!J76=0,0,TrRoad_emi!J73/TrRoad_tech!J188)</f>
        <v>1.3023055763590996</v>
      </c>
      <c r="K215" s="91">
        <f>IF(TrRoad_act!K76=0,0,TrRoad_emi!K73/TrRoad_tech!K188)</f>
        <v>1.1363097206578459</v>
      </c>
      <c r="L215" s="91">
        <f>IF(TrRoad_act!L76=0,0,TrRoad_emi!L73/TrRoad_tech!L188)</f>
        <v>1.3128389150010438</v>
      </c>
      <c r="M215" s="91">
        <f>IF(TrRoad_act!M76=0,0,TrRoad_emi!M73/TrRoad_tech!M188)</f>
        <v>1.3360270960100251</v>
      </c>
      <c r="N215" s="91">
        <f>IF(TrRoad_act!N76=0,0,TrRoad_emi!N73/TrRoad_tech!N188)</f>
        <v>1.2289402507570819</v>
      </c>
      <c r="O215" s="91">
        <f>IF(TrRoad_act!O76=0,0,TrRoad_emi!O73/TrRoad_tech!O188)</f>
        <v>1.2010328670550052</v>
      </c>
      <c r="P215" s="91">
        <f>IF(TrRoad_act!P76=0,0,TrRoad_emi!P73/TrRoad_tech!P188)</f>
        <v>1.2371759686290837</v>
      </c>
      <c r="Q215" s="91">
        <f>IF(TrRoad_act!Q76=0,0,TrRoad_emi!Q73/TrRoad_tech!Q188)</f>
        <v>1.1354403219522342</v>
      </c>
      <c r="R215" s="91">
        <f>IF(TrRoad_act!R76=0,0,TrRoad_emi!R73/TrRoad_tech!R188)</f>
        <v>1.2913534310366963</v>
      </c>
      <c r="S215" s="91">
        <f>IF(TrRoad_act!S76=0,0,TrRoad_emi!S73/TrRoad_tech!S188)</f>
        <v>1.4178587008956889</v>
      </c>
      <c r="T215" s="91">
        <f>IF(TrRoad_act!T76=0,0,TrRoad_emi!T73/TrRoad_tech!T188)</f>
        <v>1.4218158575034501</v>
      </c>
      <c r="U215" s="91">
        <f>IF(TrRoad_act!U76=0,0,TrRoad_emi!U73/TrRoad_tech!U188)</f>
        <v>1.3922519454700761</v>
      </c>
      <c r="V215" s="91">
        <f>IF(TrRoad_act!V76=0,0,TrRoad_emi!V73/TrRoad_tech!V188)</f>
        <v>1.4132680065624601</v>
      </c>
      <c r="W215" s="91">
        <f>IF(TrRoad_act!W76=0,0,TrRoad_emi!W73/TrRoad_tech!W188)</f>
        <v>1.3320468723618697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1.2360000000066975</v>
      </c>
      <c r="O216" s="91">
        <f>IF(TrRoad_act!O77=0,0,TrRoad_emi!O74/TrRoad_tech!O189)</f>
        <v>1.2560000000062248</v>
      </c>
      <c r="P216" s="91">
        <f>IF(TrRoad_act!P77=0,0,TrRoad_emi!P74/TrRoad_tech!P189)</f>
        <v>1.1841993701321261</v>
      </c>
      <c r="Q216" s="91">
        <f>IF(TrRoad_act!Q77=0,0,TrRoad_emi!Q74/TrRoad_tech!Q189)</f>
        <v>1.1851904756756491</v>
      </c>
      <c r="R216" s="91">
        <f>IF(TrRoad_act!R77=0,0,TrRoad_emi!R74/TrRoad_tech!R189)</f>
        <v>1.1890798848756325</v>
      </c>
      <c r="S216" s="91">
        <f>IF(TrRoad_act!S77=0,0,TrRoad_emi!S74/TrRoad_tech!S189)</f>
        <v>1.1914160108967899</v>
      </c>
      <c r="T216" s="91">
        <f>IF(TrRoad_act!T77=0,0,TrRoad_emi!T74/TrRoad_tech!T189)</f>
        <v>1.1945529379780697</v>
      </c>
      <c r="U216" s="91">
        <f>IF(TrRoad_act!U77=0,0,TrRoad_emi!U74/TrRoad_tech!U189)</f>
        <v>1.1987656768697719</v>
      </c>
      <c r="V216" s="91">
        <f>IF(TrRoad_act!V77=0,0,TrRoad_emi!V74/TrRoad_tech!V189)</f>
        <v>1.2022973231929956</v>
      </c>
      <c r="W216" s="91">
        <f>IF(TrRoad_act!W77=0,0,TrRoad_emi!W74/TrRoad_tech!W189)</f>
        <v>1.2035601682952619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1.2727378055438261</v>
      </c>
      <c r="O217" s="91">
        <f>IF(TrRoad_act!O78=0,0,TrRoad_emi!O75/TrRoad_tech!O190)</f>
        <v>1.2497970889851391</v>
      </c>
      <c r="P217" s="91">
        <f>IF(TrRoad_act!P78=0,0,TrRoad_emi!P75/TrRoad_tech!P190)</f>
        <v>1.258143972648782</v>
      </c>
      <c r="Q217" s="91">
        <f>IF(TrRoad_act!Q78=0,0,TrRoad_emi!Q75/TrRoad_tech!Q190)</f>
        <v>1.2706732084561529</v>
      </c>
      <c r="R217" s="91">
        <f>IF(TrRoad_act!R78=0,0,TrRoad_emi!R75/TrRoad_tech!R190)</f>
        <v>1.3158894739477303</v>
      </c>
      <c r="S217" s="91">
        <f>IF(TrRoad_act!S78=0,0,TrRoad_emi!S75/TrRoad_tech!S190)</f>
        <v>1.3163532087895073</v>
      </c>
      <c r="T217" s="91">
        <f>IF(TrRoad_act!T78=0,0,TrRoad_emi!T75/TrRoad_tech!T190)</f>
        <v>1.3251319947222544</v>
      </c>
      <c r="U217" s="91">
        <f>IF(TrRoad_act!U78=0,0,TrRoad_emi!U75/TrRoad_tech!U190)</f>
        <v>1.3291857120920196</v>
      </c>
      <c r="V217" s="91">
        <f>IF(TrRoad_act!V78=0,0,TrRoad_emi!V75/TrRoad_tech!V190)</f>
        <v>1.7683397673943637</v>
      </c>
      <c r="W217" s="91">
        <f>IF(TrRoad_act!W78=0,0,TrRoad_emi!W75/TrRoad_tech!W190)</f>
        <v>1.7301491140189378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1.1161099778512074</v>
      </c>
      <c r="C219" s="151">
        <f>IF(TrRoad_act!C80=0,0,TrRoad_emi!C77/TrRoad_tech!C192)</f>
        <v>0.99197388045920165</v>
      </c>
      <c r="D219" s="151">
        <f>IF(TrRoad_act!D80=0,0,TrRoad_emi!D77/TrRoad_tech!D192)</f>
        <v>1.3695822819619681</v>
      </c>
      <c r="E219" s="151">
        <f>IF(TrRoad_act!E80=0,0,TrRoad_emi!E77/TrRoad_tech!E192)</f>
        <v>0.91032054726458733</v>
      </c>
      <c r="F219" s="151">
        <f>IF(TrRoad_act!F80=0,0,TrRoad_emi!F77/TrRoad_tech!F192)</f>
        <v>0.95592134159658615</v>
      </c>
      <c r="G219" s="151">
        <f>IF(TrRoad_act!G80=0,0,TrRoad_emi!G77/TrRoad_tech!G192)</f>
        <v>1.2996499802054207</v>
      </c>
      <c r="H219" s="151">
        <f>IF(TrRoad_act!H80=0,0,TrRoad_emi!H77/TrRoad_tech!H192)</f>
        <v>1.4365926769431998</v>
      </c>
      <c r="I219" s="151">
        <f>IF(TrRoad_act!I80=0,0,TrRoad_emi!I77/TrRoad_tech!I192)</f>
        <v>1.4363957178223306</v>
      </c>
      <c r="J219" s="151">
        <f>IF(TrRoad_act!J80=0,0,TrRoad_emi!J77/TrRoad_tech!J192)</f>
        <v>1.4561251579221419</v>
      </c>
      <c r="K219" s="151">
        <f>IF(TrRoad_act!K80=0,0,TrRoad_emi!K77/TrRoad_tech!K192)</f>
        <v>1.3131000207181136</v>
      </c>
      <c r="L219" s="151">
        <f>IF(TrRoad_act!L80=0,0,TrRoad_emi!L77/TrRoad_tech!L192)</f>
        <v>1.5384790754181279</v>
      </c>
      <c r="M219" s="151">
        <f>IF(TrRoad_act!M80=0,0,TrRoad_emi!M77/TrRoad_tech!M192)</f>
        <v>1.4466514176533796</v>
      </c>
      <c r="N219" s="151">
        <f>IF(TrRoad_act!N80=0,0,TrRoad_emi!N77/TrRoad_tech!N192)</f>
        <v>1.4505178418450833</v>
      </c>
      <c r="O219" s="151">
        <f>IF(TrRoad_act!O80=0,0,TrRoad_emi!O77/TrRoad_tech!O192)</f>
        <v>1.5539320255778215</v>
      </c>
      <c r="P219" s="151">
        <f>IF(TrRoad_act!P80=0,0,TrRoad_emi!P77/TrRoad_tech!P192)</f>
        <v>1.4464933084794243</v>
      </c>
      <c r="Q219" s="151">
        <f>IF(TrRoad_act!Q80=0,0,TrRoad_emi!Q77/TrRoad_tech!Q192)</f>
        <v>1.3938783921326945</v>
      </c>
      <c r="R219" s="151">
        <f>IF(TrRoad_act!R80=0,0,TrRoad_emi!R77/TrRoad_tech!R192)</f>
        <v>1.5660004992463523</v>
      </c>
      <c r="S219" s="151">
        <f>IF(TrRoad_act!S80=0,0,TrRoad_emi!S77/TrRoad_tech!S192)</f>
        <v>2.0217320607134872</v>
      </c>
      <c r="T219" s="151">
        <f>IF(TrRoad_act!T80=0,0,TrRoad_emi!T77/TrRoad_tech!T192)</f>
        <v>2.1568252502019596</v>
      </c>
      <c r="U219" s="151">
        <f>IF(TrRoad_act!U80=0,0,TrRoad_emi!U77/TrRoad_tech!U192)</f>
        <v>1.9912459761340129</v>
      </c>
      <c r="V219" s="151">
        <f>IF(TrRoad_act!V80=0,0,TrRoad_emi!V77/TrRoad_tech!V192)</f>
        <v>1.8737642373651113</v>
      </c>
      <c r="W219" s="151">
        <f>IF(TrRoad_act!W80=0,0,TrRoad_emi!W77/TrRoad_tech!W192)</f>
        <v>2.1691605824891171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1.1688790180616482</v>
      </c>
      <c r="C220" s="93">
        <f>IF(TrRoad_act!C81=0,0,TrRoad_emi!C78/TrRoad_tech!C193)</f>
        <v>1.0949465122990785</v>
      </c>
      <c r="D220" s="93">
        <f>IF(TrRoad_act!D81=0,0,TrRoad_emi!D78/TrRoad_tech!D193)</f>
        <v>1.228187072536105</v>
      </c>
      <c r="E220" s="93">
        <f>IF(TrRoad_act!E81=0,0,TrRoad_emi!E78/TrRoad_tech!E193)</f>
        <v>1.1177290281196701</v>
      </c>
      <c r="F220" s="93">
        <f>IF(TrRoad_act!F81=0,0,TrRoad_emi!F78/TrRoad_tech!F193)</f>
        <v>1.1378572658114439</v>
      </c>
      <c r="G220" s="93">
        <f>IF(TrRoad_act!G81=0,0,TrRoad_emi!G78/TrRoad_tech!G193)</f>
        <v>1.2156509704747671</v>
      </c>
      <c r="H220" s="93">
        <f>IF(TrRoad_act!H81=0,0,TrRoad_emi!H78/TrRoad_tech!H193)</f>
        <v>1.2281292480447592</v>
      </c>
      <c r="I220" s="93">
        <f>IF(TrRoad_act!I81=0,0,TrRoad_emi!I78/TrRoad_tech!I193)</f>
        <v>1.22908163748079</v>
      </c>
      <c r="J220" s="93">
        <f>IF(TrRoad_act!J81=0,0,TrRoad_emi!J78/TrRoad_tech!J193)</f>
        <v>1.2401960937425625</v>
      </c>
      <c r="K220" s="93">
        <f>IF(TrRoad_act!K81=0,0,TrRoad_emi!K78/TrRoad_tech!K193)</f>
        <v>1.2017978176508239</v>
      </c>
      <c r="L220" s="93">
        <f>IF(TrRoad_act!L81=0,0,TrRoad_emi!L78/TrRoad_tech!L193)</f>
        <v>1.2646695173581111</v>
      </c>
      <c r="M220" s="93">
        <f>IF(TrRoad_act!M81=0,0,TrRoad_emi!M78/TrRoad_tech!M193)</f>
        <v>1.2419817104806485</v>
      </c>
      <c r="N220" s="93">
        <f>IF(TrRoad_act!N81=0,0,TrRoad_emi!N78/TrRoad_tech!N193)</f>
        <v>1.2455460819077742</v>
      </c>
      <c r="O220" s="93">
        <f>IF(TrRoad_act!O81=0,0,TrRoad_emi!O78/TrRoad_tech!O193)</f>
        <v>1.2769080162508835</v>
      </c>
      <c r="P220" s="93">
        <f>IF(TrRoad_act!P81=0,0,TrRoad_emi!P78/TrRoad_tech!P193)</f>
        <v>1.2473222809316893</v>
      </c>
      <c r="Q220" s="93">
        <f>IF(TrRoad_act!Q81=0,0,TrRoad_emi!Q78/TrRoad_tech!Q193)</f>
        <v>1.2278294679979704</v>
      </c>
      <c r="R220" s="93">
        <f>IF(TrRoad_act!R81=0,0,TrRoad_emi!R78/TrRoad_tech!R193)</f>
        <v>1.2857689078236687</v>
      </c>
      <c r="S220" s="93">
        <f>IF(TrRoad_act!S81=0,0,TrRoad_emi!S78/TrRoad_tech!S193)</f>
        <v>1.4206757195702568</v>
      </c>
      <c r="T220" s="93">
        <f>IF(TrRoad_act!T81=0,0,TrRoad_emi!T78/TrRoad_tech!T193)</f>
        <v>1.4567823341036936</v>
      </c>
      <c r="U220" s="93">
        <f>IF(TrRoad_act!U81=0,0,TrRoad_emi!U78/TrRoad_tech!U193)</f>
        <v>1.4307358473979221</v>
      </c>
      <c r="V220" s="93">
        <f>IF(TrRoad_act!V81=0,0,TrRoad_emi!V78/TrRoad_tech!V193)</f>
        <v>1.4081808320585962</v>
      </c>
      <c r="W220" s="93">
        <f>IF(TrRoad_act!W81=0,0,TrRoad_emi!W78/TrRoad_tech!W193)</f>
        <v>1.4867042997388948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1.1195482645847543</v>
      </c>
      <c r="C221" s="94">
        <f>IF(TrRoad_act!C82=0,0,TrRoad_emi!C79/TrRoad_tech!C194)</f>
        <v>0.89762377402898375</v>
      </c>
      <c r="D221" s="94">
        <f>IF(TrRoad_act!D82=0,0,TrRoad_emi!D79/TrRoad_tech!D194)</f>
        <v>1.6571355024745402</v>
      </c>
      <c r="E221" s="94">
        <f>IF(TrRoad_act!E82=0,0,TrRoad_emi!E79/TrRoad_tech!E194)</f>
        <v>0.555984319466994</v>
      </c>
      <c r="F221" s="94">
        <f>IF(TrRoad_act!F82=0,0,TrRoad_emi!F79/TrRoad_tech!F194)</f>
        <v>0.71342610134597451</v>
      </c>
      <c r="G221" s="94">
        <f>IF(TrRoad_act!G82=0,0,TrRoad_emi!G79/TrRoad_tech!G194)</f>
        <v>1.4905578273906983</v>
      </c>
      <c r="H221" s="94">
        <f>IF(TrRoad_act!H82=0,0,TrRoad_emi!H79/TrRoad_tech!H194)</f>
        <v>1.8612453622283684</v>
      </c>
      <c r="I221" s="94">
        <f>IF(TrRoad_act!I82=0,0,TrRoad_emi!I79/TrRoad_tech!I194)</f>
        <v>1.80014436818637</v>
      </c>
      <c r="J221" s="94">
        <f>IF(TrRoad_act!J82=0,0,TrRoad_emi!J79/TrRoad_tech!J194)</f>
        <v>1.9605138912226758</v>
      </c>
      <c r="K221" s="94">
        <f>IF(TrRoad_act!K82=0,0,TrRoad_emi!K79/TrRoad_tech!K194)</f>
        <v>1.5247730872109915</v>
      </c>
      <c r="L221" s="94">
        <f>IF(TrRoad_act!L82=0,0,TrRoad_emi!L79/TrRoad_tech!L194)</f>
        <v>2.2638687488740779</v>
      </c>
      <c r="M221" s="94">
        <f>IF(TrRoad_act!M82=0,0,TrRoad_emi!M79/TrRoad_tech!M194)</f>
        <v>1.9671658465147575</v>
      </c>
      <c r="N221" s="94">
        <f>IF(TrRoad_act!N82=0,0,TrRoad_emi!N79/TrRoad_tech!N194)</f>
        <v>1.9269901395663402</v>
      </c>
      <c r="O221" s="94">
        <f>IF(TrRoad_act!O82=0,0,TrRoad_emi!O79/TrRoad_tech!O194)</f>
        <v>2.0780046126396776</v>
      </c>
      <c r="P221" s="94">
        <f>IF(TrRoad_act!P82=0,0,TrRoad_emi!P79/TrRoad_tech!P194)</f>
        <v>1.8762280967255067</v>
      </c>
      <c r="Q221" s="94">
        <f>IF(TrRoad_act!Q82=0,0,TrRoad_emi!Q79/TrRoad_tech!Q194)</f>
        <v>1.6925360471764335</v>
      </c>
      <c r="R221" s="94">
        <f>IF(TrRoad_act!R82=0,0,TrRoad_emi!R79/TrRoad_tech!R194)</f>
        <v>2.1528082599359881</v>
      </c>
      <c r="S221" s="94">
        <f>IF(TrRoad_act!S82=0,0,TrRoad_emi!S79/TrRoad_tech!S194)</f>
        <v>3.1932475214728555</v>
      </c>
      <c r="T221" s="94">
        <f>IF(TrRoad_act!T82=0,0,TrRoad_emi!T79/TrRoad_tech!T194)</f>
        <v>3.460593983975178</v>
      </c>
      <c r="U221" s="94">
        <f>IF(TrRoad_act!U82=0,0,TrRoad_emi!U79/TrRoad_tech!U194)</f>
        <v>3.1682980837087218</v>
      </c>
      <c r="V221" s="94">
        <f>IF(TrRoad_act!V82=0,0,TrRoad_emi!V79/TrRoad_tech!V194)</f>
        <v>2.8701442481901069</v>
      </c>
      <c r="W221" s="94">
        <f>IF(TrRoad_act!W82=0,0,TrRoad_emi!W79/TrRoad_tech!W194)</f>
        <v>3.5454460815435196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0</v>
      </c>
      <c r="C225" s="152">
        <v>99.683324640429404</v>
      </c>
      <c r="D225" s="152">
        <v>99.313439756689874</v>
      </c>
      <c r="E225" s="152">
        <v>98.272250282318495</v>
      </c>
      <c r="F225" s="152">
        <v>97.125562083822487</v>
      </c>
      <c r="G225" s="152">
        <v>97.082695235280596</v>
      </c>
      <c r="H225" s="152">
        <v>96.805400308775134</v>
      </c>
      <c r="I225" s="152">
        <v>93.063684622837513</v>
      </c>
      <c r="J225" s="152">
        <v>90.479252066711581</v>
      </c>
      <c r="K225" s="152">
        <v>88.047532658516218</v>
      </c>
      <c r="L225" s="152">
        <v>88.230203888098202</v>
      </c>
      <c r="M225" s="152">
        <v>86.052867268041012</v>
      </c>
      <c r="N225" s="152">
        <v>83.844449394403185</v>
      </c>
      <c r="O225" s="152">
        <v>80.372197602831008</v>
      </c>
      <c r="P225" s="152">
        <v>78.949338344686794</v>
      </c>
      <c r="Q225" s="152">
        <v>76.054626121156801</v>
      </c>
      <c r="R225" s="152">
        <v>74.451468887739196</v>
      </c>
      <c r="S225" s="152">
        <v>73.168943101005127</v>
      </c>
      <c r="T225" s="152">
        <v>72.142922471617851</v>
      </c>
      <c r="U225" s="152">
        <v>71.322105968108033</v>
      </c>
      <c r="V225" s="152">
        <v>70.665452765300174</v>
      </c>
      <c r="W225" s="152">
        <v>70.1401302030539</v>
      </c>
      <c r="DA225" s="174" t="s">
        <v>931</v>
      </c>
    </row>
    <row r="226" spans="1:105" ht="11.45" customHeight="1" x14ac:dyDescent="0.25">
      <c r="A226" s="109" t="s">
        <v>20</v>
      </c>
      <c r="B226" s="116">
        <v>175.68986845746795</v>
      </c>
      <c r="C226" s="116">
        <v>176.08034520332501</v>
      </c>
      <c r="D226" s="116">
        <v>180.9614812079636</v>
      </c>
      <c r="E226" s="116">
        <v>177.7668979910348</v>
      </c>
      <c r="F226" s="116">
        <v>186.09968454383673</v>
      </c>
      <c r="G226" s="116">
        <v>178.97469033653454</v>
      </c>
      <c r="H226" s="116">
        <v>179.12414004176247</v>
      </c>
      <c r="I226" s="116">
        <v>178.33384214842263</v>
      </c>
      <c r="J226" s="116">
        <v>178.8487004152291</v>
      </c>
      <c r="K226" s="116">
        <v>179.19548743025413</v>
      </c>
      <c r="L226" s="116">
        <v>178.17838393236815</v>
      </c>
      <c r="M226" s="116">
        <v>177.96214037813434</v>
      </c>
      <c r="N226" s="116">
        <v>169.31772042157706</v>
      </c>
      <c r="O226" s="116">
        <v>161.64727175483074</v>
      </c>
      <c r="P226" s="116">
        <v>158.76559513276612</v>
      </c>
      <c r="Q226" s="116">
        <v>153.34683584886014</v>
      </c>
      <c r="R226" s="116">
        <v>151.57097116549357</v>
      </c>
      <c r="S226" s="116">
        <v>152.34603736293644</v>
      </c>
      <c r="T226" s="116">
        <v>153.85646561126879</v>
      </c>
      <c r="U226" s="116">
        <v>155.02629897760303</v>
      </c>
      <c r="V226" s="116">
        <v>146.98751609659695</v>
      </c>
      <c r="W226" s="116">
        <v>141.06447823229863</v>
      </c>
      <c r="DA226" s="176" t="s">
        <v>932</v>
      </c>
    </row>
    <row r="227" spans="1:105" ht="11.45" customHeight="1" x14ac:dyDescent="0.25">
      <c r="A227" s="111" t="s">
        <v>110</v>
      </c>
      <c r="B227" s="87">
        <v>172.1509237744755</v>
      </c>
      <c r="C227" s="87">
        <v>172.21330393990866</v>
      </c>
      <c r="D227" s="87">
        <v>174.61100244512724</v>
      </c>
      <c r="E227" s="87">
        <v>174.3230850665995</v>
      </c>
      <c r="F227" s="87">
        <v>0</v>
      </c>
      <c r="G227" s="87">
        <v>175.34410299717692</v>
      </c>
      <c r="H227" s="87">
        <v>174.84327192696475</v>
      </c>
      <c r="I227" s="87">
        <v>176.0893009180723</v>
      </c>
      <c r="J227" s="87">
        <v>176.2344693442208</v>
      </c>
      <c r="K227" s="87">
        <v>174.92795350888471</v>
      </c>
      <c r="L227" s="87">
        <v>175.29087457425703</v>
      </c>
      <c r="M227" s="87">
        <v>170.92942047906635</v>
      </c>
      <c r="N227" s="87">
        <v>166.47803857383425</v>
      </c>
      <c r="O227" s="87">
        <v>159.65439032192879</v>
      </c>
      <c r="P227" s="87">
        <v>156.86053024183749</v>
      </c>
      <c r="Q227" s="87">
        <v>151.12204626376828</v>
      </c>
      <c r="R227" s="87">
        <v>150.20314665603445</v>
      </c>
      <c r="S227" s="87">
        <v>150.39733027215647</v>
      </c>
      <c r="T227" s="87">
        <v>151.5369001769543</v>
      </c>
      <c r="U227" s="87">
        <v>151.94166053570939</v>
      </c>
      <c r="V227" s="87">
        <v>143.72100437669789</v>
      </c>
      <c r="W227" s="87">
        <v>138.2858910891089</v>
      </c>
      <c r="DA227" s="171" t="s">
        <v>933</v>
      </c>
    </row>
    <row r="228" spans="1:105" ht="11.45" customHeight="1" x14ac:dyDescent="0.25">
      <c r="A228" s="111" t="s">
        <v>111</v>
      </c>
      <c r="B228" s="87">
        <v>185.55798343836207</v>
      </c>
      <c r="C228" s="87">
        <v>186.58345419266652</v>
      </c>
      <c r="D228" s="87">
        <v>186.77219185953973</v>
      </c>
      <c r="E228" s="87">
        <v>186.5964705834854</v>
      </c>
      <c r="F228" s="87">
        <v>187.30586388311218</v>
      </c>
      <c r="G228" s="87">
        <v>187.74842117095272</v>
      </c>
      <c r="H228" s="87">
        <v>190.72266647305776</v>
      </c>
      <c r="I228" s="87">
        <v>187.53365072244182</v>
      </c>
      <c r="J228" s="87">
        <v>187.76143756177154</v>
      </c>
      <c r="K228" s="87">
        <v>191.04807624352875</v>
      </c>
      <c r="L228" s="87">
        <v>189.38848641412665</v>
      </c>
      <c r="M228" s="87">
        <v>183.23477229829311</v>
      </c>
      <c r="N228" s="87">
        <v>177.61528646723809</v>
      </c>
      <c r="O228" s="87">
        <v>170.51258449480994</v>
      </c>
      <c r="P228" s="87">
        <v>165.1565881565131</v>
      </c>
      <c r="Q228" s="87">
        <v>160.94792137833247</v>
      </c>
      <c r="R228" s="87">
        <v>154.46334935415769</v>
      </c>
      <c r="S228" s="87">
        <v>158.90119587372018</v>
      </c>
      <c r="T228" s="87">
        <v>162.83717541070479</v>
      </c>
      <c r="U228" s="87">
        <v>165.01600228022309</v>
      </c>
      <c r="V228" s="87">
        <v>159.72948128693369</v>
      </c>
      <c r="W228" s="87">
        <v>153.96500951741129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192.34340249217783</v>
      </c>
      <c r="H229" s="87">
        <v>195.39043989300023</v>
      </c>
      <c r="I229" s="87">
        <v>192.12337572144003</v>
      </c>
      <c r="J229" s="87">
        <v>192.35673744798009</v>
      </c>
      <c r="K229" s="87">
        <v>195.72381378805738</v>
      </c>
      <c r="L229" s="87">
        <v>194.0236069232659</v>
      </c>
      <c r="M229" s="87">
        <v>188.46751634265121</v>
      </c>
      <c r="N229" s="87">
        <v>179.87532224890256</v>
      </c>
      <c r="O229" s="87">
        <v>156.71892158460579</v>
      </c>
      <c r="P229" s="87">
        <v>151.53439831663275</v>
      </c>
      <c r="Q229" s="87">
        <v>153.48717379640553</v>
      </c>
      <c r="R229" s="87">
        <v>148.48285151443579</v>
      </c>
      <c r="S229" s="87">
        <v>154.59165684032038</v>
      </c>
      <c r="T229" s="87">
        <v>154.91160220994479</v>
      </c>
      <c r="U229" s="87">
        <v>162.25705329153601</v>
      </c>
      <c r="V229" s="87">
        <v>125.84313725490199</v>
      </c>
      <c r="W229" s="87">
        <v>136.64089521871821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160.88579853281612</v>
      </c>
      <c r="D230" s="87">
        <v>163.12578597761677</v>
      </c>
      <c r="E230" s="87">
        <v>162.85680665780723</v>
      </c>
      <c r="F230" s="87">
        <v>163.88299666783701</v>
      </c>
      <c r="G230" s="87">
        <v>163.81066609444289</v>
      </c>
      <c r="H230" s="87">
        <v>163.34277769779933</v>
      </c>
      <c r="I230" s="87">
        <v>164.50684786336174</v>
      </c>
      <c r="J230" s="87">
        <v>0</v>
      </c>
      <c r="K230" s="87">
        <v>163.42188926244921</v>
      </c>
      <c r="L230" s="87">
        <v>163.76093882523438</v>
      </c>
      <c r="M230" s="87">
        <v>164.61532050655961</v>
      </c>
      <c r="N230" s="87">
        <v>168.588424772927</v>
      </c>
      <c r="O230" s="87">
        <v>145.76107475773489</v>
      </c>
      <c r="P230" s="87">
        <v>131.15537541643559</v>
      </c>
      <c r="Q230" s="87">
        <v>140.06210769227053</v>
      </c>
      <c r="R230" s="87">
        <v>132.57155755227836</v>
      </c>
      <c r="S230" s="87">
        <v>143.79644188114588</v>
      </c>
      <c r="T230" s="87">
        <v>128.366569810264</v>
      </c>
      <c r="U230" s="87">
        <v>128.14473684210529</v>
      </c>
      <c r="V230" s="87">
        <v>112.2814070351759</v>
      </c>
      <c r="W230" s="87">
        <v>104.57692307692309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35.506126991131204</v>
      </c>
      <c r="O231" s="87">
        <v>0</v>
      </c>
      <c r="P231" s="87">
        <v>149.47641116019474</v>
      </c>
      <c r="Q231" s="87">
        <v>87.523333611883146</v>
      </c>
      <c r="R231" s="87">
        <v>67.666633083860589</v>
      </c>
      <c r="S231" s="87">
        <v>90.003126608089076</v>
      </c>
      <c r="T231" s="87">
        <v>60.383463008208622</v>
      </c>
      <c r="U231" s="87">
        <v>64.450261780104711</v>
      </c>
      <c r="V231" s="87">
        <v>53.337041156840932</v>
      </c>
      <c r="W231" s="87">
        <v>33.131291028446391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1381.1818247813526</v>
      </c>
      <c r="C233" s="116">
        <v>1385.4631191220299</v>
      </c>
      <c r="D233" s="116">
        <v>1390.2356792174464</v>
      </c>
      <c r="E233" s="116">
        <v>1389.6618771238388</v>
      </c>
      <c r="F233" s="116">
        <v>1391.8407075374091</v>
      </c>
      <c r="G233" s="116">
        <v>1391.6870827352527</v>
      </c>
      <c r="H233" s="116">
        <v>1390.6911888858808</v>
      </c>
      <c r="I233" s="116">
        <v>1393.1557230896153</v>
      </c>
      <c r="J233" s="116">
        <v>1393.442675864711</v>
      </c>
      <c r="K233" s="116">
        <v>1390.8456611447314</v>
      </c>
      <c r="L233" s="116">
        <v>1194.2289550410924</v>
      </c>
      <c r="M233" s="116">
        <v>1036.544573509771</v>
      </c>
      <c r="N233" s="116">
        <v>1371.362567939688</v>
      </c>
      <c r="O233" s="116">
        <v>1359.0937522067741</v>
      </c>
      <c r="P233" s="116">
        <v>1066.2696903469168</v>
      </c>
      <c r="Q233" s="116">
        <v>1018.5861404138387</v>
      </c>
      <c r="R233" s="116">
        <v>671.43276196346574</v>
      </c>
      <c r="S233" s="116">
        <v>1081.9387392872006</v>
      </c>
      <c r="T233" s="116">
        <v>1092.5952492717643</v>
      </c>
      <c r="U233" s="116">
        <v>1124.04918787574</v>
      </c>
      <c r="V233" s="116">
        <v>1198.4006231166645</v>
      </c>
      <c r="W233" s="116">
        <v>1285.5703414472907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1381.1818247813526</v>
      </c>
      <c r="C235" s="101">
        <v>1385.4631191220299</v>
      </c>
      <c r="D235" s="101">
        <v>1390.2356792174464</v>
      </c>
      <c r="E235" s="101">
        <v>1389.6618771238388</v>
      </c>
      <c r="F235" s="101">
        <v>1391.8407075374091</v>
      </c>
      <c r="G235" s="101">
        <v>1391.6870827352527</v>
      </c>
      <c r="H235" s="101">
        <v>1390.6911888858808</v>
      </c>
      <c r="I235" s="101">
        <v>1393.1557230896153</v>
      </c>
      <c r="J235" s="101">
        <v>1393.442675864711</v>
      </c>
      <c r="K235" s="101">
        <v>1390.8456611447314</v>
      </c>
      <c r="L235" s="101">
        <v>1391.5659333669707</v>
      </c>
      <c r="M235" s="101">
        <v>1382.8188046602882</v>
      </c>
      <c r="N235" s="101">
        <v>1373.7726954756101</v>
      </c>
      <c r="O235" s="101">
        <v>1359.0937522067741</v>
      </c>
      <c r="P235" s="101">
        <v>1352.9976743057516</v>
      </c>
      <c r="Q235" s="101">
        <v>1340.2449215971562</v>
      </c>
      <c r="R235" s="101">
        <v>1328.8702490377905</v>
      </c>
      <c r="S235" s="101">
        <v>1318.71560624367</v>
      </c>
      <c r="T235" s="101">
        <v>1309.6427903728891</v>
      </c>
      <c r="U235" s="101">
        <v>1301.5306385929621</v>
      </c>
      <c r="V235" s="101">
        <v>1294.2726729659978</v>
      </c>
      <c r="W235" s="101">
        <v>1287.7751155576213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813.48406755619101</v>
      </c>
      <c r="S237" s="101">
        <v>0</v>
      </c>
      <c r="T237" s="101">
        <v>0</v>
      </c>
      <c r="U237" s="101">
        <v>0</v>
      </c>
      <c r="V237" s="101">
        <v>0</v>
      </c>
      <c r="W237" s="101">
        <v>700.2028151545187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246.08526660216677</v>
      </c>
      <c r="D240" s="152">
        <v>247.40002105795674</v>
      </c>
      <c r="E240" s="152">
        <v>250.90386451300412</v>
      </c>
      <c r="F240" s="152">
        <v>211.06859139841299</v>
      </c>
      <c r="G240" s="152">
        <v>262.84629687733661</v>
      </c>
      <c r="H240" s="152">
        <v>238.86514061549443</v>
      </c>
      <c r="I240" s="152">
        <v>255.14457556944907</v>
      </c>
      <c r="J240" s="152">
        <v>253.90957326717282</v>
      </c>
      <c r="K240" s="152">
        <v>267.84202303183935</v>
      </c>
      <c r="L240" s="152">
        <v>284.57505131110901</v>
      </c>
      <c r="M240" s="152">
        <v>264.7819725426989</v>
      </c>
      <c r="N240" s="152">
        <v>261.485071137462</v>
      </c>
      <c r="O240" s="152">
        <v>226.3723584309397</v>
      </c>
      <c r="P240" s="152">
        <v>228.756600296209</v>
      </c>
      <c r="Q240" s="152">
        <v>216.17142115138455</v>
      </c>
      <c r="R240" s="152">
        <v>206.6742911301088</v>
      </c>
      <c r="S240" s="152">
        <v>223.22233209288817</v>
      </c>
      <c r="T240" s="152">
        <v>219.76510128649343</v>
      </c>
      <c r="U240" s="152">
        <v>227.88126083774853</v>
      </c>
      <c r="V240" s="152">
        <v>229.85199402738616</v>
      </c>
      <c r="W240" s="152">
        <v>211.61851566535262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186.47666729452411</v>
      </c>
      <c r="D241" s="87">
        <v>189.07295234452374</v>
      </c>
      <c r="E241" s="87">
        <v>188.76118854941785</v>
      </c>
      <c r="F241" s="87">
        <v>189.95060672570426</v>
      </c>
      <c r="G241" s="87">
        <v>189.86677108332285</v>
      </c>
      <c r="H241" s="87">
        <v>189.32445927166799</v>
      </c>
      <c r="I241" s="87">
        <v>190.67368914124395</v>
      </c>
      <c r="J241" s="87">
        <v>190.83088097070919</v>
      </c>
      <c r="K241" s="87">
        <v>189.41615450552268</v>
      </c>
      <c r="L241" s="87">
        <v>0</v>
      </c>
      <c r="M241" s="87">
        <v>185.12504223489927</v>
      </c>
      <c r="N241" s="87">
        <v>180.37408546717239</v>
      </c>
      <c r="O241" s="87">
        <v>179.91092302164296</v>
      </c>
      <c r="P241" s="87">
        <v>177.16603027870693</v>
      </c>
      <c r="Q241" s="87">
        <v>173.5229717795097</v>
      </c>
      <c r="R241" s="87">
        <v>180.28999258932862</v>
      </c>
      <c r="S241" s="87">
        <v>183.80274758776667</v>
      </c>
      <c r="T241" s="87">
        <v>195.06988146806691</v>
      </c>
      <c r="U241" s="87">
        <v>192.91983122362871</v>
      </c>
      <c r="V241" s="87">
        <v>164.71250000000001</v>
      </c>
      <c r="W241" s="87">
        <v>160.04844290657439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280.36021120406133</v>
      </c>
      <c r="D242" s="87">
        <v>280.643808334234</v>
      </c>
      <c r="E242" s="87">
        <v>280.37976962683189</v>
      </c>
      <c r="F242" s="87">
        <v>281.4457036678254</v>
      </c>
      <c r="G242" s="87">
        <v>282.11069004202307</v>
      </c>
      <c r="H242" s="87">
        <v>286.5797896450876</v>
      </c>
      <c r="I242" s="87">
        <v>281.78797606630945</v>
      </c>
      <c r="J242" s="87">
        <v>282.13024846479357</v>
      </c>
      <c r="K242" s="87">
        <v>287.0687502143507</v>
      </c>
      <c r="L242" s="87">
        <v>284.57505131110901</v>
      </c>
      <c r="M242" s="87">
        <v>275.32848335217841</v>
      </c>
      <c r="N242" s="87">
        <v>266.88464656466795</v>
      </c>
      <c r="O242" s="87">
        <v>261.89080472163977</v>
      </c>
      <c r="P242" s="87">
        <v>257.11675644890681</v>
      </c>
      <c r="Q242" s="87">
        <v>248.06810129271298</v>
      </c>
      <c r="R242" s="87">
        <v>246.09518601084116</v>
      </c>
      <c r="S242" s="87">
        <v>227.09721619844154</v>
      </c>
      <c r="T242" s="87">
        <v>225.87248454302377</v>
      </c>
      <c r="U242" s="87">
        <v>231.52335456475578</v>
      </c>
      <c r="V242" s="87">
        <v>236.35060190564039</v>
      </c>
      <c r="W242" s="87">
        <v>224.90985264374461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230.65616293592075</v>
      </c>
      <c r="O243" s="87">
        <v>182.96346110737508</v>
      </c>
      <c r="P243" s="87">
        <v>175.5973996861691</v>
      </c>
      <c r="Q243" s="87">
        <v>196.72212942273867</v>
      </c>
      <c r="R243" s="87">
        <v>177.78958862109616</v>
      </c>
      <c r="S243" s="87">
        <v>157.89509078681917</v>
      </c>
      <c r="T243" s="87">
        <v>158.25636239701001</v>
      </c>
      <c r="U243" s="87">
        <v>176.66666666666671</v>
      </c>
      <c r="V243" s="87">
        <v>178</v>
      </c>
      <c r="W243" s="87">
        <v>216.41666666666671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186.83682092555335</v>
      </c>
      <c r="O244" s="87">
        <v>200.28588195841755</v>
      </c>
      <c r="P244" s="87">
        <v>129.41549295774649</v>
      </c>
      <c r="Q244" s="87">
        <v>145.72837022132796</v>
      </c>
      <c r="R244" s="87">
        <v>254.48088531187125</v>
      </c>
      <c r="S244" s="87">
        <v>172.91649899396378</v>
      </c>
      <c r="T244" s="87">
        <v>206.28992706237426</v>
      </c>
      <c r="U244" s="87">
        <v>229.02000236714412</v>
      </c>
      <c r="V244" s="87">
        <v>166.30769230769229</v>
      </c>
      <c r="W244" s="87">
        <v>229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828.9367381771491</v>
      </c>
      <c r="D246" s="116">
        <v>811.13258745774783</v>
      </c>
      <c r="E246" s="116">
        <v>805.10757760582567</v>
      </c>
      <c r="F246" s="116">
        <v>964.72280089249239</v>
      </c>
      <c r="G246" s="116">
        <v>801.10316422744165</v>
      </c>
      <c r="H246" s="116">
        <v>793.47008635331497</v>
      </c>
      <c r="I246" s="116">
        <v>815.96834978498123</v>
      </c>
      <c r="J246" s="116">
        <v>775.08475817465524</v>
      </c>
      <c r="K246" s="116">
        <v>773.7386904322932</v>
      </c>
      <c r="L246" s="116">
        <v>781.22072720530286</v>
      </c>
      <c r="M246" s="116">
        <v>775.75360630080866</v>
      </c>
      <c r="N246" s="116">
        <v>777.03257032593081</v>
      </c>
      <c r="O246" s="116">
        <v>740.2941912389565</v>
      </c>
      <c r="P246" s="116">
        <v>727.34474110452038</v>
      </c>
      <c r="Q246" s="116">
        <v>790.93127692784947</v>
      </c>
      <c r="R246" s="116">
        <v>705.19802662220957</v>
      </c>
      <c r="S246" s="116">
        <v>693.8674982920304</v>
      </c>
      <c r="T246" s="116">
        <v>713.66394206324719</v>
      </c>
      <c r="U246" s="116">
        <v>657.5981121184991</v>
      </c>
      <c r="V246" s="116">
        <v>670.71120897072478</v>
      </c>
      <c r="W246" s="116">
        <v>697.33008245738597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750.57245891154673</v>
      </c>
      <c r="D247" s="101">
        <v>748.15232157939033</v>
      </c>
      <c r="E247" s="101">
        <v>745.13880012676975</v>
      </c>
      <c r="F247" s="101">
        <v>741.53955196845538</v>
      </c>
      <c r="G247" s="101">
        <v>737.36365830766999</v>
      </c>
      <c r="H247" s="101">
        <v>732.62156750596125</v>
      </c>
      <c r="I247" s="101">
        <v>727.32503072593408</v>
      </c>
      <c r="J247" s="101">
        <v>721.48703057344744</v>
      </c>
      <c r="K247" s="101">
        <v>715.12170352242879</v>
      </c>
      <c r="L247" s="101">
        <v>708.24425697674633</v>
      </c>
      <c r="M247" s="101">
        <v>700.87088183687251</v>
      </c>
      <c r="N247" s="101">
        <v>693.01866147270016</v>
      </c>
      <c r="O247" s="101">
        <v>684.70547801440978</v>
      </c>
      <c r="P247" s="101">
        <v>675.9499168518438</v>
      </c>
      <c r="Q247" s="101">
        <v>666.77117023298501</v>
      </c>
      <c r="R247" s="101">
        <v>649.07501468320345</v>
      </c>
      <c r="S247" s="101">
        <v>636.68770579835643</v>
      </c>
      <c r="T247" s="101">
        <v>623.68103146926717</v>
      </c>
      <c r="U247" s="101">
        <v>607.78398506704673</v>
      </c>
      <c r="V247" s="101">
        <v>619.72417238136904</v>
      </c>
      <c r="W247" s="101">
        <v>613.52693065755545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901.41112711943799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3220</v>
      </c>
      <c r="C4" s="28">
        <f t="shared" ref="C4:V4" si="1">SUM(C5,C6,C9)</f>
        <v>3162.3627799999999</v>
      </c>
      <c r="D4" s="28">
        <f t="shared" si="1"/>
        <v>3040.2116299999998</v>
      </c>
      <c r="E4" s="28">
        <f t="shared" si="1"/>
        <v>2683.0056</v>
      </c>
      <c r="F4" s="28">
        <f t="shared" si="1"/>
        <v>2590.23677</v>
      </c>
      <c r="G4" s="28">
        <f t="shared" si="1"/>
        <v>2568.2175400000001</v>
      </c>
      <c r="H4" s="28">
        <f t="shared" si="1"/>
        <v>2597.4259999999999</v>
      </c>
      <c r="I4" s="28">
        <f t="shared" si="1"/>
        <v>2559.9380000000001</v>
      </c>
      <c r="J4" s="28">
        <f t="shared" si="1"/>
        <v>2663.2844</v>
      </c>
      <c r="K4" s="28">
        <f t="shared" si="1"/>
        <v>2556.5259000000001</v>
      </c>
      <c r="L4" s="28">
        <f t="shared" si="1"/>
        <v>2592.4431</v>
      </c>
      <c r="M4" s="28">
        <f t="shared" si="1"/>
        <v>2737.8014199999998</v>
      </c>
      <c r="N4" s="28">
        <f t="shared" si="1"/>
        <v>2748.44884</v>
      </c>
      <c r="O4" s="28">
        <f t="shared" si="1"/>
        <v>2760.4070999999999</v>
      </c>
      <c r="P4" s="28">
        <f t="shared" si="1"/>
        <v>2839.87896</v>
      </c>
      <c r="Q4" s="28">
        <f t="shared" si="1"/>
        <v>3661.80015</v>
      </c>
      <c r="R4" s="28">
        <f t="shared" si="1"/>
        <v>3785.2387600000002</v>
      </c>
      <c r="S4" s="28">
        <f t="shared" si="1"/>
        <v>4038.8530300000002</v>
      </c>
      <c r="T4" s="28">
        <f t="shared" si="1"/>
        <v>4072.7489999999998</v>
      </c>
      <c r="U4" s="28">
        <f t="shared" si="1"/>
        <v>4235.4090500080138</v>
      </c>
      <c r="V4" s="28">
        <f t="shared" si="1"/>
        <v>2301.3864013463694</v>
      </c>
      <c r="W4" s="28">
        <f t="shared" ref="W4" si="2">SUM(W5,W6,W9)</f>
        <v>2113.8969033498956</v>
      </c>
      <c r="DA4" s="173" t="s">
        <v>375</v>
      </c>
    </row>
    <row r="5" spans="1:105" ht="11.45" customHeight="1" x14ac:dyDescent="0.25">
      <c r="A5" s="107" t="s">
        <v>23</v>
      </c>
      <c r="B5" s="108">
        <v>350</v>
      </c>
      <c r="C5" s="108">
        <v>357.36277999999999</v>
      </c>
      <c r="D5" s="108">
        <v>358.21163000000001</v>
      </c>
      <c r="E5" s="108">
        <v>367.00559999999996</v>
      </c>
      <c r="F5" s="108">
        <v>362.23677000000004</v>
      </c>
      <c r="G5" s="108">
        <v>386.21753999999999</v>
      </c>
      <c r="H5" s="108">
        <v>384.42599999999999</v>
      </c>
      <c r="I5" s="108">
        <v>394.93799999999999</v>
      </c>
      <c r="J5" s="108">
        <v>367.28440000000001</v>
      </c>
      <c r="K5" s="108">
        <v>292.52589999999998</v>
      </c>
      <c r="L5" s="108">
        <v>283.44310000000002</v>
      </c>
      <c r="M5" s="108">
        <v>306.80142000000001</v>
      </c>
      <c r="N5" s="108">
        <v>289.44884000000002</v>
      </c>
      <c r="O5" s="108">
        <v>275.40710000000001</v>
      </c>
      <c r="P5" s="108">
        <v>256.87896000000001</v>
      </c>
      <c r="Q5" s="108">
        <v>250.80015</v>
      </c>
      <c r="R5" s="108">
        <v>301.23876000000001</v>
      </c>
      <c r="S5" s="108">
        <v>284.85302999999999</v>
      </c>
      <c r="T5" s="108">
        <v>280.74900000000002</v>
      </c>
      <c r="U5" s="108">
        <v>278.40905000801416</v>
      </c>
      <c r="V5" s="108">
        <v>168.38640134636961</v>
      </c>
      <c r="W5" s="108">
        <v>144.89690334989584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2870</v>
      </c>
      <c r="C6" s="110">
        <f t="shared" ref="C6:V6" si="4">SUM(C7:C8)</f>
        <v>2805</v>
      </c>
      <c r="D6" s="110">
        <f t="shared" si="4"/>
        <v>2682</v>
      </c>
      <c r="E6" s="110">
        <f t="shared" si="4"/>
        <v>2316</v>
      </c>
      <c r="F6" s="110">
        <f t="shared" si="4"/>
        <v>2228</v>
      </c>
      <c r="G6" s="110">
        <f t="shared" si="4"/>
        <v>2182</v>
      </c>
      <c r="H6" s="110">
        <f t="shared" si="4"/>
        <v>2213</v>
      </c>
      <c r="I6" s="110">
        <f t="shared" si="4"/>
        <v>2165</v>
      </c>
      <c r="J6" s="110">
        <f t="shared" si="4"/>
        <v>2296</v>
      </c>
      <c r="K6" s="110">
        <f t="shared" si="4"/>
        <v>2264</v>
      </c>
      <c r="L6" s="110">
        <f t="shared" si="4"/>
        <v>2309</v>
      </c>
      <c r="M6" s="110">
        <f t="shared" si="4"/>
        <v>2431</v>
      </c>
      <c r="N6" s="110">
        <f t="shared" si="4"/>
        <v>2459</v>
      </c>
      <c r="O6" s="110">
        <f t="shared" si="4"/>
        <v>2485</v>
      </c>
      <c r="P6" s="110">
        <f t="shared" si="4"/>
        <v>2583</v>
      </c>
      <c r="Q6" s="110">
        <f t="shared" si="4"/>
        <v>3411</v>
      </c>
      <c r="R6" s="110">
        <f t="shared" si="4"/>
        <v>3484</v>
      </c>
      <c r="S6" s="110">
        <f t="shared" si="4"/>
        <v>3754</v>
      </c>
      <c r="T6" s="110">
        <f t="shared" si="4"/>
        <v>3792</v>
      </c>
      <c r="U6" s="110">
        <f t="shared" si="4"/>
        <v>3957</v>
      </c>
      <c r="V6" s="110">
        <f t="shared" si="4"/>
        <v>2133</v>
      </c>
      <c r="W6" s="110">
        <f t="shared" ref="W6" si="5">SUM(W7:W8)</f>
        <v>1969</v>
      </c>
      <c r="DA6" s="176" t="s">
        <v>377</v>
      </c>
    </row>
    <row r="7" spans="1:105" ht="11.45" customHeight="1" x14ac:dyDescent="0.25">
      <c r="A7" s="111" t="s">
        <v>90</v>
      </c>
      <c r="B7" s="84">
        <v>0</v>
      </c>
      <c r="C7" s="84">
        <v>0</v>
      </c>
      <c r="D7" s="84">
        <v>0</v>
      </c>
      <c r="E7" s="84">
        <v>0</v>
      </c>
      <c r="F7" s="84">
        <v>0</v>
      </c>
      <c r="G7" s="84">
        <v>0</v>
      </c>
      <c r="H7" s="84">
        <v>0</v>
      </c>
      <c r="I7" s="84">
        <v>0</v>
      </c>
      <c r="J7" s="84">
        <v>0</v>
      </c>
      <c r="K7" s="84">
        <v>0</v>
      </c>
      <c r="L7" s="84">
        <v>0</v>
      </c>
      <c r="M7" s="84">
        <v>0</v>
      </c>
      <c r="N7" s="84">
        <v>0</v>
      </c>
      <c r="O7" s="84">
        <v>0</v>
      </c>
      <c r="P7" s="84">
        <v>0</v>
      </c>
      <c r="Q7" s="84">
        <v>0</v>
      </c>
      <c r="R7" s="84">
        <v>0</v>
      </c>
      <c r="S7" s="84">
        <v>0</v>
      </c>
      <c r="T7" s="84">
        <v>0</v>
      </c>
      <c r="U7" s="84">
        <v>0</v>
      </c>
      <c r="V7" s="84">
        <v>0</v>
      </c>
      <c r="W7" s="84">
        <v>0</v>
      </c>
      <c r="DA7" s="171" t="s">
        <v>1029</v>
      </c>
    </row>
    <row r="8" spans="1:105" ht="11.45" customHeight="1" x14ac:dyDescent="0.25">
      <c r="A8" s="111" t="s">
        <v>93</v>
      </c>
      <c r="B8" s="84">
        <v>2870</v>
      </c>
      <c r="C8" s="84">
        <v>2805</v>
      </c>
      <c r="D8" s="84">
        <v>2682</v>
      </c>
      <c r="E8" s="84">
        <v>2316</v>
      </c>
      <c r="F8" s="84">
        <v>2228</v>
      </c>
      <c r="G8" s="84">
        <v>2182</v>
      </c>
      <c r="H8" s="84">
        <v>2213</v>
      </c>
      <c r="I8" s="84">
        <v>2165</v>
      </c>
      <c r="J8" s="84">
        <v>2296</v>
      </c>
      <c r="K8" s="84">
        <v>2264</v>
      </c>
      <c r="L8" s="84">
        <v>2309</v>
      </c>
      <c r="M8" s="84">
        <v>2431</v>
      </c>
      <c r="N8" s="84">
        <v>2459</v>
      </c>
      <c r="O8" s="84">
        <v>2485</v>
      </c>
      <c r="P8" s="84">
        <v>2583</v>
      </c>
      <c r="Q8" s="84">
        <v>3411</v>
      </c>
      <c r="R8" s="84">
        <v>3484</v>
      </c>
      <c r="S8" s="84">
        <v>3754</v>
      </c>
      <c r="T8" s="84">
        <v>3792</v>
      </c>
      <c r="U8" s="84">
        <v>3957</v>
      </c>
      <c r="V8" s="84">
        <v>2133</v>
      </c>
      <c r="W8" s="84">
        <v>1969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11233</v>
      </c>
      <c r="C10" s="28">
        <f t="shared" ref="C10:V10" si="7">SUM(C11:C12)</f>
        <v>10930</v>
      </c>
      <c r="D10" s="28">
        <f t="shared" si="7"/>
        <v>10380</v>
      </c>
      <c r="E10" s="28">
        <f t="shared" si="7"/>
        <v>10113</v>
      </c>
      <c r="F10" s="28">
        <f t="shared" si="7"/>
        <v>9702</v>
      </c>
      <c r="G10" s="28">
        <f t="shared" si="7"/>
        <v>9463</v>
      </c>
      <c r="H10" s="28">
        <f t="shared" si="7"/>
        <v>9988</v>
      </c>
      <c r="I10" s="28">
        <f t="shared" si="7"/>
        <v>9647</v>
      </c>
      <c r="J10" s="28">
        <f t="shared" si="7"/>
        <v>9299</v>
      </c>
      <c r="K10" s="28">
        <f t="shared" si="7"/>
        <v>6964</v>
      </c>
      <c r="L10" s="28">
        <f t="shared" si="7"/>
        <v>8105</v>
      </c>
      <c r="M10" s="28">
        <f t="shared" si="7"/>
        <v>7960</v>
      </c>
      <c r="N10" s="28">
        <f t="shared" si="7"/>
        <v>7591</v>
      </c>
      <c r="O10" s="28">
        <f t="shared" si="7"/>
        <v>8494</v>
      </c>
      <c r="P10" s="28">
        <f t="shared" si="7"/>
        <v>8829</v>
      </c>
      <c r="Q10" s="28">
        <f t="shared" si="7"/>
        <v>8439</v>
      </c>
      <c r="R10" s="28">
        <f t="shared" si="7"/>
        <v>8370</v>
      </c>
      <c r="S10" s="28">
        <f t="shared" si="7"/>
        <v>8477</v>
      </c>
      <c r="T10" s="28">
        <f t="shared" si="7"/>
        <v>8373</v>
      </c>
      <c r="U10" s="28">
        <f t="shared" si="7"/>
        <v>8134</v>
      </c>
      <c r="V10" s="28">
        <f t="shared" si="7"/>
        <v>6908</v>
      </c>
      <c r="W10" s="28">
        <f t="shared" ref="W10" si="8">SUM(W11:W12)</f>
        <v>8189.9999999999991</v>
      </c>
      <c r="DA10" s="173" t="s">
        <v>383</v>
      </c>
    </row>
    <row r="11" spans="1:105" ht="11.45" customHeight="1" x14ac:dyDescent="0.25">
      <c r="A11" s="83" t="s">
        <v>90</v>
      </c>
      <c r="B11" s="84">
        <v>0</v>
      </c>
      <c r="C11" s="84">
        <v>0</v>
      </c>
      <c r="D11" s="84">
        <v>0</v>
      </c>
      <c r="E11" s="84">
        <v>0</v>
      </c>
      <c r="F11" s="84">
        <v>0</v>
      </c>
      <c r="G11" s="84">
        <v>0</v>
      </c>
      <c r="H11" s="84">
        <v>0</v>
      </c>
      <c r="I11" s="84">
        <v>0</v>
      </c>
      <c r="J11" s="84">
        <v>0</v>
      </c>
      <c r="K11" s="84">
        <v>0</v>
      </c>
      <c r="L11" s="84">
        <v>0</v>
      </c>
      <c r="M11" s="84">
        <v>0</v>
      </c>
      <c r="N11" s="84">
        <v>0</v>
      </c>
      <c r="O11" s="84">
        <v>0</v>
      </c>
      <c r="P11" s="84">
        <v>0</v>
      </c>
      <c r="Q11" s="84">
        <v>0</v>
      </c>
      <c r="R11" s="84">
        <v>0</v>
      </c>
      <c r="S11" s="84">
        <v>0</v>
      </c>
      <c r="T11" s="84">
        <v>0</v>
      </c>
      <c r="U11" s="84">
        <v>0</v>
      </c>
      <c r="V11" s="84">
        <v>0</v>
      </c>
      <c r="W11" s="84">
        <v>0</v>
      </c>
      <c r="DA11" s="171" t="s">
        <v>1031</v>
      </c>
    </row>
    <row r="12" spans="1:105" ht="11.45" customHeight="1" x14ac:dyDescent="0.25">
      <c r="A12" s="85" t="s">
        <v>93</v>
      </c>
      <c r="B12" s="86">
        <v>11233</v>
      </c>
      <c r="C12" s="86">
        <v>10930</v>
      </c>
      <c r="D12" s="86">
        <v>10380</v>
      </c>
      <c r="E12" s="86">
        <v>10113</v>
      </c>
      <c r="F12" s="86">
        <v>9702</v>
      </c>
      <c r="G12" s="86">
        <v>9463</v>
      </c>
      <c r="H12" s="86">
        <v>9988</v>
      </c>
      <c r="I12" s="86">
        <v>9647</v>
      </c>
      <c r="J12" s="86">
        <v>9299</v>
      </c>
      <c r="K12" s="86">
        <v>6964</v>
      </c>
      <c r="L12" s="86">
        <v>8105</v>
      </c>
      <c r="M12" s="86">
        <v>7960</v>
      </c>
      <c r="N12" s="86">
        <v>7591</v>
      </c>
      <c r="O12" s="86">
        <v>8494</v>
      </c>
      <c r="P12" s="86">
        <v>8829</v>
      </c>
      <c r="Q12" s="86">
        <v>8439</v>
      </c>
      <c r="R12" s="86">
        <v>8370</v>
      </c>
      <c r="S12" s="86">
        <v>8477</v>
      </c>
      <c r="T12" s="86">
        <v>8373</v>
      </c>
      <c r="U12" s="86">
        <v>8134</v>
      </c>
      <c r="V12" s="86">
        <v>6908</v>
      </c>
      <c r="W12" s="86">
        <v>8189.9999999999991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48.417410288810501</v>
      </c>
      <c r="C14" s="62">
        <f t="shared" ref="C14:V14" si="10">C15+C21</f>
        <v>38.779512899918259</v>
      </c>
      <c r="D14" s="62">
        <f t="shared" si="10"/>
        <v>37.515164122199863</v>
      </c>
      <c r="E14" s="62">
        <f t="shared" si="10"/>
        <v>38.500430358609847</v>
      </c>
      <c r="F14" s="62">
        <f t="shared" si="10"/>
        <v>38.65696751742864</v>
      </c>
      <c r="G14" s="62">
        <f t="shared" si="10"/>
        <v>32.868869202864929</v>
      </c>
      <c r="H14" s="62">
        <f t="shared" si="10"/>
        <v>35.628800202366719</v>
      </c>
      <c r="I14" s="62">
        <f t="shared" si="10"/>
        <v>35.849189812725164</v>
      </c>
      <c r="J14" s="62">
        <f t="shared" si="10"/>
        <v>34.398408199093694</v>
      </c>
      <c r="K14" s="62">
        <f t="shared" si="10"/>
        <v>31.511741684706276</v>
      </c>
      <c r="L14" s="62">
        <f t="shared" si="10"/>
        <v>34.276401739471723</v>
      </c>
      <c r="M14" s="62">
        <f t="shared" si="10"/>
        <v>34.733104738518286</v>
      </c>
      <c r="N14" s="62">
        <f t="shared" si="10"/>
        <v>34.146224752494291</v>
      </c>
      <c r="O14" s="62">
        <f t="shared" si="10"/>
        <v>37.934433356676642</v>
      </c>
      <c r="P14" s="62">
        <f t="shared" si="10"/>
        <v>37.988305407399814</v>
      </c>
      <c r="Q14" s="62">
        <f t="shared" si="10"/>
        <v>42.152847709167588</v>
      </c>
      <c r="R14" s="62">
        <f t="shared" si="10"/>
        <v>43.374551691353496</v>
      </c>
      <c r="S14" s="62">
        <f t="shared" si="10"/>
        <v>43.217843750445653</v>
      </c>
      <c r="T14" s="62">
        <f t="shared" si="10"/>
        <v>43.800974115280411</v>
      </c>
      <c r="U14" s="62">
        <f t="shared" si="10"/>
        <v>39.499824587873157</v>
      </c>
      <c r="V14" s="62">
        <f t="shared" si="10"/>
        <v>37.278948870508152</v>
      </c>
      <c r="W14" s="62">
        <f t="shared" ref="W14" si="11">W15+W21</f>
        <v>41.35567909494938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24.382153261672418</v>
      </c>
      <c r="C15" s="29">
        <f t="shared" ref="C15:V15" si="13">SUM(C16,C17,C20)</f>
        <v>21.19157704838679</v>
      </c>
      <c r="D15" s="29">
        <f t="shared" si="13"/>
        <v>20.879080156459676</v>
      </c>
      <c r="E15" s="29">
        <f t="shared" si="13"/>
        <v>21.241459590530674</v>
      </c>
      <c r="F15" s="29">
        <f t="shared" si="13"/>
        <v>21.188164930944577</v>
      </c>
      <c r="G15" s="29">
        <f t="shared" si="13"/>
        <v>20.019450299637601</v>
      </c>
      <c r="H15" s="29">
        <f t="shared" si="13"/>
        <v>21.723820857684053</v>
      </c>
      <c r="I15" s="29">
        <f t="shared" si="13"/>
        <v>21.590622351457512</v>
      </c>
      <c r="J15" s="29">
        <f t="shared" si="13"/>
        <v>21.988995488727063</v>
      </c>
      <c r="K15" s="29">
        <f t="shared" si="13"/>
        <v>22.432241514997902</v>
      </c>
      <c r="L15" s="29">
        <f t="shared" si="13"/>
        <v>22.521699740620427</v>
      </c>
      <c r="M15" s="29">
        <f t="shared" si="13"/>
        <v>23.124910237960393</v>
      </c>
      <c r="N15" s="29">
        <f t="shared" si="13"/>
        <v>23.949315025054759</v>
      </c>
      <c r="O15" s="29">
        <f t="shared" si="13"/>
        <v>23.994792465552582</v>
      </c>
      <c r="P15" s="29">
        <f t="shared" si="13"/>
        <v>25.680558032702155</v>
      </c>
      <c r="Q15" s="29">
        <f t="shared" si="13"/>
        <v>32.181367775884461</v>
      </c>
      <c r="R15" s="29">
        <f t="shared" si="13"/>
        <v>32.335809562660756</v>
      </c>
      <c r="S15" s="29">
        <f t="shared" si="13"/>
        <v>34.268652049867967</v>
      </c>
      <c r="T15" s="29">
        <f t="shared" si="13"/>
        <v>33.80544204591714</v>
      </c>
      <c r="U15" s="29">
        <f t="shared" si="13"/>
        <v>31.012612327327673</v>
      </c>
      <c r="V15" s="29">
        <f t="shared" si="13"/>
        <v>26.324384542000999</v>
      </c>
      <c r="W15" s="29">
        <f t="shared" ref="W15" si="14">SUM(W16,W17,W20)</f>
        <v>28.111865670464258</v>
      </c>
      <c r="DA15" s="173" t="s">
        <v>1034</v>
      </c>
    </row>
    <row r="16" spans="1:105" ht="11.45" customHeight="1" x14ac:dyDescent="0.25">
      <c r="A16" s="107" t="s">
        <v>23</v>
      </c>
      <c r="B16" s="115">
        <v>4.461604150283609</v>
      </c>
      <c r="C16" s="115">
        <v>4.5525557676824402</v>
      </c>
      <c r="D16" s="115">
        <v>4.639520436847147</v>
      </c>
      <c r="E16" s="115">
        <v>4.7468212269765084</v>
      </c>
      <c r="F16" s="115">
        <v>4.7523782798879459</v>
      </c>
      <c r="G16" s="115">
        <v>5.0970372694909161</v>
      </c>
      <c r="H16" s="115">
        <v>5.0530064595489312</v>
      </c>
      <c r="I16" s="115">
        <v>5.3789894805763065</v>
      </c>
      <c r="J16" s="115">
        <v>4.7858176066012792</v>
      </c>
      <c r="K16" s="115">
        <v>3.8212625451158098</v>
      </c>
      <c r="L16" s="115">
        <v>3.6959945199672557</v>
      </c>
      <c r="M16" s="115">
        <v>3.9216973278489409</v>
      </c>
      <c r="N16" s="115">
        <v>3.7088032927902179</v>
      </c>
      <c r="O16" s="115">
        <v>3.5219551461360434</v>
      </c>
      <c r="P16" s="115">
        <v>3.2629179502467212</v>
      </c>
      <c r="Q16" s="115">
        <v>3.0248024987055855</v>
      </c>
      <c r="R16" s="115">
        <v>3.5970236208148649</v>
      </c>
      <c r="S16" s="115">
        <v>3.3256306260345112</v>
      </c>
      <c r="T16" s="115">
        <v>3.3192914214107039</v>
      </c>
      <c r="U16" s="115">
        <v>3.2993947820806864</v>
      </c>
      <c r="V16" s="115">
        <v>3.2629006802255223</v>
      </c>
      <c r="W16" s="115">
        <v>3.3003155489748983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19.920549111388809</v>
      </c>
      <c r="C17" s="116">
        <f t="shared" ref="C17:V17" si="16">SUM(C18:C19)</f>
        <v>16.639021280704348</v>
      </c>
      <c r="D17" s="116">
        <f t="shared" si="16"/>
        <v>16.239559719612529</v>
      </c>
      <c r="E17" s="116">
        <f t="shared" si="16"/>
        <v>16.494638363554166</v>
      </c>
      <c r="F17" s="116">
        <f t="shared" si="16"/>
        <v>16.435786651056631</v>
      </c>
      <c r="G17" s="116">
        <f t="shared" si="16"/>
        <v>14.922413030146684</v>
      </c>
      <c r="H17" s="116">
        <f t="shared" si="16"/>
        <v>16.670814398135121</v>
      </c>
      <c r="I17" s="116">
        <f t="shared" si="16"/>
        <v>16.211632870881207</v>
      </c>
      <c r="J17" s="116">
        <f t="shared" si="16"/>
        <v>17.203177882125786</v>
      </c>
      <c r="K17" s="116">
        <f t="shared" si="16"/>
        <v>18.61097896988209</v>
      </c>
      <c r="L17" s="116">
        <f t="shared" si="16"/>
        <v>18.82570522065317</v>
      </c>
      <c r="M17" s="116">
        <f t="shared" si="16"/>
        <v>19.20321291011145</v>
      </c>
      <c r="N17" s="116">
        <f t="shared" si="16"/>
        <v>20.24051173226454</v>
      </c>
      <c r="O17" s="116">
        <f t="shared" si="16"/>
        <v>20.472837319416538</v>
      </c>
      <c r="P17" s="116">
        <f t="shared" si="16"/>
        <v>22.417640082455435</v>
      </c>
      <c r="Q17" s="116">
        <f t="shared" si="16"/>
        <v>29.156565277178874</v>
      </c>
      <c r="R17" s="116">
        <f t="shared" si="16"/>
        <v>28.738785941845894</v>
      </c>
      <c r="S17" s="116">
        <f t="shared" si="16"/>
        <v>30.943021423833454</v>
      </c>
      <c r="T17" s="116">
        <f t="shared" si="16"/>
        <v>30.486150624506436</v>
      </c>
      <c r="U17" s="116">
        <f t="shared" si="16"/>
        <v>27.713217545246987</v>
      </c>
      <c r="V17" s="116">
        <f t="shared" si="16"/>
        <v>23.061483861775478</v>
      </c>
      <c r="W17" s="116">
        <f t="shared" ref="W17" si="17">SUM(W18:W19)</f>
        <v>24.811550121489361</v>
      </c>
      <c r="DA17" s="176" t="s">
        <v>1036</v>
      </c>
    </row>
    <row r="18" spans="1:105" ht="11.45" customHeight="1" x14ac:dyDescent="0.25">
      <c r="A18" s="111" t="s">
        <v>92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DA18" s="171" t="s">
        <v>1037</v>
      </c>
    </row>
    <row r="19" spans="1:105" ht="11.45" customHeight="1" x14ac:dyDescent="0.25">
      <c r="A19" s="111" t="s">
        <v>93</v>
      </c>
      <c r="B19" s="87">
        <v>19.920549111388809</v>
      </c>
      <c r="C19" s="87">
        <v>16.639021280704348</v>
      </c>
      <c r="D19" s="87">
        <v>16.239559719612529</v>
      </c>
      <c r="E19" s="87">
        <v>16.494638363554166</v>
      </c>
      <c r="F19" s="87">
        <v>16.435786651056631</v>
      </c>
      <c r="G19" s="87">
        <v>14.922413030146684</v>
      </c>
      <c r="H19" s="87">
        <v>16.670814398135121</v>
      </c>
      <c r="I19" s="87">
        <v>16.211632870881207</v>
      </c>
      <c r="J19" s="87">
        <v>17.203177882125786</v>
      </c>
      <c r="K19" s="87">
        <v>18.61097896988209</v>
      </c>
      <c r="L19" s="87">
        <v>18.82570522065317</v>
      </c>
      <c r="M19" s="87">
        <v>19.20321291011145</v>
      </c>
      <c r="N19" s="87">
        <v>20.24051173226454</v>
      </c>
      <c r="O19" s="87">
        <v>20.472837319416538</v>
      </c>
      <c r="P19" s="87">
        <v>22.417640082455435</v>
      </c>
      <c r="Q19" s="87">
        <v>29.156565277178874</v>
      </c>
      <c r="R19" s="87">
        <v>28.738785941845894</v>
      </c>
      <c r="S19" s="87">
        <v>30.943021423833454</v>
      </c>
      <c r="T19" s="87">
        <v>30.486150624506436</v>
      </c>
      <c r="U19" s="87">
        <v>27.713217545246987</v>
      </c>
      <c r="V19" s="87">
        <v>23.061483861775478</v>
      </c>
      <c r="W19" s="87">
        <v>24.811550121489361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24.03525702713808</v>
      </c>
      <c r="C21" s="29">
        <f t="shared" ref="C21:V21" si="19">SUM(C22:C23)</f>
        <v>17.587935851531469</v>
      </c>
      <c r="D21" s="29">
        <f t="shared" si="19"/>
        <v>16.636083965740184</v>
      </c>
      <c r="E21" s="29">
        <f t="shared" si="19"/>
        <v>17.258970768079173</v>
      </c>
      <c r="F21" s="29">
        <f t="shared" si="19"/>
        <v>17.46880258648406</v>
      </c>
      <c r="G21" s="29">
        <f t="shared" si="19"/>
        <v>12.849418903227329</v>
      </c>
      <c r="H21" s="29">
        <f t="shared" si="19"/>
        <v>13.904979344682669</v>
      </c>
      <c r="I21" s="29">
        <f t="shared" si="19"/>
        <v>14.258567461267655</v>
      </c>
      <c r="J21" s="29">
        <f t="shared" si="19"/>
        <v>12.409412710366631</v>
      </c>
      <c r="K21" s="29">
        <f t="shared" si="19"/>
        <v>9.0795001697083748</v>
      </c>
      <c r="L21" s="29">
        <f t="shared" si="19"/>
        <v>11.754701998851294</v>
      </c>
      <c r="M21" s="29">
        <f t="shared" si="19"/>
        <v>11.608194500557895</v>
      </c>
      <c r="N21" s="29">
        <f t="shared" si="19"/>
        <v>10.196909727439531</v>
      </c>
      <c r="O21" s="29">
        <f t="shared" si="19"/>
        <v>13.939640891124062</v>
      </c>
      <c r="P21" s="29">
        <f t="shared" si="19"/>
        <v>12.30774737469766</v>
      </c>
      <c r="Q21" s="29">
        <f t="shared" si="19"/>
        <v>9.9714799332831312</v>
      </c>
      <c r="R21" s="29">
        <f t="shared" si="19"/>
        <v>11.038742128692741</v>
      </c>
      <c r="S21" s="29">
        <f t="shared" si="19"/>
        <v>8.9491917005776891</v>
      </c>
      <c r="T21" s="29">
        <f t="shared" si="19"/>
        <v>9.9955320693632697</v>
      </c>
      <c r="U21" s="29">
        <f t="shared" si="19"/>
        <v>8.4872122605454852</v>
      </c>
      <c r="V21" s="29">
        <f t="shared" si="19"/>
        <v>10.954564328507152</v>
      </c>
      <c r="W21" s="29">
        <f t="shared" ref="W21" si="20">SUM(W22:W23)</f>
        <v>13.24381342448512</v>
      </c>
      <c r="DA21" s="173" t="s">
        <v>1040</v>
      </c>
    </row>
    <row r="22" spans="1:105" ht="11.45" customHeight="1" x14ac:dyDescent="0.25">
      <c r="A22" s="83" t="s">
        <v>92</v>
      </c>
      <c r="B22" s="87">
        <v>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DA22" s="171" t="s">
        <v>1041</v>
      </c>
    </row>
    <row r="23" spans="1:105" ht="11.45" customHeight="1" x14ac:dyDescent="0.25">
      <c r="A23" s="85" t="s">
        <v>93</v>
      </c>
      <c r="B23" s="88">
        <v>24.03525702713808</v>
      </c>
      <c r="C23" s="88">
        <v>17.587935851531469</v>
      </c>
      <c r="D23" s="88">
        <v>16.636083965740184</v>
      </c>
      <c r="E23" s="88">
        <v>17.258970768079173</v>
      </c>
      <c r="F23" s="88">
        <v>17.46880258648406</v>
      </c>
      <c r="G23" s="88">
        <v>12.849418903227329</v>
      </c>
      <c r="H23" s="88">
        <v>13.904979344682669</v>
      </c>
      <c r="I23" s="88">
        <v>14.258567461267655</v>
      </c>
      <c r="J23" s="88">
        <v>12.409412710366631</v>
      </c>
      <c r="K23" s="88">
        <v>9.0795001697083748</v>
      </c>
      <c r="L23" s="88">
        <v>11.754701998851294</v>
      </c>
      <c r="M23" s="88">
        <v>11.608194500557895</v>
      </c>
      <c r="N23" s="88">
        <v>10.196909727439531</v>
      </c>
      <c r="O23" s="88">
        <v>13.939640891124062</v>
      </c>
      <c r="P23" s="88">
        <v>12.30774737469766</v>
      </c>
      <c r="Q23" s="88">
        <v>9.9714799332831312</v>
      </c>
      <c r="R23" s="88">
        <v>11.038742128692741</v>
      </c>
      <c r="S23" s="88">
        <v>8.9491917005776891</v>
      </c>
      <c r="T23" s="88">
        <v>9.9955320693632697</v>
      </c>
      <c r="U23" s="88">
        <v>8.4872122605454852</v>
      </c>
      <c r="V23" s="88">
        <v>10.954564328507152</v>
      </c>
      <c r="W23" s="88">
        <v>13.24381342448512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293.539985</v>
      </c>
      <c r="C25" s="62">
        <f t="shared" ref="C25:V25" si="22">C26+C32</f>
        <v>269.06882400000001</v>
      </c>
      <c r="D25" s="62">
        <f t="shared" si="22"/>
        <v>246.582221</v>
      </c>
      <c r="E25" s="62">
        <f t="shared" si="22"/>
        <v>239.41203100000001</v>
      </c>
      <c r="F25" s="62">
        <f t="shared" si="22"/>
        <v>240.11936400000002</v>
      </c>
      <c r="G25" s="62">
        <f t="shared" si="22"/>
        <v>221.14584200000002</v>
      </c>
      <c r="H25" s="62">
        <f t="shared" si="22"/>
        <v>226.60008299999998</v>
      </c>
      <c r="I25" s="62">
        <f t="shared" si="22"/>
        <v>228.27029599999997</v>
      </c>
      <c r="J25" s="62">
        <f t="shared" si="22"/>
        <v>221.57881900000001</v>
      </c>
      <c r="K25" s="62">
        <f t="shared" si="22"/>
        <v>214.89052899999999</v>
      </c>
      <c r="L25" s="62">
        <f t="shared" si="22"/>
        <v>221.01010799999997</v>
      </c>
      <c r="M25" s="62">
        <f t="shared" si="22"/>
        <v>221.71418699999998</v>
      </c>
      <c r="N25" s="62">
        <f t="shared" si="22"/>
        <v>219.637688</v>
      </c>
      <c r="O25" s="62">
        <f t="shared" si="22"/>
        <v>238.20156299999999</v>
      </c>
      <c r="P25" s="62">
        <f t="shared" si="22"/>
        <v>240.65256199999999</v>
      </c>
      <c r="Q25" s="62">
        <f t="shared" si="22"/>
        <v>271.732707</v>
      </c>
      <c r="R25" s="62">
        <f t="shared" si="22"/>
        <v>279.48583300000001</v>
      </c>
      <c r="S25" s="62">
        <f t="shared" si="22"/>
        <v>281.26577499999996</v>
      </c>
      <c r="T25" s="62">
        <f t="shared" si="22"/>
        <v>283.39404300000001</v>
      </c>
      <c r="U25" s="62">
        <f t="shared" si="22"/>
        <v>262.39119999999997</v>
      </c>
      <c r="V25" s="62">
        <f t="shared" si="22"/>
        <v>261.11582900000002</v>
      </c>
      <c r="W25" s="62">
        <f t="shared" ref="W25" si="23">W26+W32</f>
        <v>261.632272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173.363699</v>
      </c>
      <c r="C26" s="29">
        <f t="shared" ref="C26:V26" si="25">SUM(C27,C28,C31)</f>
        <v>160.910166</v>
      </c>
      <c r="D26" s="29">
        <f t="shared" si="25"/>
        <v>150.441191</v>
      </c>
      <c r="E26" s="29">
        <f t="shared" si="25"/>
        <v>153.117177</v>
      </c>
      <c r="F26" s="29">
        <f t="shared" si="25"/>
        <v>152.775351</v>
      </c>
      <c r="G26" s="29">
        <f t="shared" si="25"/>
        <v>145.819457</v>
      </c>
      <c r="H26" s="29">
        <f t="shared" si="25"/>
        <v>157.075186</v>
      </c>
      <c r="I26" s="29">
        <f t="shared" si="25"/>
        <v>156.97745799999998</v>
      </c>
      <c r="J26" s="29">
        <f t="shared" si="25"/>
        <v>159.531755</v>
      </c>
      <c r="K26" s="29">
        <f t="shared" si="25"/>
        <v>164.86109299999998</v>
      </c>
      <c r="L26" s="29">
        <f t="shared" si="25"/>
        <v>162.23659799999999</v>
      </c>
      <c r="M26" s="29">
        <f t="shared" si="25"/>
        <v>163.673214</v>
      </c>
      <c r="N26" s="29">
        <f t="shared" si="25"/>
        <v>168.65313900000001</v>
      </c>
      <c r="O26" s="29">
        <f t="shared" si="25"/>
        <v>168.50335799999999</v>
      </c>
      <c r="P26" s="29">
        <f t="shared" si="25"/>
        <v>179.11382499999999</v>
      </c>
      <c r="Q26" s="29">
        <f t="shared" si="25"/>
        <v>221.87530700000002</v>
      </c>
      <c r="R26" s="29">
        <f t="shared" si="25"/>
        <v>224.29212200000001</v>
      </c>
      <c r="S26" s="29">
        <f t="shared" si="25"/>
        <v>236.51981599999999</v>
      </c>
      <c r="T26" s="29">
        <f t="shared" si="25"/>
        <v>233.416382</v>
      </c>
      <c r="U26" s="29">
        <f t="shared" si="25"/>
        <v>219.95513799999998</v>
      </c>
      <c r="V26" s="29">
        <f t="shared" si="25"/>
        <v>206.343007</v>
      </c>
      <c r="W26" s="29">
        <f t="shared" ref="W26" si="26">SUM(W27,W28,W31)</f>
        <v>195.41320400000001</v>
      </c>
      <c r="DA26" s="173" t="s">
        <v>1044</v>
      </c>
    </row>
    <row r="27" spans="1:105" ht="11.45" customHeight="1" x14ac:dyDescent="0.25">
      <c r="A27" s="107" t="s">
        <v>23</v>
      </c>
      <c r="B27" s="115">
        <v>40.560037999999999</v>
      </c>
      <c r="C27" s="115">
        <v>41.386870999999999</v>
      </c>
      <c r="D27" s="115">
        <v>42.177458999999999</v>
      </c>
      <c r="E27" s="115">
        <v>43.152920999999999</v>
      </c>
      <c r="F27" s="115">
        <v>43.203438999999996</v>
      </c>
      <c r="G27" s="115">
        <v>46.336703</v>
      </c>
      <c r="H27" s="115">
        <v>45.936422999999998</v>
      </c>
      <c r="I27" s="115">
        <v>48.899904999999997</v>
      </c>
      <c r="J27" s="115">
        <v>44.843902</v>
      </c>
      <c r="K27" s="115">
        <v>40.787898999999996</v>
      </c>
      <c r="L27" s="115">
        <v>36.731895999999999</v>
      </c>
      <c r="M27" s="115">
        <v>35.651793999999995</v>
      </c>
      <c r="N27" s="115">
        <v>33.716393999999994</v>
      </c>
      <c r="O27" s="115">
        <v>32.017775</v>
      </c>
      <c r="P27" s="115">
        <v>29.662891000000002</v>
      </c>
      <c r="Q27" s="115">
        <v>27.498205000000002</v>
      </c>
      <c r="R27" s="115">
        <v>32.700215</v>
      </c>
      <c r="S27" s="115">
        <v>30.233006</v>
      </c>
      <c r="T27" s="115">
        <v>30.175377000000001</v>
      </c>
      <c r="U27" s="115">
        <v>29.994499000000001</v>
      </c>
      <c r="V27" s="115">
        <v>29.662734</v>
      </c>
      <c r="W27" s="115">
        <v>30.002869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132.80366100000001</v>
      </c>
      <c r="C28" s="116">
        <f t="shared" ref="C28:V28" si="28">SUM(C29:C30)</f>
        <v>119.523295</v>
      </c>
      <c r="D28" s="116">
        <f t="shared" si="28"/>
        <v>108.263732</v>
      </c>
      <c r="E28" s="116">
        <f t="shared" si="28"/>
        <v>109.96425599999999</v>
      </c>
      <c r="F28" s="116">
        <f t="shared" si="28"/>
        <v>109.571912</v>
      </c>
      <c r="G28" s="116">
        <f t="shared" si="28"/>
        <v>99.482754</v>
      </c>
      <c r="H28" s="116">
        <f t="shared" si="28"/>
        <v>111.138763</v>
      </c>
      <c r="I28" s="116">
        <f t="shared" si="28"/>
        <v>108.07755299999999</v>
      </c>
      <c r="J28" s="116">
        <f t="shared" si="28"/>
        <v>114.687853</v>
      </c>
      <c r="K28" s="116">
        <f t="shared" si="28"/>
        <v>124.073194</v>
      </c>
      <c r="L28" s="116">
        <f t="shared" si="28"/>
        <v>125.50470199999999</v>
      </c>
      <c r="M28" s="116">
        <f t="shared" si="28"/>
        <v>128.02142000000001</v>
      </c>
      <c r="N28" s="116">
        <f t="shared" si="28"/>
        <v>134.936745</v>
      </c>
      <c r="O28" s="116">
        <f t="shared" si="28"/>
        <v>136.48558299999999</v>
      </c>
      <c r="P28" s="116">
        <f t="shared" si="28"/>
        <v>149.45093399999999</v>
      </c>
      <c r="Q28" s="116">
        <f t="shared" si="28"/>
        <v>194.37710200000001</v>
      </c>
      <c r="R28" s="116">
        <f t="shared" si="28"/>
        <v>191.59190699999999</v>
      </c>
      <c r="S28" s="116">
        <f t="shared" si="28"/>
        <v>206.28681</v>
      </c>
      <c r="T28" s="116">
        <f t="shared" si="28"/>
        <v>203.241005</v>
      </c>
      <c r="U28" s="116">
        <f t="shared" si="28"/>
        <v>189.96063899999999</v>
      </c>
      <c r="V28" s="116">
        <f t="shared" si="28"/>
        <v>176.680273</v>
      </c>
      <c r="W28" s="116">
        <f t="shared" ref="W28" si="29">SUM(W29:W30)</f>
        <v>165.410335</v>
      </c>
      <c r="DA28" s="176" t="s">
        <v>1046</v>
      </c>
    </row>
    <row r="29" spans="1:105" ht="11.45" customHeight="1" x14ac:dyDescent="0.25">
      <c r="A29" s="111" t="s">
        <v>92</v>
      </c>
      <c r="B29" s="87">
        <v>0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0</v>
      </c>
      <c r="M29" s="87">
        <v>0</v>
      </c>
      <c r="N29" s="87">
        <v>0</v>
      </c>
      <c r="O29" s="87">
        <v>0</v>
      </c>
      <c r="P29" s="87">
        <v>0</v>
      </c>
      <c r="Q29" s="87">
        <v>0</v>
      </c>
      <c r="R29" s="87">
        <v>0</v>
      </c>
      <c r="S29" s="87">
        <v>0</v>
      </c>
      <c r="T29" s="87">
        <v>0</v>
      </c>
      <c r="U29" s="87">
        <v>0</v>
      </c>
      <c r="V29" s="87">
        <v>0</v>
      </c>
      <c r="W29" s="87">
        <v>0</v>
      </c>
      <c r="DA29" s="171" t="s">
        <v>1047</v>
      </c>
    </row>
    <row r="30" spans="1:105" ht="11.45" customHeight="1" x14ac:dyDescent="0.25">
      <c r="A30" s="111" t="s">
        <v>93</v>
      </c>
      <c r="B30" s="87">
        <v>132.80366100000001</v>
      </c>
      <c r="C30" s="87">
        <v>119.523295</v>
      </c>
      <c r="D30" s="87">
        <v>108.263732</v>
      </c>
      <c r="E30" s="87">
        <v>109.96425599999999</v>
      </c>
      <c r="F30" s="87">
        <v>109.571912</v>
      </c>
      <c r="G30" s="87">
        <v>99.482754</v>
      </c>
      <c r="H30" s="87">
        <v>111.138763</v>
      </c>
      <c r="I30" s="87">
        <v>108.07755299999999</v>
      </c>
      <c r="J30" s="87">
        <v>114.687853</v>
      </c>
      <c r="K30" s="87">
        <v>124.073194</v>
      </c>
      <c r="L30" s="87">
        <v>125.50470199999999</v>
      </c>
      <c r="M30" s="87">
        <v>128.02142000000001</v>
      </c>
      <c r="N30" s="87">
        <v>134.936745</v>
      </c>
      <c r="O30" s="87">
        <v>136.48558299999999</v>
      </c>
      <c r="P30" s="87">
        <v>149.45093399999999</v>
      </c>
      <c r="Q30" s="87">
        <v>194.37710200000001</v>
      </c>
      <c r="R30" s="87">
        <v>191.59190699999999</v>
      </c>
      <c r="S30" s="87">
        <v>206.28681</v>
      </c>
      <c r="T30" s="87">
        <v>203.241005</v>
      </c>
      <c r="U30" s="87">
        <v>189.96063899999999</v>
      </c>
      <c r="V30" s="87">
        <v>176.680273</v>
      </c>
      <c r="W30" s="87">
        <v>165.410335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120.17628599999999</v>
      </c>
      <c r="C32" s="29">
        <f t="shared" ref="C32:V32" si="31">SUM(C33:C34)</f>
        <v>108.158658</v>
      </c>
      <c r="D32" s="29">
        <f t="shared" si="31"/>
        <v>96.141030000000001</v>
      </c>
      <c r="E32" s="29">
        <f t="shared" si="31"/>
        <v>86.294854000000001</v>
      </c>
      <c r="F32" s="29">
        <f t="shared" si="31"/>
        <v>87.344013000000004</v>
      </c>
      <c r="G32" s="29">
        <f t="shared" si="31"/>
        <v>75.326385000000002</v>
      </c>
      <c r="H32" s="29">
        <f t="shared" si="31"/>
        <v>69.524896999999996</v>
      </c>
      <c r="I32" s="29">
        <f t="shared" si="31"/>
        <v>71.292838000000003</v>
      </c>
      <c r="J32" s="29">
        <f t="shared" si="31"/>
        <v>62.047063999999999</v>
      </c>
      <c r="K32" s="29">
        <f t="shared" si="31"/>
        <v>50.029435999999997</v>
      </c>
      <c r="L32" s="29">
        <f t="shared" si="31"/>
        <v>58.773509999999995</v>
      </c>
      <c r="M32" s="29">
        <f t="shared" si="31"/>
        <v>58.040972999999994</v>
      </c>
      <c r="N32" s="29">
        <f t="shared" si="31"/>
        <v>50.984548999999994</v>
      </c>
      <c r="O32" s="29">
        <f t="shared" si="31"/>
        <v>69.698205000000002</v>
      </c>
      <c r="P32" s="29">
        <f t="shared" si="31"/>
        <v>61.538736999999998</v>
      </c>
      <c r="Q32" s="29">
        <f t="shared" si="31"/>
        <v>49.857399999999998</v>
      </c>
      <c r="R32" s="29">
        <f t="shared" si="31"/>
        <v>55.193711</v>
      </c>
      <c r="S32" s="29">
        <f t="shared" si="31"/>
        <v>44.745958999999999</v>
      </c>
      <c r="T32" s="29">
        <f t="shared" si="31"/>
        <v>49.977660999999998</v>
      </c>
      <c r="U32" s="29">
        <f t="shared" si="31"/>
        <v>42.436062</v>
      </c>
      <c r="V32" s="29">
        <f t="shared" si="31"/>
        <v>54.772821999999998</v>
      </c>
      <c r="W32" s="29">
        <f t="shared" ref="W32" si="32">SUM(W33:W34)</f>
        <v>66.219067999999993</v>
      </c>
      <c r="DA32" s="173" t="s">
        <v>1050</v>
      </c>
    </row>
    <row r="33" spans="1:105" ht="11.45" customHeight="1" x14ac:dyDescent="0.25">
      <c r="A33" s="83" t="s">
        <v>92</v>
      </c>
      <c r="B33" s="87">
        <v>0</v>
      </c>
      <c r="C33" s="87">
        <v>0</v>
      </c>
      <c r="D33" s="87">
        <v>0</v>
      </c>
      <c r="E33" s="87">
        <v>0</v>
      </c>
      <c r="F33" s="87">
        <v>0</v>
      </c>
      <c r="G33" s="87">
        <v>0</v>
      </c>
      <c r="H33" s="87">
        <v>0</v>
      </c>
      <c r="I33" s="87">
        <v>0</v>
      </c>
      <c r="J33" s="87">
        <v>0</v>
      </c>
      <c r="K33" s="87">
        <v>0</v>
      </c>
      <c r="L33" s="87">
        <v>0</v>
      </c>
      <c r="M33" s="87">
        <v>0</v>
      </c>
      <c r="N33" s="87">
        <v>0</v>
      </c>
      <c r="O33" s="87">
        <v>0</v>
      </c>
      <c r="P33" s="87">
        <v>0</v>
      </c>
      <c r="Q33" s="87">
        <v>0</v>
      </c>
      <c r="R33" s="87">
        <v>0</v>
      </c>
      <c r="S33" s="87">
        <v>0</v>
      </c>
      <c r="T33" s="87">
        <v>0</v>
      </c>
      <c r="U33" s="87">
        <v>0</v>
      </c>
      <c r="V33" s="87">
        <v>0</v>
      </c>
      <c r="W33" s="87">
        <v>0</v>
      </c>
      <c r="DA33" s="171" t="s">
        <v>1051</v>
      </c>
    </row>
    <row r="34" spans="1:105" ht="11.45" customHeight="1" x14ac:dyDescent="0.25">
      <c r="A34" s="85" t="s">
        <v>93</v>
      </c>
      <c r="B34" s="88">
        <v>120.17628599999999</v>
      </c>
      <c r="C34" s="88">
        <v>108.158658</v>
      </c>
      <c r="D34" s="88">
        <v>96.141030000000001</v>
      </c>
      <c r="E34" s="88">
        <v>86.294854000000001</v>
      </c>
      <c r="F34" s="88">
        <v>87.344013000000004</v>
      </c>
      <c r="G34" s="88">
        <v>75.326385000000002</v>
      </c>
      <c r="H34" s="88">
        <v>69.524896999999996</v>
      </c>
      <c r="I34" s="88">
        <v>71.292838000000003</v>
      </c>
      <c r="J34" s="88">
        <v>62.047063999999999</v>
      </c>
      <c r="K34" s="88">
        <v>50.029435999999997</v>
      </c>
      <c r="L34" s="88">
        <v>58.773509999999995</v>
      </c>
      <c r="M34" s="88">
        <v>58.040972999999994</v>
      </c>
      <c r="N34" s="88">
        <v>50.984548999999994</v>
      </c>
      <c r="O34" s="88">
        <v>69.698205000000002</v>
      </c>
      <c r="P34" s="88">
        <v>61.538736999999998</v>
      </c>
      <c r="Q34" s="88">
        <v>49.857399999999998</v>
      </c>
      <c r="R34" s="88">
        <v>55.193711</v>
      </c>
      <c r="S34" s="88">
        <v>44.745958999999999</v>
      </c>
      <c r="T34" s="88">
        <v>49.977660999999998</v>
      </c>
      <c r="U34" s="88">
        <v>42.436062</v>
      </c>
      <c r="V34" s="88">
        <v>54.772821999999998</v>
      </c>
      <c r="W34" s="88">
        <v>66.219067999999993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2.206395999999998</v>
      </c>
      <c r="D36" s="54">
        <f t="shared" ref="D36:V36" si="34">D37+D43</f>
        <v>2.1701509999999971</v>
      </c>
      <c r="E36" s="54">
        <f t="shared" si="34"/>
        <v>7.4705009999999845</v>
      </c>
      <c r="F36" s="54">
        <f t="shared" si="34"/>
        <v>9.1071370000000016</v>
      </c>
      <c r="G36" s="54">
        <f t="shared" si="34"/>
        <v>4.5128270000000015</v>
      </c>
      <c r="H36" s="54">
        <f t="shared" si="34"/>
        <v>16.050243999999992</v>
      </c>
      <c r="I36" s="54">
        <f t="shared" si="34"/>
        <v>10.070017</v>
      </c>
      <c r="J36" s="54">
        <f t="shared" si="34"/>
        <v>10.025252000000009</v>
      </c>
      <c r="K36" s="54">
        <f t="shared" si="34"/>
        <v>12.800292999999996</v>
      </c>
      <c r="L36" s="54">
        <f t="shared" si="34"/>
        <v>17.195823000000004</v>
      </c>
      <c r="M36" s="54">
        <f t="shared" si="34"/>
        <v>9.1038830000000033</v>
      </c>
      <c r="N36" s="54">
        <f t="shared" si="34"/>
        <v>10.330276999999995</v>
      </c>
      <c r="O36" s="54">
        <f t="shared" si="34"/>
        <v>27.282734999999995</v>
      </c>
      <c r="P36" s="54">
        <f t="shared" si="34"/>
        <v>16.380302999999998</v>
      </c>
      <c r="Q36" s="54">
        <f t="shared" si="34"/>
        <v>48.341120000000018</v>
      </c>
      <c r="R36" s="54">
        <f t="shared" si="34"/>
        <v>16.15292999999998</v>
      </c>
      <c r="S36" s="54">
        <f t="shared" si="34"/>
        <v>18.10985500000001</v>
      </c>
      <c r="T36" s="54">
        <f t="shared" si="34"/>
        <v>10.528071999999998</v>
      </c>
      <c r="U36" s="54">
        <f t="shared" si="34"/>
        <v>1.1986850000000011</v>
      </c>
      <c r="V36" s="54">
        <f t="shared" si="34"/>
        <v>16.989846999999997</v>
      </c>
      <c r="W36" s="54">
        <f t="shared" ref="W36" si="35">W37+W43</f>
        <v>16.771232999999995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2.206395999999998</v>
      </c>
      <c r="D37" s="28">
        <f t="shared" ref="D37:V37" si="37">SUM(D38,D39,D42)</f>
        <v>2.1701509999999971</v>
      </c>
      <c r="E37" s="28">
        <f t="shared" si="37"/>
        <v>7.4705009999999845</v>
      </c>
      <c r="F37" s="28">
        <f t="shared" si="37"/>
        <v>4.4526889999999995</v>
      </c>
      <c r="G37" s="28">
        <f t="shared" si="37"/>
        <v>4.5128270000000015</v>
      </c>
      <c r="H37" s="28">
        <f t="shared" si="37"/>
        <v>16.050243999999992</v>
      </c>
      <c r="I37" s="28">
        <f t="shared" si="37"/>
        <v>4.6967869999999934</v>
      </c>
      <c r="J37" s="28">
        <f t="shared" si="37"/>
        <v>10.025252000000009</v>
      </c>
      <c r="K37" s="28">
        <f t="shared" si="37"/>
        <v>12.800292999999996</v>
      </c>
      <c r="L37" s="28">
        <f t="shared" si="37"/>
        <v>4.8464600000000075</v>
      </c>
      <c r="M37" s="28">
        <f t="shared" si="37"/>
        <v>6.2311310000000049</v>
      </c>
      <c r="N37" s="28">
        <f t="shared" si="37"/>
        <v>10.330276999999995</v>
      </c>
      <c r="O37" s="28">
        <f t="shared" si="37"/>
        <v>4.9637899999999888</v>
      </c>
      <c r="P37" s="28">
        <f t="shared" si="37"/>
        <v>16.380302999999998</v>
      </c>
      <c r="Q37" s="28">
        <f t="shared" si="37"/>
        <v>48.341120000000018</v>
      </c>
      <c r="R37" s="28">
        <f t="shared" si="37"/>
        <v>7.2113299999999789</v>
      </c>
      <c r="S37" s="28">
        <f t="shared" si="37"/>
        <v>18.10985500000001</v>
      </c>
      <c r="T37" s="28">
        <f t="shared" si="37"/>
        <v>1.6910810000000005</v>
      </c>
      <c r="U37" s="28">
        <f t="shared" si="37"/>
        <v>1.1986850000000011</v>
      </c>
      <c r="V37" s="28">
        <f t="shared" si="37"/>
        <v>1.0477980000000002</v>
      </c>
      <c r="W37" s="28">
        <f t="shared" ref="W37" si="38">SUM(W38,W39,W42)</f>
        <v>1.7196980000000011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2.206395999999998</v>
      </c>
      <c r="D38" s="108">
        <v>2.1701509999999971</v>
      </c>
      <c r="E38" s="108">
        <v>2.3550249999999977</v>
      </c>
      <c r="F38" s="108">
        <v>1.4300809999999942</v>
      </c>
      <c r="G38" s="108">
        <v>4.5128270000000015</v>
      </c>
      <c r="H38" s="108">
        <v>0.97928299999999524</v>
      </c>
      <c r="I38" s="108">
        <v>4.3430449999999965</v>
      </c>
      <c r="J38" s="108">
        <v>0</v>
      </c>
      <c r="K38" s="108">
        <v>0</v>
      </c>
      <c r="L38" s="108">
        <v>0</v>
      </c>
      <c r="M38" s="108">
        <v>0.29946099999999376</v>
      </c>
      <c r="N38" s="108">
        <v>0</v>
      </c>
      <c r="O38" s="108">
        <v>0</v>
      </c>
      <c r="P38" s="108">
        <v>0</v>
      </c>
      <c r="Q38" s="108">
        <v>0</v>
      </c>
      <c r="R38" s="108">
        <v>6.5815729999999952</v>
      </c>
      <c r="S38" s="108">
        <v>0</v>
      </c>
      <c r="T38" s="108">
        <v>1.3219340000000024</v>
      </c>
      <c r="U38" s="108">
        <v>1.1986850000000011</v>
      </c>
      <c r="V38" s="108">
        <v>1.0477980000000002</v>
      </c>
      <c r="W38" s="108">
        <v>1.7196980000000011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0</v>
      </c>
      <c r="E39" s="110">
        <f t="shared" si="40"/>
        <v>5.1154759999999868</v>
      </c>
      <c r="F39" s="110">
        <f t="shared" si="40"/>
        <v>3.0226080000000053</v>
      </c>
      <c r="G39" s="110">
        <f t="shared" si="40"/>
        <v>0</v>
      </c>
      <c r="H39" s="110">
        <f t="shared" si="40"/>
        <v>15.070960999999997</v>
      </c>
      <c r="I39" s="110">
        <f t="shared" si="40"/>
        <v>0.35374199999999689</v>
      </c>
      <c r="J39" s="110">
        <f t="shared" si="40"/>
        <v>10.025252000000009</v>
      </c>
      <c r="K39" s="110">
        <f t="shared" si="40"/>
        <v>12.800292999999996</v>
      </c>
      <c r="L39" s="110">
        <f t="shared" si="40"/>
        <v>4.8464600000000075</v>
      </c>
      <c r="M39" s="110">
        <f t="shared" si="40"/>
        <v>5.9316700000000111</v>
      </c>
      <c r="N39" s="110">
        <f t="shared" si="40"/>
        <v>10.330276999999995</v>
      </c>
      <c r="O39" s="110">
        <f t="shared" si="40"/>
        <v>4.9637899999999888</v>
      </c>
      <c r="P39" s="110">
        <f t="shared" si="40"/>
        <v>16.380302999999998</v>
      </c>
      <c r="Q39" s="110">
        <f t="shared" si="40"/>
        <v>48.341120000000018</v>
      </c>
      <c r="R39" s="110">
        <f t="shared" si="40"/>
        <v>0.62975699999998369</v>
      </c>
      <c r="S39" s="110">
        <f t="shared" si="40"/>
        <v>18.10985500000001</v>
      </c>
      <c r="T39" s="110">
        <f t="shared" si="40"/>
        <v>0.36914699999999812</v>
      </c>
      <c r="U39" s="110">
        <f t="shared" si="40"/>
        <v>0</v>
      </c>
      <c r="V39" s="110">
        <f t="shared" si="40"/>
        <v>0</v>
      </c>
      <c r="W39" s="110">
        <f t="shared" ref="W39" si="41">SUM(W40:W41)</f>
        <v>0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0</v>
      </c>
      <c r="G40" s="84">
        <v>0</v>
      </c>
      <c r="H40" s="84">
        <v>0</v>
      </c>
      <c r="I40" s="84">
        <v>0</v>
      </c>
      <c r="J40" s="84">
        <v>0</v>
      </c>
      <c r="K40" s="84">
        <v>0</v>
      </c>
      <c r="L40" s="84">
        <v>0</v>
      </c>
      <c r="M40" s="84">
        <v>0</v>
      </c>
      <c r="N40" s="84">
        <v>0</v>
      </c>
      <c r="O40" s="84">
        <v>0</v>
      </c>
      <c r="P40" s="84">
        <v>0</v>
      </c>
      <c r="Q40" s="84">
        <v>0</v>
      </c>
      <c r="R40" s="84">
        <v>0</v>
      </c>
      <c r="S40" s="84">
        <v>0</v>
      </c>
      <c r="T40" s="84">
        <v>0</v>
      </c>
      <c r="U40" s="84">
        <v>0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0</v>
      </c>
      <c r="E41" s="84">
        <v>5.1154759999999868</v>
      </c>
      <c r="F41" s="84">
        <v>3.0226080000000053</v>
      </c>
      <c r="G41" s="84">
        <v>0</v>
      </c>
      <c r="H41" s="84">
        <v>15.070960999999997</v>
      </c>
      <c r="I41" s="84">
        <v>0.35374199999999689</v>
      </c>
      <c r="J41" s="84">
        <v>10.025252000000009</v>
      </c>
      <c r="K41" s="84">
        <v>12.800292999999996</v>
      </c>
      <c r="L41" s="84">
        <v>4.8464600000000075</v>
      </c>
      <c r="M41" s="84">
        <v>5.9316700000000111</v>
      </c>
      <c r="N41" s="84">
        <v>10.330276999999995</v>
      </c>
      <c r="O41" s="84">
        <v>4.9637899999999888</v>
      </c>
      <c r="P41" s="84">
        <v>16.380302999999998</v>
      </c>
      <c r="Q41" s="84">
        <v>48.341120000000018</v>
      </c>
      <c r="R41" s="84">
        <v>0.62975699999998369</v>
      </c>
      <c r="S41" s="84">
        <v>18.10985500000001</v>
      </c>
      <c r="T41" s="84">
        <v>0.36914699999999812</v>
      </c>
      <c r="U41" s="84">
        <v>0</v>
      </c>
      <c r="V41" s="84">
        <v>0</v>
      </c>
      <c r="W41" s="84">
        <v>0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0</v>
      </c>
      <c r="E43" s="28">
        <f t="shared" si="43"/>
        <v>0</v>
      </c>
      <c r="F43" s="28">
        <f t="shared" si="43"/>
        <v>4.6544480000000021</v>
      </c>
      <c r="G43" s="28">
        <f t="shared" si="43"/>
        <v>0</v>
      </c>
      <c r="H43" s="28">
        <f t="shared" si="43"/>
        <v>0</v>
      </c>
      <c r="I43" s="28">
        <f t="shared" si="43"/>
        <v>5.3732300000000066</v>
      </c>
      <c r="J43" s="28">
        <f t="shared" si="43"/>
        <v>0</v>
      </c>
      <c r="K43" s="28">
        <f t="shared" si="43"/>
        <v>0</v>
      </c>
      <c r="L43" s="28">
        <f t="shared" si="43"/>
        <v>12.349362999999997</v>
      </c>
      <c r="M43" s="28">
        <f t="shared" si="43"/>
        <v>2.8727519999999984</v>
      </c>
      <c r="N43" s="28">
        <f t="shared" si="43"/>
        <v>0</v>
      </c>
      <c r="O43" s="28">
        <f t="shared" si="43"/>
        <v>22.318945000000006</v>
      </c>
      <c r="P43" s="28">
        <f t="shared" si="43"/>
        <v>0</v>
      </c>
      <c r="Q43" s="28">
        <f t="shared" si="43"/>
        <v>0</v>
      </c>
      <c r="R43" s="28">
        <f t="shared" si="43"/>
        <v>8.9416000000000011</v>
      </c>
      <c r="S43" s="28">
        <f t="shared" si="43"/>
        <v>0</v>
      </c>
      <c r="T43" s="28">
        <f t="shared" si="43"/>
        <v>8.8369909999999976</v>
      </c>
      <c r="U43" s="28">
        <f t="shared" si="43"/>
        <v>0</v>
      </c>
      <c r="V43" s="28">
        <f t="shared" si="43"/>
        <v>15.942048999999997</v>
      </c>
      <c r="W43" s="28">
        <f t="shared" ref="W43" si="44">SUM(W44:W45)</f>
        <v>15.051534999999994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</v>
      </c>
      <c r="F44" s="84">
        <v>0</v>
      </c>
      <c r="G44" s="84">
        <v>0</v>
      </c>
      <c r="H44" s="84">
        <v>0</v>
      </c>
      <c r="I44" s="84">
        <v>0</v>
      </c>
      <c r="J44" s="84">
        <v>0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0</v>
      </c>
      <c r="F45" s="86">
        <v>4.6544480000000021</v>
      </c>
      <c r="G45" s="86">
        <v>0</v>
      </c>
      <c r="H45" s="86">
        <v>0</v>
      </c>
      <c r="I45" s="86">
        <v>5.3732300000000066</v>
      </c>
      <c r="J45" s="86">
        <v>0</v>
      </c>
      <c r="K45" s="86">
        <v>0</v>
      </c>
      <c r="L45" s="86">
        <v>12.349362999999997</v>
      </c>
      <c r="M45" s="86">
        <v>2.8727519999999984</v>
      </c>
      <c r="N45" s="86">
        <v>0</v>
      </c>
      <c r="O45" s="86">
        <v>22.318945000000006</v>
      </c>
      <c r="P45" s="86">
        <v>0</v>
      </c>
      <c r="Q45" s="86">
        <v>0</v>
      </c>
      <c r="R45" s="86">
        <v>8.9416000000000011</v>
      </c>
      <c r="S45" s="86">
        <v>0</v>
      </c>
      <c r="T45" s="86">
        <v>8.8369909999999976</v>
      </c>
      <c r="U45" s="86">
        <v>0</v>
      </c>
      <c r="V45" s="86">
        <v>15.942048999999997</v>
      </c>
      <c r="W45" s="86">
        <v>15.051534999999994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132.06380771388581</v>
      </c>
      <c r="C50" s="29">
        <f t="shared" si="45"/>
        <v>149.22734503332941</v>
      </c>
      <c r="D50" s="29">
        <f t="shared" si="45"/>
        <v>145.61041996188723</v>
      </c>
      <c r="E50" s="29">
        <f t="shared" si="45"/>
        <v>126.30985119290339</v>
      </c>
      <c r="F50" s="29">
        <f t="shared" si="45"/>
        <v>122.24922632242915</v>
      </c>
      <c r="G50" s="29">
        <f t="shared" si="45"/>
        <v>128.28611682941619</v>
      </c>
      <c r="H50" s="29">
        <f t="shared" si="45"/>
        <v>119.56579908369342</v>
      </c>
      <c r="I50" s="29">
        <f t="shared" si="45"/>
        <v>118.56712411197296</v>
      </c>
      <c r="J50" s="29">
        <f t="shared" si="45"/>
        <v>121.11896613764674</v>
      </c>
      <c r="K50" s="29">
        <f t="shared" ref="K50:V50" si="46">IF(K4=0,0,K4/K15)</f>
        <v>113.96658235382944</v>
      </c>
      <c r="L50" s="29">
        <f t="shared" si="46"/>
        <v>115.10867873459108</v>
      </c>
      <c r="M50" s="29">
        <f t="shared" si="46"/>
        <v>118.39187230685107</v>
      </c>
      <c r="N50" s="29">
        <f t="shared" si="46"/>
        <v>114.76106256586834</v>
      </c>
      <c r="O50" s="29">
        <f t="shared" si="46"/>
        <v>115.04192436600138</v>
      </c>
      <c r="P50" s="29">
        <f t="shared" si="46"/>
        <v>110.58478388139538</v>
      </c>
      <c r="Q50" s="29">
        <f t="shared" si="46"/>
        <v>113.78634293922147</v>
      </c>
      <c r="R50" s="29">
        <f t="shared" si="46"/>
        <v>117.06027500764795</v>
      </c>
      <c r="S50" s="29">
        <f t="shared" si="46"/>
        <v>117.8585321687773</v>
      </c>
      <c r="T50" s="29">
        <f t="shared" si="46"/>
        <v>120.47613501009927</v>
      </c>
      <c r="U50" s="29">
        <f t="shared" si="46"/>
        <v>136.57053476516904</v>
      </c>
      <c r="V50" s="29">
        <f t="shared" si="46"/>
        <v>87.424129429292776</v>
      </c>
      <c r="W50" s="29">
        <f t="shared" ref="W50" si="47">IF(W4=0,0,W4/W15)</f>
        <v>75.19589514725314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78.447120858481284</v>
      </c>
      <c r="C51" s="115">
        <f t="shared" si="48"/>
        <v>78.49717790100172</v>
      </c>
      <c r="D51" s="115">
        <f t="shared" si="48"/>
        <v>77.208762171856691</v>
      </c>
      <c r="E51" s="115">
        <f t="shared" si="48"/>
        <v>77.316077950077855</v>
      </c>
      <c r="F51" s="115">
        <f t="shared" si="48"/>
        <v>76.222208895488222</v>
      </c>
      <c r="G51" s="115">
        <f t="shared" si="48"/>
        <v>75.772948004866123</v>
      </c>
      <c r="H51" s="115">
        <f t="shared" si="48"/>
        <v>76.07866783418217</v>
      </c>
      <c r="I51" s="115">
        <f t="shared" si="48"/>
        <v>73.422341022627577</v>
      </c>
      <c r="J51" s="115">
        <f t="shared" si="48"/>
        <v>76.744337162659363</v>
      </c>
      <c r="K51" s="115">
        <f t="shared" ref="K51:V51" si="49">IF(K5=0,0,K5/K16)</f>
        <v>76.552159540541197</v>
      </c>
      <c r="L51" s="115">
        <f t="shared" si="49"/>
        <v>76.689264139523445</v>
      </c>
      <c r="M51" s="115">
        <f t="shared" si="49"/>
        <v>78.231794641908593</v>
      </c>
      <c r="N51" s="115">
        <f t="shared" si="49"/>
        <v>78.043729243521298</v>
      </c>
      <c r="O51" s="115">
        <f t="shared" si="49"/>
        <v>78.197219604613835</v>
      </c>
      <c r="P51" s="115">
        <f t="shared" si="49"/>
        <v>78.726760499931189</v>
      </c>
      <c r="Q51" s="115">
        <f t="shared" si="49"/>
        <v>82.914553960903504</v>
      </c>
      <c r="R51" s="115">
        <f t="shared" si="49"/>
        <v>83.746672737099729</v>
      </c>
      <c r="S51" s="115">
        <f t="shared" si="49"/>
        <v>85.653838935101263</v>
      </c>
      <c r="T51" s="115">
        <f t="shared" si="49"/>
        <v>84.581003701290342</v>
      </c>
      <c r="U51" s="115">
        <f t="shared" si="49"/>
        <v>84.38185436919494</v>
      </c>
      <c r="V51" s="115">
        <f t="shared" si="49"/>
        <v>51.60635209243673</v>
      </c>
      <c r="W51" s="115">
        <f t="shared" ref="W51" si="50">IF(W5=0,0,W5/W16)</f>
        <v>43.903954394573532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144.07233374702446</v>
      </c>
      <c r="C52" s="116">
        <f t="shared" si="51"/>
        <v>168.57962693111367</v>
      </c>
      <c r="D52" s="116">
        <f t="shared" si="51"/>
        <v>165.15226067126355</v>
      </c>
      <c r="E52" s="116">
        <f t="shared" si="51"/>
        <v>140.40926202524892</v>
      </c>
      <c r="F52" s="116">
        <f t="shared" si="51"/>
        <v>135.55785599448416</v>
      </c>
      <c r="G52" s="116">
        <f t="shared" si="51"/>
        <v>146.22299996601498</v>
      </c>
      <c r="H52" s="116">
        <f t="shared" si="51"/>
        <v>132.746964074386</v>
      </c>
      <c r="I52" s="116">
        <f t="shared" si="51"/>
        <v>133.5460787474839</v>
      </c>
      <c r="J52" s="116">
        <f t="shared" si="51"/>
        <v>133.46371325879034</v>
      </c>
      <c r="K52" s="116">
        <f t="shared" ref="K52:V52" si="52">IF(K6=0,0,K6/K17)</f>
        <v>121.64862491456265</v>
      </c>
      <c r="L52" s="116">
        <f t="shared" si="52"/>
        <v>122.65144773789716</v>
      </c>
      <c r="M52" s="116">
        <f t="shared" si="52"/>
        <v>126.59339931183897</v>
      </c>
      <c r="N52" s="116">
        <f t="shared" si="52"/>
        <v>121.48902322860802</v>
      </c>
      <c r="O52" s="116">
        <f t="shared" si="52"/>
        <v>121.38034221779382</v>
      </c>
      <c r="P52" s="116">
        <f t="shared" si="52"/>
        <v>115.22176243794348</v>
      </c>
      <c r="Q52" s="116">
        <f t="shared" si="52"/>
        <v>116.98908865201014</v>
      </c>
      <c r="R52" s="116">
        <f t="shared" si="52"/>
        <v>121.22989492492884</v>
      </c>
      <c r="S52" s="116">
        <f t="shared" si="52"/>
        <v>121.31976217127043</v>
      </c>
      <c r="T52" s="116">
        <f t="shared" si="52"/>
        <v>124.38434903460009</v>
      </c>
      <c r="U52" s="116">
        <f t="shared" si="52"/>
        <v>142.78385371671337</v>
      </c>
      <c r="V52" s="116">
        <f t="shared" si="52"/>
        <v>92.491880088230488</v>
      </c>
      <c r="W52" s="116">
        <f t="shared" ref="W52" si="53">IF(W6=0,0,W6/W17)</f>
        <v>79.358201739061954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0</v>
      </c>
      <c r="C53" s="87">
        <f t="shared" si="54"/>
        <v>0</v>
      </c>
      <c r="D53" s="87">
        <f t="shared" si="54"/>
        <v>0</v>
      </c>
      <c r="E53" s="87">
        <f t="shared" si="54"/>
        <v>0</v>
      </c>
      <c r="F53" s="87">
        <f t="shared" si="54"/>
        <v>0</v>
      </c>
      <c r="G53" s="87">
        <f t="shared" si="54"/>
        <v>0</v>
      </c>
      <c r="H53" s="87">
        <f t="shared" si="54"/>
        <v>0</v>
      </c>
      <c r="I53" s="87">
        <f t="shared" si="54"/>
        <v>0</v>
      </c>
      <c r="J53" s="87">
        <f t="shared" si="54"/>
        <v>0</v>
      </c>
      <c r="K53" s="87">
        <f t="shared" ref="K53:V53" si="55">IF(K7=0,0,K7/K18)</f>
        <v>0</v>
      </c>
      <c r="L53" s="87">
        <f t="shared" si="55"/>
        <v>0</v>
      </c>
      <c r="M53" s="87">
        <f t="shared" si="55"/>
        <v>0</v>
      </c>
      <c r="N53" s="87">
        <f t="shared" si="55"/>
        <v>0</v>
      </c>
      <c r="O53" s="87">
        <f t="shared" si="55"/>
        <v>0</v>
      </c>
      <c r="P53" s="87">
        <f t="shared" si="55"/>
        <v>0</v>
      </c>
      <c r="Q53" s="87">
        <f t="shared" si="55"/>
        <v>0</v>
      </c>
      <c r="R53" s="87">
        <f t="shared" si="55"/>
        <v>0</v>
      </c>
      <c r="S53" s="87">
        <f t="shared" si="55"/>
        <v>0</v>
      </c>
      <c r="T53" s="87">
        <f t="shared" si="55"/>
        <v>0</v>
      </c>
      <c r="U53" s="87">
        <f t="shared" si="55"/>
        <v>0</v>
      </c>
      <c r="V53" s="87">
        <f t="shared" si="55"/>
        <v>0</v>
      </c>
      <c r="W53" s="87">
        <f t="shared" ref="W53" si="56">IF(W7=0,0,W7/W18)</f>
        <v>0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144.07233374702446</v>
      </c>
      <c r="C54" s="87">
        <f t="shared" si="57"/>
        <v>168.57962693111367</v>
      </c>
      <c r="D54" s="87">
        <f t="shared" si="57"/>
        <v>165.15226067126355</v>
      </c>
      <c r="E54" s="87">
        <f t="shared" si="57"/>
        <v>140.40926202524892</v>
      </c>
      <c r="F54" s="87">
        <f t="shared" si="57"/>
        <v>135.55785599448416</v>
      </c>
      <c r="G54" s="87">
        <f t="shared" si="57"/>
        <v>146.22299996601498</v>
      </c>
      <c r="H54" s="87">
        <f t="shared" si="57"/>
        <v>132.746964074386</v>
      </c>
      <c r="I54" s="87">
        <f t="shared" si="57"/>
        <v>133.5460787474839</v>
      </c>
      <c r="J54" s="87">
        <f t="shared" si="57"/>
        <v>133.46371325879034</v>
      </c>
      <c r="K54" s="87">
        <f t="shared" ref="K54:V54" si="58">IF(K8=0,0,K8/K19)</f>
        <v>121.64862491456265</v>
      </c>
      <c r="L54" s="87">
        <f t="shared" si="58"/>
        <v>122.65144773789716</v>
      </c>
      <c r="M54" s="87">
        <f t="shared" si="58"/>
        <v>126.59339931183897</v>
      </c>
      <c r="N54" s="87">
        <f t="shared" si="58"/>
        <v>121.48902322860802</v>
      </c>
      <c r="O54" s="87">
        <f t="shared" si="58"/>
        <v>121.38034221779382</v>
      </c>
      <c r="P54" s="87">
        <f t="shared" si="58"/>
        <v>115.22176243794348</v>
      </c>
      <c r="Q54" s="87">
        <f t="shared" si="58"/>
        <v>116.98908865201014</v>
      </c>
      <c r="R54" s="87">
        <f t="shared" si="58"/>
        <v>121.22989492492884</v>
      </c>
      <c r="S54" s="87">
        <f t="shared" si="58"/>
        <v>121.31976217127043</v>
      </c>
      <c r="T54" s="87">
        <f t="shared" si="58"/>
        <v>124.38434903460009</v>
      </c>
      <c r="U54" s="87">
        <f t="shared" si="58"/>
        <v>142.78385371671337</v>
      </c>
      <c r="V54" s="87">
        <f t="shared" si="58"/>
        <v>92.491880088230488</v>
      </c>
      <c r="W54" s="87">
        <f t="shared" ref="W54" si="59">IF(W8=0,0,W8/W19)</f>
        <v>79.358201739061954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467.3551020202064</v>
      </c>
      <c r="C56" s="29">
        <f t="shared" si="63"/>
        <v>621.44870735631378</v>
      </c>
      <c r="D56" s="29">
        <f t="shared" si="63"/>
        <v>623.94491524425086</v>
      </c>
      <c r="E56" s="29">
        <f t="shared" si="63"/>
        <v>585.95614627867644</v>
      </c>
      <c r="F56" s="29">
        <f t="shared" si="63"/>
        <v>555.39009911913593</v>
      </c>
      <c r="G56" s="29">
        <f t="shared" si="63"/>
        <v>736.45353702518184</v>
      </c>
      <c r="H56" s="29">
        <f t="shared" si="63"/>
        <v>718.30383579961654</v>
      </c>
      <c r="I56" s="29">
        <f t="shared" si="63"/>
        <v>676.57568168789487</v>
      </c>
      <c r="J56" s="29">
        <f t="shared" si="63"/>
        <v>749.35053068480511</v>
      </c>
      <c r="K56" s="29">
        <f t="shared" ref="K56:V56" si="64">IF(K10=0,0,K10/K21)</f>
        <v>767.00257391191587</v>
      </c>
      <c r="L56" s="29">
        <f t="shared" si="64"/>
        <v>689.51131222144511</v>
      </c>
      <c r="M56" s="29">
        <f t="shared" si="64"/>
        <v>685.72248678443827</v>
      </c>
      <c r="N56" s="29">
        <f t="shared" si="64"/>
        <v>744.44122806862572</v>
      </c>
      <c r="O56" s="29">
        <f t="shared" si="64"/>
        <v>609.34137875879401</v>
      </c>
      <c r="P56" s="29">
        <f t="shared" si="64"/>
        <v>717.35304042319797</v>
      </c>
      <c r="Q56" s="29">
        <f t="shared" si="64"/>
        <v>846.31369229677034</v>
      </c>
      <c r="R56" s="29">
        <f t="shared" si="64"/>
        <v>758.23856580941924</v>
      </c>
      <c r="S56" s="29">
        <f t="shared" si="64"/>
        <v>947.23638554449474</v>
      </c>
      <c r="T56" s="29">
        <f t="shared" si="64"/>
        <v>837.67426705213632</v>
      </c>
      <c r="U56" s="29">
        <f t="shared" si="64"/>
        <v>958.38300613883973</v>
      </c>
      <c r="V56" s="29">
        <f t="shared" si="64"/>
        <v>630.60472263814779</v>
      </c>
      <c r="W56" s="29">
        <f t="shared" ref="W56" si="65">IF(W10=0,0,W10/W21)</f>
        <v>618.40194644077008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0</v>
      </c>
      <c r="C57" s="87">
        <f t="shared" si="66"/>
        <v>0</v>
      </c>
      <c r="D57" s="87">
        <f t="shared" si="66"/>
        <v>0</v>
      </c>
      <c r="E57" s="87">
        <f t="shared" si="66"/>
        <v>0</v>
      </c>
      <c r="F57" s="87">
        <f t="shared" si="66"/>
        <v>0</v>
      </c>
      <c r="G57" s="87">
        <f t="shared" si="66"/>
        <v>0</v>
      </c>
      <c r="H57" s="87">
        <f t="shared" si="66"/>
        <v>0</v>
      </c>
      <c r="I57" s="87">
        <f t="shared" si="66"/>
        <v>0</v>
      </c>
      <c r="J57" s="87">
        <f t="shared" si="66"/>
        <v>0</v>
      </c>
      <c r="K57" s="87">
        <f t="shared" ref="K57:V57" si="67">IF(K11=0,0,K11/K22)</f>
        <v>0</v>
      </c>
      <c r="L57" s="87">
        <f t="shared" si="67"/>
        <v>0</v>
      </c>
      <c r="M57" s="87">
        <f t="shared" si="67"/>
        <v>0</v>
      </c>
      <c r="N57" s="87">
        <f t="shared" si="67"/>
        <v>0</v>
      </c>
      <c r="O57" s="87">
        <f t="shared" si="67"/>
        <v>0</v>
      </c>
      <c r="P57" s="87">
        <f t="shared" si="67"/>
        <v>0</v>
      </c>
      <c r="Q57" s="87">
        <f t="shared" si="67"/>
        <v>0</v>
      </c>
      <c r="R57" s="87">
        <f t="shared" si="67"/>
        <v>0</v>
      </c>
      <c r="S57" s="87">
        <f t="shared" si="67"/>
        <v>0</v>
      </c>
      <c r="T57" s="87">
        <f t="shared" si="67"/>
        <v>0</v>
      </c>
      <c r="U57" s="87">
        <f t="shared" si="67"/>
        <v>0</v>
      </c>
      <c r="V57" s="87">
        <f t="shared" si="67"/>
        <v>0</v>
      </c>
      <c r="W57" s="87">
        <f t="shared" ref="W57" si="68">IF(W11=0,0,W11/W22)</f>
        <v>0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467.3551020202064</v>
      </c>
      <c r="C58" s="88">
        <f t="shared" si="69"/>
        <v>621.44870735631378</v>
      </c>
      <c r="D58" s="88">
        <f t="shared" si="69"/>
        <v>623.94491524425086</v>
      </c>
      <c r="E58" s="88">
        <f t="shared" si="69"/>
        <v>585.95614627867644</v>
      </c>
      <c r="F58" s="88">
        <f t="shared" si="69"/>
        <v>555.39009911913593</v>
      </c>
      <c r="G58" s="88">
        <f t="shared" si="69"/>
        <v>736.45353702518184</v>
      </c>
      <c r="H58" s="88">
        <f t="shared" si="69"/>
        <v>718.30383579961654</v>
      </c>
      <c r="I58" s="88">
        <f t="shared" si="69"/>
        <v>676.57568168789487</v>
      </c>
      <c r="J58" s="88">
        <f t="shared" si="69"/>
        <v>749.35053068480511</v>
      </c>
      <c r="K58" s="88">
        <f t="shared" ref="K58:V58" si="70">IF(K12=0,0,K12/K23)</f>
        <v>767.00257391191587</v>
      </c>
      <c r="L58" s="88">
        <f t="shared" si="70"/>
        <v>689.51131222144511</v>
      </c>
      <c r="M58" s="88">
        <f t="shared" si="70"/>
        <v>685.72248678443827</v>
      </c>
      <c r="N58" s="88">
        <f t="shared" si="70"/>
        <v>744.44122806862572</v>
      </c>
      <c r="O58" s="88">
        <f t="shared" si="70"/>
        <v>609.34137875879401</v>
      </c>
      <c r="P58" s="88">
        <f t="shared" si="70"/>
        <v>717.35304042319797</v>
      </c>
      <c r="Q58" s="88">
        <f t="shared" si="70"/>
        <v>846.31369229677034</v>
      </c>
      <c r="R58" s="88">
        <f t="shared" si="70"/>
        <v>758.23856580941924</v>
      </c>
      <c r="S58" s="88">
        <f t="shared" si="70"/>
        <v>947.23638554449474</v>
      </c>
      <c r="T58" s="88">
        <f t="shared" si="70"/>
        <v>837.67426705213632</v>
      </c>
      <c r="U58" s="88">
        <f t="shared" si="70"/>
        <v>958.38300613883973</v>
      </c>
      <c r="V58" s="88">
        <f t="shared" si="70"/>
        <v>630.60472263814779</v>
      </c>
      <c r="W58" s="88">
        <f t="shared" ref="W58" si="71">IF(W12=0,0,W12/W23)</f>
        <v>618.40194644077008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338.71673861781181</v>
      </c>
      <c r="C61" s="29">
        <f t="shared" ref="C61" si="73">IF(C26=0,0,(C62*C27+C64*C29+C65*C30+C66*C31)/(C27+C29+C30+C31))</f>
        <v>340.57638595686984</v>
      </c>
      <c r="D61" s="29">
        <f t="shared" ref="D61" si="74">IF(D26=0,0,(D62*D27+D64*D29+D65*D30+D66*D31)/(D27+D29+D30+D31))</f>
        <v>342.4286759335746</v>
      </c>
      <c r="E61" s="29">
        <f t="shared" ref="E61" si="75">IF(E26=0,0,(E62*E27+E64*E29+E65*E30+E66*E31)/(E27+E29+E30+E31))</f>
        <v>342.54635141294438</v>
      </c>
      <c r="F61" s="29">
        <f t="shared" ref="F61" si="76">IF(F26=0,0,(F62*F27+F64*F29+F65*F30+F66*F31)/(F27+F29+F30+F31))</f>
        <v>342.62325105049177</v>
      </c>
      <c r="G61" s="29">
        <f t="shared" ref="G61" si="77">IF(G26=0,0,(G62*G27+G64*G29+G65*G30+G66*G31)/(G27+G29+G30+G31))</f>
        <v>345.42141025802886</v>
      </c>
      <c r="H61" s="29">
        <f t="shared" ref="H61" si="78">IF(H26=0,0,(H62*H27+H64*H29+H65*H30+H66*H31)/(H27+H29+H30+H31))</f>
        <v>343.39589042409278</v>
      </c>
      <c r="I61" s="29">
        <f t="shared" ref="I61" si="79">IF(I26=0,0,(I62*I27+I64*I29+I65*I30+I66*I31)/(I27+I29+I30+I31))</f>
        <v>344.92072715306676</v>
      </c>
      <c r="J61" s="29">
        <f t="shared" ref="J61" si="80">IF(J26=0,0,(J62*J27+J64*J29+J65*J30+J66*J31)/(J27+J29+J30+J31))</f>
        <v>342.4877621386413</v>
      </c>
      <c r="K61" s="29">
        <f t="shared" ref="K61" si="81">IF(K26=0,0,(K62*K27+K64*K29+K65*K30+K66*K31)/(K27+K29+K30+K31))</f>
        <v>339.79261365202768</v>
      </c>
      <c r="L61" s="29">
        <f t="shared" ref="L61" si="82">IF(L26=0,0,(L62*L27+L64*L29+L65*L30+L66*L31)/(L27+L29+L30+L31))</f>
        <v>338.11275455862312</v>
      </c>
      <c r="M61" s="29">
        <f t="shared" ref="M61" si="83">IF(M26=0,0,(M62*M27+M64*M29+M65*M30+M66*M31)/(M27+M29+M30+M31))</f>
        <v>337.42584171408765</v>
      </c>
      <c r="N61" s="29">
        <f t="shared" ref="N61" si="84">IF(N26=0,0,(N62*N27+N64*N29+N65*N30+N66*N31)/(N27+N29+N30+N31))</f>
        <v>335.99324824899935</v>
      </c>
      <c r="O61" s="29">
        <f t="shared" ref="O61" si="85">IF(O26=0,0,(O62*O27+O64*O29+O65*O30+O66*O31)/(O27+O29+O30+O31))</f>
        <v>335.20101456969184</v>
      </c>
      <c r="P61" s="29">
        <f t="shared" ref="P61" si="86">IF(P26=0,0,(P62*P27+P64*P29+P65*P30+P66*P31)/(P27+P29+P30+P31))</f>
        <v>333.24873320080121</v>
      </c>
      <c r="Q61" s="29">
        <f t="shared" ref="Q61" si="87">IF(Q26=0,0,(Q62*Q27+Q64*Q29+Q65*Q30+Q66*Q31)/(Q27+Q29+Q30+Q31))</f>
        <v>329.91483202770286</v>
      </c>
      <c r="R61" s="29">
        <f t="shared" ref="R61" si="88">IF(R26=0,0,(R62*R27+R64*R29+R65*R30+R66*R31)/(R27+R29+R30+R31))</f>
        <v>331.66343773768386</v>
      </c>
      <c r="S61" s="29">
        <f t="shared" ref="S61" si="89">IF(S26=0,0,(S62*S27+S64*S29+S65*S30+S66*S31)/(S27+S29+S30+S31))</f>
        <v>330.22595282248994</v>
      </c>
      <c r="T61" s="29">
        <f t="shared" ref="T61" si="90">IF(T26=0,0,(T62*T27+T64*T29+T65*T30+T66*T31)/(T27+T29+T30+T31))</f>
        <v>330.34216253082013</v>
      </c>
      <c r="U61" s="29">
        <f t="shared" ref="U61" si="91">IF(U26=0,0,(U62*U27+U64*U29+U65*U30+U66*U31)/(U27+U29+U30+U31))</f>
        <v>330.90931515316549</v>
      </c>
      <c r="V61" s="29">
        <f t="shared" ref="V61" si="92">IF(V26=0,0,(V62*V27+V64*V29+V65*V30+V66*V31)/(V27+V29+V30+V31))</f>
        <v>331.50035930221759</v>
      </c>
      <c r="W61" s="29">
        <f t="shared" ref="W61" si="93">IF(W26=0,0,(W62*W27+W64*W29+W65*W30+W66*W31)/(W27+W29+W30+W31))</f>
        <v>332.28284205400985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320.00000000000006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0</v>
      </c>
      <c r="C64" s="87">
        <v>0</v>
      </c>
      <c r="D64" s="87">
        <v>0</v>
      </c>
      <c r="E64" s="87">
        <v>0</v>
      </c>
      <c r="F64" s="87">
        <v>0</v>
      </c>
      <c r="G64" s="87">
        <v>0</v>
      </c>
      <c r="H64" s="87">
        <v>0</v>
      </c>
      <c r="I64" s="87">
        <v>0</v>
      </c>
      <c r="J64" s="87">
        <v>0</v>
      </c>
      <c r="K64" s="87">
        <v>0</v>
      </c>
      <c r="L64" s="87">
        <v>0</v>
      </c>
      <c r="M64" s="87">
        <v>0</v>
      </c>
      <c r="N64" s="87">
        <v>0</v>
      </c>
      <c r="O64" s="87">
        <v>0</v>
      </c>
      <c r="P64" s="87">
        <v>0</v>
      </c>
      <c r="Q64" s="87">
        <v>0</v>
      </c>
      <c r="R64" s="87">
        <v>0</v>
      </c>
      <c r="S64" s="87">
        <v>0</v>
      </c>
      <c r="T64" s="87">
        <v>0</v>
      </c>
      <c r="U64" s="87">
        <v>0</v>
      </c>
      <c r="V64" s="87">
        <v>0</v>
      </c>
      <c r="W64" s="87">
        <v>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0</v>
      </c>
      <c r="C68" s="87">
        <v>0</v>
      </c>
      <c r="D68" s="87">
        <v>0</v>
      </c>
      <c r="E68" s="87">
        <v>0</v>
      </c>
      <c r="F68" s="87">
        <v>0</v>
      </c>
      <c r="G68" s="87">
        <v>0</v>
      </c>
      <c r="H68" s="87">
        <v>0</v>
      </c>
      <c r="I68" s="87">
        <v>0</v>
      </c>
      <c r="J68" s="87">
        <v>0</v>
      </c>
      <c r="K68" s="87">
        <v>0</v>
      </c>
      <c r="L68" s="87">
        <v>0</v>
      </c>
      <c r="M68" s="87">
        <v>0</v>
      </c>
      <c r="N68" s="87">
        <v>0</v>
      </c>
      <c r="O68" s="87">
        <v>0</v>
      </c>
      <c r="P68" s="87">
        <v>0</v>
      </c>
      <c r="Q68" s="87">
        <v>0</v>
      </c>
      <c r="R68" s="87">
        <v>0</v>
      </c>
      <c r="S68" s="87">
        <v>0</v>
      </c>
      <c r="T68" s="87">
        <v>0</v>
      </c>
      <c r="U68" s="87">
        <v>0</v>
      </c>
      <c r="V68" s="87">
        <v>0</v>
      </c>
      <c r="W68" s="87">
        <v>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0.38989454212624225</v>
      </c>
      <c r="C72" s="30">
        <f t="shared" ref="C72:J72" si="138">IF(C50=0,0,C50/C61)</f>
        <v>0.43816116203730981</v>
      </c>
      <c r="D72" s="30">
        <f t="shared" si="138"/>
        <v>0.42522846419011123</v>
      </c>
      <c r="E72" s="30">
        <f t="shared" si="138"/>
        <v>0.36873798442720856</v>
      </c>
      <c r="F72" s="30">
        <f t="shared" si="138"/>
        <v>0.35680364933672731</v>
      </c>
      <c r="G72" s="30">
        <f t="shared" si="138"/>
        <v>0.37139017159818438</v>
      </c>
      <c r="H72" s="30">
        <f t="shared" si="138"/>
        <v>0.34818645888868982</v>
      </c>
      <c r="I72" s="30">
        <f t="shared" si="138"/>
        <v>0.34375180955523144</v>
      </c>
      <c r="J72" s="30">
        <f t="shared" si="138"/>
        <v>0.35364465399092709</v>
      </c>
      <c r="K72" s="30">
        <f t="shared" ref="K72:V72" si="139">IF(K50=0,0,K50/K61)</f>
        <v>0.33540041123595316</v>
      </c>
      <c r="L72" s="30">
        <f t="shared" si="139"/>
        <v>0.340444651030262</v>
      </c>
      <c r="M72" s="30">
        <f t="shared" si="139"/>
        <v>0.35086782833654012</v>
      </c>
      <c r="N72" s="30">
        <f t="shared" si="139"/>
        <v>0.34155764487511581</v>
      </c>
      <c r="O72" s="30">
        <f t="shared" si="139"/>
        <v>0.34320279284859667</v>
      </c>
      <c r="P72" s="30">
        <f t="shared" si="139"/>
        <v>0.33183857240580056</v>
      </c>
      <c r="Q72" s="30">
        <f t="shared" si="139"/>
        <v>0.34489611224774175</v>
      </c>
      <c r="R72" s="30">
        <f t="shared" si="139"/>
        <v>0.35294898890914878</v>
      </c>
      <c r="S72" s="30">
        <f t="shared" si="139"/>
        <v>0.35690269393251206</v>
      </c>
      <c r="T72" s="30">
        <f t="shared" si="139"/>
        <v>0.36470105446760565</v>
      </c>
      <c r="U72" s="30">
        <f t="shared" si="139"/>
        <v>0.41271287483084501</v>
      </c>
      <c r="V72" s="30">
        <f t="shared" si="139"/>
        <v>0.26372257819965489</v>
      </c>
      <c r="W72" s="30">
        <f t="shared" ref="W72" si="140">IF(W50=0,0,W50/W61)</f>
        <v>0.22630086670268296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0.19611780214620322</v>
      </c>
      <c r="C73" s="118">
        <f t="shared" si="141"/>
        <v>0.19624294475250431</v>
      </c>
      <c r="D73" s="118">
        <f t="shared" si="141"/>
        <v>0.19302190542964173</v>
      </c>
      <c r="E73" s="118">
        <f t="shared" si="141"/>
        <v>0.19329019487519464</v>
      </c>
      <c r="F73" s="118">
        <f t="shared" si="141"/>
        <v>0.19055552223872055</v>
      </c>
      <c r="G73" s="118">
        <f t="shared" si="141"/>
        <v>0.18943237001216531</v>
      </c>
      <c r="H73" s="118">
        <f t="shared" si="141"/>
        <v>0.19019666958545542</v>
      </c>
      <c r="I73" s="118">
        <f t="shared" si="141"/>
        <v>0.18355585255656895</v>
      </c>
      <c r="J73" s="118">
        <f t="shared" si="141"/>
        <v>0.1918608429066484</v>
      </c>
      <c r="K73" s="118">
        <f t="shared" ref="K73:V73" si="142">IF(K51=0,0,K51/K62)</f>
        <v>0.191380398851353</v>
      </c>
      <c r="L73" s="118">
        <f t="shared" si="142"/>
        <v>0.19172316034880862</v>
      </c>
      <c r="M73" s="118">
        <f t="shared" si="142"/>
        <v>0.19557948660477148</v>
      </c>
      <c r="N73" s="118">
        <f t="shared" si="142"/>
        <v>0.19510932310880325</v>
      </c>
      <c r="O73" s="118">
        <f t="shared" si="142"/>
        <v>0.19549304901153458</v>
      </c>
      <c r="P73" s="118">
        <f t="shared" si="142"/>
        <v>0.19681690124982798</v>
      </c>
      <c r="Q73" s="118">
        <f t="shared" si="142"/>
        <v>0.20728638490225876</v>
      </c>
      <c r="R73" s="118">
        <f t="shared" si="142"/>
        <v>0.20936668184274931</v>
      </c>
      <c r="S73" s="118">
        <f t="shared" si="142"/>
        <v>0.21413459733775317</v>
      </c>
      <c r="T73" s="118">
        <f t="shared" si="142"/>
        <v>0.21145250925322587</v>
      </c>
      <c r="U73" s="118">
        <f t="shared" si="142"/>
        <v>0.21095463592298735</v>
      </c>
      <c r="V73" s="118">
        <f t="shared" si="142"/>
        <v>0.12901588023109181</v>
      </c>
      <c r="W73" s="118">
        <f t="shared" ref="W73" si="143">IF(W51=0,0,W51/W62)</f>
        <v>0.10975988598643382</v>
      </c>
      <c r="DA73" s="203"/>
    </row>
    <row r="74" spans="1:105" ht="11.45" customHeight="1" x14ac:dyDescent="0.25">
      <c r="A74" s="109" t="s">
        <v>24</v>
      </c>
      <c r="B74" s="119">
        <f t="shared" si="141"/>
        <v>0.45022604295945146</v>
      </c>
      <c r="C74" s="119">
        <f t="shared" si="141"/>
        <v>0.52681133415973025</v>
      </c>
      <c r="D74" s="119">
        <f t="shared" si="141"/>
        <v>0.51610081459769863</v>
      </c>
      <c r="E74" s="119">
        <f t="shared" si="141"/>
        <v>0.43877894382890287</v>
      </c>
      <c r="F74" s="119">
        <f t="shared" si="141"/>
        <v>0.42361829998276301</v>
      </c>
      <c r="G74" s="119">
        <f t="shared" si="141"/>
        <v>0.45694687489379682</v>
      </c>
      <c r="H74" s="119">
        <f t="shared" si="141"/>
        <v>0.41483426273245627</v>
      </c>
      <c r="I74" s="119">
        <f t="shared" si="141"/>
        <v>0.41733149608588721</v>
      </c>
      <c r="J74" s="119">
        <f t="shared" si="141"/>
        <v>0.4170741039337198</v>
      </c>
      <c r="K74" s="119">
        <f t="shared" ref="K74:V74" si="144">IF(K52=0,0,K52/K63)</f>
        <v>0.38015195285800818</v>
      </c>
      <c r="L74" s="119">
        <f t="shared" si="144"/>
        <v>0.38328577418092863</v>
      </c>
      <c r="M74" s="119">
        <f t="shared" si="144"/>
        <v>0.39560437284949679</v>
      </c>
      <c r="N74" s="119">
        <f t="shared" si="144"/>
        <v>0.37965319758940008</v>
      </c>
      <c r="O74" s="119">
        <f t="shared" si="144"/>
        <v>0.37931356943060568</v>
      </c>
      <c r="P74" s="119">
        <f t="shared" si="144"/>
        <v>0.36006800761857338</v>
      </c>
      <c r="Q74" s="119">
        <f t="shared" si="144"/>
        <v>0.3655909020375317</v>
      </c>
      <c r="R74" s="119">
        <f t="shared" si="144"/>
        <v>0.37884342164040263</v>
      </c>
      <c r="S74" s="119">
        <f t="shared" si="144"/>
        <v>0.3791242567852201</v>
      </c>
      <c r="T74" s="119">
        <f t="shared" si="144"/>
        <v>0.38870109073312531</v>
      </c>
      <c r="U74" s="119">
        <f t="shared" si="144"/>
        <v>0.44619954286472929</v>
      </c>
      <c r="V74" s="119">
        <f t="shared" si="144"/>
        <v>0.28903712527572029</v>
      </c>
      <c r="W74" s="119">
        <f t="shared" ref="W74" si="145">IF(W52=0,0,W52/W63)</f>
        <v>0.24799438043456862</v>
      </c>
      <c r="DA74" s="176"/>
    </row>
    <row r="75" spans="1:105" ht="11.45" customHeight="1" x14ac:dyDescent="0.25">
      <c r="A75" s="111" t="s">
        <v>92</v>
      </c>
      <c r="B75" s="120">
        <f t="shared" si="141"/>
        <v>0</v>
      </c>
      <c r="C75" s="120">
        <f t="shared" si="141"/>
        <v>0</v>
      </c>
      <c r="D75" s="120">
        <f t="shared" si="141"/>
        <v>0</v>
      </c>
      <c r="E75" s="120">
        <f t="shared" si="141"/>
        <v>0</v>
      </c>
      <c r="F75" s="120">
        <f t="shared" si="141"/>
        <v>0</v>
      </c>
      <c r="G75" s="120">
        <f t="shared" si="141"/>
        <v>0</v>
      </c>
      <c r="H75" s="120">
        <f t="shared" si="141"/>
        <v>0</v>
      </c>
      <c r="I75" s="120">
        <f t="shared" si="141"/>
        <v>0</v>
      </c>
      <c r="J75" s="120">
        <f t="shared" si="141"/>
        <v>0</v>
      </c>
      <c r="K75" s="120">
        <f t="shared" ref="K75:V75" si="146">IF(K53=0,0,K53/K64)</f>
        <v>0</v>
      </c>
      <c r="L75" s="120">
        <f t="shared" si="146"/>
        <v>0</v>
      </c>
      <c r="M75" s="120">
        <f t="shared" si="146"/>
        <v>0</v>
      </c>
      <c r="N75" s="120">
        <f t="shared" si="146"/>
        <v>0</v>
      </c>
      <c r="O75" s="120">
        <f t="shared" si="146"/>
        <v>0</v>
      </c>
      <c r="P75" s="120">
        <f t="shared" si="146"/>
        <v>0</v>
      </c>
      <c r="Q75" s="120">
        <f t="shared" si="146"/>
        <v>0</v>
      </c>
      <c r="R75" s="120">
        <f t="shared" si="146"/>
        <v>0</v>
      </c>
      <c r="S75" s="120">
        <f t="shared" si="146"/>
        <v>0</v>
      </c>
      <c r="T75" s="120">
        <f t="shared" si="146"/>
        <v>0</v>
      </c>
      <c r="U75" s="120">
        <f t="shared" si="146"/>
        <v>0</v>
      </c>
      <c r="V75" s="120">
        <f t="shared" si="146"/>
        <v>0</v>
      </c>
      <c r="W75" s="120">
        <f t="shared" ref="W75" si="147">IF(W53=0,0,W53/W64)</f>
        <v>0</v>
      </c>
      <c r="DA75" s="171"/>
    </row>
    <row r="76" spans="1:105" ht="11.45" customHeight="1" x14ac:dyDescent="0.25">
      <c r="A76" s="111" t="s">
        <v>93</v>
      </c>
      <c r="B76" s="120">
        <f t="shared" si="141"/>
        <v>0.45022604295945146</v>
      </c>
      <c r="C76" s="120">
        <f t="shared" si="141"/>
        <v>0.52681133415973025</v>
      </c>
      <c r="D76" s="120">
        <f t="shared" si="141"/>
        <v>0.51610081459769863</v>
      </c>
      <c r="E76" s="120">
        <f t="shared" si="141"/>
        <v>0.43877894382890287</v>
      </c>
      <c r="F76" s="120">
        <f t="shared" si="141"/>
        <v>0.42361829998276301</v>
      </c>
      <c r="G76" s="120">
        <f t="shared" si="141"/>
        <v>0.45694687489379682</v>
      </c>
      <c r="H76" s="120">
        <f t="shared" si="141"/>
        <v>0.41483426273245627</v>
      </c>
      <c r="I76" s="120">
        <f t="shared" si="141"/>
        <v>0.41733149608588721</v>
      </c>
      <c r="J76" s="120">
        <f t="shared" si="141"/>
        <v>0.4170741039337198</v>
      </c>
      <c r="K76" s="120">
        <f t="shared" ref="K76:V76" si="148">IF(K54=0,0,K54/K65)</f>
        <v>0.38015195285800829</v>
      </c>
      <c r="L76" s="120">
        <f t="shared" si="148"/>
        <v>0.38328577418092863</v>
      </c>
      <c r="M76" s="120">
        <f t="shared" si="148"/>
        <v>0.39560437284949679</v>
      </c>
      <c r="N76" s="120">
        <f t="shared" si="148"/>
        <v>0.37965319758940008</v>
      </c>
      <c r="O76" s="120">
        <f t="shared" si="148"/>
        <v>0.37931356943060568</v>
      </c>
      <c r="P76" s="120">
        <f t="shared" si="148"/>
        <v>0.36006800761857338</v>
      </c>
      <c r="Q76" s="120">
        <f t="shared" si="148"/>
        <v>0.3655909020375317</v>
      </c>
      <c r="R76" s="120">
        <f t="shared" si="148"/>
        <v>0.37884342164040263</v>
      </c>
      <c r="S76" s="120">
        <f t="shared" si="148"/>
        <v>0.3791242567852201</v>
      </c>
      <c r="T76" s="120">
        <f t="shared" si="148"/>
        <v>0.38870109073312531</v>
      </c>
      <c r="U76" s="120">
        <f t="shared" si="148"/>
        <v>0.44619954286472929</v>
      </c>
      <c r="V76" s="120">
        <f t="shared" si="148"/>
        <v>0.28903712527572029</v>
      </c>
      <c r="W76" s="120">
        <f t="shared" ref="W76" si="149">IF(W54=0,0,W54/W65)</f>
        <v>0.24799438043456862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0.22255004858105068</v>
      </c>
      <c r="C78" s="30">
        <f t="shared" si="141"/>
        <v>0.29592795588395893</v>
      </c>
      <c r="D78" s="30">
        <f t="shared" si="141"/>
        <v>0.29711662630678615</v>
      </c>
      <c r="E78" s="30">
        <f t="shared" si="141"/>
        <v>0.27902673632317926</v>
      </c>
      <c r="F78" s="30">
        <f t="shared" si="141"/>
        <v>0.26447147577101709</v>
      </c>
      <c r="G78" s="30">
        <f t="shared" si="141"/>
        <v>0.3506921604881818</v>
      </c>
      <c r="H78" s="30">
        <f t="shared" si="141"/>
        <v>0.34204944561886502</v>
      </c>
      <c r="I78" s="30">
        <f t="shared" si="141"/>
        <v>0.32217889604185468</v>
      </c>
      <c r="J78" s="30">
        <f t="shared" si="141"/>
        <v>0.3568335860403834</v>
      </c>
      <c r="K78" s="30">
        <f t="shared" ref="K78:V78" si="152">IF(K56=0,0,K56/K67)</f>
        <v>0.36523932091043615</v>
      </c>
      <c r="L78" s="30">
        <f t="shared" si="152"/>
        <v>0.32833872010545007</v>
      </c>
      <c r="M78" s="30">
        <f t="shared" si="152"/>
        <v>0.32653451751639917</v>
      </c>
      <c r="N78" s="30">
        <f t="shared" si="152"/>
        <v>0.35449582288982179</v>
      </c>
      <c r="O78" s="30">
        <f t="shared" si="152"/>
        <v>0.29016256131371143</v>
      </c>
      <c r="P78" s="30">
        <f t="shared" si="152"/>
        <v>0.34159668591580855</v>
      </c>
      <c r="Q78" s="30">
        <f t="shared" si="152"/>
        <v>0.40300652014131921</v>
      </c>
      <c r="R78" s="30">
        <f t="shared" si="152"/>
        <v>0.36106598371877108</v>
      </c>
      <c r="S78" s="30">
        <f t="shared" si="152"/>
        <v>0.45106494549737847</v>
      </c>
      <c r="T78" s="30">
        <f t="shared" si="152"/>
        <v>0.39889250812006494</v>
      </c>
      <c r="U78" s="30">
        <f t="shared" si="152"/>
        <v>0.45637286006611416</v>
      </c>
      <c r="V78" s="30">
        <f t="shared" si="152"/>
        <v>0.30028796316102274</v>
      </c>
      <c r="W78" s="30">
        <f t="shared" ref="W78" si="153">IF(W56=0,0,W56/W67)</f>
        <v>0.29447711735274767</v>
      </c>
      <c r="DA78" s="173"/>
    </row>
    <row r="79" spans="1:105" ht="11.45" customHeight="1" x14ac:dyDescent="0.25">
      <c r="A79" s="83" t="s">
        <v>92</v>
      </c>
      <c r="B79" s="120">
        <f t="shared" si="141"/>
        <v>0</v>
      </c>
      <c r="C79" s="120">
        <f t="shared" si="141"/>
        <v>0</v>
      </c>
      <c r="D79" s="120">
        <f t="shared" si="141"/>
        <v>0</v>
      </c>
      <c r="E79" s="120">
        <f t="shared" si="141"/>
        <v>0</v>
      </c>
      <c r="F79" s="120">
        <f t="shared" si="141"/>
        <v>0</v>
      </c>
      <c r="G79" s="120">
        <f t="shared" si="141"/>
        <v>0</v>
      </c>
      <c r="H79" s="120">
        <f t="shared" si="141"/>
        <v>0</v>
      </c>
      <c r="I79" s="120">
        <f t="shared" si="141"/>
        <v>0</v>
      </c>
      <c r="J79" s="120">
        <f t="shared" si="141"/>
        <v>0</v>
      </c>
      <c r="K79" s="120">
        <f t="shared" ref="K79:V79" si="154">IF(K57=0,0,K57/K68)</f>
        <v>0</v>
      </c>
      <c r="L79" s="120">
        <f t="shared" si="154"/>
        <v>0</v>
      </c>
      <c r="M79" s="120">
        <f t="shared" si="154"/>
        <v>0</v>
      </c>
      <c r="N79" s="120">
        <f t="shared" si="154"/>
        <v>0</v>
      </c>
      <c r="O79" s="120">
        <f t="shared" si="154"/>
        <v>0</v>
      </c>
      <c r="P79" s="120">
        <f t="shared" si="154"/>
        <v>0</v>
      </c>
      <c r="Q79" s="120">
        <f t="shared" si="154"/>
        <v>0</v>
      </c>
      <c r="R79" s="120">
        <f t="shared" si="154"/>
        <v>0</v>
      </c>
      <c r="S79" s="120">
        <f t="shared" si="154"/>
        <v>0</v>
      </c>
      <c r="T79" s="120">
        <f t="shared" si="154"/>
        <v>0</v>
      </c>
      <c r="U79" s="120">
        <f t="shared" si="154"/>
        <v>0</v>
      </c>
      <c r="V79" s="120">
        <f t="shared" si="154"/>
        <v>0</v>
      </c>
      <c r="W79" s="120">
        <f t="shared" ref="W79" si="155">IF(W57=0,0,W57/W68)</f>
        <v>0</v>
      </c>
      <c r="DA79" s="171"/>
    </row>
    <row r="80" spans="1:105" ht="11.45" customHeight="1" x14ac:dyDescent="0.25">
      <c r="A80" s="85" t="s">
        <v>93</v>
      </c>
      <c r="B80" s="122">
        <f t="shared" si="141"/>
        <v>0.22255004858105068</v>
      </c>
      <c r="C80" s="122">
        <f t="shared" si="141"/>
        <v>0.29592795588395893</v>
      </c>
      <c r="D80" s="122">
        <f t="shared" si="141"/>
        <v>0.29711662630678615</v>
      </c>
      <c r="E80" s="122">
        <f t="shared" si="141"/>
        <v>0.27902673632317926</v>
      </c>
      <c r="F80" s="122">
        <f t="shared" si="141"/>
        <v>0.26447147577101709</v>
      </c>
      <c r="G80" s="122">
        <f t="shared" si="141"/>
        <v>0.3506921604881818</v>
      </c>
      <c r="H80" s="122">
        <f t="shared" si="141"/>
        <v>0.34204944561886502</v>
      </c>
      <c r="I80" s="122">
        <f t="shared" si="141"/>
        <v>0.32217889604185468</v>
      </c>
      <c r="J80" s="122">
        <f t="shared" si="141"/>
        <v>0.3568335860403834</v>
      </c>
      <c r="K80" s="122">
        <f t="shared" ref="K80:V80" si="156">IF(K58=0,0,K58/K69)</f>
        <v>0.36523932091043615</v>
      </c>
      <c r="L80" s="122">
        <f t="shared" si="156"/>
        <v>0.32833872010545007</v>
      </c>
      <c r="M80" s="122">
        <f t="shared" si="156"/>
        <v>0.32653451751639917</v>
      </c>
      <c r="N80" s="122">
        <f t="shared" si="156"/>
        <v>0.35449582288982179</v>
      </c>
      <c r="O80" s="122">
        <f t="shared" si="156"/>
        <v>0.29016256131371143</v>
      </c>
      <c r="P80" s="122">
        <f t="shared" si="156"/>
        <v>0.34159668591580855</v>
      </c>
      <c r="Q80" s="122">
        <f t="shared" si="156"/>
        <v>0.40300652014131921</v>
      </c>
      <c r="R80" s="122">
        <f t="shared" si="156"/>
        <v>0.36106598371877108</v>
      </c>
      <c r="S80" s="122">
        <f t="shared" si="156"/>
        <v>0.45106494549737847</v>
      </c>
      <c r="T80" s="122">
        <f t="shared" si="156"/>
        <v>0.39889250812006494</v>
      </c>
      <c r="U80" s="122">
        <f t="shared" si="156"/>
        <v>0.45637286006611416</v>
      </c>
      <c r="V80" s="122">
        <f t="shared" si="156"/>
        <v>0.30028796316102274</v>
      </c>
      <c r="W80" s="122">
        <f t="shared" ref="W80" si="157">IF(W58=0,0,W58/W69)</f>
        <v>0.29447711735274767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164943.15174408181</v>
      </c>
      <c r="C82" s="54">
        <f t="shared" si="158"/>
        <v>144124.88345330657</v>
      </c>
      <c r="D82" s="54">
        <f t="shared" si="158"/>
        <v>152140.58811725871</v>
      </c>
      <c r="E82" s="54">
        <f t="shared" si="158"/>
        <v>160812.42950823071</v>
      </c>
      <c r="F82" s="54">
        <f t="shared" si="158"/>
        <v>160990.62929980372</v>
      </c>
      <c r="G82" s="54">
        <f t="shared" si="158"/>
        <v>148629.83136198838</v>
      </c>
      <c r="H82" s="54">
        <f t="shared" si="158"/>
        <v>157232.07039763848</v>
      </c>
      <c r="I82" s="54">
        <f t="shared" si="158"/>
        <v>157047.10792824821</v>
      </c>
      <c r="J82" s="54">
        <f t="shared" si="158"/>
        <v>155242.31221348685</v>
      </c>
      <c r="K82" s="54">
        <f t="shared" ref="K82:V82" si="159">IF(K14=0,0,K14/K25*1000000)</f>
        <v>146640.90516853944</v>
      </c>
      <c r="L82" s="54">
        <f t="shared" si="159"/>
        <v>155089.74702402175</v>
      </c>
      <c r="M82" s="54">
        <f t="shared" si="159"/>
        <v>156657.11431681315</v>
      </c>
      <c r="N82" s="54">
        <f t="shared" si="159"/>
        <v>155466.14546632039</v>
      </c>
      <c r="O82" s="54">
        <f t="shared" si="159"/>
        <v>159253.50312112202</v>
      </c>
      <c r="P82" s="54">
        <f t="shared" si="159"/>
        <v>157855.39572772058</v>
      </c>
      <c r="Q82" s="54">
        <f t="shared" si="159"/>
        <v>155126.14647881745</v>
      </c>
      <c r="R82" s="54">
        <f t="shared" si="159"/>
        <v>155194.09776793051</v>
      </c>
      <c r="S82" s="54">
        <f t="shared" si="159"/>
        <v>153654.82611755966</v>
      </c>
      <c r="T82" s="54">
        <f t="shared" si="159"/>
        <v>154558.55617713323</v>
      </c>
      <c r="U82" s="54">
        <f t="shared" si="159"/>
        <v>150537.91662172039</v>
      </c>
      <c r="V82" s="54">
        <f t="shared" si="159"/>
        <v>142767.86288014794</v>
      </c>
      <c r="W82" s="54">
        <f t="shared" ref="W82" si="160">IF(W14=0,0,W14/W25*1000000)</f>
        <v>158067.95843193756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140641.63029696557</v>
      </c>
      <c r="C83" s="28">
        <f t="shared" si="161"/>
        <v>131698.18647994427</v>
      </c>
      <c r="D83" s="28">
        <f t="shared" si="161"/>
        <v>138785.66114555471</v>
      </c>
      <c r="E83" s="28">
        <f t="shared" si="161"/>
        <v>138726.82351328011</v>
      </c>
      <c r="F83" s="28">
        <f t="shared" si="161"/>
        <v>138688.37343364753</v>
      </c>
      <c r="G83" s="28">
        <f t="shared" si="161"/>
        <v>137289.29397698693</v>
      </c>
      <c r="H83" s="28">
        <f t="shared" si="161"/>
        <v>138302.05400924402</v>
      </c>
      <c r="I83" s="28">
        <f t="shared" si="161"/>
        <v>137539.63547720027</v>
      </c>
      <c r="J83" s="28">
        <f t="shared" si="161"/>
        <v>137834.59906604214</v>
      </c>
      <c r="K83" s="28">
        <f t="shared" ref="K83:V83" si="162">IF(K15=0,0,K15/K26*1000000)</f>
        <v>136067.52877101151</v>
      </c>
      <c r="L83" s="28">
        <f t="shared" si="162"/>
        <v>138820.09372891576</v>
      </c>
      <c r="M83" s="28">
        <f t="shared" si="162"/>
        <v>141287.07851952119</v>
      </c>
      <c r="N83" s="28">
        <f t="shared" si="162"/>
        <v>142003.37549041858</v>
      </c>
      <c r="O83" s="28">
        <f t="shared" si="162"/>
        <v>142399.49132380247</v>
      </c>
      <c r="P83" s="28">
        <f t="shared" si="162"/>
        <v>143375.63296804228</v>
      </c>
      <c r="Q83" s="28">
        <f t="shared" si="162"/>
        <v>145042.58365210716</v>
      </c>
      <c r="R83" s="28">
        <f t="shared" si="162"/>
        <v>144168.28051883494</v>
      </c>
      <c r="S83" s="28">
        <f t="shared" si="162"/>
        <v>144887.02312311949</v>
      </c>
      <c r="T83" s="28">
        <f t="shared" si="162"/>
        <v>144828.91798878598</v>
      </c>
      <c r="U83" s="28">
        <f t="shared" si="162"/>
        <v>140995.17114861702</v>
      </c>
      <c r="V83" s="28">
        <f t="shared" si="162"/>
        <v>127575.85015711725</v>
      </c>
      <c r="W83" s="28">
        <f t="shared" ref="W83" si="163">IF(W15=0,0,W15/W26*1000000)</f>
        <v>143858.57810541941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109999.99926734804</v>
      </c>
      <c r="C84" s="108">
        <f t="shared" si="161"/>
        <v>109999.99897751246</v>
      </c>
      <c r="D84" s="108">
        <f t="shared" si="161"/>
        <v>109999.99873978058</v>
      </c>
      <c r="E84" s="108">
        <f t="shared" si="161"/>
        <v>109999.99807606323</v>
      </c>
      <c r="F84" s="108">
        <f t="shared" si="161"/>
        <v>109999.99976594333</v>
      </c>
      <c r="G84" s="108">
        <f t="shared" si="161"/>
        <v>109999.99869414352</v>
      </c>
      <c r="H84" s="108">
        <f t="shared" si="161"/>
        <v>109999.99846633535</v>
      </c>
      <c r="I84" s="108">
        <f t="shared" si="161"/>
        <v>109999.99858028982</v>
      </c>
      <c r="J84" s="108">
        <f t="shared" si="161"/>
        <v>106721.70335670789</v>
      </c>
      <c r="K84" s="108">
        <f t="shared" ref="K84:V84" si="164">IF(K16=0,0,K16/K27*1000000)</f>
        <v>93686.18239237598</v>
      </c>
      <c r="L84" s="108">
        <f t="shared" si="164"/>
        <v>100620.84788564291</v>
      </c>
      <c r="M84" s="108">
        <f t="shared" si="164"/>
        <v>109999.99965917399</v>
      </c>
      <c r="N84" s="108">
        <f t="shared" si="164"/>
        <v>109999.99859979743</v>
      </c>
      <c r="O84" s="108">
        <f t="shared" si="164"/>
        <v>109999.99675605327</v>
      </c>
      <c r="P84" s="108">
        <f t="shared" si="164"/>
        <v>109999.99798558815</v>
      </c>
      <c r="Q84" s="108">
        <f t="shared" si="164"/>
        <v>109999.9981346268</v>
      </c>
      <c r="R84" s="108">
        <f t="shared" si="164"/>
        <v>109999.99910749409</v>
      </c>
      <c r="S84" s="108">
        <f t="shared" si="164"/>
        <v>109999.99887654278</v>
      </c>
      <c r="T84" s="108">
        <f t="shared" si="164"/>
        <v>109999.99838977004</v>
      </c>
      <c r="U84" s="108">
        <f t="shared" si="164"/>
        <v>109999.99640202979</v>
      </c>
      <c r="V84" s="108">
        <f t="shared" si="164"/>
        <v>109999.99798486283</v>
      </c>
      <c r="W84" s="108">
        <f t="shared" ref="W84" si="165">IF(W16=0,0,W16/W27*1000000)</f>
        <v>109999.99863262736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149999.99970926109</v>
      </c>
      <c r="C85" s="110">
        <f t="shared" si="161"/>
        <v>139211.53429299576</v>
      </c>
      <c r="D85" s="110">
        <f t="shared" si="161"/>
        <v>149999.99925748474</v>
      </c>
      <c r="E85" s="110">
        <f t="shared" si="161"/>
        <v>149999.99966856657</v>
      </c>
      <c r="F85" s="110">
        <f t="shared" si="161"/>
        <v>149999.99864067929</v>
      </c>
      <c r="G85" s="110">
        <f t="shared" si="161"/>
        <v>149999.99929783493</v>
      </c>
      <c r="H85" s="110">
        <f t="shared" si="161"/>
        <v>149999.99953333224</v>
      </c>
      <c r="I85" s="110">
        <f t="shared" si="161"/>
        <v>149999.99926794428</v>
      </c>
      <c r="J85" s="110">
        <f t="shared" si="161"/>
        <v>149999.99940818307</v>
      </c>
      <c r="K85" s="110">
        <f t="shared" ref="K85:V85" si="166">IF(K17=0,0,K17/K28*1000000)</f>
        <v>149999.99895128104</v>
      </c>
      <c r="L85" s="110">
        <f t="shared" si="166"/>
        <v>149999.99936777801</v>
      </c>
      <c r="M85" s="110">
        <f t="shared" si="166"/>
        <v>149999.99929786319</v>
      </c>
      <c r="N85" s="110">
        <f t="shared" si="166"/>
        <v>149999.99986856463</v>
      </c>
      <c r="O85" s="110">
        <f t="shared" si="166"/>
        <v>149999.99904324356</v>
      </c>
      <c r="P85" s="110">
        <f t="shared" si="166"/>
        <v>149999.99988260653</v>
      </c>
      <c r="Q85" s="110">
        <f t="shared" si="166"/>
        <v>149999.99988259355</v>
      </c>
      <c r="R85" s="110">
        <f t="shared" si="166"/>
        <v>149999.99943549754</v>
      </c>
      <c r="S85" s="110">
        <f t="shared" si="166"/>
        <v>149999.99963077353</v>
      </c>
      <c r="T85" s="110">
        <f t="shared" si="166"/>
        <v>149999.99938253817</v>
      </c>
      <c r="U85" s="110">
        <f t="shared" si="166"/>
        <v>145889.26259216777</v>
      </c>
      <c r="V85" s="110">
        <f t="shared" si="166"/>
        <v>130526.64833597738</v>
      </c>
      <c r="W85" s="110">
        <f t="shared" ref="W85" si="167">IF(W17=0,0,W17/W28*1000000)</f>
        <v>149999.99922307974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0</v>
      </c>
      <c r="C86" s="84">
        <f t="shared" si="161"/>
        <v>0</v>
      </c>
      <c r="D86" s="84">
        <f t="shared" si="161"/>
        <v>0</v>
      </c>
      <c r="E86" s="84">
        <f t="shared" si="161"/>
        <v>0</v>
      </c>
      <c r="F86" s="84">
        <f t="shared" si="161"/>
        <v>0</v>
      </c>
      <c r="G86" s="84">
        <f t="shared" si="161"/>
        <v>0</v>
      </c>
      <c r="H86" s="84">
        <f t="shared" si="161"/>
        <v>0</v>
      </c>
      <c r="I86" s="84">
        <f t="shared" si="161"/>
        <v>0</v>
      </c>
      <c r="J86" s="84">
        <f t="shared" si="161"/>
        <v>0</v>
      </c>
      <c r="K86" s="84">
        <f t="shared" ref="K86:V86" si="168">IF(K18=0,0,K18/K29*1000000)</f>
        <v>0</v>
      </c>
      <c r="L86" s="84">
        <f t="shared" si="168"/>
        <v>0</v>
      </c>
      <c r="M86" s="84">
        <f t="shared" si="168"/>
        <v>0</v>
      </c>
      <c r="N86" s="84">
        <f t="shared" si="168"/>
        <v>0</v>
      </c>
      <c r="O86" s="84">
        <f t="shared" si="168"/>
        <v>0</v>
      </c>
      <c r="P86" s="84">
        <f t="shared" si="168"/>
        <v>0</v>
      </c>
      <c r="Q86" s="84">
        <f t="shared" si="168"/>
        <v>0</v>
      </c>
      <c r="R86" s="84">
        <f t="shared" si="168"/>
        <v>0</v>
      </c>
      <c r="S86" s="84">
        <f t="shared" si="168"/>
        <v>0</v>
      </c>
      <c r="T86" s="84">
        <f t="shared" si="168"/>
        <v>0</v>
      </c>
      <c r="U86" s="84">
        <f t="shared" si="168"/>
        <v>0</v>
      </c>
      <c r="V86" s="84">
        <f t="shared" si="168"/>
        <v>0</v>
      </c>
      <c r="W86" s="84">
        <f t="shared" ref="W86" si="169">IF(W18=0,0,W18/W29*1000000)</f>
        <v>0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149999.99970926109</v>
      </c>
      <c r="C87" s="84">
        <f t="shared" si="161"/>
        <v>139211.53429299576</v>
      </c>
      <c r="D87" s="84">
        <f t="shared" si="161"/>
        <v>149999.99925748474</v>
      </c>
      <c r="E87" s="84">
        <f t="shared" si="161"/>
        <v>149999.99966856657</v>
      </c>
      <c r="F87" s="84">
        <f t="shared" si="161"/>
        <v>149999.99864067929</v>
      </c>
      <c r="G87" s="84">
        <f t="shared" si="161"/>
        <v>149999.99929783493</v>
      </c>
      <c r="H87" s="84">
        <f t="shared" si="161"/>
        <v>149999.99953333224</v>
      </c>
      <c r="I87" s="84">
        <f t="shared" si="161"/>
        <v>149999.99926794428</v>
      </c>
      <c r="J87" s="84">
        <f t="shared" si="161"/>
        <v>149999.99940818307</v>
      </c>
      <c r="K87" s="84">
        <f t="shared" ref="K87:V87" si="170">IF(K19=0,0,K19/K30*1000000)</f>
        <v>149999.99895128104</v>
      </c>
      <c r="L87" s="84">
        <f t="shared" si="170"/>
        <v>149999.99936777801</v>
      </c>
      <c r="M87" s="84">
        <f t="shared" si="170"/>
        <v>149999.99929786319</v>
      </c>
      <c r="N87" s="84">
        <f t="shared" si="170"/>
        <v>149999.99986856463</v>
      </c>
      <c r="O87" s="84">
        <f t="shared" si="170"/>
        <v>149999.99904324356</v>
      </c>
      <c r="P87" s="84">
        <f t="shared" si="170"/>
        <v>149999.99988260653</v>
      </c>
      <c r="Q87" s="84">
        <f t="shared" si="170"/>
        <v>149999.99988259355</v>
      </c>
      <c r="R87" s="84">
        <f t="shared" si="170"/>
        <v>149999.99943549754</v>
      </c>
      <c r="S87" s="84">
        <f t="shared" si="170"/>
        <v>149999.99963077353</v>
      </c>
      <c r="T87" s="84">
        <f t="shared" si="170"/>
        <v>149999.99938253817</v>
      </c>
      <c r="U87" s="84">
        <f t="shared" si="170"/>
        <v>145889.26259216777</v>
      </c>
      <c r="V87" s="84">
        <f t="shared" si="170"/>
        <v>130526.64833597738</v>
      </c>
      <c r="W87" s="84">
        <f t="shared" ref="W87" si="171">IF(W19=0,0,W19/W30*1000000)</f>
        <v>149999.99922307974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199999.99856159711</v>
      </c>
      <c r="C89" s="28">
        <f t="shared" si="161"/>
        <v>162612.37127712392</v>
      </c>
      <c r="D89" s="28">
        <f t="shared" si="161"/>
        <v>173038.33717758363</v>
      </c>
      <c r="E89" s="28">
        <f t="shared" si="161"/>
        <v>199999.99963009582</v>
      </c>
      <c r="F89" s="28">
        <f t="shared" si="161"/>
        <v>199999.99984525624</v>
      </c>
      <c r="G89" s="28">
        <f t="shared" si="161"/>
        <v>170583.2412271919</v>
      </c>
      <c r="H89" s="28">
        <f t="shared" si="161"/>
        <v>199999.99920435221</v>
      </c>
      <c r="I89" s="28">
        <f t="shared" si="161"/>
        <v>199999.99805404933</v>
      </c>
      <c r="J89" s="28">
        <f t="shared" si="161"/>
        <v>199999.99855539709</v>
      </c>
      <c r="K89" s="28">
        <f t="shared" ref="K89:V89" si="174">IF(K21=0,0,K21/K32*1000000)</f>
        <v>181483.16062784268</v>
      </c>
      <c r="L89" s="28">
        <f t="shared" si="174"/>
        <v>199999.99998045538</v>
      </c>
      <c r="M89" s="28">
        <f t="shared" si="174"/>
        <v>199999.99828669129</v>
      </c>
      <c r="N89" s="28">
        <f t="shared" si="174"/>
        <v>199999.99857681454</v>
      </c>
      <c r="O89" s="28">
        <f t="shared" si="174"/>
        <v>199999.99843789468</v>
      </c>
      <c r="P89" s="28">
        <f t="shared" si="174"/>
        <v>199999.99958883884</v>
      </c>
      <c r="Q89" s="28">
        <f t="shared" si="174"/>
        <v>199999.99866184624</v>
      </c>
      <c r="R89" s="28">
        <f t="shared" si="174"/>
        <v>199999.99870805463</v>
      </c>
      <c r="S89" s="28">
        <f t="shared" si="174"/>
        <v>199999.99777807173</v>
      </c>
      <c r="T89" s="28">
        <f t="shared" si="174"/>
        <v>199999.99738609756</v>
      </c>
      <c r="U89" s="28">
        <f t="shared" si="174"/>
        <v>199999.99671377341</v>
      </c>
      <c r="V89" s="28">
        <f t="shared" si="174"/>
        <v>199999.99869473864</v>
      </c>
      <c r="W89" s="28">
        <f t="shared" ref="W89" si="175">IF(W21=0,0,W21/W32*1000000)</f>
        <v>199999.9973494813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0</v>
      </c>
      <c r="C90" s="84">
        <f t="shared" si="161"/>
        <v>0</v>
      </c>
      <c r="D90" s="84">
        <f t="shared" si="161"/>
        <v>0</v>
      </c>
      <c r="E90" s="84">
        <f t="shared" si="161"/>
        <v>0</v>
      </c>
      <c r="F90" s="84">
        <f t="shared" si="161"/>
        <v>0</v>
      </c>
      <c r="G90" s="84">
        <f t="shared" si="161"/>
        <v>0</v>
      </c>
      <c r="H90" s="84">
        <f t="shared" si="161"/>
        <v>0</v>
      </c>
      <c r="I90" s="84">
        <f t="shared" si="161"/>
        <v>0</v>
      </c>
      <c r="J90" s="84">
        <f t="shared" si="161"/>
        <v>0</v>
      </c>
      <c r="K90" s="84">
        <f t="shared" ref="K90:V90" si="176">IF(K22=0,0,K22/K33*1000000)</f>
        <v>0</v>
      </c>
      <c r="L90" s="84">
        <f t="shared" si="176"/>
        <v>0</v>
      </c>
      <c r="M90" s="84">
        <f t="shared" si="176"/>
        <v>0</v>
      </c>
      <c r="N90" s="84">
        <f t="shared" si="176"/>
        <v>0</v>
      </c>
      <c r="O90" s="84">
        <f t="shared" si="176"/>
        <v>0</v>
      </c>
      <c r="P90" s="84">
        <f t="shared" si="176"/>
        <v>0</v>
      </c>
      <c r="Q90" s="84">
        <f t="shared" si="176"/>
        <v>0</v>
      </c>
      <c r="R90" s="84">
        <f t="shared" si="176"/>
        <v>0</v>
      </c>
      <c r="S90" s="84">
        <f t="shared" si="176"/>
        <v>0</v>
      </c>
      <c r="T90" s="84">
        <f t="shared" si="176"/>
        <v>0</v>
      </c>
      <c r="U90" s="84">
        <f t="shared" si="176"/>
        <v>0</v>
      </c>
      <c r="V90" s="84">
        <f t="shared" si="176"/>
        <v>0</v>
      </c>
      <c r="W90" s="84">
        <f t="shared" ref="W90" si="177">IF(W22=0,0,W22/W33*1000000)</f>
        <v>0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199999.99856159711</v>
      </c>
      <c r="C91" s="86">
        <f t="shared" si="161"/>
        <v>162612.37127712392</v>
      </c>
      <c r="D91" s="86">
        <f t="shared" si="161"/>
        <v>173038.33717758363</v>
      </c>
      <c r="E91" s="86">
        <f t="shared" si="161"/>
        <v>199999.99963009582</v>
      </c>
      <c r="F91" s="86">
        <f t="shared" si="161"/>
        <v>199999.99984525624</v>
      </c>
      <c r="G91" s="86">
        <f t="shared" si="161"/>
        <v>170583.2412271919</v>
      </c>
      <c r="H91" s="86">
        <f t="shared" si="161"/>
        <v>199999.99920435221</v>
      </c>
      <c r="I91" s="86">
        <f t="shared" si="161"/>
        <v>199999.99805404933</v>
      </c>
      <c r="J91" s="86">
        <f t="shared" si="161"/>
        <v>199999.99855539709</v>
      </c>
      <c r="K91" s="86">
        <f t="shared" ref="K91:V91" si="178">IF(K23=0,0,K23/K34*1000000)</f>
        <v>181483.16062784268</v>
      </c>
      <c r="L91" s="86">
        <f t="shared" si="178"/>
        <v>199999.99998045538</v>
      </c>
      <c r="M91" s="86">
        <f t="shared" si="178"/>
        <v>199999.99828669129</v>
      </c>
      <c r="N91" s="86">
        <f t="shared" si="178"/>
        <v>199999.99857681454</v>
      </c>
      <c r="O91" s="86">
        <f t="shared" si="178"/>
        <v>199999.99843789468</v>
      </c>
      <c r="P91" s="86">
        <f t="shared" si="178"/>
        <v>199999.99958883884</v>
      </c>
      <c r="Q91" s="86">
        <f t="shared" si="178"/>
        <v>199999.99866184624</v>
      </c>
      <c r="R91" s="86">
        <f t="shared" si="178"/>
        <v>199999.99870805463</v>
      </c>
      <c r="S91" s="86">
        <f t="shared" si="178"/>
        <v>199999.99777807173</v>
      </c>
      <c r="T91" s="86">
        <f t="shared" si="178"/>
        <v>199999.99738609756</v>
      </c>
      <c r="U91" s="86">
        <f t="shared" si="178"/>
        <v>199999.99671377341</v>
      </c>
      <c r="V91" s="86">
        <f t="shared" si="178"/>
        <v>199999.99869473864</v>
      </c>
      <c r="W91" s="86">
        <f t="shared" ref="W91" si="179">IF(W23=0,0,W23/W34*1000000)</f>
        <v>199999.9973494813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18573669.220105879</v>
      </c>
      <c r="C94" s="28">
        <f t="shared" si="180"/>
        <v>19652970.714106403</v>
      </c>
      <c r="D94" s="28">
        <f t="shared" si="180"/>
        <v>20208638.404092398</v>
      </c>
      <c r="E94" s="28">
        <f t="shared" si="180"/>
        <v>17522564.434426583</v>
      </c>
      <c r="F94" s="28">
        <f t="shared" si="180"/>
        <v>16954546.35217955</v>
      </c>
      <c r="G94" s="28">
        <f t="shared" si="180"/>
        <v>17612310.406559806</v>
      </c>
      <c r="H94" s="28">
        <f t="shared" si="180"/>
        <v>16536195.60253139</v>
      </c>
      <c r="I94" s="28">
        <f t="shared" si="180"/>
        <v>16307679.029940723</v>
      </c>
      <c r="J94" s="28">
        <f t="shared" si="180"/>
        <v>16694384.136876071</v>
      </c>
      <c r="K94" s="28">
        <f t="shared" ref="K94:V94" si="181">IF(K4=0,0,K4/K26*1000000)</f>
        <v>15507151.223363539</v>
      </c>
      <c r="L94" s="28">
        <f t="shared" si="181"/>
        <v>15979397.570947587</v>
      </c>
      <c r="M94" s="28">
        <f t="shared" si="181"/>
        <v>16727241.758691194</v>
      </c>
      <c r="N94" s="28">
        <f t="shared" si="181"/>
        <v>16296458.259220423</v>
      </c>
      <c r="O94" s="28">
        <f t="shared" si="181"/>
        <v>16381911.510629956</v>
      </c>
      <c r="P94" s="28">
        <f t="shared" si="181"/>
        <v>15855163.385629222</v>
      </c>
      <c r="Q94" s="28">
        <f t="shared" si="181"/>
        <v>16503865.164229382</v>
      </c>
      <c r="R94" s="28">
        <f t="shared" si="181"/>
        <v>16876378.564914554</v>
      </c>
      <c r="S94" s="28">
        <f t="shared" si="181"/>
        <v>17076171.87559456</v>
      </c>
      <c r="T94" s="28">
        <f t="shared" si="181"/>
        <v>17448428.276983574</v>
      </c>
      <c r="U94" s="28">
        <f t="shared" si="181"/>
        <v>19255785.923073158</v>
      </c>
      <c r="V94" s="28">
        <f t="shared" si="181"/>
        <v>11153207.636187881</v>
      </c>
      <c r="W94" s="28">
        <f t="shared" ref="W94" si="182">IF(W4=0,0,W4/W26*1000000)</f>
        <v>10817574.555248044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8629183.2369585056</v>
      </c>
      <c r="C95" s="108">
        <f t="shared" si="180"/>
        <v>8634689.4888478033</v>
      </c>
      <c r="D95" s="108">
        <f t="shared" si="180"/>
        <v>8492963.7416042555</v>
      </c>
      <c r="E95" s="108">
        <f t="shared" si="180"/>
        <v>8504768.4257573187</v>
      </c>
      <c r="F95" s="108">
        <f t="shared" si="180"/>
        <v>8384442.9606633866</v>
      </c>
      <c r="G95" s="108">
        <f t="shared" si="180"/>
        <v>8335024.1815866791</v>
      </c>
      <c r="H95" s="108">
        <f t="shared" si="180"/>
        <v>8368653.3450808739</v>
      </c>
      <c r="I95" s="108">
        <f t="shared" si="180"/>
        <v>8076457.408250588</v>
      </c>
      <c r="J95" s="108">
        <f t="shared" si="180"/>
        <v>8190286.3849805044</v>
      </c>
      <c r="K95" s="108">
        <f t="shared" ref="K95:V95" si="183">IF(K5=0,0,K5/K27*1000000)</f>
        <v>7171879.5812454075</v>
      </c>
      <c r="L95" s="108">
        <f t="shared" si="183"/>
        <v>7716538.7814448792</v>
      </c>
      <c r="M95" s="108">
        <f t="shared" si="183"/>
        <v>8605497.3839465156</v>
      </c>
      <c r="N95" s="108">
        <f t="shared" si="183"/>
        <v>8584810.1075103134</v>
      </c>
      <c r="O95" s="108">
        <f t="shared" si="183"/>
        <v>8601693.9028399065</v>
      </c>
      <c r="P95" s="108">
        <f t="shared" si="183"/>
        <v>8659943.4964043107</v>
      </c>
      <c r="Q95" s="108">
        <f t="shared" si="183"/>
        <v>9120600.7810327969</v>
      </c>
      <c r="R95" s="108">
        <f t="shared" si="183"/>
        <v>9212133.9263365697</v>
      </c>
      <c r="S95" s="108">
        <f t="shared" si="183"/>
        <v>9421922.1866327152</v>
      </c>
      <c r="T95" s="108">
        <f t="shared" si="183"/>
        <v>9303910.2709470708</v>
      </c>
      <c r="U95" s="108">
        <f t="shared" si="183"/>
        <v>9282003.6770080458</v>
      </c>
      <c r="V95" s="108">
        <f t="shared" si="183"/>
        <v>5676698.6261741621</v>
      </c>
      <c r="W95" s="108">
        <f t="shared" ref="W95" si="184">IF(W5=0,0,W5/W27*1000000)</f>
        <v>4829434.9233700233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21610850.020166237</v>
      </c>
      <c r="C96" s="110">
        <f t="shared" si="180"/>
        <v>23468228.515621159</v>
      </c>
      <c r="D96" s="110">
        <f t="shared" si="180"/>
        <v>24772838.97806146</v>
      </c>
      <c r="E96" s="110">
        <f t="shared" si="180"/>
        <v>21061389.257251013</v>
      </c>
      <c r="F96" s="110">
        <f t="shared" si="180"/>
        <v>20333678.214906026</v>
      </c>
      <c r="G96" s="110">
        <f t="shared" si="180"/>
        <v>21933449.892229561</v>
      </c>
      <c r="H96" s="110">
        <f t="shared" si="180"/>
        <v>19912044.549209174</v>
      </c>
      <c r="I96" s="110">
        <f t="shared" si="180"/>
        <v>20031911.71435941</v>
      </c>
      <c r="J96" s="110">
        <f t="shared" si="180"/>
        <v>20019556.909832463</v>
      </c>
      <c r="K96" s="110">
        <f t="shared" ref="K96:V96" si="185">IF(K6=0,0,K6/K28*1000000)</f>
        <v>18247293.609609179</v>
      </c>
      <c r="L96" s="110">
        <f t="shared" si="185"/>
        <v>18397717.083141636</v>
      </c>
      <c r="M96" s="110">
        <f t="shared" si="185"/>
        <v>18989009.807889961</v>
      </c>
      <c r="N96" s="110">
        <f t="shared" si="185"/>
        <v>18223353.468323249</v>
      </c>
      <c r="O96" s="110">
        <f t="shared" si="185"/>
        <v>18207051.216537651</v>
      </c>
      <c r="P96" s="110">
        <f t="shared" si="185"/>
        <v>17283264.352165241</v>
      </c>
      <c r="Q96" s="110">
        <f t="shared" si="185"/>
        <v>17548363.284066249</v>
      </c>
      <c r="R96" s="110">
        <f t="shared" si="185"/>
        <v>18184484.170304753</v>
      </c>
      <c r="S96" s="110">
        <f t="shared" si="185"/>
        <v>18197964.280896097</v>
      </c>
      <c r="T96" s="110">
        <f t="shared" si="185"/>
        <v>18657652.278387424</v>
      </c>
      <c r="U96" s="110">
        <f t="shared" si="185"/>
        <v>20830631.128799267</v>
      </c>
      <c r="V96" s="110">
        <f t="shared" si="185"/>
        <v>12072655.10620985</v>
      </c>
      <c r="W96" s="110">
        <f t="shared" ref="W96" si="186">IF(W6=0,0,W6/W28*1000000)</f>
        <v>11903730.199204301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0</v>
      </c>
      <c r="C97" s="84">
        <f t="shared" si="180"/>
        <v>0</v>
      </c>
      <c r="D97" s="84">
        <f t="shared" si="180"/>
        <v>0</v>
      </c>
      <c r="E97" s="84">
        <f t="shared" si="180"/>
        <v>0</v>
      </c>
      <c r="F97" s="84">
        <f t="shared" si="180"/>
        <v>0</v>
      </c>
      <c r="G97" s="84">
        <f t="shared" si="180"/>
        <v>0</v>
      </c>
      <c r="H97" s="84">
        <f t="shared" si="180"/>
        <v>0</v>
      </c>
      <c r="I97" s="84">
        <f t="shared" si="180"/>
        <v>0</v>
      </c>
      <c r="J97" s="84">
        <f t="shared" si="180"/>
        <v>0</v>
      </c>
      <c r="K97" s="84">
        <f t="shared" ref="K97:V97" si="187">IF(K7=0,0,K7/K29*1000000)</f>
        <v>0</v>
      </c>
      <c r="L97" s="84">
        <f t="shared" si="187"/>
        <v>0</v>
      </c>
      <c r="M97" s="84">
        <f t="shared" si="187"/>
        <v>0</v>
      </c>
      <c r="N97" s="84">
        <f t="shared" si="187"/>
        <v>0</v>
      </c>
      <c r="O97" s="84">
        <f t="shared" si="187"/>
        <v>0</v>
      </c>
      <c r="P97" s="84">
        <f t="shared" si="187"/>
        <v>0</v>
      </c>
      <c r="Q97" s="84">
        <f t="shared" si="187"/>
        <v>0</v>
      </c>
      <c r="R97" s="84">
        <f t="shared" si="187"/>
        <v>0</v>
      </c>
      <c r="S97" s="84">
        <f t="shared" si="187"/>
        <v>0</v>
      </c>
      <c r="T97" s="84">
        <f t="shared" si="187"/>
        <v>0</v>
      </c>
      <c r="U97" s="84">
        <f t="shared" si="187"/>
        <v>0</v>
      </c>
      <c r="V97" s="84">
        <f t="shared" si="187"/>
        <v>0</v>
      </c>
      <c r="W97" s="84">
        <f t="shared" ref="W97" si="188">IF(W7=0,0,W7/W29*1000000)</f>
        <v>0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21610850.020166237</v>
      </c>
      <c r="C98" s="84">
        <f t="shared" si="180"/>
        <v>23468228.515621159</v>
      </c>
      <c r="D98" s="84">
        <f t="shared" si="180"/>
        <v>24772838.97806146</v>
      </c>
      <c r="E98" s="84">
        <f t="shared" si="180"/>
        <v>21061389.257251013</v>
      </c>
      <c r="F98" s="84">
        <f t="shared" si="180"/>
        <v>20333678.214906026</v>
      </c>
      <c r="G98" s="84">
        <f t="shared" si="180"/>
        <v>21933449.892229561</v>
      </c>
      <c r="H98" s="84">
        <f t="shared" si="180"/>
        <v>19912044.549209174</v>
      </c>
      <c r="I98" s="84">
        <f t="shared" si="180"/>
        <v>20031911.71435941</v>
      </c>
      <c r="J98" s="84">
        <f t="shared" si="180"/>
        <v>20019556.909832463</v>
      </c>
      <c r="K98" s="84">
        <f t="shared" ref="K98:V98" si="189">IF(K8=0,0,K8/K30*1000000)</f>
        <v>18247293.609609179</v>
      </c>
      <c r="L98" s="84">
        <f t="shared" si="189"/>
        <v>18397717.083141636</v>
      </c>
      <c r="M98" s="84">
        <f t="shared" si="189"/>
        <v>18989009.807889961</v>
      </c>
      <c r="N98" s="84">
        <f t="shared" si="189"/>
        <v>18223353.468323249</v>
      </c>
      <c r="O98" s="84">
        <f t="shared" si="189"/>
        <v>18207051.216537651</v>
      </c>
      <c r="P98" s="84">
        <f t="shared" si="189"/>
        <v>17283264.352165241</v>
      </c>
      <c r="Q98" s="84">
        <f t="shared" si="189"/>
        <v>17548363.284066249</v>
      </c>
      <c r="R98" s="84">
        <f t="shared" si="189"/>
        <v>18184484.170304753</v>
      </c>
      <c r="S98" s="84">
        <f t="shared" si="189"/>
        <v>18197964.280896097</v>
      </c>
      <c r="T98" s="84">
        <f t="shared" si="189"/>
        <v>18657652.278387424</v>
      </c>
      <c r="U98" s="84">
        <f t="shared" si="189"/>
        <v>20830631.128799267</v>
      </c>
      <c r="V98" s="84">
        <f t="shared" si="189"/>
        <v>12072655.10620985</v>
      </c>
      <c r="W98" s="84">
        <f t="shared" ref="W98" si="190">IF(W8=0,0,W8/W30*1000000)</f>
        <v>11903730.199204301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93471019.731796339</v>
      </c>
      <c r="C100" s="28">
        <f t="shared" si="180"/>
        <v>101055247.93031363</v>
      </c>
      <c r="D100" s="28">
        <f t="shared" si="180"/>
        <v>107966390.62427352</v>
      </c>
      <c r="E100" s="28">
        <f t="shared" si="180"/>
        <v>117191229.03898765</v>
      </c>
      <c r="F100" s="28">
        <f t="shared" si="180"/>
        <v>111078019.73788403</v>
      </c>
      <c r="G100" s="28">
        <f t="shared" si="180"/>
        <v>125626631.35898529</v>
      </c>
      <c r="H100" s="28">
        <f t="shared" si="180"/>
        <v>143660766.58840647</v>
      </c>
      <c r="I100" s="28">
        <f t="shared" si="180"/>
        <v>135315135.02099609</v>
      </c>
      <c r="J100" s="28">
        <f t="shared" si="180"/>
        <v>149870105.05444705</v>
      </c>
      <c r="K100" s="28">
        <f t="shared" ref="K100:V100" si="193">IF(K10=0,0,K10/K32*1000000)</f>
        <v>139198051.32322499</v>
      </c>
      <c r="L100" s="28">
        <f t="shared" si="193"/>
        <v>137902262.43081281</v>
      </c>
      <c r="M100" s="28">
        <f t="shared" si="193"/>
        <v>137144496.18203336</v>
      </c>
      <c r="N100" s="28">
        <f t="shared" si="193"/>
        <v>148888244.55424723</v>
      </c>
      <c r="O100" s="28">
        <f t="shared" si="193"/>
        <v>121868274.79990338</v>
      </c>
      <c r="P100" s="28">
        <f t="shared" si="193"/>
        <v>143470607.7896919</v>
      </c>
      <c r="Q100" s="28">
        <f t="shared" si="193"/>
        <v>169262737.32685623</v>
      </c>
      <c r="R100" s="28">
        <f t="shared" si="193"/>
        <v>151647712.18228105</v>
      </c>
      <c r="S100" s="28">
        <f t="shared" si="193"/>
        <v>189447275.00420764</v>
      </c>
      <c r="T100" s="28">
        <f t="shared" si="193"/>
        <v>167534851.22082844</v>
      </c>
      <c r="U100" s="28">
        <f t="shared" si="193"/>
        <v>191676598.07830423</v>
      </c>
      <c r="V100" s="28">
        <f t="shared" si="193"/>
        <v>126120943.70452559</v>
      </c>
      <c r="W100" s="28">
        <f t="shared" ref="W100" si="194">IF(W10=0,0,W10/W32*1000000)</f>
        <v>123680387.6490681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0</v>
      </c>
      <c r="C101" s="84">
        <f t="shared" si="180"/>
        <v>0</v>
      </c>
      <c r="D101" s="84">
        <f t="shared" si="180"/>
        <v>0</v>
      </c>
      <c r="E101" s="84">
        <f t="shared" si="180"/>
        <v>0</v>
      </c>
      <c r="F101" s="84">
        <f t="shared" si="180"/>
        <v>0</v>
      </c>
      <c r="G101" s="84">
        <f t="shared" si="180"/>
        <v>0</v>
      </c>
      <c r="H101" s="84">
        <f t="shared" si="180"/>
        <v>0</v>
      </c>
      <c r="I101" s="84">
        <f t="shared" si="180"/>
        <v>0</v>
      </c>
      <c r="J101" s="84">
        <f t="shared" si="180"/>
        <v>0</v>
      </c>
      <c r="K101" s="84">
        <f t="shared" ref="K101:V101" si="195">IF(K11=0,0,K11/K33*1000000)</f>
        <v>0</v>
      </c>
      <c r="L101" s="84">
        <f t="shared" si="195"/>
        <v>0</v>
      </c>
      <c r="M101" s="84">
        <f t="shared" si="195"/>
        <v>0</v>
      </c>
      <c r="N101" s="84">
        <f t="shared" si="195"/>
        <v>0</v>
      </c>
      <c r="O101" s="84">
        <f t="shared" si="195"/>
        <v>0</v>
      </c>
      <c r="P101" s="84">
        <f t="shared" si="195"/>
        <v>0</v>
      </c>
      <c r="Q101" s="84">
        <f t="shared" si="195"/>
        <v>0</v>
      </c>
      <c r="R101" s="84">
        <f t="shared" si="195"/>
        <v>0</v>
      </c>
      <c r="S101" s="84">
        <f t="shared" si="195"/>
        <v>0</v>
      </c>
      <c r="T101" s="84">
        <f t="shared" si="195"/>
        <v>0</v>
      </c>
      <c r="U101" s="84">
        <f t="shared" si="195"/>
        <v>0</v>
      </c>
      <c r="V101" s="84">
        <f t="shared" si="195"/>
        <v>0</v>
      </c>
      <c r="W101" s="84">
        <f t="shared" ref="W101" si="196">IF(W11=0,0,W11/W33*1000000)</f>
        <v>0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93471019.731796339</v>
      </c>
      <c r="C102" s="86">
        <f t="shared" si="180"/>
        <v>101055247.93031363</v>
      </c>
      <c r="D102" s="86">
        <f t="shared" si="180"/>
        <v>107966390.62427352</v>
      </c>
      <c r="E102" s="86">
        <f t="shared" si="180"/>
        <v>117191229.03898765</v>
      </c>
      <c r="F102" s="86">
        <f t="shared" si="180"/>
        <v>111078019.73788403</v>
      </c>
      <c r="G102" s="86">
        <f t="shared" si="180"/>
        <v>125626631.35898529</v>
      </c>
      <c r="H102" s="86">
        <f t="shared" si="180"/>
        <v>143660766.58840647</v>
      </c>
      <c r="I102" s="86">
        <f t="shared" si="180"/>
        <v>135315135.02099609</v>
      </c>
      <c r="J102" s="86">
        <f t="shared" si="180"/>
        <v>149870105.05444705</v>
      </c>
      <c r="K102" s="86">
        <f t="shared" ref="K102:V102" si="197">IF(K12=0,0,K12/K34*1000000)</f>
        <v>139198051.32322499</v>
      </c>
      <c r="L102" s="86">
        <f t="shared" si="197"/>
        <v>137902262.43081281</v>
      </c>
      <c r="M102" s="86">
        <f t="shared" si="197"/>
        <v>137144496.18203336</v>
      </c>
      <c r="N102" s="86">
        <f t="shared" si="197"/>
        <v>148888244.55424723</v>
      </c>
      <c r="O102" s="86">
        <f t="shared" si="197"/>
        <v>121868274.79990338</v>
      </c>
      <c r="P102" s="86">
        <f t="shared" si="197"/>
        <v>143470607.7896919</v>
      </c>
      <c r="Q102" s="86">
        <f t="shared" si="197"/>
        <v>169262737.32685623</v>
      </c>
      <c r="R102" s="86">
        <f t="shared" si="197"/>
        <v>151647712.18228105</v>
      </c>
      <c r="S102" s="86">
        <f t="shared" si="197"/>
        <v>189447275.00420764</v>
      </c>
      <c r="T102" s="86">
        <f t="shared" si="197"/>
        <v>167534851.22082844</v>
      </c>
      <c r="U102" s="86">
        <f t="shared" si="197"/>
        <v>191676598.07830423</v>
      </c>
      <c r="V102" s="86">
        <f t="shared" si="197"/>
        <v>126120943.70452559</v>
      </c>
      <c r="W102" s="86">
        <f t="shared" ref="W102" si="198">IF(W12=0,0,W12/W34*1000000)</f>
        <v>123680387.6490681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0.10869565217391304</v>
      </c>
      <c r="C106" s="123">
        <f t="shared" si="199"/>
        <v>0.1130049917928771</v>
      </c>
      <c r="D106" s="123">
        <f t="shared" si="199"/>
        <v>0.11782457065332654</v>
      </c>
      <c r="E106" s="123">
        <f t="shared" si="199"/>
        <v>0.13678898023917652</v>
      </c>
      <c r="F106" s="123">
        <f t="shared" si="199"/>
        <v>0.13984697236770369</v>
      </c>
      <c r="G106" s="123">
        <f t="shared" si="199"/>
        <v>0.15038349905514622</v>
      </c>
      <c r="H106" s="123">
        <f t="shared" si="199"/>
        <v>0.14800267649588478</v>
      </c>
      <c r="I106" s="123">
        <f t="shared" si="199"/>
        <v>0.15427639263138404</v>
      </c>
      <c r="J106" s="123">
        <f t="shared" si="199"/>
        <v>0.13790656379018329</v>
      </c>
      <c r="K106" s="123">
        <f t="shared" ref="K106:V106" si="202">IF(K5=0,0,K5/K$4)</f>
        <v>0.11442321002889115</v>
      </c>
      <c r="L106" s="123">
        <f t="shared" si="202"/>
        <v>0.10933435723237282</v>
      </c>
      <c r="M106" s="123">
        <f t="shared" si="202"/>
        <v>0.11206123926986641</v>
      </c>
      <c r="N106" s="123">
        <f t="shared" si="202"/>
        <v>0.10531352659269438</v>
      </c>
      <c r="O106" s="123">
        <f t="shared" si="202"/>
        <v>9.9770465015830465E-2</v>
      </c>
      <c r="P106" s="123">
        <f t="shared" si="202"/>
        <v>9.0454193160401458E-2</v>
      </c>
      <c r="Q106" s="123">
        <f t="shared" si="202"/>
        <v>6.8490944269582812E-2</v>
      </c>
      <c r="R106" s="123">
        <f t="shared" si="202"/>
        <v>7.9582499044261082E-2</v>
      </c>
      <c r="S106" s="123">
        <f t="shared" si="202"/>
        <v>7.0528198942658715E-2</v>
      </c>
      <c r="T106" s="123">
        <f t="shared" si="202"/>
        <v>6.8933538501881664E-2</v>
      </c>
      <c r="U106" s="123">
        <f t="shared" si="202"/>
        <v>6.5733686338392133E-2</v>
      </c>
      <c r="V106" s="123">
        <f t="shared" si="202"/>
        <v>7.3167374782374353E-2</v>
      </c>
      <c r="W106" s="123">
        <f t="shared" ref="W106" si="203">IF(W5=0,0,W5/W$4)</f>
        <v>6.8544924362336446E-2</v>
      </c>
      <c r="DA106" s="203"/>
    </row>
    <row r="107" spans="1:105" ht="11.45" customHeight="1" x14ac:dyDescent="0.25">
      <c r="A107" s="109" t="s">
        <v>24</v>
      </c>
      <c r="B107" s="124">
        <f t="shared" si="199"/>
        <v>0.89130434782608692</v>
      </c>
      <c r="C107" s="124">
        <f t="shared" si="199"/>
        <v>0.88699500820712296</v>
      </c>
      <c r="D107" s="124">
        <f t="shared" si="199"/>
        <v>0.88217542934667359</v>
      </c>
      <c r="E107" s="124">
        <f t="shared" si="199"/>
        <v>0.86321101976082348</v>
      </c>
      <c r="F107" s="124">
        <f t="shared" si="199"/>
        <v>0.86015302763229629</v>
      </c>
      <c r="G107" s="124">
        <f t="shared" si="199"/>
        <v>0.84961650094485375</v>
      </c>
      <c r="H107" s="124">
        <f t="shared" si="199"/>
        <v>0.85199732350411528</v>
      </c>
      <c r="I107" s="124">
        <f t="shared" si="199"/>
        <v>0.84572360736861596</v>
      </c>
      <c r="J107" s="124">
        <f t="shared" si="199"/>
        <v>0.86209343620981671</v>
      </c>
      <c r="K107" s="124">
        <f t="shared" ref="K107:V107" si="204">IF(K6=0,0,K6/K$4)</f>
        <v>0.88557678997110878</v>
      </c>
      <c r="L107" s="124">
        <f t="shared" si="204"/>
        <v>0.89066564276762716</v>
      </c>
      <c r="M107" s="124">
        <f t="shared" si="204"/>
        <v>0.88793876073013367</v>
      </c>
      <c r="N107" s="124">
        <f t="shared" si="204"/>
        <v>0.89468647340730567</v>
      </c>
      <c r="O107" s="124">
        <f t="shared" si="204"/>
        <v>0.90022953498416958</v>
      </c>
      <c r="P107" s="124">
        <f t="shared" si="204"/>
        <v>0.90954580683959851</v>
      </c>
      <c r="Q107" s="124">
        <f t="shared" si="204"/>
        <v>0.9315090557304172</v>
      </c>
      <c r="R107" s="124">
        <f t="shared" si="204"/>
        <v>0.92041750095573882</v>
      </c>
      <c r="S107" s="124">
        <f t="shared" si="204"/>
        <v>0.92947180105734117</v>
      </c>
      <c r="T107" s="124">
        <f t="shared" si="204"/>
        <v>0.93106646149811845</v>
      </c>
      <c r="U107" s="124">
        <f t="shared" si="204"/>
        <v>0.93426631366160795</v>
      </c>
      <c r="V107" s="124">
        <f t="shared" si="204"/>
        <v>0.92683262521762577</v>
      </c>
      <c r="W107" s="124">
        <f t="shared" ref="W107" si="205">IF(W6=0,0,W6/W$4)</f>
        <v>0.93145507563766361</v>
      </c>
      <c r="DA107" s="176"/>
    </row>
    <row r="108" spans="1:105" ht="11.45" customHeight="1" x14ac:dyDescent="0.25">
      <c r="A108" s="111" t="s">
        <v>92</v>
      </c>
      <c r="B108" s="125">
        <f t="shared" si="199"/>
        <v>0</v>
      </c>
      <c r="C108" s="125">
        <f t="shared" si="199"/>
        <v>0</v>
      </c>
      <c r="D108" s="125">
        <f t="shared" si="199"/>
        <v>0</v>
      </c>
      <c r="E108" s="125">
        <f t="shared" si="199"/>
        <v>0</v>
      </c>
      <c r="F108" s="125">
        <f t="shared" si="199"/>
        <v>0</v>
      </c>
      <c r="G108" s="125">
        <f t="shared" si="199"/>
        <v>0</v>
      </c>
      <c r="H108" s="125">
        <f t="shared" si="199"/>
        <v>0</v>
      </c>
      <c r="I108" s="125">
        <f t="shared" si="199"/>
        <v>0</v>
      </c>
      <c r="J108" s="125">
        <f t="shared" si="199"/>
        <v>0</v>
      </c>
      <c r="K108" s="125">
        <f t="shared" ref="K108:V108" si="206">IF(K7=0,0,K7/K$4)</f>
        <v>0</v>
      </c>
      <c r="L108" s="125">
        <f t="shared" si="206"/>
        <v>0</v>
      </c>
      <c r="M108" s="125">
        <f t="shared" si="206"/>
        <v>0</v>
      </c>
      <c r="N108" s="125">
        <f t="shared" si="206"/>
        <v>0</v>
      </c>
      <c r="O108" s="125">
        <f t="shared" si="206"/>
        <v>0</v>
      </c>
      <c r="P108" s="125">
        <f t="shared" si="206"/>
        <v>0</v>
      </c>
      <c r="Q108" s="125">
        <f t="shared" si="206"/>
        <v>0</v>
      </c>
      <c r="R108" s="125">
        <f t="shared" si="206"/>
        <v>0</v>
      </c>
      <c r="S108" s="125">
        <f t="shared" si="206"/>
        <v>0</v>
      </c>
      <c r="T108" s="125">
        <f t="shared" si="206"/>
        <v>0</v>
      </c>
      <c r="U108" s="125">
        <f t="shared" si="206"/>
        <v>0</v>
      </c>
      <c r="V108" s="125">
        <f t="shared" si="206"/>
        <v>0</v>
      </c>
      <c r="W108" s="125">
        <f t="shared" ref="W108" si="207">IF(W7=0,0,W7/W$4)</f>
        <v>0</v>
      </c>
      <c r="DA108" s="171"/>
    </row>
    <row r="109" spans="1:105" ht="11.45" customHeight="1" x14ac:dyDescent="0.25">
      <c r="A109" s="111" t="s">
        <v>93</v>
      </c>
      <c r="B109" s="125">
        <f t="shared" si="199"/>
        <v>0.89130434782608692</v>
      </c>
      <c r="C109" s="125">
        <f t="shared" si="199"/>
        <v>0.88699500820712296</v>
      </c>
      <c r="D109" s="125">
        <f t="shared" si="199"/>
        <v>0.88217542934667359</v>
      </c>
      <c r="E109" s="125">
        <f t="shared" si="199"/>
        <v>0.86321101976082348</v>
      </c>
      <c r="F109" s="125">
        <f t="shared" si="199"/>
        <v>0.86015302763229629</v>
      </c>
      <c r="G109" s="125">
        <f t="shared" si="199"/>
        <v>0.84961650094485375</v>
      </c>
      <c r="H109" s="125">
        <f t="shared" si="199"/>
        <v>0.85199732350411528</v>
      </c>
      <c r="I109" s="125">
        <f t="shared" si="199"/>
        <v>0.84572360736861596</v>
      </c>
      <c r="J109" s="125">
        <f t="shared" si="199"/>
        <v>0.86209343620981671</v>
      </c>
      <c r="K109" s="125">
        <f t="shared" ref="K109:V109" si="208">IF(K8=0,0,K8/K$4)</f>
        <v>0.88557678997110878</v>
      </c>
      <c r="L109" s="125">
        <f t="shared" si="208"/>
        <v>0.89066564276762716</v>
      </c>
      <c r="M109" s="125">
        <f t="shared" si="208"/>
        <v>0.88793876073013367</v>
      </c>
      <c r="N109" s="125">
        <f t="shared" si="208"/>
        <v>0.89468647340730567</v>
      </c>
      <c r="O109" s="125">
        <f t="shared" si="208"/>
        <v>0.90022953498416958</v>
      </c>
      <c r="P109" s="125">
        <f t="shared" si="208"/>
        <v>0.90954580683959851</v>
      </c>
      <c r="Q109" s="125">
        <f t="shared" si="208"/>
        <v>0.9315090557304172</v>
      </c>
      <c r="R109" s="125">
        <f t="shared" si="208"/>
        <v>0.92041750095573882</v>
      </c>
      <c r="S109" s="125">
        <f t="shared" si="208"/>
        <v>0.92947180105734117</v>
      </c>
      <c r="T109" s="125">
        <f t="shared" si="208"/>
        <v>0.93106646149811845</v>
      </c>
      <c r="U109" s="125">
        <f t="shared" si="208"/>
        <v>0.93426631366160795</v>
      </c>
      <c r="V109" s="125">
        <f t="shared" si="208"/>
        <v>0.92683262521762577</v>
      </c>
      <c r="W109" s="125">
        <f t="shared" ref="W109" si="209">IF(W8=0,0,W8/W$4)</f>
        <v>0.93145507563766361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</v>
      </c>
      <c r="C112" s="125">
        <f t="shared" si="212"/>
        <v>0</v>
      </c>
      <c r="D112" s="125">
        <f t="shared" si="212"/>
        <v>0</v>
      </c>
      <c r="E112" s="125">
        <f t="shared" si="212"/>
        <v>0</v>
      </c>
      <c r="F112" s="125">
        <f t="shared" si="212"/>
        <v>0</v>
      </c>
      <c r="G112" s="125">
        <f t="shared" si="212"/>
        <v>0</v>
      </c>
      <c r="H112" s="125">
        <f t="shared" si="212"/>
        <v>0</v>
      </c>
      <c r="I112" s="125">
        <f t="shared" si="212"/>
        <v>0</v>
      </c>
      <c r="J112" s="125">
        <f t="shared" si="212"/>
        <v>0</v>
      </c>
      <c r="K112" s="125">
        <f t="shared" ref="K112:V112" si="215">IF(K11=0,0,K11/K$10)</f>
        <v>0</v>
      </c>
      <c r="L112" s="125">
        <f t="shared" si="215"/>
        <v>0</v>
      </c>
      <c r="M112" s="125">
        <f t="shared" si="215"/>
        <v>0</v>
      </c>
      <c r="N112" s="125">
        <f t="shared" si="215"/>
        <v>0</v>
      </c>
      <c r="O112" s="125">
        <f t="shared" si="215"/>
        <v>0</v>
      </c>
      <c r="P112" s="125">
        <f t="shared" si="215"/>
        <v>0</v>
      </c>
      <c r="Q112" s="125">
        <f t="shared" si="215"/>
        <v>0</v>
      </c>
      <c r="R112" s="125">
        <f t="shared" si="215"/>
        <v>0</v>
      </c>
      <c r="S112" s="125">
        <f t="shared" si="215"/>
        <v>0</v>
      </c>
      <c r="T112" s="125">
        <f t="shared" si="215"/>
        <v>0</v>
      </c>
      <c r="U112" s="125">
        <f t="shared" si="215"/>
        <v>0</v>
      </c>
      <c r="V112" s="125">
        <f t="shared" si="215"/>
        <v>0</v>
      </c>
      <c r="W112" s="125">
        <f t="shared" ref="W112" si="216">IF(W11=0,0,W11/W$10)</f>
        <v>0</v>
      </c>
      <c r="DA112" s="171"/>
    </row>
    <row r="113" spans="1:105" ht="11.45" customHeight="1" x14ac:dyDescent="0.25">
      <c r="A113" s="85" t="s">
        <v>93</v>
      </c>
      <c r="B113" s="127">
        <f t="shared" si="212"/>
        <v>1</v>
      </c>
      <c r="C113" s="127">
        <f t="shared" si="212"/>
        <v>1</v>
      </c>
      <c r="D113" s="127">
        <f t="shared" si="212"/>
        <v>1</v>
      </c>
      <c r="E113" s="127">
        <f t="shared" si="212"/>
        <v>1</v>
      </c>
      <c r="F113" s="127">
        <f t="shared" si="212"/>
        <v>1</v>
      </c>
      <c r="G113" s="127">
        <f t="shared" si="212"/>
        <v>1</v>
      </c>
      <c r="H113" s="127">
        <f t="shared" si="212"/>
        <v>1</v>
      </c>
      <c r="I113" s="127">
        <f t="shared" si="212"/>
        <v>1</v>
      </c>
      <c r="J113" s="127">
        <f t="shared" si="212"/>
        <v>1</v>
      </c>
      <c r="K113" s="127">
        <f t="shared" ref="K113:V113" si="217">IF(K12=0,0,K12/K$10)</f>
        <v>1</v>
      </c>
      <c r="L113" s="127">
        <f t="shared" si="217"/>
        <v>1</v>
      </c>
      <c r="M113" s="127">
        <f t="shared" si="217"/>
        <v>1</v>
      </c>
      <c r="N113" s="127">
        <f t="shared" si="217"/>
        <v>1</v>
      </c>
      <c r="O113" s="127">
        <f t="shared" si="217"/>
        <v>1</v>
      </c>
      <c r="P113" s="127">
        <f t="shared" si="217"/>
        <v>1</v>
      </c>
      <c r="Q113" s="127">
        <f t="shared" si="217"/>
        <v>1</v>
      </c>
      <c r="R113" s="127">
        <f t="shared" si="217"/>
        <v>1</v>
      </c>
      <c r="S113" s="127">
        <f t="shared" si="217"/>
        <v>1</v>
      </c>
      <c r="T113" s="127">
        <f t="shared" si="217"/>
        <v>1</v>
      </c>
      <c r="U113" s="127">
        <f t="shared" si="217"/>
        <v>1</v>
      </c>
      <c r="V113" s="127">
        <f t="shared" si="217"/>
        <v>1</v>
      </c>
      <c r="W113" s="127">
        <f t="shared" ref="W113" si="218">IF(W12=0,0,W12/W$10)</f>
        <v>1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0.18298646975109611</v>
      </c>
      <c r="C117" s="123">
        <f t="shared" si="219"/>
        <v>0.21482854991337247</v>
      </c>
      <c r="D117" s="123">
        <f t="shared" si="219"/>
        <v>0.22220904379313611</v>
      </c>
      <c r="E117" s="123">
        <f t="shared" si="219"/>
        <v>0.22346963525484922</v>
      </c>
      <c r="F117" s="123">
        <f t="shared" si="219"/>
        <v>0.2242940007016494</v>
      </c>
      <c r="G117" s="123">
        <f t="shared" si="219"/>
        <v>0.25460425702014328</v>
      </c>
      <c r="H117" s="123">
        <f t="shared" si="219"/>
        <v>0.23260210497278172</v>
      </c>
      <c r="I117" s="123">
        <f t="shared" si="219"/>
        <v>0.24913545302288095</v>
      </c>
      <c r="J117" s="123">
        <f t="shared" si="219"/>
        <v>0.21764603158224255</v>
      </c>
      <c r="K117" s="123">
        <f t="shared" ref="K117:V117" si="222">IF(K16=0,0,K16/K$15)</f>
        <v>0.17034688854259009</v>
      </c>
      <c r="L117" s="123">
        <f t="shared" si="222"/>
        <v>0.16410815180619392</v>
      </c>
      <c r="M117" s="123">
        <f t="shared" si="222"/>
        <v>0.16958756974594999</v>
      </c>
      <c r="N117" s="123">
        <f t="shared" si="222"/>
        <v>0.15486051642438312</v>
      </c>
      <c r="O117" s="123">
        <f t="shared" si="222"/>
        <v>0.14677997949731111</v>
      </c>
      <c r="P117" s="123">
        <f t="shared" si="222"/>
        <v>0.12705790684500134</v>
      </c>
      <c r="Q117" s="123">
        <f t="shared" si="222"/>
        <v>9.3992353580827651E-2</v>
      </c>
      <c r="R117" s="123">
        <f t="shared" si="222"/>
        <v>0.11123963399909644</v>
      </c>
      <c r="S117" s="123">
        <f t="shared" si="222"/>
        <v>9.7045854654423863E-2</v>
      </c>
      <c r="T117" s="123">
        <f t="shared" si="222"/>
        <v>9.8188079212281509E-2</v>
      </c>
      <c r="U117" s="123">
        <f t="shared" si="222"/>
        <v>0.10638880553681471</v>
      </c>
      <c r="V117" s="123">
        <f t="shared" si="222"/>
        <v>0.12394974230145853</v>
      </c>
      <c r="W117" s="123">
        <f t="shared" ref="W117" si="223">IF(W16=0,0,W16/W$15)</f>
        <v>0.11739937817227036</v>
      </c>
      <c r="DA117" s="203"/>
    </row>
    <row r="118" spans="1:105" ht="11.45" customHeight="1" x14ac:dyDescent="0.25">
      <c r="A118" s="109" t="s">
        <v>24</v>
      </c>
      <c r="B118" s="124">
        <f t="shared" si="219"/>
        <v>0.81701353024890389</v>
      </c>
      <c r="C118" s="124">
        <f t="shared" si="219"/>
        <v>0.78517145008662748</v>
      </c>
      <c r="D118" s="124">
        <f t="shared" si="219"/>
        <v>0.77779095620686389</v>
      </c>
      <c r="E118" s="124">
        <f t="shared" si="219"/>
        <v>0.7765303647451508</v>
      </c>
      <c r="F118" s="124">
        <f t="shared" si="219"/>
        <v>0.7757059992983506</v>
      </c>
      <c r="G118" s="124">
        <f t="shared" si="219"/>
        <v>0.74539574297985667</v>
      </c>
      <c r="H118" s="124">
        <f t="shared" si="219"/>
        <v>0.76739789502721822</v>
      </c>
      <c r="I118" s="124">
        <f t="shared" si="219"/>
        <v>0.75086454697711913</v>
      </c>
      <c r="J118" s="124">
        <f t="shared" si="219"/>
        <v>0.78235396841775751</v>
      </c>
      <c r="K118" s="124">
        <f t="shared" ref="K118:V118" si="224">IF(K17=0,0,K17/K$15)</f>
        <v>0.82965311145740983</v>
      </c>
      <c r="L118" s="124">
        <f t="shared" si="224"/>
        <v>0.83589184819380602</v>
      </c>
      <c r="M118" s="124">
        <f t="shared" si="224"/>
        <v>0.83041243025404998</v>
      </c>
      <c r="N118" s="124">
        <f t="shared" si="224"/>
        <v>0.84513948357561686</v>
      </c>
      <c r="O118" s="124">
        <f t="shared" si="224"/>
        <v>0.85322002050268886</v>
      </c>
      <c r="P118" s="124">
        <f t="shared" si="224"/>
        <v>0.87294209315499871</v>
      </c>
      <c r="Q118" s="124">
        <f t="shared" si="224"/>
        <v>0.90600764641917231</v>
      </c>
      <c r="R118" s="124">
        <f t="shared" si="224"/>
        <v>0.88876036600090369</v>
      </c>
      <c r="S118" s="124">
        <f t="shared" si="224"/>
        <v>0.90295414534557605</v>
      </c>
      <c r="T118" s="124">
        <f t="shared" si="224"/>
        <v>0.90181192078771855</v>
      </c>
      <c r="U118" s="124">
        <f t="shared" si="224"/>
        <v>0.89361119446318527</v>
      </c>
      <c r="V118" s="124">
        <f t="shared" si="224"/>
        <v>0.8760502576985415</v>
      </c>
      <c r="W118" s="124">
        <f t="shared" ref="W118" si="225">IF(W17=0,0,W17/W$15)</f>
        <v>0.88260062182772969</v>
      </c>
      <c r="DA118" s="176"/>
    </row>
    <row r="119" spans="1:105" ht="11.45" customHeight="1" x14ac:dyDescent="0.25">
      <c r="A119" s="111" t="s">
        <v>92</v>
      </c>
      <c r="B119" s="125">
        <f t="shared" si="219"/>
        <v>0</v>
      </c>
      <c r="C119" s="125">
        <f t="shared" si="219"/>
        <v>0</v>
      </c>
      <c r="D119" s="125">
        <f t="shared" si="219"/>
        <v>0</v>
      </c>
      <c r="E119" s="125">
        <f t="shared" si="219"/>
        <v>0</v>
      </c>
      <c r="F119" s="125">
        <f t="shared" si="219"/>
        <v>0</v>
      </c>
      <c r="G119" s="125">
        <f t="shared" si="219"/>
        <v>0</v>
      </c>
      <c r="H119" s="125">
        <f t="shared" si="219"/>
        <v>0</v>
      </c>
      <c r="I119" s="125">
        <f t="shared" si="219"/>
        <v>0</v>
      </c>
      <c r="J119" s="125">
        <f t="shared" si="219"/>
        <v>0</v>
      </c>
      <c r="K119" s="125">
        <f t="shared" ref="K119:V119" si="226">IF(K18=0,0,K18/K$15)</f>
        <v>0</v>
      </c>
      <c r="L119" s="125">
        <f t="shared" si="226"/>
        <v>0</v>
      </c>
      <c r="M119" s="125">
        <f t="shared" si="226"/>
        <v>0</v>
      </c>
      <c r="N119" s="125">
        <f t="shared" si="226"/>
        <v>0</v>
      </c>
      <c r="O119" s="125">
        <f t="shared" si="226"/>
        <v>0</v>
      </c>
      <c r="P119" s="125">
        <f t="shared" si="226"/>
        <v>0</v>
      </c>
      <c r="Q119" s="125">
        <f t="shared" si="226"/>
        <v>0</v>
      </c>
      <c r="R119" s="125">
        <f t="shared" si="226"/>
        <v>0</v>
      </c>
      <c r="S119" s="125">
        <f t="shared" si="226"/>
        <v>0</v>
      </c>
      <c r="T119" s="125">
        <f t="shared" si="226"/>
        <v>0</v>
      </c>
      <c r="U119" s="125">
        <f t="shared" si="226"/>
        <v>0</v>
      </c>
      <c r="V119" s="125">
        <f t="shared" si="226"/>
        <v>0</v>
      </c>
      <c r="W119" s="125">
        <f t="shared" ref="W119" si="227">IF(W18=0,0,W18/W$15)</f>
        <v>0</v>
      </c>
      <c r="DA119" s="171"/>
    </row>
    <row r="120" spans="1:105" ht="11.45" customHeight="1" x14ac:dyDescent="0.25">
      <c r="A120" s="111" t="s">
        <v>93</v>
      </c>
      <c r="B120" s="125">
        <f t="shared" si="219"/>
        <v>0.81701353024890389</v>
      </c>
      <c r="C120" s="125">
        <f t="shared" si="219"/>
        <v>0.78517145008662748</v>
      </c>
      <c r="D120" s="125">
        <f t="shared" si="219"/>
        <v>0.77779095620686389</v>
      </c>
      <c r="E120" s="125">
        <f t="shared" si="219"/>
        <v>0.7765303647451508</v>
      </c>
      <c r="F120" s="125">
        <f t="shared" si="219"/>
        <v>0.7757059992983506</v>
      </c>
      <c r="G120" s="125">
        <f t="shared" si="219"/>
        <v>0.74539574297985667</v>
      </c>
      <c r="H120" s="125">
        <f t="shared" si="219"/>
        <v>0.76739789502721822</v>
      </c>
      <c r="I120" s="125">
        <f t="shared" si="219"/>
        <v>0.75086454697711913</v>
      </c>
      <c r="J120" s="125">
        <f t="shared" si="219"/>
        <v>0.78235396841775751</v>
      </c>
      <c r="K120" s="125">
        <f t="shared" ref="K120:V120" si="228">IF(K19=0,0,K19/K$15)</f>
        <v>0.82965311145740983</v>
      </c>
      <c r="L120" s="125">
        <f t="shared" si="228"/>
        <v>0.83589184819380602</v>
      </c>
      <c r="M120" s="125">
        <f t="shared" si="228"/>
        <v>0.83041243025404998</v>
      </c>
      <c r="N120" s="125">
        <f t="shared" si="228"/>
        <v>0.84513948357561686</v>
      </c>
      <c r="O120" s="125">
        <f t="shared" si="228"/>
        <v>0.85322002050268886</v>
      </c>
      <c r="P120" s="125">
        <f t="shared" si="228"/>
        <v>0.87294209315499871</v>
      </c>
      <c r="Q120" s="125">
        <f t="shared" si="228"/>
        <v>0.90600764641917231</v>
      </c>
      <c r="R120" s="125">
        <f t="shared" si="228"/>
        <v>0.88876036600090369</v>
      </c>
      <c r="S120" s="125">
        <f t="shared" si="228"/>
        <v>0.90295414534557605</v>
      </c>
      <c r="T120" s="125">
        <f t="shared" si="228"/>
        <v>0.90181192078771855</v>
      </c>
      <c r="U120" s="125">
        <f t="shared" si="228"/>
        <v>0.89361119446318527</v>
      </c>
      <c r="V120" s="125">
        <f t="shared" si="228"/>
        <v>0.8760502576985415</v>
      </c>
      <c r="W120" s="125">
        <f t="shared" ref="W120" si="229">IF(W19=0,0,W19/W$15)</f>
        <v>0.88260062182772969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</v>
      </c>
      <c r="C123" s="125">
        <f t="shared" si="232"/>
        <v>0</v>
      </c>
      <c r="D123" s="125">
        <f t="shared" si="232"/>
        <v>0</v>
      </c>
      <c r="E123" s="125">
        <f t="shared" si="232"/>
        <v>0</v>
      </c>
      <c r="F123" s="125">
        <f t="shared" si="232"/>
        <v>0</v>
      </c>
      <c r="G123" s="125">
        <f t="shared" si="232"/>
        <v>0</v>
      </c>
      <c r="H123" s="125">
        <f t="shared" si="232"/>
        <v>0</v>
      </c>
      <c r="I123" s="125">
        <f t="shared" si="232"/>
        <v>0</v>
      </c>
      <c r="J123" s="125">
        <f t="shared" si="232"/>
        <v>0</v>
      </c>
      <c r="K123" s="125">
        <f t="shared" ref="K123:V123" si="235">IF(K22=0,0,K22/K$21)</f>
        <v>0</v>
      </c>
      <c r="L123" s="125">
        <f t="shared" si="235"/>
        <v>0</v>
      </c>
      <c r="M123" s="125">
        <f t="shared" si="235"/>
        <v>0</v>
      </c>
      <c r="N123" s="125">
        <f t="shared" si="235"/>
        <v>0</v>
      </c>
      <c r="O123" s="125">
        <f t="shared" si="235"/>
        <v>0</v>
      </c>
      <c r="P123" s="125">
        <f t="shared" si="235"/>
        <v>0</v>
      </c>
      <c r="Q123" s="125">
        <f t="shared" si="235"/>
        <v>0</v>
      </c>
      <c r="R123" s="125">
        <f t="shared" si="235"/>
        <v>0</v>
      </c>
      <c r="S123" s="125">
        <f t="shared" si="235"/>
        <v>0</v>
      </c>
      <c r="T123" s="125">
        <f t="shared" si="235"/>
        <v>0</v>
      </c>
      <c r="U123" s="125">
        <f t="shared" si="235"/>
        <v>0</v>
      </c>
      <c r="V123" s="125">
        <f t="shared" si="235"/>
        <v>0</v>
      </c>
      <c r="W123" s="125">
        <f t="shared" ref="W123" si="236">IF(W22=0,0,W22/W$21)</f>
        <v>0</v>
      </c>
      <c r="DA123" s="171"/>
    </row>
    <row r="124" spans="1:105" ht="11.45" customHeight="1" x14ac:dyDescent="0.25">
      <c r="A124" s="85" t="s">
        <v>93</v>
      </c>
      <c r="B124" s="127">
        <f t="shared" si="232"/>
        <v>1</v>
      </c>
      <c r="C124" s="127">
        <f t="shared" si="232"/>
        <v>1</v>
      </c>
      <c r="D124" s="127">
        <f t="shared" si="232"/>
        <v>1</v>
      </c>
      <c r="E124" s="127">
        <f t="shared" si="232"/>
        <v>1</v>
      </c>
      <c r="F124" s="127">
        <f t="shared" si="232"/>
        <v>1</v>
      </c>
      <c r="G124" s="127">
        <f t="shared" si="232"/>
        <v>1</v>
      </c>
      <c r="H124" s="127">
        <f t="shared" si="232"/>
        <v>1</v>
      </c>
      <c r="I124" s="127">
        <f t="shared" si="232"/>
        <v>1</v>
      </c>
      <c r="J124" s="127">
        <f t="shared" si="232"/>
        <v>1</v>
      </c>
      <c r="K124" s="127">
        <f t="shared" ref="K124:V124" si="237">IF(K23=0,0,K23/K$21)</f>
        <v>1</v>
      </c>
      <c r="L124" s="127">
        <f t="shared" si="237"/>
        <v>1</v>
      </c>
      <c r="M124" s="127">
        <f t="shared" si="237"/>
        <v>1</v>
      </c>
      <c r="N124" s="127">
        <f t="shared" si="237"/>
        <v>1</v>
      </c>
      <c r="O124" s="127">
        <f t="shared" si="237"/>
        <v>1</v>
      </c>
      <c r="P124" s="127">
        <f t="shared" si="237"/>
        <v>1</v>
      </c>
      <c r="Q124" s="127">
        <f t="shared" si="237"/>
        <v>1</v>
      </c>
      <c r="R124" s="127">
        <f t="shared" si="237"/>
        <v>1</v>
      </c>
      <c r="S124" s="127">
        <f t="shared" si="237"/>
        <v>1</v>
      </c>
      <c r="T124" s="127">
        <f t="shared" si="237"/>
        <v>1</v>
      </c>
      <c r="U124" s="127">
        <f t="shared" si="237"/>
        <v>1</v>
      </c>
      <c r="V124" s="127">
        <f t="shared" si="237"/>
        <v>1</v>
      </c>
      <c r="W124" s="127">
        <f t="shared" ref="W124" si="238">IF(W23=0,0,W23/W$21)</f>
        <v>1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82.975064488392078</v>
      </c>
      <c r="C4" s="146">
        <f t="shared" ref="C4:V4" si="0">SUM(C5,C8)</f>
        <v>59.071367153912291</v>
      </c>
      <c r="D4" s="146">
        <f t="shared" si="0"/>
        <v>54.944110060189161</v>
      </c>
      <c r="E4" s="146">
        <f t="shared" si="0"/>
        <v>55.717970765262251</v>
      </c>
      <c r="F4" s="146">
        <f t="shared" si="0"/>
        <v>53.912295786758378</v>
      </c>
      <c r="G4" s="146">
        <f t="shared" si="0"/>
        <v>42.476354256233883</v>
      </c>
      <c r="H4" s="146">
        <f t="shared" si="0"/>
        <v>45.313843508168517</v>
      </c>
      <c r="I4" s="146">
        <f t="shared" si="0"/>
        <v>44.196044711951849</v>
      </c>
      <c r="J4" s="146">
        <f t="shared" si="0"/>
        <v>40.928632846087702</v>
      </c>
      <c r="K4" s="146">
        <f t="shared" si="0"/>
        <v>36.457437661220979</v>
      </c>
      <c r="L4" s="146">
        <f t="shared" si="0"/>
        <v>39.810834049871019</v>
      </c>
      <c r="M4" s="146">
        <f t="shared" si="0"/>
        <v>39.724849527085119</v>
      </c>
      <c r="N4" s="146">
        <f t="shared" si="0"/>
        <v>37.919174548581253</v>
      </c>
      <c r="O4" s="146">
        <f t="shared" si="0"/>
        <v>42.132416165090277</v>
      </c>
      <c r="P4" s="146">
        <f t="shared" si="0"/>
        <v>41.186586414445387</v>
      </c>
      <c r="Q4" s="146">
        <f t="shared" si="0"/>
        <v>43.85210662080825</v>
      </c>
      <c r="R4" s="146">
        <f t="shared" si="0"/>
        <v>43.93809114359415</v>
      </c>
      <c r="S4" s="146">
        <f t="shared" si="0"/>
        <v>42.562338779019782</v>
      </c>
      <c r="T4" s="146">
        <f t="shared" si="0"/>
        <v>42.734307824591568</v>
      </c>
      <c r="U4" s="146">
        <f t="shared" si="0"/>
        <v>37.747205503009447</v>
      </c>
      <c r="V4" s="146">
        <f t="shared" si="0"/>
        <v>35.941530524505588</v>
      </c>
      <c r="W4" s="146">
        <f t="shared" ref="W4" si="1">SUM(W5,W8)</f>
        <v>40.068787618228718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0</v>
      </c>
      <c r="C5" s="101">
        <f t="shared" ref="C5:V5" si="2">SUM(C6:C7)</f>
        <v>0</v>
      </c>
      <c r="D5" s="101">
        <f t="shared" si="2"/>
        <v>0</v>
      </c>
      <c r="E5" s="101">
        <f t="shared" si="2"/>
        <v>0</v>
      </c>
      <c r="F5" s="101">
        <f t="shared" si="2"/>
        <v>0</v>
      </c>
      <c r="G5" s="101">
        <f t="shared" si="2"/>
        <v>0</v>
      </c>
      <c r="H5" s="101">
        <f t="shared" si="2"/>
        <v>0</v>
      </c>
      <c r="I5" s="101">
        <f t="shared" si="2"/>
        <v>0</v>
      </c>
      <c r="J5" s="101">
        <f t="shared" si="2"/>
        <v>0</v>
      </c>
      <c r="K5" s="101">
        <f t="shared" si="2"/>
        <v>0</v>
      </c>
      <c r="L5" s="101">
        <f t="shared" si="2"/>
        <v>0</v>
      </c>
      <c r="M5" s="101">
        <f t="shared" si="2"/>
        <v>0</v>
      </c>
      <c r="N5" s="101">
        <f t="shared" si="2"/>
        <v>0</v>
      </c>
      <c r="O5" s="101">
        <f t="shared" si="2"/>
        <v>0</v>
      </c>
      <c r="P5" s="101">
        <f t="shared" si="2"/>
        <v>0</v>
      </c>
      <c r="Q5" s="101">
        <f t="shared" si="2"/>
        <v>0</v>
      </c>
      <c r="R5" s="101">
        <f t="shared" si="2"/>
        <v>0</v>
      </c>
      <c r="S5" s="101">
        <f t="shared" si="2"/>
        <v>0</v>
      </c>
      <c r="T5" s="101">
        <f t="shared" si="2"/>
        <v>0</v>
      </c>
      <c r="U5" s="101">
        <f t="shared" si="2"/>
        <v>0</v>
      </c>
      <c r="V5" s="101">
        <f t="shared" si="2"/>
        <v>0</v>
      </c>
      <c r="W5" s="101">
        <f t="shared" ref="W5" si="3">SUM(W6:W7)</f>
        <v>0</v>
      </c>
      <c r="DA5" s="175"/>
    </row>
    <row r="6" spans="1:105" ht="11.45" customHeight="1" x14ac:dyDescent="0.25">
      <c r="A6" s="164" t="s">
        <v>182</v>
      </c>
      <c r="B6" s="165">
        <v>0</v>
      </c>
      <c r="C6" s="165">
        <v>0</v>
      </c>
      <c r="D6" s="165">
        <v>0</v>
      </c>
      <c r="E6" s="165">
        <v>0</v>
      </c>
      <c r="F6" s="165">
        <v>0</v>
      </c>
      <c r="G6" s="165">
        <v>0</v>
      </c>
      <c r="H6" s="165">
        <v>0</v>
      </c>
      <c r="I6" s="165">
        <v>0</v>
      </c>
      <c r="J6" s="165">
        <v>0</v>
      </c>
      <c r="K6" s="165">
        <v>0</v>
      </c>
      <c r="L6" s="165">
        <v>0</v>
      </c>
      <c r="M6" s="165">
        <v>0</v>
      </c>
      <c r="N6" s="165">
        <v>0</v>
      </c>
      <c r="O6" s="165">
        <v>0</v>
      </c>
      <c r="P6" s="165">
        <v>0</v>
      </c>
      <c r="Q6" s="165">
        <v>0</v>
      </c>
      <c r="R6" s="165">
        <v>0</v>
      </c>
      <c r="S6" s="165">
        <v>0</v>
      </c>
      <c r="T6" s="165">
        <v>0</v>
      </c>
      <c r="U6" s="165">
        <v>0</v>
      </c>
      <c r="V6" s="165">
        <v>0</v>
      </c>
      <c r="W6" s="165">
        <v>0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82.975064488392078</v>
      </c>
      <c r="C8" s="88">
        <v>59.071367153912291</v>
      </c>
      <c r="D8" s="88">
        <v>54.944110060189161</v>
      </c>
      <c r="E8" s="88">
        <v>55.717970765262251</v>
      </c>
      <c r="F8" s="88">
        <v>53.912295786758378</v>
      </c>
      <c r="G8" s="88">
        <v>42.476354256233883</v>
      </c>
      <c r="H8" s="88">
        <v>45.313843508168517</v>
      </c>
      <c r="I8" s="88">
        <v>44.196044711951849</v>
      </c>
      <c r="J8" s="88">
        <v>40.928632846087702</v>
      </c>
      <c r="K8" s="88">
        <v>36.457437661220979</v>
      </c>
      <c r="L8" s="88">
        <v>39.810834049871019</v>
      </c>
      <c r="M8" s="88">
        <v>39.724849527085119</v>
      </c>
      <c r="N8" s="88">
        <v>37.919174548581253</v>
      </c>
      <c r="O8" s="88">
        <v>42.132416165090277</v>
      </c>
      <c r="P8" s="88">
        <v>41.186586414445387</v>
      </c>
      <c r="Q8" s="88">
        <v>43.85210662080825</v>
      </c>
      <c r="R8" s="88">
        <v>43.93809114359415</v>
      </c>
      <c r="S8" s="88">
        <v>42.562338779019782</v>
      </c>
      <c r="T8" s="88">
        <v>42.734307824591568</v>
      </c>
      <c r="U8" s="88">
        <v>37.747205503009447</v>
      </c>
      <c r="V8" s="88">
        <v>35.941530524505588</v>
      </c>
      <c r="W8" s="88">
        <v>40.068787618228718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82.975064488392093</v>
      </c>
      <c r="C10" s="62">
        <f t="shared" ref="C10:V10" si="5">SUM(C11,C17)</f>
        <v>59.071367153912291</v>
      </c>
      <c r="D10" s="62">
        <f t="shared" si="5"/>
        <v>54.944110060189161</v>
      </c>
      <c r="E10" s="62">
        <f t="shared" si="5"/>
        <v>55.717970765262251</v>
      </c>
      <c r="F10" s="62">
        <f t="shared" si="5"/>
        <v>53.912295786758378</v>
      </c>
      <c r="G10" s="62">
        <f t="shared" si="5"/>
        <v>42.476354256233883</v>
      </c>
      <c r="H10" s="62">
        <f t="shared" si="5"/>
        <v>45.313843508168517</v>
      </c>
      <c r="I10" s="62">
        <f t="shared" si="5"/>
        <v>44.196044711951849</v>
      </c>
      <c r="J10" s="62">
        <f t="shared" si="5"/>
        <v>40.928632846087709</v>
      </c>
      <c r="K10" s="62">
        <f t="shared" si="5"/>
        <v>36.457437661220979</v>
      </c>
      <c r="L10" s="62">
        <f t="shared" si="5"/>
        <v>39.810834049871019</v>
      </c>
      <c r="M10" s="62">
        <f t="shared" si="5"/>
        <v>39.724849527085119</v>
      </c>
      <c r="N10" s="62">
        <f t="shared" si="5"/>
        <v>37.919174548581253</v>
      </c>
      <c r="O10" s="62">
        <f t="shared" si="5"/>
        <v>42.132416165090277</v>
      </c>
      <c r="P10" s="62">
        <f t="shared" si="5"/>
        <v>41.186586414445387</v>
      </c>
      <c r="Q10" s="62">
        <f t="shared" si="5"/>
        <v>43.852106620808257</v>
      </c>
      <c r="R10" s="62">
        <f t="shared" si="5"/>
        <v>43.93809114359415</v>
      </c>
      <c r="S10" s="62">
        <f t="shared" si="5"/>
        <v>42.562338779019782</v>
      </c>
      <c r="T10" s="62">
        <f t="shared" si="5"/>
        <v>42.734307824591568</v>
      </c>
      <c r="U10" s="62">
        <f t="shared" si="5"/>
        <v>37.747205503009447</v>
      </c>
      <c r="V10" s="62">
        <f t="shared" si="5"/>
        <v>35.941530524505588</v>
      </c>
      <c r="W10" s="62">
        <f t="shared" ref="W10" si="6">SUM(W11,W17)</f>
        <v>40.068787618228725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33.282821120330524</v>
      </c>
      <c r="C11" s="29">
        <f t="shared" ref="C11:V11" si="8">SUM(C12,C13,C16)</f>
        <v>26.75373764040555</v>
      </c>
      <c r="D11" s="29">
        <f t="shared" si="8"/>
        <v>25.037996632513924</v>
      </c>
      <c r="E11" s="29">
        <f t="shared" si="8"/>
        <v>25.10822694938787</v>
      </c>
      <c r="F11" s="29">
        <f t="shared" si="8"/>
        <v>24.142086070778991</v>
      </c>
      <c r="G11" s="29">
        <f t="shared" si="8"/>
        <v>21.555897642211075</v>
      </c>
      <c r="H11" s="29">
        <f t="shared" si="8"/>
        <v>23.257091895616984</v>
      </c>
      <c r="I11" s="29">
        <f t="shared" si="8"/>
        <v>22.207807261840077</v>
      </c>
      <c r="J11" s="29">
        <f t="shared" si="8"/>
        <v>22.370990144938656</v>
      </c>
      <c r="K11" s="29">
        <f t="shared" si="8"/>
        <v>23.14214036177508</v>
      </c>
      <c r="L11" s="29">
        <f t="shared" si="8"/>
        <v>22.81664260134983</v>
      </c>
      <c r="M11" s="29">
        <f t="shared" si="8"/>
        <v>22.920360364873389</v>
      </c>
      <c r="N11" s="29">
        <f t="shared" si="8"/>
        <v>23.486671114421409</v>
      </c>
      <c r="O11" s="29">
        <f t="shared" si="8"/>
        <v>23.183593240958086</v>
      </c>
      <c r="P11" s="29">
        <f t="shared" si="8"/>
        <v>24.861269328702761</v>
      </c>
      <c r="Q11" s="29">
        <f t="shared" si="8"/>
        <v>30.878826173624667</v>
      </c>
      <c r="R11" s="29">
        <f t="shared" si="8"/>
        <v>29.853695803496766</v>
      </c>
      <c r="S11" s="29">
        <f t="shared" si="8"/>
        <v>31.366108176909307</v>
      </c>
      <c r="T11" s="29">
        <f t="shared" si="8"/>
        <v>30.473500299199177</v>
      </c>
      <c r="U11" s="29">
        <f t="shared" si="8"/>
        <v>27.489574494432112</v>
      </c>
      <c r="V11" s="29">
        <f t="shared" si="8"/>
        <v>22.848090697536197</v>
      </c>
      <c r="W11" s="29">
        <f t="shared" ref="W11" si="9">SUM(W12,W13,W16)</f>
        <v>24.370431419105802</v>
      </c>
      <c r="DA11" s="173" t="s">
        <v>394</v>
      </c>
    </row>
    <row r="12" spans="1:105" ht="11.45" customHeight="1" x14ac:dyDescent="0.25">
      <c r="A12" s="107" t="s">
        <v>23</v>
      </c>
      <c r="B12" s="115">
        <v>1.6487963274288313</v>
      </c>
      <c r="C12" s="115">
        <v>1.653798434219919</v>
      </c>
      <c r="D12" s="115">
        <v>1.6662111464953395</v>
      </c>
      <c r="E12" s="115">
        <v>1.6946803458022206</v>
      </c>
      <c r="F12" s="115">
        <v>1.6874359418163525</v>
      </c>
      <c r="G12" s="115">
        <v>1.7677688903350695</v>
      </c>
      <c r="H12" s="115">
        <v>1.7281670296097471</v>
      </c>
      <c r="I12" s="115">
        <v>1.8176441388474902</v>
      </c>
      <c r="J12" s="115">
        <v>1.6054284463157671</v>
      </c>
      <c r="K12" s="115">
        <v>1.2718413193626341</v>
      </c>
      <c r="L12" s="115">
        <v>1.2169133518841124</v>
      </c>
      <c r="M12" s="115">
        <v>1.2768378747367093</v>
      </c>
      <c r="N12" s="115">
        <v>1.1891381493681936</v>
      </c>
      <c r="O12" s="115">
        <v>1.1088689120098321</v>
      </c>
      <c r="P12" s="115">
        <v>1.016161166963671</v>
      </c>
      <c r="Q12" s="115">
        <v>0.9345736516221701</v>
      </c>
      <c r="R12" s="115">
        <v>1.1047902960453311</v>
      </c>
      <c r="S12" s="115">
        <v>1.0168938266059324</v>
      </c>
      <c r="T12" s="115">
        <v>1.0115695837178786</v>
      </c>
      <c r="U12" s="115">
        <v>1.0029891760529286</v>
      </c>
      <c r="V12" s="115">
        <v>0.99003262345296539</v>
      </c>
      <c r="W12" s="115">
        <v>0.99997440215922739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31.634024792901695</v>
      </c>
      <c r="C13" s="116">
        <f t="shared" ref="C13:V13" si="11">SUM(C14:C15)</f>
        <v>25.099939206185631</v>
      </c>
      <c r="D13" s="116">
        <f t="shared" si="11"/>
        <v>23.371785486018585</v>
      </c>
      <c r="E13" s="116">
        <f t="shared" si="11"/>
        <v>23.413546603585651</v>
      </c>
      <c r="F13" s="116">
        <f t="shared" si="11"/>
        <v>22.454650128962637</v>
      </c>
      <c r="G13" s="116">
        <f t="shared" si="11"/>
        <v>19.788128751876005</v>
      </c>
      <c r="H13" s="116">
        <f t="shared" si="11"/>
        <v>21.528924866007237</v>
      </c>
      <c r="I13" s="116">
        <f t="shared" si="11"/>
        <v>20.390163122992586</v>
      </c>
      <c r="J13" s="116">
        <f t="shared" si="11"/>
        <v>20.765561698622889</v>
      </c>
      <c r="K13" s="116">
        <f t="shared" si="11"/>
        <v>21.870299042412448</v>
      </c>
      <c r="L13" s="116">
        <f t="shared" si="11"/>
        <v>21.599729249465717</v>
      </c>
      <c r="M13" s="116">
        <f t="shared" si="11"/>
        <v>21.643522490136679</v>
      </c>
      <c r="N13" s="116">
        <f t="shared" si="11"/>
        <v>22.297532965053215</v>
      </c>
      <c r="O13" s="116">
        <f t="shared" si="11"/>
        <v>22.074724328948253</v>
      </c>
      <c r="P13" s="116">
        <f t="shared" si="11"/>
        <v>23.845108161739091</v>
      </c>
      <c r="Q13" s="116">
        <f t="shared" si="11"/>
        <v>29.944252522002497</v>
      </c>
      <c r="R13" s="116">
        <f t="shared" si="11"/>
        <v>28.748905507451436</v>
      </c>
      <c r="S13" s="116">
        <f t="shared" si="11"/>
        <v>30.349214350303374</v>
      </c>
      <c r="T13" s="116">
        <f t="shared" si="11"/>
        <v>29.461930715481298</v>
      </c>
      <c r="U13" s="116">
        <f t="shared" si="11"/>
        <v>26.486585318379184</v>
      </c>
      <c r="V13" s="116">
        <f t="shared" si="11"/>
        <v>21.858058074083232</v>
      </c>
      <c r="W13" s="116">
        <f t="shared" ref="W13" si="12">SUM(W14:W15)</f>
        <v>23.370457016946574</v>
      </c>
      <c r="DA13" s="176" t="s">
        <v>396</v>
      </c>
    </row>
    <row r="14" spans="1:105" ht="11.45" customHeight="1" x14ac:dyDescent="0.25">
      <c r="A14" s="111" t="s">
        <v>95</v>
      </c>
      <c r="B14" s="87">
        <v>0</v>
      </c>
      <c r="C14" s="87">
        <v>0</v>
      </c>
      <c r="D14" s="87">
        <v>0</v>
      </c>
      <c r="E14" s="87">
        <v>0</v>
      </c>
      <c r="F14" s="87">
        <v>0</v>
      </c>
      <c r="G14" s="87">
        <v>0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  <c r="P14" s="87">
        <v>0</v>
      </c>
      <c r="Q14" s="87">
        <v>0</v>
      </c>
      <c r="R14" s="87">
        <v>0</v>
      </c>
      <c r="S14" s="87">
        <v>0</v>
      </c>
      <c r="T14" s="87">
        <v>0</v>
      </c>
      <c r="U14" s="87">
        <v>0</v>
      </c>
      <c r="V14" s="87">
        <v>0</v>
      </c>
      <c r="W14" s="87">
        <v>0</v>
      </c>
      <c r="DA14" s="171" t="s">
        <v>1106</v>
      </c>
    </row>
    <row r="15" spans="1:105" ht="11.45" customHeight="1" x14ac:dyDescent="0.25">
      <c r="A15" s="111" t="s">
        <v>93</v>
      </c>
      <c r="B15" s="87">
        <v>31.634024792901695</v>
      </c>
      <c r="C15" s="87">
        <v>25.099939206185631</v>
      </c>
      <c r="D15" s="87">
        <v>23.371785486018585</v>
      </c>
      <c r="E15" s="87">
        <v>23.413546603585651</v>
      </c>
      <c r="F15" s="87">
        <v>22.454650128962637</v>
      </c>
      <c r="G15" s="87">
        <v>19.788128751876005</v>
      </c>
      <c r="H15" s="87">
        <v>21.528924866007237</v>
      </c>
      <c r="I15" s="87">
        <v>20.390163122992586</v>
      </c>
      <c r="J15" s="87">
        <v>20.765561698622889</v>
      </c>
      <c r="K15" s="87">
        <v>21.870299042412448</v>
      </c>
      <c r="L15" s="87">
        <v>21.599729249465717</v>
      </c>
      <c r="M15" s="87">
        <v>21.643522490136679</v>
      </c>
      <c r="N15" s="87">
        <v>22.297532965053215</v>
      </c>
      <c r="O15" s="87">
        <v>22.074724328948253</v>
      </c>
      <c r="P15" s="87">
        <v>23.845108161739091</v>
      </c>
      <c r="Q15" s="87">
        <v>29.944252522002497</v>
      </c>
      <c r="R15" s="87">
        <v>28.748905507451436</v>
      </c>
      <c r="S15" s="87">
        <v>30.349214350303374</v>
      </c>
      <c r="T15" s="87">
        <v>29.461930715481298</v>
      </c>
      <c r="U15" s="87">
        <v>26.486585318379184</v>
      </c>
      <c r="V15" s="87">
        <v>21.858058074083232</v>
      </c>
      <c r="W15" s="87">
        <v>23.370457016946574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49.692243368061561</v>
      </c>
      <c r="C17" s="29">
        <f t="shared" si="13"/>
        <v>32.317629513506745</v>
      </c>
      <c r="D17" s="29">
        <f t="shared" si="13"/>
        <v>29.906113427675237</v>
      </c>
      <c r="E17" s="29">
        <f t="shared" si="13"/>
        <v>30.609743815874385</v>
      </c>
      <c r="F17" s="29">
        <f t="shared" si="13"/>
        <v>29.770209715979391</v>
      </c>
      <c r="G17" s="29">
        <f t="shared" si="13"/>
        <v>20.920456614022807</v>
      </c>
      <c r="H17" s="29">
        <f t="shared" si="13"/>
        <v>22.056751612551537</v>
      </c>
      <c r="I17" s="29">
        <f t="shared" si="13"/>
        <v>21.988237450111772</v>
      </c>
      <c r="J17" s="29">
        <f t="shared" si="13"/>
        <v>18.557642701149049</v>
      </c>
      <c r="K17" s="29">
        <f t="shared" si="13"/>
        <v>13.315297299445897</v>
      </c>
      <c r="L17" s="29">
        <f t="shared" si="13"/>
        <v>16.994191448521189</v>
      </c>
      <c r="M17" s="29">
        <f t="shared" si="13"/>
        <v>16.804489162211731</v>
      </c>
      <c r="N17" s="29">
        <f t="shared" si="13"/>
        <v>14.432503434159841</v>
      </c>
      <c r="O17" s="29">
        <f t="shared" si="13"/>
        <v>18.948822924132195</v>
      </c>
      <c r="P17" s="29">
        <f t="shared" si="13"/>
        <v>16.325317085742626</v>
      </c>
      <c r="Q17" s="29">
        <f t="shared" si="13"/>
        <v>12.973280447183587</v>
      </c>
      <c r="R17" s="29">
        <f t="shared" si="13"/>
        <v>14.084395340097384</v>
      </c>
      <c r="S17" s="29">
        <f t="shared" si="13"/>
        <v>11.196230602110472</v>
      </c>
      <c r="T17" s="29">
        <f t="shared" si="13"/>
        <v>12.260807525392392</v>
      </c>
      <c r="U17" s="29">
        <f t="shared" si="13"/>
        <v>10.257631008577334</v>
      </c>
      <c r="V17" s="29">
        <f t="shared" si="13"/>
        <v>13.093439826969393</v>
      </c>
      <c r="W17" s="29">
        <f t="shared" si="13"/>
        <v>15.698356199122919</v>
      </c>
      <c r="DA17" s="173" t="s">
        <v>401</v>
      </c>
    </row>
    <row r="18" spans="1:105" ht="11.45" customHeight="1" x14ac:dyDescent="0.25">
      <c r="A18" s="83" t="s">
        <v>95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DA18" s="171" t="s">
        <v>1108</v>
      </c>
    </row>
    <row r="19" spans="1:105" ht="11.45" customHeight="1" x14ac:dyDescent="0.25">
      <c r="A19" s="85" t="s">
        <v>93</v>
      </c>
      <c r="B19" s="88">
        <v>49.692243368061561</v>
      </c>
      <c r="C19" s="88">
        <v>32.317629513506745</v>
      </c>
      <c r="D19" s="88">
        <v>29.906113427675237</v>
      </c>
      <c r="E19" s="88">
        <v>30.609743815874385</v>
      </c>
      <c r="F19" s="88">
        <v>29.770209715979391</v>
      </c>
      <c r="G19" s="88">
        <v>20.920456614022807</v>
      </c>
      <c r="H19" s="88">
        <v>22.056751612551537</v>
      </c>
      <c r="I19" s="88">
        <v>21.988237450111772</v>
      </c>
      <c r="J19" s="88">
        <v>18.557642701149049</v>
      </c>
      <c r="K19" s="88">
        <v>13.315297299445897</v>
      </c>
      <c r="L19" s="88">
        <v>16.994191448521189</v>
      </c>
      <c r="M19" s="88">
        <v>16.804489162211731</v>
      </c>
      <c r="N19" s="88">
        <v>14.432503434159841</v>
      </c>
      <c r="O19" s="88">
        <v>18.948822924132195</v>
      </c>
      <c r="P19" s="88">
        <v>16.325317085742626</v>
      </c>
      <c r="Q19" s="88">
        <v>12.973280447183587</v>
      </c>
      <c r="R19" s="88">
        <v>14.084395340097384</v>
      </c>
      <c r="S19" s="88">
        <v>11.196230602110472</v>
      </c>
      <c r="T19" s="88">
        <v>12.260807525392392</v>
      </c>
      <c r="U19" s="88">
        <v>10.257631008577334</v>
      </c>
      <c r="V19" s="88">
        <v>13.093439826969393</v>
      </c>
      <c r="W19" s="88">
        <v>15.698356199122919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171.37443740473668</v>
      </c>
      <c r="C23" s="62">
        <f>IF(C10=0,0,C10/TrRail_act!C14*100)</f>
        <v>152.32622262781646</v>
      </c>
      <c r="D23" s="62">
        <f>IF(D10=0,0,D10/TrRail_act!D14*100)</f>
        <v>146.458402477508</v>
      </c>
      <c r="E23" s="62">
        <f>IF(E10=0,0,E10/TrRail_act!E14*100)</f>
        <v>144.7203842821514</v>
      </c>
      <c r="F23" s="62">
        <f>IF(F10=0,0,F10/TrRail_act!F14*100)</f>
        <v>139.46333416466726</v>
      </c>
      <c r="G23" s="62">
        <f>IF(G10=0,0,G10/TrRail_act!G14*100)</f>
        <v>129.22974013517793</v>
      </c>
      <c r="H23" s="62">
        <f>IF(H10=0,0,H10/TrRail_act!H14*100)</f>
        <v>127.18318677808983</v>
      </c>
      <c r="I23" s="62">
        <f>IF(I10=0,0,I10/TrRail_act!I14*100)</f>
        <v>123.2832455707656</v>
      </c>
      <c r="J23" s="62">
        <f>IF(J10=0,0,J10/TrRail_act!J14*100)</f>
        <v>118.98408963925857</v>
      </c>
      <c r="K23" s="62">
        <f>IF(K10=0,0,K10/TrRail_act!K14*100)</f>
        <v>115.69477189169464</v>
      </c>
      <c r="L23" s="62">
        <f>IF(L10=0,0,L10/TrRail_act!L14*100)</f>
        <v>116.14647987984689</v>
      </c>
      <c r="M23" s="62">
        <f>IF(M10=0,0,M10/TrRail_act!M14*100)</f>
        <v>114.37172065712598</v>
      </c>
      <c r="N23" s="62">
        <f>IF(N10=0,0,N10/TrRail_act!N14*100)</f>
        <v>111.04939074065972</v>
      </c>
      <c r="O23" s="62">
        <f>IF(O10=0,0,O10/TrRail_act!O14*100)</f>
        <v>111.06641759728507</v>
      </c>
      <c r="P23" s="62">
        <f>IF(P10=0,0,P10/TrRail_act!P14*100)</f>
        <v>108.41911997059646</v>
      </c>
      <c r="Q23" s="62">
        <f>IF(Q10=0,0,Q10/TrRail_act!Q14*100)</f>
        <v>104.03118414054646</v>
      </c>
      <c r="R23" s="62">
        <f>IF(R10=0,0,R10/TrRail_act!R14*100)</f>
        <v>101.2992398313433</v>
      </c>
      <c r="S23" s="62">
        <f>IF(S10=0,0,S10/TrRail_act!S14*100)</f>
        <v>98.483253872611101</v>
      </c>
      <c r="T23" s="62">
        <f>IF(T10=0,0,T10/TrRail_act!T14*100)</f>
        <v>97.564742994341941</v>
      </c>
      <c r="U23" s="62">
        <f>IF(U10=0,0,U10/TrRail_act!U14*100)</f>
        <v>95.562969954550681</v>
      </c>
      <c r="V23" s="62">
        <f>IF(V10=0,0,V10/TrRail_act!V14*100)</f>
        <v>96.412403282484689</v>
      </c>
      <c r="W23" s="62">
        <f>IF(W10=0,0,W10/TrRail_act!W14*100)</f>
        <v>96.888235171362908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136.50484747239094</v>
      </c>
      <c r="C24" s="29">
        <f>IF(C11=0,0,C11/TrRail_act!C15*100)</f>
        <v>126.24703475026263</v>
      </c>
      <c r="D24" s="29">
        <f>IF(D11=0,0,D11/TrRail_act!D15*100)</f>
        <v>119.91905986704852</v>
      </c>
      <c r="E24" s="29">
        <f>IF(E11=0,0,E11/TrRail_act!E15*100)</f>
        <v>118.20386844122982</v>
      </c>
      <c r="F24" s="29">
        <f>IF(F11=0,0,F11/TrRail_act!F15*100)</f>
        <v>113.94137316498001</v>
      </c>
      <c r="G24" s="29">
        <f>IF(G11=0,0,G11/TrRail_act!G15*100)</f>
        <v>107.67477288125782</v>
      </c>
      <c r="H24" s="29">
        <f>IF(H11=0,0,H11/TrRail_act!H15*100)</f>
        <v>107.05801731646388</v>
      </c>
      <c r="I24" s="29">
        <f>IF(I11=0,0,I11/TrRail_act!I15*100)</f>
        <v>102.85857860109762</v>
      </c>
      <c r="J24" s="29">
        <f>IF(J11=0,0,J11/TrRail_act!J15*100)</f>
        <v>101.73720830679795</v>
      </c>
      <c r="K24" s="29">
        <f>IF(K11=0,0,K11/TrRail_act!K15*100)</f>
        <v>103.16463625047257</v>
      </c>
      <c r="L24" s="29">
        <f>IF(L11=0,0,L11/TrRail_act!L15*100)</f>
        <v>101.30959414309852</v>
      </c>
      <c r="M24" s="29">
        <f>IF(M11=0,0,M11/TrRail_act!M15*100)</f>
        <v>99.115456574827149</v>
      </c>
      <c r="N24" s="29">
        <f>IF(N11=0,0,N11/TrRail_act!N15*100)</f>
        <v>98.068237399903296</v>
      </c>
      <c r="O24" s="29">
        <f>IF(O11=0,0,O11/TrRail_act!O15*100)</f>
        <v>96.61926967795587</v>
      </c>
      <c r="P24" s="29">
        <f>IF(P11=0,0,P11/TrRail_act!P15*100)</f>
        <v>96.80969275295304</v>
      </c>
      <c r="Q24" s="29">
        <f>IF(Q11=0,0,Q11/TrRail_act!Q15*100)</f>
        <v>95.95249769577579</v>
      </c>
      <c r="R24" s="29">
        <f>IF(R11=0,0,R11/TrRail_act!R15*100)</f>
        <v>92.323947373718553</v>
      </c>
      <c r="S24" s="29">
        <f>IF(S11=0,0,S11/TrRail_act!S15*100)</f>
        <v>91.530031969933162</v>
      </c>
      <c r="T24" s="29">
        <f>IF(T11=0,0,T11/TrRail_act!T15*100)</f>
        <v>90.143771105870272</v>
      </c>
      <c r="U24" s="29">
        <f>IF(U11=0,0,U11/TrRail_act!U15*100)</f>
        <v>88.639983643715397</v>
      </c>
      <c r="V24" s="29">
        <f>IF(V11=0,0,V11/TrRail_act!V15*100)</f>
        <v>86.794396507472698</v>
      </c>
      <c r="W24" s="29">
        <f>IF(W11=0,0,W11/TrRail_act!W15*100)</f>
        <v>86.690907337077263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36.955235648237036</v>
      </c>
      <c r="C25" s="115">
        <f>IF(C12=0,0,C12/TrRail_act!C16*100)</f>
        <v>36.32681330253785</v>
      </c>
      <c r="D25" s="115">
        <f>IF(D12=0,0,D12/TrRail_act!D16*100)</f>
        <v>35.913434786540947</v>
      </c>
      <c r="E25" s="115">
        <f>IF(E12=0,0,E12/TrRail_act!E16*100)</f>
        <v>35.701372871833406</v>
      </c>
      <c r="F25" s="115">
        <f>IF(F12=0,0,F12/TrRail_act!F16*100)</f>
        <v>35.507189083781007</v>
      </c>
      <c r="G25" s="115">
        <f>IF(G12=0,0,G12/TrRail_act!G16*100)</f>
        <v>34.682282998327601</v>
      </c>
      <c r="H25" s="115">
        <f>IF(H12=0,0,H12/TrRail_act!H16*100)</f>
        <v>34.200768264286289</v>
      </c>
      <c r="I25" s="115">
        <f>IF(I12=0,0,I12/TrRail_act!I16*100)</f>
        <v>33.791554071839293</v>
      </c>
      <c r="J25" s="115">
        <f>IF(J12=0,0,J12/TrRail_act!J16*100)</f>
        <v>33.545541812987864</v>
      </c>
      <c r="K25" s="115">
        <f>IF(K12=0,0,K12/TrRail_act!K16*100)</f>
        <v>33.283274947654476</v>
      </c>
      <c r="L25" s="115">
        <f>IF(L12=0,0,L12/TrRail_act!L16*100)</f>
        <v>32.925193620008223</v>
      </c>
      <c r="M25" s="115">
        <f>IF(M12=0,0,M12/TrRail_act!M16*100)</f>
        <v>32.558297288002521</v>
      </c>
      <c r="N25" s="115">
        <f>IF(N12=0,0,N12/TrRail_act!N16*100)</f>
        <v>32.062583412817716</v>
      </c>
      <c r="O25" s="115">
        <f>IF(O12=0,0,O12/TrRail_act!O16*100)</f>
        <v>31.484470017353239</v>
      </c>
      <c r="P25" s="115">
        <f>IF(P12=0,0,P12/TrRail_act!P16*100)</f>
        <v>31.142712825090662</v>
      </c>
      <c r="Q25" s="115">
        <f>IF(Q12=0,0,Q12/TrRail_act!Q16*100)</f>
        <v>30.897014004124419</v>
      </c>
      <c r="R25" s="115">
        <f>IF(R12=0,0,R12/TrRail_act!R16*100)</f>
        <v>30.714012820273151</v>
      </c>
      <c r="S25" s="115">
        <f>IF(S12=0,0,S12/TrRail_act!S16*100)</f>
        <v>30.577473596894272</v>
      </c>
      <c r="T25" s="115">
        <f>IF(T12=0,0,T12/TrRail_act!T16*100)</f>
        <v>30.475467661346833</v>
      </c>
      <c r="U25" s="115">
        <f>IF(U12=0,0,U12/TrRail_act!U16*100)</f>
        <v>30.399186587196358</v>
      </c>
      <c r="V25" s="115">
        <f>IF(V12=0,0,V12/TrRail_act!V16*100)</f>
        <v>30.342101108162971</v>
      </c>
      <c r="W25" s="115">
        <f>IF(W12=0,0,W12/TrRail_act!W16*100)</f>
        <v>30.299357359020611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158.8009678649679</v>
      </c>
      <c r="C26" s="116">
        <f>IF(C13=0,0,C13/TrRail_act!C17*100)</f>
        <v>150.84985338226048</v>
      </c>
      <c r="D26" s="116">
        <f>IF(D13=0,0,D13/TrRail_act!D17*100)</f>
        <v>143.91883702236373</v>
      </c>
      <c r="E26" s="116">
        <f>IF(E13=0,0,E13/TrRail_act!E17*100)</f>
        <v>141.9464075994488</v>
      </c>
      <c r="F26" s="116">
        <f>IF(F13=0,0,F13/TrRail_act!F17*100)</f>
        <v>136.62047704615989</v>
      </c>
      <c r="G26" s="116">
        <f>IF(G13=0,0,G13/TrRail_act!G17*100)</f>
        <v>132.60676213625413</v>
      </c>
      <c r="H26" s="116">
        <f>IF(H13=0,0,H13/TrRail_act!H17*100)</f>
        <v>129.14141056249517</v>
      </c>
      <c r="I26" s="116">
        <f>IF(I13=0,0,I13/TrRail_act!I17*100)</f>
        <v>125.77488822619907</v>
      </c>
      <c r="J26" s="116">
        <f>IF(J13=0,0,J13/TrRail_act!J17*100)</f>
        <v>120.70770784855071</v>
      </c>
      <c r="K26" s="116">
        <f>IF(K13=0,0,K13/TrRail_act!K17*100)</f>
        <v>117.51288891253316</v>
      </c>
      <c r="L26" s="116">
        <f>IF(L13=0,0,L13/TrRail_act!L17*100)</f>
        <v>114.73529940206033</v>
      </c>
      <c r="M26" s="116">
        <f>IF(M13=0,0,M13/TrRail_act!M17*100)</f>
        <v>112.70781921467051</v>
      </c>
      <c r="N26" s="116">
        <f>IF(N13=0,0,N13/TrRail_act!N17*100)</f>
        <v>110.16289143277768</v>
      </c>
      <c r="O26" s="116">
        <f>IF(O13=0,0,O13/TrRail_act!O17*100)</f>
        <v>107.82445043908243</v>
      </c>
      <c r="P26" s="116">
        <f>IF(P13=0,0,P13/TrRail_act!P17*100)</f>
        <v>106.36761083697131</v>
      </c>
      <c r="Q26" s="116">
        <f>IF(Q13=0,0,Q13/TrRail_act!Q17*100)</f>
        <v>102.7015776286933</v>
      </c>
      <c r="R26" s="116">
        <f>IF(R13=0,0,R13/TrRail_act!R17*100)</f>
        <v>100.03521222373838</v>
      </c>
      <c r="S26" s="116">
        <f>IF(S13=0,0,S13/TrRail_act!S17*100)</f>
        <v>98.080966091201731</v>
      </c>
      <c r="T26" s="116">
        <f>IF(T13=0,0,T13/TrRail_act!T17*100)</f>
        <v>96.640376406846812</v>
      </c>
      <c r="U26" s="116">
        <f>IF(U13=0,0,U13/TrRail_act!U17*100)</f>
        <v>95.573836834842083</v>
      </c>
      <c r="V26" s="116">
        <f>IF(V13=0,0,V13/TrRail_act!V17*100)</f>
        <v>94.781663682591869</v>
      </c>
      <c r="W26" s="116">
        <f>IF(W13=0,0,W13/TrRail_act!W17*100)</f>
        <v>94.191845743266754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0</v>
      </c>
      <c r="C27" s="87">
        <f>IF(C14=0,0,C14/TrRail_act!C18*100)</f>
        <v>0</v>
      </c>
      <c r="D27" s="87">
        <f>IF(D14=0,0,D14/TrRail_act!D18*100)</f>
        <v>0</v>
      </c>
      <c r="E27" s="87">
        <f>IF(E14=0,0,E14/TrRail_act!E18*100)</f>
        <v>0</v>
      </c>
      <c r="F27" s="87">
        <f>IF(F14=0,0,F14/TrRail_act!F18*100)</f>
        <v>0</v>
      </c>
      <c r="G27" s="87">
        <f>IF(G14=0,0,G14/TrRail_act!G18*100)</f>
        <v>0</v>
      </c>
      <c r="H27" s="87">
        <f>IF(H14=0,0,H14/TrRail_act!H18*100)</f>
        <v>0</v>
      </c>
      <c r="I27" s="87">
        <f>IF(I14=0,0,I14/TrRail_act!I18*100)</f>
        <v>0</v>
      </c>
      <c r="J27" s="87">
        <f>IF(J14=0,0,J14/TrRail_act!J18*100)</f>
        <v>0</v>
      </c>
      <c r="K27" s="87">
        <f>IF(K14=0,0,K14/TrRail_act!K18*100)</f>
        <v>0</v>
      </c>
      <c r="L27" s="87">
        <f>IF(L14=0,0,L14/TrRail_act!L18*100)</f>
        <v>0</v>
      </c>
      <c r="M27" s="87">
        <f>IF(M14=0,0,M14/TrRail_act!M18*100)</f>
        <v>0</v>
      </c>
      <c r="N27" s="87">
        <f>IF(N14=0,0,N14/TrRail_act!N18*100)</f>
        <v>0</v>
      </c>
      <c r="O27" s="87">
        <f>IF(O14=0,0,O14/TrRail_act!O18*100)</f>
        <v>0</v>
      </c>
      <c r="P27" s="87">
        <f>IF(P14=0,0,P14/TrRail_act!P18*100)</f>
        <v>0</v>
      </c>
      <c r="Q27" s="87">
        <f>IF(Q14=0,0,Q14/TrRail_act!Q18*100)</f>
        <v>0</v>
      </c>
      <c r="R27" s="87">
        <f>IF(R14=0,0,R14/TrRail_act!R18*100)</f>
        <v>0</v>
      </c>
      <c r="S27" s="87">
        <f>IF(S14=0,0,S14/TrRail_act!S18*100)</f>
        <v>0</v>
      </c>
      <c r="T27" s="87">
        <f>IF(T14=0,0,T14/TrRail_act!T18*100)</f>
        <v>0</v>
      </c>
      <c r="U27" s="87">
        <f>IF(U14=0,0,U14/TrRail_act!U18*100)</f>
        <v>0</v>
      </c>
      <c r="V27" s="87">
        <f>IF(V14=0,0,V14/TrRail_act!V18*100)</f>
        <v>0</v>
      </c>
      <c r="W27" s="87">
        <f>IF(W14=0,0,W14/TrRail_act!W18*100)</f>
        <v>0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158.8009678649679</v>
      </c>
      <c r="C28" s="87">
        <f>IF(C15=0,0,C15/TrRail_act!C19*100)</f>
        <v>150.84985338226048</v>
      </c>
      <c r="D28" s="87">
        <f>IF(D15=0,0,D15/TrRail_act!D19*100)</f>
        <v>143.91883702236373</v>
      </c>
      <c r="E28" s="87">
        <f>IF(E15=0,0,E15/TrRail_act!E19*100)</f>
        <v>141.9464075994488</v>
      </c>
      <c r="F28" s="87">
        <f>IF(F15=0,0,F15/TrRail_act!F19*100)</f>
        <v>136.62047704615989</v>
      </c>
      <c r="G28" s="87">
        <f>IF(G15=0,0,G15/TrRail_act!G19*100)</f>
        <v>132.60676213625413</v>
      </c>
      <c r="H28" s="87">
        <f>IF(H15=0,0,H15/TrRail_act!H19*100)</f>
        <v>129.14141056249517</v>
      </c>
      <c r="I28" s="87">
        <f>IF(I15=0,0,I15/TrRail_act!I19*100)</f>
        <v>125.77488822619907</v>
      </c>
      <c r="J28" s="87">
        <f>IF(J15=0,0,J15/TrRail_act!J19*100)</f>
        <v>120.70770784855071</v>
      </c>
      <c r="K28" s="87">
        <f>IF(K15=0,0,K15/TrRail_act!K19*100)</f>
        <v>117.51288891253316</v>
      </c>
      <c r="L28" s="87">
        <f>IF(L15=0,0,L15/TrRail_act!L19*100)</f>
        <v>114.73529940206033</v>
      </c>
      <c r="M28" s="87">
        <f>IF(M15=0,0,M15/TrRail_act!M19*100)</f>
        <v>112.70781921467051</v>
      </c>
      <c r="N28" s="87">
        <f>IF(N15=0,0,N15/TrRail_act!N19*100)</f>
        <v>110.16289143277768</v>
      </c>
      <c r="O28" s="87">
        <f>IF(O15=0,0,O15/TrRail_act!O19*100)</f>
        <v>107.82445043908243</v>
      </c>
      <c r="P28" s="87">
        <f>IF(P15=0,0,P15/TrRail_act!P19*100)</f>
        <v>106.36761083697131</v>
      </c>
      <c r="Q28" s="87">
        <f>IF(Q15=0,0,Q15/TrRail_act!Q19*100)</f>
        <v>102.7015776286933</v>
      </c>
      <c r="R28" s="87">
        <f>IF(R15=0,0,R15/TrRail_act!R19*100)</f>
        <v>100.03521222373838</v>
      </c>
      <c r="S28" s="87">
        <f>IF(S15=0,0,S15/TrRail_act!S19*100)</f>
        <v>98.080966091201731</v>
      </c>
      <c r="T28" s="87">
        <f>IF(T15=0,0,T15/TrRail_act!T19*100)</f>
        <v>96.640376406846812</v>
      </c>
      <c r="U28" s="87">
        <f>IF(U15=0,0,U15/TrRail_act!U19*100)</f>
        <v>95.573836834842083</v>
      </c>
      <c r="V28" s="87">
        <f>IF(V15=0,0,V15/TrRail_act!V19*100)</f>
        <v>94.781663682591869</v>
      </c>
      <c r="W28" s="87">
        <f>IF(W15=0,0,W15/TrRail_act!W19*100)</f>
        <v>94.191845743266754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206.74729341131788</v>
      </c>
      <c r="C30" s="29">
        <f>IF(C17=0,0,C17/TrRail_act!C21*100)</f>
        <v>183.74884799623993</v>
      </c>
      <c r="D30" s="29">
        <f>IF(D17=0,0,D17/TrRail_act!D21*100)</f>
        <v>179.76654535564333</v>
      </c>
      <c r="E30" s="29">
        <f>IF(E17=0,0,E17/TrRail_act!E21*100)</f>
        <v>177.35555745008702</v>
      </c>
      <c r="F30" s="29">
        <f>IF(F17=0,0,F17/TrRail_act!F21*100)</f>
        <v>170.41929215579529</v>
      </c>
      <c r="G30" s="29">
        <f>IF(G17=0,0,G17/TrRail_act!G21*100)</f>
        <v>162.81247246728265</v>
      </c>
      <c r="H30" s="29">
        <f>IF(H17=0,0,H17/TrRail_act!H21*100)</f>
        <v>158.62484269698786</v>
      </c>
      <c r="I30" s="29">
        <f>IF(I17=0,0,I17/TrRail_act!I21*100)</f>
        <v>154.21070531693451</v>
      </c>
      <c r="J30" s="29">
        <f>IF(J17=0,0,J17/TrRail_act!J21*100)</f>
        <v>149.54489091692699</v>
      </c>
      <c r="K30" s="29">
        <f>IF(K17=0,0,K17/TrRail_act!K21*100)</f>
        <v>146.65231621305836</v>
      </c>
      <c r="L30" s="29">
        <f>IF(L17=0,0,L17/TrRail_act!L21*100)</f>
        <v>144.57356256400132</v>
      </c>
      <c r="M30" s="29">
        <f>IF(M17=0,0,M17/TrRail_act!M21*100)</f>
        <v>144.76402132479862</v>
      </c>
      <c r="N30" s="29">
        <f>IF(N17=0,0,N17/TrRail_act!N21*100)</f>
        <v>141.53801318180228</v>
      </c>
      <c r="O30" s="29">
        <f>IF(O17=0,0,O17/TrRail_act!O21*100)</f>
        <v>135.93479969916359</v>
      </c>
      <c r="P30" s="29">
        <f>IF(P17=0,0,P17/TrRail_act!P21*100)</f>
        <v>132.64260785287411</v>
      </c>
      <c r="Q30" s="29">
        <f>IF(Q17=0,0,Q17/TrRail_act!Q21*100)</f>
        <v>130.10386155299724</v>
      </c>
      <c r="R30" s="29">
        <f>IF(R17=0,0,R17/TrRail_act!R21*100)</f>
        <v>127.5905821143167</v>
      </c>
      <c r="S30" s="29">
        <f>IF(S17=0,0,S17/TrRail_act!S21*100)</f>
        <v>125.10884755533542</v>
      </c>
      <c r="T30" s="29">
        <f>IF(T17=0,0,T17/TrRail_act!T21*100)</f>
        <v>122.66288017795759</v>
      </c>
      <c r="U30" s="29">
        <f>IF(U17=0,0,U17/TrRail_act!U21*100)</f>
        <v>120.85983823289064</v>
      </c>
      <c r="V30" s="29">
        <f>IF(V17=0,0,V17/TrRail_act!V21*100)</f>
        <v>119.52497091003636</v>
      </c>
      <c r="W30" s="29">
        <f>IF(W17=0,0,W17/TrRail_act!W21*100)</f>
        <v>118.53350463318857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0</v>
      </c>
      <c r="C31" s="87">
        <f>IF(C18=0,0,C18/TrRail_act!C22*100)</f>
        <v>0</v>
      </c>
      <c r="D31" s="87">
        <f>IF(D18=0,0,D18/TrRail_act!D22*100)</f>
        <v>0</v>
      </c>
      <c r="E31" s="87">
        <f>IF(E18=0,0,E18/TrRail_act!E22*100)</f>
        <v>0</v>
      </c>
      <c r="F31" s="87">
        <f>IF(F18=0,0,F18/TrRail_act!F22*100)</f>
        <v>0</v>
      </c>
      <c r="G31" s="87">
        <f>IF(G18=0,0,G18/TrRail_act!G22*100)</f>
        <v>0</v>
      </c>
      <c r="H31" s="87">
        <f>IF(H18=0,0,H18/TrRail_act!H22*100)</f>
        <v>0</v>
      </c>
      <c r="I31" s="87">
        <f>IF(I18=0,0,I18/TrRail_act!I22*100)</f>
        <v>0</v>
      </c>
      <c r="J31" s="87">
        <f>IF(J18=0,0,J18/TrRail_act!J22*100)</f>
        <v>0</v>
      </c>
      <c r="K31" s="87">
        <f>IF(K18=0,0,K18/TrRail_act!K22*100)</f>
        <v>0</v>
      </c>
      <c r="L31" s="87">
        <f>IF(L18=0,0,L18/TrRail_act!L22*100)</f>
        <v>0</v>
      </c>
      <c r="M31" s="87">
        <f>IF(M18=0,0,M18/TrRail_act!M22*100)</f>
        <v>0</v>
      </c>
      <c r="N31" s="87">
        <f>IF(N18=0,0,N18/TrRail_act!N22*100)</f>
        <v>0</v>
      </c>
      <c r="O31" s="87">
        <f>IF(O18=0,0,O18/TrRail_act!O22*100)</f>
        <v>0</v>
      </c>
      <c r="P31" s="87">
        <f>IF(P18=0,0,P18/TrRail_act!P22*100)</f>
        <v>0</v>
      </c>
      <c r="Q31" s="87">
        <f>IF(Q18=0,0,Q18/TrRail_act!Q22*100)</f>
        <v>0</v>
      </c>
      <c r="R31" s="87">
        <f>IF(R18=0,0,R18/TrRail_act!R22*100)</f>
        <v>0</v>
      </c>
      <c r="S31" s="87">
        <f>IF(S18=0,0,S18/TrRail_act!S22*100)</f>
        <v>0</v>
      </c>
      <c r="T31" s="87">
        <f>IF(T18=0,0,T18/TrRail_act!T22*100)</f>
        <v>0</v>
      </c>
      <c r="U31" s="87">
        <f>IF(U18=0,0,U18/TrRail_act!U22*100)</f>
        <v>0</v>
      </c>
      <c r="V31" s="87">
        <f>IF(V18=0,0,V18/TrRail_act!V22*100)</f>
        <v>0</v>
      </c>
      <c r="W31" s="87">
        <f>IF(W18=0,0,W18/TrRail_act!W22*100)</f>
        <v>0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206.74729341131788</v>
      </c>
      <c r="C32" s="88">
        <f>IF(C19=0,0,C19/TrRail_act!C23*100)</f>
        <v>183.74884799623993</v>
      </c>
      <c r="D32" s="88">
        <f>IF(D19=0,0,D19/TrRail_act!D23*100)</f>
        <v>179.76654535564333</v>
      </c>
      <c r="E32" s="88">
        <f>IF(E19=0,0,E19/TrRail_act!E23*100)</f>
        <v>177.35555745008702</v>
      </c>
      <c r="F32" s="88">
        <f>IF(F19=0,0,F19/TrRail_act!F23*100)</f>
        <v>170.41929215579529</v>
      </c>
      <c r="G32" s="88">
        <f>IF(G19=0,0,G19/TrRail_act!G23*100)</f>
        <v>162.81247246728265</v>
      </c>
      <c r="H32" s="88">
        <f>IF(H19=0,0,H19/TrRail_act!H23*100)</f>
        <v>158.62484269698786</v>
      </c>
      <c r="I32" s="88">
        <f>IF(I19=0,0,I19/TrRail_act!I23*100)</f>
        <v>154.21070531693451</v>
      </c>
      <c r="J32" s="88">
        <f>IF(J19=0,0,J19/TrRail_act!J23*100)</f>
        <v>149.54489091692699</v>
      </c>
      <c r="K32" s="88">
        <f>IF(K19=0,0,K19/TrRail_act!K23*100)</f>
        <v>146.65231621305836</v>
      </c>
      <c r="L32" s="88">
        <f>IF(L19=0,0,L19/TrRail_act!L23*100)</f>
        <v>144.57356256400132</v>
      </c>
      <c r="M32" s="88">
        <f>IF(M19=0,0,M19/TrRail_act!M23*100)</f>
        <v>144.76402132479862</v>
      </c>
      <c r="N32" s="88">
        <f>IF(N19=0,0,N19/TrRail_act!N23*100)</f>
        <v>141.53801318180228</v>
      </c>
      <c r="O32" s="88">
        <f>IF(O19=0,0,O19/TrRail_act!O23*100)</f>
        <v>135.93479969916359</v>
      </c>
      <c r="P32" s="88">
        <f>IF(P19=0,0,P19/TrRail_act!P23*100)</f>
        <v>132.64260785287411</v>
      </c>
      <c r="Q32" s="88">
        <f>IF(Q19=0,0,Q19/TrRail_act!Q23*100)</f>
        <v>130.10386155299724</v>
      </c>
      <c r="R32" s="88">
        <f>IF(R19=0,0,R19/TrRail_act!R23*100)</f>
        <v>127.5905821143167</v>
      </c>
      <c r="S32" s="88">
        <f>IF(S19=0,0,S19/TrRail_act!S23*100)</f>
        <v>125.10884755533542</v>
      </c>
      <c r="T32" s="88">
        <f>IF(T19=0,0,T19/TrRail_act!T23*100)</f>
        <v>122.66288017795759</v>
      </c>
      <c r="U32" s="88">
        <f>IF(U19=0,0,U19/TrRail_act!U23*100)</f>
        <v>120.85983823289064</v>
      </c>
      <c r="V32" s="88">
        <f>IF(V19=0,0,V19/TrRail_act!V23*100)</f>
        <v>119.52497091003636</v>
      </c>
      <c r="W32" s="88">
        <f>IF(W19=0,0,W19/TrRail_act!W23*100)</f>
        <v>118.53350463318857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10.336279851034325</v>
      </c>
      <c r="C35" s="29">
        <f>IF(C11=0,0,C11/TrRail_act!C4*1000)</f>
        <v>8.4600469653913493</v>
      </c>
      <c r="D35" s="29">
        <f>IF(D11=0,0,D11/TrRail_act!D4*1000)</f>
        <v>8.2356097797421839</v>
      </c>
      <c r="E35" s="29">
        <f>IF(E11=0,0,E11/TrRail_act!E4*1000)</f>
        <v>9.3582461957544449</v>
      </c>
      <c r="F35" s="29">
        <f>IF(F11=0,0,F11/TrRail_act!F4*1000)</f>
        <v>9.3204167087702139</v>
      </c>
      <c r="G35" s="29">
        <f>IF(G11=0,0,G11/TrRail_act!G4*1000)</f>
        <v>8.3933301235109052</v>
      </c>
      <c r="H35" s="29">
        <f>IF(H11=0,0,H11/TrRail_act!H4*1000)</f>
        <v>8.9538997051761946</v>
      </c>
      <c r="I35" s="29">
        <f>IF(I11=0,0,I11/TrRail_act!I4*1000)</f>
        <v>8.6751348125775216</v>
      </c>
      <c r="J35" s="29">
        <f>IF(J11=0,0,J11/TrRail_act!J4*1000)</f>
        <v>8.3997751591751353</v>
      </c>
      <c r="K35" s="29">
        <f>IF(K11=0,0,K11/TrRail_act!K4*1000)</f>
        <v>9.0521830276685549</v>
      </c>
      <c r="L35" s="29">
        <f>IF(L11=0,0,L11/TrRail_act!L4*1000)</f>
        <v>8.801212493863348</v>
      </c>
      <c r="M35" s="29">
        <f>IF(M11=0,0,M11/TrRail_act!M4*1000)</f>
        <v>8.3718125783108803</v>
      </c>
      <c r="N35" s="29">
        <f>IF(N11=0,0,N11/TrRail_act!N4*1000)</f>
        <v>8.5454277964371386</v>
      </c>
      <c r="O35" s="29">
        <f>IF(O11=0,0,O11/TrRail_act!O4*1000)</f>
        <v>8.3986138279959093</v>
      </c>
      <c r="P35" s="29">
        <f>IF(P11=0,0,P11/TrRail_act!P4*1000)</f>
        <v>8.7543411810420118</v>
      </c>
      <c r="Q35" s="29">
        <f>IF(Q11=0,0,Q11/TrRail_act!Q4*1000)</f>
        <v>8.4326901820747011</v>
      </c>
      <c r="R35" s="29">
        <f>IF(R11=0,0,R11/TrRail_act!R4*1000)</f>
        <v>7.8868725848872909</v>
      </c>
      <c r="S35" s="29">
        <f>IF(S11=0,0,S11/TrRail_act!S4*1000)</f>
        <v>7.7660929833114789</v>
      </c>
      <c r="T35" s="29">
        <f>IF(T11=0,0,T11/TrRail_act!T4*1000)</f>
        <v>7.4822927460541218</v>
      </c>
      <c r="U35" s="29">
        <f>IF(U11=0,0,U11/TrRail_act!U4*1000)</f>
        <v>6.490417848632613</v>
      </c>
      <c r="V35" s="29">
        <f>IF(V11=0,0,V11/TrRail_act!V4*1000)</f>
        <v>9.9279680648888355</v>
      </c>
      <c r="W35" s="29">
        <f>IF(W11=0,0,W11/TrRail_act!W4*1000)</f>
        <v>11.528675490505684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4.710846649796661</v>
      </c>
      <c r="C36" s="115">
        <f>IF(C12=0,0,C12/TrRail_act!C5*1000)</f>
        <v>4.6277858993035563</v>
      </c>
      <c r="D36" s="115">
        <f>IF(D12=0,0,D12/TrRail_act!D5*1000)</f>
        <v>4.6514713843750393</v>
      </c>
      <c r="E36" s="115">
        <f>IF(E12=0,0,E12/TrRail_act!E5*1000)</f>
        <v>4.6175871588940902</v>
      </c>
      <c r="F36" s="115">
        <f>IF(F12=0,0,F12/TrRail_act!F5*1000)</f>
        <v>4.6583783910627083</v>
      </c>
      <c r="G36" s="115">
        <f>IF(G12=0,0,G12/TrRail_act!G5*1000)</f>
        <v>4.5771325930331113</v>
      </c>
      <c r="H36" s="115">
        <f>IF(H12=0,0,H12/TrRail_act!H5*1000)</f>
        <v>4.4954478354995429</v>
      </c>
      <c r="I36" s="115">
        <f>IF(I12=0,0,I12/TrRail_act!I5*1000)</f>
        <v>4.602353125927336</v>
      </c>
      <c r="J36" s="115">
        <f>IF(J12=0,0,J12/TrRail_act!J5*1000)</f>
        <v>4.3710771443485399</v>
      </c>
      <c r="K36" s="115">
        <f>IF(K12=0,0,K12/TrRail_act!K5*1000)</f>
        <v>4.3477904669727847</v>
      </c>
      <c r="L36" s="115">
        <f>IF(L12=0,0,L12/TrRail_act!L5*1000)</f>
        <v>4.2933250161464942</v>
      </c>
      <c r="M36" s="115">
        <f>IF(M12=0,0,M12/TrRail_act!M5*1000)</f>
        <v>4.1617730280932506</v>
      </c>
      <c r="N36" s="115">
        <f>IF(N12=0,0,N12/TrRail_act!N5*1000)</f>
        <v>4.1082843841011538</v>
      </c>
      <c r="O36" s="115">
        <f>IF(O12=0,0,O12/TrRail_act!O5*1000)</f>
        <v>4.0262902155021854</v>
      </c>
      <c r="P36" s="115">
        <f>IF(P12=0,0,P12/TrRail_act!P5*1000)</f>
        <v>3.9557975747163989</v>
      </c>
      <c r="Q36" s="115">
        <f>IF(Q12=0,0,Q12/TrRail_act!Q5*1000)</f>
        <v>3.7263679930899967</v>
      </c>
      <c r="R36" s="115">
        <f>IF(R12=0,0,R12/TrRail_act!R5*1000)</f>
        <v>3.6674905183029267</v>
      </c>
      <c r="S36" s="115">
        <f>IF(S12=0,0,S12/TrRail_act!S5*1000)</f>
        <v>3.5698894500294851</v>
      </c>
      <c r="T36" s="115">
        <f>IF(T12=0,0,T12/TrRail_act!T5*1000)</f>
        <v>3.603110193510497</v>
      </c>
      <c r="U36" s="115">
        <f>IF(U12=0,0,U12/TrRail_act!U5*1000)</f>
        <v>3.6025738963013487</v>
      </c>
      <c r="V36" s="115">
        <f>IF(V12=0,0,V12/TrRail_act!V5*1000)</f>
        <v>5.8795283677122798</v>
      </c>
      <c r="W36" s="115">
        <f>IF(W12=0,0,W12/TrRail_act!W5*1000)</f>
        <v>6.9012820773988359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11.022308290209649</v>
      </c>
      <c r="C37" s="116">
        <f>IF(C13=0,0,C13/TrRail_act!C6*1000)</f>
        <v>8.9482849219913128</v>
      </c>
      <c r="D37" s="116">
        <f>IF(D13=0,0,D13/TrRail_act!D6*1000)</f>
        <v>8.7143122617518962</v>
      </c>
      <c r="E37" s="116">
        <f>IF(E13=0,0,E13/TrRail_act!E6*1000)</f>
        <v>10.109476080995531</v>
      </c>
      <c r="F37" s="116">
        <f>IF(F13=0,0,F13/TrRail_act!F6*1000)</f>
        <v>10.078388747290232</v>
      </c>
      <c r="G37" s="116">
        <f>IF(G13=0,0,G13/TrRail_act!G6*1000)</f>
        <v>9.06880327767003</v>
      </c>
      <c r="H37" s="116">
        <f>IF(H13=0,0,H13/TrRail_act!H6*1000)</f>
        <v>9.7283890040701468</v>
      </c>
      <c r="I37" s="116">
        <f>IF(I13=0,0,I13/TrRail_act!I6*1000)</f>
        <v>9.4180892023060441</v>
      </c>
      <c r="J37" s="116">
        <f>IF(J13=0,0,J13/TrRail_act!J6*1000)</f>
        <v>9.0442341892956826</v>
      </c>
      <c r="K37" s="116">
        <f>IF(K13=0,0,K13/TrRail_act!K6*1000)</f>
        <v>9.6600260788040853</v>
      </c>
      <c r="L37" s="116">
        <f>IF(L13=0,0,L13/TrRail_act!L6*1000)</f>
        <v>9.3545817451129132</v>
      </c>
      <c r="M37" s="116">
        <f>IF(M13=0,0,M13/TrRail_act!M6*1000)</f>
        <v>8.9031355368723482</v>
      </c>
      <c r="N37" s="116">
        <f>IF(N13=0,0,N13/TrRail_act!N6*1000)</f>
        <v>9.0677238572806882</v>
      </c>
      <c r="O37" s="116">
        <f>IF(O13=0,0,O13/TrRail_act!O6*1000)</f>
        <v>8.8831888647679094</v>
      </c>
      <c r="P37" s="116">
        <f>IF(P13=0,0,P13/TrRail_act!P6*1000)</f>
        <v>9.2315556181723153</v>
      </c>
      <c r="Q37" s="116">
        <f>IF(Q13=0,0,Q13/TrRail_act!Q6*1000)</f>
        <v>8.7787313169165913</v>
      </c>
      <c r="R37" s="116">
        <f>IF(R13=0,0,R13/TrRail_act!R6*1000)</f>
        <v>8.2516950365819284</v>
      </c>
      <c r="S37" s="116">
        <f>IF(S13=0,0,S13/TrRail_act!S6*1000)</f>
        <v>8.0845003596972234</v>
      </c>
      <c r="T37" s="116">
        <f>IF(T13=0,0,T13/TrRail_act!T6*1000)</f>
        <v>7.7694964966986539</v>
      </c>
      <c r="U37" s="116">
        <f>IF(U13=0,0,U13/TrRail_act!U6*1000)</f>
        <v>6.6936025570834428</v>
      </c>
      <c r="V37" s="116">
        <f>IF(V13=0,0,V13/TrRail_act!V6*1000)</f>
        <v>10.247565904399076</v>
      </c>
      <c r="W37" s="116">
        <f>IF(W13=0,0,W13/TrRail_act!W6*1000)</f>
        <v>11.869201125925125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0</v>
      </c>
      <c r="C38" s="87">
        <f>IF(C14=0,0,C14/TrRail_act!C7*1000)</f>
        <v>0</v>
      </c>
      <c r="D38" s="87">
        <f>IF(D14=0,0,D14/TrRail_act!D7*1000)</f>
        <v>0</v>
      </c>
      <c r="E38" s="87">
        <f>IF(E14=0,0,E14/TrRail_act!E7*1000)</f>
        <v>0</v>
      </c>
      <c r="F38" s="87">
        <f>IF(F14=0,0,F14/TrRail_act!F7*1000)</f>
        <v>0</v>
      </c>
      <c r="G38" s="87">
        <f>IF(G14=0,0,G14/TrRail_act!G7*1000)</f>
        <v>0</v>
      </c>
      <c r="H38" s="87">
        <f>IF(H14=0,0,H14/TrRail_act!H7*1000)</f>
        <v>0</v>
      </c>
      <c r="I38" s="87">
        <f>IF(I14=0,0,I14/TrRail_act!I7*1000)</f>
        <v>0</v>
      </c>
      <c r="J38" s="87">
        <f>IF(J14=0,0,J14/TrRail_act!J7*1000)</f>
        <v>0</v>
      </c>
      <c r="K38" s="87">
        <f>IF(K14=0,0,K14/TrRail_act!K7*1000)</f>
        <v>0</v>
      </c>
      <c r="L38" s="87">
        <f>IF(L14=0,0,L14/TrRail_act!L7*1000)</f>
        <v>0</v>
      </c>
      <c r="M38" s="87">
        <f>IF(M14=0,0,M14/TrRail_act!M7*1000)</f>
        <v>0</v>
      </c>
      <c r="N38" s="87">
        <f>IF(N14=0,0,N14/TrRail_act!N7*1000)</f>
        <v>0</v>
      </c>
      <c r="O38" s="87">
        <f>IF(O14=0,0,O14/TrRail_act!O7*1000)</f>
        <v>0</v>
      </c>
      <c r="P38" s="87">
        <f>IF(P14=0,0,P14/TrRail_act!P7*1000)</f>
        <v>0</v>
      </c>
      <c r="Q38" s="87">
        <f>IF(Q14=0,0,Q14/TrRail_act!Q7*1000)</f>
        <v>0</v>
      </c>
      <c r="R38" s="87">
        <f>IF(R14=0,0,R14/TrRail_act!R7*1000)</f>
        <v>0</v>
      </c>
      <c r="S38" s="87">
        <f>IF(S14=0,0,S14/TrRail_act!S7*1000)</f>
        <v>0</v>
      </c>
      <c r="T38" s="87">
        <f>IF(T14=0,0,T14/TrRail_act!T7*1000)</f>
        <v>0</v>
      </c>
      <c r="U38" s="87">
        <f>IF(U14=0,0,U14/TrRail_act!U7*1000)</f>
        <v>0</v>
      </c>
      <c r="V38" s="87">
        <f>IF(V14=0,0,V14/TrRail_act!V7*1000)</f>
        <v>0</v>
      </c>
      <c r="W38" s="87">
        <f>IF(W14=0,0,W14/TrRail_act!W7*1000)</f>
        <v>0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11.022308290209649</v>
      </c>
      <c r="C39" s="87">
        <f>IF(C15=0,0,C15/TrRail_act!C8*1000)</f>
        <v>8.9482849219913128</v>
      </c>
      <c r="D39" s="87">
        <f>IF(D15=0,0,D15/TrRail_act!D8*1000)</f>
        <v>8.7143122617518962</v>
      </c>
      <c r="E39" s="87">
        <f>IF(E15=0,0,E15/TrRail_act!E8*1000)</f>
        <v>10.109476080995531</v>
      </c>
      <c r="F39" s="87">
        <f>IF(F15=0,0,F15/TrRail_act!F8*1000)</f>
        <v>10.078388747290232</v>
      </c>
      <c r="G39" s="87">
        <f>IF(G15=0,0,G15/TrRail_act!G8*1000)</f>
        <v>9.06880327767003</v>
      </c>
      <c r="H39" s="87">
        <f>IF(H15=0,0,H15/TrRail_act!H8*1000)</f>
        <v>9.7283890040701468</v>
      </c>
      <c r="I39" s="87">
        <f>IF(I15=0,0,I15/TrRail_act!I8*1000)</f>
        <v>9.4180892023060441</v>
      </c>
      <c r="J39" s="87">
        <f>IF(J15=0,0,J15/TrRail_act!J8*1000)</f>
        <v>9.0442341892956826</v>
      </c>
      <c r="K39" s="87">
        <f>IF(K15=0,0,K15/TrRail_act!K8*1000)</f>
        <v>9.6600260788040853</v>
      </c>
      <c r="L39" s="87">
        <f>IF(L15=0,0,L15/TrRail_act!L8*1000)</f>
        <v>9.3545817451129132</v>
      </c>
      <c r="M39" s="87">
        <f>IF(M15=0,0,M15/TrRail_act!M8*1000)</f>
        <v>8.9031355368723482</v>
      </c>
      <c r="N39" s="87">
        <f>IF(N15=0,0,N15/TrRail_act!N8*1000)</f>
        <v>9.0677238572806882</v>
      </c>
      <c r="O39" s="87">
        <f>IF(O15=0,0,O15/TrRail_act!O8*1000)</f>
        <v>8.8831888647679094</v>
      </c>
      <c r="P39" s="87">
        <f>IF(P15=0,0,P15/TrRail_act!P8*1000)</f>
        <v>9.2315556181723153</v>
      </c>
      <c r="Q39" s="87">
        <f>IF(Q15=0,0,Q15/TrRail_act!Q8*1000)</f>
        <v>8.7787313169165913</v>
      </c>
      <c r="R39" s="87">
        <f>IF(R15=0,0,R15/TrRail_act!R8*1000)</f>
        <v>8.2516950365819284</v>
      </c>
      <c r="S39" s="87">
        <f>IF(S15=0,0,S15/TrRail_act!S8*1000)</f>
        <v>8.0845003596972234</v>
      </c>
      <c r="T39" s="87">
        <f>IF(T15=0,0,T15/TrRail_act!T8*1000)</f>
        <v>7.7694964966986539</v>
      </c>
      <c r="U39" s="87">
        <f>IF(U15=0,0,U15/TrRail_act!U8*1000)</f>
        <v>6.6936025570834428</v>
      </c>
      <c r="V39" s="87">
        <f>IF(V15=0,0,V15/TrRail_act!V8*1000)</f>
        <v>10.247565904399076</v>
      </c>
      <c r="W39" s="87">
        <f>IF(W15=0,0,W15/TrRail_act!W8*1000)</f>
        <v>11.869201125925125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4.4237731120859571</v>
      </c>
      <c r="C41" s="29">
        <f>IF(C17=0,0,C17/TrRail_act!C10*1000)</f>
        <v>2.9567822061762801</v>
      </c>
      <c r="D41" s="29">
        <f>IF(D17=0,0,D17/TrRail_act!D10*1000)</f>
        <v>2.8811284612403889</v>
      </c>
      <c r="E41" s="29">
        <f>IF(E17=0,0,E17/TrRail_act!E10*1000)</f>
        <v>3.0267718595742497</v>
      </c>
      <c r="F41" s="29">
        <f>IF(F17=0,0,F17/TrRail_act!F10*1000)</f>
        <v>3.0684611127581314</v>
      </c>
      <c r="G41" s="29">
        <f>IF(G17=0,0,G17/TrRail_act!G10*1000)</f>
        <v>2.2107636705085918</v>
      </c>
      <c r="H41" s="29">
        <f>IF(H17=0,0,H17/TrRail_act!H10*1000)</f>
        <v>2.208325151436878</v>
      </c>
      <c r="I41" s="29">
        <f>IF(I17=0,0,I17/TrRail_act!I10*1000)</f>
        <v>2.2792824142336241</v>
      </c>
      <c r="J41" s="29">
        <f>IF(J17=0,0,J17/TrRail_act!J10*1000)</f>
        <v>1.9956600388374071</v>
      </c>
      <c r="K41" s="29">
        <f>IF(K17=0,0,K17/TrRail_act!K10*1000)</f>
        <v>1.9120185668359988</v>
      </c>
      <c r="L41" s="29">
        <f>IF(L17=0,0,L17/TrRail_act!L10*1000)</f>
        <v>2.0967540343641193</v>
      </c>
      <c r="M41" s="29">
        <f>IF(M17=0,0,M17/TrRail_act!M10*1000)</f>
        <v>2.1111167289210715</v>
      </c>
      <c r="N41" s="29">
        <f>IF(N17=0,0,N17/TrRail_act!N10*1000)</f>
        <v>1.9012651079119802</v>
      </c>
      <c r="O41" s="29">
        <f>IF(O17=0,0,O17/TrRail_act!O10*1000)</f>
        <v>2.230848001428325</v>
      </c>
      <c r="P41" s="29">
        <f>IF(P17=0,0,P17/TrRail_act!P10*1000)</f>
        <v>1.8490561882141381</v>
      </c>
      <c r="Q41" s="29">
        <f>IF(Q17=0,0,Q17/TrRail_act!Q10*1000)</f>
        <v>1.537300681026613</v>
      </c>
      <c r="R41" s="29">
        <f>IF(R17=0,0,R17/TrRail_act!R10*1000)</f>
        <v>1.6827234575982537</v>
      </c>
      <c r="S41" s="29">
        <f>IF(S17=0,0,S17/TrRail_act!S10*1000)</f>
        <v>1.3207774686929896</v>
      </c>
      <c r="T41" s="29">
        <f>IF(T17=0,0,T17/TrRail_act!T10*1000)</f>
        <v>1.4643267079174003</v>
      </c>
      <c r="U41" s="29">
        <f>IF(U17=0,0,U17/TrRail_act!U10*1000)</f>
        <v>1.261080773122367</v>
      </c>
      <c r="V41" s="29">
        <f>IF(V17=0,0,V17/TrRail_act!V10*1000)</f>
        <v>1.8954024069150828</v>
      </c>
      <c r="W41" s="29">
        <f>IF(W17=0,0,W17/TrRail_act!W10*1000)</f>
        <v>1.9167712086841173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0</v>
      </c>
      <c r="C42" s="87">
        <f>IF(C18=0,0,C18/TrRail_act!C11*1000)</f>
        <v>0</v>
      </c>
      <c r="D42" s="87">
        <f>IF(D18=0,0,D18/TrRail_act!D11*1000)</f>
        <v>0</v>
      </c>
      <c r="E42" s="87">
        <f>IF(E18=0,0,E18/TrRail_act!E11*1000)</f>
        <v>0</v>
      </c>
      <c r="F42" s="87">
        <f>IF(F18=0,0,F18/TrRail_act!F11*1000)</f>
        <v>0</v>
      </c>
      <c r="G42" s="87">
        <f>IF(G18=0,0,G18/TrRail_act!G11*1000)</f>
        <v>0</v>
      </c>
      <c r="H42" s="87">
        <f>IF(H18=0,0,H18/TrRail_act!H11*1000)</f>
        <v>0</v>
      </c>
      <c r="I42" s="87">
        <f>IF(I18=0,0,I18/TrRail_act!I11*1000)</f>
        <v>0</v>
      </c>
      <c r="J42" s="87">
        <f>IF(J18=0,0,J18/TrRail_act!J11*1000)</f>
        <v>0</v>
      </c>
      <c r="K42" s="87">
        <f>IF(K18=0,0,K18/TrRail_act!K11*1000)</f>
        <v>0</v>
      </c>
      <c r="L42" s="87">
        <f>IF(L18=0,0,L18/TrRail_act!L11*1000)</f>
        <v>0</v>
      </c>
      <c r="M42" s="87">
        <f>IF(M18=0,0,M18/TrRail_act!M11*1000)</f>
        <v>0</v>
      </c>
      <c r="N42" s="87">
        <f>IF(N18=0,0,N18/TrRail_act!N11*1000)</f>
        <v>0</v>
      </c>
      <c r="O42" s="87">
        <f>IF(O18=0,0,O18/TrRail_act!O11*1000)</f>
        <v>0</v>
      </c>
      <c r="P42" s="87">
        <f>IF(P18=0,0,P18/TrRail_act!P11*1000)</f>
        <v>0</v>
      </c>
      <c r="Q42" s="87">
        <f>IF(Q18=0,0,Q18/TrRail_act!Q11*1000)</f>
        <v>0</v>
      </c>
      <c r="R42" s="87">
        <f>IF(R18=0,0,R18/TrRail_act!R11*1000)</f>
        <v>0</v>
      </c>
      <c r="S42" s="87">
        <f>IF(S18=0,0,S18/TrRail_act!S11*1000)</f>
        <v>0</v>
      </c>
      <c r="T42" s="87">
        <f>IF(T18=0,0,T18/TrRail_act!T11*1000)</f>
        <v>0</v>
      </c>
      <c r="U42" s="87">
        <f>IF(U18=0,0,U18/TrRail_act!U11*1000)</f>
        <v>0</v>
      </c>
      <c r="V42" s="87">
        <f>IF(V18=0,0,V18/TrRail_act!V11*1000)</f>
        <v>0</v>
      </c>
      <c r="W42" s="87">
        <f>IF(W18=0,0,W18/TrRail_act!W11*1000)</f>
        <v>0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4.4237731120859571</v>
      </c>
      <c r="C43" s="88">
        <f>IF(C19=0,0,C19/TrRail_act!C12*1000)</f>
        <v>2.9567822061762801</v>
      </c>
      <c r="D43" s="88">
        <f>IF(D19=0,0,D19/TrRail_act!D12*1000)</f>
        <v>2.8811284612403889</v>
      </c>
      <c r="E43" s="88">
        <f>IF(E19=0,0,E19/TrRail_act!E12*1000)</f>
        <v>3.0267718595742497</v>
      </c>
      <c r="F43" s="88">
        <f>IF(F19=0,0,F19/TrRail_act!F12*1000)</f>
        <v>3.0684611127581314</v>
      </c>
      <c r="G43" s="88">
        <f>IF(G19=0,0,G19/TrRail_act!G12*1000)</f>
        <v>2.2107636705085918</v>
      </c>
      <c r="H43" s="88">
        <f>IF(H19=0,0,H19/TrRail_act!H12*1000)</f>
        <v>2.208325151436878</v>
      </c>
      <c r="I43" s="88">
        <f>IF(I19=0,0,I19/TrRail_act!I12*1000)</f>
        <v>2.2792824142336241</v>
      </c>
      <c r="J43" s="88">
        <f>IF(J19=0,0,J19/TrRail_act!J12*1000)</f>
        <v>1.9956600388374071</v>
      </c>
      <c r="K43" s="88">
        <f>IF(K19=0,0,K19/TrRail_act!K12*1000)</f>
        <v>1.9120185668359988</v>
      </c>
      <c r="L43" s="88">
        <f>IF(L19=0,0,L19/TrRail_act!L12*1000)</f>
        <v>2.0967540343641193</v>
      </c>
      <c r="M43" s="88">
        <f>IF(M19=0,0,M19/TrRail_act!M12*1000)</f>
        <v>2.1111167289210715</v>
      </c>
      <c r="N43" s="88">
        <f>IF(N19=0,0,N19/TrRail_act!N12*1000)</f>
        <v>1.9012651079119802</v>
      </c>
      <c r="O43" s="88">
        <f>IF(O19=0,0,O19/TrRail_act!O12*1000)</f>
        <v>2.230848001428325</v>
      </c>
      <c r="P43" s="88">
        <f>IF(P19=0,0,P19/TrRail_act!P12*1000)</f>
        <v>1.8490561882141381</v>
      </c>
      <c r="Q43" s="88">
        <f>IF(Q19=0,0,Q19/TrRail_act!Q12*1000)</f>
        <v>1.537300681026613</v>
      </c>
      <c r="R43" s="88">
        <f>IF(R19=0,0,R19/TrRail_act!R12*1000)</f>
        <v>1.6827234575982537</v>
      </c>
      <c r="S43" s="88">
        <f>IF(S19=0,0,S19/TrRail_act!S12*1000)</f>
        <v>1.3207774686929896</v>
      </c>
      <c r="T43" s="88">
        <f>IF(T19=0,0,T19/TrRail_act!T12*1000)</f>
        <v>1.4643267079174003</v>
      </c>
      <c r="U43" s="88">
        <f>IF(U19=0,0,U19/TrRail_act!U12*1000)</f>
        <v>1.261080773122367</v>
      </c>
      <c r="V43" s="88">
        <f>IF(V19=0,0,V19/TrRail_act!V12*1000)</f>
        <v>1.8954024069150828</v>
      </c>
      <c r="W43" s="88">
        <f>IF(W19=0,0,W19/TrRail_act!W12*1000)</f>
        <v>1.9167712086841173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282670.39833906136</v>
      </c>
      <c r="C45" s="54">
        <f>IF(C10=0,0,1000000*C10/TrRail_act!C25)</f>
        <v>219539.99083116479</v>
      </c>
      <c r="D45" s="54">
        <f>IF(D10=0,0,1000000*D10/TrRail_act!D25)</f>
        <v>222822.67487642248</v>
      </c>
      <c r="E45" s="54">
        <f>IF(E10=0,0,1000000*E10/TrRail_act!E25)</f>
        <v>232728.36595777533</v>
      </c>
      <c r="F45" s="54">
        <f>IF(F10=0,0,1000000*F10/TrRail_act!F25)</f>
        <v>224522.89931418598</v>
      </c>
      <c r="G45" s="54">
        <f>IF(G10=0,0,1000000*G10/TrRail_act!G25)</f>
        <v>192073.9448324508</v>
      </c>
      <c r="H45" s="54">
        <f>IF(H10=0,0,1000000*H10/TrRail_act!H25)</f>
        <v>199972.75776888625</v>
      </c>
      <c r="I45" s="54">
        <f>IF(I10=0,0,1000000*I10/TrRail_act!I25)</f>
        <v>193612.77172896755</v>
      </c>
      <c r="J45" s="54">
        <f>IF(J10=0,0,1000000*J10/TrRail_act!J25)</f>
        <v>184713.65192215284</v>
      </c>
      <c r="K45" s="54">
        <f>IF(K10=0,0,1000000*K10/TrRail_act!K25)</f>
        <v>169655.860734658</v>
      </c>
      <c r="L45" s="54">
        <f>IF(L10=0,0,1000000*L10/TrRail_act!L25)</f>
        <v>180131.28182296091</v>
      </c>
      <c r="M45" s="54">
        <f>IF(M10=0,0,1000000*M10/TrRail_act!M25)</f>
        <v>179171.43717594002</v>
      </c>
      <c r="N45" s="54">
        <f>IF(N10=0,0,1000000*N10/TrRail_act!N25)</f>
        <v>172644.20734833655</v>
      </c>
      <c r="O45" s="54">
        <f>IF(O10=0,0,1000000*O10/TrRail_act!O25)</f>
        <v>176877.16081481078</v>
      </c>
      <c r="P45" s="54">
        <f>IF(P10=0,0,1000000*P10/TrRail_act!P25)</f>
        <v>171145.43087409719</v>
      </c>
      <c r="Q45" s="54">
        <f>IF(Q10=0,0,1000000*Q10/TrRail_act!Q25)</f>
        <v>161379.56709351245</v>
      </c>
      <c r="R45" s="54">
        <f>IF(R10=0,0,1000000*R10/TrRail_act!R25)</f>
        <v>157210.44130202531</v>
      </c>
      <c r="S45" s="54">
        <f>IF(S10=0,0,1000000*S10/TrRail_act!S25)</f>
        <v>151324.2724928754</v>
      </c>
      <c r="T45" s="54">
        <f>IF(T10=0,0,1000000*T10/TrRail_act!T25)</f>
        <v>150794.65810998564</v>
      </c>
      <c r="U45" s="54">
        <f>IF(U10=0,0,1000000*U10/TrRail_act!U25)</f>
        <v>143858.50403142121</v>
      </c>
      <c r="V45" s="54">
        <f>IF(V10=0,0,1000000*V10/TrRail_act!V25)</f>
        <v>137645.92771779295</v>
      </c>
      <c r="W45" s="54">
        <f>IF(W10=0,0,1000000*W10/TrRail_act!W25)</f>
        <v>153149.25529610785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191982.64291955679</v>
      </c>
      <c r="C46" s="28">
        <f>IF(C11=0,0,1000000*C11/TrRail_act!C26)</f>
        <v>166265.05525080094</v>
      </c>
      <c r="D46" s="28">
        <f>IF(D11=0,0,1000000*D11/TrRail_act!D26)</f>
        <v>166430.46007601684</v>
      </c>
      <c r="E46" s="28">
        <f>IF(E11=0,0,1000000*E11/TrRail_act!E26)</f>
        <v>163980.4719583347</v>
      </c>
      <c r="F46" s="28">
        <f>IF(F11=0,0,1000000*F11/TrRail_act!F26)</f>
        <v>158023.43711047334</v>
      </c>
      <c r="G46" s="28">
        <f>IF(G11=0,0,1000000*G11/TrRail_act!G26)</f>
        <v>147825.93548000304</v>
      </c>
      <c r="H46" s="28">
        <f>IF(H11=0,0,1000000*H11/TrRail_act!H26)</f>
        <v>148063.4369302417</v>
      </c>
      <c r="I46" s="28">
        <f>IF(I11=0,0,1000000*I11/TrRail_act!I26)</f>
        <v>141471.3140649792</v>
      </c>
      <c r="J46" s="28">
        <f>IF(J11=0,0,1000000*J11/TrRail_act!J26)</f>
        <v>140229.07317065907</v>
      </c>
      <c r="K46" s="28">
        <f>IF(K11=0,0,1000000*K11/TrRail_act!K26)</f>
        <v>140373.57111162113</v>
      </c>
      <c r="L46" s="28">
        <f>IF(L11=0,0,1000000*L11/TrRail_act!L26)</f>
        <v>140638.07354583355</v>
      </c>
      <c r="M46" s="28">
        <f>IF(M11=0,0,1000000*M11/TrRail_act!M26)</f>
        <v>140037.33295585794</v>
      </c>
      <c r="N46" s="28">
        <f>IF(N11=0,0,1000000*N11/TrRail_act!N26)</f>
        <v>139260.20739181977</v>
      </c>
      <c r="O46" s="28">
        <f>IF(O11=0,0,1000000*O11/TrRail_act!O26)</f>
        <v>137585.3485421821</v>
      </c>
      <c r="P46" s="28">
        <f>IF(P11=0,0,1000000*P11/TrRail_act!P26)</f>
        <v>138801.5097589634</v>
      </c>
      <c r="Q46" s="28">
        <f>IF(Q11=0,0,1000000*Q11/TrRail_act!Q26)</f>
        <v>139171.9817366818</v>
      </c>
      <c r="R46" s="28">
        <f>IF(R11=0,0,1000000*R11/TrRail_act!R26)</f>
        <v>133101.84743580411</v>
      </c>
      <c r="S46" s="28">
        <f>IF(S11=0,0,1000000*S11/TrRail_act!S26)</f>
        <v>132615.13858487573</v>
      </c>
      <c r="T46" s="28">
        <f>IF(T11=0,0,1000000*T11/TrRail_act!T26)</f>
        <v>130554.24832691983</v>
      </c>
      <c r="U46" s="28">
        <f>IF(U11=0,0,1000000*U11/TrRail_act!U26)</f>
        <v>124978.09664456265</v>
      </c>
      <c r="V46" s="28">
        <f>IF(V11=0,0,1000000*V11/TrRail_act!V26)</f>
        <v>110728.68923314758</v>
      </c>
      <c r="W46" s="28">
        <f>IF(W11=0,0,1000000*W11/TrRail_act!W26)</f>
        <v>124712.30664180605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40650.758942307482</v>
      </c>
      <c r="C47" s="108">
        <f>IF(C12=0,0,1000000*C12/TrRail_act!C27)</f>
        <v>39959.494261354499</v>
      </c>
      <c r="D47" s="108">
        <f>IF(D12=0,0,1000000*D12/TrRail_act!D27)</f>
        <v>39504.777812606953</v>
      </c>
      <c r="E47" s="108">
        <f>IF(E12=0,0,1000000*E12/TrRail_act!E27)</f>
        <v>39271.509472144899</v>
      </c>
      <c r="F47" s="108">
        <f>IF(F12=0,0,1000000*F12/TrRail_act!F27)</f>
        <v>39057.907909052163</v>
      </c>
      <c r="G47" s="108">
        <f>IF(G12=0,0,1000000*G12/TrRail_act!G27)</f>
        <v>38150.510845259523</v>
      </c>
      <c r="H47" s="108">
        <f>IF(H12=0,0,1000000*H12/TrRail_act!H27)</f>
        <v>37620.844566189822</v>
      </c>
      <c r="I47" s="108">
        <f>IF(I12=0,0,1000000*I12/TrRail_act!I27)</f>
        <v>37170.708999281094</v>
      </c>
      <c r="J47" s="108">
        <f>IF(J12=0,0,1000000*J12/TrRail_act!J27)</f>
        <v>35800.373623057312</v>
      </c>
      <c r="K47" s="108">
        <f>IF(K12=0,0,1000000*K12/TrRail_act!K27)</f>
        <v>31181.829673615553</v>
      </c>
      <c r="L47" s="108">
        <f>IF(L12=0,0,1000000*L12/TrRail_act!L27)</f>
        <v>33129.608988441883</v>
      </c>
      <c r="M47" s="108">
        <f>IF(M12=0,0,1000000*M12/TrRail_act!M27)</f>
        <v>35814.126905835634</v>
      </c>
      <c r="N47" s="108">
        <f>IF(N12=0,0,1000000*N12/TrRail_act!N27)</f>
        <v>35268.84130515837</v>
      </c>
      <c r="O47" s="108">
        <f>IF(O12=0,0,1000000*O12/TrRail_act!O27)</f>
        <v>34632.915997749122</v>
      </c>
      <c r="P47" s="108">
        <f>IF(P12=0,0,1000000*P12/TrRail_act!P27)</f>
        <v>34256.98348025723</v>
      </c>
      <c r="Q47" s="108">
        <f>IF(Q12=0,0,1000000*Q12/TrRail_act!Q27)</f>
        <v>33986.714828192242</v>
      </c>
      <c r="R47" s="108">
        <f>IF(R12=0,0,1000000*R12/TrRail_act!R27)</f>
        <v>33785.413828176082</v>
      </c>
      <c r="S47" s="108">
        <f>IF(S12=0,0,1000000*S12/TrRail_act!S27)</f>
        <v>33635.220613058867</v>
      </c>
      <c r="T47" s="108">
        <f>IF(T12=0,0,1000000*T12/TrRail_act!T27)</f>
        <v>33523.013936756404</v>
      </c>
      <c r="U47" s="108">
        <f>IF(U12=0,0,1000000*U12/TrRail_act!U27)</f>
        <v>33439.104152162319</v>
      </c>
      <c r="V47" s="108">
        <f>IF(V12=0,0,1000000*V12/TrRail_act!V27)</f>
        <v>33376.310607544314</v>
      </c>
      <c r="W47" s="108">
        <f>IF(W12=0,0,1000000*W12/TrRail_act!W27)</f>
        <v>33329.29268061756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238201.45133575567</v>
      </c>
      <c r="C48" s="110">
        <f>IF(C13=0,0,1000000*C13/TrRail_act!C28)</f>
        <v>210000.39537217937</v>
      </c>
      <c r="D48" s="110">
        <f>IF(D13=0,0,1000000*D13/TrRail_act!D28)</f>
        <v>215878.25446492629</v>
      </c>
      <c r="E48" s="110">
        <f>IF(E13=0,0,1000000*E13/TrRail_act!E28)</f>
        <v>212919.61092871532</v>
      </c>
      <c r="F48" s="110">
        <f>IF(F13=0,0,1000000*F13/TrRail_act!F28)</f>
        <v>204930.71371212939</v>
      </c>
      <c r="G48" s="110">
        <f>IF(G13=0,0,1000000*G13/TrRail_act!G28)</f>
        <v>198910.14227326281</v>
      </c>
      <c r="H48" s="110">
        <f>IF(H13=0,0,1000000*H13/TrRail_act!H28)</f>
        <v>193712.11524108145</v>
      </c>
      <c r="I48" s="110">
        <f>IF(I13=0,0,1000000*I13/TrRail_act!I28)</f>
        <v>188662.33141855634</v>
      </c>
      <c r="J48" s="110">
        <f>IF(J13=0,0,1000000*J13/TrRail_act!J28)</f>
        <v>181061.56105845742</v>
      </c>
      <c r="K48" s="110">
        <f>IF(K13=0,0,1000000*K13/TrRail_act!K28)</f>
        <v>176269.33213641981</v>
      </c>
      <c r="L48" s="110">
        <f>IF(L13=0,0,1000000*L13/TrRail_act!L28)</f>
        <v>172102.94837770876</v>
      </c>
      <c r="M48" s="110">
        <f>IF(M13=0,0,1000000*M13/TrRail_act!M28)</f>
        <v>169061.72803064267</v>
      </c>
      <c r="N48" s="110">
        <f>IF(N13=0,0,1000000*N13/TrRail_act!N28)</f>
        <v>165244.33700437352</v>
      </c>
      <c r="O48" s="110">
        <f>IF(O13=0,0,1000000*O13/TrRail_act!O28)</f>
        <v>161736.67462700623</v>
      </c>
      <c r="P48" s="110">
        <f>IF(P13=0,0,1000000*P13/TrRail_act!P28)</f>
        <v>159551.41613058833</v>
      </c>
      <c r="Q48" s="110">
        <f>IF(Q13=0,0,1000000*Q13/TrRail_act!Q28)</f>
        <v>154052.36632246166</v>
      </c>
      <c r="R48" s="110">
        <f>IF(R13=0,0,1000000*R13/TrRail_act!R28)</f>
        <v>150052.81777090635</v>
      </c>
      <c r="S48" s="110">
        <f>IF(S13=0,0,1000000*S13/TrRail_act!S28)</f>
        <v>147121.44877466172</v>
      </c>
      <c r="T48" s="110">
        <f>IF(T13=0,0,1000000*T13/TrRail_act!T28)</f>
        <v>144960.56401355276</v>
      </c>
      <c r="U48" s="110">
        <f>IF(U13=0,0,1000000*U13/TrRail_act!U28)</f>
        <v>139431.96578939274</v>
      </c>
      <c r="V48" s="110">
        <f>IF(V13=0,0,1000000*V13/TrRail_act!V28)</f>
        <v>123715.32884196546</v>
      </c>
      <c r="W48" s="110">
        <f>IF(W13=0,0,1000000*W13/TrRail_act!W28)</f>
        <v>141287.76788310459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0</v>
      </c>
      <c r="C49" s="84">
        <f>IF(C14=0,0,1000000*C14/TrRail_act!C29)</f>
        <v>0</v>
      </c>
      <c r="D49" s="84">
        <f>IF(D14=0,0,1000000*D14/TrRail_act!D29)</f>
        <v>0</v>
      </c>
      <c r="E49" s="84">
        <f>IF(E14=0,0,1000000*E14/TrRail_act!E29)</f>
        <v>0</v>
      </c>
      <c r="F49" s="84">
        <f>IF(F14=0,0,1000000*F14/TrRail_act!F29)</f>
        <v>0</v>
      </c>
      <c r="G49" s="84">
        <f>IF(G14=0,0,1000000*G14/TrRail_act!G29)</f>
        <v>0</v>
      </c>
      <c r="H49" s="84">
        <f>IF(H14=0,0,1000000*H14/TrRail_act!H29)</f>
        <v>0</v>
      </c>
      <c r="I49" s="84">
        <f>IF(I14=0,0,1000000*I14/TrRail_act!I29)</f>
        <v>0</v>
      </c>
      <c r="J49" s="84">
        <f>IF(J14=0,0,1000000*J14/TrRail_act!J29)</f>
        <v>0</v>
      </c>
      <c r="K49" s="84">
        <f>IF(K14=0,0,1000000*K14/TrRail_act!K29)</f>
        <v>0</v>
      </c>
      <c r="L49" s="84">
        <f>IF(L14=0,0,1000000*L14/TrRail_act!L29)</f>
        <v>0</v>
      </c>
      <c r="M49" s="84">
        <f>IF(M14=0,0,1000000*M14/TrRail_act!M29)</f>
        <v>0</v>
      </c>
      <c r="N49" s="84">
        <f>IF(N14=0,0,1000000*N14/TrRail_act!N29)</f>
        <v>0</v>
      </c>
      <c r="O49" s="84">
        <f>IF(O14=0,0,1000000*O14/TrRail_act!O29)</f>
        <v>0</v>
      </c>
      <c r="P49" s="84">
        <f>IF(P14=0,0,1000000*P14/TrRail_act!P29)</f>
        <v>0</v>
      </c>
      <c r="Q49" s="84">
        <f>IF(Q14=0,0,1000000*Q14/TrRail_act!Q29)</f>
        <v>0</v>
      </c>
      <c r="R49" s="84">
        <f>IF(R14=0,0,1000000*R14/TrRail_act!R29)</f>
        <v>0</v>
      </c>
      <c r="S49" s="84">
        <f>IF(S14=0,0,1000000*S14/TrRail_act!S29)</f>
        <v>0</v>
      </c>
      <c r="T49" s="84">
        <f>IF(T14=0,0,1000000*T14/TrRail_act!T29)</f>
        <v>0</v>
      </c>
      <c r="U49" s="84">
        <f>IF(U14=0,0,1000000*U14/TrRail_act!U29)</f>
        <v>0</v>
      </c>
      <c r="V49" s="84">
        <f>IF(V14=0,0,1000000*V14/TrRail_act!V29)</f>
        <v>0</v>
      </c>
      <c r="W49" s="84">
        <f>IF(W14=0,0,1000000*W14/TrRail_act!W29)</f>
        <v>0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238201.45133575567</v>
      </c>
      <c r="C50" s="84">
        <f>IF(C15=0,0,1000000*C15/TrRail_act!C30)</f>
        <v>210000.39537217937</v>
      </c>
      <c r="D50" s="84">
        <f>IF(D15=0,0,1000000*D15/TrRail_act!D30)</f>
        <v>215878.25446492629</v>
      </c>
      <c r="E50" s="84">
        <f>IF(E15=0,0,1000000*E15/TrRail_act!E30)</f>
        <v>212919.61092871532</v>
      </c>
      <c r="F50" s="84">
        <f>IF(F15=0,0,1000000*F15/TrRail_act!F30)</f>
        <v>204930.71371212939</v>
      </c>
      <c r="G50" s="84">
        <f>IF(G15=0,0,1000000*G15/TrRail_act!G30)</f>
        <v>198910.14227326281</v>
      </c>
      <c r="H50" s="84">
        <f>IF(H15=0,0,1000000*H15/TrRail_act!H30)</f>
        <v>193712.11524108145</v>
      </c>
      <c r="I50" s="84">
        <f>IF(I15=0,0,1000000*I15/TrRail_act!I30)</f>
        <v>188662.33141855634</v>
      </c>
      <c r="J50" s="84">
        <f>IF(J15=0,0,1000000*J15/TrRail_act!J30)</f>
        <v>181061.56105845742</v>
      </c>
      <c r="K50" s="84">
        <f>IF(K15=0,0,1000000*K15/TrRail_act!K30)</f>
        <v>176269.33213641981</v>
      </c>
      <c r="L50" s="84">
        <f>IF(L15=0,0,1000000*L15/TrRail_act!L30)</f>
        <v>172102.94837770876</v>
      </c>
      <c r="M50" s="84">
        <f>IF(M15=0,0,1000000*M15/TrRail_act!M30)</f>
        <v>169061.72803064267</v>
      </c>
      <c r="N50" s="84">
        <f>IF(N15=0,0,1000000*N15/TrRail_act!N30)</f>
        <v>165244.33700437352</v>
      </c>
      <c r="O50" s="84">
        <f>IF(O15=0,0,1000000*O15/TrRail_act!O30)</f>
        <v>161736.67462700623</v>
      </c>
      <c r="P50" s="84">
        <f>IF(P15=0,0,1000000*P15/TrRail_act!P30)</f>
        <v>159551.41613058833</v>
      </c>
      <c r="Q50" s="84">
        <f>IF(Q15=0,0,1000000*Q15/TrRail_act!Q30)</f>
        <v>154052.36632246166</v>
      </c>
      <c r="R50" s="84">
        <f>IF(R15=0,0,1000000*R15/TrRail_act!R30)</f>
        <v>150052.81777090635</v>
      </c>
      <c r="S50" s="84">
        <f>IF(S15=0,0,1000000*S15/TrRail_act!S30)</f>
        <v>147121.44877466172</v>
      </c>
      <c r="T50" s="84">
        <f>IF(T15=0,0,1000000*T15/TrRail_act!T30)</f>
        <v>144960.56401355276</v>
      </c>
      <c r="U50" s="84">
        <f>IF(U15=0,0,1000000*U15/TrRail_act!U30)</f>
        <v>139431.96578939274</v>
      </c>
      <c r="V50" s="84">
        <f>IF(V15=0,0,1000000*V15/TrRail_act!V30)</f>
        <v>123715.32884196546</v>
      </c>
      <c r="W50" s="84">
        <f>IF(W15=0,0,1000000*W15/TrRail_act!W30)</f>
        <v>141287.76788310459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413494.5838487767</v>
      </c>
      <c r="C52" s="28">
        <f>IF(C17=0,0,1000000*C17/TrRail_act!C32)</f>
        <v>298798.35892108374</v>
      </c>
      <c r="D52" s="28">
        <f>IF(D17=0,0,1000000*D17/TrRail_act!D32)</f>
        <v>311065.04088499193</v>
      </c>
      <c r="E52" s="28">
        <f>IF(E17=0,0,1000000*E17/TrRail_act!E32)</f>
        <v>354711.11424412846</v>
      </c>
      <c r="F52" s="28">
        <f>IF(F17=0,0,1000000*F17/TrRail_act!F32)</f>
        <v>340838.58404787729</v>
      </c>
      <c r="G52" s="28">
        <f>IF(G17=0,0,1000000*G17/TrRail_act!G32)</f>
        <v>277730.79265682015</v>
      </c>
      <c r="H52" s="28">
        <f>IF(H17=0,0,1000000*H17/TrRail_act!H32)</f>
        <v>317249.68413188064</v>
      </c>
      <c r="I52" s="28">
        <f>IF(I17=0,0,1000000*I17/TrRail_act!I32)</f>
        <v>308421.40763300477</v>
      </c>
      <c r="J52" s="28">
        <f>IF(J17=0,0,1000000*J17/TrRail_act!J32)</f>
        <v>299089.77967352414</v>
      </c>
      <c r="K52" s="28">
        <f>IF(K17=0,0,1000000*K17/TrRail_act!K32)</f>
        <v>266149.25859739649</v>
      </c>
      <c r="L52" s="28">
        <f>IF(L17=0,0,1000000*L17/TrRail_act!L32)</f>
        <v>289147.12509974634</v>
      </c>
      <c r="M52" s="28">
        <f>IF(M17=0,0,1000000*M17/TrRail_act!M32)</f>
        <v>289528.04016934265</v>
      </c>
      <c r="N52" s="28">
        <f>IF(N17=0,0,1000000*N17/TrRail_act!N32)</f>
        <v>283076.02434925613</v>
      </c>
      <c r="O52" s="28">
        <f>IF(O17=0,0,1000000*O17/TrRail_act!O32)</f>
        <v>271869.59727488237</v>
      </c>
      <c r="P52" s="28">
        <f>IF(P17=0,0,1000000*P17/TrRail_act!P32)</f>
        <v>265285.21516037331</v>
      </c>
      <c r="Q52" s="28">
        <f>IF(Q17=0,0,1000000*Q17/TrRail_act!Q32)</f>
        <v>260207.72136500475</v>
      </c>
      <c r="R52" s="28">
        <f>IF(R17=0,0,1000000*R17/TrRail_act!R32)</f>
        <v>255181.16258023281</v>
      </c>
      <c r="S52" s="28">
        <f>IF(S17=0,0,1000000*S17/TrRail_act!S32)</f>
        <v>250217.69233084202</v>
      </c>
      <c r="T52" s="28">
        <f>IF(T17=0,0,1000000*T17/TrRail_act!T32)</f>
        <v>245325.75714962717</v>
      </c>
      <c r="U52" s="28">
        <f>IF(U17=0,0,1000000*U17/TrRail_act!U32)</f>
        <v>241719.67249405314</v>
      </c>
      <c r="V52" s="28">
        <f>IF(V17=0,0,1000000*V17/TrRail_act!V32)</f>
        <v>239049.94025995946</v>
      </c>
      <c r="W52" s="28">
        <f>IF(W17=0,0,1000000*W17/TrRail_act!W32)</f>
        <v>237067.0061246244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0</v>
      </c>
      <c r="C53" s="84">
        <f>IF(C18=0,0,1000000*C18/TrRail_act!C33)</f>
        <v>0</v>
      </c>
      <c r="D53" s="84">
        <f>IF(D18=0,0,1000000*D18/TrRail_act!D33)</f>
        <v>0</v>
      </c>
      <c r="E53" s="84">
        <f>IF(E18=0,0,1000000*E18/TrRail_act!E33)</f>
        <v>0</v>
      </c>
      <c r="F53" s="84">
        <f>IF(F18=0,0,1000000*F18/TrRail_act!F33)</f>
        <v>0</v>
      </c>
      <c r="G53" s="84">
        <f>IF(G18=0,0,1000000*G18/TrRail_act!G33)</f>
        <v>0</v>
      </c>
      <c r="H53" s="84">
        <f>IF(H18=0,0,1000000*H18/TrRail_act!H33)</f>
        <v>0</v>
      </c>
      <c r="I53" s="84">
        <f>IF(I18=0,0,1000000*I18/TrRail_act!I33)</f>
        <v>0</v>
      </c>
      <c r="J53" s="84">
        <f>IF(J18=0,0,1000000*J18/TrRail_act!J33)</f>
        <v>0</v>
      </c>
      <c r="K53" s="84">
        <f>IF(K18=0,0,1000000*K18/TrRail_act!K33)</f>
        <v>0</v>
      </c>
      <c r="L53" s="84">
        <f>IF(L18=0,0,1000000*L18/TrRail_act!L33)</f>
        <v>0</v>
      </c>
      <c r="M53" s="84">
        <f>IF(M18=0,0,1000000*M18/TrRail_act!M33)</f>
        <v>0</v>
      </c>
      <c r="N53" s="84">
        <f>IF(N18=0,0,1000000*N18/TrRail_act!N33)</f>
        <v>0</v>
      </c>
      <c r="O53" s="84">
        <f>IF(O18=0,0,1000000*O18/TrRail_act!O33)</f>
        <v>0</v>
      </c>
      <c r="P53" s="84">
        <f>IF(P18=0,0,1000000*P18/TrRail_act!P33)</f>
        <v>0</v>
      </c>
      <c r="Q53" s="84">
        <f>IF(Q18=0,0,1000000*Q18/TrRail_act!Q33)</f>
        <v>0</v>
      </c>
      <c r="R53" s="84">
        <f>IF(R18=0,0,1000000*R18/TrRail_act!R33)</f>
        <v>0</v>
      </c>
      <c r="S53" s="84">
        <f>IF(S18=0,0,1000000*S18/TrRail_act!S33)</f>
        <v>0</v>
      </c>
      <c r="T53" s="84">
        <f>IF(T18=0,0,1000000*T18/TrRail_act!T33)</f>
        <v>0</v>
      </c>
      <c r="U53" s="84">
        <f>IF(U18=0,0,1000000*U18/TrRail_act!U33)</f>
        <v>0</v>
      </c>
      <c r="V53" s="84">
        <f>IF(V18=0,0,1000000*V18/TrRail_act!V33)</f>
        <v>0</v>
      </c>
      <c r="W53" s="84">
        <f>IF(W18=0,0,1000000*W18/TrRail_act!W33)</f>
        <v>0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413494.5838487767</v>
      </c>
      <c r="C54" s="86">
        <f>IF(C19=0,0,1000000*C19/TrRail_act!C34)</f>
        <v>298798.35892108374</v>
      </c>
      <c r="D54" s="86">
        <f>IF(D19=0,0,1000000*D19/TrRail_act!D34)</f>
        <v>311065.04088499193</v>
      </c>
      <c r="E54" s="86">
        <f>IF(E19=0,0,1000000*E19/TrRail_act!E34)</f>
        <v>354711.11424412846</v>
      </c>
      <c r="F54" s="86">
        <f>IF(F19=0,0,1000000*F19/TrRail_act!F34)</f>
        <v>340838.58404787729</v>
      </c>
      <c r="G54" s="86">
        <f>IF(G19=0,0,1000000*G19/TrRail_act!G34)</f>
        <v>277730.79265682015</v>
      </c>
      <c r="H54" s="86">
        <f>IF(H19=0,0,1000000*H19/TrRail_act!H34)</f>
        <v>317249.68413188064</v>
      </c>
      <c r="I54" s="86">
        <f>IF(I19=0,0,1000000*I19/TrRail_act!I34)</f>
        <v>308421.40763300477</v>
      </c>
      <c r="J54" s="86">
        <f>IF(J19=0,0,1000000*J19/TrRail_act!J34)</f>
        <v>299089.77967352414</v>
      </c>
      <c r="K54" s="86">
        <f>IF(K19=0,0,1000000*K19/TrRail_act!K34)</f>
        <v>266149.25859739649</v>
      </c>
      <c r="L54" s="86">
        <f>IF(L19=0,0,1000000*L19/TrRail_act!L34)</f>
        <v>289147.12509974634</v>
      </c>
      <c r="M54" s="86">
        <f>IF(M19=0,0,1000000*M19/TrRail_act!M34)</f>
        <v>289528.04016934265</v>
      </c>
      <c r="N54" s="86">
        <f>IF(N19=0,0,1000000*N19/TrRail_act!N34)</f>
        <v>283076.02434925613</v>
      </c>
      <c r="O54" s="86">
        <f>IF(O19=0,0,1000000*O19/TrRail_act!O34)</f>
        <v>271869.59727488237</v>
      </c>
      <c r="P54" s="86">
        <f>IF(P19=0,0,1000000*P19/TrRail_act!P34)</f>
        <v>265285.21516037331</v>
      </c>
      <c r="Q54" s="86">
        <f>IF(Q19=0,0,1000000*Q19/TrRail_act!Q34)</f>
        <v>260207.72136500475</v>
      </c>
      <c r="R54" s="86">
        <f>IF(R19=0,0,1000000*R19/TrRail_act!R34)</f>
        <v>255181.16258023281</v>
      </c>
      <c r="S54" s="86">
        <f>IF(S19=0,0,1000000*S19/TrRail_act!S34)</f>
        <v>250217.69233084202</v>
      </c>
      <c r="T54" s="86">
        <f>IF(T19=0,0,1000000*T19/TrRail_act!T34)</f>
        <v>245325.75714962717</v>
      </c>
      <c r="U54" s="86">
        <f>IF(U19=0,0,1000000*U19/TrRail_act!U34)</f>
        <v>241719.67249405314</v>
      </c>
      <c r="V54" s="86">
        <f>IF(V19=0,0,1000000*V19/TrRail_act!V34)</f>
        <v>239049.94025995946</v>
      </c>
      <c r="W54" s="86">
        <f>IF(W19=0,0,1000000*W19/TrRail_act!W34)</f>
        <v>237067.0061246244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0.40111835194761036</v>
      </c>
      <c r="C57" s="31">
        <f t="shared" ref="C57:V57" si="17">IF(C11=0,0,C11/C$10)</f>
        <v>0.45290534025897611</v>
      </c>
      <c r="D57" s="31">
        <f t="shared" si="17"/>
        <v>0.45569937533041777</v>
      </c>
      <c r="E57" s="31">
        <f t="shared" si="17"/>
        <v>0.45063067811941504</v>
      </c>
      <c r="F57" s="31">
        <f t="shared" si="17"/>
        <v>0.44780296810711273</v>
      </c>
      <c r="G57" s="31">
        <f t="shared" si="17"/>
        <v>0.50747993841885586</v>
      </c>
      <c r="H57" s="31">
        <f t="shared" si="17"/>
        <v>0.51324474145355903</v>
      </c>
      <c r="I57" s="31">
        <f t="shared" si="17"/>
        <v>0.50248404368715971</v>
      </c>
      <c r="J57" s="31">
        <f t="shared" si="17"/>
        <v>0.54658532644041291</v>
      </c>
      <c r="K57" s="31">
        <f t="shared" si="17"/>
        <v>0.63477144435717969</v>
      </c>
      <c r="L57" s="31">
        <f t="shared" si="17"/>
        <v>0.57312646534276146</v>
      </c>
      <c r="M57" s="31">
        <f t="shared" si="17"/>
        <v>0.57697790269150984</v>
      </c>
      <c r="N57" s="31">
        <f t="shared" si="17"/>
        <v>0.61938772122612473</v>
      </c>
      <c r="O57" s="31">
        <f t="shared" si="17"/>
        <v>0.5502554885558012</v>
      </c>
      <c r="P57" s="31">
        <f t="shared" si="17"/>
        <v>0.60362539100796075</v>
      </c>
      <c r="Q57" s="31">
        <f t="shared" si="17"/>
        <v>0.70415833019461738</v>
      </c>
      <c r="R57" s="31">
        <f t="shared" si="17"/>
        <v>0.67944908452968178</v>
      </c>
      <c r="S57" s="31">
        <f t="shared" si="17"/>
        <v>0.7369451274696065</v>
      </c>
      <c r="T57" s="31">
        <f t="shared" si="17"/>
        <v>0.7130921699792484</v>
      </c>
      <c r="U57" s="31">
        <f t="shared" si="17"/>
        <v>0.72825455892994428</v>
      </c>
      <c r="V57" s="31">
        <f t="shared" si="17"/>
        <v>0.63570166223049274</v>
      </c>
      <c r="W57" s="31">
        <f t="shared" ref="W57" si="18">IF(W11=0,0,W11/W$10)</f>
        <v>0.60821484421502237</v>
      </c>
      <c r="DA57" s="173"/>
    </row>
    <row r="58" spans="1:105" ht="11.45" customHeight="1" x14ac:dyDescent="0.25">
      <c r="A58" s="107" t="s">
        <v>23</v>
      </c>
      <c r="B58" s="123">
        <f t="shared" si="14"/>
        <v>1.9870985790670787E-2</v>
      </c>
      <c r="C58" s="123">
        <f t="shared" ref="C58:V58" si="19">IF(C12=0,0,C12/C$10)</f>
        <v>2.7996616870418718E-2</v>
      </c>
      <c r="D58" s="123">
        <f t="shared" si="19"/>
        <v>3.032556437205133E-2</v>
      </c>
      <c r="E58" s="123">
        <f t="shared" si="19"/>
        <v>3.0415327811234301E-2</v>
      </c>
      <c r="F58" s="123">
        <f t="shared" si="19"/>
        <v>3.1299649128108745E-2</v>
      </c>
      <c r="G58" s="123">
        <f t="shared" si="19"/>
        <v>4.1617716993111044E-2</v>
      </c>
      <c r="H58" s="123">
        <f t="shared" si="19"/>
        <v>3.8137727807137312E-2</v>
      </c>
      <c r="I58" s="123">
        <f t="shared" si="19"/>
        <v>4.1126850845907219E-2</v>
      </c>
      <c r="J58" s="123">
        <f t="shared" si="19"/>
        <v>3.9225068971958758E-2</v>
      </c>
      <c r="K58" s="123">
        <f t="shared" si="19"/>
        <v>3.4885647509876029E-2</v>
      </c>
      <c r="L58" s="123">
        <f t="shared" si="19"/>
        <v>3.056739153868732E-2</v>
      </c>
      <c r="M58" s="123">
        <f t="shared" si="19"/>
        <v>3.2142044335904611E-2</v>
      </c>
      <c r="N58" s="123">
        <f t="shared" si="19"/>
        <v>3.1359811059301794E-2</v>
      </c>
      <c r="O58" s="123">
        <f t="shared" si="19"/>
        <v>2.6318664176886428E-2</v>
      </c>
      <c r="P58" s="123">
        <f t="shared" si="19"/>
        <v>2.4672138563230684E-2</v>
      </c>
      <c r="Q58" s="123">
        <f t="shared" si="19"/>
        <v>2.1311944251697721E-2</v>
      </c>
      <c r="R58" s="123">
        <f t="shared" si="19"/>
        <v>2.5144248812147166E-2</v>
      </c>
      <c r="S58" s="123">
        <f t="shared" si="19"/>
        <v>2.3891869097832308E-2</v>
      </c>
      <c r="T58" s="123">
        <f t="shared" si="19"/>
        <v>2.3671135329253381E-2</v>
      </c>
      <c r="U58" s="123">
        <f t="shared" si="19"/>
        <v>2.6571216668554814E-2</v>
      </c>
      <c r="V58" s="123">
        <f t="shared" si="19"/>
        <v>2.754564452334447E-2</v>
      </c>
      <c r="W58" s="123">
        <f t="shared" ref="W58" si="20">IF(W12=0,0,W12/W$10)</f>
        <v>2.4956442697664834E-2</v>
      </c>
      <c r="DA58" s="203"/>
    </row>
    <row r="59" spans="1:105" ht="11.45" customHeight="1" x14ac:dyDescent="0.25">
      <c r="A59" s="109" t="s">
        <v>24</v>
      </c>
      <c r="B59" s="124">
        <f t="shared" si="14"/>
        <v>0.3812473661569396</v>
      </c>
      <c r="C59" s="124">
        <f t="shared" ref="C59:V59" si="21">IF(C13=0,0,C13/C$10)</f>
        <v>0.4249087233885574</v>
      </c>
      <c r="D59" s="124">
        <f t="shared" si="21"/>
        <v>0.42537381095836646</v>
      </c>
      <c r="E59" s="124">
        <f t="shared" si="21"/>
        <v>0.42021535030818075</v>
      </c>
      <c r="F59" s="124">
        <f t="shared" si="21"/>
        <v>0.416503318979004</v>
      </c>
      <c r="G59" s="124">
        <f t="shared" si="21"/>
        <v>0.46586222142574479</v>
      </c>
      <c r="H59" s="124">
        <f t="shared" si="21"/>
        <v>0.47510701364642172</v>
      </c>
      <c r="I59" s="124">
        <f t="shared" si="21"/>
        <v>0.46135719284125248</v>
      </c>
      <c r="J59" s="124">
        <f t="shared" si="21"/>
        <v>0.50736025746845415</v>
      </c>
      <c r="K59" s="124">
        <f t="shared" si="21"/>
        <v>0.5998857968473037</v>
      </c>
      <c r="L59" s="124">
        <f t="shared" si="21"/>
        <v>0.54255907380407409</v>
      </c>
      <c r="M59" s="124">
        <f t="shared" si="21"/>
        <v>0.54483585835560522</v>
      </c>
      <c r="N59" s="124">
        <f t="shared" si="21"/>
        <v>0.58802791016682288</v>
      </c>
      <c r="O59" s="124">
        <f t="shared" si="21"/>
        <v>0.52393682437891476</v>
      </c>
      <c r="P59" s="124">
        <f t="shared" si="21"/>
        <v>0.57895325244473006</v>
      </c>
      <c r="Q59" s="124">
        <f t="shared" si="21"/>
        <v>0.68284638594291969</v>
      </c>
      <c r="R59" s="124">
        <f t="shared" si="21"/>
        <v>0.65430483571753473</v>
      </c>
      <c r="S59" s="124">
        <f t="shared" si="21"/>
        <v>0.71305325837177413</v>
      </c>
      <c r="T59" s="124">
        <f t="shared" si="21"/>
        <v>0.68942103464999505</v>
      </c>
      <c r="U59" s="124">
        <f t="shared" si="21"/>
        <v>0.70168334226138951</v>
      </c>
      <c r="V59" s="124">
        <f t="shared" si="21"/>
        <v>0.60815601770714833</v>
      </c>
      <c r="W59" s="124">
        <f t="shared" ref="W59" si="22">IF(W13=0,0,W13/W$10)</f>
        <v>0.58325840151735753</v>
      </c>
      <c r="DA59" s="176"/>
    </row>
    <row r="60" spans="1:105" ht="11.45" customHeight="1" x14ac:dyDescent="0.25">
      <c r="A60" s="111" t="s">
        <v>92</v>
      </c>
      <c r="B60" s="125">
        <f t="shared" si="14"/>
        <v>0</v>
      </c>
      <c r="C60" s="125">
        <f t="shared" ref="C60:V60" si="23">IF(C14=0,0,C14/C$10)</f>
        <v>0</v>
      </c>
      <c r="D60" s="125">
        <f t="shared" si="23"/>
        <v>0</v>
      </c>
      <c r="E60" s="125">
        <f t="shared" si="23"/>
        <v>0</v>
      </c>
      <c r="F60" s="125">
        <f t="shared" si="23"/>
        <v>0</v>
      </c>
      <c r="G60" s="125">
        <f t="shared" si="23"/>
        <v>0</v>
      </c>
      <c r="H60" s="125">
        <f t="shared" si="23"/>
        <v>0</v>
      </c>
      <c r="I60" s="125">
        <f t="shared" si="23"/>
        <v>0</v>
      </c>
      <c r="J60" s="125">
        <f t="shared" si="23"/>
        <v>0</v>
      </c>
      <c r="K60" s="125">
        <f t="shared" si="23"/>
        <v>0</v>
      </c>
      <c r="L60" s="125">
        <f t="shared" si="23"/>
        <v>0</v>
      </c>
      <c r="M60" s="125">
        <f t="shared" si="23"/>
        <v>0</v>
      </c>
      <c r="N60" s="125">
        <f t="shared" si="23"/>
        <v>0</v>
      </c>
      <c r="O60" s="125">
        <f t="shared" si="23"/>
        <v>0</v>
      </c>
      <c r="P60" s="125">
        <f t="shared" si="23"/>
        <v>0</v>
      </c>
      <c r="Q60" s="125">
        <f t="shared" si="23"/>
        <v>0</v>
      </c>
      <c r="R60" s="125">
        <f t="shared" si="23"/>
        <v>0</v>
      </c>
      <c r="S60" s="125">
        <f t="shared" si="23"/>
        <v>0</v>
      </c>
      <c r="T60" s="125">
        <f t="shared" si="23"/>
        <v>0</v>
      </c>
      <c r="U60" s="125">
        <f t="shared" si="23"/>
        <v>0</v>
      </c>
      <c r="V60" s="125">
        <f t="shared" si="23"/>
        <v>0</v>
      </c>
      <c r="W60" s="125">
        <f t="shared" ref="W60" si="24">IF(W14=0,0,W14/W$10)</f>
        <v>0</v>
      </c>
      <c r="DA60" s="171"/>
    </row>
    <row r="61" spans="1:105" ht="11.45" customHeight="1" x14ac:dyDescent="0.25">
      <c r="A61" s="111" t="s">
        <v>93</v>
      </c>
      <c r="B61" s="125">
        <f t="shared" si="14"/>
        <v>0.3812473661569396</v>
      </c>
      <c r="C61" s="125">
        <f t="shared" ref="C61:V61" si="25">IF(C15=0,0,C15/C$10)</f>
        <v>0.4249087233885574</v>
      </c>
      <c r="D61" s="125">
        <f t="shared" si="25"/>
        <v>0.42537381095836646</v>
      </c>
      <c r="E61" s="125">
        <f t="shared" si="25"/>
        <v>0.42021535030818075</v>
      </c>
      <c r="F61" s="125">
        <f t="shared" si="25"/>
        <v>0.416503318979004</v>
      </c>
      <c r="G61" s="125">
        <f t="shared" si="25"/>
        <v>0.46586222142574479</v>
      </c>
      <c r="H61" s="125">
        <f t="shared" si="25"/>
        <v>0.47510701364642172</v>
      </c>
      <c r="I61" s="125">
        <f t="shared" si="25"/>
        <v>0.46135719284125248</v>
      </c>
      <c r="J61" s="125">
        <f t="shared" si="25"/>
        <v>0.50736025746845415</v>
      </c>
      <c r="K61" s="125">
        <f t="shared" si="25"/>
        <v>0.5998857968473037</v>
      </c>
      <c r="L61" s="125">
        <f t="shared" si="25"/>
        <v>0.54255907380407409</v>
      </c>
      <c r="M61" s="125">
        <f t="shared" si="25"/>
        <v>0.54483585835560522</v>
      </c>
      <c r="N61" s="125">
        <f t="shared" si="25"/>
        <v>0.58802791016682288</v>
      </c>
      <c r="O61" s="125">
        <f t="shared" si="25"/>
        <v>0.52393682437891476</v>
      </c>
      <c r="P61" s="125">
        <f t="shared" si="25"/>
        <v>0.57895325244473006</v>
      </c>
      <c r="Q61" s="125">
        <f t="shared" si="25"/>
        <v>0.68284638594291969</v>
      </c>
      <c r="R61" s="125">
        <f t="shared" si="25"/>
        <v>0.65430483571753473</v>
      </c>
      <c r="S61" s="125">
        <f t="shared" si="25"/>
        <v>0.71305325837177413</v>
      </c>
      <c r="T61" s="125">
        <f t="shared" si="25"/>
        <v>0.68942103464999505</v>
      </c>
      <c r="U61" s="125">
        <f t="shared" si="25"/>
        <v>0.70168334226138951</v>
      </c>
      <c r="V61" s="125">
        <f t="shared" si="25"/>
        <v>0.60815601770714833</v>
      </c>
      <c r="W61" s="125">
        <f t="shared" ref="W61" si="26">IF(W15=0,0,W15/W$10)</f>
        <v>0.58325840151735753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0.59888164805238953</v>
      </c>
      <c r="C63" s="31">
        <f t="shared" ref="C63:V63" si="29">IF(C17=0,0,C17/C$10)</f>
        <v>0.547094659741024</v>
      </c>
      <c r="D63" s="31">
        <f t="shared" si="29"/>
        <v>0.54430062466958218</v>
      </c>
      <c r="E63" s="31">
        <f t="shared" si="29"/>
        <v>0.54936932188058507</v>
      </c>
      <c r="F63" s="31">
        <f t="shared" si="29"/>
        <v>0.55219703189288727</v>
      </c>
      <c r="G63" s="31">
        <f t="shared" si="29"/>
        <v>0.4925200615811442</v>
      </c>
      <c r="H63" s="31">
        <f t="shared" si="29"/>
        <v>0.48675525854644108</v>
      </c>
      <c r="I63" s="31">
        <f t="shared" si="29"/>
        <v>0.49751595631284029</v>
      </c>
      <c r="J63" s="31">
        <f t="shared" si="29"/>
        <v>0.45341467355958703</v>
      </c>
      <c r="K63" s="31">
        <f t="shared" si="29"/>
        <v>0.36522855564282025</v>
      </c>
      <c r="L63" s="31">
        <f t="shared" si="29"/>
        <v>0.42687353465723854</v>
      </c>
      <c r="M63" s="31">
        <f t="shared" si="29"/>
        <v>0.42302209730849016</v>
      </c>
      <c r="N63" s="31">
        <f t="shared" si="29"/>
        <v>0.38061227877387521</v>
      </c>
      <c r="O63" s="31">
        <f t="shared" si="29"/>
        <v>0.44974451144419891</v>
      </c>
      <c r="P63" s="31">
        <f t="shared" si="29"/>
        <v>0.39637460899203925</v>
      </c>
      <c r="Q63" s="31">
        <f t="shared" si="29"/>
        <v>0.29584166980538257</v>
      </c>
      <c r="R63" s="31">
        <f t="shared" si="29"/>
        <v>0.32055091547031817</v>
      </c>
      <c r="S63" s="31">
        <f t="shared" si="29"/>
        <v>0.26305487253039345</v>
      </c>
      <c r="T63" s="31">
        <f t="shared" si="29"/>
        <v>0.2869078300207516</v>
      </c>
      <c r="U63" s="31">
        <f t="shared" si="29"/>
        <v>0.27174544107005566</v>
      </c>
      <c r="V63" s="31">
        <f t="shared" si="29"/>
        <v>0.36429833776950726</v>
      </c>
      <c r="W63" s="31">
        <f t="shared" ref="W63" si="30">IF(W17=0,0,W17/W$10)</f>
        <v>0.39178515578497752</v>
      </c>
      <c r="DA63" s="173"/>
    </row>
    <row r="64" spans="1:105" ht="11.45" customHeight="1" x14ac:dyDescent="0.25">
      <c r="A64" s="83" t="s">
        <v>92</v>
      </c>
      <c r="B64" s="125">
        <f t="shared" si="14"/>
        <v>0</v>
      </c>
      <c r="C64" s="125">
        <f t="shared" ref="C64:V64" si="31">IF(C18=0,0,C18/C$10)</f>
        <v>0</v>
      </c>
      <c r="D64" s="125">
        <f t="shared" si="31"/>
        <v>0</v>
      </c>
      <c r="E64" s="125">
        <f t="shared" si="31"/>
        <v>0</v>
      </c>
      <c r="F64" s="125">
        <f t="shared" si="31"/>
        <v>0</v>
      </c>
      <c r="G64" s="125">
        <f t="shared" si="31"/>
        <v>0</v>
      </c>
      <c r="H64" s="125">
        <f t="shared" si="31"/>
        <v>0</v>
      </c>
      <c r="I64" s="125">
        <f t="shared" si="31"/>
        <v>0</v>
      </c>
      <c r="J64" s="125">
        <f t="shared" si="31"/>
        <v>0</v>
      </c>
      <c r="K64" s="125">
        <f t="shared" si="31"/>
        <v>0</v>
      </c>
      <c r="L64" s="125">
        <f t="shared" si="31"/>
        <v>0</v>
      </c>
      <c r="M64" s="125">
        <f t="shared" si="31"/>
        <v>0</v>
      </c>
      <c r="N64" s="125">
        <f t="shared" si="31"/>
        <v>0</v>
      </c>
      <c r="O64" s="125">
        <f t="shared" si="31"/>
        <v>0</v>
      </c>
      <c r="P64" s="125">
        <f t="shared" si="31"/>
        <v>0</v>
      </c>
      <c r="Q64" s="125">
        <f t="shared" si="31"/>
        <v>0</v>
      </c>
      <c r="R64" s="125">
        <f t="shared" si="31"/>
        <v>0</v>
      </c>
      <c r="S64" s="125">
        <f t="shared" si="31"/>
        <v>0</v>
      </c>
      <c r="T64" s="125">
        <f t="shared" si="31"/>
        <v>0</v>
      </c>
      <c r="U64" s="125">
        <f t="shared" si="31"/>
        <v>0</v>
      </c>
      <c r="V64" s="125">
        <f t="shared" si="31"/>
        <v>0</v>
      </c>
      <c r="W64" s="125">
        <f t="shared" ref="W64" si="32">IF(W18=0,0,W18/W$10)</f>
        <v>0</v>
      </c>
      <c r="DA64" s="171"/>
    </row>
    <row r="65" spans="1:105" ht="11.45" customHeight="1" x14ac:dyDescent="0.25">
      <c r="A65" s="85" t="s">
        <v>93</v>
      </c>
      <c r="B65" s="127">
        <f t="shared" si="14"/>
        <v>0.59888164805238953</v>
      </c>
      <c r="C65" s="127">
        <f t="shared" ref="C65:V65" si="33">IF(C19=0,0,C19/C$10)</f>
        <v>0.547094659741024</v>
      </c>
      <c r="D65" s="127">
        <f t="shared" si="33"/>
        <v>0.54430062466958218</v>
      </c>
      <c r="E65" s="127">
        <f t="shared" si="33"/>
        <v>0.54936932188058507</v>
      </c>
      <c r="F65" s="127">
        <f t="shared" si="33"/>
        <v>0.55219703189288727</v>
      </c>
      <c r="G65" s="127">
        <f t="shared" si="33"/>
        <v>0.4925200615811442</v>
      </c>
      <c r="H65" s="127">
        <f t="shared" si="33"/>
        <v>0.48675525854644108</v>
      </c>
      <c r="I65" s="127">
        <f t="shared" si="33"/>
        <v>0.49751595631284029</v>
      </c>
      <c r="J65" s="127">
        <f t="shared" si="33"/>
        <v>0.45341467355958703</v>
      </c>
      <c r="K65" s="127">
        <f t="shared" si="33"/>
        <v>0.36522855564282025</v>
      </c>
      <c r="L65" s="127">
        <f t="shared" si="33"/>
        <v>0.42687353465723854</v>
      </c>
      <c r="M65" s="127">
        <f t="shared" si="33"/>
        <v>0.42302209730849016</v>
      </c>
      <c r="N65" s="127">
        <f t="shared" si="33"/>
        <v>0.38061227877387521</v>
      </c>
      <c r="O65" s="127">
        <f t="shared" si="33"/>
        <v>0.44974451144419891</v>
      </c>
      <c r="P65" s="127">
        <f t="shared" si="33"/>
        <v>0.39637460899203925</v>
      </c>
      <c r="Q65" s="127">
        <f t="shared" si="33"/>
        <v>0.29584166980538257</v>
      </c>
      <c r="R65" s="127">
        <f t="shared" si="33"/>
        <v>0.32055091547031817</v>
      </c>
      <c r="S65" s="127">
        <f t="shared" si="33"/>
        <v>0.26305487253039345</v>
      </c>
      <c r="T65" s="127">
        <f t="shared" si="33"/>
        <v>0.2869078300207516</v>
      </c>
      <c r="U65" s="127">
        <f t="shared" si="33"/>
        <v>0.27174544107005566</v>
      </c>
      <c r="V65" s="127">
        <f t="shared" si="33"/>
        <v>0.36429833776950726</v>
      </c>
      <c r="W65" s="127">
        <f t="shared" ref="W65" si="34">IF(W19=0,0,W19/W$10)</f>
        <v>0.39178515578497752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0</v>
      </c>
      <c r="C4" s="26">
        <f t="shared" ref="C4:W4" si="0">SUM(C5:C6)</f>
        <v>0</v>
      </c>
      <c r="D4" s="26">
        <f t="shared" si="0"/>
        <v>0</v>
      </c>
      <c r="E4" s="26">
        <f t="shared" si="0"/>
        <v>0</v>
      </c>
      <c r="F4" s="26">
        <f t="shared" si="0"/>
        <v>0</v>
      </c>
      <c r="G4" s="26">
        <f t="shared" si="0"/>
        <v>0</v>
      </c>
      <c r="H4" s="26">
        <f t="shared" si="0"/>
        <v>0</v>
      </c>
      <c r="I4" s="26">
        <f t="shared" si="0"/>
        <v>0</v>
      </c>
      <c r="J4" s="26">
        <f t="shared" si="0"/>
        <v>0</v>
      </c>
      <c r="K4" s="26">
        <f t="shared" si="0"/>
        <v>0</v>
      </c>
      <c r="L4" s="26">
        <f t="shared" si="0"/>
        <v>0</v>
      </c>
      <c r="M4" s="26">
        <f t="shared" si="0"/>
        <v>0</v>
      </c>
      <c r="N4" s="26">
        <f t="shared" si="0"/>
        <v>0</v>
      </c>
      <c r="O4" s="26">
        <f t="shared" si="0"/>
        <v>0</v>
      </c>
      <c r="P4" s="26">
        <f t="shared" si="0"/>
        <v>0</v>
      </c>
      <c r="Q4" s="26">
        <f t="shared" si="0"/>
        <v>0</v>
      </c>
      <c r="R4" s="26">
        <f t="shared" si="0"/>
        <v>0</v>
      </c>
      <c r="S4" s="26">
        <f t="shared" si="0"/>
        <v>0</v>
      </c>
      <c r="T4" s="26">
        <f t="shared" si="0"/>
        <v>0</v>
      </c>
      <c r="U4" s="26">
        <f t="shared" si="0"/>
        <v>0</v>
      </c>
      <c r="V4" s="26">
        <f t="shared" si="0"/>
        <v>0</v>
      </c>
      <c r="W4" s="26">
        <f t="shared" si="0"/>
        <v>0</v>
      </c>
      <c r="DA4" s="202" t="s">
        <v>1135</v>
      </c>
    </row>
    <row r="5" spans="1:105" ht="11.45" customHeight="1" x14ac:dyDescent="0.25">
      <c r="A5" s="107" t="s">
        <v>92</v>
      </c>
      <c r="B5" s="129">
        <v>0</v>
      </c>
      <c r="C5" s="129">
        <v>0</v>
      </c>
      <c r="D5" s="129">
        <v>0</v>
      </c>
      <c r="E5" s="129">
        <v>0</v>
      </c>
      <c r="F5" s="129">
        <v>0</v>
      </c>
      <c r="G5" s="129">
        <v>0</v>
      </c>
      <c r="H5" s="129">
        <v>0</v>
      </c>
      <c r="I5" s="129">
        <v>0</v>
      </c>
      <c r="J5" s="129">
        <v>0</v>
      </c>
      <c r="K5" s="129">
        <v>0</v>
      </c>
      <c r="L5" s="129">
        <v>0</v>
      </c>
      <c r="M5" s="129">
        <v>0</v>
      </c>
      <c r="N5" s="129">
        <v>0</v>
      </c>
      <c r="O5" s="129">
        <v>0</v>
      </c>
      <c r="P5" s="129">
        <v>0</v>
      </c>
      <c r="Q5" s="129">
        <v>0</v>
      </c>
      <c r="R5" s="129">
        <v>0</v>
      </c>
      <c r="S5" s="129">
        <v>0</v>
      </c>
      <c r="T5" s="129">
        <v>0</v>
      </c>
      <c r="U5" s="129">
        <v>0</v>
      </c>
      <c r="V5" s="129">
        <v>0</v>
      </c>
      <c r="W5" s="129">
        <v>0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0</v>
      </c>
      <c r="C8" s="79">
        <f t="shared" si="1"/>
        <v>0</v>
      </c>
      <c r="D8" s="79">
        <f t="shared" si="1"/>
        <v>0</v>
      </c>
      <c r="E8" s="79">
        <f t="shared" si="1"/>
        <v>0</v>
      </c>
      <c r="F8" s="79">
        <f t="shared" si="1"/>
        <v>0</v>
      </c>
      <c r="G8" s="79">
        <f t="shared" si="1"/>
        <v>0</v>
      </c>
      <c r="H8" s="79">
        <f t="shared" si="1"/>
        <v>0</v>
      </c>
      <c r="I8" s="79">
        <f t="shared" si="1"/>
        <v>0</v>
      </c>
      <c r="J8" s="79">
        <f t="shared" si="1"/>
        <v>0</v>
      </c>
      <c r="K8" s="79">
        <f t="shared" si="1"/>
        <v>0</v>
      </c>
      <c r="L8" s="79">
        <f t="shared" si="1"/>
        <v>0</v>
      </c>
      <c r="M8" s="79">
        <f t="shared" si="1"/>
        <v>0</v>
      </c>
      <c r="N8" s="79">
        <f t="shared" si="1"/>
        <v>0</v>
      </c>
      <c r="O8" s="79">
        <f t="shared" si="1"/>
        <v>0</v>
      </c>
      <c r="P8" s="79">
        <f t="shared" si="1"/>
        <v>0</v>
      </c>
      <c r="Q8" s="79">
        <f t="shared" si="1"/>
        <v>0</v>
      </c>
      <c r="R8" s="79">
        <f t="shared" si="1"/>
        <v>0</v>
      </c>
      <c r="S8" s="79">
        <f t="shared" si="1"/>
        <v>0</v>
      </c>
      <c r="T8" s="79">
        <f t="shared" si="1"/>
        <v>0</v>
      </c>
      <c r="U8" s="79">
        <f t="shared" si="1"/>
        <v>0</v>
      </c>
      <c r="V8" s="79">
        <f t="shared" si="1"/>
        <v>0</v>
      </c>
      <c r="W8" s="79">
        <f t="shared" si="1"/>
        <v>0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0</v>
      </c>
      <c r="C9" s="32">
        <f t="shared" si="2"/>
        <v>0</v>
      </c>
      <c r="D9" s="32">
        <f t="shared" si="2"/>
        <v>0</v>
      </c>
      <c r="E9" s="32">
        <f t="shared" si="2"/>
        <v>0</v>
      </c>
      <c r="F9" s="32">
        <f t="shared" si="2"/>
        <v>0</v>
      </c>
      <c r="G9" s="32">
        <f t="shared" si="2"/>
        <v>0</v>
      </c>
      <c r="H9" s="32">
        <f t="shared" si="2"/>
        <v>0</v>
      </c>
      <c r="I9" s="32">
        <f t="shared" si="2"/>
        <v>0</v>
      </c>
      <c r="J9" s="32">
        <f t="shared" si="2"/>
        <v>0</v>
      </c>
      <c r="K9" s="32">
        <f t="shared" si="2"/>
        <v>0</v>
      </c>
      <c r="L9" s="32">
        <f t="shared" si="2"/>
        <v>0</v>
      </c>
      <c r="M9" s="32">
        <f t="shared" si="2"/>
        <v>0</v>
      </c>
      <c r="N9" s="32">
        <f t="shared" si="2"/>
        <v>0</v>
      </c>
      <c r="O9" s="32">
        <f t="shared" si="2"/>
        <v>0</v>
      </c>
      <c r="P9" s="32">
        <f t="shared" si="2"/>
        <v>0</v>
      </c>
      <c r="Q9" s="32">
        <f t="shared" si="2"/>
        <v>0</v>
      </c>
      <c r="R9" s="32">
        <f t="shared" si="2"/>
        <v>0</v>
      </c>
      <c r="S9" s="32">
        <f t="shared" si="2"/>
        <v>0</v>
      </c>
      <c r="T9" s="32">
        <f t="shared" si="2"/>
        <v>0</v>
      </c>
      <c r="U9" s="32">
        <f t="shared" si="2"/>
        <v>0</v>
      </c>
      <c r="V9" s="32">
        <f t="shared" si="2"/>
        <v>0</v>
      </c>
      <c r="W9" s="32">
        <f t="shared" si="2"/>
        <v>0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0</v>
      </c>
      <c r="C11" s="130">
        <f t="shared" si="3"/>
        <v>0</v>
      </c>
      <c r="D11" s="130">
        <f t="shared" si="3"/>
        <v>0</v>
      </c>
      <c r="E11" s="130">
        <f t="shared" si="3"/>
        <v>0</v>
      </c>
      <c r="F11" s="130">
        <f t="shared" si="3"/>
        <v>0</v>
      </c>
      <c r="G11" s="130">
        <f t="shared" si="3"/>
        <v>0</v>
      </c>
      <c r="H11" s="130">
        <f t="shared" si="3"/>
        <v>0</v>
      </c>
      <c r="I11" s="130">
        <f t="shared" si="3"/>
        <v>0</v>
      </c>
      <c r="J11" s="130">
        <f t="shared" si="3"/>
        <v>0</v>
      </c>
      <c r="K11" s="130">
        <f t="shared" si="3"/>
        <v>0</v>
      </c>
      <c r="L11" s="130">
        <f t="shared" si="3"/>
        <v>0</v>
      </c>
      <c r="M11" s="130">
        <f t="shared" si="3"/>
        <v>0</v>
      </c>
      <c r="N11" s="130">
        <f t="shared" si="3"/>
        <v>0</v>
      </c>
      <c r="O11" s="130">
        <f t="shared" si="3"/>
        <v>0</v>
      </c>
      <c r="P11" s="130">
        <f t="shared" si="3"/>
        <v>0</v>
      </c>
      <c r="Q11" s="130">
        <f t="shared" si="3"/>
        <v>0</v>
      </c>
      <c r="R11" s="130">
        <f t="shared" si="3"/>
        <v>0</v>
      </c>
      <c r="S11" s="130">
        <f t="shared" si="3"/>
        <v>0</v>
      </c>
      <c r="T11" s="130">
        <f t="shared" si="3"/>
        <v>0</v>
      </c>
      <c r="U11" s="130">
        <f t="shared" si="3"/>
        <v>0</v>
      </c>
      <c r="V11" s="130">
        <f t="shared" si="3"/>
        <v>0</v>
      </c>
      <c r="W11" s="130">
        <f t="shared" si="3"/>
        <v>0</v>
      </c>
      <c r="DA11" s="176" t="s">
        <v>408</v>
      </c>
    </row>
    <row r="12" spans="1:105" ht="11.45" customHeight="1" x14ac:dyDescent="0.25">
      <c r="A12" s="111" t="s">
        <v>92</v>
      </c>
      <c r="B12" s="96">
        <v>0</v>
      </c>
      <c r="C12" s="96">
        <v>0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0</v>
      </c>
      <c r="M12" s="96">
        <v>0</v>
      </c>
      <c r="N12" s="96">
        <v>0</v>
      </c>
      <c r="O12" s="96">
        <v>0</v>
      </c>
      <c r="P12" s="96">
        <v>0</v>
      </c>
      <c r="Q12" s="96">
        <v>0</v>
      </c>
      <c r="R12" s="96">
        <v>0</v>
      </c>
      <c r="S12" s="96">
        <v>0</v>
      </c>
      <c r="T12" s="96">
        <v>0</v>
      </c>
      <c r="U12" s="96">
        <v>0</v>
      </c>
      <c r="V12" s="96">
        <v>0</v>
      </c>
      <c r="W12" s="96">
        <v>0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0</v>
      </c>
      <c r="C15" s="32">
        <f t="shared" si="4"/>
        <v>0</v>
      </c>
      <c r="D15" s="32">
        <f t="shared" si="4"/>
        <v>0</v>
      </c>
      <c r="E15" s="32">
        <f t="shared" si="4"/>
        <v>0</v>
      </c>
      <c r="F15" s="32">
        <f t="shared" si="4"/>
        <v>0</v>
      </c>
      <c r="G15" s="32">
        <f t="shared" si="4"/>
        <v>0</v>
      </c>
      <c r="H15" s="32">
        <f t="shared" si="4"/>
        <v>0</v>
      </c>
      <c r="I15" s="32">
        <f t="shared" si="4"/>
        <v>0</v>
      </c>
      <c r="J15" s="32">
        <f t="shared" si="4"/>
        <v>0</v>
      </c>
      <c r="K15" s="32">
        <f t="shared" si="4"/>
        <v>0</v>
      </c>
      <c r="L15" s="32">
        <f t="shared" si="4"/>
        <v>0</v>
      </c>
      <c r="M15" s="32">
        <f t="shared" si="4"/>
        <v>0</v>
      </c>
      <c r="N15" s="32">
        <f t="shared" si="4"/>
        <v>0</v>
      </c>
      <c r="O15" s="32">
        <f t="shared" si="4"/>
        <v>0</v>
      </c>
      <c r="P15" s="32">
        <f t="shared" si="4"/>
        <v>0</v>
      </c>
      <c r="Q15" s="32">
        <f t="shared" si="4"/>
        <v>0</v>
      </c>
      <c r="R15" s="32">
        <f t="shared" si="4"/>
        <v>0</v>
      </c>
      <c r="S15" s="32">
        <f t="shared" si="4"/>
        <v>0</v>
      </c>
      <c r="T15" s="32">
        <f t="shared" si="4"/>
        <v>0</v>
      </c>
      <c r="U15" s="32">
        <f t="shared" si="4"/>
        <v>0</v>
      </c>
      <c r="V15" s="32">
        <f t="shared" si="4"/>
        <v>0</v>
      </c>
      <c r="W15" s="32">
        <f t="shared" si="4"/>
        <v>0</v>
      </c>
      <c r="DA15" s="173" t="s">
        <v>413</v>
      </c>
    </row>
    <row r="16" spans="1:105" ht="11.45" customHeight="1" x14ac:dyDescent="0.25">
      <c r="A16" s="83" t="s">
        <v>92</v>
      </c>
      <c r="B16" s="96">
        <v>0</v>
      </c>
      <c r="C16" s="96">
        <v>0</v>
      </c>
      <c r="D16" s="96">
        <v>0</v>
      </c>
      <c r="E16" s="96">
        <v>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96">
        <v>0</v>
      </c>
      <c r="N16" s="96">
        <v>0</v>
      </c>
      <c r="O16" s="96">
        <v>0</v>
      </c>
      <c r="P16" s="96">
        <v>0</v>
      </c>
      <c r="Q16" s="96">
        <v>0</v>
      </c>
      <c r="R16" s="96">
        <v>0</v>
      </c>
      <c r="S16" s="96">
        <v>0</v>
      </c>
      <c r="T16" s="96">
        <v>0</v>
      </c>
      <c r="U16" s="96">
        <v>0</v>
      </c>
      <c r="V16" s="96">
        <v>0</v>
      </c>
      <c r="W16" s="96">
        <v>0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0</v>
      </c>
      <c r="C22" s="134">
        <f>IF(C4=0,0,C4/TrRail_ene!C4)</f>
        <v>0</v>
      </c>
      <c r="D22" s="134">
        <f>IF(D4=0,0,D4/TrRail_ene!D4)</f>
        <v>0</v>
      </c>
      <c r="E22" s="134">
        <f>IF(E4=0,0,E4/TrRail_ene!E4)</f>
        <v>0</v>
      </c>
      <c r="F22" s="134">
        <f>IF(F4=0,0,F4/TrRail_ene!F4)</f>
        <v>0</v>
      </c>
      <c r="G22" s="134">
        <f>IF(G4=0,0,G4/TrRail_ene!G4)</f>
        <v>0</v>
      </c>
      <c r="H22" s="134">
        <f>IF(H4=0,0,H4/TrRail_ene!H4)</f>
        <v>0</v>
      </c>
      <c r="I22" s="134">
        <f>IF(I4=0,0,I4/TrRail_ene!I4)</f>
        <v>0</v>
      </c>
      <c r="J22" s="134">
        <f>IF(J4=0,0,J4/TrRail_ene!J4)</f>
        <v>0</v>
      </c>
      <c r="K22" s="134">
        <f>IF(K4=0,0,K4/TrRail_ene!K4)</f>
        <v>0</v>
      </c>
      <c r="L22" s="134">
        <f>IF(L4=0,0,L4/TrRail_ene!L4)</f>
        <v>0</v>
      </c>
      <c r="M22" s="134">
        <f>IF(M4=0,0,M4/TrRail_ene!M4)</f>
        <v>0</v>
      </c>
      <c r="N22" s="134">
        <f>IF(N4=0,0,N4/TrRail_ene!N4)</f>
        <v>0</v>
      </c>
      <c r="O22" s="134">
        <f>IF(O4=0,0,O4/TrRail_ene!O4)</f>
        <v>0</v>
      </c>
      <c r="P22" s="134">
        <f>IF(P4=0,0,P4/TrRail_ene!P4)</f>
        <v>0</v>
      </c>
      <c r="Q22" s="134">
        <f>IF(Q4=0,0,Q4/TrRail_ene!Q4)</f>
        <v>0</v>
      </c>
      <c r="R22" s="134">
        <f>IF(R4=0,0,R4/TrRail_ene!R4)</f>
        <v>0</v>
      </c>
      <c r="S22" s="134">
        <f>IF(S4=0,0,S4/TrRail_ene!S4)</f>
        <v>0</v>
      </c>
      <c r="T22" s="134">
        <f>IF(T4=0,0,T4/TrRail_ene!T4)</f>
        <v>0</v>
      </c>
      <c r="U22" s="134">
        <f>IF(U4=0,0,U4/TrRail_ene!U4)</f>
        <v>0</v>
      </c>
      <c r="V22" s="134">
        <f>IF(V4=0,0,V4/TrRail_ene!V4)</f>
        <v>0</v>
      </c>
      <c r="W22" s="134">
        <f>IF(W4=0,0,W4/TrRail_ene!W4)</f>
        <v>0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0</v>
      </c>
      <c r="C23" s="129">
        <f>IF(C5=0,0,C5/SUM(TrRail_ene!C5:C7))</f>
        <v>0</v>
      </c>
      <c r="D23" s="129">
        <f>IF(D5=0,0,D5/SUM(TrRail_ene!D5:D7))</f>
        <v>0</v>
      </c>
      <c r="E23" s="129">
        <f>IF(E5=0,0,E5/SUM(TrRail_ene!E5:E7))</f>
        <v>0</v>
      </c>
      <c r="F23" s="129">
        <f>IF(F5=0,0,F5/SUM(TrRail_ene!F5:F7))</f>
        <v>0</v>
      </c>
      <c r="G23" s="129">
        <f>IF(G5=0,0,G5/SUM(TrRail_ene!G5:G7))</f>
        <v>0</v>
      </c>
      <c r="H23" s="129">
        <f>IF(H5=0,0,H5/SUM(TrRail_ene!H5:H7))</f>
        <v>0</v>
      </c>
      <c r="I23" s="129">
        <f>IF(I5=0,0,I5/SUM(TrRail_ene!I5:I7))</f>
        <v>0</v>
      </c>
      <c r="J23" s="129">
        <f>IF(J5=0,0,J5/SUM(TrRail_ene!J5:J7))</f>
        <v>0</v>
      </c>
      <c r="K23" s="129">
        <f>IF(K5=0,0,K5/SUM(TrRail_ene!K5:K7))</f>
        <v>0</v>
      </c>
      <c r="L23" s="129">
        <f>IF(L5=0,0,L5/SUM(TrRail_ene!L5:L7))</f>
        <v>0</v>
      </c>
      <c r="M23" s="129">
        <f>IF(M5=0,0,M5/SUM(TrRail_ene!M5:M7))</f>
        <v>0</v>
      </c>
      <c r="N23" s="129">
        <f>IF(N5=0,0,N5/SUM(TrRail_ene!N5:N7))</f>
        <v>0</v>
      </c>
      <c r="O23" s="129">
        <f>IF(O5=0,0,O5/SUM(TrRail_ene!O5:O7))</f>
        <v>0</v>
      </c>
      <c r="P23" s="129">
        <f>IF(P5=0,0,P5/SUM(TrRail_ene!P5:P7))</f>
        <v>0</v>
      </c>
      <c r="Q23" s="129">
        <f>IF(Q5=0,0,Q5/SUM(TrRail_ene!Q5:Q7))</f>
        <v>0</v>
      </c>
      <c r="R23" s="129">
        <f>IF(R5=0,0,R5/SUM(TrRail_ene!R5:R7))</f>
        <v>0</v>
      </c>
      <c r="S23" s="129">
        <f>IF(S5=0,0,S5/SUM(TrRail_ene!S5:S7))</f>
        <v>0</v>
      </c>
      <c r="T23" s="129">
        <f>IF(T5=0,0,T5/SUM(TrRail_ene!T5:T7))</f>
        <v>0</v>
      </c>
      <c r="U23" s="129">
        <f>IF(U5=0,0,U5/SUM(TrRail_ene!U5:U7))</f>
        <v>0</v>
      </c>
      <c r="V23" s="129">
        <f>IF(V5=0,0,V5/SUM(TrRail_ene!V5:V7))</f>
        <v>0</v>
      </c>
      <c r="W23" s="129">
        <f>IF(W5=0,0,W5/SUM(TrRail_ene!W5:W7))</f>
        <v>0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0</v>
      </c>
      <c r="C26" s="54">
        <f>IF(C8=0,0,C8/TrRail_act!C14*1000)</f>
        <v>0</v>
      </c>
      <c r="D26" s="54">
        <f>IF(D8=0,0,D8/TrRail_act!D14*1000)</f>
        <v>0</v>
      </c>
      <c r="E26" s="54">
        <f>IF(E8=0,0,E8/TrRail_act!E14*1000)</f>
        <v>0</v>
      </c>
      <c r="F26" s="54">
        <f>IF(F8=0,0,F8/TrRail_act!F14*1000)</f>
        <v>0</v>
      </c>
      <c r="G26" s="54">
        <f>IF(G8=0,0,G8/TrRail_act!G14*1000)</f>
        <v>0</v>
      </c>
      <c r="H26" s="54">
        <f>IF(H8=0,0,H8/TrRail_act!H14*1000)</f>
        <v>0</v>
      </c>
      <c r="I26" s="54">
        <f>IF(I8=0,0,I8/TrRail_act!I14*1000)</f>
        <v>0</v>
      </c>
      <c r="J26" s="54">
        <f>IF(J8=0,0,J8/TrRail_act!J14*1000)</f>
        <v>0</v>
      </c>
      <c r="K26" s="54">
        <f>IF(K8=0,0,K8/TrRail_act!K14*1000)</f>
        <v>0</v>
      </c>
      <c r="L26" s="54">
        <f>IF(L8=0,0,L8/TrRail_act!L14*1000)</f>
        <v>0</v>
      </c>
      <c r="M26" s="54">
        <f>IF(M8=0,0,M8/TrRail_act!M14*1000)</f>
        <v>0</v>
      </c>
      <c r="N26" s="54">
        <f>IF(N8=0,0,N8/TrRail_act!N14*1000)</f>
        <v>0</v>
      </c>
      <c r="O26" s="54">
        <f>IF(O8=0,0,O8/TrRail_act!O14*1000)</f>
        <v>0</v>
      </c>
      <c r="P26" s="54">
        <f>IF(P8=0,0,P8/TrRail_act!P14*1000)</f>
        <v>0</v>
      </c>
      <c r="Q26" s="54">
        <f>IF(Q8=0,0,Q8/TrRail_act!Q14*1000)</f>
        <v>0</v>
      </c>
      <c r="R26" s="54">
        <f>IF(R8=0,0,R8/TrRail_act!R14*1000)</f>
        <v>0</v>
      </c>
      <c r="S26" s="54">
        <f>IF(S8=0,0,S8/TrRail_act!S14*1000)</f>
        <v>0</v>
      </c>
      <c r="T26" s="54">
        <f>IF(T8=0,0,T8/TrRail_act!T14*1000)</f>
        <v>0</v>
      </c>
      <c r="U26" s="54">
        <f>IF(U8=0,0,U8/TrRail_act!U14*1000)</f>
        <v>0</v>
      </c>
      <c r="V26" s="54">
        <f>IF(V8=0,0,V8/TrRail_act!V14*1000)</f>
        <v>0</v>
      </c>
      <c r="W26" s="54">
        <f>IF(W8=0,0,W8/TrRail_act!W14*1000)</f>
        <v>0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0</v>
      </c>
      <c r="C27" s="28">
        <f>IF(C9=0,0,C9/TrRail_act!C15*1000)</f>
        <v>0</v>
      </c>
      <c r="D27" s="28">
        <f>IF(D9=0,0,D9/TrRail_act!D15*1000)</f>
        <v>0</v>
      </c>
      <c r="E27" s="28">
        <f>IF(E9=0,0,E9/TrRail_act!E15*1000)</f>
        <v>0</v>
      </c>
      <c r="F27" s="28">
        <f>IF(F9=0,0,F9/TrRail_act!F15*1000)</f>
        <v>0</v>
      </c>
      <c r="G27" s="28">
        <f>IF(G9=0,0,G9/TrRail_act!G15*1000)</f>
        <v>0</v>
      </c>
      <c r="H27" s="28">
        <f>IF(H9=0,0,H9/TrRail_act!H15*1000)</f>
        <v>0</v>
      </c>
      <c r="I27" s="28">
        <f>IF(I9=0,0,I9/TrRail_act!I15*1000)</f>
        <v>0</v>
      </c>
      <c r="J27" s="28">
        <f>IF(J9=0,0,J9/TrRail_act!J15*1000)</f>
        <v>0</v>
      </c>
      <c r="K27" s="28">
        <f>IF(K9=0,0,K9/TrRail_act!K15*1000)</f>
        <v>0</v>
      </c>
      <c r="L27" s="28">
        <f>IF(L9=0,0,L9/TrRail_act!L15*1000)</f>
        <v>0</v>
      </c>
      <c r="M27" s="28">
        <f>IF(M9=0,0,M9/TrRail_act!M15*1000)</f>
        <v>0</v>
      </c>
      <c r="N27" s="28">
        <f>IF(N9=0,0,N9/TrRail_act!N15*1000)</f>
        <v>0</v>
      </c>
      <c r="O27" s="28">
        <f>IF(O9=0,0,O9/TrRail_act!O15*1000)</f>
        <v>0</v>
      </c>
      <c r="P27" s="28">
        <f>IF(P9=0,0,P9/TrRail_act!P15*1000)</f>
        <v>0</v>
      </c>
      <c r="Q27" s="28">
        <f>IF(Q9=0,0,Q9/TrRail_act!Q15*1000)</f>
        <v>0</v>
      </c>
      <c r="R27" s="28">
        <f>IF(R9=0,0,R9/TrRail_act!R15*1000)</f>
        <v>0</v>
      </c>
      <c r="S27" s="28">
        <f>IF(S9=0,0,S9/TrRail_act!S15*1000)</f>
        <v>0</v>
      </c>
      <c r="T27" s="28">
        <f>IF(T9=0,0,T9/TrRail_act!T15*1000)</f>
        <v>0</v>
      </c>
      <c r="U27" s="28">
        <f>IF(U9=0,0,U9/TrRail_act!U15*1000)</f>
        <v>0</v>
      </c>
      <c r="V27" s="28">
        <f>IF(V9=0,0,V9/TrRail_act!V15*1000)</f>
        <v>0</v>
      </c>
      <c r="W27" s="28">
        <f>IF(W9=0,0,W9/TrRail_act!W15*1000)</f>
        <v>0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0</v>
      </c>
      <c r="C29" s="110">
        <f>IF(C11=0,0,C11/TrRail_act!C17*1000)</f>
        <v>0</v>
      </c>
      <c r="D29" s="110">
        <f>IF(D11=0,0,D11/TrRail_act!D17*1000)</f>
        <v>0</v>
      </c>
      <c r="E29" s="110">
        <f>IF(E11=0,0,E11/TrRail_act!E17*1000)</f>
        <v>0</v>
      </c>
      <c r="F29" s="110">
        <f>IF(F11=0,0,F11/TrRail_act!F17*1000)</f>
        <v>0</v>
      </c>
      <c r="G29" s="110">
        <f>IF(G11=0,0,G11/TrRail_act!G17*1000)</f>
        <v>0</v>
      </c>
      <c r="H29" s="110">
        <f>IF(H11=0,0,H11/TrRail_act!H17*1000)</f>
        <v>0</v>
      </c>
      <c r="I29" s="110">
        <f>IF(I11=0,0,I11/TrRail_act!I17*1000)</f>
        <v>0</v>
      </c>
      <c r="J29" s="110">
        <f>IF(J11=0,0,J11/TrRail_act!J17*1000)</f>
        <v>0</v>
      </c>
      <c r="K29" s="110">
        <f>IF(K11=0,0,K11/TrRail_act!K17*1000)</f>
        <v>0</v>
      </c>
      <c r="L29" s="110">
        <f>IF(L11=0,0,L11/TrRail_act!L17*1000)</f>
        <v>0</v>
      </c>
      <c r="M29" s="110">
        <f>IF(M11=0,0,M11/TrRail_act!M17*1000)</f>
        <v>0</v>
      </c>
      <c r="N29" s="110">
        <f>IF(N11=0,0,N11/TrRail_act!N17*1000)</f>
        <v>0</v>
      </c>
      <c r="O29" s="110">
        <f>IF(O11=0,0,O11/TrRail_act!O17*1000)</f>
        <v>0</v>
      </c>
      <c r="P29" s="110">
        <f>IF(P11=0,0,P11/TrRail_act!P17*1000)</f>
        <v>0</v>
      </c>
      <c r="Q29" s="110">
        <f>IF(Q11=0,0,Q11/TrRail_act!Q17*1000)</f>
        <v>0</v>
      </c>
      <c r="R29" s="110">
        <f>IF(R11=0,0,R11/TrRail_act!R17*1000)</f>
        <v>0</v>
      </c>
      <c r="S29" s="110">
        <f>IF(S11=0,0,S11/TrRail_act!S17*1000)</f>
        <v>0</v>
      </c>
      <c r="T29" s="110">
        <f>IF(T11=0,0,T11/TrRail_act!T17*1000)</f>
        <v>0</v>
      </c>
      <c r="U29" s="110">
        <f>IF(U11=0,0,U11/TrRail_act!U17*1000)</f>
        <v>0</v>
      </c>
      <c r="V29" s="110">
        <f>IF(V11=0,0,V11/TrRail_act!V17*1000)</f>
        <v>0</v>
      </c>
      <c r="W29" s="110">
        <f>IF(W11=0,0,W11/TrRail_act!W17*1000)</f>
        <v>0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0</v>
      </c>
      <c r="C30" s="84">
        <f>IF(C12=0,0,C12/TrRail_act!C18*1000)</f>
        <v>0</v>
      </c>
      <c r="D30" s="84">
        <f>IF(D12=0,0,D12/TrRail_act!D18*1000)</f>
        <v>0</v>
      </c>
      <c r="E30" s="84">
        <f>IF(E12=0,0,E12/TrRail_act!E18*1000)</f>
        <v>0</v>
      </c>
      <c r="F30" s="84">
        <f>IF(F12=0,0,F12/TrRail_act!F18*1000)</f>
        <v>0</v>
      </c>
      <c r="G30" s="84">
        <f>IF(G12=0,0,G12/TrRail_act!G18*1000)</f>
        <v>0</v>
      </c>
      <c r="H30" s="84">
        <f>IF(H12=0,0,H12/TrRail_act!H18*1000)</f>
        <v>0</v>
      </c>
      <c r="I30" s="84">
        <f>IF(I12=0,0,I12/TrRail_act!I18*1000)</f>
        <v>0</v>
      </c>
      <c r="J30" s="84">
        <f>IF(J12=0,0,J12/TrRail_act!J18*1000)</f>
        <v>0</v>
      </c>
      <c r="K30" s="84">
        <f>IF(K12=0,0,K12/TrRail_act!K18*1000)</f>
        <v>0</v>
      </c>
      <c r="L30" s="84">
        <f>IF(L12=0,0,L12/TrRail_act!L18*1000)</f>
        <v>0</v>
      </c>
      <c r="M30" s="84">
        <f>IF(M12=0,0,M12/TrRail_act!M18*1000)</f>
        <v>0</v>
      </c>
      <c r="N30" s="84">
        <f>IF(N12=0,0,N12/TrRail_act!N18*1000)</f>
        <v>0</v>
      </c>
      <c r="O30" s="84">
        <f>IF(O12=0,0,O12/TrRail_act!O18*1000)</f>
        <v>0</v>
      </c>
      <c r="P30" s="84">
        <f>IF(P12=0,0,P12/TrRail_act!P18*1000)</f>
        <v>0</v>
      </c>
      <c r="Q30" s="84">
        <f>IF(Q12=0,0,Q12/TrRail_act!Q18*1000)</f>
        <v>0</v>
      </c>
      <c r="R30" s="84">
        <f>IF(R12=0,0,R12/TrRail_act!R18*1000)</f>
        <v>0</v>
      </c>
      <c r="S30" s="84">
        <f>IF(S12=0,0,S12/TrRail_act!S18*1000)</f>
        <v>0</v>
      </c>
      <c r="T30" s="84">
        <f>IF(T12=0,0,T12/TrRail_act!T18*1000)</f>
        <v>0</v>
      </c>
      <c r="U30" s="84">
        <f>IF(U12=0,0,U12/TrRail_act!U18*1000)</f>
        <v>0</v>
      </c>
      <c r="V30" s="84">
        <f>IF(V12=0,0,V12/TrRail_act!V18*1000)</f>
        <v>0</v>
      </c>
      <c r="W30" s="84">
        <f>IF(W12=0,0,W12/TrRail_act!W18*1000)</f>
        <v>0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0</v>
      </c>
      <c r="C33" s="28">
        <f>IF(C15=0,0,C15/TrRail_act!C21*1000)</f>
        <v>0</v>
      </c>
      <c r="D33" s="28">
        <f>IF(D15=0,0,D15/TrRail_act!D21*1000)</f>
        <v>0</v>
      </c>
      <c r="E33" s="28">
        <f>IF(E15=0,0,E15/TrRail_act!E21*1000)</f>
        <v>0</v>
      </c>
      <c r="F33" s="28">
        <f>IF(F15=0,0,F15/TrRail_act!F21*1000)</f>
        <v>0</v>
      </c>
      <c r="G33" s="28">
        <f>IF(G15=0,0,G15/TrRail_act!G21*1000)</f>
        <v>0</v>
      </c>
      <c r="H33" s="28">
        <f>IF(H15=0,0,H15/TrRail_act!H21*1000)</f>
        <v>0</v>
      </c>
      <c r="I33" s="28">
        <f>IF(I15=0,0,I15/TrRail_act!I21*1000)</f>
        <v>0</v>
      </c>
      <c r="J33" s="28">
        <f>IF(J15=0,0,J15/TrRail_act!J21*1000)</f>
        <v>0</v>
      </c>
      <c r="K33" s="28">
        <f>IF(K15=0,0,K15/TrRail_act!K21*1000)</f>
        <v>0</v>
      </c>
      <c r="L33" s="28">
        <f>IF(L15=0,0,L15/TrRail_act!L21*1000)</f>
        <v>0</v>
      </c>
      <c r="M33" s="28">
        <f>IF(M15=0,0,M15/TrRail_act!M21*1000)</f>
        <v>0</v>
      </c>
      <c r="N33" s="28">
        <f>IF(N15=0,0,N15/TrRail_act!N21*1000)</f>
        <v>0</v>
      </c>
      <c r="O33" s="28">
        <f>IF(O15=0,0,O15/TrRail_act!O21*1000)</f>
        <v>0</v>
      </c>
      <c r="P33" s="28">
        <f>IF(P15=0,0,P15/TrRail_act!P21*1000)</f>
        <v>0</v>
      </c>
      <c r="Q33" s="28">
        <f>IF(Q15=0,0,Q15/TrRail_act!Q21*1000)</f>
        <v>0</v>
      </c>
      <c r="R33" s="28">
        <f>IF(R15=0,0,R15/TrRail_act!R21*1000)</f>
        <v>0</v>
      </c>
      <c r="S33" s="28">
        <f>IF(S15=0,0,S15/TrRail_act!S21*1000)</f>
        <v>0</v>
      </c>
      <c r="T33" s="28">
        <f>IF(T15=0,0,T15/TrRail_act!T21*1000)</f>
        <v>0</v>
      </c>
      <c r="U33" s="28">
        <f>IF(U15=0,0,U15/TrRail_act!U21*1000)</f>
        <v>0</v>
      </c>
      <c r="V33" s="28">
        <f>IF(V15=0,0,V15/TrRail_act!V21*1000)</f>
        <v>0</v>
      </c>
      <c r="W33" s="28">
        <f>IF(W15=0,0,W15/TrRail_act!W21*1000)</f>
        <v>0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0</v>
      </c>
      <c r="C34" s="84">
        <f>IF(C16=0,0,C16/TrRail_act!C22*1000)</f>
        <v>0</v>
      </c>
      <c r="D34" s="84">
        <f>IF(D16=0,0,D16/TrRail_act!D22*1000)</f>
        <v>0</v>
      </c>
      <c r="E34" s="84">
        <f>IF(E16=0,0,E16/TrRail_act!E22*1000)</f>
        <v>0</v>
      </c>
      <c r="F34" s="84">
        <f>IF(F16=0,0,F16/TrRail_act!F22*1000)</f>
        <v>0</v>
      </c>
      <c r="G34" s="84">
        <f>IF(G16=0,0,G16/TrRail_act!G22*1000)</f>
        <v>0</v>
      </c>
      <c r="H34" s="84">
        <f>IF(H16=0,0,H16/TrRail_act!H22*1000)</f>
        <v>0</v>
      </c>
      <c r="I34" s="84">
        <f>IF(I16=0,0,I16/TrRail_act!I22*1000)</f>
        <v>0</v>
      </c>
      <c r="J34" s="84">
        <f>IF(J16=0,0,J16/TrRail_act!J22*1000)</f>
        <v>0</v>
      </c>
      <c r="K34" s="84">
        <f>IF(K16=0,0,K16/TrRail_act!K22*1000)</f>
        <v>0</v>
      </c>
      <c r="L34" s="84">
        <f>IF(L16=0,0,L16/TrRail_act!L22*1000)</f>
        <v>0</v>
      </c>
      <c r="M34" s="84">
        <f>IF(M16=0,0,M16/TrRail_act!M22*1000)</f>
        <v>0</v>
      </c>
      <c r="N34" s="84">
        <f>IF(N16=0,0,N16/TrRail_act!N22*1000)</f>
        <v>0</v>
      </c>
      <c r="O34" s="84">
        <f>IF(O16=0,0,O16/TrRail_act!O22*1000)</f>
        <v>0</v>
      </c>
      <c r="P34" s="84">
        <f>IF(P16=0,0,P16/TrRail_act!P22*1000)</f>
        <v>0</v>
      </c>
      <c r="Q34" s="84">
        <f>IF(Q16=0,0,Q16/TrRail_act!Q22*1000)</f>
        <v>0</v>
      </c>
      <c r="R34" s="84">
        <f>IF(R16=0,0,R16/TrRail_act!R22*1000)</f>
        <v>0</v>
      </c>
      <c r="S34" s="84">
        <f>IF(S16=0,0,S16/TrRail_act!S22*1000)</f>
        <v>0</v>
      </c>
      <c r="T34" s="84">
        <f>IF(T16=0,0,T16/TrRail_act!T22*1000)</f>
        <v>0</v>
      </c>
      <c r="U34" s="84">
        <f>IF(U16=0,0,U16/TrRail_act!U22*1000)</f>
        <v>0</v>
      </c>
      <c r="V34" s="84">
        <f>IF(V16=0,0,V16/TrRail_act!V22*1000)</f>
        <v>0</v>
      </c>
      <c r="W34" s="84">
        <f>IF(W16=0,0,W16/TrRail_act!W22*1000)</f>
        <v>0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0</v>
      </c>
      <c r="C38" s="29">
        <f>IF(C9=0,0,C9/TrRail_act!C4*1000)</f>
        <v>0</v>
      </c>
      <c r="D38" s="29">
        <f>IF(D9=0,0,D9/TrRail_act!D4*1000)</f>
        <v>0</v>
      </c>
      <c r="E38" s="29">
        <f>IF(E9=0,0,E9/TrRail_act!E4*1000)</f>
        <v>0</v>
      </c>
      <c r="F38" s="29">
        <f>IF(F9=0,0,F9/TrRail_act!F4*1000)</f>
        <v>0</v>
      </c>
      <c r="G38" s="29">
        <f>IF(G9=0,0,G9/TrRail_act!G4*1000)</f>
        <v>0</v>
      </c>
      <c r="H38" s="29">
        <f>IF(H9=0,0,H9/TrRail_act!H4*1000)</f>
        <v>0</v>
      </c>
      <c r="I38" s="29">
        <f>IF(I9=0,0,I9/TrRail_act!I4*1000)</f>
        <v>0</v>
      </c>
      <c r="J38" s="29">
        <f>IF(J9=0,0,J9/TrRail_act!J4*1000)</f>
        <v>0</v>
      </c>
      <c r="K38" s="29">
        <f>IF(K9=0,0,K9/TrRail_act!K4*1000)</f>
        <v>0</v>
      </c>
      <c r="L38" s="29">
        <f>IF(L9=0,0,L9/TrRail_act!L4*1000)</f>
        <v>0</v>
      </c>
      <c r="M38" s="29">
        <f>IF(M9=0,0,M9/TrRail_act!M4*1000)</f>
        <v>0</v>
      </c>
      <c r="N38" s="29">
        <f>IF(N9=0,0,N9/TrRail_act!N4*1000)</f>
        <v>0</v>
      </c>
      <c r="O38" s="29">
        <f>IF(O9=0,0,O9/TrRail_act!O4*1000)</f>
        <v>0</v>
      </c>
      <c r="P38" s="29">
        <f>IF(P9=0,0,P9/TrRail_act!P4*1000)</f>
        <v>0</v>
      </c>
      <c r="Q38" s="29">
        <f>IF(Q9=0,0,Q9/TrRail_act!Q4*1000)</f>
        <v>0</v>
      </c>
      <c r="R38" s="29">
        <f>IF(R9=0,0,R9/TrRail_act!R4*1000)</f>
        <v>0</v>
      </c>
      <c r="S38" s="29">
        <f>IF(S9=0,0,S9/TrRail_act!S4*1000)</f>
        <v>0</v>
      </c>
      <c r="T38" s="29">
        <f>IF(T9=0,0,T9/TrRail_act!T4*1000)</f>
        <v>0</v>
      </c>
      <c r="U38" s="29">
        <f>IF(U9=0,0,U9/TrRail_act!U4*1000)</f>
        <v>0</v>
      </c>
      <c r="V38" s="29">
        <f>IF(V9=0,0,V9/TrRail_act!V4*1000)</f>
        <v>0</v>
      </c>
      <c r="W38" s="29">
        <f>IF(W9=0,0,W9/TrRail_act!W4*1000)</f>
        <v>0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0</v>
      </c>
      <c r="C40" s="116">
        <f>IF(C11=0,0,C11/TrRail_act!C6*1000)</f>
        <v>0</v>
      </c>
      <c r="D40" s="116">
        <f>IF(D11=0,0,D11/TrRail_act!D6*1000)</f>
        <v>0</v>
      </c>
      <c r="E40" s="116">
        <f>IF(E11=0,0,E11/TrRail_act!E6*1000)</f>
        <v>0</v>
      </c>
      <c r="F40" s="116">
        <f>IF(F11=0,0,F11/TrRail_act!F6*1000)</f>
        <v>0</v>
      </c>
      <c r="G40" s="116">
        <f>IF(G11=0,0,G11/TrRail_act!G6*1000)</f>
        <v>0</v>
      </c>
      <c r="H40" s="116">
        <f>IF(H11=0,0,H11/TrRail_act!H6*1000)</f>
        <v>0</v>
      </c>
      <c r="I40" s="116">
        <f>IF(I11=0,0,I11/TrRail_act!I6*1000)</f>
        <v>0</v>
      </c>
      <c r="J40" s="116">
        <f>IF(J11=0,0,J11/TrRail_act!J6*1000)</f>
        <v>0</v>
      </c>
      <c r="K40" s="116">
        <f>IF(K11=0,0,K11/TrRail_act!K6*1000)</f>
        <v>0</v>
      </c>
      <c r="L40" s="116">
        <f>IF(L11=0,0,L11/TrRail_act!L6*1000)</f>
        <v>0</v>
      </c>
      <c r="M40" s="116">
        <f>IF(M11=0,0,M11/TrRail_act!M6*1000)</f>
        <v>0</v>
      </c>
      <c r="N40" s="116">
        <f>IF(N11=0,0,N11/TrRail_act!N6*1000)</f>
        <v>0</v>
      </c>
      <c r="O40" s="116">
        <f>IF(O11=0,0,O11/TrRail_act!O6*1000)</f>
        <v>0</v>
      </c>
      <c r="P40" s="116">
        <f>IF(P11=0,0,P11/TrRail_act!P6*1000)</f>
        <v>0</v>
      </c>
      <c r="Q40" s="116">
        <f>IF(Q11=0,0,Q11/TrRail_act!Q6*1000)</f>
        <v>0</v>
      </c>
      <c r="R40" s="116">
        <f>IF(R11=0,0,R11/TrRail_act!R6*1000)</f>
        <v>0</v>
      </c>
      <c r="S40" s="116">
        <f>IF(S11=0,0,S11/TrRail_act!S6*1000)</f>
        <v>0</v>
      </c>
      <c r="T40" s="116">
        <f>IF(T11=0,0,T11/TrRail_act!T6*1000)</f>
        <v>0</v>
      </c>
      <c r="U40" s="116">
        <f>IF(U11=0,0,U11/TrRail_act!U6*1000)</f>
        <v>0</v>
      </c>
      <c r="V40" s="116">
        <f>IF(V11=0,0,V11/TrRail_act!V6*1000)</f>
        <v>0</v>
      </c>
      <c r="W40" s="116">
        <f>IF(W11=0,0,W11/TrRail_act!W6*1000)</f>
        <v>0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0</v>
      </c>
      <c r="C41" s="87">
        <f>IF(C12=0,0,C12/TrRail_act!C7*1000)</f>
        <v>0</v>
      </c>
      <c r="D41" s="87">
        <f>IF(D12=0,0,D12/TrRail_act!D7*1000)</f>
        <v>0</v>
      </c>
      <c r="E41" s="87">
        <f>IF(E12=0,0,E12/TrRail_act!E7*1000)</f>
        <v>0</v>
      </c>
      <c r="F41" s="87">
        <f>IF(F12=0,0,F12/TrRail_act!F7*1000)</f>
        <v>0</v>
      </c>
      <c r="G41" s="87">
        <f>IF(G12=0,0,G12/TrRail_act!G7*1000)</f>
        <v>0</v>
      </c>
      <c r="H41" s="87">
        <f>IF(H12=0,0,H12/TrRail_act!H7*1000)</f>
        <v>0</v>
      </c>
      <c r="I41" s="87">
        <f>IF(I12=0,0,I12/TrRail_act!I7*1000)</f>
        <v>0</v>
      </c>
      <c r="J41" s="87">
        <f>IF(J12=0,0,J12/TrRail_act!J7*1000)</f>
        <v>0</v>
      </c>
      <c r="K41" s="87">
        <f>IF(K12=0,0,K12/TrRail_act!K7*1000)</f>
        <v>0</v>
      </c>
      <c r="L41" s="87">
        <f>IF(L12=0,0,L12/TrRail_act!L7*1000)</f>
        <v>0</v>
      </c>
      <c r="M41" s="87">
        <f>IF(M12=0,0,M12/TrRail_act!M7*1000)</f>
        <v>0</v>
      </c>
      <c r="N41" s="87">
        <f>IF(N12=0,0,N12/TrRail_act!N7*1000)</f>
        <v>0</v>
      </c>
      <c r="O41" s="87">
        <f>IF(O12=0,0,O12/TrRail_act!O7*1000)</f>
        <v>0</v>
      </c>
      <c r="P41" s="87">
        <f>IF(P12=0,0,P12/TrRail_act!P7*1000)</f>
        <v>0</v>
      </c>
      <c r="Q41" s="87">
        <f>IF(Q12=0,0,Q12/TrRail_act!Q7*1000)</f>
        <v>0</v>
      </c>
      <c r="R41" s="87">
        <f>IF(R12=0,0,R12/TrRail_act!R7*1000)</f>
        <v>0</v>
      </c>
      <c r="S41" s="87">
        <f>IF(S12=0,0,S12/TrRail_act!S7*1000)</f>
        <v>0</v>
      </c>
      <c r="T41" s="87">
        <f>IF(T12=0,0,T12/TrRail_act!T7*1000)</f>
        <v>0</v>
      </c>
      <c r="U41" s="87">
        <f>IF(U12=0,0,U12/TrRail_act!U7*1000)</f>
        <v>0</v>
      </c>
      <c r="V41" s="87">
        <f>IF(V12=0,0,V12/TrRail_act!V7*1000)</f>
        <v>0</v>
      </c>
      <c r="W41" s="87">
        <f>IF(W12=0,0,W12/TrRail_act!W7*1000)</f>
        <v>0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0</v>
      </c>
      <c r="C44" s="29">
        <f>IF(C15=0,0,C15/TrRail_act!C10*1000)</f>
        <v>0</v>
      </c>
      <c r="D44" s="29">
        <f>IF(D15=0,0,D15/TrRail_act!D10*1000)</f>
        <v>0</v>
      </c>
      <c r="E44" s="29">
        <f>IF(E15=0,0,E15/TrRail_act!E10*1000)</f>
        <v>0</v>
      </c>
      <c r="F44" s="29">
        <f>IF(F15=0,0,F15/TrRail_act!F10*1000)</f>
        <v>0</v>
      </c>
      <c r="G44" s="29">
        <f>IF(G15=0,0,G15/TrRail_act!G10*1000)</f>
        <v>0</v>
      </c>
      <c r="H44" s="29">
        <f>IF(H15=0,0,H15/TrRail_act!H10*1000)</f>
        <v>0</v>
      </c>
      <c r="I44" s="29">
        <f>IF(I15=0,0,I15/TrRail_act!I10*1000)</f>
        <v>0</v>
      </c>
      <c r="J44" s="29">
        <f>IF(J15=0,0,J15/TrRail_act!J10*1000)</f>
        <v>0</v>
      </c>
      <c r="K44" s="29">
        <f>IF(K15=0,0,K15/TrRail_act!K10*1000)</f>
        <v>0</v>
      </c>
      <c r="L44" s="29">
        <f>IF(L15=0,0,L15/TrRail_act!L10*1000)</f>
        <v>0</v>
      </c>
      <c r="M44" s="29">
        <f>IF(M15=0,0,M15/TrRail_act!M10*1000)</f>
        <v>0</v>
      </c>
      <c r="N44" s="29">
        <f>IF(N15=0,0,N15/TrRail_act!N10*1000)</f>
        <v>0</v>
      </c>
      <c r="O44" s="29">
        <f>IF(O15=0,0,O15/TrRail_act!O10*1000)</f>
        <v>0</v>
      </c>
      <c r="P44" s="29">
        <f>IF(P15=0,0,P15/TrRail_act!P10*1000)</f>
        <v>0</v>
      </c>
      <c r="Q44" s="29">
        <f>IF(Q15=0,0,Q15/TrRail_act!Q10*1000)</f>
        <v>0</v>
      </c>
      <c r="R44" s="29">
        <f>IF(R15=0,0,R15/TrRail_act!R10*1000)</f>
        <v>0</v>
      </c>
      <c r="S44" s="29">
        <f>IF(S15=0,0,S15/TrRail_act!S10*1000)</f>
        <v>0</v>
      </c>
      <c r="T44" s="29">
        <f>IF(T15=0,0,T15/TrRail_act!T10*1000)</f>
        <v>0</v>
      </c>
      <c r="U44" s="29">
        <f>IF(U15=0,0,U15/TrRail_act!U10*1000)</f>
        <v>0</v>
      </c>
      <c r="V44" s="29">
        <f>IF(V15=0,0,V15/TrRail_act!V10*1000)</f>
        <v>0</v>
      </c>
      <c r="W44" s="29">
        <f>IF(W15=0,0,W15/TrRail_act!W10*1000)</f>
        <v>0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0</v>
      </c>
      <c r="C45" s="87">
        <f>IF(C16=0,0,C16/TrRail_act!C11*1000)</f>
        <v>0</v>
      </c>
      <c r="D45" s="87">
        <f>IF(D16=0,0,D16/TrRail_act!D11*1000)</f>
        <v>0</v>
      </c>
      <c r="E45" s="87">
        <f>IF(E16=0,0,E16/TrRail_act!E11*1000)</f>
        <v>0</v>
      </c>
      <c r="F45" s="87">
        <f>IF(F16=0,0,F16/TrRail_act!F11*1000)</f>
        <v>0</v>
      </c>
      <c r="G45" s="87">
        <f>IF(G16=0,0,G16/TrRail_act!G11*1000)</f>
        <v>0</v>
      </c>
      <c r="H45" s="87">
        <f>IF(H16=0,0,H16/TrRail_act!H11*1000)</f>
        <v>0</v>
      </c>
      <c r="I45" s="87">
        <f>IF(I16=0,0,I16/TrRail_act!I11*1000)</f>
        <v>0</v>
      </c>
      <c r="J45" s="87">
        <f>IF(J16=0,0,J16/TrRail_act!J11*1000)</f>
        <v>0</v>
      </c>
      <c r="K45" s="87">
        <f>IF(K16=0,0,K16/TrRail_act!K11*1000)</f>
        <v>0</v>
      </c>
      <c r="L45" s="87">
        <f>IF(L16=0,0,L16/TrRail_act!L11*1000)</f>
        <v>0</v>
      </c>
      <c r="M45" s="87">
        <f>IF(M16=0,0,M16/TrRail_act!M11*1000)</f>
        <v>0</v>
      </c>
      <c r="N45" s="87">
        <f>IF(N16=0,0,N16/TrRail_act!N11*1000)</f>
        <v>0</v>
      </c>
      <c r="O45" s="87">
        <f>IF(O16=0,0,O16/TrRail_act!O11*1000)</f>
        <v>0</v>
      </c>
      <c r="P45" s="87">
        <f>IF(P16=0,0,P16/TrRail_act!P11*1000)</f>
        <v>0</v>
      </c>
      <c r="Q45" s="87">
        <f>IF(Q16=0,0,Q16/TrRail_act!Q11*1000)</f>
        <v>0</v>
      </c>
      <c r="R45" s="87">
        <f>IF(R16=0,0,R16/TrRail_act!R11*1000)</f>
        <v>0</v>
      </c>
      <c r="S45" s="87">
        <f>IF(S16=0,0,S16/TrRail_act!S11*1000)</f>
        <v>0</v>
      </c>
      <c r="T45" s="87">
        <f>IF(T16=0,0,T16/TrRail_act!T11*1000)</f>
        <v>0</v>
      </c>
      <c r="U45" s="87">
        <f>IF(U16=0,0,U16/TrRail_act!U11*1000)</f>
        <v>0</v>
      </c>
      <c r="V45" s="87">
        <f>IF(V16=0,0,V16/TrRail_act!V11*1000)</f>
        <v>0</v>
      </c>
      <c r="W45" s="87">
        <f>IF(W16=0,0,W16/TrRail_act!W11*1000)</f>
        <v>0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0</v>
      </c>
      <c r="C48" s="62">
        <f>IF(C8=0,0,1000000*C8/TrRail_act!C25/1000)</f>
        <v>0</v>
      </c>
      <c r="D48" s="62">
        <f>IF(D8=0,0,1000000*D8/TrRail_act!D25/1000)</f>
        <v>0</v>
      </c>
      <c r="E48" s="62">
        <f>IF(E8=0,0,1000000*E8/TrRail_act!E25/1000)</f>
        <v>0</v>
      </c>
      <c r="F48" s="62">
        <f>IF(F8=0,0,1000000*F8/TrRail_act!F25/1000)</f>
        <v>0</v>
      </c>
      <c r="G48" s="62">
        <f>IF(G8=0,0,1000000*G8/TrRail_act!G25/1000)</f>
        <v>0</v>
      </c>
      <c r="H48" s="62">
        <f>IF(H8=0,0,1000000*H8/TrRail_act!H25/1000)</f>
        <v>0</v>
      </c>
      <c r="I48" s="62">
        <f>IF(I8=0,0,1000000*I8/TrRail_act!I25/1000)</f>
        <v>0</v>
      </c>
      <c r="J48" s="62">
        <f>IF(J8=0,0,1000000*J8/TrRail_act!J25/1000)</f>
        <v>0</v>
      </c>
      <c r="K48" s="62">
        <f>IF(K8=0,0,1000000*K8/TrRail_act!K25/1000)</f>
        <v>0</v>
      </c>
      <c r="L48" s="62">
        <f>IF(L8=0,0,1000000*L8/TrRail_act!L25/1000)</f>
        <v>0</v>
      </c>
      <c r="M48" s="62">
        <f>IF(M8=0,0,1000000*M8/TrRail_act!M25/1000)</f>
        <v>0</v>
      </c>
      <c r="N48" s="62">
        <f>IF(N8=0,0,1000000*N8/TrRail_act!N25/1000)</f>
        <v>0</v>
      </c>
      <c r="O48" s="62">
        <f>IF(O8=0,0,1000000*O8/TrRail_act!O25/1000)</f>
        <v>0</v>
      </c>
      <c r="P48" s="62">
        <f>IF(P8=0,0,1000000*P8/TrRail_act!P25/1000)</f>
        <v>0</v>
      </c>
      <c r="Q48" s="62">
        <f>IF(Q8=0,0,1000000*Q8/TrRail_act!Q25/1000)</f>
        <v>0</v>
      </c>
      <c r="R48" s="62">
        <f>IF(R8=0,0,1000000*R8/TrRail_act!R25/1000)</f>
        <v>0</v>
      </c>
      <c r="S48" s="62">
        <f>IF(S8=0,0,1000000*S8/TrRail_act!S25/1000)</f>
        <v>0</v>
      </c>
      <c r="T48" s="62">
        <f>IF(T8=0,0,1000000*T8/TrRail_act!T25/1000)</f>
        <v>0</v>
      </c>
      <c r="U48" s="62">
        <f>IF(U8=0,0,1000000*U8/TrRail_act!U25/1000)</f>
        <v>0</v>
      </c>
      <c r="V48" s="62">
        <f>IF(V8=0,0,1000000*V8/TrRail_act!V25/1000)</f>
        <v>0</v>
      </c>
      <c r="W48" s="62">
        <f>IF(W8=0,0,1000000*W8/TrRail_act!W25/1000)</f>
        <v>0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0</v>
      </c>
      <c r="C49" s="29">
        <f>IF(C9=0,0,1000000*C9/TrRail_act!C26/1000)</f>
        <v>0</v>
      </c>
      <c r="D49" s="29">
        <f>IF(D9=0,0,1000000*D9/TrRail_act!D26/1000)</f>
        <v>0</v>
      </c>
      <c r="E49" s="29">
        <f>IF(E9=0,0,1000000*E9/TrRail_act!E26/1000)</f>
        <v>0</v>
      </c>
      <c r="F49" s="29">
        <f>IF(F9=0,0,1000000*F9/TrRail_act!F26/1000)</f>
        <v>0</v>
      </c>
      <c r="G49" s="29">
        <f>IF(G9=0,0,1000000*G9/TrRail_act!G26/1000)</f>
        <v>0</v>
      </c>
      <c r="H49" s="29">
        <f>IF(H9=0,0,1000000*H9/TrRail_act!H26/1000)</f>
        <v>0</v>
      </c>
      <c r="I49" s="29">
        <f>IF(I9=0,0,1000000*I9/TrRail_act!I26/1000)</f>
        <v>0</v>
      </c>
      <c r="J49" s="29">
        <f>IF(J9=0,0,1000000*J9/TrRail_act!J26/1000)</f>
        <v>0</v>
      </c>
      <c r="K49" s="29">
        <f>IF(K9=0,0,1000000*K9/TrRail_act!K26/1000)</f>
        <v>0</v>
      </c>
      <c r="L49" s="29">
        <f>IF(L9=0,0,1000000*L9/TrRail_act!L26/1000)</f>
        <v>0</v>
      </c>
      <c r="M49" s="29">
        <f>IF(M9=0,0,1000000*M9/TrRail_act!M26/1000)</f>
        <v>0</v>
      </c>
      <c r="N49" s="29">
        <f>IF(N9=0,0,1000000*N9/TrRail_act!N26/1000)</f>
        <v>0</v>
      </c>
      <c r="O49" s="29">
        <f>IF(O9=0,0,1000000*O9/TrRail_act!O26/1000)</f>
        <v>0</v>
      </c>
      <c r="P49" s="29">
        <f>IF(P9=0,0,1000000*P9/TrRail_act!P26/1000)</f>
        <v>0</v>
      </c>
      <c r="Q49" s="29">
        <f>IF(Q9=0,0,1000000*Q9/TrRail_act!Q26/1000)</f>
        <v>0</v>
      </c>
      <c r="R49" s="29">
        <f>IF(R9=0,0,1000000*R9/TrRail_act!R26/1000)</f>
        <v>0</v>
      </c>
      <c r="S49" s="29">
        <f>IF(S9=0,0,1000000*S9/TrRail_act!S26/1000)</f>
        <v>0</v>
      </c>
      <c r="T49" s="29">
        <f>IF(T9=0,0,1000000*T9/TrRail_act!T26/1000)</f>
        <v>0</v>
      </c>
      <c r="U49" s="29">
        <f>IF(U9=0,0,1000000*U9/TrRail_act!U26/1000)</f>
        <v>0</v>
      </c>
      <c r="V49" s="29">
        <f>IF(V9=0,0,1000000*V9/TrRail_act!V26/1000)</f>
        <v>0</v>
      </c>
      <c r="W49" s="29">
        <f>IF(W9=0,0,1000000*W9/TrRail_act!W26/1000)</f>
        <v>0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0</v>
      </c>
      <c r="C51" s="116">
        <f>IF(C11=0,0,1000000*C11/TrRail_act!C28/1000)</f>
        <v>0</v>
      </c>
      <c r="D51" s="116">
        <f>IF(D11=0,0,1000000*D11/TrRail_act!D28/1000)</f>
        <v>0</v>
      </c>
      <c r="E51" s="116">
        <f>IF(E11=0,0,1000000*E11/TrRail_act!E28/1000)</f>
        <v>0</v>
      </c>
      <c r="F51" s="116">
        <f>IF(F11=0,0,1000000*F11/TrRail_act!F28/1000)</f>
        <v>0</v>
      </c>
      <c r="G51" s="116">
        <f>IF(G11=0,0,1000000*G11/TrRail_act!G28/1000)</f>
        <v>0</v>
      </c>
      <c r="H51" s="116">
        <f>IF(H11=0,0,1000000*H11/TrRail_act!H28/1000)</f>
        <v>0</v>
      </c>
      <c r="I51" s="116">
        <f>IF(I11=0,0,1000000*I11/TrRail_act!I28/1000)</f>
        <v>0</v>
      </c>
      <c r="J51" s="116">
        <f>IF(J11=0,0,1000000*J11/TrRail_act!J28/1000)</f>
        <v>0</v>
      </c>
      <c r="K51" s="116">
        <f>IF(K11=0,0,1000000*K11/TrRail_act!K28/1000)</f>
        <v>0</v>
      </c>
      <c r="L51" s="116">
        <f>IF(L11=0,0,1000000*L11/TrRail_act!L28/1000)</f>
        <v>0</v>
      </c>
      <c r="M51" s="116">
        <f>IF(M11=0,0,1000000*M11/TrRail_act!M28/1000)</f>
        <v>0</v>
      </c>
      <c r="N51" s="116">
        <f>IF(N11=0,0,1000000*N11/TrRail_act!N28/1000)</f>
        <v>0</v>
      </c>
      <c r="O51" s="116">
        <f>IF(O11=0,0,1000000*O11/TrRail_act!O28/1000)</f>
        <v>0</v>
      </c>
      <c r="P51" s="116">
        <f>IF(P11=0,0,1000000*P11/TrRail_act!P28/1000)</f>
        <v>0</v>
      </c>
      <c r="Q51" s="116">
        <f>IF(Q11=0,0,1000000*Q11/TrRail_act!Q28/1000)</f>
        <v>0</v>
      </c>
      <c r="R51" s="116">
        <f>IF(R11=0,0,1000000*R11/TrRail_act!R28/1000)</f>
        <v>0</v>
      </c>
      <c r="S51" s="116">
        <f>IF(S11=0,0,1000000*S11/TrRail_act!S28/1000)</f>
        <v>0</v>
      </c>
      <c r="T51" s="116">
        <f>IF(T11=0,0,1000000*T11/TrRail_act!T28/1000)</f>
        <v>0</v>
      </c>
      <c r="U51" s="116">
        <f>IF(U11=0,0,1000000*U11/TrRail_act!U28/1000)</f>
        <v>0</v>
      </c>
      <c r="V51" s="116">
        <f>IF(V11=0,0,1000000*V11/TrRail_act!V28/1000)</f>
        <v>0</v>
      </c>
      <c r="W51" s="116">
        <f>IF(W11=0,0,1000000*W11/TrRail_act!W28/1000)</f>
        <v>0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0</v>
      </c>
      <c r="C52" s="87">
        <f>IF(C12=0,0,1000000*C12/TrRail_act!C29/1000)</f>
        <v>0</v>
      </c>
      <c r="D52" s="87">
        <f>IF(D12=0,0,1000000*D12/TrRail_act!D29/1000)</f>
        <v>0</v>
      </c>
      <c r="E52" s="87">
        <f>IF(E12=0,0,1000000*E12/TrRail_act!E29/1000)</f>
        <v>0</v>
      </c>
      <c r="F52" s="87">
        <f>IF(F12=0,0,1000000*F12/TrRail_act!F29/1000)</f>
        <v>0</v>
      </c>
      <c r="G52" s="87">
        <f>IF(G12=0,0,1000000*G12/TrRail_act!G29/1000)</f>
        <v>0</v>
      </c>
      <c r="H52" s="87">
        <f>IF(H12=0,0,1000000*H12/TrRail_act!H29/1000)</f>
        <v>0</v>
      </c>
      <c r="I52" s="87">
        <f>IF(I12=0,0,1000000*I12/TrRail_act!I29/1000)</f>
        <v>0</v>
      </c>
      <c r="J52" s="87">
        <f>IF(J12=0,0,1000000*J12/TrRail_act!J29/1000)</f>
        <v>0</v>
      </c>
      <c r="K52" s="87">
        <f>IF(K12=0,0,1000000*K12/TrRail_act!K29/1000)</f>
        <v>0</v>
      </c>
      <c r="L52" s="87">
        <f>IF(L12=0,0,1000000*L12/TrRail_act!L29/1000)</f>
        <v>0</v>
      </c>
      <c r="M52" s="87">
        <f>IF(M12=0,0,1000000*M12/TrRail_act!M29/1000)</f>
        <v>0</v>
      </c>
      <c r="N52" s="87">
        <f>IF(N12=0,0,1000000*N12/TrRail_act!N29/1000)</f>
        <v>0</v>
      </c>
      <c r="O52" s="87">
        <f>IF(O12=0,0,1000000*O12/TrRail_act!O29/1000)</f>
        <v>0</v>
      </c>
      <c r="P52" s="87">
        <f>IF(P12=0,0,1000000*P12/TrRail_act!P29/1000)</f>
        <v>0</v>
      </c>
      <c r="Q52" s="87">
        <f>IF(Q12=0,0,1000000*Q12/TrRail_act!Q29/1000)</f>
        <v>0</v>
      </c>
      <c r="R52" s="87">
        <f>IF(R12=0,0,1000000*R12/TrRail_act!R29/1000)</f>
        <v>0</v>
      </c>
      <c r="S52" s="87">
        <f>IF(S12=0,0,1000000*S12/TrRail_act!S29/1000)</f>
        <v>0</v>
      </c>
      <c r="T52" s="87">
        <f>IF(T12=0,0,1000000*T12/TrRail_act!T29/1000)</f>
        <v>0</v>
      </c>
      <c r="U52" s="87">
        <f>IF(U12=0,0,1000000*U12/TrRail_act!U29/1000)</f>
        <v>0</v>
      </c>
      <c r="V52" s="87">
        <f>IF(V12=0,0,1000000*V12/TrRail_act!V29/1000)</f>
        <v>0</v>
      </c>
      <c r="W52" s="87">
        <f>IF(W12=0,0,1000000*W12/TrRail_act!W29/1000)</f>
        <v>0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0</v>
      </c>
      <c r="C55" s="29">
        <f>IF(C15=0,0,1000000*C15/TrRail_act!C32/1000)</f>
        <v>0</v>
      </c>
      <c r="D55" s="29">
        <f>IF(D15=0,0,1000000*D15/TrRail_act!D32/1000)</f>
        <v>0</v>
      </c>
      <c r="E55" s="29">
        <f>IF(E15=0,0,1000000*E15/TrRail_act!E32/1000)</f>
        <v>0</v>
      </c>
      <c r="F55" s="29">
        <f>IF(F15=0,0,1000000*F15/TrRail_act!F32/1000)</f>
        <v>0</v>
      </c>
      <c r="G55" s="29">
        <f>IF(G15=0,0,1000000*G15/TrRail_act!G32/1000)</f>
        <v>0</v>
      </c>
      <c r="H55" s="29">
        <f>IF(H15=0,0,1000000*H15/TrRail_act!H32/1000)</f>
        <v>0</v>
      </c>
      <c r="I55" s="29">
        <f>IF(I15=0,0,1000000*I15/TrRail_act!I32/1000)</f>
        <v>0</v>
      </c>
      <c r="J55" s="29">
        <f>IF(J15=0,0,1000000*J15/TrRail_act!J32/1000)</f>
        <v>0</v>
      </c>
      <c r="K55" s="29">
        <f>IF(K15=0,0,1000000*K15/TrRail_act!K32/1000)</f>
        <v>0</v>
      </c>
      <c r="L55" s="29">
        <f>IF(L15=0,0,1000000*L15/TrRail_act!L32/1000)</f>
        <v>0</v>
      </c>
      <c r="M55" s="29">
        <f>IF(M15=0,0,1000000*M15/TrRail_act!M32/1000)</f>
        <v>0</v>
      </c>
      <c r="N55" s="29">
        <f>IF(N15=0,0,1000000*N15/TrRail_act!N32/1000)</f>
        <v>0</v>
      </c>
      <c r="O55" s="29">
        <f>IF(O15=0,0,1000000*O15/TrRail_act!O32/1000)</f>
        <v>0</v>
      </c>
      <c r="P55" s="29">
        <f>IF(P15=0,0,1000000*P15/TrRail_act!P32/1000)</f>
        <v>0</v>
      </c>
      <c r="Q55" s="29">
        <f>IF(Q15=0,0,1000000*Q15/TrRail_act!Q32/1000)</f>
        <v>0</v>
      </c>
      <c r="R55" s="29">
        <f>IF(R15=0,0,1000000*R15/TrRail_act!R32/1000)</f>
        <v>0</v>
      </c>
      <c r="S55" s="29">
        <f>IF(S15=0,0,1000000*S15/TrRail_act!S32/1000)</f>
        <v>0</v>
      </c>
      <c r="T55" s="29">
        <f>IF(T15=0,0,1000000*T15/TrRail_act!T32/1000)</f>
        <v>0</v>
      </c>
      <c r="U55" s="29">
        <f>IF(U15=0,0,1000000*U15/TrRail_act!U32/1000)</f>
        <v>0</v>
      </c>
      <c r="V55" s="29">
        <f>IF(V15=0,0,1000000*V15/TrRail_act!V32/1000)</f>
        <v>0</v>
      </c>
      <c r="W55" s="29">
        <f>IF(W15=0,0,1000000*W15/TrRail_act!W32/1000)</f>
        <v>0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0</v>
      </c>
      <c r="C56" s="87">
        <f>IF(C16=0,0,1000000*C16/TrRail_act!C33/1000)</f>
        <v>0</v>
      </c>
      <c r="D56" s="87">
        <f>IF(D16=0,0,1000000*D16/TrRail_act!D33/1000)</f>
        <v>0</v>
      </c>
      <c r="E56" s="87">
        <f>IF(E16=0,0,1000000*E16/TrRail_act!E33/1000)</f>
        <v>0</v>
      </c>
      <c r="F56" s="87">
        <f>IF(F16=0,0,1000000*F16/TrRail_act!F33/1000)</f>
        <v>0</v>
      </c>
      <c r="G56" s="87">
        <f>IF(G16=0,0,1000000*G16/TrRail_act!G33/1000)</f>
        <v>0</v>
      </c>
      <c r="H56" s="87">
        <f>IF(H16=0,0,1000000*H16/TrRail_act!H33/1000)</f>
        <v>0</v>
      </c>
      <c r="I56" s="87">
        <f>IF(I16=0,0,1000000*I16/TrRail_act!I33/1000)</f>
        <v>0</v>
      </c>
      <c r="J56" s="87">
        <f>IF(J16=0,0,1000000*J16/TrRail_act!J33/1000)</f>
        <v>0</v>
      </c>
      <c r="K56" s="87">
        <f>IF(K16=0,0,1000000*K16/TrRail_act!K33/1000)</f>
        <v>0</v>
      </c>
      <c r="L56" s="87">
        <f>IF(L16=0,0,1000000*L16/TrRail_act!L33/1000)</f>
        <v>0</v>
      </c>
      <c r="M56" s="87">
        <f>IF(M16=0,0,1000000*M16/TrRail_act!M33/1000)</f>
        <v>0</v>
      </c>
      <c r="N56" s="87">
        <f>IF(N16=0,0,1000000*N16/TrRail_act!N33/1000)</f>
        <v>0</v>
      </c>
      <c r="O56" s="87">
        <f>IF(O16=0,0,1000000*O16/TrRail_act!O33/1000)</f>
        <v>0</v>
      </c>
      <c r="P56" s="87">
        <f>IF(P16=0,0,1000000*P16/TrRail_act!P33/1000)</f>
        <v>0</v>
      </c>
      <c r="Q56" s="87">
        <f>IF(Q16=0,0,1000000*Q16/TrRail_act!Q33/1000)</f>
        <v>0</v>
      </c>
      <c r="R56" s="87">
        <f>IF(R16=0,0,1000000*R16/TrRail_act!R33/1000)</f>
        <v>0</v>
      </c>
      <c r="S56" s="87">
        <f>IF(S16=0,0,1000000*S16/TrRail_act!S33/1000)</f>
        <v>0</v>
      </c>
      <c r="T56" s="87">
        <f>IF(T16=0,0,1000000*T16/TrRail_act!T33/1000)</f>
        <v>0</v>
      </c>
      <c r="U56" s="87">
        <f>IF(U16=0,0,1000000*U16/TrRail_act!U33/1000)</f>
        <v>0</v>
      </c>
      <c r="V56" s="87">
        <f>IF(V16=0,0,1000000*V16/TrRail_act!V33/1000)</f>
        <v>0</v>
      </c>
      <c r="W56" s="87">
        <f>IF(W16=0,0,1000000*W16/TrRail_act!W33/1000)</f>
        <v>0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0</v>
      </c>
      <c r="C59" s="65">
        <f t="shared" ref="C59:V59" si="6">IF(C8=0,0,C8/C$8)</f>
        <v>0</v>
      </c>
      <c r="D59" s="65">
        <f t="shared" si="6"/>
        <v>0</v>
      </c>
      <c r="E59" s="65">
        <f t="shared" si="6"/>
        <v>0</v>
      </c>
      <c r="F59" s="65">
        <f t="shared" si="6"/>
        <v>0</v>
      </c>
      <c r="G59" s="65">
        <f t="shared" si="6"/>
        <v>0</v>
      </c>
      <c r="H59" s="65">
        <f t="shared" si="6"/>
        <v>0</v>
      </c>
      <c r="I59" s="65">
        <f t="shared" si="6"/>
        <v>0</v>
      </c>
      <c r="J59" s="65">
        <f t="shared" si="6"/>
        <v>0</v>
      </c>
      <c r="K59" s="65">
        <f t="shared" si="6"/>
        <v>0</v>
      </c>
      <c r="L59" s="65">
        <f t="shared" si="6"/>
        <v>0</v>
      </c>
      <c r="M59" s="65">
        <f t="shared" si="6"/>
        <v>0</v>
      </c>
      <c r="N59" s="65">
        <f t="shared" si="6"/>
        <v>0</v>
      </c>
      <c r="O59" s="65">
        <f t="shared" si="6"/>
        <v>0</v>
      </c>
      <c r="P59" s="65">
        <f t="shared" si="6"/>
        <v>0</v>
      </c>
      <c r="Q59" s="65">
        <f t="shared" si="6"/>
        <v>0</v>
      </c>
      <c r="R59" s="65">
        <f t="shared" si="6"/>
        <v>0</v>
      </c>
      <c r="S59" s="65">
        <f t="shared" si="6"/>
        <v>0</v>
      </c>
      <c r="T59" s="65">
        <f t="shared" si="6"/>
        <v>0</v>
      </c>
      <c r="U59" s="65">
        <f t="shared" si="6"/>
        <v>0</v>
      </c>
      <c r="V59" s="65">
        <f t="shared" si="6"/>
        <v>0</v>
      </c>
      <c r="W59" s="65">
        <f t="shared" ref="W59" si="7">IF(W8=0,0,W8/W$8)</f>
        <v>0</v>
      </c>
      <c r="DA59" s="172"/>
    </row>
    <row r="60" spans="1:105" ht="11.45" customHeight="1" x14ac:dyDescent="0.25">
      <c r="A60" s="27" t="s">
        <v>33</v>
      </c>
      <c r="B60" s="31">
        <f t="shared" si="5"/>
        <v>0</v>
      </c>
      <c r="C60" s="31">
        <f t="shared" ref="C60:V60" si="8">IF(C9=0,0,C9/C$8)</f>
        <v>0</v>
      </c>
      <c r="D60" s="31">
        <f t="shared" si="8"/>
        <v>0</v>
      </c>
      <c r="E60" s="31">
        <f t="shared" si="8"/>
        <v>0</v>
      </c>
      <c r="F60" s="31">
        <f t="shared" si="8"/>
        <v>0</v>
      </c>
      <c r="G60" s="31">
        <f t="shared" si="8"/>
        <v>0</v>
      </c>
      <c r="H60" s="31">
        <f t="shared" si="8"/>
        <v>0</v>
      </c>
      <c r="I60" s="31">
        <f t="shared" si="8"/>
        <v>0</v>
      </c>
      <c r="J60" s="31">
        <f t="shared" si="8"/>
        <v>0</v>
      </c>
      <c r="K60" s="31">
        <f t="shared" si="8"/>
        <v>0</v>
      </c>
      <c r="L60" s="31">
        <f t="shared" si="8"/>
        <v>0</v>
      </c>
      <c r="M60" s="31">
        <f t="shared" si="8"/>
        <v>0</v>
      </c>
      <c r="N60" s="31">
        <f t="shared" si="8"/>
        <v>0</v>
      </c>
      <c r="O60" s="31">
        <f t="shared" si="8"/>
        <v>0</v>
      </c>
      <c r="P60" s="31">
        <f t="shared" si="8"/>
        <v>0</v>
      </c>
      <c r="Q60" s="31">
        <f t="shared" si="8"/>
        <v>0</v>
      </c>
      <c r="R60" s="31">
        <f t="shared" si="8"/>
        <v>0</v>
      </c>
      <c r="S60" s="31">
        <f t="shared" si="8"/>
        <v>0</v>
      </c>
      <c r="T60" s="31">
        <f t="shared" si="8"/>
        <v>0</v>
      </c>
      <c r="U60" s="31">
        <f t="shared" si="8"/>
        <v>0</v>
      </c>
      <c r="V60" s="31">
        <f t="shared" si="8"/>
        <v>0</v>
      </c>
      <c r="W60" s="31">
        <f t="shared" ref="W60" si="9">IF(W9=0,0,W9/W$8)</f>
        <v>0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</v>
      </c>
      <c r="C62" s="124">
        <f t="shared" ref="C62:V62" si="12">IF(C11=0,0,C11/C$8)</f>
        <v>0</v>
      </c>
      <c r="D62" s="124">
        <f t="shared" si="12"/>
        <v>0</v>
      </c>
      <c r="E62" s="124">
        <f t="shared" si="12"/>
        <v>0</v>
      </c>
      <c r="F62" s="124">
        <f t="shared" si="12"/>
        <v>0</v>
      </c>
      <c r="G62" s="124">
        <f t="shared" si="12"/>
        <v>0</v>
      </c>
      <c r="H62" s="124">
        <f t="shared" si="12"/>
        <v>0</v>
      </c>
      <c r="I62" s="124">
        <f t="shared" si="12"/>
        <v>0</v>
      </c>
      <c r="J62" s="124">
        <f t="shared" si="12"/>
        <v>0</v>
      </c>
      <c r="K62" s="124">
        <f t="shared" si="12"/>
        <v>0</v>
      </c>
      <c r="L62" s="124">
        <f t="shared" si="12"/>
        <v>0</v>
      </c>
      <c r="M62" s="124">
        <f t="shared" si="12"/>
        <v>0</v>
      </c>
      <c r="N62" s="124">
        <f t="shared" si="12"/>
        <v>0</v>
      </c>
      <c r="O62" s="124">
        <f t="shared" si="12"/>
        <v>0</v>
      </c>
      <c r="P62" s="124">
        <f t="shared" si="12"/>
        <v>0</v>
      </c>
      <c r="Q62" s="124">
        <f t="shared" si="12"/>
        <v>0</v>
      </c>
      <c r="R62" s="124">
        <f t="shared" si="12"/>
        <v>0</v>
      </c>
      <c r="S62" s="124">
        <f t="shared" si="12"/>
        <v>0</v>
      </c>
      <c r="T62" s="124">
        <f t="shared" si="12"/>
        <v>0</v>
      </c>
      <c r="U62" s="124">
        <f t="shared" si="12"/>
        <v>0</v>
      </c>
      <c r="V62" s="124">
        <f t="shared" si="12"/>
        <v>0</v>
      </c>
      <c r="W62" s="124">
        <f t="shared" ref="W62" si="13">IF(W11=0,0,W11/W$8)</f>
        <v>0</v>
      </c>
      <c r="DA62" s="176"/>
    </row>
    <row r="63" spans="1:105" ht="11.45" customHeight="1" x14ac:dyDescent="0.25">
      <c r="A63" s="111" t="s">
        <v>92</v>
      </c>
      <c r="B63" s="125">
        <f t="shared" si="5"/>
        <v>0</v>
      </c>
      <c r="C63" s="125">
        <f t="shared" ref="C63:V63" si="14">IF(C12=0,0,C12/C$8)</f>
        <v>0</v>
      </c>
      <c r="D63" s="125">
        <f t="shared" si="14"/>
        <v>0</v>
      </c>
      <c r="E63" s="125">
        <f t="shared" si="14"/>
        <v>0</v>
      </c>
      <c r="F63" s="125">
        <f t="shared" si="14"/>
        <v>0</v>
      </c>
      <c r="G63" s="125">
        <f t="shared" si="14"/>
        <v>0</v>
      </c>
      <c r="H63" s="125">
        <f t="shared" si="14"/>
        <v>0</v>
      </c>
      <c r="I63" s="125">
        <f t="shared" si="14"/>
        <v>0</v>
      </c>
      <c r="J63" s="125">
        <f t="shared" si="14"/>
        <v>0</v>
      </c>
      <c r="K63" s="125">
        <f t="shared" si="14"/>
        <v>0</v>
      </c>
      <c r="L63" s="125">
        <f t="shared" si="14"/>
        <v>0</v>
      </c>
      <c r="M63" s="125">
        <f t="shared" si="14"/>
        <v>0</v>
      </c>
      <c r="N63" s="125">
        <f t="shared" si="14"/>
        <v>0</v>
      </c>
      <c r="O63" s="125">
        <f t="shared" si="14"/>
        <v>0</v>
      </c>
      <c r="P63" s="125">
        <f t="shared" si="14"/>
        <v>0</v>
      </c>
      <c r="Q63" s="125">
        <f t="shared" si="14"/>
        <v>0</v>
      </c>
      <c r="R63" s="125">
        <f t="shared" si="14"/>
        <v>0</v>
      </c>
      <c r="S63" s="125">
        <f t="shared" si="14"/>
        <v>0</v>
      </c>
      <c r="T63" s="125">
        <f t="shared" si="14"/>
        <v>0</v>
      </c>
      <c r="U63" s="125">
        <f t="shared" si="14"/>
        <v>0</v>
      </c>
      <c r="V63" s="125">
        <f t="shared" si="14"/>
        <v>0</v>
      </c>
      <c r="W63" s="125">
        <f t="shared" ref="W63" si="15">IF(W12=0,0,W12/W$8)</f>
        <v>0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</v>
      </c>
      <c r="C66" s="31">
        <f t="shared" ref="C66:V66" si="20">IF(C15=0,0,C15/C$8)</f>
        <v>0</v>
      </c>
      <c r="D66" s="31">
        <f t="shared" si="20"/>
        <v>0</v>
      </c>
      <c r="E66" s="31">
        <f t="shared" si="20"/>
        <v>0</v>
      </c>
      <c r="F66" s="31">
        <f t="shared" si="20"/>
        <v>0</v>
      </c>
      <c r="G66" s="31">
        <f t="shared" si="20"/>
        <v>0</v>
      </c>
      <c r="H66" s="31">
        <f t="shared" si="20"/>
        <v>0</v>
      </c>
      <c r="I66" s="31">
        <f t="shared" si="20"/>
        <v>0</v>
      </c>
      <c r="J66" s="31">
        <f t="shared" si="20"/>
        <v>0</v>
      </c>
      <c r="K66" s="31">
        <f t="shared" si="20"/>
        <v>0</v>
      </c>
      <c r="L66" s="31">
        <f t="shared" si="20"/>
        <v>0</v>
      </c>
      <c r="M66" s="31">
        <f t="shared" si="20"/>
        <v>0</v>
      </c>
      <c r="N66" s="31">
        <f t="shared" si="20"/>
        <v>0</v>
      </c>
      <c r="O66" s="31">
        <f t="shared" si="20"/>
        <v>0</v>
      </c>
      <c r="P66" s="31">
        <f t="shared" si="20"/>
        <v>0</v>
      </c>
      <c r="Q66" s="31">
        <f t="shared" si="20"/>
        <v>0</v>
      </c>
      <c r="R66" s="31">
        <f t="shared" si="20"/>
        <v>0</v>
      </c>
      <c r="S66" s="31">
        <f t="shared" si="20"/>
        <v>0</v>
      </c>
      <c r="T66" s="31">
        <f t="shared" si="20"/>
        <v>0</v>
      </c>
      <c r="U66" s="31">
        <f t="shared" si="20"/>
        <v>0</v>
      </c>
      <c r="V66" s="31">
        <f t="shared" si="20"/>
        <v>0</v>
      </c>
      <c r="W66" s="31">
        <f t="shared" ref="W66" si="21">IF(W15=0,0,W15/W$8)</f>
        <v>0</v>
      </c>
      <c r="DA66" s="173"/>
    </row>
    <row r="67" spans="1:105" ht="11.45" customHeight="1" x14ac:dyDescent="0.25">
      <c r="A67" s="83" t="s">
        <v>92</v>
      </c>
      <c r="B67" s="125">
        <f t="shared" si="5"/>
        <v>0</v>
      </c>
      <c r="C67" s="125">
        <f t="shared" ref="C67:V67" si="22">IF(C16=0,0,C16/C$8)</f>
        <v>0</v>
      </c>
      <c r="D67" s="125">
        <f t="shared" si="22"/>
        <v>0</v>
      </c>
      <c r="E67" s="125">
        <f t="shared" si="22"/>
        <v>0</v>
      </c>
      <c r="F67" s="125">
        <f t="shared" si="22"/>
        <v>0</v>
      </c>
      <c r="G67" s="125">
        <f t="shared" si="22"/>
        <v>0</v>
      </c>
      <c r="H67" s="125">
        <f t="shared" si="22"/>
        <v>0</v>
      </c>
      <c r="I67" s="125">
        <f t="shared" si="22"/>
        <v>0</v>
      </c>
      <c r="J67" s="125">
        <f t="shared" si="22"/>
        <v>0</v>
      </c>
      <c r="K67" s="125">
        <f t="shared" si="22"/>
        <v>0</v>
      </c>
      <c r="L67" s="125">
        <f t="shared" si="22"/>
        <v>0</v>
      </c>
      <c r="M67" s="125">
        <f t="shared" si="22"/>
        <v>0</v>
      </c>
      <c r="N67" s="125">
        <f t="shared" si="22"/>
        <v>0</v>
      </c>
      <c r="O67" s="125">
        <f t="shared" si="22"/>
        <v>0</v>
      </c>
      <c r="P67" s="125">
        <f t="shared" si="22"/>
        <v>0</v>
      </c>
      <c r="Q67" s="125">
        <f t="shared" si="22"/>
        <v>0</v>
      </c>
      <c r="R67" s="125">
        <f t="shared" si="22"/>
        <v>0</v>
      </c>
      <c r="S67" s="125">
        <f t="shared" si="22"/>
        <v>0</v>
      </c>
      <c r="T67" s="125">
        <f t="shared" si="22"/>
        <v>0</v>
      </c>
      <c r="U67" s="125">
        <f t="shared" si="22"/>
        <v>0</v>
      </c>
      <c r="V67" s="125">
        <f t="shared" si="22"/>
        <v>0</v>
      </c>
      <c r="W67" s="125">
        <f t="shared" ref="W67" si="23">IF(W16=0,0,W16/W$8)</f>
        <v>0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386.13987297178471</v>
      </c>
      <c r="C4" s="11">
        <f t="shared" si="0"/>
        <v>443.54701113725912</v>
      </c>
      <c r="D4" s="11">
        <f t="shared" ref="D4:V4" si="1">SUM(D5:D7)</f>
        <v>544.71198681731312</v>
      </c>
      <c r="E4" s="11">
        <f t="shared" si="1"/>
        <v>762.29734691996532</v>
      </c>
      <c r="F4" s="11">
        <f t="shared" si="1"/>
        <v>1227.1180591908549</v>
      </c>
      <c r="G4" s="11">
        <f t="shared" si="1"/>
        <v>1373.0114296826828</v>
      </c>
      <c r="H4" s="11">
        <f t="shared" si="1"/>
        <v>1459.0183714226084</v>
      </c>
      <c r="I4" s="11">
        <f t="shared" si="1"/>
        <v>1519.7573486296753</v>
      </c>
      <c r="J4" s="11">
        <f t="shared" si="1"/>
        <v>1738.8236560769683</v>
      </c>
      <c r="K4" s="11">
        <f t="shared" si="1"/>
        <v>1291.4218037785695</v>
      </c>
      <c r="L4" s="11">
        <f t="shared" si="1"/>
        <v>1339.0017251546046</v>
      </c>
      <c r="M4" s="11">
        <f t="shared" si="1"/>
        <v>1342.9623422499833</v>
      </c>
      <c r="N4" s="11">
        <f t="shared" si="1"/>
        <v>1144.3107230420205</v>
      </c>
      <c r="O4" s="11">
        <f t="shared" si="1"/>
        <v>1075.7118912001965</v>
      </c>
      <c r="P4" s="11">
        <f t="shared" si="1"/>
        <v>1176.3471292519121</v>
      </c>
      <c r="Q4" s="11">
        <f t="shared" si="1"/>
        <v>1348.6481814759579</v>
      </c>
      <c r="R4" s="11">
        <f t="shared" si="1"/>
        <v>1479.6699148357213</v>
      </c>
      <c r="S4" s="11">
        <f t="shared" si="1"/>
        <v>1700.3675103894459</v>
      </c>
      <c r="T4" s="11">
        <f t="shared" si="1"/>
        <v>1988.0964358295587</v>
      </c>
      <c r="U4" s="11">
        <f t="shared" si="1"/>
        <v>2022.7959050288005</v>
      </c>
      <c r="V4" s="11">
        <f t="shared" si="1"/>
        <v>347.83248907094696</v>
      </c>
      <c r="W4" s="11">
        <f t="shared" ref="W4" si="2">SUM(W5:W7)</f>
        <v>442.30961848980178</v>
      </c>
      <c r="DA4" s="189" t="s">
        <v>189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190</v>
      </c>
    </row>
    <row r="6" spans="1:105" ht="11.45" customHeight="1" x14ac:dyDescent="0.25">
      <c r="A6" s="83" t="s">
        <v>173</v>
      </c>
      <c r="B6" s="84">
        <v>254.5222613436209</v>
      </c>
      <c r="C6" s="84">
        <v>292.39664454966328</v>
      </c>
      <c r="D6" s="84">
        <v>316.4571858811521</v>
      </c>
      <c r="E6" s="84">
        <v>455.26539366428443</v>
      </c>
      <c r="F6" s="84">
        <v>760.97173142233419</v>
      </c>
      <c r="G6" s="84">
        <v>961.85564646668888</v>
      </c>
      <c r="H6" s="84">
        <v>1170.3599842849894</v>
      </c>
      <c r="I6" s="84">
        <v>1105.8804348530077</v>
      </c>
      <c r="J6" s="84">
        <v>1288.4929618368647</v>
      </c>
      <c r="K6" s="84">
        <v>938.7131950079031</v>
      </c>
      <c r="L6" s="84">
        <v>950.87424003480839</v>
      </c>
      <c r="M6" s="84">
        <v>982.58031356689003</v>
      </c>
      <c r="N6" s="84">
        <v>805.85811114887281</v>
      </c>
      <c r="O6" s="84">
        <v>791.99258917782026</v>
      </c>
      <c r="P6" s="84">
        <v>882.28712235294688</v>
      </c>
      <c r="Q6" s="84">
        <v>995.03957709860833</v>
      </c>
      <c r="R6" s="84">
        <v>1136.2498833665832</v>
      </c>
      <c r="S6" s="84">
        <v>1113.7844941470123</v>
      </c>
      <c r="T6" s="84">
        <v>1242.880550672925</v>
      </c>
      <c r="U6" s="84">
        <v>1221.0020846205289</v>
      </c>
      <c r="V6" s="84">
        <v>254.26099487713313</v>
      </c>
      <c r="W6" s="84">
        <v>326.13595517499817</v>
      </c>
      <c r="DA6" s="171" t="s">
        <v>191</v>
      </c>
    </row>
    <row r="7" spans="1:105" ht="11.45" customHeight="1" x14ac:dyDescent="0.25">
      <c r="A7" s="83" t="s">
        <v>174</v>
      </c>
      <c r="B7" s="84">
        <v>131.61761162816384</v>
      </c>
      <c r="C7" s="84">
        <v>151.15036658759584</v>
      </c>
      <c r="D7" s="84">
        <v>228.25480093616105</v>
      </c>
      <c r="E7" s="84">
        <v>307.03195325568089</v>
      </c>
      <c r="F7" s="84">
        <v>466.14632776852062</v>
      </c>
      <c r="G7" s="84">
        <v>411.15578321599401</v>
      </c>
      <c r="H7" s="84">
        <v>288.658387137619</v>
      </c>
      <c r="I7" s="84">
        <v>413.87691377666755</v>
      </c>
      <c r="J7" s="84">
        <v>450.33069424010364</v>
      </c>
      <c r="K7" s="84">
        <v>352.70860877066639</v>
      </c>
      <c r="L7" s="84">
        <v>388.12748511979618</v>
      </c>
      <c r="M7" s="84">
        <v>360.38202868309321</v>
      </c>
      <c r="N7" s="84">
        <v>338.45261189314766</v>
      </c>
      <c r="O7" s="84">
        <v>283.71930202237616</v>
      </c>
      <c r="P7" s="84">
        <v>294.06000689896513</v>
      </c>
      <c r="Q7" s="84">
        <v>353.60860437734965</v>
      </c>
      <c r="R7" s="84">
        <v>343.42003146913822</v>
      </c>
      <c r="S7" s="84">
        <v>586.58301624243359</v>
      </c>
      <c r="T7" s="84">
        <v>745.21588515663382</v>
      </c>
      <c r="U7" s="84">
        <v>801.7938204082717</v>
      </c>
      <c r="V7" s="84">
        <v>93.57149419381382</v>
      </c>
      <c r="W7" s="84">
        <v>116.1736633148036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6.5462656546558513</v>
      </c>
      <c r="C8" s="13">
        <f t="shared" si="3"/>
        <v>6.7486354309859973</v>
      </c>
      <c r="D8" s="13">
        <f t="shared" ref="D8:V8" si="4">SUM(D9:D11)</f>
        <v>2.7575281096605275</v>
      </c>
      <c r="E8" s="13">
        <f t="shared" si="4"/>
        <v>9.7185186038543065</v>
      </c>
      <c r="F8" s="13">
        <f t="shared" si="4"/>
        <v>6.6165767247738474</v>
      </c>
      <c r="G8" s="13">
        <f t="shared" si="4"/>
        <v>4.7989287531398421</v>
      </c>
      <c r="H8" s="13">
        <f t="shared" si="4"/>
        <v>6.4715110059188259</v>
      </c>
      <c r="I8" s="13">
        <f t="shared" si="4"/>
        <v>4.5229273107598376</v>
      </c>
      <c r="J8" s="13">
        <f t="shared" si="4"/>
        <v>6.263225195041275</v>
      </c>
      <c r="K8" s="13">
        <f t="shared" si="4"/>
        <v>8.8786357873653117</v>
      </c>
      <c r="L8" s="13">
        <f t="shared" si="4"/>
        <v>12.537618034492132</v>
      </c>
      <c r="M8" s="13">
        <f t="shared" si="4"/>
        <v>14.408940230771544</v>
      </c>
      <c r="N8" s="13">
        <f t="shared" si="4"/>
        <v>13.685626364891569</v>
      </c>
      <c r="O8" s="13">
        <f t="shared" si="4"/>
        <v>12.167510413589957</v>
      </c>
      <c r="P8" s="13">
        <f t="shared" si="4"/>
        <v>11.590038030067651</v>
      </c>
      <c r="Q8" s="13">
        <f t="shared" si="4"/>
        <v>13.33010389894566</v>
      </c>
      <c r="R8" s="13">
        <f t="shared" si="4"/>
        <v>12.837136445641098</v>
      </c>
      <c r="S8" s="13">
        <f t="shared" si="4"/>
        <v>13.611744378212924</v>
      </c>
      <c r="T8" s="13">
        <f t="shared" si="4"/>
        <v>11.10116222030867</v>
      </c>
      <c r="U8" s="13">
        <f t="shared" si="4"/>
        <v>8.5297232219687178</v>
      </c>
      <c r="V8" s="13">
        <f t="shared" si="4"/>
        <v>7.9657498195916014</v>
      </c>
      <c r="W8" s="13">
        <f t="shared" ref="W8" si="5">SUM(W9:W11)</f>
        <v>6.908833906853455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2.0123379814992561</v>
      </c>
      <c r="C10" s="102">
        <v>1.9990341499728401</v>
      </c>
      <c r="D10" s="102">
        <v>1.6747904698979492</v>
      </c>
      <c r="E10" s="102">
        <v>1.4251121372369202</v>
      </c>
      <c r="F10" s="102">
        <v>1.0223329260467073</v>
      </c>
      <c r="G10" s="102">
        <v>0.67187338121496099</v>
      </c>
      <c r="H10" s="102">
        <v>0.50521952552398175</v>
      </c>
      <c r="I10" s="102">
        <v>0.44554629254735517</v>
      </c>
      <c r="J10" s="102">
        <v>4.5277662700470032</v>
      </c>
      <c r="K10" s="102">
        <v>7.6637979163178827</v>
      </c>
      <c r="L10" s="102">
        <v>9.6710894831760008</v>
      </c>
      <c r="M10" s="102">
        <v>14.140145421004831</v>
      </c>
      <c r="N10" s="102">
        <v>13.401474294945672</v>
      </c>
      <c r="O10" s="102">
        <v>11.717438639422046</v>
      </c>
      <c r="P10" s="102">
        <v>8.5586494246055729</v>
      </c>
      <c r="Q10" s="102">
        <v>10.470140833013645</v>
      </c>
      <c r="R10" s="102">
        <v>10.17392058133861</v>
      </c>
      <c r="S10" s="102">
        <v>12.19528989301666</v>
      </c>
      <c r="T10" s="102">
        <v>9.4780823686406119</v>
      </c>
      <c r="U10" s="102">
        <v>8.0906470119860234</v>
      </c>
      <c r="V10" s="102">
        <v>7.7094229062824775</v>
      </c>
      <c r="W10" s="102">
        <v>6.8526504728571309</v>
      </c>
      <c r="DA10" s="175" t="s">
        <v>195</v>
      </c>
    </row>
    <row r="11" spans="1:105" ht="11.45" customHeight="1" x14ac:dyDescent="0.25">
      <c r="A11" s="85" t="s">
        <v>174</v>
      </c>
      <c r="B11" s="86">
        <v>4.5339276731565956</v>
      </c>
      <c r="C11" s="86">
        <v>4.7496012810131569</v>
      </c>
      <c r="D11" s="86">
        <v>1.0827376397625781</v>
      </c>
      <c r="E11" s="86">
        <v>8.2934064666173857</v>
      </c>
      <c r="F11" s="86">
        <v>5.5942437987271401</v>
      </c>
      <c r="G11" s="86">
        <v>4.1270553719248815</v>
      </c>
      <c r="H11" s="86">
        <v>5.9662914803948439</v>
      </c>
      <c r="I11" s="86">
        <v>4.0773810182124821</v>
      </c>
      <c r="J11" s="86">
        <v>1.7354589249942716</v>
      </c>
      <c r="K11" s="86">
        <v>1.2148378710474284</v>
      </c>
      <c r="L11" s="86">
        <v>2.8665285513161307</v>
      </c>
      <c r="M11" s="86">
        <v>0.26879480976671177</v>
      </c>
      <c r="N11" s="86">
        <v>0.28415206994589631</v>
      </c>
      <c r="O11" s="86">
        <v>0.45007177416791211</v>
      </c>
      <c r="P11" s="86">
        <v>3.0313886054620789</v>
      </c>
      <c r="Q11" s="86">
        <v>2.8599630659320163</v>
      </c>
      <c r="R11" s="86">
        <v>2.6632158643024884</v>
      </c>
      <c r="S11" s="86">
        <v>1.4164544851962637</v>
      </c>
      <c r="T11" s="86">
        <v>1.623079851668058</v>
      </c>
      <c r="U11" s="86">
        <v>0.43907620998269364</v>
      </c>
      <c r="V11" s="86">
        <v>0.25632691330912383</v>
      </c>
      <c r="W11" s="86">
        <v>5.6183433996323848E-2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3.6457900918009742</v>
      </c>
      <c r="C13" s="54">
        <f t="shared" si="6"/>
        <v>4.1152849030772343</v>
      </c>
      <c r="D13" s="54">
        <f t="shared" ref="D13:V13" si="7">SUM(D14,D18)</f>
        <v>4.9742766870194126</v>
      </c>
      <c r="E13" s="54">
        <f t="shared" si="7"/>
        <v>7.0487240022589335</v>
      </c>
      <c r="F13" s="54">
        <f t="shared" si="7"/>
        <v>11.225857375248264</v>
      </c>
      <c r="G13" s="54">
        <f t="shared" si="7"/>
        <v>12.41028486662665</v>
      </c>
      <c r="H13" s="54">
        <f t="shared" si="7"/>
        <v>13.375091381461846</v>
      </c>
      <c r="I13" s="54">
        <f t="shared" si="7"/>
        <v>13.550550746156459</v>
      </c>
      <c r="J13" s="54">
        <f t="shared" si="7"/>
        <v>16.515826961676154</v>
      </c>
      <c r="K13" s="54">
        <f t="shared" si="7"/>
        <v>12.220958032678395</v>
      </c>
      <c r="L13" s="54">
        <f t="shared" si="7"/>
        <v>11.684886284115995</v>
      </c>
      <c r="M13" s="54">
        <f t="shared" si="7"/>
        <v>11.538965758646206</v>
      </c>
      <c r="N13" s="54">
        <f t="shared" si="7"/>
        <v>9.5640503354017472</v>
      </c>
      <c r="O13" s="54">
        <f t="shared" si="7"/>
        <v>9.1967373063592159</v>
      </c>
      <c r="P13" s="54">
        <f t="shared" si="7"/>
        <v>9.3813723503993423</v>
      </c>
      <c r="Q13" s="54">
        <f t="shared" si="7"/>
        <v>11.07649573810358</v>
      </c>
      <c r="R13" s="54">
        <f t="shared" si="7"/>
        <v>12.162850496804088</v>
      </c>
      <c r="S13" s="54">
        <f t="shared" si="7"/>
        <v>13.238807014762385</v>
      </c>
      <c r="T13" s="54">
        <f t="shared" si="7"/>
        <v>15.037798740389006</v>
      </c>
      <c r="U13" s="54">
        <f t="shared" si="7"/>
        <v>15.179548639093417</v>
      </c>
      <c r="V13" s="54">
        <f t="shared" si="7"/>
        <v>3.8899296228564357</v>
      </c>
      <c r="W13" s="54">
        <f t="shared" ref="W13" si="8">SUM(W14,W18)</f>
        <v>5.2504250922525317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3.5187164263907675</v>
      </c>
      <c r="C14" s="11">
        <f t="shared" si="9"/>
        <v>3.9908069057530557</v>
      </c>
      <c r="D14" s="11">
        <f t="shared" ref="D14:V14" si="10">SUM(D15:D17)</f>
        <v>4.9060324235116015</v>
      </c>
      <c r="E14" s="11">
        <f t="shared" si="10"/>
        <v>6.8712299978444396</v>
      </c>
      <c r="F14" s="11">
        <f t="shared" si="10"/>
        <v>11.098069650018171</v>
      </c>
      <c r="G14" s="11">
        <f t="shared" si="10"/>
        <v>12.313479405417073</v>
      </c>
      <c r="H14" s="11">
        <f t="shared" si="10"/>
        <v>13.243638960324949</v>
      </c>
      <c r="I14" s="11">
        <f t="shared" si="10"/>
        <v>13.454210126228265</v>
      </c>
      <c r="J14" s="11">
        <f t="shared" si="10"/>
        <v>16.290246219045226</v>
      </c>
      <c r="K14" s="11">
        <f t="shared" si="10"/>
        <v>11.883106146679193</v>
      </c>
      <c r="L14" s="11">
        <f t="shared" si="10"/>
        <v>11.235867453738551</v>
      </c>
      <c r="M14" s="11">
        <f t="shared" si="10"/>
        <v>10.982331152655485</v>
      </c>
      <c r="N14" s="11">
        <f t="shared" si="10"/>
        <v>9.0575465988778721</v>
      </c>
      <c r="O14" s="11">
        <f t="shared" si="10"/>
        <v>8.7256719457926692</v>
      </c>
      <c r="P14" s="11">
        <f t="shared" si="10"/>
        <v>9.0583745506750297</v>
      </c>
      <c r="Q14" s="11">
        <f t="shared" si="10"/>
        <v>10.668456510214037</v>
      </c>
      <c r="R14" s="11">
        <f t="shared" si="10"/>
        <v>11.7948938166064</v>
      </c>
      <c r="S14" s="11">
        <f t="shared" si="10"/>
        <v>12.787244435577659</v>
      </c>
      <c r="T14" s="11">
        <f t="shared" si="10"/>
        <v>14.683266473697339</v>
      </c>
      <c r="U14" s="11">
        <f t="shared" si="10"/>
        <v>14.900319335399399</v>
      </c>
      <c r="V14" s="11">
        <f t="shared" si="10"/>
        <v>3.5699119694880301</v>
      </c>
      <c r="W14" s="11">
        <f t="shared" ref="W14" si="11">SUM(W15:W17)</f>
        <v>4.9036073621235579</v>
      </c>
      <c r="DA14" s="189" t="s">
        <v>198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DA15" s="171" t="s">
        <v>199</v>
      </c>
    </row>
    <row r="16" spans="1:105" ht="11.45" customHeight="1" x14ac:dyDescent="0.25">
      <c r="A16" s="83" t="s">
        <v>173</v>
      </c>
      <c r="B16" s="84">
        <v>2.2634582816867361</v>
      </c>
      <c r="C16" s="84">
        <v>2.5660283685166467</v>
      </c>
      <c r="D16" s="84">
        <v>2.7668465177458885</v>
      </c>
      <c r="E16" s="84">
        <v>4.0035100241717236</v>
      </c>
      <c r="F16" s="84">
        <v>6.761172941064852</v>
      </c>
      <c r="G16" s="84">
        <v>8.5269406094304525</v>
      </c>
      <c r="H16" s="84">
        <v>10.601350378672809</v>
      </c>
      <c r="I16" s="84">
        <v>10.093268219212208</v>
      </c>
      <c r="J16" s="84">
        <v>12.283456587391319</v>
      </c>
      <c r="K16" s="84">
        <v>8.8547414000284697</v>
      </c>
      <c r="L16" s="84">
        <v>8.3404117797726141</v>
      </c>
      <c r="M16" s="84">
        <v>8.0213434767627092</v>
      </c>
      <c r="N16" s="84">
        <v>6.2649843909189498</v>
      </c>
      <c r="O16" s="84">
        <v>6.1981396488736795</v>
      </c>
      <c r="P16" s="84">
        <v>6.8407233166415127</v>
      </c>
      <c r="Q16" s="84">
        <v>7.7314805147001735</v>
      </c>
      <c r="R16" s="84">
        <v>8.8207290447599629</v>
      </c>
      <c r="S16" s="84">
        <v>8.4631860438493156</v>
      </c>
      <c r="T16" s="84">
        <v>9.3767641392025656</v>
      </c>
      <c r="U16" s="84">
        <v>9.2362986362023634</v>
      </c>
      <c r="V16" s="84">
        <v>2.7362729076146102</v>
      </c>
      <c r="W16" s="84">
        <v>3.7751187943594626</v>
      </c>
      <c r="DA16" s="171" t="s">
        <v>200</v>
      </c>
    </row>
    <row r="17" spans="1:105" ht="11.45" customHeight="1" x14ac:dyDescent="0.25">
      <c r="A17" s="83" t="s">
        <v>174</v>
      </c>
      <c r="B17" s="84">
        <v>1.2552581447040316</v>
      </c>
      <c r="C17" s="84">
        <v>1.4247785372364088</v>
      </c>
      <c r="D17" s="84">
        <v>2.139185905765713</v>
      </c>
      <c r="E17" s="84">
        <v>2.8677199736727155</v>
      </c>
      <c r="F17" s="84">
        <v>4.3368967089533186</v>
      </c>
      <c r="G17" s="84">
        <v>3.7865387959866217</v>
      </c>
      <c r="H17" s="84">
        <v>2.6422885816521409</v>
      </c>
      <c r="I17" s="84">
        <v>3.3609419070160564</v>
      </c>
      <c r="J17" s="84">
        <v>4.0067896316539082</v>
      </c>
      <c r="K17" s="84">
        <v>3.0283647466507224</v>
      </c>
      <c r="L17" s="84">
        <v>2.8954556739659369</v>
      </c>
      <c r="M17" s="84">
        <v>2.9609876758927758</v>
      </c>
      <c r="N17" s="84">
        <v>2.7925622079589218</v>
      </c>
      <c r="O17" s="84">
        <v>2.5275322969189906</v>
      </c>
      <c r="P17" s="84">
        <v>2.2176512340335179</v>
      </c>
      <c r="Q17" s="84">
        <v>2.9369759955138641</v>
      </c>
      <c r="R17" s="84">
        <v>2.9741647718464379</v>
      </c>
      <c r="S17" s="84">
        <v>4.3240583917283439</v>
      </c>
      <c r="T17" s="84">
        <v>5.3065023344947733</v>
      </c>
      <c r="U17" s="84">
        <v>5.6640206991970352</v>
      </c>
      <c r="V17" s="84">
        <v>0.83363906187341996</v>
      </c>
      <c r="W17" s="84">
        <v>1.1284885677640955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0.1270736654102069</v>
      </c>
      <c r="C18" s="13">
        <f t="shared" si="12"/>
        <v>0.12447799732417858</v>
      </c>
      <c r="D18" s="13">
        <f t="shared" ref="D18:V18" si="13">SUM(D19:D21)</f>
        <v>6.8244263507811362E-2</v>
      </c>
      <c r="E18" s="13">
        <f t="shared" si="13"/>
        <v>0.17749400441449395</v>
      </c>
      <c r="F18" s="13">
        <f t="shared" si="13"/>
        <v>0.12778772523009257</v>
      </c>
      <c r="G18" s="13">
        <f t="shared" si="13"/>
        <v>9.6805461209577115E-2</v>
      </c>
      <c r="H18" s="13">
        <f t="shared" si="13"/>
        <v>0.1314524211368972</v>
      </c>
      <c r="I18" s="13">
        <f t="shared" si="13"/>
        <v>9.6340619928192914E-2</v>
      </c>
      <c r="J18" s="13">
        <f t="shared" si="13"/>
        <v>0.2255807426309285</v>
      </c>
      <c r="K18" s="13">
        <f t="shared" si="13"/>
        <v>0.33785188599920168</v>
      </c>
      <c r="L18" s="13">
        <f t="shared" si="13"/>
        <v>0.44901883037744433</v>
      </c>
      <c r="M18" s="13">
        <f t="shared" si="13"/>
        <v>0.55663460599072079</v>
      </c>
      <c r="N18" s="13">
        <f t="shared" si="13"/>
        <v>0.50650373652387559</v>
      </c>
      <c r="O18" s="13">
        <f t="shared" si="13"/>
        <v>0.47106536056654663</v>
      </c>
      <c r="P18" s="13">
        <f t="shared" si="13"/>
        <v>0.32299779972431231</v>
      </c>
      <c r="Q18" s="13">
        <f t="shared" si="13"/>
        <v>0.4080392278895425</v>
      </c>
      <c r="R18" s="13">
        <f t="shared" si="13"/>
        <v>0.36795668019768824</v>
      </c>
      <c r="S18" s="13">
        <f t="shared" si="13"/>
        <v>0.45156257918472542</v>
      </c>
      <c r="T18" s="13">
        <f t="shared" si="13"/>
        <v>0.35453226669166654</v>
      </c>
      <c r="U18" s="13">
        <f t="shared" si="13"/>
        <v>0.27922930369401766</v>
      </c>
      <c r="V18" s="13">
        <f t="shared" si="13"/>
        <v>0.32001765336840565</v>
      </c>
      <c r="W18" s="13">
        <f t="shared" ref="W18" si="14">SUM(W19:W21)</f>
        <v>0.34681773012897404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6.0931025704749314E-2</v>
      </c>
      <c r="C20" s="102">
        <v>5.8335357618720995E-2</v>
      </c>
      <c r="D20" s="102">
        <v>5.2278798751321597E-2</v>
      </c>
      <c r="E20" s="102">
        <v>4.2927944324080258E-2</v>
      </c>
      <c r="F20" s="102">
        <v>3.4275717370652548E-2</v>
      </c>
      <c r="G20" s="102">
        <v>2.3449744791666664E-2</v>
      </c>
      <c r="H20" s="102">
        <v>2.1750988524417252E-2</v>
      </c>
      <c r="I20" s="102">
        <v>2.0100463297890604E-2</v>
      </c>
      <c r="J20" s="102">
        <v>0.19246244372776627</v>
      </c>
      <c r="K20" s="102">
        <v>0.31729531775118158</v>
      </c>
      <c r="L20" s="102">
        <v>0.40130816371077765</v>
      </c>
      <c r="M20" s="102">
        <v>0.55241264820265223</v>
      </c>
      <c r="N20" s="102">
        <v>0.50254813652387564</v>
      </c>
      <c r="O20" s="102">
        <v>0.46425554059358209</v>
      </c>
      <c r="P20" s="102">
        <v>0.28438020441014755</v>
      </c>
      <c r="Q20" s="102">
        <v>0.37077617873864266</v>
      </c>
      <c r="R20" s="102">
        <v>0.33828594886317936</v>
      </c>
      <c r="S20" s="102">
        <v>0.43491154841214452</v>
      </c>
      <c r="T20" s="102">
        <v>0.33473946392350046</v>
      </c>
      <c r="U20" s="102">
        <v>0.27398210068649886</v>
      </c>
      <c r="V20" s="102">
        <v>0.31515971417805871</v>
      </c>
      <c r="W20" s="102">
        <v>0.34579907722638659</v>
      </c>
      <c r="DA20" s="175" t="s">
        <v>204</v>
      </c>
    </row>
    <row r="21" spans="1:105" ht="11.45" customHeight="1" x14ac:dyDescent="0.25">
      <c r="A21" s="85" t="s">
        <v>174</v>
      </c>
      <c r="B21" s="86">
        <v>6.6142639705457584E-2</v>
      </c>
      <c r="C21" s="86">
        <v>6.6142639705457584E-2</v>
      </c>
      <c r="D21" s="86">
        <v>1.5965464756489762E-2</v>
      </c>
      <c r="E21" s="86">
        <v>0.13456606009041369</v>
      </c>
      <c r="F21" s="86">
        <v>9.3512007859440027E-2</v>
      </c>
      <c r="G21" s="86">
        <v>7.3355716417910444E-2</v>
      </c>
      <c r="H21" s="86">
        <v>0.10970143261247996</v>
      </c>
      <c r="I21" s="86">
        <v>7.6240156630302314E-2</v>
      </c>
      <c r="J21" s="86">
        <v>3.3118298903162223E-2</v>
      </c>
      <c r="K21" s="86">
        <v>2.0556568248020109E-2</v>
      </c>
      <c r="L21" s="86">
        <v>4.7710666666666665E-2</v>
      </c>
      <c r="M21" s="86">
        <v>4.2219577880685272E-3</v>
      </c>
      <c r="N21" s="86">
        <v>3.9556000000000001E-3</v>
      </c>
      <c r="O21" s="86">
        <v>6.8098199729645301E-3</v>
      </c>
      <c r="P21" s="86">
        <v>3.8617595314164782E-2</v>
      </c>
      <c r="Q21" s="86">
        <v>3.7263049150899848E-2</v>
      </c>
      <c r="R21" s="86">
        <v>2.9670731334508878E-2</v>
      </c>
      <c r="S21" s="86">
        <v>1.6651030772580892E-2</v>
      </c>
      <c r="T21" s="86">
        <v>1.9792802768166088E-2</v>
      </c>
      <c r="U21" s="86">
        <v>5.247203007518797E-3</v>
      </c>
      <c r="V21" s="86">
        <v>4.8579391903469382E-3</v>
      </c>
      <c r="W21" s="86">
        <v>1.0186529025874537E-3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3719</v>
      </c>
      <c r="C23" s="54">
        <f t="shared" si="15"/>
        <v>4202</v>
      </c>
      <c r="D23" s="54">
        <f t="shared" ref="D23:V23" si="16">SUM(D24,D28)</f>
        <v>4728</v>
      </c>
      <c r="E23" s="54">
        <f t="shared" si="16"/>
        <v>6916</v>
      </c>
      <c r="F23" s="54">
        <f t="shared" si="16"/>
        <v>10854</v>
      </c>
      <c r="G23" s="54">
        <f t="shared" si="16"/>
        <v>12209</v>
      </c>
      <c r="H23" s="54">
        <f t="shared" si="16"/>
        <v>13075</v>
      </c>
      <c r="I23" s="54">
        <f t="shared" si="16"/>
        <v>12520</v>
      </c>
      <c r="J23" s="54">
        <f t="shared" si="16"/>
        <v>14520</v>
      </c>
      <c r="K23" s="54">
        <f t="shared" si="16"/>
        <v>11228</v>
      </c>
      <c r="L23" s="54">
        <f t="shared" si="16"/>
        <v>10600</v>
      </c>
      <c r="M23" s="54">
        <f t="shared" si="16"/>
        <v>9858</v>
      </c>
      <c r="N23" s="54">
        <f t="shared" si="16"/>
        <v>7995</v>
      </c>
      <c r="O23" s="54">
        <f t="shared" si="16"/>
        <v>7805</v>
      </c>
      <c r="P23" s="54">
        <f t="shared" si="16"/>
        <v>7972</v>
      </c>
      <c r="Q23" s="54">
        <f t="shared" si="16"/>
        <v>8920</v>
      </c>
      <c r="R23" s="54">
        <f t="shared" si="16"/>
        <v>10086</v>
      </c>
      <c r="S23" s="54">
        <f t="shared" si="16"/>
        <v>10819</v>
      </c>
      <c r="T23" s="54">
        <f t="shared" si="16"/>
        <v>11891</v>
      </c>
      <c r="U23" s="54">
        <f t="shared" si="16"/>
        <v>11716</v>
      </c>
      <c r="V23" s="54">
        <f t="shared" si="16"/>
        <v>3627</v>
      </c>
      <c r="W23" s="54">
        <f t="shared" ref="W23" si="17">SUM(W24,W28)</f>
        <v>4279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3622</v>
      </c>
      <c r="C24" s="11">
        <f t="shared" si="18"/>
        <v>4108</v>
      </c>
      <c r="D24" s="11">
        <f t="shared" ref="D24:V24" si="19">SUM(D25:D27)</f>
        <v>4663</v>
      </c>
      <c r="E24" s="11">
        <f t="shared" si="19"/>
        <v>6809</v>
      </c>
      <c r="F24" s="11">
        <f t="shared" si="19"/>
        <v>10775</v>
      </c>
      <c r="G24" s="11">
        <f t="shared" si="19"/>
        <v>12153</v>
      </c>
      <c r="H24" s="11">
        <f t="shared" si="19"/>
        <v>13010</v>
      </c>
      <c r="I24" s="11">
        <f t="shared" si="19"/>
        <v>12472</v>
      </c>
      <c r="J24" s="11">
        <f t="shared" si="19"/>
        <v>14283</v>
      </c>
      <c r="K24" s="11">
        <f t="shared" si="19"/>
        <v>10807</v>
      </c>
      <c r="L24" s="11">
        <f t="shared" si="19"/>
        <v>10051</v>
      </c>
      <c r="M24" s="11">
        <f t="shared" si="19"/>
        <v>9186</v>
      </c>
      <c r="N24" s="11">
        <f t="shared" si="19"/>
        <v>7342</v>
      </c>
      <c r="O24" s="11">
        <f t="shared" si="19"/>
        <v>7177</v>
      </c>
      <c r="P24" s="11">
        <f t="shared" si="19"/>
        <v>7547</v>
      </c>
      <c r="Q24" s="11">
        <f t="shared" si="19"/>
        <v>8387</v>
      </c>
      <c r="R24" s="11">
        <f t="shared" si="19"/>
        <v>9567</v>
      </c>
      <c r="S24" s="11">
        <f t="shared" si="19"/>
        <v>10132</v>
      </c>
      <c r="T24" s="11">
        <f t="shared" si="19"/>
        <v>11349</v>
      </c>
      <c r="U24" s="11">
        <f t="shared" si="19"/>
        <v>11281</v>
      </c>
      <c r="V24" s="11">
        <f t="shared" si="19"/>
        <v>3015</v>
      </c>
      <c r="W24" s="11">
        <f t="shared" ref="W24" si="20">SUM(W25:W27)</f>
        <v>3777</v>
      </c>
      <c r="DA24" s="189" t="s">
        <v>207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DA25" s="171" t="s">
        <v>208</v>
      </c>
    </row>
    <row r="26" spans="1:105" ht="11.45" customHeight="1" x14ac:dyDescent="0.25">
      <c r="A26" s="83" t="s">
        <v>173</v>
      </c>
      <c r="B26" s="84">
        <v>3000</v>
      </c>
      <c r="C26" s="84">
        <v>3402</v>
      </c>
      <c r="D26" s="84">
        <v>3603</v>
      </c>
      <c r="E26" s="84">
        <v>5388</v>
      </c>
      <c r="F26" s="84">
        <v>8626</v>
      </c>
      <c r="G26" s="84">
        <v>10353</v>
      </c>
      <c r="H26" s="84">
        <v>11864</v>
      </c>
      <c r="I26" s="84">
        <v>11177</v>
      </c>
      <c r="J26" s="84">
        <v>12568</v>
      </c>
      <c r="K26" s="84">
        <v>9358</v>
      </c>
      <c r="L26" s="84">
        <v>8740</v>
      </c>
      <c r="M26" s="84">
        <v>7700</v>
      </c>
      <c r="N26" s="84">
        <v>5886</v>
      </c>
      <c r="O26" s="84">
        <v>5781</v>
      </c>
      <c r="P26" s="84">
        <v>6329</v>
      </c>
      <c r="Q26" s="84">
        <v>6916</v>
      </c>
      <c r="R26" s="84">
        <v>8050</v>
      </c>
      <c r="S26" s="84">
        <v>7844</v>
      </c>
      <c r="T26" s="84">
        <v>8610</v>
      </c>
      <c r="U26" s="84">
        <v>8213</v>
      </c>
      <c r="V26" s="84">
        <v>2586</v>
      </c>
      <c r="W26" s="84">
        <v>3210</v>
      </c>
      <c r="DA26" s="171" t="s">
        <v>209</v>
      </c>
    </row>
    <row r="27" spans="1:105" ht="11.45" customHeight="1" x14ac:dyDescent="0.25">
      <c r="A27" s="83" t="s">
        <v>174</v>
      </c>
      <c r="B27" s="84">
        <v>622</v>
      </c>
      <c r="C27" s="84">
        <v>706</v>
      </c>
      <c r="D27" s="84">
        <v>1060</v>
      </c>
      <c r="E27" s="84">
        <v>1421</v>
      </c>
      <c r="F27" s="84">
        <v>2149</v>
      </c>
      <c r="G27" s="84">
        <v>1800</v>
      </c>
      <c r="H27" s="84">
        <v>1146</v>
      </c>
      <c r="I27" s="84">
        <v>1295</v>
      </c>
      <c r="J27" s="84">
        <v>1715</v>
      </c>
      <c r="K27" s="84">
        <v>1449</v>
      </c>
      <c r="L27" s="84">
        <v>1311</v>
      </c>
      <c r="M27" s="84">
        <v>1486</v>
      </c>
      <c r="N27" s="84">
        <v>1456</v>
      </c>
      <c r="O27" s="84">
        <v>1396</v>
      </c>
      <c r="P27" s="84">
        <v>1218</v>
      </c>
      <c r="Q27" s="84">
        <v>1471</v>
      </c>
      <c r="R27" s="84">
        <v>1517</v>
      </c>
      <c r="S27" s="84">
        <v>2288</v>
      </c>
      <c r="T27" s="84">
        <v>2739</v>
      </c>
      <c r="U27" s="84">
        <v>3068</v>
      </c>
      <c r="V27" s="84">
        <v>429</v>
      </c>
      <c r="W27" s="84">
        <v>567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97</v>
      </c>
      <c r="C28" s="13">
        <f t="shared" si="21"/>
        <v>94</v>
      </c>
      <c r="D28" s="13">
        <f t="shared" ref="D28:V28" si="22">SUM(D29:D31)</f>
        <v>65</v>
      </c>
      <c r="E28" s="13">
        <f t="shared" si="22"/>
        <v>107</v>
      </c>
      <c r="F28" s="13">
        <f t="shared" si="22"/>
        <v>79</v>
      </c>
      <c r="G28" s="13">
        <f t="shared" si="22"/>
        <v>56</v>
      </c>
      <c r="H28" s="13">
        <f t="shared" si="22"/>
        <v>65</v>
      </c>
      <c r="I28" s="13">
        <f t="shared" si="22"/>
        <v>48</v>
      </c>
      <c r="J28" s="13">
        <f t="shared" si="22"/>
        <v>237</v>
      </c>
      <c r="K28" s="13">
        <f t="shared" si="22"/>
        <v>421</v>
      </c>
      <c r="L28" s="13">
        <f t="shared" si="22"/>
        <v>549</v>
      </c>
      <c r="M28" s="13">
        <f t="shared" si="22"/>
        <v>672</v>
      </c>
      <c r="N28" s="13">
        <f t="shared" si="22"/>
        <v>653</v>
      </c>
      <c r="O28" s="13">
        <f t="shared" si="22"/>
        <v>628</v>
      </c>
      <c r="P28" s="13">
        <f t="shared" si="22"/>
        <v>425</v>
      </c>
      <c r="Q28" s="13">
        <f t="shared" si="22"/>
        <v>533</v>
      </c>
      <c r="R28" s="13">
        <f t="shared" si="22"/>
        <v>519</v>
      </c>
      <c r="S28" s="13">
        <f t="shared" si="22"/>
        <v>687</v>
      </c>
      <c r="T28" s="13">
        <f t="shared" si="22"/>
        <v>542</v>
      </c>
      <c r="U28" s="13">
        <f t="shared" si="22"/>
        <v>435</v>
      </c>
      <c r="V28" s="13">
        <f t="shared" si="22"/>
        <v>612</v>
      </c>
      <c r="W28" s="13">
        <f t="shared" ref="W28" si="23">SUM(W29:W31)</f>
        <v>502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68</v>
      </c>
      <c r="C30" s="102">
        <v>65</v>
      </c>
      <c r="D30" s="102">
        <v>58</v>
      </c>
      <c r="E30" s="102">
        <v>48</v>
      </c>
      <c r="F30" s="102">
        <v>38</v>
      </c>
      <c r="G30" s="102">
        <v>25</v>
      </c>
      <c r="H30" s="102">
        <v>22</v>
      </c>
      <c r="I30" s="102">
        <v>21</v>
      </c>
      <c r="J30" s="102">
        <v>224</v>
      </c>
      <c r="K30" s="102">
        <v>412</v>
      </c>
      <c r="L30" s="102">
        <v>529</v>
      </c>
      <c r="M30" s="102">
        <v>670</v>
      </c>
      <c r="N30" s="102">
        <v>651</v>
      </c>
      <c r="O30" s="102">
        <v>624</v>
      </c>
      <c r="P30" s="102">
        <v>400</v>
      </c>
      <c r="Q30" s="102">
        <v>509</v>
      </c>
      <c r="R30" s="102">
        <v>497</v>
      </c>
      <c r="S30" s="102">
        <v>672</v>
      </c>
      <c r="T30" s="102">
        <v>522</v>
      </c>
      <c r="U30" s="102">
        <v>429</v>
      </c>
      <c r="V30" s="102">
        <v>607</v>
      </c>
      <c r="W30" s="102">
        <v>501</v>
      </c>
      <c r="DA30" s="175" t="s">
        <v>213</v>
      </c>
    </row>
    <row r="31" spans="1:105" ht="11.45" customHeight="1" x14ac:dyDescent="0.25">
      <c r="A31" s="85" t="s">
        <v>174</v>
      </c>
      <c r="B31" s="86">
        <v>29</v>
      </c>
      <c r="C31" s="86">
        <v>29</v>
      </c>
      <c r="D31" s="86">
        <v>7</v>
      </c>
      <c r="E31" s="86">
        <v>59</v>
      </c>
      <c r="F31" s="86">
        <v>41</v>
      </c>
      <c r="G31" s="86">
        <v>31</v>
      </c>
      <c r="H31" s="86">
        <v>43</v>
      </c>
      <c r="I31" s="86">
        <v>27</v>
      </c>
      <c r="J31" s="86">
        <v>13</v>
      </c>
      <c r="K31" s="86">
        <v>9</v>
      </c>
      <c r="L31" s="86">
        <v>20</v>
      </c>
      <c r="M31" s="86">
        <v>2</v>
      </c>
      <c r="N31" s="86">
        <v>2</v>
      </c>
      <c r="O31" s="86">
        <v>4</v>
      </c>
      <c r="P31" s="86">
        <v>25</v>
      </c>
      <c r="Q31" s="86">
        <v>24</v>
      </c>
      <c r="R31" s="86">
        <v>22</v>
      </c>
      <c r="S31" s="86">
        <v>15</v>
      </c>
      <c r="T31" s="86">
        <v>20</v>
      </c>
      <c r="U31" s="86">
        <v>6</v>
      </c>
      <c r="V31" s="86">
        <v>5</v>
      </c>
      <c r="W31" s="86">
        <v>1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258925</v>
      </c>
      <c r="C34" s="11">
        <f t="shared" si="24"/>
        <v>296074</v>
      </c>
      <c r="D34" s="11">
        <f t="shared" ref="D34:V34" si="25">SUM(D35:D37)</f>
        <v>352292</v>
      </c>
      <c r="E34" s="11">
        <f t="shared" si="25"/>
        <v>505314</v>
      </c>
      <c r="F34" s="11">
        <f t="shared" si="25"/>
        <v>834939</v>
      </c>
      <c r="G34" s="11">
        <f t="shared" si="25"/>
        <v>956213</v>
      </c>
      <c r="H34" s="11">
        <f t="shared" si="25"/>
        <v>1039094</v>
      </c>
      <c r="I34" s="11">
        <f t="shared" si="25"/>
        <v>1059867</v>
      </c>
      <c r="J34" s="11">
        <f t="shared" si="25"/>
        <v>1209104</v>
      </c>
      <c r="K34" s="11">
        <f t="shared" si="25"/>
        <v>923873</v>
      </c>
      <c r="L34" s="11">
        <f t="shared" si="25"/>
        <v>931843</v>
      </c>
      <c r="M34" s="11">
        <f t="shared" si="25"/>
        <v>897802</v>
      </c>
      <c r="N34" s="11">
        <f t="shared" si="25"/>
        <v>775289</v>
      </c>
      <c r="O34" s="11">
        <f t="shared" si="25"/>
        <v>777734</v>
      </c>
      <c r="P34" s="11">
        <f t="shared" si="25"/>
        <v>838219</v>
      </c>
      <c r="Q34" s="11">
        <f t="shared" si="25"/>
        <v>972870</v>
      </c>
      <c r="R34" s="11">
        <f t="shared" si="25"/>
        <v>1083521</v>
      </c>
      <c r="S34" s="11">
        <f t="shared" si="25"/>
        <v>1206837</v>
      </c>
      <c r="T34" s="11">
        <f t="shared" si="25"/>
        <v>1402040</v>
      </c>
      <c r="U34" s="11">
        <f t="shared" si="25"/>
        <v>1423748</v>
      </c>
      <c r="V34" s="11">
        <f t="shared" si="25"/>
        <v>253202</v>
      </c>
      <c r="W34" s="11">
        <f t="shared" ref="W34" si="26">SUM(W35:W37)</f>
        <v>326357</v>
      </c>
      <c r="DA34" s="189" t="s">
        <v>215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DA35" s="171" t="s">
        <v>216</v>
      </c>
    </row>
    <row r="36" spans="1:105" ht="11.45" customHeight="1" x14ac:dyDescent="0.25">
      <c r="A36" s="83" t="s">
        <v>173</v>
      </c>
      <c r="B36" s="84">
        <v>197000</v>
      </c>
      <c r="C36" s="84">
        <v>224959</v>
      </c>
      <c r="D36" s="84">
        <v>244900</v>
      </c>
      <c r="E36" s="84">
        <v>360858</v>
      </c>
      <c r="F36" s="84">
        <v>615621</v>
      </c>
      <c r="G36" s="84">
        <v>770633</v>
      </c>
      <c r="H36" s="84">
        <v>920221</v>
      </c>
      <c r="I36" s="84">
        <v>908450</v>
      </c>
      <c r="J36" s="84">
        <v>1026086</v>
      </c>
      <c r="K36" s="84">
        <v>763633</v>
      </c>
      <c r="L36" s="84">
        <v>764982</v>
      </c>
      <c r="M36" s="84">
        <v>728815</v>
      </c>
      <c r="N36" s="84">
        <v>616856</v>
      </c>
      <c r="O36" s="84">
        <v>623688</v>
      </c>
      <c r="P36" s="84">
        <v>684286</v>
      </c>
      <c r="Q36" s="84">
        <v>800565</v>
      </c>
      <c r="R36" s="84">
        <v>925066</v>
      </c>
      <c r="S36" s="84">
        <v>912188</v>
      </c>
      <c r="T36" s="84">
        <v>1016517</v>
      </c>
      <c r="U36" s="84">
        <v>978905</v>
      </c>
      <c r="V36" s="84">
        <v>202777</v>
      </c>
      <c r="W36" s="84">
        <v>267623</v>
      </c>
      <c r="DA36" s="171" t="s">
        <v>217</v>
      </c>
    </row>
    <row r="37" spans="1:105" ht="11.45" customHeight="1" x14ac:dyDescent="0.25">
      <c r="A37" s="83" t="s">
        <v>174</v>
      </c>
      <c r="B37" s="84">
        <v>61925</v>
      </c>
      <c r="C37" s="84">
        <v>71115</v>
      </c>
      <c r="D37" s="84">
        <v>107392</v>
      </c>
      <c r="E37" s="84">
        <v>144456</v>
      </c>
      <c r="F37" s="84">
        <v>219318</v>
      </c>
      <c r="G37" s="84">
        <v>185580</v>
      </c>
      <c r="H37" s="84">
        <v>118873</v>
      </c>
      <c r="I37" s="84">
        <v>151417</v>
      </c>
      <c r="J37" s="84">
        <v>183018</v>
      </c>
      <c r="K37" s="84">
        <v>160240</v>
      </c>
      <c r="L37" s="84">
        <v>166861</v>
      </c>
      <c r="M37" s="84">
        <v>168987</v>
      </c>
      <c r="N37" s="84">
        <v>158433</v>
      </c>
      <c r="O37" s="84">
        <v>154046</v>
      </c>
      <c r="P37" s="84">
        <v>153933</v>
      </c>
      <c r="Q37" s="84">
        <v>172305</v>
      </c>
      <c r="R37" s="84">
        <v>158455</v>
      </c>
      <c r="S37" s="84">
        <v>294649</v>
      </c>
      <c r="T37" s="84">
        <v>385523</v>
      </c>
      <c r="U37" s="84">
        <v>444843</v>
      </c>
      <c r="V37" s="84">
        <v>50425</v>
      </c>
      <c r="W37" s="84">
        <v>58734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2604.917722502405</v>
      </c>
      <c r="C38" s="13">
        <f t="shared" si="27"/>
        <v>2617.6563156104839</v>
      </c>
      <c r="D38" s="13">
        <f t="shared" ref="D38:V38" si="28">SUM(D39:D41)</f>
        <v>1315.3773200678152</v>
      </c>
      <c r="E38" s="13">
        <f t="shared" si="28"/>
        <v>3698.5793143205819</v>
      </c>
      <c r="F38" s="13">
        <f t="shared" si="28"/>
        <v>2579.5417044528372</v>
      </c>
      <c r="G38" s="13">
        <f t="shared" si="28"/>
        <v>1750.220177159275</v>
      </c>
      <c r="H38" s="13">
        <f t="shared" si="28"/>
        <v>2249.7207151724133</v>
      </c>
      <c r="I38" s="13">
        <f t="shared" si="28"/>
        <v>1508.9177339540411</v>
      </c>
      <c r="J38" s="13">
        <f t="shared" si="28"/>
        <v>3642.9517841963739</v>
      </c>
      <c r="K38" s="13">
        <f t="shared" si="28"/>
        <v>6063.3142788097903</v>
      </c>
      <c r="L38" s="13">
        <f t="shared" si="28"/>
        <v>8679.214010976033</v>
      </c>
      <c r="M38" s="13">
        <f t="shared" si="28"/>
        <v>10488.232325146289</v>
      </c>
      <c r="N38" s="13">
        <f t="shared" si="28"/>
        <v>10834.140159033652</v>
      </c>
      <c r="O38" s="13">
        <f t="shared" si="28"/>
        <v>10559.619779777098</v>
      </c>
      <c r="P38" s="13">
        <f t="shared" si="28"/>
        <v>8932.3491070549608</v>
      </c>
      <c r="Q38" s="13">
        <f t="shared" si="28"/>
        <v>10833.94307415201</v>
      </c>
      <c r="R38" s="13">
        <f t="shared" si="28"/>
        <v>11831.304447046346</v>
      </c>
      <c r="S38" s="13">
        <f t="shared" si="28"/>
        <v>13947.224746920177</v>
      </c>
      <c r="T38" s="13">
        <f t="shared" si="28"/>
        <v>11386.093003637285</v>
      </c>
      <c r="U38" s="13">
        <f t="shared" si="28"/>
        <v>8811.8361191291442</v>
      </c>
      <c r="V38" s="13">
        <f t="shared" si="28"/>
        <v>10885.291573581157</v>
      </c>
      <c r="W38" s="13">
        <f t="shared" ref="W38" si="29">SUM(W39:W41)</f>
        <v>8896.0758759796554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1093.17313110343</v>
      </c>
      <c r="C40" s="102">
        <v>1056.3305968147101</v>
      </c>
      <c r="D40" s="102">
        <v>945.16188923078948</v>
      </c>
      <c r="E40" s="102">
        <v>824.04025298401189</v>
      </c>
      <c r="F40" s="102">
        <v>609.10517188541166</v>
      </c>
      <c r="G40" s="102">
        <v>379.52554935247991</v>
      </c>
      <c r="H40" s="102">
        <v>307.67601794390328</v>
      </c>
      <c r="I40" s="102">
        <v>288.86833785686247</v>
      </c>
      <c r="J40" s="102">
        <v>3059.0839886188114</v>
      </c>
      <c r="K40" s="102">
        <v>5614.2252415882604</v>
      </c>
      <c r="L40" s="102">
        <v>7628.5962492431818</v>
      </c>
      <c r="M40" s="102">
        <v>10378.101369932798</v>
      </c>
      <c r="N40" s="102">
        <v>10716.646197452352</v>
      </c>
      <c r="O40" s="102">
        <v>10322.234941055922</v>
      </c>
      <c r="P40" s="102">
        <v>7279.1012040089527</v>
      </c>
      <c r="Q40" s="102">
        <v>9251.4647733767197</v>
      </c>
      <c r="R40" s="102">
        <v>10225.035435913993</v>
      </c>
      <c r="S40" s="102">
        <v>12854.079220454789</v>
      </c>
      <c r="T40" s="102">
        <v>9923.7547587559948</v>
      </c>
      <c r="U40" s="102">
        <v>8362.342927201169</v>
      </c>
      <c r="V40" s="102">
        <v>10634.132799384943</v>
      </c>
      <c r="W40" s="102">
        <v>8842.8147099564521</v>
      </c>
      <c r="DA40" s="175" t="s">
        <v>221</v>
      </c>
    </row>
    <row r="41" spans="1:105" ht="11.45" customHeight="1" x14ac:dyDescent="0.25">
      <c r="A41" s="85" t="s">
        <v>174</v>
      </c>
      <c r="B41" s="86">
        <v>1511.7445913989748</v>
      </c>
      <c r="C41" s="86">
        <v>1561.3257187957738</v>
      </c>
      <c r="D41" s="86">
        <v>370.21543083702568</v>
      </c>
      <c r="E41" s="86">
        <v>2874.5390613365698</v>
      </c>
      <c r="F41" s="86">
        <v>1970.4365325674255</v>
      </c>
      <c r="G41" s="86">
        <v>1370.6946278067951</v>
      </c>
      <c r="H41" s="86">
        <v>1942.0446972285101</v>
      </c>
      <c r="I41" s="86">
        <v>1220.0493960971787</v>
      </c>
      <c r="J41" s="86">
        <v>583.86779557756256</v>
      </c>
      <c r="K41" s="86">
        <v>449.08903722153025</v>
      </c>
      <c r="L41" s="86">
        <v>1050.6177617328522</v>
      </c>
      <c r="M41" s="86">
        <v>110.13095521349217</v>
      </c>
      <c r="N41" s="86">
        <v>117.49396158130074</v>
      </c>
      <c r="O41" s="86">
        <v>237.38483872117641</v>
      </c>
      <c r="P41" s="86">
        <v>1653.2479030460074</v>
      </c>
      <c r="Q41" s="86">
        <v>1582.4783007752899</v>
      </c>
      <c r="R41" s="86">
        <v>1606.2690111323532</v>
      </c>
      <c r="S41" s="86">
        <v>1093.1455264653885</v>
      </c>
      <c r="T41" s="86">
        <v>1462.3382448812893</v>
      </c>
      <c r="U41" s="86">
        <v>449.49319192797486</v>
      </c>
      <c r="V41" s="86">
        <v>251.15877419621307</v>
      </c>
      <c r="W41" s="86">
        <v>53.261166023203302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2.8572552392300139</v>
      </c>
      <c r="C43" s="54">
        <f t="shared" si="30"/>
        <v>3.2236234903398042</v>
      </c>
      <c r="D43" s="54">
        <f t="shared" ref="D43:V43" si="31">SUM(D44,D48)</f>
        <v>3.8409071357438482</v>
      </c>
      <c r="E43" s="54">
        <f t="shared" si="31"/>
        <v>5.5180238811246962</v>
      </c>
      <c r="F43" s="54">
        <f t="shared" si="31"/>
        <v>8.6102868482643267</v>
      </c>
      <c r="G43" s="54">
        <f t="shared" si="31"/>
        <v>9.7482751945120718</v>
      </c>
      <c r="H43" s="54">
        <f t="shared" si="31"/>
        <v>10.906416013079646</v>
      </c>
      <c r="I43" s="54">
        <f t="shared" si="31"/>
        <v>10.707133267680423</v>
      </c>
      <c r="J43" s="54">
        <f t="shared" si="31"/>
        <v>11.702136009764496</v>
      </c>
      <c r="K43" s="54">
        <f t="shared" si="31"/>
        <v>11.576215089448095</v>
      </c>
      <c r="L43" s="54">
        <f t="shared" si="31"/>
        <v>11.395251924073028</v>
      </c>
      <c r="M43" s="54">
        <f t="shared" si="31"/>
        <v>11.252185635605558</v>
      </c>
      <c r="N43" s="54">
        <f t="shared" si="31"/>
        <v>11.010699603565389</v>
      </c>
      <c r="O43" s="54">
        <f t="shared" si="31"/>
        <v>10.765455684105415</v>
      </c>
      <c r="P43" s="54">
        <f t="shared" si="31"/>
        <v>10.491510425682698</v>
      </c>
      <c r="Q43" s="54">
        <f t="shared" si="31"/>
        <v>10.205784901759696</v>
      </c>
      <c r="R43" s="54">
        <f t="shared" si="31"/>
        <v>10.037559538506553</v>
      </c>
      <c r="S43" s="54">
        <f t="shared" si="31"/>
        <v>10.7954457210397</v>
      </c>
      <c r="T43" s="54">
        <f t="shared" si="31"/>
        <v>11.306214815860047</v>
      </c>
      <c r="U43" s="54">
        <f t="shared" si="31"/>
        <v>11.412584185795172</v>
      </c>
      <c r="V43" s="54">
        <f t="shared" si="31"/>
        <v>11.224784454377868</v>
      </c>
      <c r="W43" s="54">
        <f t="shared" ref="W43" si="32">SUM(W44,W48)</f>
        <v>11.038273800994821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2.7490456304485842</v>
      </c>
      <c r="C44" s="11">
        <f t="shared" si="33"/>
        <v>3.1180781799597952</v>
      </c>
      <c r="D44" s="11">
        <f t="shared" ref="D44:V44" si="34">SUM(D45:D47)</f>
        <v>3.7458422641080436</v>
      </c>
      <c r="E44" s="11">
        <f t="shared" si="34"/>
        <v>5.3756630872501514</v>
      </c>
      <c r="F44" s="11">
        <f t="shared" si="34"/>
        <v>8.4787470152679241</v>
      </c>
      <c r="G44" s="11">
        <f t="shared" si="34"/>
        <v>9.6275563223938132</v>
      </c>
      <c r="H44" s="11">
        <f t="shared" si="34"/>
        <v>10.795190448126309</v>
      </c>
      <c r="I44" s="11">
        <f t="shared" si="34"/>
        <v>10.606345958704868</v>
      </c>
      <c r="J44" s="11">
        <f t="shared" si="34"/>
        <v>11.431345947147886</v>
      </c>
      <c r="K44" s="11">
        <f t="shared" si="34"/>
        <v>11.156441384103029</v>
      </c>
      <c r="L44" s="11">
        <f t="shared" si="34"/>
        <v>10.88153682105817</v>
      </c>
      <c r="M44" s="11">
        <f t="shared" si="34"/>
        <v>10.60663225801331</v>
      </c>
      <c r="N44" s="11">
        <f t="shared" si="34"/>
        <v>10.375967186851284</v>
      </c>
      <c r="O44" s="11">
        <f t="shared" si="34"/>
        <v>10.141544228269453</v>
      </c>
      <c r="P44" s="11">
        <f t="shared" si="34"/>
        <v>9.8780541670835813</v>
      </c>
      <c r="Q44" s="11">
        <f t="shared" si="34"/>
        <v>9.6031496040387232</v>
      </c>
      <c r="R44" s="11">
        <f t="shared" si="34"/>
        <v>9.4457452016637227</v>
      </c>
      <c r="S44" s="11">
        <f t="shared" si="34"/>
        <v>10.214452345075014</v>
      </c>
      <c r="T44" s="11">
        <f t="shared" si="34"/>
        <v>10.73581022150414</v>
      </c>
      <c r="U44" s="11">
        <f t="shared" si="34"/>
        <v>10.852465674704561</v>
      </c>
      <c r="V44" s="11">
        <f t="shared" si="34"/>
        <v>10.66919596600799</v>
      </c>
      <c r="W44" s="11">
        <f t="shared" ref="W44" si="35">SUM(W45:W47)</f>
        <v>10.485926257311418</v>
      </c>
      <c r="DA44" s="189" t="s">
        <v>224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DA45" s="171" t="s">
        <v>225</v>
      </c>
    </row>
    <row r="46" spans="1:105" ht="11.45" customHeight="1" x14ac:dyDescent="0.25">
      <c r="A46" s="83" t="s">
        <v>173</v>
      </c>
      <c r="B46" s="84">
        <v>1.8981564375621272</v>
      </c>
      <c r="C46" s="84">
        <v>2.1522779063619839</v>
      </c>
      <c r="D46" s="84">
        <v>2.2957738646552395</v>
      </c>
      <c r="E46" s="84">
        <v>3.4317506385497412</v>
      </c>
      <c r="F46" s="84">
        <v>5.5389385337357755</v>
      </c>
      <c r="G46" s="84">
        <v>6.7728367601503114</v>
      </c>
      <c r="H46" s="84">
        <v>8.0255598051714543</v>
      </c>
      <c r="I46" s="84">
        <v>7.9218042350386568</v>
      </c>
      <c r="J46" s="84">
        <v>8.8318931427703227</v>
      </c>
      <c r="K46" s="84">
        <v>8.6420774990141105</v>
      </c>
      <c r="L46" s="84">
        <v>8.4522618552578983</v>
      </c>
      <c r="M46" s="84">
        <v>8.2624462115016843</v>
      </c>
      <c r="N46" s="84">
        <v>8.1168700596283028</v>
      </c>
      <c r="O46" s="84">
        <v>7.9675360203351193</v>
      </c>
      <c r="P46" s="84">
        <v>7.7891348784378929</v>
      </c>
      <c r="Q46" s="84">
        <v>7.5993192346816798</v>
      </c>
      <c r="R46" s="84">
        <v>7.4095035909254667</v>
      </c>
      <c r="S46" s="84">
        <v>7.2196879471692545</v>
      </c>
      <c r="T46" s="84">
        <v>7.0886730710380945</v>
      </c>
      <c r="U46" s="84">
        <v>6.8988574272818814</v>
      </c>
      <c r="V46" s="84">
        <v>6.77231366477774</v>
      </c>
      <c r="W46" s="84">
        <v>6.6457699022735977</v>
      </c>
      <c r="DA46" s="171" t="s">
        <v>226</v>
      </c>
    </row>
    <row r="47" spans="1:105" ht="11.45" customHeight="1" x14ac:dyDescent="0.25">
      <c r="A47" s="83" t="s">
        <v>174</v>
      </c>
      <c r="B47" s="84">
        <v>0.85088919288645692</v>
      </c>
      <c r="C47" s="84">
        <v>0.96580027359781118</v>
      </c>
      <c r="D47" s="84">
        <v>1.4500683994528043</v>
      </c>
      <c r="E47" s="84">
        <v>1.9439124487004105</v>
      </c>
      <c r="F47" s="84">
        <v>2.9398084815321477</v>
      </c>
      <c r="G47" s="84">
        <v>2.8547195622435018</v>
      </c>
      <c r="H47" s="84">
        <v>2.7696306429548558</v>
      </c>
      <c r="I47" s="84">
        <v>2.6845417236662099</v>
      </c>
      <c r="J47" s="84">
        <v>2.599452804377564</v>
      </c>
      <c r="K47" s="84">
        <v>2.5143638850889181</v>
      </c>
      <c r="L47" s="84">
        <v>2.4292749658002721</v>
      </c>
      <c r="M47" s="84">
        <v>2.3441860465116262</v>
      </c>
      <c r="N47" s="84">
        <v>2.2590971272229803</v>
      </c>
      <c r="O47" s="84">
        <v>2.1740082079343344</v>
      </c>
      <c r="P47" s="84">
        <v>2.0889192886456884</v>
      </c>
      <c r="Q47" s="84">
        <v>2.0038303693570425</v>
      </c>
      <c r="R47" s="84">
        <v>2.036241610738255</v>
      </c>
      <c r="S47" s="84">
        <v>2.994764397905759</v>
      </c>
      <c r="T47" s="84">
        <v>3.6471371504660453</v>
      </c>
      <c r="U47" s="84">
        <v>3.9536082474226806</v>
      </c>
      <c r="V47" s="84">
        <v>3.8968823012302503</v>
      </c>
      <c r="W47" s="84">
        <v>3.8401563550378199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0.10820960878142992</v>
      </c>
      <c r="C48" s="13">
        <f t="shared" si="36"/>
        <v>0.10554531038000897</v>
      </c>
      <c r="D48" s="13">
        <f t="shared" ref="D48:V48" si="37">SUM(D49:D51)</f>
        <v>9.5064871635804682E-2</v>
      </c>
      <c r="E48" s="13">
        <f t="shared" si="37"/>
        <v>0.14236079387454481</v>
      </c>
      <c r="F48" s="13">
        <f t="shared" si="37"/>
        <v>0.13153983299640182</v>
      </c>
      <c r="G48" s="13">
        <f t="shared" si="37"/>
        <v>0.12071887211825882</v>
      </c>
      <c r="H48" s="13">
        <f t="shared" si="37"/>
        <v>0.11122556495333753</v>
      </c>
      <c r="I48" s="13">
        <f t="shared" si="37"/>
        <v>0.10078730897555577</v>
      </c>
      <c r="J48" s="13">
        <f t="shared" si="37"/>
        <v>0.27079006261661076</v>
      </c>
      <c r="K48" s="13">
        <f t="shared" si="37"/>
        <v>0.41977370534506597</v>
      </c>
      <c r="L48" s="13">
        <f t="shared" si="37"/>
        <v>0.51371510301485812</v>
      </c>
      <c r="M48" s="13">
        <f t="shared" si="37"/>
        <v>0.64555337759224851</v>
      </c>
      <c r="N48" s="13">
        <f t="shared" si="37"/>
        <v>0.63473241671410552</v>
      </c>
      <c r="O48" s="13">
        <f t="shared" si="37"/>
        <v>0.62391145583596253</v>
      </c>
      <c r="P48" s="13">
        <f t="shared" si="37"/>
        <v>0.61345625859911601</v>
      </c>
      <c r="Q48" s="13">
        <f t="shared" si="37"/>
        <v>0.60263529772097302</v>
      </c>
      <c r="R48" s="13">
        <f t="shared" si="37"/>
        <v>0.59181433684283002</v>
      </c>
      <c r="S48" s="13">
        <f t="shared" si="37"/>
        <v>0.58099337596468703</v>
      </c>
      <c r="T48" s="13">
        <f t="shared" si="37"/>
        <v>0.57040459435590662</v>
      </c>
      <c r="U48" s="13">
        <f t="shared" si="37"/>
        <v>0.56011851109061073</v>
      </c>
      <c r="V48" s="13">
        <f t="shared" si="37"/>
        <v>0.5555884883698774</v>
      </c>
      <c r="W48" s="13">
        <f t="shared" ref="W48" si="38">SUM(W49:W51)</f>
        <v>0.55234754368340311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6.113168670350784E-2</v>
      </c>
      <c r="C50" s="102">
        <v>5.8467388302086885E-2</v>
      </c>
      <c r="D50" s="102">
        <v>5.2694741765674805E-2</v>
      </c>
      <c r="E50" s="102">
        <v>4.6581573095324021E-2</v>
      </c>
      <c r="F50" s="102">
        <v>4.046840442497323E-2</v>
      </c>
      <c r="G50" s="102">
        <v>3.4355235754622446E-2</v>
      </c>
      <c r="H50" s="102">
        <v>2.9569720797493357E-2</v>
      </c>
      <c r="I50" s="102">
        <v>2.3839257027503797E-2</v>
      </c>
      <c r="J50" s="102">
        <v>0.19854980287635102</v>
      </c>
      <c r="K50" s="102">
        <v>0.35224123781259842</v>
      </c>
      <c r="L50" s="102">
        <v>0.45089042769018273</v>
      </c>
      <c r="M50" s="102">
        <v>0.58743649447536539</v>
      </c>
      <c r="N50" s="102">
        <v>0.58132332580501456</v>
      </c>
      <c r="O50" s="102">
        <v>0.57521015713466384</v>
      </c>
      <c r="P50" s="102">
        <v>0.56946275210560948</v>
      </c>
      <c r="Q50" s="102">
        <v>0.56334958343525865</v>
      </c>
      <c r="R50" s="102">
        <v>0.55723641476490793</v>
      </c>
      <c r="S50" s="102">
        <v>0.5511232460945571</v>
      </c>
      <c r="T50" s="102">
        <v>0.54524225669356896</v>
      </c>
      <c r="U50" s="102">
        <v>0.53966396563606522</v>
      </c>
      <c r="V50" s="102">
        <v>0.53827247105386</v>
      </c>
      <c r="W50" s="102">
        <v>0.53817005450591393</v>
      </c>
      <c r="DA50" s="175" t="s">
        <v>230</v>
      </c>
    </row>
    <row r="51" spans="1:105" ht="11.45" customHeight="1" x14ac:dyDescent="0.25">
      <c r="A51" s="85" t="s">
        <v>174</v>
      </c>
      <c r="B51" s="86">
        <v>4.707792207792208E-2</v>
      </c>
      <c r="C51" s="86">
        <v>4.707792207792208E-2</v>
      </c>
      <c r="D51" s="86">
        <v>4.237012987012987E-2</v>
      </c>
      <c r="E51" s="86">
        <v>9.5779220779220783E-2</v>
      </c>
      <c r="F51" s="86">
        <v>9.1071428571428581E-2</v>
      </c>
      <c r="G51" s="86">
        <v>8.6363636363636379E-2</v>
      </c>
      <c r="H51" s="86">
        <v>8.1655844155844176E-2</v>
      </c>
      <c r="I51" s="86">
        <v>7.6948051948051974E-2</v>
      </c>
      <c r="J51" s="86">
        <v>7.2240259740259771E-2</v>
      </c>
      <c r="K51" s="86">
        <v>6.7532467532467569E-2</v>
      </c>
      <c r="L51" s="86">
        <v>6.2824675324675366E-2</v>
      </c>
      <c r="M51" s="86">
        <v>5.8116883116883157E-2</v>
      </c>
      <c r="N51" s="86">
        <v>5.3409090909090948E-2</v>
      </c>
      <c r="O51" s="86">
        <v>4.8701298701298738E-2</v>
      </c>
      <c r="P51" s="86">
        <v>4.3993506493506529E-2</v>
      </c>
      <c r="Q51" s="86">
        <v>3.928571428571432E-2</v>
      </c>
      <c r="R51" s="86">
        <v>3.457792207792211E-2</v>
      </c>
      <c r="S51" s="86">
        <v>2.9870129870129901E-2</v>
      </c>
      <c r="T51" s="86">
        <v>2.5162337662337692E-2</v>
      </c>
      <c r="U51" s="86">
        <v>2.0454545454545482E-2</v>
      </c>
      <c r="V51" s="86">
        <v>1.7316017316017344E-2</v>
      </c>
      <c r="W51" s="86">
        <v>1.4177489177489205E-2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0.77113930988607182</v>
      </c>
      <c r="C53" s="54">
        <f t="shared" si="39"/>
        <v>0.47465126029021082</v>
      </c>
      <c r="D53" s="54">
        <f t="shared" ref="D53:V53" si="40">SUM(D54,D58)</f>
        <v>0.73204236381016641</v>
      </c>
      <c r="E53" s="54">
        <f t="shared" si="40"/>
        <v>1.7961804452494465</v>
      </c>
      <c r="F53" s="54">
        <f t="shared" si="40"/>
        <v>3.2072487003016894</v>
      </c>
      <c r="G53" s="54">
        <f t="shared" si="40"/>
        <v>1.3057969566509116</v>
      </c>
      <c r="H53" s="54">
        <f t="shared" si="40"/>
        <v>1.3255662808574271</v>
      </c>
      <c r="I53" s="54">
        <f t="shared" si="40"/>
        <v>7.8999268922507082E-2</v>
      </c>
      <c r="J53" s="54">
        <f t="shared" si="40"/>
        <v>1.1584909634025133</v>
      </c>
      <c r="K53" s="54">
        <f t="shared" si="40"/>
        <v>0.15564034787924744</v>
      </c>
      <c r="L53" s="54">
        <f t="shared" si="40"/>
        <v>0.10082511757652302</v>
      </c>
      <c r="M53" s="54">
        <f t="shared" si="40"/>
        <v>0.13872199448412126</v>
      </c>
      <c r="N53" s="54">
        <f t="shared" si="40"/>
        <v>4.4010658930914437E-2</v>
      </c>
      <c r="O53" s="54">
        <f t="shared" si="40"/>
        <v>4.0252771511110189E-2</v>
      </c>
      <c r="P53" s="54">
        <f t="shared" si="40"/>
        <v>1.132441779242706E-2</v>
      </c>
      <c r="Q53" s="54">
        <f t="shared" si="40"/>
        <v>0</v>
      </c>
      <c r="R53" s="54">
        <f t="shared" si="40"/>
        <v>6.4604583834212637E-2</v>
      </c>
      <c r="S53" s="54">
        <f t="shared" si="40"/>
        <v>0.99071612962050404</v>
      </c>
      <c r="T53" s="54">
        <f t="shared" si="40"/>
        <v>0.68457125952671027</v>
      </c>
      <c r="U53" s="54">
        <f t="shared" si="40"/>
        <v>0.33897230226654373</v>
      </c>
      <c r="V53" s="54">
        <f t="shared" si="40"/>
        <v>2.5704438200694385E-3</v>
      </c>
      <c r="W53" s="54">
        <f t="shared" ref="W53" si="41">SUM(W54,W58)</f>
        <v>3.8595218543286333E-3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0.74076000894549066</v>
      </c>
      <c r="C54" s="11">
        <f t="shared" si="42"/>
        <v>0.4729684888432108</v>
      </c>
      <c r="D54" s="11">
        <f t="shared" ref="D54:V54" si="43">SUM(D55:D57)</f>
        <v>0.73192885643216643</v>
      </c>
      <c r="E54" s="11">
        <f t="shared" si="43"/>
        <v>1.7412020902713556</v>
      </c>
      <c r="F54" s="11">
        <f t="shared" si="43"/>
        <v>3.2072487003016894</v>
      </c>
      <c r="G54" s="11">
        <f t="shared" si="43"/>
        <v>1.3057969566509116</v>
      </c>
      <c r="H54" s="11">
        <f t="shared" si="43"/>
        <v>1.3244656419001442</v>
      </c>
      <c r="I54" s="11">
        <f t="shared" si="43"/>
        <v>7.8843578778084566E-2</v>
      </c>
      <c r="J54" s="11">
        <f t="shared" si="43"/>
        <v>0.98183150461066615</v>
      </c>
      <c r="K54" s="11">
        <f t="shared" si="43"/>
        <v>0</v>
      </c>
      <c r="L54" s="11">
        <f t="shared" si="43"/>
        <v>0</v>
      </c>
      <c r="M54" s="11">
        <f t="shared" si="43"/>
        <v>0</v>
      </c>
      <c r="N54" s="11">
        <f t="shared" si="43"/>
        <v>4.4010658930914437E-2</v>
      </c>
      <c r="O54" s="11">
        <f t="shared" si="43"/>
        <v>4.0252771511110189E-2</v>
      </c>
      <c r="P54" s="11">
        <f t="shared" si="43"/>
        <v>1.1185668907069304E-2</v>
      </c>
      <c r="Q54" s="11">
        <f t="shared" si="43"/>
        <v>0</v>
      </c>
      <c r="R54" s="11">
        <f t="shared" si="43"/>
        <v>6.4604583834212637E-2</v>
      </c>
      <c r="S54" s="11">
        <f t="shared" si="43"/>
        <v>0.99071612962050404</v>
      </c>
      <c r="T54" s="11">
        <f t="shared" si="43"/>
        <v>0.68456609501328636</v>
      </c>
      <c r="U54" s="11">
        <f t="shared" si="43"/>
        <v>0.33866443940963542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0.51157624241588329</v>
      </c>
      <c r="C56" s="84">
        <v>0.32586406567885656</v>
      </c>
      <c r="D56" s="84">
        <v>0.21546738812417318</v>
      </c>
      <c r="E56" s="84">
        <v>1.2151646985707494</v>
      </c>
      <c r="F56" s="84">
        <v>2.1791593250169519</v>
      </c>
      <c r="G56" s="84">
        <v>1.3057969566509116</v>
      </c>
      <c r="H56" s="84">
        <v>1.3244656419001442</v>
      </c>
      <c r="I56" s="84">
        <v>7.8843578778084566E-2</v>
      </c>
      <c r="J56" s="84">
        <v>0.98183150461066615</v>
      </c>
      <c r="K56" s="84">
        <v>0</v>
      </c>
      <c r="L56" s="84">
        <v>0</v>
      </c>
      <c r="M56" s="84">
        <v>0</v>
      </c>
      <c r="N56" s="84">
        <v>4.4010658930914437E-2</v>
      </c>
      <c r="O56" s="84">
        <v>4.0252771511110189E-2</v>
      </c>
      <c r="P56" s="84">
        <v>1.1185668907069304E-2</v>
      </c>
      <c r="Q56" s="84">
        <v>0</v>
      </c>
      <c r="R56" s="84">
        <v>0</v>
      </c>
      <c r="S56" s="84">
        <v>0</v>
      </c>
      <c r="T56" s="84">
        <v>0</v>
      </c>
      <c r="U56" s="84">
        <v>0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0.22918376652960737</v>
      </c>
      <c r="C57" s="84">
        <v>0.14710442316435424</v>
      </c>
      <c r="D57" s="84">
        <v>0.51646146830799322</v>
      </c>
      <c r="E57" s="84">
        <v>0.52603739170060626</v>
      </c>
      <c r="F57" s="84">
        <v>1.0280893752847373</v>
      </c>
      <c r="G57" s="84">
        <v>0</v>
      </c>
      <c r="H57" s="84">
        <v>0</v>
      </c>
      <c r="I57" s="84">
        <v>0</v>
      </c>
      <c r="J57" s="84">
        <v>0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84">
        <v>0</v>
      </c>
      <c r="R57" s="84">
        <v>6.4604583834212637E-2</v>
      </c>
      <c r="S57" s="84">
        <v>0.99071612962050404</v>
      </c>
      <c r="T57" s="84">
        <v>0.68456609501328636</v>
      </c>
      <c r="U57" s="84">
        <v>0.33866443940963542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3.0379300940581187E-2</v>
      </c>
      <c r="C58" s="13">
        <f t="shared" si="45"/>
        <v>1.6827714470000008E-3</v>
      </c>
      <c r="D58" s="13">
        <f t="shared" ref="D58:V58" si="46">SUM(D59:D61)</f>
        <v>1.1350737799999989E-4</v>
      </c>
      <c r="E58" s="13">
        <f t="shared" si="46"/>
        <v>5.4978354978090914E-2</v>
      </c>
      <c r="F58" s="13">
        <f t="shared" si="46"/>
        <v>0</v>
      </c>
      <c r="G58" s="13">
        <f t="shared" si="46"/>
        <v>0</v>
      </c>
      <c r="H58" s="13">
        <f t="shared" si="46"/>
        <v>1.10063895728299E-3</v>
      </c>
      <c r="I58" s="13">
        <f t="shared" si="46"/>
        <v>1.5569014442251778E-4</v>
      </c>
      <c r="J58" s="13">
        <f t="shared" si="46"/>
        <v>0.17665945879184719</v>
      </c>
      <c r="K58" s="13">
        <f t="shared" si="46"/>
        <v>0.15564034787924744</v>
      </c>
      <c r="L58" s="13">
        <f t="shared" si="46"/>
        <v>0.10082511757652302</v>
      </c>
      <c r="M58" s="13">
        <f t="shared" si="46"/>
        <v>0.13872199448412126</v>
      </c>
      <c r="N58" s="13">
        <f t="shared" si="46"/>
        <v>0</v>
      </c>
      <c r="O58" s="13">
        <f t="shared" si="46"/>
        <v>0</v>
      </c>
      <c r="P58" s="13">
        <f t="shared" si="46"/>
        <v>1.3874888535775473E-4</v>
      </c>
      <c r="Q58" s="13">
        <f t="shared" si="46"/>
        <v>0</v>
      </c>
      <c r="R58" s="13">
        <f t="shared" si="46"/>
        <v>0</v>
      </c>
      <c r="S58" s="13">
        <f t="shared" si="46"/>
        <v>0</v>
      </c>
      <c r="T58" s="13">
        <f t="shared" si="46"/>
        <v>5.1645134239121024E-6</v>
      </c>
      <c r="U58" s="13">
        <f t="shared" si="46"/>
        <v>3.0786285690832414E-4</v>
      </c>
      <c r="V58" s="13">
        <f t="shared" si="46"/>
        <v>2.5704438200694385E-3</v>
      </c>
      <c r="W58" s="13">
        <f t="shared" ref="W58" si="47">SUM(W59:W61)</f>
        <v>3.8595218543286333E-3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1.9069777131321443E-2</v>
      </c>
      <c r="C60" s="102">
        <v>1.1350737799999989E-4</v>
      </c>
      <c r="D60" s="102">
        <v>1.1350737799999989E-4</v>
      </c>
      <c r="E60" s="102">
        <v>0</v>
      </c>
      <c r="F60" s="102">
        <v>0</v>
      </c>
      <c r="G60" s="102">
        <v>0</v>
      </c>
      <c r="H60" s="102">
        <v>1.10063895728299E-3</v>
      </c>
      <c r="I60" s="102">
        <v>1.5569014442251778E-4</v>
      </c>
      <c r="J60" s="102">
        <v>0.17665945879184719</v>
      </c>
      <c r="K60" s="102">
        <v>0.15564034787924744</v>
      </c>
      <c r="L60" s="102">
        <v>0.10082511757652302</v>
      </c>
      <c r="M60" s="102">
        <v>0.13872199448412126</v>
      </c>
      <c r="N60" s="102">
        <v>0</v>
      </c>
      <c r="O60" s="102">
        <v>0</v>
      </c>
      <c r="P60" s="102">
        <v>1.3874888535775473E-4</v>
      </c>
      <c r="Q60" s="102">
        <v>0</v>
      </c>
      <c r="R60" s="102">
        <v>0</v>
      </c>
      <c r="S60" s="102">
        <v>0</v>
      </c>
      <c r="T60" s="102">
        <v>5.1645134239121024E-6</v>
      </c>
      <c r="U60" s="102">
        <v>3.0786285690832414E-4</v>
      </c>
      <c r="V60" s="102">
        <v>2.5704438200694385E-3</v>
      </c>
      <c r="W60" s="102">
        <v>3.8595218543286333E-3</v>
      </c>
      <c r="DA60" s="175" t="s">
        <v>239</v>
      </c>
    </row>
    <row r="61" spans="1:105" ht="11.45" customHeight="1" x14ac:dyDescent="0.25">
      <c r="A61" s="85" t="s">
        <v>174</v>
      </c>
      <c r="B61" s="86">
        <v>1.1309523809259744E-2</v>
      </c>
      <c r="C61" s="86">
        <v>1.5692640690000009E-3</v>
      </c>
      <c r="D61" s="86">
        <v>0</v>
      </c>
      <c r="E61" s="86">
        <v>5.4978354978090914E-2</v>
      </c>
      <c r="F61" s="86">
        <v>0</v>
      </c>
      <c r="G61" s="86">
        <v>0</v>
      </c>
      <c r="H61" s="86">
        <v>0</v>
      </c>
      <c r="I61" s="86">
        <v>0</v>
      </c>
      <c r="J61" s="86">
        <v>0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71.486747653230253</v>
      </c>
      <c r="C66" s="14">
        <f t="shared" si="48"/>
        <v>72.072541382667964</v>
      </c>
      <c r="D66" s="14">
        <f t="shared" ref="D66:V66" si="49">IF(D34=0,0,D34/D24)</f>
        <v>75.55050396740296</v>
      </c>
      <c r="E66" s="14">
        <f t="shared" si="49"/>
        <v>74.212659715082978</v>
      </c>
      <c r="F66" s="14">
        <f t="shared" si="49"/>
        <v>77.488538283062638</v>
      </c>
      <c r="G66" s="14">
        <f t="shared" si="49"/>
        <v>78.681230971776515</v>
      </c>
      <c r="H66" s="14">
        <f t="shared" si="49"/>
        <v>79.868870099923143</v>
      </c>
      <c r="I66" s="14">
        <f t="shared" si="49"/>
        <v>84.979714560615776</v>
      </c>
      <c r="J66" s="14">
        <f t="shared" si="49"/>
        <v>84.653364139186451</v>
      </c>
      <c r="K66" s="14">
        <f t="shared" si="49"/>
        <v>85.488387156472655</v>
      </c>
      <c r="L66" s="14">
        <f t="shared" si="49"/>
        <v>92.711471495373601</v>
      </c>
      <c r="M66" s="14">
        <f t="shared" si="49"/>
        <v>97.735902460265621</v>
      </c>
      <c r="N66" s="14">
        <f t="shared" si="49"/>
        <v>105.5964314900572</v>
      </c>
      <c r="O66" s="14">
        <f t="shared" si="49"/>
        <v>108.36477636895638</v>
      </c>
      <c r="P66" s="14">
        <f t="shared" si="49"/>
        <v>111.06651649662118</v>
      </c>
      <c r="Q66" s="14">
        <f t="shared" si="49"/>
        <v>115.99737689281031</v>
      </c>
      <c r="R66" s="14">
        <f t="shared" si="49"/>
        <v>113.25608863802655</v>
      </c>
      <c r="S66" s="14">
        <f t="shared" si="49"/>
        <v>119.11142913541255</v>
      </c>
      <c r="T66" s="14">
        <f t="shared" si="49"/>
        <v>123.53863776544189</v>
      </c>
      <c r="U66" s="14">
        <f t="shared" si="49"/>
        <v>126.20760570871377</v>
      </c>
      <c r="V66" s="14">
        <f t="shared" si="49"/>
        <v>83.980762852404638</v>
      </c>
      <c r="W66" s="14">
        <f t="shared" ref="W66" si="50">IF(W34=0,0,W34/W24)</f>
        <v>86.406407201482665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" si="52">IF(W35=0,0,W35/W25)</f>
        <v>0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65.666666666666671</v>
      </c>
      <c r="C68" s="87">
        <f t="shared" si="48"/>
        <v>66.125514403292186</v>
      </c>
      <c r="D68" s="87">
        <f t="shared" ref="D68:V68" si="53">IF(D36=0,0,D36/D26)</f>
        <v>67.971135165140154</v>
      </c>
      <c r="E68" s="87">
        <f t="shared" si="53"/>
        <v>66.974387527839639</v>
      </c>
      <c r="F68" s="87">
        <f t="shared" si="53"/>
        <v>71.368073266867611</v>
      </c>
      <c r="G68" s="87">
        <f t="shared" si="53"/>
        <v>74.435719115232303</v>
      </c>
      <c r="H68" s="87">
        <f t="shared" si="53"/>
        <v>77.564143627781519</v>
      </c>
      <c r="I68" s="87">
        <f t="shared" si="53"/>
        <v>81.278518385971196</v>
      </c>
      <c r="J68" s="87">
        <f t="shared" si="53"/>
        <v>81.642743475493319</v>
      </c>
      <c r="K68" s="87">
        <f t="shared" si="53"/>
        <v>81.602158580893359</v>
      </c>
      <c r="L68" s="87">
        <f t="shared" si="53"/>
        <v>87.526544622425632</v>
      </c>
      <c r="M68" s="87">
        <f t="shared" si="53"/>
        <v>94.6512987012987</v>
      </c>
      <c r="N68" s="87">
        <f t="shared" si="53"/>
        <v>104.80054366292899</v>
      </c>
      <c r="O68" s="87">
        <f t="shared" si="53"/>
        <v>107.88583290088221</v>
      </c>
      <c r="P68" s="87">
        <f t="shared" si="53"/>
        <v>108.1191341444146</v>
      </c>
      <c r="Q68" s="87">
        <f t="shared" si="53"/>
        <v>115.75549450549451</v>
      </c>
      <c r="R68" s="87">
        <f t="shared" si="53"/>
        <v>114.91503105590063</v>
      </c>
      <c r="S68" s="87">
        <f t="shared" si="53"/>
        <v>116.29117797042325</v>
      </c>
      <c r="T68" s="87">
        <f t="shared" si="53"/>
        <v>118.06236933797909</v>
      </c>
      <c r="U68" s="87">
        <f t="shared" si="53"/>
        <v>119.18969925727505</v>
      </c>
      <c r="V68" s="87">
        <f t="shared" si="53"/>
        <v>78.413379737045631</v>
      </c>
      <c r="W68" s="87">
        <f t="shared" ref="W68" si="54">IF(W36=0,0,W36/W26)</f>
        <v>83.371651090342681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99.557877813504817</v>
      </c>
      <c r="C69" s="87">
        <f t="shared" si="48"/>
        <v>100.72946175637394</v>
      </c>
      <c r="D69" s="87">
        <f t="shared" ref="D69:V69" si="55">IF(D37=0,0,D37/D27)</f>
        <v>101.31320754716981</v>
      </c>
      <c r="E69" s="87">
        <f t="shared" si="55"/>
        <v>101.65798733286418</v>
      </c>
      <c r="F69" s="87">
        <f t="shared" si="55"/>
        <v>102.05583992554676</v>
      </c>
      <c r="G69" s="87">
        <f t="shared" si="55"/>
        <v>103.1</v>
      </c>
      <c r="H69" s="87">
        <f t="shared" si="55"/>
        <v>103.72862129144852</v>
      </c>
      <c r="I69" s="87">
        <f t="shared" si="55"/>
        <v>116.92432432432433</v>
      </c>
      <c r="J69" s="87">
        <f t="shared" si="55"/>
        <v>106.71603498542274</v>
      </c>
      <c r="K69" s="87">
        <f t="shared" si="55"/>
        <v>110.58661145617667</v>
      </c>
      <c r="L69" s="87">
        <f t="shared" si="55"/>
        <v>127.27765064836004</v>
      </c>
      <c r="M69" s="87">
        <f t="shared" si="55"/>
        <v>113.71938088829071</v>
      </c>
      <c r="N69" s="87">
        <f t="shared" si="55"/>
        <v>108.81387362637362</v>
      </c>
      <c r="O69" s="87">
        <f t="shared" si="55"/>
        <v>110.34813753581662</v>
      </c>
      <c r="P69" s="87">
        <f t="shared" si="55"/>
        <v>126.38177339901478</v>
      </c>
      <c r="Q69" s="87">
        <f t="shared" si="55"/>
        <v>117.13460231135282</v>
      </c>
      <c r="R69" s="87">
        <f t="shared" si="55"/>
        <v>104.45286750164799</v>
      </c>
      <c r="S69" s="87">
        <f t="shared" si="55"/>
        <v>128.78015734265733</v>
      </c>
      <c r="T69" s="87">
        <f t="shared" si="55"/>
        <v>140.75319459656808</v>
      </c>
      <c r="U69" s="87">
        <f t="shared" si="55"/>
        <v>144.99445893089961</v>
      </c>
      <c r="V69" s="87">
        <f t="shared" si="55"/>
        <v>117.54079254079254</v>
      </c>
      <c r="W69" s="87">
        <f t="shared" ref="W69" si="56">IF(W37=0,0,W37/W27)</f>
        <v>103.58730158730158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26.854821881468094</v>
      </c>
      <c r="C70" s="15">
        <f t="shared" si="48"/>
        <v>27.84740761287749</v>
      </c>
      <c r="D70" s="15">
        <f t="shared" ref="D70:V70" si="57">IF(D38=0,0,D38/D28)</f>
        <v>20.236574154889464</v>
      </c>
      <c r="E70" s="15">
        <f t="shared" si="57"/>
        <v>34.566161816080204</v>
      </c>
      <c r="F70" s="15">
        <f t="shared" si="57"/>
        <v>32.652426638643512</v>
      </c>
      <c r="G70" s="15">
        <f t="shared" si="57"/>
        <v>31.253931734987052</v>
      </c>
      <c r="H70" s="15">
        <f t="shared" si="57"/>
        <v>34.611087925729436</v>
      </c>
      <c r="I70" s="15">
        <f t="shared" si="57"/>
        <v>31.435786124042522</v>
      </c>
      <c r="J70" s="15">
        <f t="shared" si="57"/>
        <v>15.371104574668244</v>
      </c>
      <c r="K70" s="15">
        <f t="shared" si="57"/>
        <v>14.402171683633705</v>
      </c>
      <c r="L70" s="15">
        <f t="shared" si="57"/>
        <v>15.809132989027383</v>
      </c>
      <c r="M70" s="15">
        <f t="shared" si="57"/>
        <v>15.607488579086739</v>
      </c>
      <c r="N70" s="15">
        <f t="shared" si="57"/>
        <v>16.5913325559474</v>
      </c>
      <c r="O70" s="15">
        <f t="shared" si="57"/>
        <v>16.814681177989009</v>
      </c>
      <c r="P70" s="15">
        <f t="shared" si="57"/>
        <v>21.017292016599907</v>
      </c>
      <c r="Q70" s="15">
        <f t="shared" si="57"/>
        <v>20.326347231054427</v>
      </c>
      <c r="R70" s="15">
        <f t="shared" si="57"/>
        <v>22.796347682170225</v>
      </c>
      <c r="S70" s="15">
        <f t="shared" si="57"/>
        <v>20.30163718620113</v>
      </c>
      <c r="T70" s="15">
        <f t="shared" si="57"/>
        <v>21.007551667227464</v>
      </c>
      <c r="U70" s="15">
        <f t="shared" si="57"/>
        <v>20.257094526733663</v>
      </c>
      <c r="V70" s="15">
        <f t="shared" si="57"/>
        <v>17.786424139838491</v>
      </c>
      <c r="W70" s="15">
        <f t="shared" ref="W70" si="58">IF(W38=0,0,W38/W28)</f>
        <v>17.721266685218438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16.076075457403384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15.181021974099197</v>
      </c>
      <c r="H72" s="41">
        <f t="shared" si="61"/>
        <v>13.985273542904695</v>
      </c>
      <c r="I72" s="41">
        <f t="shared" si="61"/>
        <v>13.75563513604107</v>
      </c>
      <c r="J72" s="41">
        <f t="shared" si="61"/>
        <v>13.656624949191123</v>
      </c>
      <c r="K72" s="41">
        <f t="shared" si="61"/>
        <v>13.626760295117137</v>
      </c>
      <c r="L72" s="41">
        <f t="shared" si="61"/>
        <v>14.420786860573122</v>
      </c>
      <c r="M72" s="41">
        <f t="shared" si="61"/>
        <v>15.489703537213131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48.721001039602875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980.31462538342953</v>
      </c>
      <c r="C75" s="62">
        <f t="shared" si="65"/>
        <v>979.36337531585775</v>
      </c>
      <c r="D75" s="62">
        <f t="shared" ref="D75:V75" si="66">IF(D13=0,0,D13*1000000/D23)</f>
        <v>1052.088977795984</v>
      </c>
      <c r="E75" s="62">
        <f t="shared" si="66"/>
        <v>1019.1908620964334</v>
      </c>
      <c r="F75" s="62">
        <f t="shared" si="66"/>
        <v>1034.2599387551377</v>
      </c>
      <c r="G75" s="62">
        <f t="shared" si="66"/>
        <v>1016.4865973156401</v>
      </c>
      <c r="H75" s="62">
        <f t="shared" si="66"/>
        <v>1022.9515396911545</v>
      </c>
      <c r="I75" s="62">
        <f t="shared" si="66"/>
        <v>1082.3123599166499</v>
      </c>
      <c r="J75" s="62">
        <f t="shared" si="66"/>
        <v>1137.4536474983577</v>
      </c>
      <c r="K75" s="62">
        <f t="shared" si="66"/>
        <v>1088.4358775096541</v>
      </c>
      <c r="L75" s="62">
        <f t="shared" si="66"/>
        <v>1102.3477626524525</v>
      </c>
      <c r="M75" s="62">
        <f t="shared" si="66"/>
        <v>1170.5179304773997</v>
      </c>
      <c r="N75" s="62">
        <f t="shared" si="66"/>
        <v>1196.2539506443711</v>
      </c>
      <c r="O75" s="62">
        <f t="shared" si="66"/>
        <v>1178.3135562279585</v>
      </c>
      <c r="P75" s="62">
        <f t="shared" si="66"/>
        <v>1176.7903098845136</v>
      </c>
      <c r="Q75" s="62">
        <f t="shared" si="66"/>
        <v>1241.75961189502</v>
      </c>
      <c r="R75" s="62">
        <f t="shared" si="66"/>
        <v>1205.9141876664771</v>
      </c>
      <c r="S75" s="62">
        <f t="shared" si="66"/>
        <v>1223.6627243518242</v>
      </c>
      <c r="T75" s="62">
        <f t="shared" si="66"/>
        <v>1264.6370145815329</v>
      </c>
      <c r="U75" s="62">
        <f t="shared" si="66"/>
        <v>1295.6255239922684</v>
      </c>
      <c r="V75" s="62">
        <f t="shared" si="66"/>
        <v>1072.4923139940545</v>
      </c>
      <c r="W75" s="62">
        <f t="shared" ref="W75" si="67">IF(W13=0,0,W13*1000000/W23)</f>
        <v>1227.0215219099164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971.48438056067573</v>
      </c>
      <c r="C76" s="14">
        <f t="shared" si="65"/>
        <v>971.47198289996481</v>
      </c>
      <c r="D76" s="14">
        <f t="shared" ref="D76:V76" si="68">IF(D14=0,0,D14*1000000/D24)</f>
        <v>1052.1193273668457</v>
      </c>
      <c r="E76" s="14">
        <f t="shared" si="68"/>
        <v>1009.1393740408929</v>
      </c>
      <c r="F76" s="14">
        <f t="shared" si="68"/>
        <v>1029.9832621826611</v>
      </c>
      <c r="G76" s="14">
        <f t="shared" si="68"/>
        <v>1013.2049210414773</v>
      </c>
      <c r="H76" s="14">
        <f t="shared" si="68"/>
        <v>1017.9584135530322</v>
      </c>
      <c r="I76" s="14">
        <f t="shared" si="68"/>
        <v>1078.7532173050245</v>
      </c>
      <c r="J76" s="14">
        <f t="shared" si="68"/>
        <v>1140.5339367811541</v>
      </c>
      <c r="K76" s="14">
        <f t="shared" si="68"/>
        <v>1099.5749187266765</v>
      </c>
      <c r="L76" s="14">
        <f t="shared" si="68"/>
        <v>1117.8855291750624</v>
      </c>
      <c r="M76" s="14">
        <f t="shared" si="68"/>
        <v>1195.5509637116791</v>
      </c>
      <c r="N76" s="14">
        <f t="shared" si="68"/>
        <v>1233.6620265428862</v>
      </c>
      <c r="O76" s="14">
        <f t="shared" si="68"/>
        <v>1215.7826314327253</v>
      </c>
      <c r="P76" s="14">
        <f t="shared" si="68"/>
        <v>1200.261633851203</v>
      </c>
      <c r="Q76" s="14">
        <f t="shared" si="68"/>
        <v>1272.0229534057514</v>
      </c>
      <c r="R76" s="14">
        <f t="shared" si="68"/>
        <v>1232.8727727193896</v>
      </c>
      <c r="S76" s="14">
        <f t="shared" si="68"/>
        <v>1262.0651831403138</v>
      </c>
      <c r="T76" s="14">
        <f t="shared" si="68"/>
        <v>1293.7938561721155</v>
      </c>
      <c r="U76" s="14">
        <f t="shared" si="68"/>
        <v>1320.8332005495433</v>
      </c>
      <c r="V76" s="14">
        <f t="shared" si="68"/>
        <v>1184.0504044736419</v>
      </c>
      <c r="W76" s="14">
        <f t="shared" ref="W76" si="69">IF(W14=0,0,W14*1000000/W24)</f>
        <v>1298.2810066517231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" si="71">IF(W15=0,0,W15*1000000/W25)</f>
        <v>0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754.48609389557873</v>
      </c>
      <c r="C78" s="39">
        <f t="shared" si="65"/>
        <v>754.27053748284743</v>
      </c>
      <c r="D78" s="39">
        <f t="shared" ref="D78:V78" si="72">IF(D16=0,0,D16*1000000/D26)</f>
        <v>767.92853670438194</v>
      </c>
      <c r="E78" s="39">
        <f t="shared" si="72"/>
        <v>743.04194954931768</v>
      </c>
      <c r="F78" s="39">
        <f t="shared" si="72"/>
        <v>783.81323221247999</v>
      </c>
      <c r="G78" s="39">
        <f t="shared" si="72"/>
        <v>823.62026556847798</v>
      </c>
      <c r="H78" s="39">
        <f t="shared" si="72"/>
        <v>893.573025849023</v>
      </c>
      <c r="I78" s="39">
        <f t="shared" si="72"/>
        <v>903.03911776077734</v>
      </c>
      <c r="J78" s="39">
        <f t="shared" si="72"/>
        <v>977.35969027620297</v>
      </c>
      <c r="K78" s="39">
        <f t="shared" si="72"/>
        <v>946.22156443988774</v>
      </c>
      <c r="L78" s="39">
        <f t="shared" si="72"/>
        <v>954.28052400144327</v>
      </c>
      <c r="M78" s="39">
        <f t="shared" si="72"/>
        <v>1041.7329190600922</v>
      </c>
      <c r="N78" s="39">
        <f t="shared" si="72"/>
        <v>1064.3874262519453</v>
      </c>
      <c r="O78" s="39">
        <f t="shared" si="72"/>
        <v>1072.1570055135235</v>
      </c>
      <c r="P78" s="39">
        <f t="shared" si="72"/>
        <v>1080.8537393966681</v>
      </c>
      <c r="Q78" s="39">
        <f t="shared" si="72"/>
        <v>1117.9121623337439</v>
      </c>
      <c r="R78" s="39">
        <f t="shared" si="72"/>
        <v>1095.7427384794985</v>
      </c>
      <c r="S78" s="39">
        <f t="shared" si="72"/>
        <v>1078.937537461667</v>
      </c>
      <c r="T78" s="39">
        <f t="shared" si="72"/>
        <v>1089.0550684323537</v>
      </c>
      <c r="U78" s="39">
        <f t="shared" si="72"/>
        <v>1124.5949879705788</v>
      </c>
      <c r="V78" s="39">
        <f t="shared" si="72"/>
        <v>1058.1101730914966</v>
      </c>
      <c r="W78" s="39">
        <f t="shared" ref="W78" si="73">IF(W16=0,0,W16*1000000/W26)</f>
        <v>1176.0494686478078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2018.0999110997291</v>
      </c>
      <c r="C79" s="39">
        <f t="shared" si="65"/>
        <v>2018.0999110997291</v>
      </c>
      <c r="D79" s="39">
        <f t="shared" ref="D79:V79" si="74">IF(D17=0,0,D17*1000000/D27)</f>
        <v>2018.0999110997295</v>
      </c>
      <c r="E79" s="39">
        <f t="shared" si="74"/>
        <v>2018.0999110997293</v>
      </c>
      <c r="F79" s="39">
        <f t="shared" si="74"/>
        <v>2018.0999110997293</v>
      </c>
      <c r="G79" s="39">
        <f t="shared" si="74"/>
        <v>2103.632664437012</v>
      </c>
      <c r="H79" s="39">
        <f t="shared" si="74"/>
        <v>2305.6619386144334</v>
      </c>
      <c r="I79" s="39">
        <f t="shared" si="74"/>
        <v>2595.3219359197346</v>
      </c>
      <c r="J79" s="39">
        <f t="shared" si="74"/>
        <v>2336.3204849293925</v>
      </c>
      <c r="K79" s="39">
        <f t="shared" si="74"/>
        <v>2089.968769255157</v>
      </c>
      <c r="L79" s="39">
        <f t="shared" si="74"/>
        <v>2208.5855636658557</v>
      </c>
      <c r="M79" s="39">
        <f t="shared" si="74"/>
        <v>1992.589283911693</v>
      </c>
      <c r="N79" s="39">
        <f t="shared" si="74"/>
        <v>1917.9685494223363</v>
      </c>
      <c r="O79" s="39">
        <f t="shared" si="74"/>
        <v>1810.5532212886751</v>
      </c>
      <c r="P79" s="39">
        <f t="shared" si="74"/>
        <v>1820.7317192393416</v>
      </c>
      <c r="Q79" s="39">
        <f t="shared" si="74"/>
        <v>1996.5846332521171</v>
      </c>
      <c r="R79" s="39">
        <f t="shared" si="74"/>
        <v>1960.5568700372037</v>
      </c>
      <c r="S79" s="39">
        <f t="shared" si="74"/>
        <v>1889.8856607204302</v>
      </c>
      <c r="T79" s="39">
        <f t="shared" si="74"/>
        <v>1937.3867595818815</v>
      </c>
      <c r="U79" s="39">
        <f t="shared" si="74"/>
        <v>1846.1605929586165</v>
      </c>
      <c r="V79" s="39">
        <f t="shared" si="74"/>
        <v>1943.2145964415383</v>
      </c>
      <c r="W79" s="39">
        <f t="shared" ref="W79" si="75">IF(W17=0,0,W17*1000000/W27)</f>
        <v>1990.2796609596041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1310.0377877340918</v>
      </c>
      <c r="C80" s="15">
        <f t="shared" si="65"/>
        <v>1324.2340140870062</v>
      </c>
      <c r="D80" s="15">
        <f t="shared" ref="D80:V80" si="76">IF(D18=0,0,D18*1000000/D28)</f>
        <v>1049.911746274021</v>
      </c>
      <c r="E80" s="15">
        <f t="shared" si="76"/>
        <v>1658.8224711634948</v>
      </c>
      <c r="F80" s="15">
        <f t="shared" si="76"/>
        <v>1617.5661421530706</v>
      </c>
      <c r="G80" s="15">
        <f t="shared" si="76"/>
        <v>1728.66895017102</v>
      </c>
      <c r="H80" s="15">
        <f t="shared" si="76"/>
        <v>2022.3449405676492</v>
      </c>
      <c r="I80" s="15">
        <f t="shared" si="76"/>
        <v>2007.0962485040191</v>
      </c>
      <c r="J80" s="15">
        <f t="shared" si="76"/>
        <v>951.8174794553945</v>
      </c>
      <c r="K80" s="15">
        <f t="shared" si="76"/>
        <v>802.49854156579977</v>
      </c>
      <c r="L80" s="15">
        <f t="shared" si="76"/>
        <v>817.8849369352356</v>
      </c>
      <c r="M80" s="15">
        <f t="shared" si="76"/>
        <v>828.3253065338107</v>
      </c>
      <c r="N80" s="15">
        <f t="shared" si="76"/>
        <v>775.65656435509288</v>
      </c>
      <c r="O80" s="15">
        <f t="shared" si="76"/>
        <v>750.10407733526529</v>
      </c>
      <c r="P80" s="15">
        <f t="shared" si="76"/>
        <v>759.99482288073489</v>
      </c>
      <c r="Q80" s="15">
        <f t="shared" si="76"/>
        <v>765.55202230683403</v>
      </c>
      <c r="R80" s="15">
        <f t="shared" si="76"/>
        <v>708.97240885874419</v>
      </c>
      <c r="S80" s="15">
        <f t="shared" si="76"/>
        <v>657.29633069101226</v>
      </c>
      <c r="T80" s="15">
        <f t="shared" si="76"/>
        <v>654.11857323185711</v>
      </c>
      <c r="U80" s="15">
        <f t="shared" si="76"/>
        <v>641.90644527360382</v>
      </c>
      <c r="V80" s="15">
        <f t="shared" si="76"/>
        <v>522.90466236667589</v>
      </c>
      <c r="W80" s="15">
        <f t="shared" ref="W80" si="77">IF(W18=0,0,W18*1000000/W28)</f>
        <v>690.8719723684743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896.04449565807818</v>
      </c>
      <c r="C82" s="41">
        <f t="shared" si="65"/>
        <v>897.46704028801537</v>
      </c>
      <c r="D82" s="41">
        <f t="shared" ref="D82:V82" si="80">IF(D20=0,0,D20*1000000/D30)</f>
        <v>901.35859916071718</v>
      </c>
      <c r="E82" s="41">
        <f t="shared" si="80"/>
        <v>894.3321734183387</v>
      </c>
      <c r="F82" s="41">
        <f t="shared" si="80"/>
        <v>901.99256238559337</v>
      </c>
      <c r="G82" s="41">
        <f t="shared" si="80"/>
        <v>937.98979166666652</v>
      </c>
      <c r="H82" s="41">
        <f t="shared" si="80"/>
        <v>988.68129656442045</v>
      </c>
      <c r="I82" s="41">
        <f t="shared" si="80"/>
        <v>957.1649189471716</v>
      </c>
      <c r="J82" s="41">
        <f t="shared" si="80"/>
        <v>859.20733807038516</v>
      </c>
      <c r="K82" s="41">
        <f t="shared" si="80"/>
        <v>770.13426638636315</v>
      </c>
      <c r="L82" s="41">
        <f t="shared" si="80"/>
        <v>758.61656656101638</v>
      </c>
      <c r="M82" s="41">
        <f t="shared" si="80"/>
        <v>824.49648985470481</v>
      </c>
      <c r="N82" s="41">
        <f t="shared" si="80"/>
        <v>771.96334335464769</v>
      </c>
      <c r="O82" s="41">
        <f t="shared" si="80"/>
        <v>743.99926377176621</v>
      </c>
      <c r="P82" s="41">
        <f t="shared" si="80"/>
        <v>710.95051102536888</v>
      </c>
      <c r="Q82" s="41">
        <f t="shared" si="80"/>
        <v>728.44042974193053</v>
      </c>
      <c r="R82" s="41">
        <f t="shared" si="80"/>
        <v>680.65583272269487</v>
      </c>
      <c r="S82" s="41">
        <f t="shared" si="80"/>
        <v>647.18980418473893</v>
      </c>
      <c r="T82" s="41">
        <f t="shared" si="80"/>
        <v>641.26334084961775</v>
      </c>
      <c r="U82" s="41">
        <f t="shared" si="80"/>
        <v>638.65291535314418</v>
      </c>
      <c r="V82" s="41">
        <f t="shared" si="80"/>
        <v>519.20875482381996</v>
      </c>
      <c r="W82" s="41">
        <f t="shared" ref="W82" si="81">IF(W20=0,0,W20*1000000/W30)</f>
        <v>690.21771901474369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2280.7806794985372</v>
      </c>
      <c r="C83" s="40">
        <f t="shared" si="65"/>
        <v>2280.7806794985372</v>
      </c>
      <c r="D83" s="40">
        <f t="shared" ref="D83:V83" si="82">IF(D21=0,0,D21*1000000/D31)</f>
        <v>2280.7806794985377</v>
      </c>
      <c r="E83" s="40">
        <f t="shared" si="82"/>
        <v>2280.7806794985372</v>
      </c>
      <c r="F83" s="40">
        <f t="shared" si="82"/>
        <v>2280.7806794985372</v>
      </c>
      <c r="G83" s="40">
        <f t="shared" si="82"/>
        <v>2366.3134328358205</v>
      </c>
      <c r="H83" s="40">
        <f t="shared" si="82"/>
        <v>2551.1961072669756</v>
      </c>
      <c r="I83" s="40">
        <f t="shared" si="82"/>
        <v>2823.7095048260117</v>
      </c>
      <c r="J83" s="40">
        <f t="shared" si="82"/>
        <v>2547.5614540894016</v>
      </c>
      <c r="K83" s="40">
        <f t="shared" si="82"/>
        <v>2284.063138668901</v>
      </c>
      <c r="L83" s="40">
        <f t="shared" si="82"/>
        <v>2385.5333333333333</v>
      </c>
      <c r="M83" s="40">
        <f t="shared" si="82"/>
        <v>2110.9788940342637</v>
      </c>
      <c r="N83" s="40">
        <f t="shared" si="82"/>
        <v>1977.8</v>
      </c>
      <c r="O83" s="40">
        <f t="shared" si="82"/>
        <v>1702.4549932411326</v>
      </c>
      <c r="P83" s="40">
        <f t="shared" si="82"/>
        <v>1544.7038125665913</v>
      </c>
      <c r="Q83" s="40">
        <f t="shared" si="82"/>
        <v>1552.6270479541602</v>
      </c>
      <c r="R83" s="40">
        <f t="shared" si="82"/>
        <v>1348.6696061140399</v>
      </c>
      <c r="S83" s="40">
        <f t="shared" si="82"/>
        <v>1110.0687181720596</v>
      </c>
      <c r="T83" s="40">
        <f t="shared" si="82"/>
        <v>989.64013840830444</v>
      </c>
      <c r="U83" s="40">
        <f t="shared" si="82"/>
        <v>874.53383458646613</v>
      </c>
      <c r="V83" s="40">
        <f t="shared" si="82"/>
        <v>971.58783806938777</v>
      </c>
      <c r="W83" s="40">
        <f t="shared" ref="W83" si="83">IF(W21=0,0,W21*1000000/W31)</f>
        <v>1018.6529025874537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106609.57288011725</v>
      </c>
      <c r="C86" s="11">
        <f t="shared" si="84"/>
        <v>107971.52169845646</v>
      </c>
      <c r="D86" s="11">
        <f t="shared" ref="D86:V86" si="85">IF(D4=0,0,D4*1000000/D24)</f>
        <v>116815.7810030695</v>
      </c>
      <c r="E86" s="11">
        <f t="shared" si="85"/>
        <v>111954.37610808713</v>
      </c>
      <c r="F86" s="11">
        <f t="shared" si="85"/>
        <v>113885.66674625102</v>
      </c>
      <c r="G86" s="11">
        <f t="shared" si="85"/>
        <v>112977.16034581442</v>
      </c>
      <c r="H86" s="11">
        <f t="shared" si="85"/>
        <v>112145.91632764092</v>
      </c>
      <c r="I86" s="11">
        <f t="shared" si="85"/>
        <v>121853.53981956987</v>
      </c>
      <c r="J86" s="11">
        <f t="shared" si="85"/>
        <v>121740.78667485599</v>
      </c>
      <c r="K86" s="11">
        <f t="shared" si="85"/>
        <v>119498.64012016004</v>
      </c>
      <c r="L86" s="11">
        <f t="shared" si="85"/>
        <v>133220.74670725348</v>
      </c>
      <c r="M86" s="11">
        <f t="shared" si="85"/>
        <v>146196.64078488824</v>
      </c>
      <c r="N86" s="11">
        <f t="shared" si="85"/>
        <v>155858.17529855904</v>
      </c>
      <c r="O86" s="11">
        <f t="shared" si="85"/>
        <v>149883.22296226787</v>
      </c>
      <c r="P86" s="11">
        <f t="shared" si="85"/>
        <v>155869.50168966639</v>
      </c>
      <c r="Q86" s="11">
        <f t="shared" si="85"/>
        <v>160802.21550923548</v>
      </c>
      <c r="R86" s="11">
        <f t="shared" si="85"/>
        <v>154663.9400894451</v>
      </c>
      <c r="S86" s="11">
        <f t="shared" si="85"/>
        <v>167821.5071446354</v>
      </c>
      <c r="T86" s="11">
        <f t="shared" si="85"/>
        <v>175178.11576610789</v>
      </c>
      <c r="U86" s="11">
        <f t="shared" si="85"/>
        <v>179309.98183040516</v>
      </c>
      <c r="V86" s="11">
        <f t="shared" si="85"/>
        <v>115367.32639169054</v>
      </c>
      <c r="W86" s="11">
        <f t="shared" ref="W86" si="86">IF(W4=0,0,W4*1000000/W24)</f>
        <v>117106.06790834042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" si="88">IF(W5=0,0,W5*1000000/W25)</f>
        <v>0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84840.753781206964</v>
      </c>
      <c r="C88" s="36">
        <f t="shared" si="84"/>
        <v>85948.455188025662</v>
      </c>
      <c r="D88" s="36">
        <f t="shared" ref="D88:V88" si="89">IF(D6=0,0,D6*1000000/D26)</f>
        <v>87831.580871815735</v>
      </c>
      <c r="E88" s="36">
        <f t="shared" si="89"/>
        <v>84496.175513044625</v>
      </c>
      <c r="F88" s="36">
        <f t="shared" si="89"/>
        <v>88218.378323943223</v>
      </c>
      <c r="G88" s="36">
        <f t="shared" si="89"/>
        <v>92905.983431535671</v>
      </c>
      <c r="H88" s="36">
        <f t="shared" si="89"/>
        <v>98648.009464345028</v>
      </c>
      <c r="I88" s="36">
        <f t="shared" si="89"/>
        <v>98942.510052161379</v>
      </c>
      <c r="J88" s="36">
        <f t="shared" si="89"/>
        <v>102521.71879669516</v>
      </c>
      <c r="K88" s="36">
        <f t="shared" si="89"/>
        <v>100311.30530112237</v>
      </c>
      <c r="L88" s="36">
        <f t="shared" si="89"/>
        <v>108795.67963784993</v>
      </c>
      <c r="M88" s="36">
        <f t="shared" si="89"/>
        <v>127607.83293076494</v>
      </c>
      <c r="N88" s="36">
        <f t="shared" si="89"/>
        <v>136910.99407897942</v>
      </c>
      <c r="O88" s="36">
        <f t="shared" si="89"/>
        <v>136999.23701398031</v>
      </c>
      <c r="P88" s="36">
        <f t="shared" si="89"/>
        <v>139403.87460150843</v>
      </c>
      <c r="Q88" s="36">
        <f t="shared" si="89"/>
        <v>143875.01114786125</v>
      </c>
      <c r="R88" s="36">
        <f t="shared" si="89"/>
        <v>141149.05383435814</v>
      </c>
      <c r="S88" s="36">
        <f t="shared" si="89"/>
        <v>141991.90389431568</v>
      </c>
      <c r="T88" s="36">
        <f t="shared" si="89"/>
        <v>144353.14177385889</v>
      </c>
      <c r="U88" s="36">
        <f t="shared" si="89"/>
        <v>148667.00165841094</v>
      </c>
      <c r="V88" s="36">
        <f t="shared" si="89"/>
        <v>98322.117121861229</v>
      </c>
      <c r="W88" s="36">
        <f t="shared" ref="W88" si="90">IF(W6=0,0,W6*1000000/W26)</f>
        <v>101599.98603582497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211603.87721569749</v>
      </c>
      <c r="C89" s="36">
        <f t="shared" si="84"/>
        <v>214094.00366514994</v>
      </c>
      <c r="D89" s="36">
        <f t="shared" ref="D89:V89" si="91">IF(D7=0,0,D7*1000000/D27)</f>
        <v>215334.71786430286</v>
      </c>
      <c r="E89" s="36">
        <f t="shared" si="91"/>
        <v>216067.52516233703</v>
      </c>
      <c r="F89" s="36">
        <f t="shared" si="91"/>
        <v>216913.13530410451</v>
      </c>
      <c r="G89" s="36">
        <f t="shared" si="91"/>
        <v>228419.8795644411</v>
      </c>
      <c r="H89" s="36">
        <f t="shared" si="91"/>
        <v>251883.40936965009</v>
      </c>
      <c r="I89" s="36">
        <f t="shared" si="91"/>
        <v>319596.07241441507</v>
      </c>
      <c r="J89" s="36">
        <f t="shared" si="91"/>
        <v>262583.49518373393</v>
      </c>
      <c r="K89" s="36">
        <f t="shared" si="91"/>
        <v>243415.18893765795</v>
      </c>
      <c r="L89" s="36">
        <f t="shared" si="91"/>
        <v>296054.52716994367</v>
      </c>
      <c r="M89" s="36">
        <f t="shared" si="91"/>
        <v>242518.18888498869</v>
      </c>
      <c r="N89" s="36">
        <f t="shared" si="91"/>
        <v>232453.71695957944</v>
      </c>
      <c r="O89" s="36">
        <f t="shared" si="91"/>
        <v>203237.32236559899</v>
      </c>
      <c r="P89" s="36">
        <f t="shared" si="91"/>
        <v>241428.57709274642</v>
      </c>
      <c r="Q89" s="36">
        <f t="shared" si="91"/>
        <v>240386.54274462929</v>
      </c>
      <c r="R89" s="36">
        <f t="shared" si="91"/>
        <v>226381.03590582611</v>
      </c>
      <c r="S89" s="36">
        <f t="shared" si="91"/>
        <v>256373.69591015452</v>
      </c>
      <c r="T89" s="36">
        <f t="shared" si="91"/>
        <v>272075.89819519309</v>
      </c>
      <c r="U89" s="36">
        <f t="shared" si="91"/>
        <v>261340.88018522545</v>
      </c>
      <c r="V89" s="36">
        <f t="shared" si="91"/>
        <v>218115.3710811511</v>
      </c>
      <c r="W89" s="36">
        <f t="shared" ref="W89" si="92">IF(W7=0,0,W7*1000000/W27)</f>
        <v>204891.82242469772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67487.274790266514</v>
      </c>
      <c r="C90" s="13">
        <f t="shared" si="84"/>
        <v>71793.993946659553</v>
      </c>
      <c r="D90" s="13">
        <f t="shared" ref="D90:V90" si="93">IF(D8=0,0,D8*1000000/D28)</f>
        <v>42423.50937939273</v>
      </c>
      <c r="E90" s="13">
        <f t="shared" si="93"/>
        <v>90827.276671535568</v>
      </c>
      <c r="F90" s="13">
        <f t="shared" si="93"/>
        <v>83754.135756630974</v>
      </c>
      <c r="G90" s="13">
        <f t="shared" si="93"/>
        <v>85695.156306068617</v>
      </c>
      <c r="H90" s="13">
        <f t="shared" si="93"/>
        <v>99561.707783366553</v>
      </c>
      <c r="I90" s="13">
        <f t="shared" si="93"/>
        <v>94227.652307496624</v>
      </c>
      <c r="J90" s="13">
        <f t="shared" si="93"/>
        <v>26427.110527600315</v>
      </c>
      <c r="K90" s="13">
        <f t="shared" si="93"/>
        <v>21089.396169513806</v>
      </c>
      <c r="L90" s="13">
        <f t="shared" si="93"/>
        <v>22837.191319657799</v>
      </c>
      <c r="M90" s="13">
        <f t="shared" si="93"/>
        <v>21441.875343410036</v>
      </c>
      <c r="N90" s="13">
        <f t="shared" si="93"/>
        <v>20958.080191258145</v>
      </c>
      <c r="O90" s="13">
        <f t="shared" si="93"/>
        <v>19375.016582149612</v>
      </c>
      <c r="P90" s="13">
        <f t="shared" si="93"/>
        <v>27270.677717806237</v>
      </c>
      <c r="Q90" s="13">
        <f t="shared" si="93"/>
        <v>25009.575795395238</v>
      </c>
      <c r="R90" s="13">
        <f t="shared" si="93"/>
        <v>24734.366947285354</v>
      </c>
      <c r="S90" s="13">
        <f t="shared" si="93"/>
        <v>19813.310594196395</v>
      </c>
      <c r="T90" s="13">
        <f t="shared" si="93"/>
        <v>20481.849114960645</v>
      </c>
      <c r="U90" s="13">
        <f t="shared" si="93"/>
        <v>19608.559130962571</v>
      </c>
      <c r="V90" s="13">
        <f t="shared" si="93"/>
        <v>13015.931077764055</v>
      </c>
      <c r="W90" s="13">
        <f t="shared" ref="W90" si="94">IF(W8=0,0,W8*1000000/W28)</f>
        <v>13762.617344329592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29593.205610283178</v>
      </c>
      <c r="C92" s="34">
        <f t="shared" si="84"/>
        <v>30754.371538043695</v>
      </c>
      <c r="D92" s="34">
        <f t="shared" ref="D92:V92" si="97">IF(D10=0,0,D10*1000000/D30)</f>
        <v>28875.697756861191</v>
      </c>
      <c r="E92" s="34">
        <f t="shared" si="97"/>
        <v>29689.836192435836</v>
      </c>
      <c r="F92" s="34">
        <f t="shared" si="97"/>
        <v>26903.49805386072</v>
      </c>
      <c r="G92" s="34">
        <f t="shared" si="97"/>
        <v>26874.935248598438</v>
      </c>
      <c r="H92" s="34">
        <f t="shared" si="97"/>
        <v>22964.523887453717</v>
      </c>
      <c r="I92" s="34">
        <f t="shared" si="97"/>
        <v>21216.490121302628</v>
      </c>
      <c r="J92" s="34">
        <f t="shared" si="97"/>
        <v>20213.242276995552</v>
      </c>
      <c r="K92" s="34">
        <f t="shared" si="97"/>
        <v>18601.451253198746</v>
      </c>
      <c r="L92" s="34">
        <f t="shared" si="97"/>
        <v>18281.832671410208</v>
      </c>
      <c r="M92" s="34">
        <f t="shared" si="97"/>
        <v>21104.694658216165</v>
      </c>
      <c r="N92" s="34">
        <f t="shared" si="97"/>
        <v>20585.982019885825</v>
      </c>
      <c r="O92" s="34">
        <f t="shared" si="97"/>
        <v>18777.946537535328</v>
      </c>
      <c r="P92" s="34">
        <f t="shared" si="97"/>
        <v>21396.62356151393</v>
      </c>
      <c r="Q92" s="34">
        <f t="shared" si="97"/>
        <v>20570.021282934467</v>
      </c>
      <c r="R92" s="34">
        <f t="shared" si="97"/>
        <v>20470.665153598813</v>
      </c>
      <c r="S92" s="34">
        <f t="shared" si="97"/>
        <v>18147.752816989079</v>
      </c>
      <c r="T92" s="34">
        <f t="shared" si="97"/>
        <v>18157.245916936041</v>
      </c>
      <c r="U92" s="34">
        <f t="shared" si="97"/>
        <v>18859.317044256466</v>
      </c>
      <c r="V92" s="34">
        <f t="shared" si="97"/>
        <v>12700.861460102928</v>
      </c>
      <c r="W92" s="34">
        <f t="shared" ref="W92" si="98">IF(W10=0,0,W10*1000000/W30)</f>
        <v>13677.945055603055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156342.33355712399</v>
      </c>
      <c r="C93" s="35">
        <f t="shared" si="84"/>
        <v>163779.35451769509</v>
      </c>
      <c r="D93" s="35">
        <f t="shared" ref="D93:V93" si="99">IF(D11=0,0,D11*1000000/D31)</f>
        <v>154676.8056803683</v>
      </c>
      <c r="E93" s="35">
        <f t="shared" si="99"/>
        <v>140566.21129859975</v>
      </c>
      <c r="F93" s="35">
        <f t="shared" si="99"/>
        <v>136444.97070066194</v>
      </c>
      <c r="G93" s="35">
        <f t="shared" si="99"/>
        <v>133130.81844918971</v>
      </c>
      <c r="H93" s="35">
        <f t="shared" si="99"/>
        <v>138750.9646603452</v>
      </c>
      <c r="I93" s="35">
        <f t="shared" si="99"/>
        <v>151014.11178564749</v>
      </c>
      <c r="J93" s="35">
        <f t="shared" si="99"/>
        <v>133496.84038417472</v>
      </c>
      <c r="K93" s="35">
        <f t="shared" si="99"/>
        <v>134981.98567193648</v>
      </c>
      <c r="L93" s="35">
        <f t="shared" si="99"/>
        <v>143326.42756580655</v>
      </c>
      <c r="M93" s="35">
        <f t="shared" si="99"/>
        <v>134397.40488335589</v>
      </c>
      <c r="N93" s="35">
        <f t="shared" si="99"/>
        <v>142076.03497294817</v>
      </c>
      <c r="O93" s="35">
        <f t="shared" si="99"/>
        <v>112517.94354197802</v>
      </c>
      <c r="P93" s="35">
        <f t="shared" si="99"/>
        <v>121255.54421848316</v>
      </c>
      <c r="Q93" s="35">
        <f t="shared" si="99"/>
        <v>119165.12774716735</v>
      </c>
      <c r="R93" s="35">
        <f t="shared" si="99"/>
        <v>121055.26655920403</v>
      </c>
      <c r="S93" s="35">
        <f t="shared" si="99"/>
        <v>94430.299013084252</v>
      </c>
      <c r="T93" s="35">
        <f t="shared" si="99"/>
        <v>81153.992583402898</v>
      </c>
      <c r="U93" s="35">
        <f t="shared" si="99"/>
        <v>73179.368330448939</v>
      </c>
      <c r="V93" s="35">
        <f t="shared" si="99"/>
        <v>51265.382661824769</v>
      </c>
      <c r="W93" s="35">
        <f t="shared" ref="W93" si="100">IF(W11=0,0,W11*1000000/W31)</f>
        <v>56183.433996323845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1301.5988032634471</v>
      </c>
      <c r="C95" s="62">
        <f t="shared" si="101"/>
        <v>1303.5021033294011</v>
      </c>
      <c r="D95" s="62">
        <f t="shared" ref="D95:V95" si="102">IF(D23=0,0,D23/D43)</f>
        <v>1230.9592064855672</v>
      </c>
      <c r="E95" s="62">
        <f t="shared" si="102"/>
        <v>1253.3472396988548</v>
      </c>
      <c r="F95" s="62">
        <f t="shared" si="102"/>
        <v>1260.5851804098679</v>
      </c>
      <c r="G95" s="62">
        <f t="shared" si="102"/>
        <v>1252.4266864022497</v>
      </c>
      <c r="H95" s="62">
        <f t="shared" si="102"/>
        <v>1198.8356197232579</v>
      </c>
      <c r="I95" s="62">
        <f t="shared" si="102"/>
        <v>1169.3139225035829</v>
      </c>
      <c r="J95" s="62">
        <f t="shared" si="102"/>
        <v>1240.7991146132827</v>
      </c>
      <c r="K95" s="62">
        <f t="shared" si="102"/>
        <v>969.91978062281351</v>
      </c>
      <c r="L95" s="62">
        <f t="shared" si="102"/>
        <v>930.21199273418267</v>
      </c>
      <c r="M95" s="62">
        <f t="shared" si="102"/>
        <v>876.09645976743366</v>
      </c>
      <c r="N95" s="62">
        <f t="shared" si="102"/>
        <v>726.11189913955411</v>
      </c>
      <c r="O95" s="62">
        <f t="shared" si="102"/>
        <v>725.00414557682313</v>
      </c>
      <c r="P95" s="62">
        <f t="shared" si="102"/>
        <v>759.85245942137544</v>
      </c>
      <c r="Q95" s="62">
        <f t="shared" si="102"/>
        <v>874.01410923935907</v>
      </c>
      <c r="R95" s="62">
        <f t="shared" si="102"/>
        <v>1004.8259202157275</v>
      </c>
      <c r="S95" s="62">
        <f t="shared" si="102"/>
        <v>1002.1818718345639</v>
      </c>
      <c r="T95" s="62">
        <f t="shared" si="102"/>
        <v>1051.722454744061</v>
      </c>
      <c r="U95" s="62">
        <f t="shared" si="102"/>
        <v>1026.5860745704272</v>
      </c>
      <c r="V95" s="62">
        <f t="shared" si="102"/>
        <v>323.12424481214913</v>
      </c>
      <c r="W95" s="62">
        <f t="shared" ref="W95" si="103">IF(W23=0,0,W23/W43)</f>
        <v>387.65119231001103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1317.548155578985</v>
      </c>
      <c r="C96" s="11">
        <f t="shared" si="104"/>
        <v>1317.4781910224485</v>
      </c>
      <c r="D96" s="11">
        <f t="shared" ref="D96:V96" si="105">IF(D24=0,0,D24/D44)</f>
        <v>1244.8468651977125</v>
      </c>
      <c r="E96" s="11">
        <f t="shared" si="105"/>
        <v>1266.6344392284177</v>
      </c>
      <c r="F96" s="11">
        <f t="shared" si="105"/>
        <v>1270.8245664833669</v>
      </c>
      <c r="G96" s="11">
        <f t="shared" si="105"/>
        <v>1262.3140902050061</v>
      </c>
      <c r="H96" s="11">
        <f t="shared" si="105"/>
        <v>1205.1663249959715</v>
      </c>
      <c r="I96" s="11">
        <f t="shared" si="105"/>
        <v>1175.8997913663138</v>
      </c>
      <c r="J96" s="11">
        <f t="shared" si="105"/>
        <v>1249.4591683286078</v>
      </c>
      <c r="K96" s="11">
        <f t="shared" si="105"/>
        <v>968.67806031760688</v>
      </c>
      <c r="L96" s="11">
        <f t="shared" si="105"/>
        <v>923.67467622304071</v>
      </c>
      <c r="M96" s="11">
        <f t="shared" si="105"/>
        <v>866.06189189410031</v>
      </c>
      <c r="N96" s="11">
        <f t="shared" si="105"/>
        <v>707.59668643748103</v>
      </c>
      <c r="O96" s="11">
        <f t="shared" si="105"/>
        <v>707.68315341900143</v>
      </c>
      <c r="P96" s="11">
        <f t="shared" si="105"/>
        <v>764.01686732481176</v>
      </c>
      <c r="Q96" s="11">
        <f t="shared" si="105"/>
        <v>873.35929833611499</v>
      </c>
      <c r="R96" s="11">
        <f t="shared" si="105"/>
        <v>1012.8369753521321</v>
      </c>
      <c r="S96" s="11">
        <f t="shared" si="105"/>
        <v>991.92787412486496</v>
      </c>
      <c r="T96" s="11">
        <f t="shared" si="105"/>
        <v>1057.1163019692378</v>
      </c>
      <c r="U96" s="11">
        <f t="shared" si="105"/>
        <v>1039.4872776510399</v>
      </c>
      <c r="V96" s="11">
        <f t="shared" si="105"/>
        <v>282.58924192654968</v>
      </c>
      <c r="W96" s="11">
        <f t="shared" ref="W96" si="106">IF(W24=0,0,W24/W44)</f>
        <v>360.19707819005964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" si="108">IF(W25=0,0,W25/W45)</f>
        <v>0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1580.4809027505717</v>
      </c>
      <c r="C98" s="36">
        <f t="shared" si="104"/>
        <v>1580.6508954740113</v>
      </c>
      <c r="D98" s="36">
        <f t="shared" ref="D98:V98" si="109">IF(D26=0,0,D26/D46)</f>
        <v>1569.4054433976532</v>
      </c>
      <c r="E98" s="36">
        <f t="shared" si="109"/>
        <v>1570.0441458290136</v>
      </c>
      <c r="F98" s="36">
        <f t="shared" si="109"/>
        <v>1557.3380978073671</v>
      </c>
      <c r="G98" s="36">
        <f t="shared" si="109"/>
        <v>1528.6061611457226</v>
      </c>
      <c r="H98" s="36">
        <f t="shared" si="109"/>
        <v>1478.2769411742665</v>
      </c>
      <c r="I98" s="36">
        <f t="shared" si="109"/>
        <v>1410.9159565649704</v>
      </c>
      <c r="J98" s="36">
        <f t="shared" si="109"/>
        <v>1423.0244633663856</v>
      </c>
      <c r="K98" s="36">
        <f t="shared" si="109"/>
        <v>1082.8414812373023</v>
      </c>
      <c r="L98" s="36">
        <f t="shared" si="109"/>
        <v>1034.0427390525185</v>
      </c>
      <c r="M98" s="36">
        <f t="shared" si="109"/>
        <v>931.92739812106311</v>
      </c>
      <c r="N98" s="36">
        <f t="shared" si="109"/>
        <v>725.15636652553962</v>
      </c>
      <c r="O98" s="36">
        <f t="shared" si="109"/>
        <v>725.5693586129338</v>
      </c>
      <c r="P98" s="36">
        <f t="shared" si="109"/>
        <v>812.54209854808391</v>
      </c>
      <c r="Q98" s="36">
        <f t="shared" si="109"/>
        <v>910.08151999153347</v>
      </c>
      <c r="R98" s="36">
        <f t="shared" si="109"/>
        <v>1086.4425532985717</v>
      </c>
      <c r="S98" s="36">
        <f t="shared" si="109"/>
        <v>1086.4735508513952</v>
      </c>
      <c r="T98" s="36">
        <f t="shared" si="109"/>
        <v>1214.6137808467327</v>
      </c>
      <c r="U98" s="36">
        <f t="shared" si="109"/>
        <v>1190.4869881092593</v>
      </c>
      <c r="V98" s="36">
        <f t="shared" si="109"/>
        <v>381.84882272207483</v>
      </c>
      <c r="W98" s="36">
        <f t="shared" ref="W98" si="110">IF(W26=0,0,W26/W46)</f>
        <v>483.01401450896162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731</v>
      </c>
      <c r="C99" s="36">
        <f t="shared" si="104"/>
        <v>731</v>
      </c>
      <c r="D99" s="36">
        <f t="shared" ref="D99:V99" si="111">IF(D27=0,0,D27/D47)</f>
        <v>731</v>
      </c>
      <c r="E99" s="36">
        <f t="shared" si="111"/>
        <v>731</v>
      </c>
      <c r="F99" s="36">
        <f t="shared" si="111"/>
        <v>731</v>
      </c>
      <c r="G99" s="36">
        <f t="shared" si="111"/>
        <v>630.53479010925821</v>
      </c>
      <c r="H99" s="36">
        <f t="shared" si="111"/>
        <v>413.77358490566047</v>
      </c>
      <c r="I99" s="36">
        <f t="shared" si="111"/>
        <v>482.39145943742369</v>
      </c>
      <c r="J99" s="36">
        <f t="shared" si="111"/>
        <v>659.75423639616906</v>
      </c>
      <c r="K99" s="36">
        <f t="shared" si="111"/>
        <v>576.2889009793256</v>
      </c>
      <c r="L99" s="36">
        <f t="shared" si="111"/>
        <v>539.66719225138002</v>
      </c>
      <c r="M99" s="36">
        <f t="shared" si="111"/>
        <v>633.90873015873058</v>
      </c>
      <c r="N99" s="36">
        <f t="shared" si="111"/>
        <v>644.50526825723682</v>
      </c>
      <c r="O99" s="36">
        <f t="shared" si="111"/>
        <v>642.13189025925055</v>
      </c>
      <c r="P99" s="36">
        <f t="shared" si="111"/>
        <v>583.07662082514798</v>
      </c>
      <c r="Q99" s="36">
        <f t="shared" si="111"/>
        <v>734.09407427635267</v>
      </c>
      <c r="R99" s="36">
        <f t="shared" si="111"/>
        <v>745</v>
      </c>
      <c r="S99" s="36">
        <f t="shared" si="111"/>
        <v>764</v>
      </c>
      <c r="T99" s="36">
        <f t="shared" si="111"/>
        <v>751</v>
      </c>
      <c r="U99" s="36">
        <f t="shared" si="111"/>
        <v>776</v>
      </c>
      <c r="V99" s="36">
        <f t="shared" si="111"/>
        <v>110.0880054459341</v>
      </c>
      <c r="W99" s="36">
        <f t="shared" ref="W99" si="112">IF(W27=0,0,W27/W47)</f>
        <v>147.65023805766779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896.40837900013162</v>
      </c>
      <c r="C100" s="13">
        <f t="shared" si="104"/>
        <v>890.6127582699711</v>
      </c>
      <c r="D100" s="13">
        <f t="shared" ref="D100:V100" si="113">IF(D28=0,0,D28/D48)</f>
        <v>683.74362560564145</v>
      </c>
      <c r="E100" s="13">
        <f t="shared" si="113"/>
        <v>751.61143098354421</v>
      </c>
      <c r="F100" s="13">
        <f t="shared" si="113"/>
        <v>600.57853351661925</v>
      </c>
      <c r="G100" s="13">
        <f t="shared" si="113"/>
        <v>463.88770055059149</v>
      </c>
      <c r="H100" s="13">
        <f t="shared" si="113"/>
        <v>584.3980206103646</v>
      </c>
      <c r="I100" s="13">
        <f t="shared" si="113"/>
        <v>476.25043755897457</v>
      </c>
      <c r="J100" s="13">
        <f t="shared" si="113"/>
        <v>875.2167554078552</v>
      </c>
      <c r="K100" s="13">
        <f t="shared" si="113"/>
        <v>1002.921323177987</v>
      </c>
      <c r="L100" s="13">
        <f t="shared" si="113"/>
        <v>1068.685730238539</v>
      </c>
      <c r="M100" s="13">
        <f t="shared" si="113"/>
        <v>1040.9673674179983</v>
      </c>
      <c r="N100" s="13">
        <f t="shared" si="113"/>
        <v>1028.7799753169413</v>
      </c>
      <c r="O100" s="13">
        <f t="shared" si="113"/>
        <v>1006.5530839765706</v>
      </c>
      <c r="P100" s="13">
        <f t="shared" si="113"/>
        <v>692.79593131958052</v>
      </c>
      <c r="Q100" s="13">
        <f t="shared" si="113"/>
        <v>884.44869063541819</v>
      </c>
      <c r="R100" s="13">
        <f t="shared" si="113"/>
        <v>876.96422288234032</v>
      </c>
      <c r="S100" s="13">
        <f t="shared" si="113"/>
        <v>1182.4575432711235</v>
      </c>
      <c r="T100" s="13">
        <f t="shared" si="113"/>
        <v>950.20272515865565</v>
      </c>
      <c r="U100" s="13">
        <f t="shared" si="113"/>
        <v>776.6213602778605</v>
      </c>
      <c r="V100" s="13">
        <f t="shared" si="113"/>
        <v>1101.5347020519389</v>
      </c>
      <c r="W100" s="13">
        <f t="shared" ref="W100" si="114">IF(W28=0,0,W28/W48)</f>
        <v>908.84807172735157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1112.3527529970484</v>
      </c>
      <c r="C102" s="34">
        <f t="shared" si="104"/>
        <v>1111.7308620689655</v>
      </c>
      <c r="D102" s="34">
        <f t="shared" ref="D102:V102" si="117">IF(D30=0,0,D30/D50)</f>
        <v>1100.6790821353075</v>
      </c>
      <c r="E102" s="34">
        <f t="shared" si="117"/>
        <v>1030.4503865031206</v>
      </c>
      <c r="F102" s="34">
        <f t="shared" si="117"/>
        <v>939.00415743967494</v>
      </c>
      <c r="G102" s="34">
        <f t="shared" si="117"/>
        <v>727.69112046149439</v>
      </c>
      <c r="H102" s="34">
        <f t="shared" si="117"/>
        <v>744.00431950865607</v>
      </c>
      <c r="I102" s="34">
        <f t="shared" si="117"/>
        <v>880.89993642720947</v>
      </c>
      <c r="J102" s="34">
        <f t="shared" si="117"/>
        <v>1128.1804200002071</v>
      </c>
      <c r="K102" s="34">
        <f t="shared" si="117"/>
        <v>1169.6529417126192</v>
      </c>
      <c r="L102" s="34">
        <f t="shared" si="117"/>
        <v>1173.234044266489</v>
      </c>
      <c r="M102" s="34">
        <f t="shared" si="117"/>
        <v>1140.548818980631</v>
      </c>
      <c r="N102" s="34">
        <f t="shared" si="117"/>
        <v>1119.858727668458</v>
      </c>
      <c r="O102" s="34">
        <f t="shared" si="117"/>
        <v>1084.8208993881065</v>
      </c>
      <c r="P102" s="34">
        <f t="shared" si="117"/>
        <v>702.41644167416621</v>
      </c>
      <c r="Q102" s="34">
        <f t="shared" si="117"/>
        <v>903.52423249549702</v>
      </c>
      <c r="R102" s="34">
        <f t="shared" si="117"/>
        <v>891.90151043822027</v>
      </c>
      <c r="S102" s="34">
        <f t="shared" si="117"/>
        <v>1219.3279901764547</v>
      </c>
      <c r="T102" s="34">
        <f t="shared" si="117"/>
        <v>957.37260564778398</v>
      </c>
      <c r="U102" s="34">
        <f t="shared" si="117"/>
        <v>794.93912382007363</v>
      </c>
      <c r="V102" s="34">
        <f t="shared" si="117"/>
        <v>1127.6816717220952</v>
      </c>
      <c r="W102" s="34">
        <f t="shared" ref="W102" si="118">IF(W30=0,0,W30/W50)</f>
        <v>930.93251065401773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616</v>
      </c>
      <c r="C103" s="35">
        <f t="shared" si="104"/>
        <v>616</v>
      </c>
      <c r="D103" s="35">
        <f t="shared" ref="D103:V103" si="119">IF(D31=0,0,D31/D51)</f>
        <v>165.21072796934865</v>
      </c>
      <c r="E103" s="35">
        <f t="shared" si="119"/>
        <v>616</v>
      </c>
      <c r="F103" s="35">
        <f t="shared" si="119"/>
        <v>450.19607843137248</v>
      </c>
      <c r="G103" s="35">
        <f t="shared" si="119"/>
        <v>358.94736842105254</v>
      </c>
      <c r="H103" s="35">
        <f t="shared" si="119"/>
        <v>526.60039761431403</v>
      </c>
      <c r="I103" s="35">
        <f t="shared" si="119"/>
        <v>350.88607594936695</v>
      </c>
      <c r="J103" s="35">
        <f t="shared" si="119"/>
        <v>179.9550561797752</v>
      </c>
      <c r="K103" s="35">
        <f t="shared" si="119"/>
        <v>133.26923076923069</v>
      </c>
      <c r="L103" s="35">
        <f t="shared" si="119"/>
        <v>318.34625322997397</v>
      </c>
      <c r="M103" s="35">
        <f t="shared" si="119"/>
        <v>34.413407821229029</v>
      </c>
      <c r="N103" s="35">
        <f t="shared" si="119"/>
        <v>37.44680851063827</v>
      </c>
      <c r="O103" s="35">
        <f t="shared" si="119"/>
        <v>82.133333333333269</v>
      </c>
      <c r="P103" s="35">
        <f t="shared" si="119"/>
        <v>568.26568265682613</v>
      </c>
      <c r="Q103" s="35">
        <f t="shared" si="119"/>
        <v>610.90909090909042</v>
      </c>
      <c r="R103" s="35">
        <f t="shared" si="119"/>
        <v>636.24413145539847</v>
      </c>
      <c r="S103" s="35">
        <f t="shared" si="119"/>
        <v>502.17391304347774</v>
      </c>
      <c r="T103" s="35">
        <f t="shared" si="119"/>
        <v>794.83870967741848</v>
      </c>
      <c r="U103" s="35">
        <f t="shared" si="119"/>
        <v>293.33333333333292</v>
      </c>
      <c r="V103" s="35">
        <f t="shared" si="119"/>
        <v>288.74999999999955</v>
      </c>
      <c r="W103" s="35">
        <f t="shared" ref="W103" si="120">IF(W31=0,0,W31/W51)</f>
        <v>70.53435114503803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" si="126">IF(W5=0,0,W5/W$4)</f>
        <v>0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0.65914524543861042</v>
      </c>
      <c r="C108" s="43">
        <f t="shared" si="127"/>
        <v>0.65922357091293493</v>
      </c>
      <c r="D108" s="43">
        <f t="shared" ref="D108:V108" si="128">IF(D6=0,0,D6/D$4)</f>
        <v>0.58096240497693752</v>
      </c>
      <c r="E108" s="43">
        <f t="shared" si="128"/>
        <v>0.59722809675747612</v>
      </c>
      <c r="F108" s="43">
        <f t="shared" si="128"/>
        <v>0.62012919272340328</v>
      </c>
      <c r="G108" s="43">
        <f t="shared" si="128"/>
        <v>0.70054452983613091</v>
      </c>
      <c r="H108" s="43">
        <f t="shared" si="128"/>
        <v>0.80215575568375874</v>
      </c>
      <c r="I108" s="43">
        <f t="shared" si="128"/>
        <v>0.72766908207428682</v>
      </c>
      <c r="J108" s="43">
        <f t="shared" si="128"/>
        <v>0.74101416629210504</v>
      </c>
      <c r="K108" s="43">
        <f t="shared" si="128"/>
        <v>0.72688349558705245</v>
      </c>
      <c r="L108" s="43">
        <f t="shared" si="128"/>
        <v>0.71013668031310262</v>
      </c>
      <c r="M108" s="43">
        <f t="shared" si="128"/>
        <v>0.73165142659226512</v>
      </c>
      <c r="N108" s="43">
        <f t="shared" si="128"/>
        <v>0.70423014913867998</v>
      </c>
      <c r="O108" s="43">
        <f t="shared" si="128"/>
        <v>0.73624972974331993</v>
      </c>
      <c r="P108" s="43">
        <f t="shared" si="128"/>
        <v>0.75002276149050484</v>
      </c>
      <c r="Q108" s="43">
        <f t="shared" si="128"/>
        <v>0.73780515242280531</v>
      </c>
      <c r="R108" s="43">
        <f t="shared" si="128"/>
        <v>0.76790767452532416</v>
      </c>
      <c r="S108" s="43">
        <f t="shared" si="128"/>
        <v>0.6550257443415366</v>
      </c>
      <c r="T108" s="43">
        <f t="shared" si="128"/>
        <v>0.62516109795967578</v>
      </c>
      <c r="U108" s="43">
        <f t="shared" si="128"/>
        <v>0.60362099882891762</v>
      </c>
      <c r="V108" s="43">
        <f t="shared" si="128"/>
        <v>0.73098690566904412</v>
      </c>
      <c r="W108" s="43">
        <f t="shared" ref="W108" si="129">IF(W6=0,0,W6/W$4)</f>
        <v>0.73734764414244314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0.34085475456138964</v>
      </c>
      <c r="C109" s="43">
        <f t="shared" si="130"/>
        <v>0.34077642908706507</v>
      </c>
      <c r="D109" s="43">
        <f t="shared" ref="D109:V109" si="131">IF(D7=0,0,D7/D$4)</f>
        <v>0.41903759502306254</v>
      </c>
      <c r="E109" s="43">
        <f t="shared" si="131"/>
        <v>0.40277190324252382</v>
      </c>
      <c r="F109" s="43">
        <f t="shared" si="131"/>
        <v>0.37987080727659672</v>
      </c>
      <c r="G109" s="43">
        <f t="shared" si="131"/>
        <v>0.2994554701638692</v>
      </c>
      <c r="H109" s="43">
        <f t="shared" si="131"/>
        <v>0.19784424431624129</v>
      </c>
      <c r="I109" s="43">
        <f t="shared" si="131"/>
        <v>0.27233091792571318</v>
      </c>
      <c r="J109" s="43">
        <f t="shared" si="131"/>
        <v>0.25898583370789496</v>
      </c>
      <c r="K109" s="43">
        <f t="shared" si="131"/>
        <v>0.27311650441294755</v>
      </c>
      <c r="L109" s="43">
        <f t="shared" si="131"/>
        <v>0.28986331968689732</v>
      </c>
      <c r="M109" s="43">
        <f t="shared" si="131"/>
        <v>0.26834857340773488</v>
      </c>
      <c r="N109" s="43">
        <f t="shared" si="131"/>
        <v>0.29576985086132002</v>
      </c>
      <c r="O109" s="43">
        <f t="shared" si="131"/>
        <v>0.26375027025667996</v>
      </c>
      <c r="P109" s="43">
        <f t="shared" si="131"/>
        <v>0.24997723850949513</v>
      </c>
      <c r="Q109" s="43">
        <f t="shared" si="131"/>
        <v>0.26219484757719475</v>
      </c>
      <c r="R109" s="43">
        <f t="shared" si="131"/>
        <v>0.23209232547467593</v>
      </c>
      <c r="S109" s="43">
        <f t="shared" si="131"/>
        <v>0.34497425565846335</v>
      </c>
      <c r="T109" s="43">
        <f t="shared" si="131"/>
        <v>0.37483890204032427</v>
      </c>
      <c r="U109" s="43">
        <f t="shared" si="131"/>
        <v>0.39637900117108243</v>
      </c>
      <c r="V109" s="43">
        <f t="shared" si="131"/>
        <v>0.26901309433095583</v>
      </c>
      <c r="W109" s="43">
        <f t="shared" ref="W109" si="132">IF(W7=0,0,W7/W$4)</f>
        <v>0.26265235585755681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0.30740243180752008</v>
      </c>
      <c r="C112" s="44">
        <f t="shared" si="139"/>
        <v>0.29621308935942547</v>
      </c>
      <c r="D112" s="44">
        <f t="shared" ref="D112:V112" si="140">IF(D10=0,0,D10/D$8)</f>
        <v>0.60735209335876128</v>
      </c>
      <c r="E112" s="44">
        <f t="shared" si="140"/>
        <v>0.14663882380918933</v>
      </c>
      <c r="F112" s="44">
        <f t="shared" si="140"/>
        <v>0.15451085486833077</v>
      </c>
      <c r="G112" s="44">
        <f t="shared" si="140"/>
        <v>0.14000486687270941</v>
      </c>
      <c r="H112" s="44">
        <f t="shared" si="140"/>
        <v>7.806824790406898E-2</v>
      </c>
      <c r="I112" s="44">
        <f t="shared" si="140"/>
        <v>9.8508391122585789E-2</v>
      </c>
      <c r="J112" s="44">
        <f t="shared" si="140"/>
        <v>0.72291289695790106</v>
      </c>
      <c r="K112" s="44">
        <f t="shared" si="140"/>
        <v>0.86317291303060362</v>
      </c>
      <c r="L112" s="44">
        <f t="shared" si="140"/>
        <v>0.771365777500156</v>
      </c>
      <c r="M112" s="44">
        <f t="shared" si="140"/>
        <v>0.98134527553992645</v>
      </c>
      <c r="N112" s="44">
        <f t="shared" si="140"/>
        <v>0.97923718926925796</v>
      </c>
      <c r="O112" s="44">
        <f t="shared" si="140"/>
        <v>0.96301036457998634</v>
      </c>
      <c r="P112" s="44">
        <f t="shared" si="140"/>
        <v>0.73844877837347489</v>
      </c>
      <c r="Q112" s="44">
        <f t="shared" si="140"/>
        <v>0.78545080461389172</v>
      </c>
      <c r="R112" s="44">
        <f t="shared" si="140"/>
        <v>0.79253816646883157</v>
      </c>
      <c r="S112" s="44">
        <f t="shared" si="140"/>
        <v>0.89593879771475482</v>
      </c>
      <c r="T112" s="44">
        <f t="shared" si="140"/>
        <v>0.85379189859069304</v>
      </c>
      <c r="U112" s="44">
        <f t="shared" si="140"/>
        <v>0.94852397920112674</v>
      </c>
      <c r="V112" s="44">
        <f t="shared" si="140"/>
        <v>0.96782137035251936</v>
      </c>
      <c r="W112" s="44">
        <f t="shared" ref="W112" si="141">IF(W10=0,0,W10/W$8)</f>
        <v>0.99186788468881981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0.69259756819247997</v>
      </c>
      <c r="C113" s="45">
        <f t="shared" si="142"/>
        <v>0.70378691064057453</v>
      </c>
      <c r="D113" s="45">
        <f t="shared" ref="D113:V113" si="143">IF(D11=0,0,D11/D$8)</f>
        <v>0.39264790664123866</v>
      </c>
      <c r="E113" s="45">
        <f t="shared" si="143"/>
        <v>0.85336117619081064</v>
      </c>
      <c r="F113" s="45">
        <f t="shared" si="143"/>
        <v>0.84548914513166917</v>
      </c>
      <c r="G113" s="45">
        <f t="shared" si="143"/>
        <v>0.8599951331272907</v>
      </c>
      <c r="H113" s="45">
        <f t="shared" si="143"/>
        <v>0.92193175209593103</v>
      </c>
      <c r="I113" s="45">
        <f t="shared" si="143"/>
        <v>0.9014916088774142</v>
      </c>
      <c r="J113" s="45">
        <f t="shared" si="143"/>
        <v>0.27708710304209888</v>
      </c>
      <c r="K113" s="45">
        <f t="shared" si="143"/>
        <v>0.13682708696939636</v>
      </c>
      <c r="L113" s="45">
        <f t="shared" si="143"/>
        <v>0.228634222499844</v>
      </c>
      <c r="M113" s="45">
        <f t="shared" si="143"/>
        <v>1.8654724460073553E-2</v>
      </c>
      <c r="N113" s="45">
        <f t="shared" si="143"/>
        <v>2.0762810730742001E-2</v>
      </c>
      <c r="O113" s="45">
        <f t="shared" si="143"/>
        <v>3.6989635420013656E-2</v>
      </c>
      <c r="P113" s="45">
        <f t="shared" si="143"/>
        <v>0.26155122162652511</v>
      </c>
      <c r="Q113" s="45">
        <f t="shared" si="143"/>
        <v>0.21454919538610828</v>
      </c>
      <c r="R113" s="45">
        <f t="shared" si="143"/>
        <v>0.2074618335311684</v>
      </c>
      <c r="S113" s="45">
        <f t="shared" si="143"/>
        <v>0.10406120228524517</v>
      </c>
      <c r="T113" s="45">
        <f t="shared" si="143"/>
        <v>0.14620810140930704</v>
      </c>
      <c r="U113" s="45">
        <f t="shared" si="143"/>
        <v>5.1476020798873222E-2</v>
      </c>
      <c r="V113" s="45">
        <f t="shared" si="143"/>
        <v>3.2178629647480632E-2</v>
      </c>
      <c r="W113" s="45">
        <f t="shared" ref="W113" si="144">IF(W11=0,0,W11/W$8)</f>
        <v>8.1321153111801915E-3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" si="150">IF(W15=0,0,W15/W$14)</f>
        <v>0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0.64326248762490357</v>
      </c>
      <c r="C118" s="43">
        <f t="shared" si="151"/>
        <v>0.64298484720408777</v>
      </c>
      <c r="D118" s="43">
        <f t="shared" ref="D118:V118" si="152">IF(D16=0,0,D16/D$14)</f>
        <v>0.56396824947305524</v>
      </c>
      <c r="E118" s="43">
        <f t="shared" si="152"/>
        <v>0.58264823407565414</v>
      </c>
      <c r="F118" s="43">
        <f t="shared" si="152"/>
        <v>0.60922062613418371</v>
      </c>
      <c r="G118" s="43">
        <f t="shared" si="152"/>
        <v>0.69248831533995114</v>
      </c>
      <c r="H118" s="43">
        <f t="shared" si="152"/>
        <v>0.80048621156406785</v>
      </c>
      <c r="I118" s="43">
        <f t="shared" si="152"/>
        <v>0.75019403774108739</v>
      </c>
      <c r="J118" s="43">
        <f t="shared" si="152"/>
        <v>0.75403750331474451</v>
      </c>
      <c r="K118" s="43">
        <f t="shared" si="152"/>
        <v>0.74515377467220401</v>
      </c>
      <c r="L118" s="43">
        <f t="shared" si="152"/>
        <v>0.7423024358477528</v>
      </c>
      <c r="M118" s="43">
        <f t="shared" si="152"/>
        <v>0.73038623269187974</v>
      </c>
      <c r="N118" s="43">
        <f t="shared" si="152"/>
        <v>0.69168668607182338</v>
      </c>
      <c r="O118" s="43">
        <f t="shared" si="152"/>
        <v>0.7103337929020227</v>
      </c>
      <c r="P118" s="43">
        <f t="shared" si="152"/>
        <v>0.75518221049180867</v>
      </c>
      <c r="Q118" s="43">
        <f t="shared" si="152"/>
        <v>0.72470469437617457</v>
      </c>
      <c r="R118" s="43">
        <f t="shared" si="152"/>
        <v>0.74784302274438297</v>
      </c>
      <c r="S118" s="43">
        <f t="shared" si="152"/>
        <v>0.66184595801597301</v>
      </c>
      <c r="T118" s="43">
        <f t="shared" si="152"/>
        <v>0.63860205465858011</v>
      </c>
      <c r="U118" s="43">
        <f t="shared" si="152"/>
        <v>0.61987252946044236</v>
      </c>
      <c r="V118" s="43">
        <f t="shared" si="152"/>
        <v>0.76648189955424184</v>
      </c>
      <c r="W118" s="43">
        <f t="shared" ref="W118" si="153">IF(W16=0,0,W16/W$14)</f>
        <v>0.76986563474050429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0.35673751237509649</v>
      </c>
      <c r="C119" s="43">
        <f t="shared" si="154"/>
        <v>0.35701515279591223</v>
      </c>
      <c r="D119" s="43">
        <f t="shared" ref="D119:V119" si="155">IF(D17=0,0,D17/D$14)</f>
        <v>0.43603175052694482</v>
      </c>
      <c r="E119" s="43">
        <f t="shared" si="155"/>
        <v>0.41735176592434575</v>
      </c>
      <c r="F119" s="43">
        <f t="shared" si="155"/>
        <v>0.39077937386581618</v>
      </c>
      <c r="G119" s="43">
        <f t="shared" si="155"/>
        <v>0.30751168466004891</v>
      </c>
      <c r="H119" s="43">
        <f t="shared" si="155"/>
        <v>0.1995137884359322</v>
      </c>
      <c r="I119" s="43">
        <f t="shared" si="155"/>
        <v>0.2498059622589125</v>
      </c>
      <c r="J119" s="43">
        <f t="shared" si="155"/>
        <v>0.24596249668525555</v>
      </c>
      <c r="K119" s="43">
        <f t="shared" si="155"/>
        <v>0.25484622532779594</v>
      </c>
      <c r="L119" s="43">
        <f t="shared" si="155"/>
        <v>0.2576975641522472</v>
      </c>
      <c r="M119" s="43">
        <f t="shared" si="155"/>
        <v>0.26961376730812026</v>
      </c>
      <c r="N119" s="43">
        <f t="shared" si="155"/>
        <v>0.30831331392817662</v>
      </c>
      <c r="O119" s="43">
        <f t="shared" si="155"/>
        <v>0.28966620709797736</v>
      </c>
      <c r="P119" s="43">
        <f t="shared" si="155"/>
        <v>0.24481778950819147</v>
      </c>
      <c r="Q119" s="43">
        <f t="shared" si="155"/>
        <v>0.27529530562382548</v>
      </c>
      <c r="R119" s="43">
        <f t="shared" si="155"/>
        <v>0.25215697725561703</v>
      </c>
      <c r="S119" s="43">
        <f t="shared" si="155"/>
        <v>0.33815404198402704</v>
      </c>
      <c r="T119" s="43">
        <f t="shared" si="155"/>
        <v>0.36139794534141984</v>
      </c>
      <c r="U119" s="43">
        <f t="shared" si="155"/>
        <v>0.38012747053955759</v>
      </c>
      <c r="V119" s="43">
        <f t="shared" si="155"/>
        <v>0.2335181004457581</v>
      </c>
      <c r="W119" s="43">
        <f t="shared" ref="W119" si="156">IF(W17=0,0,W17/W$14)</f>
        <v>0.23013436525949577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0.47949372915354005</v>
      </c>
      <c r="C122" s="44">
        <f t="shared" si="163"/>
        <v>0.46863991125112636</v>
      </c>
      <c r="D122" s="44">
        <f t="shared" ref="D122:V122" si="164">IF(D20=0,0,D20/D$18)</f>
        <v>0.7660541130367341</v>
      </c>
      <c r="E122" s="44">
        <f t="shared" si="164"/>
        <v>0.24185574304714269</v>
      </c>
      <c r="F122" s="44">
        <f t="shared" si="164"/>
        <v>0.26822386351221317</v>
      </c>
      <c r="G122" s="44">
        <f t="shared" si="164"/>
        <v>0.24223576334086763</v>
      </c>
      <c r="H122" s="44">
        <f t="shared" si="164"/>
        <v>0.16546662538657492</v>
      </c>
      <c r="I122" s="44">
        <f t="shared" si="164"/>
        <v>0.20863954698311471</v>
      </c>
      <c r="J122" s="44">
        <f t="shared" si="164"/>
        <v>0.85318649758438414</v>
      </c>
      <c r="K122" s="44">
        <f t="shared" si="164"/>
        <v>0.93915508807291759</v>
      </c>
      <c r="L122" s="44">
        <f t="shared" si="164"/>
        <v>0.89374461951504081</v>
      </c>
      <c r="M122" s="44">
        <f t="shared" si="164"/>
        <v>0.99241520785335624</v>
      </c>
      <c r="N122" s="44">
        <f t="shared" si="164"/>
        <v>0.99219038337772758</v>
      </c>
      <c r="O122" s="44">
        <f t="shared" si="164"/>
        <v>0.98554378958203503</v>
      </c>
      <c r="P122" s="44">
        <f t="shared" si="164"/>
        <v>0.88044006693814647</v>
      </c>
      <c r="Q122" s="44">
        <f t="shared" si="164"/>
        <v>0.90867777751754042</v>
      </c>
      <c r="R122" s="44">
        <f t="shared" si="164"/>
        <v>0.91936352040526081</v>
      </c>
      <c r="S122" s="44">
        <f t="shared" si="164"/>
        <v>0.96312575146806112</v>
      </c>
      <c r="T122" s="44">
        <f t="shared" si="164"/>
        <v>0.94417206943429011</v>
      </c>
      <c r="U122" s="44">
        <f t="shared" si="164"/>
        <v>0.98120826525689886</v>
      </c>
      <c r="V122" s="44">
        <f t="shared" si="164"/>
        <v>0.98481977747410565</v>
      </c>
      <c r="W122" s="44">
        <f t="shared" ref="W122" si="165">IF(W20=0,0,W20/W$18)</f>
        <v>0.99706285805455031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0.52050627084645995</v>
      </c>
      <c r="C123" s="45">
        <f t="shared" si="166"/>
        <v>0.53136008874887364</v>
      </c>
      <c r="D123" s="45">
        <f t="shared" ref="D123:V123" si="167">IF(D21=0,0,D21/D$18)</f>
        <v>0.23394588696326579</v>
      </c>
      <c r="E123" s="45">
        <f t="shared" si="167"/>
        <v>0.75814425695285736</v>
      </c>
      <c r="F123" s="45">
        <f t="shared" si="167"/>
        <v>0.73177613648778683</v>
      </c>
      <c r="G123" s="45">
        <f t="shared" si="167"/>
        <v>0.75776423665913228</v>
      </c>
      <c r="H123" s="45">
        <f t="shared" si="167"/>
        <v>0.83453337461342514</v>
      </c>
      <c r="I123" s="45">
        <f t="shared" si="167"/>
        <v>0.79136045301688529</v>
      </c>
      <c r="J123" s="45">
        <f t="shared" si="167"/>
        <v>0.14681350241561578</v>
      </c>
      <c r="K123" s="45">
        <f t="shared" si="167"/>
        <v>6.0844911927082398E-2</v>
      </c>
      <c r="L123" s="45">
        <f t="shared" si="167"/>
        <v>0.10625538048495911</v>
      </c>
      <c r="M123" s="45">
        <f t="shared" si="167"/>
        <v>7.5847921466436962E-3</v>
      </c>
      <c r="N123" s="45">
        <f t="shared" si="167"/>
        <v>7.809616622272521E-3</v>
      </c>
      <c r="O123" s="45">
        <f t="shared" si="167"/>
        <v>1.4456210417964957E-2</v>
      </c>
      <c r="P123" s="45">
        <f t="shared" si="167"/>
        <v>0.11955993306185363</v>
      </c>
      <c r="Q123" s="45">
        <f t="shared" si="167"/>
        <v>9.1322222482459636E-2</v>
      </c>
      <c r="R123" s="45">
        <f t="shared" si="167"/>
        <v>8.0636479594739241E-2</v>
      </c>
      <c r="S123" s="45">
        <f t="shared" si="167"/>
        <v>3.6874248531938873E-2</v>
      </c>
      <c r="T123" s="45">
        <f t="shared" si="167"/>
        <v>5.5827930565709852E-2</v>
      </c>
      <c r="U123" s="45">
        <f t="shared" si="167"/>
        <v>1.8791734743101089E-2</v>
      </c>
      <c r="V123" s="45">
        <f t="shared" si="167"/>
        <v>1.5180222525894403E-2</v>
      </c>
      <c r="W123" s="45">
        <f t="shared" ref="W123" si="168">IF(W21=0,0,W21/W$18)</f>
        <v>2.9371419454496707E-3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27.386070507308677</v>
      </c>
      <c r="C3" s="79">
        <f t="shared" si="0"/>
        <v>31.030352536543422</v>
      </c>
      <c r="D3" s="79">
        <f t="shared" ref="D3" si="1">SUM(D4:D5)</f>
        <v>46.528374892519338</v>
      </c>
      <c r="E3" s="79">
        <f t="shared" ref="E3" si="2">SUM(E4:E5)</f>
        <v>33.896216680997426</v>
      </c>
      <c r="F3" s="79">
        <f t="shared" ref="F3" si="3">SUM(F4:F5)</f>
        <v>26.893035253654336</v>
      </c>
      <c r="G3" s="79">
        <f t="shared" ref="G3" si="4">SUM(G4:G5)</f>
        <v>39.305159071367157</v>
      </c>
      <c r="H3" s="79">
        <f t="shared" ref="H3" si="5">SUM(H4:H5)</f>
        <v>40.231470335339637</v>
      </c>
      <c r="I3" s="79">
        <f t="shared" ref="I3" si="6">SUM(I4:I5)</f>
        <v>49.64290627687015</v>
      </c>
      <c r="J3" s="79">
        <f t="shared" ref="J3" si="7">SUM(J4:J5)</f>
        <v>63.087790197764392</v>
      </c>
      <c r="K3" s="79">
        <f t="shared" ref="K3" si="8">SUM(K4:K5)</f>
        <v>45.504901117798795</v>
      </c>
      <c r="L3" s="79">
        <f t="shared" ref="L3" si="9">SUM(L4:L5)</f>
        <v>41.369045571797081</v>
      </c>
      <c r="M3" s="79">
        <f t="shared" ref="M3" si="10">SUM(M4:M5)</f>
        <v>43.436543422184002</v>
      </c>
      <c r="N3" s="79">
        <f t="shared" ref="N3" si="11">SUM(N4:N5)</f>
        <v>37.231298366294062</v>
      </c>
      <c r="O3" s="79">
        <f t="shared" ref="O3" si="12">SUM(O4:O5)</f>
        <v>41.368099742046425</v>
      </c>
      <c r="P3" s="79">
        <f t="shared" ref="P3" si="13">SUM(P4:P5)</f>
        <v>35.162854686156507</v>
      </c>
      <c r="Q3" s="79">
        <f t="shared" ref="Q3" si="14">SUM(Q4:Q5)</f>
        <v>43.436543422184002</v>
      </c>
      <c r="R3" s="79">
        <f t="shared" ref="R3" si="15">SUM(R4:R5)</f>
        <v>49.641702493551158</v>
      </c>
      <c r="S3" s="79">
        <f t="shared" ref="S3" si="16">SUM(S4:S5)</f>
        <v>40.333877901977637</v>
      </c>
      <c r="T3" s="79">
        <f t="shared" ref="T3" si="17">SUM(T4:T5)</f>
        <v>47.573344797936372</v>
      </c>
      <c r="U3" s="79">
        <f t="shared" ref="U3" si="18">SUM(U4:U5)</f>
        <v>45.504901117798781</v>
      </c>
      <c r="V3" s="79">
        <f t="shared" ref="V3:W3" si="19">SUM(V4:V5)</f>
        <v>28.957695614789344</v>
      </c>
      <c r="W3" s="79">
        <f t="shared" si="19"/>
        <v>22.752450558899405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27.386070507308677</v>
      </c>
      <c r="C5" s="96">
        <f t="shared" si="23"/>
        <v>31.030352536543422</v>
      </c>
      <c r="D5" s="96">
        <f t="shared" ref="D5:V5" si="24">SUM(D8:D9,D12:D13)</f>
        <v>46.528374892519338</v>
      </c>
      <c r="E5" s="96">
        <f t="shared" si="24"/>
        <v>33.896216680997426</v>
      </c>
      <c r="F5" s="96">
        <f t="shared" si="24"/>
        <v>26.893035253654336</v>
      </c>
      <c r="G5" s="96">
        <f t="shared" si="24"/>
        <v>39.305159071367157</v>
      </c>
      <c r="H5" s="96">
        <f t="shared" si="24"/>
        <v>40.231470335339637</v>
      </c>
      <c r="I5" s="96">
        <f t="shared" si="24"/>
        <v>49.64290627687015</v>
      </c>
      <c r="J5" s="96">
        <f t="shared" si="24"/>
        <v>63.087790197764392</v>
      </c>
      <c r="K5" s="96">
        <f t="shared" si="24"/>
        <v>45.504901117798795</v>
      </c>
      <c r="L5" s="96">
        <f t="shared" si="24"/>
        <v>41.369045571797081</v>
      </c>
      <c r="M5" s="96">
        <f t="shared" si="24"/>
        <v>43.436543422184002</v>
      </c>
      <c r="N5" s="96">
        <f t="shared" si="24"/>
        <v>37.231298366294062</v>
      </c>
      <c r="O5" s="96">
        <f t="shared" si="24"/>
        <v>41.368099742046425</v>
      </c>
      <c r="P5" s="96">
        <f t="shared" si="24"/>
        <v>35.162854686156507</v>
      </c>
      <c r="Q5" s="96">
        <f t="shared" si="24"/>
        <v>43.436543422184002</v>
      </c>
      <c r="R5" s="96">
        <f t="shared" si="24"/>
        <v>49.641702493551158</v>
      </c>
      <c r="S5" s="96">
        <f t="shared" si="24"/>
        <v>40.333877901977637</v>
      </c>
      <c r="T5" s="96">
        <f t="shared" si="24"/>
        <v>47.573344797936372</v>
      </c>
      <c r="U5" s="96">
        <f t="shared" si="24"/>
        <v>45.504901117798781</v>
      </c>
      <c r="V5" s="96">
        <f t="shared" si="24"/>
        <v>28.957695614789344</v>
      </c>
      <c r="W5" s="96">
        <f t="shared" ref="W5" si="25">SUM(W8:W9,W12:W13)</f>
        <v>22.752450558899405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26.567841611807019</v>
      </c>
      <c r="C6" s="21">
        <f t="shared" si="26"/>
        <v>30.225422000048475</v>
      </c>
      <c r="D6" s="21">
        <f t="shared" ref="D6:V6" si="27">SUM(D7:D9)</f>
        <v>45.98508080086313</v>
      </c>
      <c r="E6" s="21">
        <f t="shared" si="27"/>
        <v>33.170703652420137</v>
      </c>
      <c r="F6" s="21">
        <f t="shared" si="27"/>
        <v>26.635215102530765</v>
      </c>
      <c r="G6" s="21">
        <f t="shared" si="27"/>
        <v>39.016942997321095</v>
      </c>
      <c r="H6" s="21">
        <f t="shared" si="27"/>
        <v>39.671263484335697</v>
      </c>
      <c r="I6" s="21">
        <f t="shared" si="27"/>
        <v>49.210337435329407</v>
      </c>
      <c r="J6" s="21">
        <f t="shared" si="27"/>
        <v>62.404589429783954</v>
      </c>
      <c r="K6" s="21">
        <f t="shared" si="27"/>
        <v>44.493838555881929</v>
      </c>
      <c r="L6" s="21">
        <f t="shared" si="27"/>
        <v>39.980281765054279</v>
      </c>
      <c r="M6" s="21">
        <f t="shared" si="27"/>
        <v>41.813397070956711</v>
      </c>
      <c r="N6" s="21">
        <f t="shared" si="27"/>
        <v>35.480227854039171</v>
      </c>
      <c r="O6" s="21">
        <f t="shared" si="27"/>
        <v>39.480855651096789</v>
      </c>
      <c r="P6" s="21">
        <f t="shared" si="27"/>
        <v>34.01925709459109</v>
      </c>
      <c r="Q6" s="21">
        <f t="shared" si="27"/>
        <v>42.011362600926184</v>
      </c>
      <c r="R6" s="21">
        <f t="shared" si="27"/>
        <v>48.320599238234763</v>
      </c>
      <c r="S6" s="21">
        <f t="shared" si="27"/>
        <v>38.971751223184746</v>
      </c>
      <c r="T6" s="21">
        <f t="shared" si="27"/>
        <v>46.464193499546028</v>
      </c>
      <c r="U6" s="21">
        <f t="shared" si="27"/>
        <v>44.616258689143969</v>
      </c>
      <c r="V6" s="21">
        <f t="shared" si="27"/>
        <v>26.217878844010784</v>
      </c>
      <c r="W6" s="21">
        <f t="shared" ref="W6" si="28">SUM(W7:W9)</f>
        <v>21.180376739698062</v>
      </c>
      <c r="DA6" s="189" t="s">
        <v>279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280</v>
      </c>
    </row>
    <row r="8" spans="1:105" ht="11.45" customHeight="1" x14ac:dyDescent="0.25">
      <c r="A8" s="83" t="s">
        <v>173</v>
      </c>
      <c r="B8" s="96">
        <v>16.158100131027851</v>
      </c>
      <c r="C8" s="96">
        <v>18.364026167820192</v>
      </c>
      <c r="D8" s="96">
        <v>24.276147968729845</v>
      </c>
      <c r="E8" s="96">
        <v>17.985772302956217</v>
      </c>
      <c r="F8" s="96">
        <v>15.328476808610347</v>
      </c>
      <c r="G8" s="96">
        <v>23.646627043713462</v>
      </c>
      <c r="H8" s="96">
        <v>25.387500776577788</v>
      </c>
      <c r="I8" s="96">
        <v>32.101292154640596</v>
      </c>
      <c r="J8" s="96">
        <v>42.62293574258247</v>
      </c>
      <c r="K8" s="96">
        <v>28.96774765340863</v>
      </c>
      <c r="L8" s="96">
        <v>25.075509327150396</v>
      </c>
      <c r="M8" s="96">
        <v>25.680097693136151</v>
      </c>
      <c r="N8" s="96">
        <v>21.59453704564238</v>
      </c>
      <c r="O8" s="96">
        <v>23.892949464801958</v>
      </c>
      <c r="P8" s="96">
        <v>21.132521658739922</v>
      </c>
      <c r="Q8" s="96">
        <v>26.958995842153307</v>
      </c>
      <c r="R8" s="96">
        <v>31.629441427339657</v>
      </c>
      <c r="S8" s="96">
        <v>25.205470616497749</v>
      </c>
      <c r="T8" s="96">
        <v>30.324866073684269</v>
      </c>
      <c r="U8" s="96">
        <v>29.05500504895781</v>
      </c>
      <c r="V8" s="96">
        <v>14.50909182210523</v>
      </c>
      <c r="W8" s="96">
        <v>12.541704130652626</v>
      </c>
      <c r="DA8" s="171" t="s">
        <v>281</v>
      </c>
    </row>
    <row r="9" spans="1:105" ht="11.45" customHeight="1" x14ac:dyDescent="0.25">
      <c r="A9" s="83" t="s">
        <v>174</v>
      </c>
      <c r="B9" s="96">
        <v>10.40974148077917</v>
      </c>
      <c r="C9" s="96">
        <v>11.861395832228283</v>
      </c>
      <c r="D9" s="96">
        <v>21.708932832133282</v>
      </c>
      <c r="E9" s="96">
        <v>15.18493134946392</v>
      </c>
      <c r="F9" s="96">
        <v>11.30673829392042</v>
      </c>
      <c r="G9" s="96">
        <v>15.370315953607632</v>
      </c>
      <c r="H9" s="96">
        <v>14.283762707757905</v>
      </c>
      <c r="I9" s="96">
        <v>17.109045280688814</v>
      </c>
      <c r="J9" s="96">
        <v>19.781653687201484</v>
      </c>
      <c r="K9" s="96">
        <v>15.526090902473298</v>
      </c>
      <c r="L9" s="96">
        <v>14.904772437903882</v>
      </c>
      <c r="M9" s="96">
        <v>16.133299377820556</v>
      </c>
      <c r="N9" s="96">
        <v>13.88569080839679</v>
      </c>
      <c r="O9" s="96">
        <v>15.587906186294829</v>
      </c>
      <c r="P9" s="96">
        <v>12.886735435851167</v>
      </c>
      <c r="Q9" s="96">
        <v>15.052366758772875</v>
      </c>
      <c r="R9" s="96">
        <v>16.691157810895106</v>
      </c>
      <c r="S9" s="96">
        <v>13.766280606686999</v>
      </c>
      <c r="T9" s="96">
        <v>16.139327425861762</v>
      </c>
      <c r="U9" s="96">
        <v>15.561253640186159</v>
      </c>
      <c r="V9" s="96">
        <v>11.708787021905554</v>
      </c>
      <c r="W9" s="96">
        <v>8.638672609045436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0.81822889550166011</v>
      </c>
      <c r="C10" s="22">
        <f t="shared" si="29"/>
        <v>0.80493053649494517</v>
      </c>
      <c r="D10" s="22">
        <f t="shared" ref="D10:V10" si="30">SUM(D11:D13)</f>
        <v>0.5432940916562069</v>
      </c>
      <c r="E10" s="22">
        <f t="shared" si="30"/>
        <v>0.7255130285772875</v>
      </c>
      <c r="F10" s="22">
        <f t="shared" si="30"/>
        <v>0.25782015112356998</v>
      </c>
      <c r="G10" s="22">
        <f t="shared" si="30"/>
        <v>0.28821607404606236</v>
      </c>
      <c r="H10" s="22">
        <f t="shared" si="30"/>
        <v>0.56020685100393608</v>
      </c>
      <c r="I10" s="22">
        <f t="shared" si="30"/>
        <v>0.43256884154074321</v>
      </c>
      <c r="J10" s="22">
        <f t="shared" si="30"/>
        <v>0.68320076798043938</v>
      </c>
      <c r="K10" s="22">
        <f t="shared" si="30"/>
        <v>1.0110625619168654</v>
      </c>
      <c r="L10" s="22">
        <f t="shared" si="30"/>
        <v>1.3887638067427983</v>
      </c>
      <c r="M10" s="22">
        <f t="shared" si="30"/>
        <v>1.6231463512272895</v>
      </c>
      <c r="N10" s="22">
        <f t="shared" si="30"/>
        <v>1.7510705122548922</v>
      </c>
      <c r="O10" s="22">
        <f t="shared" si="30"/>
        <v>1.8872440909496351</v>
      </c>
      <c r="P10" s="22">
        <f t="shared" si="30"/>
        <v>1.1435975915654142</v>
      </c>
      <c r="Q10" s="22">
        <f t="shared" si="30"/>
        <v>1.4251808212578181</v>
      </c>
      <c r="R10" s="22">
        <f t="shared" si="30"/>
        <v>1.3211032553163935</v>
      </c>
      <c r="S10" s="22">
        <f t="shared" si="30"/>
        <v>1.3621266787928943</v>
      </c>
      <c r="T10" s="22">
        <f t="shared" si="30"/>
        <v>1.1091512983903422</v>
      </c>
      <c r="U10" s="22">
        <f t="shared" si="30"/>
        <v>0.8886424286548108</v>
      </c>
      <c r="V10" s="22">
        <f t="shared" si="30"/>
        <v>2.7398167707785586</v>
      </c>
      <c r="W10" s="22">
        <f t="shared" ref="W10" si="31">SUM(W11:W13)</f>
        <v>1.5720738192013415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0.39698519686313538</v>
      </c>
      <c r="C12" s="97">
        <v>0.38205266876961019</v>
      </c>
      <c r="D12" s="97">
        <v>0.41886655319827237</v>
      </c>
      <c r="E12" s="97">
        <v>0.17829975112818575</v>
      </c>
      <c r="F12" s="97">
        <v>7.0592218759151129E-2</v>
      </c>
      <c r="G12" s="97">
        <v>5.846484482890911E-2</v>
      </c>
      <c r="H12" s="97">
        <v>4.9117541616509448E-2</v>
      </c>
      <c r="I12" s="97">
        <v>5.9768606828297946E-2</v>
      </c>
      <c r="J12" s="97">
        <v>0.51178399655546813</v>
      </c>
      <c r="K12" s="97">
        <v>0.89063877295326421</v>
      </c>
      <c r="L12" s="97">
        <v>1.0788614196377093</v>
      </c>
      <c r="M12" s="97">
        <v>1.5947862195775906</v>
      </c>
      <c r="N12" s="97">
        <v>1.7271990235237971</v>
      </c>
      <c r="O12" s="97">
        <v>1.8406869139004249</v>
      </c>
      <c r="P12" s="97">
        <v>0.91430916091217529</v>
      </c>
      <c r="Q12" s="97">
        <v>1.2484566227606708</v>
      </c>
      <c r="R12" s="97">
        <v>1.1768073807816672</v>
      </c>
      <c r="S12" s="97">
        <v>1.3176676228226496</v>
      </c>
      <c r="T12" s="97">
        <v>1.0613130607726657</v>
      </c>
      <c r="U12" s="97">
        <v>0.87648598551912638</v>
      </c>
      <c r="V12" s="97">
        <v>2.6853049529516748</v>
      </c>
      <c r="W12" s="97">
        <v>1.5659878464624333</v>
      </c>
      <c r="DA12" s="175" t="s">
        <v>285</v>
      </c>
    </row>
    <row r="13" spans="1:105" ht="11.45" customHeight="1" x14ac:dyDescent="0.25">
      <c r="A13" s="85" t="s">
        <v>174</v>
      </c>
      <c r="B13" s="98">
        <v>0.42124369863852473</v>
      </c>
      <c r="C13" s="98">
        <v>0.42287786772533498</v>
      </c>
      <c r="D13" s="98">
        <v>0.12442753845793449</v>
      </c>
      <c r="E13" s="98">
        <v>0.54721327744910175</v>
      </c>
      <c r="F13" s="98">
        <v>0.18722793236441884</v>
      </c>
      <c r="G13" s="98">
        <v>0.22975122921715324</v>
      </c>
      <c r="H13" s="98">
        <v>0.51108930938742658</v>
      </c>
      <c r="I13" s="98">
        <v>0.37280023471244528</v>
      </c>
      <c r="J13" s="98">
        <v>0.17141677142497128</v>
      </c>
      <c r="K13" s="98">
        <v>0.12042378896360112</v>
      </c>
      <c r="L13" s="98">
        <v>0.30990238710508905</v>
      </c>
      <c r="M13" s="98">
        <v>2.8360131649698781E-2</v>
      </c>
      <c r="N13" s="98">
        <v>2.3871488731095028E-2</v>
      </c>
      <c r="O13" s="98">
        <v>4.6557177049210217E-2</v>
      </c>
      <c r="P13" s="98">
        <v>0.22928843065323898</v>
      </c>
      <c r="Q13" s="98">
        <v>0.17672419849714724</v>
      </c>
      <c r="R13" s="98">
        <v>0.14429587453472617</v>
      </c>
      <c r="S13" s="98">
        <v>4.4459055970244715E-2</v>
      </c>
      <c r="T13" s="98">
        <v>4.7838237617676541E-2</v>
      </c>
      <c r="U13" s="98">
        <v>1.2156443135684423E-2</v>
      </c>
      <c r="V13" s="98">
        <v>5.4511817826883885E-2</v>
      </c>
      <c r="W13" s="98">
        <v>6.0859727389081554E-3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751.16970033182304</v>
      </c>
      <c r="C17" s="62">
        <f>IF(C3=0,0,C3/TrAvia_act!C13*100)</f>
        <v>754.02683574447667</v>
      </c>
      <c r="D17" s="62">
        <f>IF(D3=0,0,D3/TrAvia_act!D13*100)</f>
        <v>935.37971086202583</v>
      </c>
      <c r="E17" s="62">
        <f>IF(E3=0,0,E3/TrAvia_act!E13*100)</f>
        <v>480.88443624880995</v>
      </c>
      <c r="F17" s="62">
        <f>IF(F3=0,0,F3/TrAvia_act!F13*100)</f>
        <v>239.56330776970688</v>
      </c>
      <c r="G17" s="62">
        <f>IF(G3=0,0,G3/TrAvia_act!G13*100)</f>
        <v>316.71439853137747</v>
      </c>
      <c r="H17" s="62">
        <f>IF(H3=0,0,H3/TrAvia_act!H13*100)</f>
        <v>300.79398478803137</v>
      </c>
      <c r="I17" s="62">
        <f>IF(I3=0,0,I3/TrAvia_act!I13*100)</f>
        <v>366.35342139839662</v>
      </c>
      <c r="J17" s="62">
        <f>IF(J3=0,0,J3/TrAvia_act!J13*100)</f>
        <v>381.9838409796572</v>
      </c>
      <c r="K17" s="62">
        <f>IF(K3=0,0,K3/TrAvia_act!K13*100)</f>
        <v>372.35134100060202</v>
      </c>
      <c r="L17" s="62">
        <f>IF(L3=0,0,L3/TrAvia_act!L13*100)</f>
        <v>354.03892315180371</v>
      </c>
      <c r="M17" s="62">
        <f>IF(M3=0,0,M3/TrAvia_act!M13*100)</f>
        <v>376.43359318955231</v>
      </c>
      <c r="N17" s="62">
        <f>IF(N3=0,0,N3/TrAvia_act!N13*100)</f>
        <v>389.2837977700807</v>
      </c>
      <c r="O17" s="62">
        <f>IF(O3=0,0,O3/TrAvia_act!O13*100)</f>
        <v>449.81277994579506</v>
      </c>
      <c r="P17" s="62">
        <f>IF(P3=0,0,P3/TrAvia_act!P13*100)</f>
        <v>374.81568125434984</v>
      </c>
      <c r="Q17" s="62">
        <f>IF(Q3=0,0,Q3/TrAvia_act!Q13*100)</f>
        <v>392.1505903059267</v>
      </c>
      <c r="R17" s="62">
        <f>IF(R3=0,0,R3/TrAvia_act!R13*100)</f>
        <v>408.14201002137634</v>
      </c>
      <c r="S17" s="62">
        <f>IF(S3=0,0,S3/TrAvia_act!S13*100)</f>
        <v>304.66399167992984</v>
      </c>
      <c r="T17" s="62">
        <f>IF(T3=0,0,T3/TrAvia_act!T13*100)</f>
        <v>316.35843529520275</v>
      </c>
      <c r="U17" s="62">
        <f>IF(U3=0,0,U3/TrAvia_act!U13*100)</f>
        <v>299.77769563322482</v>
      </c>
      <c r="V17" s="62">
        <f>IF(V3=0,0,V3/TrAvia_act!V13*100)</f>
        <v>744.42723705436242</v>
      </c>
      <c r="W17" s="62">
        <f>IF(W3=0,0,W3/TrAvia_act!W13*100)</f>
        <v>433.34492272773622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755.04355544383259</v>
      </c>
      <c r="C18" s="14">
        <f>IF(C6=0,0,C6/TrAvia_act!C14*100)</f>
        <v>757.37620771569277</v>
      </c>
      <c r="D18" s="14">
        <f>IF(D6=0,0,D6/TrAvia_act!D14*100)</f>
        <v>937.31709926100098</v>
      </c>
      <c r="E18" s="14">
        <f>IF(E6=0,0,E6/TrAvia_act!E14*100)</f>
        <v>482.74768364362791</v>
      </c>
      <c r="F18" s="14">
        <f>IF(F6=0,0,F6/TrAvia_act!F14*100)</f>
        <v>239.99862987422463</v>
      </c>
      <c r="G18" s="14">
        <f>IF(G6=0,0,G6/TrAvia_act!G14*100)</f>
        <v>316.86367201910741</v>
      </c>
      <c r="H18" s="14">
        <f>IF(H6=0,0,H6/TrAvia_act!H14*100)</f>
        <v>299.54956944373174</v>
      </c>
      <c r="I18" s="14">
        <f>IF(I6=0,0,I6/TrAvia_act!I14*100)</f>
        <v>365.76162386074589</v>
      </c>
      <c r="J18" s="14">
        <f>IF(J6=0,0,J6/TrAvia_act!J14*100)</f>
        <v>383.07947338957712</v>
      </c>
      <c r="K18" s="14">
        <f>IF(K6=0,0,K6/TrAvia_act!K14*100)</f>
        <v>374.42936221112529</v>
      </c>
      <c r="L18" s="14">
        <f>IF(L6=0,0,L6/TrAvia_act!L14*100)</f>
        <v>355.82728195811433</v>
      </c>
      <c r="M18" s="14">
        <f>IF(M6=0,0,M6/TrAvia_act!M14*100)</f>
        <v>380.73334786345788</v>
      </c>
      <c r="N18" s="14">
        <f>IF(N6=0,0,N6/TrAvia_act!N14*100)</f>
        <v>391.72006974200684</v>
      </c>
      <c r="O18" s="14">
        <f>IF(O6=0,0,O6/TrAvia_act!O14*100)</f>
        <v>452.46779728102899</v>
      </c>
      <c r="P18" s="14">
        <f>IF(P6=0,0,P6/TrAvia_act!P14*100)</f>
        <v>375.55586716223803</v>
      </c>
      <c r="Q18" s="14">
        <f>IF(Q6=0,0,Q6/TrAvia_act!Q14*100)</f>
        <v>393.79044720015759</v>
      </c>
      <c r="R18" s="14">
        <f>IF(R6=0,0,R6/TrAvia_act!R14*100)</f>
        <v>409.67388082970854</v>
      </c>
      <c r="S18" s="14">
        <f>IF(S6=0,0,S6/TrAvia_act!S14*100)</f>
        <v>304.7705189302124</v>
      </c>
      <c r="T18" s="14">
        <f>IF(T6=0,0,T6/TrAvia_act!T14*100)</f>
        <v>316.44316734821234</v>
      </c>
      <c r="U18" s="14">
        <f>IF(U6=0,0,U6/TrAvia_act!U14*100)</f>
        <v>299.43156039043402</v>
      </c>
      <c r="V18" s="14">
        <f>IF(V6=0,0,V6/TrAvia_act!V14*100)</f>
        <v>734.41247481995345</v>
      </c>
      <c r="W18" s="14">
        <f>IF(W6=0,0,W6/TrAvia_act!W14*100)</f>
        <v>431.93459784932048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713.8678128843967</v>
      </c>
      <c r="C20" s="87">
        <f>IF(C8=0,0,C8/TrAvia_act!C16*100)</f>
        <v>715.65951464659565</v>
      </c>
      <c r="D20" s="87">
        <f>IF(D8=0,0,D8/TrAvia_act!D16*100)</f>
        <v>877.39409515592808</v>
      </c>
      <c r="E20" s="87">
        <f>IF(E8=0,0,E8/TrAvia_act!E16*100)</f>
        <v>449.25008790697979</v>
      </c>
      <c r="F20" s="87">
        <f>IF(F8=0,0,F8/TrAvia_act!F16*100)</f>
        <v>226.7132780395377</v>
      </c>
      <c r="G20" s="87">
        <f>IF(G8=0,0,G8/TrAvia_act!G16*100)</f>
        <v>277.31666170585549</v>
      </c>
      <c r="H20" s="87">
        <f>IF(H8=0,0,H8/TrAvia_act!H16*100)</f>
        <v>239.47421667763109</v>
      </c>
      <c r="I20" s="87">
        <f>IF(I8=0,0,I8/TrAvia_act!I16*100)</f>
        <v>318.0465579378623</v>
      </c>
      <c r="J20" s="87">
        <f>IF(J8=0,0,J8/TrAvia_act!J16*100)</f>
        <v>346.99463818949721</v>
      </c>
      <c r="K20" s="87">
        <f>IF(K8=0,0,K8/TrAvia_act!K16*100)</f>
        <v>327.14391470896589</v>
      </c>
      <c r="L20" s="87">
        <f>IF(L8=0,0,L8/TrAvia_act!L16*100)</f>
        <v>300.65073511075531</v>
      </c>
      <c r="M20" s="87">
        <f>IF(M8=0,0,M8/TrAvia_act!M16*100)</f>
        <v>320.14708966807945</v>
      </c>
      <c r="N20" s="87">
        <f>IF(N8=0,0,N8/TrAvia_act!N16*100)</f>
        <v>344.68620667185547</v>
      </c>
      <c r="O20" s="87">
        <f>IF(O8=0,0,O8/TrAvia_act!O16*100)</f>
        <v>385.48582023549216</v>
      </c>
      <c r="P20" s="87">
        <f>IF(P8=0,0,P8/TrAvia_act!P16*100)</f>
        <v>308.92232707805294</v>
      </c>
      <c r="Q20" s="87">
        <f>IF(Q8=0,0,Q8/TrAvia_act!Q16*100)</f>
        <v>348.69124730890917</v>
      </c>
      <c r="R20" s="87">
        <f>IF(R8=0,0,R8/TrAvia_act!R16*100)</f>
        <v>358.58080740082846</v>
      </c>
      <c r="S20" s="87">
        <f>IF(S8=0,0,S8/TrAvia_act!S16*100)</f>
        <v>297.82484381063574</v>
      </c>
      <c r="T20" s="87">
        <f>IF(T8=0,0,T8/TrAvia_act!T16*100)</f>
        <v>323.40438154886988</v>
      </c>
      <c r="U20" s="87">
        <f>IF(U8=0,0,U8/TrAvia_act!U16*100)</f>
        <v>314.57411884750616</v>
      </c>
      <c r="V20" s="87">
        <f>IF(V8=0,0,V8/TrAvia_act!V16*100)</f>
        <v>530.25017284382511</v>
      </c>
      <c r="W20" s="87">
        <f>IF(W8=0,0,W8/TrAvia_act!W16*100)</f>
        <v>332.22011846068591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829.29089324758843</v>
      </c>
      <c r="C21" s="87">
        <f>IF(C9=0,0,C9/TrAvia_act!C17*100)</f>
        <v>832.50803701994278</v>
      </c>
      <c r="D21" s="87">
        <f>IF(D9=0,0,D9/TrAvia_act!D17*100)</f>
        <v>1014.8221701359171</v>
      </c>
      <c r="E21" s="87">
        <f>IF(E9=0,0,E9/TrAvia_act!E17*100)</f>
        <v>529.51234740037876</v>
      </c>
      <c r="F21" s="87">
        <f>IF(F9=0,0,F9/TrAvia_act!F17*100)</f>
        <v>260.71034319489769</v>
      </c>
      <c r="G21" s="87">
        <f>IF(G9=0,0,G9/TrAvia_act!G17*100)</f>
        <v>405.91993854384202</v>
      </c>
      <c r="H21" s="87">
        <f>IF(H9=0,0,H9/TrAvia_act!H17*100)</f>
        <v>540.58299335444701</v>
      </c>
      <c r="I21" s="87">
        <f>IF(I9=0,0,I9/TrAvia_act!I17*100)</f>
        <v>509.05507307261757</v>
      </c>
      <c r="J21" s="87">
        <f>IF(J9=0,0,J9/TrAvia_act!J17*100)</f>
        <v>493.70332624715525</v>
      </c>
      <c r="K21" s="87">
        <f>IF(K9=0,0,K9/TrAvia_act!K17*100)</f>
        <v>512.68893285211675</v>
      </c>
      <c r="L21" s="87">
        <f>IF(L9=0,0,L9/TrAvia_act!L17*100)</f>
        <v>514.76431056838294</v>
      </c>
      <c r="M21" s="87">
        <f>IF(M9=0,0,M9/TrAvia_act!M17*100)</f>
        <v>544.86209142887287</v>
      </c>
      <c r="N21" s="87">
        <f>IF(N9=0,0,N9/TrAvia_act!N17*100)</f>
        <v>497.23837015418945</v>
      </c>
      <c r="O21" s="87">
        <f>IF(O9=0,0,O9/TrAvia_act!O17*100)</f>
        <v>616.72431269409151</v>
      </c>
      <c r="P21" s="87">
        <f>IF(P9=0,0,P9/TrAvia_act!P17*100)</f>
        <v>581.09838184124465</v>
      </c>
      <c r="Q21" s="87">
        <f>IF(Q9=0,0,Q9/TrAvia_act!Q17*100)</f>
        <v>512.51242031820755</v>
      </c>
      <c r="R21" s="87">
        <f>IF(R9=0,0,R9/TrAvia_act!R17*100)</f>
        <v>561.20487906030871</v>
      </c>
      <c r="S21" s="87">
        <f>IF(S9=0,0,S9/TrAvia_act!S17*100)</f>
        <v>318.36481748306272</v>
      </c>
      <c r="T21" s="87">
        <f>IF(T9=0,0,T9/TrAvia_act!T17*100)</f>
        <v>304.14247292323807</v>
      </c>
      <c r="U21" s="87">
        <f>IF(U9=0,0,U9/TrAvia_act!U17*100)</f>
        <v>274.73864356449502</v>
      </c>
      <c r="V21" s="87">
        <f>IF(V9=0,0,V9/TrAvia_act!V17*100)</f>
        <v>1404.5391533828365</v>
      </c>
      <c r="W21" s="87">
        <f>IF(W9=0,0,W9/TrAvia_act!W17*100)</f>
        <v>765.50820768716062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643.90123072340191</v>
      </c>
      <c r="C22" s="15">
        <f>IF(C10=0,0,C10/TrAvia_act!C18*100)</f>
        <v>646.64483185623658</v>
      </c>
      <c r="D22" s="15">
        <f>IF(D10=0,0,D10/TrAvia_act!D18*100)</f>
        <v>796.10221245045818</v>
      </c>
      <c r="E22" s="15">
        <f>IF(E10=0,0,E10/TrAvia_act!E18*100)</f>
        <v>408.75354126499326</v>
      </c>
      <c r="F22" s="15">
        <f>IF(F10=0,0,F10/TrAvia_act!F18*100)</f>
        <v>201.75658550877483</v>
      </c>
      <c r="G22" s="15">
        <f>IF(G10=0,0,G10/TrAvia_act!G18*100)</f>
        <v>297.72708114276168</v>
      </c>
      <c r="H22" s="15">
        <f>IF(H10=0,0,H10/TrAvia_act!H18*100)</f>
        <v>426.16700868561816</v>
      </c>
      <c r="I22" s="15">
        <f>IF(I10=0,0,I10/TrAvia_act!I18*100)</f>
        <v>448.99943747835192</v>
      </c>
      <c r="J22" s="15">
        <f>IF(J10=0,0,J10/TrAvia_act!J18*100)</f>
        <v>302.86307244684474</v>
      </c>
      <c r="K22" s="15">
        <f>IF(K10=0,0,K10/TrAvia_act!K18*100)</f>
        <v>299.26207424494129</v>
      </c>
      <c r="L22" s="15">
        <f>IF(L10=0,0,L10/TrAvia_act!L18*100)</f>
        <v>309.28854488694964</v>
      </c>
      <c r="M22" s="15">
        <f>IF(M10=0,0,M10/TrAvia_act!M18*100)</f>
        <v>291.59997128427688</v>
      </c>
      <c r="N22" s="15">
        <f>IF(N10=0,0,N10/TrAvia_act!N18*100)</f>
        <v>345.71719535031508</v>
      </c>
      <c r="O22" s="15">
        <f>IF(O10=0,0,O10/TrAvia_act!O18*100)</f>
        <v>400.63317087884815</v>
      </c>
      <c r="P22" s="15">
        <f>IF(P10=0,0,P10/TrAvia_act!P18*100)</f>
        <v>354.0573937474208</v>
      </c>
      <c r="Q22" s="15">
        <f>IF(Q10=0,0,Q10/TrAvia_act!Q18*100)</f>
        <v>349.27544310607777</v>
      </c>
      <c r="R22" s="15">
        <f>IF(R10=0,0,R10/TrAvia_act!R18*100)</f>
        <v>359.03771460450679</v>
      </c>
      <c r="S22" s="15">
        <f>IF(S10=0,0,S10/TrAvia_act!S18*100)</f>
        <v>301.64737770170166</v>
      </c>
      <c r="T22" s="15">
        <f>IF(T10=0,0,T10/TrAvia_act!T18*100)</f>
        <v>312.84918259780312</v>
      </c>
      <c r="U22" s="15">
        <f>IF(U10=0,0,U10/TrAvia_act!U18*100)</f>
        <v>318.24827011300869</v>
      </c>
      <c r="V22" s="15">
        <f>IF(V10=0,0,V10/TrAvia_act!V18*100)</f>
        <v>856.14551008049239</v>
      </c>
      <c r="W22" s="15">
        <f>IF(W10=0,0,W10/TrAvia_act!W18*100)</f>
        <v>453.28530886143596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651.53210908805045</v>
      </c>
      <c r="C24" s="101">
        <f>IF(C12=0,0,C12/TrAvia_act!C20*100)</f>
        <v>654.92470495629868</v>
      </c>
      <c r="D24" s="101">
        <f>IF(D12=0,0,D12/TrAvia_act!D20*100)</f>
        <v>801.21686649826393</v>
      </c>
      <c r="E24" s="101">
        <f>IF(E12=0,0,E12/TrAvia_act!E20*100)</f>
        <v>415.3465858558925</v>
      </c>
      <c r="F24" s="101">
        <f>IF(F12=0,0,F12/TrAvia_act!F20*100)</f>
        <v>205.95402277296574</v>
      </c>
      <c r="G24" s="101">
        <f>IF(G12=0,0,G12/TrAvia_act!G20*100)</f>
        <v>249.31974888564997</v>
      </c>
      <c r="H24" s="101">
        <f>IF(H12=0,0,H12/TrAvia_act!H20*100)</f>
        <v>225.81751427697648</v>
      </c>
      <c r="I24" s="101">
        <f>IF(I12=0,0,I12/TrAvia_act!I20*100)</f>
        <v>297.34939907862832</v>
      </c>
      <c r="J24" s="101">
        <f>IF(J12=0,0,J12/TrAvia_act!J20*100)</f>
        <v>265.91369549447006</v>
      </c>
      <c r="K24" s="101">
        <f>IF(K12=0,0,K12/TrAvia_act!K20*100)</f>
        <v>280.69710554370369</v>
      </c>
      <c r="L24" s="101">
        <f>IF(L12=0,0,L12/TrAvia_act!L20*100)</f>
        <v>268.83615066830379</v>
      </c>
      <c r="M24" s="101">
        <f>IF(M12=0,0,M12/TrAvia_act!M20*100)</f>
        <v>288.69473296211424</v>
      </c>
      <c r="N24" s="101">
        <f>IF(N12=0,0,N12/TrAvia_act!N20*100)</f>
        <v>343.68827540995949</v>
      </c>
      <c r="O24" s="101">
        <f>IF(O12=0,0,O12/TrAvia_act!O20*100)</f>
        <v>396.48141011887168</v>
      </c>
      <c r="P24" s="101">
        <f>IF(P12=0,0,P12/TrAvia_act!P20*100)</f>
        <v>321.50942531622638</v>
      </c>
      <c r="Q24" s="101">
        <f>IF(Q12=0,0,Q12/TrAvia_act!Q20*100)</f>
        <v>336.71435608615474</v>
      </c>
      <c r="R24" s="101">
        <f>IF(R12=0,0,R12/TrAvia_act!R20*100)</f>
        <v>347.87356221456014</v>
      </c>
      <c r="S24" s="101">
        <f>IF(S12=0,0,S12/TrAvia_act!S20*100)</f>
        <v>302.97370295947167</v>
      </c>
      <c r="T24" s="101">
        <f>IF(T12=0,0,T12/TrAvia_act!T20*100)</f>
        <v>317.05644991270361</v>
      </c>
      <c r="U24" s="101">
        <f>IF(U12=0,0,U12/TrAvia_act!U20*100)</f>
        <v>319.90629436119121</v>
      </c>
      <c r="V24" s="101">
        <f>IF(V12=0,0,V12/TrAvia_act!V20*100)</f>
        <v>852.04575082033909</v>
      </c>
      <c r="W24" s="101">
        <f>IF(W12=0,0,W12/TrAvia_act!W20*100)</f>
        <v>452.8606203992897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636.87161642532226</v>
      </c>
      <c r="C25" s="88">
        <f>IF(C13=0,0,C13/TrAvia_act!C21*100)</f>
        <v>639.34229055336948</v>
      </c>
      <c r="D25" s="88">
        <f>IF(D13=0,0,D13/TrAvia_act!D21*100)</f>
        <v>779.35431480224361</v>
      </c>
      <c r="E25" s="88">
        <f>IF(E13=0,0,E13/TrAvia_act!E21*100)</f>
        <v>406.65029286094443</v>
      </c>
      <c r="F25" s="88">
        <f>IF(F13=0,0,F13/TrAvia_act!F21*100)</f>
        <v>200.21806466378661</v>
      </c>
      <c r="G25" s="88">
        <f>IF(G13=0,0,G13/TrAvia_act!G21*100)</f>
        <v>313.20153416299735</v>
      </c>
      <c r="H25" s="88">
        <f>IF(H13=0,0,H13/TrAvia_act!H21*100)</f>
        <v>465.8911895825903</v>
      </c>
      <c r="I25" s="88">
        <f>IF(I13=0,0,I13/TrAvia_act!I21*100)</f>
        <v>488.98146487316183</v>
      </c>
      <c r="J25" s="88">
        <f>IF(J13=0,0,J13/TrAvia_act!J21*100)</f>
        <v>517.5892998797832</v>
      </c>
      <c r="K25" s="88">
        <f>IF(K13=0,0,K13/TrAvia_act!K21*100)</f>
        <v>585.81659891212462</v>
      </c>
      <c r="L25" s="88">
        <f>IF(L13=0,0,L13/TrAvia_act!L21*100)</f>
        <v>649.54528778698489</v>
      </c>
      <c r="M25" s="88">
        <f>IF(M13=0,0,M13/TrAvia_act!M21*100)</f>
        <v>671.72939838114894</v>
      </c>
      <c r="N25" s="88">
        <f>IF(N13=0,0,N13/TrAvia_act!N21*100)</f>
        <v>603.48591189945978</v>
      </c>
      <c r="O25" s="88">
        <f>IF(O13=0,0,O13/TrAvia_act!O21*100)</f>
        <v>683.67706098025383</v>
      </c>
      <c r="P25" s="88">
        <f>IF(P13=0,0,P13/TrAvia_act!P21*100)</f>
        <v>593.74082924613617</v>
      </c>
      <c r="Q25" s="88">
        <f>IF(Q13=0,0,Q13/TrAvia_act!Q21*100)</f>
        <v>474.2612387448159</v>
      </c>
      <c r="R25" s="88">
        <f>IF(R13=0,0,R13/TrAvia_act!R21*100)</f>
        <v>486.3239564536828</v>
      </c>
      <c r="S25" s="88">
        <f>IF(S13=0,0,S13/TrAvia_act!S21*100)</f>
        <v>267.00482737354048</v>
      </c>
      <c r="T25" s="88">
        <f>IF(T13=0,0,T13/TrAvia_act!T21*100)</f>
        <v>241.69511603792441</v>
      </c>
      <c r="U25" s="88">
        <f>IF(U13=0,0,U13/TrAvia_act!U21*100)</f>
        <v>231.67472495852115</v>
      </c>
      <c r="V25" s="88">
        <f>IF(V13=0,0,V13/TrAvia_act!V21*100)</f>
        <v>1122.1181593874753</v>
      </c>
      <c r="W25" s="88">
        <f>IF(W13=0,0,W13/TrAvia_act!W21*100)</f>
        <v>597.45304052531878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68.80367315433476</v>
      </c>
      <c r="C28" s="14">
        <f>IF(C6=0,0,C6/TrAvia_act!C4*1000)</f>
        <v>68.144799178220538</v>
      </c>
      <c r="D28" s="14">
        <f>IF(D6=0,0,D6/TrAvia_act!D4*1000)</f>
        <v>84.420908505334069</v>
      </c>
      <c r="E28" s="14">
        <f>IF(E6=0,0,E6/TrAvia_act!E4*1000)</f>
        <v>43.514127113842328</v>
      </c>
      <c r="F28" s="14">
        <f>IF(F6=0,0,F6/TrAvia_act!F4*1000)</f>
        <v>21.705503315706778</v>
      </c>
      <c r="G28" s="14">
        <f>IF(G6=0,0,G6/TrAvia_act!G4*1000)</f>
        <v>28.41705622679217</v>
      </c>
      <c r="H28" s="14">
        <f>IF(H6=0,0,H6/TrAvia_act!H4*1000)</f>
        <v>27.190379683604966</v>
      </c>
      <c r="I28" s="14">
        <f>IF(I6=0,0,I6/TrAvia_act!I4*1000)</f>
        <v>32.380391172117747</v>
      </c>
      <c r="J28" s="14">
        <f>IF(J6=0,0,J6/TrAvia_act!J4*1000)</f>
        <v>35.888969655829001</v>
      </c>
      <c r="K28" s="14">
        <f>IF(K6=0,0,K6/TrAvia_act!K4*1000)</f>
        <v>34.453374122767215</v>
      </c>
      <c r="L28" s="14">
        <f>IF(L6=0,0,L6/TrAvia_act!L4*1000)</f>
        <v>29.858275022340283</v>
      </c>
      <c r="M28" s="14">
        <f>IF(M6=0,0,M6/TrAvia_act!M4*1000)</f>
        <v>31.135196986166449</v>
      </c>
      <c r="N28" s="14">
        <f>IF(N6=0,0,N6/TrAvia_act!N4*1000)</f>
        <v>31.005763679046023</v>
      </c>
      <c r="O28" s="14">
        <f>IF(O6=0,0,O6/TrAvia_act!O4*1000)</f>
        <v>36.702072343038886</v>
      </c>
      <c r="P28" s="14">
        <f>IF(P6=0,0,P6/TrAvia_act!P4*1000)</f>
        <v>28.919403336517977</v>
      </c>
      <c r="Q28" s="14">
        <f>IF(Q6=0,0,Q6/TrAvia_act!Q4*1000)</f>
        <v>31.150720534801767</v>
      </c>
      <c r="R28" s="14">
        <f>IF(R6=0,0,R6/TrAvia_act!R4*1000)</f>
        <v>32.656336899030279</v>
      </c>
      <c r="S28" s="14">
        <f>IF(S6=0,0,S6/TrAvia_act!S4*1000)</f>
        <v>22.919604723721637</v>
      </c>
      <c r="T28" s="14">
        <f>IF(T6=0,0,T6/TrAvia_act!T4*1000)</f>
        <v>23.371197021515833</v>
      </c>
      <c r="U28" s="14">
        <f>IF(U6=0,0,U6/TrAvia_act!U4*1000)</f>
        <v>22.056727808388917</v>
      </c>
      <c r="V28" s="14">
        <f>IF(V6=0,0,V6/TrAvia_act!V4*1000)</f>
        <v>75.375014318064913</v>
      </c>
      <c r="W28" s="14">
        <f>IF(W6=0,0,W6/TrAvia_act!W4*1000)</f>
        <v>47.885860615048806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63.484034935605919</v>
      </c>
      <c r="C30" s="87">
        <f>IF(C8=0,0,C8/TrAvia_act!C6*1000)</f>
        <v>62.805187782177448</v>
      </c>
      <c r="D30" s="87">
        <f>IF(D8=0,0,D8/TrAvia_act!D6*1000)</f>
        <v>76.712266467056736</v>
      </c>
      <c r="E30" s="87">
        <f>IF(E8=0,0,E8/TrAvia_act!E6*1000)</f>
        <v>39.506126653279161</v>
      </c>
      <c r="F30" s="87">
        <f>IF(F8=0,0,F8/TrAvia_act!F6*1000)</f>
        <v>20.143293338846966</v>
      </c>
      <c r="G30" s="87">
        <f>IF(G8=0,0,G8/TrAvia_act!G6*1000)</f>
        <v>24.584382418066301</v>
      </c>
      <c r="H30" s="87">
        <f>IF(H8=0,0,H8/TrAvia_act!H6*1000)</f>
        <v>21.692044428610426</v>
      </c>
      <c r="I30" s="87">
        <f>IF(I8=0,0,I8/TrAvia_act!I6*1000)</f>
        <v>29.027814529431893</v>
      </c>
      <c r="J30" s="87">
        <f>IF(J8=0,0,J8/TrAvia_act!J6*1000)</f>
        <v>33.079680685115711</v>
      </c>
      <c r="K30" s="87">
        <f>IF(K8=0,0,K8/TrAvia_act!K6*1000)</f>
        <v>30.858996983806911</v>
      </c>
      <c r="L30" s="87">
        <f>IF(L8=0,0,L8/TrAvia_act!L6*1000)</f>
        <v>26.371004988243726</v>
      </c>
      <c r="M30" s="87">
        <f>IF(M8=0,0,M8/TrAvia_act!M6*1000)</f>
        <v>26.135367601569556</v>
      </c>
      <c r="N30" s="87">
        <f>IF(N8=0,0,N8/TrAvia_act!N6*1000)</f>
        <v>26.796946940021609</v>
      </c>
      <c r="O30" s="87">
        <f>IF(O8=0,0,O8/TrAvia_act!O6*1000)</f>
        <v>30.168147772197713</v>
      </c>
      <c r="P30" s="87">
        <f>IF(P8=0,0,P8/TrAvia_act!P6*1000)</f>
        <v>23.95197790304611</v>
      </c>
      <c r="Q30" s="87">
        <f>IF(Q8=0,0,Q8/TrAvia_act!Q6*1000)</f>
        <v>27.093390516949931</v>
      </c>
      <c r="R30" s="87">
        <f>IF(R8=0,0,R8/TrAvia_act!R6*1000)</f>
        <v>27.836694982643351</v>
      </c>
      <c r="S30" s="87">
        <f>IF(S8=0,0,S8/TrAvia_act!S6*1000)</f>
        <v>22.630473622997656</v>
      </c>
      <c r="T30" s="87">
        <f>IF(T8=0,0,T8/TrAvia_act!T6*1000)</f>
        <v>24.39885800551442</v>
      </c>
      <c r="U30" s="87">
        <f>IF(U8=0,0,U8/TrAvia_act!U6*1000)</f>
        <v>23.796032304062539</v>
      </c>
      <c r="V30" s="87">
        <f>IF(V8=0,0,V8/TrAvia_act!V6*1000)</f>
        <v>57.063773502170385</v>
      </c>
      <c r="W30" s="87">
        <f>IF(W8=0,0,W8/TrAvia_act!W6*1000)</f>
        <v>38.455447587565111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79.090794552540473</v>
      </c>
      <c r="C31" s="87">
        <f>IF(C9=0,0,C9/TrAvia_act!C7*1000)</f>
        <v>78.474145316440726</v>
      </c>
      <c r="D31" s="87">
        <f>IF(D9=0,0,D9/TrAvia_act!D7*1000)</f>
        <v>95.10832956457682</v>
      </c>
      <c r="E31" s="87">
        <f>IF(E9=0,0,E9/TrAvia_act!E7*1000)</f>
        <v>49.45716948495803</v>
      </c>
      <c r="F31" s="87">
        <f>IF(F9=0,0,F9/TrAvia_act!F7*1000)</f>
        <v>24.255770388767559</v>
      </c>
      <c r="G31" s="87">
        <f>IF(G9=0,0,G9/TrAvia_act!G7*1000)</f>
        <v>37.383192894390312</v>
      </c>
      <c r="H31" s="87">
        <f>IF(H9=0,0,H9/TrAvia_act!H7*1000)</f>
        <v>49.483276233190018</v>
      </c>
      <c r="I31" s="87">
        <f>IF(I9=0,0,I9/TrAvia_act!I7*1000)</f>
        <v>41.338486663986863</v>
      </c>
      <c r="J31" s="87">
        <f>IF(J9=0,0,J9/TrAvia_act!J7*1000)</f>
        <v>43.926949551110241</v>
      </c>
      <c r="K31" s="87">
        <f>IF(K9=0,0,K9/TrAvia_act!K7*1000)</f>
        <v>44.019597243707963</v>
      </c>
      <c r="L31" s="87">
        <f>IF(L9=0,0,L9/TrAvia_act!L7*1000)</f>
        <v>38.401744296216229</v>
      </c>
      <c r="M31" s="87">
        <f>IF(M9=0,0,M9/TrAvia_act!M7*1000)</f>
        <v>44.767213938982479</v>
      </c>
      <c r="N31" s="87">
        <f>IF(N9=0,0,N9/TrAvia_act!N7*1000)</f>
        <v>41.026986704953011</v>
      </c>
      <c r="O31" s="87">
        <f>IF(O9=0,0,O9/TrAvia_act!O7*1000)</f>
        <v>54.941296116206622</v>
      </c>
      <c r="P31" s="87">
        <f>IF(P9=0,0,P9/TrAvia_act!P7*1000)</f>
        <v>43.823488857765234</v>
      </c>
      <c r="Q31" s="87">
        <f>IF(Q9=0,0,Q9/TrAvia_act!Q7*1000)</f>
        <v>42.567874685283115</v>
      </c>
      <c r="R31" s="87">
        <f>IF(R9=0,0,R9/TrAvia_act!R7*1000)</f>
        <v>48.602749640115483</v>
      </c>
      <c r="S31" s="87">
        <f>IF(S9=0,0,S9/TrAvia_act!S7*1000)</f>
        <v>23.46859732637984</v>
      </c>
      <c r="T31" s="87">
        <f>IF(T9=0,0,T9/TrAvia_act!T7*1000)</f>
        <v>21.6572509353709</v>
      </c>
      <c r="U31" s="87">
        <f>IF(U9=0,0,U9/TrAvia_act!U7*1000)</f>
        <v>19.408048857575881</v>
      </c>
      <c r="V31" s="87">
        <f>IF(V9=0,0,V9/TrAvia_act!V7*1000)</f>
        <v>125.13198728720998</v>
      </c>
      <c r="W31" s="87">
        <f>IF(W9=0,0,W9/TrAvia_act!W7*1000)</f>
        <v>74.359991434862835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124.99170346374765</v>
      </c>
      <c r="C32" s="15">
        <f>IF(C10=0,0,C10/TrAvia_act!C8*1000)</f>
        <v>119.27308042143599</v>
      </c>
      <c r="D32" s="15">
        <f>IF(D10=0,0,D10/TrAvia_act!D8*1000)</f>
        <v>197.02214086335843</v>
      </c>
      <c r="E32" s="15">
        <f>IF(E10=0,0,E10/TrAvia_act!E8*1000)</f>
        <v>74.652635669139272</v>
      </c>
      <c r="F32" s="15">
        <f>IF(F10=0,0,F10/TrAvia_act!F8*1000)</f>
        <v>38.965791805638311</v>
      </c>
      <c r="G32" s="15">
        <f>IF(G10=0,0,G10/TrAvia_act!G8*1000)</f>
        <v>60.058419049769888</v>
      </c>
      <c r="H32" s="15">
        <f>IF(H10=0,0,H10/TrAvia_act!H8*1000)</f>
        <v>86.565077381707681</v>
      </c>
      <c r="I32" s="15">
        <f>IF(I10=0,0,I10/TrAvia_act!I8*1000)</f>
        <v>95.639131876314195</v>
      </c>
      <c r="J32" s="15">
        <f>IF(J10=0,0,J10/TrAvia_act!J8*1000)</f>
        <v>109.08130343474534</v>
      </c>
      <c r="K32" s="15">
        <f>IF(K10=0,0,K10/TrAvia_act!K8*1000)</f>
        <v>113.87589108629186</v>
      </c>
      <c r="L32" s="15">
        <f>IF(L10=0,0,L10/TrAvia_act!L8*1000)</f>
        <v>110.76775532020375</v>
      </c>
      <c r="M32" s="15">
        <f>IF(M10=0,0,M10/TrAvia_act!M8*1000)</f>
        <v>112.64855882745071</v>
      </c>
      <c r="N32" s="15">
        <f>IF(N10=0,0,N10/TrAvia_act!N8*1000)</f>
        <v>127.94960680404094</v>
      </c>
      <c r="O32" s="15">
        <f>IF(O10=0,0,O10/TrAvia_act!O8*1000)</f>
        <v>155.10519628088932</v>
      </c>
      <c r="P32" s="15">
        <f>IF(P10=0,0,P10/TrAvia_act!P8*1000)</f>
        <v>98.670736765368403</v>
      </c>
      <c r="Q32" s="15">
        <f>IF(Q10=0,0,Q10/TrAvia_act!Q8*1000)</f>
        <v>106.91445708615537</v>
      </c>
      <c r="R32" s="15">
        <f>IF(R10=0,0,R10/TrAvia_act!R8*1000)</f>
        <v>102.91261302009293</v>
      </c>
      <c r="S32" s="15">
        <f>IF(S10=0,0,S10/TrAvia_act!S8*1000)</f>
        <v>100.06995730636304</v>
      </c>
      <c r="T32" s="15">
        <f>IF(T10=0,0,T10/TrAvia_act!T8*1000)</f>
        <v>99.913079043313189</v>
      </c>
      <c r="U32" s="15">
        <f>IF(U10=0,0,U10/TrAvia_act!U8*1000)</f>
        <v>104.18185977782596</v>
      </c>
      <c r="V32" s="15">
        <f>IF(V10=0,0,V10/TrAvia_act!V8*1000)</f>
        <v>343.94963849354576</v>
      </c>
      <c r="W32" s="15">
        <f>IF(W10=0,0,W10/TrAvia_act!W8*1000)</f>
        <v>227.54546431372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197.27560703663144</v>
      </c>
      <c r="C34" s="101">
        <f>IF(C12=0,0,C12/TrAvia_act!C10*1000)</f>
        <v>191.11863035196319</v>
      </c>
      <c r="D34" s="101">
        <f>IF(D12=0,0,D12/TrAvia_act!D10*1000)</f>
        <v>250.10086976658957</v>
      </c>
      <c r="E34" s="101">
        <f>IF(E12=0,0,E12/TrAvia_act!E10*1000)</f>
        <v>125.11278689541047</v>
      </c>
      <c r="F34" s="101">
        <f>IF(F12=0,0,F12/TrAvia_act!F10*1000)</f>
        <v>69.05012737105757</v>
      </c>
      <c r="G34" s="101">
        <f>IF(G12=0,0,G12/TrAvia_act!G10*1000)</f>
        <v>87.017653122655432</v>
      </c>
      <c r="H34" s="101">
        <f>IF(H12=0,0,H12/TrAvia_act!H10*1000)</f>
        <v>97.220196637427748</v>
      </c>
      <c r="I34" s="101">
        <f>IF(I12=0,0,I12/TrAvia_act!I10*1000)</f>
        <v>134.14679423450798</v>
      </c>
      <c r="J34" s="101">
        <f>IF(J12=0,0,J12/TrAvia_act!J10*1000)</f>
        <v>113.03233560025511</v>
      </c>
      <c r="K34" s="101">
        <f>IF(K12=0,0,K12/TrAvia_act!K10*1000)</f>
        <v>116.21376015890264</v>
      </c>
      <c r="L34" s="101">
        <f>IF(L12=0,0,L12/TrAvia_act!L10*1000)</f>
        <v>111.55531354709474</v>
      </c>
      <c r="M34" s="101">
        <f>IF(M12=0,0,M12/TrAvia_act!M10*1000)</f>
        <v>112.78428701366647</v>
      </c>
      <c r="N34" s="101">
        <f>IF(N12=0,0,N12/TrAvia_act!N10*1000)</f>
        <v>128.88126974024084</v>
      </c>
      <c r="O34" s="101">
        <f>IF(O12=0,0,O12/TrAvia_act!O10*1000)</f>
        <v>157.08952873946652</v>
      </c>
      <c r="P34" s="101">
        <f>IF(P12=0,0,P12/TrAvia_act!P10*1000)</f>
        <v>106.82867302446044</v>
      </c>
      <c r="Q34" s="101">
        <f>IF(Q12=0,0,Q12/TrAvia_act!Q10*1000)</f>
        <v>119.23971632016001</v>
      </c>
      <c r="R34" s="101">
        <f>IF(R12=0,0,R12/TrAvia_act!R10*1000)</f>
        <v>115.66901583055522</v>
      </c>
      <c r="S34" s="101">
        <f>IF(S12=0,0,S12/TrAvia_act!S10*1000)</f>
        <v>108.04725712811307</v>
      </c>
      <c r="T34" s="101">
        <f>IF(T12=0,0,T12/TrAvia_act!T10*1000)</f>
        <v>111.97550511737997</v>
      </c>
      <c r="U34" s="101">
        <f>IF(U12=0,0,U12/TrAvia_act!U10*1000)</f>
        <v>108.33323765338442</v>
      </c>
      <c r="V34" s="101">
        <f>IF(V12=0,0,V12/TrAvia_act!V10*1000)</f>
        <v>348.31465151086678</v>
      </c>
      <c r="W34" s="101">
        <f>IF(W12=0,0,W12/TrAvia_act!W10*1000)</f>
        <v>228.52294198649145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92.909223305992413</v>
      </c>
      <c r="C35" s="88">
        <f>IF(C13=0,0,C13/TrAvia_act!C11*1000)</f>
        <v>89.034393142813272</v>
      </c>
      <c r="D35" s="88">
        <f>IF(D13=0,0,D13/TrAvia_act!D11*1000)</f>
        <v>114.91938017894979</v>
      </c>
      <c r="E35" s="88">
        <f>IF(E13=0,0,E13/TrAvia_act!E11*1000)</f>
        <v>65.981726525975105</v>
      </c>
      <c r="F35" s="88">
        <f>IF(F13=0,0,F13/TrAvia_act!F11*1000)</f>
        <v>33.467960836282977</v>
      </c>
      <c r="G35" s="88">
        <f>IF(G13=0,0,G13/TrAvia_act!G11*1000)</f>
        <v>55.669529122405741</v>
      </c>
      <c r="H35" s="88">
        <f>IF(H13=0,0,H13/TrAvia_act!H11*1000)</f>
        <v>85.662812664593986</v>
      </c>
      <c r="I35" s="88">
        <f>IF(I13=0,0,I13/TrAvia_act!I11*1000)</f>
        <v>91.431296964216585</v>
      </c>
      <c r="J35" s="88">
        <f>IF(J13=0,0,J13/TrAvia_act!J11*1000)</f>
        <v>98.773165389401015</v>
      </c>
      <c r="K35" s="88">
        <f>IF(K13=0,0,K13/TrAvia_act!K11*1000)</f>
        <v>99.127457114727761</v>
      </c>
      <c r="L35" s="88">
        <f>IF(L13=0,0,L13/TrAvia_act!L11*1000)</f>
        <v>108.11069262254557</v>
      </c>
      <c r="M35" s="88">
        <f>IF(M13=0,0,M13/TrAvia_act!M11*1000)</f>
        <v>105.50847940223498</v>
      </c>
      <c r="N35" s="88">
        <f>IF(N13=0,0,N13/TrAvia_act!N11*1000)</f>
        <v>84.009554234956852</v>
      </c>
      <c r="O35" s="88">
        <f>IF(O13=0,0,O13/TrAvia_act!O11*1000)</f>
        <v>103.44389433281975</v>
      </c>
      <c r="P35" s="88">
        <f>IF(P13=0,0,P13/TrAvia_act!P11*1000)</f>
        <v>75.63808554274361</v>
      </c>
      <c r="Q35" s="88">
        <f>IF(Q13=0,0,Q13/TrAvia_act!Q11*1000)</f>
        <v>61.792475784842225</v>
      </c>
      <c r="R35" s="88">
        <f>IF(R13=0,0,R13/TrAvia_act!R11*1000)</f>
        <v>54.181066007023837</v>
      </c>
      <c r="S35" s="88">
        <f>IF(S13=0,0,S13/TrAvia_act!S11*1000)</f>
        <v>31.387564115118373</v>
      </c>
      <c r="T35" s="88">
        <f>IF(T13=0,0,T13/TrAvia_act!T11*1000)</f>
        <v>29.473742507808613</v>
      </c>
      <c r="U35" s="88">
        <f>IF(U13=0,0,U13/TrAvia_act!U11*1000)</f>
        <v>27.686408097955418</v>
      </c>
      <c r="V35" s="88">
        <f>IF(V13=0,0,V13/TrAvia_act!V11*1000)</f>
        <v>212.66521382069624</v>
      </c>
      <c r="W35" s="88">
        <f>IF(W13=0,0,W13/TrAvia_act!W11*1000)</f>
        <v>108.32326018566911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7363.8264338017416</v>
      </c>
      <c r="C37" s="62">
        <f>IF(C3=0,0,C3/TrAvia_act!C23*1000000)</f>
        <v>7384.6626693344651</v>
      </c>
      <c r="D37" s="62">
        <f>IF(D3=0,0,D3/TrAvia_act!D23*1000000)</f>
        <v>9841.0268385193194</v>
      </c>
      <c r="E37" s="62">
        <f>IF(E3=0,0,E3/TrAvia_act!E23*1000000)</f>
        <v>4901.1302314918194</v>
      </c>
      <c r="F37" s="62">
        <f>IF(F3=0,0,F3/TrAvia_act!F23*1000000)</f>
        <v>2477.7073202187521</v>
      </c>
      <c r="G37" s="62">
        <f>IF(G3=0,0,G3/TrAvia_act!G23*1000000)</f>
        <v>3219.3594128402947</v>
      </c>
      <c r="H37" s="62">
        <f>IF(H3=0,0,H3/TrAvia_act!H23*1000000)</f>
        <v>3076.9766986875438</v>
      </c>
      <c r="I37" s="62">
        <f>IF(I3=0,0,I3/TrAvia_act!I23*1000000)</f>
        <v>3965.0883607723758</v>
      </c>
      <c r="J37" s="62">
        <f>IF(J3=0,0,J3/TrAvia_act!J23*1000000)</f>
        <v>4344.8891320774374</v>
      </c>
      <c r="K37" s="62">
        <f>IF(K3=0,0,K3/TrAvia_act!K23*1000000)</f>
        <v>4052.8055858388666</v>
      </c>
      <c r="L37" s="62">
        <f>IF(L3=0,0,L3/TrAvia_act!L23*1000000)</f>
        <v>3902.7401482827431</v>
      </c>
      <c r="M37" s="62">
        <f>IF(M3=0,0,M3/TrAvia_act!M23*1000000)</f>
        <v>4406.2227046240614</v>
      </c>
      <c r="N37" s="62">
        <f>IF(N3=0,0,N3/TrAvia_act!N23*1000000)</f>
        <v>4656.8228100430351</v>
      </c>
      <c r="O37" s="62">
        <f>IF(O3=0,0,O3/TrAvia_act!O23*1000000)</f>
        <v>5300.20496374714</v>
      </c>
      <c r="P37" s="62">
        <f>IF(P3=0,0,P3/TrAvia_act!P23*1000000)</f>
        <v>4410.7946169288143</v>
      </c>
      <c r="Q37" s="62">
        <f>IF(Q3=0,0,Q3/TrAvia_act!Q23*1000000)</f>
        <v>4869.5676482269064</v>
      </c>
      <c r="R37" s="62">
        <f>IF(R3=0,0,R3/TrAvia_act!R23*1000000)</f>
        <v>4921.8424046749114</v>
      </c>
      <c r="S37" s="62">
        <f>IF(S3=0,0,S3/TrAvia_act!S23*1000000)</f>
        <v>3728.0597007096435</v>
      </c>
      <c r="T37" s="62">
        <f>IF(T3=0,0,T3/TrAvia_act!T23*1000000)</f>
        <v>4000.7858714941021</v>
      </c>
      <c r="U37" s="62">
        <f>IF(U3=0,0,U3/TrAvia_act!U23*1000000)</f>
        <v>3883.9963398599166</v>
      </c>
      <c r="V37" s="62">
        <f>IF(V3=0,0,V3/TrAvia_act!V23*1000000)</f>
        <v>7983.9249006863365</v>
      </c>
      <c r="W37" s="62">
        <f>IF(W3=0,0,W3/TrAvia_act!W23*1000000)</f>
        <v>5317.2354659732191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7335.1302075668191</v>
      </c>
      <c r="C38" s="14">
        <f>IF(C6=0,0,C6/TrAvia_act!C24*1000000)</f>
        <v>7357.697663108198</v>
      </c>
      <c r="D38" s="14">
        <f>IF(D6=0,0,D6/TrAvia_act!D24*1000000)</f>
        <v>9861.6943600392733</v>
      </c>
      <c r="E38" s="14">
        <f>IF(E6=0,0,E6/TrAvia_act!E24*1000000)</f>
        <v>4871.5969529182166</v>
      </c>
      <c r="F38" s="14">
        <f>IF(F6=0,0,F6/TrAvia_act!F24*1000000)</f>
        <v>2471.9457171722288</v>
      </c>
      <c r="G38" s="14">
        <f>IF(G6=0,0,G6/TrAvia_act!G24*1000000)</f>
        <v>3210.4783178903231</v>
      </c>
      <c r="H38" s="14">
        <f>IF(H6=0,0,H6/TrAvia_act!H24*1000000)</f>
        <v>3049.2900449143499</v>
      </c>
      <c r="I38" s="14">
        <f>IF(I6=0,0,I6/TrAvia_act!I24*1000000)</f>
        <v>3945.6652850648979</v>
      </c>
      <c r="J38" s="14">
        <f>IF(J6=0,0,J6/TrAvia_act!J24*1000000)</f>
        <v>4369.1513988506586</v>
      </c>
      <c r="K38" s="14">
        <f>IF(K6=0,0,K6/TrAvia_act!K24*1000000)</f>
        <v>4117.1313552217944</v>
      </c>
      <c r="L38" s="14">
        <f>IF(L6=0,0,L6/TrAvia_act!L24*1000000)</f>
        <v>3977.7416938667079</v>
      </c>
      <c r="M38" s="14">
        <f>IF(M6=0,0,M6/TrAvia_act!M24*1000000)</f>
        <v>4551.8612095533108</v>
      </c>
      <c r="N38" s="14">
        <f>IF(N6=0,0,N6/TrAvia_act!N24*1000000)</f>
        <v>4832.5017507544499</v>
      </c>
      <c r="O38" s="14">
        <f>IF(O6=0,0,O6/TrAvia_act!O24*1000000)</f>
        <v>5501.0248921689827</v>
      </c>
      <c r="P38" s="14">
        <f>IF(P6=0,0,P6/TrAvia_act!P24*1000000)</f>
        <v>4507.6529872255323</v>
      </c>
      <c r="Q38" s="14">
        <f>IF(Q6=0,0,Q6/TrAvia_act!Q24*1000000)</f>
        <v>5009.1048767051607</v>
      </c>
      <c r="R38" s="14">
        <f>IF(R6=0,0,R6/TrAvia_act!R24*1000000)</f>
        <v>5050.757733692355</v>
      </c>
      <c r="S38" s="14">
        <f>IF(S6=0,0,S6/TrAvia_act!S24*1000000)</f>
        <v>3846.4026078942702</v>
      </c>
      <c r="T38" s="14">
        <f>IF(T6=0,0,T6/TrAvia_act!T24*1000000)</f>
        <v>4094.1222574276171</v>
      </c>
      <c r="U38" s="14">
        <f>IF(U6=0,0,U6/TrAvia_act!U24*1000000)</f>
        <v>3954.9914625604088</v>
      </c>
      <c r="V38" s="14">
        <f>IF(V6=0,0,V6/TrAvia_act!V24*1000000)</f>
        <v>8695.8138786105428</v>
      </c>
      <c r="W38" s="14">
        <f>IF(W6=0,0,W6/TrAvia_act!W24*1000000)</f>
        <v>5607.7248450352299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5386.033377009283</v>
      </c>
      <c r="C40" s="87">
        <f>IF(C8=0,0,C8/TrAvia_act!C26*1000000)</f>
        <v>5398.0088676720143</v>
      </c>
      <c r="D40" s="87">
        <f>IF(D8=0,0,D8/TrAvia_act!D26*1000000)</f>
        <v>6737.7596360615726</v>
      </c>
      <c r="E40" s="87">
        <f>IF(E8=0,0,E8/TrAvia_act!E26*1000000)</f>
        <v>3338.1166115360461</v>
      </c>
      <c r="F40" s="87">
        <f>IF(F8=0,0,F8/TrAvia_act!F26*1000000)</f>
        <v>1777.008672456567</v>
      </c>
      <c r="G40" s="87">
        <f>IF(G8=0,0,G8/TrAvia_act!G26*1000000)</f>
        <v>2284.036225607405</v>
      </c>
      <c r="H40" s="87">
        <f>IF(H8=0,0,H8/TrAvia_act!H26*1000000)</f>
        <v>2139.8770040945537</v>
      </c>
      <c r="I40" s="87">
        <f>IF(I8=0,0,I8/TrAvia_act!I26*1000000)</f>
        <v>2872.0848308705913</v>
      </c>
      <c r="J40" s="87">
        <f>IF(J8=0,0,J8/TrAvia_act!J26*1000000)</f>
        <v>3391.385721083901</v>
      </c>
      <c r="K40" s="87">
        <f>IF(K8=0,0,K8/TrAvia_act!K26*1000000)</f>
        <v>3095.5062677290689</v>
      </c>
      <c r="L40" s="87">
        <f>IF(L8=0,0,L8/TrAvia_act!L26*1000000)</f>
        <v>2869.0514104291069</v>
      </c>
      <c r="M40" s="87">
        <f>IF(M8=0,0,M8/TrAvia_act!M26*1000000)</f>
        <v>3335.0776224852143</v>
      </c>
      <c r="N40" s="87">
        <f>IF(N8=0,0,N8/TrAvia_act!N26*1000000)</f>
        <v>3668.7966438400235</v>
      </c>
      <c r="O40" s="87">
        <f>IF(O8=0,0,O8/TrAvia_act!O26*1000000)</f>
        <v>4133.0132269160977</v>
      </c>
      <c r="P40" s="87">
        <f>IF(P8=0,0,P8/TrAvia_act!P26*1000000)</f>
        <v>3338.9985240543406</v>
      </c>
      <c r="Q40" s="87">
        <f>IF(Q8=0,0,Q8/TrAvia_act!Q26*1000000)</f>
        <v>3898.0618626595297</v>
      </c>
      <c r="R40" s="87">
        <f>IF(R8=0,0,R8/TrAvia_act!R26*1000000)</f>
        <v>3929.1231586757335</v>
      </c>
      <c r="S40" s="87">
        <f>IF(S8=0,0,S8/TrAvia_act!S26*1000000)</f>
        <v>3213.3440357595296</v>
      </c>
      <c r="T40" s="87">
        <f>IF(T8=0,0,T8/TrAvia_act!T26*1000000)</f>
        <v>3522.0518087902751</v>
      </c>
      <c r="U40" s="87">
        <f>IF(U8=0,0,U8/TrAvia_act!U26*1000000)</f>
        <v>3537.6847740116655</v>
      </c>
      <c r="V40" s="87">
        <f>IF(V8=0,0,V8/TrAvia_act!V26*1000000)</f>
        <v>5610.6310216957572</v>
      </c>
      <c r="W40" s="87">
        <f>IF(W8=0,0,W8/TrAvia_act!W26*1000000)</f>
        <v>3907.0729378980145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16735.918779387735</v>
      </c>
      <c r="C41" s="87">
        <f>IF(C9=0,0,C9/TrAvia_act!C27*1000000)</f>
        <v>16800.843954997566</v>
      </c>
      <c r="D41" s="87">
        <f>IF(D9=0,0,D9/TrAvia_act!D27*1000000)</f>
        <v>20480.125313333283</v>
      </c>
      <c r="E41" s="87">
        <f>IF(E9=0,0,E9/TrAvia_act!E27*1000000)</f>
        <v>10686.088212149134</v>
      </c>
      <c r="F41" s="87">
        <f>IF(F9=0,0,F9/TrAvia_act!F27*1000000)</f>
        <v>5261.3952042440296</v>
      </c>
      <c r="G41" s="87">
        <f>IF(G9=0,0,G9/TrAvia_act!G27*1000000)</f>
        <v>8539.0644186709051</v>
      </c>
      <c r="H41" s="87">
        <f>IF(H9=0,0,H9/TrAvia_act!H27*1000000)</f>
        <v>12464.016324396078</v>
      </c>
      <c r="I41" s="87">
        <f>IF(I9=0,0,I9/TrAvia_act!I27*1000000)</f>
        <v>13211.617977365879</v>
      </c>
      <c r="J41" s="87">
        <f>IF(J9=0,0,J9/TrAvia_act!J27*1000000)</f>
        <v>11534.491945890077</v>
      </c>
      <c r="K41" s="87">
        <f>IF(K9=0,0,K9/TrAvia_act!K27*1000000)</f>
        <v>10715.038580036782</v>
      </c>
      <c r="L41" s="87">
        <f>IF(L9=0,0,L9/TrAvia_act!L27*1000000)</f>
        <v>11369.010250117377</v>
      </c>
      <c r="M41" s="87">
        <f>IF(M9=0,0,M9/TrAvia_act!M27*1000000)</f>
        <v>10856.863645908854</v>
      </c>
      <c r="N41" s="87">
        <f>IF(N9=0,0,N9/TrAvia_act!N27*1000000)</f>
        <v>9536.8755552175753</v>
      </c>
      <c r="O41" s="87">
        <f>IF(O9=0,0,O9/TrAvia_act!O27*1000000)</f>
        <v>11166.121909953315</v>
      </c>
      <c r="P41" s="87">
        <f>IF(P9=0,0,P9/TrAvia_act!P27*1000000)</f>
        <v>10580.242558170086</v>
      </c>
      <c r="Q41" s="87">
        <f>IF(Q9=0,0,Q9/TrAvia_act!Q27*1000000)</f>
        <v>10232.744227581832</v>
      </c>
      <c r="R41" s="87">
        <f>IF(R9=0,0,R9/TrAvia_act!R27*1000000)</f>
        <v>11002.740811400861</v>
      </c>
      <c r="S41" s="87">
        <f>IF(S9=0,0,S9/TrAvia_act!S27*1000000)</f>
        <v>6016.7310343911713</v>
      </c>
      <c r="T41" s="87">
        <f>IF(T9=0,0,T9/TrAvia_act!T27*1000000)</f>
        <v>5892.4160006797229</v>
      </c>
      <c r="U41" s="87">
        <f>IF(U9=0,0,U9/TrAvia_act!U27*1000000)</f>
        <v>5072.1165711167405</v>
      </c>
      <c r="V41" s="87">
        <f>IF(V9=0,0,V9/TrAvia_act!V27*1000000)</f>
        <v>27293.209841271688</v>
      </c>
      <c r="W41" s="87">
        <f>IF(W9=0,0,W9/TrAvia_act!W27*1000000)</f>
        <v>15235.754160573961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8435.3494381614455</v>
      </c>
      <c r="C42" s="15">
        <f>IF(C10=0,0,C10/TrAvia_act!C28*1000000)</f>
        <v>8563.0908137760125</v>
      </c>
      <c r="D42" s="15">
        <f>IF(D10=0,0,D10/TrAvia_act!D28*1000000)</f>
        <v>8358.3706408647213</v>
      </c>
      <c r="E42" s="15">
        <f>IF(E10=0,0,E10/TrAvia_act!E28*1000000)</f>
        <v>6780.4955941802573</v>
      </c>
      <c r="F42" s="15">
        <f>IF(F10=0,0,F10/TrAvia_act!F28*1000000)</f>
        <v>3263.5462167540504</v>
      </c>
      <c r="G42" s="15">
        <f>IF(G10=0,0,G10/TrAvia_act!G28*1000000)</f>
        <v>5146.7156079653987</v>
      </c>
      <c r="H42" s="15">
        <f>IF(H10=0,0,H10/TrAvia_act!H28*1000000)</f>
        <v>8618.5669385220936</v>
      </c>
      <c r="I42" s="15">
        <f>IF(I10=0,0,I10/TrAvia_act!I28*1000000)</f>
        <v>9011.8508654321504</v>
      </c>
      <c r="J42" s="15">
        <f>IF(J10=0,0,J10/TrAvia_act!J28*1000000)</f>
        <v>2882.7036623647232</v>
      </c>
      <c r="K42" s="15">
        <f>IF(K10=0,0,K10/TrAvia_act!K28*1000000)</f>
        <v>2401.573781275215</v>
      </c>
      <c r="L42" s="15">
        <f>IF(L10=0,0,L10/TrAvia_act!L28*1000000)</f>
        <v>2529.6244202965363</v>
      </c>
      <c r="M42" s="15">
        <f>IF(M10=0,0,M10/TrAvia_act!M28*1000000)</f>
        <v>2415.3963559929903</v>
      </c>
      <c r="N42" s="15">
        <f>IF(N10=0,0,N10/TrAvia_act!N28*1000000)</f>
        <v>2681.5781198390382</v>
      </c>
      <c r="O42" s="15">
        <f>IF(O10=0,0,O10/TrAvia_act!O28*1000000)</f>
        <v>3005.1657499198009</v>
      </c>
      <c r="P42" s="15">
        <f>IF(P10=0,0,P10/TrAvia_act!P28*1000000)</f>
        <v>2690.8178625068572</v>
      </c>
      <c r="Q42" s="15">
        <f>IF(Q10=0,0,Q10/TrAvia_act!Q28*1000000)</f>
        <v>2673.8852181197335</v>
      </c>
      <c r="R42" s="15">
        <f>IF(R10=0,0,R10/TrAvia_act!R28*1000000)</f>
        <v>2545.4783339429546</v>
      </c>
      <c r="S42" s="15">
        <f>IF(S10=0,0,S10/TrAvia_act!S28*1000000)</f>
        <v>1982.7171452589434</v>
      </c>
      <c r="T42" s="15">
        <f>IF(T10=0,0,T10/TrAvia_act!T28*1000000)</f>
        <v>2046.4046095762769</v>
      </c>
      <c r="U42" s="15">
        <f>IF(U10=0,0,U10/TrAvia_act!U28*1000000)</f>
        <v>2042.856157827151</v>
      </c>
      <c r="V42" s="15">
        <f>IF(V10=0,0,V10/TrAvia_act!V28*1000000)</f>
        <v>4476.8247888538535</v>
      </c>
      <c r="W42" s="15">
        <f>IF(W10=0,0,W10/TrAvia_act!W28*1000000)</f>
        <v>3131.6211537875329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5838.0176009284614</v>
      </c>
      <c r="C44" s="101">
        <f>IF(C12=0,0,C12/TrAvia_act!C30*1000000)</f>
        <v>5877.7333656863102</v>
      </c>
      <c r="D44" s="101">
        <f>IF(D12=0,0,D12/TrAvia_act!D30*1000000)</f>
        <v>7221.8371241081441</v>
      </c>
      <c r="E44" s="101">
        <f>IF(E12=0,0,E12/TrAvia_act!E30*1000000)</f>
        <v>3714.5781485038697</v>
      </c>
      <c r="F44" s="101">
        <f>IF(F12=0,0,F12/TrAvia_act!F30*1000000)</f>
        <v>1857.6899673460823</v>
      </c>
      <c r="G44" s="101">
        <f>IF(G12=0,0,G12/TrAvia_act!G30*1000000)</f>
        <v>2338.5937931563644</v>
      </c>
      <c r="H44" s="101">
        <f>IF(H12=0,0,H12/TrAvia_act!H30*1000000)</f>
        <v>2232.6155280231569</v>
      </c>
      <c r="I44" s="101">
        <f>IF(I12=0,0,I12/TrAvia_act!I30*1000000)</f>
        <v>2846.1241346808542</v>
      </c>
      <c r="J44" s="101">
        <f>IF(J12=0,0,J12/TrAvia_act!J30*1000000)</f>
        <v>2284.7499846226256</v>
      </c>
      <c r="K44" s="101">
        <f>IF(K12=0,0,K12/TrAvia_act!K30*1000000)</f>
        <v>2161.744594546758</v>
      </c>
      <c r="L44" s="101">
        <f>IF(L12=0,0,L12/TrAvia_act!L30*1000000)</f>
        <v>2039.4355758746869</v>
      </c>
      <c r="M44" s="101">
        <f>IF(M12=0,0,M12/TrAvia_act!M30*1000000)</f>
        <v>2380.2779396680457</v>
      </c>
      <c r="N44" s="101">
        <f>IF(N12=0,0,N12/TrAvia_act!N30*1000000)</f>
        <v>2653.1475015726528</v>
      </c>
      <c r="O44" s="101">
        <f>IF(O12=0,0,O12/TrAvia_act!O30*1000000)</f>
        <v>2949.8187722763223</v>
      </c>
      <c r="P44" s="101">
        <f>IF(P12=0,0,P12/TrAvia_act!P30*1000000)</f>
        <v>2285.7729022804378</v>
      </c>
      <c r="Q44" s="101">
        <f>IF(Q12=0,0,Q12/TrAvia_act!Q30*1000000)</f>
        <v>2452.7635024767601</v>
      </c>
      <c r="R44" s="101">
        <f>IF(R12=0,0,R12/TrAvia_act!R30*1000000)</f>
        <v>2367.821691713616</v>
      </c>
      <c r="S44" s="101">
        <f>IF(S12=0,0,S12/TrAvia_act!S30*1000000)</f>
        <v>1960.814914914657</v>
      </c>
      <c r="T44" s="101">
        <f>IF(T12=0,0,T12/TrAvia_act!T30*1000000)</f>
        <v>2033.166783089398</v>
      </c>
      <c r="U44" s="101">
        <f>IF(U12=0,0,U12/TrAvia_act!U30*1000000)</f>
        <v>2043.090875335959</v>
      </c>
      <c r="V44" s="101">
        <f>IF(V12=0,0,V12/TrAvia_act!V30*1000000)</f>
        <v>4423.8961333635507</v>
      </c>
      <c r="W44" s="101">
        <f>IF(W12=0,0,W12/TrAvia_act!W30*1000000)</f>
        <v>3125.7242444359949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14525.644780638784</v>
      </c>
      <c r="C45" s="88">
        <f>IF(C13=0,0,C13/TrAvia_act!C31*1000000)</f>
        <v>14581.995438804655</v>
      </c>
      <c r="D45" s="88">
        <f>IF(D13=0,0,D13/TrAvia_act!D31*1000000)</f>
        <v>17775.362636847782</v>
      </c>
      <c r="E45" s="88">
        <f>IF(E13=0,0,E13/TrAvia_act!E31*1000000)</f>
        <v>9274.8013126966398</v>
      </c>
      <c r="F45" s="88">
        <f>IF(F13=0,0,F13/TrAvia_act!F31*1000000)</f>
        <v>4566.5349357175328</v>
      </c>
      <c r="G45" s="88">
        <f>IF(G13=0,0,G13/TrAvia_act!G31*1000000)</f>
        <v>7411.3299747468791</v>
      </c>
      <c r="H45" s="88">
        <f>IF(H13=0,0,H13/TrAvia_act!H31*1000000)</f>
        <v>11885.79789273085</v>
      </c>
      <c r="I45" s="88">
        <f>IF(I13=0,0,I13/TrAvia_act!I31*1000000)</f>
        <v>13807.416100460936</v>
      </c>
      <c r="J45" s="88">
        <f>IF(J13=0,0,J13/TrAvia_act!J31*1000000)</f>
        <v>13185.90549422856</v>
      </c>
      <c r="K45" s="88">
        <f>IF(K13=0,0,K13/TrAvia_act!K31*1000000)</f>
        <v>13380.420995955679</v>
      </c>
      <c r="L45" s="88">
        <f>IF(L13=0,0,L13/TrAvia_act!L31*1000000)</f>
        <v>15495.119355254452</v>
      </c>
      <c r="M45" s="88">
        <f>IF(M13=0,0,M13/TrAvia_act!M31*1000000)</f>
        <v>14180.065824849391</v>
      </c>
      <c r="N45" s="88">
        <f>IF(N13=0,0,N13/TrAvia_act!N31*1000000)</f>
        <v>11935.744365547514</v>
      </c>
      <c r="O45" s="88">
        <f>IF(O13=0,0,O13/TrAvia_act!O31*1000000)</f>
        <v>11639.294262302554</v>
      </c>
      <c r="P45" s="88">
        <f>IF(P13=0,0,P13/TrAvia_act!P31*1000000)</f>
        <v>9171.5372261295597</v>
      </c>
      <c r="Q45" s="88">
        <f>IF(Q13=0,0,Q13/TrAvia_act!Q31*1000000)</f>
        <v>7363.5082707144684</v>
      </c>
      <c r="R45" s="88">
        <f>IF(R13=0,0,R13/TrAvia_act!R31*1000000)</f>
        <v>6558.9033879420995</v>
      </c>
      <c r="S45" s="88">
        <f>IF(S13=0,0,S13/TrAvia_act!S31*1000000)</f>
        <v>2963.9370646829811</v>
      </c>
      <c r="T45" s="88">
        <f>IF(T13=0,0,T13/TrAvia_act!T31*1000000)</f>
        <v>2391.9118808838271</v>
      </c>
      <c r="U45" s="88">
        <f>IF(U13=0,0,U13/TrAvia_act!U31*1000000)</f>
        <v>2026.0738559474039</v>
      </c>
      <c r="V45" s="88">
        <f>IF(V13=0,0,V13/TrAvia_act!V31*1000000)</f>
        <v>10902.363565376776</v>
      </c>
      <c r="W45" s="88">
        <f>IF(W13=0,0,W13/TrAvia_act!W31*1000000)</f>
        <v>6085.9727389081554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0.9701224425284638</v>
      </c>
      <c r="C48" s="16">
        <f t="shared" si="35"/>
        <v>0.97405989714274088</v>
      </c>
      <c r="D48" s="16">
        <f t="shared" ref="D48:V48" si="36">IF(D6=0,0,D6/D$3)</f>
        <v>0.98832338131492414</v>
      </c>
      <c r="E48" s="16">
        <f t="shared" si="36"/>
        <v>0.97859604700414782</v>
      </c>
      <c r="F48" s="16">
        <f t="shared" si="36"/>
        <v>0.99041312560327166</v>
      </c>
      <c r="G48" s="16">
        <f t="shared" si="36"/>
        <v>0.99266722026177934</v>
      </c>
      <c r="H48" s="16">
        <f t="shared" si="36"/>
        <v>0.98607540698029494</v>
      </c>
      <c r="I48" s="16">
        <f t="shared" si="36"/>
        <v>0.99128639167239319</v>
      </c>
      <c r="J48" s="16">
        <f t="shared" si="36"/>
        <v>0.98917063403490957</v>
      </c>
      <c r="K48" s="16">
        <f t="shared" si="36"/>
        <v>0.97778123812862439</v>
      </c>
      <c r="L48" s="16">
        <f t="shared" si="36"/>
        <v>0.96642988042031175</v>
      </c>
      <c r="M48" s="16">
        <f t="shared" si="36"/>
        <v>0.96263177906558939</v>
      </c>
      <c r="N48" s="16">
        <f t="shared" si="36"/>
        <v>0.95296778277707994</v>
      </c>
      <c r="O48" s="16">
        <f t="shared" si="36"/>
        <v>0.95437924142714614</v>
      </c>
      <c r="P48" s="16">
        <f t="shared" si="36"/>
        <v>0.96747711180526974</v>
      </c>
      <c r="Q48" s="16">
        <f t="shared" si="36"/>
        <v>0.96718935925896099</v>
      </c>
      <c r="R48" s="16">
        <f t="shared" si="36"/>
        <v>0.97338722910464204</v>
      </c>
      <c r="S48" s="16">
        <f t="shared" si="36"/>
        <v>0.96622872013191419</v>
      </c>
      <c r="T48" s="16">
        <f t="shared" si="36"/>
        <v>0.9766854463754574</v>
      </c>
      <c r="U48" s="16">
        <f t="shared" si="36"/>
        <v>0.9804715007213316</v>
      </c>
      <c r="V48" s="16">
        <f t="shared" si="36"/>
        <v>0.90538553871050176</v>
      </c>
      <c r="W48" s="16">
        <f t="shared" ref="W48" si="37">IF(W6=0,0,W6/W$3)</f>
        <v>0.93090529676653044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</v>
      </c>
      <c r="C49" s="103">
        <f t="shared" si="38"/>
        <v>0</v>
      </c>
      <c r="D49" s="103">
        <f t="shared" ref="D49:V49" si="39">IF(D7=0,0,D7/D$3)</f>
        <v>0</v>
      </c>
      <c r="E49" s="103">
        <f t="shared" si="39"/>
        <v>0</v>
      </c>
      <c r="F49" s="103">
        <f t="shared" si="39"/>
        <v>0</v>
      </c>
      <c r="G49" s="103">
        <f t="shared" si="39"/>
        <v>0</v>
      </c>
      <c r="H49" s="103">
        <f t="shared" si="39"/>
        <v>0</v>
      </c>
      <c r="I49" s="103">
        <f t="shared" si="39"/>
        <v>0</v>
      </c>
      <c r="J49" s="103">
        <f t="shared" si="39"/>
        <v>0</v>
      </c>
      <c r="K49" s="103">
        <f t="shared" si="39"/>
        <v>0</v>
      </c>
      <c r="L49" s="103">
        <f t="shared" si="39"/>
        <v>0</v>
      </c>
      <c r="M49" s="103">
        <f t="shared" si="39"/>
        <v>0</v>
      </c>
      <c r="N49" s="103">
        <f t="shared" si="39"/>
        <v>0</v>
      </c>
      <c r="O49" s="103">
        <f t="shared" si="39"/>
        <v>0</v>
      </c>
      <c r="P49" s="103">
        <f t="shared" si="39"/>
        <v>0</v>
      </c>
      <c r="Q49" s="103">
        <f t="shared" si="39"/>
        <v>0</v>
      </c>
      <c r="R49" s="103">
        <f t="shared" si="39"/>
        <v>0</v>
      </c>
      <c r="S49" s="103">
        <f t="shared" si="39"/>
        <v>0</v>
      </c>
      <c r="T49" s="103">
        <f t="shared" si="39"/>
        <v>0</v>
      </c>
      <c r="U49" s="103">
        <f t="shared" si="39"/>
        <v>0</v>
      </c>
      <c r="V49" s="103">
        <f t="shared" si="39"/>
        <v>0</v>
      </c>
      <c r="W49" s="103">
        <f t="shared" ref="W49" si="40">IF(W7=0,0,W7/W$3)</f>
        <v>0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0.59001163115809718</v>
      </c>
      <c r="C50" s="103">
        <f t="shared" si="41"/>
        <v>0.59180849286818393</v>
      </c>
      <c r="D50" s="103">
        <f t="shared" ref="D50:V50" si="42">IF(D8=0,0,D8/D$3)</f>
        <v>0.52174932016877462</v>
      </c>
      <c r="E50" s="103">
        <f t="shared" si="42"/>
        <v>0.53061297289379283</v>
      </c>
      <c r="F50" s="103">
        <f t="shared" si="42"/>
        <v>0.56997942642147281</v>
      </c>
      <c r="G50" s="103">
        <f t="shared" si="42"/>
        <v>0.60161636798817708</v>
      </c>
      <c r="H50" s="103">
        <f t="shared" si="42"/>
        <v>0.63103586731895334</v>
      </c>
      <c r="I50" s="103">
        <f t="shared" si="42"/>
        <v>0.64664409403438528</v>
      </c>
      <c r="J50" s="103">
        <f t="shared" si="42"/>
        <v>0.67561307202186449</v>
      </c>
      <c r="K50" s="103">
        <f t="shared" si="42"/>
        <v>0.63658522360964276</v>
      </c>
      <c r="L50" s="103">
        <f t="shared" si="42"/>
        <v>0.60614183819230694</v>
      </c>
      <c r="M50" s="103">
        <f t="shared" si="42"/>
        <v>0.59120951323260129</v>
      </c>
      <c r="N50" s="103">
        <f t="shared" si="42"/>
        <v>0.58001031372014067</v>
      </c>
      <c r="O50" s="103">
        <f t="shared" si="42"/>
        <v>0.57756942218250429</v>
      </c>
      <c r="P50" s="103">
        <f t="shared" si="42"/>
        <v>0.6009899323407244</v>
      </c>
      <c r="Q50" s="103">
        <f t="shared" si="42"/>
        <v>0.62065242116813446</v>
      </c>
      <c r="R50" s="103">
        <f t="shared" si="42"/>
        <v>0.63715464697143631</v>
      </c>
      <c r="S50" s="103">
        <f t="shared" si="42"/>
        <v>0.62492058605805134</v>
      </c>
      <c r="T50" s="103">
        <f t="shared" si="42"/>
        <v>0.63743397069275853</v>
      </c>
      <c r="U50" s="103">
        <f t="shared" si="42"/>
        <v>0.63850276201552358</v>
      </c>
      <c r="V50" s="103">
        <f t="shared" si="42"/>
        <v>0.50104442063045618</v>
      </c>
      <c r="W50" s="103">
        <f t="shared" ref="W50" si="43">IF(W8=0,0,W8/W$3)</f>
        <v>0.55122432188945281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0.38011081137036662</v>
      </c>
      <c r="C51" s="103">
        <f t="shared" si="44"/>
        <v>0.38225140427455695</v>
      </c>
      <c r="D51" s="103">
        <f t="shared" ref="D51:V51" si="45">IF(D9=0,0,D9/D$3)</f>
        <v>0.46657406114614947</v>
      </c>
      <c r="E51" s="103">
        <f t="shared" si="45"/>
        <v>0.44798307411035493</v>
      </c>
      <c r="F51" s="103">
        <f t="shared" si="45"/>
        <v>0.4204336991817989</v>
      </c>
      <c r="G51" s="103">
        <f t="shared" si="45"/>
        <v>0.39105085227360215</v>
      </c>
      <c r="H51" s="103">
        <f t="shared" si="45"/>
        <v>0.35503953966134161</v>
      </c>
      <c r="I51" s="103">
        <f t="shared" si="45"/>
        <v>0.34464229763800791</v>
      </c>
      <c r="J51" s="103">
        <f t="shared" si="45"/>
        <v>0.31355756201304502</v>
      </c>
      <c r="K51" s="103">
        <f t="shared" si="45"/>
        <v>0.34119601451898157</v>
      </c>
      <c r="L51" s="103">
        <f t="shared" si="45"/>
        <v>0.36028804222800481</v>
      </c>
      <c r="M51" s="103">
        <f t="shared" si="45"/>
        <v>0.3714222658329881</v>
      </c>
      <c r="N51" s="103">
        <f t="shared" si="45"/>
        <v>0.37295746905693922</v>
      </c>
      <c r="O51" s="103">
        <f t="shared" si="45"/>
        <v>0.37680981924464185</v>
      </c>
      <c r="P51" s="103">
        <f t="shared" si="45"/>
        <v>0.36648717946454529</v>
      </c>
      <c r="Q51" s="103">
        <f t="shared" si="45"/>
        <v>0.34653693809082653</v>
      </c>
      <c r="R51" s="103">
        <f t="shared" si="45"/>
        <v>0.33623258213320578</v>
      </c>
      <c r="S51" s="103">
        <f t="shared" si="45"/>
        <v>0.3413081340738629</v>
      </c>
      <c r="T51" s="103">
        <f t="shared" si="45"/>
        <v>0.33925147568269892</v>
      </c>
      <c r="U51" s="103">
        <f t="shared" si="45"/>
        <v>0.34196873870580796</v>
      </c>
      <c r="V51" s="103">
        <f t="shared" si="45"/>
        <v>0.40434111808004553</v>
      </c>
      <c r="W51" s="103">
        <f t="shared" ref="W51" si="46">IF(W9=0,0,W9/W$3)</f>
        <v>0.37968097487707764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2.9877557471536295E-2</v>
      </c>
      <c r="C52" s="17">
        <f t="shared" si="47"/>
        <v>2.5940102857259034E-2</v>
      </c>
      <c r="D52" s="17">
        <f t="shared" ref="D52:V52" si="48">IF(D10=0,0,D10/D$3)</f>
        <v>1.1676618685075883E-2</v>
      </c>
      <c r="E52" s="17">
        <f t="shared" si="48"/>
        <v>2.140395299585212E-2</v>
      </c>
      <c r="F52" s="17">
        <f t="shared" si="48"/>
        <v>9.5868743967282878E-3</v>
      </c>
      <c r="G52" s="17">
        <f t="shared" si="48"/>
        <v>7.3327797382206931E-3</v>
      </c>
      <c r="H52" s="17">
        <f t="shared" si="48"/>
        <v>1.3924593019704926E-2</v>
      </c>
      <c r="I52" s="17">
        <f t="shared" si="48"/>
        <v>8.7136083276068716E-3</v>
      </c>
      <c r="J52" s="17">
        <f t="shared" si="48"/>
        <v>1.0829365965090494E-2</v>
      </c>
      <c r="K52" s="17">
        <f t="shared" si="48"/>
        <v>2.2218761871375614E-2</v>
      </c>
      <c r="L52" s="17">
        <f t="shared" si="48"/>
        <v>3.3570119579688196E-2</v>
      </c>
      <c r="M52" s="17">
        <f t="shared" si="48"/>
        <v>3.7368220934410556E-2</v>
      </c>
      <c r="N52" s="17">
        <f t="shared" si="48"/>
        <v>4.7032217222920086E-2</v>
      </c>
      <c r="O52" s="17">
        <f t="shared" si="48"/>
        <v>4.562075857285379E-2</v>
      </c>
      <c r="P52" s="17">
        <f t="shared" si="48"/>
        <v>3.2522888194730232E-2</v>
      </c>
      <c r="Q52" s="17">
        <f t="shared" si="48"/>
        <v>3.2810640741038954E-2</v>
      </c>
      <c r="R52" s="17">
        <f t="shared" si="48"/>
        <v>2.6612770895357889E-2</v>
      </c>
      <c r="S52" s="17">
        <f t="shared" si="48"/>
        <v>3.3771279868085952E-2</v>
      </c>
      <c r="T52" s="17">
        <f t="shared" si="48"/>
        <v>2.33145536245426E-2</v>
      </c>
      <c r="U52" s="17">
        <f t="shared" si="48"/>
        <v>1.9528499278668409E-2</v>
      </c>
      <c r="V52" s="17">
        <f t="shared" si="48"/>
        <v>9.4614461289498214E-2</v>
      </c>
      <c r="W52" s="17">
        <f t="shared" ref="W52" si="49">IF(W10=0,0,W10/W$3)</f>
        <v>6.9094703233469487E-2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1.4495880186870536E-2</v>
      </c>
      <c r="C54" s="104">
        <f t="shared" si="53"/>
        <v>1.2312224565276189E-2</v>
      </c>
      <c r="D54" s="104">
        <f t="shared" ref="D54:V54" si="54">IF(D12=0,0,D12/D$3)</f>
        <v>9.0023894916995313E-3</v>
      </c>
      <c r="E54" s="104">
        <f t="shared" si="54"/>
        <v>5.2601667261627594E-3</v>
      </c>
      <c r="F54" s="104">
        <f t="shared" si="54"/>
        <v>2.6249256766046431E-3</v>
      </c>
      <c r="G54" s="104">
        <f t="shared" si="54"/>
        <v>1.4874598197848108E-3</v>
      </c>
      <c r="H54" s="104">
        <f t="shared" si="54"/>
        <v>1.2208736396433469E-3</v>
      </c>
      <c r="I54" s="104">
        <f t="shared" si="54"/>
        <v>1.2039707444796721E-3</v>
      </c>
      <c r="J54" s="104">
        <f t="shared" si="54"/>
        <v>8.1122511178653382E-3</v>
      </c>
      <c r="K54" s="104">
        <f t="shared" si="54"/>
        <v>1.9572370251891385E-2</v>
      </c>
      <c r="L54" s="104">
        <f t="shared" si="54"/>
        <v>2.6078953592615924E-2</v>
      </c>
      <c r="M54" s="104">
        <f t="shared" si="54"/>
        <v>3.6715311438964504E-2</v>
      </c>
      <c r="N54" s="104">
        <f t="shared" si="54"/>
        <v>4.6391049985177284E-2</v>
      </c>
      <c r="O54" s="104">
        <f t="shared" si="54"/>
        <v>4.4495321887593392E-2</v>
      </c>
      <c r="P54" s="104">
        <f t="shared" si="54"/>
        <v>2.6002131199891903E-2</v>
      </c>
      <c r="Q54" s="104">
        <f t="shared" si="54"/>
        <v>2.874208038669708E-2</v>
      </c>
      <c r="R54" s="104">
        <f t="shared" si="54"/>
        <v>2.3706023799940055E-2</v>
      </c>
      <c r="S54" s="104">
        <f t="shared" si="54"/>
        <v>3.266900410679436E-2</v>
      </c>
      <c r="T54" s="104">
        <f t="shared" si="54"/>
        <v>2.2308985531299098E-2</v>
      </c>
      <c r="U54" s="104">
        <f t="shared" si="54"/>
        <v>1.9261353480368244E-2</v>
      </c>
      <c r="V54" s="104">
        <f t="shared" si="54"/>
        <v>9.273199734789081E-2</v>
      </c>
      <c r="W54" s="104">
        <f t="shared" ref="W54" si="55">IF(W12=0,0,W12/W$3)</f>
        <v>6.8827216761049595E-2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1.5381677284665758E-2</v>
      </c>
      <c r="C55" s="105">
        <f t="shared" si="56"/>
        <v>1.3627878291982847E-2</v>
      </c>
      <c r="D55" s="105">
        <f t="shared" ref="D55:V55" si="57">IF(D13=0,0,D13/D$3)</f>
        <v>2.6742291933763516E-3</v>
      </c>
      <c r="E55" s="105">
        <f t="shared" si="57"/>
        <v>1.6143786269689361E-2</v>
      </c>
      <c r="F55" s="105">
        <f t="shared" si="57"/>
        <v>6.9619487201236438E-3</v>
      </c>
      <c r="G55" s="105">
        <f t="shared" si="57"/>
        <v>5.8453199184358819E-3</v>
      </c>
      <c r="H55" s="105">
        <f t="shared" si="57"/>
        <v>1.2703719380061576E-2</v>
      </c>
      <c r="I55" s="105">
        <f t="shared" si="57"/>
        <v>7.5096375831272006E-3</v>
      </c>
      <c r="J55" s="105">
        <f t="shared" si="57"/>
        <v>2.717114847225156E-3</v>
      </c>
      <c r="K55" s="105">
        <f t="shared" si="57"/>
        <v>2.6463916194842262E-3</v>
      </c>
      <c r="L55" s="105">
        <f t="shared" si="57"/>
        <v>7.4911659870722713E-3</v>
      </c>
      <c r="M55" s="105">
        <f t="shared" si="57"/>
        <v>6.5290949544605421E-4</v>
      </c>
      <c r="N55" s="105">
        <f t="shared" si="57"/>
        <v>6.4116723774280645E-4</v>
      </c>
      <c r="O55" s="105">
        <f t="shared" si="57"/>
        <v>1.1254366852603971E-3</v>
      </c>
      <c r="P55" s="105">
        <f t="shared" si="57"/>
        <v>6.5207569948383349E-3</v>
      </c>
      <c r="Q55" s="105">
        <f t="shared" si="57"/>
        <v>4.0685603543418767E-3</v>
      </c>
      <c r="R55" s="105">
        <f t="shared" si="57"/>
        <v>2.9067470954178358E-3</v>
      </c>
      <c r="S55" s="105">
        <f t="shared" si="57"/>
        <v>1.1022757612915968E-3</v>
      </c>
      <c r="T55" s="105">
        <f t="shared" si="57"/>
        <v>1.0055680932435018E-3</v>
      </c>
      <c r="U55" s="105">
        <f t="shared" si="57"/>
        <v>2.6714579830016495E-4</v>
      </c>
      <c r="V55" s="105">
        <f t="shared" si="57"/>
        <v>1.8824639416074073E-3</v>
      </c>
      <c r="W55" s="105">
        <f t="shared" ref="W55" si="58">IF(W13=0,0,W13/W$3)</f>
        <v>2.6748647241989877E-4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398.9856179105156</v>
      </c>
      <c r="C57" s="62">
        <v>399.1841958299625</v>
      </c>
      <c r="D57" s="62">
        <v>402.08142048877534</v>
      </c>
      <c r="E57" s="62">
        <v>403.93937003803848</v>
      </c>
      <c r="F57" s="62">
        <v>397.66718500598387</v>
      </c>
      <c r="G57" s="62">
        <v>388.70171069801097</v>
      </c>
      <c r="H57" s="62">
        <v>371.36104884913351</v>
      </c>
      <c r="I57" s="62">
        <v>379.14749065301032</v>
      </c>
      <c r="J57" s="62">
        <v>360.13068652963528</v>
      </c>
      <c r="K57" s="62">
        <v>356.73921803842671</v>
      </c>
      <c r="L57" s="62">
        <v>354.58779714191263</v>
      </c>
      <c r="M57" s="62">
        <v>343.60702642695526</v>
      </c>
      <c r="N57" s="62">
        <v>342.24140976836628</v>
      </c>
      <c r="O57" s="62">
        <v>342.77229747631145</v>
      </c>
      <c r="P57" s="62">
        <v>343.37914209948894</v>
      </c>
      <c r="Q57" s="62">
        <v>345.85672886410987</v>
      </c>
      <c r="R57" s="62">
        <v>348.2515576315817</v>
      </c>
      <c r="S57" s="62">
        <v>355.6115016000843</v>
      </c>
      <c r="T57" s="62">
        <v>358.85790771396165</v>
      </c>
      <c r="U57" s="62">
        <v>351.23886508287109</v>
      </c>
      <c r="V57" s="62">
        <v>359.08427767142365</v>
      </c>
      <c r="W57" s="62">
        <v>344.99912074314824</v>
      </c>
      <c r="DA57" s="172" t="s">
        <v>313</v>
      </c>
    </row>
    <row r="58" spans="1:105" ht="11.45" customHeight="1" x14ac:dyDescent="0.25">
      <c r="A58" s="10" t="s">
        <v>33</v>
      </c>
      <c r="B58" s="14">
        <v>400.31449642332365</v>
      </c>
      <c r="C58" s="14">
        <v>400.33535618181406</v>
      </c>
      <c r="D58" s="14">
        <v>402.71316251162591</v>
      </c>
      <c r="E58" s="14">
        <v>404.91069382217989</v>
      </c>
      <c r="F58" s="14">
        <v>398.03653167462375</v>
      </c>
      <c r="G58" s="14">
        <v>388.84893650955252</v>
      </c>
      <c r="H58" s="14">
        <v>370.99892828715582</v>
      </c>
      <c r="I58" s="14">
        <v>378.61093936629123</v>
      </c>
      <c r="J58" s="14">
        <v>359.97839267380965</v>
      </c>
      <c r="K58" s="14">
        <v>356.18974059248654</v>
      </c>
      <c r="L58" s="14">
        <v>353.37638002007122</v>
      </c>
      <c r="M58" s="14">
        <v>343.01705057300933</v>
      </c>
      <c r="N58" s="14">
        <v>340.92906577673858</v>
      </c>
      <c r="O58" s="14">
        <v>341.17270064523484</v>
      </c>
      <c r="P58" s="14">
        <v>341.94222692862991</v>
      </c>
      <c r="Q58" s="14">
        <v>344.69497410202831</v>
      </c>
      <c r="R58" s="14">
        <v>347.02649238663582</v>
      </c>
      <c r="S58" s="14">
        <v>354.08616342428815</v>
      </c>
      <c r="T58" s="14">
        <v>357.87806462992302</v>
      </c>
      <c r="U58" s="14">
        <v>350.10321040340597</v>
      </c>
      <c r="V58" s="14">
        <v>348.83088298436434</v>
      </c>
      <c r="W58" s="14">
        <v>340.33275553409169</v>
      </c>
      <c r="DA58" s="189" t="s">
        <v>314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DA59" s="171" t="s">
        <v>315</v>
      </c>
    </row>
    <row r="60" spans="1:105" ht="11.45" customHeight="1" x14ac:dyDescent="0.25">
      <c r="A60" s="83" t="s">
        <v>173</v>
      </c>
      <c r="B60" s="87">
        <v>381.56598911568801</v>
      </c>
      <c r="C60" s="87">
        <v>381.57573776833715</v>
      </c>
      <c r="D60" s="87">
        <v>378.42985548375248</v>
      </c>
      <c r="E60" s="87">
        <v>383.98698138352489</v>
      </c>
      <c r="F60" s="87">
        <v>374.89016335760004</v>
      </c>
      <c r="G60" s="87">
        <v>366.04427602552056</v>
      </c>
      <c r="H60" s="87">
        <v>353.73127417834866</v>
      </c>
      <c r="I60" s="87">
        <v>353.80284971330013</v>
      </c>
      <c r="J60" s="87">
        <v>344.33340656528628</v>
      </c>
      <c r="K60" s="87">
        <v>350.80430655408662</v>
      </c>
      <c r="L60" s="87">
        <v>350.06997200286554</v>
      </c>
      <c r="M60" s="87">
        <v>341.25798260351996</v>
      </c>
      <c r="N60" s="87">
        <v>340.29326811425113</v>
      </c>
      <c r="O60" s="87">
        <v>338.48482769235687</v>
      </c>
      <c r="P60" s="87">
        <v>336.86682287607374</v>
      </c>
      <c r="Q60" s="87">
        <v>333.12308529629729</v>
      </c>
      <c r="R60" s="87">
        <v>334.93571855635196</v>
      </c>
      <c r="S60" s="87">
        <v>336.25477569721193</v>
      </c>
      <c r="T60" s="87">
        <v>333.51505562807057</v>
      </c>
      <c r="U60" s="87">
        <v>329.7137467981097</v>
      </c>
      <c r="V60" s="87">
        <v>336.94487828505561</v>
      </c>
      <c r="W60" s="87">
        <v>325.3666014080008</v>
      </c>
      <c r="DA60" s="171" t="s">
        <v>316</v>
      </c>
    </row>
    <row r="61" spans="1:105" ht="11.45" customHeight="1" x14ac:dyDescent="0.25">
      <c r="A61" s="83" t="s">
        <v>174</v>
      </c>
      <c r="B61" s="87">
        <v>434.12145821343233</v>
      </c>
      <c r="C61" s="87">
        <v>434.12145821343239</v>
      </c>
      <c r="D61" s="87">
        <v>434.12145821343239</v>
      </c>
      <c r="E61" s="87">
        <v>434.12145821343239</v>
      </c>
      <c r="F61" s="87">
        <v>434.12145821343239</v>
      </c>
      <c r="G61" s="87">
        <v>440.20295558672899</v>
      </c>
      <c r="H61" s="87">
        <v>440.27994955650269</v>
      </c>
      <c r="I61" s="87">
        <v>453.11228744112628</v>
      </c>
      <c r="J61" s="87">
        <v>407.94060814831226</v>
      </c>
      <c r="K61" s="87">
        <v>371.93639917767939</v>
      </c>
      <c r="L61" s="87">
        <v>362.90054736388157</v>
      </c>
      <c r="M61" s="87">
        <v>347.7823822551116</v>
      </c>
      <c r="N61" s="87">
        <v>342.35544848001888</v>
      </c>
      <c r="O61" s="87">
        <v>347.76403557720619</v>
      </c>
      <c r="P61" s="87">
        <v>357.59817602958441</v>
      </c>
      <c r="Q61" s="87">
        <v>375.15754272923039</v>
      </c>
      <c r="R61" s="87">
        <v>382.88511088281217</v>
      </c>
      <c r="S61" s="87">
        <v>388.9863285198702</v>
      </c>
      <c r="T61" s="87">
        <v>400.92830275883716</v>
      </c>
      <c r="U61" s="87">
        <v>383.35223700339594</v>
      </c>
      <c r="V61" s="87">
        <v>387.84459302502552</v>
      </c>
      <c r="W61" s="87">
        <v>390.39884511143555</v>
      </c>
      <c r="DA61" s="171" t="s">
        <v>317</v>
      </c>
    </row>
    <row r="62" spans="1:105" ht="11.45" customHeight="1" x14ac:dyDescent="0.25">
      <c r="A62" s="12" t="s">
        <v>34</v>
      </c>
      <c r="B62" s="15">
        <v>362.18848424319759</v>
      </c>
      <c r="C62" s="15">
        <v>362.27760365661698</v>
      </c>
      <c r="D62" s="15">
        <v>356.66592784381311</v>
      </c>
      <c r="E62" s="15">
        <v>366.33703442546908</v>
      </c>
      <c r="F62" s="15">
        <v>365.59027741422557</v>
      </c>
      <c r="G62" s="15">
        <v>369.97485401336417</v>
      </c>
      <c r="H62" s="15">
        <v>407.84416526087438</v>
      </c>
      <c r="I62" s="15">
        <v>454.07822869887389</v>
      </c>
      <c r="J62" s="15">
        <v>371.12854202080928</v>
      </c>
      <c r="K62" s="15">
        <v>376.06573088591858</v>
      </c>
      <c r="L62" s="15">
        <v>384.90127464297302</v>
      </c>
      <c r="M62" s="15">
        <v>355.24717623146324</v>
      </c>
      <c r="N62" s="15">
        <v>365.70938443623868</v>
      </c>
      <c r="O62" s="15">
        <v>372.40206515168717</v>
      </c>
      <c r="P62" s="15">
        <v>383.67698879162674</v>
      </c>
      <c r="Q62" s="15">
        <v>376.23157840714492</v>
      </c>
      <c r="R62" s="15">
        <v>387.52116533319679</v>
      </c>
      <c r="S62" s="15">
        <v>398.80567445656374</v>
      </c>
      <c r="T62" s="15">
        <v>399.43897312615883</v>
      </c>
      <c r="U62" s="15">
        <v>411.84001673461125</v>
      </c>
      <c r="V62" s="15">
        <v>473.46458149509942</v>
      </c>
      <c r="W62" s="15">
        <v>410.97620555071467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353.23501932723894</v>
      </c>
      <c r="C64" s="101">
        <v>353.02679540383446</v>
      </c>
      <c r="D64" s="101">
        <v>352.46052964711987</v>
      </c>
      <c r="E64" s="101">
        <v>353.48653779310501</v>
      </c>
      <c r="F64" s="101">
        <v>352.36874367495557</v>
      </c>
      <c r="G64" s="101">
        <v>346.76906460609734</v>
      </c>
      <c r="H64" s="101">
        <v>338.42765481394144</v>
      </c>
      <c r="I64" s="101">
        <v>342.08376877497585</v>
      </c>
      <c r="J64" s="101">
        <v>353.22079154750736</v>
      </c>
      <c r="K64" s="101">
        <v>369.83693523667671</v>
      </c>
      <c r="L64" s="101">
        <v>370.17135766196799</v>
      </c>
      <c r="M64" s="101">
        <v>354.32122512627569</v>
      </c>
      <c r="N64" s="101">
        <v>364.95402339624712</v>
      </c>
      <c r="O64" s="101">
        <v>371.581358311668</v>
      </c>
      <c r="P64" s="101">
        <v>380.64892141820275</v>
      </c>
      <c r="Q64" s="101">
        <v>375.27689733176186</v>
      </c>
      <c r="R64" s="101">
        <v>389.17514888970118</v>
      </c>
      <c r="S64" s="101">
        <v>400.19638152612094</v>
      </c>
      <c r="T64" s="101">
        <v>402.12516709393492</v>
      </c>
      <c r="U64" s="101">
        <v>412.84850605393126</v>
      </c>
      <c r="V64" s="101">
        <v>475.45576031284833</v>
      </c>
      <c r="W64" s="101">
        <v>411.18956485574068</v>
      </c>
      <c r="DA64" s="175" t="s">
        <v>320</v>
      </c>
    </row>
    <row r="65" spans="1:105" ht="11.45" customHeight="1" x14ac:dyDescent="0.25">
      <c r="A65" s="85" t="s">
        <v>174</v>
      </c>
      <c r="B65" s="88">
        <v>370.4364737907909</v>
      </c>
      <c r="C65" s="88">
        <v>370.4364737907909</v>
      </c>
      <c r="D65" s="88">
        <v>370.4364737907909</v>
      </c>
      <c r="E65" s="88">
        <v>370.4364737907909</v>
      </c>
      <c r="F65" s="88">
        <v>370.4364737907909</v>
      </c>
      <c r="G65" s="88">
        <v>377.393087599816</v>
      </c>
      <c r="H65" s="88">
        <v>421.60768398783546</v>
      </c>
      <c r="I65" s="88">
        <v>483.60519494296813</v>
      </c>
      <c r="J65" s="88">
        <v>475.1969734289716</v>
      </c>
      <c r="K65" s="88">
        <v>472.20861188083973</v>
      </c>
      <c r="L65" s="88">
        <v>508.79885034776277</v>
      </c>
      <c r="M65" s="88">
        <v>476.40118292674299</v>
      </c>
      <c r="N65" s="88">
        <v>461.67593389787339</v>
      </c>
      <c r="O65" s="88">
        <v>428.35327960296149</v>
      </c>
      <c r="P65" s="88">
        <v>405.97569516152163</v>
      </c>
      <c r="Q65" s="88">
        <v>385.73088158040872</v>
      </c>
      <c r="R65" s="88">
        <v>368.66354465279767</v>
      </c>
      <c r="S65" s="88">
        <v>362.48152292086439</v>
      </c>
      <c r="T65" s="88">
        <v>354.00957440481528</v>
      </c>
      <c r="U65" s="88">
        <v>359.18186307993909</v>
      </c>
      <c r="V65" s="88">
        <v>344.28648302772689</v>
      </c>
      <c r="W65" s="88">
        <v>338.54775557695064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1.8826986904081719</v>
      </c>
      <c r="C67" s="59">
        <f t="shared" ref="C67:W67" si="60">IF(C3=0,0,C17/C57)</f>
        <v>1.8889195604969888</v>
      </c>
      <c r="D67" s="59">
        <f t="shared" si="60"/>
        <v>2.3263440268514923</v>
      </c>
      <c r="E67" s="59">
        <f t="shared" si="60"/>
        <v>1.1904866718080134</v>
      </c>
      <c r="F67" s="59">
        <f t="shared" si="60"/>
        <v>0.60242161486395229</v>
      </c>
      <c r="G67" s="59">
        <f t="shared" si="60"/>
        <v>0.81480062941487363</v>
      </c>
      <c r="H67" s="59">
        <f t="shared" si="60"/>
        <v>0.80997720606457513</v>
      </c>
      <c r="I67" s="59">
        <f t="shared" si="60"/>
        <v>0.96625569318003846</v>
      </c>
      <c r="J67" s="59">
        <f t="shared" si="60"/>
        <v>1.0606811784372161</v>
      </c>
      <c r="K67" s="59">
        <f t="shared" si="60"/>
        <v>1.0437634052348392</v>
      </c>
      <c r="L67" s="59">
        <f t="shared" si="60"/>
        <v>0.99845207873893849</v>
      </c>
      <c r="M67" s="59">
        <f t="shared" si="60"/>
        <v>1.095535202245276</v>
      </c>
      <c r="N67" s="59">
        <f t="shared" si="60"/>
        <v>1.1374538166890831</v>
      </c>
      <c r="O67" s="59">
        <f t="shared" si="60"/>
        <v>1.3122786854643089</v>
      </c>
      <c r="P67" s="59">
        <f t="shared" si="60"/>
        <v>1.0915505204033407</v>
      </c>
      <c r="Q67" s="59">
        <f t="shared" si="60"/>
        <v>1.1338527129249698</v>
      </c>
      <c r="R67" s="59">
        <f t="shared" si="60"/>
        <v>1.1719746863362295</v>
      </c>
      <c r="S67" s="59">
        <f t="shared" si="60"/>
        <v>0.8567326712130664</v>
      </c>
      <c r="T67" s="59">
        <f t="shared" si="60"/>
        <v>0.8815701939257965</v>
      </c>
      <c r="U67" s="59">
        <f t="shared" si="60"/>
        <v>0.85348668793385218</v>
      </c>
      <c r="V67" s="59">
        <f t="shared" si="60"/>
        <v>2.0731267931912711</v>
      </c>
      <c r="W67" s="59">
        <f t="shared" si="60"/>
        <v>1.256075440987461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1.886125938955233</v>
      </c>
      <c r="C68" s="23">
        <f t="shared" ref="C68:W68" si="62">IF(C6=0,0,C18/C58)</f>
        <v>1.8918544066133569</v>
      </c>
      <c r="D68" s="23">
        <f t="shared" si="62"/>
        <v>2.327505496505696</v>
      </c>
      <c r="E68" s="23">
        <f t="shared" si="62"/>
        <v>1.1922324873336905</v>
      </c>
      <c r="F68" s="23">
        <f t="shared" si="62"/>
        <v>0.60295628862129746</v>
      </c>
      <c r="G68" s="23">
        <f t="shared" si="62"/>
        <v>0.81487601551232036</v>
      </c>
      <c r="H68" s="23">
        <f t="shared" si="62"/>
        <v>0.8074135707795852</v>
      </c>
      <c r="I68" s="23">
        <f t="shared" si="62"/>
        <v>0.96606195392279948</v>
      </c>
      <c r="J68" s="23">
        <f t="shared" si="62"/>
        <v>1.064173520372097</v>
      </c>
      <c r="K68" s="23">
        <f t="shared" si="62"/>
        <v>1.051207599602108</v>
      </c>
      <c r="L68" s="23">
        <f t="shared" si="62"/>
        <v>1.0069356699446179</v>
      </c>
      <c r="M68" s="23">
        <f t="shared" si="62"/>
        <v>1.1099545845532854</v>
      </c>
      <c r="N68" s="23">
        <f t="shared" si="62"/>
        <v>1.148978215892362</v>
      </c>
      <c r="O68" s="23">
        <f t="shared" si="62"/>
        <v>1.326213370604711</v>
      </c>
      <c r="P68" s="23">
        <f t="shared" si="62"/>
        <v>1.0983021036492926</v>
      </c>
      <c r="Q68" s="23">
        <f t="shared" si="62"/>
        <v>1.1424316476502996</v>
      </c>
      <c r="R68" s="23">
        <f t="shared" si="62"/>
        <v>1.180526241706281</v>
      </c>
      <c r="S68" s="23">
        <f t="shared" si="62"/>
        <v>0.86072416945876906</v>
      </c>
      <c r="T68" s="23">
        <f t="shared" si="62"/>
        <v>0.88422062882071872</v>
      </c>
      <c r="U68" s="23">
        <f t="shared" si="62"/>
        <v>0.85526653710319989</v>
      </c>
      <c r="V68" s="23">
        <f t="shared" si="62"/>
        <v>2.1053539426807921</v>
      </c>
      <c r="W68" s="23">
        <f t="shared" si="62"/>
        <v>1.2691537644429083</v>
      </c>
      <c r="DA68" s="189"/>
    </row>
    <row r="69" spans="1:105" ht="11.45" customHeight="1" x14ac:dyDescent="0.25">
      <c r="A69" s="83" t="s">
        <v>27</v>
      </c>
      <c r="B69" s="91">
        <f t="shared" si="61"/>
        <v>0</v>
      </c>
      <c r="C69" s="91">
        <f t="shared" ref="C69:W69" si="63">IF(C7=0,0,C19/C59)</f>
        <v>0</v>
      </c>
      <c r="D69" s="91">
        <f t="shared" si="63"/>
        <v>0</v>
      </c>
      <c r="E69" s="91">
        <f t="shared" si="63"/>
        <v>0</v>
      </c>
      <c r="F69" s="91">
        <f t="shared" si="63"/>
        <v>0</v>
      </c>
      <c r="G69" s="91">
        <f t="shared" si="63"/>
        <v>0</v>
      </c>
      <c r="H69" s="91">
        <f t="shared" si="63"/>
        <v>0</v>
      </c>
      <c r="I69" s="91">
        <f t="shared" si="63"/>
        <v>0</v>
      </c>
      <c r="J69" s="91">
        <f t="shared" si="63"/>
        <v>0</v>
      </c>
      <c r="K69" s="91">
        <f t="shared" si="63"/>
        <v>0</v>
      </c>
      <c r="L69" s="91">
        <f t="shared" si="63"/>
        <v>0</v>
      </c>
      <c r="M69" s="91">
        <f t="shared" si="63"/>
        <v>0</v>
      </c>
      <c r="N69" s="91">
        <f t="shared" si="63"/>
        <v>0</v>
      </c>
      <c r="O69" s="91">
        <f t="shared" si="63"/>
        <v>0</v>
      </c>
      <c r="P69" s="91">
        <f t="shared" si="63"/>
        <v>0</v>
      </c>
      <c r="Q69" s="91">
        <f t="shared" si="63"/>
        <v>0</v>
      </c>
      <c r="R69" s="91">
        <f t="shared" si="63"/>
        <v>0</v>
      </c>
      <c r="S69" s="91">
        <f t="shared" si="63"/>
        <v>0</v>
      </c>
      <c r="T69" s="91">
        <f t="shared" si="63"/>
        <v>0</v>
      </c>
      <c r="U69" s="91">
        <f t="shared" si="63"/>
        <v>0</v>
      </c>
      <c r="V69" s="91">
        <f t="shared" si="63"/>
        <v>0</v>
      </c>
      <c r="W69" s="91">
        <f t="shared" si="63"/>
        <v>0</v>
      </c>
      <c r="DA69" s="171"/>
    </row>
    <row r="70" spans="1:105" ht="11.45" customHeight="1" x14ac:dyDescent="0.25">
      <c r="A70" s="83" t="s">
        <v>173</v>
      </c>
      <c r="B70" s="91">
        <f t="shared" si="61"/>
        <v>1.8708895269697563</v>
      </c>
      <c r="C70" s="91">
        <f t="shared" ref="C70:W70" si="64">IF(C8=0,0,C20/C60)</f>
        <v>1.8755372624899123</v>
      </c>
      <c r="D70" s="91">
        <f t="shared" si="64"/>
        <v>2.3185118257499591</v>
      </c>
      <c r="E70" s="91">
        <f t="shared" si="64"/>
        <v>1.1699617687253576</v>
      </c>
      <c r="F70" s="91">
        <f t="shared" si="64"/>
        <v>0.60474587012111214</v>
      </c>
      <c r="G70" s="91">
        <f t="shared" si="64"/>
        <v>0.75760414755542038</v>
      </c>
      <c r="H70" s="91">
        <f t="shared" si="64"/>
        <v>0.67699475324562342</v>
      </c>
      <c r="I70" s="91">
        <f t="shared" si="64"/>
        <v>0.89893724201370195</v>
      </c>
      <c r="J70" s="91">
        <f t="shared" si="64"/>
        <v>1.0077286477973677</v>
      </c>
      <c r="K70" s="91">
        <f t="shared" si="64"/>
        <v>0.93255387290556879</v>
      </c>
      <c r="L70" s="91">
        <f t="shared" si="64"/>
        <v>0.85883040293525748</v>
      </c>
      <c r="M70" s="91">
        <f t="shared" si="64"/>
        <v>0.93813802456903239</v>
      </c>
      <c r="N70" s="91">
        <f t="shared" si="64"/>
        <v>1.0129092725869895</v>
      </c>
      <c r="O70" s="91">
        <f t="shared" si="64"/>
        <v>1.1388570142525078</v>
      </c>
      <c r="P70" s="91">
        <f t="shared" si="64"/>
        <v>0.917045865308318</v>
      </c>
      <c r="Q70" s="91">
        <f t="shared" si="64"/>
        <v>1.0467339632099191</v>
      </c>
      <c r="R70" s="91">
        <f t="shared" si="64"/>
        <v>1.070595901047497</v>
      </c>
      <c r="S70" s="91">
        <f t="shared" si="64"/>
        <v>0.88571186295601856</v>
      </c>
      <c r="T70" s="91">
        <f t="shared" si="64"/>
        <v>0.96968450476647772</v>
      </c>
      <c r="U70" s="91">
        <f t="shared" si="64"/>
        <v>0.95408250915339043</v>
      </c>
      <c r="V70" s="91">
        <f t="shared" si="64"/>
        <v>1.5737000530847454</v>
      </c>
      <c r="W70" s="91">
        <f t="shared" si="64"/>
        <v>1.0210639845117078</v>
      </c>
      <c r="DA70" s="171"/>
    </row>
    <row r="71" spans="1:105" ht="11.45" customHeight="1" x14ac:dyDescent="0.25">
      <c r="A71" s="83" t="s">
        <v>174</v>
      </c>
      <c r="B71" s="91">
        <f t="shared" si="61"/>
        <v>1.9102739050504944</v>
      </c>
      <c r="C71" s="91">
        <f t="shared" ref="C71:W71" si="65">IF(C9=0,0,C21/C61)</f>
        <v>1.9176846047786165</v>
      </c>
      <c r="D71" s="91">
        <f t="shared" si="65"/>
        <v>2.3376457231860392</v>
      </c>
      <c r="E71" s="91">
        <f t="shared" si="65"/>
        <v>1.219733181537523</v>
      </c>
      <c r="F71" s="91">
        <f t="shared" si="65"/>
        <v>0.60054700882056267</v>
      </c>
      <c r="G71" s="91">
        <f t="shared" si="65"/>
        <v>0.92211997532548939</v>
      </c>
      <c r="H71" s="91">
        <f t="shared" si="65"/>
        <v>1.2278165151490099</v>
      </c>
      <c r="I71" s="91">
        <f t="shared" si="65"/>
        <v>1.1234634045071223</v>
      </c>
      <c r="J71" s="91">
        <f t="shared" si="65"/>
        <v>1.2102333437412114</v>
      </c>
      <c r="K71" s="91">
        <f t="shared" si="65"/>
        <v>1.3784317264608399</v>
      </c>
      <c r="L71" s="91">
        <f t="shared" si="65"/>
        <v>1.4184721249599743</v>
      </c>
      <c r="M71" s="91">
        <f t="shared" si="65"/>
        <v>1.5666753672105098</v>
      </c>
      <c r="N71" s="91">
        <f t="shared" si="65"/>
        <v>1.452403846241723</v>
      </c>
      <c r="O71" s="91">
        <f t="shared" si="65"/>
        <v>1.7733987692846811</v>
      </c>
      <c r="P71" s="91">
        <f t="shared" si="65"/>
        <v>1.6250037634229149</v>
      </c>
      <c r="Q71" s="91">
        <f t="shared" si="65"/>
        <v>1.3661258589917593</v>
      </c>
      <c r="R71" s="91">
        <f t="shared" si="65"/>
        <v>1.4657265668188231</v>
      </c>
      <c r="S71" s="91">
        <f t="shared" si="65"/>
        <v>0.81844731843011298</v>
      </c>
      <c r="T71" s="91">
        <f t="shared" si="65"/>
        <v>0.75859566618369456</v>
      </c>
      <c r="U71" s="91">
        <f t="shared" si="65"/>
        <v>0.71667416293715602</v>
      </c>
      <c r="V71" s="91">
        <f t="shared" si="65"/>
        <v>3.6213967621103569</v>
      </c>
      <c r="W71" s="91">
        <f t="shared" si="65"/>
        <v>1.9608362506007253</v>
      </c>
      <c r="DA71" s="171"/>
    </row>
    <row r="72" spans="1:105" ht="11.45" customHeight="1" x14ac:dyDescent="0.25">
      <c r="A72" s="12" t="s">
        <v>34</v>
      </c>
      <c r="B72" s="24">
        <f t="shared" si="61"/>
        <v>1.7778070224094797</v>
      </c>
      <c r="C72" s="24">
        <f t="shared" ref="C72:W72" si="66">IF(C10=0,0,C22/C62)</f>
        <v>1.7849428872482984</v>
      </c>
      <c r="D72" s="24">
        <f t="shared" si="66"/>
        <v>2.2320669015490533</v>
      </c>
      <c r="E72" s="24">
        <f t="shared" si="66"/>
        <v>1.1157854730850418</v>
      </c>
      <c r="F72" s="24">
        <f t="shared" si="66"/>
        <v>0.55186529285125963</v>
      </c>
      <c r="G72" s="24">
        <f t="shared" si="66"/>
        <v>0.8047224775227757</v>
      </c>
      <c r="H72" s="24">
        <f t="shared" si="66"/>
        <v>1.0449260893876555</v>
      </c>
      <c r="I72" s="24">
        <f t="shared" si="66"/>
        <v>0.98881516245543233</v>
      </c>
      <c r="J72" s="24">
        <f t="shared" si="66"/>
        <v>0.81605976947432712</v>
      </c>
      <c r="K72" s="24">
        <f t="shared" si="66"/>
        <v>0.79577065833665106</v>
      </c>
      <c r="L72" s="24">
        <f t="shared" si="66"/>
        <v>0.80355292450990112</v>
      </c>
      <c r="M72" s="24">
        <f t="shared" si="66"/>
        <v>0.82083684486286623</v>
      </c>
      <c r="N72" s="24">
        <f t="shared" si="66"/>
        <v>0.94533312532643188</v>
      </c>
      <c r="O72" s="24">
        <f t="shared" si="66"/>
        <v>1.0758081341886809</v>
      </c>
      <c r="P72" s="24">
        <f t="shared" si="66"/>
        <v>0.92280069978266999</v>
      </c>
      <c r="Q72" s="24">
        <f t="shared" si="66"/>
        <v>0.92835227862798864</v>
      </c>
      <c r="R72" s="24">
        <f t="shared" si="66"/>
        <v>0.92649833537685744</v>
      </c>
      <c r="S72" s="24">
        <f t="shared" si="66"/>
        <v>0.75637684471953481</v>
      </c>
      <c r="T72" s="24">
        <f t="shared" si="66"/>
        <v>0.78322147723675628</v>
      </c>
      <c r="U72" s="24">
        <f t="shared" si="66"/>
        <v>0.77274732221586695</v>
      </c>
      <c r="V72" s="24">
        <f t="shared" si="66"/>
        <v>1.8082567176978028</v>
      </c>
      <c r="W72" s="24">
        <f t="shared" si="66"/>
        <v>1.102947817268463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1.8444720184565488</v>
      </c>
      <c r="C74" s="93">
        <f t="shared" ref="C74:W74" si="68">IF(C12=0,0,C24/C64)</f>
        <v>1.855169957303431</v>
      </c>
      <c r="D74" s="93">
        <f t="shared" si="68"/>
        <v>2.2732101869688348</v>
      </c>
      <c r="E74" s="93">
        <f t="shared" si="68"/>
        <v>1.1749997282753497</v>
      </c>
      <c r="F74" s="93">
        <f t="shared" si="68"/>
        <v>0.58448436891709421</v>
      </c>
      <c r="G74" s="93">
        <f t="shared" si="68"/>
        <v>0.71897921219950167</v>
      </c>
      <c r="H74" s="93">
        <f t="shared" si="68"/>
        <v>0.66725490977126256</v>
      </c>
      <c r="I74" s="93">
        <f t="shared" si="68"/>
        <v>0.86922978001398832</v>
      </c>
      <c r="J74" s="93">
        <f t="shared" si="68"/>
        <v>0.75282571654252495</v>
      </c>
      <c r="K74" s="93">
        <f t="shared" si="68"/>
        <v>0.75897531803866991</v>
      </c>
      <c r="L74" s="93">
        <f t="shared" si="68"/>
        <v>0.72624784469088721</v>
      </c>
      <c r="M74" s="93">
        <f t="shared" si="68"/>
        <v>0.81478249816738191</v>
      </c>
      <c r="N74" s="93">
        <f t="shared" si="68"/>
        <v>0.94173033691096353</v>
      </c>
      <c r="O74" s="93">
        <f t="shared" si="68"/>
        <v>1.067011036076569</v>
      </c>
      <c r="P74" s="93">
        <f t="shared" si="68"/>
        <v>0.84463506193151061</v>
      </c>
      <c r="Q74" s="93">
        <f t="shared" si="68"/>
        <v>0.89724243213534116</v>
      </c>
      <c r="R74" s="93">
        <f t="shared" si="68"/>
        <v>0.89387403899510909</v>
      </c>
      <c r="S74" s="93">
        <f t="shared" si="68"/>
        <v>0.75706257463923743</v>
      </c>
      <c r="T74" s="93">
        <f t="shared" si="68"/>
        <v>0.7884521434059869</v>
      </c>
      <c r="U74" s="93">
        <f t="shared" si="68"/>
        <v>0.77487574659989489</v>
      </c>
      <c r="V74" s="93">
        <f t="shared" si="68"/>
        <v>1.7920610537133796</v>
      </c>
      <c r="W74" s="93">
        <f t="shared" si="68"/>
        <v>1.1013426874248831</v>
      </c>
      <c r="DA74" s="175"/>
    </row>
    <row r="75" spans="1:105" ht="11.45" customHeight="1" x14ac:dyDescent="0.25">
      <c r="A75" s="85" t="s">
        <v>174</v>
      </c>
      <c r="B75" s="94">
        <f t="shared" si="61"/>
        <v>1.7192465145454447</v>
      </c>
      <c r="C75" s="94">
        <f t="shared" ref="C75:W75" si="69">IF(C13=0,0,C25/C65)</f>
        <v>1.7259161443007549</v>
      </c>
      <c r="D75" s="94">
        <f t="shared" si="69"/>
        <v>2.1038811508674349</v>
      </c>
      <c r="E75" s="94">
        <f t="shared" si="69"/>
        <v>1.0977598633837709</v>
      </c>
      <c r="F75" s="94">
        <f t="shared" si="69"/>
        <v>0.54049230793850644</v>
      </c>
      <c r="G75" s="94">
        <f t="shared" si="69"/>
        <v>0.82990797779294045</v>
      </c>
      <c r="H75" s="94">
        <f t="shared" si="69"/>
        <v>1.105034863634109</v>
      </c>
      <c r="I75" s="94">
        <f t="shared" si="69"/>
        <v>1.0111170640564102</v>
      </c>
      <c r="J75" s="94">
        <f t="shared" si="69"/>
        <v>1.0892100093670904</v>
      </c>
      <c r="K75" s="94">
        <f t="shared" si="69"/>
        <v>1.2405885538147565</v>
      </c>
      <c r="L75" s="94">
        <f t="shared" si="69"/>
        <v>1.2766249124639772</v>
      </c>
      <c r="M75" s="94">
        <f t="shared" si="69"/>
        <v>1.4100078304894594</v>
      </c>
      <c r="N75" s="94">
        <f t="shared" si="69"/>
        <v>1.3071634616175509</v>
      </c>
      <c r="O75" s="94">
        <f t="shared" si="69"/>
        <v>1.5960588923562127</v>
      </c>
      <c r="P75" s="94">
        <f t="shared" si="69"/>
        <v>1.4625033870806237</v>
      </c>
      <c r="Q75" s="94">
        <f t="shared" si="69"/>
        <v>1.2295132730925831</v>
      </c>
      <c r="R75" s="94">
        <f t="shared" si="69"/>
        <v>1.3191539101369409</v>
      </c>
      <c r="S75" s="94">
        <f t="shared" si="69"/>
        <v>0.73660258658710165</v>
      </c>
      <c r="T75" s="94">
        <f t="shared" si="69"/>
        <v>0.68273609956532533</v>
      </c>
      <c r="U75" s="94">
        <f t="shared" si="69"/>
        <v>0.64500674664344038</v>
      </c>
      <c r="V75" s="94">
        <f t="shared" si="69"/>
        <v>3.2592570858993213</v>
      </c>
      <c r="W75" s="94">
        <f t="shared" si="69"/>
        <v>1.7647526255406527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82.440539999999999</v>
      </c>
      <c r="C3" s="79">
        <f t="shared" si="0"/>
        <v>93.41095571999999</v>
      </c>
      <c r="D3" s="79">
        <f t="shared" ref="D3" si="1">SUM(D4:D5)</f>
        <v>140.064795</v>
      </c>
      <c r="E3" s="79">
        <f t="shared" ref="E3" si="2">SUM(E4:E5)</f>
        <v>102.03809292</v>
      </c>
      <c r="F3" s="79">
        <f t="shared" ref="F3" si="3">SUM(F4:F5)</f>
        <v>80.95635144000002</v>
      </c>
      <c r="G3" s="79">
        <f t="shared" ref="G3" si="4">SUM(G4:G5)</f>
        <v>118.32068196</v>
      </c>
      <c r="H3" s="79">
        <f t="shared" ref="H3" si="5">SUM(H4:H5)</f>
        <v>121.10916527999998</v>
      </c>
      <c r="I3" s="79">
        <f t="shared" ref="I3" si="6">SUM(I4:I5)</f>
        <v>149.44049748000003</v>
      </c>
      <c r="J3" s="79">
        <f t="shared" ref="J3" si="7">SUM(J4:J5)</f>
        <v>189.91375524</v>
      </c>
      <c r="K3" s="79">
        <f t="shared" ref="K3" si="8">SUM(K4:K5)</f>
        <v>136.98382248000001</v>
      </c>
      <c r="L3" s="79">
        <f t="shared" ref="L3" si="9">SUM(L4:L5)</f>
        <v>124.53361848</v>
      </c>
      <c r="M3" s="79">
        <f t="shared" ref="M3" si="10">SUM(M4:M5)</f>
        <v>130.75742628</v>
      </c>
      <c r="N3" s="79">
        <f t="shared" ref="N3" si="11">SUM(N4:N5)</f>
        <v>112.07772</v>
      </c>
      <c r="O3" s="79">
        <f t="shared" ref="O3" si="12">SUM(O4:O5)</f>
        <v>124.53077124000002</v>
      </c>
      <c r="P3" s="79">
        <f t="shared" ref="P3" si="13">SUM(P4:P5)</f>
        <v>105.85106496</v>
      </c>
      <c r="Q3" s="79">
        <f t="shared" ref="Q3" si="14">SUM(Q4:Q5)</f>
        <v>130.75742628</v>
      </c>
      <c r="R3" s="79">
        <f t="shared" ref="R3" si="15">SUM(R4:R5)</f>
        <v>149.43687372000002</v>
      </c>
      <c r="S3" s="79">
        <f t="shared" ref="S3" si="16">SUM(S4:S5)</f>
        <v>121.41744371999999</v>
      </c>
      <c r="T3" s="79">
        <f t="shared" ref="T3" si="17">SUM(T4:T5)</f>
        <v>143.21047752000001</v>
      </c>
      <c r="U3" s="79">
        <f t="shared" ref="U3" si="18">SUM(U4:U5)</f>
        <v>136.98382247999996</v>
      </c>
      <c r="V3" s="79">
        <f t="shared" ref="V3:W3" si="19">SUM(V4:V5)</f>
        <v>87.171617520000027</v>
      </c>
      <c r="W3" s="79">
        <f t="shared" si="19"/>
        <v>68.491911240000007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82.440539999999999</v>
      </c>
      <c r="C5" s="96">
        <f t="shared" si="23"/>
        <v>93.41095571999999</v>
      </c>
      <c r="D5" s="96">
        <f t="shared" ref="D5:V5" si="24">SUM(D8:D9,D12:D13)</f>
        <v>140.064795</v>
      </c>
      <c r="E5" s="96">
        <f t="shared" si="24"/>
        <v>102.03809292</v>
      </c>
      <c r="F5" s="96">
        <f t="shared" si="24"/>
        <v>80.95635144000002</v>
      </c>
      <c r="G5" s="96">
        <f t="shared" si="24"/>
        <v>118.32068196</v>
      </c>
      <c r="H5" s="96">
        <f t="shared" si="24"/>
        <v>121.10916527999998</v>
      </c>
      <c r="I5" s="96">
        <f t="shared" si="24"/>
        <v>149.44049748000003</v>
      </c>
      <c r="J5" s="96">
        <f t="shared" si="24"/>
        <v>189.91375524</v>
      </c>
      <c r="K5" s="96">
        <f t="shared" si="24"/>
        <v>136.98382248000001</v>
      </c>
      <c r="L5" s="96">
        <f t="shared" si="24"/>
        <v>124.53361848</v>
      </c>
      <c r="M5" s="96">
        <f t="shared" si="24"/>
        <v>130.75742628</v>
      </c>
      <c r="N5" s="96">
        <f t="shared" si="24"/>
        <v>112.07772</v>
      </c>
      <c r="O5" s="96">
        <f t="shared" si="24"/>
        <v>124.53077124000002</v>
      </c>
      <c r="P5" s="96">
        <f t="shared" si="24"/>
        <v>105.85106496</v>
      </c>
      <c r="Q5" s="96">
        <f t="shared" si="24"/>
        <v>130.75742628</v>
      </c>
      <c r="R5" s="96">
        <f t="shared" si="24"/>
        <v>149.43687372000002</v>
      </c>
      <c r="S5" s="96">
        <f t="shared" si="24"/>
        <v>121.41744371999999</v>
      </c>
      <c r="T5" s="96">
        <f t="shared" si="24"/>
        <v>143.21047752000001</v>
      </c>
      <c r="U5" s="96">
        <f t="shared" si="24"/>
        <v>136.98382247999996</v>
      </c>
      <c r="V5" s="96">
        <f t="shared" si="24"/>
        <v>87.171617520000027</v>
      </c>
      <c r="W5" s="96">
        <f t="shared" ref="W5" si="25">SUM(W8:W9,W12:W13)</f>
        <v>68.491911240000007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79.977418028165516</v>
      </c>
      <c r="C6" s="21">
        <f t="shared" si="26"/>
        <v>90.987865920628323</v>
      </c>
      <c r="D6" s="21">
        <f t="shared" ref="D6:V6" si="27">SUM(D7:D9)</f>
        <v>138.42931179758168</v>
      </c>
      <c r="E6" s="21">
        <f t="shared" si="27"/>
        <v>99.854074375353932</v>
      </c>
      <c r="F6" s="21">
        <f t="shared" si="27"/>
        <v>80.180233067127347</v>
      </c>
      <c r="G6" s="21">
        <f t="shared" si="27"/>
        <v>117.45306246071127</v>
      </c>
      <c r="H6" s="21">
        <f t="shared" si="27"/>
        <v>119.42276944251981</v>
      </c>
      <c r="I6" s="21">
        <f t="shared" si="27"/>
        <v>148.1383315166766</v>
      </c>
      <c r="J6" s="21">
        <f t="shared" si="27"/>
        <v>187.85710968270143</v>
      </c>
      <c r="K6" s="21">
        <f t="shared" si="27"/>
        <v>133.9402115480861</v>
      </c>
      <c r="L6" s="21">
        <f t="shared" si="27"/>
        <v>120.35301001593513</v>
      </c>
      <c r="M6" s="21">
        <f t="shared" si="27"/>
        <v>125.87125388595406</v>
      </c>
      <c r="N6" s="21">
        <f t="shared" si="27"/>
        <v>106.8064563271104</v>
      </c>
      <c r="O6" s="21">
        <f t="shared" si="27"/>
        <v>118.84958299036869</v>
      </c>
      <c r="P6" s="21">
        <f t="shared" si="27"/>
        <v>102.40848260901279</v>
      </c>
      <c r="Q6" s="21">
        <f t="shared" si="27"/>
        <v>126.46719134210403</v>
      </c>
      <c r="R6" s="21">
        <f t="shared" si="27"/>
        <v>145.45994443637113</v>
      </c>
      <c r="S6" s="21">
        <f t="shared" si="27"/>
        <v>117.31702124726431</v>
      </c>
      <c r="T6" s="21">
        <f t="shared" si="27"/>
        <v>139.8715891622636</v>
      </c>
      <c r="U6" s="21">
        <f t="shared" si="27"/>
        <v>134.30873400151003</v>
      </c>
      <c r="V6" s="21">
        <f t="shared" si="27"/>
        <v>78.923921888611034</v>
      </c>
      <c r="W6" s="21">
        <f t="shared" ref="W6" si="28">SUM(W7:W9)</f>
        <v>63.759482958979078</v>
      </c>
      <c r="DA6" s="189" t="s">
        <v>326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327</v>
      </c>
    </row>
    <row r="8" spans="1:105" ht="11.45" customHeight="1" x14ac:dyDescent="0.25">
      <c r="A8" s="83" t="s">
        <v>173</v>
      </c>
      <c r="B8" s="96">
        <v>48.640877478954351</v>
      </c>
      <c r="C8" s="96">
        <v>55.281396922029863</v>
      </c>
      <c r="D8" s="96">
        <v>73.078711570828787</v>
      </c>
      <c r="E8" s="96">
        <v>54.142735832694285</v>
      </c>
      <c r="F8" s="96">
        <v>46.143454758946383</v>
      </c>
      <c r="G8" s="96">
        <v>71.183658938659448</v>
      </c>
      <c r="H8" s="96">
        <v>76.424227152739277</v>
      </c>
      <c r="I8" s="96">
        <v>96.63481510500246</v>
      </c>
      <c r="J8" s="96">
        <v>128.30821559690489</v>
      </c>
      <c r="K8" s="96">
        <v>87.201877264334414</v>
      </c>
      <c r="L8" s="96">
        <v>75.485036422206647</v>
      </c>
      <c r="M8" s="96">
        <v>77.305034342546548</v>
      </c>
      <c r="N8" s="96">
        <v>65.006233538238092</v>
      </c>
      <c r="O8" s="96">
        <v>71.925165589028438</v>
      </c>
      <c r="P8" s="96">
        <v>63.615424368504016</v>
      </c>
      <c r="Q8" s="96">
        <v>81.154913206395861</v>
      </c>
      <c r="R8" s="96">
        <v>95.214398519581735</v>
      </c>
      <c r="S8" s="96">
        <v>75.876260087172852</v>
      </c>
      <c r="T8" s="96">
        <v>91.287223330379632</v>
      </c>
      <c r="U8" s="96">
        <v>87.464549004924152</v>
      </c>
      <c r="V8" s="96">
        <v>43.676852595728135</v>
      </c>
      <c r="W8" s="96">
        <v>37.7544073281816</v>
      </c>
      <c r="DA8" s="171" t="s">
        <v>328</v>
      </c>
    </row>
    <row r="9" spans="1:105" ht="11.45" customHeight="1" x14ac:dyDescent="0.25">
      <c r="A9" s="83" t="s">
        <v>174</v>
      </c>
      <c r="B9" s="96">
        <v>31.336540549211165</v>
      </c>
      <c r="C9" s="96">
        <v>35.70646899859846</v>
      </c>
      <c r="D9" s="96">
        <v>65.350600226752888</v>
      </c>
      <c r="E9" s="96">
        <v>45.711338542659647</v>
      </c>
      <c r="F9" s="96">
        <v>34.036778308180956</v>
      </c>
      <c r="G9" s="96">
        <v>46.269403522051824</v>
      </c>
      <c r="H9" s="96">
        <v>42.998542289780538</v>
      </c>
      <c r="I9" s="96">
        <v>51.503516411674134</v>
      </c>
      <c r="J9" s="96">
        <v>59.548894085796562</v>
      </c>
      <c r="K9" s="96">
        <v>46.738334283751676</v>
      </c>
      <c r="L9" s="96">
        <v>44.867973593728486</v>
      </c>
      <c r="M9" s="96">
        <v>48.566219543407513</v>
      </c>
      <c r="N9" s="96">
        <v>41.800222788872297</v>
      </c>
      <c r="O9" s="96">
        <v>46.92441740134025</v>
      </c>
      <c r="P9" s="96">
        <v>38.79305824050877</v>
      </c>
      <c r="Q9" s="96">
        <v>45.312278135708176</v>
      </c>
      <c r="R9" s="96">
        <v>50.245545916789411</v>
      </c>
      <c r="S9" s="96">
        <v>41.440761160091462</v>
      </c>
      <c r="T9" s="96">
        <v>48.584365831883986</v>
      </c>
      <c r="U9" s="96">
        <v>46.844184996585888</v>
      </c>
      <c r="V9" s="96">
        <v>35.247069292882898</v>
      </c>
      <c r="W9" s="96">
        <v>26.005075630797478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2.4631219718344868</v>
      </c>
      <c r="C10" s="22">
        <f t="shared" si="29"/>
        <v>2.4230897993716694</v>
      </c>
      <c r="D10" s="22">
        <f t="shared" ref="D10:V10" si="30">SUM(D11:D13)</f>
        <v>1.6354832024183228</v>
      </c>
      <c r="E10" s="22">
        <f t="shared" si="30"/>
        <v>2.1840185446460714</v>
      </c>
      <c r="F10" s="22">
        <f t="shared" si="30"/>
        <v>0.77611837287267327</v>
      </c>
      <c r="G10" s="22">
        <f t="shared" si="30"/>
        <v>0.8676194992887426</v>
      </c>
      <c r="H10" s="22">
        <f t="shared" si="30"/>
        <v>1.686395837480178</v>
      </c>
      <c r="I10" s="22">
        <f t="shared" si="30"/>
        <v>1.3021659633234419</v>
      </c>
      <c r="J10" s="22">
        <f t="shared" si="30"/>
        <v>2.0566455572985829</v>
      </c>
      <c r="K10" s="22">
        <f t="shared" si="30"/>
        <v>3.0436109319139097</v>
      </c>
      <c r="L10" s="22">
        <f t="shared" si="30"/>
        <v>4.1806084640648677</v>
      </c>
      <c r="M10" s="22">
        <f t="shared" si="30"/>
        <v>4.8861723940459418</v>
      </c>
      <c r="N10" s="22">
        <f t="shared" si="30"/>
        <v>5.2712636728896163</v>
      </c>
      <c r="O10" s="22">
        <f t="shared" si="30"/>
        <v>5.6811882496313251</v>
      </c>
      <c r="P10" s="22">
        <f t="shared" si="30"/>
        <v>3.442582350987208</v>
      </c>
      <c r="Q10" s="22">
        <f t="shared" si="30"/>
        <v>4.290234937895967</v>
      </c>
      <c r="R10" s="22">
        <f t="shared" si="30"/>
        <v>3.9769292836288885</v>
      </c>
      <c r="S10" s="22">
        <f t="shared" si="30"/>
        <v>4.100422472735695</v>
      </c>
      <c r="T10" s="22">
        <f t="shared" si="30"/>
        <v>3.3388883577363928</v>
      </c>
      <c r="U10" s="22">
        <f t="shared" si="30"/>
        <v>2.6750884784899207</v>
      </c>
      <c r="V10" s="22">
        <f t="shared" si="30"/>
        <v>8.2476956313889875</v>
      </c>
      <c r="W10" s="22">
        <f t="shared" ref="W10" si="31">SUM(W11:W13)</f>
        <v>4.732428281020935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1.195048190380908</v>
      </c>
      <c r="C12" s="97">
        <v>1.1500966636817103</v>
      </c>
      <c r="D12" s="97">
        <v>1.2609178386650488</v>
      </c>
      <c r="E12" s="97">
        <v>0.53673738117888792</v>
      </c>
      <c r="F12" s="97">
        <v>0.21250440557908534</v>
      </c>
      <c r="G12" s="97">
        <v>0.17599726026503751</v>
      </c>
      <c r="H12" s="97">
        <v>0.1478589874095613</v>
      </c>
      <c r="I12" s="97">
        <v>0.17992198700640816</v>
      </c>
      <c r="J12" s="97">
        <v>1.5406280732436946</v>
      </c>
      <c r="K12" s="97">
        <v>2.6810980920979226</v>
      </c>
      <c r="L12" s="97">
        <v>3.247706457060457</v>
      </c>
      <c r="M12" s="97">
        <v>4.800799628827642</v>
      </c>
      <c r="N12" s="97">
        <v>5.1994031107447043</v>
      </c>
      <c r="O12" s="97">
        <v>5.541036751234059</v>
      </c>
      <c r="P12" s="97">
        <v>2.7523532787382008</v>
      </c>
      <c r="Q12" s="97">
        <v>3.758240457297378</v>
      </c>
      <c r="R12" s="97">
        <v>3.5425540849949564</v>
      </c>
      <c r="S12" s="97">
        <v>3.9665869675251524</v>
      </c>
      <c r="T12" s="97">
        <v>3.1948804709241152</v>
      </c>
      <c r="U12" s="97">
        <v>2.6384938258792929</v>
      </c>
      <c r="V12" s="97">
        <v>8.0835982046759955</v>
      </c>
      <c r="W12" s="97">
        <v>4.7141076212940503</v>
      </c>
      <c r="DA12" s="175" t="s">
        <v>332</v>
      </c>
    </row>
    <row r="13" spans="1:105" ht="11.45" customHeight="1" x14ac:dyDescent="0.25">
      <c r="A13" s="85" t="s">
        <v>174</v>
      </c>
      <c r="B13" s="98">
        <v>1.2680737814535787</v>
      </c>
      <c r="C13" s="98">
        <v>1.2729931356899591</v>
      </c>
      <c r="D13" s="98">
        <v>0.37456536375327404</v>
      </c>
      <c r="E13" s="98">
        <v>1.6472811634671833</v>
      </c>
      <c r="F13" s="98">
        <v>0.56361396729358793</v>
      </c>
      <c r="G13" s="98">
        <v>0.69162223902370512</v>
      </c>
      <c r="H13" s="98">
        <v>1.5385368500706167</v>
      </c>
      <c r="I13" s="98">
        <v>1.1222439763170338</v>
      </c>
      <c r="J13" s="98">
        <v>0.51601748405488834</v>
      </c>
      <c r="K13" s="98">
        <v>0.36251283981598698</v>
      </c>
      <c r="L13" s="98">
        <v>0.93290200700441095</v>
      </c>
      <c r="M13" s="98">
        <v>8.5372765218299451E-2</v>
      </c>
      <c r="N13" s="98">
        <v>7.1860562144911697E-2</v>
      </c>
      <c r="O13" s="98">
        <v>0.14015149839726643</v>
      </c>
      <c r="P13" s="98">
        <v>0.69022907224900709</v>
      </c>
      <c r="Q13" s="98">
        <v>0.53199448059858867</v>
      </c>
      <c r="R13" s="98">
        <v>0.43437519863393198</v>
      </c>
      <c r="S13" s="98">
        <v>0.1338355052105426</v>
      </c>
      <c r="T13" s="98">
        <v>0.14400788681227777</v>
      </c>
      <c r="U13" s="98">
        <v>3.6594652610627672E-2</v>
      </c>
      <c r="V13" s="98">
        <v>0.16409742671299257</v>
      </c>
      <c r="W13" s="98">
        <v>1.832065972688442E-2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3.0103092000000009</v>
      </c>
      <c r="C19" s="98">
        <f>IF(C5=0,0,C5/TrAvia_ene!C5)</f>
        <v>3.0103091999999996</v>
      </c>
      <c r="D19" s="98">
        <f>IF(D5=0,0,D5/TrAvia_ene!D5)</f>
        <v>3.0103092000000005</v>
      </c>
      <c r="E19" s="98">
        <f>IF(E5=0,0,E5/TrAvia_ene!E5)</f>
        <v>3.0103091999999996</v>
      </c>
      <c r="F19" s="98">
        <f>IF(F5=0,0,F5/TrAvia_ene!F5)</f>
        <v>3.0103092000000014</v>
      </c>
      <c r="G19" s="98">
        <f>IF(G5=0,0,G5/TrAvia_ene!G5)</f>
        <v>3.0103091999999996</v>
      </c>
      <c r="H19" s="98">
        <f>IF(H5=0,0,H5/TrAvia_ene!H5)</f>
        <v>3.0103091999999996</v>
      </c>
      <c r="I19" s="98">
        <f>IF(I5=0,0,I5/TrAvia_ene!I5)</f>
        <v>3.0103092000000014</v>
      </c>
      <c r="J19" s="98">
        <f>IF(J5=0,0,J5/TrAvia_ene!J5)</f>
        <v>3.0103092000000005</v>
      </c>
      <c r="K19" s="98">
        <f>IF(K5=0,0,K5/TrAvia_ene!K5)</f>
        <v>3.0103092000000005</v>
      </c>
      <c r="L19" s="98">
        <f>IF(L5=0,0,L5/TrAvia_ene!L5)</f>
        <v>3.0103091999999996</v>
      </c>
      <c r="M19" s="98">
        <f>IF(M5=0,0,M5/TrAvia_ene!M5)</f>
        <v>3.0103092000000005</v>
      </c>
      <c r="N19" s="98">
        <f>IF(N5=0,0,N5/TrAvia_ene!N5)</f>
        <v>3.0103092000000005</v>
      </c>
      <c r="O19" s="98">
        <f>IF(O5=0,0,O5/TrAvia_ene!O5)</f>
        <v>3.0103092000000009</v>
      </c>
      <c r="P19" s="98">
        <f>IF(P5=0,0,P5/TrAvia_ene!P5)</f>
        <v>3.0103091999999987</v>
      </c>
      <c r="Q19" s="98">
        <f>IF(Q5=0,0,Q5/TrAvia_ene!Q5)</f>
        <v>3.0103092000000005</v>
      </c>
      <c r="R19" s="98">
        <f>IF(R5=0,0,R5/TrAvia_ene!R5)</f>
        <v>3.0103092000000005</v>
      </c>
      <c r="S19" s="98">
        <f>IF(S5=0,0,S5/TrAvia_ene!S5)</f>
        <v>3.0103092000000005</v>
      </c>
      <c r="T19" s="98">
        <f>IF(T5=0,0,T5/TrAvia_ene!T5)</f>
        <v>3.0103092</v>
      </c>
      <c r="U19" s="98">
        <f>IF(U5=0,0,U5/TrAvia_ene!U5)</f>
        <v>3.0103092</v>
      </c>
      <c r="V19" s="98">
        <f>IF(V5=0,0,V5/TrAvia_ene!V5)</f>
        <v>3.0103092000000005</v>
      </c>
      <c r="W19" s="98">
        <f>IF(W5=0,0,W5/TrAvia_ene!W5)</f>
        <v>3.0103091999999996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22612.530596701308</v>
      </c>
      <c r="C21" s="54">
        <f>IF(C3=0,0,C3/TrAvia_act!C13*1000)</f>
        <v>22698.539206884867</v>
      </c>
      <c r="D21" s="54">
        <f>IF(D3=0,0,D3/TrAvia_act!D13*1000)</f>
        <v>28157.821491012968</v>
      </c>
      <c r="E21" s="54">
        <f>IF(E3=0,0,E3/TrAvia_act!E13*1000)</f>
        <v>14476.108425766057</v>
      </c>
      <c r="F21" s="54">
        <f>IF(F3=0,0,F3/TrAvia_act!F13*1000)</f>
        <v>7211.5962936158039</v>
      </c>
      <c r="G21" s="54">
        <f>IF(G3=0,0,G3/TrAvia_act!G13*1000)</f>
        <v>9534.0826767147209</v>
      </c>
      <c r="H21" s="54">
        <f>IF(H3=0,0,H3/TrAvia_act!H13*1000)</f>
        <v>9054.8289971207068</v>
      </c>
      <c r="I21" s="54">
        <f>IF(I3=0,0,I3/TrAvia_act!I13*1000)</f>
        <v>11028.370748870708</v>
      </c>
      <c r="J21" s="54">
        <f>IF(J3=0,0,J3/TrAvia_act!J13*1000)</f>
        <v>11498.894707523994</v>
      </c>
      <c r="K21" s="54">
        <f>IF(K3=0,0,K3/TrAvia_act!K13*1000)</f>
        <v>11208.926674464497</v>
      </c>
      <c r="L21" s="54">
        <f>IF(L3=0,0,L3/TrAvia_act!L13*1000)</f>
        <v>10657.666275219675</v>
      </c>
      <c r="M21" s="54">
        <f>IF(M3=0,0,M3/TrAvia_act!M13*1000)</f>
        <v>11331.815087675668</v>
      </c>
      <c r="N21" s="54">
        <f>IF(N3=0,0,N3/TrAvia_act!N13*1000)</f>
        <v>11718.645978382136</v>
      </c>
      <c r="O21" s="54">
        <f>IF(O3=0,0,O3/TrAvia_act!O13*1000)</f>
        <v>13540.75549748403</v>
      </c>
      <c r="P21" s="54">
        <f>IF(P3=0,0,P3/TrAvia_act!P13*1000)</f>
        <v>11283.110935842364</v>
      </c>
      <c r="Q21" s="54">
        <f>IF(Q3=0,0,Q3/TrAvia_act!Q13*1000)</f>
        <v>11804.945297833623</v>
      </c>
      <c r="R21" s="54">
        <f>IF(R3=0,0,R3/TrAvia_act!R13*1000)</f>
        <v>12286.336476738414</v>
      </c>
      <c r="S21" s="54">
        <f>IF(S3=0,0,S3/TrAvia_act!S13*1000)</f>
        <v>9171.3281706281632</v>
      </c>
      <c r="T21" s="54">
        <f>IF(T3=0,0,T3/TrAvia_act!T13*1000)</f>
        <v>9523.367082667537</v>
      </c>
      <c r="U21" s="54">
        <f>IF(U3=0,0,U3/TrAvia_act!U13*1000)</f>
        <v>9024.2355511949645</v>
      </c>
      <c r="V21" s="54">
        <f>IF(V3=0,0,V3/TrAvia_act!V13*1000)</f>
        <v>22409.561604353283</v>
      </c>
      <c r="W21" s="54">
        <f>IF(W3=0,0,W3/TrAvia_act!W13*1000)</f>
        <v>13045.02207660593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22729.145613532797</v>
      </c>
      <c r="C22" s="11">
        <f>IF(C6=0,0,C6/TrAvia_act!C14*1000)</f>
        <v>22799.365659476611</v>
      </c>
      <c r="D22" s="11">
        <f>IF(D6=0,0,D6/TrAvia_act!D14*1000)</f>
        <v>28216.14287222705</v>
      </c>
      <c r="E22" s="11">
        <f>IF(E6=0,0,E6/TrAvia_act!E14*1000)</f>
        <v>14532.197933511025</v>
      </c>
      <c r="F22" s="11">
        <f>IF(F6=0,0,F6/TrAvia_act!F14*1000)</f>
        <v>7224.7008349777352</v>
      </c>
      <c r="G22" s="11">
        <f>IF(G6=0,0,G6/TrAvia_act!G14*1000)</f>
        <v>9538.5762702490174</v>
      </c>
      <c r="H22" s="11">
        <f>IF(H6=0,0,H6/TrAvia_act!H14*1000)</f>
        <v>9017.3682475250444</v>
      </c>
      <c r="I22" s="11">
        <f>IF(I6=0,0,I6/TrAvia_act!I14*1000)</f>
        <v>11010.555813149434</v>
      </c>
      <c r="J22" s="11">
        <f>IF(J6=0,0,J6/TrAvia_act!J14*1000)</f>
        <v>11531.876630757995</v>
      </c>
      <c r="K22" s="11">
        <f>IF(K6=0,0,K6/TrAvia_act!K14*1000)</f>
        <v>11271.481538142829</v>
      </c>
      <c r="L22" s="11">
        <f>IF(L6=0,0,L6/TrAvia_act!L14*1000)</f>
        <v>10711.501404895056</v>
      </c>
      <c r="M22" s="11">
        <f>IF(M6=0,0,M6/TrAvia_act!M14*1000)</f>
        <v>11461.250998201678</v>
      </c>
      <c r="N22" s="11">
        <f>IF(N6=0,0,N6/TrAvia_act!N14*1000)</f>
        <v>11791.985297690051</v>
      </c>
      <c r="O22" s="11">
        <f>IF(O6=0,0,O6/TrAvia_act!O14*1000)</f>
        <v>13620.679728588168</v>
      </c>
      <c r="P22" s="11">
        <f>IF(P6=0,0,P6/TrAvia_act!P14*1000)</f>
        <v>11305.392820324625</v>
      </c>
      <c r="Q22" s="11">
        <f>IF(Q6=0,0,Q6/TrAvia_act!Q14*1000)</f>
        <v>11854.310060787488</v>
      </c>
      <c r="R22" s="11">
        <f>IF(R6=0,0,R6/TrAvia_act!R14*1000)</f>
        <v>12332.450524613754</v>
      </c>
      <c r="S22" s="11">
        <f>IF(S6=0,0,S6/TrAvia_act!S14*1000)</f>
        <v>9174.5349702439271</v>
      </c>
      <c r="T22" s="11">
        <f>IF(T6=0,0,T6/TrAvia_act!T14*1000)</f>
        <v>9525.9177794546322</v>
      </c>
      <c r="U22" s="11">
        <f>IF(U6=0,0,U6/TrAvia_act!U14*1000)</f>
        <v>9013.8158101367917</v>
      </c>
      <c r="V22" s="11">
        <f>IF(V6=0,0,V6/TrAvia_act!V14*1000)</f>
        <v>22108.086295452744</v>
      </c>
      <c r="W22" s="11">
        <f>IF(W6=0,0,W6/TrAvia_act!W14*1000)</f>
        <v>13002.566937041096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21489.628447097781</v>
      </c>
      <c r="C24" s="84">
        <f>IF(C8=0,0,C8/TrAvia_act!C16*1000)</f>
        <v>21543.564210081815</v>
      </c>
      <c r="D24" s="84">
        <f>IF(D8=0,0,D8/TrAvia_act!D16*1000)</f>
        <v>26412.275166735668</v>
      </c>
      <c r="E24" s="84">
        <f>IF(E8=0,0,E8/TrAvia_act!E16*1000)</f>
        <v>13523.8167272719</v>
      </c>
      <c r="F24" s="84">
        <f>IF(F8=0,0,F8/TrAvia_act!F16*1000)</f>
        <v>6824.7706664457855</v>
      </c>
      <c r="G24" s="84">
        <f>IF(G8=0,0,G8/TrAvia_act!G16*1000)</f>
        <v>8348.0889804642466</v>
      </c>
      <c r="H24" s="84">
        <f>IF(H8=0,0,H8/TrAvia_act!H16*1000)</f>
        <v>7208.9143762746653</v>
      </c>
      <c r="I24" s="84">
        <f>IF(I8=0,0,I8/TrAvia_act!I16*1000)</f>
        <v>9574.184793886805</v>
      </c>
      <c r="J24" s="84">
        <f>IF(J8=0,0,J8/TrAvia_act!J16*1000)</f>
        <v>10445.611516925153</v>
      </c>
      <c r="K24" s="84">
        <f>IF(K8=0,0,K8/TrAvia_act!K16*1000)</f>
        <v>9848.0433617241542</v>
      </c>
      <c r="L24" s="84">
        <f>IF(L8=0,0,L8/TrAvia_act!L16*1000)</f>
        <v>9050.5167389066974</v>
      </c>
      <c r="M24" s="84">
        <f>IF(M8=0,0,M8/TrAvia_act!M16*1000)</f>
        <v>9637.4172938104475</v>
      </c>
      <c r="N24" s="84">
        <f>IF(N8=0,0,N8/TrAvia_act!N16*1000)</f>
        <v>10376.120590573883</v>
      </c>
      <c r="O24" s="84">
        <f>IF(O8=0,0,O8/TrAvia_act!O16*1000)</f>
        <v>11604.315111244487</v>
      </c>
      <c r="P24" s="84">
        <f>IF(P8=0,0,P8/TrAvia_act!P16*1000)</f>
        <v>9299.5172328847129</v>
      </c>
      <c r="Q24" s="84">
        <f>IF(Q8=0,0,Q8/TrAvia_act!Q16*1000)</f>
        <v>10496.684697334847</v>
      </c>
      <c r="R24" s="84">
        <f>IF(R8=0,0,R8/TrAvia_act!R16*1000)</f>
        <v>10794.391034621423</v>
      </c>
      <c r="S24" s="84">
        <f>IF(S8=0,0,S8/TrAvia_act!S16*1000)</f>
        <v>8965.4486731172001</v>
      </c>
      <c r="T24" s="84">
        <f>IF(T8=0,0,T8/TrAvia_act!T16*1000)</f>
        <v>9735.4718509687318</v>
      </c>
      <c r="U24" s="84">
        <f>IF(U8=0,0,U8/TrAvia_act!U16*1000)</f>
        <v>9469.6536404854123</v>
      </c>
      <c r="V24" s="84">
        <f>IF(V8=0,0,V8/TrAvia_act!V16*1000)</f>
        <v>15962.16973613357</v>
      </c>
      <c r="W24" s="84">
        <f>IF(W8=0,0,W8/TrAvia_act!W16*1000)</f>
        <v>10000.852790272926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24964.220054194338</v>
      </c>
      <c r="C25" s="84">
        <f>IF(C9=0,0,C9/TrAvia_act!C17*1000)</f>
        <v>25061.066029150748</v>
      </c>
      <c r="D25" s="84">
        <f>IF(D9=0,0,D9/TrAvia_act!D17*1000)</f>
        <v>30549.285151241169</v>
      </c>
      <c r="E25" s="84">
        <f>IF(E9=0,0,E9/TrAvia_act!E17*1000)</f>
        <v>15939.958908929562</v>
      </c>
      <c r="F25" s="84">
        <f>IF(F9=0,0,F9/TrAvia_act!F17*1000)</f>
        <v>7848.1874465475812</v>
      </c>
      <c r="G25" s="84">
        <f>IF(G9=0,0,G9/TrAvia_act!G17*1000)</f>
        <v>12219.445254619624</v>
      </c>
      <c r="H25" s="84">
        <f>IF(H9=0,0,H9/TrAvia_act!H17*1000)</f>
        <v>16273.21958258431</v>
      </c>
      <c r="I25" s="84">
        <f>IF(I9=0,0,I9/TrAvia_act!I17*1000)</f>
        <v>15324.131697771734</v>
      </c>
      <c r="J25" s="84">
        <f>IF(J9=0,0,J9/TrAvia_act!J17*1000)</f>
        <v>14861.996650724132</v>
      </c>
      <c r="K25" s="84">
        <f>IF(K9=0,0,K9/TrAvia_act!K17*1000)</f>
        <v>15433.522113029096</v>
      </c>
      <c r="L25" s="84">
        <f>IF(L9=0,0,L9/TrAvia_act!L17*1000)</f>
        <v>15495.997399356605</v>
      </c>
      <c r="M25" s="84">
        <f>IF(M9=0,0,M9/TrAvia_act!M17*1000)</f>
        <v>16402.03366559578</v>
      </c>
      <c r="N25" s="84">
        <f>IF(N9=0,0,N9/TrAvia_act!N17*1000)</f>
        <v>14968.412402681621</v>
      </c>
      <c r="O25" s="84">
        <f>IF(O9=0,0,O9/TrAvia_act!O17*1000)</f>
        <v>18565.308723667007</v>
      </c>
      <c r="P25" s="84">
        <f>IF(P9=0,0,P9/TrAvia_act!P17*1000)</f>
        <v>17492.858049618113</v>
      </c>
      <c r="Q25" s="84">
        <f>IF(Q9=0,0,Q9/TrAvia_act!Q17*1000)</f>
        <v>15428.208539981673</v>
      </c>
      <c r="R25" s="84">
        <f>IF(R9=0,0,R9/TrAvia_act!R17*1000)</f>
        <v>16894.002105201347</v>
      </c>
      <c r="S25" s="84">
        <f>IF(S9=0,0,S9/TrAvia_act!S17*1000)</f>
        <v>9583.7653902558468</v>
      </c>
      <c r="T25" s="84">
        <f>IF(T9=0,0,T9/TrAvia_act!T17*1000)</f>
        <v>9155.6288435157458</v>
      </c>
      <c r="U25" s="84">
        <f>IF(U9=0,0,U9/TrAvia_act!U17*1000)</f>
        <v>8270.4826631772012</v>
      </c>
      <c r="V25" s="84">
        <f>IF(V9=0,0,V9/TrAvia_act!V17*1000)</f>
        <v>42280.971351885644</v>
      </c>
      <c r="W25" s="84">
        <f>IF(W9=0,0,W9/TrAvia_act!W17*1000)</f>
        <v>23044.1640027617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19383.417987379802</v>
      </c>
      <c r="C26" s="13">
        <f>IF(C10=0,0,C10/TrAvia_act!C18*1000)</f>
        <v>19466.00886469282</v>
      </c>
      <c r="D26" s="13">
        <f>IF(D10=0,0,D10/TrAvia_act!D18*1000)</f>
        <v>23965.138142799689</v>
      </c>
      <c r="E26" s="13">
        <f>IF(E10=0,0,E10/TrAvia_act!E18*1000)</f>
        <v>12304.745458025887</v>
      </c>
      <c r="F26" s="13">
        <f>IF(F10=0,0,F10/TrAvia_act!F18*1000)</f>
        <v>6073.4970551765182</v>
      </c>
      <c r="G26" s="13">
        <f>IF(G10=0,0,G10/TrAvia_act!G18*1000)</f>
        <v>8962.5057145320188</v>
      </c>
      <c r="H26" s="13">
        <f>IF(H10=0,0,H10/TrAvia_act!H18*1000)</f>
        <v>12828.944669827963</v>
      </c>
      <c r="I26" s="13">
        <f>IF(I10=0,0,I10/TrAvia_act!I18*1000)</f>
        <v>13516.271374359081</v>
      </c>
      <c r="J26" s="13">
        <f>IF(J10=0,0,J10/TrAvia_act!J18*1000)</f>
        <v>9117.114933270037</v>
      </c>
      <c r="K26" s="13">
        <f>IF(K10=0,0,K10/TrAvia_act!K18*1000)</f>
        <v>9008.7137531062999</v>
      </c>
      <c r="L26" s="13">
        <f>IF(L10=0,0,L10/TrAvia_act!L18*1000)</f>
        <v>9310.5415212779753</v>
      </c>
      <c r="M26" s="13">
        <f>IF(M10=0,0,M10/TrAvia_act!M18*1000)</f>
        <v>8778.0607627679474</v>
      </c>
      <c r="N26" s="13">
        <f>IF(N10=0,0,N10/TrAvia_act!N18*1000)</f>
        <v>10407.156537612509</v>
      </c>
      <c r="O26" s="13">
        <f>IF(O10=0,0,O10/TrAvia_act!O18*1000)</f>
        <v>12060.297201217692</v>
      </c>
      <c r="P26" s="13">
        <f>IF(P10=0,0,P10/TrAvia_act!P18*1000)</f>
        <v>10658.222297258832</v>
      </c>
      <c r="Q26" s="13">
        <f>IF(Q10=0,0,Q10/TrAvia_act!Q18*1000)</f>
        <v>10514.270797163028</v>
      </c>
      <c r="R26" s="13">
        <f>IF(R10=0,0,R10/TrAvia_act!R18*1000)</f>
        <v>10808.145354209211</v>
      </c>
      <c r="S26" s="13">
        <f>IF(S10=0,0,S10/TrAvia_act!S18*1000)</f>
        <v>9080.5187625130748</v>
      </c>
      <c r="T26" s="13">
        <f>IF(T10=0,0,T10/TrAvia_act!T18*1000)</f>
        <v>9417.727725866469</v>
      </c>
      <c r="U26" s="13">
        <f>IF(U10=0,0,U10/TrAvia_act!U18*1000)</f>
        <v>9580.2569540527529</v>
      </c>
      <c r="V26" s="13">
        <f>IF(V10=0,0,V10/TrAvia_act!V18*1000)</f>
        <v>25772.627055339995</v>
      </c>
      <c r="W26" s="13">
        <f>IF(W10=0,0,W10/TrAvia_act!W18*1000)</f>
        <v>13645.289354904224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19613.131020831628</v>
      </c>
      <c r="C28" s="102">
        <f>IF(C12=0,0,C12/TrAvia_act!C20*1000)</f>
        <v>19715.258646372316</v>
      </c>
      <c r="D28" s="102">
        <f>IF(D12=0,0,D12/TrAvia_act!D20*1000)</f>
        <v>24119.105044148957</v>
      </c>
      <c r="E28" s="102">
        <f>IF(E12=0,0,E12/TrAvia_act!E20*1000)</f>
        <v>12503.216485905832</v>
      </c>
      <c r="F28" s="102">
        <f>IF(F12=0,0,F12/TrAvia_act!F20*1000)</f>
        <v>6199.8528953046871</v>
      </c>
      <c r="G28" s="102">
        <f>IF(G12=0,0,G12/TrAvia_act!G20*1000)</f>
        <v>7505.2953381216184</v>
      </c>
      <c r="H28" s="102">
        <f>IF(H12=0,0,H12/TrAvia_act!H20*1000)</f>
        <v>6797.8054074911388</v>
      </c>
      <c r="I28" s="102">
        <f>IF(I12=0,0,I12/TrAvia_act!I20*1000)</f>
        <v>8951.1363166086649</v>
      </c>
      <c r="J28" s="102">
        <f>IF(J12=0,0,J12/TrAvia_act!J20*1000)</f>
        <v>8004.8244395300189</v>
      </c>
      <c r="K28" s="102">
        <f>IF(K12=0,0,K12/TrAvia_act!K20*1000)</f>
        <v>8449.8507923158231</v>
      </c>
      <c r="L28" s="102">
        <f>IF(L12=0,0,L12/TrAvia_act!L20*1000)</f>
        <v>8092.7993764938101</v>
      </c>
      <c r="M28" s="102">
        <f>IF(M12=0,0,M12/TrAvia_act!M20*1000)</f>
        <v>8690.6041062739605</v>
      </c>
      <c r="N28" s="102">
        <f>IF(N12=0,0,N12/TrAvia_act!N20*1000)</f>
        <v>10346.079773987352</v>
      </c>
      <c r="O28" s="102">
        <f>IF(O12=0,0,O12/TrAvia_act!O20*1000)</f>
        <v>11935.316365098128</v>
      </c>
      <c r="P28" s="102">
        <f>IF(P12=0,0,P12/TrAvia_act!P20*1000)</f>
        <v>9678.4278091614888</v>
      </c>
      <c r="Q28" s="102">
        <f>IF(Q12=0,0,Q12/TrAvia_act!Q20*1000)</f>
        <v>10136.14323898228</v>
      </c>
      <c r="R28" s="102">
        <f>IF(R12=0,0,R12/TrAvia_act!R20*1000)</f>
        <v>10472.069847712626</v>
      </c>
      <c r="S28" s="102">
        <f>IF(S12=0,0,S12/TrAvia_act!S20*1000)</f>
        <v>9120.4452537696488</v>
      </c>
      <c r="T28" s="102">
        <f>IF(T12=0,0,T12/TrAvia_act!T20*1000)</f>
        <v>9544.3794809155097</v>
      </c>
      <c r="U28" s="102">
        <f>IF(U12=0,0,U12/TrAvia_act!U20*1000)</f>
        <v>9630.1686105340214</v>
      </c>
      <c r="V28" s="102">
        <f>IF(V12=0,0,V12/TrAvia_act!V20*1000)</f>
        <v>25649.211625153748</v>
      </c>
      <c r="W28" s="102">
        <f>IF(W12=0,0,W12/TrAvia_act!W20*1000)</f>
        <v>13632.504919056895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19171.804861440189</v>
      </c>
      <c r="C29" s="86">
        <f>IF(C13=0,0,C13/TrAvia_act!C21*1000)</f>
        <v>19246.179792018815</v>
      </c>
      <c r="D29" s="86">
        <f>IF(D13=0,0,D13/TrAvia_act!D21*1000)</f>
        <v>23460.974639088905</v>
      </c>
      <c r="E29" s="86">
        <f>IF(E13=0,0,E13/TrAvia_act!E21*1000)</f>
        <v>12241.431177819954</v>
      </c>
      <c r="F29" s="86">
        <f>IF(F13=0,0,F13/TrAvia_act!F21*1000)</f>
        <v>6027.1828206359178</v>
      </c>
      <c r="G29" s="86">
        <f>IF(G13=0,0,G13/TrAvia_act!G21*1000)</f>
        <v>9428.3345974498516</v>
      </c>
      <c r="H29" s="86">
        <f>IF(H13=0,0,H13/TrAvia_act!H21*1000)</f>
        <v>14024.76534199416</v>
      </c>
      <c r="I29" s="86">
        <f>IF(I13=0,0,I13/TrAvia_act!I21*1000)</f>
        <v>14719.854023371565</v>
      </c>
      <c r="J29" s="86">
        <f>IF(J13=0,0,J13/TrAvia_act!J21*1000)</f>
        <v>15581.038312496708</v>
      </c>
      <c r="K29" s="86">
        <f>IF(K13=0,0,K13/TrAvia_act!K21*1000)</f>
        <v>17634.89097217879</v>
      </c>
      <c r="L29" s="86">
        <f>IF(L13=0,0,L13/TrAvia_act!L21*1000)</f>
        <v>19553.321556418083</v>
      </c>
      <c r="M29" s="86">
        <f>IF(M13=0,0,M13/TrAvia_act!M21*1000)</f>
        <v>20221.131878572385</v>
      </c>
      <c r="N29" s="86">
        <f>IF(N13=0,0,N13/TrAvia_act!N21*1000)</f>
        <v>18166.791926613332</v>
      </c>
      <c r="O29" s="86">
        <f>IF(O13=0,0,O13/TrAvia_act!O21*1000)</f>
        <v>20580.7934649782</v>
      </c>
      <c r="P29" s="86">
        <f>IF(P13=0,0,P13/TrAvia_act!P21*1000)</f>
        <v>17873.434806952719</v>
      </c>
      <c r="Q29" s="86">
        <f>IF(Q13=0,0,Q13/TrAvia_act!Q21*1000)</f>
        <v>14276.729701969163</v>
      </c>
      <c r="R29" s="86">
        <f>IF(R13=0,0,R13/TrAvia_act!R21*1000)</f>
        <v>14639.854802929209</v>
      </c>
      <c r="S29" s="86">
        <f>IF(S13=0,0,S13/TrAvia_act!S21*1000)</f>
        <v>8037.6708828698074</v>
      </c>
      <c r="T29" s="86">
        <f>IF(T13=0,0,T13/TrAvia_act!T21*1000)</f>
        <v>7275.7703140403146</v>
      </c>
      <c r="U29" s="86">
        <f>IF(U13=0,0,U13/TrAvia_act!U21*1000)</f>
        <v>6974.1255595010598</v>
      </c>
      <c r="V29" s="86">
        <f>IF(V13=0,0,V13/TrAvia_act!V21*1000)</f>
        <v>33779.226186911837</v>
      </c>
      <c r="W29" s="86">
        <f>IF(W13=0,0,W13/TrAvia_act!W21*1000)</f>
        <v>17985.183844613402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207.120330290287</v>
      </c>
      <c r="C32" s="14">
        <f>IF(C6=0,0,C6/TrAvia_act!C4*1000)</f>
        <v>205.13691589834977</v>
      </c>
      <c r="D32" s="14">
        <f>IF(D6=0,0,D6/TrAvia_act!D4*1000)</f>
        <v>254.13303754596544</v>
      </c>
      <c r="E32" s="14">
        <f>IF(E6=0,0,E6/TrAvia_act!E4*1000)</f>
        <v>130.99097718076902</v>
      </c>
      <c r="F32" s="14">
        <f>IF(F6=0,0,F6/TrAvia_act!F4*1000)</f>
        <v>65.34027632190265</v>
      </c>
      <c r="G32" s="14">
        <f>IF(G6=0,0,G6/TrAvia_act!G4*1000)</f>
        <v>85.544125796429739</v>
      </c>
      <c r="H32" s="14">
        <f>IF(H6=0,0,H6/TrAvia_act!H4*1000)</f>
        <v>81.851450113049111</v>
      </c>
      <c r="I32" s="14">
        <f>IF(I6=0,0,I6/TrAvia_act!I4*1000)</f>
        <v>97.474989445024875</v>
      </c>
      <c r="J32" s="14">
        <f>IF(J6=0,0,J6/TrAvia_act!J4*1000)</f>
        <v>108.0368955334629</v>
      </c>
      <c r="K32" s="14">
        <f>IF(K6=0,0,K6/TrAvia_act!K4*1000)</f>
        <v>103.7153090928081</v>
      </c>
      <c r="L32" s="14">
        <f>IF(L6=0,0,L6/TrAvia_act!L4*1000)</f>
        <v>89.882639995881149</v>
      </c>
      <c r="M32" s="14">
        <f>IF(M6=0,0,M6/TrAvia_act!M4*1000)</f>
        <v>93.72656993126914</v>
      </c>
      <c r="N32" s="14">
        <f>IF(N6=0,0,N6/TrAvia_act!N4*1000)</f>
        <v>93.336935656058102</v>
      </c>
      <c r="O32" s="14">
        <f>IF(O6=0,0,O6/TrAvia_act!O4*1000)</f>
        <v>110.48458603331555</v>
      </c>
      <c r="P32" s="14">
        <f>IF(P6=0,0,P6/TrAvia_act!P4*1000)</f>
        <v>87.056345922430737</v>
      </c>
      <c r="Q32" s="14">
        <f>IF(Q6=0,0,Q6/TrAvia_act!Q4*1000)</f>
        <v>93.773300612542684</v>
      </c>
      <c r="R32" s="14">
        <f>IF(R6=0,0,R6/TrAvia_act!R4*1000)</f>
        <v>98.305671405450354</v>
      </c>
      <c r="S32" s="14">
        <f>IF(S6=0,0,S6/TrAvia_act!S4*1000)</f>
        <v>68.995096960182721</v>
      </c>
      <c r="T32" s="14">
        <f>IF(T6=0,0,T6/TrAvia_act!T4*1000)</f>
        <v>70.354529408881717</v>
      </c>
      <c r="U32" s="14">
        <f>IF(U6=0,0,U6/TrAvia_act!U4*1000)</f>
        <v>66.39757064348899</v>
      </c>
      <c r="V32" s="14">
        <f>IF(V6=0,0,V6/TrAvia_act!V4*1000)</f>
        <v>226.90209905180254</v>
      </c>
      <c r="W32" s="14">
        <f>IF(W6=0,0,W6/TrAvia_act!W4*1000)</f>
        <v>144.15124675939907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191.10657441977597</v>
      </c>
      <c r="C34" s="87">
        <f>IF(C8=0,0,C8/TrAvia_act!C6*1000)</f>
        <v>189.06303458841634</v>
      </c>
      <c r="D34" s="87">
        <f>IF(D8=0,0,D8/TrAvia_act!D6*1000)</f>
        <v>230.92764149863245</v>
      </c>
      <c r="E34" s="87">
        <f>IF(E8=0,0,E8/TrAvia_act!E6*1000)</f>
        <v>118.92565652073147</v>
      </c>
      <c r="F34" s="87">
        <f>IF(F8=0,0,F8/TrAvia_act!F6*1000)</f>
        <v>60.63754125622976</v>
      </c>
      <c r="G34" s="87">
        <f>IF(G8=0,0,G8/TrAvia_act!G6*1000)</f>
        <v>74.006592569423248</v>
      </c>
      <c r="H34" s="87">
        <f>IF(H8=0,0,H8/TrAvia_act!H6*1000)</f>
        <v>65.299760910254719</v>
      </c>
      <c r="I34" s="87">
        <f>IF(I8=0,0,I8/TrAvia_act!I6*1000)</f>
        <v>87.382697133842541</v>
      </c>
      <c r="J34" s="87">
        <f>IF(J8=0,0,J8/TrAvia_act!J6*1000)</f>
        <v>99.580067099466163</v>
      </c>
      <c r="K34" s="87">
        <f>IF(K8=0,0,K8/TrAvia_act!K6*1000)</f>
        <v>92.89512252312619</v>
      </c>
      <c r="L34" s="87">
        <f>IF(L8=0,0,L8/TrAvia_act!L6*1000)</f>
        <v>79.384878929355992</v>
      </c>
      <c r="M34" s="87">
        <f>IF(M8=0,0,M8/TrAvia_act!M6*1000)</f>
        <v>78.675537536386784</v>
      </c>
      <c r="N34" s="87">
        <f>IF(N8=0,0,N8/TrAvia_act!N6*1000)</f>
        <v>80.667095905458908</v>
      </c>
      <c r="O34" s="87">
        <f>IF(O8=0,0,O8/TrAvia_act!O6*1000)</f>
        <v>90.815452785606325</v>
      </c>
      <c r="P34" s="87">
        <f>IF(P8=0,0,P8/TrAvia_act!P6*1000)</f>
        <v>72.102859439736378</v>
      </c>
      <c r="Q34" s="87">
        <f>IF(Q8=0,0,Q8/TrAvia_act!Q6*1000)</f>
        <v>81.559482732367158</v>
      </c>
      <c r="R34" s="87">
        <f>IF(R8=0,0,R8/TrAvia_act!R6*1000)</f>
        <v>83.797059003845135</v>
      </c>
      <c r="S34" s="87">
        <f>IF(S8=0,0,S8/TrAvia_act!S6*1000)</f>
        <v>68.124722947667181</v>
      </c>
      <c r="T34" s="87">
        <f>IF(T8=0,0,T8/TrAvia_act!T6*1000)</f>
        <v>73.448106723493709</v>
      </c>
      <c r="U34" s="87">
        <f>IF(U8=0,0,U8/TrAvia_act!U6*1000)</f>
        <v>71.633414968416673</v>
      </c>
      <c r="V34" s="87">
        <f>IF(V8=0,0,V8/TrAvia_act!V6*1000)</f>
        <v>171.77960236029975</v>
      </c>
      <c r="W34" s="87">
        <f>IF(W8=0,0,W8/TrAvia_act!W6*1000)</f>
        <v>115.76278766296505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238.08774647682253</v>
      </c>
      <c r="C35" s="87">
        <f>IF(C9=0,0,C9/TrAvia_act!C7*1000)</f>
        <v>236.23144160821846</v>
      </c>
      <c r="D35" s="87">
        <f>IF(D9=0,0,D9/TrAvia_act!D7*1000)</f>
        <v>286.30547948487765</v>
      </c>
      <c r="E35" s="87">
        <f>IF(E9=0,0,E9/TrAvia_act!E7*1000)</f>
        <v>148.88137230652839</v>
      </c>
      <c r="F35" s="87">
        <f>IF(F9=0,0,F9/TrAvia_act!F7*1000)</f>
        <v>73.017368754394582</v>
      </c>
      <c r="G35" s="87">
        <f>IF(G9=0,0,G9/TrAvia_act!G7*1000)</f>
        <v>112.53496949535779</v>
      </c>
      <c r="H35" s="87">
        <f>IF(H9=0,0,H9/TrAvia_act!H7*1000)</f>
        <v>148.95996169091327</v>
      </c>
      <c r="I35" s="87">
        <f>IF(I9=0,0,I9/TrAvia_act!I7*1000)</f>
        <v>124.441626718677</v>
      </c>
      <c r="J35" s="87">
        <f>IF(J9=0,0,J9/TrAvia_act!J7*1000)</f>
        <v>132.23370036164306</v>
      </c>
      <c r="K35" s="87">
        <f>IF(K9=0,0,K9/TrAvia_act!K7*1000)</f>
        <v>132.51259856302875</v>
      </c>
      <c r="L35" s="87">
        <f>IF(L9=0,0,L9/TrAvia_act!L7*1000)</f>
        <v>115.60112415094724</v>
      </c>
      <c r="M35" s="87">
        <f>IF(M9=0,0,M9/TrAvia_act!M7*1000)</f>
        <v>134.76315597888728</v>
      </c>
      <c r="N35" s="87">
        <f>IF(N9=0,0,N9/TrAvia_act!N7*1000)</f>
        <v>123.50391552619774</v>
      </c>
      <c r="O35" s="87">
        <f>IF(O9=0,0,O9/TrAvia_act!O7*1000)</f>
        <v>165.39028915854112</v>
      </c>
      <c r="P35" s="87">
        <f>IF(P9=0,0,P9/TrAvia_act!P7*1000)</f>
        <v>131.92225168462815</v>
      </c>
      <c r="Q35" s="87">
        <f>IF(Q9=0,0,Q9/TrAvia_act!Q7*1000)</f>
        <v>128.14246478955491</v>
      </c>
      <c r="R35" s="87">
        <f>IF(R9=0,0,R9/TrAvia_act!R7*1000)</f>
        <v>146.30930438693636</v>
      </c>
      <c r="S35" s="87">
        <f>IF(S9=0,0,S9/TrAvia_act!S7*1000)</f>
        <v>70.647734442696645</v>
      </c>
      <c r="T35" s="87">
        <f>IF(T9=0,0,T9/TrAvia_act!T7*1000)</f>
        <v>65.195021737455647</v>
      </c>
      <c r="U35" s="87">
        <f>IF(U9=0,0,U9/TrAvia_act!U7*1000)</f>
        <v>58.42422803001017</v>
      </c>
      <c r="V35" s="87">
        <f>IF(V9=0,0,V9/TrAvia_act!V7*1000)</f>
        <v>376.68597254497132</v>
      </c>
      <c r="W35" s="87">
        <f>IF(W9=0,0,W9/TrAvia_act!W7*1000)</f>
        <v>223.84656632828882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376.26367486059155</v>
      </c>
      <c r="C36" s="15">
        <f>IF(C10=0,0,C10/TrAvia_act!C8*1000)</f>
        <v>359.04885130498866</v>
      </c>
      <c r="D36" s="15">
        <f>IF(D10=0,0,D10/TrAvia_act!D8*1000)</f>
        <v>593.09756324466377</v>
      </c>
      <c r="E36" s="15">
        <f>IF(E10=0,0,E10/TrAvia_act!E8*1000)</f>
        <v>224.72751595905808</v>
      </c>
      <c r="F36" s="15">
        <f>IF(F10=0,0,F10/TrAvia_act!F8*1000)</f>
        <v>117.29908155779766</v>
      </c>
      <c r="G36" s="15">
        <f>IF(G10=0,0,G10/TrAvia_act!G8*1000)</f>
        <v>180.79441140297752</v>
      </c>
      <c r="H36" s="15">
        <f>IF(H10=0,0,H10/TrAvia_act!H8*1000)</f>
        <v>260.58764884086656</v>
      </c>
      <c r="I36" s="15">
        <f>IF(I10=0,0,I10/TrAvia_act!I8*1000)</f>
        <v>287.903358567282</v>
      </c>
      <c r="J36" s="15">
        <f>IF(J10=0,0,J10/TrAvia_act!J8*1000)</f>
        <v>328.36845127760563</v>
      </c>
      <c r="K36" s="15">
        <f>IF(K10=0,0,K10/TrAvia_act!K8*1000)</f>
        <v>342.80164259526242</v>
      </c>
      <c r="L36" s="15">
        <f>IF(L10=0,0,L10/TrAvia_act!L8*1000)</f>
        <v>333.44519290375831</v>
      </c>
      <c r="M36" s="15">
        <f>IF(M10=0,0,M10/TrAvia_act!M8*1000)</f>
        <v>339.10699300501619</v>
      </c>
      <c r="N36" s="15">
        <f>IF(N10=0,0,N10/TrAvia_act!N8*1000)</f>
        <v>385.16787849858713</v>
      </c>
      <c r="O36" s="15">
        <f>IF(O10=0,0,O10/TrAvia_act!O8*1000)</f>
        <v>466.91459933216709</v>
      </c>
      <c r="P36" s="15">
        <f>IF(P10=0,0,P10/TrAvia_act!P8*1000)</f>
        <v>297.02942665556668</v>
      </c>
      <c r="Q36" s="15">
        <f>IF(Q10=0,0,Q10/TrAvia_act!Q8*1000)</f>
        <v>321.84557377945885</v>
      </c>
      <c r="R36" s="15">
        <f>IF(R10=0,0,R10/TrAvia_act!R8*1000)</f>
        <v>309.79878577042552</v>
      </c>
      <c r="S36" s="15">
        <f>IF(S10=0,0,S10/TrAvia_act!S8*1000)</f>
        <v>301.24151312295191</v>
      </c>
      <c r="T36" s="15">
        <f>IF(T10=0,0,T10/TrAvia_act!T8*1000)</f>
        <v>300.76926104441293</v>
      </c>
      <c r="U36" s="15">
        <f>IF(U10=0,0,U10/TrAvia_act!U8*1000)</f>
        <v>313.61961096229948</v>
      </c>
      <c r="V36" s="15">
        <f>IF(V10=0,0,V10/TrAvia_act!V8*1000)</f>
        <v>1035.3947610937951</v>
      </c>
      <c r="W36" s="15">
        <f>IF(W10=0,0,W10/TrAvia_act!W8*1000)</f>
        <v>684.98220464186295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593.86057479795659</v>
      </c>
      <c r="C38" s="101">
        <f>IF(C12=0,0,C12/TrAvia_act!C10*1000)</f>
        <v>575.32617123991406</v>
      </c>
      <c r="D38" s="101">
        <f>IF(D12=0,0,D12/TrAvia_act!D10*1000)</f>
        <v>752.88094918636648</v>
      </c>
      <c r="E38" s="101">
        <f>IF(E12=0,0,E12/TrAvia_act!E10*1000)</f>
        <v>376.62817342889355</v>
      </c>
      <c r="F38" s="101">
        <f>IF(F12=0,0,F12/TrAvia_act!F10*1000)</f>
        <v>207.86223368626656</v>
      </c>
      <c r="G38" s="101">
        <f>IF(G12=0,0,G12/TrAvia_act!G10*1000)</f>
        <v>261.95004175753832</v>
      </c>
      <c r="H38" s="101">
        <f>IF(H12=0,0,H12/TrAvia_act!H10*1000)</f>
        <v>292.66285236345783</v>
      </c>
      <c r="I38" s="101">
        <f>IF(I12=0,0,I12/TrAvia_act!I10*1000)</f>
        <v>403.82332883464636</v>
      </c>
      <c r="J38" s="101">
        <f>IF(J12=0,0,J12/TrAvia_act!J10*1000)</f>
        <v>340.26227975493555</v>
      </c>
      <c r="K38" s="101">
        <f>IF(K12=0,0,K12/TrAvia_act!K10*1000)</f>
        <v>349.8393513729381</v>
      </c>
      <c r="L38" s="101">
        <f>IF(L12=0,0,L12/TrAvia_act!L10*1000)</f>
        <v>335.815986679704</v>
      </c>
      <c r="M38" s="101">
        <f>IF(M12=0,0,M12/TrAvia_act!M10*1000)</f>
        <v>339.51557681268076</v>
      </c>
      <c r="N38" s="101">
        <f>IF(N12=0,0,N12/TrAvia_act!N10*1000)</f>
        <v>387.97247200672876</v>
      </c>
      <c r="O38" s="101">
        <f>IF(O12=0,0,O12/TrAvia_act!O10*1000)</f>
        <v>472.88805358808065</v>
      </c>
      <c r="P38" s="101">
        <f>IF(P12=0,0,P12/TrAvia_act!P10*1000)</f>
        <v>321.58733722932504</v>
      </c>
      <c r="Q38" s="101">
        <f>IF(Q12=0,0,Q12/TrAvia_act!Q10*1000)</f>
        <v>358.94841504396794</v>
      </c>
      <c r="R38" s="101">
        <f>IF(R12=0,0,R12/TrAvia_act!R10*1000)</f>
        <v>348.19950250966605</v>
      </c>
      <c r="S38" s="101">
        <f>IF(S12=0,0,S12/TrAvia_act!S10*1000)</f>
        <v>325.25565216752437</v>
      </c>
      <c r="T38" s="101">
        <f>IF(T12=0,0,T12/TrAvia_act!T10*1000)</f>
        <v>337.0808932294961</v>
      </c>
      <c r="U38" s="101">
        <f>IF(U12=0,0,U12/TrAvia_act!U10*1000)</f>
        <v>326.11654197376947</v>
      </c>
      <c r="V38" s="101">
        <f>IF(V12=0,0,V12/TrAvia_act!V10*1000)</f>
        <v>1048.5347999379564</v>
      </c>
      <c r="W38" s="101">
        <f>IF(W12=0,0,W12/TrAvia_act!W10*1000)</f>
        <v>687.9247146730014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279.68548968288343</v>
      </c>
      <c r="C39" s="88">
        <f>IF(C13=0,0,C13/TrAvia_act!C11*1000)</f>
        <v>268.02105279422778</v>
      </c>
      <c r="D39" s="88">
        <f>IF(D13=0,0,D13/TrAvia_act!D11*1000)</f>
        <v>345.94286741099023</v>
      </c>
      <c r="E39" s="88">
        <f>IF(E13=0,0,E13/TrAvia_act!E11*1000)</f>
        <v>198.62539839302684</v>
      </c>
      <c r="F39" s="88">
        <f>IF(F13=0,0,F13/TrAvia_act!F11*1000)</f>
        <v>100.74891041070236</v>
      </c>
      <c r="G39" s="88">
        <f>IF(G13=0,0,G13/TrAvia_act!G11*1000)</f>
        <v>167.58249567684592</v>
      </c>
      <c r="H39" s="88">
        <f>IF(H13=0,0,H13/TrAvia_act!H11*1000)</f>
        <v>257.87155306210377</v>
      </c>
      <c r="I39" s="88">
        <f>IF(I13=0,0,I13/TrAvia_act!I11*1000)</f>
        <v>275.23647441931337</v>
      </c>
      <c r="J39" s="88">
        <f>IF(J13=0,0,J13/TrAvia_act!J11*1000)</f>
        <v>297.33776848483558</v>
      </c>
      <c r="K39" s="88">
        <f>IF(K13=0,0,K13/TrAvia_act!K11*1000)</f>
        <v>298.40429612507046</v>
      </c>
      <c r="L39" s="88">
        <f>IF(L13=0,0,L13/TrAvia_act!L11*1000)</f>
        <v>325.44661262002109</v>
      </c>
      <c r="M39" s="88">
        <f>IF(M13=0,0,M13/TrAvia_act!M11*1000)</f>
        <v>317.61314622255861</v>
      </c>
      <c r="N39" s="88">
        <f>IF(N13=0,0,N13/TrAvia_act!N11*1000)</f>
        <v>252.89473400138957</v>
      </c>
      <c r="O39" s="88">
        <f>IF(O13=0,0,O13/TrAvia_act!O11*1000)</f>
        <v>311.3981067939153</v>
      </c>
      <c r="P39" s="88">
        <f>IF(P13=0,0,P13/TrAvia_act!P11*1000)</f>
        <v>227.694024779708</v>
      </c>
      <c r="Q39" s="88">
        <f>IF(Q13=0,0,Q13/TrAvia_act!Q11*1000)</f>
        <v>186.01445834588782</v>
      </c>
      <c r="R39" s="88">
        <f>IF(R13=0,0,R13/TrAvia_act!R11*1000)</f>
        <v>163.10176146675116</v>
      </c>
      <c r="S39" s="88">
        <f>IF(S13=0,0,S13/TrAvia_act!S11*1000)</f>
        <v>94.486273021330717</v>
      </c>
      <c r="T39" s="88">
        <f>IF(T13=0,0,T13/TrAvia_act!T11*1000)</f>
        <v>88.725078229687341</v>
      </c>
      <c r="U39" s="88">
        <f>IF(U13=0,0,U13/TrAvia_act!U11*1000)</f>
        <v>83.344649012229709</v>
      </c>
      <c r="V39" s="88">
        <f>IF(V13=0,0,V13/TrAvia_act!V11*1000)</f>
        <v>640.18804968440907</v>
      </c>
      <c r="W39" s="88">
        <f>IF(W13=0,0,W13/TrAvia_act!W11*1000)</f>
        <v>326.08650671091351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22167.394460876581</v>
      </c>
      <c r="C41" s="54">
        <f>IF(C3=0,0,C3/TrAvia_act!C23*1000000)</f>
        <v>22230.117972394095</v>
      </c>
      <c r="D41" s="54">
        <f>IF(D3=0,0,D3/TrAvia_act!D23*1000000)</f>
        <v>29624.533629441627</v>
      </c>
      <c r="E41" s="54">
        <f>IF(E3=0,0,E3/TrAvia_act!E23*1000000)</f>
        <v>14753.917426257953</v>
      </c>
      <c r="F41" s="54">
        <f>IF(F3=0,0,F3/TrAvia_act!F23*1000000)</f>
        <v>7458.6651409618589</v>
      </c>
      <c r="G41" s="54">
        <f>IF(G3=0,0,G3/TrAvia_act!G23*1000000)</f>
        <v>9691.2672585797354</v>
      </c>
      <c r="H41" s="54">
        <f>IF(H3=0,0,H3/TrAvia_act!H23*1000000)</f>
        <v>9262.6512642447415</v>
      </c>
      <c r="I41" s="54">
        <f>IF(I3=0,0,I3/TrAvia_act!I23*1000000)</f>
        <v>11936.14197124601</v>
      </c>
      <c r="J41" s="54">
        <f>IF(J3=0,0,J3/TrAvia_act!J23*1000000)</f>
        <v>13079.459727272728</v>
      </c>
      <c r="K41" s="54">
        <f>IF(K3=0,0,K3/TrAvia_act!K23*1000000)</f>
        <v>12200.197940862132</v>
      </c>
      <c r="L41" s="54">
        <f>IF(L3=0,0,L3/TrAvia_act!L23*1000000)</f>
        <v>11748.454573584906</v>
      </c>
      <c r="M41" s="54">
        <f>IF(M3=0,0,M3/TrAvia_act!M23*1000000)</f>
        <v>13264.092744978698</v>
      </c>
      <c r="N41" s="54">
        <f>IF(N3=0,0,N3/TrAvia_act!N23*1000000)</f>
        <v>14018.476547842401</v>
      </c>
      <c r="O41" s="54">
        <f>IF(O3=0,0,O3/TrAvia_act!O23*1000000)</f>
        <v>15955.255764253687</v>
      </c>
      <c r="P41" s="54">
        <f>IF(P3=0,0,P3/TrAvia_act!P23*1000000)</f>
        <v>13277.85561465128</v>
      </c>
      <c r="Q41" s="54">
        <f>IF(Q3=0,0,Q3/TrAvia_act!Q23*1000000)</f>
        <v>14658.904291479821</v>
      </c>
      <c r="R41" s="54">
        <f>IF(R3=0,0,R3/TrAvia_act!R23*1000000)</f>
        <v>14816.267471743013</v>
      </c>
      <c r="S41" s="54">
        <f>IF(S3=0,0,S3/TrAvia_act!S23*1000000)</f>
        <v>11222.612415195488</v>
      </c>
      <c r="T41" s="54">
        <f>IF(T3=0,0,T3/TrAvia_act!T23*1000000)</f>
        <v>12043.602516188716</v>
      </c>
      <c r="U41" s="54">
        <f>IF(U3=0,0,U3/TrAvia_act!U23*1000000)</f>
        <v>11692.029914646633</v>
      </c>
      <c r="V41" s="54">
        <f>IF(V3=0,0,V3/TrAvia_act!V23*1000000)</f>
        <v>24034.082580645168</v>
      </c>
      <c r="W41" s="54">
        <f>IF(W3=0,0,W3/TrAvia_act!W23*1000000)</f>
        <v>16006.522841785467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22081.009947036309</v>
      </c>
      <c r="C42" s="11">
        <f>IF(C6=0,0,C6/TrAvia_act!C24*1000000)</f>
        <v>22148.944966073108</v>
      </c>
      <c r="D42" s="11">
        <f>IF(D6=0,0,D6/TrAvia_act!D24*1000000)</f>
        <v>29686.749259614342</v>
      </c>
      <c r="E42" s="11">
        <f>IF(E6=0,0,E6/TrAvia_act!E24*1000000)</f>
        <v>14665.013126061673</v>
      </c>
      <c r="F42" s="11">
        <f>IF(F6=0,0,F6/TrAvia_act!F24*1000000)</f>
        <v>7441.3209343041626</v>
      </c>
      <c r="G42" s="11">
        <f>IF(G6=0,0,G6/TrAvia_act!G24*1000000)</f>
        <v>9664.532416745762</v>
      </c>
      <c r="H42" s="11">
        <f>IF(H6=0,0,H6/TrAvia_act!H24*1000000)</f>
        <v>9179.3058756740829</v>
      </c>
      <c r="I42" s="11">
        <f>IF(I6=0,0,I6/TrAvia_act!I24*1000000)</f>
        <v>11877.672507751491</v>
      </c>
      <c r="J42" s="11">
        <f>IF(J6=0,0,J6/TrAvia_act!J24*1000000)</f>
        <v>13152.49665215301</v>
      </c>
      <c r="K42" s="11">
        <f>IF(K6=0,0,K6/TrAvia_act!K24*1000000)</f>
        <v>12393.838396232635</v>
      </c>
      <c r="L42" s="11">
        <f>IF(L6=0,0,L6/TrAvia_act!L24*1000000)</f>
        <v>11974.232416270534</v>
      </c>
      <c r="M42" s="11">
        <f>IF(M6=0,0,M6/TrAvia_act!M24*1000000)</f>
        <v>13702.50967624146</v>
      </c>
      <c r="N42" s="11">
        <f>IF(N6=0,0,N6/TrAvia_act!N24*1000000)</f>
        <v>14547.32447931223</v>
      </c>
      <c r="O42" s="11">
        <f>IF(O6=0,0,O6/TrAvia_act!O24*1000000)</f>
        <v>16559.785842325302</v>
      </c>
      <c r="P42" s="11">
        <f>IF(P6=0,0,P6/TrAvia_act!P24*1000000)</f>
        <v>13569.429257852496</v>
      </c>
      <c r="Q42" s="11">
        <f>IF(Q6=0,0,Q6/TrAvia_act!Q24*1000000)</f>
        <v>15078.954494110412</v>
      </c>
      <c r="R42" s="11">
        <f>IF(R6=0,0,R6/TrAvia_act!R24*1000000)</f>
        <v>15204.342472705252</v>
      </c>
      <c r="S42" s="11">
        <f>IF(S6=0,0,S6/TrAvia_act!S24*1000000)</f>
        <v>11578.861157448117</v>
      </c>
      <c r="T42" s="11">
        <f>IF(T6=0,0,T6/TrAvia_act!T24*1000000)</f>
        <v>12324.573897459124</v>
      </c>
      <c r="U42" s="11">
        <f>IF(U6=0,0,U6/TrAvia_act!U24*1000000)</f>
        <v>11905.747185667055</v>
      </c>
      <c r="V42" s="11">
        <f>IF(V6=0,0,V6/TrAvia_act!V24*1000000)</f>
        <v>26177.088520269001</v>
      </c>
      <c r="W42" s="11">
        <f>IF(W6=0,0,W6/TrAvia_act!W24*1000000)</f>
        <v>16880.985692078124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16213.625826318117</v>
      </c>
      <c r="C44" s="84">
        <f>IF(C8=0,0,C8/TrAvia_act!C26*1000000)</f>
        <v>16249.675756034647</v>
      </c>
      <c r="D44" s="84">
        <f>IF(D8=0,0,D8/TrAvia_act!D26*1000000)</f>
        <v>20282.739819824808</v>
      </c>
      <c r="E44" s="84">
        <f>IF(E8=0,0,E8/TrAvia_act!E26*1000000)</f>
        <v>10048.763146379786</v>
      </c>
      <c r="F44" s="84">
        <f>IF(F8=0,0,F8/TrAvia_act!F26*1000000)</f>
        <v>5349.3455551757916</v>
      </c>
      <c r="G44" s="84">
        <f>IF(G8=0,0,G8/TrAvia_act!G26*1000000)</f>
        <v>6875.6552630792476</v>
      </c>
      <c r="H44" s="84">
        <f>IF(H8=0,0,H8/TrAvia_act!H26*1000000)</f>
        <v>6441.6914322942757</v>
      </c>
      <c r="I44" s="84">
        <f>IF(I8=0,0,I8/TrAvia_act!I26*1000000)</f>
        <v>8645.8633895501898</v>
      </c>
      <c r="J44" s="84">
        <f>IF(J8=0,0,J8/TrAvia_act!J26*1000000)</f>
        <v>10209.119636927504</v>
      </c>
      <c r="K44" s="84">
        <f>IF(K8=0,0,K8/TrAvia_act!K26*1000000)</f>
        <v>9318.4309964024796</v>
      </c>
      <c r="L44" s="84">
        <f>IF(L8=0,0,L8/TrAvia_act!L26*1000000)</f>
        <v>8636.7318560877156</v>
      </c>
      <c r="M44" s="84">
        <f>IF(M8=0,0,M8/TrAvia_act!M26*1000000)</f>
        <v>10039.614849681369</v>
      </c>
      <c r="N44" s="84">
        <f>IF(N8=0,0,N8/TrAvia_act!N26*1000000)</f>
        <v>11044.212289880748</v>
      </c>
      <c r="O44" s="84">
        <f>IF(O8=0,0,O8/TrAvia_act!O26*1000000)</f>
        <v>12441.64774070722</v>
      </c>
      <c r="P44" s="84">
        <f>IF(P8=0,0,P8/TrAvia_act!P26*1000000)</f>
        <v>10051.417975747197</v>
      </c>
      <c r="Q44" s="84">
        <f>IF(Q8=0,0,Q8/TrAvia_act!Q26*1000000)</f>
        <v>11734.371487333121</v>
      </c>
      <c r="R44" s="84">
        <f>IF(R8=0,0,R8/TrAvia_act!R26*1000000)</f>
        <v>11827.875592494625</v>
      </c>
      <c r="S44" s="84">
        <f>IF(S8=0,0,S8/TrAvia_act!S26*1000000)</f>
        <v>9673.1591136120405</v>
      </c>
      <c r="T44" s="84">
        <f>IF(T8=0,0,T8/TrAvia_act!T26*1000000)</f>
        <v>10602.464962878006</v>
      </c>
      <c r="U44" s="84">
        <f>IF(U8=0,0,U8/TrAvia_act!U26*1000000)</f>
        <v>10649.525021907239</v>
      </c>
      <c r="V44" s="84">
        <f>IF(V8=0,0,V8/TrAvia_act!V26*1000000)</f>
        <v>16889.734182416138</v>
      </c>
      <c r="W44" s="84">
        <f>IF(W8=0,0,W8/TrAvia_act!W26*1000000)</f>
        <v>11761.497610025421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50380.290272043676</v>
      </c>
      <c r="C45" s="84">
        <f>IF(C9=0,0,C9/TrAvia_act!C27*1000000)</f>
        <v>50575.735125493571</v>
      </c>
      <c r="D45" s="84">
        <f>IF(D9=0,0,D9/TrAvia_act!D27*1000000)</f>
        <v>61651.509647880084</v>
      </c>
      <c r="E45" s="84">
        <f>IF(E9=0,0,E9/TrAvia_act!E27*1000000)</f>
        <v>32168.429657044086</v>
      </c>
      <c r="F45" s="84">
        <f>IF(F9=0,0,F9/TrAvia_act!F27*1000000)</f>
        <v>15838.426388171689</v>
      </c>
      <c r="G45" s="84">
        <f>IF(G9=0,0,G9/TrAvia_act!G27*1000000)</f>
        <v>25705.224178917681</v>
      </c>
      <c r="H45" s="84">
        <f>IF(H9=0,0,H9/TrAvia_act!H27*1000000)</f>
        <v>37520.543010279704</v>
      </c>
      <c r="I45" s="84">
        <f>IF(I9=0,0,I9/TrAvia_act!I27*1000000)</f>
        <v>39771.055144149912</v>
      </c>
      <c r="J45" s="84">
        <f>IF(J9=0,0,J9/TrAvia_act!J27*1000000)</f>
        <v>34722.387222038815</v>
      </c>
      <c r="K45" s="84">
        <f>IF(K9=0,0,K9/TrAvia_act!K27*1000000)</f>
        <v>32255.579215839665</v>
      </c>
      <c r="L45" s="84">
        <f>IF(L9=0,0,L9/TrAvia_act!L27*1000000)</f>
        <v>34224.236150822646</v>
      </c>
      <c r="M45" s="84">
        <f>IF(M9=0,0,M9/TrAvia_act!M27*1000000)</f>
        <v>32682.516516424974</v>
      </c>
      <c r="N45" s="84">
        <f>IF(N9=0,0,N9/TrAvia_act!N27*1000000)</f>
        <v>28708.944223126575</v>
      </c>
      <c r="O45" s="84">
        <f>IF(O9=0,0,O9/TrAvia_act!O27*1000000)</f>
        <v>33613.479513854043</v>
      </c>
      <c r="P45" s="84">
        <f>IF(P9=0,0,P9/TrAvia_act!P27*1000000)</f>
        <v>31849.801511090944</v>
      </c>
      <c r="Q45" s="84">
        <f>IF(Q9=0,0,Q9/TrAvia_act!Q27*1000000)</f>
        <v>30803.724089536492</v>
      </c>
      <c r="R45" s="84">
        <f>IF(R9=0,0,R9/TrAvia_act!R27*1000000)</f>
        <v>33121.651889775487</v>
      </c>
      <c r="S45" s="84">
        <f>IF(S9=0,0,S9/TrAvia_act!S27*1000000)</f>
        <v>18112.22078675326</v>
      </c>
      <c r="T45" s="84">
        <f>IF(T9=0,0,T9/TrAvia_act!T27*1000000)</f>
        <v>17737.994097073381</v>
      </c>
      <c r="U45" s="84">
        <f>IF(U9=0,0,U9/TrAvia_act!U27*1000000)</f>
        <v>15268.639177505178</v>
      </c>
      <c r="V45" s="84">
        <f>IF(V9=0,0,V9/TrAvia_act!V27*1000000)</f>
        <v>82161.000682710714</v>
      </c>
      <c r="W45" s="84">
        <f>IF(W9=0,0,W9/TrAvia_act!W27*1000000)</f>
        <v>45864.330918514075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25393.010018912235</v>
      </c>
      <c r="C46" s="13">
        <f>IF(C10=0,0,C10/TrAvia_act!C28*1000000)</f>
        <v>25777.551057145418</v>
      </c>
      <c r="D46" s="13">
        <f>IF(D10=0,0,D10/TrAvia_act!D28*1000000)</f>
        <v>25161.280037204964</v>
      </c>
      <c r="E46" s="13">
        <f>IF(E10=0,0,E10/TrAvia_act!E28*1000000)</f>
        <v>20411.388267720293</v>
      </c>
      <c r="F46" s="13">
        <f>IF(F10=0,0,F10/TrAvia_act!F28*1000000)</f>
        <v>9824.2832009199137</v>
      </c>
      <c r="G46" s="13">
        <f>IF(G10=0,0,G10/TrAvia_act!G28*1000000)</f>
        <v>15493.205344441832</v>
      </c>
      <c r="H46" s="13">
        <f>IF(H10=0,0,H10/TrAvia_act!H28*1000000)</f>
        <v>25944.551345848889</v>
      </c>
      <c r="I46" s="13">
        <f>IF(I10=0,0,I10/TrAvia_act!I28*1000000)</f>
        <v>27128.457569238373</v>
      </c>
      <c r="J46" s="13">
        <f>IF(J10=0,0,J10/TrAvia_act!J28*1000000)</f>
        <v>8677.8293556902227</v>
      </c>
      <c r="K46" s="13">
        <f>IF(K10=0,0,K10/TrAvia_act!K28*1000000)</f>
        <v>7229.4796482515676</v>
      </c>
      <c r="L46" s="13">
        <f>IF(L10=0,0,L10/TrAvia_act!L28*1000000)</f>
        <v>7614.9516649633288</v>
      </c>
      <c r="M46" s="13">
        <f>IF(M10=0,0,M10/TrAvia_act!M28*1000000)</f>
        <v>7271.089872092175</v>
      </c>
      <c r="N46" s="13">
        <f>IF(N10=0,0,N10/TrAvia_act!N28*1000000)</f>
        <v>8072.3792846701635</v>
      </c>
      <c r="O46" s="13">
        <f>IF(O10=0,0,O10/TrAvia_act!O28*1000000)</f>
        <v>9046.4781045084801</v>
      </c>
      <c r="P46" s="13">
        <f>IF(P10=0,0,P10/TrAvia_act!P28*1000000)</f>
        <v>8100.1937670287234</v>
      </c>
      <c r="Q46" s="13">
        <f>IF(Q10=0,0,Q10/TrAvia_act!Q28*1000000)</f>
        <v>8049.2212718498431</v>
      </c>
      <c r="R46" s="13">
        <f>IF(R10=0,0,R10/TrAvia_act!R28*1000000)</f>
        <v>7662.6768470691495</v>
      </c>
      <c r="S46" s="13">
        <f>IF(S10=0,0,S10/TrAvia_act!S28*1000000)</f>
        <v>5968.5916633707348</v>
      </c>
      <c r="T46" s="13">
        <f>IF(T10=0,0,T10/TrAvia_act!T28*1000000)</f>
        <v>6160.3106231298761</v>
      </c>
      <c r="U46" s="13">
        <f>IF(U10=0,0,U10/TrAvia_act!U28*1000000)</f>
        <v>6149.6286861837261</v>
      </c>
      <c r="V46" s="13">
        <f>IF(V10=0,0,V10/TrAvia_act!V28*1000000)</f>
        <v>13476.626848674816</v>
      </c>
      <c r="W46" s="13">
        <f>IF(W10=0,0,W10/TrAvia_act!W28*1000000)</f>
        <v>9427.1479701612261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17574.238093836881</v>
      </c>
      <c r="C48" s="102">
        <f>IF(C12=0,0,C12/TrAvia_act!C30*1000000)</f>
        <v>17693.794825872468</v>
      </c>
      <c r="D48" s="102">
        <f>IF(D12=0,0,D12/TrAvia_act!D30*1000000)</f>
        <v>21739.962735604291</v>
      </c>
      <c r="E48" s="102">
        <f>IF(E12=0,0,E12/TrAvia_act!E30*1000000)</f>
        <v>11182.028774560164</v>
      </c>
      <c r="F48" s="102">
        <f>IF(F12=0,0,F12/TrAvia_act!F30*1000000)</f>
        <v>5592.2211994496147</v>
      </c>
      <c r="G48" s="102">
        <f>IF(G12=0,0,G12/TrAvia_act!G30*1000000)</f>
        <v>7039.8904106015007</v>
      </c>
      <c r="H48" s="102">
        <f>IF(H12=0,0,H12/TrAvia_act!H30*1000000)</f>
        <v>6720.863064070968</v>
      </c>
      <c r="I48" s="102">
        <f>IF(I12=0,0,I12/TrAvia_act!I30*1000000)</f>
        <v>8567.7136669718166</v>
      </c>
      <c r="J48" s="102">
        <f>IF(J12=0,0,J12/TrAvia_act!J30*1000000)</f>
        <v>6877.80389840935</v>
      </c>
      <c r="K48" s="102">
        <f>IF(K12=0,0,K12/TrAvia_act!K30*1000000)</f>
        <v>6507.5196410143753</v>
      </c>
      <c r="L48" s="102">
        <f>IF(L12=0,0,L12/TrAvia_act!L30*1000000)</f>
        <v>6139.3316768628674</v>
      </c>
      <c r="M48" s="102">
        <f>IF(M12=0,0,M12/TrAvia_act!M30*1000000)</f>
        <v>7165.3725803397638</v>
      </c>
      <c r="N48" s="102">
        <f>IF(N12=0,0,N12/TrAvia_act!N30*1000000)</f>
        <v>7986.7943329411746</v>
      </c>
      <c r="O48" s="102">
        <f>IF(O12=0,0,O12/TrAvia_act!O30*1000000)</f>
        <v>8879.866588516119</v>
      </c>
      <c r="P48" s="102">
        <f>IF(P12=0,0,P12/TrAvia_act!P30*1000000)</f>
        <v>6880.8831968455015</v>
      </c>
      <c r="Q48" s="102">
        <f>IF(Q12=0,0,Q12/TrAvia_act!Q30*1000000)</f>
        <v>7383.5765369300152</v>
      </c>
      <c r="R48" s="102">
        <f>IF(R12=0,0,R12/TrAvia_act!R30*1000000)</f>
        <v>7127.8754225250632</v>
      </c>
      <c r="S48" s="102">
        <f>IF(S12=0,0,S12/TrAvia_act!S30*1000000)</f>
        <v>5902.6591778648099</v>
      </c>
      <c r="T48" s="102">
        <f>IF(T12=0,0,T12/TrAvia_act!T30*1000000)</f>
        <v>6120.4606722684202</v>
      </c>
      <c r="U48" s="102">
        <f>IF(U12=0,0,U12/TrAvia_act!U30*1000000)</f>
        <v>6150.3352584598906</v>
      </c>
      <c r="V48" s="102">
        <f>IF(V12=0,0,V12/TrAvia_act!V30*1000000)</f>
        <v>13317.295230108724</v>
      </c>
      <c r="W48" s="102">
        <f>IF(W12=0,0,W12/TrAvia_act!W30*1000000)</f>
        <v>9409.396449688722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43726.682119088924</v>
      </c>
      <c r="C49" s="86">
        <f>IF(C13=0,0,C13/TrAvia_act!C31*1000000)</f>
        <v>43896.315023791693</v>
      </c>
      <c r="D49" s="86">
        <f>IF(D13=0,0,D13/TrAvia_act!D31*1000000)</f>
        <v>53509.337679039148</v>
      </c>
      <c r="E49" s="86">
        <f>IF(E13=0,0,E13/TrAvia_act!E31*1000000)</f>
        <v>27920.019719782769</v>
      </c>
      <c r="F49" s="86">
        <f>IF(F13=0,0,F13/TrAvia_act!F31*1000000)</f>
        <v>13746.682129111901</v>
      </c>
      <c r="G49" s="86">
        <f>IF(G13=0,0,G13/TrAvia_act!G31*1000000)</f>
        <v>22310.394807216293</v>
      </c>
      <c r="H49" s="86">
        <f>IF(H13=0,0,H13/TrAvia_act!H31*1000000)</f>
        <v>35779.926745828299</v>
      </c>
      <c r="I49" s="86">
        <f>IF(I13=0,0,I13/TrAvia_act!I31*1000000)</f>
        <v>41564.591715445691</v>
      </c>
      <c r="J49" s="86">
        <f>IF(J13=0,0,J13/TrAvia_act!J31*1000000)</f>
        <v>39693.652619606793</v>
      </c>
      <c r="K49" s="86">
        <f>IF(K13=0,0,K13/TrAvia_act!K31*1000000)</f>
        <v>40279.204423998548</v>
      </c>
      <c r="L49" s="86">
        <f>IF(L13=0,0,L13/TrAvia_act!L31*1000000)</f>
        <v>46645.100350220549</v>
      </c>
      <c r="M49" s="86">
        <f>IF(M13=0,0,M13/TrAvia_act!M31*1000000)</f>
        <v>42686.382609149725</v>
      </c>
      <c r="N49" s="86">
        <f>IF(N13=0,0,N13/TrAvia_act!N31*1000000)</f>
        <v>35930.281072455851</v>
      </c>
      <c r="O49" s="86">
        <f>IF(O13=0,0,O13/TrAvia_act!O31*1000000)</f>
        <v>35037.874599316609</v>
      </c>
      <c r="P49" s="86">
        <f>IF(P13=0,0,P13/TrAvia_act!P31*1000000)</f>
        <v>27609.162889960284</v>
      </c>
      <c r="Q49" s="86">
        <f>IF(Q13=0,0,Q13/TrAvia_act!Q31*1000000)</f>
        <v>22166.436691607862</v>
      </c>
      <c r="R49" s="86">
        <f>IF(R13=0,0,R13/TrAvia_act!R31*1000000)</f>
        <v>19744.32721063327</v>
      </c>
      <c r="S49" s="86">
        <f>IF(S13=0,0,S13/TrAvia_act!S31*1000000)</f>
        <v>8922.3670140361737</v>
      </c>
      <c r="T49" s="86">
        <f>IF(T13=0,0,T13/TrAvia_act!T31*1000000)</f>
        <v>7200.3943406138887</v>
      </c>
      <c r="U49" s="86">
        <f>IF(U13=0,0,U13/TrAvia_act!U31*1000000)</f>
        <v>6099.1087684379454</v>
      </c>
      <c r="V49" s="86">
        <f>IF(V13=0,0,V13/TrAvia_act!V31*1000000)</f>
        <v>32819.485342598513</v>
      </c>
      <c r="W49" s="86">
        <f>IF(W13=0,0,W13/TrAvia_act!W31*1000000)</f>
        <v>18320.65972688442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0.9701224425284638</v>
      </c>
      <c r="C52" s="16">
        <f t="shared" si="35"/>
        <v>0.97405989714274099</v>
      </c>
      <c r="D52" s="16">
        <f t="shared" ref="D52:V52" si="36">IF(D6=0,0,D6/D$3)</f>
        <v>0.98832338131492403</v>
      </c>
      <c r="E52" s="16">
        <f t="shared" si="36"/>
        <v>0.97859604700414793</v>
      </c>
      <c r="F52" s="16">
        <f t="shared" si="36"/>
        <v>0.99041312560327166</v>
      </c>
      <c r="G52" s="16">
        <f t="shared" si="36"/>
        <v>0.99266722026177934</v>
      </c>
      <c r="H52" s="16">
        <f t="shared" si="36"/>
        <v>0.98607540698029505</v>
      </c>
      <c r="I52" s="16">
        <f t="shared" si="36"/>
        <v>0.99128639167239319</v>
      </c>
      <c r="J52" s="16">
        <f t="shared" si="36"/>
        <v>0.98917063403490957</v>
      </c>
      <c r="K52" s="16">
        <f t="shared" si="36"/>
        <v>0.97778123812862427</v>
      </c>
      <c r="L52" s="16">
        <f t="shared" si="36"/>
        <v>0.96642988042031175</v>
      </c>
      <c r="M52" s="16">
        <f t="shared" si="36"/>
        <v>0.96263177906558939</v>
      </c>
      <c r="N52" s="16">
        <f t="shared" si="36"/>
        <v>0.95296778277708005</v>
      </c>
      <c r="O52" s="16">
        <f t="shared" si="36"/>
        <v>0.95437924142714614</v>
      </c>
      <c r="P52" s="16">
        <f t="shared" si="36"/>
        <v>0.96747711180526974</v>
      </c>
      <c r="Q52" s="16">
        <f t="shared" si="36"/>
        <v>0.96718935925896099</v>
      </c>
      <c r="R52" s="16">
        <f t="shared" si="36"/>
        <v>0.97338722910464215</v>
      </c>
      <c r="S52" s="16">
        <f t="shared" si="36"/>
        <v>0.96622872013191408</v>
      </c>
      <c r="T52" s="16">
        <f t="shared" si="36"/>
        <v>0.97668544637545729</v>
      </c>
      <c r="U52" s="16">
        <f t="shared" si="36"/>
        <v>0.9804715007213316</v>
      </c>
      <c r="V52" s="16">
        <f t="shared" si="36"/>
        <v>0.90538553871050176</v>
      </c>
      <c r="W52" s="16">
        <f t="shared" ref="W52" si="37">IF(W6=0,0,W6/W$3)</f>
        <v>0.93090529676653055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</v>
      </c>
      <c r="C53" s="103">
        <f t="shared" si="38"/>
        <v>0</v>
      </c>
      <c r="D53" s="103">
        <f t="shared" ref="D53:V53" si="39">IF(D7=0,0,D7/D$3)</f>
        <v>0</v>
      </c>
      <c r="E53" s="103">
        <f t="shared" si="39"/>
        <v>0</v>
      </c>
      <c r="F53" s="103">
        <f t="shared" si="39"/>
        <v>0</v>
      </c>
      <c r="G53" s="103">
        <f t="shared" si="39"/>
        <v>0</v>
      </c>
      <c r="H53" s="103">
        <f t="shared" si="39"/>
        <v>0</v>
      </c>
      <c r="I53" s="103">
        <f t="shared" si="39"/>
        <v>0</v>
      </c>
      <c r="J53" s="103">
        <f t="shared" si="39"/>
        <v>0</v>
      </c>
      <c r="K53" s="103">
        <f t="shared" si="39"/>
        <v>0</v>
      </c>
      <c r="L53" s="103">
        <f t="shared" si="39"/>
        <v>0</v>
      </c>
      <c r="M53" s="103">
        <f t="shared" si="39"/>
        <v>0</v>
      </c>
      <c r="N53" s="103">
        <f t="shared" si="39"/>
        <v>0</v>
      </c>
      <c r="O53" s="103">
        <f t="shared" si="39"/>
        <v>0</v>
      </c>
      <c r="P53" s="103">
        <f t="shared" si="39"/>
        <v>0</v>
      </c>
      <c r="Q53" s="103">
        <f t="shared" si="39"/>
        <v>0</v>
      </c>
      <c r="R53" s="103">
        <f t="shared" si="39"/>
        <v>0</v>
      </c>
      <c r="S53" s="103">
        <f t="shared" si="39"/>
        <v>0</v>
      </c>
      <c r="T53" s="103">
        <f t="shared" si="39"/>
        <v>0</v>
      </c>
      <c r="U53" s="103">
        <f t="shared" si="39"/>
        <v>0</v>
      </c>
      <c r="V53" s="103">
        <f t="shared" si="39"/>
        <v>0</v>
      </c>
      <c r="W53" s="103">
        <f t="shared" ref="W53" si="40">IF(W7=0,0,W7/W$3)</f>
        <v>0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0.59001163115809707</v>
      </c>
      <c r="C54" s="103">
        <f t="shared" si="41"/>
        <v>0.59180849286818393</v>
      </c>
      <c r="D54" s="103">
        <f t="shared" ref="D54:V54" si="42">IF(D8=0,0,D8/D$3)</f>
        <v>0.52174932016877462</v>
      </c>
      <c r="E54" s="103">
        <f t="shared" si="42"/>
        <v>0.53061297289379294</v>
      </c>
      <c r="F54" s="103">
        <f t="shared" si="42"/>
        <v>0.56997942642147281</v>
      </c>
      <c r="G54" s="103">
        <f t="shared" si="42"/>
        <v>0.6016163679881773</v>
      </c>
      <c r="H54" s="103">
        <f t="shared" si="42"/>
        <v>0.63103586731895345</v>
      </c>
      <c r="I54" s="103">
        <f t="shared" si="42"/>
        <v>0.64664409403438528</v>
      </c>
      <c r="J54" s="103">
        <f t="shared" si="42"/>
        <v>0.6756130720218646</v>
      </c>
      <c r="K54" s="103">
        <f t="shared" si="42"/>
        <v>0.63658522360964276</v>
      </c>
      <c r="L54" s="103">
        <f t="shared" si="42"/>
        <v>0.60614183819230694</v>
      </c>
      <c r="M54" s="103">
        <f t="shared" si="42"/>
        <v>0.59120951323260129</v>
      </c>
      <c r="N54" s="103">
        <f t="shared" si="42"/>
        <v>0.58001031372014078</v>
      </c>
      <c r="O54" s="103">
        <f t="shared" si="42"/>
        <v>0.57756942218250429</v>
      </c>
      <c r="P54" s="103">
        <f t="shared" si="42"/>
        <v>0.60098993234072429</v>
      </c>
      <c r="Q54" s="103">
        <f t="shared" si="42"/>
        <v>0.62065242116813446</v>
      </c>
      <c r="R54" s="103">
        <f t="shared" si="42"/>
        <v>0.63715464697143642</v>
      </c>
      <c r="S54" s="103">
        <f t="shared" si="42"/>
        <v>0.62492058605805123</v>
      </c>
      <c r="T54" s="103">
        <f t="shared" si="42"/>
        <v>0.63743397069275842</v>
      </c>
      <c r="U54" s="103">
        <f t="shared" si="42"/>
        <v>0.63850276201552369</v>
      </c>
      <c r="V54" s="103">
        <f t="shared" si="42"/>
        <v>0.50104442063045618</v>
      </c>
      <c r="W54" s="103">
        <f t="shared" ref="W54" si="43">IF(W8=0,0,W8/W$3)</f>
        <v>0.55122432188945292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0.38011081137036662</v>
      </c>
      <c r="C55" s="103">
        <f t="shared" si="44"/>
        <v>0.38225140427455701</v>
      </c>
      <c r="D55" s="103">
        <f t="shared" ref="D55:V55" si="45">IF(D9=0,0,D9/D$3)</f>
        <v>0.46657406114614947</v>
      </c>
      <c r="E55" s="103">
        <f t="shared" si="45"/>
        <v>0.44798307411035498</v>
      </c>
      <c r="F55" s="103">
        <f t="shared" si="45"/>
        <v>0.42043369918179885</v>
      </c>
      <c r="G55" s="103">
        <f t="shared" si="45"/>
        <v>0.39105085227360215</v>
      </c>
      <c r="H55" s="103">
        <f t="shared" si="45"/>
        <v>0.35503953966134166</v>
      </c>
      <c r="I55" s="103">
        <f t="shared" si="45"/>
        <v>0.34464229763800786</v>
      </c>
      <c r="J55" s="103">
        <f t="shared" si="45"/>
        <v>0.31355756201304508</v>
      </c>
      <c r="K55" s="103">
        <f t="shared" si="45"/>
        <v>0.34119601451898157</v>
      </c>
      <c r="L55" s="103">
        <f t="shared" si="45"/>
        <v>0.36028804222800487</v>
      </c>
      <c r="M55" s="103">
        <f t="shared" si="45"/>
        <v>0.37142226583298815</v>
      </c>
      <c r="N55" s="103">
        <f t="shared" si="45"/>
        <v>0.37295746905693922</v>
      </c>
      <c r="O55" s="103">
        <f t="shared" si="45"/>
        <v>0.37680981924464185</v>
      </c>
      <c r="P55" s="103">
        <f t="shared" si="45"/>
        <v>0.36648717946454534</v>
      </c>
      <c r="Q55" s="103">
        <f t="shared" si="45"/>
        <v>0.34653693809082653</v>
      </c>
      <c r="R55" s="103">
        <f t="shared" si="45"/>
        <v>0.33623258213320578</v>
      </c>
      <c r="S55" s="103">
        <f t="shared" si="45"/>
        <v>0.3413081340738629</v>
      </c>
      <c r="T55" s="103">
        <f t="shared" si="45"/>
        <v>0.33925147568269892</v>
      </c>
      <c r="U55" s="103">
        <f t="shared" si="45"/>
        <v>0.34196873870580796</v>
      </c>
      <c r="V55" s="103">
        <f t="shared" si="45"/>
        <v>0.40434111808004553</v>
      </c>
      <c r="W55" s="103">
        <f t="shared" ref="W55" si="46">IF(W9=0,0,W9/W$3)</f>
        <v>0.37968097487707769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2.9877557471536295E-2</v>
      </c>
      <c r="C56" s="17">
        <f t="shared" si="47"/>
        <v>2.5940102857259041E-2</v>
      </c>
      <c r="D56" s="17">
        <f t="shared" ref="D56:V56" si="48">IF(D10=0,0,D10/D$3)</f>
        <v>1.1676618685075881E-2</v>
      </c>
      <c r="E56" s="17">
        <f t="shared" si="48"/>
        <v>2.1403952995852123E-2</v>
      </c>
      <c r="F56" s="17">
        <f t="shared" si="48"/>
        <v>9.5868743967282861E-3</v>
      </c>
      <c r="G56" s="17">
        <f t="shared" si="48"/>
        <v>7.3327797382206922E-3</v>
      </c>
      <c r="H56" s="17">
        <f t="shared" si="48"/>
        <v>1.3924593019704926E-2</v>
      </c>
      <c r="I56" s="17">
        <f t="shared" si="48"/>
        <v>8.7136083276068716E-3</v>
      </c>
      <c r="J56" s="17">
        <f t="shared" si="48"/>
        <v>1.0829365965090496E-2</v>
      </c>
      <c r="K56" s="17">
        <f t="shared" si="48"/>
        <v>2.2218761871375611E-2</v>
      </c>
      <c r="L56" s="17">
        <f t="shared" si="48"/>
        <v>3.3570119579688196E-2</v>
      </c>
      <c r="M56" s="17">
        <f t="shared" si="48"/>
        <v>3.7368220934410563E-2</v>
      </c>
      <c r="N56" s="17">
        <f t="shared" si="48"/>
        <v>4.70322172229201E-2</v>
      </c>
      <c r="O56" s="17">
        <f t="shared" si="48"/>
        <v>4.562075857285379E-2</v>
      </c>
      <c r="P56" s="17">
        <f t="shared" si="48"/>
        <v>3.2522888194730239E-2</v>
      </c>
      <c r="Q56" s="17">
        <f t="shared" si="48"/>
        <v>3.2810640741038961E-2</v>
      </c>
      <c r="R56" s="17">
        <f t="shared" si="48"/>
        <v>2.6612770895357886E-2</v>
      </c>
      <c r="S56" s="17">
        <f t="shared" si="48"/>
        <v>3.3771279868085952E-2</v>
      </c>
      <c r="T56" s="17">
        <f t="shared" si="48"/>
        <v>2.33145536245426E-2</v>
      </c>
      <c r="U56" s="17">
        <f t="shared" si="48"/>
        <v>1.9528499278668409E-2</v>
      </c>
      <c r="V56" s="17">
        <f t="shared" si="48"/>
        <v>9.4614461289498228E-2</v>
      </c>
      <c r="W56" s="17">
        <f t="shared" ref="W56" si="49">IF(W10=0,0,W10/W$3)</f>
        <v>6.9094703233469501E-2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1.4495880186870537E-2</v>
      </c>
      <c r="C58" s="104">
        <f t="shared" si="53"/>
        <v>1.2312224565276189E-2</v>
      </c>
      <c r="D58" s="104">
        <f t="shared" ref="D58:V58" si="54">IF(D12=0,0,D12/D$3)</f>
        <v>9.0023894916995296E-3</v>
      </c>
      <c r="E58" s="104">
        <f t="shared" si="54"/>
        <v>5.2601667261627603E-3</v>
      </c>
      <c r="F58" s="104">
        <f t="shared" si="54"/>
        <v>2.6249256766046431E-3</v>
      </c>
      <c r="G58" s="104">
        <f t="shared" si="54"/>
        <v>1.4874598197848108E-3</v>
      </c>
      <c r="H58" s="104">
        <f t="shared" si="54"/>
        <v>1.2208736396433473E-3</v>
      </c>
      <c r="I58" s="104">
        <f t="shared" si="54"/>
        <v>1.2039707444796719E-3</v>
      </c>
      <c r="J58" s="104">
        <f t="shared" si="54"/>
        <v>8.1122511178653399E-3</v>
      </c>
      <c r="K58" s="104">
        <f t="shared" si="54"/>
        <v>1.9572370251891385E-2</v>
      </c>
      <c r="L58" s="104">
        <f t="shared" si="54"/>
        <v>2.6078953592615927E-2</v>
      </c>
      <c r="M58" s="104">
        <f t="shared" si="54"/>
        <v>3.6715311438964504E-2</v>
      </c>
      <c r="N58" s="104">
        <f t="shared" si="54"/>
        <v>4.6391049985177291E-2</v>
      </c>
      <c r="O58" s="104">
        <f t="shared" si="54"/>
        <v>4.4495321887593392E-2</v>
      </c>
      <c r="P58" s="104">
        <f t="shared" si="54"/>
        <v>2.6002131199891903E-2</v>
      </c>
      <c r="Q58" s="104">
        <f t="shared" si="54"/>
        <v>2.8742080386697084E-2</v>
      </c>
      <c r="R58" s="104">
        <f t="shared" si="54"/>
        <v>2.3706023799940051E-2</v>
      </c>
      <c r="S58" s="104">
        <f t="shared" si="54"/>
        <v>3.2669004106794353E-2</v>
      </c>
      <c r="T58" s="104">
        <f t="shared" si="54"/>
        <v>2.2308985531299098E-2</v>
      </c>
      <c r="U58" s="104">
        <f t="shared" si="54"/>
        <v>1.9261353480368244E-2</v>
      </c>
      <c r="V58" s="104">
        <f t="shared" si="54"/>
        <v>9.2731997347890824E-2</v>
      </c>
      <c r="W58" s="104">
        <f t="shared" ref="W58" si="55">IF(W12=0,0,W12/W$3)</f>
        <v>6.8827216761049609E-2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1.5381677284665758E-2</v>
      </c>
      <c r="C59" s="105">
        <f t="shared" si="56"/>
        <v>1.3627878291982851E-2</v>
      </c>
      <c r="D59" s="105">
        <f t="shared" ref="D59:V59" si="57">IF(D13=0,0,D13/D$3)</f>
        <v>2.6742291933763516E-3</v>
      </c>
      <c r="E59" s="105">
        <f t="shared" si="57"/>
        <v>1.6143786269689361E-2</v>
      </c>
      <c r="F59" s="105">
        <f t="shared" si="57"/>
        <v>6.9619487201236421E-3</v>
      </c>
      <c r="G59" s="105">
        <f t="shared" si="57"/>
        <v>5.8453199184358819E-3</v>
      </c>
      <c r="H59" s="105">
        <f t="shared" si="57"/>
        <v>1.2703719380061578E-2</v>
      </c>
      <c r="I59" s="105">
        <f t="shared" si="57"/>
        <v>7.5096375831271989E-3</v>
      </c>
      <c r="J59" s="105">
        <f t="shared" si="57"/>
        <v>2.7171148472251564E-3</v>
      </c>
      <c r="K59" s="105">
        <f t="shared" si="57"/>
        <v>2.6463916194842262E-3</v>
      </c>
      <c r="L59" s="105">
        <f t="shared" si="57"/>
        <v>7.4911659870722722E-3</v>
      </c>
      <c r="M59" s="105">
        <f t="shared" si="57"/>
        <v>6.5290949544605432E-4</v>
      </c>
      <c r="N59" s="105">
        <f t="shared" si="57"/>
        <v>6.4116723774280645E-4</v>
      </c>
      <c r="O59" s="105">
        <f t="shared" si="57"/>
        <v>1.1254366852603971E-3</v>
      </c>
      <c r="P59" s="105">
        <f t="shared" si="57"/>
        <v>6.5207569948383358E-3</v>
      </c>
      <c r="Q59" s="105">
        <f t="shared" si="57"/>
        <v>4.0685603543418767E-3</v>
      </c>
      <c r="R59" s="105">
        <f t="shared" si="57"/>
        <v>2.9067470954178358E-3</v>
      </c>
      <c r="S59" s="105">
        <f t="shared" si="57"/>
        <v>1.1022757612915968E-3</v>
      </c>
      <c r="T59" s="105">
        <f t="shared" si="57"/>
        <v>1.0055680932435018E-3</v>
      </c>
      <c r="U59" s="105">
        <f t="shared" si="57"/>
        <v>2.6714579830016495E-4</v>
      </c>
      <c r="V59" s="105">
        <f t="shared" si="57"/>
        <v>1.8824639416074073E-3</v>
      </c>
      <c r="W59" s="105">
        <f t="shared" ref="W59" si="58">IF(W13=0,0,W13/W$3)</f>
        <v>2.6748647241989882E-4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389954</v>
      </c>
      <c r="C4" s="11">
        <f t="shared" si="0"/>
        <v>444862</v>
      </c>
      <c r="D4" s="11">
        <f t="shared" ref="D4" si="1">SUM(D5:D7)</f>
        <v>521688</v>
      </c>
      <c r="E4" s="11">
        <f t="shared" ref="E4" si="2">SUM(E5:E7)</f>
        <v>752732</v>
      </c>
      <c r="F4" s="11">
        <f t="shared" ref="F4" si="3">SUM(F5:F7)</f>
        <v>1226288</v>
      </c>
      <c r="G4" s="11">
        <f t="shared" ref="G4" si="4">SUM(G5:G7)</f>
        <v>1392329</v>
      </c>
      <c r="H4" s="11">
        <f t="shared" ref="H4" si="5">SUM(H5:H7)</f>
        <v>1498825</v>
      </c>
      <c r="I4" s="11">
        <f t="shared" ref="I4" si="6">SUM(I5:I7)</f>
        <v>1470940</v>
      </c>
      <c r="J4" s="11">
        <f t="shared" ref="J4" si="7">SUM(J5:J7)</f>
        <v>1710932</v>
      </c>
      <c r="K4" s="11">
        <f t="shared" ref="K4" si="8">SUM(K5:K7)</f>
        <v>1261262</v>
      </c>
      <c r="L4" s="11">
        <f t="shared" ref="L4" si="9">SUM(L5:L7)</f>
        <v>1216987</v>
      </c>
      <c r="M4" s="11">
        <f t="shared" ref="M4" si="10">SUM(M5:M7)</f>
        <v>1132463</v>
      </c>
      <c r="N4" s="11">
        <f t="shared" ref="N4" si="11">SUM(N5:N7)</f>
        <v>1069912</v>
      </c>
      <c r="O4" s="11">
        <f t="shared" ref="O4" si="12">SUM(O5:O7)</f>
        <v>1127420</v>
      </c>
      <c r="P4" s="11">
        <f t="shared" ref="P4" si="13">SUM(P5:P7)</f>
        <v>1088887</v>
      </c>
      <c r="Q4" s="11">
        <f t="shared" ref="Q4" si="14">SUM(Q5:Q7)</f>
        <v>1254600</v>
      </c>
      <c r="R4" s="11">
        <f t="shared" ref="R4" si="15">SUM(R5:R7)</f>
        <v>1377971</v>
      </c>
      <c r="S4" s="11">
        <f t="shared" ref="S4" si="16">SUM(S5:S7)</f>
        <v>1474365</v>
      </c>
      <c r="T4" s="11">
        <f t="shared" ref="T4" si="17">SUM(T5:T7)</f>
        <v>2032907</v>
      </c>
      <c r="U4" s="11">
        <f t="shared" ref="U4" si="18">SUM(U5:U7)</f>
        <v>2168150</v>
      </c>
      <c r="V4" s="11">
        <f t="shared" ref="V4:W4" si="19">SUM(V5:V7)</f>
        <v>449212</v>
      </c>
      <c r="W4" s="11">
        <f t="shared" si="19"/>
        <v>535476</v>
      </c>
      <c r="DA4" s="189" t="s">
        <v>361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362</v>
      </c>
    </row>
    <row r="6" spans="1:105" ht="11.45" customHeight="1" x14ac:dyDescent="0.25">
      <c r="A6" s="83" t="s">
        <v>173</v>
      </c>
      <c r="B6" s="84">
        <v>303033</v>
      </c>
      <c r="C6" s="84">
        <v>345297</v>
      </c>
      <c r="D6" s="84">
        <v>372352</v>
      </c>
      <c r="E6" s="84">
        <v>552726</v>
      </c>
      <c r="F6" s="84">
        <v>924396</v>
      </c>
      <c r="G6" s="84">
        <v>1139434</v>
      </c>
      <c r="H6" s="84">
        <v>1337978</v>
      </c>
      <c r="I6" s="84">
        <v>1278622</v>
      </c>
      <c r="J6" s="84">
        <v>1471778</v>
      </c>
      <c r="K6" s="84">
        <v>1057180</v>
      </c>
      <c r="L6" s="84">
        <v>1018135</v>
      </c>
      <c r="M6" s="84">
        <v>924433</v>
      </c>
      <c r="N6" s="84">
        <v>868399</v>
      </c>
      <c r="O6" s="84">
        <v>930289</v>
      </c>
      <c r="P6" s="84">
        <v>849065</v>
      </c>
      <c r="Q6" s="84">
        <v>1015860</v>
      </c>
      <c r="R6" s="84">
        <v>1142769</v>
      </c>
      <c r="S6" s="84">
        <v>1093423</v>
      </c>
      <c r="T6" s="84">
        <v>1532310</v>
      </c>
      <c r="U6" s="84">
        <v>1528029</v>
      </c>
      <c r="V6" s="84">
        <v>381957</v>
      </c>
      <c r="W6" s="84">
        <v>444134</v>
      </c>
      <c r="DA6" s="171" t="s">
        <v>363</v>
      </c>
    </row>
    <row r="7" spans="1:105" ht="11.45" customHeight="1" x14ac:dyDescent="0.25">
      <c r="A7" s="85" t="s">
        <v>174</v>
      </c>
      <c r="B7" s="86">
        <v>86921</v>
      </c>
      <c r="C7" s="86">
        <v>99565</v>
      </c>
      <c r="D7" s="86">
        <v>149336</v>
      </c>
      <c r="E7" s="86">
        <v>200006</v>
      </c>
      <c r="F7" s="86">
        <v>301892</v>
      </c>
      <c r="G7" s="86">
        <v>252895</v>
      </c>
      <c r="H7" s="86">
        <v>160847</v>
      </c>
      <c r="I7" s="86">
        <v>192318</v>
      </c>
      <c r="J7" s="86">
        <v>239154</v>
      </c>
      <c r="K7" s="86">
        <v>204082</v>
      </c>
      <c r="L7" s="86">
        <v>198852</v>
      </c>
      <c r="M7" s="86">
        <v>208030</v>
      </c>
      <c r="N7" s="86">
        <v>201513</v>
      </c>
      <c r="O7" s="86">
        <v>197131</v>
      </c>
      <c r="P7" s="86">
        <v>239822</v>
      </c>
      <c r="Q7" s="86">
        <v>238740</v>
      </c>
      <c r="R7" s="86">
        <v>235202</v>
      </c>
      <c r="S7" s="86">
        <v>380942</v>
      </c>
      <c r="T7" s="86">
        <v>500597</v>
      </c>
      <c r="U7" s="86">
        <v>640121</v>
      </c>
      <c r="V7" s="86">
        <v>67255</v>
      </c>
      <c r="W7" s="86">
        <v>91342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107.66261733848702</v>
      </c>
      <c r="C12" s="14">
        <f>IF(C4=0,0,C4/TrAvia_act!C24)</f>
        <v>108.29162609542357</v>
      </c>
      <c r="D12" s="14">
        <f>IF(D4=0,0,D4/TrAvia_act!D24)</f>
        <v>111.87819000643363</v>
      </c>
      <c r="E12" s="14">
        <f>IF(E4=0,0,E4/TrAvia_act!E24)</f>
        <v>110.54956674988985</v>
      </c>
      <c r="F12" s="14">
        <f>IF(F4=0,0,F4/TrAvia_act!F24)</f>
        <v>113.80863109048724</v>
      </c>
      <c r="G12" s="14">
        <f>IF(G4=0,0,G4/TrAvia_act!G24)</f>
        <v>114.56669135192956</v>
      </c>
      <c r="H12" s="14">
        <f>IF(H4=0,0,H4/TrAvia_act!H24)</f>
        <v>115.20561106840891</v>
      </c>
      <c r="I12" s="14">
        <f>IF(I4=0,0,I4/TrAvia_act!I24)</f>
        <v>117.93938422065426</v>
      </c>
      <c r="J12" s="14">
        <f>IF(J4=0,0,J4/TrAvia_act!J24)</f>
        <v>119.7879997199468</v>
      </c>
      <c r="K12" s="14">
        <f>IF(K4=0,0,K4/TrAvia_act!K24)</f>
        <v>116.70787452577034</v>
      </c>
      <c r="L12" s="14">
        <f>IF(L4=0,0,L4/TrAvia_act!L24)</f>
        <v>121.0811859516466</v>
      </c>
      <c r="M12" s="14">
        <f>IF(M4=0,0,M4/TrAvia_act!M24)</f>
        <v>123.28140648813412</v>
      </c>
      <c r="N12" s="14">
        <f>IF(N4=0,0,N4/TrAvia_act!N24)</f>
        <v>145.72487060746391</v>
      </c>
      <c r="O12" s="14">
        <f>IF(O4=0,0,O4/TrAvia_act!O24)</f>
        <v>157.08791974362546</v>
      </c>
      <c r="P12" s="14">
        <f>IF(P4=0,0,P4/TrAvia_act!P24)</f>
        <v>144.2807738174109</v>
      </c>
      <c r="Q12" s="14">
        <f>IF(Q4=0,0,Q4/TrAvia_act!Q24)</f>
        <v>149.58864909979729</v>
      </c>
      <c r="R12" s="14">
        <f>IF(R4=0,0,R4/TrAvia_act!R24)</f>
        <v>144.03376188982963</v>
      </c>
      <c r="S12" s="14">
        <f>IF(S4=0,0,S4/TrAvia_act!S24)</f>
        <v>145.51569285432294</v>
      </c>
      <c r="T12" s="14">
        <f>IF(T4=0,0,T4/TrAvia_act!T24)</f>
        <v>179.12653097189181</v>
      </c>
      <c r="U12" s="14">
        <f>IF(U4=0,0,U4/TrAvia_act!U24)</f>
        <v>192.19484088290045</v>
      </c>
      <c r="V12" s="14">
        <f>IF(V4=0,0,V4/TrAvia_act!V24)</f>
        <v>148.99237147595358</v>
      </c>
      <c r="W12" s="14">
        <f>IF(W4=0,0,W4/TrAvia_act!W24)</f>
        <v>141.77283558379668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101.011</v>
      </c>
      <c r="C14" s="87">
        <f>IF(C6=0,0,C6/TrAvia_act!C26)</f>
        <v>101.49823633156967</v>
      </c>
      <c r="D14" s="87">
        <f>IF(D6=0,0,D6/TrAvia_act!D26)</f>
        <v>103.34499028587288</v>
      </c>
      <c r="E14" s="87">
        <f>IF(E6=0,0,E6/TrAvia_act!E26)</f>
        <v>102.58463251670379</v>
      </c>
      <c r="F14" s="87">
        <f>IF(F6=0,0,F6/TrAvia_act!F26)</f>
        <v>107.16392302341758</v>
      </c>
      <c r="G14" s="87">
        <f>IF(G6=0,0,G6/TrAvia_act!G26)</f>
        <v>110.05834057761035</v>
      </c>
      <c r="H14" s="87">
        <f>IF(H6=0,0,H6/TrAvia_act!H26)</f>
        <v>112.77629804450439</v>
      </c>
      <c r="I14" s="87">
        <f>IF(I6=0,0,I6/TrAvia_act!I26)</f>
        <v>114.39760221884227</v>
      </c>
      <c r="J14" s="87">
        <f>IF(J6=0,0,J6/TrAvia_act!J26)</f>
        <v>117.10518777848505</v>
      </c>
      <c r="K14" s="87">
        <f>IF(K6=0,0,K6/TrAvia_act!K26)</f>
        <v>112.97072023936738</v>
      </c>
      <c r="L14" s="87">
        <f>IF(L6=0,0,L6/TrAvia_act!L26)</f>
        <v>116.49141876430205</v>
      </c>
      <c r="M14" s="87">
        <f>IF(M6=0,0,M6/TrAvia_act!M26)</f>
        <v>120.05623376623376</v>
      </c>
      <c r="N14" s="87">
        <f>IF(N6=0,0,N6/TrAvia_act!N26)</f>
        <v>147.53635745837582</v>
      </c>
      <c r="O14" s="87">
        <f>IF(O6=0,0,O6/TrAvia_act!O26)</f>
        <v>160.92181283514964</v>
      </c>
      <c r="P14" s="87">
        <f>IF(P6=0,0,P6/TrAvia_act!P26)</f>
        <v>134.15468478432612</v>
      </c>
      <c r="Q14" s="87">
        <f>IF(Q6=0,0,Q6/TrAvia_act!Q26)</f>
        <v>146.88548293811451</v>
      </c>
      <c r="R14" s="87">
        <f>IF(R6=0,0,R6/TrAvia_act!R26)</f>
        <v>141.95888198757763</v>
      </c>
      <c r="S14" s="87">
        <f>IF(S6=0,0,S6/TrAvia_act!S26)</f>
        <v>139.39609892911778</v>
      </c>
      <c r="T14" s="87">
        <f>IF(T6=0,0,T6/TrAvia_act!T26)</f>
        <v>177.96864111498257</v>
      </c>
      <c r="U14" s="87">
        <f>IF(U6=0,0,U6/TrAvia_act!U26)</f>
        <v>186.0500426153659</v>
      </c>
      <c r="V14" s="87">
        <f>IF(V6=0,0,V6/TrAvia_act!V26)</f>
        <v>147.70185614849188</v>
      </c>
      <c r="W14" s="87">
        <f>IF(W6=0,0,W6/TrAvia_act!W26)</f>
        <v>138.3595015576324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139.7443729903537</v>
      </c>
      <c r="C15" s="88">
        <f>IF(C7=0,0,C7/TrAvia_act!C27)</f>
        <v>141.02691218130312</v>
      </c>
      <c r="D15" s="88">
        <f>IF(D7=0,0,D7/TrAvia_act!D27)</f>
        <v>140.88301886792453</v>
      </c>
      <c r="E15" s="88">
        <f>IF(E7=0,0,E7/TrAvia_act!E27)</f>
        <v>140.75017593244195</v>
      </c>
      <c r="F15" s="88">
        <f>IF(F7=0,0,F7/TrAvia_act!F27)</f>
        <v>140.48022335970219</v>
      </c>
      <c r="G15" s="88">
        <f>IF(G7=0,0,G7/TrAvia_act!G27)</f>
        <v>140.49722222222223</v>
      </c>
      <c r="H15" s="88">
        <f>IF(H7=0,0,H7/TrAvia_act!H27)</f>
        <v>140.35514834205932</v>
      </c>
      <c r="I15" s="88">
        <f>IF(I7=0,0,I7/TrAvia_act!I27)</f>
        <v>148.5081081081081</v>
      </c>
      <c r="J15" s="88">
        <f>IF(J7=0,0,J7/TrAvia_act!J27)</f>
        <v>139.44839650145772</v>
      </c>
      <c r="K15" s="88">
        <f>IF(K7=0,0,K7/TrAvia_act!K27)</f>
        <v>140.84334023464459</v>
      </c>
      <c r="L15" s="88">
        <f>IF(L7=0,0,L7/TrAvia_act!L27)</f>
        <v>151.67963386727689</v>
      </c>
      <c r="M15" s="88">
        <f>IF(M7=0,0,M7/TrAvia_act!M27)</f>
        <v>139.99327052489906</v>
      </c>
      <c r="N15" s="88">
        <f>IF(N7=0,0,N7/TrAvia_act!N27)</f>
        <v>138.40178571428572</v>
      </c>
      <c r="O15" s="88">
        <f>IF(O7=0,0,O7/TrAvia_act!O27)</f>
        <v>141.21131805157594</v>
      </c>
      <c r="P15" s="88">
        <f>IF(P7=0,0,P7/TrAvia_act!P27)</f>
        <v>196.89819376026273</v>
      </c>
      <c r="Q15" s="88">
        <f>IF(Q7=0,0,Q7/TrAvia_act!Q27)</f>
        <v>162.29775662814413</v>
      </c>
      <c r="R15" s="88">
        <f>IF(R7=0,0,R7/TrAvia_act!R27)</f>
        <v>155.04416611733686</v>
      </c>
      <c r="S15" s="88">
        <f>IF(S7=0,0,S7/TrAvia_act!S27)</f>
        <v>166.49562937062936</v>
      </c>
      <c r="T15" s="88">
        <f>IF(T7=0,0,T7/TrAvia_act!T27)</f>
        <v>182.76633807959109</v>
      </c>
      <c r="U15" s="88">
        <f>IF(U7=0,0,U7/TrAvia_act!U27)</f>
        <v>208.64439374185136</v>
      </c>
      <c r="V15" s="88">
        <f>IF(V7=0,0,V7/TrAvia_act!V27)</f>
        <v>156.77156177156178</v>
      </c>
      <c r="W15" s="88">
        <f>IF(W7=0,0,W7/TrAvia_act!W27)</f>
        <v>161.09700176366843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0.66398857301117564</v>
      </c>
      <c r="C18" s="25">
        <f>IF(TrAvia_act!C34=0,0,(TrAvia_act!C34/TrAvia_act!C24)/TrAvia_png!C12)</f>
        <v>0.66554122402003313</v>
      </c>
      <c r="D18" s="25">
        <f>IF(TrAvia_act!D34=0,0,(TrAvia_act!D34/TrAvia_act!D24)/TrAvia_png!D12)</f>
        <v>0.67529251199950924</v>
      </c>
      <c r="E18" s="25">
        <f>IF(TrAvia_act!E34=0,0,(TrAvia_act!E34/TrAvia_act!E24)/TrAvia_png!E12)</f>
        <v>0.67130665362971154</v>
      </c>
      <c r="F18" s="25">
        <f>IF(TrAvia_act!F34=0,0,(TrAvia_act!F34/TrAvia_act!F24)/TrAvia_png!F12)</f>
        <v>0.68086697415289066</v>
      </c>
      <c r="G18" s="25">
        <f>IF(TrAvia_act!G34=0,0,(TrAvia_act!G34/TrAvia_act!G24)/TrAvia_png!G12)</f>
        <v>0.68677230740722917</v>
      </c>
      <c r="H18" s="25">
        <f>IF(TrAvia_act!H34=0,0,(TrAvia_act!H34/TrAvia_act!H24)/TrAvia_png!H12)</f>
        <v>0.6932723967107568</v>
      </c>
      <c r="I18" s="25">
        <f>IF(TrAvia_act!I34=0,0,(TrAvia_act!I34/TrAvia_act!I24)/TrAvia_png!I12)</f>
        <v>0.72053720749996597</v>
      </c>
      <c r="J18" s="25">
        <f>IF(TrAvia_act!J34=0,0,(TrAvia_act!J34/TrAvia_act!J24)/TrAvia_png!J12)</f>
        <v>0.70669319411876097</v>
      </c>
      <c r="K18" s="25">
        <f>IF(TrAvia_act!K34=0,0,(TrAvia_act!K34/TrAvia_act!K24)/TrAvia_png!K12)</f>
        <v>0.7324988781077999</v>
      </c>
      <c r="L18" s="25">
        <f>IF(TrAvia_act!L34=0,0,(TrAvia_act!L34/TrAvia_act!L24)/TrAvia_png!L12)</f>
        <v>0.76569675764819189</v>
      </c>
      <c r="M18" s="25">
        <f>IF(TrAvia_act!M34=0,0,(TrAvia_act!M34/TrAvia_act!M24)/TrAvia_png!M12)</f>
        <v>0.79278704911330433</v>
      </c>
      <c r="N18" s="25">
        <f>IF(TrAvia_act!N34=0,0,(TrAvia_act!N34/TrAvia_act!N24)/TrAvia_png!N12)</f>
        <v>0.72462875451438991</v>
      </c>
      <c r="O18" s="25">
        <f>IF(TrAvia_act!O34=0,0,(TrAvia_act!O34/TrAvia_act!O24)/TrAvia_png!O12)</f>
        <v>0.6898351989498146</v>
      </c>
      <c r="P18" s="25">
        <f>IF(TrAvia_act!P34=0,0,(TrAvia_act!P34/TrAvia_act!P24)/TrAvia_png!P12)</f>
        <v>0.76979429454112314</v>
      </c>
      <c r="Q18" s="25">
        <f>IF(TrAvia_act!Q34=0,0,(TrAvia_act!Q34/TrAvia_act!Q24)/TrAvia_png!Q12)</f>
        <v>0.7754423720707796</v>
      </c>
      <c r="R18" s="25">
        <f>IF(TrAvia_act!R34=0,0,(TrAvia_act!R34/TrAvia_act!R24)/TrAvia_png!R12)</f>
        <v>0.78631625774417602</v>
      </c>
      <c r="S18" s="25">
        <f>IF(TrAvia_act!S34=0,0,(TrAvia_act!S34/TrAvia_act!S24)/TrAvia_png!S12)</f>
        <v>0.81854696767761037</v>
      </c>
      <c r="T18" s="25">
        <f>IF(TrAvia_act!T34=0,0,(TrAvia_act!T34/TrAvia_act!T24)/TrAvia_png!T12)</f>
        <v>0.68967247394986586</v>
      </c>
      <c r="U18" s="25">
        <f>IF(TrAvia_act!U34=0,0,(TrAvia_act!U34/TrAvia_act!U24)/TrAvia_png!U12)</f>
        <v>0.65666489864631139</v>
      </c>
      <c r="V18" s="25">
        <f>IF(TrAvia_act!V34=0,0,(TrAvia_act!V34/TrAvia_act!V24)/TrAvia_png!V12)</f>
        <v>0.56365813914142981</v>
      </c>
      <c r="W18" s="25">
        <f>IF(TrAvia_act!W34=0,0,(TrAvia_act!W34/TrAvia_act!W24)/TrAvia_png!W12)</f>
        <v>0.60947082595671886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0.65009421416149404</v>
      </c>
      <c r="C20" s="89">
        <f>IF(TrAvia_act!C36=0,0,(TrAvia_act!C36/TrAvia_act!C26)/TrAvia_png!C14)</f>
        <v>0.65149422091706566</v>
      </c>
      <c r="D20" s="89">
        <f>IF(TrAvia_act!D36=0,0,(TrAvia_act!D36/TrAvia_act!D26)/TrAvia_png!D14)</f>
        <v>0.65771098315572352</v>
      </c>
      <c r="E20" s="89">
        <f>IF(TrAvia_act!E36=0,0,(TrAvia_act!E36/TrAvia_act!E26)/TrAvia_png!E14)</f>
        <v>0.65286959542341039</v>
      </c>
      <c r="F20" s="89">
        <f>IF(TrAvia_act!F36=0,0,(TrAvia_act!F36/TrAvia_act!F26)/TrAvia_png!F14)</f>
        <v>0.66597107733049465</v>
      </c>
      <c r="G20" s="89">
        <f>IF(TrAvia_act!G36=0,0,(TrAvia_act!G36/TrAvia_act!G26)/TrAvia_png!G14)</f>
        <v>0.67632965138832091</v>
      </c>
      <c r="H20" s="89">
        <f>IF(TrAvia_act!H36=0,0,(TrAvia_act!H36/TrAvia_act!H26)/TrAvia_png!H14)</f>
        <v>0.68776990354101486</v>
      </c>
      <c r="I20" s="89">
        <f>IF(TrAvia_act!I36=0,0,(TrAvia_act!I36/TrAvia_act!I26)/TrAvia_png!I14)</f>
        <v>0.7104914509526663</v>
      </c>
      <c r="J20" s="89">
        <f>IF(TrAvia_act!J36=0,0,(TrAvia_act!J36/TrAvia_act!J26)/TrAvia_png!J14)</f>
        <v>0.69717443799268641</v>
      </c>
      <c r="K20" s="89">
        <f>IF(TrAvia_act!K36=0,0,(TrAvia_act!K36/TrAvia_act!K26)/TrAvia_png!K14)</f>
        <v>0.72233016137270867</v>
      </c>
      <c r="L20" s="89">
        <f>IF(TrAvia_act!L36=0,0,(TrAvia_act!L36/TrAvia_act!L26)/TrAvia_png!L14)</f>
        <v>0.751356156108964</v>
      </c>
      <c r="M20" s="89">
        <f>IF(TrAvia_act!M36=0,0,(TrAvia_act!M36/TrAvia_act!M26)/TrAvia_png!M14)</f>
        <v>0.78839137071047882</v>
      </c>
      <c r="N20" s="89">
        <f>IF(TrAvia_act!N36=0,0,(TrAvia_act!N36/TrAvia_act!N26)/TrAvia_png!N14)</f>
        <v>0.71033706855949852</v>
      </c>
      <c r="O20" s="89">
        <f>IF(TrAvia_act!O36=0,0,(TrAvia_act!O36/TrAvia_act!O26)/TrAvia_png!O14)</f>
        <v>0.67042392202853096</v>
      </c>
      <c r="P20" s="89">
        <f>IF(TrAvia_act!P36=0,0,(TrAvia_act!P36/TrAvia_act!P26)/TrAvia_png!P14)</f>
        <v>0.80592887470335017</v>
      </c>
      <c r="Q20" s="89">
        <f>IF(TrAvia_act!Q36=0,0,(TrAvia_act!Q36/TrAvia_act!Q26)/TrAvia_png!Q14)</f>
        <v>0.78806626897407128</v>
      </c>
      <c r="R20" s="89">
        <f>IF(TrAvia_act!R36=0,0,(TrAvia_act!R36/TrAvia_act!R26)/TrAvia_png!R14)</f>
        <v>0.8094951823159362</v>
      </c>
      <c r="S20" s="89">
        <f>IF(TrAvia_act!S36=0,0,(TrAvia_act!S36/TrAvia_act!S26)/TrAvia_png!S14)</f>
        <v>0.83424987401947837</v>
      </c>
      <c r="T20" s="89">
        <f>IF(TrAvia_act!T36=0,0,(TrAvia_act!T36/TrAvia_act!T26)/TrAvia_png!T14)</f>
        <v>0.66338860935450394</v>
      </c>
      <c r="U20" s="89">
        <f>IF(TrAvia_act!U36=0,0,(TrAvia_act!U36/TrAvia_act!U26)/TrAvia_png!U14)</f>
        <v>0.64063247490721709</v>
      </c>
      <c r="V20" s="89">
        <f>IF(TrAvia_act!V36=0,0,(TrAvia_act!V36/TrAvia_act!V26)/TrAvia_png!V14)</f>
        <v>0.53088960275633124</v>
      </c>
      <c r="W20" s="89">
        <f>IF(TrAvia_act!W36=0,0,(TrAvia_act!W36/TrAvia_act!W26)/TrAvia_png!W14)</f>
        <v>0.60257264699392532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0.71242852705330129</v>
      </c>
      <c r="C21" s="90">
        <f>IF(TrAvia_act!C37=0,0,(TrAvia_act!C37/TrAvia_act!C27)/TrAvia_png!C15)</f>
        <v>0.71425701802842367</v>
      </c>
      <c r="D21" s="90">
        <f>IF(TrAvia_act!D37=0,0,(TrAvia_act!D37/TrAvia_act!D27)/TrAvia_png!D15)</f>
        <v>0.71913001553543687</v>
      </c>
      <c r="E21" s="90">
        <f>IF(TrAvia_act!E37=0,0,(TrAvia_act!E37/TrAvia_act!E27)/TrAvia_png!E15)</f>
        <v>0.72225833225003244</v>
      </c>
      <c r="F21" s="90">
        <f>IF(TrAvia_act!F37=0,0,(TrAvia_act!F37/TrAvia_act!F27)/TrAvia_png!F15)</f>
        <v>0.72647834324857896</v>
      </c>
      <c r="G21" s="90">
        <f>IF(TrAvia_act!G37=0,0,(TrAvia_act!G37/TrAvia_act!G27)/TrAvia_png!G15)</f>
        <v>0.73382233733367597</v>
      </c>
      <c r="H21" s="90">
        <f>IF(TrAvia_act!H37=0,0,(TrAvia_act!H37/TrAvia_act!H27)/TrAvia_png!H15)</f>
        <v>0.73904393616293751</v>
      </c>
      <c r="I21" s="90">
        <f>IF(TrAvia_act!I37=0,0,(TrAvia_act!I37/TrAvia_act!I27)/TrAvia_png!I15)</f>
        <v>0.78732619931571679</v>
      </c>
      <c r="J21" s="90">
        <f>IF(TrAvia_act!J37=0,0,(TrAvia_act!J37/TrAvia_act!J27)/TrAvia_png!J15)</f>
        <v>0.76527258586517477</v>
      </c>
      <c r="K21" s="90">
        <f>IF(TrAvia_act!K37=0,0,(TrAvia_act!K37/TrAvia_act!K27)/TrAvia_png!K15)</f>
        <v>0.78517458668574391</v>
      </c>
      <c r="L21" s="90">
        <f>IF(TrAvia_act!L37=0,0,(TrAvia_act!L37/TrAvia_act!L27)/TrAvia_png!L15)</f>
        <v>0.83912155774143582</v>
      </c>
      <c r="M21" s="90">
        <f>IF(TrAvia_act!M37=0,0,(TrAvia_act!M37/TrAvia_act!M27)/TrAvia_png!M15)</f>
        <v>0.81232033841272888</v>
      </c>
      <c r="N21" s="90">
        <f>IF(TrAvia_act!N37=0,0,(TrAvia_act!N37/TrAvia_act!N27)/TrAvia_png!N15)</f>
        <v>0.78621726637983647</v>
      </c>
      <c r="O21" s="90">
        <f>IF(TrAvia_act!O37=0,0,(TrAvia_act!O37/TrAvia_act!O27)/TrAvia_png!O15)</f>
        <v>0.78143975326052217</v>
      </c>
      <c r="P21" s="90">
        <f>IF(TrAvia_act!P37=0,0,(TrAvia_act!P37/TrAvia_act!P27)/TrAvia_png!P15)</f>
        <v>0.64186354879869234</v>
      </c>
      <c r="Q21" s="90">
        <f>IF(TrAvia_act!Q37=0,0,(TrAvia_act!Q37/TrAvia_act!Q27)/TrAvia_png!Q15)</f>
        <v>0.72172656446343297</v>
      </c>
      <c r="R21" s="90">
        <f>IF(TrAvia_act!R37=0,0,(TrAvia_act!R37/TrAvia_act!R27)/TrAvia_png!R15)</f>
        <v>0.67369750257225702</v>
      </c>
      <c r="S21" s="90">
        <f>IF(TrAvia_act!S37=0,0,(TrAvia_act!S37/TrAvia_act!S27)/TrAvia_png!S15)</f>
        <v>0.77347470218563452</v>
      </c>
      <c r="T21" s="90">
        <f>IF(TrAvia_act!T37=0,0,(TrAvia_act!T37/TrAvia_act!T27)/TrAvia_png!T15)</f>
        <v>0.77012646899601866</v>
      </c>
      <c r="U21" s="90">
        <f>IF(TrAvia_act!U37=0,0,(TrAvia_act!U37/TrAvia_act!U27)/TrAvia_png!U15)</f>
        <v>0.69493580120008569</v>
      </c>
      <c r="V21" s="90">
        <f>IF(TrAvia_act!V37=0,0,(TrAvia_act!V37/TrAvia_act!V27)/TrAvia_png!V15)</f>
        <v>0.74975838227641067</v>
      </c>
      <c r="W21" s="90">
        <f>IF(TrAvia_act!W37=0,0,(TrAvia_act!W37/TrAvia_act!W27)/TrAvia_png!W15)</f>
        <v>0.64301197696568935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7.013052200560993E-2</v>
      </c>
      <c r="C24" s="23">
        <f>IF(TrAvia_ene!C6=0,0,TrAvia_ene!C6/(C12*TrAvia_act!C14))</f>
        <v>6.993857558739712E-2</v>
      </c>
      <c r="D24" s="23">
        <f>IF(TrAvia_ene!D6=0,0,TrAvia_ene!D6/(D12*TrAvia_act!D14))</f>
        <v>8.3780145103089343E-2</v>
      </c>
      <c r="E24" s="23">
        <f>IF(TrAvia_ene!E6=0,0,TrAvia_ene!E6/(E12*TrAvia_act!E14))</f>
        <v>4.366798512524328E-2</v>
      </c>
      <c r="F24" s="23">
        <f>IF(TrAvia_ene!F6=0,0,TrAvia_ene!F6/(F12*TrAvia_act!F14))</f>
        <v>2.1087911134209665E-2</v>
      </c>
      <c r="G24" s="23">
        <f>IF(TrAvia_ene!G6=0,0,TrAvia_ene!G6/(G12*TrAvia_act!G14))</f>
        <v>2.7657573792172773E-2</v>
      </c>
      <c r="H24" s="23">
        <f>IF(TrAvia_ene!H6=0,0,TrAvia_ene!H6/(H12*TrAvia_act!H14))</f>
        <v>2.6001300341687322E-2</v>
      </c>
      <c r="I24" s="23">
        <f>IF(TrAvia_ene!I6=0,0,TrAvia_ene!I6/(I12*TrAvia_act!I14))</f>
        <v>3.101267878221561E-2</v>
      </c>
      <c r="J24" s="23">
        <f>IF(TrAvia_ene!J6=0,0,TrAvia_ene!J6/(J12*TrAvia_act!J14))</f>
        <v>3.1979787147726091E-2</v>
      </c>
      <c r="K24" s="23">
        <f>IF(TrAvia_ene!K6=0,0,TrAvia_ene!K6/(K12*TrAvia_act!K14))</f>
        <v>3.2082613425407497E-2</v>
      </c>
      <c r="L24" s="23">
        <f>IF(TrAvia_ene!L6=0,0,TrAvia_ene!L6/(L12*TrAvia_act!L14))</f>
        <v>2.9387495601522512E-2</v>
      </c>
      <c r="M24" s="23">
        <f>IF(TrAvia_ene!M6=0,0,TrAvia_ene!M6/(M12*TrAvia_act!M14))</f>
        <v>3.0883274186209387E-2</v>
      </c>
      <c r="N24" s="23">
        <f>IF(TrAvia_ene!N6=0,0,TrAvia_ene!N6/(N12*TrAvia_act!N14))</f>
        <v>2.6880797224872834E-2</v>
      </c>
      <c r="O24" s="23">
        <f>IF(TrAvia_ene!O6=0,0,TrAvia_ene!O6/(O12*TrAvia_act!O14))</f>
        <v>2.8803475023380327E-2</v>
      </c>
      <c r="P24" s="23">
        <f>IF(TrAvia_ene!P6=0,0,TrAvia_ene!P6/(P12*TrAvia_act!P14))</f>
        <v>2.6029515730038196E-2</v>
      </c>
      <c r="Q24" s="23">
        <f>IF(TrAvia_ene!Q6=0,0,TrAvia_ene!Q6/(Q12*TrAvia_act!Q14))</f>
        <v>2.6324888256557644E-2</v>
      </c>
      <c r="R24" s="23">
        <f>IF(TrAvia_ene!R6=0,0,TrAvia_ene!R6/(R12*TrAvia_act!R14))</f>
        <v>2.8442906402949129E-2</v>
      </c>
      <c r="S24" s="23">
        <f>IF(TrAvia_ene!S6=0,0,TrAvia_ene!S6/(S12*TrAvia_act!S14))</f>
        <v>2.0944168491526267E-2</v>
      </c>
      <c r="T24" s="23">
        <f>IF(TrAvia_ene!T6=0,0,TrAvia_ene!T6/(T12*TrAvia_act!T14))</f>
        <v>1.7665901618887935E-2</v>
      </c>
      <c r="U24" s="23">
        <f>IF(TrAvia_ene!U6=0,0,TrAvia_ene!U6/(U12*TrAvia_act!U14))</f>
        <v>1.5579583667017902E-2</v>
      </c>
      <c r="V24" s="23">
        <f>IF(TrAvia_ene!V6=0,0,TrAvia_ene!V6/(V12*TrAvia_act!V14))</f>
        <v>4.9291951496891438E-2</v>
      </c>
      <c r="W24" s="23">
        <f>IF(TrAvia_ene!W6=0,0,TrAvia_ene!W6/(W12*TrAvia_act!W14))</f>
        <v>3.0466668460899897E-2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7.0672284492223306E-2</v>
      </c>
      <c r="C26" s="93">
        <f>IF(TrAvia_ene!C8=0,0,TrAvia_ene!C8/(C14*TrAvia_act!C16))</f>
        <v>7.0509551743215798E-2</v>
      </c>
      <c r="D26" s="93">
        <f>IF(TrAvia_ene!D8=0,0,TrAvia_ene!D8/(D14*TrAvia_act!D16))</f>
        <v>8.4899528533398744E-2</v>
      </c>
      <c r="E26" s="93">
        <f>IF(TrAvia_ene!E8=0,0,TrAvia_ene!E8/(E14*TrAvia_act!E16))</f>
        <v>4.3793117632295334E-2</v>
      </c>
      <c r="F26" s="93">
        <f>IF(TrAvia_ene!F8=0,0,TrAvia_ene!F8/(F14*TrAvia_act!F16))</f>
        <v>2.1155746415703357E-2</v>
      </c>
      <c r="G26" s="93">
        <f>IF(TrAvia_ene!G8=0,0,TrAvia_ene!G8/(G14*TrAvia_act!G16))</f>
        <v>2.5197241776537493E-2</v>
      </c>
      <c r="H26" s="93">
        <f>IF(TrAvia_ene!H8=0,0,TrAvia_ene!H8/(H14*TrAvia_act!H16))</f>
        <v>2.1234445608697718E-2</v>
      </c>
      <c r="I26" s="93">
        <f>IF(TrAvia_ene!I8=0,0,TrAvia_ene!I8/(I14*TrAvia_act!I16))</f>
        <v>2.7801855263490591E-2</v>
      </c>
      <c r="J26" s="93">
        <f>IF(TrAvia_ene!J8=0,0,TrAvia_ene!J8/(J14*TrAvia_act!J16))</f>
        <v>2.9631021884860359E-2</v>
      </c>
      <c r="K26" s="93">
        <f>IF(TrAvia_ene!K8=0,0,TrAvia_ene!K8/(K14*TrAvia_act!K16))</f>
        <v>2.8958292380167078E-2</v>
      </c>
      <c r="L26" s="93">
        <f>IF(TrAvia_ene!L8=0,0,TrAvia_ene!L8/(L14*TrAvia_act!L16))</f>
        <v>2.5808831096740627E-2</v>
      </c>
      <c r="M26" s="93">
        <f>IF(TrAvia_ene!M8=0,0,TrAvia_ene!M8/(M14*TrAvia_act!M16))</f>
        <v>2.6666427858419287E-2</v>
      </c>
      <c r="N26" s="93">
        <f>IF(TrAvia_ene!N8=0,0,TrAvia_ene!N8/(N14*TrAvia_act!N16))</f>
        <v>2.3362797659492254E-2</v>
      </c>
      <c r="O26" s="93">
        <f>IF(TrAvia_ene!O8=0,0,TrAvia_ene!O8/(O14*TrAvia_act!O16))</f>
        <v>2.3954851952257633E-2</v>
      </c>
      <c r="P26" s="93">
        <f>IF(TrAvia_ene!P8=0,0,TrAvia_ene!P8/(P14*TrAvia_act!P16))</f>
        <v>2.3027323091600722E-2</v>
      </c>
      <c r="Q26" s="93">
        <f>IF(TrAvia_ene!Q8=0,0,TrAvia_ene!Q8/(Q14*TrAvia_act!Q16))</f>
        <v>2.373898634052346E-2</v>
      </c>
      <c r="R26" s="93">
        <f>IF(TrAvia_ene!R8=0,0,TrAvia_ene!R8/(R14*TrAvia_act!R16))</f>
        <v>2.5259483758980766E-2</v>
      </c>
      <c r="S26" s="93">
        <f>IF(TrAvia_ene!S8=0,0,TrAvia_ene!S8/(S14*TrAvia_act!S16))</f>
        <v>2.1365364317840647E-2</v>
      </c>
      <c r="T26" s="93">
        <f>IF(TrAvia_ene!T8=0,0,TrAvia_ene!T8/(T14*TrAvia_act!T16))</f>
        <v>1.8171986903014206E-2</v>
      </c>
      <c r="U26" s="93">
        <f>IF(TrAvia_ene!U8=0,0,TrAvia_ene!U8/(U14*TrAvia_act!U16))</f>
        <v>1.6908037989426691E-2</v>
      </c>
      <c r="V26" s="93">
        <f>IF(TrAvia_ene!V8=0,0,TrAvia_ene!V8/(V14*TrAvia_act!V16))</f>
        <v>3.5900034479643829E-2</v>
      </c>
      <c r="W26" s="93">
        <f>IF(TrAvia_ene!W8=0,0,TrAvia_ene!W8/(W14*TrAvia_act!W16))</f>
        <v>2.4011369997766485E-2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5.934341938081706E-2</v>
      </c>
      <c r="C27" s="94">
        <f>IF(TrAvia_ene!C9=0,0,TrAvia_ene!C9/(C15*TrAvia_act!C17))</f>
        <v>5.9031855987152076E-2</v>
      </c>
      <c r="D27" s="94">
        <f>IF(TrAvia_ene!D9=0,0,TrAvia_ene!D9/(D15*TrAvia_act!D17))</f>
        <v>7.2032965952219974E-2</v>
      </c>
      <c r="E27" s="94">
        <f>IF(TrAvia_ene!E9=0,0,TrAvia_ene!E9/(E15*TrAvia_act!E17))</f>
        <v>3.7620723661087076E-2</v>
      </c>
      <c r="F27" s="94">
        <f>IF(TrAvia_ene!F9=0,0,TrAvia_ene!F9/(F15*TrAvia_act!F17))</f>
        <v>1.855850859002011E-2</v>
      </c>
      <c r="G27" s="94">
        <f>IF(TrAvia_ene!G9=0,0,TrAvia_ene!G9/(G15*TrAvia_act!G17))</f>
        <v>2.8891670036138146E-2</v>
      </c>
      <c r="H27" s="94">
        <f>IF(TrAvia_ene!H9=0,0,TrAvia_ene!H9/(H15*TrAvia_act!H17))</f>
        <v>3.8515366179300597E-2</v>
      </c>
      <c r="I27" s="94">
        <f>IF(TrAvia_ene!I9=0,0,TrAvia_ene!I9/(I15*TrAvia_act!I17))</f>
        <v>3.4277931323591124E-2</v>
      </c>
      <c r="J27" s="94">
        <f>IF(TrAvia_ene!J9=0,0,TrAvia_ene!J9/(J15*TrAvia_act!J17))</f>
        <v>3.5404016011184064E-2</v>
      </c>
      <c r="K27" s="94">
        <f>IF(TrAvia_ene!K9=0,0,TrAvia_ene!K9/(K15*TrAvia_act!K17))</f>
        <v>3.6401361398982618E-2</v>
      </c>
      <c r="L27" s="94">
        <f>IF(TrAvia_ene!L9=0,0,TrAvia_ene!L9/(L15*TrAvia_act!L17))</f>
        <v>3.3937602395507714E-2</v>
      </c>
      <c r="M27" s="94">
        <f>IF(TrAvia_ene!M9=0,0,TrAvia_ene!M9/(M15*TrAvia_act!M17))</f>
        <v>3.892059163886484E-2</v>
      </c>
      <c r="N27" s="94">
        <f>IF(TrAvia_ene!N9=0,0,TrAvia_ene!N9/(N15*TrAvia_act!N17))</f>
        <v>3.5927164348925372E-2</v>
      </c>
      <c r="O27" s="94">
        <f>IF(TrAvia_ene!O9=0,0,TrAvia_ene!O9/(O15*TrAvia_act!O17))</f>
        <v>4.3673858526611833E-2</v>
      </c>
      <c r="P27" s="94">
        <f>IF(TrAvia_ene!P9=0,0,TrAvia_ene!P9/(P15*TrAvia_act!P17))</f>
        <v>2.9512631413408111E-2</v>
      </c>
      <c r="Q27" s="94">
        <f>IF(TrAvia_ene!Q9=0,0,TrAvia_ene!Q9/(Q15*TrAvia_act!Q17))</f>
        <v>3.1578527699090357E-2</v>
      </c>
      <c r="R27" s="94">
        <f>IF(TrAvia_ene!R9=0,0,TrAvia_ene!R9/(R15*TrAvia_act!R17))</f>
        <v>3.619645247636024E-2</v>
      </c>
      <c r="S27" s="94">
        <f>IF(TrAvia_ene!S9=0,0,TrAvia_ene!S9/(S15*TrAvia_act!S17))</f>
        <v>1.9121511999234727E-2</v>
      </c>
      <c r="T27" s="94">
        <f>IF(TrAvia_ene!T9=0,0,TrAvia_ene!T9/(T15*TrAvia_act!T17))</f>
        <v>1.6641055246770335E-2</v>
      </c>
      <c r="U27" s="94">
        <f>IF(TrAvia_ene!U9=0,0,TrAvia_ene!U9/(U15*TrAvia_act!U17))</f>
        <v>1.3167794189783972E-2</v>
      </c>
      <c r="V27" s="94">
        <f>IF(TrAvia_ene!V9=0,0,TrAvia_ene!V9/(V15*TrAvia_act!V17))</f>
        <v>8.9591449974163531E-2</v>
      </c>
      <c r="W27" s="94">
        <f>IF(TrAvia_ene!W9=0,0,TrAvia_ene!W9/(W15*TrAvia_act!W17))</f>
        <v>4.7518463987937652E-2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1379.3</v>
      </c>
      <c r="C3" s="54">
        <f t="shared" si="0"/>
        <v>995.19999999999993</v>
      </c>
      <c r="D3" s="54">
        <f t="shared" si="0"/>
        <v>599.70000000000005</v>
      </c>
      <c r="E3" s="54">
        <f t="shared" si="0"/>
        <v>522.5</v>
      </c>
      <c r="F3" s="54">
        <f t="shared" si="0"/>
        <v>741</v>
      </c>
      <c r="G3" s="54">
        <f t="shared" si="0"/>
        <v>740.3</v>
      </c>
      <c r="H3" s="54">
        <f t="shared" si="0"/>
        <v>648.80000000000007</v>
      </c>
      <c r="I3" s="54">
        <f t="shared" si="0"/>
        <v>1004</v>
      </c>
      <c r="J3" s="54">
        <f t="shared" si="0"/>
        <v>1101</v>
      </c>
      <c r="K3" s="54">
        <f t="shared" si="0"/>
        <v>899</v>
      </c>
      <c r="L3" s="54">
        <f t="shared" si="0"/>
        <v>1189</v>
      </c>
      <c r="M3" s="54">
        <f t="shared" si="0"/>
        <v>931</v>
      </c>
      <c r="N3" s="54">
        <f t="shared" si="0"/>
        <v>986</v>
      </c>
      <c r="O3" s="54">
        <f t="shared" si="0"/>
        <v>1006</v>
      </c>
      <c r="P3" s="54">
        <f t="shared" si="0"/>
        <v>905</v>
      </c>
      <c r="Q3" s="54">
        <f t="shared" si="0"/>
        <v>741</v>
      </c>
      <c r="R3" s="54">
        <f t="shared" ref="R3:V3" si="1">SUM(R4:R5)</f>
        <v>903</v>
      </c>
      <c r="S3" s="54">
        <f t="shared" si="1"/>
        <v>933</v>
      </c>
      <c r="T3" s="54">
        <f t="shared" si="1"/>
        <v>778</v>
      </c>
      <c r="U3" s="54">
        <f t="shared" si="1"/>
        <v>937</v>
      </c>
      <c r="V3" s="54">
        <f t="shared" si="1"/>
        <v>834</v>
      </c>
      <c r="W3" s="54">
        <f t="shared" ref="W3" si="2">SUM(W4:W5)</f>
        <v>839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1379.3</v>
      </c>
      <c r="C5" s="58">
        <v>995.19999999999993</v>
      </c>
      <c r="D5" s="58">
        <v>599.70000000000005</v>
      </c>
      <c r="E5" s="58">
        <v>522.5</v>
      </c>
      <c r="F5" s="58">
        <v>741</v>
      </c>
      <c r="G5" s="58">
        <v>740.3</v>
      </c>
      <c r="H5" s="58">
        <v>648.80000000000007</v>
      </c>
      <c r="I5" s="58">
        <v>1004</v>
      </c>
      <c r="J5" s="58">
        <v>1101</v>
      </c>
      <c r="K5" s="58">
        <v>899</v>
      </c>
      <c r="L5" s="58">
        <v>1189</v>
      </c>
      <c r="M5" s="58">
        <v>931</v>
      </c>
      <c r="N5" s="58">
        <v>986</v>
      </c>
      <c r="O5" s="58">
        <v>1006</v>
      </c>
      <c r="P5" s="58">
        <v>905</v>
      </c>
      <c r="Q5" s="58">
        <v>741</v>
      </c>
      <c r="R5" s="58">
        <v>903</v>
      </c>
      <c r="S5" s="58">
        <v>933</v>
      </c>
      <c r="T5" s="58">
        <v>778</v>
      </c>
      <c r="U5" s="58">
        <v>937</v>
      </c>
      <c r="V5" s="58">
        <v>834</v>
      </c>
      <c r="W5" s="58">
        <v>839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1.6339999999999999</v>
      </c>
      <c r="C7" s="59">
        <f t="shared" si="3"/>
        <v>1.5169999999999999</v>
      </c>
      <c r="D7" s="59">
        <f t="shared" si="3"/>
        <v>1.0089999999999999</v>
      </c>
      <c r="E7" s="59">
        <f t="shared" si="3"/>
        <v>0.71899999999999997</v>
      </c>
      <c r="F7" s="59">
        <f t="shared" si="3"/>
        <v>1.016</v>
      </c>
      <c r="G7" s="59">
        <f t="shared" si="3"/>
        <v>1.0840000000000001</v>
      </c>
      <c r="H7" s="59">
        <f t="shared" si="3"/>
        <v>0.624</v>
      </c>
      <c r="I7" s="59">
        <f t="shared" si="3"/>
        <v>0.88200000000000001</v>
      </c>
      <c r="J7" s="59">
        <f t="shared" si="3"/>
        <v>1.194</v>
      </c>
      <c r="K7" s="59">
        <f t="shared" si="3"/>
        <v>0.751</v>
      </c>
      <c r="L7" s="59">
        <f t="shared" si="3"/>
        <v>0.998</v>
      </c>
      <c r="M7" s="59">
        <f t="shared" si="3"/>
        <v>1.02</v>
      </c>
      <c r="N7" s="59">
        <f t="shared" si="3"/>
        <v>1.0189999999999999</v>
      </c>
      <c r="O7" s="59">
        <f t="shared" si="3"/>
        <v>1.0189999999999999</v>
      </c>
      <c r="P7" s="59">
        <f t="shared" si="3"/>
        <v>1.018</v>
      </c>
      <c r="Q7" s="59">
        <f t="shared" si="3"/>
        <v>1.0169999999999999</v>
      </c>
      <c r="R7" s="59">
        <f t="shared" ref="R7:V7" si="4">SUM(R8:R9)</f>
        <v>1.2030000000000001</v>
      </c>
      <c r="S7" s="59">
        <f t="shared" si="4"/>
        <v>1.2370000000000001</v>
      </c>
      <c r="T7" s="59">
        <f t="shared" si="4"/>
        <v>1.06</v>
      </c>
      <c r="U7" s="59">
        <f t="shared" si="4"/>
        <v>1.242</v>
      </c>
      <c r="V7" s="59">
        <f t="shared" si="4"/>
        <v>1.1240000000000001</v>
      </c>
      <c r="W7" s="59">
        <f t="shared" ref="W7" si="5">SUM(W8:W9)</f>
        <v>1.127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1.6339999999999999</v>
      </c>
      <c r="C9" s="61">
        <v>1.5169999999999999</v>
      </c>
      <c r="D9" s="61">
        <v>1.0089999999999999</v>
      </c>
      <c r="E9" s="61">
        <v>0.71899999999999997</v>
      </c>
      <c r="F9" s="61">
        <v>1.016</v>
      </c>
      <c r="G9" s="61">
        <v>1.0840000000000001</v>
      </c>
      <c r="H9" s="61">
        <v>0.624</v>
      </c>
      <c r="I9" s="61">
        <v>0.88200000000000001</v>
      </c>
      <c r="J9" s="61">
        <v>1.194</v>
      </c>
      <c r="K9" s="61">
        <v>0.751</v>
      </c>
      <c r="L9" s="61">
        <v>0.998</v>
      </c>
      <c r="M9" s="61">
        <v>1.02</v>
      </c>
      <c r="N9" s="61">
        <v>1.0189999999999999</v>
      </c>
      <c r="O9" s="61">
        <v>1.0189999999999999</v>
      </c>
      <c r="P9" s="61">
        <v>1.018</v>
      </c>
      <c r="Q9" s="61">
        <v>1.0169999999999999</v>
      </c>
      <c r="R9" s="61">
        <v>1.2030000000000001</v>
      </c>
      <c r="S9" s="61">
        <v>1.2370000000000001</v>
      </c>
      <c r="T9" s="61">
        <v>1.06</v>
      </c>
      <c r="U9" s="61">
        <v>1.242</v>
      </c>
      <c r="V9" s="61">
        <v>1.1240000000000001</v>
      </c>
      <c r="W9" s="61">
        <v>1.127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844.124847001224</v>
      </c>
      <c r="C13" s="62">
        <f t="shared" si="6"/>
        <v>656.03164139749504</v>
      </c>
      <c r="D13" s="62">
        <f t="shared" si="6"/>
        <v>594.35084241823597</v>
      </c>
      <c r="E13" s="62">
        <f t="shared" si="6"/>
        <v>726.70375521557719</v>
      </c>
      <c r="F13" s="62">
        <f t="shared" ref="F13:V13" si="7">IF(F3=0,0,F3/F7)</f>
        <v>729.33070866141736</v>
      </c>
      <c r="G13" s="62">
        <f t="shared" si="7"/>
        <v>682.9335793357933</v>
      </c>
      <c r="H13" s="62">
        <f t="shared" si="7"/>
        <v>1039.7435897435898</v>
      </c>
      <c r="I13" s="62">
        <f t="shared" si="7"/>
        <v>1138.3219954648525</v>
      </c>
      <c r="J13" s="62">
        <f t="shared" si="7"/>
        <v>922.1105527638191</v>
      </c>
      <c r="K13" s="62">
        <f t="shared" si="7"/>
        <v>1197.0705725699067</v>
      </c>
      <c r="L13" s="62">
        <f t="shared" si="7"/>
        <v>1191.3827655310622</v>
      </c>
      <c r="M13" s="62">
        <f t="shared" si="7"/>
        <v>912.74509803921569</v>
      </c>
      <c r="N13" s="62">
        <f t="shared" si="7"/>
        <v>967.61530912659475</v>
      </c>
      <c r="O13" s="62">
        <f t="shared" si="7"/>
        <v>987.24239450441621</v>
      </c>
      <c r="P13" s="62">
        <f t="shared" si="7"/>
        <v>888.9980353634578</v>
      </c>
      <c r="Q13" s="62">
        <f t="shared" si="7"/>
        <v>728.61356932153399</v>
      </c>
      <c r="R13" s="62">
        <f t="shared" si="7"/>
        <v>750.62344139650872</v>
      </c>
      <c r="S13" s="62">
        <f t="shared" si="7"/>
        <v>754.24413904607911</v>
      </c>
      <c r="T13" s="62">
        <f t="shared" si="7"/>
        <v>733.96226415094338</v>
      </c>
      <c r="U13" s="62">
        <f t="shared" si="7"/>
        <v>754.42834138486307</v>
      </c>
      <c r="V13" s="62">
        <f t="shared" si="7"/>
        <v>741.99288256227749</v>
      </c>
      <c r="W13" s="62">
        <f t="shared" ref="W13" si="8">IF(W3=0,0,W3/W7)</f>
        <v>744.45430346051467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" si="10">IF(W4=0,0,W4/W8)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844.124847001224</v>
      </c>
      <c r="C15" s="64">
        <f t="shared" si="6"/>
        <v>656.03164139749504</v>
      </c>
      <c r="D15" s="64">
        <f t="shared" si="6"/>
        <v>594.35084241823597</v>
      </c>
      <c r="E15" s="64">
        <f t="shared" si="6"/>
        <v>726.70375521557719</v>
      </c>
      <c r="F15" s="64">
        <f t="shared" ref="F15:V15" si="11">IF(F5=0,0,F5/F9)</f>
        <v>729.33070866141736</v>
      </c>
      <c r="G15" s="64">
        <f t="shared" si="11"/>
        <v>682.9335793357933</v>
      </c>
      <c r="H15" s="64">
        <f t="shared" si="11"/>
        <v>1039.7435897435898</v>
      </c>
      <c r="I15" s="64">
        <f t="shared" si="11"/>
        <v>1138.3219954648525</v>
      </c>
      <c r="J15" s="64">
        <f t="shared" si="11"/>
        <v>922.1105527638191</v>
      </c>
      <c r="K15" s="64">
        <f t="shared" si="11"/>
        <v>1197.0705725699067</v>
      </c>
      <c r="L15" s="64">
        <f t="shared" si="11"/>
        <v>1191.3827655310622</v>
      </c>
      <c r="M15" s="64">
        <f t="shared" si="11"/>
        <v>912.74509803921569</v>
      </c>
      <c r="N15" s="64">
        <f t="shared" si="11"/>
        <v>967.61530912659475</v>
      </c>
      <c r="O15" s="64">
        <f t="shared" si="11"/>
        <v>987.24239450441621</v>
      </c>
      <c r="P15" s="64">
        <f t="shared" si="11"/>
        <v>888.9980353634578</v>
      </c>
      <c r="Q15" s="64">
        <f t="shared" si="11"/>
        <v>728.61356932153399</v>
      </c>
      <c r="R15" s="64">
        <f t="shared" si="11"/>
        <v>750.62344139650872</v>
      </c>
      <c r="S15" s="64">
        <f t="shared" si="11"/>
        <v>754.24413904607911</v>
      </c>
      <c r="T15" s="64">
        <f t="shared" si="11"/>
        <v>733.96226415094338</v>
      </c>
      <c r="U15" s="64">
        <f t="shared" si="11"/>
        <v>754.42834138486307</v>
      </c>
      <c r="V15" s="64">
        <f t="shared" si="11"/>
        <v>741.99288256227749</v>
      </c>
      <c r="W15" s="64">
        <f t="shared" ref="W15" si="12">IF(W5=0,0,W5/W9)</f>
        <v>744.45430346051467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" si="18">IF(W4=0,0,W4/W$3)</f>
        <v>0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1</v>
      </c>
      <c r="C19" s="67">
        <f t="shared" si="19"/>
        <v>1</v>
      </c>
      <c r="D19" s="67">
        <f t="shared" si="19"/>
        <v>1</v>
      </c>
      <c r="E19" s="67">
        <f t="shared" si="19"/>
        <v>1</v>
      </c>
      <c r="F19" s="67">
        <f t="shared" ref="F19:V19" si="20">IF(F5=0,0,F5/F$3)</f>
        <v>1</v>
      </c>
      <c r="G19" s="67">
        <f t="shared" si="20"/>
        <v>1</v>
      </c>
      <c r="H19" s="67">
        <f t="shared" si="20"/>
        <v>1</v>
      </c>
      <c r="I19" s="67">
        <f t="shared" si="20"/>
        <v>1</v>
      </c>
      <c r="J19" s="67">
        <f t="shared" si="20"/>
        <v>1</v>
      </c>
      <c r="K19" s="67">
        <f t="shared" si="20"/>
        <v>1</v>
      </c>
      <c r="L19" s="67">
        <f t="shared" si="20"/>
        <v>1</v>
      </c>
      <c r="M19" s="67">
        <f t="shared" si="20"/>
        <v>1</v>
      </c>
      <c r="N19" s="67">
        <f t="shared" si="20"/>
        <v>1</v>
      </c>
      <c r="O19" s="67">
        <f t="shared" si="20"/>
        <v>1</v>
      </c>
      <c r="P19" s="67">
        <f t="shared" si="20"/>
        <v>1</v>
      </c>
      <c r="Q19" s="67">
        <f t="shared" si="20"/>
        <v>1</v>
      </c>
      <c r="R19" s="67">
        <f t="shared" si="20"/>
        <v>1</v>
      </c>
      <c r="S19" s="67">
        <f t="shared" si="20"/>
        <v>1</v>
      </c>
      <c r="T19" s="67">
        <f t="shared" si="20"/>
        <v>1</v>
      </c>
      <c r="U19" s="67">
        <f t="shared" si="20"/>
        <v>1</v>
      </c>
      <c r="V19" s="67">
        <f t="shared" si="20"/>
        <v>1</v>
      </c>
      <c r="W19" s="67">
        <f t="shared" ref="W19" si="21">IF(W5=0,0,W5/W$3)</f>
        <v>1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" si="27">IF(W8=0,0,W8/W$7)</f>
        <v>0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1</v>
      </c>
      <c r="C23" s="67">
        <f t="shared" si="28"/>
        <v>1</v>
      </c>
      <c r="D23" s="67">
        <f t="shared" si="28"/>
        <v>1</v>
      </c>
      <c r="E23" s="67">
        <f t="shared" si="28"/>
        <v>1</v>
      </c>
      <c r="F23" s="67">
        <f t="shared" ref="F23:V23" si="29">IF(F9=0,0,F9/F$7)</f>
        <v>1</v>
      </c>
      <c r="G23" s="67">
        <f t="shared" si="29"/>
        <v>1</v>
      </c>
      <c r="H23" s="67">
        <f t="shared" si="29"/>
        <v>1</v>
      </c>
      <c r="I23" s="67">
        <f t="shared" si="29"/>
        <v>1</v>
      </c>
      <c r="J23" s="67">
        <f t="shared" si="29"/>
        <v>1</v>
      </c>
      <c r="K23" s="67">
        <f t="shared" si="29"/>
        <v>1</v>
      </c>
      <c r="L23" s="67">
        <f t="shared" si="29"/>
        <v>1</v>
      </c>
      <c r="M23" s="67">
        <f t="shared" si="29"/>
        <v>1</v>
      </c>
      <c r="N23" s="67">
        <f t="shared" si="29"/>
        <v>1</v>
      </c>
      <c r="O23" s="67">
        <f t="shared" si="29"/>
        <v>1</v>
      </c>
      <c r="P23" s="67">
        <f t="shared" si="29"/>
        <v>1</v>
      </c>
      <c r="Q23" s="67">
        <f t="shared" si="29"/>
        <v>1</v>
      </c>
      <c r="R23" s="67">
        <f t="shared" si="29"/>
        <v>1</v>
      </c>
      <c r="S23" s="67">
        <f t="shared" si="29"/>
        <v>1</v>
      </c>
      <c r="T23" s="67">
        <f t="shared" si="29"/>
        <v>1</v>
      </c>
      <c r="U23" s="67">
        <f t="shared" si="29"/>
        <v>1</v>
      </c>
      <c r="V23" s="67">
        <f t="shared" si="29"/>
        <v>1</v>
      </c>
      <c r="W23" s="67">
        <f t="shared" ref="W23" si="30">IF(W9=0,0,W9/W$7)</f>
        <v>1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22.379000000000001</v>
      </c>
      <c r="C3" s="62">
        <f t="shared" ref="C3:V3" si="0">SUM(C4,C10)</f>
        <v>26.725999999999999</v>
      </c>
      <c r="D3" s="62">
        <f t="shared" si="0"/>
        <v>19.61403</v>
      </c>
      <c r="E3" s="62">
        <f t="shared" si="0"/>
        <v>11.430999999999999</v>
      </c>
      <c r="F3" s="62">
        <f t="shared" si="0"/>
        <v>16.100000000000001</v>
      </c>
      <c r="G3" s="62">
        <f t="shared" si="0"/>
        <v>18.353999999999999</v>
      </c>
      <c r="H3" s="62">
        <f t="shared" si="0"/>
        <v>10.465</v>
      </c>
      <c r="I3" s="62">
        <f t="shared" si="0"/>
        <v>14.651</v>
      </c>
      <c r="J3" s="62">
        <f t="shared" si="0"/>
        <v>19.641999999999999</v>
      </c>
      <c r="K3" s="62">
        <f t="shared" si="0"/>
        <v>12.236000000000001</v>
      </c>
      <c r="L3" s="62">
        <f t="shared" si="0"/>
        <v>16.100000000000001</v>
      </c>
      <c r="M3" s="62">
        <f t="shared" si="0"/>
        <v>16.3</v>
      </c>
      <c r="N3" s="62">
        <f t="shared" si="0"/>
        <v>16.137</v>
      </c>
      <c r="O3" s="62">
        <f t="shared" si="0"/>
        <v>15.974</v>
      </c>
      <c r="P3" s="62">
        <f t="shared" si="0"/>
        <v>15.811</v>
      </c>
      <c r="Q3" s="62">
        <f t="shared" si="0"/>
        <v>15.648</v>
      </c>
      <c r="R3" s="62">
        <f t="shared" si="0"/>
        <v>17.971</v>
      </c>
      <c r="S3" s="62">
        <f t="shared" si="0"/>
        <v>18.387</v>
      </c>
      <c r="T3" s="62">
        <f t="shared" si="0"/>
        <v>16.190999999999999</v>
      </c>
      <c r="U3" s="62">
        <f t="shared" si="0"/>
        <v>18.442</v>
      </c>
      <c r="V3" s="62">
        <f t="shared" si="0"/>
        <v>16.984000000000002</v>
      </c>
      <c r="W3" s="62">
        <f t="shared" ref="W3" si="1">SUM(W4,W10)</f>
        <v>16.984000000000002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" si="3">SUM(W5:W9)</f>
        <v>0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22.379000000000001</v>
      </c>
      <c r="C10" s="71">
        <f t="shared" ref="C10:V10" si="4">SUM(C11:C15)</f>
        <v>26.725999999999999</v>
      </c>
      <c r="D10" s="71">
        <f t="shared" si="4"/>
        <v>19.61403</v>
      </c>
      <c r="E10" s="71">
        <f t="shared" si="4"/>
        <v>11.430999999999999</v>
      </c>
      <c r="F10" s="71">
        <f t="shared" si="4"/>
        <v>16.100000000000001</v>
      </c>
      <c r="G10" s="71">
        <f t="shared" si="4"/>
        <v>18.353999999999999</v>
      </c>
      <c r="H10" s="71">
        <f t="shared" si="4"/>
        <v>10.465</v>
      </c>
      <c r="I10" s="71">
        <f t="shared" si="4"/>
        <v>14.651</v>
      </c>
      <c r="J10" s="71">
        <f t="shared" si="4"/>
        <v>19.641999999999999</v>
      </c>
      <c r="K10" s="71">
        <f t="shared" si="4"/>
        <v>12.236000000000001</v>
      </c>
      <c r="L10" s="71">
        <f t="shared" si="4"/>
        <v>16.100000000000001</v>
      </c>
      <c r="M10" s="71">
        <f t="shared" si="4"/>
        <v>16.3</v>
      </c>
      <c r="N10" s="71">
        <f t="shared" si="4"/>
        <v>16.137</v>
      </c>
      <c r="O10" s="71">
        <f t="shared" si="4"/>
        <v>15.974</v>
      </c>
      <c r="P10" s="71">
        <f t="shared" si="4"/>
        <v>15.811</v>
      </c>
      <c r="Q10" s="71">
        <f t="shared" si="4"/>
        <v>15.648</v>
      </c>
      <c r="R10" s="71">
        <f t="shared" si="4"/>
        <v>17.971</v>
      </c>
      <c r="S10" s="71">
        <f t="shared" si="4"/>
        <v>18.387</v>
      </c>
      <c r="T10" s="71">
        <f t="shared" si="4"/>
        <v>16.190999999999999</v>
      </c>
      <c r="U10" s="71">
        <f t="shared" si="4"/>
        <v>18.442</v>
      </c>
      <c r="V10" s="71">
        <f t="shared" si="4"/>
        <v>16.984000000000002</v>
      </c>
      <c r="W10" s="71">
        <f t="shared" ref="W10" si="5">SUM(W11:W15)</f>
        <v>16.984000000000002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22.379000000000001</v>
      </c>
      <c r="C11" s="73">
        <v>26.725999999999999</v>
      </c>
      <c r="D11" s="73">
        <v>19.61403</v>
      </c>
      <c r="E11" s="73">
        <v>11.430999999999999</v>
      </c>
      <c r="F11" s="73">
        <v>16.100000000000001</v>
      </c>
      <c r="G11" s="73">
        <v>18.353999999999999</v>
      </c>
      <c r="H11" s="73">
        <v>10.465</v>
      </c>
      <c r="I11" s="73">
        <v>14.651</v>
      </c>
      <c r="J11" s="73">
        <v>19.641999999999999</v>
      </c>
      <c r="K11" s="73">
        <v>12.236000000000001</v>
      </c>
      <c r="L11" s="73">
        <v>16.100000000000001</v>
      </c>
      <c r="M11" s="73">
        <v>16.3</v>
      </c>
      <c r="N11" s="73">
        <v>16.137</v>
      </c>
      <c r="O11" s="73">
        <v>15.974</v>
      </c>
      <c r="P11" s="73">
        <v>15.811</v>
      </c>
      <c r="Q11" s="73">
        <v>15.648</v>
      </c>
      <c r="R11" s="73">
        <v>17.971</v>
      </c>
      <c r="S11" s="73">
        <v>18.387</v>
      </c>
      <c r="T11" s="73">
        <v>16.190999999999999</v>
      </c>
      <c r="U11" s="73">
        <v>18.442</v>
      </c>
      <c r="V11" s="73">
        <v>16.984000000000002</v>
      </c>
      <c r="W11" s="73">
        <v>16.984000000000002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1369.5838433292533</v>
      </c>
      <c r="C19" s="62">
        <f>IF(C3=0,0,C3/TrNavi_act!C7*100)</f>
        <v>1761.7666446934741</v>
      </c>
      <c r="D19" s="62">
        <f>IF(D3=0,0,D3/TrNavi_act!D7*100)</f>
        <v>1943.9078295341926</v>
      </c>
      <c r="E19" s="62">
        <f>IF(E3=0,0,E3/TrNavi_act!E7*100)</f>
        <v>1589.847009735744</v>
      </c>
      <c r="F19" s="62">
        <f>IF(F3=0,0,F3/TrNavi_act!F7*100)</f>
        <v>1584.6456692913387</v>
      </c>
      <c r="G19" s="62">
        <f>IF(G3=0,0,G3/TrNavi_act!G7*100)</f>
        <v>1693.1734317343171</v>
      </c>
      <c r="H19" s="62">
        <f>IF(H3=0,0,H3/TrNavi_act!H7*100)</f>
        <v>1677.0833333333333</v>
      </c>
      <c r="I19" s="62">
        <f>IF(I3=0,0,I3/TrNavi_act!I7*100)</f>
        <v>1661.1111111111111</v>
      </c>
      <c r="J19" s="62">
        <f>IF(J3=0,0,J3/TrNavi_act!J7*100)</f>
        <v>1645.0586264656617</v>
      </c>
      <c r="K19" s="62">
        <f>IF(K3=0,0,K3/TrNavi_act!K7*100)</f>
        <v>1629.2942743009323</v>
      </c>
      <c r="L19" s="62">
        <f>IF(L3=0,0,L3/TrNavi_act!L7*100)</f>
        <v>1613.226452905812</v>
      </c>
      <c r="M19" s="62">
        <f>IF(M3=0,0,M3/TrNavi_act!M7*100)</f>
        <v>1598.0392156862745</v>
      </c>
      <c r="N19" s="62">
        <f>IF(N3=0,0,N3/TrNavi_act!N7*100)</f>
        <v>1583.6113837095195</v>
      </c>
      <c r="O19" s="62">
        <f>IF(O3=0,0,O3/TrNavi_act!O7*100)</f>
        <v>1567.6153091265949</v>
      </c>
      <c r="P19" s="62">
        <f>IF(P3=0,0,P3/TrNavi_act!P7*100)</f>
        <v>1553.1434184675834</v>
      </c>
      <c r="Q19" s="62">
        <f>IF(Q3=0,0,Q3/TrNavi_act!Q7*100)</f>
        <v>1538.6430678466079</v>
      </c>
      <c r="R19" s="62">
        <f>IF(R3=0,0,R3/TrNavi_act!R7*100)</f>
        <v>1493.8487115544472</v>
      </c>
      <c r="S19" s="62">
        <f>IF(S3=0,0,S3/TrNavi_act!S7*100)</f>
        <v>1486.4187550525464</v>
      </c>
      <c r="T19" s="62">
        <f>IF(T3=0,0,T3/TrNavi_act!T7*100)</f>
        <v>1527.4528301886792</v>
      </c>
      <c r="U19" s="62">
        <f>IF(U3=0,0,U3/TrNavi_act!U7*100)</f>
        <v>1484.8631239935589</v>
      </c>
      <c r="V19" s="62">
        <f>IF(V3=0,0,V3/TrNavi_act!V7*100)</f>
        <v>1511.0320284697509</v>
      </c>
      <c r="W19" s="62">
        <f>IF(W3=0,0,W3/TrNavi_act!W7*100)</f>
        <v>1507.0097604259097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1369.5838433292533</v>
      </c>
      <c r="C21" s="64">
        <f>IF(C10=0,0,C10/TrNavi_act!C9*100)</f>
        <v>1761.7666446934741</v>
      </c>
      <c r="D21" s="64">
        <f>IF(D10=0,0,D10/TrNavi_act!D9*100)</f>
        <v>1943.9078295341926</v>
      </c>
      <c r="E21" s="64">
        <f>IF(E10=0,0,E10/TrNavi_act!E9*100)</f>
        <v>1589.847009735744</v>
      </c>
      <c r="F21" s="64">
        <f>IF(F10=0,0,F10/TrNavi_act!F9*100)</f>
        <v>1584.6456692913387</v>
      </c>
      <c r="G21" s="64">
        <f>IF(G10=0,0,G10/TrNavi_act!G9*100)</f>
        <v>1693.1734317343171</v>
      </c>
      <c r="H21" s="64">
        <f>IF(H10=0,0,H10/TrNavi_act!H9*100)</f>
        <v>1677.0833333333333</v>
      </c>
      <c r="I21" s="64">
        <f>IF(I10=0,0,I10/TrNavi_act!I9*100)</f>
        <v>1661.1111111111111</v>
      </c>
      <c r="J21" s="64">
        <f>IF(J10=0,0,J10/TrNavi_act!J9*100)</f>
        <v>1645.0586264656617</v>
      </c>
      <c r="K21" s="64">
        <f>IF(K10=0,0,K10/TrNavi_act!K9*100)</f>
        <v>1629.2942743009323</v>
      </c>
      <c r="L21" s="64">
        <f>IF(L10=0,0,L10/TrNavi_act!L9*100)</f>
        <v>1613.226452905812</v>
      </c>
      <c r="M21" s="64">
        <f>IF(M10=0,0,M10/TrNavi_act!M9*100)</f>
        <v>1598.0392156862745</v>
      </c>
      <c r="N21" s="64">
        <f>IF(N10=0,0,N10/TrNavi_act!N9*100)</f>
        <v>1583.6113837095195</v>
      </c>
      <c r="O21" s="64">
        <f>IF(O10=0,0,O10/TrNavi_act!O9*100)</f>
        <v>1567.6153091265949</v>
      </c>
      <c r="P21" s="64">
        <f>IF(P10=0,0,P10/TrNavi_act!P9*100)</f>
        <v>1553.1434184675834</v>
      </c>
      <c r="Q21" s="64">
        <f>IF(Q10=0,0,Q10/TrNavi_act!Q9*100)</f>
        <v>1538.6430678466079</v>
      </c>
      <c r="R21" s="64">
        <f>IF(R10=0,0,R10/TrNavi_act!R9*100)</f>
        <v>1493.8487115544472</v>
      </c>
      <c r="S21" s="64">
        <f>IF(S10=0,0,S10/TrNavi_act!S9*100)</f>
        <v>1486.4187550525464</v>
      </c>
      <c r="T21" s="64">
        <f>IF(T10=0,0,T10/TrNavi_act!T9*100)</f>
        <v>1527.4528301886792</v>
      </c>
      <c r="U21" s="64">
        <f>IF(U10=0,0,U10/TrNavi_act!U9*100)</f>
        <v>1484.8631239935589</v>
      </c>
      <c r="V21" s="64">
        <f>IF(V10=0,0,V10/TrNavi_act!V9*100)</f>
        <v>1511.0320284697509</v>
      </c>
      <c r="W21" s="64">
        <f>IF(W10=0,0,W10/TrNavi_act!W9*100)</f>
        <v>1507.0097604259097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16.224896686725153</v>
      </c>
      <c r="C23" s="62">
        <f>IF(C3=0,0,C3/TrNavi_act!C3*1000)</f>
        <v>26.854903536977492</v>
      </c>
      <c r="D23" s="62">
        <f>IF(D3=0,0,D3/TrNavi_act!D3*1000)</f>
        <v>32.7064032016008</v>
      </c>
      <c r="E23" s="62">
        <f>IF(E3=0,0,E3/TrNavi_act!E3*1000)</f>
        <v>21.877511961722487</v>
      </c>
      <c r="F23" s="62">
        <f>IF(F3=0,0,F3/TrNavi_act!F3*1000)</f>
        <v>21.72739541160594</v>
      </c>
      <c r="G23" s="62">
        <f>IF(G3=0,0,G3/TrNavi_act!G3*1000)</f>
        <v>24.792651627718495</v>
      </c>
      <c r="H23" s="62">
        <f>IF(H3=0,0,H3/TrNavi_act!H3*1000)</f>
        <v>16.129778051787916</v>
      </c>
      <c r="I23" s="62">
        <f>IF(I3=0,0,I3/TrNavi_act!I3*1000)</f>
        <v>14.592629482071713</v>
      </c>
      <c r="J23" s="62">
        <f>IF(J3=0,0,J3/TrNavi_act!J3*1000)</f>
        <v>17.84014532243415</v>
      </c>
      <c r="K23" s="62">
        <f>IF(K3=0,0,K3/TrNavi_act!K3*1000)</f>
        <v>13.610678531701891</v>
      </c>
      <c r="L23" s="62">
        <f>IF(L3=0,0,L3/TrNavi_act!L3*1000)</f>
        <v>13.540790580319596</v>
      </c>
      <c r="M23" s="62">
        <f>IF(M3=0,0,M3/TrNavi_act!M3*1000)</f>
        <v>17.508055853920517</v>
      </c>
      <c r="N23" s="62">
        <f>IF(N3=0,0,N3/TrNavi_act!N3*1000)</f>
        <v>16.366125760649087</v>
      </c>
      <c r="O23" s="62">
        <f>IF(O3=0,0,O3/TrNavi_act!O3*1000)</f>
        <v>15.878727634194831</v>
      </c>
      <c r="P23" s="62">
        <f>IF(P3=0,0,P3/TrNavi_act!P3*1000)</f>
        <v>17.470718232044199</v>
      </c>
      <c r="Q23" s="62">
        <f>IF(Q3=0,0,Q3/TrNavi_act!Q3*1000)</f>
        <v>21.117408906882591</v>
      </c>
      <c r="R23" s="62">
        <f>IF(R3=0,0,R3/TrNavi_act!R3*1000)</f>
        <v>19.901439645625693</v>
      </c>
      <c r="S23" s="62">
        <f>IF(S3=0,0,S3/TrNavi_act!S3*1000)</f>
        <v>19.707395498392284</v>
      </c>
      <c r="T23" s="62">
        <f>IF(T3=0,0,T3/TrNavi_act!T3*1000)</f>
        <v>20.811053984575835</v>
      </c>
      <c r="U23" s="62">
        <f>IF(U3=0,0,U3/TrNavi_act!U3*1000)</f>
        <v>19.681963713980792</v>
      </c>
      <c r="V23" s="62">
        <f>IF(V3=0,0,V3/TrNavi_act!V3*1000)</f>
        <v>20.364508393285373</v>
      </c>
      <c r="W23" s="62">
        <f>IF(W3=0,0,W3/TrNavi_act!W3*1000)</f>
        <v>20.243146603098928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16.224896686725153</v>
      </c>
      <c r="C25" s="64">
        <f>IF(C10=0,0,C10/TrNavi_act!C5*1000)</f>
        <v>26.854903536977492</v>
      </c>
      <c r="D25" s="64">
        <f>IF(D10=0,0,D10/TrNavi_act!D5*1000)</f>
        <v>32.7064032016008</v>
      </c>
      <c r="E25" s="64">
        <f>IF(E10=0,0,E10/TrNavi_act!E5*1000)</f>
        <v>21.877511961722487</v>
      </c>
      <c r="F25" s="64">
        <f>IF(F10=0,0,F10/TrNavi_act!F5*1000)</f>
        <v>21.72739541160594</v>
      </c>
      <c r="G25" s="64">
        <f>IF(G10=0,0,G10/TrNavi_act!G5*1000)</f>
        <v>24.792651627718495</v>
      </c>
      <c r="H25" s="64">
        <f>IF(H10=0,0,H10/TrNavi_act!H5*1000)</f>
        <v>16.129778051787916</v>
      </c>
      <c r="I25" s="64">
        <f>IF(I10=0,0,I10/TrNavi_act!I5*1000)</f>
        <v>14.592629482071713</v>
      </c>
      <c r="J25" s="64">
        <f>IF(J10=0,0,J10/TrNavi_act!J5*1000)</f>
        <v>17.84014532243415</v>
      </c>
      <c r="K25" s="64">
        <f>IF(K10=0,0,K10/TrNavi_act!K5*1000)</f>
        <v>13.610678531701891</v>
      </c>
      <c r="L25" s="64">
        <f>IF(L10=0,0,L10/TrNavi_act!L5*1000)</f>
        <v>13.540790580319596</v>
      </c>
      <c r="M25" s="64">
        <f>IF(M10=0,0,M10/TrNavi_act!M5*1000)</f>
        <v>17.508055853920517</v>
      </c>
      <c r="N25" s="64">
        <f>IF(N10=0,0,N10/TrNavi_act!N5*1000)</f>
        <v>16.366125760649087</v>
      </c>
      <c r="O25" s="64">
        <f>IF(O10=0,0,O10/TrNavi_act!O5*1000)</f>
        <v>15.878727634194831</v>
      </c>
      <c r="P25" s="64">
        <f>IF(P10=0,0,P10/TrNavi_act!P5*1000)</f>
        <v>17.470718232044199</v>
      </c>
      <c r="Q25" s="64">
        <f>IF(Q10=0,0,Q10/TrNavi_act!Q5*1000)</f>
        <v>21.117408906882591</v>
      </c>
      <c r="R25" s="64">
        <f>IF(R10=0,0,R10/TrNavi_act!R5*1000)</f>
        <v>19.901439645625693</v>
      </c>
      <c r="S25" s="64">
        <f>IF(S10=0,0,S10/TrNavi_act!S5*1000)</f>
        <v>19.707395498392284</v>
      </c>
      <c r="T25" s="64">
        <f>IF(T10=0,0,T10/TrNavi_act!T5*1000)</f>
        <v>20.811053984575835</v>
      </c>
      <c r="U25" s="64">
        <f>IF(U10=0,0,U10/TrNavi_act!U5*1000)</f>
        <v>19.681963713980792</v>
      </c>
      <c r="V25" s="64">
        <f>IF(V10=0,0,V10/TrNavi_act!V5*1000)</f>
        <v>20.364508393285373</v>
      </c>
      <c r="W25" s="64">
        <f>IF(W10=0,0,W10/TrNavi_act!W5*1000)</f>
        <v>20.243146603098928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</v>
      </c>
      <c r="C28" s="77">
        <f t="shared" si="8"/>
        <v>0</v>
      </c>
      <c r="D28" s="77">
        <f t="shared" si="8"/>
        <v>0</v>
      </c>
      <c r="E28" s="77">
        <f t="shared" si="8"/>
        <v>0</v>
      </c>
      <c r="F28" s="77">
        <f t="shared" si="8"/>
        <v>0</v>
      </c>
      <c r="G28" s="77">
        <f t="shared" si="8"/>
        <v>0</v>
      </c>
      <c r="H28" s="77">
        <f t="shared" si="8"/>
        <v>0</v>
      </c>
      <c r="I28" s="77">
        <f t="shared" si="8"/>
        <v>0</v>
      </c>
      <c r="J28" s="77">
        <f t="shared" si="8"/>
        <v>0</v>
      </c>
      <c r="K28" s="77">
        <f t="shared" si="8"/>
        <v>0</v>
      </c>
      <c r="L28" s="77">
        <f t="shared" si="8"/>
        <v>0</v>
      </c>
      <c r="M28" s="77">
        <f t="shared" si="8"/>
        <v>0</v>
      </c>
      <c r="N28" s="77">
        <f t="shared" si="8"/>
        <v>0</v>
      </c>
      <c r="O28" s="77">
        <f t="shared" si="8"/>
        <v>0</v>
      </c>
      <c r="P28" s="77">
        <f t="shared" si="8"/>
        <v>0</v>
      </c>
      <c r="Q28" s="77">
        <f t="shared" si="8"/>
        <v>0</v>
      </c>
      <c r="R28" s="77">
        <f t="shared" si="8"/>
        <v>0</v>
      </c>
      <c r="S28" s="77">
        <f t="shared" si="8"/>
        <v>0</v>
      </c>
      <c r="T28" s="77">
        <f t="shared" si="8"/>
        <v>0</v>
      </c>
      <c r="U28" s="77">
        <f t="shared" si="8"/>
        <v>0</v>
      </c>
      <c r="V28" s="77">
        <f t="shared" ref="V28:W28" si="9">IF(V4=0,0,V4/V$3)</f>
        <v>0</v>
      </c>
      <c r="W28" s="77">
        <f t="shared" si="9"/>
        <v>0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1</v>
      </c>
      <c r="C29" s="78">
        <f t="shared" si="10"/>
        <v>1</v>
      </c>
      <c r="D29" s="78">
        <f t="shared" si="10"/>
        <v>1</v>
      </c>
      <c r="E29" s="78">
        <f t="shared" si="10"/>
        <v>1</v>
      </c>
      <c r="F29" s="78">
        <f t="shared" si="10"/>
        <v>1</v>
      </c>
      <c r="G29" s="78">
        <f t="shared" si="10"/>
        <v>1</v>
      </c>
      <c r="H29" s="78">
        <f t="shared" si="10"/>
        <v>1</v>
      </c>
      <c r="I29" s="78">
        <f t="shared" si="10"/>
        <v>1</v>
      </c>
      <c r="J29" s="78">
        <f t="shared" si="10"/>
        <v>1</v>
      </c>
      <c r="K29" s="78">
        <f t="shared" si="10"/>
        <v>1</v>
      </c>
      <c r="L29" s="78">
        <f t="shared" si="10"/>
        <v>1</v>
      </c>
      <c r="M29" s="78">
        <f t="shared" si="10"/>
        <v>1</v>
      </c>
      <c r="N29" s="78">
        <f t="shared" si="10"/>
        <v>1</v>
      </c>
      <c r="O29" s="78">
        <f t="shared" si="10"/>
        <v>1</v>
      </c>
      <c r="P29" s="78">
        <f t="shared" si="10"/>
        <v>1</v>
      </c>
      <c r="Q29" s="78">
        <f t="shared" si="10"/>
        <v>1</v>
      </c>
      <c r="R29" s="78">
        <f t="shared" si="10"/>
        <v>1</v>
      </c>
      <c r="S29" s="78">
        <f t="shared" si="10"/>
        <v>1</v>
      </c>
      <c r="T29" s="78">
        <f t="shared" si="10"/>
        <v>1</v>
      </c>
      <c r="U29" s="78">
        <f t="shared" si="10"/>
        <v>1</v>
      </c>
      <c r="V29" s="78">
        <f t="shared" ref="V29:W29" si="11">IF(V10=0,0,V10/V$3)</f>
        <v>1</v>
      </c>
      <c r="W29" s="78">
        <f t="shared" si="11"/>
        <v>1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69.429030325200003</v>
      </c>
      <c r="C3" s="54">
        <f t="shared" ref="C3:V3" si="1">SUM(C4:C5)</f>
        <v>82.9152448488</v>
      </c>
      <c r="D3" s="54">
        <f t="shared" si="1"/>
        <v>60.850935415763999</v>
      </c>
      <c r="E3" s="54">
        <f t="shared" si="1"/>
        <v>35.463749302799997</v>
      </c>
      <c r="F3" s="54">
        <f t="shared" si="1"/>
        <v>49.948942680000009</v>
      </c>
      <c r="G3" s="54">
        <f t="shared" si="1"/>
        <v>56.941794655199999</v>
      </c>
      <c r="H3" s="54">
        <f t="shared" si="1"/>
        <v>32.466812742000002</v>
      </c>
      <c r="I3" s="54">
        <f t="shared" si="1"/>
        <v>45.453537838800003</v>
      </c>
      <c r="J3" s="54">
        <f t="shared" si="1"/>
        <v>60.937710069600001</v>
      </c>
      <c r="K3" s="54">
        <f t="shared" si="1"/>
        <v>37.961196436800002</v>
      </c>
      <c r="L3" s="54">
        <f t="shared" si="1"/>
        <v>49.948942680000009</v>
      </c>
      <c r="M3" s="54">
        <f t="shared" si="1"/>
        <v>50.569426440000008</v>
      </c>
      <c r="N3" s="54">
        <f t="shared" si="1"/>
        <v>50.063732175600002</v>
      </c>
      <c r="O3" s="54">
        <f t="shared" si="1"/>
        <v>49.558037911200003</v>
      </c>
      <c r="P3" s="54">
        <f t="shared" si="1"/>
        <v>49.052343646800004</v>
      </c>
      <c r="Q3" s="54">
        <f t="shared" si="1"/>
        <v>48.546649382399998</v>
      </c>
      <c r="R3" s="54">
        <f t="shared" si="1"/>
        <v>55.753568254800001</v>
      </c>
      <c r="S3" s="54">
        <f t="shared" si="1"/>
        <v>57.044174475600002</v>
      </c>
      <c r="T3" s="54">
        <f t="shared" si="1"/>
        <v>50.231262790800002</v>
      </c>
      <c r="U3" s="54">
        <f t="shared" si="1"/>
        <v>57.2148075096</v>
      </c>
      <c r="V3" s="54">
        <f t="shared" si="1"/>
        <v>52.691480899200009</v>
      </c>
      <c r="W3" s="54">
        <f t="shared" ref="W3" si="2">SUM(W4:W5)</f>
        <v>52.691480899200009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69.429030325200003</v>
      </c>
      <c r="C5" s="58">
        <v>82.9152448488</v>
      </c>
      <c r="D5" s="58">
        <v>60.850935415763999</v>
      </c>
      <c r="E5" s="58">
        <v>35.463749302799997</v>
      </c>
      <c r="F5" s="58">
        <v>49.948942680000009</v>
      </c>
      <c r="G5" s="58">
        <v>56.941794655199999</v>
      </c>
      <c r="H5" s="58">
        <v>32.466812742000002</v>
      </c>
      <c r="I5" s="58">
        <v>45.453537838800003</v>
      </c>
      <c r="J5" s="58">
        <v>60.937710069600001</v>
      </c>
      <c r="K5" s="58">
        <v>37.961196436800002</v>
      </c>
      <c r="L5" s="58">
        <v>49.948942680000009</v>
      </c>
      <c r="M5" s="58">
        <v>50.569426440000008</v>
      </c>
      <c r="N5" s="58">
        <v>50.063732175600002</v>
      </c>
      <c r="O5" s="58">
        <v>49.558037911200003</v>
      </c>
      <c r="P5" s="58">
        <v>49.052343646800004</v>
      </c>
      <c r="Q5" s="58">
        <v>48.546649382399998</v>
      </c>
      <c r="R5" s="58">
        <v>55.753568254800001</v>
      </c>
      <c r="S5" s="58">
        <v>57.044174475600002</v>
      </c>
      <c r="T5" s="58">
        <v>50.231262790800002</v>
      </c>
      <c r="U5" s="58">
        <v>57.2148075096</v>
      </c>
      <c r="V5" s="58">
        <v>52.691480899200009</v>
      </c>
      <c r="W5" s="58">
        <v>52.691480899200009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3.1024188000000001</v>
      </c>
      <c r="C9" s="79">
        <f>IF(C3=0,0,C3/TrNavi_ene!C3)</f>
        <v>3.1024188000000001</v>
      </c>
      <c r="D9" s="79">
        <f>IF(D3=0,0,D3/TrNavi_ene!D3)</f>
        <v>3.1024188000000001</v>
      </c>
      <c r="E9" s="79">
        <f>IF(E3=0,0,E3/TrNavi_ene!E3)</f>
        <v>3.1024188000000001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3.1024188000000001</v>
      </c>
      <c r="J9" s="79">
        <f>IF(J3=0,0,J3/TrNavi_ene!J3)</f>
        <v>3.1024188000000001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3.1024188000000001</v>
      </c>
      <c r="O9" s="79">
        <f>IF(O3=0,0,O3/TrNavi_ene!O3)</f>
        <v>3.1024188000000001</v>
      </c>
      <c r="P9" s="79">
        <f>IF(P3=0,0,P3/TrNavi_ene!P3)</f>
        <v>3.1024188000000001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3.1024188000000001</v>
      </c>
      <c r="W9" s="79">
        <f>IF(W3=0,0,W3/TrNavi_ene!W3)</f>
        <v>3.1024188000000001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3.1024188000000001</v>
      </c>
      <c r="D11" s="81">
        <f>IF(D5=0,0,D5/TrNavi_ene!D10)</f>
        <v>3.1024188000000001</v>
      </c>
      <c r="E11" s="81">
        <f>IF(E5=0,0,E5/TrNavi_ene!E10)</f>
        <v>3.1024188000000001</v>
      </c>
      <c r="F11" s="81">
        <f>IF(F5=0,0,F5/TrNavi_ene!F10)</f>
        <v>3.1024188000000001</v>
      </c>
      <c r="G11" s="81">
        <f>IF(G5=0,0,G5/TrNavi_ene!G10)</f>
        <v>3.1024188000000001</v>
      </c>
      <c r="H11" s="81">
        <f>IF(H5=0,0,H5/TrNavi_ene!H10)</f>
        <v>3.1024188000000001</v>
      </c>
      <c r="I11" s="81">
        <f>IF(I5=0,0,I5/TrNavi_ene!I10)</f>
        <v>3.1024188000000001</v>
      </c>
      <c r="J11" s="81">
        <f>IF(J5=0,0,J5/TrNavi_ene!J10)</f>
        <v>3.1024188000000001</v>
      </c>
      <c r="K11" s="81">
        <f>IF(K5=0,0,K5/TrNavi_ene!K10)</f>
        <v>3.1024188000000001</v>
      </c>
      <c r="L11" s="81">
        <f>IF(L5=0,0,L5/TrNavi_ene!L10)</f>
        <v>3.1024188000000001</v>
      </c>
      <c r="M11" s="81">
        <f>IF(M5=0,0,M5/TrNavi_ene!M10)</f>
        <v>3.1024188000000001</v>
      </c>
      <c r="N11" s="81">
        <f>IF(N5=0,0,N5/TrNavi_ene!N10)</f>
        <v>3.1024188000000001</v>
      </c>
      <c r="O11" s="81">
        <f>IF(O5=0,0,O5/TrNavi_ene!O10)</f>
        <v>3.1024188000000001</v>
      </c>
      <c r="P11" s="81">
        <f>IF(P5=0,0,P5/TrNavi_ene!P10)</f>
        <v>3.1024188000000001</v>
      </c>
      <c r="Q11" s="81">
        <f>IF(Q5=0,0,Q5/TrNavi_ene!Q10)</f>
        <v>3.1024188000000001</v>
      </c>
      <c r="R11" s="81">
        <f>IF(R5=0,0,R5/TrNavi_ene!R10)</f>
        <v>3.1024188000000001</v>
      </c>
      <c r="S11" s="81">
        <f>IF(S5=0,0,S5/TrNavi_ene!S10)</f>
        <v>3.1024188000000001</v>
      </c>
      <c r="T11" s="81">
        <f>IF(T5=0,0,T5/TrNavi_ene!T10)</f>
        <v>3.1024188000000001</v>
      </c>
      <c r="U11" s="81">
        <f>IF(U5=0,0,U5/TrNavi_ene!U10)</f>
        <v>3.1024188000000001</v>
      </c>
      <c r="V11" s="81">
        <f>IF(V5=0,0,V5/TrNavi_ene!V10)</f>
        <v>3.1024188000000001</v>
      </c>
      <c r="W11" s="81">
        <f>IF(W5=0,0,W5/TrNavi_ene!W10)</f>
        <v>3.1024188000000001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42490.226637209307</v>
      </c>
      <c r="C13" s="54">
        <f>IF(C3=0,0,C3/TrNavi_act!C7*1000)</f>
        <v>54657.379597099542</v>
      </c>
      <c r="D13" s="54">
        <f>IF(D3=0,0,D3/TrNavi_act!D7*1000)</f>
        <v>60308.161958140736</v>
      </c>
      <c r="E13" s="54">
        <f>IF(E3=0,0,E3/TrNavi_act!E7*1000)</f>
        <v>49323.712521279551</v>
      </c>
      <c r="F13" s="54">
        <f>IF(F3=0,0,F3/TrNavi_act!F7*1000)</f>
        <v>49162.345157480326</v>
      </c>
      <c r="G13" s="54">
        <f>IF(G3=0,0,G3/TrNavi_act!G7*1000)</f>
        <v>52529.330862730625</v>
      </c>
      <c r="H13" s="54">
        <f>IF(H3=0,0,H3/TrNavi_act!H7*1000)</f>
        <v>52030.148625000002</v>
      </c>
      <c r="I13" s="54">
        <f>IF(I3=0,0,I3/TrNavi_act!I7*1000)</f>
        <v>51534.623400000004</v>
      </c>
      <c r="J13" s="54">
        <f>IF(J3=0,0,J3/TrNavi_act!J7*1000)</f>
        <v>51036.608098492463</v>
      </c>
      <c r="K13" s="54">
        <f>IF(K3=0,0,K3/TrNavi_act!K7*1000)</f>
        <v>50547.53187323569</v>
      </c>
      <c r="L13" s="54">
        <f>IF(L3=0,0,L3/TrNavi_act!L7*1000)</f>
        <v>50049.040761523051</v>
      </c>
      <c r="M13" s="54">
        <f>IF(M3=0,0,M3/TrNavi_act!M7*1000)</f>
        <v>49577.86905882354</v>
      </c>
      <c r="N13" s="54">
        <f>IF(N3=0,0,N3/TrNavi_act!N7*1000)</f>
        <v>49130.257287144268</v>
      </c>
      <c r="O13" s="54">
        <f>IF(O3=0,0,O3/TrNavi_act!O7*1000)</f>
        <v>48633.9920620216</v>
      </c>
      <c r="P13" s="54">
        <f>IF(P3=0,0,P3/TrNavi_act!P7*1000)</f>
        <v>48185.013405500991</v>
      </c>
      <c r="Q13" s="54">
        <f>IF(Q3=0,0,Q3/TrNavi_act!Q7*1000)</f>
        <v>47735.151801769913</v>
      </c>
      <c r="R13" s="54">
        <f>IF(R3=0,0,R3/TrNavi_act!R7*1000)</f>
        <v>46345.443270822943</v>
      </c>
      <c r="S13" s="54">
        <f>IF(S3=0,0,S3/TrNavi_act!S7*1000)</f>
        <v>46114.934903476147</v>
      </c>
      <c r="T13" s="54">
        <f>IF(T3=0,0,T3/TrNavi_act!T7*1000)</f>
        <v>47387.983764905664</v>
      </c>
      <c r="U13" s="54">
        <f>IF(U3=0,0,U3/TrNavi_act!U7*1000)</f>
        <v>46066.672713043481</v>
      </c>
      <c r="V13" s="54">
        <f>IF(V3=0,0,V3/TrNavi_act!V7*1000)</f>
        <v>46878.541725266907</v>
      </c>
      <c r="W13" s="54">
        <f>IF(W3=0,0,W3/TrNavi_act!W7*1000)</f>
        <v>46753.754125288382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42490.226637209307</v>
      </c>
      <c r="C15" s="58">
        <f>IF(C5=0,0,C5/TrNavi_act!C9*1000)</f>
        <v>54657.379597099542</v>
      </c>
      <c r="D15" s="58">
        <f>IF(D5=0,0,D5/TrNavi_act!D9*1000)</f>
        <v>60308.161958140736</v>
      </c>
      <c r="E15" s="58">
        <f>IF(E5=0,0,E5/TrNavi_act!E9*1000)</f>
        <v>49323.712521279551</v>
      </c>
      <c r="F15" s="58">
        <f>IF(F5=0,0,F5/TrNavi_act!F9*1000)</f>
        <v>49162.345157480326</v>
      </c>
      <c r="G15" s="58">
        <f>IF(G5=0,0,G5/TrNavi_act!G9*1000)</f>
        <v>52529.330862730625</v>
      </c>
      <c r="H15" s="58">
        <f>IF(H5=0,0,H5/TrNavi_act!H9*1000)</f>
        <v>52030.148625000002</v>
      </c>
      <c r="I15" s="58">
        <f>IF(I5=0,0,I5/TrNavi_act!I9*1000)</f>
        <v>51534.623400000004</v>
      </c>
      <c r="J15" s="58">
        <f>IF(J5=0,0,J5/TrNavi_act!J9*1000)</f>
        <v>51036.608098492463</v>
      </c>
      <c r="K15" s="58">
        <f>IF(K5=0,0,K5/TrNavi_act!K9*1000)</f>
        <v>50547.53187323569</v>
      </c>
      <c r="L15" s="58">
        <f>IF(L5=0,0,L5/TrNavi_act!L9*1000)</f>
        <v>50049.040761523051</v>
      </c>
      <c r="M15" s="58">
        <f>IF(M5=0,0,M5/TrNavi_act!M9*1000)</f>
        <v>49577.86905882354</v>
      </c>
      <c r="N15" s="58">
        <f>IF(N5=0,0,N5/TrNavi_act!N9*1000)</f>
        <v>49130.257287144268</v>
      </c>
      <c r="O15" s="58">
        <f>IF(O5=0,0,O5/TrNavi_act!O9*1000)</f>
        <v>48633.9920620216</v>
      </c>
      <c r="P15" s="58">
        <f>IF(P5=0,0,P5/TrNavi_act!P9*1000)</f>
        <v>48185.013405500991</v>
      </c>
      <c r="Q15" s="58">
        <f>IF(Q5=0,0,Q5/TrNavi_act!Q9*1000)</f>
        <v>47735.151801769913</v>
      </c>
      <c r="R15" s="58">
        <f>IF(R5=0,0,R5/TrNavi_act!R9*1000)</f>
        <v>46345.443270822943</v>
      </c>
      <c r="S15" s="58">
        <f>IF(S5=0,0,S5/TrNavi_act!S9*1000)</f>
        <v>46114.934903476147</v>
      </c>
      <c r="T15" s="58">
        <f>IF(T5=0,0,T5/TrNavi_act!T9*1000)</f>
        <v>47387.983764905664</v>
      </c>
      <c r="U15" s="58">
        <f>IF(U5=0,0,U5/TrNavi_act!U9*1000)</f>
        <v>46066.672713043481</v>
      </c>
      <c r="V15" s="58">
        <f>IF(V5=0,0,V5/TrNavi_act!V9*1000)</f>
        <v>46878.541725266907</v>
      </c>
      <c r="W15" s="58">
        <f>IF(W5=0,0,W5/TrNavi_act!W9*1000)</f>
        <v>46753.754125288382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50.336424508953819</v>
      </c>
      <c r="C17" s="62">
        <f>IF(C3=0,0,C3/TrNavi_act!C3*1000)</f>
        <v>83.315157605305473</v>
      </c>
      <c r="D17" s="62">
        <f>IF(D3=0,0,D3/TrNavi_act!D3*1000)</f>
        <v>101.4689601730265</v>
      </c>
      <c r="E17" s="62">
        <f>IF(E3=0,0,E3/TrNavi_act!E3*1000)</f>
        <v>67.873204407272723</v>
      </c>
      <c r="F17" s="62">
        <f>IF(F3=0,0,F3/TrNavi_act!F3*1000)</f>
        <v>67.407480000000007</v>
      </c>
      <c r="G17" s="62">
        <f>IF(G3=0,0,G3/TrNavi_act!G3*1000)</f>
        <v>76.917188511684458</v>
      </c>
      <c r="H17" s="62">
        <f>IF(H3=0,0,H3/TrNavi_act!H3*1000)</f>
        <v>50.0413266676942</v>
      </c>
      <c r="I17" s="62">
        <f>IF(I3=0,0,I3/TrNavi_act!I3*1000)</f>
        <v>45.272448046613547</v>
      </c>
      <c r="J17" s="62">
        <f>IF(J3=0,0,J3/TrNavi_act!J3*1000)</f>
        <v>55.347602243051767</v>
      </c>
      <c r="K17" s="62">
        <f>IF(K3=0,0,K3/TrNavi_act!K3*1000)</f>
        <v>42.226024957508344</v>
      </c>
      <c r="L17" s="62">
        <f>IF(L3=0,0,L3/TrNavi_act!L3*1000)</f>
        <v>42.009203263246434</v>
      </c>
      <c r="M17" s="62">
        <f>IF(M3=0,0,M3/TrNavi_act!M3*1000)</f>
        <v>54.317321632653069</v>
      </c>
      <c r="N17" s="62">
        <f>IF(N3=0,0,N3/TrNavi_act!N3*1000)</f>
        <v>50.774576243002031</v>
      </c>
      <c r="O17" s="62">
        <f>IF(O3=0,0,O3/TrNavi_act!O3*1000)</f>
        <v>49.262463132405571</v>
      </c>
      <c r="P17" s="62">
        <f>IF(P3=0,0,P3/TrNavi_act!P3*1000)</f>
        <v>54.201484692596686</v>
      </c>
      <c r="Q17" s="62">
        <f>IF(Q3=0,0,Q3/TrNavi_act!Q3*1000)</f>
        <v>65.515046400000003</v>
      </c>
      <c r="R17" s="62">
        <f>IF(R3=0,0,R3/TrNavi_act!R3*1000)</f>
        <v>61.742600503654486</v>
      </c>
      <c r="S17" s="62">
        <f>IF(S3=0,0,S3/TrNavi_act!S3*1000)</f>
        <v>61.140594293247595</v>
      </c>
      <c r="T17" s="62">
        <f>IF(T3=0,0,T3/TrNavi_act!T3*1000)</f>
        <v>64.564605129562977</v>
      </c>
      <c r="U17" s="62">
        <f>IF(U3=0,0,U3/TrNavi_act!U3*1000)</f>
        <v>61.061694247171822</v>
      </c>
      <c r="V17" s="62">
        <f>IF(V3=0,0,V3/TrNavi_act!V3*1000)</f>
        <v>63.179233692086349</v>
      </c>
      <c r="W17" s="62">
        <f>IF(W3=0,0,W3/TrNavi_act!W3*1000)</f>
        <v>62.802718592610262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50.336424508953819</v>
      </c>
      <c r="C19" s="64">
        <f>IF(C5=0,0,C5/TrNavi_act!C5*1000)</f>
        <v>83.315157605305473</v>
      </c>
      <c r="D19" s="64">
        <f>IF(D5=0,0,D5/TrNavi_act!D5*1000)</f>
        <v>101.4689601730265</v>
      </c>
      <c r="E19" s="64">
        <f>IF(E5=0,0,E5/TrNavi_act!E5*1000)</f>
        <v>67.873204407272723</v>
      </c>
      <c r="F19" s="64">
        <f>IF(F5=0,0,F5/TrNavi_act!F5*1000)</f>
        <v>67.407480000000007</v>
      </c>
      <c r="G19" s="64">
        <f>IF(G5=0,0,G5/TrNavi_act!G5*1000)</f>
        <v>76.917188511684458</v>
      </c>
      <c r="H19" s="64">
        <f>IF(H5=0,0,H5/TrNavi_act!H5*1000)</f>
        <v>50.0413266676942</v>
      </c>
      <c r="I19" s="64">
        <f>IF(I5=0,0,I5/TrNavi_act!I5*1000)</f>
        <v>45.272448046613547</v>
      </c>
      <c r="J19" s="64">
        <f>IF(J5=0,0,J5/TrNavi_act!J5*1000)</f>
        <v>55.347602243051767</v>
      </c>
      <c r="K19" s="64">
        <f>IF(K5=0,0,K5/TrNavi_act!K5*1000)</f>
        <v>42.226024957508344</v>
      </c>
      <c r="L19" s="64">
        <f>IF(L5=0,0,L5/TrNavi_act!L5*1000)</f>
        <v>42.009203263246434</v>
      </c>
      <c r="M19" s="64">
        <f>IF(M5=0,0,M5/TrNavi_act!M5*1000)</f>
        <v>54.317321632653069</v>
      </c>
      <c r="N19" s="64">
        <f>IF(N5=0,0,N5/TrNavi_act!N5*1000)</f>
        <v>50.774576243002031</v>
      </c>
      <c r="O19" s="64">
        <f>IF(O5=0,0,O5/TrNavi_act!O5*1000)</f>
        <v>49.262463132405571</v>
      </c>
      <c r="P19" s="64">
        <f>IF(P5=0,0,P5/TrNavi_act!P5*1000)</f>
        <v>54.201484692596686</v>
      </c>
      <c r="Q19" s="64">
        <f>IF(Q5=0,0,Q5/TrNavi_act!Q5*1000)</f>
        <v>65.515046400000003</v>
      </c>
      <c r="R19" s="64">
        <f>IF(R5=0,0,R5/TrNavi_act!R5*1000)</f>
        <v>61.742600503654486</v>
      </c>
      <c r="S19" s="64">
        <f>IF(S5=0,0,S5/TrNavi_act!S5*1000)</f>
        <v>61.140594293247595</v>
      </c>
      <c r="T19" s="64">
        <f>IF(T5=0,0,T5/TrNavi_act!T5*1000)</f>
        <v>64.564605129562977</v>
      </c>
      <c r="U19" s="64">
        <f>IF(U5=0,0,U5/TrNavi_act!U5*1000)</f>
        <v>61.061694247171822</v>
      </c>
      <c r="V19" s="64">
        <f>IF(V5=0,0,V5/TrNavi_act!V5*1000)</f>
        <v>63.179233692086349</v>
      </c>
      <c r="W19" s="64">
        <f>IF(W5=0,0,W5/TrNavi_act!W5*1000)</f>
        <v>62.802718592610262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</v>
      </c>
      <c r="C22" s="77">
        <f t="shared" si="5"/>
        <v>0</v>
      </c>
      <c r="D22" s="77">
        <f t="shared" si="5"/>
        <v>0</v>
      </c>
      <c r="E22" s="77">
        <f t="shared" si="5"/>
        <v>0</v>
      </c>
      <c r="F22" s="77">
        <f t="shared" si="5"/>
        <v>0</v>
      </c>
      <c r="G22" s="77">
        <f t="shared" si="5"/>
        <v>0</v>
      </c>
      <c r="H22" s="77">
        <f t="shared" si="5"/>
        <v>0</v>
      </c>
      <c r="I22" s="77">
        <f t="shared" si="5"/>
        <v>0</v>
      </c>
      <c r="J22" s="77">
        <f t="shared" si="5"/>
        <v>0</v>
      </c>
      <c r="K22" s="77">
        <f t="shared" si="5"/>
        <v>0</v>
      </c>
      <c r="L22" s="77">
        <f t="shared" si="5"/>
        <v>0</v>
      </c>
      <c r="M22" s="77">
        <f t="shared" si="5"/>
        <v>0</v>
      </c>
      <c r="N22" s="77">
        <f t="shared" si="5"/>
        <v>0</v>
      </c>
      <c r="O22" s="77">
        <f t="shared" si="5"/>
        <v>0</v>
      </c>
      <c r="P22" s="77">
        <f t="shared" si="5"/>
        <v>0</v>
      </c>
      <c r="Q22" s="77">
        <f t="shared" si="5"/>
        <v>0</v>
      </c>
      <c r="R22" s="77">
        <f t="shared" si="5"/>
        <v>0</v>
      </c>
      <c r="S22" s="77">
        <f t="shared" si="5"/>
        <v>0</v>
      </c>
      <c r="T22" s="77">
        <f t="shared" si="5"/>
        <v>0</v>
      </c>
      <c r="U22" s="77">
        <f t="shared" si="5"/>
        <v>0</v>
      </c>
      <c r="V22" s="77">
        <f t="shared" ref="V22:W22" si="6">IF(V4=0,0,V4/V$3)</f>
        <v>0</v>
      </c>
      <c r="W22" s="77">
        <f t="shared" si="6"/>
        <v>0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1</v>
      </c>
      <c r="C23" s="78">
        <f t="shared" si="7"/>
        <v>1</v>
      </c>
      <c r="D23" s="78">
        <f t="shared" si="7"/>
        <v>1</v>
      </c>
      <c r="E23" s="78">
        <f t="shared" si="7"/>
        <v>1</v>
      </c>
      <c r="F23" s="78">
        <f t="shared" si="7"/>
        <v>1</v>
      </c>
      <c r="G23" s="78">
        <f t="shared" si="7"/>
        <v>1</v>
      </c>
      <c r="H23" s="78">
        <f t="shared" si="7"/>
        <v>1</v>
      </c>
      <c r="I23" s="78">
        <f t="shared" si="7"/>
        <v>1</v>
      </c>
      <c r="J23" s="78">
        <f t="shared" si="7"/>
        <v>1</v>
      </c>
      <c r="K23" s="78">
        <f t="shared" si="7"/>
        <v>1</v>
      </c>
      <c r="L23" s="78">
        <f t="shared" si="7"/>
        <v>1</v>
      </c>
      <c r="M23" s="78">
        <f t="shared" si="7"/>
        <v>1</v>
      </c>
      <c r="N23" s="78">
        <f t="shared" si="7"/>
        <v>1</v>
      </c>
      <c r="O23" s="78">
        <f t="shared" si="7"/>
        <v>1</v>
      </c>
      <c r="P23" s="78">
        <f t="shared" si="7"/>
        <v>1</v>
      </c>
      <c r="Q23" s="78">
        <f t="shared" si="7"/>
        <v>1</v>
      </c>
      <c r="R23" s="78">
        <f t="shared" si="7"/>
        <v>1</v>
      </c>
      <c r="S23" s="78">
        <f t="shared" si="7"/>
        <v>1</v>
      </c>
      <c r="T23" s="78">
        <f t="shared" si="7"/>
        <v>1</v>
      </c>
      <c r="U23" s="78">
        <f t="shared" si="7"/>
        <v>1</v>
      </c>
      <c r="V23" s="78">
        <f t="shared" ref="V23:W23" si="8">IF(V5=0,0,V5/V$3)</f>
        <v>1</v>
      </c>
      <c r="W23" s="78">
        <f t="shared" si="8"/>
        <v>1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0</v>
      </c>
      <c r="J3" s="54">
        <f t="shared" si="0"/>
        <v>0</v>
      </c>
      <c r="K3" s="54">
        <f t="shared" si="0"/>
        <v>0</v>
      </c>
      <c r="L3" s="54">
        <f t="shared" si="0"/>
        <v>0</v>
      </c>
      <c r="M3" s="54">
        <f t="shared" si="0"/>
        <v>0</v>
      </c>
      <c r="N3" s="54">
        <f t="shared" si="0"/>
        <v>0</v>
      </c>
      <c r="O3" s="54">
        <f t="shared" si="0"/>
        <v>0</v>
      </c>
      <c r="P3" s="54">
        <f t="shared" si="0"/>
        <v>0</v>
      </c>
      <c r="Q3" s="54">
        <f t="shared" si="0"/>
        <v>0</v>
      </c>
      <c r="R3" s="54">
        <f t="shared" ref="R3:W3" si="1">SUM(R4:R5)</f>
        <v>0</v>
      </c>
      <c r="S3" s="54">
        <f t="shared" si="1"/>
        <v>0</v>
      </c>
      <c r="T3" s="54">
        <f t="shared" si="1"/>
        <v>0</v>
      </c>
      <c r="U3" s="54">
        <f t="shared" si="1"/>
        <v>0</v>
      </c>
      <c r="V3" s="54">
        <f t="shared" si="1"/>
        <v>0</v>
      </c>
      <c r="W3" s="54">
        <f t="shared" si="1"/>
        <v>0</v>
      </c>
      <c r="DA3" s="172" t="s">
        <v>387</v>
      </c>
    </row>
    <row r="4" spans="1:105" ht="11.45" customHeight="1" x14ac:dyDescent="0.25">
      <c r="A4" s="55" t="s">
        <v>170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DA4" s="181" t="s">
        <v>388</v>
      </c>
    </row>
    <row r="5" spans="1:105" ht="11.45" customHeight="1" x14ac:dyDescent="0.25">
      <c r="A5" s="57" t="s">
        <v>171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0</v>
      </c>
      <c r="C7" s="59">
        <f t="shared" si="2"/>
        <v>0</v>
      </c>
      <c r="D7" s="59">
        <f t="shared" si="2"/>
        <v>0</v>
      </c>
      <c r="E7" s="59">
        <f t="shared" si="2"/>
        <v>0</v>
      </c>
      <c r="F7" s="59">
        <f t="shared" si="2"/>
        <v>0</v>
      </c>
      <c r="G7" s="59">
        <f t="shared" si="2"/>
        <v>0</v>
      </c>
      <c r="H7" s="59">
        <f t="shared" si="2"/>
        <v>0</v>
      </c>
      <c r="I7" s="59">
        <f t="shared" si="2"/>
        <v>0</v>
      </c>
      <c r="J7" s="59">
        <f t="shared" si="2"/>
        <v>0</v>
      </c>
      <c r="K7" s="59">
        <f t="shared" si="2"/>
        <v>0</v>
      </c>
      <c r="L7" s="59">
        <f t="shared" si="2"/>
        <v>0</v>
      </c>
      <c r="M7" s="59">
        <f t="shared" si="2"/>
        <v>0</v>
      </c>
      <c r="N7" s="59">
        <f t="shared" si="2"/>
        <v>0</v>
      </c>
      <c r="O7" s="59">
        <f t="shared" si="2"/>
        <v>0</v>
      </c>
      <c r="P7" s="59">
        <f t="shared" si="2"/>
        <v>0</v>
      </c>
      <c r="Q7" s="59">
        <f t="shared" si="2"/>
        <v>0</v>
      </c>
      <c r="R7" s="59">
        <f t="shared" si="2"/>
        <v>0</v>
      </c>
      <c r="S7" s="59">
        <f t="shared" si="2"/>
        <v>0</v>
      </c>
      <c r="T7" s="59">
        <f t="shared" si="2"/>
        <v>0</v>
      </c>
      <c r="U7" s="59">
        <f t="shared" si="2"/>
        <v>0</v>
      </c>
      <c r="V7" s="59">
        <f t="shared" si="2"/>
        <v>0</v>
      </c>
      <c r="W7" s="59">
        <f t="shared" si="2"/>
        <v>0</v>
      </c>
      <c r="DA7" s="172" t="s">
        <v>961</v>
      </c>
    </row>
    <row r="8" spans="1:105" ht="11.45" customHeight="1" x14ac:dyDescent="0.25">
      <c r="A8" s="55" t="s">
        <v>170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DA8" s="181" t="s">
        <v>962</v>
      </c>
    </row>
    <row r="9" spans="1:105" ht="11.45" customHeight="1" x14ac:dyDescent="0.25">
      <c r="A9" s="57" t="s">
        <v>171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0</v>
      </c>
      <c r="C13" s="62">
        <f t="shared" si="3"/>
        <v>0</v>
      </c>
      <c r="D13" s="62">
        <f t="shared" si="3"/>
        <v>0</v>
      </c>
      <c r="E13" s="62">
        <f t="shared" si="3"/>
        <v>0</v>
      </c>
      <c r="F13" s="62">
        <f t="shared" si="3"/>
        <v>0</v>
      </c>
      <c r="G13" s="62">
        <f t="shared" si="3"/>
        <v>0</v>
      </c>
      <c r="H13" s="62">
        <f t="shared" si="3"/>
        <v>0</v>
      </c>
      <c r="I13" s="62">
        <f t="shared" si="3"/>
        <v>0</v>
      </c>
      <c r="J13" s="62">
        <f t="shared" si="3"/>
        <v>0</v>
      </c>
      <c r="K13" s="62">
        <f t="shared" si="3"/>
        <v>0</v>
      </c>
      <c r="L13" s="62">
        <f t="shared" si="3"/>
        <v>0</v>
      </c>
      <c r="M13" s="62">
        <f t="shared" si="3"/>
        <v>0</v>
      </c>
      <c r="N13" s="62">
        <f t="shared" si="3"/>
        <v>0</v>
      </c>
      <c r="O13" s="62">
        <f t="shared" si="3"/>
        <v>0</v>
      </c>
      <c r="P13" s="62">
        <f t="shared" si="3"/>
        <v>0</v>
      </c>
      <c r="Q13" s="62">
        <f t="shared" si="3"/>
        <v>0</v>
      </c>
      <c r="R13" s="62">
        <f t="shared" si="3"/>
        <v>0</v>
      </c>
      <c r="S13" s="62">
        <f t="shared" si="3"/>
        <v>0</v>
      </c>
      <c r="T13" s="62">
        <f t="shared" si="3"/>
        <v>0</v>
      </c>
      <c r="U13" s="62">
        <f t="shared" si="3"/>
        <v>0</v>
      </c>
      <c r="V13" s="62">
        <f t="shared" si="3"/>
        <v>0</v>
      </c>
      <c r="W13" s="62">
        <f t="shared" si="3"/>
        <v>0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0</v>
      </c>
      <c r="C14" s="63">
        <f t="shared" si="3"/>
        <v>0</v>
      </c>
      <c r="D14" s="63">
        <f t="shared" si="3"/>
        <v>0</v>
      </c>
      <c r="E14" s="63">
        <f t="shared" si="3"/>
        <v>0</v>
      </c>
      <c r="F14" s="63">
        <f t="shared" si="3"/>
        <v>0</v>
      </c>
      <c r="G14" s="63">
        <f t="shared" si="3"/>
        <v>0</v>
      </c>
      <c r="H14" s="63">
        <f t="shared" si="3"/>
        <v>0</v>
      </c>
      <c r="I14" s="63">
        <f t="shared" si="3"/>
        <v>0</v>
      </c>
      <c r="J14" s="63">
        <f t="shared" si="3"/>
        <v>0</v>
      </c>
      <c r="K14" s="63">
        <f t="shared" si="3"/>
        <v>0</v>
      </c>
      <c r="L14" s="63">
        <f t="shared" si="3"/>
        <v>0</v>
      </c>
      <c r="M14" s="63">
        <f t="shared" si="3"/>
        <v>0</v>
      </c>
      <c r="N14" s="63">
        <f t="shared" si="3"/>
        <v>0</v>
      </c>
      <c r="O14" s="63">
        <f t="shared" si="3"/>
        <v>0</v>
      </c>
      <c r="P14" s="63">
        <f t="shared" si="3"/>
        <v>0</v>
      </c>
      <c r="Q14" s="63">
        <f t="shared" si="3"/>
        <v>0</v>
      </c>
      <c r="R14" s="63">
        <f t="shared" si="3"/>
        <v>0</v>
      </c>
      <c r="S14" s="63">
        <f t="shared" si="3"/>
        <v>0</v>
      </c>
      <c r="T14" s="63">
        <f t="shared" si="3"/>
        <v>0</v>
      </c>
      <c r="U14" s="63">
        <f t="shared" si="3"/>
        <v>0</v>
      </c>
      <c r="V14" s="63">
        <f t="shared" si="3"/>
        <v>0</v>
      </c>
      <c r="W14" s="63">
        <f t="shared" si="3"/>
        <v>0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0</v>
      </c>
      <c r="C15" s="64">
        <f t="shared" si="3"/>
        <v>0</v>
      </c>
      <c r="D15" s="64">
        <f t="shared" si="3"/>
        <v>0</v>
      </c>
      <c r="E15" s="64">
        <f t="shared" si="3"/>
        <v>0</v>
      </c>
      <c r="F15" s="64">
        <f t="shared" si="3"/>
        <v>0</v>
      </c>
      <c r="G15" s="64">
        <f t="shared" si="3"/>
        <v>0</v>
      </c>
      <c r="H15" s="64">
        <f t="shared" si="3"/>
        <v>0</v>
      </c>
      <c r="I15" s="64">
        <f t="shared" si="3"/>
        <v>0</v>
      </c>
      <c r="J15" s="64">
        <f t="shared" si="3"/>
        <v>0</v>
      </c>
      <c r="K15" s="64">
        <f t="shared" si="3"/>
        <v>0</v>
      </c>
      <c r="L15" s="64">
        <f t="shared" si="3"/>
        <v>0</v>
      </c>
      <c r="M15" s="64">
        <f t="shared" si="3"/>
        <v>0</v>
      </c>
      <c r="N15" s="64">
        <f t="shared" si="3"/>
        <v>0</v>
      </c>
      <c r="O15" s="64">
        <f t="shared" si="3"/>
        <v>0</v>
      </c>
      <c r="P15" s="64">
        <f t="shared" si="3"/>
        <v>0</v>
      </c>
      <c r="Q15" s="64">
        <f t="shared" si="3"/>
        <v>0</v>
      </c>
      <c r="R15" s="64">
        <f t="shared" si="3"/>
        <v>0</v>
      </c>
      <c r="S15" s="64">
        <f t="shared" si="3"/>
        <v>0</v>
      </c>
      <c r="T15" s="64">
        <f t="shared" si="3"/>
        <v>0</v>
      </c>
      <c r="U15" s="64">
        <f t="shared" si="3"/>
        <v>0</v>
      </c>
      <c r="V15" s="64">
        <f t="shared" si="3"/>
        <v>0</v>
      </c>
      <c r="W15" s="64">
        <f t="shared" si="3"/>
        <v>0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0</v>
      </c>
      <c r="C17" s="65">
        <f t="shared" si="4"/>
        <v>0</v>
      </c>
      <c r="D17" s="65">
        <f t="shared" si="4"/>
        <v>0</v>
      </c>
      <c r="E17" s="65">
        <f t="shared" si="4"/>
        <v>0</v>
      </c>
      <c r="F17" s="65">
        <f t="shared" si="4"/>
        <v>0</v>
      </c>
      <c r="G17" s="65">
        <f t="shared" si="4"/>
        <v>0</v>
      </c>
      <c r="H17" s="65">
        <f t="shared" si="4"/>
        <v>0</v>
      </c>
      <c r="I17" s="65">
        <f t="shared" si="4"/>
        <v>0</v>
      </c>
      <c r="J17" s="65">
        <f t="shared" si="4"/>
        <v>0</v>
      </c>
      <c r="K17" s="65">
        <f t="shared" si="4"/>
        <v>0</v>
      </c>
      <c r="L17" s="65">
        <f t="shared" si="4"/>
        <v>0</v>
      </c>
      <c r="M17" s="65">
        <f t="shared" si="4"/>
        <v>0</v>
      </c>
      <c r="N17" s="65">
        <f t="shared" si="4"/>
        <v>0</v>
      </c>
      <c r="O17" s="65">
        <f t="shared" si="4"/>
        <v>0</v>
      </c>
      <c r="P17" s="65">
        <f t="shared" si="4"/>
        <v>0</v>
      </c>
      <c r="Q17" s="65">
        <f t="shared" si="4"/>
        <v>0</v>
      </c>
      <c r="R17" s="65">
        <f t="shared" si="4"/>
        <v>0</v>
      </c>
      <c r="S17" s="65">
        <f t="shared" si="4"/>
        <v>0</v>
      </c>
      <c r="T17" s="65">
        <f t="shared" si="4"/>
        <v>0</v>
      </c>
      <c r="U17" s="65">
        <f t="shared" si="4"/>
        <v>0</v>
      </c>
      <c r="V17" s="65">
        <f t="shared" si="4"/>
        <v>0</v>
      </c>
      <c r="W17" s="65">
        <f t="shared" si="4"/>
        <v>0</v>
      </c>
      <c r="DA17" s="172"/>
    </row>
    <row r="18" spans="1:105" ht="11.45" customHeight="1" x14ac:dyDescent="0.25">
      <c r="A18" s="55" t="s">
        <v>170</v>
      </c>
      <c r="B18" s="66">
        <f t="shared" si="4"/>
        <v>0</v>
      </c>
      <c r="C18" s="66">
        <f t="shared" si="4"/>
        <v>0</v>
      </c>
      <c r="D18" s="66">
        <f t="shared" si="4"/>
        <v>0</v>
      </c>
      <c r="E18" s="66">
        <f t="shared" si="4"/>
        <v>0</v>
      </c>
      <c r="F18" s="66">
        <f t="shared" si="4"/>
        <v>0</v>
      </c>
      <c r="G18" s="66">
        <f t="shared" si="4"/>
        <v>0</v>
      </c>
      <c r="H18" s="66">
        <f t="shared" si="4"/>
        <v>0</v>
      </c>
      <c r="I18" s="66">
        <f t="shared" si="4"/>
        <v>0</v>
      </c>
      <c r="J18" s="66">
        <f t="shared" si="4"/>
        <v>0</v>
      </c>
      <c r="K18" s="66">
        <f t="shared" si="4"/>
        <v>0</v>
      </c>
      <c r="L18" s="66">
        <f t="shared" si="4"/>
        <v>0</v>
      </c>
      <c r="M18" s="66">
        <f t="shared" si="4"/>
        <v>0</v>
      </c>
      <c r="N18" s="66">
        <f t="shared" si="4"/>
        <v>0</v>
      </c>
      <c r="O18" s="66">
        <f t="shared" si="4"/>
        <v>0</v>
      </c>
      <c r="P18" s="66">
        <f t="shared" si="4"/>
        <v>0</v>
      </c>
      <c r="Q18" s="66">
        <f t="shared" si="4"/>
        <v>0</v>
      </c>
      <c r="R18" s="66">
        <f t="shared" si="4"/>
        <v>0</v>
      </c>
      <c r="S18" s="66">
        <f t="shared" si="4"/>
        <v>0</v>
      </c>
      <c r="T18" s="66">
        <f t="shared" si="4"/>
        <v>0</v>
      </c>
      <c r="U18" s="66">
        <f t="shared" si="4"/>
        <v>0</v>
      </c>
      <c r="V18" s="66">
        <f t="shared" si="4"/>
        <v>0</v>
      </c>
      <c r="W18" s="66">
        <f t="shared" si="4"/>
        <v>0</v>
      </c>
      <c r="DA18" s="181"/>
    </row>
    <row r="19" spans="1:105" ht="11.45" customHeight="1" x14ac:dyDescent="0.25">
      <c r="A19" s="57" t="s">
        <v>171</v>
      </c>
      <c r="B19" s="67">
        <f t="shared" si="4"/>
        <v>0</v>
      </c>
      <c r="C19" s="67">
        <f t="shared" si="4"/>
        <v>0</v>
      </c>
      <c r="D19" s="67">
        <f t="shared" si="4"/>
        <v>0</v>
      </c>
      <c r="E19" s="67">
        <f t="shared" si="4"/>
        <v>0</v>
      </c>
      <c r="F19" s="67">
        <f t="shared" si="4"/>
        <v>0</v>
      </c>
      <c r="G19" s="67">
        <f t="shared" si="4"/>
        <v>0</v>
      </c>
      <c r="H19" s="67">
        <f t="shared" si="4"/>
        <v>0</v>
      </c>
      <c r="I19" s="67">
        <f t="shared" si="4"/>
        <v>0</v>
      </c>
      <c r="J19" s="67">
        <f t="shared" si="4"/>
        <v>0</v>
      </c>
      <c r="K19" s="67">
        <f t="shared" si="4"/>
        <v>0</v>
      </c>
      <c r="L19" s="67">
        <f t="shared" si="4"/>
        <v>0</v>
      </c>
      <c r="M19" s="67">
        <f t="shared" si="4"/>
        <v>0</v>
      </c>
      <c r="N19" s="67">
        <f t="shared" si="4"/>
        <v>0</v>
      </c>
      <c r="O19" s="67">
        <f t="shared" si="4"/>
        <v>0</v>
      </c>
      <c r="P19" s="67">
        <f t="shared" si="4"/>
        <v>0</v>
      </c>
      <c r="Q19" s="67">
        <f t="shared" si="4"/>
        <v>0</v>
      </c>
      <c r="R19" s="67">
        <f t="shared" si="4"/>
        <v>0</v>
      </c>
      <c r="S19" s="67">
        <f t="shared" si="4"/>
        <v>0</v>
      </c>
      <c r="T19" s="67">
        <f t="shared" si="4"/>
        <v>0</v>
      </c>
      <c r="U19" s="67">
        <f t="shared" si="4"/>
        <v>0</v>
      </c>
      <c r="V19" s="67">
        <f t="shared" si="4"/>
        <v>0</v>
      </c>
      <c r="W19" s="67">
        <f t="shared" si="4"/>
        <v>0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0</v>
      </c>
      <c r="C21" s="65">
        <f t="shared" si="5"/>
        <v>0</v>
      </c>
      <c r="D21" s="65">
        <f t="shared" si="5"/>
        <v>0</v>
      </c>
      <c r="E21" s="65">
        <f t="shared" si="5"/>
        <v>0</v>
      </c>
      <c r="F21" s="65">
        <f t="shared" si="5"/>
        <v>0</v>
      </c>
      <c r="G21" s="65">
        <f t="shared" si="5"/>
        <v>0</v>
      </c>
      <c r="H21" s="65">
        <f t="shared" si="5"/>
        <v>0</v>
      </c>
      <c r="I21" s="65">
        <f t="shared" si="5"/>
        <v>0</v>
      </c>
      <c r="J21" s="65">
        <f t="shared" si="5"/>
        <v>0</v>
      </c>
      <c r="K21" s="65">
        <f t="shared" si="5"/>
        <v>0</v>
      </c>
      <c r="L21" s="65">
        <f t="shared" si="5"/>
        <v>0</v>
      </c>
      <c r="M21" s="65">
        <f t="shared" si="5"/>
        <v>0</v>
      </c>
      <c r="N21" s="65">
        <f t="shared" si="5"/>
        <v>0</v>
      </c>
      <c r="O21" s="65">
        <f t="shared" si="5"/>
        <v>0</v>
      </c>
      <c r="P21" s="65">
        <f t="shared" si="5"/>
        <v>0</v>
      </c>
      <c r="Q21" s="65">
        <f t="shared" si="5"/>
        <v>0</v>
      </c>
      <c r="R21" s="65">
        <f t="shared" si="5"/>
        <v>0</v>
      </c>
      <c r="S21" s="65">
        <f t="shared" si="5"/>
        <v>0</v>
      </c>
      <c r="T21" s="65">
        <f t="shared" si="5"/>
        <v>0</v>
      </c>
      <c r="U21" s="65">
        <f t="shared" si="5"/>
        <v>0</v>
      </c>
      <c r="V21" s="65">
        <f t="shared" si="5"/>
        <v>0</v>
      </c>
      <c r="W21" s="65">
        <f t="shared" si="5"/>
        <v>0</v>
      </c>
      <c r="DA21" s="172"/>
    </row>
    <row r="22" spans="1:105" ht="11.45" customHeight="1" x14ac:dyDescent="0.25">
      <c r="A22" s="55" t="s">
        <v>170</v>
      </c>
      <c r="B22" s="66">
        <f t="shared" si="5"/>
        <v>0</v>
      </c>
      <c r="C22" s="66">
        <f t="shared" si="5"/>
        <v>0</v>
      </c>
      <c r="D22" s="66">
        <f t="shared" si="5"/>
        <v>0</v>
      </c>
      <c r="E22" s="66">
        <f t="shared" si="5"/>
        <v>0</v>
      </c>
      <c r="F22" s="66">
        <f t="shared" si="5"/>
        <v>0</v>
      </c>
      <c r="G22" s="66">
        <f t="shared" si="5"/>
        <v>0</v>
      </c>
      <c r="H22" s="66">
        <f t="shared" si="5"/>
        <v>0</v>
      </c>
      <c r="I22" s="66">
        <f t="shared" si="5"/>
        <v>0</v>
      </c>
      <c r="J22" s="66">
        <f t="shared" si="5"/>
        <v>0</v>
      </c>
      <c r="K22" s="66">
        <f t="shared" si="5"/>
        <v>0</v>
      </c>
      <c r="L22" s="66">
        <f t="shared" si="5"/>
        <v>0</v>
      </c>
      <c r="M22" s="66">
        <f t="shared" si="5"/>
        <v>0</v>
      </c>
      <c r="N22" s="66">
        <f t="shared" si="5"/>
        <v>0</v>
      </c>
      <c r="O22" s="66">
        <f t="shared" si="5"/>
        <v>0</v>
      </c>
      <c r="P22" s="66">
        <f t="shared" si="5"/>
        <v>0</v>
      </c>
      <c r="Q22" s="66">
        <f t="shared" si="5"/>
        <v>0</v>
      </c>
      <c r="R22" s="66">
        <f t="shared" si="5"/>
        <v>0</v>
      </c>
      <c r="S22" s="66">
        <f t="shared" si="5"/>
        <v>0</v>
      </c>
      <c r="T22" s="66">
        <f t="shared" si="5"/>
        <v>0</v>
      </c>
      <c r="U22" s="66">
        <f t="shared" si="5"/>
        <v>0</v>
      </c>
      <c r="V22" s="66">
        <f t="shared" si="5"/>
        <v>0</v>
      </c>
      <c r="W22" s="66">
        <f t="shared" si="5"/>
        <v>0</v>
      </c>
      <c r="DA22" s="181"/>
    </row>
    <row r="23" spans="1:105" ht="11.45" customHeight="1" x14ac:dyDescent="0.25">
      <c r="A23" s="57" t="s">
        <v>171</v>
      </c>
      <c r="B23" s="67">
        <f t="shared" si="5"/>
        <v>0</v>
      </c>
      <c r="C23" s="67">
        <f t="shared" si="5"/>
        <v>0</v>
      </c>
      <c r="D23" s="67">
        <f t="shared" si="5"/>
        <v>0</v>
      </c>
      <c r="E23" s="67">
        <f t="shared" si="5"/>
        <v>0</v>
      </c>
      <c r="F23" s="67">
        <f t="shared" si="5"/>
        <v>0</v>
      </c>
      <c r="G23" s="67">
        <f t="shared" si="5"/>
        <v>0</v>
      </c>
      <c r="H23" s="67">
        <f t="shared" si="5"/>
        <v>0</v>
      </c>
      <c r="I23" s="67">
        <f t="shared" si="5"/>
        <v>0</v>
      </c>
      <c r="J23" s="67">
        <f t="shared" si="5"/>
        <v>0</v>
      </c>
      <c r="K23" s="67">
        <f t="shared" si="5"/>
        <v>0</v>
      </c>
      <c r="L23" s="67">
        <f t="shared" si="5"/>
        <v>0</v>
      </c>
      <c r="M23" s="67">
        <f t="shared" si="5"/>
        <v>0</v>
      </c>
      <c r="N23" s="67">
        <f t="shared" si="5"/>
        <v>0</v>
      </c>
      <c r="O23" s="67">
        <f t="shared" si="5"/>
        <v>0</v>
      </c>
      <c r="P23" s="67">
        <f t="shared" si="5"/>
        <v>0</v>
      </c>
      <c r="Q23" s="67">
        <f t="shared" si="5"/>
        <v>0</v>
      </c>
      <c r="R23" s="67">
        <f t="shared" si="5"/>
        <v>0</v>
      </c>
      <c r="S23" s="67">
        <f t="shared" si="5"/>
        <v>0</v>
      </c>
      <c r="T23" s="67">
        <f t="shared" si="5"/>
        <v>0</v>
      </c>
      <c r="U23" s="67">
        <f t="shared" si="5"/>
        <v>0</v>
      </c>
      <c r="V23" s="67">
        <f t="shared" si="5"/>
        <v>0</v>
      </c>
      <c r="W23" s="67">
        <f t="shared" si="5"/>
        <v>0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0</v>
      </c>
      <c r="C3" s="62">
        <f t="shared" ref="C3:W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0</v>
      </c>
      <c r="J3" s="62">
        <f t="shared" si="0"/>
        <v>0</v>
      </c>
      <c r="K3" s="62">
        <f t="shared" si="0"/>
        <v>0</v>
      </c>
      <c r="L3" s="62">
        <f t="shared" si="0"/>
        <v>0</v>
      </c>
      <c r="M3" s="62">
        <f t="shared" si="0"/>
        <v>0</v>
      </c>
      <c r="N3" s="62">
        <f t="shared" si="0"/>
        <v>0</v>
      </c>
      <c r="O3" s="62">
        <f t="shared" si="0"/>
        <v>0</v>
      </c>
      <c r="P3" s="62">
        <f t="shared" si="0"/>
        <v>0</v>
      </c>
      <c r="Q3" s="62">
        <f t="shared" si="0"/>
        <v>0</v>
      </c>
      <c r="R3" s="62">
        <f t="shared" si="0"/>
        <v>0</v>
      </c>
      <c r="S3" s="62">
        <f t="shared" si="0"/>
        <v>0</v>
      </c>
      <c r="T3" s="62">
        <f t="shared" si="0"/>
        <v>0</v>
      </c>
      <c r="U3" s="62">
        <f t="shared" si="0"/>
        <v>0</v>
      </c>
      <c r="V3" s="62">
        <f t="shared" si="0"/>
        <v>0</v>
      </c>
      <c r="W3" s="62">
        <f t="shared" si="0"/>
        <v>0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0</v>
      </c>
      <c r="C4" s="71">
        <f t="shared" ref="C4:W4" si="1">SUM(C5:C9)</f>
        <v>0</v>
      </c>
      <c r="D4" s="71">
        <f t="shared" si="1"/>
        <v>0</v>
      </c>
      <c r="E4" s="71">
        <f t="shared" si="1"/>
        <v>0</v>
      </c>
      <c r="F4" s="71">
        <f t="shared" si="1"/>
        <v>0</v>
      </c>
      <c r="G4" s="71">
        <f t="shared" si="1"/>
        <v>0</v>
      </c>
      <c r="H4" s="71">
        <f t="shared" si="1"/>
        <v>0</v>
      </c>
      <c r="I4" s="71">
        <f t="shared" si="1"/>
        <v>0</v>
      </c>
      <c r="J4" s="71">
        <f t="shared" si="1"/>
        <v>0</v>
      </c>
      <c r="K4" s="71">
        <f t="shared" si="1"/>
        <v>0</v>
      </c>
      <c r="L4" s="71">
        <f t="shared" si="1"/>
        <v>0</v>
      </c>
      <c r="M4" s="71">
        <f t="shared" si="1"/>
        <v>0</v>
      </c>
      <c r="N4" s="71">
        <f t="shared" si="1"/>
        <v>0</v>
      </c>
      <c r="O4" s="71">
        <f t="shared" si="1"/>
        <v>0</v>
      </c>
      <c r="P4" s="71">
        <f t="shared" si="1"/>
        <v>0</v>
      </c>
      <c r="Q4" s="71">
        <f t="shared" si="1"/>
        <v>0</v>
      </c>
      <c r="R4" s="71">
        <f t="shared" si="1"/>
        <v>0</v>
      </c>
      <c r="S4" s="71">
        <f t="shared" si="1"/>
        <v>0</v>
      </c>
      <c r="T4" s="71">
        <f t="shared" si="1"/>
        <v>0</v>
      </c>
      <c r="U4" s="71">
        <f t="shared" si="1"/>
        <v>0</v>
      </c>
      <c r="V4" s="71">
        <f t="shared" si="1"/>
        <v>0</v>
      </c>
      <c r="W4" s="71">
        <f t="shared" si="1"/>
        <v>0</v>
      </c>
      <c r="DA4" s="186" t="s">
        <v>969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DA5" s="187" t="s">
        <v>970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0</v>
      </c>
      <c r="C10" s="71">
        <f t="shared" ref="C10:W10" si="2">SUM(C11:C15)</f>
        <v>0</v>
      </c>
      <c r="D10" s="71">
        <f t="shared" si="2"/>
        <v>0</v>
      </c>
      <c r="E10" s="71">
        <f t="shared" si="2"/>
        <v>0</v>
      </c>
      <c r="F10" s="71">
        <f t="shared" si="2"/>
        <v>0</v>
      </c>
      <c r="G10" s="71">
        <f t="shared" si="2"/>
        <v>0</v>
      </c>
      <c r="H10" s="71">
        <f t="shared" si="2"/>
        <v>0</v>
      </c>
      <c r="I10" s="71">
        <f t="shared" si="2"/>
        <v>0</v>
      </c>
      <c r="J10" s="71">
        <f t="shared" si="2"/>
        <v>0</v>
      </c>
      <c r="K10" s="71">
        <f t="shared" si="2"/>
        <v>0</v>
      </c>
      <c r="L10" s="71">
        <f t="shared" si="2"/>
        <v>0</v>
      </c>
      <c r="M10" s="71">
        <f t="shared" si="2"/>
        <v>0</v>
      </c>
      <c r="N10" s="71">
        <f t="shared" si="2"/>
        <v>0</v>
      </c>
      <c r="O10" s="71">
        <f t="shared" si="2"/>
        <v>0</v>
      </c>
      <c r="P10" s="71">
        <f t="shared" si="2"/>
        <v>0</v>
      </c>
      <c r="Q10" s="71">
        <f t="shared" si="2"/>
        <v>0</v>
      </c>
      <c r="R10" s="71">
        <f t="shared" si="2"/>
        <v>0</v>
      </c>
      <c r="S10" s="71">
        <f t="shared" si="2"/>
        <v>0</v>
      </c>
      <c r="T10" s="71">
        <f t="shared" si="2"/>
        <v>0</v>
      </c>
      <c r="U10" s="71">
        <f t="shared" si="2"/>
        <v>0</v>
      </c>
      <c r="V10" s="71">
        <f t="shared" si="2"/>
        <v>0</v>
      </c>
      <c r="W10" s="71">
        <f t="shared" si="2"/>
        <v>0</v>
      </c>
      <c r="DA10" s="186" t="s">
        <v>975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DA11" s="187" t="s">
        <v>976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0</v>
      </c>
      <c r="C19" s="62">
        <f>IF(C3=0,0,C3/MBunk_act!C7*100)</f>
        <v>0</v>
      </c>
      <c r="D19" s="62">
        <f>IF(D3=0,0,D3/MBunk_act!D7*100)</f>
        <v>0</v>
      </c>
      <c r="E19" s="62">
        <f>IF(E3=0,0,E3/MBunk_act!E7*100)</f>
        <v>0</v>
      </c>
      <c r="F19" s="62">
        <f>IF(F3=0,0,F3/MBunk_act!F7*100)</f>
        <v>0</v>
      </c>
      <c r="G19" s="62">
        <f>IF(G3=0,0,G3/MBunk_act!G7*100)</f>
        <v>0</v>
      </c>
      <c r="H19" s="62">
        <f>IF(H3=0,0,H3/MBunk_act!H7*100)</f>
        <v>0</v>
      </c>
      <c r="I19" s="62">
        <f>IF(I3=0,0,I3/MBunk_act!I7*100)</f>
        <v>0</v>
      </c>
      <c r="J19" s="62">
        <f>IF(J3=0,0,J3/MBunk_act!J7*100)</f>
        <v>0</v>
      </c>
      <c r="K19" s="62">
        <f>IF(K3=0,0,K3/MBunk_act!K7*100)</f>
        <v>0</v>
      </c>
      <c r="L19" s="62">
        <f>IF(L3=0,0,L3/MBunk_act!L7*100)</f>
        <v>0</v>
      </c>
      <c r="M19" s="62">
        <f>IF(M3=0,0,M3/MBunk_act!M7*100)</f>
        <v>0</v>
      </c>
      <c r="N19" s="62">
        <f>IF(N3=0,0,N3/MBunk_act!N7*100)</f>
        <v>0</v>
      </c>
      <c r="O19" s="62">
        <f>IF(O3=0,0,O3/MBunk_act!O7*100)</f>
        <v>0</v>
      </c>
      <c r="P19" s="62">
        <f>IF(P3=0,0,P3/MBunk_act!P7*100)</f>
        <v>0</v>
      </c>
      <c r="Q19" s="62">
        <f>IF(Q3=0,0,Q3/MBunk_act!Q7*100)</f>
        <v>0</v>
      </c>
      <c r="R19" s="62">
        <f>IF(R3=0,0,R3/MBunk_act!R7*100)</f>
        <v>0</v>
      </c>
      <c r="S19" s="62">
        <f>IF(S3=0,0,S3/MBunk_act!S7*100)</f>
        <v>0</v>
      </c>
      <c r="T19" s="62">
        <f>IF(T3=0,0,T3/MBunk_act!T7*100)</f>
        <v>0</v>
      </c>
      <c r="U19" s="62">
        <f>IF(U3=0,0,U3/MBunk_act!U7*100)</f>
        <v>0</v>
      </c>
      <c r="V19" s="62">
        <f>IF(V3=0,0,V3/MBunk_act!V7*100)</f>
        <v>0</v>
      </c>
      <c r="W19" s="62">
        <f>IF(W3=0,0,W3/MBunk_act!W7*100)</f>
        <v>0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0</v>
      </c>
      <c r="C20" s="63">
        <f>IF(C4=0,0,C4/MBunk_act!C8*100)</f>
        <v>0</v>
      </c>
      <c r="D20" s="63">
        <f>IF(D4=0,0,D4/MBunk_act!D8*100)</f>
        <v>0</v>
      </c>
      <c r="E20" s="63">
        <f>IF(E4=0,0,E4/MBunk_act!E8*100)</f>
        <v>0</v>
      </c>
      <c r="F20" s="63">
        <f>IF(F4=0,0,F4/MBunk_act!F8*100)</f>
        <v>0</v>
      </c>
      <c r="G20" s="63">
        <f>IF(G4=0,0,G4/MBunk_act!G8*100)</f>
        <v>0</v>
      </c>
      <c r="H20" s="63">
        <f>IF(H4=0,0,H4/MBunk_act!H8*100)</f>
        <v>0</v>
      </c>
      <c r="I20" s="63">
        <f>IF(I4=0,0,I4/MBunk_act!I8*100)</f>
        <v>0</v>
      </c>
      <c r="J20" s="63">
        <f>IF(J4=0,0,J4/MBunk_act!J8*100)</f>
        <v>0</v>
      </c>
      <c r="K20" s="63">
        <f>IF(K4=0,0,K4/MBunk_act!K8*100)</f>
        <v>0</v>
      </c>
      <c r="L20" s="63">
        <f>IF(L4=0,0,L4/MBunk_act!L8*100)</f>
        <v>0</v>
      </c>
      <c r="M20" s="63">
        <f>IF(M4=0,0,M4/MBunk_act!M8*100)</f>
        <v>0</v>
      </c>
      <c r="N20" s="63">
        <f>IF(N4=0,0,N4/MBunk_act!N8*100)</f>
        <v>0</v>
      </c>
      <c r="O20" s="63">
        <f>IF(O4=0,0,O4/MBunk_act!O8*100)</f>
        <v>0</v>
      </c>
      <c r="P20" s="63">
        <f>IF(P4=0,0,P4/MBunk_act!P8*100)</f>
        <v>0</v>
      </c>
      <c r="Q20" s="63">
        <f>IF(Q4=0,0,Q4/MBunk_act!Q8*100)</f>
        <v>0</v>
      </c>
      <c r="R20" s="63">
        <f>IF(R4=0,0,R4/MBunk_act!R8*100)</f>
        <v>0</v>
      </c>
      <c r="S20" s="63">
        <f>IF(S4=0,0,S4/MBunk_act!S8*100)</f>
        <v>0</v>
      </c>
      <c r="T20" s="63">
        <f>IF(T4=0,0,T4/MBunk_act!T8*100)</f>
        <v>0</v>
      </c>
      <c r="U20" s="63">
        <f>IF(U4=0,0,U4/MBunk_act!U8*100)</f>
        <v>0</v>
      </c>
      <c r="V20" s="63">
        <f>IF(V4=0,0,V4/MBunk_act!V8*100)</f>
        <v>0</v>
      </c>
      <c r="W20" s="63">
        <f>IF(W4=0,0,W4/MBunk_act!W8*100)</f>
        <v>0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0</v>
      </c>
      <c r="C21" s="64">
        <f>IF(C10=0,0,C10/MBunk_act!C9*100)</f>
        <v>0</v>
      </c>
      <c r="D21" s="64">
        <f>IF(D10=0,0,D10/MBunk_act!D9*100)</f>
        <v>0</v>
      </c>
      <c r="E21" s="64">
        <f>IF(E10=0,0,E10/MBunk_act!E9*100)</f>
        <v>0</v>
      </c>
      <c r="F21" s="64">
        <f>IF(F10=0,0,F10/MBunk_act!F9*100)</f>
        <v>0</v>
      </c>
      <c r="G21" s="64">
        <f>IF(G10=0,0,G10/MBunk_act!G9*100)</f>
        <v>0</v>
      </c>
      <c r="H21" s="64">
        <f>IF(H10=0,0,H10/MBunk_act!H9*100)</f>
        <v>0</v>
      </c>
      <c r="I21" s="64">
        <f>IF(I10=0,0,I10/MBunk_act!I9*100)</f>
        <v>0</v>
      </c>
      <c r="J21" s="64">
        <f>IF(J10=0,0,J10/MBunk_act!J9*100)</f>
        <v>0</v>
      </c>
      <c r="K21" s="64">
        <f>IF(K10=0,0,K10/MBunk_act!K9*100)</f>
        <v>0</v>
      </c>
      <c r="L21" s="64">
        <f>IF(L10=0,0,L10/MBunk_act!L9*100)</f>
        <v>0</v>
      </c>
      <c r="M21" s="64">
        <f>IF(M10=0,0,M10/MBunk_act!M9*100)</f>
        <v>0</v>
      </c>
      <c r="N21" s="64">
        <f>IF(N10=0,0,N10/MBunk_act!N9*100)</f>
        <v>0</v>
      </c>
      <c r="O21" s="64">
        <f>IF(O10=0,0,O10/MBunk_act!O9*100)</f>
        <v>0</v>
      </c>
      <c r="P21" s="64">
        <f>IF(P10=0,0,P10/MBunk_act!P9*100)</f>
        <v>0</v>
      </c>
      <c r="Q21" s="64">
        <f>IF(Q10=0,0,Q10/MBunk_act!Q9*100)</f>
        <v>0</v>
      </c>
      <c r="R21" s="64">
        <f>IF(R10=0,0,R10/MBunk_act!R9*100)</f>
        <v>0</v>
      </c>
      <c r="S21" s="64">
        <f>IF(S10=0,0,S10/MBunk_act!S9*100)</f>
        <v>0</v>
      </c>
      <c r="T21" s="64">
        <f>IF(T10=0,0,T10/MBunk_act!T9*100)</f>
        <v>0</v>
      </c>
      <c r="U21" s="64">
        <f>IF(U10=0,0,U10/MBunk_act!U9*100)</f>
        <v>0</v>
      </c>
      <c r="V21" s="64">
        <f>IF(V10=0,0,V10/MBunk_act!V9*100)</f>
        <v>0</v>
      </c>
      <c r="W21" s="64">
        <f>IF(W10=0,0,W10/MBunk_act!W9*100)</f>
        <v>0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0</v>
      </c>
      <c r="C23" s="62">
        <f>IF(C3=0,0,C3/MBunk_act!C3*1000)</f>
        <v>0</v>
      </c>
      <c r="D23" s="62">
        <f>IF(D3=0,0,D3/MBunk_act!D3*1000)</f>
        <v>0</v>
      </c>
      <c r="E23" s="62">
        <f>IF(E3=0,0,E3/MBunk_act!E3*1000)</f>
        <v>0</v>
      </c>
      <c r="F23" s="62">
        <f>IF(F3=0,0,F3/MBunk_act!F3*1000)</f>
        <v>0</v>
      </c>
      <c r="G23" s="62">
        <f>IF(G3=0,0,G3/MBunk_act!G3*1000)</f>
        <v>0</v>
      </c>
      <c r="H23" s="62">
        <f>IF(H3=0,0,H3/MBunk_act!H3*1000)</f>
        <v>0</v>
      </c>
      <c r="I23" s="62">
        <f>IF(I3=0,0,I3/MBunk_act!I3*1000)</f>
        <v>0</v>
      </c>
      <c r="J23" s="62">
        <f>IF(J3=0,0,J3/MBunk_act!J3*1000)</f>
        <v>0</v>
      </c>
      <c r="K23" s="62">
        <f>IF(K3=0,0,K3/MBunk_act!K3*1000)</f>
        <v>0</v>
      </c>
      <c r="L23" s="62">
        <f>IF(L3=0,0,L3/MBunk_act!L3*1000)</f>
        <v>0</v>
      </c>
      <c r="M23" s="62">
        <f>IF(M3=0,0,M3/MBunk_act!M3*1000)</f>
        <v>0</v>
      </c>
      <c r="N23" s="62">
        <f>IF(N3=0,0,N3/MBunk_act!N3*1000)</f>
        <v>0</v>
      </c>
      <c r="O23" s="62">
        <f>IF(O3=0,0,O3/MBunk_act!O3*1000)</f>
        <v>0</v>
      </c>
      <c r="P23" s="62">
        <f>IF(P3=0,0,P3/MBunk_act!P3*1000)</f>
        <v>0</v>
      </c>
      <c r="Q23" s="62">
        <f>IF(Q3=0,0,Q3/MBunk_act!Q3*1000)</f>
        <v>0</v>
      </c>
      <c r="R23" s="62">
        <f>IF(R3=0,0,R3/MBunk_act!R3*1000)</f>
        <v>0</v>
      </c>
      <c r="S23" s="62">
        <f>IF(S3=0,0,S3/MBunk_act!S3*1000)</f>
        <v>0</v>
      </c>
      <c r="T23" s="62">
        <f>IF(T3=0,0,T3/MBunk_act!T3*1000)</f>
        <v>0</v>
      </c>
      <c r="U23" s="62">
        <f>IF(U3=0,0,U3/MBunk_act!U3*1000)</f>
        <v>0</v>
      </c>
      <c r="V23" s="62">
        <f>IF(V3=0,0,V3/MBunk_act!V3*1000)</f>
        <v>0</v>
      </c>
      <c r="W23" s="62">
        <f>IF(W3=0,0,W3/MBunk_act!W3*1000)</f>
        <v>0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0</v>
      </c>
      <c r="C24" s="63">
        <f>IF(C4=0,0,C4/MBunk_act!C4*1000)</f>
        <v>0</v>
      </c>
      <c r="D24" s="63">
        <f>IF(D4=0,0,D4/MBunk_act!D4*1000)</f>
        <v>0</v>
      </c>
      <c r="E24" s="63">
        <f>IF(E4=0,0,E4/MBunk_act!E4*1000)</f>
        <v>0</v>
      </c>
      <c r="F24" s="63">
        <f>IF(F4=0,0,F4/MBunk_act!F4*1000)</f>
        <v>0</v>
      </c>
      <c r="G24" s="63">
        <f>IF(G4=0,0,G4/MBunk_act!G4*1000)</f>
        <v>0</v>
      </c>
      <c r="H24" s="63">
        <f>IF(H4=0,0,H4/MBunk_act!H4*1000)</f>
        <v>0</v>
      </c>
      <c r="I24" s="63">
        <f>IF(I4=0,0,I4/MBunk_act!I4*1000)</f>
        <v>0</v>
      </c>
      <c r="J24" s="63">
        <f>IF(J4=0,0,J4/MBunk_act!J4*1000)</f>
        <v>0</v>
      </c>
      <c r="K24" s="63">
        <f>IF(K4=0,0,K4/MBunk_act!K4*1000)</f>
        <v>0</v>
      </c>
      <c r="L24" s="63">
        <f>IF(L4=0,0,L4/MBunk_act!L4*1000)</f>
        <v>0</v>
      </c>
      <c r="M24" s="63">
        <f>IF(M4=0,0,M4/MBunk_act!M4*1000)</f>
        <v>0</v>
      </c>
      <c r="N24" s="63">
        <f>IF(N4=0,0,N4/MBunk_act!N4*1000)</f>
        <v>0</v>
      </c>
      <c r="O24" s="63">
        <f>IF(O4=0,0,O4/MBunk_act!O4*1000)</f>
        <v>0</v>
      </c>
      <c r="P24" s="63">
        <f>IF(P4=0,0,P4/MBunk_act!P4*1000)</f>
        <v>0</v>
      </c>
      <c r="Q24" s="63">
        <f>IF(Q4=0,0,Q4/MBunk_act!Q4*1000)</f>
        <v>0</v>
      </c>
      <c r="R24" s="63">
        <f>IF(R4=0,0,R4/MBunk_act!R4*1000)</f>
        <v>0</v>
      </c>
      <c r="S24" s="63">
        <f>IF(S4=0,0,S4/MBunk_act!S4*1000)</f>
        <v>0</v>
      </c>
      <c r="T24" s="63">
        <f>IF(T4=0,0,T4/MBunk_act!T4*1000)</f>
        <v>0</v>
      </c>
      <c r="U24" s="63">
        <f>IF(U4=0,0,U4/MBunk_act!U4*1000)</f>
        <v>0</v>
      </c>
      <c r="V24" s="63">
        <f>IF(V4=0,0,V4/MBunk_act!V4*1000)</f>
        <v>0</v>
      </c>
      <c r="W24" s="63">
        <f>IF(W4=0,0,W4/MBunk_act!W4*1000)</f>
        <v>0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0</v>
      </c>
      <c r="C25" s="64">
        <f>IF(C10=0,0,C10/MBunk_act!C5*1000)</f>
        <v>0</v>
      </c>
      <c r="D25" s="64">
        <f>IF(D10=0,0,D10/MBunk_act!D5*1000)</f>
        <v>0</v>
      </c>
      <c r="E25" s="64">
        <f>IF(E10=0,0,E10/MBunk_act!E5*1000)</f>
        <v>0</v>
      </c>
      <c r="F25" s="64">
        <f>IF(F10=0,0,F10/MBunk_act!F5*1000)</f>
        <v>0</v>
      </c>
      <c r="G25" s="64">
        <f>IF(G10=0,0,G10/MBunk_act!G5*1000)</f>
        <v>0</v>
      </c>
      <c r="H25" s="64">
        <f>IF(H10=0,0,H10/MBunk_act!H5*1000)</f>
        <v>0</v>
      </c>
      <c r="I25" s="64">
        <f>IF(I10=0,0,I10/MBunk_act!I5*1000)</f>
        <v>0</v>
      </c>
      <c r="J25" s="64">
        <f>IF(J10=0,0,J10/MBunk_act!J5*1000)</f>
        <v>0</v>
      </c>
      <c r="K25" s="64">
        <f>IF(K10=0,0,K10/MBunk_act!K5*1000)</f>
        <v>0</v>
      </c>
      <c r="L25" s="64">
        <f>IF(L10=0,0,L10/MBunk_act!L5*1000)</f>
        <v>0</v>
      </c>
      <c r="M25" s="64">
        <f>IF(M10=0,0,M10/MBunk_act!M5*1000)</f>
        <v>0</v>
      </c>
      <c r="N25" s="64">
        <f>IF(N10=0,0,N10/MBunk_act!N5*1000)</f>
        <v>0</v>
      </c>
      <c r="O25" s="64">
        <f>IF(O10=0,0,O10/MBunk_act!O5*1000)</f>
        <v>0</v>
      </c>
      <c r="P25" s="64">
        <f>IF(P10=0,0,P10/MBunk_act!P5*1000)</f>
        <v>0</v>
      </c>
      <c r="Q25" s="64">
        <f>IF(Q10=0,0,Q10/MBunk_act!Q5*1000)</f>
        <v>0</v>
      </c>
      <c r="R25" s="64">
        <f>IF(R10=0,0,R10/MBunk_act!R5*1000)</f>
        <v>0</v>
      </c>
      <c r="S25" s="64">
        <f>IF(S10=0,0,S10/MBunk_act!S5*1000)</f>
        <v>0</v>
      </c>
      <c r="T25" s="64">
        <f>IF(T10=0,0,T10/MBunk_act!T5*1000)</f>
        <v>0</v>
      </c>
      <c r="U25" s="64">
        <f>IF(U10=0,0,U10/MBunk_act!U5*1000)</f>
        <v>0</v>
      </c>
      <c r="V25" s="64">
        <f>IF(V10=0,0,V10/MBunk_act!V5*1000)</f>
        <v>0</v>
      </c>
      <c r="W25" s="64">
        <f>IF(W10=0,0,W10/MBunk_act!W5*1000)</f>
        <v>0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0</v>
      </c>
      <c r="C27" s="76">
        <f t="shared" ref="C27:W28" si="3">IF(C3=0,0,C3/C$3)</f>
        <v>0</v>
      </c>
      <c r="D27" s="76">
        <f t="shared" si="3"/>
        <v>0</v>
      </c>
      <c r="E27" s="76">
        <f t="shared" si="3"/>
        <v>0</v>
      </c>
      <c r="F27" s="76">
        <f t="shared" si="3"/>
        <v>0</v>
      </c>
      <c r="G27" s="76">
        <f t="shared" si="3"/>
        <v>0</v>
      </c>
      <c r="H27" s="76">
        <f t="shared" si="3"/>
        <v>0</v>
      </c>
      <c r="I27" s="76">
        <f t="shared" si="3"/>
        <v>0</v>
      </c>
      <c r="J27" s="76">
        <f t="shared" si="3"/>
        <v>0</v>
      </c>
      <c r="K27" s="76">
        <f t="shared" si="3"/>
        <v>0</v>
      </c>
      <c r="L27" s="76">
        <f t="shared" si="3"/>
        <v>0</v>
      </c>
      <c r="M27" s="76">
        <f t="shared" si="3"/>
        <v>0</v>
      </c>
      <c r="N27" s="76">
        <f t="shared" si="3"/>
        <v>0</v>
      </c>
      <c r="O27" s="76">
        <f t="shared" si="3"/>
        <v>0</v>
      </c>
      <c r="P27" s="76">
        <f t="shared" si="3"/>
        <v>0</v>
      </c>
      <c r="Q27" s="76">
        <f t="shared" si="3"/>
        <v>0</v>
      </c>
      <c r="R27" s="76">
        <f t="shared" si="3"/>
        <v>0</v>
      </c>
      <c r="S27" s="76">
        <f t="shared" si="3"/>
        <v>0</v>
      </c>
      <c r="T27" s="76">
        <f t="shared" si="3"/>
        <v>0</v>
      </c>
      <c r="U27" s="76">
        <f t="shared" si="3"/>
        <v>0</v>
      </c>
      <c r="V27" s="76">
        <f t="shared" si="3"/>
        <v>0</v>
      </c>
      <c r="W27" s="76">
        <f t="shared" si="3"/>
        <v>0</v>
      </c>
      <c r="DA27" s="183"/>
    </row>
    <row r="28" spans="1:105" ht="11.45" customHeight="1" x14ac:dyDescent="0.25">
      <c r="A28" s="55" t="s">
        <v>170</v>
      </c>
      <c r="B28" s="77">
        <f>IF(B4=0,0,B4/B$3)</f>
        <v>0</v>
      </c>
      <c r="C28" s="77">
        <f t="shared" si="3"/>
        <v>0</v>
      </c>
      <c r="D28" s="77">
        <f t="shared" si="3"/>
        <v>0</v>
      </c>
      <c r="E28" s="77">
        <f t="shared" si="3"/>
        <v>0</v>
      </c>
      <c r="F28" s="77">
        <f t="shared" si="3"/>
        <v>0</v>
      </c>
      <c r="G28" s="77">
        <f t="shared" si="3"/>
        <v>0</v>
      </c>
      <c r="H28" s="77">
        <f t="shared" si="3"/>
        <v>0</v>
      </c>
      <c r="I28" s="77">
        <f t="shared" si="3"/>
        <v>0</v>
      </c>
      <c r="J28" s="77">
        <f t="shared" si="3"/>
        <v>0</v>
      </c>
      <c r="K28" s="77">
        <f t="shared" si="3"/>
        <v>0</v>
      </c>
      <c r="L28" s="77">
        <f t="shared" si="3"/>
        <v>0</v>
      </c>
      <c r="M28" s="77">
        <f t="shared" si="3"/>
        <v>0</v>
      </c>
      <c r="N28" s="77">
        <f t="shared" si="3"/>
        <v>0</v>
      </c>
      <c r="O28" s="77">
        <f t="shared" si="3"/>
        <v>0</v>
      </c>
      <c r="P28" s="77">
        <f t="shared" si="3"/>
        <v>0</v>
      </c>
      <c r="Q28" s="77">
        <f t="shared" si="3"/>
        <v>0</v>
      </c>
      <c r="R28" s="77">
        <f t="shared" si="3"/>
        <v>0</v>
      </c>
      <c r="S28" s="77">
        <f t="shared" si="3"/>
        <v>0</v>
      </c>
      <c r="T28" s="77">
        <f t="shared" si="3"/>
        <v>0</v>
      </c>
      <c r="U28" s="77">
        <f t="shared" si="3"/>
        <v>0</v>
      </c>
      <c r="V28" s="77">
        <f t="shared" si="3"/>
        <v>0</v>
      </c>
      <c r="W28" s="77">
        <f t="shared" si="3"/>
        <v>0</v>
      </c>
      <c r="DA28" s="184"/>
    </row>
    <row r="29" spans="1:105" ht="11.45" customHeight="1" x14ac:dyDescent="0.25">
      <c r="A29" s="57" t="s">
        <v>171</v>
      </c>
      <c r="B29" s="78">
        <f>IF(B10=0,0,B10/B$3)</f>
        <v>0</v>
      </c>
      <c r="C29" s="78">
        <f t="shared" ref="C29:W29" si="4">IF(C10=0,0,C10/C$3)</f>
        <v>0</v>
      </c>
      <c r="D29" s="78">
        <f t="shared" si="4"/>
        <v>0</v>
      </c>
      <c r="E29" s="78">
        <f t="shared" si="4"/>
        <v>0</v>
      </c>
      <c r="F29" s="78">
        <f t="shared" si="4"/>
        <v>0</v>
      </c>
      <c r="G29" s="78">
        <f t="shared" si="4"/>
        <v>0</v>
      </c>
      <c r="H29" s="78">
        <f t="shared" si="4"/>
        <v>0</v>
      </c>
      <c r="I29" s="78">
        <f t="shared" si="4"/>
        <v>0</v>
      </c>
      <c r="J29" s="78">
        <f t="shared" si="4"/>
        <v>0</v>
      </c>
      <c r="K29" s="78">
        <f t="shared" si="4"/>
        <v>0</v>
      </c>
      <c r="L29" s="78">
        <f t="shared" si="4"/>
        <v>0</v>
      </c>
      <c r="M29" s="78">
        <f t="shared" si="4"/>
        <v>0</v>
      </c>
      <c r="N29" s="78">
        <f t="shared" si="4"/>
        <v>0</v>
      </c>
      <c r="O29" s="78">
        <f t="shared" si="4"/>
        <v>0</v>
      </c>
      <c r="P29" s="78">
        <f t="shared" si="4"/>
        <v>0</v>
      </c>
      <c r="Q29" s="78">
        <f t="shared" si="4"/>
        <v>0</v>
      </c>
      <c r="R29" s="78">
        <f t="shared" si="4"/>
        <v>0</v>
      </c>
      <c r="S29" s="78">
        <f t="shared" si="4"/>
        <v>0</v>
      </c>
      <c r="T29" s="78">
        <f t="shared" si="4"/>
        <v>0</v>
      </c>
      <c r="U29" s="78">
        <f t="shared" si="4"/>
        <v>0</v>
      </c>
      <c r="V29" s="78">
        <f t="shared" si="4"/>
        <v>0</v>
      </c>
      <c r="W29" s="78">
        <f t="shared" si="4"/>
        <v>0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0</v>
      </c>
      <c r="C3" s="62">
        <f t="shared" ref="C3:W3" si="1">SUM(C4:C5)</f>
        <v>0</v>
      </c>
      <c r="D3" s="62">
        <f t="shared" si="1"/>
        <v>0</v>
      </c>
      <c r="E3" s="62">
        <f t="shared" si="1"/>
        <v>0</v>
      </c>
      <c r="F3" s="62">
        <f t="shared" si="1"/>
        <v>0</v>
      </c>
      <c r="G3" s="62">
        <f t="shared" si="1"/>
        <v>0</v>
      </c>
      <c r="H3" s="62">
        <f t="shared" si="1"/>
        <v>0</v>
      </c>
      <c r="I3" s="62">
        <f t="shared" si="1"/>
        <v>0</v>
      </c>
      <c r="J3" s="62">
        <f t="shared" si="1"/>
        <v>0</v>
      </c>
      <c r="K3" s="62">
        <f t="shared" si="1"/>
        <v>0</v>
      </c>
      <c r="L3" s="62">
        <f t="shared" si="1"/>
        <v>0</v>
      </c>
      <c r="M3" s="62">
        <f t="shared" si="1"/>
        <v>0</v>
      </c>
      <c r="N3" s="62">
        <f t="shared" si="1"/>
        <v>0</v>
      </c>
      <c r="O3" s="62">
        <f t="shared" si="1"/>
        <v>0</v>
      </c>
      <c r="P3" s="62">
        <f t="shared" si="1"/>
        <v>0</v>
      </c>
      <c r="Q3" s="62">
        <f t="shared" si="1"/>
        <v>0</v>
      </c>
      <c r="R3" s="62">
        <f t="shared" si="1"/>
        <v>0</v>
      </c>
      <c r="S3" s="62">
        <f t="shared" si="1"/>
        <v>0</v>
      </c>
      <c r="T3" s="62">
        <f t="shared" si="1"/>
        <v>0</v>
      </c>
      <c r="U3" s="62">
        <f t="shared" si="1"/>
        <v>0</v>
      </c>
      <c r="V3" s="62">
        <f t="shared" si="1"/>
        <v>0</v>
      </c>
      <c r="W3" s="62">
        <f t="shared" si="1"/>
        <v>0</v>
      </c>
      <c r="DA3" s="172" t="s">
        <v>985</v>
      </c>
    </row>
    <row r="4" spans="1:105" ht="11.45" customHeight="1" x14ac:dyDescent="0.25">
      <c r="A4" s="55" t="s">
        <v>170</v>
      </c>
      <c r="B4" s="63">
        <v>0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3">
        <v>0</v>
      </c>
      <c r="V4" s="63">
        <v>0</v>
      </c>
      <c r="W4" s="63">
        <v>0</v>
      </c>
      <c r="DA4" s="181" t="s">
        <v>986</v>
      </c>
    </row>
    <row r="5" spans="1:105" ht="11.45" customHeight="1" x14ac:dyDescent="0.25">
      <c r="A5" s="57" t="s">
        <v>171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0</v>
      </c>
      <c r="C9" s="79">
        <f>IF(C3=0,0,C3/MBunk_ene!C3)</f>
        <v>0</v>
      </c>
      <c r="D9" s="79">
        <f>IF(D3=0,0,D3/MBunk_ene!D3)</f>
        <v>0</v>
      </c>
      <c r="E9" s="79">
        <f>IF(E3=0,0,E3/MBunk_ene!E3)</f>
        <v>0</v>
      </c>
      <c r="F9" s="79">
        <f>IF(F3=0,0,F3/MBunk_ene!F3)</f>
        <v>0</v>
      </c>
      <c r="G9" s="79">
        <f>IF(G3=0,0,G3/MBunk_ene!G3)</f>
        <v>0</v>
      </c>
      <c r="H9" s="79">
        <f>IF(H3=0,0,H3/MBunk_ene!H3)</f>
        <v>0</v>
      </c>
      <c r="I9" s="79">
        <f>IF(I3=0,0,I3/MBunk_ene!I3)</f>
        <v>0</v>
      </c>
      <c r="J9" s="79">
        <f>IF(J3=0,0,J3/MBunk_ene!J3)</f>
        <v>0</v>
      </c>
      <c r="K9" s="79">
        <f>IF(K3=0,0,K3/MBunk_ene!K3)</f>
        <v>0</v>
      </c>
      <c r="L9" s="79">
        <f>IF(L3=0,0,L3/MBunk_ene!L3)</f>
        <v>0</v>
      </c>
      <c r="M9" s="79">
        <f>IF(M3=0,0,M3/MBunk_ene!M3)</f>
        <v>0</v>
      </c>
      <c r="N9" s="79">
        <f>IF(N3=0,0,N3/MBunk_ene!N3)</f>
        <v>0</v>
      </c>
      <c r="O9" s="79">
        <f>IF(O3=0,0,O3/MBunk_ene!O3)</f>
        <v>0</v>
      </c>
      <c r="P9" s="79">
        <f>IF(P3=0,0,P3/MBunk_ene!P3)</f>
        <v>0</v>
      </c>
      <c r="Q9" s="79">
        <f>IF(Q3=0,0,Q3/MBunk_ene!Q3)</f>
        <v>0</v>
      </c>
      <c r="R9" s="79">
        <f>IF(R3=0,0,R3/MBunk_ene!R3)</f>
        <v>0</v>
      </c>
      <c r="S9" s="79">
        <f>IF(S3=0,0,S3/MBunk_ene!S3)</f>
        <v>0</v>
      </c>
      <c r="T9" s="79">
        <f>IF(T3=0,0,T3/MBunk_ene!T3)</f>
        <v>0</v>
      </c>
      <c r="U9" s="79">
        <f>IF(U3=0,0,U3/MBunk_ene!U3)</f>
        <v>0</v>
      </c>
      <c r="V9" s="79">
        <f>IF(V3=0,0,V3/MBunk_ene!V3)</f>
        <v>0</v>
      </c>
      <c r="W9" s="79">
        <f>IF(W3=0,0,W3/MBunk_ene!W3)</f>
        <v>0</v>
      </c>
      <c r="DA9" s="172"/>
    </row>
    <row r="10" spans="1:105" ht="11.45" customHeight="1" x14ac:dyDescent="0.25">
      <c r="A10" s="55" t="s">
        <v>170</v>
      </c>
      <c r="B10" s="80">
        <f>IF(B4=0,0,B4/MBunk_ene!B4)</f>
        <v>0</v>
      </c>
      <c r="C10" s="80">
        <f>IF(C4=0,0,C4/MBunk_ene!C4)</f>
        <v>0</v>
      </c>
      <c r="D10" s="80">
        <f>IF(D4=0,0,D4/MBunk_ene!D4)</f>
        <v>0</v>
      </c>
      <c r="E10" s="80">
        <f>IF(E4=0,0,E4/MBunk_ene!E4)</f>
        <v>0</v>
      </c>
      <c r="F10" s="80">
        <f>IF(F4=0,0,F4/MBunk_ene!F4)</f>
        <v>0</v>
      </c>
      <c r="G10" s="80">
        <f>IF(G4=0,0,G4/MBunk_ene!G4)</f>
        <v>0</v>
      </c>
      <c r="H10" s="80">
        <f>IF(H4=0,0,H4/MBunk_ene!H4)</f>
        <v>0</v>
      </c>
      <c r="I10" s="80">
        <f>IF(I4=0,0,I4/MBunk_ene!I4)</f>
        <v>0</v>
      </c>
      <c r="J10" s="80">
        <f>IF(J4=0,0,J4/MBunk_ene!J4)</f>
        <v>0</v>
      </c>
      <c r="K10" s="80">
        <f>IF(K4=0,0,K4/MBunk_ene!K4)</f>
        <v>0</v>
      </c>
      <c r="L10" s="80">
        <f>IF(L4=0,0,L4/MBunk_ene!L4)</f>
        <v>0</v>
      </c>
      <c r="M10" s="80">
        <f>IF(M4=0,0,M4/MBunk_ene!M4)</f>
        <v>0</v>
      </c>
      <c r="N10" s="80">
        <f>IF(N4=0,0,N4/MBunk_ene!N4)</f>
        <v>0</v>
      </c>
      <c r="O10" s="80">
        <f>IF(O4=0,0,O4/MBunk_ene!O4)</f>
        <v>0</v>
      </c>
      <c r="P10" s="80">
        <f>IF(P4=0,0,P4/MBunk_ene!P4)</f>
        <v>0</v>
      </c>
      <c r="Q10" s="80">
        <f>IF(Q4=0,0,Q4/MBunk_ene!Q4)</f>
        <v>0</v>
      </c>
      <c r="R10" s="80">
        <f>IF(R4=0,0,R4/MBunk_ene!R4)</f>
        <v>0</v>
      </c>
      <c r="S10" s="80">
        <f>IF(S4=0,0,S4/MBunk_ene!S4)</f>
        <v>0</v>
      </c>
      <c r="T10" s="80">
        <f>IF(T4=0,0,T4/MBunk_ene!T4)</f>
        <v>0</v>
      </c>
      <c r="U10" s="80">
        <f>IF(U4=0,0,U4/MBunk_ene!U4)</f>
        <v>0</v>
      </c>
      <c r="V10" s="80">
        <f>IF(V4=0,0,V4/MBunk_ene!V4)</f>
        <v>0</v>
      </c>
      <c r="W10" s="80">
        <f>IF(W4=0,0,W4/MBunk_ene!W4)</f>
        <v>0</v>
      </c>
      <c r="DA10" s="181"/>
    </row>
    <row r="11" spans="1:105" ht="11.45" customHeight="1" x14ac:dyDescent="0.25">
      <c r="A11" s="57" t="s">
        <v>171</v>
      </c>
      <c r="B11" s="81">
        <f>IF(B5=0,0,B5/MBunk_ene!B10)</f>
        <v>0</v>
      </c>
      <c r="C11" s="81">
        <f>IF(C5=0,0,C5/MBunk_ene!C10)</f>
        <v>0</v>
      </c>
      <c r="D11" s="81">
        <f>IF(D5=0,0,D5/MBunk_ene!D10)</f>
        <v>0</v>
      </c>
      <c r="E11" s="81">
        <f>IF(E5=0,0,E5/MBunk_ene!E10)</f>
        <v>0</v>
      </c>
      <c r="F11" s="81">
        <f>IF(F5=0,0,F5/MBunk_ene!F10)</f>
        <v>0</v>
      </c>
      <c r="G11" s="81">
        <f>IF(G5=0,0,G5/MBunk_ene!G10)</f>
        <v>0</v>
      </c>
      <c r="H11" s="81">
        <f>IF(H5=0,0,H5/MBunk_ene!H10)</f>
        <v>0</v>
      </c>
      <c r="I11" s="81">
        <f>IF(I5=0,0,I5/MBunk_ene!I10)</f>
        <v>0</v>
      </c>
      <c r="J11" s="81">
        <f>IF(J5=0,0,J5/MBunk_ene!J10)</f>
        <v>0</v>
      </c>
      <c r="K11" s="81">
        <f>IF(K5=0,0,K5/MBunk_ene!K10)</f>
        <v>0</v>
      </c>
      <c r="L11" s="81">
        <f>IF(L5=0,0,L5/MBunk_ene!L10)</f>
        <v>0</v>
      </c>
      <c r="M11" s="81">
        <f>IF(M5=0,0,M5/MBunk_ene!M10)</f>
        <v>0</v>
      </c>
      <c r="N11" s="81">
        <f>IF(N5=0,0,N5/MBunk_ene!N10)</f>
        <v>0</v>
      </c>
      <c r="O11" s="81">
        <f>IF(O5=0,0,O5/MBunk_ene!O10)</f>
        <v>0</v>
      </c>
      <c r="P11" s="81">
        <f>IF(P5=0,0,P5/MBunk_ene!P10)</f>
        <v>0</v>
      </c>
      <c r="Q11" s="81">
        <f>IF(Q5=0,0,Q5/MBunk_ene!Q10)</f>
        <v>0</v>
      </c>
      <c r="R11" s="81">
        <f>IF(R5=0,0,R5/MBunk_ene!R10)</f>
        <v>0</v>
      </c>
      <c r="S11" s="81">
        <f>IF(S5=0,0,S5/MBunk_ene!S10)</f>
        <v>0</v>
      </c>
      <c r="T11" s="81">
        <f>IF(T5=0,0,T5/MBunk_ene!T10)</f>
        <v>0</v>
      </c>
      <c r="U11" s="81">
        <f>IF(U5=0,0,U5/MBunk_ene!U10)</f>
        <v>0</v>
      </c>
      <c r="V11" s="81">
        <f>IF(V5=0,0,V5/MBunk_ene!V10)</f>
        <v>0</v>
      </c>
      <c r="W11" s="81">
        <f>IF(W5=0,0,W5/MBunk_ene!W10)</f>
        <v>0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0</v>
      </c>
      <c r="C13" s="62">
        <f>IF(C3=0,0,C3/MBunk_act!C7*100)</f>
        <v>0</v>
      </c>
      <c r="D13" s="62">
        <f>IF(D3=0,0,D3/MBunk_act!D7*100)</f>
        <v>0</v>
      </c>
      <c r="E13" s="62">
        <f>IF(E3=0,0,E3/MBunk_act!E7*100)</f>
        <v>0</v>
      </c>
      <c r="F13" s="62">
        <f>IF(F3=0,0,F3/MBunk_act!F7*100)</f>
        <v>0</v>
      </c>
      <c r="G13" s="62">
        <f>IF(G3=0,0,G3/MBunk_act!G7*100)</f>
        <v>0</v>
      </c>
      <c r="H13" s="62">
        <f>IF(H3=0,0,H3/MBunk_act!H7*100)</f>
        <v>0</v>
      </c>
      <c r="I13" s="62">
        <f>IF(I3=0,0,I3/MBunk_act!I7*100)</f>
        <v>0</v>
      </c>
      <c r="J13" s="62">
        <f>IF(J3=0,0,J3/MBunk_act!J7*100)</f>
        <v>0</v>
      </c>
      <c r="K13" s="62">
        <f>IF(K3=0,0,K3/MBunk_act!K7*100)</f>
        <v>0</v>
      </c>
      <c r="L13" s="62">
        <f>IF(L3=0,0,L3/MBunk_act!L7*100)</f>
        <v>0</v>
      </c>
      <c r="M13" s="62">
        <f>IF(M3=0,0,M3/MBunk_act!M7*100)</f>
        <v>0</v>
      </c>
      <c r="N13" s="62">
        <f>IF(N3=0,0,N3/MBunk_act!N7*100)</f>
        <v>0</v>
      </c>
      <c r="O13" s="62">
        <f>IF(O3=0,0,O3/MBunk_act!O7*100)</f>
        <v>0</v>
      </c>
      <c r="P13" s="62">
        <f>IF(P3=0,0,P3/MBunk_act!P7*100)</f>
        <v>0</v>
      </c>
      <c r="Q13" s="62">
        <f>IF(Q3=0,0,Q3/MBunk_act!Q7*100)</f>
        <v>0</v>
      </c>
      <c r="R13" s="62">
        <f>IF(R3=0,0,R3/MBunk_act!R7*100)</f>
        <v>0</v>
      </c>
      <c r="S13" s="62">
        <f>IF(S3=0,0,S3/MBunk_act!S7*100)</f>
        <v>0</v>
      </c>
      <c r="T13" s="62">
        <f>IF(T3=0,0,T3/MBunk_act!T7*100)</f>
        <v>0</v>
      </c>
      <c r="U13" s="62">
        <f>IF(U3=0,0,U3/MBunk_act!U7*100)</f>
        <v>0</v>
      </c>
      <c r="V13" s="62">
        <f>IF(V3=0,0,V3/MBunk_act!V7*100)</f>
        <v>0</v>
      </c>
      <c r="W13" s="62">
        <f>IF(W3=0,0,W3/MBunk_act!W7*100)</f>
        <v>0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0</v>
      </c>
      <c r="C14" s="63">
        <f>IF(C4=0,0,C4/MBunk_act!C8*100)</f>
        <v>0</v>
      </c>
      <c r="D14" s="63">
        <f>IF(D4=0,0,D4/MBunk_act!D8*100)</f>
        <v>0</v>
      </c>
      <c r="E14" s="63">
        <f>IF(E4=0,0,E4/MBunk_act!E8*100)</f>
        <v>0</v>
      </c>
      <c r="F14" s="63">
        <f>IF(F4=0,0,F4/MBunk_act!F8*100)</f>
        <v>0</v>
      </c>
      <c r="G14" s="63">
        <f>IF(G4=0,0,G4/MBunk_act!G8*100)</f>
        <v>0</v>
      </c>
      <c r="H14" s="63">
        <f>IF(H4=0,0,H4/MBunk_act!H8*100)</f>
        <v>0</v>
      </c>
      <c r="I14" s="63">
        <f>IF(I4=0,0,I4/MBunk_act!I8*100)</f>
        <v>0</v>
      </c>
      <c r="J14" s="63">
        <f>IF(J4=0,0,J4/MBunk_act!J8*100)</f>
        <v>0</v>
      </c>
      <c r="K14" s="63">
        <f>IF(K4=0,0,K4/MBunk_act!K8*100)</f>
        <v>0</v>
      </c>
      <c r="L14" s="63">
        <f>IF(L4=0,0,L4/MBunk_act!L8*100)</f>
        <v>0</v>
      </c>
      <c r="M14" s="63">
        <f>IF(M4=0,0,M4/MBunk_act!M8*100)</f>
        <v>0</v>
      </c>
      <c r="N14" s="63">
        <f>IF(N4=0,0,N4/MBunk_act!N8*100)</f>
        <v>0</v>
      </c>
      <c r="O14" s="63">
        <f>IF(O4=0,0,O4/MBunk_act!O8*100)</f>
        <v>0</v>
      </c>
      <c r="P14" s="63">
        <f>IF(P4=0,0,P4/MBunk_act!P8*100)</f>
        <v>0</v>
      </c>
      <c r="Q14" s="63">
        <f>IF(Q4=0,0,Q4/MBunk_act!Q8*100)</f>
        <v>0</v>
      </c>
      <c r="R14" s="63">
        <f>IF(R4=0,0,R4/MBunk_act!R8*100)</f>
        <v>0</v>
      </c>
      <c r="S14" s="63">
        <f>IF(S4=0,0,S4/MBunk_act!S8*100)</f>
        <v>0</v>
      </c>
      <c r="T14" s="63">
        <f>IF(T4=0,0,T4/MBunk_act!T8*100)</f>
        <v>0</v>
      </c>
      <c r="U14" s="63">
        <f>IF(U4=0,0,U4/MBunk_act!U8*100)</f>
        <v>0</v>
      </c>
      <c r="V14" s="63">
        <f>IF(V4=0,0,V4/MBunk_act!V8*100)</f>
        <v>0</v>
      </c>
      <c r="W14" s="63">
        <f>IF(W4=0,0,W4/MBunk_act!W8*100)</f>
        <v>0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0</v>
      </c>
      <c r="C15" s="64">
        <f>IF(C5=0,0,C5/MBunk_act!C9*100)</f>
        <v>0</v>
      </c>
      <c r="D15" s="64">
        <f>IF(D5=0,0,D5/MBunk_act!D9*100)</f>
        <v>0</v>
      </c>
      <c r="E15" s="64">
        <f>IF(E5=0,0,E5/MBunk_act!E9*100)</f>
        <v>0</v>
      </c>
      <c r="F15" s="64">
        <f>IF(F5=0,0,F5/MBunk_act!F9*100)</f>
        <v>0</v>
      </c>
      <c r="G15" s="64">
        <f>IF(G5=0,0,G5/MBunk_act!G9*100)</f>
        <v>0</v>
      </c>
      <c r="H15" s="64">
        <f>IF(H5=0,0,H5/MBunk_act!H9*100)</f>
        <v>0</v>
      </c>
      <c r="I15" s="64">
        <f>IF(I5=0,0,I5/MBunk_act!I9*100)</f>
        <v>0</v>
      </c>
      <c r="J15" s="64">
        <f>IF(J5=0,0,J5/MBunk_act!J9*100)</f>
        <v>0</v>
      </c>
      <c r="K15" s="64">
        <f>IF(K5=0,0,K5/MBunk_act!K9*100)</f>
        <v>0</v>
      </c>
      <c r="L15" s="64">
        <f>IF(L5=0,0,L5/MBunk_act!L9*100)</f>
        <v>0</v>
      </c>
      <c r="M15" s="64">
        <f>IF(M5=0,0,M5/MBunk_act!M9*100)</f>
        <v>0</v>
      </c>
      <c r="N15" s="64">
        <f>IF(N5=0,0,N5/MBunk_act!N9*100)</f>
        <v>0</v>
      </c>
      <c r="O15" s="64">
        <f>IF(O5=0,0,O5/MBunk_act!O9*100)</f>
        <v>0</v>
      </c>
      <c r="P15" s="64">
        <f>IF(P5=0,0,P5/MBunk_act!P9*100)</f>
        <v>0</v>
      </c>
      <c r="Q15" s="64">
        <f>IF(Q5=0,0,Q5/MBunk_act!Q9*100)</f>
        <v>0</v>
      </c>
      <c r="R15" s="64">
        <f>IF(R5=0,0,R5/MBunk_act!R9*100)</f>
        <v>0</v>
      </c>
      <c r="S15" s="64">
        <f>IF(S5=0,0,S5/MBunk_act!S9*100)</f>
        <v>0</v>
      </c>
      <c r="T15" s="64">
        <f>IF(T5=0,0,T5/MBunk_act!T9*100)</f>
        <v>0</v>
      </c>
      <c r="U15" s="64">
        <f>IF(U5=0,0,U5/MBunk_act!U9*100)</f>
        <v>0</v>
      </c>
      <c r="V15" s="64">
        <f>IF(V5=0,0,V5/MBunk_act!V9*100)</f>
        <v>0</v>
      </c>
      <c r="W15" s="64">
        <f>IF(W5=0,0,W5/MBunk_act!W9*100)</f>
        <v>0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0</v>
      </c>
      <c r="C17" s="62">
        <f>IF(C3=0,0,C3/MBunk_act!C3*1000)</f>
        <v>0</v>
      </c>
      <c r="D17" s="62">
        <f>IF(D3=0,0,D3/MBunk_act!D3*1000)</f>
        <v>0</v>
      </c>
      <c r="E17" s="62">
        <f>IF(E3=0,0,E3/MBunk_act!E3*1000)</f>
        <v>0</v>
      </c>
      <c r="F17" s="62">
        <f>IF(F3=0,0,F3/MBunk_act!F3*1000)</f>
        <v>0</v>
      </c>
      <c r="G17" s="62">
        <f>IF(G3=0,0,G3/MBunk_act!G3*1000)</f>
        <v>0</v>
      </c>
      <c r="H17" s="62">
        <f>IF(H3=0,0,H3/MBunk_act!H3*1000)</f>
        <v>0</v>
      </c>
      <c r="I17" s="62">
        <f>IF(I3=0,0,I3/MBunk_act!I3*1000)</f>
        <v>0</v>
      </c>
      <c r="J17" s="62">
        <f>IF(J3=0,0,J3/MBunk_act!J3*1000)</f>
        <v>0</v>
      </c>
      <c r="K17" s="62">
        <f>IF(K3=0,0,K3/MBunk_act!K3*1000)</f>
        <v>0</v>
      </c>
      <c r="L17" s="62">
        <f>IF(L3=0,0,L3/MBunk_act!L3*1000)</f>
        <v>0</v>
      </c>
      <c r="M17" s="62">
        <f>IF(M3=0,0,M3/MBunk_act!M3*1000)</f>
        <v>0</v>
      </c>
      <c r="N17" s="62">
        <f>IF(N3=0,0,N3/MBunk_act!N3*1000)</f>
        <v>0</v>
      </c>
      <c r="O17" s="62">
        <f>IF(O3=0,0,O3/MBunk_act!O3*1000)</f>
        <v>0</v>
      </c>
      <c r="P17" s="62">
        <f>IF(P3=0,0,P3/MBunk_act!P3*1000)</f>
        <v>0</v>
      </c>
      <c r="Q17" s="62">
        <f>IF(Q3=0,0,Q3/MBunk_act!Q3*1000)</f>
        <v>0</v>
      </c>
      <c r="R17" s="62">
        <f>IF(R3=0,0,R3/MBunk_act!R3*1000)</f>
        <v>0</v>
      </c>
      <c r="S17" s="62">
        <f>IF(S3=0,0,S3/MBunk_act!S3*1000)</f>
        <v>0</v>
      </c>
      <c r="T17" s="62">
        <f>IF(T3=0,0,T3/MBunk_act!T3*1000)</f>
        <v>0</v>
      </c>
      <c r="U17" s="62">
        <f>IF(U3=0,0,U3/MBunk_act!U3*1000)</f>
        <v>0</v>
      </c>
      <c r="V17" s="62">
        <f>IF(V3=0,0,V3/MBunk_act!V3*1000)</f>
        <v>0</v>
      </c>
      <c r="W17" s="62">
        <f>IF(W3=0,0,W3/MBunk_act!W3*1000)</f>
        <v>0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0</v>
      </c>
      <c r="C18" s="63">
        <f>IF(C4=0,0,C4/MBunk_act!C4*1000)</f>
        <v>0</v>
      </c>
      <c r="D18" s="63">
        <f>IF(D4=0,0,D4/MBunk_act!D4*1000)</f>
        <v>0</v>
      </c>
      <c r="E18" s="63">
        <f>IF(E4=0,0,E4/MBunk_act!E4*1000)</f>
        <v>0</v>
      </c>
      <c r="F18" s="63">
        <f>IF(F4=0,0,F4/MBunk_act!F4*1000)</f>
        <v>0</v>
      </c>
      <c r="G18" s="63">
        <f>IF(G4=0,0,G4/MBunk_act!G4*1000)</f>
        <v>0</v>
      </c>
      <c r="H18" s="63">
        <f>IF(H4=0,0,H4/MBunk_act!H4*1000)</f>
        <v>0</v>
      </c>
      <c r="I18" s="63">
        <f>IF(I4=0,0,I4/MBunk_act!I4*1000)</f>
        <v>0</v>
      </c>
      <c r="J18" s="63">
        <f>IF(J4=0,0,J4/MBunk_act!J4*1000)</f>
        <v>0</v>
      </c>
      <c r="K18" s="63">
        <f>IF(K4=0,0,K4/MBunk_act!K4*1000)</f>
        <v>0</v>
      </c>
      <c r="L18" s="63">
        <f>IF(L4=0,0,L4/MBunk_act!L4*1000)</f>
        <v>0</v>
      </c>
      <c r="M18" s="63">
        <f>IF(M4=0,0,M4/MBunk_act!M4*1000)</f>
        <v>0</v>
      </c>
      <c r="N18" s="63">
        <f>IF(N4=0,0,N4/MBunk_act!N4*1000)</f>
        <v>0</v>
      </c>
      <c r="O18" s="63">
        <f>IF(O4=0,0,O4/MBunk_act!O4*1000)</f>
        <v>0</v>
      </c>
      <c r="P18" s="63">
        <f>IF(P4=0,0,P4/MBunk_act!P4*1000)</f>
        <v>0</v>
      </c>
      <c r="Q18" s="63">
        <f>IF(Q4=0,0,Q4/MBunk_act!Q4*1000)</f>
        <v>0</v>
      </c>
      <c r="R18" s="63">
        <f>IF(R4=0,0,R4/MBunk_act!R4*1000)</f>
        <v>0</v>
      </c>
      <c r="S18" s="63">
        <f>IF(S4=0,0,S4/MBunk_act!S4*1000)</f>
        <v>0</v>
      </c>
      <c r="T18" s="63">
        <f>IF(T4=0,0,T4/MBunk_act!T4*1000)</f>
        <v>0</v>
      </c>
      <c r="U18" s="63">
        <f>IF(U4=0,0,U4/MBunk_act!U4*1000)</f>
        <v>0</v>
      </c>
      <c r="V18" s="63">
        <f>IF(V4=0,0,V4/MBunk_act!V4*1000)</f>
        <v>0</v>
      </c>
      <c r="W18" s="63">
        <f>IF(W4=0,0,W4/MBunk_act!W4*1000)</f>
        <v>0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0</v>
      </c>
      <c r="C19" s="64">
        <f>IF(C5=0,0,C5/MBunk_act!C5*1000)</f>
        <v>0</v>
      </c>
      <c r="D19" s="64">
        <f>IF(D5=0,0,D5/MBunk_act!D5*1000)</f>
        <v>0</v>
      </c>
      <c r="E19" s="64">
        <f>IF(E5=0,0,E5/MBunk_act!E5*1000)</f>
        <v>0</v>
      </c>
      <c r="F19" s="64">
        <f>IF(F5=0,0,F5/MBunk_act!F5*1000)</f>
        <v>0</v>
      </c>
      <c r="G19" s="64">
        <f>IF(G5=0,0,G5/MBunk_act!G5*1000)</f>
        <v>0</v>
      </c>
      <c r="H19" s="64">
        <f>IF(H5=0,0,H5/MBunk_act!H5*1000)</f>
        <v>0</v>
      </c>
      <c r="I19" s="64">
        <f>IF(I5=0,0,I5/MBunk_act!I5*1000)</f>
        <v>0</v>
      </c>
      <c r="J19" s="64">
        <f>IF(J5=0,0,J5/MBunk_act!J5*1000)</f>
        <v>0</v>
      </c>
      <c r="K19" s="64">
        <f>IF(K5=0,0,K5/MBunk_act!K5*1000)</f>
        <v>0</v>
      </c>
      <c r="L19" s="64">
        <f>IF(L5=0,0,L5/MBunk_act!L5*1000)</f>
        <v>0</v>
      </c>
      <c r="M19" s="64">
        <f>IF(M5=0,0,M5/MBunk_act!M5*1000)</f>
        <v>0</v>
      </c>
      <c r="N19" s="64">
        <f>IF(N5=0,0,N5/MBunk_act!N5*1000)</f>
        <v>0</v>
      </c>
      <c r="O19" s="64">
        <f>IF(O5=0,0,O5/MBunk_act!O5*1000)</f>
        <v>0</v>
      </c>
      <c r="P19" s="64">
        <f>IF(P5=0,0,P5/MBunk_act!P5*1000)</f>
        <v>0</v>
      </c>
      <c r="Q19" s="64">
        <f>IF(Q5=0,0,Q5/MBunk_act!Q5*1000)</f>
        <v>0</v>
      </c>
      <c r="R19" s="64">
        <f>IF(R5=0,0,R5/MBunk_act!R5*1000)</f>
        <v>0</v>
      </c>
      <c r="S19" s="64">
        <f>IF(S5=0,0,S5/MBunk_act!S5*1000)</f>
        <v>0</v>
      </c>
      <c r="T19" s="64">
        <f>IF(T5=0,0,T5/MBunk_act!T5*1000)</f>
        <v>0</v>
      </c>
      <c r="U19" s="64">
        <f>IF(U5=0,0,U5/MBunk_act!U5*1000)</f>
        <v>0</v>
      </c>
      <c r="V19" s="64">
        <f>IF(V5=0,0,V5/MBunk_act!V5*1000)</f>
        <v>0</v>
      </c>
      <c r="W19" s="64">
        <f>IF(W5=0,0,W5/MBunk_act!W5*1000)</f>
        <v>0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0</v>
      </c>
      <c r="C21" s="76">
        <f t="shared" si="2"/>
        <v>0</v>
      </c>
      <c r="D21" s="76">
        <f t="shared" si="2"/>
        <v>0</v>
      </c>
      <c r="E21" s="76">
        <f t="shared" si="2"/>
        <v>0</v>
      </c>
      <c r="F21" s="76">
        <f t="shared" si="2"/>
        <v>0</v>
      </c>
      <c r="G21" s="76">
        <f t="shared" si="2"/>
        <v>0</v>
      </c>
      <c r="H21" s="76">
        <f t="shared" si="2"/>
        <v>0</v>
      </c>
      <c r="I21" s="76">
        <f t="shared" si="2"/>
        <v>0</v>
      </c>
      <c r="J21" s="76">
        <f t="shared" si="2"/>
        <v>0</v>
      </c>
      <c r="K21" s="76">
        <f t="shared" si="2"/>
        <v>0</v>
      </c>
      <c r="L21" s="76">
        <f t="shared" si="2"/>
        <v>0</v>
      </c>
      <c r="M21" s="76">
        <f t="shared" si="2"/>
        <v>0</v>
      </c>
      <c r="N21" s="76">
        <f t="shared" si="2"/>
        <v>0</v>
      </c>
      <c r="O21" s="76">
        <f t="shared" si="2"/>
        <v>0</v>
      </c>
      <c r="P21" s="76">
        <f t="shared" si="2"/>
        <v>0</v>
      </c>
      <c r="Q21" s="76">
        <f t="shared" si="2"/>
        <v>0</v>
      </c>
      <c r="R21" s="76">
        <f t="shared" si="2"/>
        <v>0</v>
      </c>
      <c r="S21" s="76">
        <f t="shared" si="2"/>
        <v>0</v>
      </c>
      <c r="T21" s="76">
        <f t="shared" si="2"/>
        <v>0</v>
      </c>
      <c r="U21" s="76">
        <f t="shared" si="2"/>
        <v>0</v>
      </c>
      <c r="V21" s="76">
        <f t="shared" si="2"/>
        <v>0</v>
      </c>
      <c r="W21" s="76">
        <f t="shared" si="2"/>
        <v>0</v>
      </c>
      <c r="DA21" s="183"/>
    </row>
    <row r="22" spans="1:105" ht="11.45" customHeight="1" x14ac:dyDescent="0.25">
      <c r="A22" s="55" t="s">
        <v>170</v>
      </c>
      <c r="B22" s="77">
        <f t="shared" si="2"/>
        <v>0</v>
      </c>
      <c r="C22" s="77">
        <f t="shared" si="2"/>
        <v>0</v>
      </c>
      <c r="D22" s="77">
        <f t="shared" si="2"/>
        <v>0</v>
      </c>
      <c r="E22" s="77">
        <f t="shared" si="2"/>
        <v>0</v>
      </c>
      <c r="F22" s="77">
        <f t="shared" si="2"/>
        <v>0</v>
      </c>
      <c r="G22" s="77">
        <f t="shared" si="2"/>
        <v>0</v>
      </c>
      <c r="H22" s="77">
        <f t="shared" si="2"/>
        <v>0</v>
      </c>
      <c r="I22" s="77">
        <f t="shared" si="2"/>
        <v>0</v>
      </c>
      <c r="J22" s="77">
        <f t="shared" si="2"/>
        <v>0</v>
      </c>
      <c r="K22" s="77">
        <f t="shared" si="2"/>
        <v>0</v>
      </c>
      <c r="L22" s="77">
        <f t="shared" si="2"/>
        <v>0</v>
      </c>
      <c r="M22" s="77">
        <f t="shared" si="2"/>
        <v>0</v>
      </c>
      <c r="N22" s="77">
        <f t="shared" si="2"/>
        <v>0</v>
      </c>
      <c r="O22" s="77">
        <f t="shared" si="2"/>
        <v>0</v>
      </c>
      <c r="P22" s="77">
        <f t="shared" si="2"/>
        <v>0</v>
      </c>
      <c r="Q22" s="77">
        <f t="shared" si="2"/>
        <v>0</v>
      </c>
      <c r="R22" s="77">
        <f t="shared" si="2"/>
        <v>0</v>
      </c>
      <c r="S22" s="77">
        <f t="shared" si="2"/>
        <v>0</v>
      </c>
      <c r="T22" s="77">
        <f t="shared" si="2"/>
        <v>0</v>
      </c>
      <c r="U22" s="77">
        <f t="shared" si="2"/>
        <v>0</v>
      </c>
      <c r="V22" s="77">
        <f t="shared" si="2"/>
        <v>0</v>
      </c>
      <c r="W22" s="77">
        <f t="shared" si="2"/>
        <v>0</v>
      </c>
      <c r="DA22" s="184"/>
    </row>
    <row r="23" spans="1:105" ht="11.45" customHeight="1" x14ac:dyDescent="0.25">
      <c r="A23" s="57" t="s">
        <v>171</v>
      </c>
      <c r="B23" s="78">
        <f t="shared" si="2"/>
        <v>0</v>
      </c>
      <c r="C23" s="78">
        <f t="shared" si="2"/>
        <v>0</v>
      </c>
      <c r="D23" s="78">
        <f t="shared" si="2"/>
        <v>0</v>
      </c>
      <c r="E23" s="78">
        <f t="shared" si="2"/>
        <v>0</v>
      </c>
      <c r="F23" s="78">
        <f t="shared" si="2"/>
        <v>0</v>
      </c>
      <c r="G23" s="78">
        <f t="shared" si="2"/>
        <v>0</v>
      </c>
      <c r="H23" s="78">
        <f t="shared" si="2"/>
        <v>0</v>
      </c>
      <c r="I23" s="78">
        <f t="shared" si="2"/>
        <v>0</v>
      </c>
      <c r="J23" s="78">
        <f t="shared" si="2"/>
        <v>0</v>
      </c>
      <c r="K23" s="78">
        <f t="shared" si="2"/>
        <v>0</v>
      </c>
      <c r="L23" s="78">
        <f t="shared" si="2"/>
        <v>0</v>
      </c>
      <c r="M23" s="78">
        <f t="shared" si="2"/>
        <v>0</v>
      </c>
      <c r="N23" s="78">
        <f t="shared" si="2"/>
        <v>0</v>
      </c>
      <c r="O23" s="78">
        <f t="shared" si="2"/>
        <v>0</v>
      </c>
      <c r="P23" s="78">
        <f t="shared" si="2"/>
        <v>0</v>
      </c>
      <c r="Q23" s="78">
        <f t="shared" si="2"/>
        <v>0</v>
      </c>
      <c r="R23" s="78">
        <f t="shared" si="2"/>
        <v>0</v>
      </c>
      <c r="S23" s="78">
        <f t="shared" si="2"/>
        <v>0</v>
      </c>
      <c r="T23" s="78">
        <f t="shared" si="2"/>
        <v>0</v>
      </c>
      <c r="U23" s="78">
        <f t="shared" si="2"/>
        <v>0</v>
      </c>
      <c r="V23" s="78">
        <f t="shared" si="2"/>
        <v>0</v>
      </c>
      <c r="W23" s="78">
        <f t="shared" si="2"/>
        <v>0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2024-05-20T16:56:43Z</dcterms:created>
  <dcterms:modified xsi:type="dcterms:W3CDTF">2024-05-20T16:56:43Z</dcterms:modified>
</cp:coreProperties>
</file>