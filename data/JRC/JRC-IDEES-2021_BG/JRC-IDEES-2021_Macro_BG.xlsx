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X122" i="59"/>
  <c r="T90" i="59"/>
  <c r="Y89" i="59"/>
  <c r="U121" i="59"/>
  <c r="W84" i="59"/>
  <c r="U116" i="59"/>
  <c r="V115" i="59"/>
  <c r="U113" i="59"/>
  <c r="Y80" i="59"/>
  <c r="W80" i="59"/>
  <c r="Y111" i="59"/>
  <c r="Y75" i="59"/>
  <c r="Y107" i="59"/>
  <c r="W75" i="59"/>
  <c r="O106" i="59"/>
  <c r="M106" i="59"/>
  <c r="G106" i="59"/>
  <c r="Y73" i="59"/>
  <c r="W72" i="59"/>
  <c r="W104" i="59"/>
  <c r="Y71" i="59"/>
  <c r="V103" i="59"/>
  <c r="T71" i="59"/>
  <c r="V101" i="59"/>
  <c r="U101" i="59"/>
  <c r="U100" i="59"/>
  <c r="Y82" i="59"/>
  <c r="W78" i="59"/>
  <c r="U115" i="59"/>
  <c r="V113" i="59"/>
  <c r="T112" i="59"/>
  <c r="V111" i="59"/>
  <c r="X110" i="59"/>
  <c r="T80" i="59"/>
  <c r="Y122" i="59"/>
  <c r="W122" i="59"/>
  <c r="Y120" i="59"/>
  <c r="T118" i="59"/>
  <c r="Y84" i="59"/>
  <c r="T83" i="59"/>
  <c r="Y114" i="59"/>
  <c r="W113" i="59"/>
  <c r="W110" i="59"/>
  <c r="Y77" i="59"/>
  <c r="U109" i="59"/>
  <c r="U108" i="59"/>
  <c r="W105" i="59"/>
  <c r="Y72" i="59"/>
  <c r="Y102" i="59"/>
  <c r="W101" i="59"/>
  <c r="Y99" i="59"/>
  <c r="W98" i="59"/>
  <c r="Y65" i="59"/>
  <c r="X20" i="59"/>
  <c r="U20" i="59"/>
  <c r="X13" i="59"/>
  <c r="Y13" i="59"/>
  <c r="V13" i="59"/>
  <c r="W5" i="59"/>
  <c r="T5" i="59"/>
  <c r="Y5" i="59"/>
  <c r="U5" i="59"/>
  <c r="Y67" i="59" l="1"/>
  <c r="W74" i="59"/>
  <c r="U103" i="59"/>
  <c r="U71" i="59"/>
  <c r="Y69" i="59"/>
  <c r="V94" i="59"/>
  <c r="Y70" i="59"/>
  <c r="W90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69" i="59"/>
  <c r="W81" i="59"/>
  <c r="W85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73" i="59"/>
  <c r="W87" i="59"/>
  <c r="W67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5" i="4"/>
  <c r="B6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<sst xmlns="http://schemas.openxmlformats.org/spreadsheetml/2006/main" count="722" uniqueCount="281">
  <si>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</si>
  <si>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</si>
  <si>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</si>
  <si>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</si>
  <si>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</si>
  <si>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</si>
  <si>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</si>
  <si>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</si>
  <si>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</si>
  <si>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</si>
  <si>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</si>
  <si>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</si>
  <si>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</si>
  <si>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</si>
  <si>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</si>
  <si>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</si>
  <si>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</si>
  <si>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</si>
  <si>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</si>
  <si>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</si>
  <si>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</si>
  <si>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</si>
  <si>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</si>
  <si>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</si>
  <si>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</si>
  <si>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</si>
  <si>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</si>
  <si>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</si>
  <si>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</si>
  <si>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</si>
  <si>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</si>
  <si>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</si>
  <si>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</si>
  <si>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</si>
  <si>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</si>
  <si>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</si>
  <si>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</si>
  <si>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</si>
  <si>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</si>
  <si>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</si>
  <si>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</si>
  <si>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</si>
  <si>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</si>
  <si>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</si>
  <si>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</si>
  <si>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</si>
  <si>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</si>
  <si>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</si>
  <si>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</si>
  <si>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</si>
  <si>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</si>
  <si>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</si>
  <si>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</si>
  <si>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</si>
  <si>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</si>
  <si>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</si>
  <si>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</si>
  <si>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</si>
  <si>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</si>
  <si>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</si>
  <si>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</si>
  <si>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</si>
  <si>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</si>
  <si>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</si>
  <si>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</si>
  <si>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</si>
  <si>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</si>
  <si>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</si>
  <si>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</si>
  <si>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</si>
  <si>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</si>
  <si>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</si>
  <si>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</si>
  <si>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</si>
  <si>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</si>
  <si>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</si>
  <si>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</si>
  <si>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</si>
  <si>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</si>
  <si>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</si>
  <si>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</si>
  <si>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</si>
  <si>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</si>
  <si>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</si>
  <si>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</si>
  <si>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</si>
  <si>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</si>
  <si>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</si>
  <si>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</si>
  <si>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</si>
  <si>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</si>
  <si>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</si>
  <si>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</si>
  <si>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</si>
  <si>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</si>
  <si>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</si>
  <si>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</si>
  <si>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</si>
  <si>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</si>
  <si>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</si>
  <si>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</si>
  <si>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</si>
  <si>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</si>
  <si>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</si>
  <si>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</si>
  <si>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</si>
  <si>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</si>
  <si>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</si>
  <si>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</si>
  <si>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</si>
  <si>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</si>
  <si>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</si>
  <si>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</si>
  <si>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</si>
  <si>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</si>
  <si>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</si>
  <si>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</si>
  <si>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</si>
  <si>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</si>
  <si>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</si>
  <si>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</si>
  <si>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</si>
  <si>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</si>
  <si>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</si>
  <si>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</si>
  <si>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</si>
  <si>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</si>
  <si>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</si>
  <si>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</si>
  <si>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</si>
  <si>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</si>
  <si>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</si>
  <si>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</si>
  <si>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</si>
  <si>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</si>
  <si>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</si>
  <si>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</si>
  <si>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</si>
  <si>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</si>
  <si>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</si>
  <si>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</si>
  <si>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</si>
  <si>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</si>
  <si>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</si>
  <si>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</si>
  <si>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</si>
  <si>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</si>
  <si>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</si>
  <si>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</si>
  <si>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</si>
  <si>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</si>
  <si>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</si>
  <si>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</si>
  <si>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</si>
  <si>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</si>
  <si>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</si>
  <si>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</si>
  <si>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</si>
  <si>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</si>
  <si>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</si>
  <si>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</si>
  <si>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</si>
  <si>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</si>
  <si>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</si>
  <si>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</si>
  <si>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</si>
  <si>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</si>
  <si>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</si>
  <si>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</si>
  <si>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</si>
  <si>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</si>
  <si>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</si>
  <si>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</si>
  <si>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</si>
  <si>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</si>
  <si>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</si>
  <si>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</si>
  <si>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</si>
  <si>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</si>
  <si>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</si>
  <si>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</si>
  <si>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</si>
  <si>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</si>
  <si>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</si>
  <si>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</si>
  <si>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</si>
  <si>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</si>
  <si>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</si>
  <si>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</si>
  <si>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</si>
  <si>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</si>
  <si>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</si>
  <si>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</si>
  <si>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</si>
  <si>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</si>
  <si>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</si>
  <si>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</si>
  <si>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</si>
  <si>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</si>
  <si>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</si>
  <si>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</si>
  <si>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</si>
  <si>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</si>
  <si>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</si>
  <si>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</si>
  <si>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</si>
  <si>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</si>
  <si>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</si>
  <si>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</si>
  <si>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</si>
  <si>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</si>
  <si>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</si>
  <si>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</si>
  <si>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</si>
  <si>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</si>
  <si>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</si>
  <si>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</si>
  <si>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</si>
  <si>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</si>
  <si>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</si>
  <si>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</si>
  <si>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</si>
  <si>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</si>
  <si>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</si>
  <si>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</si>
  <si>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</si>
  <si>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</si>
  <si>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</si>
  <si>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</si>
  <si>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</si>
  <si>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</si>
  <si>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</si>
  <si>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</si>
  <si>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</si>
  <si>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</si>
  <si>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</si>
  <si>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</si>
  <si>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</si>
  <si>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</si>
  <si>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</si>
  <si>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</si>
  <si>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</si>
  <si>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</si>
  <si>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</si>
  <si>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</si>
  <si>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</si>
  <si>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</si>
  <si>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</si>
  <si>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</si>
  <si>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</si>
  <si>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</si>
  <si>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</si>
  <si>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</si>
  <si>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</si>
  <si>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</si>
  <si>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</si>
  <si>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</si>
  <si>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</si>
  <si>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</si>
  <si>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</si>
  <si>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</si>
  <si>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</si>
  <si>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</si>
  <si>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</si>
  <si>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</si>
  <si>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</si>
  <si>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</si>
  <si>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</si>
  <si>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</si>
  <si>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</si>
  <si>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</si>
  <si>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</si>
  <si>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</si>
  <si>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</si>
  <si>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</si>
  <si>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</si>
  <si>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</si>
  <si>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</si>
  <si>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</si>
  <si>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BG</t>
  </si>
  <si>
    <t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</si>
</sst>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45432.782314814816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16175.463620146505</v>
      </c>
      <c r="E2" s="19">
        <v>17816.64454421866</v>
      </c>
      <c r="F2" s="19">
        <v>19578.708201637226</v>
      </c>
      <c r="G2" s="19">
        <v>21057.189848571717</v>
      </c>
      <c r="H2" s="19">
        <v>23628.138464001026</v>
      </c>
      <c r="I2" s="19">
        <v>26929.039963613399</v>
      </c>
      <c r="J2" s="19">
        <v>30704.125940114365</v>
      </c>
      <c r="K2" s="19">
        <v>36365.865931083456</v>
      </c>
      <c r="L2" s="19">
        <v>41723.050862291457</v>
      </c>
      <c r="M2" s="19">
        <v>41914.412589875268</v>
      </c>
      <c r="N2" s="19">
        <v>42891.388117214803</v>
      </c>
      <c r="O2" s="19">
        <v>46464.721771579978</v>
      </c>
      <c r="P2" s="19">
        <v>47333.012151425617</v>
      </c>
      <c r="Q2" s="19">
        <v>47110.350377147872</v>
      </c>
      <c r="R2" s="19">
        <v>48194.998888168258</v>
      </c>
      <c r="S2" s="19">
        <v>51301.321626000004</v>
      </c>
      <c r="T2" s="19">
        <v>54610.42985172855</v>
      </c>
      <c r="U2" s="19">
        <v>58810.916828721027</v>
      </c>
      <c r="V2" s="19">
        <v>62953.255232408781</v>
      </c>
      <c r="W2" s="19">
        <v>68925.041443807509</v>
      </c>
      <c r="X2" s="19">
        <v>69011.089420142409</v>
      </c>
      <c r="Y2" s="19">
        <v>79599.478981717344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10471.043428662724</v>
      </c>
      <c r="E3" s="23">
        <v>11901.734102707691</v>
      </c>
      <c r="F3" s="23">
        <v>13015.646315989641</v>
      </c>
      <c r="G3" s="23">
        <v>13942.800250123606</v>
      </c>
      <c r="H3" s="23">
        <v>15727.722647021466</v>
      </c>
      <c r="I3" s="23">
        <v>18031.585518963264</v>
      </c>
      <c r="J3" s="23">
        <v>19999.026543776417</v>
      </c>
      <c r="K3" s="23">
        <v>24267.776991234528</v>
      </c>
      <c r="L3" s="23">
        <v>26676.866841104777</v>
      </c>
      <c r="M3" s="23">
        <v>25704.660646594824</v>
      </c>
      <c r="N3" s="23">
        <v>26799.454595036816</v>
      </c>
      <c r="O3" s="23">
        <v>28339.933988764045</v>
      </c>
      <c r="P3" s="23">
        <v>30237.20433266168</v>
      </c>
      <c r="Q3" s="23">
        <v>28658.282532239155</v>
      </c>
      <c r="R3" s="23">
        <v>29444.288125946852</v>
      </c>
      <c r="S3" s="23">
        <v>30989.257614000002</v>
      </c>
      <c r="T3" s="23">
        <v>32194.343197128386</v>
      </c>
      <c r="U3" s="23">
        <v>34539.952848279754</v>
      </c>
      <c r="V3" s="23">
        <v>36682.461792543763</v>
      </c>
      <c r="W3" s="23">
        <v>39652.65300602014</v>
      </c>
      <c r="X3" s="23">
        <v>39191.465298990544</v>
      </c>
      <c r="Y3" s="23">
        <v>45068.471896055533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12658.8</v>
      </c>
      <c r="E4" s="27">
        <v>14008.6</v>
      </c>
      <c r="F4" s="27">
        <v>15551.4</v>
      </c>
      <c r="G4" s="27">
        <v>16404.8</v>
      </c>
      <c r="H4" s="27">
        <v>18064.2</v>
      </c>
      <c r="I4" s="27">
        <v>20444.8</v>
      </c>
      <c r="J4" s="27">
        <v>23135.9</v>
      </c>
      <c r="K4" s="27">
        <v>27541.5</v>
      </c>
      <c r="L4" s="27">
        <v>31315.7</v>
      </c>
      <c r="M4" s="27">
        <v>32514.7</v>
      </c>
      <c r="N4" s="27">
        <v>33422.300000000003</v>
      </c>
      <c r="O4" s="27">
        <v>36204.400000000001</v>
      </c>
      <c r="P4" s="27">
        <v>36760.300000000003</v>
      </c>
      <c r="Q4" s="27">
        <v>36257.9</v>
      </c>
      <c r="R4" s="27">
        <v>37315.800000000003</v>
      </c>
      <c r="S4" s="27">
        <v>39554.300000000003</v>
      </c>
      <c r="T4" s="27">
        <v>41979.4</v>
      </c>
      <c r="U4" s="27">
        <v>45146.9</v>
      </c>
      <c r="V4" s="27">
        <v>48690.8</v>
      </c>
      <c r="W4" s="27">
        <v>53123.3</v>
      </c>
      <c r="X4" s="27">
        <v>53440</v>
      </c>
      <c r="Y4" s="27">
        <v>62160.9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1584.1</v>
      </c>
      <c r="E6" s="19">
        <v>1686.5</v>
      </c>
      <c r="F6" s="19">
        <v>1697.2</v>
      </c>
      <c r="G6" s="19">
        <v>1709.8</v>
      </c>
      <c r="H6" s="19">
        <v>1782.8</v>
      </c>
      <c r="I6" s="19">
        <v>1751</v>
      </c>
      <c r="J6" s="19">
        <v>1671</v>
      </c>
      <c r="K6" s="19">
        <v>1510.2</v>
      </c>
      <c r="L6" s="19">
        <v>2186.1999999999998</v>
      </c>
      <c r="M6" s="19">
        <v>1584.9</v>
      </c>
      <c r="N6" s="19">
        <v>1544</v>
      </c>
      <c r="O6" s="19">
        <v>1933.4999999999998</v>
      </c>
      <c r="P6" s="19">
        <v>1872</v>
      </c>
      <c r="Q6" s="19">
        <v>1899</v>
      </c>
      <c r="R6" s="19">
        <v>1961.4</v>
      </c>
      <c r="S6" s="19">
        <v>1860.3</v>
      </c>
      <c r="T6" s="19">
        <v>1976.8</v>
      </c>
      <c r="U6" s="19">
        <v>2122.6999999999998</v>
      </c>
      <c r="V6" s="19">
        <v>1903</v>
      </c>
      <c r="W6" s="19">
        <v>1995.3</v>
      </c>
      <c r="X6" s="19">
        <v>2150.3000000000002</v>
      </c>
      <c r="Y6" s="19">
        <v>3103.9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2627.9999999999977</v>
      </c>
      <c r="E7" s="23">
        <v>3070.2000000000007</v>
      </c>
      <c r="F7" s="23">
        <v>3419.2999999999993</v>
      </c>
      <c r="G7" s="23">
        <v>3769.6</v>
      </c>
      <c r="H7" s="23">
        <v>3977.4000000000005</v>
      </c>
      <c r="I7" s="23">
        <v>4570.3999999999987</v>
      </c>
      <c r="J7" s="23">
        <v>5337.2999999999975</v>
      </c>
      <c r="K7" s="23">
        <v>6345.1</v>
      </c>
      <c r="L7" s="23">
        <v>6498.6000000000022</v>
      </c>
      <c r="M7" s="23">
        <v>6833.4000000000033</v>
      </c>
      <c r="N7" s="23">
        <v>6711.0000000000073</v>
      </c>
      <c r="O7" s="23">
        <v>8091.8000000000011</v>
      </c>
      <c r="P7" s="23">
        <v>8583.5000000000055</v>
      </c>
      <c r="Q7" s="23">
        <v>8160.8000000000038</v>
      </c>
      <c r="R7" s="23">
        <v>8435.6</v>
      </c>
      <c r="S7" s="23">
        <v>9278.6999999999971</v>
      </c>
      <c r="T7" s="23">
        <v>10278.200000000004</v>
      </c>
      <c r="U7" s="23">
        <v>10728.700000000004</v>
      </c>
      <c r="V7" s="23">
        <v>10562.499999999995</v>
      </c>
      <c r="W7" s="23">
        <v>10982.299999999996</v>
      </c>
      <c r="X7" s="23">
        <v>10831.399999999998</v>
      </c>
      <c r="Y7" s="23">
        <v>12478.399999999998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646.79999999999995</v>
      </c>
      <c r="E8" s="23">
        <v>744</v>
      </c>
      <c r="F8" s="23">
        <v>776.3</v>
      </c>
      <c r="G8" s="23">
        <v>801.9</v>
      </c>
      <c r="H8" s="23">
        <v>902.2</v>
      </c>
      <c r="I8" s="23">
        <v>1255</v>
      </c>
      <c r="J8" s="23">
        <v>1616.7</v>
      </c>
      <c r="K8" s="23">
        <v>2180.4</v>
      </c>
      <c r="L8" s="23">
        <v>2809.7</v>
      </c>
      <c r="M8" s="23">
        <v>3107.5</v>
      </c>
      <c r="N8" s="23">
        <v>2384.6000000000004</v>
      </c>
      <c r="O8" s="23">
        <v>2290.6999999999998</v>
      </c>
      <c r="P8" s="23">
        <v>2142.5</v>
      </c>
      <c r="Q8" s="23">
        <v>1725.5</v>
      </c>
      <c r="R8" s="23">
        <v>1651.3</v>
      </c>
      <c r="S8" s="23">
        <v>1726.5</v>
      </c>
      <c r="T8" s="23">
        <v>1646.6</v>
      </c>
      <c r="U8" s="23">
        <v>1866.1</v>
      </c>
      <c r="V8" s="23">
        <v>2034.6</v>
      </c>
      <c r="W8" s="23">
        <v>2366.8000000000002</v>
      </c>
      <c r="X8" s="23">
        <v>2614.3000000000002</v>
      </c>
      <c r="Y8" s="23">
        <v>2338.4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2676.7</v>
      </c>
      <c r="E9" s="23">
        <v>3020.2</v>
      </c>
      <c r="F9" s="23">
        <v>3340.6</v>
      </c>
      <c r="G9" s="23">
        <v>3664.9</v>
      </c>
      <c r="H9" s="23">
        <v>4055.4</v>
      </c>
      <c r="I9" s="23">
        <v>4452.6000000000004</v>
      </c>
      <c r="J9" s="23">
        <v>5429.6</v>
      </c>
      <c r="K9" s="23">
        <v>5835.2</v>
      </c>
      <c r="L9" s="23">
        <v>6407.4</v>
      </c>
      <c r="M9" s="23">
        <v>6555.5</v>
      </c>
      <c r="N9" s="23">
        <v>6942</v>
      </c>
      <c r="O9" s="23">
        <v>7421.4</v>
      </c>
      <c r="P9" s="23">
        <v>7420.9</v>
      </c>
      <c r="Q9" s="23">
        <v>7887.8999999999987</v>
      </c>
      <c r="R9" s="23">
        <v>8087.3000000000011</v>
      </c>
      <c r="S9" s="23">
        <v>8828.6</v>
      </c>
      <c r="T9" s="23">
        <v>9298.7000000000007</v>
      </c>
      <c r="U9" s="23">
        <v>10125</v>
      </c>
      <c r="V9" s="23">
        <v>11251.8</v>
      </c>
      <c r="W9" s="23">
        <v>12517.5</v>
      </c>
      <c r="X9" s="23">
        <v>11444.8</v>
      </c>
      <c r="Y9" s="23">
        <v>14492.9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406.4</v>
      </c>
      <c r="E10" s="23">
        <v>533.6</v>
      </c>
      <c r="F10" s="23">
        <v>666.8</v>
      </c>
      <c r="G10" s="23">
        <v>703.7</v>
      </c>
      <c r="H10" s="23">
        <v>823.9</v>
      </c>
      <c r="I10" s="23">
        <v>777.7</v>
      </c>
      <c r="J10" s="23">
        <v>876.4</v>
      </c>
      <c r="K10" s="23">
        <v>1020.1</v>
      </c>
      <c r="L10" s="23">
        <v>1818.8</v>
      </c>
      <c r="M10" s="23">
        <v>1741.6</v>
      </c>
      <c r="N10" s="23">
        <v>1654.4</v>
      </c>
      <c r="O10" s="23">
        <v>1934.2999999999997</v>
      </c>
      <c r="P10" s="23">
        <v>1857.3</v>
      </c>
      <c r="Q10" s="23">
        <v>2035.6000000000004</v>
      </c>
      <c r="R10" s="23">
        <v>2064.8000000000002</v>
      </c>
      <c r="S10" s="23">
        <v>2092</v>
      </c>
      <c r="T10" s="23">
        <v>2597</v>
      </c>
      <c r="U10" s="23">
        <v>2760</v>
      </c>
      <c r="V10" s="23">
        <v>3303</v>
      </c>
      <c r="W10" s="23">
        <v>4022.5</v>
      </c>
      <c r="X10" s="23">
        <v>4401.5</v>
      </c>
      <c r="Y10" s="23">
        <v>4709.3999999999996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300.10000000000002</v>
      </c>
      <c r="E11" s="23">
        <v>407.7</v>
      </c>
      <c r="F11" s="23">
        <v>492.4</v>
      </c>
      <c r="G11" s="23">
        <v>680.1</v>
      </c>
      <c r="H11" s="23">
        <v>791</v>
      </c>
      <c r="I11" s="23">
        <v>1189.9000000000001</v>
      </c>
      <c r="J11" s="23">
        <v>1219.6999999999998</v>
      </c>
      <c r="K11" s="23">
        <v>1962.3</v>
      </c>
      <c r="L11" s="23">
        <v>1961.9</v>
      </c>
      <c r="M11" s="23">
        <v>1931.1</v>
      </c>
      <c r="N11" s="23">
        <v>2977.3</v>
      </c>
      <c r="O11" s="23">
        <v>2917.1</v>
      </c>
      <c r="P11" s="23">
        <v>2735.7</v>
      </c>
      <c r="Q11" s="23">
        <v>2393.9</v>
      </c>
      <c r="R11" s="23">
        <v>2508.4999999999995</v>
      </c>
      <c r="S11" s="23">
        <v>2713.7</v>
      </c>
      <c r="T11" s="23">
        <v>2953.1</v>
      </c>
      <c r="U11" s="23">
        <v>2944.1</v>
      </c>
      <c r="V11" s="23">
        <v>3212.9</v>
      </c>
      <c r="W11" s="23">
        <v>3051.2</v>
      </c>
      <c r="X11" s="23">
        <v>3198</v>
      </c>
      <c r="Y11" s="23">
        <v>4201.3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1455.4</v>
      </c>
      <c r="E12" s="23">
        <v>1521.1</v>
      </c>
      <c r="F12" s="23">
        <v>1792</v>
      </c>
      <c r="G12" s="23">
        <v>1687.3</v>
      </c>
      <c r="H12" s="23">
        <v>2004.6</v>
      </c>
      <c r="I12" s="23">
        <v>2129</v>
      </c>
      <c r="J12" s="23">
        <v>2385.9</v>
      </c>
      <c r="K12" s="23">
        <v>3292.1</v>
      </c>
      <c r="L12" s="23">
        <v>3389.4</v>
      </c>
      <c r="M12" s="23">
        <v>3729.9</v>
      </c>
      <c r="N12" s="23">
        <v>4013.2000000000007</v>
      </c>
      <c r="O12" s="23">
        <v>4155.3</v>
      </c>
      <c r="P12" s="23">
        <v>4190.7</v>
      </c>
      <c r="Q12" s="23">
        <v>4124.6000000000004</v>
      </c>
      <c r="R12" s="23">
        <v>3894.7</v>
      </c>
      <c r="S12" s="23">
        <v>3857.5</v>
      </c>
      <c r="T12" s="23">
        <v>3986.8</v>
      </c>
      <c r="U12" s="23">
        <v>4515.3999999999996</v>
      </c>
      <c r="V12" s="23">
        <v>5144.7</v>
      </c>
      <c r="W12" s="23">
        <v>5494.2</v>
      </c>
      <c r="X12" s="23">
        <v>5219</v>
      </c>
      <c r="Y12" s="23">
        <v>5659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549.1</v>
      </c>
      <c r="E13" s="23">
        <v>663.5</v>
      </c>
      <c r="F13" s="23">
        <v>707.4</v>
      </c>
      <c r="G13" s="23">
        <v>670.4</v>
      </c>
      <c r="H13" s="23">
        <v>759.2</v>
      </c>
      <c r="I13" s="23">
        <v>875.7</v>
      </c>
      <c r="J13" s="23">
        <v>1055.9000000000001</v>
      </c>
      <c r="K13" s="23">
        <v>1390.3</v>
      </c>
      <c r="L13" s="23">
        <v>1504.4</v>
      </c>
      <c r="M13" s="23">
        <v>1847.6</v>
      </c>
      <c r="N13" s="23">
        <v>1892.2</v>
      </c>
      <c r="O13" s="23">
        <v>1965.7999999999997</v>
      </c>
      <c r="P13" s="23">
        <v>2155.8000000000002</v>
      </c>
      <c r="Q13" s="23">
        <v>2026.4</v>
      </c>
      <c r="R13" s="23">
        <v>2094.4</v>
      </c>
      <c r="S13" s="23">
        <v>2485</v>
      </c>
      <c r="T13" s="23">
        <v>2626</v>
      </c>
      <c r="U13" s="23">
        <v>2742.8</v>
      </c>
      <c r="V13" s="23">
        <v>3155.5</v>
      </c>
      <c r="W13" s="23">
        <v>3750.1</v>
      </c>
      <c r="X13" s="23">
        <v>3695.6</v>
      </c>
      <c r="Y13" s="23">
        <v>4121.6000000000004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2144</v>
      </c>
      <c r="E14" s="23">
        <v>2112.8000000000002</v>
      </c>
      <c r="F14" s="23">
        <v>2396.1</v>
      </c>
      <c r="G14" s="23">
        <v>2426.8000000000002</v>
      </c>
      <c r="H14" s="23">
        <v>2636</v>
      </c>
      <c r="I14" s="23">
        <v>3035.2</v>
      </c>
      <c r="J14" s="23">
        <v>3100.4</v>
      </c>
      <c r="K14" s="23">
        <v>3451.3</v>
      </c>
      <c r="L14" s="23">
        <v>3915.9</v>
      </c>
      <c r="M14" s="23">
        <v>4266.3999999999996</v>
      </c>
      <c r="N14" s="23">
        <v>4560.6000000000004</v>
      </c>
      <c r="O14" s="23">
        <v>4647.3999999999996</v>
      </c>
      <c r="P14" s="23">
        <v>4933.8</v>
      </c>
      <c r="Q14" s="23">
        <v>5078</v>
      </c>
      <c r="R14" s="23">
        <v>5672.9</v>
      </c>
      <c r="S14" s="23">
        <v>5720.1</v>
      </c>
      <c r="T14" s="23">
        <v>5618.7</v>
      </c>
      <c r="U14" s="23">
        <v>6284.8</v>
      </c>
      <c r="V14" s="23">
        <v>7023.9</v>
      </c>
      <c r="W14" s="23">
        <v>7667.8</v>
      </c>
      <c r="X14" s="23">
        <v>8872.9</v>
      </c>
      <c r="Y14" s="23">
        <v>10021.299999999999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268.2</v>
      </c>
      <c r="E15" s="23">
        <v>249</v>
      </c>
      <c r="F15" s="23">
        <v>263.3</v>
      </c>
      <c r="G15" s="23">
        <v>290.3</v>
      </c>
      <c r="H15" s="23">
        <v>331.7</v>
      </c>
      <c r="I15" s="23">
        <v>408.3</v>
      </c>
      <c r="J15" s="23">
        <v>442.99999999999994</v>
      </c>
      <c r="K15" s="23">
        <v>554.5</v>
      </c>
      <c r="L15" s="23">
        <v>823.4</v>
      </c>
      <c r="M15" s="23">
        <v>916.8</v>
      </c>
      <c r="N15" s="23">
        <v>743</v>
      </c>
      <c r="O15" s="23">
        <v>847.1</v>
      </c>
      <c r="P15" s="23">
        <v>868.1</v>
      </c>
      <c r="Q15" s="23">
        <v>926.2</v>
      </c>
      <c r="R15" s="23">
        <v>944.9</v>
      </c>
      <c r="S15" s="23">
        <v>991.9</v>
      </c>
      <c r="T15" s="23">
        <v>997.5</v>
      </c>
      <c r="U15" s="23">
        <v>1057.3</v>
      </c>
      <c r="V15" s="23">
        <v>1098.9000000000001</v>
      </c>
      <c r="W15" s="23">
        <v>1275.5999999999999</v>
      </c>
      <c r="X15" s="23">
        <v>1012.2</v>
      </c>
      <c r="Y15" s="23">
        <v>1034.7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12658.799999999997</v>
      </c>
      <c r="E16" s="30">
        <f t="shared" ref="E16:S16" si="0">SUM(E6:E15)</f>
        <v>14008.600000000002</v>
      </c>
      <c r="F16" s="30">
        <f t="shared" si="0"/>
        <v>15551.399999999998</v>
      </c>
      <c r="G16" s="30">
        <f t="shared" si="0"/>
        <v>16404.8</v>
      </c>
      <c r="H16" s="30">
        <f t="shared" si="0"/>
        <v>18064.2</v>
      </c>
      <c r="I16" s="30">
        <f t="shared" si="0"/>
        <v>20444.8</v>
      </c>
      <c r="J16" s="30">
        <f t="shared" si="0"/>
        <v>23135.9</v>
      </c>
      <c r="K16" s="30">
        <f t="shared" si="0"/>
        <v>27541.499999999996</v>
      </c>
      <c r="L16" s="30">
        <f t="shared" si="0"/>
        <v>31315.700000000008</v>
      </c>
      <c r="M16" s="30">
        <f t="shared" si="0"/>
        <v>32514.7</v>
      </c>
      <c r="N16" s="30">
        <f t="shared" si="0"/>
        <v>33422.30000000001</v>
      </c>
      <c r="O16" s="30">
        <f t="shared" si="0"/>
        <v>36204.399999999994</v>
      </c>
      <c r="P16" s="30">
        <f t="shared" si="0"/>
        <v>36760.300000000003</v>
      </c>
      <c r="Q16" s="30">
        <f t="shared" si="0"/>
        <v>36257.9</v>
      </c>
      <c r="R16" s="30">
        <f t="shared" si="0"/>
        <v>37315.800000000003</v>
      </c>
      <c r="S16" s="30">
        <f t="shared" si="0"/>
        <v>39554.300000000003</v>
      </c>
      <c r="T16" s="30">
        <f t="shared" ref="T16:Y16" si="1">SUM(T6:T15)</f>
        <v>41979.399999999994</v>
      </c>
      <c r="U16" s="30">
        <f t="shared" si="1"/>
        <v>45146.900000000016</v>
      </c>
      <c r="V16" s="30">
        <f t="shared" si="1"/>
        <v>48690.799999999996</v>
      </c>
      <c r="W16" s="30">
        <f t="shared" si="1"/>
        <v>53123.299999999988</v>
      </c>
      <c r="X16" s="30">
        <f t="shared" si="1"/>
        <v>53439.999999999993</v>
      </c>
      <c r="Y16" s="30">
        <f t="shared" si="1"/>
        <v>62160.899999999994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1584.1</v>
      </c>
      <c r="E18" s="19">
        <v>1686.5</v>
      </c>
      <c r="F18" s="19">
        <v>1697.2</v>
      </c>
      <c r="G18" s="19">
        <v>1709.8</v>
      </c>
      <c r="H18" s="19">
        <v>1782.8</v>
      </c>
      <c r="I18" s="19">
        <v>1751</v>
      </c>
      <c r="J18" s="19">
        <v>1671</v>
      </c>
      <c r="K18" s="19">
        <v>1510.2</v>
      </c>
      <c r="L18" s="19">
        <v>2186.1999999999998</v>
      </c>
      <c r="M18" s="19">
        <v>1584.9</v>
      </c>
      <c r="N18" s="19">
        <v>1544</v>
      </c>
      <c r="O18" s="19">
        <v>1933.4999999999998</v>
      </c>
      <c r="P18" s="19">
        <v>1872</v>
      </c>
      <c r="Q18" s="19">
        <v>1899</v>
      </c>
      <c r="R18" s="19">
        <v>1961.4</v>
      </c>
      <c r="S18" s="19">
        <v>1860.3</v>
      </c>
      <c r="T18" s="19">
        <v>1976.8</v>
      </c>
      <c r="U18" s="19">
        <v>2122.6999999999998</v>
      </c>
      <c r="V18" s="19">
        <v>1903</v>
      </c>
      <c r="W18" s="19">
        <v>1995.3</v>
      </c>
      <c r="X18" s="19">
        <v>2150.3000000000002</v>
      </c>
      <c r="Y18" s="19">
        <v>3103.9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227.8</v>
      </c>
      <c r="E19" s="23">
        <v>233.6</v>
      </c>
      <c r="F19" s="23">
        <v>216.1</v>
      </c>
      <c r="G19" s="23">
        <v>244.2</v>
      </c>
      <c r="H19" s="23">
        <v>314.60000000000002</v>
      </c>
      <c r="I19" s="23">
        <v>400</v>
      </c>
      <c r="J19" s="23">
        <v>548.29999999999995</v>
      </c>
      <c r="K19" s="23">
        <v>613.29999999999995</v>
      </c>
      <c r="L19" s="23">
        <v>640.29999999999995</v>
      </c>
      <c r="M19" s="23">
        <v>627.20000000000005</v>
      </c>
      <c r="N19" s="23">
        <v>739.8</v>
      </c>
      <c r="O19" s="23">
        <v>845</v>
      </c>
      <c r="P19" s="23">
        <v>886.5</v>
      </c>
      <c r="Q19" s="23">
        <v>901.5</v>
      </c>
      <c r="R19" s="23">
        <v>973.4</v>
      </c>
      <c r="S19" s="23">
        <v>983.4</v>
      </c>
      <c r="T19" s="23">
        <v>951.5</v>
      </c>
      <c r="U19" s="23">
        <v>1013.8</v>
      </c>
      <c r="V19" s="23">
        <v>903.9</v>
      </c>
      <c r="W19" s="23">
        <v>733.7</v>
      </c>
      <c r="X19" s="23">
        <v>893.6</v>
      </c>
      <c r="Y19" s="23">
        <v>967.5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1728.0999999999979</v>
      </c>
      <c r="E20" s="23">
        <v>2072.3000000000011</v>
      </c>
      <c r="F20" s="23">
        <v>2349.6999999999989</v>
      </c>
      <c r="G20" s="23">
        <v>2609.2000000000003</v>
      </c>
      <c r="H20" s="23">
        <v>2693.9000000000005</v>
      </c>
      <c r="I20" s="23">
        <v>3250.2999999999993</v>
      </c>
      <c r="J20" s="23">
        <v>3684.0999999999976</v>
      </c>
      <c r="K20" s="23">
        <v>4552.5000000000009</v>
      </c>
      <c r="L20" s="23">
        <v>4595.300000000002</v>
      </c>
      <c r="M20" s="23">
        <v>4819.3000000000038</v>
      </c>
      <c r="N20" s="23">
        <v>4456.400000000006</v>
      </c>
      <c r="O20" s="23">
        <v>5469.6000000000013</v>
      </c>
      <c r="P20" s="23">
        <v>5937.5000000000055</v>
      </c>
      <c r="Q20" s="23">
        <v>5369.1000000000031</v>
      </c>
      <c r="R20" s="23">
        <v>5605.1</v>
      </c>
      <c r="S20" s="23">
        <v>6241.8999999999969</v>
      </c>
      <c r="T20" s="23">
        <v>7021.4000000000033</v>
      </c>
      <c r="U20" s="23">
        <v>7360.4000000000033</v>
      </c>
      <c r="V20" s="23">
        <v>7616.1999999999944</v>
      </c>
      <c r="W20" s="23">
        <v>8239.3999999999924</v>
      </c>
      <c r="X20" s="23">
        <v>7860.5999999999967</v>
      </c>
      <c r="Y20" s="23">
        <v>8155.0999999999976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563.70000000000005</v>
      </c>
      <c r="E21" s="23">
        <v>642.20000000000005</v>
      </c>
      <c r="F21" s="23">
        <v>729.8</v>
      </c>
      <c r="G21" s="23">
        <v>791.7</v>
      </c>
      <c r="H21" s="23">
        <v>834.6</v>
      </c>
      <c r="I21" s="23">
        <v>774.3</v>
      </c>
      <c r="J21" s="23">
        <v>915.2</v>
      </c>
      <c r="K21" s="23">
        <v>962.8</v>
      </c>
      <c r="L21" s="23">
        <v>990.8</v>
      </c>
      <c r="M21" s="23">
        <v>1117.2</v>
      </c>
      <c r="N21" s="23">
        <v>1194.0000000000002</v>
      </c>
      <c r="O21" s="23">
        <v>1422.2</v>
      </c>
      <c r="P21" s="23">
        <v>1415.5</v>
      </c>
      <c r="Q21" s="23">
        <v>1508.2</v>
      </c>
      <c r="R21" s="23">
        <v>1444.3</v>
      </c>
      <c r="S21" s="23">
        <v>1597.3</v>
      </c>
      <c r="T21" s="23">
        <v>1822.9</v>
      </c>
      <c r="U21" s="23">
        <v>1878.7</v>
      </c>
      <c r="V21" s="23">
        <v>1562</v>
      </c>
      <c r="W21" s="23">
        <v>1442.7</v>
      </c>
      <c r="X21" s="23">
        <v>1517.6</v>
      </c>
      <c r="Y21" s="23">
        <v>2903.6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108.4</v>
      </c>
      <c r="E22" s="23">
        <v>122.1</v>
      </c>
      <c r="F22" s="23">
        <v>123.7</v>
      </c>
      <c r="G22" s="23">
        <v>124.5</v>
      </c>
      <c r="H22" s="23">
        <v>134.30000000000001</v>
      </c>
      <c r="I22" s="23">
        <v>145.80000000000001</v>
      </c>
      <c r="J22" s="23">
        <v>189.7</v>
      </c>
      <c r="K22" s="23">
        <v>216.5</v>
      </c>
      <c r="L22" s="23">
        <v>272.2</v>
      </c>
      <c r="M22" s="23">
        <v>269.7</v>
      </c>
      <c r="N22" s="23">
        <v>320.8</v>
      </c>
      <c r="O22" s="23">
        <v>355</v>
      </c>
      <c r="P22" s="23">
        <v>344</v>
      </c>
      <c r="Q22" s="23">
        <v>382</v>
      </c>
      <c r="R22" s="23">
        <v>412.8</v>
      </c>
      <c r="S22" s="23">
        <v>456.1</v>
      </c>
      <c r="T22" s="23">
        <v>482.4</v>
      </c>
      <c r="U22" s="23">
        <v>475.8</v>
      </c>
      <c r="V22" s="23">
        <v>480.4</v>
      </c>
      <c r="W22" s="23">
        <v>566.5</v>
      </c>
      <c r="X22" s="23">
        <v>559.6</v>
      </c>
      <c r="Y22" s="23">
        <v>452.2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646.79999999999995</v>
      </c>
      <c r="E23" s="23">
        <v>744</v>
      </c>
      <c r="F23" s="23">
        <v>776.3</v>
      </c>
      <c r="G23" s="23">
        <v>801.9</v>
      </c>
      <c r="H23" s="23">
        <v>902.2</v>
      </c>
      <c r="I23" s="23">
        <v>1255</v>
      </c>
      <c r="J23" s="23">
        <v>1616.7</v>
      </c>
      <c r="K23" s="23">
        <v>2180.4</v>
      </c>
      <c r="L23" s="23">
        <v>2809.7</v>
      </c>
      <c r="M23" s="23">
        <v>3107.5</v>
      </c>
      <c r="N23" s="23">
        <v>2384.6000000000004</v>
      </c>
      <c r="O23" s="23">
        <v>2290.6999999999998</v>
      </c>
      <c r="P23" s="23">
        <v>2142.5</v>
      </c>
      <c r="Q23" s="23">
        <v>1725.5</v>
      </c>
      <c r="R23" s="23">
        <v>1651.3</v>
      </c>
      <c r="S23" s="23">
        <v>1726.5</v>
      </c>
      <c r="T23" s="23">
        <v>1646.6</v>
      </c>
      <c r="U23" s="23">
        <v>1866.1</v>
      </c>
      <c r="V23" s="23">
        <v>2034.6</v>
      </c>
      <c r="W23" s="23">
        <v>2366.8000000000002</v>
      </c>
      <c r="X23" s="23">
        <v>2614.3000000000002</v>
      </c>
      <c r="Y23" s="23">
        <v>2338.4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1339.5000000000002</v>
      </c>
      <c r="E24" s="23">
        <v>1416.1999999999994</v>
      </c>
      <c r="F24" s="23">
        <v>1475.9</v>
      </c>
      <c r="G24" s="23">
        <v>1730.2000000000003</v>
      </c>
      <c r="H24" s="23">
        <v>2012.8000000000002</v>
      </c>
      <c r="I24" s="23">
        <v>2485.3000000000011</v>
      </c>
      <c r="J24" s="23">
        <v>3092.1000000000004</v>
      </c>
      <c r="K24" s="23">
        <v>3053.9999999999995</v>
      </c>
      <c r="L24" s="23">
        <v>3549.7999999999993</v>
      </c>
      <c r="M24" s="23">
        <v>3699.0000000000014</v>
      </c>
      <c r="N24" s="23">
        <v>4050.9000000000005</v>
      </c>
      <c r="O24" s="23">
        <v>4436.6000000000004</v>
      </c>
      <c r="P24" s="23">
        <v>4441.5000000000009</v>
      </c>
      <c r="Q24" s="23">
        <v>4857.2</v>
      </c>
      <c r="R24" s="23">
        <v>4885.8</v>
      </c>
      <c r="S24" s="23">
        <v>5492.9</v>
      </c>
      <c r="T24" s="23">
        <v>5760.1000000000013</v>
      </c>
      <c r="U24" s="23">
        <v>6513.6</v>
      </c>
      <c r="V24" s="23">
        <v>7261.7000000000007</v>
      </c>
      <c r="W24" s="23">
        <v>8168.9000000000024</v>
      </c>
      <c r="X24" s="23">
        <v>7841.5999999999985</v>
      </c>
      <c r="Y24" s="23">
        <v>10045.299999999997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1050.7</v>
      </c>
      <c r="E25" s="23">
        <v>1306.9000000000003</v>
      </c>
      <c r="F25" s="23">
        <v>1508.7</v>
      </c>
      <c r="G25" s="23">
        <v>1586.2</v>
      </c>
      <c r="H25" s="23">
        <v>1658</v>
      </c>
      <c r="I25" s="23">
        <v>1502.6</v>
      </c>
      <c r="J25" s="23">
        <v>1790.7</v>
      </c>
      <c r="K25" s="23">
        <v>2140.8000000000002</v>
      </c>
      <c r="L25" s="23">
        <v>2135.8000000000006</v>
      </c>
      <c r="M25" s="23">
        <v>2131.1999999999998</v>
      </c>
      <c r="N25" s="23">
        <v>2104.1</v>
      </c>
      <c r="O25" s="23">
        <v>2146.8000000000006</v>
      </c>
      <c r="P25" s="23">
        <v>2132.1999999999998</v>
      </c>
      <c r="Q25" s="23">
        <v>2153.6999999999998</v>
      </c>
      <c r="R25" s="23">
        <v>2328.3000000000002</v>
      </c>
      <c r="S25" s="23">
        <v>2389.6</v>
      </c>
      <c r="T25" s="23">
        <v>2554.9</v>
      </c>
      <c r="U25" s="23">
        <v>2495</v>
      </c>
      <c r="V25" s="23">
        <v>2681.3</v>
      </c>
      <c r="W25" s="23">
        <v>2966.3</v>
      </c>
      <c r="X25" s="23">
        <v>2697.8</v>
      </c>
      <c r="Y25" s="23">
        <v>3011.7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286.5</v>
      </c>
      <c r="E26" s="23">
        <v>297.10000000000002</v>
      </c>
      <c r="F26" s="23">
        <v>356</v>
      </c>
      <c r="G26" s="23">
        <v>348.5</v>
      </c>
      <c r="H26" s="23">
        <v>384.6</v>
      </c>
      <c r="I26" s="23">
        <v>464.7</v>
      </c>
      <c r="J26" s="23">
        <v>546.79999999999995</v>
      </c>
      <c r="K26" s="23">
        <v>640.4</v>
      </c>
      <c r="L26" s="23">
        <v>721.8</v>
      </c>
      <c r="M26" s="23">
        <v>725.3</v>
      </c>
      <c r="N26" s="23">
        <v>787</v>
      </c>
      <c r="O26" s="23">
        <v>838</v>
      </c>
      <c r="P26" s="23">
        <v>847.2</v>
      </c>
      <c r="Q26" s="23">
        <v>877</v>
      </c>
      <c r="R26" s="23">
        <v>873.2</v>
      </c>
      <c r="S26" s="23">
        <v>946.1</v>
      </c>
      <c r="T26" s="23">
        <v>983.7</v>
      </c>
      <c r="U26" s="23">
        <v>1116.4000000000001</v>
      </c>
      <c r="V26" s="23">
        <v>1308.8</v>
      </c>
      <c r="W26" s="23">
        <v>1382.3</v>
      </c>
      <c r="X26" s="23">
        <v>905.4</v>
      </c>
      <c r="Y26" s="23">
        <v>1435.9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406.4</v>
      </c>
      <c r="E27" s="23">
        <v>533.6</v>
      </c>
      <c r="F27" s="23">
        <v>666.8</v>
      </c>
      <c r="G27" s="23">
        <v>703.7</v>
      </c>
      <c r="H27" s="23">
        <v>823.9</v>
      </c>
      <c r="I27" s="23">
        <v>777.7</v>
      </c>
      <c r="J27" s="23">
        <v>876.4</v>
      </c>
      <c r="K27" s="23">
        <v>1020.1</v>
      </c>
      <c r="L27" s="23">
        <v>1818.8</v>
      </c>
      <c r="M27" s="23">
        <v>1741.6</v>
      </c>
      <c r="N27" s="23">
        <v>1654.4</v>
      </c>
      <c r="O27" s="23">
        <v>1934.2999999999997</v>
      </c>
      <c r="P27" s="23">
        <v>1857.3</v>
      </c>
      <c r="Q27" s="23">
        <v>2035.6000000000004</v>
      </c>
      <c r="R27" s="23">
        <v>2064.8000000000002</v>
      </c>
      <c r="S27" s="23">
        <v>2092</v>
      </c>
      <c r="T27" s="23">
        <v>2597</v>
      </c>
      <c r="U27" s="23">
        <v>2760</v>
      </c>
      <c r="V27" s="23">
        <v>3303</v>
      </c>
      <c r="W27" s="23">
        <v>4022.5</v>
      </c>
      <c r="X27" s="23">
        <v>4401.5</v>
      </c>
      <c r="Y27" s="23">
        <v>4709.3999999999996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300.10000000000002</v>
      </c>
      <c r="E28" s="23">
        <v>407.7</v>
      </c>
      <c r="F28" s="23">
        <v>492.4</v>
      </c>
      <c r="G28" s="23">
        <v>680.1</v>
      </c>
      <c r="H28" s="23">
        <v>791</v>
      </c>
      <c r="I28" s="23">
        <v>1189.9000000000001</v>
      </c>
      <c r="J28" s="23">
        <v>1219.6999999999998</v>
      </c>
      <c r="K28" s="23">
        <v>1962.3</v>
      </c>
      <c r="L28" s="23">
        <v>1961.9</v>
      </c>
      <c r="M28" s="23">
        <v>1931.1</v>
      </c>
      <c r="N28" s="23">
        <v>2977.3</v>
      </c>
      <c r="O28" s="23">
        <v>2917.1</v>
      </c>
      <c r="P28" s="23">
        <v>2735.7</v>
      </c>
      <c r="Q28" s="23">
        <v>2393.9</v>
      </c>
      <c r="R28" s="23">
        <v>2508.4999999999995</v>
      </c>
      <c r="S28" s="23">
        <v>2713.7</v>
      </c>
      <c r="T28" s="23">
        <v>2953.1</v>
      </c>
      <c r="U28" s="23">
        <v>2944.1</v>
      </c>
      <c r="V28" s="23">
        <v>3212.9</v>
      </c>
      <c r="W28" s="23">
        <v>3051.2</v>
      </c>
      <c r="X28" s="23">
        <v>3198</v>
      </c>
      <c r="Y28" s="23">
        <v>4201.3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1455.4</v>
      </c>
      <c r="E29" s="23">
        <v>1521.1</v>
      </c>
      <c r="F29" s="23">
        <v>1792</v>
      </c>
      <c r="G29" s="23">
        <v>1687.3</v>
      </c>
      <c r="H29" s="23">
        <v>2004.6</v>
      </c>
      <c r="I29" s="23">
        <v>2129</v>
      </c>
      <c r="J29" s="23">
        <v>2385.9</v>
      </c>
      <c r="K29" s="23">
        <v>3292.1</v>
      </c>
      <c r="L29" s="23">
        <v>3389.4</v>
      </c>
      <c r="M29" s="23">
        <v>3729.9</v>
      </c>
      <c r="N29" s="23">
        <v>4013.2000000000007</v>
      </c>
      <c r="O29" s="23">
        <v>4155.3</v>
      </c>
      <c r="P29" s="23">
        <v>4190.7</v>
      </c>
      <c r="Q29" s="23">
        <v>4124.6000000000004</v>
      </c>
      <c r="R29" s="23">
        <v>3894.7</v>
      </c>
      <c r="S29" s="23">
        <v>3857.5</v>
      </c>
      <c r="T29" s="23">
        <v>3986.8</v>
      </c>
      <c r="U29" s="23">
        <v>4515.3999999999996</v>
      </c>
      <c r="V29" s="23">
        <v>5144.7</v>
      </c>
      <c r="W29" s="23">
        <v>5494.2</v>
      </c>
      <c r="X29" s="23">
        <v>5219</v>
      </c>
      <c r="Y29" s="23">
        <v>5659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209.9</v>
      </c>
      <c r="E30" s="23">
        <v>251.70000000000007</v>
      </c>
      <c r="F30" s="23">
        <v>263.70000000000005</v>
      </c>
      <c r="G30" s="23">
        <v>248.09999999999997</v>
      </c>
      <c r="H30" s="23">
        <v>276.29999999999995</v>
      </c>
      <c r="I30" s="23">
        <v>340.1</v>
      </c>
      <c r="J30" s="23">
        <v>415.50000000000023</v>
      </c>
      <c r="K30" s="23">
        <v>593</v>
      </c>
      <c r="L30" s="23">
        <v>861.00000000000011</v>
      </c>
      <c r="M30" s="23">
        <v>1088.3000000000002</v>
      </c>
      <c r="N30" s="23">
        <v>1256.3000000000002</v>
      </c>
      <c r="O30" s="23">
        <v>1263.4999999999998</v>
      </c>
      <c r="P30" s="23">
        <v>1419.6000000000004</v>
      </c>
      <c r="Q30" s="23">
        <v>1348.4</v>
      </c>
      <c r="R30" s="23">
        <v>1294.0999999999999</v>
      </c>
      <c r="S30" s="23">
        <v>1623.3</v>
      </c>
      <c r="T30" s="23">
        <v>1645.6</v>
      </c>
      <c r="U30" s="23">
        <v>1693.7</v>
      </c>
      <c r="V30" s="23">
        <v>1886.1</v>
      </c>
      <c r="W30" s="23">
        <v>2304</v>
      </c>
      <c r="X30" s="23">
        <v>2277.4</v>
      </c>
      <c r="Y30" s="23">
        <v>2593.8000000000006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339.2</v>
      </c>
      <c r="E31" s="23">
        <v>411.8</v>
      </c>
      <c r="F31" s="23">
        <v>443.7</v>
      </c>
      <c r="G31" s="23">
        <v>422.3</v>
      </c>
      <c r="H31" s="23">
        <v>482.9</v>
      </c>
      <c r="I31" s="23">
        <v>535.6</v>
      </c>
      <c r="J31" s="23">
        <v>640.4</v>
      </c>
      <c r="K31" s="23">
        <v>797.3</v>
      </c>
      <c r="L31" s="23">
        <v>643.4</v>
      </c>
      <c r="M31" s="23">
        <v>759.3</v>
      </c>
      <c r="N31" s="23">
        <v>635.90000000000009</v>
      </c>
      <c r="O31" s="23">
        <v>702.3</v>
      </c>
      <c r="P31" s="23">
        <v>736.2</v>
      </c>
      <c r="Q31" s="23">
        <v>678</v>
      </c>
      <c r="R31" s="23">
        <v>800.3</v>
      </c>
      <c r="S31" s="23">
        <v>861.7</v>
      </c>
      <c r="T31" s="23">
        <v>980.4</v>
      </c>
      <c r="U31" s="23">
        <v>1049.0999999999999</v>
      </c>
      <c r="V31" s="23">
        <v>1269.4000000000001</v>
      </c>
      <c r="W31" s="23">
        <v>1446.1</v>
      </c>
      <c r="X31" s="23">
        <v>1418.2</v>
      </c>
      <c r="Y31" s="23">
        <v>1527.8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955.2</v>
      </c>
      <c r="E32" s="23">
        <v>972.90000000000043</v>
      </c>
      <c r="F32" s="23">
        <v>1010.5</v>
      </c>
      <c r="G32" s="23">
        <v>1171.0999999999999</v>
      </c>
      <c r="H32" s="23">
        <v>1265.1999999999998</v>
      </c>
      <c r="I32" s="23">
        <v>1403.1999999999998</v>
      </c>
      <c r="J32" s="23">
        <v>1522.8</v>
      </c>
      <c r="K32" s="23">
        <v>1684.6999999999998</v>
      </c>
      <c r="L32" s="23">
        <v>1985.2</v>
      </c>
      <c r="M32" s="23">
        <v>2161.3999999999996</v>
      </c>
      <c r="N32" s="23">
        <v>2125.7000000000007</v>
      </c>
      <c r="O32" s="23">
        <v>2173.3999999999996</v>
      </c>
      <c r="P32" s="23">
        <v>2256</v>
      </c>
      <c r="Q32" s="23">
        <v>2452.9</v>
      </c>
      <c r="R32" s="23">
        <v>2723.7000000000012</v>
      </c>
      <c r="S32" s="23">
        <v>2655.3</v>
      </c>
      <c r="T32" s="23">
        <v>2556.3999999999996</v>
      </c>
      <c r="U32" s="23">
        <v>2932.7999999999993</v>
      </c>
      <c r="V32" s="23">
        <v>3166.1</v>
      </c>
      <c r="W32" s="23">
        <v>3474.9</v>
      </c>
      <c r="X32" s="23">
        <v>3803.3999999999996</v>
      </c>
      <c r="Y32" s="23">
        <v>4294.9999999999991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750</v>
      </c>
      <c r="E33" s="23">
        <v>721.4</v>
      </c>
      <c r="F33" s="23">
        <v>810.4</v>
      </c>
      <c r="G33" s="23">
        <v>786.8</v>
      </c>
      <c r="H33" s="23">
        <v>836.2</v>
      </c>
      <c r="I33" s="23">
        <v>902.4</v>
      </c>
      <c r="J33" s="23">
        <v>920.5</v>
      </c>
      <c r="K33" s="23">
        <v>1037.4000000000001</v>
      </c>
      <c r="L33" s="23">
        <v>1114.0999999999999</v>
      </c>
      <c r="M33" s="23">
        <v>1240.9000000000001</v>
      </c>
      <c r="N33" s="23">
        <v>1287.0999999999999</v>
      </c>
      <c r="O33" s="23">
        <v>1257.7</v>
      </c>
      <c r="P33" s="23">
        <v>1340.6</v>
      </c>
      <c r="Q33" s="23">
        <v>1206.4999999999998</v>
      </c>
      <c r="R33" s="23">
        <v>1572.5</v>
      </c>
      <c r="S33" s="23">
        <v>1606.5</v>
      </c>
      <c r="T33" s="23">
        <v>1480.1</v>
      </c>
      <c r="U33" s="23">
        <v>1733.6</v>
      </c>
      <c r="V33" s="23">
        <v>1928.2</v>
      </c>
      <c r="W33" s="23">
        <v>2190.6</v>
      </c>
      <c r="X33" s="23">
        <v>2403.8000000000002</v>
      </c>
      <c r="Y33" s="23">
        <v>2698.2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438.8</v>
      </c>
      <c r="E34" s="23">
        <v>418.5</v>
      </c>
      <c r="F34" s="23">
        <v>575.20000000000005</v>
      </c>
      <c r="G34" s="23">
        <v>468.9</v>
      </c>
      <c r="H34" s="23">
        <v>534.6</v>
      </c>
      <c r="I34" s="23">
        <v>729.60000000000014</v>
      </c>
      <c r="J34" s="23">
        <v>657.1</v>
      </c>
      <c r="K34" s="23">
        <v>729.2</v>
      </c>
      <c r="L34" s="23">
        <v>816.6</v>
      </c>
      <c r="M34" s="23">
        <v>864.1</v>
      </c>
      <c r="N34" s="23">
        <v>1147.8</v>
      </c>
      <c r="O34" s="23">
        <v>1216.3000000000002</v>
      </c>
      <c r="P34" s="23">
        <v>1337.2</v>
      </c>
      <c r="Q34" s="23">
        <v>1418.6</v>
      </c>
      <c r="R34" s="23">
        <v>1376.7</v>
      </c>
      <c r="S34" s="23">
        <v>1458.3</v>
      </c>
      <c r="T34" s="23">
        <v>1582.2</v>
      </c>
      <c r="U34" s="23">
        <v>1618.4</v>
      </c>
      <c r="V34" s="23">
        <v>1929.6</v>
      </c>
      <c r="W34" s="23">
        <v>2002.3</v>
      </c>
      <c r="X34" s="23">
        <v>2665.7</v>
      </c>
      <c r="Y34" s="23">
        <v>3028.1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108.39999999999998</v>
      </c>
      <c r="E35" s="23">
        <v>99.000000000000014</v>
      </c>
      <c r="F35" s="23">
        <v>116.40000000000002</v>
      </c>
      <c r="G35" s="23">
        <v>113.4</v>
      </c>
      <c r="H35" s="23">
        <v>154.99999999999997</v>
      </c>
      <c r="I35" s="23">
        <v>223</v>
      </c>
      <c r="J35" s="23">
        <v>264.7</v>
      </c>
      <c r="K35" s="23">
        <v>352.9</v>
      </c>
      <c r="L35" s="23">
        <v>465.29999999999995</v>
      </c>
      <c r="M35" s="23">
        <v>355.2</v>
      </c>
      <c r="N35" s="23">
        <v>358</v>
      </c>
      <c r="O35" s="23">
        <v>416.89999999999992</v>
      </c>
      <c r="P35" s="23">
        <v>492.8</v>
      </c>
      <c r="Q35" s="23">
        <v>519.5</v>
      </c>
      <c r="R35" s="23">
        <v>499.6</v>
      </c>
      <c r="S35" s="23">
        <v>550.79999999999995</v>
      </c>
      <c r="T35" s="23">
        <v>579.30000000000007</v>
      </c>
      <c r="U35" s="23">
        <v>605.70000000000005</v>
      </c>
      <c r="V35" s="23">
        <v>593.30000000000007</v>
      </c>
      <c r="W35" s="23">
        <v>752.99999999999989</v>
      </c>
      <c r="X35" s="23">
        <v>509.4</v>
      </c>
      <c r="Y35" s="23">
        <v>477.69999999999993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159.80000000000001</v>
      </c>
      <c r="E36" s="23">
        <v>149.99999999999997</v>
      </c>
      <c r="F36" s="23">
        <v>146.9</v>
      </c>
      <c r="G36" s="23">
        <v>176.9</v>
      </c>
      <c r="H36" s="23">
        <v>176.7</v>
      </c>
      <c r="I36" s="23">
        <v>185.3</v>
      </c>
      <c r="J36" s="23">
        <v>178.3</v>
      </c>
      <c r="K36" s="23">
        <v>201.60000000000002</v>
      </c>
      <c r="L36" s="23">
        <v>358.1</v>
      </c>
      <c r="M36" s="23">
        <v>561.6</v>
      </c>
      <c r="N36" s="23">
        <v>385</v>
      </c>
      <c r="O36" s="23">
        <v>430.2</v>
      </c>
      <c r="P36" s="23">
        <v>375.3</v>
      </c>
      <c r="Q36" s="23">
        <v>406.7</v>
      </c>
      <c r="R36" s="23">
        <v>445.3</v>
      </c>
      <c r="S36" s="23">
        <v>441.1</v>
      </c>
      <c r="T36" s="23">
        <v>418.2</v>
      </c>
      <c r="U36" s="23">
        <v>451.6</v>
      </c>
      <c r="V36" s="23">
        <v>505.6</v>
      </c>
      <c r="W36" s="23">
        <v>522.6</v>
      </c>
      <c r="X36" s="23">
        <v>502.8</v>
      </c>
      <c r="Y36" s="23">
        <v>557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12658.799999999996</v>
      </c>
      <c r="E39" s="30">
        <f t="shared" ref="E39:S39" si="2">SUM(E18:E38)</f>
        <v>14008.600000000002</v>
      </c>
      <c r="F39" s="30">
        <f t="shared" si="2"/>
        <v>15551.4</v>
      </c>
      <c r="G39" s="30">
        <f t="shared" si="2"/>
        <v>16404.8</v>
      </c>
      <c r="H39" s="30">
        <f t="shared" si="2"/>
        <v>18064.2</v>
      </c>
      <c r="I39" s="30">
        <f t="shared" si="2"/>
        <v>20444.8</v>
      </c>
      <c r="J39" s="30">
        <f t="shared" si="2"/>
        <v>23135.899999999998</v>
      </c>
      <c r="K39" s="30">
        <f t="shared" si="2"/>
        <v>27541.5</v>
      </c>
      <c r="L39" s="30">
        <f t="shared" si="2"/>
        <v>31315.7</v>
      </c>
      <c r="M39" s="30">
        <f t="shared" si="2"/>
        <v>32514.7</v>
      </c>
      <c r="N39" s="30">
        <f t="shared" si="2"/>
        <v>33422.300000000003</v>
      </c>
      <c r="O39" s="30">
        <f t="shared" si="2"/>
        <v>36204.400000000001</v>
      </c>
      <c r="P39" s="30">
        <f t="shared" si="2"/>
        <v>36760.30000000001</v>
      </c>
      <c r="Q39" s="30">
        <f t="shared" si="2"/>
        <v>36257.9</v>
      </c>
      <c r="R39" s="30">
        <f t="shared" si="2"/>
        <v>37315.799999999996</v>
      </c>
      <c r="S39" s="30">
        <f t="shared" si="2"/>
        <v>39554.299999999996</v>
      </c>
      <c r="T39" s="30">
        <f t="shared" ref="T39:Y39" si="3">SUM(T18:T38)</f>
        <v>41979.4</v>
      </c>
      <c r="U39" s="30">
        <f t="shared" si="3"/>
        <v>45146.9</v>
      </c>
      <c r="V39" s="30">
        <f t="shared" si="3"/>
        <v>48690.799999999988</v>
      </c>
      <c r="W39" s="30">
        <f t="shared" si="3"/>
        <v>53123.299999999988</v>
      </c>
      <c r="X39" s="30">
        <f t="shared" si="3"/>
        <v>53440</v>
      </c>
      <c r="Y39" s="30">
        <f t="shared" si="3"/>
        <v>62160.9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336.6</v>
      </c>
      <c r="E41" s="19">
        <v>423</v>
      </c>
      <c r="F41" s="19">
        <v>433.1</v>
      </c>
      <c r="G41" s="19">
        <v>555.79999999999995</v>
      </c>
      <c r="H41" s="19">
        <v>510.2</v>
      </c>
      <c r="I41" s="19">
        <v>605.29999999999995</v>
      </c>
      <c r="J41" s="19">
        <v>703.3</v>
      </c>
      <c r="K41" s="19">
        <v>840.5</v>
      </c>
      <c r="L41" s="19">
        <v>936.70000000000016</v>
      </c>
      <c r="M41" s="19">
        <v>1089.7</v>
      </c>
      <c r="N41" s="19">
        <v>927.10000000000014</v>
      </c>
      <c r="O41" s="19">
        <v>1065.5999999999999</v>
      </c>
      <c r="P41" s="19">
        <v>1404.7</v>
      </c>
      <c r="Q41" s="19">
        <v>1214.4000000000003</v>
      </c>
      <c r="R41" s="19">
        <v>1116.5</v>
      </c>
      <c r="S41" s="19">
        <v>1091.3</v>
      </c>
      <c r="T41" s="19">
        <v>1080.5</v>
      </c>
      <c r="U41" s="19">
        <v>862</v>
      </c>
      <c r="V41" s="19">
        <v>1236.8</v>
      </c>
      <c r="W41" s="19">
        <v>1278.4000000000003</v>
      </c>
      <c r="X41" s="19">
        <v>1428.1</v>
      </c>
      <c r="Y41" s="19">
        <v>1396.2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255.2</v>
      </c>
      <c r="E42" s="23">
        <v>348.5</v>
      </c>
      <c r="F42" s="23">
        <v>407.8</v>
      </c>
      <c r="G42" s="23">
        <v>465.7</v>
      </c>
      <c r="H42" s="23">
        <v>462.9</v>
      </c>
      <c r="I42" s="23">
        <v>528</v>
      </c>
      <c r="J42" s="23">
        <v>553.29999999999995</v>
      </c>
      <c r="K42" s="23">
        <v>671.9</v>
      </c>
      <c r="L42" s="23">
        <v>583.6</v>
      </c>
      <c r="M42" s="23">
        <v>707</v>
      </c>
      <c r="N42" s="23">
        <v>554.20000000000005</v>
      </c>
      <c r="O42" s="23">
        <v>834.3</v>
      </c>
      <c r="P42" s="23">
        <v>830.1</v>
      </c>
      <c r="Q42" s="23">
        <v>683.9</v>
      </c>
      <c r="R42" s="23">
        <v>700.9</v>
      </c>
      <c r="S42" s="23">
        <v>662.3</v>
      </c>
      <c r="T42" s="23">
        <v>716</v>
      </c>
      <c r="U42" s="23">
        <v>714.7</v>
      </c>
      <c r="V42" s="23">
        <v>735.1</v>
      </c>
      <c r="W42" s="23">
        <v>800.9</v>
      </c>
      <c r="X42" s="23">
        <v>720</v>
      </c>
      <c r="Y42" s="23">
        <v>553.9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67.5</v>
      </c>
      <c r="E43" s="23">
        <v>91.9</v>
      </c>
      <c r="F43" s="23">
        <v>114.3</v>
      </c>
      <c r="G43" s="23">
        <v>144.80000000000001</v>
      </c>
      <c r="H43" s="23">
        <v>155.5</v>
      </c>
      <c r="I43" s="23">
        <v>187.8</v>
      </c>
      <c r="J43" s="23">
        <v>200.9</v>
      </c>
      <c r="K43" s="23">
        <v>245.7</v>
      </c>
      <c r="L43" s="23">
        <v>276.8</v>
      </c>
      <c r="M43" s="23">
        <v>294.10000000000002</v>
      </c>
      <c r="N43" s="23">
        <v>299.39999999999998</v>
      </c>
      <c r="O43" s="23">
        <v>363.1</v>
      </c>
      <c r="P43" s="23">
        <v>355.8</v>
      </c>
      <c r="Q43" s="23">
        <v>335.8</v>
      </c>
      <c r="R43" s="23">
        <v>341.5</v>
      </c>
      <c r="S43" s="23">
        <v>393.5</v>
      </c>
      <c r="T43" s="23">
        <v>411.4</v>
      </c>
      <c r="U43" s="23">
        <v>434.1</v>
      </c>
      <c r="V43" s="23">
        <v>445.4</v>
      </c>
      <c r="W43" s="23">
        <v>465.3</v>
      </c>
      <c r="X43" s="23">
        <v>430.7</v>
      </c>
      <c r="Y43" s="23">
        <v>499.8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251.8</v>
      </c>
      <c r="E44" s="23">
        <v>187.2</v>
      </c>
      <c r="F44" s="23">
        <v>206.6</v>
      </c>
      <c r="G44" s="23">
        <v>133.4</v>
      </c>
      <c r="H44" s="23">
        <v>203.3</v>
      </c>
      <c r="I44" s="23">
        <v>277.3</v>
      </c>
      <c r="J44" s="23">
        <v>230.8</v>
      </c>
      <c r="K44" s="23">
        <v>128.6</v>
      </c>
      <c r="L44" s="23">
        <v>66.900000000000006</v>
      </c>
      <c r="M44" s="23">
        <v>81.8</v>
      </c>
      <c r="N44" s="23">
        <v>82.5</v>
      </c>
      <c r="O44" s="23">
        <v>159.99999999999997</v>
      </c>
      <c r="P44" s="23">
        <v>133.80000000000001</v>
      </c>
      <c r="Q44" s="23">
        <v>121.7</v>
      </c>
      <c r="R44" s="23">
        <v>-78.8</v>
      </c>
      <c r="S44" s="23">
        <v>134.69999999999999</v>
      </c>
      <c r="T44" s="23">
        <v>305.89999999999998</v>
      </c>
      <c r="U44" s="23">
        <v>308</v>
      </c>
      <c r="V44" s="23">
        <v>113.1</v>
      </c>
      <c r="W44" s="23">
        <v>176.3</v>
      </c>
      <c r="X44" s="23">
        <v>-69</v>
      </c>
      <c r="Y44" s="23">
        <v>331.7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123.4</v>
      </c>
      <c r="E45" s="23">
        <v>163.9</v>
      </c>
      <c r="F45" s="23">
        <v>158.5</v>
      </c>
      <c r="G45" s="23">
        <v>161.80000000000004</v>
      </c>
      <c r="H45" s="23">
        <v>136.6</v>
      </c>
      <c r="I45" s="23">
        <v>165.4</v>
      </c>
      <c r="J45" s="23">
        <v>177.8</v>
      </c>
      <c r="K45" s="23">
        <v>209.9</v>
      </c>
      <c r="L45" s="23">
        <v>200.9</v>
      </c>
      <c r="M45" s="23">
        <v>184.6</v>
      </c>
      <c r="N45" s="23">
        <v>170.2</v>
      </c>
      <c r="O45" s="23">
        <v>250.6</v>
      </c>
      <c r="P45" s="23">
        <v>256.20000000000005</v>
      </c>
      <c r="Q45" s="23">
        <v>227.3</v>
      </c>
      <c r="R45" s="23">
        <v>330.9</v>
      </c>
      <c r="S45" s="23">
        <v>403.3</v>
      </c>
      <c r="T45" s="23">
        <v>399.3</v>
      </c>
      <c r="U45" s="23">
        <v>435.1</v>
      </c>
      <c r="V45" s="23">
        <v>392.1</v>
      </c>
      <c r="W45" s="23">
        <v>427.4</v>
      </c>
      <c r="X45" s="23">
        <v>477.9</v>
      </c>
      <c r="Y45" s="23">
        <v>248.3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58.3</v>
      </c>
      <c r="E46" s="23">
        <v>77.400000000000006</v>
      </c>
      <c r="F46" s="23">
        <v>74.400000000000006</v>
      </c>
      <c r="G46" s="23">
        <v>76.199999999999989</v>
      </c>
      <c r="H46" s="23">
        <v>67.8</v>
      </c>
      <c r="I46" s="23">
        <v>78.7</v>
      </c>
      <c r="J46" s="23">
        <v>84.6</v>
      </c>
      <c r="K46" s="23">
        <v>105.1</v>
      </c>
      <c r="L46" s="23">
        <v>101.3</v>
      </c>
      <c r="M46" s="23">
        <v>104.5</v>
      </c>
      <c r="N46" s="23">
        <v>164.4</v>
      </c>
      <c r="O46" s="23">
        <v>181.9</v>
      </c>
      <c r="P46" s="23">
        <v>196.9</v>
      </c>
      <c r="Q46" s="23">
        <v>198.2</v>
      </c>
      <c r="R46" s="23">
        <v>226</v>
      </c>
      <c r="S46" s="23">
        <v>218.5</v>
      </c>
      <c r="T46" s="23">
        <v>233.5</v>
      </c>
      <c r="U46" s="23">
        <v>240.8</v>
      </c>
      <c r="V46" s="23">
        <v>237</v>
      </c>
      <c r="W46" s="23">
        <v>194.3</v>
      </c>
      <c r="X46" s="23">
        <v>225.3</v>
      </c>
      <c r="Y46" s="23">
        <v>92.8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118.3</v>
      </c>
      <c r="E47" s="23">
        <v>165.7</v>
      </c>
      <c r="F47" s="23">
        <v>243.3</v>
      </c>
      <c r="G47" s="23">
        <v>242</v>
      </c>
      <c r="H47" s="23">
        <v>268.10000000000002</v>
      </c>
      <c r="I47" s="23">
        <v>335.7</v>
      </c>
      <c r="J47" s="23">
        <v>440.2</v>
      </c>
      <c r="K47" s="23">
        <v>606.6</v>
      </c>
      <c r="L47" s="23">
        <v>562.70000000000016</v>
      </c>
      <c r="M47" s="23">
        <v>528.79999999999995</v>
      </c>
      <c r="N47" s="23">
        <v>439.4</v>
      </c>
      <c r="O47" s="23">
        <v>523.6</v>
      </c>
      <c r="P47" s="23">
        <v>495.8</v>
      </c>
      <c r="Q47" s="23">
        <v>445.5</v>
      </c>
      <c r="R47" s="23">
        <v>565.09999999999991</v>
      </c>
      <c r="S47" s="23">
        <v>671.5</v>
      </c>
      <c r="T47" s="23">
        <v>737.2</v>
      </c>
      <c r="U47" s="23">
        <v>728</v>
      </c>
      <c r="V47" s="23">
        <v>849.8</v>
      </c>
      <c r="W47" s="23">
        <v>962.2</v>
      </c>
      <c r="X47" s="23">
        <v>1050.8</v>
      </c>
      <c r="Y47" s="23">
        <v>936.9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218</v>
      </c>
      <c r="E48" s="23">
        <v>225.2</v>
      </c>
      <c r="F48" s="23">
        <v>242.5</v>
      </c>
      <c r="G48" s="23">
        <v>303.5</v>
      </c>
      <c r="H48" s="23">
        <v>382.1</v>
      </c>
      <c r="I48" s="23">
        <v>443.1</v>
      </c>
      <c r="J48" s="23">
        <v>549.29999999999995</v>
      </c>
      <c r="K48" s="23">
        <v>772.2</v>
      </c>
      <c r="L48" s="23">
        <v>757.9</v>
      </c>
      <c r="M48" s="23">
        <v>735.7</v>
      </c>
      <c r="N48" s="23">
        <v>720.8</v>
      </c>
      <c r="O48" s="23">
        <v>851.9</v>
      </c>
      <c r="P48" s="23">
        <v>855.1</v>
      </c>
      <c r="Q48" s="23">
        <v>720.2</v>
      </c>
      <c r="R48" s="23">
        <v>791.1</v>
      </c>
      <c r="S48" s="23">
        <v>898.7</v>
      </c>
      <c r="T48" s="23">
        <v>1207.5</v>
      </c>
      <c r="U48" s="23">
        <v>1455.4</v>
      </c>
      <c r="V48" s="23">
        <v>1263.2</v>
      </c>
      <c r="W48" s="23">
        <v>1341.7</v>
      </c>
      <c r="X48" s="23">
        <v>1199.4000000000001</v>
      </c>
      <c r="Y48" s="23">
        <v>1426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34</v>
      </c>
      <c r="E49" s="23">
        <v>57.8</v>
      </c>
      <c r="F49" s="23">
        <v>83.9</v>
      </c>
      <c r="G49" s="23">
        <v>83.6</v>
      </c>
      <c r="H49" s="23">
        <v>65.8</v>
      </c>
      <c r="I49" s="23">
        <v>72.2</v>
      </c>
      <c r="J49" s="23">
        <v>85</v>
      </c>
      <c r="K49" s="23">
        <v>110.3</v>
      </c>
      <c r="L49" s="23">
        <v>92.7</v>
      </c>
      <c r="M49" s="23">
        <v>86.6</v>
      </c>
      <c r="N49" s="23">
        <v>42.6</v>
      </c>
      <c r="O49" s="23">
        <v>46.7</v>
      </c>
      <c r="P49" s="23">
        <v>59.4</v>
      </c>
      <c r="Q49" s="23">
        <v>48.6</v>
      </c>
      <c r="R49" s="23">
        <v>83.7</v>
      </c>
      <c r="S49" s="23">
        <v>116.3</v>
      </c>
      <c r="T49" s="23">
        <v>123</v>
      </c>
      <c r="U49" s="23">
        <v>146.4</v>
      </c>
      <c r="V49" s="23">
        <v>215</v>
      </c>
      <c r="W49" s="23">
        <v>246.9</v>
      </c>
      <c r="X49" s="23">
        <v>279.89999999999998</v>
      </c>
      <c r="Y49" s="23">
        <v>327.3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40.5</v>
      </c>
      <c r="E50" s="23">
        <v>56.9</v>
      </c>
      <c r="F50" s="23">
        <v>64.599999999999994</v>
      </c>
      <c r="G50" s="23">
        <v>72</v>
      </c>
      <c r="H50" s="23">
        <v>66.7</v>
      </c>
      <c r="I50" s="23">
        <v>84.4</v>
      </c>
      <c r="J50" s="23">
        <v>106.8</v>
      </c>
      <c r="K50" s="23">
        <v>126.6</v>
      </c>
      <c r="L50" s="23">
        <v>180.6</v>
      </c>
      <c r="M50" s="23">
        <v>218.5</v>
      </c>
      <c r="N50" s="23">
        <v>230.7</v>
      </c>
      <c r="O50" s="23">
        <v>247.1</v>
      </c>
      <c r="P50" s="23">
        <v>272.29999999999995</v>
      </c>
      <c r="Q50" s="23">
        <v>271.8</v>
      </c>
      <c r="R50" s="23">
        <v>266.8</v>
      </c>
      <c r="S50" s="23">
        <v>313.89999999999998</v>
      </c>
      <c r="T50" s="23">
        <v>348.3</v>
      </c>
      <c r="U50" s="23">
        <v>416.1</v>
      </c>
      <c r="V50" s="23">
        <v>446</v>
      </c>
      <c r="W50" s="23">
        <v>491.4</v>
      </c>
      <c r="X50" s="23">
        <v>378.8</v>
      </c>
      <c r="Y50" s="23">
        <v>457.1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103.3</v>
      </c>
      <c r="E51" s="23">
        <v>140.6</v>
      </c>
      <c r="F51" s="23">
        <v>147.80000000000001</v>
      </c>
      <c r="G51" s="23">
        <v>160.50000000000003</v>
      </c>
      <c r="H51" s="23">
        <v>161.00000000000003</v>
      </c>
      <c r="I51" s="23">
        <v>196.1</v>
      </c>
      <c r="J51" s="23">
        <v>224.8</v>
      </c>
      <c r="K51" s="23">
        <v>299.8</v>
      </c>
      <c r="L51" s="23">
        <v>325.8</v>
      </c>
      <c r="M51" s="23">
        <v>289.60000000000002</v>
      </c>
      <c r="N51" s="23">
        <v>282.7</v>
      </c>
      <c r="O51" s="23">
        <v>341</v>
      </c>
      <c r="P51" s="23">
        <v>401.4</v>
      </c>
      <c r="Q51" s="23">
        <v>396.1</v>
      </c>
      <c r="R51" s="23">
        <v>401.4</v>
      </c>
      <c r="S51" s="23">
        <v>425.1</v>
      </c>
      <c r="T51" s="23">
        <v>450.4</v>
      </c>
      <c r="U51" s="23">
        <v>514.1</v>
      </c>
      <c r="V51" s="23">
        <v>585.99999999999989</v>
      </c>
      <c r="W51" s="23">
        <v>639.9</v>
      </c>
      <c r="X51" s="23">
        <v>559.9</v>
      </c>
      <c r="Y51" s="23">
        <v>584.29999999999995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35.29999999999999</v>
      </c>
      <c r="E52" s="23">
        <v>31.4</v>
      </c>
      <c r="F52" s="23">
        <v>44.9</v>
      </c>
      <c r="G52" s="23">
        <v>53.9</v>
      </c>
      <c r="H52" s="23">
        <v>57</v>
      </c>
      <c r="I52" s="23">
        <v>69.2</v>
      </c>
      <c r="J52" s="23">
        <v>83.4</v>
      </c>
      <c r="K52" s="23">
        <v>106.5</v>
      </c>
      <c r="L52" s="23">
        <v>119.19999999999999</v>
      </c>
      <c r="M52" s="23">
        <v>115.50000000000001</v>
      </c>
      <c r="N52" s="23">
        <v>178.5</v>
      </c>
      <c r="O52" s="23">
        <v>172.8</v>
      </c>
      <c r="P52" s="23">
        <v>184.8</v>
      </c>
      <c r="Q52" s="23">
        <v>190.7</v>
      </c>
      <c r="R52" s="23">
        <v>247.6</v>
      </c>
      <c r="S52" s="23">
        <v>287.7</v>
      </c>
      <c r="T52" s="23">
        <v>305.89999999999998</v>
      </c>
      <c r="U52" s="23">
        <v>347.3</v>
      </c>
      <c r="V52" s="23">
        <v>340.8</v>
      </c>
      <c r="W52" s="23">
        <v>373.1</v>
      </c>
      <c r="X52" s="23">
        <v>454.3</v>
      </c>
      <c r="Y52" s="23">
        <v>478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85.899999999997931</v>
      </c>
      <c r="E53" s="23">
        <v>102.80000000000113</v>
      </c>
      <c r="F53" s="23">
        <v>127.99999999999896</v>
      </c>
      <c r="G53" s="23">
        <v>156.0000000000006</v>
      </c>
      <c r="H53" s="23">
        <v>156.90000000000069</v>
      </c>
      <c r="I53" s="23">
        <v>207.09999999999962</v>
      </c>
      <c r="J53" s="23">
        <v>243.89999999999733</v>
      </c>
      <c r="K53" s="23">
        <v>328.80000000000115</v>
      </c>
      <c r="L53" s="23">
        <v>390.20000000000363</v>
      </c>
      <c r="M53" s="23">
        <v>382.90000000000435</v>
      </c>
      <c r="N53" s="23">
        <v>363.90000000000668</v>
      </c>
      <c r="O53" s="23">
        <v>431.00000000000153</v>
      </c>
      <c r="P53" s="23">
        <v>491.20000000000613</v>
      </c>
      <c r="Q53" s="23">
        <v>514.90000000000373</v>
      </c>
      <c r="R53" s="23">
        <v>612.40000000000043</v>
      </c>
      <c r="S53" s="23">
        <v>625.09999999999673</v>
      </c>
      <c r="T53" s="23">
        <v>702.50000000000296</v>
      </c>
      <c r="U53" s="23">
        <v>758.4000000000035</v>
      </c>
      <c r="V53" s="23">
        <v>755.89999999999429</v>
      </c>
      <c r="W53" s="23">
        <v>841.59999999999263</v>
      </c>
      <c r="X53" s="23">
        <v>724.4999999999975</v>
      </c>
      <c r="Y53" s="23">
        <v>822.79999999999779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1728.0999999999976</v>
      </c>
      <c r="E54" s="30">
        <f t="shared" ref="E54:S54" si="4">SUM(E41:E53)</f>
        <v>2072.3000000000015</v>
      </c>
      <c r="F54" s="30">
        <f t="shared" si="4"/>
        <v>2349.6999999999994</v>
      </c>
      <c r="G54" s="30">
        <f t="shared" si="4"/>
        <v>2609.2000000000003</v>
      </c>
      <c r="H54" s="30">
        <f t="shared" si="4"/>
        <v>2693.9</v>
      </c>
      <c r="I54" s="30">
        <f t="shared" si="4"/>
        <v>3250.2999999999988</v>
      </c>
      <c r="J54" s="30">
        <f t="shared" si="4"/>
        <v>3684.0999999999976</v>
      </c>
      <c r="K54" s="30">
        <f t="shared" si="4"/>
        <v>4552.5000000000009</v>
      </c>
      <c r="L54" s="30">
        <f t="shared" si="4"/>
        <v>4595.3000000000038</v>
      </c>
      <c r="M54" s="30">
        <f t="shared" si="4"/>
        <v>4819.3000000000038</v>
      </c>
      <c r="N54" s="30">
        <f t="shared" si="4"/>
        <v>4456.400000000006</v>
      </c>
      <c r="O54" s="30">
        <f t="shared" si="4"/>
        <v>5469.6000000000022</v>
      </c>
      <c r="P54" s="30">
        <f t="shared" si="4"/>
        <v>5937.5000000000064</v>
      </c>
      <c r="Q54" s="30">
        <f t="shared" si="4"/>
        <v>5369.100000000004</v>
      </c>
      <c r="R54" s="30">
        <f t="shared" si="4"/>
        <v>5605.1</v>
      </c>
      <c r="S54" s="30">
        <f t="shared" si="4"/>
        <v>6241.8999999999969</v>
      </c>
      <c r="T54" s="30">
        <f t="shared" ref="T54:Y54" si="5">SUM(T41:T53)</f>
        <v>7021.4000000000024</v>
      </c>
      <c r="U54" s="30">
        <f t="shared" si="5"/>
        <v>7360.4000000000042</v>
      </c>
      <c r="V54" s="30">
        <f t="shared" si="5"/>
        <v>7616.1999999999944</v>
      </c>
      <c r="W54" s="30">
        <f t="shared" si="5"/>
        <v>8239.3999999999924</v>
      </c>
      <c r="X54" s="30">
        <f t="shared" si="5"/>
        <v>7860.5999999999976</v>
      </c>
      <c r="Y54" s="30">
        <f t="shared" si="5"/>
        <v>8155.0999999999985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336.6</v>
      </c>
      <c r="E56" s="19">
        <v>423</v>
      </c>
      <c r="F56" s="19">
        <v>433.1</v>
      </c>
      <c r="G56" s="19">
        <v>555.79999999999995</v>
      </c>
      <c r="H56" s="19">
        <v>510.2</v>
      </c>
      <c r="I56" s="19">
        <v>605.29999999999995</v>
      </c>
      <c r="J56" s="19">
        <v>703.3</v>
      </c>
      <c r="K56" s="19">
        <v>840.5</v>
      </c>
      <c r="L56" s="19">
        <v>936.70000000000016</v>
      </c>
      <c r="M56" s="19">
        <v>1089.7</v>
      </c>
      <c r="N56" s="19">
        <v>927.10000000000014</v>
      </c>
      <c r="O56" s="19">
        <v>1065.5999999999999</v>
      </c>
      <c r="P56" s="19">
        <v>1404.7</v>
      </c>
      <c r="Q56" s="19">
        <v>1214.4000000000003</v>
      </c>
      <c r="R56" s="19">
        <v>1116.5</v>
      </c>
      <c r="S56" s="19">
        <v>1091.3</v>
      </c>
      <c r="T56" s="19">
        <v>1080.5</v>
      </c>
      <c r="U56" s="19">
        <v>862</v>
      </c>
      <c r="V56" s="19">
        <v>1236.8</v>
      </c>
      <c r="W56" s="19">
        <v>1278.4000000000003</v>
      </c>
      <c r="X56" s="19">
        <v>1428.1</v>
      </c>
      <c r="Y56" s="19">
        <v>1396.2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255.2</v>
      </c>
      <c r="E57" s="23">
        <v>348.5</v>
      </c>
      <c r="F57" s="23">
        <v>407.8</v>
      </c>
      <c r="G57" s="23">
        <v>465.7</v>
      </c>
      <c r="H57" s="23">
        <v>462.9</v>
      </c>
      <c r="I57" s="23">
        <v>528</v>
      </c>
      <c r="J57" s="23">
        <v>553.29999999999995</v>
      </c>
      <c r="K57" s="23">
        <v>671.9</v>
      </c>
      <c r="L57" s="23">
        <v>583.6</v>
      </c>
      <c r="M57" s="23">
        <v>707</v>
      </c>
      <c r="N57" s="23">
        <v>554.20000000000005</v>
      </c>
      <c r="O57" s="23">
        <v>834.3</v>
      </c>
      <c r="P57" s="23">
        <v>830.1</v>
      </c>
      <c r="Q57" s="23">
        <v>683.9</v>
      </c>
      <c r="R57" s="23">
        <v>700.9</v>
      </c>
      <c r="S57" s="23">
        <v>662.3</v>
      </c>
      <c r="T57" s="23">
        <v>716</v>
      </c>
      <c r="U57" s="23">
        <v>714.7</v>
      </c>
      <c r="V57" s="23">
        <v>735.1</v>
      </c>
      <c r="W57" s="23">
        <v>800.9</v>
      </c>
      <c r="X57" s="23">
        <v>720</v>
      </c>
      <c r="Y57" s="23">
        <v>553.9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25.3</v>
      </c>
      <c r="E58" s="23">
        <v>32.6</v>
      </c>
      <c r="F58" s="23">
        <v>32.200000000000003</v>
      </c>
      <c r="G58" s="23">
        <v>51.4</v>
      </c>
      <c r="H58" s="23">
        <v>67</v>
      </c>
      <c r="I58" s="23">
        <v>77.2</v>
      </c>
      <c r="J58" s="23">
        <v>83.8</v>
      </c>
      <c r="K58" s="23">
        <v>100.7</v>
      </c>
      <c r="L58" s="23">
        <v>89.9</v>
      </c>
      <c r="M58" s="23">
        <v>90.5</v>
      </c>
      <c r="N58" s="23">
        <v>94.6</v>
      </c>
      <c r="O58" s="23">
        <v>110.6</v>
      </c>
      <c r="P58" s="23">
        <v>108.1</v>
      </c>
      <c r="Q58" s="23">
        <v>89.2</v>
      </c>
      <c r="R58" s="23">
        <v>106.4</v>
      </c>
      <c r="S58" s="23">
        <v>134.30000000000001</v>
      </c>
      <c r="T58" s="23">
        <v>134.6</v>
      </c>
      <c r="U58" s="23">
        <v>149.39999999999998</v>
      </c>
      <c r="V58" s="23">
        <v>131.6</v>
      </c>
      <c r="W58" s="23">
        <v>130.80000000000001</v>
      </c>
      <c r="X58" s="23">
        <v>128.4</v>
      </c>
      <c r="Y58" s="23">
        <v>165.5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19.399999999999999</v>
      </c>
      <c r="E59" s="23">
        <v>31</v>
      </c>
      <c r="F59" s="23">
        <v>51.7</v>
      </c>
      <c r="G59" s="23">
        <v>59.4</v>
      </c>
      <c r="H59" s="23">
        <v>54.1</v>
      </c>
      <c r="I59" s="23">
        <v>65.3</v>
      </c>
      <c r="J59" s="23">
        <v>69.400000000000006</v>
      </c>
      <c r="K59" s="23">
        <v>81.599999999999994</v>
      </c>
      <c r="L59" s="23">
        <v>88.9</v>
      </c>
      <c r="M59" s="23">
        <v>115.10000000000002</v>
      </c>
      <c r="N59" s="23">
        <v>115.7</v>
      </c>
      <c r="O59" s="23">
        <v>142.80000000000001</v>
      </c>
      <c r="P59" s="23">
        <v>142.1</v>
      </c>
      <c r="Q59" s="23">
        <v>140.89999999999998</v>
      </c>
      <c r="R59" s="23">
        <v>127.50000000000001</v>
      </c>
      <c r="S59" s="23">
        <v>149.6</v>
      </c>
      <c r="T59" s="23">
        <v>155.30000000000001</v>
      </c>
      <c r="U59" s="23">
        <v>162.30000000000001</v>
      </c>
      <c r="V59" s="23">
        <v>175.9</v>
      </c>
      <c r="W59" s="23">
        <v>170.7</v>
      </c>
      <c r="X59" s="23">
        <v>160.9</v>
      </c>
      <c r="Y59" s="23">
        <v>172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22.800000000000008</v>
      </c>
      <c r="E60" s="23">
        <v>28.29999999999999</v>
      </c>
      <c r="F60" s="23">
        <v>30.4</v>
      </c>
      <c r="G60" s="23">
        <v>34.000000000000021</v>
      </c>
      <c r="H60" s="23">
        <v>34.4</v>
      </c>
      <c r="I60" s="23">
        <v>45.300000000000011</v>
      </c>
      <c r="J60" s="23">
        <v>47.70000000000001</v>
      </c>
      <c r="K60" s="23">
        <v>63.40000000000002</v>
      </c>
      <c r="L60" s="23">
        <v>98.000000000000014</v>
      </c>
      <c r="M60" s="23">
        <v>88.500000000000043</v>
      </c>
      <c r="N60" s="23">
        <v>89.099999999999952</v>
      </c>
      <c r="O60" s="23">
        <v>109.69999999999993</v>
      </c>
      <c r="P60" s="23">
        <v>105.6</v>
      </c>
      <c r="Q60" s="23">
        <v>105.70000000000002</v>
      </c>
      <c r="R60" s="23">
        <v>107.59999999999998</v>
      </c>
      <c r="S60" s="23">
        <v>109.6</v>
      </c>
      <c r="T60" s="23">
        <v>121.49999999999994</v>
      </c>
      <c r="U60" s="23">
        <v>122.4</v>
      </c>
      <c r="V60" s="23">
        <v>137.90000000000003</v>
      </c>
      <c r="W60" s="23">
        <v>163.79999999999995</v>
      </c>
      <c r="X60" s="23">
        <v>141.40000000000003</v>
      </c>
      <c r="Y60" s="23">
        <v>162.30000000000001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251.8</v>
      </c>
      <c r="E61" s="23">
        <v>187.2</v>
      </c>
      <c r="F61" s="23">
        <v>206.6</v>
      </c>
      <c r="G61" s="23">
        <v>133.4</v>
      </c>
      <c r="H61" s="23">
        <v>203.3</v>
      </c>
      <c r="I61" s="23">
        <v>277.3</v>
      </c>
      <c r="J61" s="23">
        <v>230.8</v>
      </c>
      <c r="K61" s="23">
        <v>128.6</v>
      </c>
      <c r="L61" s="23">
        <v>66.900000000000006</v>
      </c>
      <c r="M61" s="23">
        <v>81.8</v>
      </c>
      <c r="N61" s="23">
        <v>82.5</v>
      </c>
      <c r="O61" s="23">
        <v>159.99999999999997</v>
      </c>
      <c r="P61" s="23">
        <v>133.80000000000001</v>
      </c>
      <c r="Q61" s="23">
        <v>121.7</v>
      </c>
      <c r="R61" s="23">
        <v>-78.8</v>
      </c>
      <c r="S61" s="23">
        <v>134.69999999999999</v>
      </c>
      <c r="T61" s="23">
        <v>305.89999999999998</v>
      </c>
      <c r="U61" s="23">
        <v>308</v>
      </c>
      <c r="V61" s="23">
        <v>113.1</v>
      </c>
      <c r="W61" s="23">
        <v>176.3</v>
      </c>
      <c r="X61" s="23">
        <v>-69</v>
      </c>
      <c r="Y61" s="23">
        <v>331.7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123.4</v>
      </c>
      <c r="E62" s="23">
        <v>163.9</v>
      </c>
      <c r="F62" s="23">
        <v>158.5</v>
      </c>
      <c r="G62" s="23">
        <v>161.80000000000004</v>
      </c>
      <c r="H62" s="23">
        <v>136.6</v>
      </c>
      <c r="I62" s="23">
        <v>165.4</v>
      </c>
      <c r="J62" s="23">
        <v>177.8</v>
      </c>
      <c r="K62" s="23">
        <v>209.9</v>
      </c>
      <c r="L62" s="23">
        <v>200.9</v>
      </c>
      <c r="M62" s="23">
        <v>184.6</v>
      </c>
      <c r="N62" s="23">
        <v>170.2</v>
      </c>
      <c r="O62" s="23">
        <v>250.6</v>
      </c>
      <c r="P62" s="23">
        <v>256.20000000000005</v>
      </c>
      <c r="Q62" s="23">
        <v>227.3</v>
      </c>
      <c r="R62" s="23">
        <v>330.9</v>
      </c>
      <c r="S62" s="23">
        <v>403.3</v>
      </c>
      <c r="T62" s="23">
        <v>399.3</v>
      </c>
      <c r="U62" s="23">
        <v>435.1</v>
      </c>
      <c r="V62" s="23">
        <v>392.1</v>
      </c>
      <c r="W62" s="23">
        <v>427.4</v>
      </c>
      <c r="X62" s="23">
        <v>477.9</v>
      </c>
      <c r="Y62" s="23">
        <v>248.3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58.3</v>
      </c>
      <c r="E63" s="23">
        <v>77.400000000000006</v>
      </c>
      <c r="F63" s="23">
        <v>74.400000000000006</v>
      </c>
      <c r="G63" s="23">
        <v>76.199999999999989</v>
      </c>
      <c r="H63" s="23">
        <v>67.8</v>
      </c>
      <c r="I63" s="23">
        <v>78.7</v>
      </c>
      <c r="J63" s="23">
        <v>84.6</v>
      </c>
      <c r="K63" s="23">
        <v>105.1</v>
      </c>
      <c r="L63" s="23">
        <v>101.3</v>
      </c>
      <c r="M63" s="23">
        <v>104.5</v>
      </c>
      <c r="N63" s="23">
        <v>164.4</v>
      </c>
      <c r="O63" s="23">
        <v>181.9</v>
      </c>
      <c r="P63" s="23">
        <v>196.9</v>
      </c>
      <c r="Q63" s="23">
        <v>198.2</v>
      </c>
      <c r="R63" s="23">
        <v>226</v>
      </c>
      <c r="S63" s="23">
        <v>218.5</v>
      </c>
      <c r="T63" s="23">
        <v>233.5</v>
      </c>
      <c r="U63" s="23">
        <v>240.8</v>
      </c>
      <c r="V63" s="23">
        <v>237</v>
      </c>
      <c r="W63" s="23">
        <v>194.3</v>
      </c>
      <c r="X63" s="23">
        <v>225.3</v>
      </c>
      <c r="Y63" s="23">
        <v>92.8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40.200000000000003</v>
      </c>
      <c r="E64" s="23">
        <v>43</v>
      </c>
      <c r="F64" s="23">
        <v>62.6</v>
      </c>
      <c r="G64" s="23">
        <v>81.8</v>
      </c>
      <c r="H64" s="23">
        <v>72.099999999999994</v>
      </c>
      <c r="I64" s="23">
        <v>90.3</v>
      </c>
      <c r="J64" s="23">
        <v>106.6</v>
      </c>
      <c r="K64" s="23">
        <v>129.80000000000001</v>
      </c>
      <c r="L64" s="23">
        <v>146.6</v>
      </c>
      <c r="M64" s="23">
        <v>160</v>
      </c>
      <c r="N64" s="23">
        <v>153.6</v>
      </c>
      <c r="O64" s="23">
        <v>187.8</v>
      </c>
      <c r="P64" s="23">
        <v>180.9</v>
      </c>
      <c r="Q64" s="23">
        <v>178.5</v>
      </c>
      <c r="R64" s="23">
        <v>254.4</v>
      </c>
      <c r="S64" s="23">
        <v>313</v>
      </c>
      <c r="T64" s="23">
        <v>360.6</v>
      </c>
      <c r="U64" s="23">
        <v>349.1</v>
      </c>
      <c r="V64" s="23">
        <v>411.5</v>
      </c>
      <c r="W64" s="23">
        <v>467.9</v>
      </c>
      <c r="X64" s="23">
        <v>535.1</v>
      </c>
      <c r="Y64" s="23">
        <v>505.4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78.099999999999994</v>
      </c>
      <c r="E65" s="23">
        <v>122.69999999999999</v>
      </c>
      <c r="F65" s="23">
        <v>180.70000000000005</v>
      </c>
      <c r="G65" s="23">
        <v>160.19999999999999</v>
      </c>
      <c r="H65" s="23">
        <v>196.00000000000003</v>
      </c>
      <c r="I65" s="23">
        <v>245.40000000000003</v>
      </c>
      <c r="J65" s="23">
        <v>333.6</v>
      </c>
      <c r="K65" s="23">
        <v>476.80000000000007</v>
      </c>
      <c r="L65" s="23">
        <v>416.10000000000014</v>
      </c>
      <c r="M65" s="23">
        <v>368.79999999999995</v>
      </c>
      <c r="N65" s="23">
        <v>285.8</v>
      </c>
      <c r="O65" s="23">
        <v>335.8</v>
      </c>
      <c r="P65" s="23">
        <v>314.89999999999998</v>
      </c>
      <c r="Q65" s="23">
        <v>266.99999999999994</v>
      </c>
      <c r="R65" s="23">
        <v>310.7</v>
      </c>
      <c r="S65" s="23">
        <v>358.5</v>
      </c>
      <c r="T65" s="23">
        <v>376.60000000000008</v>
      </c>
      <c r="U65" s="23">
        <v>378.90000000000009</v>
      </c>
      <c r="V65" s="23">
        <v>438.29999999999995</v>
      </c>
      <c r="W65" s="23">
        <v>494.3</v>
      </c>
      <c r="X65" s="23">
        <v>515.70000000000005</v>
      </c>
      <c r="Y65" s="23">
        <v>431.5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137.9</v>
      </c>
      <c r="E66" s="23">
        <v>114.6</v>
      </c>
      <c r="F66" s="23">
        <v>101.1</v>
      </c>
      <c r="G66" s="23">
        <v>139.6</v>
      </c>
      <c r="H66" s="23">
        <v>211</v>
      </c>
      <c r="I66" s="23">
        <v>235.2</v>
      </c>
      <c r="J66" s="23">
        <v>282.8</v>
      </c>
      <c r="K66" s="23">
        <v>413.90000000000009</v>
      </c>
      <c r="L66" s="23">
        <v>346.9</v>
      </c>
      <c r="M66" s="23">
        <v>378.8</v>
      </c>
      <c r="N66" s="23">
        <v>358</v>
      </c>
      <c r="O66" s="23">
        <v>447.5</v>
      </c>
      <c r="P66" s="23">
        <v>458.4</v>
      </c>
      <c r="Q66" s="23">
        <v>325.7</v>
      </c>
      <c r="R66" s="23">
        <v>275.3</v>
      </c>
      <c r="S66" s="23">
        <v>327.39999999999998</v>
      </c>
      <c r="T66" s="23">
        <v>434.8</v>
      </c>
      <c r="U66" s="23">
        <v>540.9</v>
      </c>
      <c r="V66" s="23">
        <v>432.4</v>
      </c>
      <c r="W66" s="23">
        <v>509.1</v>
      </c>
      <c r="X66" s="23">
        <v>447.3</v>
      </c>
      <c r="Y66" s="23">
        <v>715.2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80.099999999999994</v>
      </c>
      <c r="E67" s="23">
        <v>110.6</v>
      </c>
      <c r="F67" s="23">
        <v>141.4</v>
      </c>
      <c r="G67" s="23">
        <v>163.90000000000003</v>
      </c>
      <c r="H67" s="23">
        <v>171.1</v>
      </c>
      <c r="I67" s="23">
        <v>207.9</v>
      </c>
      <c r="J67" s="23">
        <v>266.49999999999994</v>
      </c>
      <c r="K67" s="23">
        <v>358.29999999999995</v>
      </c>
      <c r="L67" s="23">
        <v>410.99999999999994</v>
      </c>
      <c r="M67" s="23">
        <v>356.9</v>
      </c>
      <c r="N67" s="23">
        <v>362.8</v>
      </c>
      <c r="O67" s="23">
        <v>404.4</v>
      </c>
      <c r="P67" s="23">
        <v>396.70000000000005</v>
      </c>
      <c r="Q67" s="23">
        <v>394.5</v>
      </c>
      <c r="R67" s="23">
        <v>515.79999999999995</v>
      </c>
      <c r="S67" s="23">
        <v>571.30000000000007</v>
      </c>
      <c r="T67" s="23">
        <v>772.7</v>
      </c>
      <c r="U67" s="23">
        <v>914.5</v>
      </c>
      <c r="V67" s="23">
        <v>830.8</v>
      </c>
      <c r="W67" s="23">
        <v>832.59999999999991</v>
      </c>
      <c r="X67" s="23">
        <v>752.10000000000025</v>
      </c>
      <c r="Y67" s="23">
        <v>710.79999999999984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34</v>
      </c>
      <c r="E68" s="23">
        <v>57.8</v>
      </c>
      <c r="F68" s="23">
        <v>83.9</v>
      </c>
      <c r="G68" s="23">
        <v>83.6</v>
      </c>
      <c r="H68" s="23">
        <v>65.8</v>
      </c>
      <c r="I68" s="23">
        <v>72.2</v>
      </c>
      <c r="J68" s="23">
        <v>85</v>
      </c>
      <c r="K68" s="23">
        <v>110.3</v>
      </c>
      <c r="L68" s="23">
        <v>92.7</v>
      </c>
      <c r="M68" s="23">
        <v>86.6</v>
      </c>
      <c r="N68" s="23">
        <v>42.6</v>
      </c>
      <c r="O68" s="23">
        <v>46.7</v>
      </c>
      <c r="P68" s="23">
        <v>59.4</v>
      </c>
      <c r="Q68" s="23">
        <v>48.6</v>
      </c>
      <c r="R68" s="23">
        <v>83.7</v>
      </c>
      <c r="S68" s="23">
        <v>116.3</v>
      </c>
      <c r="T68" s="23">
        <v>123</v>
      </c>
      <c r="U68" s="23">
        <v>146.4</v>
      </c>
      <c r="V68" s="23">
        <v>215</v>
      </c>
      <c r="W68" s="23">
        <v>246.9</v>
      </c>
      <c r="X68" s="23">
        <v>279.89999999999998</v>
      </c>
      <c r="Y68" s="23">
        <v>327.3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40.5</v>
      </c>
      <c r="E69" s="23">
        <v>56.9</v>
      </c>
      <c r="F69" s="23">
        <v>64.599999999999994</v>
      </c>
      <c r="G69" s="23">
        <v>72</v>
      </c>
      <c r="H69" s="23">
        <v>66.7</v>
      </c>
      <c r="I69" s="23">
        <v>84.4</v>
      </c>
      <c r="J69" s="23">
        <v>106.8</v>
      </c>
      <c r="K69" s="23">
        <v>126.6</v>
      </c>
      <c r="L69" s="23">
        <v>180.6</v>
      </c>
      <c r="M69" s="23">
        <v>218.5</v>
      </c>
      <c r="N69" s="23">
        <v>230.7</v>
      </c>
      <c r="O69" s="23">
        <v>247.1</v>
      </c>
      <c r="P69" s="23">
        <v>272.29999999999995</v>
      </c>
      <c r="Q69" s="23">
        <v>271.8</v>
      </c>
      <c r="R69" s="23">
        <v>266.8</v>
      </c>
      <c r="S69" s="23">
        <v>313.89999999999998</v>
      </c>
      <c r="T69" s="23">
        <v>348.3</v>
      </c>
      <c r="U69" s="23">
        <v>416.1</v>
      </c>
      <c r="V69" s="23">
        <v>446</v>
      </c>
      <c r="W69" s="23">
        <v>491.4</v>
      </c>
      <c r="X69" s="23">
        <v>378.8</v>
      </c>
      <c r="Y69" s="23">
        <v>457.1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103.3</v>
      </c>
      <c r="E70" s="23">
        <v>140.6</v>
      </c>
      <c r="F70" s="23">
        <v>147.80000000000001</v>
      </c>
      <c r="G70" s="23">
        <v>160.50000000000003</v>
      </c>
      <c r="H70" s="23">
        <v>161.00000000000003</v>
      </c>
      <c r="I70" s="23">
        <v>196.1</v>
      </c>
      <c r="J70" s="23">
        <v>224.8</v>
      </c>
      <c r="K70" s="23">
        <v>299.8</v>
      </c>
      <c r="L70" s="23">
        <v>325.8</v>
      </c>
      <c r="M70" s="23">
        <v>289.60000000000002</v>
      </c>
      <c r="N70" s="23">
        <v>282.7</v>
      </c>
      <c r="O70" s="23">
        <v>341</v>
      </c>
      <c r="P70" s="23">
        <v>401.4</v>
      </c>
      <c r="Q70" s="23">
        <v>396.1</v>
      </c>
      <c r="R70" s="23">
        <v>401.4</v>
      </c>
      <c r="S70" s="23">
        <v>425.1</v>
      </c>
      <c r="T70" s="23">
        <v>450.4</v>
      </c>
      <c r="U70" s="23">
        <v>514.1</v>
      </c>
      <c r="V70" s="23">
        <v>585.99999999999989</v>
      </c>
      <c r="W70" s="23">
        <v>639.9</v>
      </c>
      <c r="X70" s="23">
        <v>559.9</v>
      </c>
      <c r="Y70" s="23">
        <v>584.29999999999995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17.100000000000001</v>
      </c>
      <c r="E71" s="23">
        <v>19.899999999999999</v>
      </c>
      <c r="F71" s="23">
        <v>26.6</v>
      </c>
      <c r="G71" s="23">
        <v>26.8</v>
      </c>
      <c r="H71" s="23">
        <v>26.8</v>
      </c>
      <c r="I71" s="23">
        <v>34.700000000000003</v>
      </c>
      <c r="J71" s="23">
        <v>43.5</v>
      </c>
      <c r="K71" s="23">
        <v>53.199999999999989</v>
      </c>
      <c r="L71" s="23">
        <v>52.3</v>
      </c>
      <c r="M71" s="23">
        <v>61.9</v>
      </c>
      <c r="N71" s="23">
        <v>110.1</v>
      </c>
      <c r="O71" s="23">
        <v>124.70000000000002</v>
      </c>
      <c r="P71" s="23">
        <v>131.5</v>
      </c>
      <c r="Q71" s="23">
        <v>137.6</v>
      </c>
      <c r="R71" s="23">
        <v>186.5</v>
      </c>
      <c r="S71" s="23">
        <v>215.9</v>
      </c>
      <c r="T71" s="23">
        <v>242.5</v>
      </c>
      <c r="U71" s="23">
        <v>277.5</v>
      </c>
      <c r="V71" s="23">
        <v>244.8</v>
      </c>
      <c r="W71" s="23">
        <v>273.60000000000002</v>
      </c>
      <c r="X71" s="23">
        <v>342.4</v>
      </c>
      <c r="Y71" s="23">
        <v>413.2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18.199999999999992</v>
      </c>
      <c r="E72" s="23">
        <v>11.500000000000002</v>
      </c>
      <c r="F72" s="23">
        <v>18.3</v>
      </c>
      <c r="G72" s="23">
        <v>27.1</v>
      </c>
      <c r="H72" s="23">
        <v>30.2</v>
      </c>
      <c r="I72" s="23">
        <v>34.499999999999993</v>
      </c>
      <c r="J72" s="23">
        <v>39.900000000000006</v>
      </c>
      <c r="K72" s="23">
        <v>53.300000000000011</v>
      </c>
      <c r="L72" s="23">
        <v>66.899999999999977</v>
      </c>
      <c r="M72" s="23">
        <v>53.600000000000009</v>
      </c>
      <c r="N72" s="23">
        <v>68.399999999999991</v>
      </c>
      <c r="O72" s="23">
        <v>48.09999999999998</v>
      </c>
      <c r="P72" s="23">
        <v>53.3</v>
      </c>
      <c r="Q72" s="23">
        <v>53.100000000000009</v>
      </c>
      <c r="R72" s="23">
        <v>61.09999999999998</v>
      </c>
      <c r="S72" s="23">
        <v>71.799999999999983</v>
      </c>
      <c r="T72" s="23">
        <v>63.399999999999956</v>
      </c>
      <c r="U72" s="23">
        <v>69.799999999999969</v>
      </c>
      <c r="V72" s="23">
        <v>96</v>
      </c>
      <c r="W72" s="23">
        <v>99.499999999999943</v>
      </c>
      <c r="X72" s="23">
        <v>111.89999999999995</v>
      </c>
      <c r="Y72" s="23">
        <v>64.8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42</v>
      </c>
      <c r="E73" s="23">
        <v>54.6</v>
      </c>
      <c r="F73" s="23">
        <v>63.3</v>
      </c>
      <c r="G73" s="23">
        <v>84.3</v>
      </c>
      <c r="H73" s="23">
        <v>80.599999999999994</v>
      </c>
      <c r="I73" s="23">
        <v>113.6</v>
      </c>
      <c r="J73" s="23">
        <v>131.6</v>
      </c>
      <c r="K73" s="23">
        <v>175.6</v>
      </c>
      <c r="L73" s="23">
        <v>179.5</v>
      </c>
      <c r="M73" s="23">
        <v>175.1</v>
      </c>
      <c r="N73" s="23">
        <v>200.2</v>
      </c>
      <c r="O73" s="23">
        <v>252.6</v>
      </c>
      <c r="P73" s="23">
        <v>322.89999999999998</v>
      </c>
      <c r="Q73" s="23">
        <v>348.2</v>
      </c>
      <c r="R73" s="23">
        <v>413.7</v>
      </c>
      <c r="S73" s="23">
        <v>429.1</v>
      </c>
      <c r="T73" s="23">
        <v>482.2</v>
      </c>
      <c r="U73" s="23">
        <v>512.29999999999995</v>
      </c>
      <c r="V73" s="23">
        <v>463.2</v>
      </c>
      <c r="W73" s="23">
        <v>517.5</v>
      </c>
      <c r="X73" s="23">
        <v>403.1</v>
      </c>
      <c r="Y73" s="23">
        <v>485.4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43.899999999997917</v>
      </c>
      <c r="E74" s="23">
        <v>48.200000000001118</v>
      </c>
      <c r="F74" s="23">
        <v>64.699999999998965</v>
      </c>
      <c r="G74" s="23">
        <v>71.7000000000006</v>
      </c>
      <c r="H74" s="23">
        <v>76.300000000000679</v>
      </c>
      <c r="I74" s="23">
        <v>93.499999999999659</v>
      </c>
      <c r="J74" s="23">
        <v>112.29999999999737</v>
      </c>
      <c r="K74" s="23">
        <v>153.20000000000115</v>
      </c>
      <c r="L74" s="23">
        <v>210.7000000000036</v>
      </c>
      <c r="M74" s="23">
        <v>207.80000000000433</v>
      </c>
      <c r="N74" s="23">
        <v>163.70000000000672</v>
      </c>
      <c r="O74" s="23">
        <v>178.40000000000148</v>
      </c>
      <c r="P74" s="23">
        <v>168.30000000000612</v>
      </c>
      <c r="Q74" s="23">
        <v>166.7000000000038</v>
      </c>
      <c r="R74" s="23">
        <v>198.70000000000044</v>
      </c>
      <c r="S74" s="23">
        <v>195.9999999999967</v>
      </c>
      <c r="T74" s="23">
        <v>220.30000000000294</v>
      </c>
      <c r="U74" s="23">
        <v>246.10000000000363</v>
      </c>
      <c r="V74" s="23">
        <v>292.69999999999436</v>
      </c>
      <c r="W74" s="23">
        <v>324.09999999999252</v>
      </c>
      <c r="X74" s="23">
        <v>321.39999999999748</v>
      </c>
      <c r="Y74" s="23">
        <v>337.39999999999787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1728.0999999999976</v>
      </c>
      <c r="E75" s="30">
        <f t="shared" ref="E75:S75" si="6">SUM(E56:E74)</f>
        <v>2072.3000000000011</v>
      </c>
      <c r="F75" s="30">
        <f t="shared" si="6"/>
        <v>2349.6999999999994</v>
      </c>
      <c r="G75" s="30">
        <f t="shared" si="6"/>
        <v>2609.2000000000012</v>
      </c>
      <c r="H75" s="30">
        <f t="shared" si="6"/>
        <v>2693.9</v>
      </c>
      <c r="I75" s="30">
        <f t="shared" si="6"/>
        <v>3250.2999999999988</v>
      </c>
      <c r="J75" s="30">
        <f t="shared" si="6"/>
        <v>3684.0999999999976</v>
      </c>
      <c r="K75" s="30">
        <f t="shared" si="6"/>
        <v>4552.5000000000009</v>
      </c>
      <c r="L75" s="30">
        <f t="shared" si="6"/>
        <v>4595.3000000000038</v>
      </c>
      <c r="M75" s="30">
        <f t="shared" si="6"/>
        <v>4819.3000000000056</v>
      </c>
      <c r="N75" s="30">
        <f t="shared" si="6"/>
        <v>4456.4000000000069</v>
      </c>
      <c r="O75" s="30">
        <f t="shared" si="6"/>
        <v>5469.6000000000022</v>
      </c>
      <c r="P75" s="30">
        <f t="shared" si="6"/>
        <v>5937.5000000000064</v>
      </c>
      <c r="Q75" s="30">
        <f t="shared" si="6"/>
        <v>5369.100000000004</v>
      </c>
      <c r="R75" s="30">
        <f t="shared" si="6"/>
        <v>5605.1</v>
      </c>
      <c r="S75" s="30">
        <f t="shared" si="6"/>
        <v>6241.8999999999969</v>
      </c>
      <c r="T75" s="30">
        <f t="shared" ref="T75:Y75" si="7">SUM(T56:T74)</f>
        <v>7021.4000000000024</v>
      </c>
      <c r="U75" s="30">
        <f t="shared" si="7"/>
        <v>7360.4000000000051</v>
      </c>
      <c r="V75" s="30">
        <f t="shared" si="7"/>
        <v>7616.1999999999944</v>
      </c>
      <c r="W75" s="30">
        <f t="shared" si="7"/>
        <v>8239.3999999999942</v>
      </c>
      <c r="X75" s="30">
        <f t="shared" si="7"/>
        <v>7860.5999999999976</v>
      </c>
      <c r="Y75" s="30">
        <f t="shared" si="7"/>
        <v>8155.0999999999985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27403.499449652711</v>
      </c>
      <c r="E2" s="19">
        <v>28451.094733829421</v>
      </c>
      <c r="F2" s="19">
        <v>30122.01637225334</v>
      </c>
      <c r="G2" s="19">
        <v>31699.268152844761</v>
      </c>
      <c r="H2" s="19">
        <v>33763.165476838367</v>
      </c>
      <c r="I2" s="19">
        <v>36145.877187706741</v>
      </c>
      <c r="J2" s="19">
        <v>38604.546350807024</v>
      </c>
      <c r="K2" s="19">
        <v>41173.255209324147</v>
      </c>
      <c r="L2" s="19">
        <v>43697.294633848745</v>
      </c>
      <c r="M2" s="19">
        <v>42234.550482532868</v>
      </c>
      <c r="N2" s="19">
        <v>42891.388117214803</v>
      </c>
      <c r="O2" s="19">
        <v>43787.963559205731</v>
      </c>
      <c r="P2" s="19">
        <v>44115.657266947164</v>
      </c>
      <c r="Q2" s="19">
        <v>43876.641871237647</v>
      </c>
      <c r="R2" s="19">
        <v>44292.802948413067</v>
      </c>
      <c r="S2" s="19">
        <v>45797.8</v>
      </c>
      <c r="T2" s="19">
        <v>47183.713367659017</v>
      </c>
      <c r="U2" s="19">
        <v>48479.459264799581</v>
      </c>
      <c r="V2" s="19">
        <v>49785.884499880412</v>
      </c>
      <c r="W2" s="19">
        <v>51794.91064589173</v>
      </c>
      <c r="X2" s="19">
        <v>49740.590030518819</v>
      </c>
      <c r="Y2" s="19">
        <v>53551.856150240412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15336.795015178141</v>
      </c>
      <c r="E3" s="23">
        <v>16513.901711794886</v>
      </c>
      <c r="F3" s="23">
        <v>17454.03215189503</v>
      </c>
      <c r="G3" s="23">
        <v>18587.674141290754</v>
      </c>
      <c r="H3" s="23">
        <v>20348.448283161862</v>
      </c>
      <c r="I3" s="23">
        <v>21836.880275829273</v>
      </c>
      <c r="J3" s="23">
        <v>23700.021975465039</v>
      </c>
      <c r="K3" s="23">
        <v>26423.973204741429</v>
      </c>
      <c r="L3" s="23">
        <v>27346.304372134629</v>
      </c>
      <c r="M3" s="23">
        <v>26180.091100988779</v>
      </c>
      <c r="N3" s="23">
        <v>26799.454595036816</v>
      </c>
      <c r="O3" s="23">
        <v>27332.723141017545</v>
      </c>
      <c r="P3" s="23">
        <v>28352.340721496588</v>
      </c>
      <c r="Q3" s="23">
        <v>27256.740914419697</v>
      </c>
      <c r="R3" s="23">
        <v>27630.614584612867</v>
      </c>
      <c r="S3" s="23">
        <v>28409.4</v>
      </c>
      <c r="T3" s="23">
        <v>29024.83158774647</v>
      </c>
      <c r="U3" s="23">
        <v>29765.5574356082</v>
      </c>
      <c r="V3" s="23">
        <v>30872.035913301323</v>
      </c>
      <c r="W3" s="23">
        <v>32711.852205134663</v>
      </c>
      <c r="X3" s="23">
        <v>32527.81675795573</v>
      </c>
      <c r="Y3" s="23">
        <v>35282.790070110415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23775.966342361295</v>
      </c>
      <c r="E4" s="27">
        <v>24744.056240505884</v>
      </c>
      <c r="F4" s="27">
        <v>26624.550590652289</v>
      </c>
      <c r="G4" s="27">
        <v>27730.953226160895</v>
      </c>
      <c r="H4" s="27">
        <v>29083.268933539413</v>
      </c>
      <c r="I4" s="27">
        <v>30961.020080564555</v>
      </c>
      <c r="J4" s="27">
        <v>33172.602661160818</v>
      </c>
      <c r="K4" s="27">
        <v>35344.960344960346</v>
      </c>
      <c r="L4" s="27">
        <v>37519.109577552539</v>
      </c>
      <c r="M4" s="27">
        <v>37197.066764288655</v>
      </c>
      <c r="N4" s="27">
        <v>37877.874361095695</v>
      </c>
      <c r="O4" s="27">
        <v>38597.441364605547</v>
      </c>
      <c r="P4" s="27">
        <v>38695.459952210032</v>
      </c>
      <c r="Q4" s="27">
        <v>38057.646083278225</v>
      </c>
      <c r="R4" s="27">
        <v>38423.550974597652</v>
      </c>
      <c r="S4" s="27">
        <v>39554.300000000003</v>
      </c>
      <c r="T4" s="27">
        <v>40573.527279756439</v>
      </c>
      <c r="U4" s="27">
        <v>41904.730965220864</v>
      </c>
      <c r="V4" s="27">
        <v>43367.832267488462</v>
      </c>
      <c r="W4" s="27">
        <v>44981.625740897543</v>
      </c>
      <c r="X4" s="27">
        <v>43181.395799833546</v>
      </c>
      <c r="Y4" s="27">
        <v>46647.030572273332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2975.2826715750725</v>
      </c>
      <c r="E6" s="19">
        <v>2978.9451372452045</v>
      </c>
      <c r="F6" s="19">
        <v>2905.6668378702279</v>
      </c>
      <c r="G6" s="19">
        <v>2890.2750308501109</v>
      </c>
      <c r="H6" s="19">
        <v>2870.2988150437918</v>
      </c>
      <c r="I6" s="19">
        <v>2651.6642941514974</v>
      </c>
      <c r="J6" s="19">
        <v>2395.9050240880938</v>
      </c>
      <c r="K6" s="19">
        <v>1938.0919380919381</v>
      </c>
      <c r="L6" s="19">
        <v>2619.2701219658302</v>
      </c>
      <c r="M6" s="19">
        <v>1813.1377842859104</v>
      </c>
      <c r="N6" s="19">
        <v>1749.8328365651598</v>
      </c>
      <c r="O6" s="19">
        <v>2061.3006396588485</v>
      </c>
      <c r="P6" s="19">
        <v>1970.5470583900885</v>
      </c>
      <c r="Q6" s="19">
        <v>1993.2613282111031</v>
      </c>
      <c r="R6" s="19">
        <v>2019.6258121647083</v>
      </c>
      <c r="S6" s="19">
        <v>1860.3</v>
      </c>
      <c r="T6" s="19">
        <v>1910.5977866911514</v>
      </c>
      <c r="U6" s="19">
        <v>1970.2609131496142</v>
      </c>
      <c r="V6" s="19">
        <v>1694.9605429574078</v>
      </c>
      <c r="W6" s="19">
        <v>1689.5004233700254</v>
      </c>
      <c r="X6" s="19">
        <v>1737.5178777766107</v>
      </c>
      <c r="Y6" s="19">
        <v>2329.2410211769648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4935.9528192028811</v>
      </c>
      <c r="E7" s="23">
        <v>5423.0402373971119</v>
      </c>
      <c r="F7" s="23">
        <v>5853.9633624379385</v>
      </c>
      <c r="G7" s="23">
        <v>6372.1960207583215</v>
      </c>
      <c r="H7" s="23">
        <v>6403.5935085007732</v>
      </c>
      <c r="I7" s="23">
        <v>6921.282975436894</v>
      </c>
      <c r="J7" s="23">
        <v>7652.7013076393632</v>
      </c>
      <c r="K7" s="23">
        <v>8142.88647621981</v>
      </c>
      <c r="L7" s="23">
        <v>7785.9248077061347</v>
      </c>
      <c r="M7" s="23">
        <v>7817.4621333455398</v>
      </c>
      <c r="N7" s="23">
        <v>7605.6529573761654</v>
      </c>
      <c r="O7" s="23">
        <v>8626.652452025588</v>
      </c>
      <c r="P7" s="23">
        <v>9035.3582669291318</v>
      </c>
      <c r="Q7" s="23">
        <v>8565.8804882912991</v>
      </c>
      <c r="R7" s="23">
        <v>8686.0178959399491</v>
      </c>
      <c r="S7" s="23">
        <v>9278.6999999999971</v>
      </c>
      <c r="T7" s="23">
        <v>9933.9873387135776</v>
      </c>
      <c r="U7" s="23">
        <v>9958.2316195921594</v>
      </c>
      <c r="V7" s="23">
        <v>9407.7880898516087</v>
      </c>
      <c r="W7" s="23">
        <v>9299.1532599491911</v>
      </c>
      <c r="X7" s="23">
        <v>8752.1513934565301</v>
      </c>
      <c r="Y7" s="23">
        <v>9364.0907112518544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1214.8303970549566</v>
      </c>
      <c r="E8" s="23">
        <v>1314.1625746281838</v>
      </c>
      <c r="F8" s="23">
        <v>1329.0532443074817</v>
      </c>
      <c r="G8" s="23">
        <v>1355.5454130534004</v>
      </c>
      <c r="H8" s="23">
        <v>1452.537351880474</v>
      </c>
      <c r="I8" s="23">
        <v>1900.5360874700909</v>
      </c>
      <c r="J8" s="23">
        <v>2318.0488644184447</v>
      </c>
      <c r="K8" s="23">
        <v>2798.1827981827983</v>
      </c>
      <c r="L8" s="23">
        <v>3366.2808808377067</v>
      </c>
      <c r="M8" s="23">
        <v>3555.0038896261381</v>
      </c>
      <c r="N8" s="23">
        <v>2702.4944184412439</v>
      </c>
      <c r="O8" s="23">
        <v>2442.1108742004262</v>
      </c>
      <c r="P8" s="23">
        <v>2255.2868977568187</v>
      </c>
      <c r="Q8" s="23">
        <v>1811.1492479348385</v>
      </c>
      <c r="R8" s="23">
        <v>1700.320232297126</v>
      </c>
      <c r="S8" s="23">
        <v>1726.5</v>
      </c>
      <c r="T8" s="23">
        <v>1591.4560479389165</v>
      </c>
      <c r="U8" s="23">
        <v>1732.0883262017692</v>
      </c>
      <c r="V8" s="23">
        <v>1812.1737891230382</v>
      </c>
      <c r="W8" s="23">
        <v>2004.0643522438615</v>
      </c>
      <c r="X8" s="23">
        <v>2112.4461646613931</v>
      </c>
      <c r="Y8" s="23">
        <v>1754.7914571733029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5027.4219601066834</v>
      </c>
      <c r="E9" s="23">
        <v>5334.7228600699473</v>
      </c>
      <c r="F9" s="23">
        <v>5719.2261599041267</v>
      </c>
      <c r="G9" s="23">
        <v>6195.2093581486561</v>
      </c>
      <c r="H9" s="23">
        <v>6529.1731066460588</v>
      </c>
      <c r="I9" s="23">
        <v>6742.8900263500627</v>
      </c>
      <c r="J9" s="23">
        <v>7785.042440926818</v>
      </c>
      <c r="K9" s="23">
        <v>7488.5141551808219</v>
      </c>
      <c r="L9" s="23">
        <v>7676.658759255266</v>
      </c>
      <c r="M9" s="23">
        <v>7499.5423969249068</v>
      </c>
      <c r="N9" s="23">
        <v>7867.4478960073448</v>
      </c>
      <c r="O9" s="23">
        <v>7911.940298507463</v>
      </c>
      <c r="P9" s="23">
        <v>7811.5559111148541</v>
      </c>
      <c r="Q9" s="23">
        <v>8279.4344553956598</v>
      </c>
      <c r="R9" s="23">
        <v>8327.3783168755217</v>
      </c>
      <c r="S9" s="23">
        <v>8828.6</v>
      </c>
      <c r="T9" s="23">
        <v>8987.2903880539325</v>
      </c>
      <c r="U9" s="23">
        <v>9397.8855917651326</v>
      </c>
      <c r="V9" s="23">
        <v>10021.732547161409</v>
      </c>
      <c r="W9" s="23">
        <v>10599.068585944116</v>
      </c>
      <c r="X9" s="23">
        <v>9247.8001244374045</v>
      </c>
      <c r="Y9" s="23">
        <v>10875.819838208587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763.3071635175238</v>
      </c>
      <c r="E10" s="23">
        <v>942.52305083548242</v>
      </c>
      <c r="F10" s="23">
        <v>1141.5853449751755</v>
      </c>
      <c r="G10" s="23">
        <v>1189.5464611119564</v>
      </c>
      <c r="H10" s="23">
        <v>1326.474755280783</v>
      </c>
      <c r="I10" s="23">
        <v>1177.7266256776811</v>
      </c>
      <c r="J10" s="23">
        <v>1256.5955494379446</v>
      </c>
      <c r="K10" s="23">
        <v>1309.1296424629759</v>
      </c>
      <c r="L10" s="23">
        <v>2179.0908873074068</v>
      </c>
      <c r="M10" s="23">
        <v>1992.4037889534616</v>
      </c>
      <c r="N10" s="23">
        <v>1874.9504176252594</v>
      </c>
      <c r="O10" s="23">
        <v>2062.1535181236673</v>
      </c>
      <c r="P10" s="23">
        <v>1955.0732112969611</v>
      </c>
      <c r="Q10" s="23">
        <v>2136.6417902614648</v>
      </c>
      <c r="R10" s="23">
        <v>2126.0953283153312</v>
      </c>
      <c r="S10" s="23">
        <v>2092</v>
      </c>
      <c r="T10" s="23">
        <v>2510.0275455468031</v>
      </c>
      <c r="U10" s="23">
        <v>2561.7939983478286</v>
      </c>
      <c r="V10" s="23">
        <v>2941.9099702513495</v>
      </c>
      <c r="W10" s="23">
        <v>3406.0118543607114</v>
      </c>
      <c r="X10" s="23">
        <v>3556.5664972486402</v>
      </c>
      <c r="Y10" s="23">
        <v>3534.0467364060687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563.65275534352588</v>
      </c>
      <c r="E11" s="23">
        <v>720.1398947256863</v>
      </c>
      <c r="F11" s="23">
        <v>843.00633453175828</v>
      </c>
      <c r="G11" s="23">
        <v>1149.6526193011816</v>
      </c>
      <c r="H11" s="23">
        <v>1273.5059247810407</v>
      </c>
      <c r="I11" s="23">
        <v>1801.9505103431566</v>
      </c>
      <c r="J11" s="23">
        <v>1748.8242716219315</v>
      </c>
      <c r="K11" s="23">
        <v>2518.2875182875182</v>
      </c>
      <c r="L11" s="23">
        <v>2350.5379435937989</v>
      </c>
      <c r="M11" s="23">
        <v>2209.1932457786115</v>
      </c>
      <c r="N11" s="23">
        <v>3374.2080986434266</v>
      </c>
      <c r="O11" s="23">
        <v>3109.9147121535184</v>
      </c>
      <c r="P11" s="23">
        <v>2879.7145233107717</v>
      </c>
      <c r="Q11" s="23">
        <v>2512.7268528723325</v>
      </c>
      <c r="R11" s="23">
        <v>2582.9669367875858</v>
      </c>
      <c r="S11" s="23">
        <v>2713.7</v>
      </c>
      <c r="T11" s="23">
        <v>2854.2019040255159</v>
      </c>
      <c r="U11" s="23">
        <v>2732.6730835274789</v>
      </c>
      <c r="V11" s="23">
        <v>2861.6598678233609</v>
      </c>
      <c r="W11" s="23">
        <v>2583.5732430143948</v>
      </c>
      <c r="X11" s="23">
        <v>2584.0962531412365</v>
      </c>
      <c r="Y11" s="23">
        <v>3152.7563073136321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2733.5562150182191</v>
      </c>
      <c r="E12" s="23">
        <v>2686.7912530469498</v>
      </c>
      <c r="F12" s="23">
        <v>3067.9678137305259</v>
      </c>
      <c r="G12" s="23">
        <v>2852.2406477678046</v>
      </c>
      <c r="H12" s="23">
        <v>3227.3956723338483</v>
      </c>
      <c r="I12" s="23">
        <v>3224.0966774691824</v>
      </c>
      <c r="J12" s="23">
        <v>3420.9394356503785</v>
      </c>
      <c r="K12" s="23">
        <v>4224.8658915325586</v>
      </c>
      <c r="L12" s="23">
        <v>4060.8151822298905</v>
      </c>
      <c r="M12" s="23">
        <v>4267.0342744703239</v>
      </c>
      <c r="N12" s="23">
        <v>4548.205401362241</v>
      </c>
      <c r="O12" s="23">
        <v>4429.9573560767594</v>
      </c>
      <c r="P12" s="23">
        <v>4411.3095927325548</v>
      </c>
      <c r="Q12" s="23">
        <v>4329.3342150287081</v>
      </c>
      <c r="R12" s="23">
        <v>4010.3174521453502</v>
      </c>
      <c r="S12" s="23">
        <v>3857.5</v>
      </c>
      <c r="T12" s="23">
        <v>3853.2837191320737</v>
      </c>
      <c r="U12" s="23">
        <v>4191.1321087462984</v>
      </c>
      <c r="V12" s="23">
        <v>4582.2719418565293</v>
      </c>
      <c r="W12" s="23">
        <v>4652.1591871295514</v>
      </c>
      <c r="X12" s="23">
        <v>4217.1351923527554</v>
      </c>
      <c r="Y12" s="23">
        <v>4246.6493568866408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1031.3286503136621</v>
      </c>
      <c r="E13" s="23">
        <v>1171.9715971314517</v>
      </c>
      <c r="F13" s="23">
        <v>1211.0939907550078</v>
      </c>
      <c r="G13" s="23">
        <v>1133.2555741501428</v>
      </c>
      <c r="H13" s="23">
        <v>1222.3080886141163</v>
      </c>
      <c r="I13" s="23">
        <v>1326.1350213526364</v>
      </c>
      <c r="J13" s="23">
        <v>1513.9653590273001</v>
      </c>
      <c r="K13" s="23">
        <v>1784.220117553451</v>
      </c>
      <c r="L13" s="23">
        <v>1802.4105623846838</v>
      </c>
      <c r="M13" s="23">
        <v>2113.6686038530179</v>
      </c>
      <c r="N13" s="23">
        <v>2144.4518739304376</v>
      </c>
      <c r="O13" s="23">
        <v>2095.7356076759061</v>
      </c>
      <c r="P13" s="23">
        <v>2269.2870451267913</v>
      </c>
      <c r="Q13" s="23">
        <v>2126.9851266387464</v>
      </c>
      <c r="R13" s="23">
        <v>2156.5740292636715</v>
      </c>
      <c r="S13" s="23">
        <v>2485</v>
      </c>
      <c r="T13" s="23">
        <v>2538.0563475571448</v>
      </c>
      <c r="U13" s="23">
        <v>2545.8291951697188</v>
      </c>
      <c r="V13" s="23">
        <v>2810.5349413043091</v>
      </c>
      <c r="W13" s="23">
        <v>3175.359864521592</v>
      </c>
      <c r="X13" s="23">
        <v>2986.1745194211235</v>
      </c>
      <c r="Y13" s="23">
        <v>3092.9475153461708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4026.8960595018971</v>
      </c>
      <c r="E14" s="23">
        <v>3731.9390963365959</v>
      </c>
      <c r="F14" s="23">
        <v>4102.2085259373398</v>
      </c>
      <c r="G14" s="23">
        <v>4102.3040384062751</v>
      </c>
      <c r="H14" s="23">
        <v>4243.9464193714575</v>
      </c>
      <c r="I14" s="23">
        <v>4596.4200260471871</v>
      </c>
      <c r="J14" s="23">
        <v>4445.4003211745812</v>
      </c>
      <c r="K14" s="23">
        <v>4429.1727625060958</v>
      </c>
      <c r="L14" s="23">
        <v>4691.6109553590686</v>
      </c>
      <c r="M14" s="23">
        <v>4880.7943989383602</v>
      </c>
      <c r="N14" s="23">
        <v>5168.5800741185676</v>
      </c>
      <c r="O14" s="23">
        <v>4954.5842217484005</v>
      </c>
      <c r="P14" s="23">
        <v>5193.5283529300314</v>
      </c>
      <c r="Q14" s="23">
        <v>5330.0584648004115</v>
      </c>
      <c r="R14" s="23">
        <v>5841.3048179000589</v>
      </c>
      <c r="S14" s="23">
        <v>5720.1</v>
      </c>
      <c r="T14" s="23">
        <v>5430.5320639829888</v>
      </c>
      <c r="U14" s="23">
        <v>5833.4648263827658</v>
      </c>
      <c r="V14" s="23">
        <v>6256.0343445499402</v>
      </c>
      <c r="W14" s="23">
        <v>6492.6333615580024</v>
      </c>
      <c r="X14" s="23">
        <v>7169.6146480603111</v>
      </c>
      <c r="Y14" s="23">
        <v>7520.2239265184817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503.73765072686979</v>
      </c>
      <c r="E15" s="23">
        <v>439.82053908927122</v>
      </c>
      <c r="F15" s="23">
        <v>450.77897620270505</v>
      </c>
      <c r="G15" s="23">
        <v>490.72806261304669</v>
      </c>
      <c r="H15" s="23">
        <v>534.03529108706846</v>
      </c>
      <c r="I15" s="23">
        <v>618.31783626616584</v>
      </c>
      <c r="J15" s="23">
        <v>635.18008717595774</v>
      </c>
      <c r="K15" s="23">
        <v>711.60904494237832</v>
      </c>
      <c r="L15" s="23">
        <v>986.50947691275496</v>
      </c>
      <c r="M15" s="23">
        <v>1048.8262481123872</v>
      </c>
      <c r="N15" s="23">
        <v>842.05038702585091</v>
      </c>
      <c r="O15" s="23">
        <v>903.09168443496799</v>
      </c>
      <c r="P15" s="23">
        <v>913.79909262202762</v>
      </c>
      <c r="Q15" s="23">
        <v>972.17411384366699</v>
      </c>
      <c r="R15" s="23">
        <v>972.9501529083476</v>
      </c>
      <c r="S15" s="23">
        <v>991.9</v>
      </c>
      <c r="T15" s="23">
        <v>964.09413811433819</v>
      </c>
      <c r="U15" s="23">
        <v>981.37130233810115</v>
      </c>
      <c r="V15" s="23">
        <v>978.76623260950896</v>
      </c>
      <c r="W15" s="23">
        <v>1080.1016088060965</v>
      </c>
      <c r="X15" s="23">
        <v>817.89312927753576</v>
      </c>
      <c r="Y15" s="23">
        <v>776.46370199162516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23775.966342361295</v>
      </c>
      <c r="E16" s="30">
        <f t="shared" ref="E16:S16" si="0">SUM(E6:E15)</f>
        <v>24744.056240505884</v>
      </c>
      <c r="F16" s="30">
        <f t="shared" si="0"/>
        <v>26624.550590652285</v>
      </c>
      <c r="G16" s="30">
        <f t="shared" si="0"/>
        <v>27730.953226160891</v>
      </c>
      <c r="H16" s="30">
        <f t="shared" si="0"/>
        <v>29083.268933539413</v>
      </c>
      <c r="I16" s="30">
        <f t="shared" si="0"/>
        <v>30961.020080564562</v>
      </c>
      <c r="J16" s="30">
        <f t="shared" si="0"/>
        <v>33172.602661160818</v>
      </c>
      <c r="K16" s="30">
        <f t="shared" si="0"/>
        <v>35344.960344960346</v>
      </c>
      <c r="L16" s="30">
        <f t="shared" si="0"/>
        <v>37519.109577552539</v>
      </c>
      <c r="M16" s="30">
        <f t="shared" si="0"/>
        <v>37197.066764288662</v>
      </c>
      <c r="N16" s="30">
        <f t="shared" si="0"/>
        <v>37877.874361095695</v>
      </c>
      <c r="O16" s="30">
        <f t="shared" si="0"/>
        <v>38597.441364605547</v>
      </c>
      <c r="P16" s="30">
        <f t="shared" si="0"/>
        <v>38695.459952210032</v>
      </c>
      <c r="Q16" s="30">
        <f t="shared" si="0"/>
        <v>38057.646083278232</v>
      </c>
      <c r="R16" s="30">
        <f t="shared" si="0"/>
        <v>38423.55097459766</v>
      </c>
      <c r="S16" s="30">
        <f t="shared" si="0"/>
        <v>39554.300000000003</v>
      </c>
      <c r="T16" s="30">
        <f t="shared" ref="T16:Y16" si="1">SUM(T6:T15)</f>
        <v>40573.527279756439</v>
      </c>
      <c r="U16" s="30">
        <f t="shared" si="1"/>
        <v>41904.730965220864</v>
      </c>
      <c r="V16" s="30">
        <f t="shared" si="1"/>
        <v>43367.832267488455</v>
      </c>
      <c r="W16" s="30">
        <f t="shared" si="1"/>
        <v>44981.625740897536</v>
      </c>
      <c r="X16" s="30">
        <f t="shared" si="1"/>
        <v>43181.395799833546</v>
      </c>
      <c r="Y16" s="30">
        <f t="shared" si="1"/>
        <v>46647.030572273332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2975.2826715750725</v>
      </c>
      <c r="E18" s="19">
        <v>2978.9451372452045</v>
      </c>
      <c r="F18" s="19">
        <v>2905.6668378702279</v>
      </c>
      <c r="G18" s="19">
        <v>2890.2750308501109</v>
      </c>
      <c r="H18" s="19">
        <v>2870.2988150437918</v>
      </c>
      <c r="I18" s="19">
        <v>2651.6642941514974</v>
      </c>
      <c r="J18" s="19">
        <v>2395.9050240880938</v>
      </c>
      <c r="K18" s="19">
        <v>1938.0919380919381</v>
      </c>
      <c r="L18" s="19">
        <v>2619.2701219658302</v>
      </c>
      <c r="M18" s="19">
        <v>1813.1377842859104</v>
      </c>
      <c r="N18" s="19">
        <v>1749.8328365651598</v>
      </c>
      <c r="O18" s="19">
        <v>2061.3006396588485</v>
      </c>
      <c r="P18" s="19">
        <v>1970.5470583900885</v>
      </c>
      <c r="Q18" s="19">
        <v>1993.2613282111031</v>
      </c>
      <c r="R18" s="19">
        <v>2019.6258121647083</v>
      </c>
      <c r="S18" s="19">
        <v>1860.3</v>
      </c>
      <c r="T18" s="19">
        <v>1910.5977866911514</v>
      </c>
      <c r="U18" s="19">
        <v>1970.2609131496142</v>
      </c>
      <c r="V18" s="19">
        <v>1694.9605429574078</v>
      </c>
      <c r="W18" s="19">
        <v>1689.5004233700254</v>
      </c>
      <c r="X18" s="19">
        <v>1737.5178777766107</v>
      </c>
      <c r="Y18" s="19">
        <v>2329.2410211769648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427.85770632207658</v>
      </c>
      <c r="E19" s="23">
        <v>412.61878687250504</v>
      </c>
      <c r="F19" s="23">
        <v>369.97089539462422</v>
      </c>
      <c r="G19" s="23">
        <v>412.79983771996552</v>
      </c>
      <c r="H19" s="23">
        <v>506.50437918598664</v>
      </c>
      <c r="I19" s="23">
        <v>605.74855377532776</v>
      </c>
      <c r="J19" s="23">
        <v>786.16081670107815</v>
      </c>
      <c r="K19" s="23">
        <v>787.06912040245368</v>
      </c>
      <c r="L19" s="23">
        <v>767.13871516545657</v>
      </c>
      <c r="M19" s="23">
        <v>717.52162174529815</v>
      </c>
      <c r="N19" s="23">
        <v>838.4237904733842</v>
      </c>
      <c r="O19" s="23">
        <v>900.85287846481879</v>
      </c>
      <c r="P19" s="23">
        <v>933.16771755492164</v>
      </c>
      <c r="Q19" s="23">
        <v>946.24807129136877</v>
      </c>
      <c r="R19" s="23">
        <v>1002.296199429554</v>
      </c>
      <c r="S19" s="23">
        <v>983.4</v>
      </c>
      <c r="T19" s="23">
        <v>919.63465906345141</v>
      </c>
      <c r="U19" s="23">
        <v>940.99520127718426</v>
      </c>
      <c r="V19" s="23">
        <v>805.0839909507099</v>
      </c>
      <c r="W19" s="23">
        <v>621.25317527519053</v>
      </c>
      <c r="X19" s="23">
        <v>722.06016629362375</v>
      </c>
      <c r="Y19" s="23">
        <v>726.03520989358981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3245.7458397505693</v>
      </c>
      <c r="E20" s="23">
        <v>3660.4020207015956</v>
      </c>
      <c r="F20" s="23">
        <v>4022.7700736175302</v>
      </c>
      <c r="G20" s="23">
        <v>4410.6361039268395</v>
      </c>
      <c r="H20" s="23">
        <v>4337.1651210716136</v>
      </c>
      <c r="I20" s="23">
        <v>4922.1613108398687</v>
      </c>
      <c r="J20" s="23">
        <v>5282.3181922459244</v>
      </c>
      <c r="K20" s="23">
        <v>5842.3808423808432</v>
      </c>
      <c r="L20" s="23">
        <v>5505.5950926125643</v>
      </c>
      <c r="M20" s="23">
        <v>5513.3162494852004</v>
      </c>
      <c r="N20" s="23">
        <v>5050.4890238788794</v>
      </c>
      <c r="O20" s="23">
        <v>5831.1300639658857</v>
      </c>
      <c r="P20" s="23">
        <v>6250.0657901662189</v>
      </c>
      <c r="Q20" s="23">
        <v>5635.6078974714273</v>
      </c>
      <c r="R20" s="23">
        <v>5771.4921177548731</v>
      </c>
      <c r="S20" s="23">
        <v>6241.8999999999969</v>
      </c>
      <c r="T20" s="23">
        <v>6786.256221910794</v>
      </c>
      <c r="U20" s="23">
        <v>6831.8219367533939</v>
      </c>
      <c r="V20" s="23">
        <v>6783.5830201115077</v>
      </c>
      <c r="W20" s="23">
        <v>6976.6299745977931</v>
      </c>
      <c r="X20" s="23">
        <v>6351.6407152726688</v>
      </c>
      <c r="Y20" s="23">
        <v>6119.7826772126227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1058.7506104203451</v>
      </c>
      <c r="E21" s="23">
        <v>1134.3483943900803</v>
      </c>
      <c r="F21" s="23">
        <v>1249.4435884266393</v>
      </c>
      <c r="G21" s="23">
        <v>1338.3031593894214</v>
      </c>
      <c r="H21" s="23">
        <v>1343.7017001545594</v>
      </c>
      <c r="I21" s="23">
        <v>1172.5777629705908</v>
      </c>
      <c r="J21" s="23">
        <v>1312.227575131911</v>
      </c>
      <c r="K21" s="23">
        <v>1235.5945689279024</v>
      </c>
      <c r="L21" s="23">
        <v>1187.0701842666476</v>
      </c>
      <c r="M21" s="23">
        <v>1278.0853887338121</v>
      </c>
      <c r="N21" s="23">
        <v>1353.1738386391198</v>
      </c>
      <c r="O21" s="23">
        <v>1516.2046908315565</v>
      </c>
      <c r="P21" s="23">
        <v>1490.0156843756251</v>
      </c>
      <c r="Q21" s="23">
        <v>1583.0630517156321</v>
      </c>
      <c r="R21" s="23">
        <v>1487.1752628273114</v>
      </c>
      <c r="S21" s="23">
        <v>1597.3</v>
      </c>
      <c r="T21" s="23">
        <v>1761.8518339535108</v>
      </c>
      <c r="U21" s="23">
        <v>1743.7834727159659</v>
      </c>
      <c r="V21" s="23">
        <v>1391.2392895950977</v>
      </c>
      <c r="W21" s="23">
        <v>1221.5918712955124</v>
      </c>
      <c r="X21" s="23">
        <v>1226.2740693455723</v>
      </c>
      <c r="Y21" s="23">
        <v>2178.9310960692792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203.5986627098907</v>
      </c>
      <c r="E22" s="23">
        <v>215.6710354329318</v>
      </c>
      <c r="F22" s="23">
        <v>211.778804999144</v>
      </c>
      <c r="G22" s="23">
        <v>210.45691972209545</v>
      </c>
      <c r="H22" s="23">
        <v>216.22230808861414</v>
      </c>
      <c r="I22" s="23">
        <v>220.79534785110701</v>
      </c>
      <c r="J22" s="23">
        <v>271.99472356044964</v>
      </c>
      <c r="K22" s="23">
        <v>277.84194450861116</v>
      </c>
      <c r="L22" s="23">
        <v>326.12081566146696</v>
      </c>
      <c r="M22" s="23">
        <v>308.53887338122911</v>
      </c>
      <c r="N22" s="23">
        <v>363.56630438478192</v>
      </c>
      <c r="O22" s="23">
        <v>378.46481876332626</v>
      </c>
      <c r="P22" s="23">
        <v>362.10907483236667</v>
      </c>
      <c r="Q22" s="23">
        <v>400.96146781287064</v>
      </c>
      <c r="R22" s="23">
        <v>425.05431592821026</v>
      </c>
      <c r="S22" s="23">
        <v>456.1</v>
      </c>
      <c r="T22" s="23">
        <v>466.24462378582126</v>
      </c>
      <c r="U22" s="23">
        <v>441.63100884561482</v>
      </c>
      <c r="V22" s="23">
        <v>427.88178919429254</v>
      </c>
      <c r="W22" s="23">
        <v>479.67823878069436</v>
      </c>
      <c r="X22" s="23">
        <v>452.1764425446641</v>
      </c>
      <c r="Y22" s="23">
        <v>339.3417280763631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1214.8303970549566</v>
      </c>
      <c r="E23" s="23">
        <v>1314.1625746281838</v>
      </c>
      <c r="F23" s="23">
        <v>1329.0532443074817</v>
      </c>
      <c r="G23" s="23">
        <v>1355.5454130534004</v>
      </c>
      <c r="H23" s="23">
        <v>1452.537351880474</v>
      </c>
      <c r="I23" s="23">
        <v>1900.5360874700909</v>
      </c>
      <c r="J23" s="23">
        <v>2318.0488644184447</v>
      </c>
      <c r="K23" s="23">
        <v>2798.1827981827983</v>
      </c>
      <c r="L23" s="23">
        <v>3366.2808808377067</v>
      </c>
      <c r="M23" s="23">
        <v>3555.0038896261381</v>
      </c>
      <c r="N23" s="23">
        <v>2702.4944184412439</v>
      </c>
      <c r="O23" s="23">
        <v>2442.1108742004262</v>
      </c>
      <c r="P23" s="23">
        <v>2255.2868977568187</v>
      </c>
      <c r="Q23" s="23">
        <v>1811.1492479348385</v>
      </c>
      <c r="R23" s="23">
        <v>1700.320232297126</v>
      </c>
      <c r="S23" s="23">
        <v>1726.5</v>
      </c>
      <c r="T23" s="23">
        <v>1591.4560479389165</v>
      </c>
      <c r="U23" s="23">
        <v>1732.0883262017692</v>
      </c>
      <c r="V23" s="23">
        <v>1812.1737891230382</v>
      </c>
      <c r="W23" s="23">
        <v>2004.0643522438615</v>
      </c>
      <c r="X23" s="23">
        <v>2112.4461646613931</v>
      </c>
      <c r="Y23" s="23">
        <v>1754.7914571733029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2515.8709289658545</v>
      </c>
      <c r="E24" s="23">
        <v>2501.5013954145611</v>
      </c>
      <c r="F24" s="23">
        <v>2526.7933573018322</v>
      </c>
      <c r="G24" s="23">
        <v>2924.7595381780693</v>
      </c>
      <c r="H24" s="23">
        <v>3240.5976300875841</v>
      </c>
      <c r="I24" s="23">
        <v>3763.6672017445567</v>
      </c>
      <c r="J24" s="23">
        <v>4433.4996558843777</v>
      </c>
      <c r="K24" s="23">
        <v>3919.3039193039185</v>
      </c>
      <c r="L24" s="23">
        <v>4252.9892411281235</v>
      </c>
      <c r="M24" s="23">
        <v>4231.6844369194168</v>
      </c>
      <c r="N24" s="23">
        <v>4590.9312419959888</v>
      </c>
      <c r="O24" s="23">
        <v>4729.8507462686566</v>
      </c>
      <c r="P24" s="23">
        <v>4675.3123717091767</v>
      </c>
      <c r="Q24" s="23">
        <v>5098.2985378551703</v>
      </c>
      <c r="R24" s="23">
        <v>5030.8390909933378</v>
      </c>
      <c r="S24" s="23">
        <v>5492.9</v>
      </c>
      <c r="T24" s="23">
        <v>5567.1966365437602</v>
      </c>
      <c r="U24" s="23">
        <v>6045.8338361008755</v>
      </c>
      <c r="V24" s="23">
        <v>6467.8376115574411</v>
      </c>
      <c r="W24" s="23">
        <v>6916.9348010160902</v>
      </c>
      <c r="X24" s="23">
        <v>6336.2880483528197</v>
      </c>
      <c r="Y24" s="23">
        <v>7538.2341022677792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1973.4420194583224</v>
      </c>
      <c r="E25" s="23">
        <v>2308.4396085773842</v>
      </c>
      <c r="F25" s="23">
        <v>2582.948125321007</v>
      </c>
      <c r="G25" s="23">
        <v>2681.3394864513075</v>
      </c>
      <c r="H25" s="23">
        <v>2669.3714580113342</v>
      </c>
      <c r="I25" s="23">
        <v>2275.4944422570188</v>
      </c>
      <c r="J25" s="23">
        <v>2567.5326909841706</v>
      </c>
      <c r="K25" s="23">
        <v>2747.362747362748</v>
      </c>
      <c r="L25" s="23">
        <v>2558.8862530850893</v>
      </c>
      <c r="M25" s="23">
        <v>2438.1091840937165</v>
      </c>
      <c r="N25" s="23">
        <v>2384.6005643890885</v>
      </c>
      <c r="O25" s="23">
        <v>2288.699360341152</v>
      </c>
      <c r="P25" s="23">
        <v>2244.4446783650351</v>
      </c>
      <c r="Q25" s="23">
        <v>2260.6039613313596</v>
      </c>
      <c r="R25" s="23">
        <v>2397.4175479061341</v>
      </c>
      <c r="S25" s="23">
        <v>2389.6</v>
      </c>
      <c r="T25" s="23">
        <v>2469.3374571111003</v>
      </c>
      <c r="U25" s="23">
        <v>2315.8246470571858</v>
      </c>
      <c r="V25" s="23">
        <v>2388.1753567166038</v>
      </c>
      <c r="W25" s="23">
        <v>2511.6850127011007</v>
      </c>
      <c r="X25" s="23">
        <v>2179.9170955986328</v>
      </c>
      <c r="Y25" s="23">
        <v>2260.0519293400771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538.10901168250632</v>
      </c>
      <c r="E26" s="23">
        <v>524.78185607800197</v>
      </c>
      <c r="F26" s="23">
        <v>609.48467728128753</v>
      </c>
      <c r="G26" s="23">
        <v>589.11033351927927</v>
      </c>
      <c r="H26" s="23">
        <v>619.20401854714066</v>
      </c>
      <c r="I26" s="23">
        <v>703.72838234848712</v>
      </c>
      <c r="J26" s="23">
        <v>784.01009405827017</v>
      </c>
      <c r="K26" s="23">
        <v>821.8474885141552</v>
      </c>
      <c r="L26" s="23">
        <v>864.78326504205313</v>
      </c>
      <c r="M26" s="23">
        <v>829.74877591177403</v>
      </c>
      <c r="N26" s="23">
        <v>891.91608962226735</v>
      </c>
      <c r="O26" s="23">
        <v>893.39019189765463</v>
      </c>
      <c r="P26" s="23">
        <v>891.79886104064258</v>
      </c>
      <c r="Q26" s="23">
        <v>920.5319562091297</v>
      </c>
      <c r="R26" s="23">
        <v>899.12167797604945</v>
      </c>
      <c r="S26" s="23">
        <v>946.1</v>
      </c>
      <c r="T26" s="23">
        <v>950.75629439907209</v>
      </c>
      <c r="U26" s="23">
        <v>1036.2271086070712</v>
      </c>
      <c r="V26" s="23">
        <v>1165.7195788873648</v>
      </c>
      <c r="W26" s="23">
        <v>1170.4487722269264</v>
      </c>
      <c r="X26" s="23">
        <v>731.59498048595231</v>
      </c>
      <c r="Y26" s="23">
        <v>1077.5338066007293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763.3071635175238</v>
      </c>
      <c r="E27" s="23">
        <v>942.52305083548242</v>
      </c>
      <c r="F27" s="23">
        <v>1141.5853449751755</v>
      </c>
      <c r="G27" s="23">
        <v>1189.5464611119564</v>
      </c>
      <c r="H27" s="23">
        <v>1326.474755280783</v>
      </c>
      <c r="I27" s="23">
        <v>1177.7266256776811</v>
      </c>
      <c r="J27" s="23">
        <v>1256.5955494379446</v>
      </c>
      <c r="K27" s="23">
        <v>1309.1296424629759</v>
      </c>
      <c r="L27" s="23">
        <v>2179.0908873074068</v>
      </c>
      <c r="M27" s="23">
        <v>1992.4037889534616</v>
      </c>
      <c r="N27" s="23">
        <v>1874.9504176252594</v>
      </c>
      <c r="O27" s="23">
        <v>2062.1535181236673</v>
      </c>
      <c r="P27" s="23">
        <v>1955.0732112969611</v>
      </c>
      <c r="Q27" s="23">
        <v>2136.6417902614648</v>
      </c>
      <c r="R27" s="23">
        <v>2126.0953283153312</v>
      </c>
      <c r="S27" s="23">
        <v>2092</v>
      </c>
      <c r="T27" s="23">
        <v>2510.0275455468031</v>
      </c>
      <c r="U27" s="23">
        <v>2561.7939983478286</v>
      </c>
      <c r="V27" s="23">
        <v>2941.9099702513495</v>
      </c>
      <c r="W27" s="23">
        <v>3406.0118543607114</v>
      </c>
      <c r="X27" s="23">
        <v>3556.5664972486402</v>
      </c>
      <c r="Y27" s="23">
        <v>3534.0467364060687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563.65275534352588</v>
      </c>
      <c r="E28" s="23">
        <v>720.1398947256863</v>
      </c>
      <c r="F28" s="23">
        <v>843.00633453175828</v>
      </c>
      <c r="G28" s="23">
        <v>1149.6526193011816</v>
      </c>
      <c r="H28" s="23">
        <v>1273.5059247810407</v>
      </c>
      <c r="I28" s="23">
        <v>1801.9505103431566</v>
      </c>
      <c r="J28" s="23">
        <v>1748.8242716219315</v>
      </c>
      <c r="K28" s="23">
        <v>2518.2875182875182</v>
      </c>
      <c r="L28" s="23">
        <v>2350.5379435937989</v>
      </c>
      <c r="M28" s="23">
        <v>2209.1932457786115</v>
      </c>
      <c r="N28" s="23">
        <v>3374.2080986434266</v>
      </c>
      <c r="O28" s="23">
        <v>3109.9147121535184</v>
      </c>
      <c r="P28" s="23">
        <v>2879.7145233107717</v>
      </c>
      <c r="Q28" s="23">
        <v>2512.7268528723325</v>
      </c>
      <c r="R28" s="23">
        <v>2582.9669367875858</v>
      </c>
      <c r="S28" s="23">
        <v>2713.7</v>
      </c>
      <c r="T28" s="23">
        <v>2854.2019040255159</v>
      </c>
      <c r="U28" s="23">
        <v>2732.6730835274789</v>
      </c>
      <c r="V28" s="23">
        <v>2861.6598678233609</v>
      </c>
      <c r="W28" s="23">
        <v>2583.5732430143948</v>
      </c>
      <c r="X28" s="23">
        <v>2584.0962531412365</v>
      </c>
      <c r="Y28" s="23">
        <v>3152.7563073136321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2733.5562150182191</v>
      </c>
      <c r="E29" s="23">
        <v>2686.7912530469498</v>
      </c>
      <c r="F29" s="23">
        <v>3067.9678137305259</v>
      </c>
      <c r="G29" s="23">
        <v>2852.2406477678046</v>
      </c>
      <c r="H29" s="23">
        <v>3227.3956723338483</v>
      </c>
      <c r="I29" s="23">
        <v>3224.0966774691824</v>
      </c>
      <c r="J29" s="23">
        <v>3420.9394356503785</v>
      </c>
      <c r="K29" s="23">
        <v>4224.8658915325586</v>
      </c>
      <c r="L29" s="23">
        <v>4060.8151822298905</v>
      </c>
      <c r="M29" s="23">
        <v>4267.0342744703239</v>
      </c>
      <c r="N29" s="23">
        <v>4548.205401362241</v>
      </c>
      <c r="O29" s="23">
        <v>4429.9573560767594</v>
      </c>
      <c r="P29" s="23">
        <v>4411.3095927325548</v>
      </c>
      <c r="Q29" s="23">
        <v>4329.3342150287081</v>
      </c>
      <c r="R29" s="23">
        <v>4010.3174521453502</v>
      </c>
      <c r="S29" s="23">
        <v>3857.5</v>
      </c>
      <c r="T29" s="23">
        <v>3853.2837191320737</v>
      </c>
      <c r="U29" s="23">
        <v>4191.1321087462984</v>
      </c>
      <c r="V29" s="23">
        <v>4582.2719418565293</v>
      </c>
      <c r="W29" s="23">
        <v>4652.1591871295514</v>
      </c>
      <c r="X29" s="23">
        <v>4217.1351923527554</v>
      </c>
      <c r="Y29" s="23">
        <v>4246.6493568866408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394.2376319447053</v>
      </c>
      <c r="E30" s="23">
        <v>444.58967746493818</v>
      </c>
      <c r="F30" s="23">
        <v>451.46379044684136</v>
      </c>
      <c r="G30" s="23">
        <v>419.39246412089858</v>
      </c>
      <c r="H30" s="23">
        <v>444.84157650695511</v>
      </c>
      <c r="I30" s="23">
        <v>515.03770784747246</v>
      </c>
      <c r="J30" s="23">
        <v>595.75017205781171</v>
      </c>
      <c r="K30" s="23">
        <v>761.0174276840944</v>
      </c>
      <c r="L30" s="23">
        <v>1031.5577600460069</v>
      </c>
      <c r="M30" s="23">
        <v>1245.0235665583673</v>
      </c>
      <c r="N30" s="23">
        <v>1423.779140269955</v>
      </c>
      <c r="O30" s="23">
        <v>1347.0149253731342</v>
      </c>
      <c r="P30" s="23">
        <v>1494.3315192791508</v>
      </c>
      <c r="Q30" s="23">
        <v>1415.3310031384158</v>
      </c>
      <c r="R30" s="23">
        <v>1332.5164492313393</v>
      </c>
      <c r="S30" s="23">
        <v>1623.3</v>
      </c>
      <c r="T30" s="23">
        <v>1590.4895375247668</v>
      </c>
      <c r="U30" s="23">
        <v>1572.0690199281585</v>
      </c>
      <c r="V30" s="23">
        <v>1679.9080820136451</v>
      </c>
      <c r="W30" s="23">
        <v>1950.8890770533446</v>
      </c>
      <c r="X30" s="23">
        <v>1840.2191391194033</v>
      </c>
      <c r="Y30" s="23">
        <v>1946.4497441054198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637.09101836895684</v>
      </c>
      <c r="E31" s="23">
        <v>727.38191966651357</v>
      </c>
      <c r="F31" s="23">
        <v>759.63020030816642</v>
      </c>
      <c r="G31" s="23">
        <v>713.86311002924424</v>
      </c>
      <c r="H31" s="23">
        <v>777.46651210716118</v>
      </c>
      <c r="I31" s="23">
        <v>811.09731350516392</v>
      </c>
      <c r="J31" s="23">
        <v>918.2151869694884</v>
      </c>
      <c r="K31" s="23">
        <v>1023.2026898693566</v>
      </c>
      <c r="L31" s="23">
        <v>770.85280233867684</v>
      </c>
      <c r="M31" s="23">
        <v>868.64503729465059</v>
      </c>
      <c r="N31" s="23">
        <v>720.67273366048266</v>
      </c>
      <c r="O31" s="23">
        <v>748.72068230277193</v>
      </c>
      <c r="P31" s="23">
        <v>774.9555258476405</v>
      </c>
      <c r="Q31" s="23">
        <v>711.65412350033068</v>
      </c>
      <c r="R31" s="23">
        <v>824.05758003233211</v>
      </c>
      <c r="S31" s="23">
        <v>861.7</v>
      </c>
      <c r="T31" s="23">
        <v>947.56681003237804</v>
      </c>
      <c r="U31" s="23">
        <v>973.76017524156043</v>
      </c>
      <c r="V31" s="23">
        <v>1130.626859290664</v>
      </c>
      <c r="W31" s="23">
        <v>1224.4707874682474</v>
      </c>
      <c r="X31" s="23">
        <v>1145.9553803017202</v>
      </c>
      <c r="Y31" s="23">
        <v>1146.497771240751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1794.072348897487</v>
      </c>
      <c r="E32" s="23">
        <v>1718.4795280319363</v>
      </c>
      <c r="F32" s="23">
        <v>1730.0119842492725</v>
      </c>
      <c r="G32" s="23">
        <v>1979.6473790084015</v>
      </c>
      <c r="H32" s="23">
        <v>2036.9654817104583</v>
      </c>
      <c r="I32" s="23">
        <v>2124.9659266438493</v>
      </c>
      <c r="J32" s="23">
        <v>2183.413626978665</v>
      </c>
      <c r="K32" s="23">
        <v>2162.0338287004952</v>
      </c>
      <c r="L32" s="23">
        <v>2378.4535020247768</v>
      </c>
      <c r="M32" s="23">
        <v>2472.6582162632126</v>
      </c>
      <c r="N32" s="23">
        <v>2409.0800911182391</v>
      </c>
      <c r="O32" s="23">
        <v>2317.0575692963748</v>
      </c>
      <c r="P32" s="23">
        <v>2374.7618395983118</v>
      </c>
      <c r="Q32" s="23">
        <v>2574.6554565397655</v>
      </c>
      <c r="R32" s="23">
        <v>2804.5553301687664</v>
      </c>
      <c r="S32" s="23">
        <v>2655.3</v>
      </c>
      <c r="T32" s="23">
        <v>2470.7872227323246</v>
      </c>
      <c r="U32" s="23">
        <v>2722.1845791139531</v>
      </c>
      <c r="V32" s="23">
        <v>2819.9761298252488</v>
      </c>
      <c r="W32" s="23">
        <v>2942.3370025402205</v>
      </c>
      <c r="X32" s="23">
        <v>3073.2807033137515</v>
      </c>
      <c r="Y32" s="23">
        <v>3223.0710351348503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1408.6623342473988</v>
      </c>
      <c r="E33" s="23">
        <v>1274.2431200763062</v>
      </c>
      <c r="F33" s="23">
        <v>1387.4336586200993</v>
      </c>
      <c r="G33" s="23">
        <v>1330.0201159626081</v>
      </c>
      <c r="H33" s="23">
        <v>1346.2776919113858</v>
      </c>
      <c r="I33" s="23">
        <v>1366.5687373171395</v>
      </c>
      <c r="J33" s="23">
        <v>1319.8267951364992</v>
      </c>
      <c r="K33" s="23">
        <v>1331.3313313313315</v>
      </c>
      <c r="L33" s="23">
        <v>1334.7950063498909</v>
      </c>
      <c r="M33" s="23">
        <v>1419.5991397062189</v>
      </c>
      <c r="N33" s="23">
        <v>1458.6851320874462</v>
      </c>
      <c r="O33" s="23">
        <v>1340.8315565031983</v>
      </c>
      <c r="P33" s="23">
        <v>1411.1727491868337</v>
      </c>
      <c r="Q33" s="23">
        <v>1266.3874631314879</v>
      </c>
      <c r="R33" s="23">
        <v>1619.1809878805975</v>
      </c>
      <c r="S33" s="23">
        <v>1606.5</v>
      </c>
      <c r="T33" s="23">
        <v>1430.5320639829893</v>
      </c>
      <c r="U33" s="23">
        <v>1609.1036505564477</v>
      </c>
      <c r="V33" s="23">
        <v>1717.4056326486987</v>
      </c>
      <c r="W33" s="23">
        <v>1854.8687552921253</v>
      </c>
      <c r="X33" s="23">
        <v>1942.3547758914649</v>
      </c>
      <c r="Y33" s="23">
        <v>2024.7940086148672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824.16137635701148</v>
      </c>
      <c r="E34" s="23">
        <v>739.21644822835344</v>
      </c>
      <c r="F34" s="23">
        <v>984.762883067968</v>
      </c>
      <c r="G34" s="23">
        <v>792.63654343526548</v>
      </c>
      <c r="H34" s="23">
        <v>860.70324574961353</v>
      </c>
      <c r="I34" s="23">
        <v>1104.885362086198</v>
      </c>
      <c r="J34" s="23">
        <v>942.15989905941728</v>
      </c>
      <c r="K34" s="23">
        <v>935.80760247426917</v>
      </c>
      <c r="L34" s="23">
        <v>978.36244698440089</v>
      </c>
      <c r="M34" s="23">
        <v>988.53704296892863</v>
      </c>
      <c r="N34" s="23">
        <v>1300.8148509128823</v>
      </c>
      <c r="O34" s="23">
        <v>1296.6950959488274</v>
      </c>
      <c r="P34" s="23">
        <v>1407.5937641448859</v>
      </c>
      <c r="Q34" s="23">
        <v>1489.0155451291578</v>
      </c>
      <c r="R34" s="23">
        <v>1417.5684998506954</v>
      </c>
      <c r="S34" s="23">
        <v>1458.3</v>
      </c>
      <c r="T34" s="23">
        <v>1529.2127772676749</v>
      </c>
      <c r="U34" s="23">
        <v>1502.1765967123645</v>
      </c>
      <c r="V34" s="23">
        <v>1718.6525820759925</v>
      </c>
      <c r="W34" s="23">
        <v>1695.4276037256564</v>
      </c>
      <c r="X34" s="23">
        <v>2153.9791688550949</v>
      </c>
      <c r="Y34" s="23">
        <v>2272.358882768764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203.59866270989068</v>
      </c>
      <c r="E35" s="23">
        <v>174.86840710778256</v>
      </c>
      <c r="F35" s="23">
        <v>199.28094504365694</v>
      </c>
      <c r="G35" s="23">
        <v>191.6932907348243</v>
      </c>
      <c r="H35" s="23">
        <v>249.54920144255533</v>
      </c>
      <c r="I35" s="23">
        <v>337.70481872974523</v>
      </c>
      <c r="J35" s="23">
        <v>379.53085570084875</v>
      </c>
      <c r="K35" s="23">
        <v>452.88878622211956</v>
      </c>
      <c r="L35" s="23">
        <v>557.47250377399178</v>
      </c>
      <c r="M35" s="23">
        <v>406.35153068228612</v>
      </c>
      <c r="N35" s="23">
        <v>405.72548930720677</v>
      </c>
      <c r="O35" s="23">
        <v>444.456289978678</v>
      </c>
      <c r="P35" s="23">
        <v>518.74230255055318</v>
      </c>
      <c r="Q35" s="23">
        <v>545.28660347849814</v>
      </c>
      <c r="R35" s="23">
        <v>514.43104708753356</v>
      </c>
      <c r="S35" s="23">
        <v>550.79999999999995</v>
      </c>
      <c r="T35" s="23">
        <v>559.89948291692849</v>
      </c>
      <c r="U35" s="23">
        <v>562.20240028959415</v>
      </c>
      <c r="V35" s="23">
        <v>528.43935372392548</v>
      </c>
      <c r="W35" s="23">
        <v>637.59525825571541</v>
      </c>
      <c r="X35" s="23">
        <v>411.6130804722157</v>
      </c>
      <c r="Y35" s="23">
        <v>358.47753980999255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300.13898801697911</v>
      </c>
      <c r="E36" s="23">
        <v>264.95213198148866</v>
      </c>
      <c r="F36" s="23">
        <v>251.49803115904811</v>
      </c>
      <c r="G36" s="23">
        <v>299.03477187822239</v>
      </c>
      <c r="H36" s="23">
        <v>284.48608964451313</v>
      </c>
      <c r="I36" s="23">
        <v>280.61301753642061</v>
      </c>
      <c r="J36" s="23">
        <v>255.64923147510896</v>
      </c>
      <c r="K36" s="23">
        <v>258.72025872025876</v>
      </c>
      <c r="L36" s="23">
        <v>429.03697313876313</v>
      </c>
      <c r="M36" s="23">
        <v>642.47471743010112</v>
      </c>
      <c r="N36" s="23">
        <v>436.32489771864414</v>
      </c>
      <c r="O36" s="23">
        <v>458.63539445628999</v>
      </c>
      <c r="P36" s="23">
        <v>395.05679007147444</v>
      </c>
      <c r="Q36" s="23">
        <v>426.88751036516885</v>
      </c>
      <c r="R36" s="23">
        <v>458.51910582081405</v>
      </c>
      <c r="S36" s="23">
        <v>441.1</v>
      </c>
      <c r="T36" s="23">
        <v>404.19465519740976</v>
      </c>
      <c r="U36" s="23">
        <v>419.16890204850705</v>
      </c>
      <c r="V36" s="23">
        <v>450.32687888558348</v>
      </c>
      <c r="W36" s="23">
        <v>442.50635055038106</v>
      </c>
      <c r="X36" s="23">
        <v>406.28004880532006</v>
      </c>
      <c r="Y36" s="23">
        <v>417.98616218163261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23775.966342361295</v>
      </c>
      <c r="E39" s="30">
        <f t="shared" ref="E39:S39" si="2">SUM(E18:E38)</f>
        <v>24744.056240505892</v>
      </c>
      <c r="F39" s="30">
        <f t="shared" si="2"/>
        <v>26624.550590652281</v>
      </c>
      <c r="G39" s="30">
        <f t="shared" si="2"/>
        <v>27730.953226160895</v>
      </c>
      <c r="H39" s="30">
        <f t="shared" si="2"/>
        <v>29083.268933539413</v>
      </c>
      <c r="I39" s="30">
        <f t="shared" si="2"/>
        <v>30961.020080564555</v>
      </c>
      <c r="J39" s="30">
        <f t="shared" si="2"/>
        <v>33172.602661160818</v>
      </c>
      <c r="K39" s="30">
        <f t="shared" si="2"/>
        <v>35344.960344960346</v>
      </c>
      <c r="L39" s="30">
        <f t="shared" si="2"/>
        <v>37519.109577552539</v>
      </c>
      <c r="M39" s="30">
        <f t="shared" si="2"/>
        <v>37197.066764288655</v>
      </c>
      <c r="N39" s="30">
        <f t="shared" si="2"/>
        <v>37877.874361095703</v>
      </c>
      <c r="O39" s="30">
        <f t="shared" si="2"/>
        <v>38597.44136460554</v>
      </c>
      <c r="P39" s="30">
        <f t="shared" si="2"/>
        <v>38695.45995221004</v>
      </c>
      <c r="Q39" s="30">
        <f t="shared" si="2"/>
        <v>38057.646083278232</v>
      </c>
      <c r="R39" s="30">
        <f t="shared" si="2"/>
        <v>38423.550974597652</v>
      </c>
      <c r="S39" s="30">
        <f t="shared" si="2"/>
        <v>39554.299999999996</v>
      </c>
      <c r="T39" s="30">
        <f t="shared" ref="T39:Y39" si="3">SUM(T18:T38)</f>
        <v>40573.527279756439</v>
      </c>
      <c r="U39" s="30">
        <f t="shared" si="3"/>
        <v>41904.730965220871</v>
      </c>
      <c r="V39" s="30">
        <f t="shared" si="3"/>
        <v>43367.832267488462</v>
      </c>
      <c r="W39" s="30">
        <f t="shared" si="3"/>
        <v>44981.625740897543</v>
      </c>
      <c r="X39" s="30">
        <f t="shared" si="3"/>
        <v>43181.395799833539</v>
      </c>
      <c r="Y39" s="30">
        <f t="shared" si="3"/>
        <v>46647.030572273325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632.20765561023256</v>
      </c>
      <c r="E41" s="19">
        <v>747.16501218779808</v>
      </c>
      <c r="F41" s="19">
        <v>741.48262283855513</v>
      </c>
      <c r="G41" s="19">
        <v>939.53378298426219</v>
      </c>
      <c r="H41" s="19">
        <v>821.41937145801126</v>
      </c>
      <c r="I41" s="19">
        <v>916.64899900051466</v>
      </c>
      <c r="J41" s="19">
        <v>1008.4021564579032</v>
      </c>
      <c r="K41" s="19">
        <v>1078.642745309412</v>
      </c>
      <c r="L41" s="19">
        <v>1122.253372630772</v>
      </c>
      <c r="M41" s="19">
        <v>1246.6251773211916</v>
      </c>
      <c r="N41" s="19">
        <v>1050.6930199349481</v>
      </c>
      <c r="O41" s="19">
        <v>1136.0341151385926</v>
      </c>
      <c r="P41" s="19">
        <v>1478.6471436541437</v>
      </c>
      <c r="Q41" s="19">
        <v>1274.6795981988225</v>
      </c>
      <c r="R41" s="19">
        <v>1149.6442435412955</v>
      </c>
      <c r="S41" s="19">
        <v>1091.3</v>
      </c>
      <c r="T41" s="19">
        <v>1044.3145024887642</v>
      </c>
      <c r="U41" s="19">
        <v>800.09653136805377</v>
      </c>
      <c r="V41" s="19">
        <v>1101.5907511979622</v>
      </c>
      <c r="W41" s="19">
        <v>1082.4724809483491</v>
      </c>
      <c r="X41" s="19">
        <v>1153.9549278020636</v>
      </c>
      <c r="Y41" s="19">
        <v>1047.7419742154316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479.32083693324819</v>
      </c>
      <c r="E42" s="23">
        <v>615.57211997032539</v>
      </c>
      <c r="F42" s="23">
        <v>698.16812189693553</v>
      </c>
      <c r="G42" s="23">
        <v>787.22720895244856</v>
      </c>
      <c r="H42" s="23">
        <v>745.26661514683155</v>
      </c>
      <c r="I42" s="23">
        <v>799.58809098343272</v>
      </c>
      <c r="J42" s="23">
        <v>793.32989217710474</v>
      </c>
      <c r="K42" s="23">
        <v>862.27252893919569</v>
      </c>
      <c r="L42" s="23">
        <v>699.20686267462202</v>
      </c>
      <c r="M42" s="23">
        <v>808.8134352262847</v>
      </c>
      <c r="N42" s="23">
        <v>628.08119043031843</v>
      </c>
      <c r="O42" s="23">
        <v>889.44562899786786</v>
      </c>
      <c r="P42" s="23">
        <v>873.79867156496391</v>
      </c>
      <c r="Q42" s="23">
        <v>717.84698386707396</v>
      </c>
      <c r="R42" s="23">
        <v>721.70680725310706</v>
      </c>
      <c r="S42" s="23">
        <v>662.3</v>
      </c>
      <c r="T42" s="23">
        <v>692.02145653119408</v>
      </c>
      <c r="U42" s="23">
        <v>663.37469949970762</v>
      </c>
      <c r="V42" s="23">
        <v>654.73751714555465</v>
      </c>
      <c r="W42" s="23">
        <v>678.15410668924642</v>
      </c>
      <c r="X42" s="23">
        <v>581.78527275224837</v>
      </c>
      <c r="Y42" s="23">
        <v>415.65984781401488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126.77961008226589</v>
      </c>
      <c r="E43" s="23">
        <v>162.32733952732539</v>
      </c>
      <c r="F43" s="23">
        <v>195.68567026194145</v>
      </c>
      <c r="G43" s="23">
        <v>244.77238534746527</v>
      </c>
      <c r="H43" s="23">
        <v>250.35419886656362</v>
      </c>
      <c r="I43" s="23">
        <v>284.39894599751642</v>
      </c>
      <c r="J43" s="23">
        <v>288.05345262674928</v>
      </c>
      <c r="K43" s="23">
        <v>315.31531531531533</v>
      </c>
      <c r="L43" s="23">
        <v>331.6320417894712</v>
      </c>
      <c r="M43" s="23">
        <v>336.45266096188169</v>
      </c>
      <c r="N43" s="23">
        <v>339.31343994016112</v>
      </c>
      <c r="O43" s="23">
        <v>387.10021321961619</v>
      </c>
      <c r="P43" s="23">
        <v>374.53025821324439</v>
      </c>
      <c r="Q43" s="23">
        <v>352.4682222292198</v>
      </c>
      <c r="R43" s="23">
        <v>351.63771533305186</v>
      </c>
      <c r="S43" s="23">
        <v>393.5</v>
      </c>
      <c r="T43" s="23">
        <v>397.62238438119169</v>
      </c>
      <c r="U43" s="23">
        <v>402.92564300101174</v>
      </c>
      <c r="V43" s="23">
        <v>396.708053511944</v>
      </c>
      <c r="W43" s="23">
        <v>393.98814563928875</v>
      </c>
      <c r="X43" s="23">
        <v>348.0207180199908</v>
      </c>
      <c r="Y43" s="23">
        <v>375.06190997913819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472.93490101799335</v>
      </c>
      <c r="E44" s="23">
        <v>330.66026071289787</v>
      </c>
      <c r="F44" s="23">
        <v>353.7065570963876</v>
      </c>
      <c r="G44" s="23">
        <v>225.50163125243</v>
      </c>
      <c r="H44" s="23">
        <v>327.31195260175167</v>
      </c>
      <c r="I44" s="23">
        <v>419.935184904746</v>
      </c>
      <c r="J44" s="23">
        <v>330.92452397338837</v>
      </c>
      <c r="K44" s="23">
        <v>165.03683170349836</v>
      </c>
      <c r="L44" s="23">
        <v>80.152397383365695</v>
      </c>
      <c r="M44" s="23">
        <v>93.579828856449907</v>
      </c>
      <c r="N44" s="23">
        <v>93.498192368280883</v>
      </c>
      <c r="O44" s="23">
        <v>170.57569296375266</v>
      </c>
      <c r="P44" s="23">
        <v>140.8435878272403</v>
      </c>
      <c r="Q44" s="23">
        <v>127.74086553095906</v>
      </c>
      <c r="R44" s="23">
        <v>-81.139244416528513</v>
      </c>
      <c r="S44" s="23">
        <v>134.69999999999999</v>
      </c>
      <c r="T44" s="23">
        <v>295.65553568839698</v>
      </c>
      <c r="U44" s="23">
        <v>285.8813592359171</v>
      </c>
      <c r="V44" s="23">
        <v>100.73570016210343</v>
      </c>
      <c r="W44" s="23">
        <v>149.28027095681625</v>
      </c>
      <c r="X44" s="23">
        <v>-55.754421972090462</v>
      </c>
      <c r="Y44" s="23">
        <v>248.91563733509432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231.77190939483867</v>
      </c>
      <c r="E45" s="23">
        <v>289.50436287843996</v>
      </c>
      <c r="F45" s="23">
        <v>271.35764423900019</v>
      </c>
      <c r="G45" s="23">
        <v>273.50947478743012</v>
      </c>
      <c r="H45" s="23">
        <v>219.92529623905202</v>
      </c>
      <c r="I45" s="23">
        <v>250.47702698609805</v>
      </c>
      <c r="J45" s="23">
        <v>254.9323239275063</v>
      </c>
      <c r="K45" s="23">
        <v>269.37193603860271</v>
      </c>
      <c r="L45" s="23">
        <v>240.6968106774016</v>
      </c>
      <c r="M45" s="23">
        <v>211.1838191552647</v>
      </c>
      <c r="N45" s="23">
        <v>192.88960413432008</v>
      </c>
      <c r="O45" s="23">
        <v>267.16417910447763</v>
      </c>
      <c r="P45" s="23">
        <v>269.68704933736149</v>
      </c>
      <c r="Q45" s="23">
        <v>238.582569722161</v>
      </c>
      <c r="R45" s="23">
        <v>340.7230453988488</v>
      </c>
      <c r="S45" s="23">
        <v>403.3</v>
      </c>
      <c r="T45" s="23">
        <v>385.92760836998019</v>
      </c>
      <c r="U45" s="23">
        <v>403.85382923229719</v>
      </c>
      <c r="V45" s="23">
        <v>349.23490745853894</v>
      </c>
      <c r="W45" s="23">
        <v>361.89669771380187</v>
      </c>
      <c r="X45" s="23">
        <v>386.15997478930484</v>
      </c>
      <c r="Y45" s="23">
        <v>186.33027660628252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109.50001878216446</v>
      </c>
      <c r="E46" s="23">
        <v>136.71530010244817</v>
      </c>
      <c r="F46" s="23">
        <v>127.37544940934774</v>
      </c>
      <c r="G46" s="23">
        <v>128.80977737207769</v>
      </c>
      <c r="H46" s="23">
        <v>109.15765069551777</v>
      </c>
      <c r="I46" s="23">
        <v>119.18102795529575</v>
      </c>
      <c r="J46" s="23">
        <v>121.30075705437027</v>
      </c>
      <c r="K46" s="23">
        <v>134.87846821180156</v>
      </c>
      <c r="L46" s="23">
        <v>121.36678407974506</v>
      </c>
      <c r="M46" s="23">
        <v>119.54880336795863</v>
      </c>
      <c r="N46" s="23">
        <v>186.31639788297429</v>
      </c>
      <c r="O46" s="23">
        <v>193.92324093816632</v>
      </c>
      <c r="P46" s="23">
        <v>207.26533963515408</v>
      </c>
      <c r="Q46" s="23">
        <v>208.03812282856273</v>
      </c>
      <c r="R46" s="23">
        <v>232.70900048395234</v>
      </c>
      <c r="S46" s="23">
        <v>218.5</v>
      </c>
      <c r="T46" s="23">
        <v>225.68018170395786</v>
      </c>
      <c r="U46" s="23">
        <v>223.50724449353518</v>
      </c>
      <c r="V46" s="23">
        <v>211.09072447761724</v>
      </c>
      <c r="W46" s="23">
        <v>164.52159187129553</v>
      </c>
      <c r="X46" s="23">
        <v>182.05030826539104</v>
      </c>
      <c r="Y46" s="23">
        <v>69.639346230620291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222.19300552195637</v>
      </c>
      <c r="E47" s="23">
        <v>292.68378846221782</v>
      </c>
      <c r="F47" s="23">
        <v>416.53826399589116</v>
      </c>
      <c r="G47" s="23">
        <v>409.08092026302893</v>
      </c>
      <c r="H47" s="23">
        <v>431.63961875322002</v>
      </c>
      <c r="I47" s="23">
        <v>508.37447375594388</v>
      </c>
      <c r="J47" s="23">
        <v>631.16540490938291</v>
      </c>
      <c r="K47" s="23">
        <v>778.47077847077855</v>
      </c>
      <c r="L47" s="23">
        <v>674.16672657129868</v>
      </c>
      <c r="M47" s="23">
        <v>604.9512652725025</v>
      </c>
      <c r="N47" s="23">
        <v>497.97703911057721</v>
      </c>
      <c r="O47" s="23">
        <v>558.20895522388059</v>
      </c>
      <c r="P47" s="23">
        <v>521.90023052874244</v>
      </c>
      <c r="Q47" s="23">
        <v>467.61343955663318</v>
      </c>
      <c r="R47" s="23">
        <v>581.87546979416572</v>
      </c>
      <c r="S47" s="23">
        <v>671.5</v>
      </c>
      <c r="T47" s="23">
        <v>712.51147731116805</v>
      </c>
      <c r="U47" s="23">
        <v>675.71957637580408</v>
      </c>
      <c r="V47" s="23">
        <v>756.8983023674225</v>
      </c>
      <c r="W47" s="23">
        <v>814.73327688399661</v>
      </c>
      <c r="X47" s="23">
        <v>849.0832841778647</v>
      </c>
      <c r="Y47" s="23">
        <v>703.07223581323444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409.45118515457722</v>
      </c>
      <c r="E48" s="23">
        <v>397.78146748154171</v>
      </c>
      <c r="F48" s="23">
        <v>415.1686355076186</v>
      </c>
      <c r="G48" s="23">
        <v>513.04156735466643</v>
      </c>
      <c r="H48" s="23">
        <v>615.1790314270994</v>
      </c>
      <c r="I48" s="23">
        <v>671.01796044461935</v>
      </c>
      <c r="J48" s="23">
        <v>787.59463179628347</v>
      </c>
      <c r="K48" s="23">
        <v>990.99099099099101</v>
      </c>
      <c r="L48" s="23">
        <v>908.03440922052096</v>
      </c>
      <c r="M48" s="23">
        <v>841.64645586418339</v>
      </c>
      <c r="N48" s="23">
        <v>816.89087344311349</v>
      </c>
      <c r="O48" s="23">
        <v>908.20895522388059</v>
      </c>
      <c r="P48" s="23">
        <v>900.11473804987429</v>
      </c>
      <c r="Q48" s="23">
        <v>755.94881968279958</v>
      </c>
      <c r="R48" s="23">
        <v>814.58447027811815</v>
      </c>
      <c r="S48" s="23">
        <v>898.7</v>
      </c>
      <c r="T48" s="23">
        <v>1167.0613250857778</v>
      </c>
      <c r="U48" s="23">
        <v>1350.8822410128369</v>
      </c>
      <c r="V48" s="23">
        <v>1125.1046546840764</v>
      </c>
      <c r="W48" s="23">
        <v>1136.0711261642675</v>
      </c>
      <c r="X48" s="23">
        <v>969.15730019312048</v>
      </c>
      <c r="Y48" s="23">
        <v>1070.1046091041437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63.859359152548741</v>
      </c>
      <c r="E49" s="23">
        <v>102.09488819020031</v>
      </c>
      <c r="F49" s="23">
        <v>143.63978770758433</v>
      </c>
      <c r="G49" s="23">
        <v>141.31886336359182</v>
      </c>
      <c r="H49" s="23">
        <v>105.93766099948481</v>
      </c>
      <c r="I49" s="23">
        <v>109.33761395644667</v>
      </c>
      <c r="J49" s="23">
        <v>121.8742830924524</v>
      </c>
      <c r="K49" s="23">
        <v>141.55180821847489</v>
      </c>
      <c r="L49" s="23">
        <v>111.06318740565021</v>
      </c>
      <c r="M49" s="23">
        <v>99.071065757561882</v>
      </c>
      <c r="N49" s="23">
        <v>48.279066604712312</v>
      </c>
      <c r="O49" s="23">
        <v>49.78678038379531</v>
      </c>
      <c r="P49" s="23">
        <v>62.52697396814704</v>
      </c>
      <c r="Q49" s="23">
        <v>51.012375224359985</v>
      </c>
      <c r="R49" s="23">
        <v>86.184705046490308</v>
      </c>
      <c r="S49" s="23">
        <v>116.3</v>
      </c>
      <c r="T49" s="23">
        <v>118.88078094041462</v>
      </c>
      <c r="U49" s="23">
        <v>135.88646426018917</v>
      </c>
      <c r="V49" s="23">
        <v>191.49580490585532</v>
      </c>
      <c r="W49" s="23">
        <v>209.06011854360713</v>
      </c>
      <c r="X49" s="23">
        <v>226.16902478243651</v>
      </c>
      <c r="Y49" s="23">
        <v>245.61377178105627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76.067766049359534</v>
      </c>
      <c r="E50" s="23">
        <v>100.50517539831138</v>
      </c>
      <c r="F50" s="23">
        <v>110.5975004280089</v>
      </c>
      <c r="G50" s="23">
        <v>121.71002586338051</v>
      </c>
      <c r="H50" s="23">
        <v>107.38665636269964</v>
      </c>
      <c r="I50" s="23">
        <v>127.81294484659416</v>
      </c>
      <c r="J50" s="23">
        <v>153.13145216792842</v>
      </c>
      <c r="K50" s="23">
        <v>162.47016247016248</v>
      </c>
      <c r="L50" s="23">
        <v>216.37553015599167</v>
      </c>
      <c r="M50" s="23">
        <v>249.96567976936802</v>
      </c>
      <c r="N50" s="23">
        <v>261.45494520439274</v>
      </c>
      <c r="O50" s="23">
        <v>263.43283582089555</v>
      </c>
      <c r="P50" s="23">
        <v>286.63459615364371</v>
      </c>
      <c r="Q50" s="23">
        <v>285.29143181030952</v>
      </c>
      <c r="R50" s="23">
        <v>274.72018287220567</v>
      </c>
      <c r="S50" s="23">
        <v>313.89999999999998</v>
      </c>
      <c r="T50" s="23">
        <v>336.63557724834482</v>
      </c>
      <c r="U50" s="23">
        <v>386.21829083787372</v>
      </c>
      <c r="V50" s="23">
        <v>397.24246040935566</v>
      </c>
      <c r="W50" s="23">
        <v>416.08806096528366</v>
      </c>
      <c r="X50" s="23">
        <v>306.08369627576621</v>
      </c>
      <c r="Y50" s="23">
        <v>343.01880562517817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194.0197588370084</v>
      </c>
      <c r="E51" s="23">
        <v>248.34846504398206</v>
      </c>
      <c r="F51" s="23">
        <v>253.03886320835477</v>
      </c>
      <c r="G51" s="23">
        <v>271.31193265378573</v>
      </c>
      <c r="H51" s="23">
        <v>259.20917053065432</v>
      </c>
      <c r="I51" s="23">
        <v>296.96822848835444</v>
      </c>
      <c r="J51" s="23">
        <v>322.32163340215646</v>
      </c>
      <c r="K51" s="23">
        <v>384.74371807705143</v>
      </c>
      <c r="L51" s="23">
        <v>390.33858097908131</v>
      </c>
      <c r="M51" s="23">
        <v>331.30462636708921</v>
      </c>
      <c r="N51" s="23">
        <v>320.38713918197584</v>
      </c>
      <c r="O51" s="23">
        <v>363.5394456289979</v>
      </c>
      <c r="P51" s="23">
        <v>422.5307634817209</v>
      </c>
      <c r="Q51" s="23">
        <v>415.76135445203681</v>
      </c>
      <c r="R51" s="23">
        <v>413.31589731972775</v>
      </c>
      <c r="S51" s="23">
        <v>425.1</v>
      </c>
      <c r="T51" s="23">
        <v>435.3162905330305</v>
      </c>
      <c r="U51" s="23">
        <v>477.18054150384734</v>
      </c>
      <c r="V51" s="23">
        <v>521.9374031387498</v>
      </c>
      <c r="W51" s="23">
        <v>541.8289585097375</v>
      </c>
      <c r="X51" s="23">
        <v>452.41885307497756</v>
      </c>
      <c r="Y51" s="23">
        <v>438.47273709645941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66.301040531910886</v>
      </c>
      <c r="E52" s="23">
        <v>55.4633129614583</v>
      </c>
      <c r="F52" s="23">
        <v>76.870398904297218</v>
      </c>
      <c r="G52" s="23">
        <v>91.113477694947349</v>
      </c>
      <c r="H52" s="23">
        <v>91.76970633693972</v>
      </c>
      <c r="I52" s="23">
        <v>104.79449980313171</v>
      </c>
      <c r="J52" s="23">
        <v>119.58017894012389</v>
      </c>
      <c r="K52" s="23">
        <v>136.67513667513668</v>
      </c>
      <c r="L52" s="23">
        <v>142.81264227350059</v>
      </c>
      <c r="M52" s="23">
        <v>132.13288793300691</v>
      </c>
      <c r="N52" s="23">
        <v>202.29608894228045</v>
      </c>
      <c r="O52" s="23">
        <v>184.22174840085287</v>
      </c>
      <c r="P52" s="23">
        <v>194.52836345645744</v>
      </c>
      <c r="Q52" s="23">
        <v>200.16584270134669</v>
      </c>
      <c r="R52" s="23">
        <v>254.95021468949821</v>
      </c>
      <c r="S52" s="23">
        <v>287.7</v>
      </c>
      <c r="T52" s="23">
        <v>295.65553568839698</v>
      </c>
      <c r="U52" s="23">
        <v>322.35907812543508</v>
      </c>
      <c r="V52" s="23">
        <v>303.54311772983948</v>
      </c>
      <c r="W52" s="23">
        <v>315.91871295512277</v>
      </c>
      <c r="X52" s="23">
        <v>367.09034640464779</v>
      </c>
      <c r="Y52" s="23">
        <v>358.70266700685886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161.33879268246483</v>
      </c>
      <c r="E53" s="23">
        <v>181.58052778464889</v>
      </c>
      <c r="F53" s="23">
        <v>219.14055812360721</v>
      </c>
      <c r="G53" s="23">
        <v>263.70505603732545</v>
      </c>
      <c r="H53" s="23">
        <v>252.6081916537878</v>
      </c>
      <c r="I53" s="23">
        <v>313.62631371717544</v>
      </c>
      <c r="J53" s="23">
        <v>349.70750172057433</v>
      </c>
      <c r="K53" s="23">
        <v>421.96042196042345</v>
      </c>
      <c r="L53" s="23">
        <v>467.4957467711447</v>
      </c>
      <c r="M53" s="23">
        <v>438.04054363245814</v>
      </c>
      <c r="N53" s="23">
        <v>412.41202670082475</v>
      </c>
      <c r="O53" s="23">
        <v>459.48827292111037</v>
      </c>
      <c r="P53" s="23">
        <v>517.05807429552533</v>
      </c>
      <c r="Q53" s="23">
        <v>540.45827166714298</v>
      </c>
      <c r="R53" s="23">
        <v>630.57961016094032</v>
      </c>
      <c r="S53" s="23">
        <v>625.09999999999673</v>
      </c>
      <c r="T53" s="23">
        <v>678.97356594017583</v>
      </c>
      <c r="U53" s="23">
        <v>703.9364378068849</v>
      </c>
      <c r="V53" s="23">
        <v>673.26362292248814</v>
      </c>
      <c r="W53" s="23">
        <v>712.61642675697931</v>
      </c>
      <c r="X53" s="23">
        <v>585.42143070694783</v>
      </c>
      <c r="Y53" s="23">
        <v>617.44885860511022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3245.7458397505693</v>
      </c>
      <c r="E54" s="30">
        <f t="shared" ref="E54:S54" si="4">SUM(E41:E53)</f>
        <v>3660.4020207015956</v>
      </c>
      <c r="F54" s="30">
        <f t="shared" si="4"/>
        <v>4022.7700736175302</v>
      </c>
      <c r="G54" s="30">
        <f t="shared" si="4"/>
        <v>4410.6361039268395</v>
      </c>
      <c r="H54" s="30">
        <f t="shared" si="4"/>
        <v>4337.1651210716136</v>
      </c>
      <c r="I54" s="30">
        <f t="shared" si="4"/>
        <v>4922.1613108398687</v>
      </c>
      <c r="J54" s="30">
        <f t="shared" si="4"/>
        <v>5282.3181922459244</v>
      </c>
      <c r="K54" s="30">
        <f t="shared" si="4"/>
        <v>5842.3808423808432</v>
      </c>
      <c r="L54" s="30">
        <f t="shared" si="4"/>
        <v>5505.5950926125643</v>
      </c>
      <c r="M54" s="30">
        <f t="shared" si="4"/>
        <v>5513.3162494852004</v>
      </c>
      <c r="N54" s="30">
        <f t="shared" si="4"/>
        <v>5050.4890238788794</v>
      </c>
      <c r="O54" s="30">
        <f t="shared" si="4"/>
        <v>5831.1300639658857</v>
      </c>
      <c r="P54" s="30">
        <f t="shared" si="4"/>
        <v>6250.0657901662189</v>
      </c>
      <c r="Q54" s="30">
        <f t="shared" si="4"/>
        <v>5635.6078974714273</v>
      </c>
      <c r="R54" s="30">
        <f t="shared" si="4"/>
        <v>5771.4921177548731</v>
      </c>
      <c r="S54" s="30">
        <f t="shared" si="4"/>
        <v>6241.8999999999969</v>
      </c>
      <c r="T54" s="30">
        <f t="shared" ref="T54:Y54" si="5">SUM(T41:T53)</f>
        <v>6786.256221910794</v>
      </c>
      <c r="U54" s="30">
        <f t="shared" si="5"/>
        <v>6831.8219367533939</v>
      </c>
      <c r="V54" s="30">
        <f t="shared" si="5"/>
        <v>6783.5830201115077</v>
      </c>
      <c r="W54" s="30">
        <f t="shared" si="5"/>
        <v>6976.6299745977931</v>
      </c>
      <c r="X54" s="30">
        <f t="shared" si="5"/>
        <v>6351.6407152726688</v>
      </c>
      <c r="Y54" s="30">
        <f t="shared" si="5"/>
        <v>6119.7826772126227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632.20765561023256</v>
      </c>
      <c r="E56" s="19">
        <v>747.16501218779808</v>
      </c>
      <c r="F56" s="19">
        <v>741.48262283855513</v>
      </c>
      <c r="G56" s="19">
        <v>939.53378298426219</v>
      </c>
      <c r="H56" s="19">
        <v>821.41937145801126</v>
      </c>
      <c r="I56" s="19">
        <v>916.64899900051466</v>
      </c>
      <c r="J56" s="19">
        <v>1008.4021564579032</v>
      </c>
      <c r="K56" s="19">
        <v>1078.642745309412</v>
      </c>
      <c r="L56" s="19">
        <v>1122.253372630772</v>
      </c>
      <c r="M56" s="19">
        <v>1246.6251773211916</v>
      </c>
      <c r="N56" s="19">
        <v>1050.6930199349481</v>
      </c>
      <c r="O56" s="19">
        <v>1136.0341151385926</v>
      </c>
      <c r="P56" s="19">
        <v>1478.6471436541437</v>
      </c>
      <c r="Q56" s="19">
        <v>1274.6795981988225</v>
      </c>
      <c r="R56" s="19">
        <v>1149.6442435412955</v>
      </c>
      <c r="S56" s="19">
        <v>1091.3</v>
      </c>
      <c r="T56" s="19">
        <v>1044.3145024887642</v>
      </c>
      <c r="U56" s="19">
        <v>800.09653136805377</v>
      </c>
      <c r="V56" s="19">
        <v>1101.5907511979622</v>
      </c>
      <c r="W56" s="19">
        <v>1082.4724809483491</v>
      </c>
      <c r="X56" s="19">
        <v>1153.9549278020636</v>
      </c>
      <c r="Y56" s="19">
        <v>1047.7419742154316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479.32083693324819</v>
      </c>
      <c r="E57" s="23">
        <v>615.57211997032539</v>
      </c>
      <c r="F57" s="23">
        <v>698.16812189693553</v>
      </c>
      <c r="G57" s="23">
        <v>787.22720895244856</v>
      </c>
      <c r="H57" s="23">
        <v>745.26661514683155</v>
      </c>
      <c r="I57" s="23">
        <v>799.58809098343272</v>
      </c>
      <c r="J57" s="23">
        <v>793.32989217710474</v>
      </c>
      <c r="K57" s="23">
        <v>862.27252893919569</v>
      </c>
      <c r="L57" s="23">
        <v>699.20686267462202</v>
      </c>
      <c r="M57" s="23">
        <v>808.8134352262847</v>
      </c>
      <c r="N57" s="23">
        <v>628.08119043031843</v>
      </c>
      <c r="O57" s="23">
        <v>889.44562899786786</v>
      </c>
      <c r="P57" s="23">
        <v>873.79867156496391</v>
      </c>
      <c r="Q57" s="23">
        <v>717.84698386707396</v>
      </c>
      <c r="R57" s="23">
        <v>721.70680725310706</v>
      </c>
      <c r="S57" s="23">
        <v>662.3</v>
      </c>
      <c r="T57" s="23">
        <v>692.02145653119408</v>
      </c>
      <c r="U57" s="23">
        <v>663.37469949970762</v>
      </c>
      <c r="V57" s="23">
        <v>654.73751714555465</v>
      </c>
      <c r="W57" s="23">
        <v>678.15410668924642</v>
      </c>
      <c r="X57" s="23">
        <v>581.78527275224837</v>
      </c>
      <c r="Y57" s="23">
        <v>415.65984781401488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47.518876075278918</v>
      </c>
      <c r="E58" s="23">
        <v>57.582930017310211</v>
      </c>
      <c r="F58" s="23">
        <v>55.127546652970395</v>
      </c>
      <c r="G58" s="23">
        <v>86.887435130246644</v>
      </c>
      <c r="H58" s="23">
        <v>107.86965481710459</v>
      </c>
      <c r="I58" s="23">
        <v>116.90947087863826</v>
      </c>
      <c r="J58" s="23">
        <v>120.15370497820601</v>
      </c>
      <c r="K58" s="23">
        <v>129.23179589846256</v>
      </c>
      <c r="L58" s="23">
        <v>107.70852802338678</v>
      </c>
      <c r="M58" s="23">
        <v>103.53269573971536</v>
      </c>
      <c r="N58" s="23">
        <v>107.21126058229541</v>
      </c>
      <c r="O58" s="23">
        <v>117.91044776119404</v>
      </c>
      <c r="P58" s="23">
        <v>113.79067148075244</v>
      </c>
      <c r="Q58" s="23">
        <v>93.627651646356185</v>
      </c>
      <c r="R58" s="23">
        <v>109.55857367917048</v>
      </c>
      <c r="S58" s="23">
        <v>134.30000000000001</v>
      </c>
      <c r="T58" s="23">
        <v>130.09230174455129</v>
      </c>
      <c r="U58" s="23">
        <v>138.6710229540455</v>
      </c>
      <c r="V58" s="23">
        <v>117.21324616563051</v>
      </c>
      <c r="W58" s="23">
        <v>110.75359864521594</v>
      </c>
      <c r="X58" s="23">
        <v>103.75170697415095</v>
      </c>
      <c r="Y58" s="23">
        <v>124.19517027120322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36.437399045866044</v>
      </c>
      <c r="E59" s="23">
        <v>54.756773942840994</v>
      </c>
      <c r="F59" s="23">
        <v>88.512241054613938</v>
      </c>
      <c r="G59" s="23">
        <v>100.41077133728892</v>
      </c>
      <c r="H59" s="23">
        <v>87.100721277691903</v>
      </c>
      <c r="I59" s="23">
        <v>98.888451403822259</v>
      </c>
      <c r="J59" s="23">
        <v>99.506767607249387</v>
      </c>
      <c r="K59" s="23">
        <v>104.72010472010471</v>
      </c>
      <c r="L59" s="23">
        <v>106.51043538686412</v>
      </c>
      <c r="M59" s="23">
        <v>131.67528485791425</v>
      </c>
      <c r="N59" s="23">
        <v>131.12413160012241</v>
      </c>
      <c r="O59" s="23">
        <v>152.23880597014929</v>
      </c>
      <c r="P59" s="23">
        <v>149.58052190023054</v>
      </c>
      <c r="Q59" s="23">
        <v>147.89390265663212</v>
      </c>
      <c r="R59" s="23">
        <v>131.28494496329171</v>
      </c>
      <c r="S59" s="23">
        <v>149.6</v>
      </c>
      <c r="T59" s="23">
        <v>150.09906731745036</v>
      </c>
      <c r="U59" s="23">
        <v>150.64462533762776</v>
      </c>
      <c r="V59" s="23">
        <v>156.67028875786022</v>
      </c>
      <c r="W59" s="23">
        <v>144.5385266723116</v>
      </c>
      <c r="X59" s="23">
        <v>130.0128477581066</v>
      </c>
      <c r="Y59" s="23">
        <v>129.07292620330486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42.823334961120935</v>
      </c>
      <c r="E60" s="23">
        <v>49.987635567174181</v>
      </c>
      <c r="F60" s="23">
        <v>52.045882554357135</v>
      </c>
      <c r="G60" s="23">
        <v>57.47417887992971</v>
      </c>
      <c r="H60" s="23">
        <v>55.383822771767129</v>
      </c>
      <c r="I60" s="23">
        <v>68.601023715055888</v>
      </c>
      <c r="J60" s="23">
        <v>68.392980041293882</v>
      </c>
      <c r="K60" s="23">
        <v>81.363414696748052</v>
      </c>
      <c r="L60" s="23">
        <v>117.41307837922031</v>
      </c>
      <c r="M60" s="23">
        <v>101.24468036425208</v>
      </c>
      <c r="N60" s="23">
        <v>100.9780477577433</v>
      </c>
      <c r="O60" s="23">
        <v>116.95095948827284</v>
      </c>
      <c r="P60" s="23">
        <v>111.15906483226141</v>
      </c>
      <c r="Q60" s="23">
        <v>110.9466679262315</v>
      </c>
      <c r="R60" s="23">
        <v>110.79419669058967</v>
      </c>
      <c r="S60" s="23">
        <v>109.6</v>
      </c>
      <c r="T60" s="23">
        <v>117.43101531919001</v>
      </c>
      <c r="U60" s="23">
        <v>113.60999470933848</v>
      </c>
      <c r="V60" s="23">
        <v>122.82451858845329</v>
      </c>
      <c r="W60" s="23">
        <v>138.69602032176118</v>
      </c>
      <c r="X60" s="23">
        <v>114.25616328773324</v>
      </c>
      <c r="Y60" s="23">
        <v>121.79381350463012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472.93490101799335</v>
      </c>
      <c r="E61" s="23">
        <v>330.66026071289787</v>
      </c>
      <c r="F61" s="23">
        <v>353.7065570963876</v>
      </c>
      <c r="G61" s="23">
        <v>225.50163125243</v>
      </c>
      <c r="H61" s="23">
        <v>327.31195260175167</v>
      </c>
      <c r="I61" s="23">
        <v>419.935184904746</v>
      </c>
      <c r="J61" s="23">
        <v>330.92452397338837</v>
      </c>
      <c r="K61" s="23">
        <v>165.03683170349836</v>
      </c>
      <c r="L61" s="23">
        <v>80.152397383365695</v>
      </c>
      <c r="M61" s="23">
        <v>93.579828856449907</v>
      </c>
      <c r="N61" s="23">
        <v>93.498192368280883</v>
      </c>
      <c r="O61" s="23">
        <v>170.57569296375266</v>
      </c>
      <c r="P61" s="23">
        <v>140.8435878272403</v>
      </c>
      <c r="Q61" s="23">
        <v>127.74086553095906</v>
      </c>
      <c r="R61" s="23">
        <v>-81.139244416528513</v>
      </c>
      <c r="S61" s="23">
        <v>134.69999999999999</v>
      </c>
      <c r="T61" s="23">
        <v>295.65553568839698</v>
      </c>
      <c r="U61" s="23">
        <v>285.8813592359171</v>
      </c>
      <c r="V61" s="23">
        <v>100.73570016210343</v>
      </c>
      <c r="W61" s="23">
        <v>149.28027095681625</v>
      </c>
      <c r="X61" s="23">
        <v>-55.754421972090462</v>
      </c>
      <c r="Y61" s="23">
        <v>248.91563733509432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231.77190939483867</v>
      </c>
      <c r="E62" s="23">
        <v>289.50436287843996</v>
      </c>
      <c r="F62" s="23">
        <v>271.35764423900019</v>
      </c>
      <c r="G62" s="23">
        <v>273.50947478743012</v>
      </c>
      <c r="H62" s="23">
        <v>219.92529623905202</v>
      </c>
      <c r="I62" s="23">
        <v>250.47702698609805</v>
      </c>
      <c r="J62" s="23">
        <v>254.9323239275063</v>
      </c>
      <c r="K62" s="23">
        <v>269.37193603860271</v>
      </c>
      <c r="L62" s="23">
        <v>240.6968106774016</v>
      </c>
      <c r="M62" s="23">
        <v>211.1838191552647</v>
      </c>
      <c r="N62" s="23">
        <v>192.88960413432008</v>
      </c>
      <c r="O62" s="23">
        <v>267.16417910447763</v>
      </c>
      <c r="P62" s="23">
        <v>269.68704933736149</v>
      </c>
      <c r="Q62" s="23">
        <v>238.582569722161</v>
      </c>
      <c r="R62" s="23">
        <v>340.7230453988488</v>
      </c>
      <c r="S62" s="23">
        <v>403.3</v>
      </c>
      <c r="T62" s="23">
        <v>385.92760836998019</v>
      </c>
      <c r="U62" s="23">
        <v>403.85382923229719</v>
      </c>
      <c r="V62" s="23">
        <v>349.23490745853894</v>
      </c>
      <c r="W62" s="23">
        <v>361.89669771380187</v>
      </c>
      <c r="X62" s="23">
        <v>386.15997478930484</v>
      </c>
      <c r="Y62" s="23">
        <v>186.33027660628252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109.50001878216446</v>
      </c>
      <c r="E63" s="23">
        <v>136.71530010244817</v>
      </c>
      <c r="F63" s="23">
        <v>127.37544940934774</v>
      </c>
      <c r="G63" s="23">
        <v>128.80977737207769</v>
      </c>
      <c r="H63" s="23">
        <v>109.15765069551777</v>
      </c>
      <c r="I63" s="23">
        <v>119.18102795529575</v>
      </c>
      <c r="J63" s="23">
        <v>121.30075705437027</v>
      </c>
      <c r="K63" s="23">
        <v>134.87846821180156</v>
      </c>
      <c r="L63" s="23">
        <v>121.36678407974506</v>
      </c>
      <c r="M63" s="23">
        <v>119.54880336795863</v>
      </c>
      <c r="N63" s="23">
        <v>186.31639788297429</v>
      </c>
      <c r="O63" s="23">
        <v>193.92324093816632</v>
      </c>
      <c r="P63" s="23">
        <v>207.26533963515408</v>
      </c>
      <c r="Q63" s="23">
        <v>208.03812282856273</v>
      </c>
      <c r="R63" s="23">
        <v>232.70900048395234</v>
      </c>
      <c r="S63" s="23">
        <v>218.5</v>
      </c>
      <c r="T63" s="23">
        <v>225.68018170395786</v>
      </c>
      <c r="U63" s="23">
        <v>223.50724449353518</v>
      </c>
      <c r="V63" s="23">
        <v>211.09072447761724</v>
      </c>
      <c r="W63" s="23">
        <v>164.52159187129553</v>
      </c>
      <c r="X63" s="23">
        <v>182.05030826539104</v>
      </c>
      <c r="Y63" s="23">
        <v>69.639346230620291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75.504301115660581</v>
      </c>
      <c r="E64" s="23">
        <v>75.952944501360093</v>
      </c>
      <c r="F64" s="23">
        <v>107.17342920732752</v>
      </c>
      <c r="G64" s="23">
        <v>138.27611271700729</v>
      </c>
      <c r="H64" s="23">
        <v>116.08062854198864</v>
      </c>
      <c r="I64" s="23">
        <v>136.74773601478026</v>
      </c>
      <c r="J64" s="23">
        <v>152.84468914888737</v>
      </c>
      <c r="K64" s="23">
        <v>166.57683324349995</v>
      </c>
      <c r="L64" s="23">
        <v>175.64038051422136</v>
      </c>
      <c r="M64" s="23">
        <v>183.04123003706584</v>
      </c>
      <c r="N64" s="23">
        <v>174.07663451839932</v>
      </c>
      <c r="O64" s="23">
        <v>200.2132196162047</v>
      </c>
      <c r="P64" s="23">
        <v>190.42305708481143</v>
      </c>
      <c r="Q64" s="23">
        <v>187.36026702774191</v>
      </c>
      <c r="R64" s="23">
        <v>261.95207842087376</v>
      </c>
      <c r="S64" s="23">
        <v>313</v>
      </c>
      <c r="T64" s="23">
        <v>348.52365534238629</v>
      </c>
      <c r="U64" s="23">
        <v>324.02981334174888</v>
      </c>
      <c r="V64" s="23">
        <v>366.51406380818355</v>
      </c>
      <c r="W64" s="23">
        <v>396.18966977138018</v>
      </c>
      <c r="X64" s="23">
        <v>432.37958256906677</v>
      </c>
      <c r="Y64" s="23">
        <v>379.26428432064114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146.68870440629578</v>
      </c>
      <c r="E65" s="23">
        <v>216.73084396085773</v>
      </c>
      <c r="F65" s="23">
        <v>309.36483478856366</v>
      </c>
      <c r="G65" s="23">
        <v>270.80480754602161</v>
      </c>
      <c r="H65" s="23">
        <v>315.55899021123139</v>
      </c>
      <c r="I65" s="23">
        <v>371.62673774116365</v>
      </c>
      <c r="J65" s="23">
        <v>478.32071576049555</v>
      </c>
      <c r="K65" s="23">
        <v>611.89394522727866</v>
      </c>
      <c r="L65" s="23">
        <v>498.52634605707732</v>
      </c>
      <c r="M65" s="23">
        <v>421.91003523543668</v>
      </c>
      <c r="N65" s="23">
        <v>323.90040459217789</v>
      </c>
      <c r="O65" s="23">
        <v>357.9957356076759</v>
      </c>
      <c r="P65" s="23">
        <v>331.47717344393101</v>
      </c>
      <c r="Q65" s="23">
        <v>280.25317252889124</v>
      </c>
      <c r="R65" s="23">
        <v>319.92339137329196</v>
      </c>
      <c r="S65" s="23">
        <v>358.5</v>
      </c>
      <c r="T65" s="23">
        <v>363.98782196878176</v>
      </c>
      <c r="U65" s="23">
        <v>351.6897630340552</v>
      </c>
      <c r="V65" s="23">
        <v>390.38423855923895</v>
      </c>
      <c r="W65" s="23">
        <v>418.54360711261643</v>
      </c>
      <c r="X65" s="23">
        <v>416.70370160879793</v>
      </c>
      <c r="Y65" s="23">
        <v>323.8079514925933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259.00604785695504</v>
      </c>
      <c r="E66" s="23">
        <v>202.42342883385737</v>
      </c>
      <c r="F66" s="23">
        <v>173.08680020544429</v>
      </c>
      <c r="G66" s="23">
        <v>235.98221681288774</v>
      </c>
      <c r="H66" s="23">
        <v>339.70891293147861</v>
      </c>
      <c r="I66" s="23">
        <v>356.18014961989275</v>
      </c>
      <c r="J66" s="23">
        <v>405.48290892406516</v>
      </c>
      <c r="K66" s="23">
        <v>531.17219783886458</v>
      </c>
      <c r="L66" s="23">
        <v>415.61833560970939</v>
      </c>
      <c r="M66" s="23">
        <v>433.35011211275338</v>
      </c>
      <c r="N66" s="23">
        <v>405.72548930720677</v>
      </c>
      <c r="O66" s="23">
        <v>477.07889125799574</v>
      </c>
      <c r="P66" s="23">
        <v>482.53139506731651</v>
      </c>
      <c r="Q66" s="23">
        <v>341.86688499123551</v>
      </c>
      <c r="R66" s="23">
        <v>283.47251253642514</v>
      </c>
      <c r="S66" s="23">
        <v>327.39999999999998</v>
      </c>
      <c r="T66" s="23">
        <v>420.23872807229498</v>
      </c>
      <c r="U66" s="23">
        <v>502.05593250229731</v>
      </c>
      <c r="V66" s="23">
        <v>385.12923740135739</v>
      </c>
      <c r="W66" s="23">
        <v>431.0753598645216</v>
      </c>
      <c r="X66" s="23">
        <v>361.43410069733426</v>
      </c>
      <c r="Y66" s="23">
        <v>536.70323732909094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150.44513729762218</v>
      </c>
      <c r="E67" s="23">
        <v>195.35803864768434</v>
      </c>
      <c r="F67" s="23">
        <v>242.08183530217431</v>
      </c>
      <c r="G67" s="23">
        <v>277.05935054177871</v>
      </c>
      <c r="H67" s="23">
        <v>275.4701184956208</v>
      </c>
      <c r="I67" s="23">
        <v>314.8378108247266</v>
      </c>
      <c r="J67" s="23">
        <v>382.11172287221831</v>
      </c>
      <c r="K67" s="23">
        <v>459.81879315212643</v>
      </c>
      <c r="L67" s="23">
        <v>492.41607361081157</v>
      </c>
      <c r="M67" s="23">
        <v>408.29634375143002</v>
      </c>
      <c r="N67" s="23">
        <v>411.16538413590672</v>
      </c>
      <c r="O67" s="23">
        <v>431.13006396588486</v>
      </c>
      <c r="P67" s="23">
        <v>417.58334298255778</v>
      </c>
      <c r="Q67" s="23">
        <v>414.08193469156407</v>
      </c>
      <c r="R67" s="23">
        <v>531.111957741693</v>
      </c>
      <c r="S67" s="23">
        <v>571.30000000000007</v>
      </c>
      <c r="T67" s="23">
        <v>746.82259701348278</v>
      </c>
      <c r="U67" s="23">
        <v>848.82630851053955</v>
      </c>
      <c r="V67" s="23">
        <v>739.97541728271904</v>
      </c>
      <c r="W67" s="23">
        <v>704.99576629974592</v>
      </c>
      <c r="X67" s="23">
        <v>607.72319949578628</v>
      </c>
      <c r="Y67" s="23">
        <v>533.40137177505278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63.859359152548741</v>
      </c>
      <c r="E68" s="23">
        <v>102.09488819020031</v>
      </c>
      <c r="F68" s="23">
        <v>143.63978770758433</v>
      </c>
      <c r="G68" s="23">
        <v>141.31886336359182</v>
      </c>
      <c r="H68" s="23">
        <v>105.93766099948481</v>
      </c>
      <c r="I68" s="23">
        <v>109.33761395644667</v>
      </c>
      <c r="J68" s="23">
        <v>121.8742830924524</v>
      </c>
      <c r="K68" s="23">
        <v>141.55180821847489</v>
      </c>
      <c r="L68" s="23">
        <v>111.06318740565021</v>
      </c>
      <c r="M68" s="23">
        <v>99.071065757561882</v>
      </c>
      <c r="N68" s="23">
        <v>48.279066604712312</v>
      </c>
      <c r="O68" s="23">
        <v>49.78678038379531</v>
      </c>
      <c r="P68" s="23">
        <v>62.52697396814704</v>
      </c>
      <c r="Q68" s="23">
        <v>51.012375224359985</v>
      </c>
      <c r="R68" s="23">
        <v>86.184705046490308</v>
      </c>
      <c r="S68" s="23">
        <v>116.3</v>
      </c>
      <c r="T68" s="23">
        <v>118.88078094041462</v>
      </c>
      <c r="U68" s="23">
        <v>135.88646426018917</v>
      </c>
      <c r="V68" s="23">
        <v>191.49580490585532</v>
      </c>
      <c r="W68" s="23">
        <v>209.06011854360713</v>
      </c>
      <c r="X68" s="23">
        <v>226.16902478243651</v>
      </c>
      <c r="Y68" s="23">
        <v>245.61377178105627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76.067766049359534</v>
      </c>
      <c r="E69" s="23">
        <v>100.50517539831138</v>
      </c>
      <c r="F69" s="23">
        <v>110.5975004280089</v>
      </c>
      <c r="G69" s="23">
        <v>121.71002586338051</v>
      </c>
      <c r="H69" s="23">
        <v>107.38665636269964</v>
      </c>
      <c r="I69" s="23">
        <v>127.81294484659416</v>
      </c>
      <c r="J69" s="23">
        <v>153.13145216792842</v>
      </c>
      <c r="K69" s="23">
        <v>162.47016247016248</v>
      </c>
      <c r="L69" s="23">
        <v>216.37553015599167</v>
      </c>
      <c r="M69" s="23">
        <v>249.96567976936802</v>
      </c>
      <c r="N69" s="23">
        <v>261.45494520439274</v>
      </c>
      <c r="O69" s="23">
        <v>263.43283582089555</v>
      </c>
      <c r="P69" s="23">
        <v>286.63459615364371</v>
      </c>
      <c r="Q69" s="23">
        <v>285.29143181030952</v>
      </c>
      <c r="R69" s="23">
        <v>274.72018287220567</v>
      </c>
      <c r="S69" s="23">
        <v>313.89999999999998</v>
      </c>
      <c r="T69" s="23">
        <v>336.63557724834482</v>
      </c>
      <c r="U69" s="23">
        <v>386.21829083787372</v>
      </c>
      <c r="V69" s="23">
        <v>397.24246040935566</v>
      </c>
      <c r="W69" s="23">
        <v>416.08806096528366</v>
      </c>
      <c r="X69" s="23">
        <v>306.08369627576621</v>
      </c>
      <c r="Y69" s="23">
        <v>343.01880562517817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194.0197588370084</v>
      </c>
      <c r="E70" s="23">
        <v>248.34846504398206</v>
      </c>
      <c r="F70" s="23">
        <v>253.03886320835477</v>
      </c>
      <c r="G70" s="23">
        <v>271.31193265378573</v>
      </c>
      <c r="H70" s="23">
        <v>259.20917053065432</v>
      </c>
      <c r="I70" s="23">
        <v>296.96822848835444</v>
      </c>
      <c r="J70" s="23">
        <v>322.32163340215646</v>
      </c>
      <c r="K70" s="23">
        <v>384.74371807705143</v>
      </c>
      <c r="L70" s="23">
        <v>390.33858097908131</v>
      </c>
      <c r="M70" s="23">
        <v>331.30462636708921</v>
      </c>
      <c r="N70" s="23">
        <v>320.38713918197584</v>
      </c>
      <c r="O70" s="23">
        <v>363.5394456289979</v>
      </c>
      <c r="P70" s="23">
        <v>422.5307634817209</v>
      </c>
      <c r="Q70" s="23">
        <v>415.76135445203681</v>
      </c>
      <c r="R70" s="23">
        <v>413.31589731972775</v>
      </c>
      <c r="S70" s="23">
        <v>425.1</v>
      </c>
      <c r="T70" s="23">
        <v>435.3162905330305</v>
      </c>
      <c r="U70" s="23">
        <v>477.18054150384734</v>
      </c>
      <c r="V70" s="23">
        <v>521.9374031387498</v>
      </c>
      <c r="W70" s="23">
        <v>541.8289585097375</v>
      </c>
      <c r="X70" s="23">
        <v>452.41885307497756</v>
      </c>
      <c r="Y70" s="23">
        <v>438.47273709645941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32.117501220840694</v>
      </c>
      <c r="E71" s="23">
        <v>35.150316176210829</v>
      </c>
      <c r="F71" s="23">
        <v>45.540147235062491</v>
      </c>
      <c r="G71" s="23">
        <v>45.303176293591633</v>
      </c>
      <c r="H71" s="23">
        <v>43.147861926841834</v>
      </c>
      <c r="I71" s="23">
        <v>52.548687040009696</v>
      </c>
      <c r="J71" s="23">
        <v>62.370956641431519</v>
      </c>
      <c r="K71" s="23">
        <v>68.273401606734936</v>
      </c>
      <c r="L71" s="23">
        <v>62.660244890134912</v>
      </c>
      <c r="M71" s="23">
        <v>70.814075870589846</v>
      </c>
      <c r="N71" s="23">
        <v>124.77758763330576</v>
      </c>
      <c r="O71" s="23">
        <v>132.94243070362475</v>
      </c>
      <c r="P71" s="23">
        <v>138.42250971062853</v>
      </c>
      <c r="Q71" s="23">
        <v>144.43009940065707</v>
      </c>
      <c r="R71" s="23">
        <v>192.03640969140315</v>
      </c>
      <c r="S71" s="23">
        <v>215.9</v>
      </c>
      <c r="T71" s="23">
        <v>234.37877543130526</v>
      </c>
      <c r="U71" s="23">
        <v>257.57167918171103</v>
      </c>
      <c r="V71" s="23">
        <v>218.03801414396921</v>
      </c>
      <c r="W71" s="23">
        <v>231.66807790008471</v>
      </c>
      <c r="X71" s="23">
        <v>276.6712185977359</v>
      </c>
      <c r="Y71" s="23">
        <v>310.07519248375331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34.183539311070192</v>
      </c>
      <c r="E72" s="23">
        <v>20.312996785247471</v>
      </c>
      <c r="F72" s="23">
        <v>31.330251669234727</v>
      </c>
      <c r="G72" s="23">
        <v>45.810301401355716</v>
      </c>
      <c r="H72" s="23">
        <v>48.621844410097886</v>
      </c>
      <c r="I72" s="23">
        <v>52.245812763122018</v>
      </c>
      <c r="J72" s="23">
        <v>57.209222298692367</v>
      </c>
      <c r="K72" s="23">
        <v>68.401735068401749</v>
      </c>
      <c r="L72" s="23">
        <v>80.152397383365667</v>
      </c>
      <c r="M72" s="23">
        <v>61.318812062417066</v>
      </c>
      <c r="N72" s="23">
        <v>77.518501308974692</v>
      </c>
      <c r="O72" s="23">
        <v>51.279317697228123</v>
      </c>
      <c r="P72" s="23">
        <v>56.105853745828909</v>
      </c>
      <c r="Q72" s="23">
        <v>55.73574330068962</v>
      </c>
      <c r="R72" s="23">
        <v>62.91380499809506</v>
      </c>
      <c r="S72" s="23">
        <v>71.799999999999983</v>
      </c>
      <c r="T72" s="23">
        <v>61.276760257091723</v>
      </c>
      <c r="U72" s="23">
        <v>64.787398943724043</v>
      </c>
      <c r="V72" s="23">
        <v>85.505103585870273</v>
      </c>
      <c r="W72" s="23">
        <v>84.25063505503806</v>
      </c>
      <c r="X72" s="23">
        <v>90.419127806911888</v>
      </c>
      <c r="Y72" s="23">
        <v>48.627474523105548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78.885090717854325</v>
      </c>
      <c r="E73" s="23">
        <v>96.442576041261887</v>
      </c>
      <c r="F73" s="23">
        <v>108.37185413456601</v>
      </c>
      <c r="G73" s="23">
        <v>142.50215528170801</v>
      </c>
      <c r="H73" s="23">
        <v>129.7655847501288</v>
      </c>
      <c r="I73" s="23">
        <v>172.03258927219309</v>
      </c>
      <c r="J73" s="23">
        <v>188.69006652902041</v>
      </c>
      <c r="K73" s="23">
        <v>225.35355868689203</v>
      </c>
      <c r="L73" s="23">
        <v>215.05762825581675</v>
      </c>
      <c r="M73" s="23">
        <v>200.31574612181393</v>
      </c>
      <c r="N73" s="23">
        <v>226.88894681369496</v>
      </c>
      <c r="O73" s="23">
        <v>269.29637526652454</v>
      </c>
      <c r="P73" s="23">
        <v>339.8983147191023</v>
      </c>
      <c r="Q73" s="23">
        <v>365.48372537288367</v>
      </c>
      <c r="R73" s="23">
        <v>425.98103318677471</v>
      </c>
      <c r="S73" s="23">
        <v>429.1</v>
      </c>
      <c r="T73" s="23">
        <v>466.05132170299134</v>
      </c>
      <c r="U73" s="23">
        <v>475.50980628753348</v>
      </c>
      <c r="V73" s="23">
        <v>412.5621248018241</v>
      </c>
      <c r="W73" s="23">
        <v>438.18797629127857</v>
      </c>
      <c r="X73" s="23">
        <v>325.71894923115457</v>
      </c>
      <c r="Y73" s="23">
        <v>364.25580452955916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82.453701964610502</v>
      </c>
      <c r="E74" s="23">
        <v>85.137951743387006</v>
      </c>
      <c r="F74" s="23">
        <v>110.7687039890412</v>
      </c>
      <c r="G74" s="23">
        <v>121.20290075561743</v>
      </c>
      <c r="H74" s="23">
        <v>122.842606903659</v>
      </c>
      <c r="I74" s="23">
        <v>141.59372444498234</v>
      </c>
      <c r="J74" s="23">
        <v>161.01743519155391</v>
      </c>
      <c r="K74" s="23">
        <v>196.60686327353142</v>
      </c>
      <c r="L74" s="23">
        <v>252.43811851532794</v>
      </c>
      <c r="M74" s="23">
        <v>237.72479751064421</v>
      </c>
      <c r="N74" s="23">
        <v>185.5230798871298</v>
      </c>
      <c r="O74" s="23">
        <v>190.19189765458583</v>
      </c>
      <c r="P74" s="23">
        <v>177.15975957642303</v>
      </c>
      <c r="Q74" s="23">
        <v>174.97454629425931</v>
      </c>
      <c r="R74" s="23">
        <v>204.59857697416561</v>
      </c>
      <c r="S74" s="23">
        <v>195.9999999999967</v>
      </c>
      <c r="T74" s="23">
        <v>212.92224423718449</v>
      </c>
      <c r="U74" s="23">
        <v>228.42663151935142</v>
      </c>
      <c r="V74" s="23">
        <v>260.70149812066404</v>
      </c>
      <c r="W74" s="23">
        <v>274.42845046570073</v>
      </c>
      <c r="X74" s="23">
        <v>259.70248147579326</v>
      </c>
      <c r="Y74" s="23">
        <v>253.19305407555106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3245.7458397505688</v>
      </c>
      <c r="E75" s="30">
        <f t="shared" ref="E75:S75" si="6">SUM(E56:E74)</f>
        <v>3660.4020207015956</v>
      </c>
      <c r="F75" s="30">
        <f t="shared" si="6"/>
        <v>4022.7700736175302</v>
      </c>
      <c r="G75" s="30">
        <f t="shared" si="6"/>
        <v>4410.6361039268404</v>
      </c>
      <c r="H75" s="30">
        <f t="shared" si="6"/>
        <v>4337.1651210716136</v>
      </c>
      <c r="I75" s="30">
        <f t="shared" si="6"/>
        <v>4922.1613108398697</v>
      </c>
      <c r="J75" s="30">
        <f t="shared" si="6"/>
        <v>5282.3181922459244</v>
      </c>
      <c r="K75" s="30">
        <f t="shared" si="6"/>
        <v>5842.380842380845</v>
      </c>
      <c r="L75" s="30">
        <f t="shared" si="6"/>
        <v>5505.5950926125652</v>
      </c>
      <c r="M75" s="30">
        <f t="shared" si="6"/>
        <v>5513.3162494852013</v>
      </c>
      <c r="N75" s="30">
        <f t="shared" si="6"/>
        <v>5050.4890238788794</v>
      </c>
      <c r="O75" s="30">
        <f t="shared" si="6"/>
        <v>5831.1300639658866</v>
      </c>
      <c r="P75" s="30">
        <f t="shared" si="6"/>
        <v>6250.0657901662189</v>
      </c>
      <c r="Q75" s="30">
        <f t="shared" si="6"/>
        <v>5635.6078974714283</v>
      </c>
      <c r="R75" s="30">
        <f t="shared" si="6"/>
        <v>5771.4921177548731</v>
      </c>
      <c r="S75" s="30">
        <f t="shared" si="6"/>
        <v>6241.8999999999969</v>
      </c>
      <c r="T75" s="30">
        <f t="shared" ref="T75:Y75" si="7">SUM(T56:T74)</f>
        <v>6786.256221910794</v>
      </c>
      <c r="U75" s="30">
        <f t="shared" si="7"/>
        <v>6831.8219367533939</v>
      </c>
      <c r="V75" s="30">
        <f t="shared" si="7"/>
        <v>6783.5830201115077</v>
      </c>
      <c r="W75" s="30">
        <f t="shared" si="7"/>
        <v>6976.6299745977931</v>
      </c>
      <c r="X75" s="30">
        <f t="shared" si="7"/>
        <v>6351.6407152726688</v>
      </c>
      <c r="Y75" s="30">
        <f t="shared" si="7"/>
        <v>6119.7826772126236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8190876</v>
      </c>
      <c r="E3" s="42">
        <v>8149468</v>
      </c>
      <c r="F3" s="42">
        <v>7868815</v>
      </c>
      <c r="G3" s="42">
        <v>7805506</v>
      </c>
      <c r="H3" s="42">
        <v>7745147</v>
      </c>
      <c r="I3" s="42">
        <v>7688573</v>
      </c>
      <c r="J3" s="42">
        <v>7629371</v>
      </c>
      <c r="K3" s="42">
        <v>7572673</v>
      </c>
      <c r="L3" s="42">
        <v>7518002</v>
      </c>
      <c r="M3" s="42">
        <v>7467119</v>
      </c>
      <c r="N3" s="42">
        <v>7421766</v>
      </c>
      <c r="O3" s="42">
        <v>7369431</v>
      </c>
      <c r="P3" s="42">
        <v>7327224</v>
      </c>
      <c r="Q3" s="42">
        <v>7284552</v>
      </c>
      <c r="R3" s="42">
        <v>7245677</v>
      </c>
      <c r="S3" s="42">
        <v>7202198</v>
      </c>
      <c r="T3" s="42">
        <v>7153784</v>
      </c>
      <c r="U3" s="42">
        <v>7101859</v>
      </c>
      <c r="V3" s="42">
        <v>7050034</v>
      </c>
      <c r="W3" s="42">
        <v>7000039</v>
      </c>
      <c r="X3" s="42">
        <v>6951482</v>
      </c>
      <c r="Y3" s="42">
        <v>6916548</v>
      </c>
    </row>
    <row r="4" spans="1:25" x14ac:dyDescent="0.25">
      <c r="A4" s="43" t="s">
        <v>239</v>
      </c>
      <c r="B4" s="44"/>
      <c r="C4" s="44"/>
      <c r="D4" s="45">
        <v>2778727</v>
      </c>
      <c r="E4" s="45">
        <v>2774224</v>
      </c>
      <c r="F4" s="45">
        <v>2687965</v>
      </c>
      <c r="G4" s="45">
        <v>2675608</v>
      </c>
      <c r="H4" s="45">
        <v>2664179</v>
      </c>
      <c r="I4" s="45">
        <v>2653978</v>
      </c>
      <c r="J4" s="45">
        <v>2633542</v>
      </c>
      <c r="K4" s="45">
        <v>2655215</v>
      </c>
      <c r="L4" s="45">
        <v>2634146</v>
      </c>
      <c r="M4" s="45">
        <v>2614537</v>
      </c>
      <c r="N4" s="45">
        <v>2611459</v>
      </c>
      <c r="O4" s="45">
        <v>2589986</v>
      </c>
      <c r="P4" s="45">
        <v>2680038</v>
      </c>
      <c r="Q4" s="45">
        <v>2733415</v>
      </c>
      <c r="R4" s="45">
        <v>2786799</v>
      </c>
      <c r="S4" s="45">
        <v>2926533</v>
      </c>
      <c r="T4" s="45">
        <v>2936693</v>
      </c>
      <c r="U4" s="45">
        <v>2938295</v>
      </c>
      <c r="V4" s="45">
        <v>2955989</v>
      </c>
      <c r="W4" s="45">
        <v>2952357</v>
      </c>
      <c r="X4" s="45">
        <v>2971989</v>
      </c>
      <c r="Y4" s="45">
        <v>2976139</v>
      </c>
    </row>
    <row r="5" spans="1:25" x14ac:dyDescent="0.25">
      <c r="A5" s="46" t="s">
        <v>240</v>
      </c>
      <c r="B5" s="47"/>
      <c r="C5" s="47"/>
      <c r="D5" s="48">
        <f>D3/D4</f>
        <v>2.9477080691985935</v>
      </c>
      <c r="E5" s="48">
        <f t="shared" ref="E5:S5" si="0">E3/E4</f>
        <v>2.9375666853145241</v>
      </c>
      <c r="F5" s="48">
        <f t="shared" si="0"/>
        <v>2.9274246502465622</v>
      </c>
      <c r="G5" s="48">
        <f t="shared" si="0"/>
        <v>2.9172830997664829</v>
      </c>
      <c r="H5" s="48">
        <f t="shared" si="0"/>
        <v>2.9071421252100555</v>
      </c>
      <c r="I5" s="48">
        <f t="shared" si="0"/>
        <v>2.8969995229802206</v>
      </c>
      <c r="J5" s="48">
        <f t="shared" si="0"/>
        <v>2.896999933929286</v>
      </c>
      <c r="K5" s="48">
        <f t="shared" si="0"/>
        <v>2.8519999322088796</v>
      </c>
      <c r="L5" s="48">
        <f t="shared" si="0"/>
        <v>2.8540566847851259</v>
      </c>
      <c r="M5" s="48">
        <f t="shared" si="0"/>
        <v>2.8560005079293198</v>
      </c>
      <c r="N5" s="48">
        <f t="shared" si="0"/>
        <v>2.8419998169605574</v>
      </c>
      <c r="O5" s="48">
        <f t="shared" si="0"/>
        <v>2.8453555347403423</v>
      </c>
      <c r="P5" s="48">
        <f t="shared" si="0"/>
        <v>2.7340000402979361</v>
      </c>
      <c r="Q5" s="48">
        <f t="shared" si="0"/>
        <v>2.6650003749887961</v>
      </c>
      <c r="R5" s="48">
        <f t="shared" si="0"/>
        <v>2.5999998564661464</v>
      </c>
      <c r="S5" s="48">
        <f t="shared" si="0"/>
        <v>2.4610000980682605</v>
      </c>
      <c r="T5" s="48">
        <f t="shared" ref="T5:Y5" si="1">T3/T4</f>
        <v>2.4359999496031759</v>
      </c>
      <c r="U5" s="48">
        <f t="shared" si="1"/>
        <v>2.4169999948949985</v>
      </c>
      <c r="V5" s="48">
        <f t="shared" si="1"/>
        <v>2.3850000794996191</v>
      </c>
      <c r="W5" s="48">
        <f t="shared" si="1"/>
        <v>2.3710001873079714</v>
      </c>
      <c r="X5" s="48">
        <f t="shared" si="1"/>
        <v>2.3389999088152749</v>
      </c>
      <c r="Y5" s="48">
        <f t="shared" si="1"/>
        <v>2.3240003239096025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2481.29</v>
      </c>
      <c r="E8" s="42">
        <v>2525.98</v>
      </c>
      <c r="F8" s="42">
        <v>2522.88</v>
      </c>
      <c r="G8" s="42">
        <v>2891.31</v>
      </c>
      <c r="H8" s="42">
        <v>2537.4</v>
      </c>
      <c r="I8" s="42">
        <v>2692.51</v>
      </c>
      <c r="J8" s="42">
        <v>2660.51</v>
      </c>
      <c r="K8" s="42">
        <v>2393.19</v>
      </c>
      <c r="L8" s="42">
        <v>2466.8200000000002</v>
      </c>
      <c r="M8" s="42">
        <v>2437.31</v>
      </c>
      <c r="N8" s="42">
        <v>2516.8200000000002</v>
      </c>
      <c r="O8" s="42">
        <v>2798.59</v>
      </c>
      <c r="P8" s="42">
        <v>2614</v>
      </c>
      <c r="Q8" s="42">
        <v>2387.56</v>
      </c>
      <c r="R8" s="42">
        <v>2365.02</v>
      </c>
      <c r="S8" s="42">
        <v>2371.11</v>
      </c>
      <c r="T8" s="42">
        <v>2420.17</v>
      </c>
      <c r="U8" s="42">
        <v>2527.59</v>
      </c>
      <c r="V8" s="42">
        <v>2352.1</v>
      </c>
      <c r="W8" s="42">
        <v>2152.56</v>
      </c>
      <c r="X8" s="42">
        <v>2247.42</v>
      </c>
      <c r="Y8" s="42">
        <v>2503.0700000000002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2493.4352380952378</v>
      </c>
      <c r="E9" s="45">
        <f t="shared" si="2"/>
        <v>2493.4352380952378</v>
      </c>
      <c r="F9" s="45">
        <f t="shared" si="2"/>
        <v>2493.4352380952378</v>
      </c>
      <c r="G9" s="45">
        <f t="shared" si="2"/>
        <v>2493.4352380952378</v>
      </c>
      <c r="H9" s="45">
        <f t="shared" si="2"/>
        <v>2493.4352380952378</v>
      </c>
      <c r="I9" s="45">
        <f t="shared" si="2"/>
        <v>2493.4352380952378</v>
      </c>
      <c r="J9" s="45">
        <f t="shared" si="2"/>
        <v>2493.4352380952378</v>
      </c>
      <c r="K9" s="45">
        <f t="shared" si="2"/>
        <v>2493.4352380952378</v>
      </c>
      <c r="L9" s="45">
        <f t="shared" si="2"/>
        <v>2493.4352380952378</v>
      </c>
      <c r="M9" s="45">
        <f t="shared" si="2"/>
        <v>2493.4352380952378</v>
      </c>
      <c r="N9" s="45">
        <f t="shared" si="2"/>
        <v>2493.4352380952378</v>
      </c>
      <c r="O9" s="45">
        <f t="shared" si="2"/>
        <v>2493.4352380952378</v>
      </c>
      <c r="P9" s="45">
        <f t="shared" si="2"/>
        <v>2493.4352380952378</v>
      </c>
      <c r="Q9" s="45">
        <f t="shared" si="2"/>
        <v>2493.4352380952378</v>
      </c>
      <c r="R9" s="45">
        <f t="shared" si="2"/>
        <v>2493.4352380952378</v>
      </c>
      <c r="S9" s="45">
        <f t="shared" si="2"/>
        <v>2493.4352380952378</v>
      </c>
      <c r="T9" s="45">
        <f t="shared" si="2"/>
        <v>2493.4352380952378</v>
      </c>
      <c r="U9" s="45">
        <f t="shared" si="2"/>
        <v>2493.4352380952378</v>
      </c>
      <c r="V9" s="45">
        <f t="shared" si="2"/>
        <v>2493.4352380952378</v>
      </c>
      <c r="W9" s="45">
        <f t="shared" si="2"/>
        <v>2493.4352380952378</v>
      </c>
      <c r="X9" s="45">
        <f>AVERAGE($D8:$X8)</f>
        <v>2493.4352380952378</v>
      </c>
      <c r="Y9" s="45">
        <f t="shared" ref="Y9" si="3">AVERAGE($D8:$X8)</f>
        <v>2493.4352380952378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0.99512911427989781</v>
      </c>
      <c r="E10" s="53">
        <f t="shared" si="4"/>
        <v>1.0130521785396855</v>
      </c>
      <c r="F10" s="53">
        <f t="shared" si="4"/>
        <v>1.0118089138450035</v>
      </c>
      <c r="G10" s="53">
        <f t="shared" si="4"/>
        <v>1.1595689175423314</v>
      </c>
      <c r="H10" s="53">
        <f t="shared" si="4"/>
        <v>1.0176322052536433</v>
      </c>
      <c r="I10" s="53">
        <f t="shared" si="4"/>
        <v>1.079839555831752</v>
      </c>
      <c r="J10" s="53">
        <f t="shared" si="4"/>
        <v>1.0670058557576143</v>
      </c>
      <c r="K10" s="53">
        <f t="shared" si="4"/>
        <v>0.95979633376328788</v>
      </c>
      <c r="L10" s="53">
        <f t="shared" si="4"/>
        <v>0.98932587552762374</v>
      </c>
      <c r="M10" s="53">
        <f t="shared" si="4"/>
        <v>0.97749079774050496</v>
      </c>
      <c r="N10" s="53">
        <f t="shared" si="4"/>
        <v>1.0093785318934636</v>
      </c>
      <c r="O10" s="53">
        <f t="shared" si="4"/>
        <v>1.1223832715775179</v>
      </c>
      <c r="P10" s="53">
        <f t="shared" si="4"/>
        <v>1.0483528748061099</v>
      </c>
      <c r="Q10" s="53">
        <f t="shared" si="4"/>
        <v>0.95753840465649431</v>
      </c>
      <c r="R10" s="53">
        <f t="shared" si="4"/>
        <v>0.94849866716677367</v>
      </c>
      <c r="S10" s="53">
        <f t="shared" si="4"/>
        <v>0.95094108071213301</v>
      </c>
      <c r="T10" s="53">
        <f t="shared" ref="T10:Y10" si="5">IF(T8=0,0,T8/T9)</f>
        <v>0.97061674713829516</v>
      </c>
      <c r="U10" s="53">
        <f t="shared" si="5"/>
        <v>1.0136978740746656</v>
      </c>
      <c r="V10" s="53">
        <f t="shared" si="5"/>
        <v>0.94331706076184063</v>
      </c>
      <c r="W10" s="53">
        <f t="shared" si="5"/>
        <v>0.86329091973704675</v>
      </c>
      <c r="X10" s="53">
        <f t="shared" si="5"/>
        <v>0.90133481939431825</v>
      </c>
      <c r="Y10" s="53">
        <f t="shared" si="5"/>
        <v>1.0038640513928576</v>
      </c>
    </row>
    <row r="11" spans="1:25" x14ac:dyDescent="0.25">
      <c r="A11" s="43" t="s">
        <v>251</v>
      </c>
      <c r="B11" s="44"/>
      <c r="C11" s="44"/>
      <c r="D11" s="45">
        <v>216.71</v>
      </c>
      <c r="E11" s="45">
        <v>203.57</v>
      </c>
      <c r="F11" s="45">
        <v>129.26</v>
      </c>
      <c r="G11" s="45">
        <v>162.72999999999999</v>
      </c>
      <c r="H11" s="45">
        <v>57.72</v>
      </c>
      <c r="I11" s="45">
        <v>61.45</v>
      </c>
      <c r="J11" s="45">
        <v>128.54</v>
      </c>
      <c r="K11" s="45">
        <v>247.56</v>
      </c>
      <c r="L11" s="45">
        <v>172.96</v>
      </c>
      <c r="M11" s="45">
        <v>117.02</v>
      </c>
      <c r="N11" s="45">
        <v>180.3</v>
      </c>
      <c r="O11" s="45">
        <v>128.56</v>
      </c>
      <c r="P11" s="45">
        <v>274.81</v>
      </c>
      <c r="Q11" s="45">
        <v>134.49</v>
      </c>
      <c r="R11" s="45">
        <v>102.89</v>
      </c>
      <c r="S11" s="45">
        <v>198</v>
      </c>
      <c r="T11" s="45">
        <v>185.14</v>
      </c>
      <c r="U11" s="45">
        <v>208.93</v>
      </c>
      <c r="V11" s="45">
        <v>127.77</v>
      </c>
      <c r="W11" s="45">
        <v>163.85</v>
      </c>
      <c r="X11" s="45">
        <v>165.93</v>
      </c>
      <c r="Y11" s="45">
        <v>217.2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160.38999999999999</v>
      </c>
      <c r="E12" s="45">
        <f t="shared" ref="E12" si="7">AVERAGE($D11:$X11)</f>
        <v>160.38999999999999</v>
      </c>
      <c r="F12" s="45">
        <f t="shared" ref="F12" si="8">AVERAGE($D11:$X11)</f>
        <v>160.38999999999999</v>
      </c>
      <c r="G12" s="45">
        <f t="shared" ref="G12" si="9">AVERAGE($D11:$X11)</f>
        <v>160.38999999999999</v>
      </c>
      <c r="H12" s="45">
        <f t="shared" ref="H12" si="10">AVERAGE($D11:$X11)</f>
        <v>160.38999999999999</v>
      </c>
      <c r="I12" s="45">
        <f t="shared" ref="I12" si="11">AVERAGE($D11:$X11)</f>
        <v>160.38999999999999</v>
      </c>
      <c r="J12" s="45">
        <f t="shared" ref="J12" si="12">AVERAGE($D11:$X11)</f>
        <v>160.38999999999999</v>
      </c>
      <c r="K12" s="45">
        <f t="shared" ref="K12" si="13">AVERAGE($D11:$X11)</f>
        <v>160.38999999999999</v>
      </c>
      <c r="L12" s="45">
        <f t="shared" ref="L12" si="14">AVERAGE($D11:$X11)</f>
        <v>160.38999999999999</v>
      </c>
      <c r="M12" s="45">
        <f t="shared" ref="M12" si="15">AVERAGE($D11:$X11)</f>
        <v>160.38999999999999</v>
      </c>
      <c r="N12" s="45">
        <f t="shared" ref="N12" si="16">AVERAGE($D11:$X11)</f>
        <v>160.38999999999999</v>
      </c>
      <c r="O12" s="45">
        <f t="shared" ref="O12" si="17">AVERAGE($D11:$X11)</f>
        <v>160.38999999999999</v>
      </c>
      <c r="P12" s="45">
        <f t="shared" ref="P12" si="18">AVERAGE($D11:$X11)</f>
        <v>160.38999999999999</v>
      </c>
      <c r="Q12" s="45">
        <f t="shared" ref="Q12" si="19">AVERAGE($D11:$X11)</f>
        <v>160.38999999999999</v>
      </c>
      <c r="R12" s="45">
        <f t="shared" ref="R12" si="20">AVERAGE($D11:$X11)</f>
        <v>160.38999999999999</v>
      </c>
      <c r="S12" s="45">
        <f t="shared" ref="S12" si="21">AVERAGE($D11:$X11)</f>
        <v>160.38999999999999</v>
      </c>
      <c r="T12" s="45">
        <f t="shared" ref="T12" si="22">AVERAGE($D11:$X11)</f>
        <v>160.38999999999999</v>
      </c>
      <c r="U12" s="45">
        <f t="shared" ref="U12" si="23">AVERAGE($D11:$X11)</f>
        <v>160.38999999999999</v>
      </c>
      <c r="V12" s="45">
        <f t="shared" ref="V12" si="24">AVERAGE($D11:$X11)</f>
        <v>160.38999999999999</v>
      </c>
      <c r="W12" s="45">
        <f t="shared" ref="W12" si="25">AVERAGE($D11:$X11)</f>
        <v>160.38999999999999</v>
      </c>
      <c r="X12" s="45">
        <f>AVERAGE($D11:$X11)</f>
        <v>160.38999999999999</v>
      </c>
      <c r="Y12" s="45">
        <f t="shared" ref="Y12" si="26">AVERAGE($D11:$X11)</f>
        <v>160.38999999999999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1.3511440862896691</v>
      </c>
      <c r="E13" s="55">
        <f t="shared" si="27"/>
        <v>1.2692187792256375</v>
      </c>
      <c r="F13" s="55">
        <f t="shared" ref="F13" si="28">IF(F11=0,0,F11/F12)</f>
        <v>0.80591059292973377</v>
      </c>
      <c r="G13" s="55">
        <f t="shared" ref="G13" si="29">IF(G11=0,0,G11/G12)</f>
        <v>1.0145894382442795</v>
      </c>
      <c r="H13" s="55">
        <f t="shared" ref="H13" si="30">IF(H11=0,0,H11/H12)</f>
        <v>0.35987281002556271</v>
      </c>
      <c r="I13" s="55">
        <f t="shared" ref="I13" si="31">IF(I11=0,0,I11/I12)</f>
        <v>0.38312862397905112</v>
      </c>
      <c r="J13" s="55">
        <f t="shared" ref="J13" si="32">IF(J11=0,0,J11/J12)</f>
        <v>0.80142153500841695</v>
      </c>
      <c r="K13" s="55">
        <f t="shared" ref="K13" si="33">IF(K11=0,0,K11/K12)</f>
        <v>1.5434877486127565</v>
      </c>
      <c r="L13" s="55">
        <f t="shared" ref="L13" si="34">IF(L11=0,0,L11/L12)</f>
        <v>1.0783714695429891</v>
      </c>
      <c r="M13" s="55">
        <f t="shared" ref="M13" si="35">IF(M11=0,0,M11/M12)</f>
        <v>0.7295966082673484</v>
      </c>
      <c r="N13" s="55">
        <f t="shared" ref="N13" si="36">IF(N11=0,0,N11/N12)</f>
        <v>1.1241349211297464</v>
      </c>
      <c r="O13" s="55">
        <f t="shared" ref="O13" si="37">IF(O11=0,0,O11/O12)</f>
        <v>0.80154623106178702</v>
      </c>
      <c r="P13" s="55">
        <f t="shared" ref="P13" si="38">IF(P11=0,0,P11/P12)</f>
        <v>1.71338612132926</v>
      </c>
      <c r="Q13" s="55">
        <f t="shared" ref="Q13" si="39">IF(Q11=0,0,Q11/Q12)</f>
        <v>0.83851861088596558</v>
      </c>
      <c r="R13" s="55">
        <f t="shared" ref="R13" si="40">IF(R11=0,0,R11/R12)</f>
        <v>0.64149884656150635</v>
      </c>
      <c r="S13" s="55">
        <f t="shared" ref="S13:Y13" si="41">IF(S11=0,0,S11/S12)</f>
        <v>1.2344909283621175</v>
      </c>
      <c r="T13" s="55">
        <f t="shared" si="41"/>
        <v>1.1543113660452646</v>
      </c>
      <c r="U13" s="55">
        <f t="shared" si="41"/>
        <v>1.3026373215287739</v>
      </c>
      <c r="V13" s="55">
        <f t="shared" si="41"/>
        <v>0.79662073695367541</v>
      </c>
      <c r="W13" s="55">
        <f t="shared" si="41"/>
        <v>1.0215724172329945</v>
      </c>
      <c r="X13" s="55">
        <f t="shared" si="41"/>
        <v>1.0345408067834654</v>
      </c>
      <c r="Y13" s="55">
        <f t="shared" si="41"/>
        <v>1.3541991395972317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27403.499449652711</v>
      </c>
      <c r="E16" s="42">
        <v>28451.094733829421</v>
      </c>
      <c r="F16" s="42">
        <v>30122.01637225334</v>
      </c>
      <c r="G16" s="42">
        <v>31699.268152844761</v>
      </c>
      <c r="H16" s="42">
        <v>33763.165476838367</v>
      </c>
      <c r="I16" s="42">
        <v>36145.877187706741</v>
      </c>
      <c r="J16" s="42">
        <v>38604.546350807024</v>
      </c>
      <c r="K16" s="42">
        <v>41173.255209324147</v>
      </c>
      <c r="L16" s="42">
        <v>43697.294633848745</v>
      </c>
      <c r="M16" s="42">
        <v>42234.550482532868</v>
      </c>
      <c r="N16" s="42">
        <v>42891.388117214803</v>
      </c>
      <c r="O16" s="42">
        <v>43787.963559205731</v>
      </c>
      <c r="P16" s="42">
        <v>44115.657266947164</v>
      </c>
      <c r="Q16" s="42">
        <v>43876.641871237647</v>
      </c>
      <c r="R16" s="42">
        <v>44292.802948413067</v>
      </c>
      <c r="S16" s="42">
        <v>45797.8</v>
      </c>
      <c r="T16" s="42">
        <v>47183.713367659017</v>
      </c>
      <c r="U16" s="42">
        <v>48479.459264799581</v>
      </c>
      <c r="V16" s="42">
        <v>49785.884499880412</v>
      </c>
      <c r="W16" s="42">
        <v>51794.91064589173</v>
      </c>
      <c r="X16" s="42">
        <v>49740.590030518819</v>
      </c>
      <c r="Y16" s="42">
        <v>53551.856150240412</v>
      </c>
    </row>
    <row r="17" spans="1:25" x14ac:dyDescent="0.25">
      <c r="A17" s="46" t="s">
        <v>141</v>
      </c>
      <c r="B17" s="47"/>
      <c r="C17" s="47"/>
      <c r="D17" s="57">
        <v>15336.795015178141</v>
      </c>
      <c r="E17" s="57">
        <v>16513.901711794886</v>
      </c>
      <c r="F17" s="57">
        <v>17454.03215189503</v>
      </c>
      <c r="G17" s="57">
        <v>18587.674141290754</v>
      </c>
      <c r="H17" s="57">
        <v>20348.448283161862</v>
      </c>
      <c r="I17" s="57">
        <v>21836.880275829273</v>
      </c>
      <c r="J17" s="57">
        <v>23700.021975465039</v>
      </c>
      <c r="K17" s="57">
        <v>26423.973204741429</v>
      </c>
      <c r="L17" s="57">
        <v>27346.304372134629</v>
      </c>
      <c r="M17" s="57">
        <v>26180.091100988779</v>
      </c>
      <c r="N17" s="57">
        <v>26799.454595036816</v>
      </c>
      <c r="O17" s="57">
        <v>27332.723141017545</v>
      </c>
      <c r="P17" s="57">
        <v>28352.340721496588</v>
      </c>
      <c r="Q17" s="57">
        <v>27256.740914419697</v>
      </c>
      <c r="R17" s="57">
        <v>27630.614584612867</v>
      </c>
      <c r="S17" s="57">
        <v>28409.4</v>
      </c>
      <c r="T17" s="57">
        <v>29024.83158774647</v>
      </c>
      <c r="U17" s="57">
        <v>29765.5574356082</v>
      </c>
      <c r="V17" s="57">
        <v>30872.035913301323</v>
      </c>
      <c r="W17" s="57">
        <v>32711.852205134663</v>
      </c>
      <c r="X17" s="57">
        <v>32527.81675795573</v>
      </c>
      <c r="Y17" s="57">
        <v>35282.790070110415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3345.6127830103533</v>
      </c>
      <c r="E20" s="42">
        <f t="shared" ref="E20:S20" si="42">1000000*E16/E$3</f>
        <v>3491.1597583829302</v>
      </c>
      <c r="F20" s="42">
        <f t="shared" si="42"/>
        <v>3828.0244702986843</v>
      </c>
      <c r="G20" s="42">
        <f t="shared" si="42"/>
        <v>4061.1419878281768</v>
      </c>
      <c r="H20" s="42">
        <f t="shared" si="42"/>
        <v>4359.2672258949206</v>
      </c>
      <c r="I20" s="42">
        <f t="shared" si="42"/>
        <v>4701.246536607865</v>
      </c>
      <c r="J20" s="42">
        <f t="shared" si="42"/>
        <v>5059.9907057615919</v>
      </c>
      <c r="K20" s="42">
        <f t="shared" si="42"/>
        <v>5437.0834722856971</v>
      </c>
      <c r="L20" s="42">
        <f t="shared" si="42"/>
        <v>5812.354749819001</v>
      </c>
      <c r="M20" s="42">
        <f t="shared" si="42"/>
        <v>5656.0703642908147</v>
      </c>
      <c r="N20" s="42">
        <f t="shared" si="42"/>
        <v>5779.1350626272515</v>
      </c>
      <c r="O20" s="42">
        <f t="shared" si="42"/>
        <v>5941.8377835691435</v>
      </c>
      <c r="P20" s="42">
        <f t="shared" si="42"/>
        <v>6020.7873086652144</v>
      </c>
      <c r="Q20" s="42">
        <f t="shared" si="42"/>
        <v>6023.2450631470056</v>
      </c>
      <c r="R20" s="42">
        <f t="shared" si="42"/>
        <v>6112.9971634690683</v>
      </c>
      <c r="S20" s="42">
        <f t="shared" si="42"/>
        <v>6358.8643355819986</v>
      </c>
      <c r="T20" s="42">
        <f t="shared" ref="T20:Y20" si="43">1000000*T16/T$3</f>
        <v>6595.6301403088237</v>
      </c>
      <c r="U20" s="42">
        <f t="shared" si="43"/>
        <v>6826.3055158937377</v>
      </c>
      <c r="V20" s="42">
        <f t="shared" si="43"/>
        <v>7061.7935317589117</v>
      </c>
      <c r="W20" s="42">
        <f t="shared" si="43"/>
        <v>7399.2317251220647</v>
      </c>
      <c r="X20" s="42">
        <f t="shared" si="43"/>
        <v>7155.3936312456572</v>
      </c>
      <c r="Y20" s="42">
        <f t="shared" si="43"/>
        <v>7742.5698701491565</v>
      </c>
    </row>
    <row r="21" spans="1:25" x14ac:dyDescent="0.25">
      <c r="A21" s="46" t="s">
        <v>141</v>
      </c>
      <c r="B21" s="47"/>
      <c r="C21" s="47"/>
      <c r="D21" s="57">
        <f>1000000*D17/D$3</f>
        <v>1872.4242700265686</v>
      </c>
      <c r="E21" s="57">
        <f t="shared" ref="E21:S21" si="44">1000000*E17/E$3</f>
        <v>2026.3778828010472</v>
      </c>
      <c r="F21" s="57">
        <f t="shared" si="44"/>
        <v>2218.1271451794241</v>
      </c>
      <c r="G21" s="57">
        <f t="shared" si="44"/>
        <v>2381.3541545276826</v>
      </c>
      <c r="H21" s="57">
        <f t="shared" si="44"/>
        <v>2627.2513979607957</v>
      </c>
      <c r="I21" s="57">
        <f t="shared" si="44"/>
        <v>2840.173368429912</v>
      </c>
      <c r="J21" s="57">
        <f t="shared" si="44"/>
        <v>3106.418861458571</v>
      </c>
      <c r="K21" s="57">
        <f t="shared" si="44"/>
        <v>3489.3852150675762</v>
      </c>
      <c r="L21" s="57">
        <f t="shared" si="44"/>
        <v>3637.4430829008329</v>
      </c>
      <c r="M21" s="57">
        <f t="shared" si="44"/>
        <v>3506.0498032760397</v>
      </c>
      <c r="N21" s="57">
        <f t="shared" si="44"/>
        <v>3610.9269134915889</v>
      </c>
      <c r="O21" s="57">
        <f t="shared" si="44"/>
        <v>3708.9326355070757</v>
      </c>
      <c r="P21" s="57">
        <f t="shared" si="44"/>
        <v>3869.4518853929658</v>
      </c>
      <c r="Q21" s="57">
        <f t="shared" si="44"/>
        <v>3741.7182160851753</v>
      </c>
      <c r="R21" s="57">
        <f t="shared" si="44"/>
        <v>3813.3930873005888</v>
      </c>
      <c r="S21" s="57">
        <f t="shared" si="44"/>
        <v>3944.545817818394</v>
      </c>
      <c r="T21" s="57">
        <f t="shared" ref="T21:Y21" si="45">1000000*T17/T$3</f>
        <v>4057.2697732761389</v>
      </c>
      <c r="U21" s="57">
        <f t="shared" si="45"/>
        <v>4191.2346380867602</v>
      </c>
      <c r="V21" s="57">
        <f t="shared" si="45"/>
        <v>4378.9910677453927</v>
      </c>
      <c r="W21" s="57">
        <f t="shared" si="45"/>
        <v>4673.095707771723</v>
      </c>
      <c r="X21" s="57">
        <f t="shared" si="45"/>
        <v>4679.2636099691736</v>
      </c>
      <c r="Y21" s="57">
        <f t="shared" si="45"/>
        <v>5101.2137948164909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23775.966342361295</v>
      </c>
      <c r="E23" s="60">
        <v>24744.056240505884</v>
      </c>
      <c r="F23" s="60">
        <v>26624.550590652289</v>
      </c>
      <c r="G23" s="60">
        <v>27730.953226160895</v>
      </c>
      <c r="H23" s="60">
        <v>29083.268933539413</v>
      </c>
      <c r="I23" s="60">
        <v>30961.020080564555</v>
      </c>
      <c r="J23" s="60">
        <v>33172.602661160818</v>
      </c>
      <c r="K23" s="60">
        <v>35344.960344960346</v>
      </c>
      <c r="L23" s="60">
        <v>37519.109577552539</v>
      </c>
      <c r="M23" s="60">
        <v>37197.066764288655</v>
      </c>
      <c r="N23" s="60">
        <v>37877.874361095695</v>
      </c>
      <c r="O23" s="60">
        <v>38597.441364605547</v>
      </c>
      <c r="P23" s="60">
        <v>38695.459952210032</v>
      </c>
      <c r="Q23" s="60">
        <v>38057.646083278225</v>
      </c>
      <c r="R23" s="60">
        <v>38423.550974597652</v>
      </c>
      <c r="S23" s="60">
        <v>39554.300000000003</v>
      </c>
      <c r="T23" s="60">
        <v>40573.527279756439</v>
      </c>
      <c r="U23" s="60">
        <v>41904.730965220864</v>
      </c>
      <c r="V23" s="60">
        <v>43367.832267488462</v>
      </c>
      <c r="W23" s="60">
        <v>44981.625740897543</v>
      </c>
      <c r="X23" s="60">
        <v>43181.395799833546</v>
      </c>
      <c r="Y23" s="60">
        <v>46647.030572273332</v>
      </c>
    </row>
    <row r="24" spans="1:25" x14ac:dyDescent="0.25">
      <c r="A24" s="61" t="s">
        <v>33</v>
      </c>
      <c r="B24" s="62"/>
      <c r="C24" s="62"/>
      <c r="D24" s="63">
        <v>2975.2826715750725</v>
      </c>
      <c r="E24" s="63">
        <v>2978.9451372452045</v>
      </c>
      <c r="F24" s="63">
        <v>2905.6668378702279</v>
      </c>
      <c r="G24" s="63">
        <v>2890.2750308501109</v>
      </c>
      <c r="H24" s="63">
        <v>2870.2988150437918</v>
      </c>
      <c r="I24" s="63">
        <v>2651.6642941514974</v>
      </c>
      <c r="J24" s="63">
        <v>2395.9050240880938</v>
      </c>
      <c r="K24" s="63">
        <v>1938.0919380919381</v>
      </c>
      <c r="L24" s="63">
        <v>2619.2701219658302</v>
      </c>
      <c r="M24" s="63">
        <v>1813.1377842859104</v>
      </c>
      <c r="N24" s="63">
        <v>1749.8328365651598</v>
      </c>
      <c r="O24" s="63">
        <v>2061.3006396588485</v>
      </c>
      <c r="P24" s="63">
        <v>1970.5470583900885</v>
      </c>
      <c r="Q24" s="63">
        <v>1993.2613282111031</v>
      </c>
      <c r="R24" s="63">
        <v>2019.6258121647083</v>
      </c>
      <c r="S24" s="63">
        <v>1860.3</v>
      </c>
      <c r="T24" s="63">
        <v>1910.5977866911514</v>
      </c>
      <c r="U24" s="63">
        <v>1970.2609131496142</v>
      </c>
      <c r="V24" s="63">
        <v>1694.9605429574078</v>
      </c>
      <c r="W24" s="63">
        <v>1689.5004233700254</v>
      </c>
      <c r="X24" s="63">
        <v>1737.5178777766107</v>
      </c>
      <c r="Y24" s="63">
        <v>2329.2410211769648</v>
      </c>
    </row>
    <row r="25" spans="1:25" x14ac:dyDescent="0.25">
      <c r="A25" s="64" t="s">
        <v>56</v>
      </c>
      <c r="B25" s="65"/>
      <c r="C25" s="65"/>
      <c r="D25" s="66">
        <v>427.85770632207658</v>
      </c>
      <c r="E25" s="66">
        <v>412.61878687250504</v>
      </c>
      <c r="F25" s="66">
        <v>369.97089539462422</v>
      </c>
      <c r="G25" s="66">
        <v>412.79983771996552</v>
      </c>
      <c r="H25" s="66">
        <v>506.50437918598664</v>
      </c>
      <c r="I25" s="66">
        <v>605.74855377532776</v>
      </c>
      <c r="J25" s="66">
        <v>786.16081670107815</v>
      </c>
      <c r="K25" s="66">
        <v>787.06912040245368</v>
      </c>
      <c r="L25" s="66">
        <v>767.13871516545657</v>
      </c>
      <c r="M25" s="66">
        <v>717.52162174529815</v>
      </c>
      <c r="N25" s="66">
        <v>838.4237904733842</v>
      </c>
      <c r="O25" s="66">
        <v>900.85287846481879</v>
      </c>
      <c r="P25" s="66">
        <v>933.16771755492164</v>
      </c>
      <c r="Q25" s="66">
        <v>946.24807129136877</v>
      </c>
      <c r="R25" s="66">
        <v>1002.296199429554</v>
      </c>
      <c r="S25" s="66">
        <v>983.4</v>
      </c>
      <c r="T25" s="66">
        <v>919.63465906345141</v>
      </c>
      <c r="U25" s="66">
        <v>940.99520127718426</v>
      </c>
      <c r="V25" s="66">
        <v>805.0839909507099</v>
      </c>
      <c r="W25" s="66">
        <v>621.25317527519053</v>
      </c>
      <c r="X25" s="66">
        <v>722.06016629362375</v>
      </c>
      <c r="Y25" s="66">
        <v>726.03520989358981</v>
      </c>
    </row>
    <row r="26" spans="1:25" x14ac:dyDescent="0.25">
      <c r="A26" s="67" t="s">
        <v>146</v>
      </c>
      <c r="B26" s="44"/>
      <c r="C26" s="44"/>
      <c r="D26" s="45">
        <v>14935.952819202881</v>
      </c>
      <c r="E26" s="45">
        <v>15328.717278411701</v>
      </c>
      <c r="F26" s="45">
        <v>16858.414655024822</v>
      </c>
      <c r="G26" s="45">
        <v>17444.596581976773</v>
      </c>
      <c r="H26" s="45">
        <v>18695.904173106646</v>
      </c>
      <c r="I26" s="45">
        <v>19849.925795802163</v>
      </c>
      <c r="J26" s="45">
        <v>21238.959623766918</v>
      </c>
      <c r="K26" s="45">
        <v>22940.247940247944</v>
      </c>
      <c r="L26" s="45">
        <v>24326.192701219665</v>
      </c>
      <c r="M26" s="45">
        <v>24557.726627922941</v>
      </c>
      <c r="N26" s="45">
        <v>26368.983532985039</v>
      </c>
      <c r="O26" s="45">
        <v>26036.034115138595</v>
      </c>
      <c r="P26" s="45">
        <v>25973.536563542781</v>
      </c>
      <c r="Q26" s="45">
        <v>26263.29103294812</v>
      </c>
      <c r="R26" s="45">
        <v>26647.239927098246</v>
      </c>
      <c r="S26" s="45">
        <v>27340.899999999998</v>
      </c>
      <c r="T26" s="45">
        <v>27816.652974435798</v>
      </c>
      <c r="U26" s="45">
        <v>28914.207746642292</v>
      </c>
      <c r="V26" s="45">
        <v>31141.493132871357</v>
      </c>
      <c r="W26" s="45">
        <v>32743.014394580867</v>
      </c>
      <c r="X26" s="45">
        <v>31291.159287959465</v>
      </c>
      <c r="Y26" s="45">
        <v>33791.442164823115</v>
      </c>
    </row>
    <row r="27" spans="1:25" x14ac:dyDescent="0.25">
      <c r="A27" s="68" t="s">
        <v>148</v>
      </c>
      <c r="B27" s="69"/>
      <c r="C27" s="69"/>
      <c r="D27" s="70">
        <v>6742.0457533526169</v>
      </c>
      <c r="E27" s="70">
        <v>6740.0289680997648</v>
      </c>
      <c r="F27" s="70">
        <v>7493.9222735832909</v>
      </c>
      <c r="G27" s="70">
        <v>7564.4471491116874</v>
      </c>
      <c r="H27" s="70">
        <v>7782.0710973724881</v>
      </c>
      <c r="I27" s="70">
        <v>7913.3476693824387</v>
      </c>
      <c r="J27" s="70">
        <v>8176.4739619178708</v>
      </c>
      <c r="K27" s="70">
        <v>8451.27178460512</v>
      </c>
      <c r="L27" s="70">
        <v>8672.7529772602029</v>
      </c>
      <c r="M27" s="70">
        <v>8555.0038896261358</v>
      </c>
      <c r="N27" s="70">
        <v>8850.8222174371294</v>
      </c>
      <c r="O27" s="70">
        <v>8581.1300639658857</v>
      </c>
      <c r="P27" s="70">
        <v>8848.514194886262</v>
      </c>
      <c r="Q27" s="70">
        <v>9056.4809858193985</v>
      </c>
      <c r="R27" s="70">
        <v>9652.2750908697762</v>
      </c>
      <c r="S27" s="70">
        <v>9606.5999999999985</v>
      </c>
      <c r="T27" s="70">
        <v>9410.525298410088</v>
      </c>
      <c r="U27" s="70">
        <v>9747.718982336617</v>
      </c>
      <c r="V27" s="70">
        <v>10338.368633877833</v>
      </c>
      <c r="W27" s="70">
        <v>10812.362404741745</v>
      </c>
      <c r="X27" s="70">
        <v>10492.739804617111</v>
      </c>
      <c r="Y27" s="70">
        <v>11216.287202269279</v>
      </c>
    </row>
    <row r="28" spans="1:25" x14ac:dyDescent="0.25">
      <c r="A28" s="68" t="s">
        <v>150</v>
      </c>
      <c r="B28" s="71"/>
      <c r="C28" s="71"/>
      <c r="D28" s="70">
        <v>5391.9837722099101</v>
      </c>
      <c r="E28" s="70">
        <v>5786.3779277210588</v>
      </c>
      <c r="F28" s="70">
        <v>6515.151515151515</v>
      </c>
      <c r="G28" s="70">
        <v>6623.7300742093084</v>
      </c>
      <c r="H28" s="70">
        <v>7334.1705306543008</v>
      </c>
      <c r="I28" s="70">
        <v>7810.5218523790763</v>
      </c>
      <c r="J28" s="70">
        <v>8195.9738472126646</v>
      </c>
      <c r="K28" s="70">
        <v>10095.223428556763</v>
      </c>
      <c r="L28" s="70">
        <v>10821.891548654543</v>
      </c>
      <c r="M28" s="70">
        <v>11224.774630485515</v>
      </c>
      <c r="N28" s="70">
        <v>12378.140689280008</v>
      </c>
      <c r="O28" s="70">
        <v>12156.396588486143</v>
      </c>
      <c r="P28" s="70">
        <v>11910.441162538555</v>
      </c>
      <c r="Q28" s="70">
        <v>11532.57549516642</v>
      </c>
      <c r="R28" s="70">
        <v>11334.472852332752</v>
      </c>
      <c r="S28" s="70">
        <v>11589.300000000001</v>
      </c>
      <c r="T28" s="70">
        <v>12159.764171458948</v>
      </c>
      <c r="U28" s="70">
        <v>12450.597287839832</v>
      </c>
      <c r="V28" s="70">
        <v>13646.703600121133</v>
      </c>
      <c r="W28" s="70">
        <v>14259.610499576631</v>
      </c>
      <c r="X28" s="70">
        <v>13750.252510969076</v>
      </c>
      <c r="Y28" s="70">
        <v>14444.386078134145</v>
      </c>
    </row>
    <row r="29" spans="1:25" x14ac:dyDescent="0.25">
      <c r="A29" s="68" t="s">
        <v>152</v>
      </c>
      <c r="B29" s="71"/>
      <c r="C29" s="71"/>
      <c r="D29" s="70">
        <v>2801.9232936403555</v>
      </c>
      <c r="E29" s="70">
        <v>2802.3103825908797</v>
      </c>
      <c r="F29" s="70">
        <v>2849.3408662900174</v>
      </c>
      <c r="G29" s="70">
        <v>3256.4193586557822</v>
      </c>
      <c r="H29" s="70">
        <v>3579.6625450798574</v>
      </c>
      <c r="I29" s="70">
        <v>4126.0562740406458</v>
      </c>
      <c r="J29" s="70">
        <v>4866.5118146363811</v>
      </c>
      <c r="K29" s="70">
        <v>4393.752727086061</v>
      </c>
      <c r="L29" s="70">
        <v>4831.548175304918</v>
      </c>
      <c r="M29" s="70">
        <v>4777.9481078112894</v>
      </c>
      <c r="N29" s="70">
        <v>5140.0206262679003</v>
      </c>
      <c r="O29" s="70">
        <v>5298.5074626865689</v>
      </c>
      <c r="P29" s="70">
        <v>5214.5812061179668</v>
      </c>
      <c r="Q29" s="70">
        <v>5674.2345519623004</v>
      </c>
      <c r="R29" s="70">
        <v>5660.4919838957139</v>
      </c>
      <c r="S29" s="70">
        <v>6144.9999999999964</v>
      </c>
      <c r="T29" s="70">
        <v>6246.3635045667661</v>
      </c>
      <c r="U29" s="70">
        <v>6715.8914764658421</v>
      </c>
      <c r="V29" s="70">
        <v>7156.4208988723976</v>
      </c>
      <c r="W29" s="70">
        <v>7671.0414902624852</v>
      </c>
      <c r="X29" s="70">
        <v>7048.1669723732775</v>
      </c>
      <c r="Y29" s="70">
        <v>8130.7688844196937</v>
      </c>
    </row>
    <row r="30" spans="1:25" x14ac:dyDescent="0.25">
      <c r="A30" s="64" t="s">
        <v>154</v>
      </c>
      <c r="B30" s="65"/>
      <c r="C30" s="65"/>
      <c r="D30" s="66">
        <v>1531.6855114383384</v>
      </c>
      <c r="E30" s="66">
        <v>1465.0086551029781</v>
      </c>
      <c r="F30" s="66">
        <v>1603.1501455230268</v>
      </c>
      <c r="G30" s="66">
        <v>1563.8047906418515</v>
      </c>
      <c r="H30" s="66">
        <v>1671.0136527563111</v>
      </c>
      <c r="I30" s="66">
        <v>1592.5129478753367</v>
      </c>
      <c r="J30" s="66">
        <v>1643.1520991052994</v>
      </c>
      <c r="K30" s="66">
        <v>1400.6314006314008</v>
      </c>
      <c r="L30" s="66">
        <v>1267.2225816500134</v>
      </c>
      <c r="M30" s="66">
        <v>1371.665217590262</v>
      </c>
      <c r="N30" s="66">
        <v>1446.6720310074006</v>
      </c>
      <c r="O30" s="66">
        <v>1686.7803837953093</v>
      </c>
      <c r="P30" s="66">
        <v>1630.8592722028654</v>
      </c>
      <c r="Q30" s="66">
        <v>1710.8039172465913</v>
      </c>
      <c r="R30" s="66">
        <v>1406.0360184107828</v>
      </c>
      <c r="S30" s="66">
        <v>1732</v>
      </c>
      <c r="T30" s="66">
        <v>2057.5073696419076</v>
      </c>
      <c r="U30" s="66">
        <v>2029.6648319518831</v>
      </c>
      <c r="V30" s="66">
        <v>1491.9749897572012</v>
      </c>
      <c r="W30" s="66">
        <v>1370.8721422523286</v>
      </c>
      <c r="X30" s="66">
        <v>1170.5196473734818</v>
      </c>
      <c r="Y30" s="66">
        <v>2427.8467334043735</v>
      </c>
    </row>
    <row r="31" spans="1:25" x14ac:dyDescent="0.25">
      <c r="A31" s="64" t="s">
        <v>37</v>
      </c>
      <c r="B31" s="65"/>
      <c r="C31" s="65"/>
      <c r="D31" s="66">
        <v>1214.8303970549566</v>
      </c>
      <c r="E31" s="66">
        <v>1314.1625746281838</v>
      </c>
      <c r="F31" s="66">
        <v>1329.0532443074817</v>
      </c>
      <c r="G31" s="66">
        <v>1355.5454130534004</v>
      </c>
      <c r="H31" s="66">
        <v>1452.537351880474</v>
      </c>
      <c r="I31" s="66">
        <v>1900.5360874700909</v>
      </c>
      <c r="J31" s="66">
        <v>2318.0488644184447</v>
      </c>
      <c r="K31" s="66">
        <v>2798.1827981827983</v>
      </c>
      <c r="L31" s="66">
        <v>3366.2808808377067</v>
      </c>
      <c r="M31" s="66">
        <v>3555.0038896261381</v>
      </c>
      <c r="N31" s="66">
        <v>2702.4944184412439</v>
      </c>
      <c r="O31" s="66">
        <v>2442.1108742004262</v>
      </c>
      <c r="P31" s="66">
        <v>2255.2868977568187</v>
      </c>
      <c r="Q31" s="66">
        <v>1811.1492479348385</v>
      </c>
      <c r="R31" s="66">
        <v>1700.320232297126</v>
      </c>
      <c r="S31" s="66">
        <v>1726.5</v>
      </c>
      <c r="T31" s="66">
        <v>1591.4560479389165</v>
      </c>
      <c r="U31" s="66">
        <v>1732.0883262017692</v>
      </c>
      <c r="V31" s="66">
        <v>1812.1737891230382</v>
      </c>
      <c r="W31" s="66">
        <v>2004.0643522438615</v>
      </c>
      <c r="X31" s="66">
        <v>2112.4461646613931</v>
      </c>
      <c r="Y31" s="66">
        <v>1754.7914571733029</v>
      </c>
    </row>
    <row r="32" spans="1:25" x14ac:dyDescent="0.25">
      <c r="A32" s="64" t="s">
        <v>58</v>
      </c>
      <c r="B32" s="65"/>
      <c r="C32" s="65"/>
      <c r="D32" s="66">
        <v>2690.3572367679653</v>
      </c>
      <c r="E32" s="66">
        <v>3244.6038082453106</v>
      </c>
      <c r="F32" s="66">
        <v>3558.2948125321013</v>
      </c>
      <c r="G32" s="66">
        <v>4063.9315719187921</v>
      </c>
      <c r="H32" s="66">
        <v>3887.0105615662033</v>
      </c>
      <c r="I32" s="66">
        <v>4360.6324014901402</v>
      </c>
      <c r="J32" s="66">
        <v>4790.3762330809823</v>
      </c>
      <c r="K32" s="66">
        <v>5480.7371474038137</v>
      </c>
      <c r="L32" s="66">
        <v>5173.0045767138708</v>
      </c>
      <c r="M32" s="66">
        <v>5182.0116231181064</v>
      </c>
      <c r="N32" s="66">
        <v>4771.4677516234688</v>
      </c>
      <c r="O32" s="66">
        <v>5470.3624733475472</v>
      </c>
      <c r="P32" s="66">
        <v>5932.0624427625553</v>
      </c>
      <c r="Q32" s="66">
        <v>5332.892485646209</v>
      </c>
      <c r="R32" s="66">
        <v>5648.0327851972361</v>
      </c>
      <c r="S32" s="66">
        <v>5911.2000000000007</v>
      </c>
      <c r="T32" s="66">
        <v>6277.678441985212</v>
      </c>
      <c r="U32" s="66">
        <v>6317.5139459981247</v>
      </c>
      <c r="V32" s="66">
        <v>6422.1458218287407</v>
      </c>
      <c r="W32" s="66">
        <v>6552.9212531752764</v>
      </c>
      <c r="X32" s="66">
        <v>6147.6926557689658</v>
      </c>
      <c r="Y32" s="66">
        <v>5617.6739858019773</v>
      </c>
    </row>
    <row r="33" spans="1:25" x14ac:dyDescent="0.25">
      <c r="A33" s="72" t="s">
        <v>158</v>
      </c>
      <c r="B33" s="65"/>
      <c r="C33" s="65"/>
      <c r="D33" s="66">
        <v>259.00604785695504</v>
      </c>
      <c r="E33" s="66">
        <v>202.42342883385737</v>
      </c>
      <c r="F33" s="66">
        <v>173.08680020544429</v>
      </c>
      <c r="G33" s="66">
        <v>235.98221681288774</v>
      </c>
      <c r="H33" s="66">
        <v>339.70891293147861</v>
      </c>
      <c r="I33" s="66">
        <v>356.18014961989275</v>
      </c>
      <c r="J33" s="66">
        <v>405.48290892406516</v>
      </c>
      <c r="K33" s="66">
        <v>531.17219783886458</v>
      </c>
      <c r="L33" s="66">
        <v>415.61833560970939</v>
      </c>
      <c r="M33" s="66">
        <v>433.35011211275338</v>
      </c>
      <c r="N33" s="66">
        <v>405.72548930720677</v>
      </c>
      <c r="O33" s="66">
        <v>477.07889125799574</v>
      </c>
      <c r="P33" s="66">
        <v>482.53139506731651</v>
      </c>
      <c r="Q33" s="66">
        <v>341.86688499123551</v>
      </c>
      <c r="R33" s="66">
        <v>283.47251253642514</v>
      </c>
      <c r="S33" s="66">
        <v>327.39999999999998</v>
      </c>
      <c r="T33" s="66">
        <v>420.23872807229498</v>
      </c>
      <c r="U33" s="66">
        <v>502.05593250229731</v>
      </c>
      <c r="V33" s="66">
        <v>385.12923740135739</v>
      </c>
      <c r="W33" s="66">
        <v>431.0753598645216</v>
      </c>
      <c r="X33" s="66">
        <v>361.43410069733426</v>
      </c>
      <c r="Y33" s="66">
        <v>536.70323732909094</v>
      </c>
    </row>
    <row r="34" spans="1:25" x14ac:dyDescent="0.25">
      <c r="A34" s="73" t="s">
        <v>5</v>
      </c>
      <c r="B34" s="65"/>
      <c r="C34" s="65"/>
      <c r="D34" s="66">
        <v>230.76160171127523</v>
      </c>
      <c r="E34" s="66">
        <v>178.786202820623</v>
      </c>
      <c r="F34" s="66">
        <v>152.87524742258125</v>
      </c>
      <c r="G34" s="66">
        <v>211.15304097623283</v>
      </c>
      <c r="H34" s="66">
        <v>298.20778578533492</v>
      </c>
      <c r="I34" s="66">
        <v>314.76375799314206</v>
      </c>
      <c r="J34" s="66">
        <v>358.333625136423</v>
      </c>
      <c r="K34" s="66">
        <v>430.10861728028073</v>
      </c>
      <c r="L34" s="66">
        <v>305.24243339675081</v>
      </c>
      <c r="M34" s="66">
        <v>153.77778188213492</v>
      </c>
      <c r="N34" s="66">
        <v>171.30178493980139</v>
      </c>
      <c r="O34" s="66">
        <v>171.36869768885458</v>
      </c>
      <c r="P34" s="66">
        <v>144.08989283184394</v>
      </c>
      <c r="Q34" s="66">
        <v>87.397494004659521</v>
      </c>
      <c r="R34" s="66">
        <v>58.404105047405842</v>
      </c>
      <c r="S34" s="66">
        <v>49.932550710350817</v>
      </c>
      <c r="T34" s="66">
        <v>114.37541917970474</v>
      </c>
      <c r="U34" s="66">
        <v>134.28393483023083</v>
      </c>
      <c r="V34" s="66">
        <v>131.65191217784178</v>
      </c>
      <c r="W34" s="66">
        <v>91.5572187802169</v>
      </c>
      <c r="X34" s="66">
        <v>86.885500514433986</v>
      </c>
      <c r="Y34" s="66">
        <v>100.6339096343517</v>
      </c>
    </row>
    <row r="35" spans="1:25" x14ac:dyDescent="0.25">
      <c r="A35" s="74" t="s">
        <v>270</v>
      </c>
      <c r="B35" s="44"/>
      <c r="C35" s="44"/>
      <c r="D35" s="45">
        <v>171.36154018253072</v>
      </c>
      <c r="E35" s="45">
        <v>123.1548090959374</v>
      </c>
      <c r="F35" s="45">
        <v>107.37282771025721</v>
      </c>
      <c r="G35" s="45">
        <v>146.49179767066249</v>
      </c>
      <c r="H35" s="45">
        <v>192.41230551582612</v>
      </c>
      <c r="I35" s="45">
        <v>203.55415447411136</v>
      </c>
      <c r="J35" s="45">
        <v>208.87661454078744</v>
      </c>
      <c r="K35" s="45">
        <v>246.76365501088952</v>
      </c>
      <c r="L35" s="45">
        <v>108.05841468741048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59.400061528744516</v>
      </c>
      <c r="E36" s="45">
        <v>55.631393724685609</v>
      </c>
      <c r="F36" s="45">
        <v>45.502419712324041</v>
      </c>
      <c r="G36" s="45">
        <v>64.661243305570338</v>
      </c>
      <c r="H36" s="45">
        <v>105.7954802695088</v>
      </c>
      <c r="I36" s="45">
        <v>111.20960351903071</v>
      </c>
      <c r="J36" s="45">
        <v>149.45701059563555</v>
      </c>
      <c r="K36" s="45">
        <v>183.3449622693912</v>
      </c>
      <c r="L36" s="45">
        <v>197.18401870934034</v>
      </c>
      <c r="M36" s="45">
        <v>153.77778188213492</v>
      </c>
      <c r="N36" s="45">
        <v>171.30178493980139</v>
      </c>
      <c r="O36" s="45">
        <v>171.36869768885458</v>
      </c>
      <c r="P36" s="45">
        <v>144.08989283184394</v>
      </c>
      <c r="Q36" s="45">
        <v>87.397494004659521</v>
      </c>
      <c r="R36" s="45">
        <v>58.404105047405842</v>
      </c>
      <c r="S36" s="45">
        <v>49.932550710350817</v>
      </c>
      <c r="T36" s="45">
        <v>114.37541917970474</v>
      </c>
      <c r="U36" s="45">
        <v>134.28393483023083</v>
      </c>
      <c r="V36" s="45">
        <v>131.65191217784178</v>
      </c>
      <c r="W36" s="45">
        <v>91.5572187802169</v>
      </c>
      <c r="X36" s="45">
        <v>86.885500514433986</v>
      </c>
      <c r="Y36" s="45">
        <v>100.6339096343517</v>
      </c>
    </row>
    <row r="37" spans="1:25" x14ac:dyDescent="0.25">
      <c r="A37" s="73" t="s">
        <v>269</v>
      </c>
      <c r="B37" s="65"/>
      <c r="C37" s="65"/>
      <c r="D37" s="66">
        <v>28.244446145679802</v>
      </c>
      <c r="E37" s="66">
        <v>23.637226013234368</v>
      </c>
      <c r="F37" s="66">
        <v>20.211552782863038</v>
      </c>
      <c r="G37" s="66">
        <v>24.829175836654912</v>
      </c>
      <c r="H37" s="66">
        <v>41.501127146143688</v>
      </c>
      <c r="I37" s="66">
        <v>41.416391626750681</v>
      </c>
      <c r="J37" s="66">
        <v>47.149283787642162</v>
      </c>
      <c r="K37" s="66">
        <v>101.06358055858385</v>
      </c>
      <c r="L37" s="66">
        <v>110.37590221295858</v>
      </c>
      <c r="M37" s="66">
        <v>279.57233023061849</v>
      </c>
      <c r="N37" s="66">
        <v>234.42370436740538</v>
      </c>
      <c r="O37" s="66">
        <v>305.7101935691411</v>
      </c>
      <c r="P37" s="66">
        <v>338.44150223547263</v>
      </c>
      <c r="Q37" s="66">
        <v>254.469390986576</v>
      </c>
      <c r="R37" s="66">
        <v>225.06840748901931</v>
      </c>
      <c r="S37" s="66">
        <v>277.46744928964915</v>
      </c>
      <c r="T37" s="66">
        <v>305.86330889259023</v>
      </c>
      <c r="U37" s="66">
        <v>367.7719976720665</v>
      </c>
      <c r="V37" s="66">
        <v>253.47732522351561</v>
      </c>
      <c r="W37" s="66">
        <v>339.51814108430472</v>
      </c>
      <c r="X37" s="66">
        <v>274.54860018290026</v>
      </c>
      <c r="Y37" s="66">
        <v>436.06932769473923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4.4983850885722569</v>
      </c>
      <c r="E39" s="45">
        <v>2.3419138923623342</v>
      </c>
      <c r="F39" s="45">
        <v>2.0880145368603871</v>
      </c>
      <c r="G39" s="45">
        <v>2.5650518118110806</v>
      </c>
      <c r="H39" s="45">
        <v>4.6216905290202579</v>
      </c>
      <c r="I39" s="45">
        <v>5.2110290677657725</v>
      </c>
      <c r="J39" s="45">
        <v>6.843080824762084</v>
      </c>
      <c r="K39" s="45">
        <v>14.668011783956477</v>
      </c>
      <c r="L39" s="45">
        <v>16.019569318405615</v>
      </c>
      <c r="M39" s="45">
        <v>11.795360475101035</v>
      </c>
      <c r="N39" s="45">
        <v>14.579838303019073</v>
      </c>
      <c r="O39" s="45">
        <v>28.062646144325953</v>
      </c>
      <c r="P39" s="45">
        <v>23.229606417154258</v>
      </c>
      <c r="Q39" s="45">
        <v>23.963999509902592</v>
      </c>
      <c r="R39" s="45">
        <v>22.792434732289522</v>
      </c>
      <c r="S39" s="45">
        <v>24.201629131412034</v>
      </c>
      <c r="T39" s="45">
        <v>20.478844284671876</v>
      </c>
      <c r="U39" s="45">
        <v>19.368823270412236</v>
      </c>
      <c r="V39" s="45">
        <v>20.271986994997576</v>
      </c>
      <c r="W39" s="45">
        <v>15.231444605963844</v>
      </c>
      <c r="X39" s="45">
        <v>11.791303182299187</v>
      </c>
      <c r="Y39" s="45">
        <v>13.910863872986383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4.4983850885722569</v>
      </c>
      <c r="E41" s="45">
        <v>2.3419138923623342</v>
      </c>
      <c r="F41" s="45">
        <v>2.0880145368603871</v>
      </c>
      <c r="G41" s="45">
        <v>2.5650518118110806</v>
      </c>
      <c r="H41" s="45">
        <v>4.6216905290202579</v>
      </c>
      <c r="I41" s="45">
        <v>5.2110290677657725</v>
      </c>
      <c r="J41" s="45">
        <v>6.843080824762084</v>
      </c>
      <c r="K41" s="45">
        <v>14.668011783956477</v>
      </c>
      <c r="L41" s="45">
        <v>16.019569318405615</v>
      </c>
      <c r="M41" s="45">
        <v>11.795360475101035</v>
      </c>
      <c r="N41" s="45">
        <v>14.579838303019073</v>
      </c>
      <c r="O41" s="45">
        <v>28.062646144325953</v>
      </c>
      <c r="P41" s="45">
        <v>23.229606417154258</v>
      </c>
      <c r="Q41" s="45">
        <v>23.963999509902592</v>
      </c>
      <c r="R41" s="45">
        <v>22.792434732289522</v>
      </c>
      <c r="S41" s="45">
        <v>24.201629131412034</v>
      </c>
      <c r="T41" s="45">
        <v>20.478844284671876</v>
      </c>
      <c r="U41" s="45">
        <v>19.368823270412236</v>
      </c>
      <c r="V41" s="45">
        <v>20.271986994997576</v>
      </c>
      <c r="W41" s="45">
        <v>15.231444605963844</v>
      </c>
      <c r="X41" s="45">
        <v>11.791303182299187</v>
      </c>
      <c r="Y41" s="45">
        <v>13.910863872986383</v>
      </c>
    </row>
    <row r="42" spans="1:25" x14ac:dyDescent="0.25">
      <c r="A42" s="74" t="s">
        <v>13</v>
      </c>
      <c r="B42" s="44"/>
      <c r="C42" s="44"/>
      <c r="D42" s="45">
        <v>23.746061057107546</v>
      </c>
      <c r="E42" s="45">
        <v>21.295312120872033</v>
      </c>
      <c r="F42" s="45">
        <v>18.123538246002649</v>
      </c>
      <c r="G42" s="45">
        <v>22.264124024843831</v>
      </c>
      <c r="H42" s="45">
        <v>36.879436617123432</v>
      </c>
      <c r="I42" s="45">
        <v>36.205362558984909</v>
      </c>
      <c r="J42" s="45">
        <v>40.306202962880079</v>
      </c>
      <c r="K42" s="45">
        <v>86.395568774627378</v>
      </c>
      <c r="L42" s="45">
        <v>94.356332894552963</v>
      </c>
      <c r="M42" s="45">
        <v>267.77696975551748</v>
      </c>
      <c r="N42" s="45">
        <v>219.8438660643863</v>
      </c>
      <c r="O42" s="45">
        <v>277.64754742481517</v>
      </c>
      <c r="P42" s="45">
        <v>315.21189581831834</v>
      </c>
      <c r="Q42" s="45">
        <v>230.5053914766734</v>
      </c>
      <c r="R42" s="45">
        <v>202.2759727567298</v>
      </c>
      <c r="S42" s="45">
        <v>253.26582015823712</v>
      </c>
      <c r="T42" s="45">
        <v>285.38446460791835</v>
      </c>
      <c r="U42" s="45">
        <v>348.40317440165427</v>
      </c>
      <c r="V42" s="45">
        <v>233.20533822851803</v>
      </c>
      <c r="W42" s="45">
        <v>324.2866964783409</v>
      </c>
      <c r="X42" s="45">
        <v>262.75729700060106</v>
      </c>
      <c r="Y42" s="45">
        <v>422.15846382175283</v>
      </c>
    </row>
    <row r="43" spans="1:25" x14ac:dyDescent="0.25">
      <c r="A43" s="72" t="s">
        <v>271</v>
      </c>
      <c r="B43" s="65"/>
      <c r="C43" s="65"/>
      <c r="D43" s="66">
        <v>341.27192817700313</v>
      </c>
      <c r="E43" s="66">
        <v>426.21966298088813</v>
      </c>
      <c r="F43" s="66">
        <v>398.7330936483479</v>
      </c>
      <c r="G43" s="66">
        <v>402.31925215950781</v>
      </c>
      <c r="H43" s="66">
        <v>329.0829469345698</v>
      </c>
      <c r="I43" s="66">
        <v>369.6580549413938</v>
      </c>
      <c r="J43" s="66">
        <v>376.23308098187658</v>
      </c>
      <c r="K43" s="66">
        <v>404.25040425040424</v>
      </c>
      <c r="L43" s="66">
        <v>362.06359475714669</v>
      </c>
      <c r="M43" s="66">
        <v>330.73262252322331</v>
      </c>
      <c r="N43" s="66">
        <v>379.2060020172944</v>
      </c>
      <c r="O43" s="66">
        <v>461.08742004264394</v>
      </c>
      <c r="P43" s="66">
        <v>476.95238897251556</v>
      </c>
      <c r="Q43" s="66">
        <v>446.62069255072373</v>
      </c>
      <c r="R43" s="66">
        <v>573.43204588280116</v>
      </c>
      <c r="S43" s="66">
        <v>621.79999999999995</v>
      </c>
      <c r="T43" s="66">
        <v>611.60779007393808</v>
      </c>
      <c r="U43" s="66">
        <v>627.3610737258324</v>
      </c>
      <c r="V43" s="66">
        <v>560.32563193615624</v>
      </c>
      <c r="W43" s="66">
        <v>526.41828958509745</v>
      </c>
      <c r="X43" s="66">
        <v>568.21028305469588</v>
      </c>
      <c r="Y43" s="66">
        <v>255.96962283690283</v>
      </c>
    </row>
    <row r="44" spans="1:25" x14ac:dyDescent="0.25">
      <c r="A44" s="73" t="s">
        <v>272</v>
      </c>
      <c r="B44" s="65"/>
      <c r="C44" s="65"/>
      <c r="D44" s="66">
        <v>231.77190939483867</v>
      </c>
      <c r="E44" s="66">
        <v>289.50436287843996</v>
      </c>
      <c r="F44" s="66">
        <v>271.35764423900019</v>
      </c>
      <c r="G44" s="66">
        <v>273.50947478743012</v>
      </c>
      <c r="H44" s="66">
        <v>219.92529623905202</v>
      </c>
      <c r="I44" s="66">
        <v>250.47702698609805</v>
      </c>
      <c r="J44" s="66">
        <v>254.9323239275063</v>
      </c>
      <c r="K44" s="66">
        <v>269.37193603860271</v>
      </c>
      <c r="L44" s="66">
        <v>240.6968106774016</v>
      </c>
      <c r="M44" s="66">
        <v>211.1838191552647</v>
      </c>
      <c r="N44" s="66">
        <v>192.88960413432008</v>
      </c>
      <c r="O44" s="66">
        <v>267.16417910447763</v>
      </c>
      <c r="P44" s="66">
        <v>269.68704933736149</v>
      </c>
      <c r="Q44" s="66">
        <v>238.582569722161</v>
      </c>
      <c r="R44" s="66">
        <v>340.7230453988488</v>
      </c>
      <c r="S44" s="66">
        <v>403.3</v>
      </c>
      <c r="T44" s="66">
        <v>385.92760836998019</v>
      </c>
      <c r="U44" s="66">
        <v>403.85382923229719</v>
      </c>
      <c r="V44" s="66">
        <v>349.23490745853894</v>
      </c>
      <c r="W44" s="66">
        <v>361.89669771380187</v>
      </c>
      <c r="X44" s="66">
        <v>386.15997478930484</v>
      </c>
      <c r="Y44" s="66">
        <v>186.33027660628252</v>
      </c>
    </row>
    <row r="45" spans="1:25" x14ac:dyDescent="0.25">
      <c r="A45" s="74" t="s">
        <v>20</v>
      </c>
      <c r="B45" s="44"/>
      <c r="C45" s="44"/>
      <c r="D45" s="45">
        <v>108.05058504740131</v>
      </c>
      <c r="E45" s="45">
        <v>120.76032688509211</v>
      </c>
      <c r="F45" s="45">
        <v>116.91433226167736</v>
      </c>
      <c r="G45" s="45">
        <v>117.37697456424013</v>
      </c>
      <c r="H45" s="45">
        <v>105.25295952369513</v>
      </c>
      <c r="I45" s="45">
        <v>112.32609820378997</v>
      </c>
      <c r="J45" s="45">
        <v>113.3206810452358</v>
      </c>
      <c r="K45" s="45">
        <v>116.48577602170801</v>
      </c>
      <c r="L45" s="45">
        <v>112.3584697145547</v>
      </c>
      <c r="M45" s="45">
        <v>30.216933344896141</v>
      </c>
      <c r="N45" s="45">
        <v>51.948551736099461</v>
      </c>
      <c r="O45" s="45">
        <v>125.8520881960356</v>
      </c>
      <c r="P45" s="45">
        <v>117.42878631790872</v>
      </c>
      <c r="Q45" s="45">
        <v>103.38575786916277</v>
      </c>
      <c r="R45" s="45">
        <v>163.40465922181585</v>
      </c>
      <c r="S45" s="45">
        <v>219.31348039091824</v>
      </c>
      <c r="T45" s="45">
        <v>210.19545219288605</v>
      </c>
      <c r="U45" s="45">
        <v>216.2204534049043</v>
      </c>
      <c r="V45" s="45">
        <v>162.9673188333889</v>
      </c>
      <c r="W45" s="45">
        <v>173.86762886877236</v>
      </c>
      <c r="X45" s="45">
        <v>158.9103351549291</v>
      </c>
      <c r="Y45" s="45">
        <v>71.449771384529811</v>
      </c>
    </row>
    <row r="46" spans="1:25" x14ac:dyDescent="0.25">
      <c r="A46" s="74" t="s">
        <v>12</v>
      </c>
      <c r="B46" s="44"/>
      <c r="C46" s="44"/>
      <c r="D46" s="45">
        <v>123.72132434743736</v>
      </c>
      <c r="E46" s="45">
        <v>168.74403599334784</v>
      </c>
      <c r="F46" s="45">
        <v>154.44331197732282</v>
      </c>
      <c r="G46" s="45">
        <v>156.13250022318999</v>
      </c>
      <c r="H46" s="45">
        <v>114.67233671535689</v>
      </c>
      <c r="I46" s="45">
        <v>138.15092878230809</v>
      </c>
      <c r="J46" s="45">
        <v>141.6116428822705</v>
      </c>
      <c r="K46" s="45">
        <v>152.88616001689471</v>
      </c>
      <c r="L46" s="45">
        <v>128.3383409628469</v>
      </c>
      <c r="M46" s="45">
        <v>180.96688581036855</v>
      </c>
      <c r="N46" s="45">
        <v>140.94105239822062</v>
      </c>
      <c r="O46" s="45">
        <v>141.31209090844203</v>
      </c>
      <c r="P46" s="45">
        <v>152.25826301945278</v>
      </c>
      <c r="Q46" s="45">
        <v>135.19681185299822</v>
      </c>
      <c r="R46" s="45">
        <v>177.31838617703295</v>
      </c>
      <c r="S46" s="45">
        <v>183.98651960908177</v>
      </c>
      <c r="T46" s="45">
        <v>175.73215617709414</v>
      </c>
      <c r="U46" s="45">
        <v>187.63337582739288</v>
      </c>
      <c r="V46" s="45">
        <v>186.26758862515004</v>
      </c>
      <c r="W46" s="45">
        <v>188.02906884502951</v>
      </c>
      <c r="X46" s="45">
        <v>227.24963963437574</v>
      </c>
      <c r="Y46" s="45">
        <v>114.88050522175271</v>
      </c>
    </row>
    <row r="47" spans="1:25" x14ac:dyDescent="0.25">
      <c r="A47" s="73" t="s">
        <v>11</v>
      </c>
      <c r="B47" s="65"/>
      <c r="C47" s="65"/>
      <c r="D47" s="66">
        <v>109.50001878216446</v>
      </c>
      <c r="E47" s="66">
        <v>136.71530010244817</v>
      </c>
      <c r="F47" s="66">
        <v>127.37544940934774</v>
      </c>
      <c r="G47" s="66">
        <v>128.80977737207769</v>
      </c>
      <c r="H47" s="66">
        <v>109.15765069551777</v>
      </c>
      <c r="I47" s="66">
        <v>119.18102795529575</v>
      </c>
      <c r="J47" s="66">
        <v>121.30075705437027</v>
      </c>
      <c r="K47" s="66">
        <v>134.87846821180156</v>
      </c>
      <c r="L47" s="66">
        <v>121.36678407974506</v>
      </c>
      <c r="M47" s="66">
        <v>119.54880336795863</v>
      </c>
      <c r="N47" s="66">
        <v>186.31639788297429</v>
      </c>
      <c r="O47" s="66">
        <v>193.92324093816632</v>
      </c>
      <c r="P47" s="66">
        <v>207.26533963515408</v>
      </c>
      <c r="Q47" s="66">
        <v>208.03812282856273</v>
      </c>
      <c r="R47" s="66">
        <v>232.70900048395234</v>
      </c>
      <c r="S47" s="66">
        <v>218.5</v>
      </c>
      <c r="T47" s="66">
        <v>225.68018170395786</v>
      </c>
      <c r="U47" s="66">
        <v>223.50724449353518</v>
      </c>
      <c r="V47" s="66">
        <v>211.09072447761724</v>
      </c>
      <c r="W47" s="66">
        <v>164.52159187129553</v>
      </c>
      <c r="X47" s="66">
        <v>182.05030826539104</v>
      </c>
      <c r="Y47" s="66">
        <v>69.639346230620291</v>
      </c>
    </row>
    <row r="48" spans="1:25" x14ac:dyDescent="0.25">
      <c r="A48" s="72" t="s">
        <v>4</v>
      </c>
      <c r="B48" s="65"/>
      <c r="C48" s="65"/>
      <c r="D48" s="66">
        <v>146.68870440629578</v>
      </c>
      <c r="E48" s="66">
        <v>216.73084396085773</v>
      </c>
      <c r="F48" s="66">
        <v>309.36483478856366</v>
      </c>
      <c r="G48" s="66">
        <v>270.80480754602161</v>
      </c>
      <c r="H48" s="66">
        <v>315.55899021123139</v>
      </c>
      <c r="I48" s="66">
        <v>371.62673774116365</v>
      </c>
      <c r="J48" s="66">
        <v>478.32071576049555</v>
      </c>
      <c r="K48" s="66">
        <v>611.89394522727866</v>
      </c>
      <c r="L48" s="66">
        <v>498.52634605707732</v>
      </c>
      <c r="M48" s="66">
        <v>421.91003523543668</v>
      </c>
      <c r="N48" s="66">
        <v>323.90040459217789</v>
      </c>
      <c r="O48" s="66">
        <v>357.9957356076759</v>
      </c>
      <c r="P48" s="66">
        <v>331.47717344393101</v>
      </c>
      <c r="Q48" s="66">
        <v>280.25317252889124</v>
      </c>
      <c r="R48" s="66">
        <v>319.92339137329196</v>
      </c>
      <c r="S48" s="66">
        <v>358.5</v>
      </c>
      <c r="T48" s="66">
        <v>363.98782196878176</v>
      </c>
      <c r="U48" s="66">
        <v>351.6897630340552</v>
      </c>
      <c r="V48" s="66">
        <v>390.38423855923895</v>
      </c>
      <c r="W48" s="66">
        <v>418.54360711261643</v>
      </c>
      <c r="X48" s="66">
        <v>416.70370160879793</v>
      </c>
      <c r="Y48" s="66">
        <v>323.8079514925933</v>
      </c>
    </row>
    <row r="49" spans="1:25" x14ac:dyDescent="0.25">
      <c r="A49" s="77" t="s">
        <v>10</v>
      </c>
      <c r="B49" s="44"/>
      <c r="C49" s="44"/>
      <c r="D49" s="45">
        <v>94.854704770648965</v>
      </c>
      <c r="E49" s="45">
        <v>128.65731297777333</v>
      </c>
      <c r="F49" s="45">
        <v>174.57796710150205</v>
      </c>
      <c r="G49" s="45">
        <v>148.12685339704345</v>
      </c>
      <c r="H49" s="45">
        <v>209.40845727298068</v>
      </c>
      <c r="I49" s="45">
        <v>271.45153147000025</v>
      </c>
      <c r="J49" s="45">
        <v>340.92105778806291</v>
      </c>
      <c r="K49" s="45">
        <v>425.3092541333985</v>
      </c>
      <c r="L49" s="45">
        <v>295.03198096373865</v>
      </c>
      <c r="M49" s="45">
        <v>262.59093253601191</v>
      </c>
      <c r="N49" s="45">
        <v>135.12315437125497</v>
      </c>
      <c r="O49" s="45">
        <v>158.55438311325383</v>
      </c>
      <c r="P49" s="45">
        <v>138.14619015009205</v>
      </c>
      <c r="Q49" s="45">
        <v>100.9270032129828</v>
      </c>
      <c r="R49" s="45">
        <v>159.69321272551264</v>
      </c>
      <c r="S49" s="45">
        <v>135.33648899368976</v>
      </c>
      <c r="T49" s="45">
        <v>123.42095814921629</v>
      </c>
      <c r="U49" s="45">
        <v>116.88065731713529</v>
      </c>
      <c r="V49" s="45">
        <v>141.18321658753831</v>
      </c>
      <c r="W49" s="45">
        <v>163.02748555108661</v>
      </c>
      <c r="X49" s="45">
        <v>161.46974618997461</v>
      </c>
      <c r="Y49" s="45">
        <v>158.41424742879531</v>
      </c>
    </row>
    <row r="50" spans="1:25" x14ac:dyDescent="0.25">
      <c r="A50" s="77" t="s">
        <v>18</v>
      </c>
      <c r="B50" s="44"/>
      <c r="C50" s="44"/>
      <c r="D50" s="45">
        <v>24.712082745329461</v>
      </c>
      <c r="E50" s="45">
        <v>36.542885634470906</v>
      </c>
      <c r="F50" s="45">
        <v>39.094292310199954</v>
      </c>
      <c r="G50" s="45">
        <v>32.677314249007452</v>
      </c>
      <c r="H50" s="45">
        <v>43.370002868190582</v>
      </c>
      <c r="I50" s="45">
        <v>51.5581073817442</v>
      </c>
      <c r="J50" s="45">
        <v>72.642064444500235</v>
      </c>
      <c r="K50" s="45">
        <v>92.60076184742482</v>
      </c>
      <c r="L50" s="45">
        <v>95.506261514442315</v>
      </c>
      <c r="M50" s="45">
        <v>72.898985539413573</v>
      </c>
      <c r="N50" s="45">
        <v>75.452883432265978</v>
      </c>
      <c r="O50" s="45">
        <v>97.208154925775091</v>
      </c>
      <c r="P50" s="45">
        <v>96.390064685519235</v>
      </c>
      <c r="Q50" s="45">
        <v>75.117564876412743</v>
      </c>
      <c r="R50" s="45">
        <v>85.23151787921374</v>
      </c>
      <c r="S50" s="45">
        <v>96.080595011423497</v>
      </c>
      <c r="T50" s="45">
        <v>129.803391476765</v>
      </c>
      <c r="U50" s="45">
        <v>127.564526311037</v>
      </c>
      <c r="V50" s="45">
        <v>136.47500437658869</v>
      </c>
      <c r="W50" s="45">
        <v>144.79183908495668</v>
      </c>
      <c r="X50" s="45">
        <v>142.31991427141995</v>
      </c>
      <c r="Y50" s="45">
        <v>139.67773699836809</v>
      </c>
    </row>
    <row r="51" spans="1:25" x14ac:dyDescent="0.25">
      <c r="A51" s="77" t="s">
        <v>9</v>
      </c>
      <c r="B51" s="44"/>
      <c r="C51" s="44"/>
      <c r="D51" s="45">
        <v>27.121916890317358</v>
      </c>
      <c r="E51" s="45">
        <v>51.53064534861349</v>
      </c>
      <c r="F51" s="45">
        <v>95.69257537686164</v>
      </c>
      <c r="G51" s="45">
        <v>90.000639899970707</v>
      </c>
      <c r="H51" s="45">
        <v>62.780530070060124</v>
      </c>
      <c r="I51" s="45">
        <v>48.617098889419204</v>
      </c>
      <c r="J51" s="45">
        <v>64.7575935279324</v>
      </c>
      <c r="K51" s="45">
        <v>93.983929246455347</v>
      </c>
      <c r="L51" s="45">
        <v>107.98810357889636</v>
      </c>
      <c r="M51" s="45">
        <v>86.420117160011202</v>
      </c>
      <c r="N51" s="45">
        <v>113.32436678865695</v>
      </c>
      <c r="O51" s="45">
        <v>102.23319756864697</v>
      </c>
      <c r="P51" s="45">
        <v>96.94091860831972</v>
      </c>
      <c r="Q51" s="45">
        <v>104.20860443949569</v>
      </c>
      <c r="R51" s="45">
        <v>74.998660768565585</v>
      </c>
      <c r="S51" s="45">
        <v>127.08291599488675</v>
      </c>
      <c r="T51" s="45">
        <v>110.76347234280047</v>
      </c>
      <c r="U51" s="45">
        <v>107.24457940588293</v>
      </c>
      <c r="V51" s="45">
        <v>112.72601759511195</v>
      </c>
      <c r="W51" s="45">
        <v>110.72428247657314</v>
      </c>
      <c r="X51" s="45">
        <v>112.91404114740337</v>
      </c>
      <c r="Y51" s="45">
        <v>25.715967065429908</v>
      </c>
    </row>
    <row r="52" spans="1:25" x14ac:dyDescent="0.25">
      <c r="A52" s="72" t="s">
        <v>3</v>
      </c>
      <c r="B52" s="65"/>
      <c r="C52" s="65"/>
      <c r="D52" s="66">
        <v>79.260734006986979</v>
      </c>
      <c r="E52" s="66">
        <v>104.74440951001517</v>
      </c>
      <c r="F52" s="66">
        <v>140.55812360897107</v>
      </c>
      <c r="G52" s="66">
        <v>157.88495021721863</v>
      </c>
      <c r="H52" s="66">
        <v>142.48454404945903</v>
      </c>
      <c r="I52" s="66">
        <v>167.48947511887815</v>
      </c>
      <c r="J52" s="66">
        <v>167.89974764854327</v>
      </c>
      <c r="K52" s="66">
        <v>186.08351941685277</v>
      </c>
      <c r="L52" s="66">
        <v>223.92351376608443</v>
      </c>
      <c r="M52" s="66">
        <v>232.91996522216633</v>
      </c>
      <c r="N52" s="66">
        <v>232.10217935786571</v>
      </c>
      <c r="O52" s="66">
        <v>269.18976545842213</v>
      </c>
      <c r="P52" s="66">
        <v>260.73958673249194</v>
      </c>
      <c r="Q52" s="66">
        <v>258.84057058286362</v>
      </c>
      <c r="R52" s="66">
        <v>242.07914165388138</v>
      </c>
      <c r="S52" s="66">
        <v>259.2</v>
      </c>
      <c r="T52" s="66">
        <v>267.53008263664037</v>
      </c>
      <c r="U52" s="66">
        <v>264.25462004696624</v>
      </c>
      <c r="V52" s="66">
        <v>279.49480734631351</v>
      </c>
      <c r="W52" s="66">
        <v>283.23454699407279</v>
      </c>
      <c r="X52" s="66">
        <v>244.26901104583985</v>
      </c>
      <c r="Y52" s="66">
        <v>250.86673970793498</v>
      </c>
    </row>
    <row r="53" spans="1:25" x14ac:dyDescent="0.25">
      <c r="A53" s="73" t="s">
        <v>21</v>
      </c>
      <c r="B53" s="65"/>
      <c r="C53" s="65"/>
      <c r="D53" s="66">
        <v>36.437399045866044</v>
      </c>
      <c r="E53" s="66">
        <v>54.756773942840994</v>
      </c>
      <c r="F53" s="66">
        <v>88.512241054613938</v>
      </c>
      <c r="G53" s="66">
        <v>100.41077133728892</v>
      </c>
      <c r="H53" s="66">
        <v>87.100721277691903</v>
      </c>
      <c r="I53" s="66">
        <v>98.888451403822259</v>
      </c>
      <c r="J53" s="66">
        <v>99.506767607249387</v>
      </c>
      <c r="K53" s="66">
        <v>104.72010472010471</v>
      </c>
      <c r="L53" s="66">
        <v>106.51043538686412</v>
      </c>
      <c r="M53" s="66">
        <v>131.67528485791425</v>
      </c>
      <c r="N53" s="66">
        <v>131.12413160012241</v>
      </c>
      <c r="O53" s="66">
        <v>152.23880597014929</v>
      </c>
      <c r="P53" s="66">
        <v>149.58052190023054</v>
      </c>
      <c r="Q53" s="66">
        <v>147.89390265663212</v>
      </c>
      <c r="R53" s="66">
        <v>131.28494496329171</v>
      </c>
      <c r="S53" s="66">
        <v>149.6</v>
      </c>
      <c r="T53" s="66">
        <v>150.09906731745036</v>
      </c>
      <c r="U53" s="66">
        <v>150.64462533762776</v>
      </c>
      <c r="V53" s="66">
        <v>156.67028875786022</v>
      </c>
      <c r="W53" s="66">
        <v>144.5385266723116</v>
      </c>
      <c r="X53" s="66">
        <v>130.0128477581066</v>
      </c>
      <c r="Y53" s="66">
        <v>129.07292620330486</v>
      </c>
    </row>
    <row r="54" spans="1:25" x14ac:dyDescent="0.25">
      <c r="A54" s="74" t="s">
        <v>8</v>
      </c>
      <c r="B54" s="44"/>
      <c r="C54" s="44"/>
      <c r="D54" s="45">
        <v>3.0821065589288357</v>
      </c>
      <c r="E54" s="45">
        <v>1.8418359114037333</v>
      </c>
      <c r="F54" s="45">
        <v>6.4448871507087953</v>
      </c>
      <c r="G54" s="45">
        <v>10.728480714739932</v>
      </c>
      <c r="H54" s="45">
        <v>4.8815549606093178</v>
      </c>
      <c r="I54" s="45">
        <v>5.5421976238093231</v>
      </c>
      <c r="J54" s="45">
        <v>5.8084775245490867</v>
      </c>
      <c r="K54" s="45">
        <v>5.2133638428434761</v>
      </c>
      <c r="L54" s="45">
        <v>6.0507425003348008</v>
      </c>
      <c r="M54" s="45">
        <v>9.9657728486397108</v>
      </c>
      <c r="N54" s="45">
        <v>8.9858949967241148</v>
      </c>
      <c r="O54" s="45">
        <v>9.3060873677703757</v>
      </c>
      <c r="P54" s="45">
        <v>8.8646452433666223</v>
      </c>
      <c r="Q54" s="45">
        <v>8.150594090541512</v>
      </c>
      <c r="R54" s="45">
        <v>7.0744574209395941</v>
      </c>
      <c r="S54" s="45">
        <v>13.258969356169954</v>
      </c>
      <c r="T54" s="45">
        <v>10.461018660806978</v>
      </c>
      <c r="U54" s="45">
        <v>11.192813438584064</v>
      </c>
      <c r="V54" s="45">
        <v>12.107237770452027</v>
      </c>
      <c r="W54" s="45">
        <v>11.219109015463347</v>
      </c>
      <c r="X54" s="45">
        <v>8.7717508304806096</v>
      </c>
      <c r="Y54" s="45">
        <v>9.3038618289704136</v>
      </c>
    </row>
    <row r="55" spans="1:25" x14ac:dyDescent="0.25">
      <c r="A55" s="74" t="s">
        <v>17</v>
      </c>
      <c r="B55" s="44"/>
      <c r="C55" s="44"/>
      <c r="D55" s="45">
        <v>33.355292486937209</v>
      </c>
      <c r="E55" s="45">
        <v>52.914938031437259</v>
      </c>
      <c r="F55" s="45">
        <v>82.067353903905143</v>
      </c>
      <c r="G55" s="45">
        <v>89.68229062254899</v>
      </c>
      <c r="H55" s="45">
        <v>82.219166317082582</v>
      </c>
      <c r="I55" s="45">
        <v>93.34625378001293</v>
      </c>
      <c r="J55" s="45">
        <v>93.698290082700296</v>
      </c>
      <c r="K55" s="45">
        <v>99.506740877261237</v>
      </c>
      <c r="L55" s="45">
        <v>100.45969288652931</v>
      </c>
      <c r="M55" s="45">
        <v>121.70951200927453</v>
      </c>
      <c r="N55" s="45">
        <v>122.1382366033983</v>
      </c>
      <c r="O55" s="45">
        <v>142.93271860237891</v>
      </c>
      <c r="P55" s="45">
        <v>140.71587665686391</v>
      </c>
      <c r="Q55" s="45">
        <v>139.7433085660906</v>
      </c>
      <c r="R55" s="45">
        <v>124.21048754235211</v>
      </c>
      <c r="S55" s="45">
        <v>136.34103064383004</v>
      </c>
      <c r="T55" s="45">
        <v>139.63804865664338</v>
      </c>
      <c r="U55" s="45">
        <v>139.45181189904369</v>
      </c>
      <c r="V55" s="45">
        <v>144.56305098740819</v>
      </c>
      <c r="W55" s="45">
        <v>133.31941765684826</v>
      </c>
      <c r="X55" s="45">
        <v>121.24109692762599</v>
      </c>
      <c r="Y55" s="45">
        <v>119.76906437433445</v>
      </c>
    </row>
    <row r="56" spans="1:25" x14ac:dyDescent="0.25">
      <c r="A56" s="73" t="s">
        <v>16</v>
      </c>
      <c r="B56" s="65"/>
      <c r="C56" s="65"/>
      <c r="D56" s="66">
        <v>42.823334961120935</v>
      </c>
      <c r="E56" s="66">
        <v>49.987635567174181</v>
      </c>
      <c r="F56" s="66">
        <v>52.045882554357135</v>
      </c>
      <c r="G56" s="66">
        <v>57.47417887992971</v>
      </c>
      <c r="H56" s="66">
        <v>55.383822771767129</v>
      </c>
      <c r="I56" s="66">
        <v>68.601023715055888</v>
      </c>
      <c r="J56" s="66">
        <v>68.392980041293882</v>
      </c>
      <c r="K56" s="66">
        <v>81.363414696748052</v>
      </c>
      <c r="L56" s="66">
        <v>117.41307837922031</v>
      </c>
      <c r="M56" s="66">
        <v>101.24468036425208</v>
      </c>
      <c r="N56" s="66">
        <v>100.9780477577433</v>
      </c>
      <c r="O56" s="66">
        <v>116.95095948827284</v>
      </c>
      <c r="P56" s="66">
        <v>111.15906483226141</v>
      </c>
      <c r="Q56" s="66">
        <v>110.9466679262315</v>
      </c>
      <c r="R56" s="66">
        <v>110.79419669058967</v>
      </c>
      <c r="S56" s="66">
        <v>109.6</v>
      </c>
      <c r="T56" s="66">
        <v>117.43101531919001</v>
      </c>
      <c r="U56" s="66">
        <v>113.60999470933848</v>
      </c>
      <c r="V56" s="66">
        <v>122.82451858845329</v>
      </c>
      <c r="W56" s="66">
        <v>138.69602032176118</v>
      </c>
      <c r="X56" s="66">
        <v>114.25616328773324</v>
      </c>
      <c r="Y56" s="66">
        <v>121.79381350463012</v>
      </c>
    </row>
    <row r="57" spans="1:25" x14ac:dyDescent="0.25">
      <c r="A57" s="72" t="s">
        <v>2</v>
      </c>
      <c r="B57" s="65"/>
      <c r="C57" s="65"/>
      <c r="D57" s="66">
        <v>632.20765561023256</v>
      </c>
      <c r="E57" s="66">
        <v>747.16501218779808</v>
      </c>
      <c r="F57" s="66">
        <v>741.48262283855513</v>
      </c>
      <c r="G57" s="66">
        <v>939.53378298426219</v>
      </c>
      <c r="H57" s="66">
        <v>821.41937145801126</v>
      </c>
      <c r="I57" s="66">
        <v>916.64899900051466</v>
      </c>
      <c r="J57" s="66">
        <v>1008.4021564579032</v>
      </c>
      <c r="K57" s="66">
        <v>1078.642745309412</v>
      </c>
      <c r="L57" s="66">
        <v>1122.253372630772</v>
      </c>
      <c r="M57" s="66">
        <v>1246.6251773211916</v>
      </c>
      <c r="N57" s="66">
        <v>1050.6930199349481</v>
      </c>
      <c r="O57" s="66">
        <v>1136.0341151385926</v>
      </c>
      <c r="P57" s="66">
        <v>1478.6471436541437</v>
      </c>
      <c r="Q57" s="66">
        <v>1274.6795981988225</v>
      </c>
      <c r="R57" s="66">
        <v>1149.6442435412955</v>
      </c>
      <c r="S57" s="66">
        <v>1091.3</v>
      </c>
      <c r="T57" s="66">
        <v>1044.3145024887642</v>
      </c>
      <c r="U57" s="66">
        <v>800.09653136805377</v>
      </c>
      <c r="V57" s="66">
        <v>1101.5907511979622</v>
      </c>
      <c r="W57" s="66">
        <v>1082.4724809483491</v>
      </c>
      <c r="X57" s="66">
        <v>1153.9549278020636</v>
      </c>
      <c r="Y57" s="66">
        <v>1047.7419742154316</v>
      </c>
    </row>
    <row r="58" spans="1:25" x14ac:dyDescent="0.25">
      <c r="A58" s="72" t="s">
        <v>275</v>
      </c>
      <c r="B58" s="65"/>
      <c r="C58" s="65"/>
      <c r="D58" s="66">
        <v>66.301040531910886</v>
      </c>
      <c r="E58" s="66">
        <v>55.4633129614583</v>
      </c>
      <c r="F58" s="66">
        <v>76.870398904297218</v>
      </c>
      <c r="G58" s="66">
        <v>91.113477694947349</v>
      </c>
      <c r="H58" s="66">
        <v>91.76970633693972</v>
      </c>
      <c r="I58" s="66">
        <v>104.79449980313171</v>
      </c>
      <c r="J58" s="66">
        <v>119.58017894012389</v>
      </c>
      <c r="K58" s="66">
        <v>136.67513667513668</v>
      </c>
      <c r="L58" s="66">
        <v>142.81264227350059</v>
      </c>
      <c r="M58" s="66">
        <v>132.13288793300691</v>
      </c>
      <c r="N58" s="66">
        <v>202.29608894228045</v>
      </c>
      <c r="O58" s="66">
        <v>184.22174840085287</v>
      </c>
      <c r="P58" s="66">
        <v>194.52836345645744</v>
      </c>
      <c r="Q58" s="66">
        <v>200.16584270134669</v>
      </c>
      <c r="R58" s="66">
        <v>254.95021468949821</v>
      </c>
      <c r="S58" s="66">
        <v>287.7</v>
      </c>
      <c r="T58" s="66">
        <v>295.65553568839698</v>
      </c>
      <c r="U58" s="66">
        <v>322.35907812543508</v>
      </c>
      <c r="V58" s="66">
        <v>303.54311772983948</v>
      </c>
      <c r="W58" s="66">
        <v>315.91871295512277</v>
      </c>
      <c r="X58" s="66">
        <v>367.09034640464779</v>
      </c>
      <c r="Y58" s="66">
        <v>358.70266700685886</v>
      </c>
    </row>
    <row r="59" spans="1:25" x14ac:dyDescent="0.25">
      <c r="A59" s="72" t="s">
        <v>276</v>
      </c>
      <c r="B59" s="65"/>
      <c r="C59" s="65"/>
      <c r="D59" s="66">
        <v>484.39202133653885</v>
      </c>
      <c r="E59" s="66">
        <v>646.30656728017811</v>
      </c>
      <c r="F59" s="66">
        <v>749.3579866461223</v>
      </c>
      <c r="G59" s="66">
        <v>811.4001724225368</v>
      </c>
      <c r="H59" s="66">
        <v>748.0036063884595</v>
      </c>
      <c r="I59" s="66">
        <v>848.95659811612188</v>
      </c>
      <c r="J59" s="66">
        <v>979.43909153475556</v>
      </c>
      <c r="K59" s="66">
        <v>1148.5844819178151</v>
      </c>
      <c r="L59" s="66">
        <v>1210.1933721515347</v>
      </c>
      <c r="M59" s="66">
        <v>1088.6377156454491</v>
      </c>
      <c r="N59" s="66">
        <v>1041.2865351269875</v>
      </c>
      <c r="O59" s="66">
        <v>1107.8891257995735</v>
      </c>
      <c r="P59" s="66">
        <v>1189.2756765860695</v>
      </c>
      <c r="Q59" s="66">
        <v>1166.1470961782704</v>
      </c>
      <c r="R59" s="66">
        <v>1305.3327429801168</v>
      </c>
      <c r="S59" s="66">
        <v>1426.6</v>
      </c>
      <c r="T59" s="66">
        <v>1637.6552457352727</v>
      </c>
      <c r="U59" s="66">
        <v>1848.1116051124498</v>
      </c>
      <c r="V59" s="66">
        <v>1850.65108573668</v>
      </c>
      <c r="W59" s="66">
        <v>1871.9729043183743</v>
      </c>
      <c r="X59" s="66">
        <v>1592.3947736289665</v>
      </c>
      <c r="Y59" s="66">
        <v>1560.5066862777467</v>
      </c>
    </row>
    <row r="60" spans="1:25" x14ac:dyDescent="0.25">
      <c r="A60" s="72" t="s">
        <v>1</v>
      </c>
      <c r="B60" s="65"/>
      <c r="C60" s="65"/>
      <c r="D60" s="66">
        <v>479.32083693324819</v>
      </c>
      <c r="E60" s="66">
        <v>615.57211997032539</v>
      </c>
      <c r="F60" s="66">
        <v>698.16812189693553</v>
      </c>
      <c r="G60" s="66">
        <v>787.22720895244856</v>
      </c>
      <c r="H60" s="66">
        <v>745.26661514683155</v>
      </c>
      <c r="I60" s="66">
        <v>799.58809098343272</v>
      </c>
      <c r="J60" s="66">
        <v>793.32989217710474</v>
      </c>
      <c r="K60" s="66">
        <v>862.27252893919569</v>
      </c>
      <c r="L60" s="66">
        <v>699.20686267462202</v>
      </c>
      <c r="M60" s="66">
        <v>808.8134352262847</v>
      </c>
      <c r="N60" s="66">
        <v>628.08119043031843</v>
      </c>
      <c r="O60" s="66">
        <v>889.44562899786786</v>
      </c>
      <c r="P60" s="66">
        <v>873.79867156496391</v>
      </c>
      <c r="Q60" s="66">
        <v>717.84698386707396</v>
      </c>
      <c r="R60" s="66">
        <v>721.70680725310706</v>
      </c>
      <c r="S60" s="66">
        <v>662.3</v>
      </c>
      <c r="T60" s="66">
        <v>692.02145653119408</v>
      </c>
      <c r="U60" s="66">
        <v>663.37469949970762</v>
      </c>
      <c r="V60" s="66">
        <v>654.73751714555465</v>
      </c>
      <c r="W60" s="66">
        <v>678.15410668924642</v>
      </c>
      <c r="X60" s="66">
        <v>581.78527275224837</v>
      </c>
      <c r="Y60" s="66">
        <v>415.65984781401488</v>
      </c>
    </row>
    <row r="61" spans="1:25" x14ac:dyDescent="0.25">
      <c r="A61" s="72" t="s">
        <v>0</v>
      </c>
      <c r="B61" s="65"/>
      <c r="C61" s="65"/>
      <c r="D61" s="66">
        <v>47.518876075278918</v>
      </c>
      <c r="E61" s="66">
        <v>57.582930017310211</v>
      </c>
      <c r="F61" s="66">
        <v>55.127546652970395</v>
      </c>
      <c r="G61" s="66">
        <v>86.887435130246644</v>
      </c>
      <c r="H61" s="66">
        <v>107.86965481710459</v>
      </c>
      <c r="I61" s="66">
        <v>116.90947087863826</v>
      </c>
      <c r="J61" s="66">
        <v>120.15370497820601</v>
      </c>
      <c r="K61" s="66">
        <v>129.23179589846256</v>
      </c>
      <c r="L61" s="66">
        <v>107.70852802338678</v>
      </c>
      <c r="M61" s="66">
        <v>103.53269573971536</v>
      </c>
      <c r="N61" s="66">
        <v>107.21126058229541</v>
      </c>
      <c r="O61" s="66">
        <v>117.91044776119404</v>
      </c>
      <c r="P61" s="66">
        <v>113.79067148075244</v>
      </c>
      <c r="Q61" s="66">
        <v>93.627651646356185</v>
      </c>
      <c r="R61" s="66">
        <v>109.55857367917048</v>
      </c>
      <c r="S61" s="66">
        <v>134.30000000000001</v>
      </c>
      <c r="T61" s="66">
        <v>130.09230174455129</v>
      </c>
      <c r="U61" s="66">
        <v>138.6710229540455</v>
      </c>
      <c r="V61" s="66">
        <v>117.21324616563051</v>
      </c>
      <c r="W61" s="66">
        <v>110.75359864521594</v>
      </c>
      <c r="X61" s="66">
        <v>103.75170697415095</v>
      </c>
      <c r="Y61" s="66">
        <v>124.19517027120322</v>
      </c>
    </row>
    <row r="62" spans="1:25" x14ac:dyDescent="0.25">
      <c r="A62" s="78" t="s">
        <v>277</v>
      </c>
      <c r="B62" s="79"/>
      <c r="C62" s="79"/>
      <c r="D62" s="80">
        <v>154.38939183351491</v>
      </c>
      <c r="E62" s="80">
        <v>172.39552054262197</v>
      </c>
      <c r="F62" s="80">
        <v>215.54528334189354</v>
      </c>
      <c r="G62" s="80">
        <v>280.77826799871531</v>
      </c>
      <c r="H62" s="80">
        <v>245.84621329211745</v>
      </c>
      <c r="I62" s="80">
        <v>308.78032528697338</v>
      </c>
      <c r="J62" s="80">
        <v>341.53475567790781</v>
      </c>
      <c r="K62" s="80">
        <v>391.93039193039198</v>
      </c>
      <c r="L62" s="80">
        <v>390.69800877003809</v>
      </c>
      <c r="M62" s="80">
        <v>383.35697615887977</v>
      </c>
      <c r="N62" s="80">
        <v>400.9655813320943</v>
      </c>
      <c r="O62" s="80">
        <v>469.50959488272923</v>
      </c>
      <c r="P62" s="80">
        <v>530.32137180391373</v>
      </c>
      <c r="Q62" s="80">
        <v>552.84399240062555</v>
      </c>
      <c r="R62" s="80">
        <v>687.93311160764847</v>
      </c>
      <c r="S62" s="80">
        <v>742.1</v>
      </c>
      <c r="T62" s="80">
        <v>814.57497704537764</v>
      </c>
      <c r="U62" s="80">
        <v>799.53961962928236</v>
      </c>
      <c r="V62" s="80">
        <v>779.07618861000765</v>
      </c>
      <c r="W62" s="80">
        <v>834.37764606265875</v>
      </c>
      <c r="X62" s="80">
        <v>758.09853180022128</v>
      </c>
      <c r="Y62" s="80">
        <v>743.5200888502003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0.12513824375138244</v>
      </c>
      <c r="E66" s="83">
        <f t="shared" ref="E66:S66" si="49">E24/E$23</f>
        <v>0.1203903316534129</v>
      </c>
      <c r="F66" s="83">
        <f t="shared" si="49"/>
        <v>0.1091348688864025</v>
      </c>
      <c r="G66" s="83">
        <f t="shared" si="49"/>
        <v>0.10422559250950941</v>
      </c>
      <c r="H66" s="83">
        <f t="shared" si="49"/>
        <v>9.8692441403438844E-2</v>
      </c>
      <c r="I66" s="83">
        <f t="shared" si="49"/>
        <v>8.5645249647832211E-2</v>
      </c>
      <c r="J66" s="83">
        <f t="shared" si="49"/>
        <v>7.2225415912067395E-2</v>
      </c>
      <c r="K66" s="83">
        <f t="shared" si="49"/>
        <v>5.4833614726866729E-2</v>
      </c>
      <c r="L66" s="83">
        <f t="shared" si="49"/>
        <v>6.9811628033222939E-2</v>
      </c>
      <c r="M66" s="83">
        <f t="shared" si="49"/>
        <v>4.8744106511823884E-2</v>
      </c>
      <c r="N66" s="83">
        <f t="shared" si="49"/>
        <v>4.6196701005017597E-2</v>
      </c>
      <c r="O66" s="83">
        <f t="shared" si="49"/>
        <v>5.3405110980985729E-2</v>
      </c>
      <c r="P66" s="83">
        <f t="shared" si="49"/>
        <v>5.0924502792414637E-2</v>
      </c>
      <c r="Q66" s="83">
        <f t="shared" si="49"/>
        <v>5.2374792803775182E-2</v>
      </c>
      <c r="R66" s="83">
        <f t="shared" si="49"/>
        <v>5.2562185454954731E-2</v>
      </c>
      <c r="S66" s="83">
        <f t="shared" si="49"/>
        <v>4.7031549035123861E-2</v>
      </c>
      <c r="T66" s="83">
        <f t="shared" ref="T66:Y66" si="50">T24/T$23</f>
        <v>4.7089763074269757E-2</v>
      </c>
      <c r="U66" s="83">
        <f t="shared" si="50"/>
        <v>4.7017624687409318E-2</v>
      </c>
      <c r="V66" s="83">
        <f t="shared" si="50"/>
        <v>3.9083358663238234E-2</v>
      </c>
      <c r="W66" s="83">
        <f t="shared" si="50"/>
        <v>3.7559790148578874E-2</v>
      </c>
      <c r="X66" s="83">
        <f t="shared" si="50"/>
        <v>4.0237649700598802E-2</v>
      </c>
      <c r="Y66" s="83">
        <f t="shared" si="50"/>
        <v>4.9933318211287159E-2</v>
      </c>
    </row>
    <row r="67" spans="1:25" x14ac:dyDescent="0.25">
      <c r="A67" s="64" t="s">
        <v>56</v>
      </c>
      <c r="B67" s="65"/>
      <c r="C67" s="65"/>
      <c r="D67" s="83">
        <f t="shared" si="46"/>
        <v>1.7995386608525295E-2</v>
      </c>
      <c r="E67" s="83">
        <f t="shared" ref="E67:S67" si="51">E25/E$23</f>
        <v>1.6675470782233769E-2</v>
      </c>
      <c r="F67" s="83">
        <f t="shared" si="51"/>
        <v>1.3895855035559498E-2</v>
      </c>
      <c r="G67" s="83">
        <f t="shared" si="51"/>
        <v>1.4885887057446602E-2</v>
      </c>
      <c r="H67" s="83">
        <f t="shared" si="51"/>
        <v>1.7415661916940689E-2</v>
      </c>
      <c r="I67" s="83">
        <f t="shared" si="51"/>
        <v>1.9564877132571608E-2</v>
      </c>
      <c r="J67" s="83">
        <f t="shared" si="51"/>
        <v>2.3699099667616127E-2</v>
      </c>
      <c r="K67" s="83">
        <f t="shared" si="51"/>
        <v>2.2268213423379261E-2</v>
      </c>
      <c r="L67" s="83">
        <f t="shared" si="51"/>
        <v>2.044661304074314E-2</v>
      </c>
      <c r="M67" s="83">
        <f t="shared" si="51"/>
        <v>1.9289736642195684E-2</v>
      </c>
      <c r="N67" s="83">
        <f t="shared" si="51"/>
        <v>2.2134921893466334E-2</v>
      </c>
      <c r="O67" s="83">
        <f t="shared" si="51"/>
        <v>2.3339704566295808E-2</v>
      </c>
      <c r="P67" s="83">
        <f t="shared" si="51"/>
        <v>2.4115690024292504E-2</v>
      </c>
      <c r="Q67" s="83">
        <f t="shared" si="51"/>
        <v>2.4863546978727395E-2</v>
      </c>
      <c r="R67" s="83">
        <f t="shared" si="51"/>
        <v>2.6085465138091637E-2</v>
      </c>
      <c r="S67" s="83">
        <f t="shared" si="51"/>
        <v>2.4862025114842125E-2</v>
      </c>
      <c r="T67" s="83">
        <f t="shared" ref="T67:Y67" si="52">T25/T$23</f>
        <v>2.2665878978737189E-2</v>
      </c>
      <c r="U67" s="83">
        <f t="shared" si="52"/>
        <v>2.2455583882835809E-2</v>
      </c>
      <c r="V67" s="83">
        <f t="shared" si="52"/>
        <v>1.8564081921019989E-2</v>
      </c>
      <c r="W67" s="83">
        <f t="shared" si="52"/>
        <v>1.3811265489907442E-2</v>
      </c>
      <c r="X67" s="83">
        <f t="shared" si="52"/>
        <v>1.6721556886227545E-2</v>
      </c>
      <c r="Y67" s="83">
        <f t="shared" si="52"/>
        <v>1.5564446460717267E-2</v>
      </c>
    </row>
    <row r="68" spans="1:25" x14ac:dyDescent="0.25">
      <c r="A68" s="64" t="s">
        <v>146</v>
      </c>
      <c r="B68" s="65"/>
      <c r="C68" s="65"/>
      <c r="D68" s="83">
        <f t="shared" si="46"/>
        <v>0.62819540556766817</v>
      </c>
      <c r="E68" s="83">
        <f t="shared" ref="E68:S68" si="53">E26/E$23</f>
        <v>0.61949088417115195</v>
      </c>
      <c r="F68" s="83">
        <f t="shared" si="53"/>
        <v>0.63319058091232927</v>
      </c>
      <c r="G68" s="83">
        <f t="shared" si="53"/>
        <v>0.62906588315614942</v>
      </c>
      <c r="H68" s="83">
        <f t="shared" si="53"/>
        <v>0.6428405354236556</v>
      </c>
      <c r="I68" s="83">
        <f t="shared" si="53"/>
        <v>0.64112634997652218</v>
      </c>
      <c r="J68" s="83">
        <f t="shared" si="53"/>
        <v>0.64025605228238358</v>
      </c>
      <c r="K68" s="83">
        <f t="shared" si="53"/>
        <v>0.6490387233810796</v>
      </c>
      <c r="L68" s="83">
        <f t="shared" si="53"/>
        <v>0.64836807096759785</v>
      </c>
      <c r="M68" s="83">
        <f t="shared" si="53"/>
        <v>0.66020599913270006</v>
      </c>
      <c r="N68" s="83">
        <f t="shared" si="53"/>
        <v>0.696157954419654</v>
      </c>
      <c r="O68" s="83">
        <f t="shared" si="53"/>
        <v>0.6745533692037432</v>
      </c>
      <c r="P68" s="83">
        <f t="shared" si="53"/>
        <v>0.6712295601504884</v>
      </c>
      <c r="Q68" s="83">
        <f t="shared" si="53"/>
        <v>0.69009236607746183</v>
      </c>
      <c r="R68" s="83">
        <f t="shared" si="53"/>
        <v>0.69351320352236856</v>
      </c>
      <c r="S68" s="83">
        <f t="shared" si="53"/>
        <v>0.69122446864184162</v>
      </c>
      <c r="T68" s="83">
        <f t="shared" ref="T68:Y68" si="54">T26/T$23</f>
        <v>0.68558626373888143</v>
      </c>
      <c r="U68" s="83">
        <f t="shared" si="54"/>
        <v>0.6899986488551817</v>
      </c>
      <c r="V68" s="83">
        <f t="shared" si="54"/>
        <v>0.71807815850222201</v>
      </c>
      <c r="W68" s="83">
        <f t="shared" si="54"/>
        <v>0.72791976402068403</v>
      </c>
      <c r="X68" s="83">
        <f t="shared" si="54"/>
        <v>0.72464446107784419</v>
      </c>
      <c r="Y68" s="83">
        <f t="shared" si="54"/>
        <v>0.72440714339721579</v>
      </c>
    </row>
    <row r="69" spans="1:25" x14ac:dyDescent="0.25">
      <c r="A69" s="68" t="s">
        <v>148</v>
      </c>
      <c r="B69" s="69"/>
      <c r="C69" s="69"/>
      <c r="D69" s="84">
        <f t="shared" si="46"/>
        <v>0.28356558283565586</v>
      </c>
      <c r="E69" s="84">
        <f t="shared" ref="E69:S69" si="55">E27/E$23</f>
        <v>0.27238981768342307</v>
      </c>
      <c r="F69" s="84">
        <f t="shared" si="55"/>
        <v>0.28146662036858416</v>
      </c>
      <c r="G69" s="84">
        <f t="shared" si="55"/>
        <v>0.27277991807275925</v>
      </c>
      <c r="H69" s="84">
        <f t="shared" si="55"/>
        <v>0.26757896834623174</v>
      </c>
      <c r="I69" s="84">
        <f t="shared" si="55"/>
        <v>0.25559066364063232</v>
      </c>
      <c r="J69" s="84">
        <f t="shared" si="55"/>
        <v>0.24648273894683154</v>
      </c>
      <c r="K69" s="84">
        <f t="shared" si="55"/>
        <v>0.23910825481546036</v>
      </c>
      <c r="L69" s="84">
        <f t="shared" si="55"/>
        <v>0.23115561842781737</v>
      </c>
      <c r="M69" s="84">
        <f t="shared" si="55"/>
        <v>0.22999135775510762</v>
      </c>
      <c r="N69" s="84">
        <f t="shared" si="55"/>
        <v>0.23366734186456342</v>
      </c>
      <c r="O69" s="84">
        <f t="shared" si="55"/>
        <v>0.22232380594623857</v>
      </c>
      <c r="P69" s="84">
        <f t="shared" si="55"/>
        <v>0.22867060388516955</v>
      </c>
      <c r="Q69" s="84">
        <f t="shared" si="55"/>
        <v>0.23796744985230803</v>
      </c>
      <c r="R69" s="84">
        <f t="shared" si="55"/>
        <v>0.25120726341120919</v>
      </c>
      <c r="S69" s="84">
        <f t="shared" si="55"/>
        <v>0.24287119225975426</v>
      </c>
      <c r="T69" s="84">
        <f t="shared" ref="T69:Y69" si="56">T27/T$23</f>
        <v>0.23193756937926691</v>
      </c>
      <c r="U69" s="84">
        <f t="shared" si="56"/>
        <v>0.23261619291690017</v>
      </c>
      <c r="V69" s="84">
        <f t="shared" si="56"/>
        <v>0.23838795008502633</v>
      </c>
      <c r="W69" s="84">
        <f t="shared" si="56"/>
        <v>0.24037286840237715</v>
      </c>
      <c r="X69" s="84">
        <f t="shared" si="56"/>
        <v>0.24299214071856284</v>
      </c>
      <c r="Y69" s="84">
        <f t="shared" si="56"/>
        <v>0.24045018653204822</v>
      </c>
    </row>
    <row r="70" spans="1:25" x14ac:dyDescent="0.25">
      <c r="A70" s="68" t="s">
        <v>150</v>
      </c>
      <c r="B70" s="71"/>
      <c r="C70" s="71"/>
      <c r="D70" s="84">
        <f t="shared" si="46"/>
        <v>0.22678294941068666</v>
      </c>
      <c r="E70" s="84">
        <f t="shared" ref="E70:S70" si="57">E28/E$23</f>
        <v>0.23384920691575176</v>
      </c>
      <c r="F70" s="84">
        <f t="shared" si="57"/>
        <v>0.24470465681546352</v>
      </c>
      <c r="G70" s="84">
        <f t="shared" si="57"/>
        <v>0.23885691992587538</v>
      </c>
      <c r="H70" s="84">
        <f t="shared" si="57"/>
        <v>0.25217834169240816</v>
      </c>
      <c r="I70" s="84">
        <f t="shared" si="57"/>
        <v>0.25226952574737832</v>
      </c>
      <c r="J70" s="84">
        <f t="shared" si="57"/>
        <v>0.24707056997998783</v>
      </c>
      <c r="K70" s="84">
        <f t="shared" si="57"/>
        <v>0.28561988272243705</v>
      </c>
      <c r="L70" s="84">
        <f t="shared" si="57"/>
        <v>0.28843679049167031</v>
      </c>
      <c r="M70" s="84">
        <f t="shared" si="57"/>
        <v>0.30176504780914476</v>
      </c>
      <c r="N70" s="84">
        <f t="shared" si="57"/>
        <v>0.32679079536716499</v>
      </c>
      <c r="O70" s="84">
        <f t="shared" si="57"/>
        <v>0.31495343107467605</v>
      </c>
      <c r="P70" s="84">
        <f t="shared" si="57"/>
        <v>0.30779944668569076</v>
      </c>
      <c r="Q70" s="84">
        <f t="shared" si="57"/>
        <v>0.30302913296136846</v>
      </c>
      <c r="R70" s="84">
        <f t="shared" si="57"/>
        <v>0.29498764598373872</v>
      </c>
      <c r="S70" s="84">
        <f t="shared" si="57"/>
        <v>0.29299722154102081</v>
      </c>
      <c r="T70" s="84">
        <f t="shared" ref="T70:Y70" si="58">T28/T$23</f>
        <v>0.29969699424003204</v>
      </c>
      <c r="U70" s="84">
        <f t="shared" si="58"/>
        <v>0.29711674555728074</v>
      </c>
      <c r="V70" s="84">
        <f t="shared" si="58"/>
        <v>0.31467340852892134</v>
      </c>
      <c r="W70" s="84">
        <f t="shared" si="58"/>
        <v>0.31700967372132383</v>
      </c>
      <c r="X70" s="84">
        <f t="shared" si="58"/>
        <v>0.31843001497005985</v>
      </c>
      <c r="Y70" s="84">
        <f t="shared" si="58"/>
        <v>0.30965285251661412</v>
      </c>
    </row>
    <row r="71" spans="1:25" x14ac:dyDescent="0.25">
      <c r="A71" s="68" t="s">
        <v>152</v>
      </c>
      <c r="B71" s="71"/>
      <c r="C71" s="71"/>
      <c r="D71" s="84">
        <f t="shared" si="46"/>
        <v>0.11784687332132572</v>
      </c>
      <c r="E71" s="84">
        <f t="shared" ref="E71:S71" si="59">E29/E$23</f>
        <v>0.11325185957197725</v>
      </c>
      <c r="F71" s="84">
        <f t="shared" si="59"/>
        <v>0.10701930372828163</v>
      </c>
      <c r="G71" s="84">
        <f t="shared" si="59"/>
        <v>0.11742904515751494</v>
      </c>
      <c r="H71" s="84">
        <f t="shared" si="59"/>
        <v>0.12308322538501572</v>
      </c>
      <c r="I71" s="84">
        <f t="shared" si="59"/>
        <v>0.13326616058851151</v>
      </c>
      <c r="J71" s="84">
        <f t="shared" si="59"/>
        <v>0.14670274335556419</v>
      </c>
      <c r="K71" s="84">
        <f t="shared" si="59"/>
        <v>0.12431058584318212</v>
      </c>
      <c r="L71" s="84">
        <f t="shared" si="59"/>
        <v>0.12877566204811014</v>
      </c>
      <c r="M71" s="84">
        <f t="shared" si="59"/>
        <v>0.12844959356844765</v>
      </c>
      <c r="N71" s="84">
        <f t="shared" si="59"/>
        <v>0.13569981718792562</v>
      </c>
      <c r="O71" s="84">
        <f t="shared" si="59"/>
        <v>0.13727613218282864</v>
      </c>
      <c r="P71" s="84">
        <f t="shared" si="59"/>
        <v>0.13475950957962818</v>
      </c>
      <c r="Q71" s="84">
        <f t="shared" si="59"/>
        <v>0.14909578326378536</v>
      </c>
      <c r="R71" s="84">
        <f t="shared" si="59"/>
        <v>0.14731829412742056</v>
      </c>
      <c r="S71" s="84">
        <f t="shared" si="59"/>
        <v>0.15535605484106649</v>
      </c>
      <c r="T71" s="84">
        <f t="shared" ref="T71:Y71" si="60">T29/T$23</f>
        <v>0.15395170011958256</v>
      </c>
      <c r="U71" s="84">
        <f t="shared" si="60"/>
        <v>0.16026571038100076</v>
      </c>
      <c r="V71" s="84">
        <f t="shared" si="60"/>
        <v>0.1650167998882745</v>
      </c>
      <c r="W71" s="84">
        <f t="shared" si="60"/>
        <v>0.17053722189698298</v>
      </c>
      <c r="X71" s="84">
        <f t="shared" si="60"/>
        <v>0.1632223053892215</v>
      </c>
      <c r="Y71" s="84">
        <f t="shared" si="60"/>
        <v>0.17430410434855345</v>
      </c>
    </row>
    <row r="72" spans="1:25" x14ac:dyDescent="0.25">
      <c r="A72" s="64" t="s">
        <v>154</v>
      </c>
      <c r="B72" s="65"/>
      <c r="C72" s="65"/>
      <c r="D72" s="83">
        <f t="shared" si="46"/>
        <v>6.4421588144215891E-2</v>
      </c>
      <c r="E72" s="83">
        <f t="shared" ref="E72:S72" si="61">E30/E$23</f>
        <v>5.9206487443427602E-2</v>
      </c>
      <c r="F72" s="83">
        <f t="shared" si="61"/>
        <v>6.0213228391013021E-2</v>
      </c>
      <c r="G72" s="83">
        <f t="shared" si="61"/>
        <v>5.6392031600507174E-2</v>
      </c>
      <c r="H72" s="83">
        <f t="shared" si="61"/>
        <v>5.7456184054649521E-2</v>
      </c>
      <c r="I72" s="83">
        <f t="shared" si="61"/>
        <v>5.1436061981530758E-2</v>
      </c>
      <c r="J72" s="83">
        <f t="shared" si="61"/>
        <v>4.9533409117432217E-2</v>
      </c>
      <c r="K72" s="83">
        <f t="shared" si="61"/>
        <v>3.9627471270627962E-2</v>
      </c>
      <c r="L72" s="83">
        <f t="shared" si="61"/>
        <v>3.3775390618763113E-2</v>
      </c>
      <c r="M72" s="83">
        <f t="shared" si="61"/>
        <v>3.6875628561850483E-2</v>
      </c>
      <c r="N72" s="83">
        <f t="shared" si="61"/>
        <v>3.8193062715612021E-2</v>
      </c>
      <c r="O72" s="83">
        <f t="shared" si="61"/>
        <v>4.3701870490879563E-2</v>
      </c>
      <c r="P72" s="83">
        <f t="shared" si="61"/>
        <v>4.214601077793162E-2</v>
      </c>
      <c r="Q72" s="83">
        <f t="shared" si="61"/>
        <v>4.4952961975183343E-2</v>
      </c>
      <c r="R72" s="83">
        <f t="shared" si="61"/>
        <v>3.6593078535097731E-2</v>
      </c>
      <c r="S72" s="83">
        <f t="shared" si="61"/>
        <v>4.3787906750972709E-2</v>
      </c>
      <c r="T72" s="83">
        <f t="shared" ref="T72:Y72" si="62">T30/T$23</f>
        <v>5.0710586621056986E-2</v>
      </c>
      <c r="U72" s="83">
        <f t="shared" si="62"/>
        <v>4.8435219250934178E-2</v>
      </c>
      <c r="V72" s="83">
        <f t="shared" si="62"/>
        <v>3.440280299358401E-2</v>
      </c>
      <c r="W72" s="83">
        <f t="shared" si="62"/>
        <v>3.0476269358266524E-2</v>
      </c>
      <c r="X72" s="83">
        <f t="shared" si="62"/>
        <v>2.7107035928143709E-2</v>
      </c>
      <c r="Y72" s="83">
        <f t="shared" si="62"/>
        <v>5.2047187218975277E-2</v>
      </c>
    </row>
    <row r="73" spans="1:25" x14ac:dyDescent="0.25">
      <c r="A73" s="64" t="s">
        <v>37</v>
      </c>
      <c r="B73" s="65"/>
      <c r="C73" s="65"/>
      <c r="D73" s="83">
        <f t="shared" si="46"/>
        <v>5.1094890510948905E-2</v>
      </c>
      <c r="E73" s="83">
        <f t="shared" ref="E73:S73" si="63">E31/E$23</f>
        <v>5.3110232285881527E-2</v>
      </c>
      <c r="F73" s="83">
        <f t="shared" si="63"/>
        <v>4.9918335326722997E-2</v>
      </c>
      <c r="G73" s="83">
        <f t="shared" si="63"/>
        <v>4.8882034526480059E-2</v>
      </c>
      <c r="H73" s="83">
        <f t="shared" si="63"/>
        <v>4.9944088307259667E-2</v>
      </c>
      <c r="I73" s="83">
        <f t="shared" si="63"/>
        <v>6.1384802003443414E-2</v>
      </c>
      <c r="J73" s="83">
        <f t="shared" si="63"/>
        <v>6.9878414066450845E-2</v>
      </c>
      <c r="K73" s="83">
        <f t="shared" si="63"/>
        <v>7.9167801318011002E-2</v>
      </c>
      <c r="L73" s="83">
        <f t="shared" si="63"/>
        <v>8.9721768952953307E-2</v>
      </c>
      <c r="M73" s="83">
        <f t="shared" si="63"/>
        <v>9.5572156593786803E-2</v>
      </c>
      <c r="N73" s="83">
        <f t="shared" si="63"/>
        <v>7.1347573326790786E-2</v>
      </c>
      <c r="O73" s="83">
        <f t="shared" si="63"/>
        <v>6.3271315088773733E-2</v>
      </c>
      <c r="P73" s="83">
        <f t="shared" si="63"/>
        <v>5.8282984632878398E-2</v>
      </c>
      <c r="Q73" s="83">
        <f t="shared" si="63"/>
        <v>4.7589628742977397E-2</v>
      </c>
      <c r="R73" s="83">
        <f t="shared" si="63"/>
        <v>4.4252032651048614E-2</v>
      </c>
      <c r="S73" s="83">
        <f t="shared" si="63"/>
        <v>4.364885739350715E-2</v>
      </c>
      <c r="T73" s="83">
        <f t="shared" ref="T73:Y73" si="64">T31/T$23</f>
        <v>3.9224000343025388E-2</v>
      </c>
      <c r="U73" s="83">
        <f t="shared" si="64"/>
        <v>4.1333956484276881E-2</v>
      </c>
      <c r="V73" s="83">
        <f t="shared" si="64"/>
        <v>4.1786127974894643E-2</v>
      </c>
      <c r="W73" s="83">
        <f t="shared" si="64"/>
        <v>4.4552955106328118E-2</v>
      </c>
      <c r="X73" s="83">
        <f t="shared" si="64"/>
        <v>4.8920284431137731E-2</v>
      </c>
      <c r="Y73" s="83">
        <f t="shared" si="64"/>
        <v>3.7618502949603366E-2</v>
      </c>
    </row>
    <row r="74" spans="1:25" x14ac:dyDescent="0.25">
      <c r="A74" s="64" t="s">
        <v>58</v>
      </c>
      <c r="B74" s="65"/>
      <c r="C74" s="65"/>
      <c r="D74" s="83">
        <f t="shared" si="46"/>
        <v>0.11315448541725914</v>
      </c>
      <c r="E74" s="83">
        <f t="shared" ref="E74:S74" si="65">E32/E$23</f>
        <v>0.13112659366389218</v>
      </c>
      <c r="F74" s="83">
        <f t="shared" si="65"/>
        <v>0.13364713144797255</v>
      </c>
      <c r="G74" s="83">
        <f t="shared" si="65"/>
        <v>0.14654857114990733</v>
      </c>
      <c r="H74" s="83">
        <f t="shared" si="65"/>
        <v>0.13365108889405566</v>
      </c>
      <c r="I74" s="83">
        <f t="shared" si="65"/>
        <v>0.14084265925809983</v>
      </c>
      <c r="J74" s="83">
        <f t="shared" si="65"/>
        <v>0.14440760895404978</v>
      </c>
      <c r="K74" s="83">
        <f t="shared" si="65"/>
        <v>0.15506417588003557</v>
      </c>
      <c r="L74" s="83">
        <f t="shared" si="65"/>
        <v>0.13787652838671974</v>
      </c>
      <c r="M74" s="83">
        <f t="shared" si="65"/>
        <v>0.13931237255764314</v>
      </c>
      <c r="N74" s="83">
        <f t="shared" si="65"/>
        <v>0.12596978663945926</v>
      </c>
      <c r="O74" s="83">
        <f t="shared" si="65"/>
        <v>0.14172862966932193</v>
      </c>
      <c r="P74" s="83">
        <f t="shared" si="65"/>
        <v>0.15330125162199434</v>
      </c>
      <c r="Q74" s="83">
        <f t="shared" si="65"/>
        <v>0.14012670342187497</v>
      </c>
      <c r="R74" s="83">
        <f t="shared" si="65"/>
        <v>0.14699403469843872</v>
      </c>
      <c r="S74" s="83">
        <f t="shared" si="65"/>
        <v>0.14944519306371243</v>
      </c>
      <c r="T74" s="83">
        <f t="shared" ref="T74:Y74" si="66">T32/T$23</f>
        <v>0.1547235072440292</v>
      </c>
      <c r="U74" s="83">
        <f t="shared" si="66"/>
        <v>0.15075896683936216</v>
      </c>
      <c r="V74" s="83">
        <f t="shared" si="66"/>
        <v>0.14808546994504096</v>
      </c>
      <c r="W74" s="83">
        <f t="shared" si="66"/>
        <v>0.14567995587623514</v>
      </c>
      <c r="X74" s="83">
        <f t="shared" si="66"/>
        <v>0.14236901197604787</v>
      </c>
      <c r="Y74" s="83">
        <f t="shared" si="66"/>
        <v>0.12042940176220099</v>
      </c>
    </row>
    <row r="75" spans="1:25" x14ac:dyDescent="0.25">
      <c r="A75" s="85" t="s">
        <v>158</v>
      </c>
      <c r="B75" s="86"/>
      <c r="C75" s="86"/>
      <c r="D75" s="87">
        <f t="shared" si="46"/>
        <v>1.0893607608936077E-2</v>
      </c>
      <c r="E75" s="87">
        <f t="shared" ref="E75:S75" si="67">E33/E$23</f>
        <v>8.1806890053253006E-3</v>
      </c>
      <c r="F75" s="87">
        <f t="shared" si="67"/>
        <v>6.5010224159882711E-3</v>
      </c>
      <c r="G75" s="87">
        <f t="shared" si="67"/>
        <v>8.5097044767385149E-3</v>
      </c>
      <c r="H75" s="87">
        <f t="shared" si="67"/>
        <v>1.1680561552684314E-2</v>
      </c>
      <c r="I75" s="87">
        <f t="shared" si="67"/>
        <v>1.1504147753952105E-2</v>
      </c>
      <c r="J75" s="87">
        <f t="shared" si="67"/>
        <v>1.2223427660043482E-2</v>
      </c>
      <c r="K75" s="87">
        <f t="shared" si="67"/>
        <v>1.5028230125447054E-2</v>
      </c>
      <c r="L75" s="87">
        <f t="shared" si="67"/>
        <v>1.1077510641627044E-2</v>
      </c>
      <c r="M75" s="87">
        <f t="shared" si="67"/>
        <v>1.165011517867303E-2</v>
      </c>
      <c r="N75" s="87">
        <f t="shared" si="67"/>
        <v>1.0711411243391387E-2</v>
      </c>
      <c r="O75" s="87">
        <f t="shared" si="67"/>
        <v>1.2360376086884466E-2</v>
      </c>
      <c r="P75" s="87">
        <f t="shared" si="67"/>
        <v>1.24699744017323E-2</v>
      </c>
      <c r="Q75" s="87">
        <f t="shared" si="67"/>
        <v>8.9828699400682343E-3</v>
      </c>
      <c r="R75" s="87">
        <f t="shared" si="67"/>
        <v>7.3775719668344236E-3</v>
      </c>
      <c r="S75" s="87">
        <f t="shared" si="67"/>
        <v>8.2772290244044252E-3</v>
      </c>
      <c r="T75" s="87">
        <f t="shared" ref="T75:Y75" si="68">T33/T$23</f>
        <v>1.035746104041506E-2</v>
      </c>
      <c r="U75" s="87">
        <f t="shared" si="68"/>
        <v>1.1980889053290481E-2</v>
      </c>
      <c r="V75" s="87">
        <f t="shared" si="68"/>
        <v>8.8805277382996376E-3</v>
      </c>
      <c r="W75" s="87">
        <f t="shared" si="68"/>
        <v>9.5833654912251317E-3</v>
      </c>
      <c r="X75" s="87">
        <f t="shared" si="68"/>
        <v>8.3701347305389206E-3</v>
      </c>
      <c r="Y75" s="87">
        <f t="shared" si="68"/>
        <v>1.150562491855813E-2</v>
      </c>
    </row>
    <row r="76" spans="1:25" x14ac:dyDescent="0.25">
      <c r="A76" s="88" t="s">
        <v>5</v>
      </c>
      <c r="B76" s="44"/>
      <c r="C76" s="44"/>
      <c r="D76" s="89">
        <f t="shared" si="46"/>
        <v>9.7056665705372667E-3</v>
      </c>
      <c r="E76" s="89">
        <f t="shared" ref="E76:S76" si="69">E34/E$23</f>
        <v>7.2254201608203169E-3</v>
      </c>
      <c r="F76" s="89">
        <f t="shared" si="69"/>
        <v>5.741890249079163E-3</v>
      </c>
      <c r="G76" s="89">
        <f t="shared" si="69"/>
        <v>7.6143448533545089E-3</v>
      </c>
      <c r="H76" s="89">
        <f t="shared" si="69"/>
        <v>1.0253585539740881E-2</v>
      </c>
      <c r="I76" s="89">
        <f t="shared" si="69"/>
        <v>1.0166453081135127E-2</v>
      </c>
      <c r="J76" s="89">
        <f t="shared" si="69"/>
        <v>1.0802095596676458E-2</v>
      </c>
      <c r="K76" s="89">
        <f t="shared" si="69"/>
        <v>1.2168881025257896E-2</v>
      </c>
      <c r="L76" s="89">
        <f t="shared" si="69"/>
        <v>8.1356523871071711E-3</v>
      </c>
      <c r="M76" s="89">
        <f t="shared" si="69"/>
        <v>4.1341373193912838E-3</v>
      </c>
      <c r="N76" s="89">
        <f t="shared" si="69"/>
        <v>4.5224761903678839E-3</v>
      </c>
      <c r="O76" s="89">
        <f t="shared" si="69"/>
        <v>4.4398978696552236E-3</v>
      </c>
      <c r="P76" s="89">
        <f t="shared" si="69"/>
        <v>3.7236898853198531E-3</v>
      </c>
      <c r="Q76" s="89">
        <f t="shared" si="69"/>
        <v>2.296450332566949E-3</v>
      </c>
      <c r="R76" s="89">
        <f t="shared" si="69"/>
        <v>1.5200080046224155E-3</v>
      </c>
      <c r="S76" s="89">
        <f t="shared" si="69"/>
        <v>1.2623798350710495E-3</v>
      </c>
      <c r="T76" s="89">
        <f t="shared" ref="T76:Y76" si="70">T34/T$23</f>
        <v>2.8189666230170394E-3</v>
      </c>
      <c r="U76" s="89">
        <f t="shared" si="70"/>
        <v>3.2045053562491728E-3</v>
      </c>
      <c r="V76" s="89">
        <f t="shared" si="70"/>
        <v>3.0357042373210155E-3</v>
      </c>
      <c r="W76" s="89">
        <f t="shared" si="70"/>
        <v>2.0354359646226074E-3</v>
      </c>
      <c r="X76" s="89">
        <f t="shared" si="70"/>
        <v>2.01210495643054E-3</v>
      </c>
      <c r="Y76" s="89">
        <f t="shared" si="70"/>
        <v>2.1573486757840441E-3</v>
      </c>
    </row>
    <row r="77" spans="1:25" x14ac:dyDescent="0.25">
      <c r="A77" s="88" t="s">
        <v>269</v>
      </c>
      <c r="B77" s="44"/>
      <c r="C77" s="44"/>
      <c r="D77" s="89">
        <f>D37/D$23</f>
        <v>1.1879410383988087E-3</v>
      </c>
      <c r="E77" s="89">
        <f t="shared" ref="E77:S77" si="71">E37/E$23</f>
        <v>9.5526884450498298E-4</v>
      </c>
      <c r="F77" s="89">
        <f t="shared" si="71"/>
        <v>7.5913216690910777E-4</v>
      </c>
      <c r="G77" s="89">
        <f t="shared" si="71"/>
        <v>8.9535962338400628E-4</v>
      </c>
      <c r="H77" s="89">
        <f t="shared" si="71"/>
        <v>1.4269760129434332E-3</v>
      </c>
      <c r="I77" s="89">
        <f t="shared" si="71"/>
        <v>1.3376946728169779E-3</v>
      </c>
      <c r="J77" s="89">
        <f t="shared" si="71"/>
        <v>1.4213320633670247E-3</v>
      </c>
      <c r="K77" s="89">
        <f t="shared" si="71"/>
        <v>2.8593491001891584E-3</v>
      </c>
      <c r="L77" s="89">
        <f t="shared" si="71"/>
        <v>2.9418582545198734E-3</v>
      </c>
      <c r="M77" s="89">
        <f t="shared" si="71"/>
        <v>7.5159778592817474E-3</v>
      </c>
      <c r="N77" s="89">
        <f t="shared" si="71"/>
        <v>6.1889350530235036E-3</v>
      </c>
      <c r="O77" s="89">
        <f t="shared" si="71"/>
        <v>7.9204782172292414E-3</v>
      </c>
      <c r="P77" s="89">
        <f t="shared" si="71"/>
        <v>8.7462845164124493E-3</v>
      </c>
      <c r="Q77" s="89">
        <f t="shared" si="71"/>
        <v>6.6864196075012853E-3</v>
      </c>
      <c r="R77" s="89">
        <f t="shared" si="71"/>
        <v>5.8575639622120085E-3</v>
      </c>
      <c r="S77" s="89">
        <f t="shared" si="71"/>
        <v>7.0148491893333755E-3</v>
      </c>
      <c r="T77" s="89">
        <f t="shared" ref="T77:Y77" si="72">T37/T$23</f>
        <v>7.5384944173980213E-3</v>
      </c>
      <c r="U77" s="89">
        <f t="shared" si="72"/>
        <v>8.7763836970413088E-3</v>
      </c>
      <c r="V77" s="89">
        <f t="shared" si="72"/>
        <v>5.844823500978623E-3</v>
      </c>
      <c r="W77" s="89">
        <f t="shared" si="72"/>
        <v>7.5479295266025247E-3</v>
      </c>
      <c r="X77" s="89">
        <f t="shared" si="72"/>
        <v>6.358029774108381E-3</v>
      </c>
      <c r="Y77" s="89">
        <f t="shared" si="72"/>
        <v>9.3482762427740847E-3</v>
      </c>
    </row>
    <row r="78" spans="1:25" x14ac:dyDescent="0.25">
      <c r="A78" s="68" t="s">
        <v>271</v>
      </c>
      <c r="B78" s="44"/>
      <c r="C78" s="44"/>
      <c r="D78" s="89">
        <f>D43/D$23</f>
        <v>1.4353651214965084E-2</v>
      </c>
      <c r="E78" s="89">
        <f t="shared" ref="E78:S78" si="73">E43/E$23</f>
        <v>1.7225133132504317E-2</v>
      </c>
      <c r="F78" s="89">
        <f t="shared" si="73"/>
        <v>1.4976143626940339E-2</v>
      </c>
      <c r="G78" s="89">
        <f t="shared" si="73"/>
        <v>1.4507948893006927E-2</v>
      </c>
      <c r="H78" s="89">
        <f t="shared" si="73"/>
        <v>1.131519801596528E-2</v>
      </c>
      <c r="I78" s="89">
        <f t="shared" si="73"/>
        <v>1.1939466270151824E-2</v>
      </c>
      <c r="J78" s="89">
        <f t="shared" si="73"/>
        <v>1.1341681110309086E-2</v>
      </c>
      <c r="K78" s="89">
        <f t="shared" si="73"/>
        <v>1.1437285550895921E-2</v>
      </c>
      <c r="L78" s="89">
        <f t="shared" si="73"/>
        <v>9.650111605360891E-3</v>
      </c>
      <c r="M78" s="89">
        <f t="shared" si="73"/>
        <v>8.891362983512072E-3</v>
      </c>
      <c r="N78" s="89">
        <f t="shared" si="73"/>
        <v>1.0011279893963011E-2</v>
      </c>
      <c r="O78" s="89">
        <f t="shared" si="73"/>
        <v>1.1946061804642529E-2</v>
      </c>
      <c r="P78" s="89">
        <f t="shared" si="73"/>
        <v>1.2325797123527282E-2</v>
      </c>
      <c r="Q78" s="89">
        <f t="shared" si="73"/>
        <v>1.1735373532388805E-2</v>
      </c>
      <c r="R78" s="89">
        <f t="shared" si="73"/>
        <v>1.4923973223138723E-2</v>
      </c>
      <c r="S78" s="89">
        <f t="shared" si="73"/>
        <v>1.5720161904015491E-2</v>
      </c>
      <c r="T78" s="89">
        <f t="shared" ref="T78:Y78" si="74">T43/T$23</f>
        <v>1.5074060134256327E-2</v>
      </c>
      <c r="U78" s="89">
        <f t="shared" si="74"/>
        <v>1.4971127585725708E-2</v>
      </c>
      <c r="V78" s="89">
        <f t="shared" si="74"/>
        <v>1.2920305273275446E-2</v>
      </c>
      <c r="W78" s="89">
        <f t="shared" si="74"/>
        <v>1.1702962730101484E-2</v>
      </c>
      <c r="X78" s="89">
        <f t="shared" si="74"/>
        <v>1.3158682634730539E-2</v>
      </c>
      <c r="Y78" s="89">
        <f t="shared" si="74"/>
        <v>5.4873722870807853E-3</v>
      </c>
    </row>
    <row r="79" spans="1:25" x14ac:dyDescent="0.25">
      <c r="A79" s="88" t="s">
        <v>272</v>
      </c>
      <c r="B79" s="44"/>
      <c r="C79" s="44"/>
      <c r="D79" s="89">
        <f>D44/D$23</f>
        <v>9.7481593831958788E-3</v>
      </c>
      <c r="E79" s="89">
        <f t="shared" ref="E79:S79" si="75">E44/E$23</f>
        <v>1.1699955741473094E-2</v>
      </c>
      <c r="F79" s="89">
        <f t="shared" si="75"/>
        <v>1.0192008436539475E-2</v>
      </c>
      <c r="G79" s="89">
        <f t="shared" si="75"/>
        <v>9.8629669365063906E-3</v>
      </c>
      <c r="H79" s="89">
        <f t="shared" si="75"/>
        <v>7.5619180478515508E-3</v>
      </c>
      <c r="I79" s="89">
        <f t="shared" si="75"/>
        <v>8.0900766943183596E-3</v>
      </c>
      <c r="J79" s="89">
        <f t="shared" si="75"/>
        <v>7.6850263011164462E-3</v>
      </c>
      <c r="K79" s="89">
        <f t="shared" si="75"/>
        <v>7.6212261496287417E-3</v>
      </c>
      <c r="L79" s="89">
        <f t="shared" si="75"/>
        <v>6.4153124471111938E-3</v>
      </c>
      <c r="M79" s="89">
        <f t="shared" si="75"/>
        <v>5.6774320538095077E-3</v>
      </c>
      <c r="N79" s="89">
        <f t="shared" si="75"/>
        <v>5.0924083620816031E-3</v>
      </c>
      <c r="O79" s="89">
        <f t="shared" si="75"/>
        <v>6.9218106086553011E-3</v>
      </c>
      <c r="P79" s="89">
        <f t="shared" si="75"/>
        <v>6.9694752219105933E-3</v>
      </c>
      <c r="Q79" s="89">
        <f t="shared" si="75"/>
        <v>6.2689786225898362E-3</v>
      </c>
      <c r="R79" s="89">
        <f t="shared" si="75"/>
        <v>8.8675574421558691E-3</v>
      </c>
      <c r="S79" s="89">
        <f t="shared" si="75"/>
        <v>1.0196110157429154E-2</v>
      </c>
      <c r="T79" s="89">
        <f t="shared" ref="T79:Y79" si="76">T44/T$23</f>
        <v>9.5118081725798845E-3</v>
      </c>
      <c r="U79" s="89">
        <f t="shared" si="76"/>
        <v>9.6374280404634641E-3</v>
      </c>
      <c r="V79" s="89">
        <f t="shared" si="76"/>
        <v>8.0528559810066798E-3</v>
      </c>
      <c r="W79" s="89">
        <f t="shared" si="76"/>
        <v>8.0454339244738181E-3</v>
      </c>
      <c r="X79" s="89">
        <f t="shared" si="76"/>
        <v>8.9427395209580839E-3</v>
      </c>
      <c r="Y79" s="89">
        <f t="shared" si="76"/>
        <v>3.9944724095050104E-3</v>
      </c>
    </row>
    <row r="80" spans="1:25" x14ac:dyDescent="0.25">
      <c r="A80" s="88" t="s">
        <v>11</v>
      </c>
      <c r="B80" s="44"/>
      <c r="C80" s="44"/>
      <c r="D80" s="89">
        <f>D47/D$23</f>
        <v>4.6054918317692036E-3</v>
      </c>
      <c r="E80" s="89">
        <f t="shared" ref="E80:S80" si="77">E47/E$23</f>
        <v>5.5251773910312239E-3</v>
      </c>
      <c r="F80" s="89">
        <f t="shared" si="77"/>
        <v>4.7841351904008645E-3</v>
      </c>
      <c r="G80" s="89">
        <f t="shared" si="77"/>
        <v>4.6449819565005362E-3</v>
      </c>
      <c r="H80" s="89">
        <f t="shared" si="77"/>
        <v>3.7532799681137276E-3</v>
      </c>
      <c r="I80" s="89">
        <f t="shared" si="77"/>
        <v>3.8493895758334637E-3</v>
      </c>
      <c r="J80" s="89">
        <f t="shared" si="77"/>
        <v>3.6566548091926396E-3</v>
      </c>
      <c r="K80" s="89">
        <f t="shared" si="77"/>
        <v>3.8160594012671789E-3</v>
      </c>
      <c r="L80" s="89">
        <f t="shared" si="77"/>
        <v>3.2347991582496959E-3</v>
      </c>
      <c r="M80" s="89">
        <f t="shared" si="77"/>
        <v>3.2139309297025652E-3</v>
      </c>
      <c r="N80" s="89">
        <f t="shared" si="77"/>
        <v>4.9188715318814078E-3</v>
      </c>
      <c r="O80" s="89">
        <f t="shared" si="77"/>
        <v>5.0242511959872277E-3</v>
      </c>
      <c r="P80" s="89">
        <f t="shared" si="77"/>
        <v>5.3563219016166891E-3</v>
      </c>
      <c r="Q80" s="89">
        <f t="shared" si="77"/>
        <v>5.4663949097989682E-3</v>
      </c>
      <c r="R80" s="89">
        <f t="shared" si="77"/>
        <v>6.0564157809828538E-3</v>
      </c>
      <c r="S80" s="89">
        <f t="shared" si="77"/>
        <v>5.5240517465863382E-3</v>
      </c>
      <c r="T80" s="89">
        <f t="shared" ref="T80:Y80" si="78">T47/T$23</f>
        <v>5.5622519616764414E-3</v>
      </c>
      <c r="U80" s="89">
        <f t="shared" si="78"/>
        <v>5.3336995452622432E-3</v>
      </c>
      <c r="V80" s="89">
        <f t="shared" si="78"/>
        <v>4.867449292268765E-3</v>
      </c>
      <c r="W80" s="89">
        <f t="shared" si="78"/>
        <v>3.6575288056276628E-3</v>
      </c>
      <c r="X80" s="89">
        <f t="shared" si="78"/>
        <v>4.2159431137724548E-3</v>
      </c>
      <c r="Y80" s="89">
        <f t="shared" si="78"/>
        <v>1.4928998775757751E-3</v>
      </c>
    </row>
    <row r="81" spans="1:25" x14ac:dyDescent="0.25">
      <c r="A81" s="68" t="s">
        <v>4</v>
      </c>
      <c r="B81" s="44"/>
      <c r="C81" s="44"/>
      <c r="D81" s="89">
        <f>D48/D$23</f>
        <v>6.169621133124783E-3</v>
      </c>
      <c r="E81" s="89">
        <f t="shared" ref="E81:S81" si="79">E48/E$23</f>
        <v>8.7589052439215904E-3</v>
      </c>
      <c r="F81" s="89">
        <f t="shared" si="79"/>
        <v>1.1619532646578444E-2</v>
      </c>
      <c r="G81" s="89">
        <f t="shared" si="79"/>
        <v>9.7654345069735689E-3</v>
      </c>
      <c r="H81" s="89">
        <f t="shared" si="79"/>
        <v>1.0850189878322872E-2</v>
      </c>
      <c r="I81" s="89">
        <f t="shared" si="79"/>
        <v>1.2003052120832683E-2</v>
      </c>
      <c r="J81" s="89">
        <f t="shared" si="79"/>
        <v>1.4419149460362468E-2</v>
      </c>
      <c r="K81" s="89">
        <f t="shared" si="79"/>
        <v>1.7312056351324368E-2</v>
      </c>
      <c r="L81" s="89">
        <f t="shared" si="79"/>
        <v>1.3287264854370175E-2</v>
      </c>
      <c r="M81" s="89">
        <f t="shared" si="79"/>
        <v>1.1342561979658428E-2</v>
      </c>
      <c r="N81" s="89">
        <f t="shared" si="79"/>
        <v>8.5511769088303293E-3</v>
      </c>
      <c r="O81" s="89">
        <f t="shared" si="79"/>
        <v>9.2751157317895044E-3</v>
      </c>
      <c r="P81" s="89">
        <f t="shared" si="79"/>
        <v>8.5663065861812868E-3</v>
      </c>
      <c r="Q81" s="89">
        <f t="shared" si="79"/>
        <v>7.3639124163285795E-3</v>
      </c>
      <c r="R81" s="89">
        <f t="shared" si="79"/>
        <v>8.3262317838556314E-3</v>
      </c>
      <c r="S81" s="89">
        <f t="shared" si="79"/>
        <v>9.0634899366187748E-3</v>
      </c>
      <c r="T81" s="89">
        <f t="shared" ref="T81:Y81" si="80">T48/T$23</f>
        <v>8.971066761316265E-3</v>
      </c>
      <c r="U81" s="89">
        <f t="shared" si="80"/>
        <v>8.3926028143682073E-3</v>
      </c>
      <c r="V81" s="89">
        <f t="shared" si="80"/>
        <v>9.0017005265881841E-3</v>
      </c>
      <c r="W81" s="89">
        <f t="shared" si="80"/>
        <v>9.3047683408222E-3</v>
      </c>
      <c r="X81" s="89">
        <f t="shared" si="80"/>
        <v>9.6500748502994019E-3</v>
      </c>
      <c r="Y81" s="89">
        <f t="shared" si="80"/>
        <v>6.9416626850640839E-3</v>
      </c>
    </row>
    <row r="82" spans="1:25" x14ac:dyDescent="0.25">
      <c r="A82" s="68" t="s">
        <v>3</v>
      </c>
      <c r="B82" s="44"/>
      <c r="C82" s="44"/>
      <c r="D82" s="89">
        <f>D52/D$23</f>
        <v>3.3336493190507794E-3</v>
      </c>
      <c r="E82" s="89">
        <f t="shared" ref="E82:S82" si="81">E52/E$23</f>
        <v>4.2331139442913631E-3</v>
      </c>
      <c r="F82" s="89">
        <f t="shared" si="81"/>
        <v>5.2792674614504159E-3</v>
      </c>
      <c r="G82" s="89">
        <f t="shared" si="81"/>
        <v>5.6934555739783493E-3</v>
      </c>
      <c r="H82" s="89">
        <f t="shared" si="81"/>
        <v>4.89919287873252E-3</v>
      </c>
      <c r="I82" s="89">
        <f t="shared" si="81"/>
        <v>5.4096885271560499E-3</v>
      </c>
      <c r="J82" s="89">
        <f t="shared" si="81"/>
        <v>5.0613980869557706E-3</v>
      </c>
      <c r="K82" s="89">
        <f t="shared" si="81"/>
        <v>5.264782237713996E-3</v>
      </c>
      <c r="L82" s="89">
        <f t="shared" si="81"/>
        <v>5.9682523462672079E-3</v>
      </c>
      <c r="M82" s="89">
        <f t="shared" si="81"/>
        <v>6.2617831319372484E-3</v>
      </c>
      <c r="N82" s="89">
        <f t="shared" si="81"/>
        <v>6.1276453146551823E-3</v>
      </c>
      <c r="O82" s="89">
        <f t="shared" si="81"/>
        <v>6.9742904177392782E-3</v>
      </c>
      <c r="P82" s="89">
        <f t="shared" si="81"/>
        <v>6.7382475115817866E-3</v>
      </c>
      <c r="Q82" s="89">
        <f t="shared" si="81"/>
        <v>6.8012764114854978E-3</v>
      </c>
      <c r="R82" s="89">
        <f t="shared" si="81"/>
        <v>6.3002803102171186E-3</v>
      </c>
      <c r="S82" s="89">
        <f t="shared" si="81"/>
        <v>6.5530169918314816E-3</v>
      </c>
      <c r="T82" s="89">
        <f t="shared" ref="T82:Y82" si="82">T52/T$23</f>
        <v>6.593710248359909E-3</v>
      </c>
      <c r="U82" s="89">
        <f t="shared" si="82"/>
        <v>6.3060808161800701E-3</v>
      </c>
      <c r="V82" s="89">
        <f t="shared" si="82"/>
        <v>6.4447493160925693E-3</v>
      </c>
      <c r="W82" s="89">
        <f t="shared" si="82"/>
        <v>6.2966720817419089E-3</v>
      </c>
      <c r="X82" s="89">
        <f t="shared" si="82"/>
        <v>5.6568113772455094E-3</v>
      </c>
      <c r="Y82" s="89">
        <f t="shared" si="82"/>
        <v>5.3779787615687675E-3</v>
      </c>
    </row>
    <row r="83" spans="1:25" x14ac:dyDescent="0.25">
      <c r="A83" s="88" t="s">
        <v>21</v>
      </c>
      <c r="B83" s="44"/>
      <c r="C83" s="44"/>
      <c r="D83" s="89">
        <f>D53/D$23</f>
        <v>1.5325307296110214E-3</v>
      </c>
      <c r="E83" s="89">
        <f t="shared" ref="E83:S83" si="83">E53/E$23</f>
        <v>2.2129263452450635E-3</v>
      </c>
      <c r="F83" s="89">
        <f t="shared" si="83"/>
        <v>3.3244595341898474E-3</v>
      </c>
      <c r="G83" s="89">
        <f t="shared" si="83"/>
        <v>3.6208914464059302E-3</v>
      </c>
      <c r="H83" s="89">
        <f t="shared" si="83"/>
        <v>2.9948738388636082E-3</v>
      </c>
      <c r="I83" s="89">
        <f t="shared" si="83"/>
        <v>3.1939661918923149E-3</v>
      </c>
      <c r="J83" s="89">
        <f t="shared" si="83"/>
        <v>2.9996671839003456E-3</v>
      </c>
      <c r="K83" s="89">
        <f t="shared" si="83"/>
        <v>2.9628015903273241E-3</v>
      </c>
      <c r="L83" s="89">
        <f t="shared" si="83"/>
        <v>2.8388316403593085E-3</v>
      </c>
      <c r="M83" s="89">
        <f t="shared" si="83"/>
        <v>3.5399373206580409E-3</v>
      </c>
      <c r="N83" s="89">
        <f t="shared" si="83"/>
        <v>3.4617605610625236E-3</v>
      </c>
      <c r="O83" s="89">
        <f t="shared" si="83"/>
        <v>3.9442719669432452E-3</v>
      </c>
      <c r="P83" s="89">
        <f t="shared" si="83"/>
        <v>3.8655832514968586E-3</v>
      </c>
      <c r="Q83" s="89">
        <f t="shared" si="83"/>
        <v>3.8860496609014862E-3</v>
      </c>
      <c r="R83" s="89">
        <f t="shared" si="83"/>
        <v>3.4167832392713007E-3</v>
      </c>
      <c r="S83" s="89">
        <f t="shared" si="83"/>
        <v>3.7821425230632317E-3</v>
      </c>
      <c r="T83" s="89">
        <f t="shared" ref="T83:Y83" si="84">T53/T$23</f>
        <v>3.6994335316845885E-3</v>
      </c>
      <c r="U83" s="89">
        <f t="shared" si="84"/>
        <v>3.5949312134387966E-3</v>
      </c>
      <c r="V83" s="89">
        <f t="shared" si="84"/>
        <v>3.6125921118568601E-3</v>
      </c>
      <c r="W83" s="89">
        <f t="shared" si="84"/>
        <v>3.2132792955256923E-3</v>
      </c>
      <c r="X83" s="89">
        <f t="shared" si="84"/>
        <v>3.0108532934131735E-3</v>
      </c>
      <c r="Y83" s="89">
        <f t="shared" si="84"/>
        <v>2.7670127041275142E-3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1.8011185894397578E-3</v>
      </c>
      <c r="E84" s="89">
        <f t="shared" ref="E84:S84" si="86">E56/E$23</f>
        <v>2.0201875990462992E-3</v>
      </c>
      <c r="F84" s="89">
        <f t="shared" si="86"/>
        <v>1.9548079272605681E-3</v>
      </c>
      <c r="G84" s="89">
        <f t="shared" si="86"/>
        <v>2.072564127572419E-3</v>
      </c>
      <c r="H84" s="89">
        <f t="shared" si="86"/>
        <v>1.9043190398689118E-3</v>
      </c>
      <c r="I84" s="89">
        <f t="shared" si="86"/>
        <v>2.215722335263735E-3</v>
      </c>
      <c r="J84" s="89">
        <f t="shared" si="86"/>
        <v>2.061730903055425E-3</v>
      </c>
      <c r="K84" s="89">
        <f t="shared" si="86"/>
        <v>2.3019806473866715E-3</v>
      </c>
      <c r="L84" s="89">
        <f t="shared" si="86"/>
        <v>3.1294207059078998E-3</v>
      </c>
      <c r="M84" s="89">
        <f t="shared" si="86"/>
        <v>2.7218458112792071E-3</v>
      </c>
      <c r="N84" s="89">
        <f t="shared" si="86"/>
        <v>2.6658847535926591E-3</v>
      </c>
      <c r="O84" s="89">
        <f t="shared" si="86"/>
        <v>3.0300184507960335E-3</v>
      </c>
      <c r="P84" s="89">
        <f t="shared" si="86"/>
        <v>2.8726642600849285E-3</v>
      </c>
      <c r="Q84" s="89">
        <f t="shared" si="86"/>
        <v>2.9152267505840111E-3</v>
      </c>
      <c r="R84" s="89">
        <f t="shared" si="86"/>
        <v>2.8834970709458183E-3</v>
      </c>
      <c r="S84" s="89">
        <f t="shared" si="86"/>
        <v>2.7708744687682499E-3</v>
      </c>
      <c r="T84" s="89">
        <f t="shared" ref="T84:Y84" si="87">T56/T$23</f>
        <v>2.8942767166753205E-3</v>
      </c>
      <c r="U84" s="89">
        <f t="shared" si="87"/>
        <v>2.7111496027412735E-3</v>
      </c>
      <c r="V84" s="89">
        <f t="shared" si="87"/>
        <v>2.8321572042357087E-3</v>
      </c>
      <c r="W84" s="89">
        <f t="shared" si="87"/>
        <v>3.083392786216217E-3</v>
      </c>
      <c r="X84" s="89">
        <f t="shared" si="87"/>
        <v>2.6459580838323359E-3</v>
      </c>
      <c r="Y84" s="89">
        <f t="shared" si="87"/>
        <v>2.6109660574412537E-3</v>
      </c>
    </row>
    <row r="85" spans="1:25" x14ac:dyDescent="0.25">
      <c r="A85" s="68" t="s">
        <v>2</v>
      </c>
      <c r="B85" s="44"/>
      <c r="C85" s="44"/>
      <c r="D85" s="89">
        <f t="shared" si="85"/>
        <v>2.6590198123044841E-2</v>
      </c>
      <c r="E85" s="89">
        <f t="shared" ref="E85:S85" si="88">E57/E$23</f>
        <v>3.0195736904472963E-2</v>
      </c>
      <c r="F85" s="89">
        <f t="shared" si="88"/>
        <v>2.7849582674228688E-2</v>
      </c>
      <c r="G85" s="89">
        <f t="shared" si="88"/>
        <v>3.388032770896323E-2</v>
      </c>
      <c r="H85" s="89">
        <f t="shared" si="88"/>
        <v>2.8243708550613918E-2</v>
      </c>
      <c r="I85" s="89">
        <f t="shared" si="88"/>
        <v>2.960655032086398E-2</v>
      </c>
      <c r="J85" s="89">
        <f t="shared" si="88"/>
        <v>3.0398644530794133E-2</v>
      </c>
      <c r="K85" s="89">
        <f t="shared" si="88"/>
        <v>3.0517582557231814E-2</v>
      </c>
      <c r="L85" s="89">
        <f t="shared" si="88"/>
        <v>2.9911514032897241E-2</v>
      </c>
      <c r="M85" s="89">
        <f t="shared" si="88"/>
        <v>3.3514072096620912E-2</v>
      </c>
      <c r="N85" s="89">
        <f t="shared" si="88"/>
        <v>2.7738964703207136E-2</v>
      </c>
      <c r="O85" s="89">
        <f t="shared" si="88"/>
        <v>2.9432886610467231E-2</v>
      </c>
      <c r="P85" s="89">
        <f t="shared" si="88"/>
        <v>3.8212419376338048E-2</v>
      </c>
      <c r="Q85" s="89">
        <f t="shared" si="88"/>
        <v>3.3493390405952915E-2</v>
      </c>
      <c r="R85" s="89">
        <f t="shared" si="88"/>
        <v>2.9920301856050248E-2</v>
      </c>
      <c r="S85" s="89">
        <f t="shared" si="88"/>
        <v>2.7589920691302838E-2</v>
      </c>
      <c r="T85" s="89">
        <f t="shared" ref="T85:Y85" si="89">T57/T$23</f>
        <v>2.5738814751997408E-2</v>
      </c>
      <c r="U85" s="89">
        <f t="shared" si="89"/>
        <v>1.9093226777475311E-2</v>
      </c>
      <c r="V85" s="89">
        <f t="shared" si="89"/>
        <v>2.5401102466995822E-2</v>
      </c>
      <c r="W85" s="89">
        <f t="shared" si="89"/>
        <v>2.4064770072642332E-2</v>
      </c>
      <c r="X85" s="89">
        <f t="shared" si="89"/>
        <v>2.672342814371257E-2</v>
      </c>
      <c r="Y85" s="89">
        <f t="shared" si="89"/>
        <v>2.2461064752923459E-2</v>
      </c>
    </row>
    <row r="86" spans="1:25" x14ac:dyDescent="0.25">
      <c r="A86" s="68" t="s">
        <v>275</v>
      </c>
      <c r="B86" s="44"/>
      <c r="C86" s="44"/>
      <c r="D86" s="89">
        <f t="shared" si="85"/>
        <v>2.7885739564571677E-3</v>
      </c>
      <c r="E86" s="89">
        <f t="shared" ref="E86:S86" si="90">E58/E$23</f>
        <v>2.2414802335708065E-3</v>
      </c>
      <c r="F86" s="89">
        <f t="shared" si="90"/>
        <v>2.8871998662499841E-3</v>
      </c>
      <c r="G86" s="89">
        <f t="shared" si="90"/>
        <v>3.2856237198868625E-3</v>
      </c>
      <c r="H86" s="89">
        <f t="shared" si="90"/>
        <v>3.155412362573488E-3</v>
      </c>
      <c r="I86" s="89">
        <f t="shared" si="90"/>
        <v>3.3847237439348882E-3</v>
      </c>
      <c r="J86" s="89">
        <f t="shared" si="90"/>
        <v>3.6047873650906169E-3</v>
      </c>
      <c r="K86" s="89">
        <f t="shared" si="90"/>
        <v>3.8668917814933829E-3</v>
      </c>
      <c r="L86" s="89">
        <f t="shared" si="90"/>
        <v>3.8063974300430771E-3</v>
      </c>
      <c r="M86" s="89">
        <f t="shared" si="90"/>
        <v>3.5522394486186249E-3</v>
      </c>
      <c r="N86" s="89">
        <f t="shared" si="90"/>
        <v>5.3407455501267107E-3</v>
      </c>
      <c r="O86" s="89">
        <f t="shared" si="90"/>
        <v>4.7729005314271185E-3</v>
      </c>
      <c r="P86" s="89">
        <f t="shared" si="90"/>
        <v>5.0271624551486236E-3</v>
      </c>
      <c r="Q86" s="89">
        <f t="shared" si="90"/>
        <v>5.2595434374301878E-3</v>
      </c>
      <c r="R86" s="89">
        <f t="shared" si="90"/>
        <v>6.6352590591652856E-3</v>
      </c>
      <c r="S86" s="89">
        <f t="shared" si="90"/>
        <v>7.2735454805166562E-3</v>
      </c>
      <c r="T86" s="89">
        <f t="shared" ref="T86:Y86" si="91">T58/T$23</f>
        <v>7.2869073879093067E-3</v>
      </c>
      <c r="U86" s="89">
        <f t="shared" si="91"/>
        <v>7.6926654986278122E-3</v>
      </c>
      <c r="V86" s="89">
        <f t="shared" si="91"/>
        <v>6.9992688557181234E-3</v>
      </c>
      <c r="W86" s="89">
        <f t="shared" si="91"/>
        <v>7.0232835686036069E-3</v>
      </c>
      <c r="X86" s="89">
        <f t="shared" si="91"/>
        <v>8.5011227544910164E-3</v>
      </c>
      <c r="Y86" s="89">
        <f t="shared" si="91"/>
        <v>7.6897213521683249E-3</v>
      </c>
    </row>
    <row r="87" spans="1:25" x14ac:dyDescent="0.25">
      <c r="A87" s="68" t="s">
        <v>276</v>
      </c>
      <c r="B87" s="44"/>
      <c r="C87" s="44"/>
      <c r="D87" s="89">
        <f t="shared" si="85"/>
        <v>2.0373179132303219E-2</v>
      </c>
      <c r="E87" s="89">
        <f t="shared" ref="E87:S87" si="92">E59/E$23</f>
        <v>2.6119669345973189E-2</v>
      </c>
      <c r="F87" s="89">
        <f t="shared" si="92"/>
        <v>2.8145375979011535E-2</v>
      </c>
      <c r="G87" s="89">
        <f t="shared" si="92"/>
        <v>2.9259728859845905E-2</v>
      </c>
      <c r="H87" s="89">
        <f t="shared" si="92"/>
        <v>2.5719378660555129E-2</v>
      </c>
      <c r="I87" s="89">
        <f t="shared" si="92"/>
        <v>2.7420175301299105E-2</v>
      </c>
      <c r="J87" s="89">
        <f t="shared" si="92"/>
        <v>2.9525542555076736E-2</v>
      </c>
      <c r="K87" s="89">
        <f t="shared" si="92"/>
        <v>3.2496414501751898E-2</v>
      </c>
      <c r="L87" s="89">
        <f t="shared" si="92"/>
        <v>3.2255386275893555E-2</v>
      </c>
      <c r="M87" s="89">
        <f t="shared" si="92"/>
        <v>2.9266762418229293E-2</v>
      </c>
      <c r="N87" s="89">
        <f t="shared" si="92"/>
        <v>2.7490627515162024E-2</v>
      </c>
      <c r="O87" s="89">
        <f t="shared" si="92"/>
        <v>2.8703693473721422E-2</v>
      </c>
      <c r="P87" s="89">
        <f t="shared" si="92"/>
        <v>3.0734243191704091E-2</v>
      </c>
      <c r="Q87" s="89">
        <f t="shared" si="92"/>
        <v>3.0641598106895328E-2</v>
      </c>
      <c r="R87" s="89">
        <f t="shared" si="92"/>
        <v>3.3972204803327279E-2</v>
      </c>
      <c r="S87" s="89">
        <f t="shared" si="92"/>
        <v>3.606687515643052E-2</v>
      </c>
      <c r="T87" s="89">
        <f t="shared" ref="T87:Y87" si="93">T59/T$23</f>
        <v>4.0362654063659791E-2</v>
      </c>
      <c r="U87" s="89">
        <f t="shared" si="93"/>
        <v>4.4102695866161348E-2</v>
      </c>
      <c r="V87" s="89">
        <f t="shared" si="93"/>
        <v>4.2673359238295537E-2</v>
      </c>
      <c r="W87" s="89">
        <f t="shared" si="93"/>
        <v>4.1616390548026953E-2</v>
      </c>
      <c r="X87" s="89">
        <f t="shared" si="93"/>
        <v>3.6876871257485032E-2</v>
      </c>
      <c r="Y87" s="89">
        <f t="shared" si="93"/>
        <v>3.3453505338564914E-2</v>
      </c>
    </row>
    <row r="88" spans="1:25" x14ac:dyDescent="0.25">
      <c r="A88" s="68" t="s">
        <v>1</v>
      </c>
      <c r="B88" s="44"/>
      <c r="C88" s="44"/>
      <c r="D88" s="89">
        <f t="shared" si="85"/>
        <v>2.0159888773027459E-2</v>
      </c>
      <c r="E88" s="89">
        <f t="shared" ref="E88:S88" si="94">E60/E$23</f>
        <v>2.4877575203803376E-2</v>
      </c>
      <c r="F88" s="89">
        <f t="shared" si="94"/>
        <v>2.6222719497923017E-2</v>
      </c>
      <c r="G88" s="89">
        <f t="shared" si="94"/>
        <v>2.8388032770896323E-2</v>
      </c>
      <c r="H88" s="89">
        <f t="shared" si="94"/>
        <v>2.5625269870794169E-2</v>
      </c>
      <c r="I88" s="89">
        <f t="shared" si="94"/>
        <v>2.5825637814994522E-2</v>
      </c>
      <c r="J88" s="89">
        <f t="shared" si="94"/>
        <v>2.3915214018041222E-2</v>
      </c>
      <c r="K88" s="89">
        <f t="shared" si="94"/>
        <v>2.4395911624276095E-2</v>
      </c>
      <c r="L88" s="89">
        <f t="shared" si="94"/>
        <v>1.8636019632324998E-2</v>
      </c>
      <c r="M88" s="89">
        <f t="shared" si="94"/>
        <v>2.174401117033219E-2</v>
      </c>
      <c r="N88" s="89">
        <f t="shared" si="94"/>
        <v>1.6581743327060073E-2</v>
      </c>
      <c r="O88" s="89">
        <f t="shared" si="94"/>
        <v>2.3044160378296558E-2</v>
      </c>
      <c r="P88" s="89">
        <f t="shared" si="94"/>
        <v>2.2581426158110783E-2</v>
      </c>
      <c r="Q88" s="89">
        <f t="shared" si="94"/>
        <v>1.8862096260401185E-2</v>
      </c>
      <c r="R88" s="89">
        <f t="shared" si="94"/>
        <v>1.8782928411021603E-2</v>
      </c>
      <c r="S88" s="89">
        <f t="shared" si="94"/>
        <v>1.674407080898916E-2</v>
      </c>
      <c r="T88" s="89">
        <f t="shared" ref="T88:Y88" si="95">T60/T$23</f>
        <v>1.7055984601971441E-2</v>
      </c>
      <c r="U88" s="89">
        <f t="shared" si="95"/>
        <v>1.5830544289862646E-2</v>
      </c>
      <c r="V88" s="89">
        <f t="shared" si="95"/>
        <v>1.5097307910323923E-2</v>
      </c>
      <c r="W88" s="89">
        <f t="shared" si="95"/>
        <v>1.5076247145791019E-2</v>
      </c>
      <c r="X88" s="89">
        <f t="shared" si="95"/>
        <v>1.3473053892215569E-2</v>
      </c>
      <c r="Y88" s="89">
        <f t="shared" si="95"/>
        <v>8.9107461442804077E-3</v>
      </c>
    </row>
    <row r="89" spans="1:25" x14ac:dyDescent="0.25">
      <c r="A89" s="68" t="s">
        <v>0</v>
      </c>
      <c r="B89" s="44"/>
      <c r="C89" s="44"/>
      <c r="D89" s="89">
        <f t="shared" si="85"/>
        <v>1.9986096628432396E-3</v>
      </c>
      <c r="E89" s="89">
        <f t="shared" ref="E89:S89" si="96">E61/E$23</f>
        <v>2.3271418985480346E-3</v>
      </c>
      <c r="F89" s="89">
        <f t="shared" si="96"/>
        <v>2.0705531334799443E-3</v>
      </c>
      <c r="G89" s="89">
        <f t="shared" si="96"/>
        <v>3.133229298741832E-3</v>
      </c>
      <c r="H89" s="89">
        <f t="shared" si="96"/>
        <v>3.7089934788144506E-3</v>
      </c>
      <c r="I89" s="89">
        <f t="shared" si="96"/>
        <v>3.7760212865863198E-3</v>
      </c>
      <c r="J89" s="89">
        <f t="shared" si="96"/>
        <v>3.6220765131246245E-3</v>
      </c>
      <c r="K89" s="89">
        <f t="shared" si="96"/>
        <v>3.656300491984823E-3</v>
      </c>
      <c r="L89" s="89">
        <f t="shared" si="96"/>
        <v>2.8707645047053075E-3</v>
      </c>
      <c r="M89" s="89">
        <f t="shared" si="96"/>
        <v>2.7833564510821259E-3</v>
      </c>
      <c r="N89" s="89">
        <f t="shared" si="96"/>
        <v>2.8304455408514669E-3</v>
      </c>
      <c r="O89" s="89">
        <f t="shared" si="96"/>
        <v>3.0548773077305521E-3</v>
      </c>
      <c r="P89" s="89">
        <f t="shared" si="96"/>
        <v>2.9406724101816357E-3</v>
      </c>
      <c r="Q89" s="89">
        <f t="shared" si="96"/>
        <v>2.4601535113726943E-3</v>
      </c>
      <c r="R89" s="89">
        <f t="shared" si="96"/>
        <v>2.8513391110467951E-3</v>
      </c>
      <c r="S89" s="89">
        <f t="shared" si="96"/>
        <v>3.3953324922954015E-3</v>
      </c>
      <c r="T89" s="89">
        <f t="shared" ref="T89:Y89" si="97">T61/T$23</f>
        <v>3.2063345355102741E-3</v>
      </c>
      <c r="U89" s="89">
        <f t="shared" si="97"/>
        <v>3.309197309228319E-3</v>
      </c>
      <c r="V89" s="89">
        <f t="shared" si="97"/>
        <v>2.7027693116564114E-3</v>
      </c>
      <c r="W89" s="89">
        <f t="shared" si="97"/>
        <v>2.462196437344819E-3</v>
      </c>
      <c r="X89" s="89">
        <f t="shared" si="97"/>
        <v>2.4026946107784429E-3</v>
      </c>
      <c r="Y89" s="89">
        <f t="shared" si="97"/>
        <v>2.6624453635645559E-3</v>
      </c>
    </row>
    <row r="90" spans="1:25" x14ac:dyDescent="0.25">
      <c r="A90" s="90" t="s">
        <v>278</v>
      </c>
      <c r="B90" s="47"/>
      <c r="C90" s="47"/>
      <c r="D90" s="91">
        <f t="shared" si="85"/>
        <v>6.4935064935064939E-3</v>
      </c>
      <c r="E90" s="91">
        <f t="shared" ref="E90:S90" si="98">E62/E$23</f>
        <v>6.9671487514812325E-3</v>
      </c>
      <c r="F90" s="91">
        <f t="shared" si="98"/>
        <v>8.0957341461218926E-3</v>
      </c>
      <c r="G90" s="91">
        <f t="shared" si="98"/>
        <v>1.0125085340875842E-2</v>
      </c>
      <c r="H90" s="91">
        <f t="shared" si="98"/>
        <v>8.4531836449995013E-3</v>
      </c>
      <c r="I90" s="91">
        <f t="shared" si="98"/>
        <v>9.9731961183283785E-3</v>
      </c>
      <c r="J90" s="91">
        <f t="shared" si="98"/>
        <v>1.0295687654251618E-2</v>
      </c>
      <c r="K90" s="91">
        <f t="shared" si="98"/>
        <v>1.1088720657916237E-2</v>
      </c>
      <c r="L90" s="91">
        <f t="shared" si="98"/>
        <v>1.0413307063230263E-2</v>
      </c>
      <c r="M90" s="91">
        <f t="shared" si="98"/>
        <v>1.0306107698979231E-2</v>
      </c>
      <c r="N90" s="91">
        <f t="shared" si="98"/>
        <v>1.0585746642211935E-2</v>
      </c>
      <c r="O90" s="91">
        <f t="shared" si="98"/>
        <v>1.2164267326623283E-2</v>
      </c>
      <c r="P90" s="91">
        <f t="shared" si="98"/>
        <v>1.3705002407488511E-2</v>
      </c>
      <c r="Q90" s="91">
        <f t="shared" si="98"/>
        <v>1.4526489399551546E-2</v>
      </c>
      <c r="R90" s="91">
        <f t="shared" si="98"/>
        <v>1.7903944173781612E-2</v>
      </c>
      <c r="S90" s="91">
        <f t="shared" si="98"/>
        <v>1.8761550577307648E-2</v>
      </c>
      <c r="T90" s="91">
        <f t="shared" ref="T90:Y90" si="99">T62/T$23</f>
        <v>2.0076513718633424E-2</v>
      </c>
      <c r="U90" s="91">
        <f t="shared" si="99"/>
        <v>1.9079936828442261E-2</v>
      </c>
      <c r="V90" s="91">
        <f t="shared" si="99"/>
        <v>1.7964379307795313E-2</v>
      </c>
      <c r="W90" s="91">
        <f t="shared" si="99"/>
        <v>1.8549299459935661E-2</v>
      </c>
      <c r="X90" s="91">
        <f t="shared" si="99"/>
        <v>1.7556137724550894E-2</v>
      </c>
      <c r="Y90" s="91">
        <f t="shared" si="99"/>
        <v>1.5939280158427563E-2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3.8228522094465145E-2</v>
      </c>
      <c r="F93" s="92">
        <f t="shared" ref="F93:F94" si="101">IF(E16=0,"",F16/E16-1)</f>
        <v>5.8729607913369009E-2</v>
      </c>
      <c r="G93" s="92">
        <f t="shared" ref="G93:G94" si="102">IF(F16=0,"",G16/F16-1)</f>
        <v>5.2362091604342131E-2</v>
      </c>
      <c r="H93" s="92">
        <f t="shared" ref="H93:H94" si="103">IF(G16=0,"",H16/G16-1)</f>
        <v>6.5108674245792919E-2</v>
      </c>
      <c r="I93" s="92">
        <f t="shared" ref="I93:I94" si="104">IF(H16=0,"",I16/H16-1)</f>
        <v>7.0571336461414447E-2</v>
      </c>
      <c r="J93" s="92">
        <f t="shared" ref="J93:J94" si="105">IF(I16=0,"",J16/I16-1)</f>
        <v>6.8020735818149713E-2</v>
      </c>
      <c r="K93" s="92">
        <f t="shared" ref="K93:K94" si="106">IF(J16=0,"",K16/J16-1)</f>
        <v>6.6539024579508554E-2</v>
      </c>
      <c r="L93" s="92">
        <f t="shared" ref="L93:L94" si="107">IF(K16=0,"",L16/K16-1)</f>
        <v>6.1302887315866084E-2</v>
      </c>
      <c r="M93" s="92">
        <f t="shared" ref="M93:M94" si="108">IF(L16=0,"",M16/L16-1)</f>
        <v>-3.3474478536316687E-2</v>
      </c>
      <c r="N93" s="92">
        <f t="shared" ref="N93:N94" si="109">IF(M16=0,"",N16/M16-1)</f>
        <v>1.5552139828115097E-2</v>
      </c>
      <c r="O93" s="92">
        <f t="shared" ref="O93:O94" si="110">IF(N16=0,"",O16/N16-1)</f>
        <v>2.0903390665294896E-2</v>
      </c>
      <c r="P93" s="92">
        <f t="shared" ref="P93:P94" si="111">IF(O16=0,"",P16/O16-1)</f>
        <v>7.4836480417355133E-3</v>
      </c>
      <c r="Q93" s="92">
        <f t="shared" ref="Q93:Q94" si="112">IF(P16=0,"",Q16/P16-1)</f>
        <v>-5.4179266618020749E-3</v>
      </c>
      <c r="R93" s="92">
        <f t="shared" ref="R93:R94" si="113">IF(Q16=0,"",R16/Q16-1)</f>
        <v>9.4847978201408889E-3</v>
      </c>
      <c r="S93" s="92">
        <f t="shared" ref="S93:S94" si="114">IF(R16=0,"",S16/R16-1)</f>
        <v>3.3978365589998338E-2</v>
      </c>
      <c r="T93" s="92">
        <f t="shared" ref="T93:T94" si="115">IF(S16=0,"",T16/S16-1)</f>
        <v>3.0261570810366623E-2</v>
      </c>
      <c r="U93" s="92">
        <f t="shared" ref="U93:U94" si="116">IF(T16=0,"",U16/T16-1)</f>
        <v>2.7461719408220731E-2</v>
      </c>
      <c r="V93" s="92">
        <f t="shared" ref="V93:V94" si="117">IF(U16=0,"",V16/U16-1)</f>
        <v>2.6948015817276572E-2</v>
      </c>
      <c r="W93" s="92">
        <f t="shared" ref="W93:W94" si="118">IF(V16=0,"",W16/V16-1)</f>
        <v>4.0353328381986353E-2</v>
      </c>
      <c r="X93" s="92">
        <f t="shared" ref="X93:X94" si="119">IF(W16=0,"",X16/W16-1)</f>
        <v>-3.9662595991674987E-2</v>
      </c>
      <c r="Y93" s="92">
        <f t="shared" ref="Y93:Y94" si="120">IF(X16=0,"",Y16/X16-1)</f>
        <v>7.6622857054633897E-2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7.6750500704470204E-2</v>
      </c>
      <c r="F94" s="93">
        <f t="shared" si="101"/>
        <v>5.6929637617296969E-2</v>
      </c>
      <c r="G94" s="93">
        <f t="shared" si="102"/>
        <v>6.4950149027463766E-2</v>
      </c>
      <c r="H94" s="93">
        <f t="shared" si="103"/>
        <v>9.4728050883984283E-2</v>
      </c>
      <c r="I94" s="93">
        <f t="shared" si="104"/>
        <v>7.3147198840664007E-2</v>
      </c>
      <c r="J94" s="93">
        <f t="shared" si="105"/>
        <v>8.5320873499408867E-2</v>
      </c>
      <c r="K94" s="93">
        <f t="shared" si="106"/>
        <v>0.11493454445300966</v>
      </c>
      <c r="L94" s="93">
        <f t="shared" si="107"/>
        <v>3.4905090171212461E-2</v>
      </c>
      <c r="M94" s="93">
        <f t="shared" si="108"/>
        <v>-4.2646101472277875E-2</v>
      </c>
      <c r="N94" s="93">
        <f t="shared" si="109"/>
        <v>2.3657805148915134E-2</v>
      </c>
      <c r="O94" s="93">
        <f t="shared" si="110"/>
        <v>1.9898485026612844E-2</v>
      </c>
      <c r="P94" s="93">
        <f t="shared" si="111"/>
        <v>3.7303914989316622E-2</v>
      </c>
      <c r="Q94" s="93">
        <f t="shared" si="112"/>
        <v>-3.8642305333408067E-2</v>
      </c>
      <c r="R94" s="93">
        <f t="shared" si="113"/>
        <v>1.3716741534398835E-2</v>
      </c>
      <c r="S94" s="93">
        <f t="shared" si="114"/>
        <v>2.8185598731518269E-2</v>
      </c>
      <c r="T94" s="93">
        <f t="shared" si="115"/>
        <v>2.1662956195712235E-2</v>
      </c>
      <c r="U94" s="93">
        <f t="shared" si="116"/>
        <v>2.5520418460393213E-2</v>
      </c>
      <c r="V94" s="93">
        <f t="shared" si="117"/>
        <v>3.717311460021433E-2</v>
      </c>
      <c r="W94" s="93">
        <f t="shared" si="118"/>
        <v>5.9594912917312559E-2</v>
      </c>
      <c r="X94" s="93">
        <f t="shared" si="119"/>
        <v>-5.6259561832467941E-3</v>
      </c>
      <c r="Y94" s="93">
        <f t="shared" si="120"/>
        <v>8.4695918347513111E-2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4.3503831678217919E-2</v>
      </c>
      <c r="F95" s="92">
        <f t="shared" ref="F95:F96" si="122">IF(E20=0,"",F20/E20-1)</f>
        <v>9.6490775338160528E-2</v>
      </c>
      <c r="G95" s="92">
        <f t="shared" ref="G95:G96" si="123">IF(F20=0,"",G20/F20-1)</f>
        <v>6.0897603800140532E-2</v>
      </c>
      <c r="H95" s="92">
        <f t="shared" ref="H95:H96" si="124">IF(G20=0,"",H20/G20-1)</f>
        <v>7.3409213211522273E-2</v>
      </c>
      <c r="I95" s="92">
        <f t="shared" ref="I95:I96" si="125">IF(H20=0,"",I20/H20-1)</f>
        <v>7.8448806414417316E-2</v>
      </c>
      <c r="J95" s="92">
        <f t="shared" ref="J95:J96" si="126">IF(I20=0,"",J20/I20-1)</f>
        <v>7.6308308096638244E-2</v>
      </c>
      <c r="K95" s="92">
        <f t="shared" ref="K95:K96" si="127">IF(J20=0,"",K20/J20-1)</f>
        <v>7.4524399045778011E-2</v>
      </c>
      <c r="L95" s="92">
        <f t="shared" ref="L95:L96" si="128">IF(K20=0,"",L20/K20-1)</f>
        <v>6.9020694540770755E-2</v>
      </c>
      <c r="M95" s="92">
        <f t="shared" ref="M95:M96" si="129">IF(L20=0,"",M20/L20-1)</f>
        <v>-2.6888308139322192E-2</v>
      </c>
      <c r="N95" s="92">
        <f t="shared" ref="N95:N96" si="130">IF(M20=0,"",N20/M20-1)</f>
        <v>2.1757985741018393E-2</v>
      </c>
      <c r="O95" s="92">
        <f t="shared" ref="O95:O96" si="131">IF(N20=0,"",O20/N20-1)</f>
        <v>2.8153472652692413E-2</v>
      </c>
      <c r="P95" s="92">
        <f t="shared" ref="P95:P96" si="132">IF(O20=0,"",P20/O20-1)</f>
        <v>1.3287054943571297E-2</v>
      </c>
      <c r="Q95" s="92">
        <f t="shared" ref="Q95:Q96" si="133">IF(P20=0,"",Q20/P20-1)</f>
        <v>4.0821147730207841E-4</v>
      </c>
      <c r="R95" s="92">
        <f t="shared" ref="R95:R96" si="134">IF(Q20=0,"",R20/Q20-1)</f>
        <v>1.4900954449156956E-2</v>
      </c>
      <c r="S95" s="92">
        <f t="shared" ref="S95:S96" si="135">IF(R20=0,"",S20/R20-1)</f>
        <v>4.0220396891760268E-2</v>
      </c>
      <c r="T95" s="92">
        <f t="shared" ref="T95:T96" si="136">IF(S20=0,"",T20/S20-1)</f>
        <v>3.7233976419651871E-2</v>
      </c>
      <c r="U95" s="92">
        <f t="shared" ref="U95:U96" si="137">IF(T20=0,"",U20/T20-1)</f>
        <v>3.497397074695785E-2</v>
      </c>
      <c r="V95" s="92">
        <f t="shared" ref="V95:V96" si="138">IF(U20=0,"",V20/U20-1)</f>
        <v>3.4497139824299694E-2</v>
      </c>
      <c r="W95" s="92">
        <f t="shared" ref="W95:W96" si="139">IF(V20=0,"",W20/V20-1)</f>
        <v>4.7783639077749296E-2</v>
      </c>
      <c r="X95" s="92">
        <f t="shared" ref="X95:X96" si="140">IF(W20=0,"",X20/W20-1)</f>
        <v>-3.2954515135473095E-2</v>
      </c>
      <c r="Y95" s="92">
        <f t="shared" ref="Y95:Y96" si="141">IF(X20=0,"",Y20/X20-1)</f>
        <v>8.206064811577396E-2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8.2221543075968739E-2</v>
      </c>
      <c r="F96" s="93">
        <f t="shared" si="122"/>
        <v>9.4626606422156145E-2</v>
      </c>
      <c r="G96" s="93">
        <f t="shared" si="123"/>
        <v>7.358776060380201E-2</v>
      </c>
      <c r="H96" s="93">
        <f t="shared" si="124"/>
        <v>0.10325941774161862</v>
      </c>
      <c r="I96" s="93">
        <f t="shared" si="125"/>
        <v>8.1043622484845201E-2</v>
      </c>
      <c r="J96" s="93">
        <f t="shared" si="126"/>
        <v>9.3742690494926784E-2</v>
      </c>
      <c r="K96" s="93">
        <f t="shared" si="127"/>
        <v>0.12328226510612583</v>
      </c>
      <c r="L96" s="93">
        <f t="shared" si="128"/>
        <v>4.2430932301176005E-2</v>
      </c>
      <c r="M96" s="93">
        <f t="shared" si="129"/>
        <v>-3.6122429033310977E-2</v>
      </c>
      <c r="N96" s="93">
        <f t="shared" si="130"/>
        <v>2.9913183240452668E-2</v>
      </c>
      <c r="O96" s="93">
        <f t="shared" si="131"/>
        <v>2.7141430542198419E-2</v>
      </c>
      <c r="P96" s="93">
        <f t="shared" si="132"/>
        <v>4.3279095540635026E-2</v>
      </c>
      <c r="Q96" s="93">
        <f t="shared" si="133"/>
        <v>-3.3010791474105239E-2</v>
      </c>
      <c r="R96" s="93">
        <f t="shared" si="134"/>
        <v>1.9155603676218158E-2</v>
      </c>
      <c r="S96" s="93">
        <f t="shared" si="135"/>
        <v>3.4392659638098122E-2</v>
      </c>
      <c r="T96" s="93">
        <f t="shared" si="136"/>
        <v>2.8577169758948084E-2</v>
      </c>
      <c r="U96" s="93">
        <f t="shared" si="137"/>
        <v>3.3018476043422673E-2</v>
      </c>
      <c r="V96" s="93">
        <f t="shared" si="138"/>
        <v>4.4797403598558772E-2</v>
      </c>
      <c r="W96" s="93">
        <f t="shared" si="139"/>
        <v>6.7162648992969087E-2</v>
      </c>
      <c r="X96" s="93">
        <f t="shared" si="140"/>
        <v>1.319875000033166E-3</v>
      </c>
      <c r="Y96" s="93">
        <f t="shared" si="141"/>
        <v>9.0174484709165004E-2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4.0717163046271487E-2</v>
      </c>
      <c r="F97" s="89">
        <f t="shared" ref="F97:F106" si="143">IF(E23=0,"",F23/E23-1)</f>
        <v>7.5997820723832765E-2</v>
      </c>
      <c r="G97" s="89">
        <f t="shared" ref="G97:G106" si="144">IF(F23=0,"",G23/F23-1)</f>
        <v>4.1555729992192036E-2</v>
      </c>
      <c r="H97" s="89">
        <f t="shared" ref="H97:H106" si="145">IF(G23=0,"",H23/G23-1)</f>
        <v>4.8765568797785486E-2</v>
      </c>
      <c r="I97" s="89">
        <f t="shared" ref="I97:I106" si="146">IF(H23=0,"",I23/H23-1)</f>
        <v>6.4564652320072691E-2</v>
      </c>
      <c r="J97" s="89">
        <f t="shared" ref="J97:J106" si="147">IF(I23=0,"",J23/I23-1)</f>
        <v>7.1431192345776662E-2</v>
      </c>
      <c r="K97" s="89">
        <f t="shared" ref="K97:K106" si="148">IF(J23=0,"",K23/J23-1)</f>
        <v>6.5486501194643054E-2</v>
      </c>
      <c r="L97" s="89">
        <f t="shared" ref="L97:L106" si="149">IF(K23=0,"",L23/K23-1)</f>
        <v>6.1512283826969716E-2</v>
      </c>
      <c r="M97" s="89">
        <f t="shared" ref="M97:M106" si="150">IF(L23=0,"",M23/L23-1)</f>
        <v>-8.5834343322624962E-3</v>
      </c>
      <c r="N97" s="89">
        <f t="shared" ref="N97:N106" si="151">IF(M23=0,"",N23/M23-1)</f>
        <v>1.8302722661472259E-2</v>
      </c>
      <c r="O97" s="89">
        <f t="shared" ref="O97:O106" si="152">IF(N23=0,"",O23/N23-1)</f>
        <v>1.8997027041436132E-2</v>
      </c>
      <c r="P97" s="89">
        <f t="shared" ref="P97:P106" si="153">IF(O23=0,"",P23/O23-1)</f>
        <v>2.539509981466459E-3</v>
      </c>
      <c r="Q97" s="89">
        <f t="shared" ref="Q97:Q106" si="154">IF(P23=0,"",Q23/P23-1)</f>
        <v>-1.6482912200023625E-2</v>
      </c>
      <c r="R97" s="89">
        <f t="shared" ref="R97:R106" si="155">IF(Q23=0,"",R23/Q23-1)</f>
        <v>9.6144908836124365E-3</v>
      </c>
      <c r="S97" s="89">
        <f t="shared" ref="S97:S106" si="156">IF(R23=0,"",S23/R23-1)</f>
        <v>2.9428540484191634E-2</v>
      </c>
      <c r="T97" s="89">
        <f t="shared" ref="T97:T106" si="157">IF(S23=0,"",T23/S23-1)</f>
        <v>2.5767799702091532E-2</v>
      </c>
      <c r="U97" s="89">
        <f t="shared" ref="U97:U106" si="158">IF(T23=0,"",U23/T23-1)</f>
        <v>3.2809661242556354E-2</v>
      </c>
      <c r="V97" s="89">
        <f t="shared" ref="V97:V106" si="159">IF(U23=0,"",V23/U23-1)</f>
        <v>3.4914943219225281E-2</v>
      </c>
      <c r="W97" s="89">
        <f t="shared" ref="W97:W106" si="160">IF(V23=0,"",W23/V23-1)</f>
        <v>3.7211762475361176E-2</v>
      </c>
      <c r="X97" s="89">
        <f t="shared" ref="X97:X106" si="161">IF(W23=0,"",X23/W23-1)</f>
        <v>-4.0021451235081051E-2</v>
      </c>
      <c r="Y97" s="89">
        <f t="shared" ref="Y97:Y106" si="162">IF(X23=0,"",Y23/X23-1)</f>
        <v>8.0257590294317005E-2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1.2309639366780978E-3</v>
      </c>
      <c r="F98" s="83">
        <f t="shared" si="143"/>
        <v>-2.4598740829024135E-2</v>
      </c>
      <c r="G98" s="83">
        <f t="shared" si="144"/>
        <v>-5.2971685602465346E-3</v>
      </c>
      <c r="H98" s="83">
        <f t="shared" si="145"/>
        <v>-6.911527655014682E-3</v>
      </c>
      <c r="I98" s="83">
        <f t="shared" si="146"/>
        <v>-7.6171344860120005E-2</v>
      </c>
      <c r="J98" s="83">
        <f t="shared" si="147"/>
        <v>-9.645235659261453E-2</v>
      </c>
      <c r="K98" s="83">
        <f t="shared" si="148"/>
        <v>-0.19108148336155528</v>
      </c>
      <c r="L98" s="83">
        <f t="shared" si="149"/>
        <v>0.35146845744816191</v>
      </c>
      <c r="M98" s="83">
        <f t="shared" si="150"/>
        <v>-0.30776983668828195</v>
      </c>
      <c r="N98" s="83">
        <f t="shared" si="151"/>
        <v>-3.4914581930508226E-2</v>
      </c>
      <c r="O98" s="83">
        <f t="shared" si="152"/>
        <v>0.17799860454389771</v>
      </c>
      <c r="P98" s="83">
        <f t="shared" si="153"/>
        <v>-4.4027338624306633E-2</v>
      </c>
      <c r="Q98" s="83">
        <f t="shared" si="154"/>
        <v>1.1526885249607766E-2</v>
      </c>
      <c r="R98" s="83">
        <f t="shared" si="155"/>
        <v>1.3226807534196583E-2</v>
      </c>
      <c r="S98" s="83">
        <f t="shared" si="156"/>
        <v>-7.8888777913735053E-2</v>
      </c>
      <c r="T98" s="83">
        <f t="shared" si="157"/>
        <v>2.7037459921061879E-2</v>
      </c>
      <c r="U98" s="83">
        <f t="shared" si="158"/>
        <v>3.122746549486477E-2</v>
      </c>
      <c r="V98" s="83">
        <f t="shared" si="159"/>
        <v>-0.13972787479812376</v>
      </c>
      <c r="W98" s="83">
        <f t="shared" si="160"/>
        <v>-3.2213844800513813E-3</v>
      </c>
      <c r="X98" s="83">
        <f t="shared" si="161"/>
        <v>2.8421096403637103E-2</v>
      </c>
      <c r="Y98" s="83">
        <f t="shared" si="162"/>
        <v>0.34055657842067433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-3.5616793210451636E-2</v>
      </c>
      <c r="F99" s="83">
        <f t="shared" si="143"/>
        <v>-0.1033590637041415</v>
      </c>
      <c r="G99" s="83">
        <f t="shared" si="144"/>
        <v>0.11576300422134134</v>
      </c>
      <c r="H99" s="83">
        <f t="shared" si="145"/>
        <v>0.2269975249592715</v>
      </c>
      <c r="I99" s="83">
        <f t="shared" si="146"/>
        <v>0.19593942060054537</v>
      </c>
      <c r="J99" s="83">
        <f t="shared" si="147"/>
        <v>0.29783358425097517</v>
      </c>
      <c r="K99" s="83">
        <f t="shared" si="148"/>
        <v>1.1553662839456358E-3</v>
      </c>
      <c r="L99" s="83">
        <f t="shared" si="149"/>
        <v>-2.532230616137765E-2</v>
      </c>
      <c r="M99" s="83">
        <f t="shared" si="150"/>
        <v>-6.4678124619817923E-2</v>
      </c>
      <c r="N99" s="83">
        <f t="shared" si="151"/>
        <v>0.16849968706727458</v>
      </c>
      <c r="O99" s="83">
        <f t="shared" si="152"/>
        <v>7.4460062680457018E-2</v>
      </c>
      <c r="P99" s="83">
        <f t="shared" si="153"/>
        <v>3.5871383510670318E-2</v>
      </c>
      <c r="Q99" s="83">
        <f t="shared" si="154"/>
        <v>1.4017151997842481E-2</v>
      </c>
      <c r="R99" s="83">
        <f t="shared" si="155"/>
        <v>5.9231960242407622E-2</v>
      </c>
      <c r="S99" s="83">
        <f t="shared" si="156"/>
        <v>-1.8852909389767802E-2</v>
      </c>
      <c r="T99" s="83">
        <f t="shared" si="157"/>
        <v>-6.484171337863387E-2</v>
      </c>
      <c r="U99" s="83">
        <f t="shared" si="158"/>
        <v>2.3227204415595004E-2</v>
      </c>
      <c r="V99" s="83">
        <f t="shared" si="159"/>
        <v>-0.14443347866387224</v>
      </c>
      <c r="W99" s="83">
        <f t="shared" si="160"/>
        <v>-0.22833743776029714</v>
      </c>
      <c r="X99" s="83">
        <f t="shared" si="161"/>
        <v>0.16226394492676799</v>
      </c>
      <c r="Y99" s="83">
        <f t="shared" si="162"/>
        <v>5.5051417949978365E-3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2.6296578729403164E-2</v>
      </c>
      <c r="F100" s="83">
        <f t="shared" si="143"/>
        <v>9.9792914751417605E-2</v>
      </c>
      <c r="G100" s="83">
        <f t="shared" si="144"/>
        <v>3.4770880829961825E-2</v>
      </c>
      <c r="H100" s="83">
        <f t="shared" si="145"/>
        <v>7.1730382829413575E-2</v>
      </c>
      <c r="I100" s="83">
        <f t="shared" si="146"/>
        <v>6.172590595300198E-2</v>
      </c>
      <c r="J100" s="83">
        <f t="shared" si="147"/>
        <v>6.9976776853166278E-2</v>
      </c>
      <c r="K100" s="83">
        <f t="shared" si="148"/>
        <v>8.0102243547619079E-2</v>
      </c>
      <c r="L100" s="83">
        <f t="shared" si="149"/>
        <v>6.0415422038230249E-2</v>
      </c>
      <c r="M100" s="83">
        <f t="shared" si="150"/>
        <v>9.5178859078786093E-3</v>
      </c>
      <c r="N100" s="83">
        <f t="shared" si="151"/>
        <v>7.3755072385350173E-2</v>
      </c>
      <c r="O100" s="83">
        <f t="shared" si="152"/>
        <v>-1.2626554885210362E-2</v>
      </c>
      <c r="P100" s="83">
        <f t="shared" si="153"/>
        <v>-2.4004251691879253E-3</v>
      </c>
      <c r="Q100" s="83">
        <f t="shared" si="154"/>
        <v>1.1155757272270916E-2</v>
      </c>
      <c r="R100" s="83">
        <f t="shared" si="155"/>
        <v>1.4619222460294568E-2</v>
      </c>
      <c r="S100" s="83">
        <f t="shared" si="156"/>
        <v>2.6031216546234193E-2</v>
      </c>
      <c r="T100" s="83">
        <f t="shared" si="157"/>
        <v>1.7400779580621029E-2</v>
      </c>
      <c r="U100" s="83">
        <f t="shared" si="158"/>
        <v>3.945675179595387E-2</v>
      </c>
      <c r="V100" s="83">
        <f t="shared" si="159"/>
        <v>7.7030828779588889E-2</v>
      </c>
      <c r="W100" s="83">
        <f t="shared" si="160"/>
        <v>5.1427247077598492E-2</v>
      </c>
      <c r="X100" s="83">
        <f t="shared" si="161"/>
        <v>-4.4340911594923038E-2</v>
      </c>
      <c r="Y100" s="83">
        <f t="shared" si="162"/>
        <v>7.9903810972760336E-2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-2.9913550376736708E-4</v>
      </c>
      <c r="F101" s="84">
        <f t="shared" si="143"/>
        <v>0.11185312541706671</v>
      </c>
      <c r="G101" s="84">
        <f t="shared" si="144"/>
        <v>9.4109430220543633E-3</v>
      </c>
      <c r="H101" s="84">
        <f t="shared" si="145"/>
        <v>2.8769313073508274E-2</v>
      </c>
      <c r="I101" s="84">
        <f t="shared" si="146"/>
        <v>1.6869104685290459E-2</v>
      </c>
      <c r="J101" s="84">
        <f t="shared" si="147"/>
        <v>3.3250945557907752E-2</v>
      </c>
      <c r="K101" s="84">
        <f t="shared" si="148"/>
        <v>3.3608352936379093E-2</v>
      </c>
      <c r="L101" s="84">
        <f t="shared" si="149"/>
        <v>2.6206847714746795E-2</v>
      </c>
      <c r="M101" s="84">
        <f t="shared" si="150"/>
        <v>-1.3576898586043273E-2</v>
      </c>
      <c r="N101" s="84">
        <f t="shared" si="151"/>
        <v>3.4578397815774764E-2</v>
      </c>
      <c r="O101" s="84">
        <f t="shared" si="152"/>
        <v>-3.0470858734448325E-2</v>
      </c>
      <c r="P101" s="84">
        <f t="shared" si="153"/>
        <v>3.1159547626854245E-2</v>
      </c>
      <c r="Q101" s="84">
        <f t="shared" si="154"/>
        <v>2.3503018286767929E-2</v>
      </c>
      <c r="R101" s="84">
        <f t="shared" si="155"/>
        <v>6.5786491020438209E-2</v>
      </c>
      <c r="S101" s="84">
        <f t="shared" si="156"/>
        <v>-4.7320544058034875E-3</v>
      </c>
      <c r="T101" s="84">
        <f t="shared" si="157"/>
        <v>-2.0410415921336411E-2</v>
      </c>
      <c r="U101" s="84">
        <f t="shared" si="158"/>
        <v>3.5831547467759073E-2</v>
      </c>
      <c r="V101" s="84">
        <f t="shared" si="159"/>
        <v>6.0593627351332557E-2</v>
      </c>
      <c r="W101" s="84">
        <f t="shared" si="160"/>
        <v>4.5848023769502699E-2</v>
      </c>
      <c r="X101" s="84">
        <f t="shared" si="161"/>
        <v>-2.956084786655544E-2</v>
      </c>
      <c r="Y101" s="84">
        <f t="shared" si="162"/>
        <v>6.8956956059635255E-2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7.314453681107902E-2</v>
      </c>
      <c r="F102" s="84">
        <f t="shared" si="143"/>
        <v>0.12594642046090487</v>
      </c>
      <c r="G102" s="84">
        <f t="shared" si="144"/>
        <v>1.6665546273986864E-2</v>
      </c>
      <c r="H102" s="84">
        <f t="shared" si="145"/>
        <v>0.1072568550477655</v>
      </c>
      <c r="I102" s="84">
        <f t="shared" si="146"/>
        <v>6.494958356010283E-2</v>
      </c>
      <c r="J102" s="84">
        <f t="shared" si="147"/>
        <v>4.9350350990462921E-2</v>
      </c>
      <c r="K102" s="84">
        <f t="shared" si="148"/>
        <v>0.23172958049274484</v>
      </c>
      <c r="L102" s="84">
        <f t="shared" si="149"/>
        <v>7.1981380624249081E-2</v>
      </c>
      <c r="M102" s="84">
        <f t="shared" si="150"/>
        <v>3.7228527011163859E-2</v>
      </c>
      <c r="N102" s="84">
        <f t="shared" si="151"/>
        <v>0.10275182324481147</v>
      </c>
      <c r="O102" s="84">
        <f t="shared" si="152"/>
        <v>-1.791416872373286E-2</v>
      </c>
      <c r="P102" s="84">
        <f t="shared" si="153"/>
        <v>-2.0232593117317621E-2</v>
      </c>
      <c r="Q102" s="84">
        <f t="shared" si="154"/>
        <v>-3.1725581127978741E-2</v>
      </c>
      <c r="R102" s="84">
        <f t="shared" si="155"/>
        <v>-1.7177658443831345E-2</v>
      </c>
      <c r="S102" s="84">
        <f t="shared" si="156"/>
        <v>2.248248780399198E-2</v>
      </c>
      <c r="T102" s="84">
        <f t="shared" si="157"/>
        <v>4.9223350112512998E-2</v>
      </c>
      <c r="U102" s="84">
        <f t="shared" si="158"/>
        <v>2.3917660924997142E-2</v>
      </c>
      <c r="V102" s="84">
        <f t="shared" si="159"/>
        <v>9.6068187302910113E-2</v>
      </c>
      <c r="W102" s="84">
        <f t="shared" si="160"/>
        <v>4.4912450465331322E-2</v>
      </c>
      <c r="X102" s="84">
        <f t="shared" si="161"/>
        <v>-3.5720329711858345E-2</v>
      </c>
      <c r="Y102" s="84">
        <f t="shared" si="162"/>
        <v>5.0481514183927434E-2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1.3815115902815478E-4</v>
      </c>
      <c r="F103" s="84">
        <f t="shared" si="143"/>
        <v>1.6782753256495253E-2</v>
      </c>
      <c r="G103" s="84">
        <f t="shared" si="144"/>
        <v>0.14286760042711255</v>
      </c>
      <c r="H103" s="84">
        <f t="shared" si="145"/>
        <v>9.9263378214747844E-2</v>
      </c>
      <c r="I103" s="84">
        <f t="shared" si="146"/>
        <v>0.15263833450217001</v>
      </c>
      <c r="J103" s="84">
        <f t="shared" si="147"/>
        <v>0.17945842020002489</v>
      </c>
      <c r="K103" s="84">
        <f t="shared" si="148"/>
        <v>-9.7145369323560105E-2</v>
      </c>
      <c r="L103" s="84">
        <f t="shared" si="149"/>
        <v>9.9640438461634506E-2</v>
      </c>
      <c r="M103" s="84">
        <f t="shared" si="150"/>
        <v>-1.10937665420765E-2</v>
      </c>
      <c r="N103" s="84">
        <f t="shared" si="151"/>
        <v>7.5779918552207004E-2</v>
      </c>
      <c r="O103" s="84">
        <f t="shared" si="152"/>
        <v>3.0833891134351976E-2</v>
      </c>
      <c r="P103" s="84">
        <f t="shared" si="153"/>
        <v>-1.5839603352384102E-2</v>
      </c>
      <c r="Q103" s="84">
        <f t="shared" si="154"/>
        <v>8.8147701162472725E-2</v>
      </c>
      <c r="R103" s="84">
        <f t="shared" si="155"/>
        <v>-2.4219245681047497E-3</v>
      </c>
      <c r="S103" s="84">
        <f t="shared" si="156"/>
        <v>8.5594682844304604E-2</v>
      </c>
      <c r="T103" s="84">
        <f t="shared" si="157"/>
        <v>1.6495281459197653E-2</v>
      </c>
      <c r="U103" s="84">
        <f t="shared" si="158"/>
        <v>7.5168211321003042E-2</v>
      </c>
      <c r="V103" s="84">
        <f t="shared" si="159"/>
        <v>6.5595077578349814E-2</v>
      </c>
      <c r="W103" s="84">
        <f t="shared" si="160"/>
        <v>7.1910330409880485E-2</v>
      </c>
      <c r="X103" s="84">
        <f t="shared" si="161"/>
        <v>-8.1198168290430472E-2</v>
      </c>
      <c r="Y103" s="84">
        <f t="shared" si="162"/>
        <v>0.1536004916299365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-4.3531688350794018E-2</v>
      </c>
      <c r="F104" s="83">
        <f t="shared" si="143"/>
        <v>9.4293975628654936E-2</v>
      </c>
      <c r="G104" s="83">
        <f t="shared" si="144"/>
        <v>-2.4542526469558457E-2</v>
      </c>
      <c r="H104" s="83">
        <f t="shared" si="145"/>
        <v>6.8556422614907353E-2</v>
      </c>
      <c r="I104" s="83">
        <f t="shared" si="146"/>
        <v>-4.6977895573437456E-2</v>
      </c>
      <c r="J104" s="83">
        <f t="shared" si="147"/>
        <v>3.1798266568270783E-2</v>
      </c>
      <c r="K104" s="83">
        <f t="shared" si="148"/>
        <v>-0.14759479576233492</v>
      </c>
      <c r="L104" s="83">
        <f t="shared" si="149"/>
        <v>-9.5249056190834458E-2</v>
      </c>
      <c r="M104" s="83">
        <f t="shared" si="150"/>
        <v>8.2418540714652488E-2</v>
      </c>
      <c r="N104" s="83">
        <f t="shared" si="151"/>
        <v>5.4683032313752378E-2</v>
      </c>
      <c r="O104" s="83">
        <f t="shared" si="152"/>
        <v>0.16597290031293932</v>
      </c>
      <c r="P104" s="83">
        <f t="shared" si="153"/>
        <v>-3.3152574057459416E-2</v>
      </c>
      <c r="Q104" s="83">
        <f t="shared" si="154"/>
        <v>4.9019953104685321E-2</v>
      </c>
      <c r="R104" s="83">
        <f t="shared" si="155"/>
        <v>-0.17814309153927421</v>
      </c>
      <c r="S104" s="83">
        <f t="shared" si="156"/>
        <v>0.23183188575613323</v>
      </c>
      <c r="T104" s="83">
        <f t="shared" si="157"/>
        <v>0.18793728039371116</v>
      </c>
      <c r="U104" s="83">
        <f t="shared" si="158"/>
        <v>-1.353216911921451E-2</v>
      </c>
      <c r="V104" s="83">
        <f t="shared" si="159"/>
        <v>-0.26491558297218842</v>
      </c>
      <c r="W104" s="83">
        <f t="shared" si="160"/>
        <v>-8.1169488990281646E-2</v>
      </c>
      <c r="X104" s="83">
        <f t="shared" si="161"/>
        <v>-0.14614965809259917</v>
      </c>
      <c r="Y104" s="83">
        <f t="shared" si="162"/>
        <v>1.0741614537203166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8.176629249155476E-2</v>
      </c>
      <c r="F105" s="83">
        <f t="shared" si="143"/>
        <v>1.1330918994943096E-2</v>
      </c>
      <c r="G105" s="83">
        <f t="shared" si="144"/>
        <v>1.9933113183680407E-2</v>
      </c>
      <c r="H105" s="83">
        <f t="shared" si="145"/>
        <v>7.1551965646504456E-2</v>
      </c>
      <c r="I105" s="83">
        <f t="shared" si="146"/>
        <v>0.30842493310731856</v>
      </c>
      <c r="J105" s="83">
        <f t="shared" si="147"/>
        <v>0.21968158337057853</v>
      </c>
      <c r="K105" s="83">
        <f t="shared" si="148"/>
        <v>0.20712847823629033</v>
      </c>
      <c r="L105" s="83">
        <f t="shared" si="149"/>
        <v>0.20302393504235816</v>
      </c>
      <c r="M105" s="83">
        <f t="shared" si="150"/>
        <v>5.6062763467755294E-2</v>
      </c>
      <c r="N105" s="83">
        <f t="shared" si="151"/>
        <v>-0.23980549604252288</v>
      </c>
      <c r="O105" s="83">
        <f t="shared" si="152"/>
        <v>-9.6349336547752351E-2</v>
      </c>
      <c r="P105" s="83">
        <f t="shared" si="153"/>
        <v>-7.650102147994231E-2</v>
      </c>
      <c r="Q105" s="83">
        <f t="shared" si="154"/>
        <v>-0.19693177407439111</v>
      </c>
      <c r="R105" s="83">
        <f t="shared" si="155"/>
        <v>-6.1192646472445711E-2</v>
      </c>
      <c r="S105" s="83">
        <f t="shared" si="156"/>
        <v>1.5396962998849517E-2</v>
      </c>
      <c r="T105" s="83">
        <f t="shared" si="157"/>
        <v>-7.8218333079110081E-2</v>
      </c>
      <c r="U105" s="83">
        <f t="shared" si="158"/>
        <v>8.8367051320697554E-2</v>
      </c>
      <c r="V105" s="83">
        <f t="shared" si="159"/>
        <v>4.623636203177095E-2</v>
      </c>
      <c r="W105" s="83">
        <f t="shared" si="160"/>
        <v>0.10588971337770237</v>
      </c>
      <c r="X105" s="83">
        <f t="shared" si="161"/>
        <v>5.4081004083617046E-2</v>
      </c>
      <c r="Y105" s="83">
        <f t="shared" si="162"/>
        <v>-0.16930831822898507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0.20601225885644237</v>
      </c>
      <c r="F106" s="83">
        <f t="shared" si="143"/>
        <v>9.6680834649095493E-2</v>
      </c>
      <c r="G106" s="83">
        <f t="shared" si="144"/>
        <v>0.14210086179646164</v>
      </c>
      <c r="H106" s="83">
        <f t="shared" si="145"/>
        <v>-4.3534446193702836E-2</v>
      </c>
      <c r="I106" s="83">
        <f t="shared" si="146"/>
        <v>0.12184732519303965</v>
      </c>
      <c r="J106" s="83">
        <f t="shared" si="147"/>
        <v>9.8550804567701489E-2</v>
      </c>
      <c r="K106" s="83">
        <f t="shared" si="148"/>
        <v>0.14411413232125581</v>
      </c>
      <c r="L106" s="83">
        <f t="shared" si="149"/>
        <v>-5.6148025788048117E-2</v>
      </c>
      <c r="M106" s="83">
        <f t="shared" si="150"/>
        <v>1.7411634323272196E-3</v>
      </c>
      <c r="N106" s="83">
        <f t="shared" si="151"/>
        <v>-7.9224807150780951E-2</v>
      </c>
      <c r="O106" s="83">
        <f t="shared" si="152"/>
        <v>0.14647373892158932</v>
      </c>
      <c r="P106" s="83">
        <f t="shared" si="153"/>
        <v>8.4400251658730552E-2</v>
      </c>
      <c r="Q106" s="83">
        <f t="shared" si="154"/>
        <v>-0.10100533547946156</v>
      </c>
      <c r="R106" s="83">
        <f t="shared" si="155"/>
        <v>5.909369078773774E-2</v>
      </c>
      <c r="S106" s="83">
        <f t="shared" si="156"/>
        <v>4.6594491358564971E-2</v>
      </c>
      <c r="T106" s="83">
        <f t="shared" si="157"/>
        <v>6.1997300376439801E-2</v>
      </c>
      <c r="U106" s="83">
        <f t="shared" si="158"/>
        <v>6.3455789239685867E-3</v>
      </c>
      <c r="V106" s="83">
        <f t="shared" si="159"/>
        <v>1.6562191508401103E-2</v>
      </c>
      <c r="W106" s="83">
        <f t="shared" si="160"/>
        <v>2.0363198683846839E-2</v>
      </c>
      <c r="X106" s="83">
        <f t="shared" si="161"/>
        <v>-6.1839381514000924E-2</v>
      </c>
      <c r="Y106" s="83">
        <f t="shared" si="162"/>
        <v>-8.6214243236382604E-2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-0.21846060928410194</v>
      </c>
      <c r="F107" s="87">
        <f t="shared" ref="F107:F108" si="164">IF(E33=0,"",F33/E33-1)</f>
        <v>-0.14492704128874156</v>
      </c>
      <c r="G107" s="87">
        <f t="shared" ref="G107:G108" si="165">IF(F33=0,"",G33/F33-1)</f>
        <v>0.36337500336703976</v>
      </c>
      <c r="H107" s="87">
        <f t="shared" ref="H107:H108" si="166">IF(G33=0,"",H33/G33-1)</f>
        <v>0.43955302022116616</v>
      </c>
      <c r="I107" s="87">
        <f t="shared" ref="I107:I108" si="167">IF(H33=0,"",I33/H33-1)</f>
        <v>4.8486324795771418E-2</v>
      </c>
      <c r="J107" s="87">
        <f t="shared" ref="J107:J108" si="168">IF(I33=0,"",J33/I33-1)</f>
        <v>0.13842085067566834</v>
      </c>
      <c r="K107" s="87">
        <f t="shared" ref="K107:K108" si="169">IF(J33=0,"",K33/J33-1)</f>
        <v>0.30997431987531021</v>
      </c>
      <c r="L107" s="87">
        <f t="shared" ref="L107:L108" si="170">IF(K33=0,"",L33/K33-1)</f>
        <v>-0.21754501214351851</v>
      </c>
      <c r="M107" s="87">
        <f t="shared" ref="M107:M108" si="171">IF(L33=0,"",M33/L33-1)</f>
        <v>4.2663605004412464E-2</v>
      </c>
      <c r="N107" s="87">
        <f t="shared" ref="N107:N108" si="172">IF(M33=0,"",N33/M33-1)</f>
        <v>-6.3746661263950344E-2</v>
      </c>
      <c r="O107" s="87">
        <f t="shared" ref="O107:O108" si="173">IF(N33=0,"",O33/N33-1)</f>
        <v>0.17586620469083147</v>
      </c>
      <c r="P107" s="87">
        <f t="shared" ref="P107:P108" si="174">IF(O33=0,"",P33/O33-1)</f>
        <v>1.1428935358978487E-2</v>
      </c>
      <c r="Q107" s="87">
        <f t="shared" ref="Q107:Q108" si="175">IF(P33=0,"",Q33/P33-1)</f>
        <v>-0.29151369530361293</v>
      </c>
      <c r="R107" s="87">
        <f t="shared" ref="R107:R108" si="176">IF(Q33=0,"",R33/Q33-1)</f>
        <v>-0.17081026276150568</v>
      </c>
      <c r="S107" s="87">
        <f t="shared" ref="S107:S108" si="177">IF(R33=0,"",S33/R33-1)</f>
        <v>0.15496207046857968</v>
      </c>
      <c r="T107" s="87">
        <f t="shared" ref="T107:T108" si="178">IF(S33=0,"",T33/S33-1)</f>
        <v>0.28356361659222662</v>
      </c>
      <c r="U107" s="87">
        <f t="shared" ref="U107:U108" si="179">IF(T33=0,"",U33/T33-1)</f>
        <v>0.19469220460787007</v>
      </c>
      <c r="V107" s="87">
        <f t="shared" ref="V107:V108" si="180">IF(U33=0,"",V33/U33-1)</f>
        <v>-0.23289575430005482</v>
      </c>
      <c r="W107" s="87">
        <f t="shared" ref="W107:W108" si="181">IF(V33=0,"",W33/V33-1)</f>
        <v>0.1193005308378654</v>
      </c>
      <c r="X107" s="87">
        <f t="shared" ref="X107:X108" si="182">IF(W33=0,"",X33/W33-1)</f>
        <v>-0.16155240046444364</v>
      </c>
      <c r="Y107" s="87">
        <f t="shared" ref="Y107:Y108" si="183">IF(X33=0,"",Y33/X33-1)</f>
        <v>0.48492695153445808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-0.22523417459930317</v>
      </c>
      <c r="F108" s="89">
        <f t="shared" si="164"/>
        <v>-0.14492704128874156</v>
      </c>
      <c r="G108" s="89">
        <f t="shared" si="165"/>
        <v>0.38121144224583836</v>
      </c>
      <c r="H108" s="89">
        <f t="shared" si="166"/>
        <v>0.41228269508512971</v>
      </c>
      <c r="I108" s="89">
        <f t="shared" si="167"/>
        <v>5.5518242638121329E-2</v>
      </c>
      <c r="J108" s="89">
        <f t="shared" si="168"/>
        <v>0.13842085067566834</v>
      </c>
      <c r="K108" s="89">
        <f t="shared" si="169"/>
        <v>0.20030214054439321</v>
      </c>
      <c r="L108" s="89">
        <f t="shared" si="170"/>
        <v>-0.2903131415341087</v>
      </c>
      <c r="M108" s="89">
        <f t="shared" si="171"/>
        <v>-0.49621099474640795</v>
      </c>
      <c r="N108" s="89">
        <f t="shared" si="172"/>
        <v>0.11395666424098883</v>
      </c>
      <c r="O108" s="89">
        <f t="shared" si="173"/>
        <v>3.9061326230016569E-4</v>
      </c>
      <c r="P108" s="89">
        <f t="shared" si="174"/>
        <v>-0.15918195811080604</v>
      </c>
      <c r="Q108" s="89">
        <f t="shared" si="175"/>
        <v>-0.39345159964374243</v>
      </c>
      <c r="R108" s="89">
        <f t="shared" si="176"/>
        <v>-0.3317416510330139</v>
      </c>
      <c r="S108" s="89">
        <f t="shared" si="177"/>
        <v>-0.14505066604785355</v>
      </c>
      <c r="T108" s="89">
        <f t="shared" si="178"/>
        <v>1.2905983682502957</v>
      </c>
      <c r="U108" s="89">
        <f t="shared" si="179"/>
        <v>0.17406288687997007</v>
      </c>
      <c r="V108" s="89">
        <f t="shared" si="180"/>
        <v>-1.960042841845977E-2</v>
      </c>
      <c r="W108" s="89">
        <f t="shared" si="181"/>
        <v>-0.30455078649722178</v>
      </c>
      <c r="X108" s="89">
        <f t="shared" si="182"/>
        <v>-5.1025122082370977E-2</v>
      </c>
      <c r="Y108" s="89">
        <f t="shared" si="183"/>
        <v>0.15823594314949863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-0.16311950705927158</v>
      </c>
      <c r="F109" s="89">
        <f t="shared" ref="F109" si="185">IF(E37=0,"",F37/E37-1)</f>
        <v>-0.14492704128874145</v>
      </c>
      <c r="G109" s="89">
        <f t="shared" ref="G109" si="186">IF(F37=0,"",G37/F37-1)</f>
        <v>0.22846453725747695</v>
      </c>
      <c r="H109" s="89">
        <f t="shared" ref="H109" si="187">IF(G37=0,"",H37/G37-1)</f>
        <v>0.67146615816688704</v>
      </c>
      <c r="I109" s="89">
        <f t="shared" ref="I109" si="188">IF(H37=0,"",I37/H37-1)</f>
        <v>-2.0417642897894162E-3</v>
      </c>
      <c r="J109" s="89">
        <f t="shared" ref="J109" si="189">IF(I37=0,"",J37/I37-1)</f>
        <v>0.138420850675669</v>
      </c>
      <c r="K109" s="89">
        <f t="shared" ref="K109" si="190">IF(J37=0,"",K37/J37-1)</f>
        <v>1.1434807157149787</v>
      </c>
      <c r="L109" s="89">
        <f t="shared" ref="L109" si="191">IF(K37=0,"",L37/K37-1)</f>
        <v>9.2143199388988739E-2</v>
      </c>
      <c r="M109" s="89">
        <f t="shared" ref="M109" si="192">IF(L37=0,"",M37/L37-1)</f>
        <v>1.532910940027592</v>
      </c>
      <c r="N109" s="89">
        <f t="shared" ref="N109" si="193">IF(M37=0,"",N37/M37-1)</f>
        <v>-0.16149175358652312</v>
      </c>
      <c r="O109" s="89">
        <f t="shared" ref="O109" si="194">IF(N37=0,"",O37/N37-1)</f>
        <v>0.30409249522825776</v>
      </c>
      <c r="P109" s="89">
        <f t="shared" ref="P109" si="195">IF(O37=0,"",P37/O37-1)</f>
        <v>0.10706646148823573</v>
      </c>
      <c r="Q109" s="89">
        <f t="shared" ref="Q109" si="196">IF(P37=0,"",Q37/P37-1)</f>
        <v>-0.24811410744321938</v>
      </c>
      <c r="R109" s="89">
        <f t="shared" ref="R109" si="197">IF(Q37=0,"",R37/Q37-1)</f>
        <v>-0.115538389051702</v>
      </c>
      <c r="S109" s="89">
        <f t="shared" ref="S109" si="198">IF(R37=0,"",S37/R37-1)</f>
        <v>0.23281384706641384</v>
      </c>
      <c r="T109" s="89">
        <f t="shared" ref="T109" si="199">IF(S37=0,"",T37/S37-1)</f>
        <v>0.10233942639267402</v>
      </c>
      <c r="U109" s="89">
        <f t="shared" ref="U109" si="200">IF(T37=0,"",U37/T37-1)</f>
        <v>0.20240639193901067</v>
      </c>
      <c r="V109" s="89">
        <f t="shared" ref="V109" si="201">IF(U37=0,"",V37/U37-1)</f>
        <v>-0.31077589694706642</v>
      </c>
      <c r="W109" s="89">
        <f t="shared" ref="W109" si="202">IF(V37=0,"",W37/V37-1)</f>
        <v>0.33944186441496704</v>
      </c>
      <c r="X109" s="89">
        <f t="shared" ref="X109" si="203">IF(W37=0,"",X37/W37-1)</f>
        <v>-0.19135808382407482</v>
      </c>
      <c r="Y109" s="89">
        <f t="shared" ref="Y109" si="204">IF(X37=0,"",Y37/X37-1)</f>
        <v>0.5883137899965114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0.24891509611603979</v>
      </c>
      <c r="F110" s="89">
        <f t="shared" ref="F110:F111" si="206">IF(E43=0,"",F43/E43-1)</f>
        <v>-6.4489209954100013E-2</v>
      </c>
      <c r="G110" s="89">
        <f t="shared" ref="G110:G111" si="207">IF(F43=0,"",G43/F43-1)</f>
        <v>8.9938822944117813E-3</v>
      </c>
      <c r="H110" s="89">
        <f t="shared" ref="H110:H111" si="208">IF(G43=0,"",H43/G43-1)</f>
        <v>-0.18203529866351498</v>
      </c>
      <c r="I110" s="89">
        <f t="shared" ref="I110:I111" si="209">IF(H43=0,"",I43/H43-1)</f>
        <v>0.12329751020155832</v>
      </c>
      <c r="J110" s="89">
        <f t="shared" ref="J110:J111" si="210">IF(I43=0,"",J43/I43-1)</f>
        <v>1.7786778761050392E-2</v>
      </c>
      <c r="K110" s="89">
        <f t="shared" ref="K110:K111" si="211">IF(J43=0,"",K43/J43-1)</f>
        <v>7.4467995199702486E-2</v>
      </c>
      <c r="L110" s="89">
        <f t="shared" ref="L110:L111" si="212">IF(K43=0,"",L43/K43-1)</f>
        <v>-0.10435811331217826</v>
      </c>
      <c r="M110" s="89">
        <f t="shared" ref="M110:M111" si="213">IF(L43=0,"",M43/L43-1)</f>
        <v>-8.6534445019081696E-2</v>
      </c>
      <c r="N110" s="89">
        <f t="shared" ref="N110:N111" si="214">IF(M43=0,"",N43/M43-1)</f>
        <v>0.14656364746924044</v>
      </c>
      <c r="O110" s="89">
        <f t="shared" ref="O110:O111" si="215">IF(N43=0,"",O43/N43-1)</f>
        <v>0.21592859182016633</v>
      </c>
      <c r="P110" s="89">
        <f t="shared" ref="P110:P111" si="216">IF(O43=0,"",P43/O43-1)</f>
        <v>3.4407724523050964E-2</v>
      </c>
      <c r="Q110" s="89">
        <f t="shared" ref="Q110:Q111" si="217">IF(P43=0,"",Q43/P43-1)</f>
        <v>-6.3594809719130452E-2</v>
      </c>
      <c r="R110" s="89">
        <f t="shared" ref="R110:R111" si="218">IF(Q43=0,"",R43/Q43-1)</f>
        <v>0.28393523956052524</v>
      </c>
      <c r="S110" s="89">
        <f t="shared" ref="S110:S111" si="219">IF(R43=0,"",S43/R43-1)</f>
        <v>8.4348188184593109E-2</v>
      </c>
      <c r="T110" s="89">
        <f t="shared" ref="T110:T111" si="220">IF(S43=0,"",T43/S43-1)</f>
        <v>-1.6391460157706428E-2</v>
      </c>
      <c r="U110" s="89">
        <f t="shared" ref="U110:U111" si="221">IF(T43=0,"",U43/T43-1)</f>
        <v>2.575716645137871E-2</v>
      </c>
      <c r="V110" s="89">
        <f t="shared" ref="V110:V111" si="222">IF(U43=0,"",V43/U43-1)</f>
        <v>-0.10685304619166058</v>
      </c>
      <c r="W110" s="89">
        <f t="shared" ref="W110:W111" si="223">IF(V43=0,"",W43/V43-1)</f>
        <v>-6.0513637817879107E-2</v>
      </c>
      <c r="X110" s="89">
        <f t="shared" ref="X110:X111" si="224">IF(W43=0,"",X43/W43-1)</f>
        <v>7.9389326504094804E-2</v>
      </c>
      <c r="Y110" s="89">
        <f t="shared" ref="Y110:Y111" si="225">IF(X43=0,"",Y43/X43-1)</f>
        <v>-0.54951603223227274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0.24909167652948949</v>
      </c>
      <c r="F111" s="89">
        <f t="shared" si="206"/>
        <v>-6.2682021296720181E-2</v>
      </c>
      <c r="G111" s="89">
        <f t="shared" si="207"/>
        <v>7.9298689169584602E-3</v>
      </c>
      <c r="H111" s="89">
        <f t="shared" si="208"/>
        <v>-0.1959134270943389</v>
      </c>
      <c r="I111" s="89">
        <f t="shared" si="209"/>
        <v>0.13891867497514809</v>
      </c>
      <c r="J111" s="89">
        <f t="shared" si="210"/>
        <v>1.7787247776841042E-2</v>
      </c>
      <c r="K111" s="89">
        <f t="shared" si="211"/>
        <v>5.6640962152773255E-2</v>
      </c>
      <c r="L111" s="89">
        <f t="shared" si="212"/>
        <v>-0.10645179220559853</v>
      </c>
      <c r="M111" s="89">
        <f t="shared" si="213"/>
        <v>-0.12261480091521548</v>
      </c>
      <c r="N111" s="89">
        <f t="shared" si="214"/>
        <v>-8.6626973099177218E-2</v>
      </c>
      <c r="O111" s="89">
        <f t="shared" si="215"/>
        <v>0.38506261290492305</v>
      </c>
      <c r="P111" s="89">
        <f t="shared" si="216"/>
        <v>9.4431455644257145E-3</v>
      </c>
      <c r="Q111" s="89">
        <f t="shared" si="217"/>
        <v>-0.11533545897597308</v>
      </c>
      <c r="R111" s="89">
        <f t="shared" si="218"/>
        <v>0.42811373771199834</v>
      </c>
      <c r="S111" s="89">
        <f t="shared" si="219"/>
        <v>0.18365929585977647</v>
      </c>
      <c r="T111" s="89">
        <f t="shared" si="220"/>
        <v>-4.3075605331068245E-2</v>
      </c>
      <c r="U111" s="89">
        <f t="shared" si="221"/>
        <v>4.6449698009507268E-2</v>
      </c>
      <c r="V111" s="89">
        <f t="shared" si="222"/>
        <v>-0.13524428350125006</v>
      </c>
      <c r="W111" s="89">
        <f t="shared" si="223"/>
        <v>3.6255797988252736E-2</v>
      </c>
      <c r="X111" s="89">
        <f t="shared" si="224"/>
        <v>6.7044759537129073E-2</v>
      </c>
      <c r="Y111" s="89">
        <f t="shared" si="225"/>
        <v>-0.51747905331735289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0.24854133928894417</v>
      </c>
      <c r="F112" s="89">
        <f t="shared" ref="F112:F113" si="227">IF(E47=0,"",F47/E47-1)</f>
        <v>-6.8316060353900254E-2</v>
      </c>
      <c r="G112" s="89">
        <f t="shared" ref="G112:G113" si="228">IF(F47=0,"",G47/F47-1)</f>
        <v>1.126063122352905E-2</v>
      </c>
      <c r="H112" s="89">
        <f t="shared" ref="H112:H113" si="229">IF(G47=0,"",H47/G47-1)</f>
        <v>-0.15256704170672641</v>
      </c>
      <c r="I112" s="89">
        <f t="shared" ref="I112:I113" si="230">IF(H47=0,"",I47/H47-1)</f>
        <v>9.1824779994001293E-2</v>
      </c>
      <c r="J112" s="89">
        <f t="shared" ref="J112:J113" si="231">IF(I47=0,"",J47/I47-1)</f>
        <v>1.7785793053149535E-2</v>
      </c>
      <c r="K112" s="89">
        <f t="shared" ref="K112:K113" si="232">IF(J47=0,"",K47/J47-1)</f>
        <v>0.11193426559856845</v>
      </c>
      <c r="L112" s="89">
        <f t="shared" ref="L112:L113" si="233">IF(K47=0,"",L47/K47-1)</f>
        <v>-0.10017673177336883</v>
      </c>
      <c r="M112" s="89">
        <f t="shared" ref="M112:M113" si="234">IF(L47=0,"",M47/L47-1)</f>
        <v>-1.4979227846985799E-2</v>
      </c>
      <c r="N112" s="89">
        <f t="shared" ref="N112:N113" si="235">IF(M47=0,"",N47/M47-1)</f>
        <v>0.55849655232024387</v>
      </c>
      <c r="O112" s="89">
        <f t="shared" ref="O112:O113" si="236">IF(N47=0,"",O47/N47-1)</f>
        <v>4.0827555393003534E-2</v>
      </c>
      <c r="P112" s="89">
        <f t="shared" ref="P112:P113" si="237">IF(O47=0,"",P47/O47-1)</f>
        <v>6.8800926760717473E-2</v>
      </c>
      <c r="Q112" s="89">
        <f t="shared" ref="Q112:Q113" si="238">IF(P47=0,"",Q47/P47-1)</f>
        <v>3.72847285884359E-3</v>
      </c>
      <c r="R112" s="89">
        <f t="shared" ref="R112:R113" si="239">IF(Q47=0,"",R47/Q47-1)</f>
        <v>0.11858825353716562</v>
      </c>
      <c r="S112" s="89">
        <f t="shared" ref="S112:S113" si="240">IF(R47=0,"",S47/R47-1)</f>
        <v>-6.1059092920353941E-2</v>
      </c>
      <c r="T112" s="89">
        <f t="shared" ref="T112:T113" si="241">IF(S47=0,"",T47/S47-1)</f>
        <v>3.2861243496374648E-2</v>
      </c>
      <c r="U112" s="89">
        <f t="shared" ref="U112:U113" si="242">IF(T47=0,"",U47/T47-1)</f>
        <v>-9.6283917977036948E-3</v>
      </c>
      <c r="V112" s="89">
        <f t="shared" ref="V112:V113" si="243">IF(U47=0,"",V47/U47-1)</f>
        <v>-5.5553098710753757E-2</v>
      </c>
      <c r="W112" s="89">
        <f t="shared" ref="W112:W113" si="244">IF(V47=0,"",W47/V47-1)</f>
        <v>-0.22061193224650488</v>
      </c>
      <c r="X112" s="89">
        <f t="shared" ref="X112:X113" si="245">IF(W47=0,"",X47/W47-1)</f>
        <v>0.10654356181897473</v>
      </c>
      <c r="Y112" s="89">
        <f t="shared" ref="Y112:Y113" si="246">IF(X47=0,"",Y47/X47-1)</f>
        <v>-0.61747196753382716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0.47748829630780887</v>
      </c>
      <c r="F113" s="89">
        <f t="shared" si="227"/>
        <v>0.42741489459818616</v>
      </c>
      <c r="G113" s="89">
        <f t="shared" si="228"/>
        <v>-0.12464256730696632</v>
      </c>
      <c r="H113" s="89">
        <f t="shared" si="229"/>
        <v>0.16526361947102464</v>
      </c>
      <c r="I113" s="89">
        <f t="shared" si="230"/>
        <v>0.17767754768260979</v>
      </c>
      <c r="J113" s="89">
        <f t="shared" si="231"/>
        <v>0.28709984289032442</v>
      </c>
      <c r="K113" s="89">
        <f t="shared" si="232"/>
        <v>0.27925453584926019</v>
      </c>
      <c r="L113" s="89">
        <f t="shared" si="233"/>
        <v>-0.18527328151301237</v>
      </c>
      <c r="M113" s="89">
        <f t="shared" si="234"/>
        <v>-0.15368558036623536</v>
      </c>
      <c r="N113" s="89">
        <f t="shared" si="235"/>
        <v>-0.23229983280337685</v>
      </c>
      <c r="O113" s="89">
        <f t="shared" si="236"/>
        <v>0.10526486084025533</v>
      </c>
      <c r="P113" s="89">
        <f t="shared" si="237"/>
        <v>-7.4075078348995516E-2</v>
      </c>
      <c r="Q113" s="89">
        <f t="shared" si="238"/>
        <v>-0.15453251390688671</v>
      </c>
      <c r="R113" s="89">
        <f t="shared" si="239"/>
        <v>0.14155136402714996</v>
      </c>
      <c r="S113" s="89">
        <f t="shared" si="240"/>
        <v>0.12058076923076944</v>
      </c>
      <c r="T113" s="89">
        <f t="shared" si="241"/>
        <v>1.5307732130493079E-2</v>
      </c>
      <c r="U113" s="89">
        <f t="shared" si="242"/>
        <v>-3.3787006576778578E-2</v>
      </c>
      <c r="V113" s="89">
        <f t="shared" si="243"/>
        <v>0.11002445789540038</v>
      </c>
      <c r="W113" s="89">
        <f t="shared" si="244"/>
        <v>7.2132442276110043E-2</v>
      </c>
      <c r="X113" s="89">
        <f t="shared" si="245"/>
        <v>-4.3959708679135456E-3</v>
      </c>
      <c r="Y113" s="89">
        <f t="shared" si="246"/>
        <v>-0.22292998540103037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0.32151702633465096</v>
      </c>
      <c r="F114" s="89">
        <f t="shared" ref="F114:F115" si="248">IF(E52=0,"",F52/E52-1)</f>
        <v>0.34191527993225801</v>
      </c>
      <c r="G114" s="89">
        <f t="shared" ref="G114:G115" si="249">IF(F52=0,"",G52/F52-1)</f>
        <v>0.12327161293395128</v>
      </c>
      <c r="H114" s="89">
        <f t="shared" ref="H114:H115" si="250">IF(G52=0,"",H52/G52-1)</f>
        <v>-9.7541951570252028E-2</v>
      </c>
      <c r="I114" s="89">
        <f t="shared" ref="I114:I115" si="251">IF(H52=0,"",I52/H52-1)</f>
        <v>0.17549223486822152</v>
      </c>
      <c r="J114" s="89">
        <f t="shared" ref="J114:J115" si="252">IF(I52=0,"",J52/I52-1)</f>
        <v>2.4495421540602358E-3</v>
      </c>
      <c r="K114" s="89">
        <f t="shared" ref="K114:K115" si="253">IF(J52=0,"",K52/J52-1)</f>
        <v>0.10830136449265382</v>
      </c>
      <c r="L114" s="89">
        <f t="shared" ref="L114:L115" si="254">IF(K52=0,"",L52/K52-1)</f>
        <v>0.20334951997798822</v>
      </c>
      <c r="M114" s="89">
        <f t="shared" ref="M114:M115" si="255">IF(L52=0,"",M52/L52-1)</f>
        <v>4.0176448220081928E-2</v>
      </c>
      <c r="N114" s="89">
        <f t="shared" ref="N114:N115" si="256">IF(M52=0,"",N52/M52-1)</f>
        <v>-3.5110165997174203E-3</v>
      </c>
      <c r="O114" s="89">
        <f t="shared" ref="O114:O115" si="257">IF(N52=0,"",O52/N52-1)</f>
        <v>0.15978990892357414</v>
      </c>
      <c r="P114" s="89">
        <f t="shared" ref="P114:P115" si="258">IF(O52=0,"",P52/O52-1)</f>
        <v>-3.1391158989792167E-2</v>
      </c>
      <c r="Q114" s="89">
        <f t="shared" ref="Q114:Q115" si="259">IF(P52=0,"",Q52/P52-1)</f>
        <v>-7.2831907629609116E-3</v>
      </c>
      <c r="R114" s="89">
        <f t="shared" ref="R114:R115" si="260">IF(Q52=0,"",R52/Q52-1)</f>
        <v>-6.4755802736945145E-2</v>
      </c>
      <c r="S114" s="89">
        <f t="shared" ref="S114:S115" si="261">IF(R52=0,"",S52/R52-1)</f>
        <v>7.0724219481071993E-2</v>
      </c>
      <c r="T114" s="89">
        <f t="shared" ref="T114:T115" si="262">IF(S52=0,"",T52/S52-1)</f>
        <v>3.2137664493211426E-2</v>
      </c>
      <c r="U114" s="89">
        <f t="shared" ref="U114:U115" si="263">IF(T52=0,"",U52/T52-1)</f>
        <v>-1.2243343093953585E-2</v>
      </c>
      <c r="V114" s="89">
        <f t="shared" ref="V114:V115" si="264">IF(U52=0,"",V52/U52-1)</f>
        <v>5.7672358941685209E-2</v>
      </c>
      <c r="W114" s="89">
        <f t="shared" ref="W114:W115" si="265">IF(V52=0,"",W52/V52-1)</f>
        <v>1.3380354659417559E-2</v>
      </c>
      <c r="X114" s="89">
        <f t="shared" ref="X114:X115" si="266">IF(W52=0,"",X52/W52-1)</f>
        <v>-0.13757338701005417</v>
      </c>
      <c r="Y114" s="89">
        <f t="shared" ref="Y114:Y115" si="267">IF(X52=0,"",Y52/X52-1)</f>
        <v>2.7010092822854936E-2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0.50276296817770127</v>
      </c>
      <c r="F115" s="89">
        <f t="shared" si="248"/>
        <v>0.61646194034384294</v>
      </c>
      <c r="G115" s="89">
        <f t="shared" si="249"/>
        <v>0.13442807617234931</v>
      </c>
      <c r="H115" s="89">
        <f t="shared" si="250"/>
        <v>-0.13255599854807754</v>
      </c>
      <c r="I115" s="89">
        <f t="shared" si="251"/>
        <v>0.13533447201371684</v>
      </c>
      <c r="J115" s="89">
        <f t="shared" si="252"/>
        <v>6.2526634268158521E-3</v>
      </c>
      <c r="K115" s="89">
        <f t="shared" si="253"/>
        <v>5.2391784380256823E-2</v>
      </c>
      <c r="L115" s="89">
        <f t="shared" si="254"/>
        <v>1.7096341447944363E-2</v>
      </c>
      <c r="M115" s="89">
        <f t="shared" si="255"/>
        <v>0.23626651585496861</v>
      </c>
      <c r="N115" s="89">
        <f t="shared" si="256"/>
        <v>-4.1857001364118407E-3</v>
      </c>
      <c r="O115" s="89">
        <f t="shared" si="257"/>
        <v>0.16102813503786173</v>
      </c>
      <c r="P115" s="89">
        <f t="shared" si="258"/>
        <v>-1.7461277714172163E-2</v>
      </c>
      <c r="Q115" s="89">
        <f t="shared" si="259"/>
        <v>-1.1275660909402241E-2</v>
      </c>
      <c r="R115" s="89">
        <f t="shared" si="260"/>
        <v>-0.11230319435076186</v>
      </c>
      <c r="S115" s="89">
        <f t="shared" si="261"/>
        <v>0.13950613333333317</v>
      </c>
      <c r="T115" s="89">
        <f t="shared" si="262"/>
        <v>3.3360114802831742E-3</v>
      </c>
      <c r="U115" s="89">
        <f t="shared" si="263"/>
        <v>3.6346529657214077E-3</v>
      </c>
      <c r="V115" s="89">
        <f t="shared" si="264"/>
        <v>3.9999192846924547E-2</v>
      </c>
      <c r="W115" s="89">
        <f t="shared" si="265"/>
        <v>-7.7434988993342002E-2</v>
      </c>
      <c r="X115" s="89">
        <f t="shared" si="266"/>
        <v>-0.1004969349600241</v>
      </c>
      <c r="Y115" s="89">
        <f t="shared" si="267"/>
        <v>-7.229451327383396E-3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0.16729898809977484</v>
      </c>
      <c r="F116" s="89">
        <f t="shared" ref="F116:F122" si="269">IF(E56=0,"",F56/E56-1)</f>
        <v>4.117512188423178E-2</v>
      </c>
      <c r="G116" s="89">
        <f t="shared" ref="G116:G122" si="270">IF(F56=0,"",G56/F56-1)</f>
        <v>0.10429828565022836</v>
      </c>
      <c r="H116" s="89">
        <f t="shared" ref="H116:H122" si="271">IF(G56=0,"",H56/G56-1)</f>
        <v>-3.6370351850168792E-2</v>
      </c>
      <c r="I116" s="89">
        <f t="shared" ref="I116:I122" si="272">IF(H56=0,"",I56/H56-1)</f>
        <v>0.23864732121789278</v>
      </c>
      <c r="J116" s="89">
        <f t="shared" ref="J116:J122" si="273">IF(I56=0,"",J56/I56-1)</f>
        <v>-3.0326613583223638E-3</v>
      </c>
      <c r="K116" s="89">
        <f t="shared" ref="K116:K122" si="274">IF(J56=0,"",K56/J56-1)</f>
        <v>0.18964570117609969</v>
      </c>
      <c r="L116" s="89">
        <f t="shared" ref="L116:L122" si="275">IF(K56=0,"",L56/K56-1)</f>
        <v>0.44306969928479534</v>
      </c>
      <c r="M116" s="89">
        <f t="shared" ref="M116:M122" si="276">IF(L56=0,"",M56/L56-1)</f>
        <v>-0.13770525599156513</v>
      </c>
      <c r="N116" s="89">
        <f t="shared" ref="N116:N122" si="277">IF(M56=0,"",N56/M56-1)</f>
        <v>-2.6335468248751548E-3</v>
      </c>
      <c r="O116" s="89">
        <f t="shared" ref="O116:O122" si="278">IF(N56=0,"",O56/N56-1)</f>
        <v>0.15818202158998163</v>
      </c>
      <c r="P116" s="89">
        <f t="shared" ref="P116:P122" si="279">IF(O56=0,"",P56/O56-1)</f>
        <v>-4.9524131151674866E-2</v>
      </c>
      <c r="Q116" s="89">
        <f t="shared" ref="Q116:Q122" si="280">IF(P56=0,"",Q56/P56-1)</f>
        <v>-1.9107475071908908E-3</v>
      </c>
      <c r="R116" s="89">
        <f t="shared" ref="R116:R122" si="281">IF(Q56=0,"",R56/Q56-1)</f>
        <v>-1.3742750322452979E-3</v>
      </c>
      <c r="S116" s="89">
        <f t="shared" ref="S116:S122" si="282">IF(R56=0,"",S56/R56-1)</f>
        <v>-1.077851301115218E-2</v>
      </c>
      <c r="T116" s="89">
        <f t="shared" ref="T116:T122" si="283">IF(S56=0,"",T56/S56-1)</f>
        <v>7.1450869700638853E-2</v>
      </c>
      <c r="U116" s="89">
        <f t="shared" ref="U116:U122" si="284">IF(T56=0,"",U56/T56-1)</f>
        <v>-3.2538427769406519E-2</v>
      </c>
      <c r="V116" s="89">
        <f t="shared" ref="V116:V122" si="285">IF(U56=0,"",V56/U56-1)</f>
        <v>8.1106630650669365E-2</v>
      </c>
      <c r="W116" s="89">
        <f t="shared" ref="W116:W122" si="286">IF(V56=0,"",W56/V56-1)</f>
        <v>0.12922095617153073</v>
      </c>
      <c r="X116" s="89">
        <f t="shared" ref="X116:X122" si="287">IF(W56=0,"",X56/W56-1)</f>
        <v>-0.17621166762629425</v>
      </c>
      <c r="Y116" s="89">
        <f t="shared" ref="Y116:Y122" si="288">IF(X56=0,"",Y56/X56-1)</f>
        <v>6.5971497729314432E-2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0.18183480626567872</v>
      </c>
      <c r="F117" s="89">
        <f t="shared" si="269"/>
        <v>-7.6052669176841503E-3</v>
      </c>
      <c r="G117" s="89">
        <f t="shared" si="270"/>
        <v>0.26710155308498607</v>
      </c>
      <c r="H117" s="89">
        <f t="shared" si="271"/>
        <v>-0.12571598133606376</v>
      </c>
      <c r="I117" s="89">
        <f t="shared" si="272"/>
        <v>0.115933018932183</v>
      </c>
      <c r="J117" s="89">
        <f t="shared" si="273"/>
        <v>0.10009628282737815</v>
      </c>
      <c r="K117" s="89">
        <f t="shared" si="274"/>
        <v>6.9655333838470446E-2</v>
      </c>
      <c r="L117" s="89">
        <f t="shared" si="275"/>
        <v>4.0431020846341648E-2</v>
      </c>
      <c r="M117" s="89">
        <f t="shared" si="276"/>
        <v>0.11082328440579214</v>
      </c>
      <c r="N117" s="89">
        <f t="shared" si="277"/>
        <v>-0.15717006278284218</v>
      </c>
      <c r="O117" s="89">
        <f t="shared" si="278"/>
        <v>8.1223624393096605E-2</v>
      </c>
      <c r="P117" s="89">
        <f t="shared" si="279"/>
        <v>0.30158691886973266</v>
      </c>
      <c r="Q117" s="89">
        <f t="shared" si="280"/>
        <v>-0.13794200078814023</v>
      </c>
      <c r="R117" s="89">
        <f t="shared" si="281"/>
        <v>-9.8091594808771831E-2</v>
      </c>
      <c r="S117" s="89">
        <f t="shared" si="282"/>
        <v>-5.074982445141063E-2</v>
      </c>
      <c r="T117" s="89">
        <f t="shared" si="283"/>
        <v>-4.305461148285139E-2</v>
      </c>
      <c r="U117" s="89">
        <f t="shared" si="284"/>
        <v>-0.23385481149471832</v>
      </c>
      <c r="V117" s="89">
        <f t="shared" si="285"/>
        <v>0.37682230582151788</v>
      </c>
      <c r="W117" s="89">
        <f t="shared" si="286"/>
        <v>-1.7355147752304734E-2</v>
      </c>
      <c r="X117" s="89">
        <f t="shared" si="287"/>
        <v>6.6036271694490667E-2</v>
      </c>
      <c r="Y117" s="89">
        <f t="shared" si="288"/>
        <v>-9.2042549520487515E-2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-0.16346240546913215</v>
      </c>
      <c r="F118" s="89">
        <f t="shared" si="269"/>
        <v>0.38596839604072697</v>
      </c>
      <c r="G118" s="89">
        <f t="shared" si="270"/>
        <v>0.18528691139462672</v>
      </c>
      <c r="H118" s="89">
        <f t="shared" si="271"/>
        <v>7.2023224071136038E-3</v>
      </c>
      <c r="I118" s="89">
        <f t="shared" si="272"/>
        <v>0.14192911785475748</v>
      </c>
      <c r="J118" s="89">
        <f t="shared" si="273"/>
        <v>0.14109212949886429</v>
      </c>
      <c r="K118" s="89">
        <f t="shared" si="274"/>
        <v>0.14295812137538766</v>
      </c>
      <c r="L118" s="89">
        <f t="shared" si="275"/>
        <v>4.4905794482226424E-2</v>
      </c>
      <c r="M118" s="89">
        <f t="shared" si="276"/>
        <v>-7.4781575149634683E-2</v>
      </c>
      <c r="N118" s="89">
        <f t="shared" si="277"/>
        <v>0.53100482481581102</v>
      </c>
      <c r="O118" s="89">
        <f t="shared" si="278"/>
        <v>-8.934597122431065E-2</v>
      </c>
      <c r="P118" s="89">
        <f t="shared" si="279"/>
        <v>5.5946787743964554E-2</v>
      </c>
      <c r="Q118" s="89">
        <f t="shared" si="280"/>
        <v>2.8980243007858952E-2</v>
      </c>
      <c r="R118" s="89">
        <f t="shared" si="281"/>
        <v>0.27369490842596655</v>
      </c>
      <c r="S118" s="89">
        <f t="shared" si="282"/>
        <v>0.12845560985460436</v>
      </c>
      <c r="T118" s="89">
        <f t="shared" si="283"/>
        <v>2.7652192173781787E-2</v>
      </c>
      <c r="U118" s="89">
        <f t="shared" si="284"/>
        <v>9.0319778301672038E-2</v>
      </c>
      <c r="V118" s="89">
        <f t="shared" si="285"/>
        <v>-5.8369568820624274E-2</v>
      </c>
      <c r="W118" s="89">
        <f t="shared" si="286"/>
        <v>4.0770468847519226E-2</v>
      </c>
      <c r="X118" s="89">
        <f t="shared" si="287"/>
        <v>0.16197721550224875</v>
      </c>
      <c r="Y118" s="89">
        <f t="shared" si="288"/>
        <v>-2.2849087370287569E-2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0.33426344533273533</v>
      </c>
      <c r="F119" s="89">
        <f t="shared" si="269"/>
        <v>0.15944665362075883</v>
      </c>
      <c r="G119" s="89">
        <f t="shared" si="270"/>
        <v>8.2793787324660029E-2</v>
      </c>
      <c r="H119" s="89">
        <f t="shared" si="271"/>
        <v>-7.8132305351623077E-2</v>
      </c>
      <c r="I119" s="89">
        <f t="shared" si="272"/>
        <v>0.13496324197564724</v>
      </c>
      <c r="J119" s="89">
        <f t="shared" si="273"/>
        <v>0.15369748430977626</v>
      </c>
      <c r="K119" s="89">
        <f t="shared" si="274"/>
        <v>0.17269618074771054</v>
      </c>
      <c r="L119" s="89">
        <f t="shared" si="275"/>
        <v>5.363897145018881E-2</v>
      </c>
      <c r="M119" s="89">
        <f t="shared" si="276"/>
        <v>-0.10044316825994393</v>
      </c>
      <c r="N119" s="89">
        <f t="shared" si="277"/>
        <v>-4.3495811175701671E-2</v>
      </c>
      <c r="O119" s="89">
        <f t="shared" si="278"/>
        <v>6.3961828397659737E-2</v>
      </c>
      <c r="P119" s="89">
        <f t="shared" si="279"/>
        <v>7.3460916702976498E-2</v>
      </c>
      <c r="Q119" s="89">
        <f t="shared" si="280"/>
        <v>-1.9447619137550887E-2</v>
      </c>
      <c r="R119" s="89">
        <f t="shared" si="281"/>
        <v>0.11935513732186043</v>
      </c>
      <c r="S119" s="89">
        <f t="shared" si="282"/>
        <v>9.2901413583655446E-2</v>
      </c>
      <c r="T119" s="89">
        <f t="shared" si="283"/>
        <v>0.1479428331244026</v>
      </c>
      <c r="U119" s="89">
        <f t="shared" si="284"/>
        <v>0.12851078389376558</v>
      </c>
      <c r="V119" s="89">
        <f t="shared" si="285"/>
        <v>1.3740948421108179E-3</v>
      </c>
      <c r="W119" s="89">
        <f t="shared" si="286"/>
        <v>1.1521252572149088E-2</v>
      </c>
      <c r="X119" s="89">
        <f t="shared" si="287"/>
        <v>-0.14934945374714614</v>
      </c>
      <c r="Y119" s="89">
        <f t="shared" si="288"/>
        <v>-2.0025239896102498E-2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0.28425904433620941</v>
      </c>
      <c r="F120" s="89">
        <f t="shared" si="269"/>
        <v>0.13417761988732013</v>
      </c>
      <c r="G120" s="89">
        <f t="shared" si="270"/>
        <v>0.12756109060599607</v>
      </c>
      <c r="H120" s="89">
        <f t="shared" si="271"/>
        <v>-5.330175752112698E-2</v>
      </c>
      <c r="I120" s="89">
        <f t="shared" si="272"/>
        <v>7.2888647810822382E-2</v>
      </c>
      <c r="J120" s="89">
        <f t="shared" si="273"/>
        <v>-7.8267784086565317E-3</v>
      </c>
      <c r="K120" s="89">
        <f t="shared" si="274"/>
        <v>8.6902860262701553E-2</v>
      </c>
      <c r="L120" s="89">
        <f t="shared" si="275"/>
        <v>-0.18911151728930065</v>
      </c>
      <c r="M120" s="89">
        <f t="shared" si="276"/>
        <v>0.15675843359487796</v>
      </c>
      <c r="N120" s="89">
        <f t="shared" si="277"/>
        <v>-0.22345356410332395</v>
      </c>
      <c r="O120" s="89">
        <f t="shared" si="278"/>
        <v>0.41613161252047748</v>
      </c>
      <c r="P120" s="89">
        <f t="shared" si="279"/>
        <v>-1.7591808788282259E-2</v>
      </c>
      <c r="Q120" s="89">
        <f t="shared" si="280"/>
        <v>-0.17847553764139079</v>
      </c>
      <c r="R120" s="89">
        <f t="shared" si="281"/>
        <v>5.3769444920421794E-3</v>
      </c>
      <c r="S120" s="89">
        <f t="shared" si="282"/>
        <v>-8.2314323013268687E-2</v>
      </c>
      <c r="T120" s="89">
        <f t="shared" si="283"/>
        <v>4.4876123405094503E-2</v>
      </c>
      <c r="U120" s="89">
        <f t="shared" si="284"/>
        <v>-4.1395764193613793E-2</v>
      </c>
      <c r="V120" s="89">
        <f t="shared" si="285"/>
        <v>-1.3020065975785311E-2</v>
      </c>
      <c r="W120" s="89">
        <f t="shared" si="286"/>
        <v>3.576485069280988E-2</v>
      </c>
      <c r="X120" s="89">
        <f t="shared" si="287"/>
        <v>-0.14210462339817043</v>
      </c>
      <c r="Y120" s="89">
        <f t="shared" si="288"/>
        <v>-0.28554422519556888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0.21179065611922132</v>
      </c>
      <c r="F121" s="89">
        <f t="shared" si="269"/>
        <v>-4.2640820180593342E-2</v>
      </c>
      <c r="G121" s="89">
        <f t="shared" si="270"/>
        <v>0.57611648632226875</v>
      </c>
      <c r="H121" s="89">
        <f t="shared" si="271"/>
        <v>0.24148738716254003</v>
      </c>
      <c r="I121" s="89">
        <f t="shared" si="272"/>
        <v>8.3803142569250699E-2</v>
      </c>
      <c r="J121" s="89">
        <f t="shared" si="273"/>
        <v>2.7749968203478748E-2</v>
      </c>
      <c r="K121" s="89">
        <f t="shared" si="274"/>
        <v>7.5553982475223602E-2</v>
      </c>
      <c r="L121" s="89">
        <f t="shared" si="275"/>
        <v>-0.16654777352151495</v>
      </c>
      <c r="M121" s="89">
        <f t="shared" si="276"/>
        <v>-3.8769746094429181E-2</v>
      </c>
      <c r="N121" s="89">
        <f t="shared" si="277"/>
        <v>3.5530465195536598E-2</v>
      </c>
      <c r="O121" s="89">
        <f t="shared" si="278"/>
        <v>9.9795367770029397E-2</v>
      </c>
      <c r="P121" s="89">
        <f t="shared" si="279"/>
        <v>-3.4939874783492031E-2</v>
      </c>
      <c r="Q121" s="89">
        <f t="shared" si="280"/>
        <v>-0.17719396126251707</v>
      </c>
      <c r="R121" s="89">
        <f t="shared" si="281"/>
        <v>0.17015189159061106</v>
      </c>
      <c r="S121" s="89">
        <f t="shared" si="282"/>
        <v>0.2258282988721807</v>
      </c>
      <c r="T121" s="89">
        <f t="shared" si="283"/>
        <v>-3.1330590137369496E-2</v>
      </c>
      <c r="U121" s="89">
        <f t="shared" si="284"/>
        <v>6.5943342491851187E-2</v>
      </c>
      <c r="V121" s="89">
        <f t="shared" si="285"/>
        <v>-0.1547387214092012</v>
      </c>
      <c r="W121" s="89">
        <f t="shared" si="286"/>
        <v>-5.5110217758892466E-2</v>
      </c>
      <c r="X121" s="89">
        <f t="shared" si="287"/>
        <v>-6.3220443910762647E-2</v>
      </c>
      <c r="Y121" s="89">
        <f t="shared" si="288"/>
        <v>0.19704218748078639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0.11662801760708974</v>
      </c>
      <c r="F122" s="91">
        <f t="shared" si="269"/>
        <v>0.2502951507292992</v>
      </c>
      <c r="G122" s="91">
        <f t="shared" si="270"/>
        <v>0.30264167067553283</v>
      </c>
      <c r="H122" s="91">
        <f t="shared" si="271"/>
        <v>-0.12441153282830875</v>
      </c>
      <c r="I122" s="91">
        <f t="shared" si="272"/>
        <v>0.25598975535196411</v>
      </c>
      <c r="J122" s="91">
        <f t="shared" si="273"/>
        <v>0.10607680512187168</v>
      </c>
      <c r="K122" s="91">
        <f t="shared" si="274"/>
        <v>0.14755639188888559</v>
      </c>
      <c r="L122" s="91">
        <f t="shared" si="275"/>
        <v>-3.144392947645569E-3</v>
      </c>
      <c r="M122" s="91">
        <f t="shared" si="276"/>
        <v>-1.8789531675036497E-2</v>
      </c>
      <c r="N122" s="91">
        <f t="shared" si="277"/>
        <v>4.5932658770546864E-2</v>
      </c>
      <c r="O122" s="91">
        <f t="shared" si="278"/>
        <v>0.17094737489167255</v>
      </c>
      <c r="P122" s="91">
        <f t="shared" si="279"/>
        <v>0.12952190452332202</v>
      </c>
      <c r="Q122" s="91">
        <f t="shared" si="280"/>
        <v>4.2469758516614275E-2</v>
      </c>
      <c r="R122" s="91">
        <f t="shared" si="281"/>
        <v>0.24435305631236526</v>
      </c>
      <c r="S122" s="91">
        <f t="shared" si="282"/>
        <v>7.8738597515342068E-2</v>
      </c>
      <c r="T122" s="91">
        <f t="shared" si="283"/>
        <v>9.7662009224333213E-2</v>
      </c>
      <c r="U122" s="91">
        <f t="shared" si="284"/>
        <v>-1.8457917122167711E-2</v>
      </c>
      <c r="V122" s="91">
        <f t="shared" si="285"/>
        <v>-2.5594017503176247E-2</v>
      </c>
      <c r="W122" s="91">
        <f t="shared" si="286"/>
        <v>7.0983375260534443E-2</v>
      </c>
      <c r="X122" s="91">
        <f t="shared" si="287"/>
        <v>-9.1420371365880548E-2</v>
      </c>
      <c r="Y122" s="91">
        <f t="shared" si="288"/>
        <v>-1.9230274612723752E-2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2024-05-20T16:46:32Z</dcterms:created>
  <dcterms:modified xsi:type="dcterms:W3CDTF">2024-05-20T16:46:32Z</dcterms:modified>
</cp:coreProperties>
</file>