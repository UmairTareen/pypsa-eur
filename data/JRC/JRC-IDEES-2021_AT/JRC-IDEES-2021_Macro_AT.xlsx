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T119" i="59"/>
  <c r="Y118" i="59"/>
  <c r="W117" i="59"/>
  <c r="U117" i="59"/>
  <c r="Y115" i="59"/>
  <c r="X112" i="59"/>
  <c r="W112" i="59"/>
  <c r="W111" i="59"/>
  <c r="U110" i="59"/>
  <c r="U107" i="59"/>
  <c r="Y74" i="59"/>
  <c r="T106" i="59"/>
  <c r="R106" i="59"/>
  <c r="O106" i="59"/>
  <c r="M106" i="59"/>
  <c r="L106" i="59"/>
  <c r="J106" i="59"/>
  <c r="G106" i="59"/>
  <c r="Y105" i="59"/>
  <c r="U104" i="59"/>
  <c r="Y103" i="59"/>
  <c r="X102" i="59"/>
  <c r="Y68" i="59"/>
  <c r="X100" i="59"/>
  <c r="T67" i="59"/>
  <c r="Y66" i="59"/>
  <c r="T98" i="59"/>
  <c r="Y97" i="59"/>
  <c r="V74" i="59"/>
  <c r="U71" i="59"/>
  <c r="E106" i="59"/>
  <c r="X122" i="59"/>
  <c r="U115" i="59"/>
  <c r="V113" i="59"/>
  <c r="T112" i="59"/>
  <c r="V111" i="59"/>
  <c r="X110" i="59"/>
  <c r="W104" i="59"/>
  <c r="U103" i="59"/>
  <c r="Y93" i="59"/>
  <c r="W90" i="59"/>
  <c r="T80" i="59"/>
  <c r="W78" i="59"/>
  <c r="Y122" i="59"/>
  <c r="W122" i="59"/>
  <c r="T90" i="59"/>
  <c r="Y89" i="59"/>
  <c r="U121" i="59"/>
  <c r="Y120" i="59"/>
  <c r="W87" i="59"/>
  <c r="T118" i="59"/>
  <c r="W85" i="59"/>
  <c r="Y84" i="59"/>
  <c r="W84" i="59"/>
  <c r="U116" i="59"/>
  <c r="V115" i="59"/>
  <c r="T83" i="59"/>
  <c r="Y82" i="59"/>
  <c r="Y114" i="59"/>
  <c r="W81" i="59"/>
  <c r="W113" i="59"/>
  <c r="U113" i="59"/>
  <c r="Y80" i="59"/>
  <c r="W80" i="59"/>
  <c r="Y111" i="59"/>
  <c r="W110" i="59"/>
  <c r="Y77" i="59"/>
  <c r="U109" i="59"/>
  <c r="U108" i="59"/>
  <c r="Y75" i="59"/>
  <c r="Y107" i="59"/>
  <c r="W75" i="59"/>
  <c r="W74" i="59"/>
  <c r="Y73" i="59"/>
  <c r="W73" i="59"/>
  <c r="W105" i="59"/>
  <c r="Y72" i="59"/>
  <c r="W72" i="59"/>
  <c r="Y71" i="59"/>
  <c r="V103" i="59"/>
  <c r="T71" i="59"/>
  <c r="Y70" i="59"/>
  <c r="Y102" i="59"/>
  <c r="W69" i="59"/>
  <c r="W101" i="59"/>
  <c r="V101" i="59"/>
  <c r="U101" i="59"/>
  <c r="U100" i="59"/>
  <c r="Y67" i="59"/>
  <c r="Y99" i="59"/>
  <c r="W67" i="59"/>
  <c r="W98" i="59"/>
  <c r="Y65" i="59"/>
  <c r="W65" i="59"/>
  <c r="Y20" i="59"/>
  <c r="U94" i="59"/>
  <c r="X20" i="59"/>
  <c r="U20" i="59"/>
  <c r="X13" i="59"/>
  <c r="Y13" i="59"/>
  <c r="W5" i="59"/>
  <c r="T5" i="59"/>
  <c r="Y5" i="59"/>
  <c r="X21" i="59"/>
  <c r="U5" i="59"/>
  <c r="Y69" i="59" l="1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<sst xmlns="http://schemas.openxmlformats.org/spreadsheetml/2006/main" count="722" uniqueCount="281">
  <si>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</si>
  <si>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</si>
  <si>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</si>
  <si>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</si>
  <si>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</si>
  <si>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</si>
  <si>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</si>
  <si>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</si>
  <si>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</si>
  <si>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</si>
  <si>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</si>
  <si>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</si>
  <si>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</si>
  <si>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</si>
  <si>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</si>
  <si>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</si>
  <si>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</si>
  <si>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</si>
  <si>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</si>
  <si>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</si>
  <si>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</si>
  <si>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</si>
  <si>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</si>
  <si>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</si>
  <si>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</si>
  <si>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</si>
  <si>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</si>
  <si>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</si>
  <si>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</si>
  <si>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</si>
  <si>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</si>
  <si>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</si>
  <si>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</si>
  <si>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</si>
  <si>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</si>
  <si>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</si>
  <si>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</si>
  <si>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</si>
  <si>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</si>
  <si>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</si>
  <si>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</si>
  <si>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</si>
  <si>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</si>
  <si>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</si>
  <si>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</si>
  <si>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</si>
  <si>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</si>
  <si>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</si>
  <si>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</si>
  <si>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</si>
  <si>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</si>
  <si>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</si>
  <si>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</si>
  <si>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</si>
  <si>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</si>
  <si>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</si>
  <si>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</si>
  <si>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</si>
  <si>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</si>
  <si>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</si>
  <si>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</si>
  <si>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</si>
  <si>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</si>
  <si>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</si>
  <si>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</si>
  <si>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</si>
  <si>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</si>
  <si>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</si>
  <si>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</si>
  <si>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</si>
  <si>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</si>
  <si>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</si>
  <si>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</si>
  <si>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</si>
  <si>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</si>
  <si>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</si>
  <si>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</si>
  <si>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</si>
  <si>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</si>
  <si>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</si>
  <si>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</si>
  <si>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</si>
  <si>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</si>
  <si>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</si>
  <si>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</si>
  <si>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</si>
  <si>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</si>
  <si>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</si>
  <si>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</si>
  <si>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</si>
  <si>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</si>
  <si>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</si>
  <si>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</si>
  <si>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</si>
  <si>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</si>
  <si>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</si>
  <si>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</si>
  <si>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</si>
  <si>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</si>
  <si>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</si>
  <si>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</si>
  <si>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</si>
  <si>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</si>
  <si>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</si>
  <si>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</si>
  <si>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</si>
  <si>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</si>
  <si>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</si>
  <si>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</si>
  <si>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</si>
  <si>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</si>
  <si>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</si>
  <si>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</si>
  <si>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</si>
  <si>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</si>
  <si>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</si>
  <si>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</si>
  <si>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</si>
  <si>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</si>
  <si>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</si>
  <si>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</si>
  <si>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</si>
  <si>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</si>
  <si>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</si>
  <si>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</si>
  <si>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</si>
  <si>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</si>
  <si>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</si>
  <si>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</si>
  <si>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</si>
  <si>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</si>
  <si>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</si>
  <si>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</si>
  <si>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</si>
  <si>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</si>
  <si>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</si>
  <si>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</si>
  <si>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</si>
  <si>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</si>
  <si>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</si>
  <si>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</si>
  <si>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</si>
  <si>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</si>
  <si>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</si>
  <si>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</si>
  <si>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</si>
  <si>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</si>
  <si>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</si>
  <si>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</si>
  <si>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</si>
  <si>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</si>
  <si>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</si>
  <si>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</si>
  <si>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</si>
  <si>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</si>
  <si>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</si>
  <si>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</si>
  <si>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</si>
  <si>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</si>
  <si>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</si>
  <si>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</si>
  <si>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</si>
  <si>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</si>
  <si>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</si>
  <si>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</si>
  <si>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</si>
  <si>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</si>
  <si>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</si>
  <si>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</si>
  <si>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</si>
  <si>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</si>
  <si>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</si>
  <si>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</si>
  <si>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</si>
  <si>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</si>
  <si>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</si>
  <si>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</si>
  <si>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</si>
  <si>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</si>
  <si>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</si>
  <si>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</si>
  <si>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</si>
  <si>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</si>
  <si>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</si>
  <si>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</si>
  <si>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</si>
  <si>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</si>
  <si>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</si>
  <si>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</si>
  <si>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</si>
  <si>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</si>
  <si>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</si>
  <si>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</si>
  <si>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</si>
  <si>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</si>
  <si>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</si>
  <si>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</si>
  <si>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</si>
  <si>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</si>
  <si>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</si>
  <si>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</si>
  <si>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</si>
  <si>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</si>
  <si>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</si>
  <si>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</si>
  <si>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</si>
  <si>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</si>
  <si>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</si>
  <si>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</si>
  <si>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</si>
  <si>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</si>
  <si>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</si>
  <si>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</si>
  <si>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</si>
  <si>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</si>
  <si>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</si>
  <si>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</si>
  <si>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</si>
  <si>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</si>
  <si>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</si>
  <si>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</si>
  <si>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</si>
  <si>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</si>
  <si>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</si>
  <si>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</si>
  <si>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</si>
  <si>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</si>
  <si>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</si>
  <si>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</si>
  <si>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</si>
  <si>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</si>
  <si>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</si>
  <si>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</si>
  <si>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</si>
  <si>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</si>
  <si>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</si>
  <si>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</si>
  <si>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</si>
  <si>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</si>
  <si>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</si>
  <si>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</si>
  <si>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</si>
  <si>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</si>
  <si>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</si>
  <si>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</si>
  <si>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</si>
  <si>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</si>
  <si>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</si>
  <si>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</si>
  <si>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</si>
  <si>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</si>
  <si>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</si>
  <si>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</si>
  <si>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</si>
  <si>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</si>
  <si>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</si>
  <si>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</si>
  <si>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</si>
  <si>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</si>
  <si>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</si>
  <si>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</si>
  <si>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</si>
  <si>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</si>
  <si>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</si>
  <si>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</si>
  <si>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</si>
  <si>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</si>
  <si>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</si>
  <si>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</si>
  <si>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</si>
  <si>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</si>
  <si>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</si>
  <si>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</si>
  <si>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</si>
  <si>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</si>
  <si>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</si>
  <si>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</si>
  <si>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</si>
  <si>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</si>
  <si>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AT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</si>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</sst>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45432.781724537039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235809.14521127127</v>
      </c>
      <c r="E2" s="19">
        <v>243446.46315864037</v>
      </c>
      <c r="F2" s="19">
        <v>250300.57803415213</v>
      </c>
      <c r="G2" s="19">
        <v>255961.53482365064</v>
      </c>
      <c r="H2" s="19">
        <v>267537.64851992787</v>
      </c>
      <c r="I2" s="19">
        <v>280481.70574485516</v>
      </c>
      <c r="J2" s="19">
        <v>295662.84348319651</v>
      </c>
      <c r="K2" s="19">
        <v>313491.08175140264</v>
      </c>
      <c r="L2" s="19">
        <v>324292.65932649554</v>
      </c>
      <c r="M2" s="19">
        <v>317983.56298927631</v>
      </c>
      <c r="N2" s="19">
        <v>326650.76999503229</v>
      </c>
      <c r="O2" s="19">
        <v>342359.9495598725</v>
      </c>
      <c r="P2" s="19">
        <v>351770.3553711985</v>
      </c>
      <c r="Q2" s="19">
        <v>357577.98192308901</v>
      </c>
      <c r="R2" s="19">
        <v>367772.4913003447</v>
      </c>
      <c r="S2" s="19">
        <v>380052.54064800002</v>
      </c>
      <c r="T2" s="19">
        <v>394777.49069201166</v>
      </c>
      <c r="U2" s="19">
        <v>407755.11483688466</v>
      </c>
      <c r="V2" s="19">
        <v>425319.24642478733</v>
      </c>
      <c r="W2" s="19">
        <v>438425.91468510451</v>
      </c>
      <c r="X2" s="19">
        <v>420474.17913812498</v>
      </c>
      <c r="Y2" s="19">
        <v>447361.75625963224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128480.98758352116</v>
      </c>
      <c r="E3" s="23">
        <v>133245.22682183466</v>
      </c>
      <c r="F3" s="23">
        <v>135550.69841834565</v>
      </c>
      <c r="G3" s="23">
        <v>140022.41437585698</v>
      </c>
      <c r="H3" s="23">
        <v>145756.89674150434</v>
      </c>
      <c r="I3" s="23">
        <v>152662.62563140391</v>
      </c>
      <c r="J3" s="23">
        <v>159146.22508978532</v>
      </c>
      <c r="K3" s="23">
        <v>164940.53240994009</v>
      </c>
      <c r="L3" s="23">
        <v>169997.62944596444</v>
      </c>
      <c r="M3" s="23">
        <v>172017.69063877652</v>
      </c>
      <c r="N3" s="23">
        <v>176772.5222207334</v>
      </c>
      <c r="O3" s="23">
        <v>184852.9597612709</v>
      </c>
      <c r="P3" s="23">
        <v>190218.47489058503</v>
      </c>
      <c r="Q3" s="23">
        <v>194090.07431907824</v>
      </c>
      <c r="R3" s="23">
        <v>198635.62647983924</v>
      </c>
      <c r="S3" s="23">
        <v>202522.26269599999</v>
      </c>
      <c r="T3" s="23">
        <v>208689.61526469313</v>
      </c>
      <c r="U3" s="23">
        <v>216566.37784425917</v>
      </c>
      <c r="V3" s="23">
        <v>223422.27298864207</v>
      </c>
      <c r="W3" s="23">
        <v>228633.50418706122</v>
      </c>
      <c r="X3" s="23">
        <v>211694.78116106216</v>
      </c>
      <c r="Y3" s="23">
        <v>225310.23714071841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190624.8</v>
      </c>
      <c r="E4" s="27">
        <v>197076.6</v>
      </c>
      <c r="F4" s="27">
        <v>202353.4</v>
      </c>
      <c r="G4" s="27">
        <v>207247.7</v>
      </c>
      <c r="H4" s="27">
        <v>216098.3</v>
      </c>
      <c r="I4" s="27">
        <v>225888.1</v>
      </c>
      <c r="J4" s="27">
        <v>239076</v>
      </c>
      <c r="K4" s="27">
        <v>253604.7</v>
      </c>
      <c r="L4" s="27">
        <v>262414.8</v>
      </c>
      <c r="M4" s="27">
        <v>256671.00000000003</v>
      </c>
      <c r="N4" s="27">
        <v>263633.49999999994</v>
      </c>
      <c r="O4" s="27">
        <v>276404</v>
      </c>
      <c r="P4" s="27">
        <v>283548.19999999995</v>
      </c>
      <c r="Q4" s="27">
        <v>288624.2</v>
      </c>
      <c r="R4" s="27">
        <v>297230.2</v>
      </c>
      <c r="S4" s="27">
        <v>307037.7</v>
      </c>
      <c r="T4" s="27">
        <v>318952.69999999995</v>
      </c>
      <c r="U4" s="27">
        <v>329416.80000000005</v>
      </c>
      <c r="V4" s="27">
        <v>344266.9</v>
      </c>
      <c r="W4" s="27">
        <v>354912.5</v>
      </c>
      <c r="X4" s="27">
        <v>341842.1</v>
      </c>
      <c r="Y4" s="27">
        <v>362447.1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3518.7000000000007</v>
      </c>
      <c r="E6" s="19">
        <v>3684.3</v>
      </c>
      <c r="F6" s="19">
        <v>3543.4</v>
      </c>
      <c r="G6" s="19">
        <v>3459.2</v>
      </c>
      <c r="H6" s="19">
        <v>3578.2000000000007</v>
      </c>
      <c r="I6" s="19">
        <v>3199.8</v>
      </c>
      <c r="J6" s="19">
        <v>3490.2999999999993</v>
      </c>
      <c r="K6" s="19">
        <v>4022.2000000000007</v>
      </c>
      <c r="L6" s="19">
        <v>3942.9</v>
      </c>
      <c r="M6" s="19">
        <v>3303.3</v>
      </c>
      <c r="N6" s="19">
        <v>3750</v>
      </c>
      <c r="O6" s="19">
        <v>4347.7000000000007</v>
      </c>
      <c r="P6" s="19">
        <v>4297.2</v>
      </c>
      <c r="Q6" s="19">
        <v>4064.1999999999994</v>
      </c>
      <c r="R6" s="19">
        <v>4000.1999999999994</v>
      </c>
      <c r="S6" s="19">
        <v>3889.5</v>
      </c>
      <c r="T6" s="19">
        <v>3970.6</v>
      </c>
      <c r="U6" s="19">
        <v>4471.3</v>
      </c>
      <c r="V6" s="19">
        <v>4355.8999999999996</v>
      </c>
      <c r="W6" s="19">
        <v>4179.6000000000004</v>
      </c>
      <c r="X6" s="19">
        <v>4068.2</v>
      </c>
      <c r="Y6" s="19">
        <v>4938.3999999999996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46109.300000000017</v>
      </c>
      <c r="E7" s="23">
        <v>48207.099999999991</v>
      </c>
      <c r="F7" s="23">
        <v>47967.000000000029</v>
      </c>
      <c r="G7" s="23">
        <v>48673.3</v>
      </c>
      <c r="H7" s="23">
        <v>50737.499999999978</v>
      </c>
      <c r="I7" s="23">
        <v>52955.1</v>
      </c>
      <c r="J7" s="23">
        <v>56872.399999999994</v>
      </c>
      <c r="K7" s="23">
        <v>60864.900000000009</v>
      </c>
      <c r="L7" s="23">
        <v>61029.2</v>
      </c>
      <c r="M7" s="23">
        <v>56837.800000000025</v>
      </c>
      <c r="N7" s="23">
        <v>58433.499999999971</v>
      </c>
      <c r="O7" s="23">
        <v>61442.899999999965</v>
      </c>
      <c r="P7" s="23">
        <v>63655.19999999999</v>
      </c>
      <c r="Q7" s="23">
        <v>64132.200000000048</v>
      </c>
      <c r="R7" s="23">
        <v>65542.600000000006</v>
      </c>
      <c r="S7" s="23">
        <v>67495.400000000052</v>
      </c>
      <c r="T7" s="23">
        <v>71152.399999999965</v>
      </c>
      <c r="U7" s="23">
        <v>72713.500000000015</v>
      </c>
      <c r="V7" s="23">
        <v>75403.499999999971</v>
      </c>
      <c r="W7" s="23">
        <v>76763.199999999968</v>
      </c>
      <c r="X7" s="23">
        <v>72795.000000000015</v>
      </c>
      <c r="Y7" s="23">
        <v>80049.799999999959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14308.8</v>
      </c>
      <c r="E8" s="23">
        <v>14000.3</v>
      </c>
      <c r="F8" s="23">
        <v>14131.4</v>
      </c>
      <c r="G8" s="23">
        <v>15085.1</v>
      </c>
      <c r="H8" s="23">
        <v>15602.300000000003</v>
      </c>
      <c r="I8" s="23">
        <v>15833.7</v>
      </c>
      <c r="J8" s="23">
        <v>16134.8</v>
      </c>
      <c r="K8" s="23">
        <v>17435.3</v>
      </c>
      <c r="L8" s="23">
        <v>18169.8</v>
      </c>
      <c r="M8" s="23">
        <v>17457</v>
      </c>
      <c r="N8" s="23">
        <v>17123.599999999999</v>
      </c>
      <c r="O8" s="23">
        <v>17476.8</v>
      </c>
      <c r="P8" s="23">
        <v>18028.3</v>
      </c>
      <c r="Q8" s="23">
        <v>18545.599999999999</v>
      </c>
      <c r="R8" s="23">
        <v>18958.7</v>
      </c>
      <c r="S8" s="23">
        <v>19174.2</v>
      </c>
      <c r="T8" s="23">
        <v>19954.5</v>
      </c>
      <c r="U8" s="23">
        <v>21148.3</v>
      </c>
      <c r="V8" s="23">
        <v>22326.799999999999</v>
      </c>
      <c r="W8" s="23">
        <v>23335.9</v>
      </c>
      <c r="X8" s="23">
        <v>24288.6</v>
      </c>
      <c r="Y8" s="23">
        <v>25598.6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43325.1</v>
      </c>
      <c r="E9" s="23">
        <v>44447.6</v>
      </c>
      <c r="F9" s="23">
        <v>46363.4</v>
      </c>
      <c r="G9" s="23">
        <v>47043.3</v>
      </c>
      <c r="H9" s="23">
        <v>48916.800000000003</v>
      </c>
      <c r="I9" s="23">
        <v>51439.9</v>
      </c>
      <c r="J9" s="23">
        <v>54489.5</v>
      </c>
      <c r="K9" s="23">
        <v>57545.799999999988</v>
      </c>
      <c r="L9" s="23">
        <v>60112.299999999988</v>
      </c>
      <c r="M9" s="23">
        <v>59536.399999999994</v>
      </c>
      <c r="N9" s="23">
        <v>61721.9</v>
      </c>
      <c r="O9" s="23">
        <v>64908.800000000003</v>
      </c>
      <c r="P9" s="23">
        <v>66078.600000000006</v>
      </c>
      <c r="Q9" s="23">
        <v>66006.2</v>
      </c>
      <c r="R9" s="23">
        <v>68532.39999999998</v>
      </c>
      <c r="S9" s="23">
        <v>70640.899999999994</v>
      </c>
      <c r="T9" s="23">
        <v>72547.999999999985</v>
      </c>
      <c r="U9" s="23">
        <v>73673.899999999994</v>
      </c>
      <c r="V9" s="23">
        <v>78103.7</v>
      </c>
      <c r="W9" s="23">
        <v>79429.3</v>
      </c>
      <c r="X9" s="23">
        <v>70290.2</v>
      </c>
      <c r="Y9" s="23">
        <v>73143.3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6313.9</v>
      </c>
      <c r="E10" s="23">
        <v>7326</v>
      </c>
      <c r="F10" s="23">
        <v>7737.2</v>
      </c>
      <c r="G10" s="23">
        <v>7934.1</v>
      </c>
      <c r="H10" s="23">
        <v>7756.1</v>
      </c>
      <c r="I10" s="23">
        <v>8134.1999999999989</v>
      </c>
      <c r="J10" s="23">
        <v>8378.7999999999993</v>
      </c>
      <c r="K10" s="23">
        <v>8532.2999999999993</v>
      </c>
      <c r="L10" s="23">
        <v>8740.0000000000018</v>
      </c>
      <c r="M10" s="23">
        <v>8493.9</v>
      </c>
      <c r="N10" s="23">
        <v>8518.9</v>
      </c>
      <c r="O10" s="23">
        <v>9217</v>
      </c>
      <c r="P10" s="23">
        <v>9405.1</v>
      </c>
      <c r="Q10" s="23">
        <v>9802</v>
      </c>
      <c r="R10" s="23">
        <v>10361.400000000001</v>
      </c>
      <c r="S10" s="23">
        <v>10695.4</v>
      </c>
      <c r="T10" s="23">
        <v>11455.3</v>
      </c>
      <c r="U10" s="23">
        <v>11723.3</v>
      </c>
      <c r="V10" s="23">
        <v>12720.9</v>
      </c>
      <c r="W10" s="23">
        <v>13492.8</v>
      </c>
      <c r="X10" s="23">
        <v>13467.9</v>
      </c>
      <c r="Y10" s="23">
        <v>14295.1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10458.1</v>
      </c>
      <c r="E11" s="23">
        <v>9977.2000000000007</v>
      </c>
      <c r="F11" s="23">
        <v>10225.1</v>
      </c>
      <c r="G11" s="23">
        <v>10146.900000000001</v>
      </c>
      <c r="H11" s="23">
        <v>10542</v>
      </c>
      <c r="I11" s="23">
        <v>11005.3</v>
      </c>
      <c r="J11" s="23">
        <v>11912.3</v>
      </c>
      <c r="K11" s="23">
        <v>13102.6</v>
      </c>
      <c r="L11" s="23">
        <v>13205.3</v>
      </c>
      <c r="M11" s="23">
        <v>12123.9</v>
      </c>
      <c r="N11" s="23">
        <v>12113.1</v>
      </c>
      <c r="O11" s="23">
        <v>12952.8</v>
      </c>
      <c r="P11" s="23">
        <v>12254.9</v>
      </c>
      <c r="Q11" s="23">
        <v>12796.6</v>
      </c>
      <c r="R11" s="23">
        <v>12962.4</v>
      </c>
      <c r="S11" s="23">
        <v>13482.9</v>
      </c>
      <c r="T11" s="23">
        <v>13236.3</v>
      </c>
      <c r="U11" s="23">
        <v>13744.4</v>
      </c>
      <c r="V11" s="23">
        <v>14156.4</v>
      </c>
      <c r="W11" s="23">
        <v>14896.1</v>
      </c>
      <c r="X11" s="23">
        <v>14615.8</v>
      </c>
      <c r="Y11" s="23">
        <v>15734.5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15245.8</v>
      </c>
      <c r="E12" s="23">
        <v>15908.1</v>
      </c>
      <c r="F12" s="23">
        <v>16677.2</v>
      </c>
      <c r="G12" s="23">
        <v>17346.400000000001</v>
      </c>
      <c r="H12" s="23">
        <v>18968.300000000003</v>
      </c>
      <c r="I12" s="23">
        <v>20602.300000000003</v>
      </c>
      <c r="J12" s="23">
        <v>21613.4</v>
      </c>
      <c r="K12" s="23">
        <v>22248.3</v>
      </c>
      <c r="L12" s="23">
        <v>22829.3</v>
      </c>
      <c r="M12" s="23">
        <v>23091.7</v>
      </c>
      <c r="N12" s="23">
        <v>24051.4</v>
      </c>
      <c r="O12" s="23">
        <v>25278.799999999999</v>
      </c>
      <c r="P12" s="23">
        <v>26372.5</v>
      </c>
      <c r="Q12" s="23">
        <v>27737</v>
      </c>
      <c r="R12" s="23">
        <v>28678.3</v>
      </c>
      <c r="S12" s="23">
        <v>29897.3</v>
      </c>
      <c r="T12" s="23">
        <v>31010.7</v>
      </c>
      <c r="U12" s="23">
        <v>32690.5</v>
      </c>
      <c r="V12" s="23">
        <v>34073.199999999997</v>
      </c>
      <c r="W12" s="23">
        <v>35024.9</v>
      </c>
      <c r="X12" s="23">
        <v>36088.899999999994</v>
      </c>
      <c r="Y12" s="23">
        <v>36350.5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12942.5</v>
      </c>
      <c r="E13" s="23">
        <v>14061.5</v>
      </c>
      <c r="F13" s="23">
        <v>15074.1</v>
      </c>
      <c r="G13" s="23">
        <v>15706.5</v>
      </c>
      <c r="H13" s="23">
        <v>16569.099999999999</v>
      </c>
      <c r="I13" s="23">
        <v>18008.7</v>
      </c>
      <c r="J13" s="23">
        <v>19576.5</v>
      </c>
      <c r="K13" s="23">
        <v>21317</v>
      </c>
      <c r="L13" s="23">
        <v>23189.8</v>
      </c>
      <c r="M13" s="23">
        <v>22490</v>
      </c>
      <c r="N13" s="23">
        <v>23255.200000000001</v>
      </c>
      <c r="O13" s="23">
        <v>24895.4</v>
      </c>
      <c r="P13" s="23">
        <v>25988.6</v>
      </c>
      <c r="Q13" s="23">
        <v>26998.1</v>
      </c>
      <c r="R13" s="23">
        <v>28027.3</v>
      </c>
      <c r="S13" s="23">
        <v>29207.9</v>
      </c>
      <c r="T13" s="23">
        <v>30737.7</v>
      </c>
      <c r="U13" s="23">
        <v>32259.9</v>
      </c>
      <c r="V13" s="23">
        <v>33805.5</v>
      </c>
      <c r="W13" s="23">
        <v>35718.699999999997</v>
      </c>
      <c r="X13" s="23">
        <v>34158.699999999997</v>
      </c>
      <c r="Y13" s="23">
        <v>36140.1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33251.5</v>
      </c>
      <c r="E14" s="23">
        <v>34179.19999999999</v>
      </c>
      <c r="F14" s="23">
        <v>35065.599999999999</v>
      </c>
      <c r="G14" s="23">
        <v>36126.800000000003</v>
      </c>
      <c r="H14" s="23">
        <v>37329.599999999999</v>
      </c>
      <c r="I14" s="23">
        <v>38288.800000000003</v>
      </c>
      <c r="J14" s="23">
        <v>40003.199999999997</v>
      </c>
      <c r="K14" s="23">
        <v>41511.4</v>
      </c>
      <c r="L14" s="23">
        <v>43761.3</v>
      </c>
      <c r="M14" s="23">
        <v>45817.8</v>
      </c>
      <c r="N14" s="23">
        <v>46996.6</v>
      </c>
      <c r="O14" s="23">
        <v>47980.9</v>
      </c>
      <c r="P14" s="23">
        <v>49381.5</v>
      </c>
      <c r="Q14" s="23">
        <v>50261.7</v>
      </c>
      <c r="R14" s="23">
        <v>51624.4</v>
      </c>
      <c r="S14" s="23">
        <v>53714.9</v>
      </c>
      <c r="T14" s="23">
        <v>55926.5</v>
      </c>
      <c r="U14" s="23">
        <v>57638.5</v>
      </c>
      <c r="V14" s="23">
        <v>59719.1</v>
      </c>
      <c r="W14" s="23">
        <v>61950.400000000001</v>
      </c>
      <c r="X14" s="23">
        <v>63448.1</v>
      </c>
      <c r="Y14" s="23">
        <v>67280.100000000006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5151.1000000000004</v>
      </c>
      <c r="E15" s="23">
        <v>5285.3</v>
      </c>
      <c r="F15" s="23">
        <v>5569</v>
      </c>
      <c r="G15" s="23">
        <v>5726.1</v>
      </c>
      <c r="H15" s="23">
        <v>6098.4</v>
      </c>
      <c r="I15" s="23">
        <v>6420.3</v>
      </c>
      <c r="J15" s="23">
        <v>6604.8</v>
      </c>
      <c r="K15" s="23">
        <v>7024.9</v>
      </c>
      <c r="L15" s="23">
        <v>7434.9000000000015</v>
      </c>
      <c r="M15" s="23">
        <v>7519.2</v>
      </c>
      <c r="N15" s="23">
        <v>7669.3</v>
      </c>
      <c r="O15" s="23">
        <v>7902.9</v>
      </c>
      <c r="P15" s="23">
        <v>8086.3</v>
      </c>
      <c r="Q15" s="23">
        <v>8280.5999999999985</v>
      </c>
      <c r="R15" s="23">
        <v>8542.5</v>
      </c>
      <c r="S15" s="23">
        <v>8839.2999999999993</v>
      </c>
      <c r="T15" s="23">
        <v>8960.7000000000007</v>
      </c>
      <c r="U15" s="23">
        <v>9353.2000000000025</v>
      </c>
      <c r="V15" s="23">
        <v>9601.9</v>
      </c>
      <c r="W15" s="23">
        <v>10121.6</v>
      </c>
      <c r="X15" s="23">
        <v>8620.7000000000007</v>
      </c>
      <c r="Y15" s="23">
        <v>8916.7000000000007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190624.80000000002</v>
      </c>
      <c r="E16" s="30">
        <f t="shared" ref="E16:S16" si="0">SUM(E6:E15)</f>
        <v>197076.59999999995</v>
      </c>
      <c r="F16" s="30">
        <f t="shared" si="0"/>
        <v>202353.40000000005</v>
      </c>
      <c r="G16" s="30">
        <f t="shared" si="0"/>
        <v>207247.70000000004</v>
      </c>
      <c r="H16" s="30">
        <f t="shared" si="0"/>
        <v>216098.30000000002</v>
      </c>
      <c r="I16" s="30">
        <f t="shared" si="0"/>
        <v>225888.09999999998</v>
      </c>
      <c r="J16" s="30">
        <f t="shared" si="0"/>
        <v>239075.99999999994</v>
      </c>
      <c r="K16" s="30">
        <f t="shared" si="0"/>
        <v>253604.69999999998</v>
      </c>
      <c r="L16" s="30">
        <f t="shared" si="0"/>
        <v>262414.8</v>
      </c>
      <c r="M16" s="30">
        <f t="shared" si="0"/>
        <v>256671.00000000006</v>
      </c>
      <c r="N16" s="30">
        <f t="shared" si="0"/>
        <v>263633.5</v>
      </c>
      <c r="O16" s="30">
        <f t="shared" si="0"/>
        <v>276403.99999999994</v>
      </c>
      <c r="P16" s="30">
        <f t="shared" si="0"/>
        <v>283548.2</v>
      </c>
      <c r="Q16" s="30">
        <f t="shared" si="0"/>
        <v>288624.20000000007</v>
      </c>
      <c r="R16" s="30">
        <f t="shared" si="0"/>
        <v>297230.19999999995</v>
      </c>
      <c r="S16" s="30">
        <f t="shared" si="0"/>
        <v>307037.7</v>
      </c>
      <c r="T16" s="30">
        <f t="shared" ref="T16:Y16" si="1">SUM(T6:T15)</f>
        <v>318952.69999999995</v>
      </c>
      <c r="U16" s="30">
        <f t="shared" si="1"/>
        <v>329416.8</v>
      </c>
      <c r="V16" s="30">
        <f t="shared" si="1"/>
        <v>344266.89999999997</v>
      </c>
      <c r="W16" s="30">
        <f t="shared" si="1"/>
        <v>354912.5</v>
      </c>
      <c r="X16" s="30">
        <f t="shared" si="1"/>
        <v>341842.1</v>
      </c>
      <c r="Y16" s="30">
        <f t="shared" si="1"/>
        <v>362447.10000000003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3518.7000000000007</v>
      </c>
      <c r="E18" s="19">
        <v>3684.3</v>
      </c>
      <c r="F18" s="19">
        <v>3543.4</v>
      </c>
      <c r="G18" s="19">
        <v>3459.2</v>
      </c>
      <c r="H18" s="19">
        <v>3578.2000000000007</v>
      </c>
      <c r="I18" s="19">
        <v>3199.8</v>
      </c>
      <c r="J18" s="19">
        <v>3490.2999999999993</v>
      </c>
      <c r="K18" s="19">
        <v>4022.2000000000007</v>
      </c>
      <c r="L18" s="19">
        <v>3942.9</v>
      </c>
      <c r="M18" s="19">
        <v>3303.3</v>
      </c>
      <c r="N18" s="19">
        <v>3750</v>
      </c>
      <c r="O18" s="19">
        <v>4347.7000000000007</v>
      </c>
      <c r="P18" s="19">
        <v>4297.2</v>
      </c>
      <c r="Q18" s="19">
        <v>4064.1999999999994</v>
      </c>
      <c r="R18" s="19">
        <v>4000.1999999999994</v>
      </c>
      <c r="S18" s="19">
        <v>3889.5</v>
      </c>
      <c r="T18" s="19">
        <v>3970.6</v>
      </c>
      <c r="U18" s="19">
        <v>4471.3</v>
      </c>
      <c r="V18" s="19">
        <v>4355.8999999999996</v>
      </c>
      <c r="W18" s="19">
        <v>4179.6000000000004</v>
      </c>
      <c r="X18" s="19">
        <v>4068.2</v>
      </c>
      <c r="Y18" s="19">
        <v>4938.3999999999996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703.5</v>
      </c>
      <c r="E19" s="23">
        <v>787.8</v>
      </c>
      <c r="F19" s="23">
        <v>804.7</v>
      </c>
      <c r="G19" s="23">
        <v>822.5</v>
      </c>
      <c r="H19" s="23">
        <v>910.9</v>
      </c>
      <c r="I19" s="23">
        <v>986.4</v>
      </c>
      <c r="J19" s="23">
        <v>1054.9000000000001</v>
      </c>
      <c r="K19" s="23">
        <v>981.8</v>
      </c>
      <c r="L19" s="23">
        <v>1341.6</v>
      </c>
      <c r="M19" s="23">
        <v>1074.5</v>
      </c>
      <c r="N19" s="23">
        <v>1176.0999999999999</v>
      </c>
      <c r="O19" s="23">
        <v>1498.1</v>
      </c>
      <c r="P19" s="23">
        <v>1510.6</v>
      </c>
      <c r="Q19" s="23">
        <v>1477.1</v>
      </c>
      <c r="R19" s="23">
        <v>1401.5</v>
      </c>
      <c r="S19" s="23">
        <v>1147.8</v>
      </c>
      <c r="T19" s="23">
        <v>968.4</v>
      </c>
      <c r="U19" s="23">
        <v>1187.9999999999998</v>
      </c>
      <c r="V19" s="23">
        <v>1156.9000000000001</v>
      </c>
      <c r="W19" s="23">
        <v>1051.8</v>
      </c>
      <c r="X19" s="23">
        <v>876.5</v>
      </c>
      <c r="Y19" s="23">
        <v>1047.5999999999999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38908.300000000017</v>
      </c>
      <c r="E20" s="23">
        <v>40446.69999999999</v>
      </c>
      <c r="F20" s="23">
        <v>40192.800000000025</v>
      </c>
      <c r="G20" s="23">
        <v>40467.400000000009</v>
      </c>
      <c r="H20" s="23">
        <v>42014.499999999978</v>
      </c>
      <c r="I20" s="23">
        <v>44228.800000000003</v>
      </c>
      <c r="J20" s="23">
        <v>47735.399999999994</v>
      </c>
      <c r="K20" s="23">
        <v>51552.30000000001</v>
      </c>
      <c r="L20" s="23">
        <v>51166</v>
      </c>
      <c r="M20" s="23">
        <v>47129.700000000026</v>
      </c>
      <c r="N20" s="23">
        <v>48759.199999999961</v>
      </c>
      <c r="O20" s="23">
        <v>51467.599999999955</v>
      </c>
      <c r="P20" s="23">
        <v>53234.499999999993</v>
      </c>
      <c r="Q20" s="23">
        <v>53431.200000000055</v>
      </c>
      <c r="R20" s="23">
        <v>55168.900000000016</v>
      </c>
      <c r="S20" s="23">
        <v>57458.600000000049</v>
      </c>
      <c r="T20" s="23">
        <v>60962.799999999981</v>
      </c>
      <c r="U20" s="23">
        <v>62210.60000000002</v>
      </c>
      <c r="V20" s="23">
        <v>64836.799999999974</v>
      </c>
      <c r="W20" s="23">
        <v>65893.899999999965</v>
      </c>
      <c r="X20" s="23">
        <v>61607.199999999997</v>
      </c>
      <c r="Y20" s="23">
        <v>68586.399999999951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4445</v>
      </c>
      <c r="E21" s="23">
        <v>4898.5</v>
      </c>
      <c r="F21" s="23">
        <v>4800.8999999999996</v>
      </c>
      <c r="G21" s="23">
        <v>5079.8999999999987</v>
      </c>
      <c r="H21" s="23">
        <v>5310.2</v>
      </c>
      <c r="I21" s="23">
        <v>5273.1</v>
      </c>
      <c r="J21" s="23">
        <v>5479.1</v>
      </c>
      <c r="K21" s="23">
        <v>5593</v>
      </c>
      <c r="L21" s="23">
        <v>5906.5</v>
      </c>
      <c r="M21" s="23">
        <v>5971</v>
      </c>
      <c r="N21" s="23">
        <v>5749.1</v>
      </c>
      <c r="O21" s="23">
        <v>5636.9</v>
      </c>
      <c r="P21" s="23">
        <v>5890.2</v>
      </c>
      <c r="Q21" s="23">
        <v>6171.7</v>
      </c>
      <c r="R21" s="23">
        <v>5787.7</v>
      </c>
      <c r="S21" s="23">
        <v>5690.6</v>
      </c>
      <c r="T21" s="23">
        <v>5897.6</v>
      </c>
      <c r="U21" s="23">
        <v>5890.5</v>
      </c>
      <c r="V21" s="23">
        <v>5818.1</v>
      </c>
      <c r="W21" s="23">
        <v>6125.6</v>
      </c>
      <c r="X21" s="23">
        <v>6663.6</v>
      </c>
      <c r="Y21" s="23">
        <v>6598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2052.5</v>
      </c>
      <c r="E22" s="23">
        <v>2074.1</v>
      </c>
      <c r="F22" s="23">
        <v>2168.6</v>
      </c>
      <c r="G22" s="23">
        <v>2303.5</v>
      </c>
      <c r="H22" s="23">
        <v>2501.9</v>
      </c>
      <c r="I22" s="23">
        <v>2466.8000000000002</v>
      </c>
      <c r="J22" s="23">
        <v>2603</v>
      </c>
      <c r="K22" s="23">
        <v>2737.8</v>
      </c>
      <c r="L22" s="23">
        <v>2615.1</v>
      </c>
      <c r="M22" s="23">
        <v>2662.6</v>
      </c>
      <c r="N22" s="23">
        <v>2749.1</v>
      </c>
      <c r="O22" s="23">
        <v>2840.3</v>
      </c>
      <c r="P22" s="23">
        <v>3019.9</v>
      </c>
      <c r="Q22" s="23">
        <v>3052.2</v>
      </c>
      <c r="R22" s="23">
        <v>3184.5</v>
      </c>
      <c r="S22" s="23">
        <v>3198.4</v>
      </c>
      <c r="T22" s="23">
        <v>3323.6</v>
      </c>
      <c r="U22" s="23">
        <v>3424.4</v>
      </c>
      <c r="V22" s="23">
        <v>3591.7</v>
      </c>
      <c r="W22" s="23">
        <v>3691.9</v>
      </c>
      <c r="X22" s="23">
        <v>3647.7</v>
      </c>
      <c r="Y22" s="23">
        <v>3817.8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14308.8</v>
      </c>
      <c r="E23" s="23">
        <v>14000.3</v>
      </c>
      <c r="F23" s="23">
        <v>14131.4</v>
      </c>
      <c r="G23" s="23">
        <v>15085.1</v>
      </c>
      <c r="H23" s="23">
        <v>15602.300000000003</v>
      </c>
      <c r="I23" s="23">
        <v>15833.7</v>
      </c>
      <c r="J23" s="23">
        <v>16134.8</v>
      </c>
      <c r="K23" s="23">
        <v>17435.3</v>
      </c>
      <c r="L23" s="23">
        <v>18169.8</v>
      </c>
      <c r="M23" s="23">
        <v>17457</v>
      </c>
      <c r="N23" s="23">
        <v>17123.599999999999</v>
      </c>
      <c r="O23" s="23">
        <v>17476.8</v>
      </c>
      <c r="P23" s="23">
        <v>18028.3</v>
      </c>
      <c r="Q23" s="23">
        <v>18545.599999999999</v>
      </c>
      <c r="R23" s="23">
        <v>18958.7</v>
      </c>
      <c r="S23" s="23">
        <v>19174.2</v>
      </c>
      <c r="T23" s="23">
        <v>19954.5</v>
      </c>
      <c r="U23" s="23">
        <v>21148.3</v>
      </c>
      <c r="V23" s="23">
        <v>22326.799999999999</v>
      </c>
      <c r="W23" s="23">
        <v>23335.9</v>
      </c>
      <c r="X23" s="23">
        <v>24288.6</v>
      </c>
      <c r="Y23" s="23">
        <v>25598.6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24695.7</v>
      </c>
      <c r="E24" s="23">
        <v>25255.200000000001</v>
      </c>
      <c r="F24" s="23">
        <v>26075.600000000006</v>
      </c>
      <c r="G24" s="23">
        <v>26178.899999999994</v>
      </c>
      <c r="H24" s="23">
        <v>27209.599999999995</v>
      </c>
      <c r="I24" s="23">
        <v>28470.9</v>
      </c>
      <c r="J24" s="23">
        <v>30151.699999999997</v>
      </c>
      <c r="K24" s="23">
        <v>31902.799999999992</v>
      </c>
      <c r="L24" s="23">
        <v>33008.199999999997</v>
      </c>
      <c r="M24" s="23">
        <v>32567.199999999997</v>
      </c>
      <c r="N24" s="23">
        <v>34334.300000000003</v>
      </c>
      <c r="O24" s="23">
        <v>36250.000000000007</v>
      </c>
      <c r="P24" s="23">
        <v>36413.300000000017</v>
      </c>
      <c r="Q24" s="23">
        <v>35409</v>
      </c>
      <c r="R24" s="23">
        <v>36636.39999999998</v>
      </c>
      <c r="S24" s="23">
        <v>37529.899999999994</v>
      </c>
      <c r="T24" s="23">
        <v>37971.599999999999</v>
      </c>
      <c r="U24" s="23">
        <v>37867.499999999985</v>
      </c>
      <c r="V24" s="23">
        <v>41067.000000000007</v>
      </c>
      <c r="W24" s="23">
        <v>41327.4</v>
      </c>
      <c r="X24" s="23">
        <v>40356.099999999991</v>
      </c>
      <c r="Y24" s="23">
        <v>43853.19999999999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10894.4</v>
      </c>
      <c r="E25" s="23">
        <v>10911</v>
      </c>
      <c r="F25" s="23">
        <v>11530.3</v>
      </c>
      <c r="G25" s="23">
        <v>11653.7</v>
      </c>
      <c r="H25" s="23">
        <v>12119.3</v>
      </c>
      <c r="I25" s="23">
        <v>12819.3</v>
      </c>
      <c r="J25" s="23">
        <v>13413.4</v>
      </c>
      <c r="K25" s="23">
        <v>14229.300000000003</v>
      </c>
      <c r="L25" s="23">
        <v>14871.7</v>
      </c>
      <c r="M25" s="23">
        <v>14472.9</v>
      </c>
      <c r="N25" s="23">
        <v>14605.4</v>
      </c>
      <c r="O25" s="23">
        <v>15294</v>
      </c>
      <c r="P25" s="23">
        <v>15623.899999999998</v>
      </c>
      <c r="Q25" s="23">
        <v>16113.3</v>
      </c>
      <c r="R25" s="23">
        <v>16778.900000000001</v>
      </c>
      <c r="S25" s="23">
        <v>17415.099999999999</v>
      </c>
      <c r="T25" s="23">
        <v>17912.599999999999</v>
      </c>
      <c r="U25" s="23">
        <v>18581.099999999999</v>
      </c>
      <c r="V25" s="23">
        <v>18979.900000000001</v>
      </c>
      <c r="W25" s="23">
        <v>19425.599999999999</v>
      </c>
      <c r="X25" s="23">
        <v>17557</v>
      </c>
      <c r="Y25" s="23">
        <v>17632.400000000001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7735</v>
      </c>
      <c r="E26" s="23">
        <v>8281.4</v>
      </c>
      <c r="F26" s="23">
        <v>8757.4999999999982</v>
      </c>
      <c r="G26" s="23">
        <v>9210.7000000000025</v>
      </c>
      <c r="H26" s="23">
        <v>9587.9</v>
      </c>
      <c r="I26" s="23">
        <v>10149.700000000001</v>
      </c>
      <c r="J26" s="23">
        <v>10924.4</v>
      </c>
      <c r="K26" s="23">
        <v>11413.7</v>
      </c>
      <c r="L26" s="23">
        <v>12232.4</v>
      </c>
      <c r="M26" s="23">
        <v>12496.3</v>
      </c>
      <c r="N26" s="23">
        <v>12782.2</v>
      </c>
      <c r="O26" s="23">
        <v>13364.8</v>
      </c>
      <c r="P26" s="23">
        <v>14041.4</v>
      </c>
      <c r="Q26" s="23">
        <v>14483.9</v>
      </c>
      <c r="R26" s="23">
        <v>15117.1</v>
      </c>
      <c r="S26" s="23">
        <v>15695.9</v>
      </c>
      <c r="T26" s="23">
        <v>16663.8</v>
      </c>
      <c r="U26" s="23">
        <v>17225.300000000003</v>
      </c>
      <c r="V26" s="23">
        <v>18056.8</v>
      </c>
      <c r="W26" s="23">
        <v>18676.3</v>
      </c>
      <c r="X26" s="23">
        <v>12377.1</v>
      </c>
      <c r="Y26" s="23">
        <v>11657.7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6313.9</v>
      </c>
      <c r="E27" s="23">
        <v>7326</v>
      </c>
      <c r="F27" s="23">
        <v>7737.2</v>
      </c>
      <c r="G27" s="23">
        <v>7934.1</v>
      </c>
      <c r="H27" s="23">
        <v>7756.1</v>
      </c>
      <c r="I27" s="23">
        <v>8134.1999999999989</v>
      </c>
      <c r="J27" s="23">
        <v>8378.7999999999993</v>
      </c>
      <c r="K27" s="23">
        <v>8532.2999999999993</v>
      </c>
      <c r="L27" s="23">
        <v>8740.0000000000018</v>
      </c>
      <c r="M27" s="23">
        <v>8493.9</v>
      </c>
      <c r="N27" s="23">
        <v>8518.9</v>
      </c>
      <c r="O27" s="23">
        <v>9217</v>
      </c>
      <c r="P27" s="23">
        <v>9405.1</v>
      </c>
      <c r="Q27" s="23">
        <v>9802</v>
      </c>
      <c r="R27" s="23">
        <v>10361.400000000001</v>
      </c>
      <c r="S27" s="23">
        <v>10695.4</v>
      </c>
      <c r="T27" s="23">
        <v>11455.3</v>
      </c>
      <c r="U27" s="23">
        <v>11723.3</v>
      </c>
      <c r="V27" s="23">
        <v>12720.9</v>
      </c>
      <c r="W27" s="23">
        <v>13492.8</v>
      </c>
      <c r="X27" s="23">
        <v>13467.9</v>
      </c>
      <c r="Y27" s="23">
        <v>14295.1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10458.1</v>
      </c>
      <c r="E28" s="23">
        <v>9977.2000000000007</v>
      </c>
      <c r="F28" s="23">
        <v>10225.1</v>
      </c>
      <c r="G28" s="23">
        <v>10146.900000000001</v>
      </c>
      <c r="H28" s="23">
        <v>10542</v>
      </c>
      <c r="I28" s="23">
        <v>11005.3</v>
      </c>
      <c r="J28" s="23">
        <v>11912.3</v>
      </c>
      <c r="K28" s="23">
        <v>13102.6</v>
      </c>
      <c r="L28" s="23">
        <v>13205.3</v>
      </c>
      <c r="M28" s="23">
        <v>12123.9</v>
      </c>
      <c r="N28" s="23">
        <v>12113.1</v>
      </c>
      <c r="O28" s="23">
        <v>12952.8</v>
      </c>
      <c r="P28" s="23">
        <v>12254.9</v>
      </c>
      <c r="Q28" s="23">
        <v>12796.6</v>
      </c>
      <c r="R28" s="23">
        <v>12962.4</v>
      </c>
      <c r="S28" s="23">
        <v>13482.9</v>
      </c>
      <c r="T28" s="23">
        <v>13236.3</v>
      </c>
      <c r="U28" s="23">
        <v>13744.4</v>
      </c>
      <c r="V28" s="23">
        <v>14156.4</v>
      </c>
      <c r="W28" s="23">
        <v>14896.1</v>
      </c>
      <c r="X28" s="23">
        <v>14615.8</v>
      </c>
      <c r="Y28" s="23">
        <v>15734.5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15245.8</v>
      </c>
      <c r="E29" s="23">
        <v>15908.1</v>
      </c>
      <c r="F29" s="23">
        <v>16677.2</v>
      </c>
      <c r="G29" s="23">
        <v>17346.400000000001</v>
      </c>
      <c r="H29" s="23">
        <v>18968.300000000003</v>
      </c>
      <c r="I29" s="23">
        <v>20602.300000000003</v>
      </c>
      <c r="J29" s="23">
        <v>21613.4</v>
      </c>
      <c r="K29" s="23">
        <v>22248.3</v>
      </c>
      <c r="L29" s="23">
        <v>22829.3</v>
      </c>
      <c r="M29" s="23">
        <v>23091.7</v>
      </c>
      <c r="N29" s="23">
        <v>24051.4</v>
      </c>
      <c r="O29" s="23">
        <v>25278.799999999999</v>
      </c>
      <c r="P29" s="23">
        <v>26372.5</v>
      </c>
      <c r="Q29" s="23">
        <v>27737</v>
      </c>
      <c r="R29" s="23">
        <v>28678.3</v>
      </c>
      <c r="S29" s="23">
        <v>29897.3</v>
      </c>
      <c r="T29" s="23">
        <v>31010.7</v>
      </c>
      <c r="U29" s="23">
        <v>32690.5</v>
      </c>
      <c r="V29" s="23">
        <v>34073.199999999997</v>
      </c>
      <c r="W29" s="23">
        <v>35024.9</v>
      </c>
      <c r="X29" s="23">
        <v>36088.899999999994</v>
      </c>
      <c r="Y29" s="23">
        <v>36350.5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7309.5000000000009</v>
      </c>
      <c r="E30" s="23">
        <v>8009.0000000000027</v>
      </c>
      <c r="F30" s="23">
        <v>8799.0999999999985</v>
      </c>
      <c r="G30" s="23">
        <v>8972.8000000000011</v>
      </c>
      <c r="H30" s="23">
        <v>9246.6999999999971</v>
      </c>
      <c r="I30" s="23">
        <v>10028.1</v>
      </c>
      <c r="J30" s="23">
        <v>10632.6</v>
      </c>
      <c r="K30" s="23">
        <v>11388.299999999997</v>
      </c>
      <c r="L30" s="23">
        <v>12371.2</v>
      </c>
      <c r="M30" s="23">
        <v>12224.9</v>
      </c>
      <c r="N30" s="23">
        <v>12532.4</v>
      </c>
      <c r="O30" s="23">
        <v>13386.500000000002</v>
      </c>
      <c r="P30" s="23">
        <v>14116.3</v>
      </c>
      <c r="Q30" s="23">
        <v>14790.799999999997</v>
      </c>
      <c r="R30" s="23">
        <v>15257.8</v>
      </c>
      <c r="S30" s="23">
        <v>16186.600000000002</v>
      </c>
      <c r="T30" s="23">
        <v>17034.5</v>
      </c>
      <c r="U30" s="23">
        <v>17649.5</v>
      </c>
      <c r="V30" s="23">
        <v>18410.7</v>
      </c>
      <c r="W30" s="23">
        <v>19629.799999999996</v>
      </c>
      <c r="X30" s="23">
        <v>19573.999999999996</v>
      </c>
      <c r="Y30" s="23">
        <v>20438.7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5633</v>
      </c>
      <c r="E31" s="23">
        <v>6052.5</v>
      </c>
      <c r="F31" s="23">
        <v>6275</v>
      </c>
      <c r="G31" s="23">
        <v>6733.7</v>
      </c>
      <c r="H31" s="23">
        <v>7322.4000000000015</v>
      </c>
      <c r="I31" s="23">
        <v>7980.6</v>
      </c>
      <c r="J31" s="23">
        <v>8943.9</v>
      </c>
      <c r="K31" s="23">
        <v>9928.7000000000007</v>
      </c>
      <c r="L31" s="23">
        <v>10818.6</v>
      </c>
      <c r="M31" s="23">
        <v>10265.1</v>
      </c>
      <c r="N31" s="23">
        <v>10722.8</v>
      </c>
      <c r="O31" s="23">
        <v>11508.9</v>
      </c>
      <c r="P31" s="23">
        <v>11872.3</v>
      </c>
      <c r="Q31" s="23">
        <v>12207.3</v>
      </c>
      <c r="R31" s="23">
        <v>12769.5</v>
      </c>
      <c r="S31" s="23">
        <v>13021.3</v>
      </c>
      <c r="T31" s="23">
        <v>13703.2</v>
      </c>
      <c r="U31" s="23">
        <v>14610.4</v>
      </c>
      <c r="V31" s="23">
        <v>15394.8</v>
      </c>
      <c r="W31" s="23">
        <v>16088.9</v>
      </c>
      <c r="X31" s="23">
        <v>14584.7</v>
      </c>
      <c r="Y31" s="23">
        <v>15701.4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11350</v>
      </c>
      <c r="E32" s="23">
        <v>11459.699999999993</v>
      </c>
      <c r="F32" s="23">
        <v>11528.1</v>
      </c>
      <c r="G32" s="23">
        <v>11793.900000000001</v>
      </c>
      <c r="H32" s="23">
        <v>12097.6</v>
      </c>
      <c r="I32" s="23">
        <v>12228.500000000005</v>
      </c>
      <c r="J32" s="23">
        <v>12717.299999999994</v>
      </c>
      <c r="K32" s="23">
        <v>12962.2</v>
      </c>
      <c r="L32" s="23">
        <v>13646.999999999998</v>
      </c>
      <c r="M32" s="23">
        <v>14208.399999999996</v>
      </c>
      <c r="N32" s="23">
        <v>14390.499999999998</v>
      </c>
      <c r="O32" s="23">
        <v>14526.5</v>
      </c>
      <c r="P32" s="23">
        <v>14882.599999999999</v>
      </c>
      <c r="Q32" s="23">
        <v>14965.499999999995</v>
      </c>
      <c r="R32" s="23">
        <v>15232.199999999997</v>
      </c>
      <c r="S32" s="23">
        <v>15721.400000000001</v>
      </c>
      <c r="T32" s="23">
        <v>16211.199999999995</v>
      </c>
      <c r="U32" s="23">
        <v>16643.899999999994</v>
      </c>
      <c r="V32" s="23">
        <v>17178.900000000001</v>
      </c>
      <c r="W32" s="23">
        <v>17678.7</v>
      </c>
      <c r="X32" s="23">
        <v>18223.099999999999</v>
      </c>
      <c r="Y32" s="23">
        <v>18880.400000000012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10729.1</v>
      </c>
      <c r="E33" s="23">
        <v>10953.3</v>
      </c>
      <c r="F33" s="23">
        <v>11248.3</v>
      </c>
      <c r="G33" s="23">
        <v>11639</v>
      </c>
      <c r="H33" s="23">
        <v>11938</v>
      </c>
      <c r="I33" s="23">
        <v>12256.1</v>
      </c>
      <c r="J33" s="23">
        <v>12799.3</v>
      </c>
      <c r="K33" s="23">
        <v>13297.1</v>
      </c>
      <c r="L33" s="23">
        <v>13987.9</v>
      </c>
      <c r="M33" s="23">
        <v>14614.4</v>
      </c>
      <c r="N33" s="23">
        <v>15042.4</v>
      </c>
      <c r="O33" s="23">
        <v>15362.4</v>
      </c>
      <c r="P33" s="23">
        <v>15780.2</v>
      </c>
      <c r="Q33" s="23">
        <v>15895.499999999998</v>
      </c>
      <c r="R33" s="23">
        <v>16273.000000000002</v>
      </c>
      <c r="S33" s="23">
        <v>16788.599999999999</v>
      </c>
      <c r="T33" s="23">
        <v>17346.500000000004</v>
      </c>
      <c r="U33" s="23">
        <v>17798.400000000001</v>
      </c>
      <c r="V33" s="23">
        <v>18375.400000000001</v>
      </c>
      <c r="W33" s="23">
        <v>19020.7</v>
      </c>
      <c r="X33" s="23">
        <v>19375</v>
      </c>
      <c r="Y33" s="23">
        <v>20005.400000000001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11172.4</v>
      </c>
      <c r="E34" s="23">
        <v>11766.2</v>
      </c>
      <c r="F34" s="23">
        <v>12289.2</v>
      </c>
      <c r="G34" s="23">
        <v>12693.9</v>
      </c>
      <c r="H34" s="23">
        <v>13294</v>
      </c>
      <c r="I34" s="23">
        <v>13804.2</v>
      </c>
      <c r="J34" s="23">
        <v>14486.6</v>
      </c>
      <c r="K34" s="23">
        <v>15252.099999999999</v>
      </c>
      <c r="L34" s="23">
        <v>16126.4</v>
      </c>
      <c r="M34" s="23">
        <v>16995.000000000004</v>
      </c>
      <c r="N34" s="23">
        <v>17563.7</v>
      </c>
      <c r="O34" s="23">
        <v>18092</v>
      </c>
      <c r="P34" s="23">
        <v>18718.7</v>
      </c>
      <c r="Q34" s="23">
        <v>19400.7</v>
      </c>
      <c r="R34" s="23">
        <v>20119.2</v>
      </c>
      <c r="S34" s="23">
        <v>21204.9</v>
      </c>
      <c r="T34" s="23">
        <v>22368.799999999999</v>
      </c>
      <c r="U34" s="23">
        <v>23196.2</v>
      </c>
      <c r="V34" s="23">
        <v>24164.799999999999</v>
      </c>
      <c r="W34" s="23">
        <v>25251</v>
      </c>
      <c r="X34" s="23">
        <v>25850</v>
      </c>
      <c r="Y34" s="23">
        <v>28394.3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2140.6000000000008</v>
      </c>
      <c r="E35" s="23">
        <v>2156.2999999999997</v>
      </c>
      <c r="F35" s="23">
        <v>2262.8000000000002</v>
      </c>
      <c r="G35" s="23">
        <v>2351.4</v>
      </c>
      <c r="H35" s="23">
        <v>2553.3000000000002</v>
      </c>
      <c r="I35" s="23">
        <v>2808.1000000000004</v>
      </c>
      <c r="J35" s="23">
        <v>2861.9</v>
      </c>
      <c r="K35" s="23">
        <v>3102.8</v>
      </c>
      <c r="L35" s="23">
        <v>3360.400000000001</v>
      </c>
      <c r="M35" s="23">
        <v>3400.2000000000007</v>
      </c>
      <c r="N35" s="23">
        <v>3495.3</v>
      </c>
      <c r="O35" s="23">
        <v>3612.2999999999988</v>
      </c>
      <c r="P35" s="23">
        <v>3697.6999999999989</v>
      </c>
      <c r="Q35" s="23">
        <v>3744.6999999999994</v>
      </c>
      <c r="R35" s="23">
        <v>3894.8000000000006</v>
      </c>
      <c r="S35" s="23">
        <v>4033.8999999999987</v>
      </c>
      <c r="T35" s="23">
        <v>3991.2000000000012</v>
      </c>
      <c r="U35" s="23">
        <v>4183.9000000000033</v>
      </c>
      <c r="V35" s="23">
        <v>4297.7</v>
      </c>
      <c r="W35" s="23">
        <v>4570.6000000000004</v>
      </c>
      <c r="X35" s="23">
        <v>3418.7000000000007</v>
      </c>
      <c r="Y35" s="23">
        <v>3591.4000000000005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2820.4</v>
      </c>
      <c r="E36" s="23">
        <v>2948.1</v>
      </c>
      <c r="F36" s="23">
        <v>3124.2</v>
      </c>
      <c r="G36" s="23">
        <v>3200</v>
      </c>
      <c r="H36" s="23">
        <v>3374.7</v>
      </c>
      <c r="I36" s="23">
        <v>3445.2</v>
      </c>
      <c r="J36" s="23">
        <v>3578.2</v>
      </c>
      <c r="K36" s="23">
        <v>3756.6</v>
      </c>
      <c r="L36" s="23">
        <v>3905.6999999999994</v>
      </c>
      <c r="M36" s="23">
        <v>3940.7</v>
      </c>
      <c r="N36" s="23">
        <v>3997.3</v>
      </c>
      <c r="O36" s="23">
        <v>4118.1000000000004</v>
      </c>
      <c r="P36" s="23">
        <v>4217.6000000000004</v>
      </c>
      <c r="Q36" s="23">
        <v>4361.3999999999996</v>
      </c>
      <c r="R36" s="23">
        <v>4474.8</v>
      </c>
      <c r="S36" s="23">
        <v>4629.6000000000004</v>
      </c>
      <c r="T36" s="23">
        <v>4795.7000000000007</v>
      </c>
      <c r="U36" s="23">
        <v>4996.3999999999987</v>
      </c>
      <c r="V36" s="23">
        <v>5132.5000000000009</v>
      </c>
      <c r="W36" s="23">
        <v>5378</v>
      </c>
      <c r="X36" s="23">
        <v>5051.3</v>
      </c>
      <c r="Y36" s="23">
        <v>5176.1000000000004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190.1</v>
      </c>
      <c r="E37" s="23">
        <v>180.9</v>
      </c>
      <c r="F37" s="23">
        <v>182</v>
      </c>
      <c r="G37" s="23">
        <v>174.7</v>
      </c>
      <c r="H37" s="23">
        <v>170.4</v>
      </c>
      <c r="I37" s="23">
        <v>167</v>
      </c>
      <c r="J37" s="23">
        <v>164.7</v>
      </c>
      <c r="K37" s="23">
        <v>165.5</v>
      </c>
      <c r="L37" s="23">
        <v>168.8</v>
      </c>
      <c r="M37" s="23">
        <v>178.3</v>
      </c>
      <c r="N37" s="23">
        <v>176.7</v>
      </c>
      <c r="O37" s="23">
        <v>172.5</v>
      </c>
      <c r="P37" s="23">
        <v>171</v>
      </c>
      <c r="Q37" s="23">
        <v>174.5</v>
      </c>
      <c r="R37" s="23">
        <v>172.9</v>
      </c>
      <c r="S37" s="23">
        <v>175.8</v>
      </c>
      <c r="T37" s="23">
        <v>173.8</v>
      </c>
      <c r="U37" s="23">
        <v>172.9</v>
      </c>
      <c r="V37" s="23">
        <v>171.7</v>
      </c>
      <c r="W37" s="23">
        <v>173</v>
      </c>
      <c r="X37" s="23">
        <v>150.69999999999999</v>
      </c>
      <c r="Y37" s="23">
        <v>149.19999999999999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190624.80000000002</v>
      </c>
      <c r="E39" s="30">
        <f t="shared" ref="E39:S39" si="2">SUM(E18:E38)</f>
        <v>197076.59999999995</v>
      </c>
      <c r="F39" s="30">
        <f t="shared" si="2"/>
        <v>202353.40000000005</v>
      </c>
      <c r="G39" s="30">
        <f t="shared" si="2"/>
        <v>207247.69999999998</v>
      </c>
      <c r="H39" s="30">
        <f t="shared" si="2"/>
        <v>216098.29999999996</v>
      </c>
      <c r="I39" s="30">
        <f t="shared" si="2"/>
        <v>225888.10000000003</v>
      </c>
      <c r="J39" s="30">
        <f t="shared" si="2"/>
        <v>239075.99999999994</v>
      </c>
      <c r="K39" s="30">
        <f t="shared" si="2"/>
        <v>253604.7</v>
      </c>
      <c r="L39" s="30">
        <f t="shared" si="2"/>
        <v>262414.79999999993</v>
      </c>
      <c r="M39" s="30">
        <f t="shared" si="2"/>
        <v>256671.00000000003</v>
      </c>
      <c r="N39" s="30">
        <f t="shared" si="2"/>
        <v>263633.49999999994</v>
      </c>
      <c r="O39" s="30">
        <f t="shared" si="2"/>
        <v>276403.99999999988</v>
      </c>
      <c r="P39" s="30">
        <f t="shared" si="2"/>
        <v>283548.19999999995</v>
      </c>
      <c r="Q39" s="30">
        <f t="shared" si="2"/>
        <v>288624.20000000007</v>
      </c>
      <c r="R39" s="30">
        <f t="shared" si="2"/>
        <v>297230.19999999995</v>
      </c>
      <c r="S39" s="30">
        <f t="shared" si="2"/>
        <v>307037.7</v>
      </c>
      <c r="T39" s="30">
        <f t="shared" ref="T39:Y39" si="3">SUM(T18:T38)</f>
        <v>318952.7</v>
      </c>
      <c r="U39" s="30">
        <f t="shared" si="3"/>
        <v>329416.8000000001</v>
      </c>
      <c r="V39" s="30">
        <f t="shared" si="3"/>
        <v>344266.9</v>
      </c>
      <c r="W39" s="30">
        <f t="shared" si="3"/>
        <v>354912.49999999994</v>
      </c>
      <c r="X39" s="30">
        <f t="shared" si="3"/>
        <v>341842.09999999992</v>
      </c>
      <c r="Y39" s="30">
        <f t="shared" si="3"/>
        <v>362447.10000000003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3931.9</v>
      </c>
      <c r="E41" s="19">
        <v>3967.9</v>
      </c>
      <c r="F41" s="19">
        <v>4093</v>
      </c>
      <c r="G41" s="19">
        <v>4254.8999999999996</v>
      </c>
      <c r="H41" s="19">
        <v>4448.5000000000009</v>
      </c>
      <c r="I41" s="19">
        <v>4402.8</v>
      </c>
      <c r="J41" s="19">
        <v>4510.7</v>
      </c>
      <c r="K41" s="19">
        <v>4932.6000000000004</v>
      </c>
      <c r="L41" s="19">
        <v>4731.8</v>
      </c>
      <c r="M41" s="19">
        <v>4997.8</v>
      </c>
      <c r="N41" s="19">
        <v>5099.2</v>
      </c>
      <c r="O41" s="19">
        <v>4907.3999999999987</v>
      </c>
      <c r="P41" s="19">
        <v>5382.1</v>
      </c>
      <c r="Q41" s="19">
        <v>5164.7999999999993</v>
      </c>
      <c r="R41" s="19">
        <v>5505.8</v>
      </c>
      <c r="S41" s="19">
        <v>5647.8</v>
      </c>
      <c r="T41" s="19">
        <v>6010</v>
      </c>
      <c r="U41" s="19">
        <v>6196.3</v>
      </c>
      <c r="V41" s="19">
        <v>6249.6</v>
      </c>
      <c r="W41" s="19">
        <v>6556.8</v>
      </c>
      <c r="X41" s="19">
        <v>6688.5</v>
      </c>
      <c r="Y41" s="19">
        <v>6954.8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1605.2</v>
      </c>
      <c r="E42" s="23">
        <v>1492.3</v>
      </c>
      <c r="F42" s="23">
        <v>1372.3</v>
      </c>
      <c r="G42" s="23">
        <v>1213.9000000000001</v>
      </c>
      <c r="H42" s="23">
        <v>1303.0999999999999</v>
      </c>
      <c r="I42" s="23">
        <v>1221.8</v>
      </c>
      <c r="J42" s="23">
        <v>1249.0999999999999</v>
      </c>
      <c r="K42" s="23">
        <v>1201.5999999999999</v>
      </c>
      <c r="L42" s="23">
        <v>1115.4000000000001</v>
      </c>
      <c r="M42" s="23">
        <v>1021.7000000000002</v>
      </c>
      <c r="N42" s="23">
        <v>1096.0999999999999</v>
      </c>
      <c r="O42" s="23">
        <v>1099.5999999999999</v>
      </c>
      <c r="P42" s="23">
        <v>1028.3</v>
      </c>
      <c r="Q42" s="23">
        <v>1001.6000000000001</v>
      </c>
      <c r="R42" s="23">
        <v>1033.8</v>
      </c>
      <c r="S42" s="23">
        <v>1079.5</v>
      </c>
      <c r="T42" s="23">
        <v>1028.0999999999999</v>
      </c>
      <c r="U42" s="23">
        <v>929.8</v>
      </c>
      <c r="V42" s="23">
        <v>1004.3</v>
      </c>
      <c r="W42" s="23">
        <v>974.8</v>
      </c>
      <c r="X42" s="23">
        <v>891.4</v>
      </c>
      <c r="Y42" s="23">
        <v>910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4806.7</v>
      </c>
      <c r="E43" s="23">
        <v>4981.3</v>
      </c>
      <c r="F43" s="23">
        <v>4873.7</v>
      </c>
      <c r="G43" s="23">
        <v>4797.3999999999996</v>
      </c>
      <c r="H43" s="23">
        <v>4799.1000000000004</v>
      </c>
      <c r="I43" s="23">
        <v>4697.2</v>
      </c>
      <c r="J43" s="23">
        <v>5069.6000000000004</v>
      </c>
      <c r="K43" s="23">
        <v>5333.9</v>
      </c>
      <c r="L43" s="23">
        <v>4997.3999999999996</v>
      </c>
      <c r="M43" s="23">
        <v>4703.5000000000009</v>
      </c>
      <c r="N43" s="23">
        <v>4862.8</v>
      </c>
      <c r="O43" s="23">
        <v>4917.6000000000004</v>
      </c>
      <c r="P43" s="23">
        <v>4889.2</v>
      </c>
      <c r="Q43" s="23">
        <v>4768.7</v>
      </c>
      <c r="R43" s="23">
        <v>4872.8</v>
      </c>
      <c r="S43" s="23">
        <v>5120.8999999999996</v>
      </c>
      <c r="T43" s="23">
        <v>5402.5</v>
      </c>
      <c r="U43" s="23">
        <v>5307.4</v>
      </c>
      <c r="V43" s="23">
        <v>5718.3</v>
      </c>
      <c r="W43" s="23">
        <v>5939.1</v>
      </c>
      <c r="X43" s="23">
        <v>5637.8</v>
      </c>
      <c r="Y43" s="23">
        <v>6041.7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1192.5</v>
      </c>
      <c r="E44" s="23">
        <v>890.1</v>
      </c>
      <c r="F44" s="23">
        <v>729.9</v>
      </c>
      <c r="G44" s="23">
        <v>642.99999999999989</v>
      </c>
      <c r="H44" s="23">
        <v>728.3</v>
      </c>
      <c r="I44" s="23">
        <v>728.9</v>
      </c>
      <c r="J44" s="23">
        <v>551.50000000000011</v>
      </c>
      <c r="K44" s="23">
        <v>521.6</v>
      </c>
      <c r="L44" s="23">
        <v>451</v>
      </c>
      <c r="M44" s="23">
        <v>514.6</v>
      </c>
      <c r="N44" s="23">
        <v>276.39999999999998</v>
      </c>
      <c r="O44" s="23">
        <v>228.6</v>
      </c>
      <c r="P44" s="23">
        <v>264.39999999999998</v>
      </c>
      <c r="Q44" s="23">
        <v>34.4</v>
      </c>
      <c r="R44" s="23">
        <v>2.5</v>
      </c>
      <c r="S44" s="23">
        <v>446.9</v>
      </c>
      <c r="T44" s="23">
        <v>514.4</v>
      </c>
      <c r="U44" s="23">
        <v>579.79999999999995</v>
      </c>
      <c r="V44" s="23">
        <v>932</v>
      </c>
      <c r="W44" s="23">
        <v>1106.0999999999999</v>
      </c>
      <c r="X44" s="23">
        <v>585.79999999999995</v>
      </c>
      <c r="Y44" s="23">
        <v>1212.6999999999998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1464.1</v>
      </c>
      <c r="E45" s="23">
        <v>1732.6</v>
      </c>
      <c r="F45" s="23">
        <v>1564.2</v>
      </c>
      <c r="G45" s="23">
        <v>1609.1</v>
      </c>
      <c r="H45" s="23">
        <v>1611.8</v>
      </c>
      <c r="I45" s="23">
        <v>1630.4</v>
      </c>
      <c r="J45" s="23">
        <v>1935.4</v>
      </c>
      <c r="K45" s="23">
        <v>2058.3000000000002</v>
      </c>
      <c r="L45" s="23">
        <v>1998.7</v>
      </c>
      <c r="M45" s="23">
        <v>1915.2</v>
      </c>
      <c r="N45" s="23">
        <v>1944.3999999999996</v>
      </c>
      <c r="O45" s="23">
        <v>2134.1999999999998</v>
      </c>
      <c r="P45" s="23">
        <v>1849.2</v>
      </c>
      <c r="Q45" s="23">
        <v>2166.9</v>
      </c>
      <c r="R45" s="23">
        <v>2412.1999999999998</v>
      </c>
      <c r="S45" s="23">
        <v>2750.7</v>
      </c>
      <c r="T45" s="23">
        <v>3513.9</v>
      </c>
      <c r="U45" s="23">
        <v>3180.6</v>
      </c>
      <c r="V45" s="23">
        <v>2980.9</v>
      </c>
      <c r="W45" s="23">
        <v>2832.2</v>
      </c>
      <c r="X45" s="23">
        <v>3086.6</v>
      </c>
      <c r="Y45" s="23">
        <v>4687.0000000000009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1169.7</v>
      </c>
      <c r="E46" s="23">
        <v>1080.2</v>
      </c>
      <c r="F46" s="23">
        <v>1118.3</v>
      </c>
      <c r="G46" s="23">
        <v>1205.4000000000001</v>
      </c>
      <c r="H46" s="23">
        <v>1114.5</v>
      </c>
      <c r="I46" s="23">
        <v>1486.7</v>
      </c>
      <c r="J46" s="23">
        <v>1505</v>
      </c>
      <c r="K46" s="23">
        <v>1809.9</v>
      </c>
      <c r="L46" s="23">
        <v>1470.7</v>
      </c>
      <c r="M46" s="23">
        <v>1723</v>
      </c>
      <c r="N46" s="23">
        <v>1795.4</v>
      </c>
      <c r="O46" s="23">
        <v>1874.5</v>
      </c>
      <c r="P46" s="23">
        <v>1973.6</v>
      </c>
      <c r="Q46" s="23">
        <v>1976.9000000000003</v>
      </c>
      <c r="R46" s="23">
        <v>2116.9</v>
      </c>
      <c r="S46" s="23">
        <v>2190.1999999999998</v>
      </c>
      <c r="T46" s="23">
        <v>2266.9</v>
      </c>
      <c r="U46" s="23">
        <v>2363.8000000000006</v>
      </c>
      <c r="V46" s="23">
        <v>2307.5</v>
      </c>
      <c r="W46" s="23">
        <v>2578.3000000000002</v>
      </c>
      <c r="X46" s="23">
        <v>2688.4</v>
      </c>
      <c r="Y46" s="23">
        <v>2697.5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3931.8</v>
      </c>
      <c r="E47" s="23">
        <v>3918.2</v>
      </c>
      <c r="F47" s="23">
        <v>3941.1</v>
      </c>
      <c r="G47" s="23">
        <v>4032.1</v>
      </c>
      <c r="H47" s="23">
        <v>4193.2</v>
      </c>
      <c r="I47" s="23">
        <v>4307.6000000000004</v>
      </c>
      <c r="J47" s="23">
        <v>4637.8</v>
      </c>
      <c r="K47" s="23">
        <v>4921</v>
      </c>
      <c r="L47" s="23">
        <v>4670.6000000000013</v>
      </c>
      <c r="M47" s="23">
        <v>4213.3999999999987</v>
      </c>
      <c r="N47" s="23">
        <v>4414.7</v>
      </c>
      <c r="O47" s="23">
        <v>4666.1000000000004</v>
      </c>
      <c r="P47" s="23">
        <v>4581.1000000000004</v>
      </c>
      <c r="Q47" s="23">
        <v>4751.8999999999996</v>
      </c>
      <c r="R47" s="23">
        <v>5034.3</v>
      </c>
      <c r="S47" s="23">
        <v>4950.6000000000004</v>
      </c>
      <c r="T47" s="23">
        <v>5156.2</v>
      </c>
      <c r="U47" s="23">
        <v>5240.3</v>
      </c>
      <c r="V47" s="23">
        <v>5178.7</v>
      </c>
      <c r="W47" s="23">
        <v>5466.6</v>
      </c>
      <c r="X47" s="23">
        <v>5009.8</v>
      </c>
      <c r="Y47" s="23">
        <v>5133.6000000000004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5795.4</v>
      </c>
      <c r="E48" s="23">
        <v>6349.8</v>
      </c>
      <c r="F48" s="23">
        <v>6087</v>
      </c>
      <c r="G48" s="23">
        <v>6369.4</v>
      </c>
      <c r="H48" s="23">
        <v>6836.2</v>
      </c>
      <c r="I48" s="23">
        <v>7484.8</v>
      </c>
      <c r="J48" s="23">
        <v>8393.1</v>
      </c>
      <c r="K48" s="23">
        <v>9006.2999999999993</v>
      </c>
      <c r="L48" s="23">
        <v>8922.2999999999993</v>
      </c>
      <c r="M48" s="23">
        <v>7758.6</v>
      </c>
      <c r="N48" s="23">
        <v>7898.3999999999987</v>
      </c>
      <c r="O48" s="23">
        <v>8533.2999999999993</v>
      </c>
      <c r="P48" s="23">
        <v>8843.1</v>
      </c>
      <c r="Q48" s="23">
        <v>8918.5999999999985</v>
      </c>
      <c r="R48" s="23">
        <v>9145.2999999999975</v>
      </c>
      <c r="S48" s="23">
        <v>9927.7999999999993</v>
      </c>
      <c r="T48" s="23">
        <v>10153.700000000001</v>
      </c>
      <c r="U48" s="23">
        <v>10496.6</v>
      </c>
      <c r="V48" s="23">
        <v>11005.7</v>
      </c>
      <c r="W48" s="23">
        <v>10817.2</v>
      </c>
      <c r="X48" s="23">
        <v>9792.4</v>
      </c>
      <c r="Y48" s="23">
        <v>10849.7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3029.1</v>
      </c>
      <c r="E49" s="23">
        <v>3112.8</v>
      </c>
      <c r="F49" s="23">
        <v>3011.7</v>
      </c>
      <c r="G49" s="23">
        <v>2930.3</v>
      </c>
      <c r="H49" s="23">
        <v>3070.3</v>
      </c>
      <c r="I49" s="23">
        <v>3410.7000000000007</v>
      </c>
      <c r="J49" s="23">
        <v>3727.9999999999995</v>
      </c>
      <c r="K49" s="23">
        <v>2595.5000000000005</v>
      </c>
      <c r="L49" s="23">
        <v>2497.6999999999998</v>
      </c>
      <c r="M49" s="23">
        <v>2300.1999999999998</v>
      </c>
      <c r="N49" s="23">
        <v>2313</v>
      </c>
      <c r="O49" s="23">
        <v>2721.8</v>
      </c>
      <c r="P49" s="23">
        <v>2750.4</v>
      </c>
      <c r="Q49" s="23">
        <v>2899.1</v>
      </c>
      <c r="R49" s="23">
        <v>2892.8</v>
      </c>
      <c r="S49" s="23">
        <v>2856.9</v>
      </c>
      <c r="T49" s="23">
        <v>3299.1</v>
      </c>
      <c r="U49" s="23">
        <v>3368.7</v>
      </c>
      <c r="V49" s="23">
        <v>3847.9</v>
      </c>
      <c r="W49" s="23">
        <v>4104.7</v>
      </c>
      <c r="X49" s="23">
        <v>3801.4</v>
      </c>
      <c r="Y49" s="23">
        <v>4531.6000000000004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2203.8000000000002</v>
      </c>
      <c r="E50" s="23">
        <v>2293</v>
      </c>
      <c r="F50" s="23">
        <v>2301.1999999999998</v>
      </c>
      <c r="G50" s="23">
        <v>2277.5</v>
      </c>
      <c r="H50" s="23">
        <v>2247.6</v>
      </c>
      <c r="I50" s="23">
        <v>2235.4</v>
      </c>
      <c r="J50" s="23">
        <v>2486.4</v>
      </c>
      <c r="K50" s="23">
        <v>3917.5000000000005</v>
      </c>
      <c r="L50" s="23">
        <v>4590.2</v>
      </c>
      <c r="M50" s="23">
        <v>4568.6000000000013</v>
      </c>
      <c r="N50" s="23">
        <v>4660.3999999999996</v>
      </c>
      <c r="O50" s="23">
        <v>4359.6000000000004</v>
      </c>
      <c r="P50" s="23">
        <v>4996.5000000000009</v>
      </c>
      <c r="Q50" s="23">
        <v>4546</v>
      </c>
      <c r="R50" s="23">
        <v>4599.7</v>
      </c>
      <c r="S50" s="23">
        <v>4815</v>
      </c>
      <c r="T50" s="23">
        <v>5152.2</v>
      </c>
      <c r="U50" s="23">
        <v>5583.2</v>
      </c>
      <c r="V50" s="23">
        <v>5777.6</v>
      </c>
      <c r="W50" s="23">
        <v>5296.1</v>
      </c>
      <c r="X50" s="23">
        <v>4489.8</v>
      </c>
      <c r="Y50" s="23">
        <v>4848.7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3954.3</v>
      </c>
      <c r="E51" s="23">
        <v>4287.3</v>
      </c>
      <c r="F51" s="23">
        <v>4455.5</v>
      </c>
      <c r="G51" s="23">
        <v>4533.5</v>
      </c>
      <c r="H51" s="23">
        <v>4868.2000000000007</v>
      </c>
      <c r="I51" s="23">
        <v>5176.6000000000004</v>
      </c>
      <c r="J51" s="23">
        <v>5710</v>
      </c>
      <c r="K51" s="23">
        <v>6348</v>
      </c>
      <c r="L51" s="23">
        <v>6700.2</v>
      </c>
      <c r="M51" s="23">
        <v>5787.2</v>
      </c>
      <c r="N51" s="23">
        <v>6164.9</v>
      </c>
      <c r="O51" s="23">
        <v>7334.2</v>
      </c>
      <c r="P51" s="23">
        <v>7482.2</v>
      </c>
      <c r="Q51" s="23">
        <v>7695</v>
      </c>
      <c r="R51" s="23">
        <v>7764.4</v>
      </c>
      <c r="S51" s="23">
        <v>8116.7</v>
      </c>
      <c r="T51" s="23">
        <v>8180.6</v>
      </c>
      <c r="U51" s="23">
        <v>8704.7000000000007</v>
      </c>
      <c r="V51" s="23">
        <v>8962.1</v>
      </c>
      <c r="W51" s="23">
        <v>9151.2999999999993</v>
      </c>
      <c r="X51" s="23">
        <v>8509.2999999999993</v>
      </c>
      <c r="Y51" s="23">
        <v>9242.2999999999993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2813.5</v>
      </c>
      <c r="E52" s="23">
        <v>3049.1</v>
      </c>
      <c r="F52" s="23">
        <v>3310.0000000000005</v>
      </c>
      <c r="G52" s="23">
        <v>3494.7</v>
      </c>
      <c r="H52" s="23">
        <v>3697.6</v>
      </c>
      <c r="I52" s="23">
        <v>4159.3</v>
      </c>
      <c r="J52" s="23">
        <v>4526.5</v>
      </c>
      <c r="K52" s="23">
        <v>4848.6000000000004</v>
      </c>
      <c r="L52" s="23">
        <v>4786.3999999999996</v>
      </c>
      <c r="M52" s="23">
        <v>3863.7</v>
      </c>
      <c r="N52" s="23">
        <v>3860.9</v>
      </c>
      <c r="O52" s="23">
        <v>4228.6000000000004</v>
      </c>
      <c r="P52" s="23">
        <v>4440.3</v>
      </c>
      <c r="Q52" s="23">
        <v>4551.1000000000004</v>
      </c>
      <c r="R52" s="23">
        <v>4697.8</v>
      </c>
      <c r="S52" s="23">
        <v>4580.8999999999996</v>
      </c>
      <c r="T52" s="23">
        <v>5115.1000000000004</v>
      </c>
      <c r="U52" s="23">
        <v>5063.8999999999996</v>
      </c>
      <c r="V52" s="23">
        <v>5855.5</v>
      </c>
      <c r="W52" s="23">
        <v>5930.1</v>
      </c>
      <c r="X52" s="23">
        <v>5571.9</v>
      </c>
      <c r="Y52" s="23">
        <v>6109.5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3010.3000000000193</v>
      </c>
      <c r="E53" s="23">
        <v>3292.0999999999931</v>
      </c>
      <c r="F53" s="23">
        <v>3334.9000000000296</v>
      </c>
      <c r="G53" s="23">
        <v>3106.2000000000053</v>
      </c>
      <c r="H53" s="23">
        <v>3096.0999999999708</v>
      </c>
      <c r="I53" s="23">
        <v>3286.599999999994</v>
      </c>
      <c r="J53" s="23">
        <v>3432.2999999999838</v>
      </c>
      <c r="K53" s="23">
        <v>4057.5000000000045</v>
      </c>
      <c r="L53" s="23">
        <v>4233.6000000000049</v>
      </c>
      <c r="M53" s="23">
        <v>3762.2000000000307</v>
      </c>
      <c r="N53" s="23">
        <v>4372.5999999999603</v>
      </c>
      <c r="O53" s="23">
        <v>4462.0999999999631</v>
      </c>
      <c r="P53" s="23">
        <v>4754.099999999994</v>
      </c>
      <c r="Q53" s="23">
        <v>4956.2000000000544</v>
      </c>
      <c r="R53" s="23">
        <v>5090.6000000000095</v>
      </c>
      <c r="S53" s="23">
        <v>4974.7000000000553</v>
      </c>
      <c r="T53" s="23">
        <v>5170.0999999999713</v>
      </c>
      <c r="U53" s="23">
        <v>5195.5000000000227</v>
      </c>
      <c r="V53" s="23">
        <v>5016.6999999999707</v>
      </c>
      <c r="W53" s="23">
        <v>5140.5999999999531</v>
      </c>
      <c r="X53" s="23">
        <v>4854.1000000000022</v>
      </c>
      <c r="Y53" s="23">
        <v>5367.2999999999547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38908.300000000017</v>
      </c>
      <c r="E54" s="30">
        <f t="shared" ref="E54:S54" si="4">SUM(E41:E53)</f>
        <v>40446.69999999999</v>
      </c>
      <c r="F54" s="30">
        <f t="shared" si="4"/>
        <v>40192.800000000032</v>
      </c>
      <c r="G54" s="30">
        <f t="shared" si="4"/>
        <v>40467.4</v>
      </c>
      <c r="H54" s="30">
        <f t="shared" si="4"/>
        <v>42014.499999999971</v>
      </c>
      <c r="I54" s="30">
        <f t="shared" si="4"/>
        <v>44228.799999999996</v>
      </c>
      <c r="J54" s="30">
        <f t="shared" si="4"/>
        <v>47735.39999999998</v>
      </c>
      <c r="K54" s="30">
        <f t="shared" si="4"/>
        <v>51552.30000000001</v>
      </c>
      <c r="L54" s="30">
        <f t="shared" si="4"/>
        <v>51166.000000000007</v>
      </c>
      <c r="M54" s="30">
        <f t="shared" si="4"/>
        <v>47129.700000000033</v>
      </c>
      <c r="N54" s="30">
        <f t="shared" si="4"/>
        <v>48759.199999999961</v>
      </c>
      <c r="O54" s="30">
        <f t="shared" si="4"/>
        <v>51467.599999999955</v>
      </c>
      <c r="P54" s="30">
        <f t="shared" si="4"/>
        <v>53234.499999999993</v>
      </c>
      <c r="Q54" s="30">
        <f t="shared" si="4"/>
        <v>53431.200000000048</v>
      </c>
      <c r="R54" s="30">
        <f t="shared" si="4"/>
        <v>55168.900000000009</v>
      </c>
      <c r="S54" s="30">
        <f t="shared" si="4"/>
        <v>57458.600000000049</v>
      </c>
      <c r="T54" s="30">
        <f t="shared" ref="T54:Y54" si="5">SUM(T41:T53)</f>
        <v>60962.799999999967</v>
      </c>
      <c r="U54" s="30">
        <f t="shared" si="5"/>
        <v>62210.60000000002</v>
      </c>
      <c r="V54" s="30">
        <f t="shared" si="5"/>
        <v>64836.799999999967</v>
      </c>
      <c r="W54" s="30">
        <f t="shared" si="5"/>
        <v>65893.899999999951</v>
      </c>
      <c r="X54" s="30">
        <f t="shared" si="5"/>
        <v>61607.199999999997</v>
      </c>
      <c r="Y54" s="30">
        <f t="shared" si="5"/>
        <v>68586.399999999951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3931.9</v>
      </c>
      <c r="E56" s="19">
        <v>3967.9</v>
      </c>
      <c r="F56" s="19">
        <v>4093</v>
      </c>
      <c r="G56" s="19">
        <v>4254.8999999999996</v>
      </c>
      <c r="H56" s="19">
        <v>4448.5000000000009</v>
      </c>
      <c r="I56" s="19">
        <v>4402.8</v>
      </c>
      <c r="J56" s="19">
        <v>4510.7</v>
      </c>
      <c r="K56" s="19">
        <v>4932.6000000000004</v>
      </c>
      <c r="L56" s="19">
        <v>4731.8</v>
      </c>
      <c r="M56" s="19">
        <v>4997.8</v>
      </c>
      <c r="N56" s="19">
        <v>5099.2</v>
      </c>
      <c r="O56" s="19">
        <v>4907.3999999999987</v>
      </c>
      <c r="P56" s="19">
        <v>5382.1</v>
      </c>
      <c r="Q56" s="19">
        <v>5164.7999999999993</v>
      </c>
      <c r="R56" s="19">
        <v>5505.8</v>
      </c>
      <c r="S56" s="19">
        <v>5647.8</v>
      </c>
      <c r="T56" s="19">
        <v>6010</v>
      </c>
      <c r="U56" s="19">
        <v>6196.3</v>
      </c>
      <c r="V56" s="19">
        <v>6249.6</v>
      </c>
      <c r="W56" s="19">
        <v>6556.8</v>
      </c>
      <c r="X56" s="19">
        <v>6688.5</v>
      </c>
      <c r="Y56" s="19">
        <v>6954.8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1605.2</v>
      </c>
      <c r="E57" s="23">
        <v>1492.3</v>
      </c>
      <c r="F57" s="23">
        <v>1372.3</v>
      </c>
      <c r="G57" s="23">
        <v>1213.9000000000001</v>
      </c>
      <c r="H57" s="23">
        <v>1303.0999999999999</v>
      </c>
      <c r="I57" s="23">
        <v>1221.8</v>
      </c>
      <c r="J57" s="23">
        <v>1249.0999999999999</v>
      </c>
      <c r="K57" s="23">
        <v>1201.5999999999999</v>
      </c>
      <c r="L57" s="23">
        <v>1115.4000000000001</v>
      </c>
      <c r="M57" s="23">
        <v>1021.7000000000002</v>
      </c>
      <c r="N57" s="23">
        <v>1096.0999999999999</v>
      </c>
      <c r="O57" s="23">
        <v>1099.5999999999999</v>
      </c>
      <c r="P57" s="23">
        <v>1028.3</v>
      </c>
      <c r="Q57" s="23">
        <v>1001.6000000000001</v>
      </c>
      <c r="R57" s="23">
        <v>1033.8</v>
      </c>
      <c r="S57" s="23">
        <v>1079.5</v>
      </c>
      <c r="T57" s="23">
        <v>1028.0999999999999</v>
      </c>
      <c r="U57" s="23">
        <v>929.8</v>
      </c>
      <c r="V57" s="23">
        <v>1004.3</v>
      </c>
      <c r="W57" s="23">
        <v>974.8</v>
      </c>
      <c r="X57" s="23">
        <v>891.4</v>
      </c>
      <c r="Y57" s="23">
        <v>910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1702.9999999999998</v>
      </c>
      <c r="E58" s="23">
        <v>1766.4</v>
      </c>
      <c r="F58" s="23">
        <v>1758.3</v>
      </c>
      <c r="G58" s="23">
        <v>1792.2</v>
      </c>
      <c r="H58" s="23">
        <v>1869.6</v>
      </c>
      <c r="I58" s="23">
        <v>1821.0000000000002</v>
      </c>
      <c r="J58" s="23">
        <v>2116.1999999999998</v>
      </c>
      <c r="K58" s="23">
        <v>2336.4</v>
      </c>
      <c r="L58" s="23">
        <v>2124.1999999999998</v>
      </c>
      <c r="M58" s="23">
        <v>1893.0999999999997</v>
      </c>
      <c r="N58" s="23">
        <v>2049.9</v>
      </c>
      <c r="O58" s="23">
        <v>2083.9</v>
      </c>
      <c r="P58" s="23">
        <v>2034.9</v>
      </c>
      <c r="Q58" s="23">
        <v>2058.3000000000006</v>
      </c>
      <c r="R58" s="23">
        <v>2097.1</v>
      </c>
      <c r="S58" s="23">
        <v>2291.5</v>
      </c>
      <c r="T58" s="23">
        <v>2441.6</v>
      </c>
      <c r="U58" s="23">
        <v>2459.6000000000004</v>
      </c>
      <c r="V58" s="23">
        <v>2699.8</v>
      </c>
      <c r="W58" s="23">
        <v>2876.8</v>
      </c>
      <c r="X58" s="23">
        <v>2868.8</v>
      </c>
      <c r="Y58" s="23">
        <v>3474.5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1783.0000000000002</v>
      </c>
      <c r="E59" s="23">
        <v>1942.5</v>
      </c>
      <c r="F59" s="23">
        <v>1856.8</v>
      </c>
      <c r="G59" s="23">
        <v>1748.4</v>
      </c>
      <c r="H59" s="23">
        <v>1714.8</v>
      </c>
      <c r="I59" s="23">
        <v>1683.7</v>
      </c>
      <c r="J59" s="23">
        <v>1742.3</v>
      </c>
      <c r="K59" s="23">
        <v>1771.4</v>
      </c>
      <c r="L59" s="23">
        <v>1621.9</v>
      </c>
      <c r="M59" s="23">
        <v>1649.2</v>
      </c>
      <c r="N59" s="23">
        <v>1695</v>
      </c>
      <c r="O59" s="23">
        <v>1734.9</v>
      </c>
      <c r="P59" s="23">
        <v>1782</v>
      </c>
      <c r="Q59" s="23">
        <v>1727.9</v>
      </c>
      <c r="R59" s="23">
        <v>1838.3</v>
      </c>
      <c r="S59" s="23">
        <v>1902.9</v>
      </c>
      <c r="T59" s="23">
        <v>2058.1999999999998</v>
      </c>
      <c r="U59" s="23">
        <v>1970.4</v>
      </c>
      <c r="V59" s="23">
        <v>2209.1999999999998</v>
      </c>
      <c r="W59" s="23">
        <v>2287.9</v>
      </c>
      <c r="X59" s="23">
        <v>2072.8000000000002</v>
      </c>
      <c r="Y59" s="23">
        <v>1909.7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1320.7</v>
      </c>
      <c r="E60" s="23">
        <v>1272.4000000000001</v>
      </c>
      <c r="F60" s="23">
        <v>1258.6000000000001</v>
      </c>
      <c r="G60" s="23">
        <v>1256.7999999999995</v>
      </c>
      <c r="H60" s="23">
        <v>1214.7000000000005</v>
      </c>
      <c r="I60" s="23">
        <v>1192.5</v>
      </c>
      <c r="J60" s="23">
        <v>1211.1000000000013</v>
      </c>
      <c r="K60" s="23">
        <v>1226.0999999999997</v>
      </c>
      <c r="L60" s="23">
        <v>1251.2999999999997</v>
      </c>
      <c r="M60" s="23">
        <v>1161.2000000000005</v>
      </c>
      <c r="N60" s="23">
        <v>1117.9000000000001</v>
      </c>
      <c r="O60" s="23">
        <v>1098.8000000000004</v>
      </c>
      <c r="P60" s="23">
        <v>1072.2999999999997</v>
      </c>
      <c r="Q60" s="23">
        <v>982.49999999999966</v>
      </c>
      <c r="R60" s="23">
        <v>937.40000000000032</v>
      </c>
      <c r="S60" s="23">
        <v>926.49999999999955</v>
      </c>
      <c r="T60" s="23">
        <v>902.70000000000027</v>
      </c>
      <c r="U60" s="23">
        <v>877.39999999999986</v>
      </c>
      <c r="V60" s="23">
        <v>809.3</v>
      </c>
      <c r="W60" s="23">
        <v>774.3999999999993</v>
      </c>
      <c r="X60" s="23">
        <v>696.19999999999925</v>
      </c>
      <c r="Y60" s="23">
        <v>657.50000000000034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1192.5</v>
      </c>
      <c r="E61" s="23">
        <v>890.1</v>
      </c>
      <c r="F61" s="23">
        <v>729.9</v>
      </c>
      <c r="G61" s="23">
        <v>642.99999999999989</v>
      </c>
      <c r="H61" s="23">
        <v>728.3</v>
      </c>
      <c r="I61" s="23">
        <v>728.9</v>
      </c>
      <c r="J61" s="23">
        <v>551.50000000000011</v>
      </c>
      <c r="K61" s="23">
        <v>521.6</v>
      </c>
      <c r="L61" s="23">
        <v>451</v>
      </c>
      <c r="M61" s="23">
        <v>514.6</v>
      </c>
      <c r="N61" s="23">
        <v>276.39999999999998</v>
      </c>
      <c r="O61" s="23">
        <v>228.6</v>
      </c>
      <c r="P61" s="23">
        <v>264.39999999999998</v>
      </c>
      <c r="Q61" s="23">
        <v>34.4</v>
      </c>
      <c r="R61" s="23">
        <v>2.5</v>
      </c>
      <c r="S61" s="23">
        <v>446.9</v>
      </c>
      <c r="T61" s="23">
        <v>514.4</v>
      </c>
      <c r="U61" s="23">
        <v>579.79999999999995</v>
      </c>
      <c r="V61" s="23">
        <v>932</v>
      </c>
      <c r="W61" s="23">
        <v>1106.0999999999999</v>
      </c>
      <c r="X61" s="23">
        <v>585.79999999999995</v>
      </c>
      <c r="Y61" s="23">
        <v>1212.6999999999998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1464.1</v>
      </c>
      <c r="E62" s="23">
        <v>1732.6</v>
      </c>
      <c r="F62" s="23">
        <v>1564.2</v>
      </c>
      <c r="G62" s="23">
        <v>1609.1</v>
      </c>
      <c r="H62" s="23">
        <v>1611.8</v>
      </c>
      <c r="I62" s="23">
        <v>1630.4</v>
      </c>
      <c r="J62" s="23">
        <v>1935.4</v>
      </c>
      <c r="K62" s="23">
        <v>2058.3000000000002</v>
      </c>
      <c r="L62" s="23">
        <v>1998.7</v>
      </c>
      <c r="M62" s="23">
        <v>1915.2</v>
      </c>
      <c r="N62" s="23">
        <v>1944.3999999999996</v>
      </c>
      <c r="O62" s="23">
        <v>2134.1999999999998</v>
      </c>
      <c r="P62" s="23">
        <v>1849.2</v>
      </c>
      <c r="Q62" s="23">
        <v>2166.9</v>
      </c>
      <c r="R62" s="23">
        <v>2412.1999999999998</v>
      </c>
      <c r="S62" s="23">
        <v>2750.7</v>
      </c>
      <c r="T62" s="23">
        <v>3513.9</v>
      </c>
      <c r="U62" s="23">
        <v>3180.6</v>
      </c>
      <c r="V62" s="23">
        <v>2980.9</v>
      </c>
      <c r="W62" s="23">
        <v>2832.2</v>
      </c>
      <c r="X62" s="23">
        <v>3086.6</v>
      </c>
      <c r="Y62" s="23">
        <v>4687.0000000000009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1169.7</v>
      </c>
      <c r="E63" s="23">
        <v>1080.2</v>
      </c>
      <c r="F63" s="23">
        <v>1118.3</v>
      </c>
      <c r="G63" s="23">
        <v>1205.4000000000001</v>
      </c>
      <c r="H63" s="23">
        <v>1114.5</v>
      </c>
      <c r="I63" s="23">
        <v>1486.7</v>
      </c>
      <c r="J63" s="23">
        <v>1505</v>
      </c>
      <c r="K63" s="23">
        <v>1809.9</v>
      </c>
      <c r="L63" s="23">
        <v>1470.7</v>
      </c>
      <c r="M63" s="23">
        <v>1723</v>
      </c>
      <c r="N63" s="23">
        <v>1795.4</v>
      </c>
      <c r="O63" s="23">
        <v>1874.5</v>
      </c>
      <c r="P63" s="23">
        <v>1973.6</v>
      </c>
      <c r="Q63" s="23">
        <v>1976.9000000000003</v>
      </c>
      <c r="R63" s="23">
        <v>2116.9</v>
      </c>
      <c r="S63" s="23">
        <v>2190.1999999999998</v>
      </c>
      <c r="T63" s="23">
        <v>2266.9</v>
      </c>
      <c r="U63" s="23">
        <v>2363.8000000000006</v>
      </c>
      <c r="V63" s="23">
        <v>2307.5</v>
      </c>
      <c r="W63" s="23">
        <v>2578.3000000000002</v>
      </c>
      <c r="X63" s="23">
        <v>2688.4</v>
      </c>
      <c r="Y63" s="23">
        <v>2697.5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1606.8</v>
      </c>
      <c r="E64" s="23">
        <v>1583.1</v>
      </c>
      <c r="F64" s="23">
        <v>1612.4</v>
      </c>
      <c r="G64" s="23">
        <v>1592.9</v>
      </c>
      <c r="H64" s="23">
        <v>1698.1</v>
      </c>
      <c r="I64" s="23">
        <v>1680.7</v>
      </c>
      <c r="J64" s="23">
        <v>1867.8</v>
      </c>
      <c r="K64" s="23">
        <v>1998.9999999999998</v>
      </c>
      <c r="L64" s="23">
        <v>2007.6</v>
      </c>
      <c r="M64" s="23">
        <v>1888.3</v>
      </c>
      <c r="N64" s="23">
        <v>1975.6000000000004</v>
      </c>
      <c r="O64" s="23">
        <v>2215.6</v>
      </c>
      <c r="P64" s="23">
        <v>2156.6000000000004</v>
      </c>
      <c r="Q64" s="23">
        <v>2271.9999999999995</v>
      </c>
      <c r="R64" s="23">
        <v>2443.9</v>
      </c>
      <c r="S64" s="23">
        <v>2397.5</v>
      </c>
      <c r="T64" s="23">
        <v>2556.1999999999994</v>
      </c>
      <c r="U64" s="23">
        <v>2562.3999999999996</v>
      </c>
      <c r="V64" s="23">
        <v>2532.1</v>
      </c>
      <c r="W64" s="23">
        <v>2638</v>
      </c>
      <c r="X64" s="23">
        <v>2453.1</v>
      </c>
      <c r="Y64" s="23">
        <v>2517.3999999999996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2325.0000000000005</v>
      </c>
      <c r="E65" s="23">
        <v>2335.1</v>
      </c>
      <c r="F65" s="23">
        <v>2328.7000000000003</v>
      </c>
      <c r="G65" s="23">
        <v>2439.1999999999998</v>
      </c>
      <c r="H65" s="23">
        <v>2495.1000000000004</v>
      </c>
      <c r="I65" s="23">
        <v>2626.9000000000005</v>
      </c>
      <c r="J65" s="23">
        <v>2770</v>
      </c>
      <c r="K65" s="23">
        <v>2922.0000000000005</v>
      </c>
      <c r="L65" s="23">
        <v>2663.0000000000005</v>
      </c>
      <c r="M65" s="23">
        <v>2325.099999999999</v>
      </c>
      <c r="N65" s="23">
        <v>2439.1</v>
      </c>
      <c r="O65" s="23">
        <v>2450.5000000000009</v>
      </c>
      <c r="P65" s="23">
        <v>2424.5</v>
      </c>
      <c r="Q65" s="23">
        <v>2479.8999999999996</v>
      </c>
      <c r="R65" s="23">
        <v>2590.4</v>
      </c>
      <c r="S65" s="23">
        <v>2553.1000000000004</v>
      </c>
      <c r="T65" s="23">
        <v>2600.0000000000009</v>
      </c>
      <c r="U65" s="23">
        <v>2677.9000000000005</v>
      </c>
      <c r="V65" s="23">
        <v>2646.6</v>
      </c>
      <c r="W65" s="23">
        <v>2828.6</v>
      </c>
      <c r="X65" s="23">
        <v>2556.7000000000007</v>
      </c>
      <c r="Y65" s="23">
        <v>2616.2000000000007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2315.8000000000002</v>
      </c>
      <c r="E66" s="23">
        <v>2571.4</v>
      </c>
      <c r="F66" s="23">
        <v>2269.5</v>
      </c>
      <c r="G66" s="23">
        <v>2361.9</v>
      </c>
      <c r="H66" s="23">
        <v>2750.2</v>
      </c>
      <c r="I66" s="23">
        <v>3343.3</v>
      </c>
      <c r="J66" s="23">
        <v>3561.5</v>
      </c>
      <c r="K66" s="23">
        <v>3916.5</v>
      </c>
      <c r="L66" s="23">
        <v>3988.5</v>
      </c>
      <c r="M66" s="23">
        <v>2989.8</v>
      </c>
      <c r="N66" s="23">
        <v>3364</v>
      </c>
      <c r="O66" s="23">
        <v>3567.7</v>
      </c>
      <c r="P66" s="23">
        <v>3754.8</v>
      </c>
      <c r="Q66" s="23">
        <v>3448.6</v>
      </c>
      <c r="R66" s="23">
        <v>3679.8</v>
      </c>
      <c r="S66" s="23">
        <v>4182.3</v>
      </c>
      <c r="T66" s="23">
        <v>3952.3</v>
      </c>
      <c r="U66" s="23">
        <v>4178.8999999999996</v>
      </c>
      <c r="V66" s="23">
        <v>4501.1000000000004</v>
      </c>
      <c r="W66" s="23">
        <v>4201</v>
      </c>
      <c r="X66" s="23">
        <v>3505.3</v>
      </c>
      <c r="Y66" s="23">
        <v>4005.1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3479.5999999999995</v>
      </c>
      <c r="E67" s="23">
        <v>3778.4</v>
      </c>
      <c r="F67" s="23">
        <v>3817.5</v>
      </c>
      <c r="G67" s="23">
        <v>4007.5000000000005</v>
      </c>
      <c r="H67" s="23">
        <v>4085.9999999999995</v>
      </c>
      <c r="I67" s="23">
        <v>4141.5</v>
      </c>
      <c r="J67" s="23">
        <v>4831.6000000000004</v>
      </c>
      <c r="K67" s="23">
        <v>5089.7999999999993</v>
      </c>
      <c r="L67" s="23">
        <v>4933.7999999999993</v>
      </c>
      <c r="M67" s="23">
        <v>4768.8</v>
      </c>
      <c r="N67" s="23">
        <v>4534.3999999999996</v>
      </c>
      <c r="O67" s="23">
        <v>4965.5999999999985</v>
      </c>
      <c r="P67" s="23">
        <v>5088.2999999999993</v>
      </c>
      <c r="Q67" s="23">
        <v>5470</v>
      </c>
      <c r="R67" s="23">
        <v>5465.4999999999973</v>
      </c>
      <c r="S67" s="23">
        <v>5745.4999999999991</v>
      </c>
      <c r="T67" s="23">
        <v>6201.4000000000024</v>
      </c>
      <c r="U67" s="23">
        <v>6317.7000000000007</v>
      </c>
      <c r="V67" s="23">
        <v>6504.5999999999985</v>
      </c>
      <c r="W67" s="23">
        <v>6616.1999999999989</v>
      </c>
      <c r="X67" s="23">
        <v>6287.1</v>
      </c>
      <c r="Y67" s="23">
        <v>6844.6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3029.1</v>
      </c>
      <c r="E68" s="23">
        <v>3112.8</v>
      </c>
      <c r="F68" s="23">
        <v>3011.7</v>
      </c>
      <c r="G68" s="23">
        <v>2930.3</v>
      </c>
      <c r="H68" s="23">
        <v>3070.3</v>
      </c>
      <c r="I68" s="23">
        <v>3410.7000000000007</v>
      </c>
      <c r="J68" s="23">
        <v>3727.9999999999995</v>
      </c>
      <c r="K68" s="23">
        <v>2595.5000000000005</v>
      </c>
      <c r="L68" s="23">
        <v>2497.6999999999998</v>
      </c>
      <c r="M68" s="23">
        <v>2300.1999999999998</v>
      </c>
      <c r="N68" s="23">
        <v>2313</v>
      </c>
      <c r="O68" s="23">
        <v>2721.8</v>
      </c>
      <c r="P68" s="23">
        <v>2750.4</v>
      </c>
      <c r="Q68" s="23">
        <v>2899.1</v>
      </c>
      <c r="R68" s="23">
        <v>2892.8</v>
      </c>
      <c r="S68" s="23">
        <v>2856.9</v>
      </c>
      <c r="T68" s="23">
        <v>3299.1</v>
      </c>
      <c r="U68" s="23">
        <v>3368.7</v>
      </c>
      <c r="V68" s="23">
        <v>3847.9</v>
      </c>
      <c r="W68" s="23">
        <v>4104.7</v>
      </c>
      <c r="X68" s="23">
        <v>3801.4</v>
      </c>
      <c r="Y68" s="23">
        <v>4531.6000000000004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2203.8000000000002</v>
      </c>
      <c r="E69" s="23">
        <v>2293</v>
      </c>
      <c r="F69" s="23">
        <v>2301.1999999999998</v>
      </c>
      <c r="G69" s="23">
        <v>2277.5</v>
      </c>
      <c r="H69" s="23">
        <v>2247.6</v>
      </c>
      <c r="I69" s="23">
        <v>2235.4</v>
      </c>
      <c r="J69" s="23">
        <v>2486.4</v>
      </c>
      <c r="K69" s="23">
        <v>3917.5000000000005</v>
      </c>
      <c r="L69" s="23">
        <v>4590.2</v>
      </c>
      <c r="M69" s="23">
        <v>4568.6000000000013</v>
      </c>
      <c r="N69" s="23">
        <v>4660.3999999999996</v>
      </c>
      <c r="O69" s="23">
        <v>4359.6000000000004</v>
      </c>
      <c r="P69" s="23">
        <v>4996.5000000000009</v>
      </c>
      <c r="Q69" s="23">
        <v>4546</v>
      </c>
      <c r="R69" s="23">
        <v>4599.7</v>
      </c>
      <c r="S69" s="23">
        <v>4815</v>
      </c>
      <c r="T69" s="23">
        <v>5152.2</v>
      </c>
      <c r="U69" s="23">
        <v>5583.2</v>
      </c>
      <c r="V69" s="23">
        <v>5777.6</v>
      </c>
      <c r="W69" s="23">
        <v>5296.1</v>
      </c>
      <c r="X69" s="23">
        <v>4489.8</v>
      </c>
      <c r="Y69" s="23">
        <v>4848.7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3954.3</v>
      </c>
      <c r="E70" s="23">
        <v>4287.3</v>
      </c>
      <c r="F70" s="23">
        <v>4455.5</v>
      </c>
      <c r="G70" s="23">
        <v>4533.5</v>
      </c>
      <c r="H70" s="23">
        <v>4868.2000000000007</v>
      </c>
      <c r="I70" s="23">
        <v>5176.6000000000004</v>
      </c>
      <c r="J70" s="23">
        <v>5710</v>
      </c>
      <c r="K70" s="23">
        <v>6348</v>
      </c>
      <c r="L70" s="23">
        <v>6700.2</v>
      </c>
      <c r="M70" s="23">
        <v>5787.2</v>
      </c>
      <c r="N70" s="23">
        <v>6164.9</v>
      </c>
      <c r="O70" s="23">
        <v>7334.2</v>
      </c>
      <c r="P70" s="23">
        <v>7482.2</v>
      </c>
      <c r="Q70" s="23">
        <v>7695</v>
      </c>
      <c r="R70" s="23">
        <v>7764.4</v>
      </c>
      <c r="S70" s="23">
        <v>8116.7</v>
      </c>
      <c r="T70" s="23">
        <v>8180.6</v>
      </c>
      <c r="U70" s="23">
        <v>8704.7000000000007</v>
      </c>
      <c r="V70" s="23">
        <v>8962.1</v>
      </c>
      <c r="W70" s="23">
        <v>9151.2999999999993</v>
      </c>
      <c r="X70" s="23">
        <v>8509.2999999999993</v>
      </c>
      <c r="Y70" s="23">
        <v>9242.2999999999993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2440.6</v>
      </c>
      <c r="E71" s="23">
        <v>2662.9</v>
      </c>
      <c r="F71" s="23">
        <v>2771.2</v>
      </c>
      <c r="G71" s="23">
        <v>2894.2</v>
      </c>
      <c r="H71" s="23">
        <v>3159.5</v>
      </c>
      <c r="I71" s="23">
        <v>3620.3</v>
      </c>
      <c r="J71" s="23">
        <v>3724.1</v>
      </c>
      <c r="K71" s="23">
        <v>3962.4999999999995</v>
      </c>
      <c r="L71" s="23">
        <v>3781.3</v>
      </c>
      <c r="M71" s="23">
        <v>3106.2</v>
      </c>
      <c r="N71" s="23">
        <v>3137.9</v>
      </c>
      <c r="O71" s="23">
        <v>3423.6</v>
      </c>
      <c r="P71" s="23">
        <v>3852.6000000000004</v>
      </c>
      <c r="Q71" s="23">
        <v>3717.2</v>
      </c>
      <c r="R71" s="23">
        <v>3873.7</v>
      </c>
      <c r="S71" s="23">
        <v>3753.2</v>
      </c>
      <c r="T71" s="23">
        <v>4216.2000000000007</v>
      </c>
      <c r="U71" s="23">
        <v>4090.6</v>
      </c>
      <c r="V71" s="23">
        <v>4534.8</v>
      </c>
      <c r="W71" s="23">
        <v>4561.4999999999991</v>
      </c>
      <c r="X71" s="23">
        <v>4132.8999999999996</v>
      </c>
      <c r="Y71" s="23">
        <v>4521.8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372.89999999999981</v>
      </c>
      <c r="E72" s="23">
        <v>386.19999999999993</v>
      </c>
      <c r="F72" s="23">
        <v>538.8000000000003</v>
      </c>
      <c r="G72" s="23">
        <v>600.50000000000034</v>
      </c>
      <c r="H72" s="23">
        <v>538.0999999999998</v>
      </c>
      <c r="I72" s="23">
        <v>539.00000000000011</v>
      </c>
      <c r="J72" s="23">
        <v>802.40000000000009</v>
      </c>
      <c r="K72" s="23">
        <v>886.10000000000116</v>
      </c>
      <c r="L72" s="23">
        <v>1005.0999999999997</v>
      </c>
      <c r="M72" s="23">
        <v>757.50000000000045</v>
      </c>
      <c r="N72" s="23">
        <v>723.00000000000011</v>
      </c>
      <c r="O72" s="23">
        <v>805.00000000000068</v>
      </c>
      <c r="P72" s="23">
        <v>587.69999999999959</v>
      </c>
      <c r="Q72" s="23">
        <v>833.90000000000009</v>
      </c>
      <c r="R72" s="23">
        <v>824.10000000000014</v>
      </c>
      <c r="S72" s="23">
        <v>827.69999999999982</v>
      </c>
      <c r="T72" s="23">
        <v>898.89999999999986</v>
      </c>
      <c r="U72" s="23">
        <v>973.29999999999961</v>
      </c>
      <c r="V72" s="23">
        <v>1320.6999999999998</v>
      </c>
      <c r="W72" s="23">
        <v>1368.6000000000004</v>
      </c>
      <c r="X72" s="23">
        <v>1439.0000000000007</v>
      </c>
      <c r="Y72" s="23">
        <v>1587.7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2301.4</v>
      </c>
      <c r="E73" s="23">
        <v>2435.9</v>
      </c>
      <c r="F73" s="23">
        <v>2550.9</v>
      </c>
      <c r="G73" s="23">
        <v>2244.9</v>
      </c>
      <c r="H73" s="23">
        <v>2295.1999999999998</v>
      </c>
      <c r="I73" s="23">
        <v>2355.4</v>
      </c>
      <c r="J73" s="23">
        <v>2513.1</v>
      </c>
      <c r="K73" s="23">
        <v>2747.8</v>
      </c>
      <c r="L73" s="23">
        <v>2627.3</v>
      </c>
      <c r="M73" s="23">
        <v>2316.8999999999996</v>
      </c>
      <c r="N73" s="23">
        <v>2455.6000000000004</v>
      </c>
      <c r="O73" s="23">
        <v>2495.1999999999998</v>
      </c>
      <c r="P73" s="23">
        <v>2533.4999999999995</v>
      </c>
      <c r="Q73" s="23">
        <v>2580.3000000000002</v>
      </c>
      <c r="R73" s="23">
        <v>2684.1</v>
      </c>
      <c r="S73" s="23">
        <v>2608.3000000000002</v>
      </c>
      <c r="T73" s="23">
        <v>2709.5</v>
      </c>
      <c r="U73" s="23">
        <v>2812</v>
      </c>
      <c r="V73" s="23">
        <v>2823.5</v>
      </c>
      <c r="W73" s="23">
        <v>2772.8</v>
      </c>
      <c r="X73" s="23">
        <v>2557.1000000000004</v>
      </c>
      <c r="Y73" s="23">
        <v>2836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708.90000000001919</v>
      </c>
      <c r="E74" s="23">
        <v>856.19999999999334</v>
      </c>
      <c r="F74" s="23">
        <v>784.00000000002967</v>
      </c>
      <c r="G74" s="23">
        <v>861.30000000000541</v>
      </c>
      <c r="H74" s="23">
        <v>800.89999999997076</v>
      </c>
      <c r="I74" s="23">
        <v>931.19999999999391</v>
      </c>
      <c r="J74" s="23">
        <v>919.19999999998413</v>
      </c>
      <c r="K74" s="23">
        <v>1309.7000000000048</v>
      </c>
      <c r="L74" s="23">
        <v>1606.3000000000043</v>
      </c>
      <c r="M74" s="23">
        <v>1445.3000000000311</v>
      </c>
      <c r="N74" s="23">
        <v>1916.9999999999604</v>
      </c>
      <c r="O74" s="23">
        <v>1966.8999999999633</v>
      </c>
      <c r="P74" s="23">
        <v>2220.599999999994</v>
      </c>
      <c r="Q74" s="23">
        <v>2375.9000000000542</v>
      </c>
      <c r="R74" s="23">
        <v>2406.5000000000095</v>
      </c>
      <c r="S74" s="23">
        <v>2366.4000000000551</v>
      </c>
      <c r="T74" s="23">
        <v>2460.5999999999713</v>
      </c>
      <c r="U74" s="23">
        <v>2383.5000000000227</v>
      </c>
      <c r="V74" s="23">
        <v>2193.1999999999707</v>
      </c>
      <c r="W74" s="23">
        <v>2367.7999999999524</v>
      </c>
      <c r="X74" s="23">
        <v>2297.0000000000018</v>
      </c>
      <c r="Y74" s="23">
        <v>2531.2999999999543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38908.300000000017</v>
      </c>
      <c r="E75" s="30">
        <f t="shared" ref="E75:S75" si="6">SUM(E56:E74)</f>
        <v>40446.699999999997</v>
      </c>
      <c r="F75" s="30">
        <f t="shared" si="6"/>
        <v>40192.800000000032</v>
      </c>
      <c r="G75" s="30">
        <f t="shared" si="6"/>
        <v>40467.4</v>
      </c>
      <c r="H75" s="30">
        <f t="shared" si="6"/>
        <v>42014.499999999971</v>
      </c>
      <c r="I75" s="30">
        <f t="shared" si="6"/>
        <v>44228.800000000003</v>
      </c>
      <c r="J75" s="30">
        <f t="shared" si="6"/>
        <v>47735.399999999987</v>
      </c>
      <c r="K75" s="30">
        <f t="shared" si="6"/>
        <v>51552.3</v>
      </c>
      <c r="L75" s="30">
        <f t="shared" si="6"/>
        <v>51166.000000000007</v>
      </c>
      <c r="M75" s="30">
        <f t="shared" si="6"/>
        <v>47129.700000000026</v>
      </c>
      <c r="N75" s="30">
        <f t="shared" si="6"/>
        <v>48759.199999999961</v>
      </c>
      <c r="O75" s="30">
        <f t="shared" si="6"/>
        <v>51467.599999999955</v>
      </c>
      <c r="P75" s="30">
        <f t="shared" si="6"/>
        <v>53234.499999999985</v>
      </c>
      <c r="Q75" s="30">
        <f t="shared" si="6"/>
        <v>53431.200000000048</v>
      </c>
      <c r="R75" s="30">
        <f t="shared" si="6"/>
        <v>55168.899999999994</v>
      </c>
      <c r="S75" s="30">
        <f t="shared" si="6"/>
        <v>57458.600000000042</v>
      </c>
      <c r="T75" s="30">
        <f t="shared" ref="T75:Y75" si="7">SUM(T56:T74)</f>
        <v>60962.799999999974</v>
      </c>
      <c r="U75" s="30">
        <f t="shared" si="7"/>
        <v>62210.60000000002</v>
      </c>
      <c r="V75" s="30">
        <f t="shared" si="7"/>
        <v>64836.799999999967</v>
      </c>
      <c r="W75" s="30">
        <f t="shared" si="7"/>
        <v>65893.899999999951</v>
      </c>
      <c r="X75" s="30">
        <f t="shared" si="7"/>
        <v>61607.199999999997</v>
      </c>
      <c r="Y75" s="30">
        <f t="shared" si="7"/>
        <v>68586.399999999951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280478.08503374562</v>
      </c>
      <c r="E2" s="19">
        <v>284031.76156927395</v>
      </c>
      <c r="F2" s="19">
        <v>288720.632616419</v>
      </c>
      <c r="G2" s="19">
        <v>291438.32172754465</v>
      </c>
      <c r="H2" s="19">
        <v>299409.82431864797</v>
      </c>
      <c r="I2" s="19">
        <v>306129.2110463155</v>
      </c>
      <c r="J2" s="19">
        <v>316704.70401816332</v>
      </c>
      <c r="K2" s="19">
        <v>328507.14327028749</v>
      </c>
      <c r="L2" s="19">
        <v>333305.23282200244</v>
      </c>
      <c r="M2" s="19">
        <v>320758.12073362211</v>
      </c>
      <c r="N2" s="19">
        <v>326650.76999503229</v>
      </c>
      <c r="O2" s="19">
        <v>336197.45029594778</v>
      </c>
      <c r="P2" s="19">
        <v>338484.82595256052</v>
      </c>
      <c r="Q2" s="19">
        <v>338573.83269397612</v>
      </c>
      <c r="R2" s="19">
        <v>340810.9379955192</v>
      </c>
      <c r="S2" s="19">
        <v>344269.2</v>
      </c>
      <c r="T2" s="19">
        <v>351119.3150577331</v>
      </c>
      <c r="U2" s="19">
        <v>359049.98444669106</v>
      </c>
      <c r="V2" s="19">
        <v>367757.79616849456</v>
      </c>
      <c r="W2" s="19">
        <v>373090.33518713363</v>
      </c>
      <c r="X2" s="19">
        <v>348342.82944495761</v>
      </c>
      <c r="Y2" s="19">
        <v>363106.51947958855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153455.94217201692</v>
      </c>
      <c r="E3" s="23">
        <v>155422.45724631075</v>
      </c>
      <c r="F3" s="23">
        <v>156481.68916044704</v>
      </c>
      <c r="G3" s="23">
        <v>159208.6486211975</v>
      </c>
      <c r="H3" s="23">
        <v>162904.19199041545</v>
      </c>
      <c r="I3" s="23">
        <v>166567.69697486568</v>
      </c>
      <c r="J3" s="23">
        <v>170053.45360394218</v>
      </c>
      <c r="K3" s="23">
        <v>171929.46516906246</v>
      </c>
      <c r="L3" s="23">
        <v>173555.51755585955</v>
      </c>
      <c r="M3" s="23">
        <v>175033.518156615</v>
      </c>
      <c r="N3" s="23">
        <v>176772.5222207334</v>
      </c>
      <c r="O3" s="23">
        <v>179150.59628162673</v>
      </c>
      <c r="P3" s="23">
        <v>180086.79197412098</v>
      </c>
      <c r="Q3" s="23">
        <v>179942.95889106288</v>
      </c>
      <c r="R3" s="23">
        <v>180490.87846750134</v>
      </c>
      <c r="S3" s="23">
        <v>181370.8</v>
      </c>
      <c r="T3" s="23">
        <v>184174.18897079112</v>
      </c>
      <c r="U3" s="23">
        <v>187776.48687637359</v>
      </c>
      <c r="V3" s="23">
        <v>189855.77242406702</v>
      </c>
      <c r="W3" s="23">
        <v>190896.98766537075</v>
      </c>
      <c r="X3" s="23">
        <v>174615.23583211296</v>
      </c>
      <c r="Y3" s="23">
        <v>181977.70582877137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247899.50062421971</v>
      </c>
      <c r="E4" s="27">
        <v>251357.1838530706</v>
      </c>
      <c r="F4" s="27">
        <v>255367.74356385667</v>
      </c>
      <c r="G4" s="27">
        <v>258210.75713591566</v>
      </c>
      <c r="H4" s="27">
        <v>265754.53483367153</v>
      </c>
      <c r="I4" s="27">
        <v>271967.5644436953</v>
      </c>
      <c r="J4" s="27">
        <v>282212.12300064921</v>
      </c>
      <c r="K4" s="27">
        <v>293116.85159500694</v>
      </c>
      <c r="L4" s="27">
        <v>297904.1175201789</v>
      </c>
      <c r="M4" s="27">
        <v>285418.33466773422</v>
      </c>
      <c r="N4" s="27">
        <v>290886.67233065946</v>
      </c>
      <c r="O4" s="27">
        <v>300383.62476498907</v>
      </c>
      <c r="P4" s="27">
        <v>301971.4799944621</v>
      </c>
      <c r="Q4" s="27">
        <v>302401.61770252715</v>
      </c>
      <c r="R4" s="27">
        <v>304464.27108088176</v>
      </c>
      <c r="S4" s="27">
        <v>307037.7</v>
      </c>
      <c r="T4" s="27">
        <v>313033.24140503083</v>
      </c>
      <c r="U4" s="27">
        <v>320282.34745070589</v>
      </c>
      <c r="V4" s="27">
        <v>328671.4401642083</v>
      </c>
      <c r="W4" s="27">
        <v>333260.56133036612</v>
      </c>
      <c r="X4" s="27">
        <v>311592.6823932621</v>
      </c>
      <c r="Y4" s="27">
        <v>322415.93723313406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4575.9207240948817</v>
      </c>
      <c r="E6" s="19">
        <v>4699.0625597857279</v>
      </c>
      <c r="F6" s="19">
        <v>4471.7314487632511</v>
      </c>
      <c r="G6" s="19">
        <v>4309.8314291765819</v>
      </c>
      <c r="H6" s="19">
        <v>4400.4181270368326</v>
      </c>
      <c r="I6" s="19">
        <v>3852.5350060801616</v>
      </c>
      <c r="J6" s="19">
        <v>4120.0495779968123</v>
      </c>
      <c r="K6" s="19">
        <v>4648.8673139158582</v>
      </c>
      <c r="L6" s="19">
        <v>4476.1429041742822</v>
      </c>
      <c r="M6" s="19">
        <v>3673.2719508940486</v>
      </c>
      <c r="N6" s="19">
        <v>4137.6570930476328</v>
      </c>
      <c r="O6" s="19">
        <v>4724.8877924731305</v>
      </c>
      <c r="P6" s="19">
        <v>4576.4065645001547</v>
      </c>
      <c r="Q6" s="19">
        <v>4258.2037634633916</v>
      </c>
      <c r="R6" s="19">
        <v>4097.5579775465048</v>
      </c>
      <c r="S6" s="19">
        <v>3889.5</v>
      </c>
      <c r="T6" s="19">
        <v>3896.9094424433952</v>
      </c>
      <c r="U6" s="19">
        <v>4347.3145879516196</v>
      </c>
      <c r="V6" s="19">
        <v>4158.5755883335714</v>
      </c>
      <c r="W6" s="19">
        <v>3924.6175948618275</v>
      </c>
      <c r="X6" s="19">
        <v>3708.2072410398514</v>
      </c>
      <c r="Y6" s="19">
        <v>4392.9689723882721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59963.197045359993</v>
      </c>
      <c r="E7" s="23">
        <v>61484.726739366102</v>
      </c>
      <c r="F7" s="23">
        <v>60533.821302372584</v>
      </c>
      <c r="G7" s="23">
        <v>60642.263558551262</v>
      </c>
      <c r="H7" s="23">
        <v>62396.236856668489</v>
      </c>
      <c r="I7" s="23">
        <v>63757.540002648777</v>
      </c>
      <c r="J7" s="23">
        <v>67133.801569969888</v>
      </c>
      <c r="K7" s="23">
        <v>70347.780859916791</v>
      </c>
      <c r="L7" s="23">
        <v>69282.868073609046</v>
      </c>
      <c r="M7" s="23">
        <v>63203.67405035143</v>
      </c>
      <c r="N7" s="23">
        <v>64474.07619909299</v>
      </c>
      <c r="O7" s="23">
        <v>66773.422302400606</v>
      </c>
      <c r="P7" s="23">
        <v>67791.137285807083</v>
      </c>
      <c r="Q7" s="23">
        <v>67193.537571769877</v>
      </c>
      <c r="R7" s="23">
        <v>67137.793985085649</v>
      </c>
      <c r="S7" s="23">
        <v>67495.400000000052</v>
      </c>
      <c r="T7" s="23">
        <v>69831.879164990009</v>
      </c>
      <c r="U7" s="23">
        <v>70697.215416326391</v>
      </c>
      <c r="V7" s="23">
        <v>71987.684376342513</v>
      </c>
      <c r="W7" s="23">
        <v>72080.152492558438</v>
      </c>
      <c r="X7" s="23">
        <v>66353.410872497916</v>
      </c>
      <c r="Y7" s="23">
        <v>71208.54682607454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18607.990012484395</v>
      </c>
      <c r="E8" s="23">
        <v>17856.386710031249</v>
      </c>
      <c r="F8" s="23">
        <v>17833.6698637052</v>
      </c>
      <c r="G8" s="23">
        <v>18794.587792631723</v>
      </c>
      <c r="H8" s="23">
        <v>19187.480784603089</v>
      </c>
      <c r="I8" s="23">
        <v>19063.655080246095</v>
      </c>
      <c r="J8" s="23">
        <v>19045.977689901432</v>
      </c>
      <c r="K8" s="23">
        <v>20151.756819232549</v>
      </c>
      <c r="L8" s="23">
        <v>20627.10729165484</v>
      </c>
      <c r="M8" s="23">
        <v>19412.196423805712</v>
      </c>
      <c r="N8" s="23">
        <v>18893.755999602781</v>
      </c>
      <c r="O8" s="23">
        <v>18993.012160796374</v>
      </c>
      <c r="P8" s="23">
        <v>19199.671987987091</v>
      </c>
      <c r="Q8" s="23">
        <v>19430.87045806965</v>
      </c>
      <c r="R8" s="23">
        <v>19420.122101122677</v>
      </c>
      <c r="S8" s="23">
        <v>19174.2</v>
      </c>
      <c r="T8" s="23">
        <v>19584.163468804898</v>
      </c>
      <c r="U8" s="23">
        <v>20561.875315988022</v>
      </c>
      <c r="V8" s="23">
        <v>21315.384982576732</v>
      </c>
      <c r="W8" s="23">
        <v>21912.260439261201</v>
      </c>
      <c r="X8" s="23">
        <v>22139.315273270866</v>
      </c>
      <c r="Y8" s="23">
        <v>22771.313692001138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56342.462546816481</v>
      </c>
      <c r="E9" s="23">
        <v>56689.751929086153</v>
      </c>
      <c r="F9" s="23">
        <v>58510.095911155986</v>
      </c>
      <c r="G9" s="23">
        <v>58611.439891357157</v>
      </c>
      <c r="H9" s="23">
        <v>60157.166574432762</v>
      </c>
      <c r="I9" s="23">
        <v>61933.250659185862</v>
      </c>
      <c r="J9" s="23">
        <v>64320.958507938376</v>
      </c>
      <c r="K9" s="23">
        <v>66511.558021266756</v>
      </c>
      <c r="L9" s="23">
        <v>68241.965329730825</v>
      </c>
      <c r="M9" s="23">
        <v>66204.519170892265</v>
      </c>
      <c r="N9" s="23">
        <v>68102.41528836712</v>
      </c>
      <c r="O9" s="23">
        <v>70540.008911396813</v>
      </c>
      <c r="P9" s="23">
        <v>70371.995441911</v>
      </c>
      <c r="Q9" s="23">
        <v>69156.992582037637</v>
      </c>
      <c r="R9" s="23">
        <v>70200.360567073658</v>
      </c>
      <c r="S9" s="23">
        <v>70640.899999999994</v>
      </c>
      <c r="T9" s="23">
        <v>71201.578157050171</v>
      </c>
      <c r="U9" s="23">
        <v>71630.984326994119</v>
      </c>
      <c r="V9" s="23">
        <v>74565.563988734546</v>
      </c>
      <c r="W9" s="23">
        <v>74583.603293989509</v>
      </c>
      <c r="X9" s="23">
        <v>64070.259233601922</v>
      </c>
      <c r="Y9" s="23">
        <v>65064.848420153714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8210.9602580108203</v>
      </c>
      <c r="E10" s="23">
        <v>9343.7918500095657</v>
      </c>
      <c r="F10" s="23">
        <v>9764.2604745078243</v>
      </c>
      <c r="G10" s="23">
        <v>9885.1276428740512</v>
      </c>
      <c r="H10" s="23">
        <v>9538.3385599212943</v>
      </c>
      <c r="I10" s="23">
        <v>9793.5152967239355</v>
      </c>
      <c r="J10" s="23">
        <v>9890.5742784630802</v>
      </c>
      <c r="K10" s="23">
        <v>9861.6504854368923</v>
      </c>
      <c r="L10" s="23">
        <v>9922.0089229965834</v>
      </c>
      <c r="M10" s="23">
        <v>9445.2228449426202</v>
      </c>
      <c r="N10" s="23">
        <v>9399.543202656927</v>
      </c>
      <c r="O10" s="23">
        <v>10016.627362335221</v>
      </c>
      <c r="P10" s="23">
        <v>10016.187605831798</v>
      </c>
      <c r="Q10" s="23">
        <v>10269.89648380202</v>
      </c>
      <c r="R10" s="23">
        <v>10613.57862820618</v>
      </c>
      <c r="S10" s="23">
        <v>10695.4</v>
      </c>
      <c r="T10" s="23">
        <v>11242.700532922436</v>
      </c>
      <c r="U10" s="23">
        <v>11398.222688912223</v>
      </c>
      <c r="V10" s="23">
        <v>12144.636975511958</v>
      </c>
      <c r="W10" s="23">
        <v>12669.65266627229</v>
      </c>
      <c r="X10" s="23">
        <v>12276.133007620228</v>
      </c>
      <c r="Y10" s="23">
        <v>12716.250355821236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13600.317311693716</v>
      </c>
      <c r="E11" s="23">
        <v>12725.208851476311</v>
      </c>
      <c r="F11" s="23">
        <v>12903.962645128724</v>
      </c>
      <c r="G11" s="23">
        <v>12642.064213896814</v>
      </c>
      <c r="H11" s="23">
        <v>12964.397712599151</v>
      </c>
      <c r="I11" s="23">
        <v>13250.297988128634</v>
      </c>
      <c r="J11" s="23">
        <v>14061.61836746739</v>
      </c>
      <c r="K11" s="23">
        <v>15144.012944983819</v>
      </c>
      <c r="L11" s="23">
        <v>14991.201879959584</v>
      </c>
      <c r="M11" s="23">
        <v>13481.785428342675</v>
      </c>
      <c r="N11" s="23">
        <v>13365.294435678741</v>
      </c>
      <c r="O11" s="23">
        <v>14076.529336970343</v>
      </c>
      <c r="P11" s="23">
        <v>13051.150704480346</v>
      </c>
      <c r="Q11" s="23">
        <v>13407.443108000503</v>
      </c>
      <c r="R11" s="23">
        <v>13277.88248791281</v>
      </c>
      <c r="S11" s="23">
        <v>13482.9</v>
      </c>
      <c r="T11" s="23">
        <v>12990.646867731202</v>
      </c>
      <c r="U11" s="23">
        <v>13363.279275074865</v>
      </c>
      <c r="V11" s="23">
        <v>13515.108119719318</v>
      </c>
      <c r="W11" s="23">
        <v>13987.342366451638</v>
      </c>
      <c r="X11" s="23">
        <v>13322.45597404018</v>
      </c>
      <c r="Y11" s="23">
        <v>13996.673071448904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19826.518934665</v>
      </c>
      <c r="E12" s="23">
        <v>20289.649894777118</v>
      </c>
      <c r="F12" s="23">
        <v>21046.441191317517</v>
      </c>
      <c r="G12" s="23">
        <v>21611.950712034188</v>
      </c>
      <c r="H12" s="23">
        <v>23326.93844924061</v>
      </c>
      <c r="I12" s="23">
        <v>24805.013424515695</v>
      </c>
      <c r="J12" s="23">
        <v>25513.073245588148</v>
      </c>
      <c r="K12" s="23">
        <v>25714.632454923718</v>
      </c>
      <c r="L12" s="23">
        <v>25916.764108211199</v>
      </c>
      <c r="M12" s="23">
        <v>25677.986833911575</v>
      </c>
      <c r="N12" s="23">
        <v>26537.71888206022</v>
      </c>
      <c r="O12" s="23">
        <v>27471.88019605073</v>
      </c>
      <c r="P12" s="23">
        <v>28086.028605203464</v>
      </c>
      <c r="Q12" s="23">
        <v>29061.020074598717</v>
      </c>
      <c r="R12" s="23">
        <v>29376.280422846841</v>
      </c>
      <c r="S12" s="23">
        <v>29897.3</v>
      </c>
      <c r="T12" s="23">
        <v>30435.170917941719</v>
      </c>
      <c r="U12" s="23">
        <v>31784.019756543381</v>
      </c>
      <c r="V12" s="23">
        <v>32529.667287221342</v>
      </c>
      <c r="W12" s="23">
        <v>32888.156473891286</v>
      </c>
      <c r="X12" s="23">
        <v>32895.413278885768</v>
      </c>
      <c r="Y12" s="23">
        <v>32335.699544548821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16831.174573449855</v>
      </c>
      <c r="E13" s="23">
        <v>17934.442956444105</v>
      </c>
      <c r="F13" s="23">
        <v>19023.346794548208</v>
      </c>
      <c r="G13" s="23">
        <v>19568.792594346087</v>
      </c>
      <c r="H13" s="23">
        <v>20376.437311689107</v>
      </c>
      <c r="I13" s="23">
        <v>21682.338634913373</v>
      </c>
      <c r="J13" s="23">
        <v>23108.658443014814</v>
      </c>
      <c r="K13" s="23">
        <v>24638.233934350439</v>
      </c>
      <c r="L13" s="23">
        <v>26326.018595252419</v>
      </c>
      <c r="M13" s="23">
        <v>25008.896005693445</v>
      </c>
      <c r="N13" s="23">
        <v>25659.211528064348</v>
      </c>
      <c r="O13" s="23">
        <v>27055.218057532849</v>
      </c>
      <c r="P13" s="23">
        <v>27677.185060543776</v>
      </c>
      <c r="Q13" s="23">
        <v>28286.848832823434</v>
      </c>
      <c r="R13" s="23">
        <v>28709.436204212081</v>
      </c>
      <c r="S13" s="23">
        <v>29207.9</v>
      </c>
      <c r="T13" s="23">
        <v>30167.237538153517</v>
      </c>
      <c r="U13" s="23">
        <v>31365.3599346634</v>
      </c>
      <c r="V13" s="23">
        <v>32274.09422884147</v>
      </c>
      <c r="W13" s="23">
        <v>33539.630224325563</v>
      </c>
      <c r="X13" s="23">
        <v>31136.015605060704</v>
      </c>
      <c r="Y13" s="23">
        <v>32148.537574722461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43242.171244277983</v>
      </c>
      <c r="E14" s="23">
        <v>43593.138192717292</v>
      </c>
      <c r="F14" s="23">
        <v>44252.397778899547</v>
      </c>
      <c r="G14" s="23">
        <v>45010.527889563062</v>
      </c>
      <c r="H14" s="23">
        <v>45907.397159195723</v>
      </c>
      <c r="I14" s="23">
        <v>46099.425695606638</v>
      </c>
      <c r="J14" s="23">
        <v>47220.917192941029</v>
      </c>
      <c r="K14" s="23">
        <v>47978.964401294499</v>
      </c>
      <c r="L14" s="23">
        <v>49679.634906399355</v>
      </c>
      <c r="M14" s="23">
        <v>50949.426207632772</v>
      </c>
      <c r="N14" s="23">
        <v>51854.884090432635</v>
      </c>
      <c r="O14" s="23">
        <v>52143.516958822831</v>
      </c>
      <c r="P14" s="23">
        <v>52590.016933087682</v>
      </c>
      <c r="Q14" s="23">
        <v>52660.932064875735</v>
      </c>
      <c r="R14" s="23">
        <v>52880.848971564374</v>
      </c>
      <c r="S14" s="23">
        <v>53714.9</v>
      </c>
      <c r="T14" s="23">
        <v>54888.557379945232</v>
      </c>
      <c r="U14" s="23">
        <v>56040.232567183913</v>
      </c>
      <c r="V14" s="23">
        <v>57013.795407895363</v>
      </c>
      <c r="W14" s="23">
        <v>58171.02829187677</v>
      </c>
      <c r="X14" s="23">
        <v>57833.612863236958</v>
      </c>
      <c r="Y14" s="23">
        <v>59849.22075149446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6698.7879733666259</v>
      </c>
      <c r="E15" s="23">
        <v>6741.0241693769531</v>
      </c>
      <c r="F15" s="23">
        <v>7028.0161534578501</v>
      </c>
      <c r="G15" s="23">
        <v>7134.1714114847437</v>
      </c>
      <c r="H15" s="23">
        <v>7499.7232982844498</v>
      </c>
      <c r="I15" s="23">
        <v>7729.9926556461223</v>
      </c>
      <c r="J15" s="23">
        <v>7796.4941273682343</v>
      </c>
      <c r="K15" s="23">
        <v>8119.3943596856225</v>
      </c>
      <c r="L15" s="23">
        <v>8440.4055081907663</v>
      </c>
      <c r="M15" s="23">
        <v>8361.3557512676816</v>
      </c>
      <c r="N15" s="23">
        <v>8462.115611656056</v>
      </c>
      <c r="O15" s="23">
        <v>8588.521686210157</v>
      </c>
      <c r="P15" s="23">
        <v>8611.6998051097453</v>
      </c>
      <c r="Q15" s="23">
        <v>8675.8727630862068</v>
      </c>
      <c r="R15" s="23">
        <v>8750.4097353109901</v>
      </c>
      <c r="S15" s="23">
        <v>8839.2999999999993</v>
      </c>
      <c r="T15" s="23">
        <v>8794.3979350482387</v>
      </c>
      <c r="U15" s="23">
        <v>9093.8435810679439</v>
      </c>
      <c r="V15" s="23">
        <v>9166.9292090314575</v>
      </c>
      <c r="W15" s="23">
        <v>9504.1174868775652</v>
      </c>
      <c r="X15" s="23">
        <v>7857.8590440077305</v>
      </c>
      <c r="Y15" s="23">
        <v>7931.8780244805021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247899.50062421977</v>
      </c>
      <c r="E16" s="30">
        <f t="shared" ref="E16:S16" si="0">SUM(E6:E15)</f>
        <v>251357.18385307057</v>
      </c>
      <c r="F16" s="30">
        <f t="shared" si="0"/>
        <v>255367.74356385667</v>
      </c>
      <c r="G16" s="30">
        <f t="shared" si="0"/>
        <v>258210.75713591566</v>
      </c>
      <c r="H16" s="30">
        <f t="shared" si="0"/>
        <v>265754.53483367153</v>
      </c>
      <c r="I16" s="30">
        <f t="shared" si="0"/>
        <v>271967.5644436953</v>
      </c>
      <c r="J16" s="30">
        <f t="shared" si="0"/>
        <v>282212.12300064915</v>
      </c>
      <c r="K16" s="30">
        <f t="shared" si="0"/>
        <v>293116.85159500688</v>
      </c>
      <c r="L16" s="30">
        <f t="shared" si="0"/>
        <v>297904.1175201789</v>
      </c>
      <c r="M16" s="30">
        <f t="shared" si="0"/>
        <v>285418.33466773422</v>
      </c>
      <c r="N16" s="30">
        <f t="shared" si="0"/>
        <v>290886.67233065941</v>
      </c>
      <c r="O16" s="30">
        <f t="shared" si="0"/>
        <v>300383.62476498913</v>
      </c>
      <c r="P16" s="30">
        <f t="shared" si="0"/>
        <v>301971.47999446216</v>
      </c>
      <c r="Q16" s="30">
        <f t="shared" si="0"/>
        <v>302401.6177025272</v>
      </c>
      <c r="R16" s="30">
        <f t="shared" si="0"/>
        <v>304464.27108088176</v>
      </c>
      <c r="S16" s="30">
        <f t="shared" si="0"/>
        <v>307037.7</v>
      </c>
      <c r="T16" s="30">
        <f t="shared" ref="T16:Y16" si="1">SUM(T6:T15)</f>
        <v>313033.24140503077</v>
      </c>
      <c r="U16" s="30">
        <f t="shared" si="1"/>
        <v>320282.34745070583</v>
      </c>
      <c r="V16" s="30">
        <f t="shared" si="1"/>
        <v>328671.4401642083</v>
      </c>
      <c r="W16" s="30">
        <f t="shared" si="1"/>
        <v>333260.56133036606</v>
      </c>
      <c r="X16" s="30">
        <f t="shared" si="1"/>
        <v>311592.6823932621</v>
      </c>
      <c r="Y16" s="30">
        <f t="shared" si="1"/>
        <v>322415.937233134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4575.9207240948817</v>
      </c>
      <c r="E18" s="19">
        <v>4699.0625597857279</v>
      </c>
      <c r="F18" s="19">
        <v>4471.7314487632511</v>
      </c>
      <c r="G18" s="19">
        <v>4309.8314291765819</v>
      </c>
      <c r="H18" s="19">
        <v>4400.4181270368326</v>
      </c>
      <c r="I18" s="19">
        <v>3852.5350060801616</v>
      </c>
      <c r="J18" s="19">
        <v>4120.0495779968123</v>
      </c>
      <c r="K18" s="19">
        <v>4648.8673139158582</v>
      </c>
      <c r="L18" s="19">
        <v>4476.1429041742822</v>
      </c>
      <c r="M18" s="19">
        <v>3673.2719508940486</v>
      </c>
      <c r="N18" s="19">
        <v>4137.6570930476328</v>
      </c>
      <c r="O18" s="19">
        <v>4724.8877924731305</v>
      </c>
      <c r="P18" s="19">
        <v>4576.4065645001547</v>
      </c>
      <c r="Q18" s="19">
        <v>4258.2037634633916</v>
      </c>
      <c r="R18" s="19">
        <v>4097.5579775465048</v>
      </c>
      <c r="S18" s="19">
        <v>3889.5</v>
      </c>
      <c r="T18" s="19">
        <v>3896.9094424433952</v>
      </c>
      <c r="U18" s="19">
        <v>4347.3145879516196</v>
      </c>
      <c r="V18" s="19">
        <v>4158.5755883335714</v>
      </c>
      <c r="W18" s="19">
        <v>3924.6175948618275</v>
      </c>
      <c r="X18" s="19">
        <v>3708.2072410398514</v>
      </c>
      <c r="Y18" s="19">
        <v>4392.9689723882721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914.87203495630456</v>
      </c>
      <c r="E19" s="23">
        <v>1004.7828582360819</v>
      </c>
      <c r="F19" s="23">
        <v>1015.5224634023222</v>
      </c>
      <c r="G19" s="23">
        <v>1024.7561142743232</v>
      </c>
      <c r="H19" s="23">
        <v>1120.2115230892209</v>
      </c>
      <c r="I19" s="23">
        <v>1187.6181417580697</v>
      </c>
      <c r="J19" s="23">
        <v>1245.2340199492417</v>
      </c>
      <c r="K19" s="23">
        <v>1134.7665279704115</v>
      </c>
      <c r="L19" s="23">
        <v>1523.0397220929308</v>
      </c>
      <c r="M19" s="23">
        <v>1194.8447647006494</v>
      </c>
      <c r="N19" s="23">
        <v>1297.6796019022188</v>
      </c>
      <c r="O19" s="23">
        <v>1628.0687264309856</v>
      </c>
      <c r="P19" s="23">
        <v>1608.749826941714</v>
      </c>
      <c r="Q19" s="23">
        <v>1547.609069192406</v>
      </c>
      <c r="R19" s="23">
        <v>1435.6100958780628</v>
      </c>
      <c r="S19" s="23">
        <v>1147.8</v>
      </c>
      <c r="T19" s="23">
        <v>950.42741753442397</v>
      </c>
      <c r="U19" s="23">
        <v>1155.0577528876443</v>
      </c>
      <c r="V19" s="23">
        <v>1104.4918611866915</v>
      </c>
      <c r="W19" s="23">
        <v>987.63345446350604</v>
      </c>
      <c r="X19" s="23">
        <v>798.93900171363987</v>
      </c>
      <c r="Y19" s="23">
        <v>931.89581554227141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50598.600707449041</v>
      </c>
      <c r="E20" s="23">
        <v>51586.888591288807</v>
      </c>
      <c r="F20" s="23">
        <v>50722.86723876834</v>
      </c>
      <c r="G20" s="23">
        <v>50418.499183932829</v>
      </c>
      <c r="H20" s="23">
        <v>51668.818791120924</v>
      </c>
      <c r="I20" s="23">
        <v>53251.140782835879</v>
      </c>
      <c r="J20" s="23">
        <v>56348.226406185429</v>
      </c>
      <c r="K20" s="23">
        <v>59584.257975034685</v>
      </c>
      <c r="L20" s="23">
        <v>58085.756127464891</v>
      </c>
      <c r="M20" s="23">
        <v>52408.2599412864</v>
      </c>
      <c r="N20" s="23">
        <v>53799.693261687462</v>
      </c>
      <c r="O20" s="23">
        <v>55932.708086549181</v>
      </c>
      <c r="P20" s="23">
        <v>56693.362016634885</v>
      </c>
      <c r="Q20" s="23">
        <v>55981.727505133953</v>
      </c>
      <c r="R20" s="23">
        <v>56511.615996066561</v>
      </c>
      <c r="S20" s="23">
        <v>57458.600000000049</v>
      </c>
      <c r="T20" s="23">
        <v>59831.38844451421</v>
      </c>
      <c r="U20" s="23">
        <v>60485.552055380562</v>
      </c>
      <c r="V20" s="23">
        <v>61899.661081674516</v>
      </c>
      <c r="W20" s="23">
        <v>61873.949500924871</v>
      </c>
      <c r="X20" s="23">
        <v>56155.613081999494</v>
      </c>
      <c r="Y20" s="23">
        <v>61011.243951038952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5780.5347482313773</v>
      </c>
      <c r="E21" s="23">
        <v>6247.6882851858936</v>
      </c>
      <c r="F21" s="23">
        <v>6058.6824835941443</v>
      </c>
      <c r="G21" s="23">
        <v>6329.0681883308607</v>
      </c>
      <c r="H21" s="23">
        <v>6530.4064440755092</v>
      </c>
      <c r="I21" s="23">
        <v>6348.7725297085135</v>
      </c>
      <c r="J21" s="23">
        <v>6467.6857699344855</v>
      </c>
      <c r="K21" s="23">
        <v>6464.4012944983824</v>
      </c>
      <c r="L21" s="23">
        <v>6705.3027120914549</v>
      </c>
      <c r="M21" s="23">
        <v>6639.7562494439999</v>
      </c>
      <c r="N21" s="23">
        <v>6343.4145049707058</v>
      </c>
      <c r="O21" s="23">
        <v>6125.9332514644038</v>
      </c>
      <c r="P21" s="23">
        <v>6272.9102546352997</v>
      </c>
      <c r="Q21" s="23">
        <v>6466.3048489166422</v>
      </c>
      <c r="R21" s="23">
        <v>5928.5626485290504</v>
      </c>
      <c r="S21" s="23">
        <v>5690.6</v>
      </c>
      <c r="T21" s="23">
        <v>5788.1461561865126</v>
      </c>
      <c r="U21" s="23">
        <v>5727.1613580679032</v>
      </c>
      <c r="V21" s="23">
        <v>5554.5372094133372</v>
      </c>
      <c r="W21" s="23">
        <v>5751.8991145290474</v>
      </c>
      <c r="X21" s="23">
        <v>6073.9417362453059</v>
      </c>
      <c r="Y21" s="23">
        <v>5869.271278109878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2669.1895547232625</v>
      </c>
      <c r="E22" s="23">
        <v>2645.3670046553152</v>
      </c>
      <c r="F22" s="23">
        <v>2736.7491166077739</v>
      </c>
      <c r="G22" s="23">
        <v>2869.9400720132562</v>
      </c>
      <c r="H22" s="23">
        <v>3076.8000983828324</v>
      </c>
      <c r="I22" s="23">
        <v>2970.0085483463167</v>
      </c>
      <c r="J22" s="23">
        <v>3072.6553739007259</v>
      </c>
      <c r="K22" s="23">
        <v>3164.355062413315</v>
      </c>
      <c r="L22" s="23">
        <v>2968.769511959767</v>
      </c>
      <c r="M22" s="23">
        <v>2960.813094920381</v>
      </c>
      <c r="N22" s="23">
        <v>3033.2888305325991</v>
      </c>
      <c r="O22" s="23">
        <v>3086.7122379560301</v>
      </c>
      <c r="P22" s="23">
        <v>3216.1151875951819</v>
      </c>
      <c r="Q22" s="23">
        <v>3197.8961485268846</v>
      </c>
      <c r="R22" s="23">
        <v>3262.0052446119807</v>
      </c>
      <c r="S22" s="23">
        <v>3198.4</v>
      </c>
      <c r="T22" s="23">
        <v>3261.9171467548654</v>
      </c>
      <c r="U22" s="23">
        <v>3329.4442499902771</v>
      </c>
      <c r="V22" s="23">
        <v>3428.9942240679743</v>
      </c>
      <c r="W22" s="23">
        <v>3466.6704226410134</v>
      </c>
      <c r="X22" s="23">
        <v>3324.9170525394684</v>
      </c>
      <c r="Y22" s="23">
        <v>3396.1357813834329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18607.990012484395</v>
      </c>
      <c r="E23" s="23">
        <v>17856.386710031249</v>
      </c>
      <c r="F23" s="23">
        <v>17833.6698637052</v>
      </c>
      <c r="G23" s="23">
        <v>18794.587792631723</v>
      </c>
      <c r="H23" s="23">
        <v>19187.480784603089</v>
      </c>
      <c r="I23" s="23">
        <v>19063.655080246095</v>
      </c>
      <c r="J23" s="23">
        <v>19045.977689901432</v>
      </c>
      <c r="K23" s="23">
        <v>20151.756819232549</v>
      </c>
      <c r="L23" s="23">
        <v>20627.10729165484</v>
      </c>
      <c r="M23" s="23">
        <v>19412.196423805712</v>
      </c>
      <c r="N23" s="23">
        <v>18893.755999602781</v>
      </c>
      <c r="O23" s="23">
        <v>18993.012160796374</v>
      </c>
      <c r="P23" s="23">
        <v>19199.671987987091</v>
      </c>
      <c r="Q23" s="23">
        <v>19430.87045806965</v>
      </c>
      <c r="R23" s="23">
        <v>19420.122101122677</v>
      </c>
      <c r="S23" s="23">
        <v>19174.2</v>
      </c>
      <c r="T23" s="23">
        <v>19584.163468804898</v>
      </c>
      <c r="U23" s="23">
        <v>20561.875315988022</v>
      </c>
      <c r="V23" s="23">
        <v>21315.384982576732</v>
      </c>
      <c r="W23" s="23">
        <v>21912.260439261201</v>
      </c>
      <c r="X23" s="23">
        <v>22139.315273270866</v>
      </c>
      <c r="Y23" s="23">
        <v>22771.313692001138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32115.714731585518</v>
      </c>
      <c r="E24" s="23">
        <v>32211.211019705373</v>
      </c>
      <c r="F24" s="23">
        <v>32907.117617364973</v>
      </c>
      <c r="G24" s="23">
        <v>32616.398589636563</v>
      </c>
      <c r="H24" s="23">
        <v>33461.968886429313</v>
      </c>
      <c r="I24" s="23">
        <v>34278.74832946049</v>
      </c>
      <c r="J24" s="23">
        <v>35591.925869090475</v>
      </c>
      <c r="K24" s="23">
        <v>36873.324086916313</v>
      </c>
      <c r="L24" s="23">
        <v>37472.271731356494</v>
      </c>
      <c r="M24" s="23">
        <v>36214.749577439725</v>
      </c>
      <c r="N24" s="23">
        <v>37883.615981286763</v>
      </c>
      <c r="O24" s="23">
        <v>39394.894421682955</v>
      </c>
      <c r="P24" s="23">
        <v>38779.220225987512</v>
      </c>
      <c r="Q24" s="23">
        <v>37099.241440006706</v>
      </c>
      <c r="R24" s="23">
        <v>37528.066868802736</v>
      </c>
      <c r="S24" s="23">
        <v>37529.899999999994</v>
      </c>
      <c r="T24" s="23">
        <v>37266.883237969982</v>
      </c>
      <c r="U24" s="23">
        <v>36817.465873293651</v>
      </c>
      <c r="V24" s="23">
        <v>39206.64470857798</v>
      </c>
      <c r="W24" s="23">
        <v>38806.16355390293</v>
      </c>
      <c r="X24" s="23">
        <v>36785.011120428768</v>
      </c>
      <c r="Y24" s="23">
        <v>39009.749501850267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14167.707032875573</v>
      </c>
      <c r="E25" s="23">
        <v>13916.204323703845</v>
      </c>
      <c r="F25" s="23">
        <v>14551.110550227158</v>
      </c>
      <c r="G25" s="23">
        <v>14519.392497165567</v>
      </c>
      <c r="H25" s="23">
        <v>14904.138227879235</v>
      </c>
      <c r="I25" s="23">
        <v>15434.34027234309</v>
      </c>
      <c r="J25" s="23">
        <v>15833.559582128311</v>
      </c>
      <c r="K25" s="23">
        <v>16446.255201109572</v>
      </c>
      <c r="L25" s="23">
        <v>16882.967974843054</v>
      </c>
      <c r="M25" s="23">
        <v>16093.875100080064</v>
      </c>
      <c r="N25" s="23">
        <v>16115.236508479438</v>
      </c>
      <c r="O25" s="23">
        <v>16620.841800971561</v>
      </c>
      <c r="P25" s="23">
        <v>16639.048339172939</v>
      </c>
      <c r="Q25" s="23">
        <v>16882.465110431247</v>
      </c>
      <c r="R25" s="23">
        <v>17187.269523887571</v>
      </c>
      <c r="S25" s="23">
        <v>17415.099999999999</v>
      </c>
      <c r="T25" s="23">
        <v>17580.159189722348</v>
      </c>
      <c r="U25" s="23">
        <v>18065.861626414651</v>
      </c>
      <c r="V25" s="23">
        <v>18120.101198147884</v>
      </c>
      <c r="W25" s="23">
        <v>18240.513817290626</v>
      </c>
      <c r="X25" s="23">
        <v>16003.390819265687</v>
      </c>
      <c r="Y25" s="23">
        <v>15684.955878166811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10059.040782355389</v>
      </c>
      <c r="E26" s="23">
        <v>10562.336585676934</v>
      </c>
      <c r="F26" s="23">
        <v>11051.867743563856</v>
      </c>
      <c r="G26" s="23">
        <v>11475.648804555027</v>
      </c>
      <c r="H26" s="23">
        <v>11791.059460124208</v>
      </c>
      <c r="I26" s="23">
        <v>12220.16205738228</v>
      </c>
      <c r="J26" s="23">
        <v>12895.473056719589</v>
      </c>
      <c r="K26" s="23">
        <v>13191.97873324087</v>
      </c>
      <c r="L26" s="23">
        <v>13886.725623531282</v>
      </c>
      <c r="M26" s="23">
        <v>13895.894493372476</v>
      </c>
      <c r="N26" s="23">
        <v>14103.56279860092</v>
      </c>
      <c r="O26" s="23">
        <v>14524.272688742298</v>
      </c>
      <c r="P26" s="23">
        <v>14953.72687675055</v>
      </c>
      <c r="Q26" s="23">
        <v>15175.28603159968</v>
      </c>
      <c r="R26" s="23">
        <v>15485.024174383349</v>
      </c>
      <c r="S26" s="23">
        <v>15695.9</v>
      </c>
      <c r="T26" s="23">
        <v>16354.535729357842</v>
      </c>
      <c r="U26" s="23">
        <v>16747.656827285809</v>
      </c>
      <c r="V26" s="23">
        <v>17238.818082008685</v>
      </c>
      <c r="W26" s="23">
        <v>17536.925922795948</v>
      </c>
      <c r="X26" s="23">
        <v>11281.857293907464</v>
      </c>
      <c r="Y26" s="23">
        <v>10370.143040136636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8210.9602580108203</v>
      </c>
      <c r="E27" s="23">
        <v>9343.7918500095657</v>
      </c>
      <c r="F27" s="23">
        <v>9764.2604745078243</v>
      </c>
      <c r="G27" s="23">
        <v>9885.1276428740512</v>
      </c>
      <c r="H27" s="23">
        <v>9538.3385599212943</v>
      </c>
      <c r="I27" s="23">
        <v>9793.5152967239355</v>
      </c>
      <c r="J27" s="23">
        <v>9890.5742784630802</v>
      </c>
      <c r="K27" s="23">
        <v>9861.6504854368923</v>
      </c>
      <c r="L27" s="23">
        <v>9922.0089229965834</v>
      </c>
      <c r="M27" s="23">
        <v>9445.2228449426202</v>
      </c>
      <c r="N27" s="23">
        <v>9399.543202656927</v>
      </c>
      <c r="O27" s="23">
        <v>10016.627362335221</v>
      </c>
      <c r="P27" s="23">
        <v>10016.187605831798</v>
      </c>
      <c r="Q27" s="23">
        <v>10269.89648380202</v>
      </c>
      <c r="R27" s="23">
        <v>10613.57862820618</v>
      </c>
      <c r="S27" s="23">
        <v>10695.4</v>
      </c>
      <c r="T27" s="23">
        <v>11242.700532922436</v>
      </c>
      <c r="U27" s="23">
        <v>11398.222688912223</v>
      </c>
      <c r="V27" s="23">
        <v>12144.636975511958</v>
      </c>
      <c r="W27" s="23">
        <v>12669.65266627229</v>
      </c>
      <c r="X27" s="23">
        <v>12276.133007620228</v>
      </c>
      <c r="Y27" s="23">
        <v>12716.250355821236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13600.317311693716</v>
      </c>
      <c r="E28" s="23">
        <v>12725.208851476311</v>
      </c>
      <c r="F28" s="23">
        <v>12903.962645128724</v>
      </c>
      <c r="G28" s="23">
        <v>12642.064213896814</v>
      </c>
      <c r="H28" s="23">
        <v>12964.397712599151</v>
      </c>
      <c r="I28" s="23">
        <v>13250.297988128634</v>
      </c>
      <c r="J28" s="23">
        <v>14061.61836746739</v>
      </c>
      <c r="K28" s="23">
        <v>15144.012944983819</v>
      </c>
      <c r="L28" s="23">
        <v>14991.201879959584</v>
      </c>
      <c r="M28" s="23">
        <v>13481.785428342675</v>
      </c>
      <c r="N28" s="23">
        <v>13365.294435678741</v>
      </c>
      <c r="O28" s="23">
        <v>14076.529336970343</v>
      </c>
      <c r="P28" s="23">
        <v>13051.150704480346</v>
      </c>
      <c r="Q28" s="23">
        <v>13407.443108000503</v>
      </c>
      <c r="R28" s="23">
        <v>13277.88248791281</v>
      </c>
      <c r="S28" s="23">
        <v>13482.9</v>
      </c>
      <c r="T28" s="23">
        <v>12990.646867731202</v>
      </c>
      <c r="U28" s="23">
        <v>13363.279275074865</v>
      </c>
      <c r="V28" s="23">
        <v>13515.108119719318</v>
      </c>
      <c r="W28" s="23">
        <v>13987.342366451638</v>
      </c>
      <c r="X28" s="23">
        <v>13322.45597404018</v>
      </c>
      <c r="Y28" s="23">
        <v>13996.673071448904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19826.518934665</v>
      </c>
      <c r="E29" s="23">
        <v>20289.649894777118</v>
      </c>
      <c r="F29" s="23">
        <v>21046.441191317517</v>
      </c>
      <c r="G29" s="23">
        <v>21611.950712034188</v>
      </c>
      <c r="H29" s="23">
        <v>23326.93844924061</v>
      </c>
      <c r="I29" s="23">
        <v>24805.013424515695</v>
      </c>
      <c r="J29" s="23">
        <v>25513.073245588148</v>
      </c>
      <c r="K29" s="23">
        <v>25714.632454923718</v>
      </c>
      <c r="L29" s="23">
        <v>25916.764108211199</v>
      </c>
      <c r="M29" s="23">
        <v>25677.986833911575</v>
      </c>
      <c r="N29" s="23">
        <v>26537.71888206022</v>
      </c>
      <c r="O29" s="23">
        <v>27471.88019605073</v>
      </c>
      <c r="P29" s="23">
        <v>28086.028605203464</v>
      </c>
      <c r="Q29" s="23">
        <v>29061.020074598717</v>
      </c>
      <c r="R29" s="23">
        <v>29376.280422846841</v>
      </c>
      <c r="S29" s="23">
        <v>29897.3</v>
      </c>
      <c r="T29" s="23">
        <v>30435.170917941719</v>
      </c>
      <c r="U29" s="23">
        <v>31784.019756543381</v>
      </c>
      <c r="V29" s="23">
        <v>32529.667287221342</v>
      </c>
      <c r="W29" s="23">
        <v>32888.156473891286</v>
      </c>
      <c r="X29" s="23">
        <v>32895.413278885768</v>
      </c>
      <c r="Y29" s="23">
        <v>32335.699544548821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9505.6960049937588</v>
      </c>
      <c r="E30" s="23">
        <v>10214.909763407948</v>
      </c>
      <c r="F30" s="23">
        <v>11104.366481574962</v>
      </c>
      <c r="G30" s="23">
        <v>11179.248221471911</v>
      </c>
      <c r="H30" s="23">
        <v>11371.456680809195</v>
      </c>
      <c r="I30" s="23">
        <v>12073.756576808697</v>
      </c>
      <c r="J30" s="23">
        <v>12551.024021719884</v>
      </c>
      <c r="K30" s="23">
        <v>13162.6213592233</v>
      </c>
      <c r="L30" s="23">
        <v>14044.297115351867</v>
      </c>
      <c r="M30" s="23">
        <v>13594.0975002224</v>
      </c>
      <c r="N30" s="23">
        <v>13827.939667442706</v>
      </c>
      <c r="O30" s="23">
        <v>14547.8552876099</v>
      </c>
      <c r="P30" s="23">
        <v>15033.493434434871</v>
      </c>
      <c r="Q30" s="23">
        <v>15496.835840911946</v>
      </c>
      <c r="R30" s="23">
        <v>15629.148570023766</v>
      </c>
      <c r="S30" s="23">
        <v>16186.600000000002</v>
      </c>
      <c r="T30" s="23">
        <v>16718.355890117869</v>
      </c>
      <c r="U30" s="23">
        <v>17160.094115816901</v>
      </c>
      <c r="V30" s="23">
        <v>17576.686238006587</v>
      </c>
      <c r="W30" s="23">
        <v>18432.256307689415</v>
      </c>
      <c r="X30" s="23">
        <v>17841.907609290112</v>
      </c>
      <c r="Y30" s="23">
        <v>18181.308710503843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7325.4785684560966</v>
      </c>
      <c r="E31" s="23">
        <v>7719.5331930361581</v>
      </c>
      <c r="F31" s="23">
        <v>7918.9803129732463</v>
      </c>
      <c r="G31" s="23">
        <v>8389.5443728741757</v>
      </c>
      <c r="H31" s="23">
        <v>9004.9806308799125</v>
      </c>
      <c r="I31" s="23">
        <v>9608.5820581046755</v>
      </c>
      <c r="J31" s="23">
        <v>10557.63442129493</v>
      </c>
      <c r="K31" s="23">
        <v>11475.612575127139</v>
      </c>
      <c r="L31" s="23">
        <v>12281.721479900552</v>
      </c>
      <c r="M31" s="23">
        <v>11414.798505471044</v>
      </c>
      <c r="N31" s="23">
        <v>11831.271860621642</v>
      </c>
      <c r="O31" s="23">
        <v>12507.362769922949</v>
      </c>
      <c r="P31" s="23">
        <v>12643.691626108905</v>
      </c>
      <c r="Q31" s="23">
        <v>12790.012991911488</v>
      </c>
      <c r="R31" s="23">
        <v>13080.287634188315</v>
      </c>
      <c r="S31" s="23">
        <v>13021.3</v>
      </c>
      <c r="T31" s="23">
        <v>13448.881648035645</v>
      </c>
      <c r="U31" s="23">
        <v>14205.265818846497</v>
      </c>
      <c r="V31" s="23">
        <v>14697.407990834885</v>
      </c>
      <c r="W31" s="23">
        <v>15107.37391663615</v>
      </c>
      <c r="X31" s="23">
        <v>13294.107995770592</v>
      </c>
      <c r="Y31" s="23">
        <v>13967.228864218618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14760.195588847273</v>
      </c>
      <c r="E32" s="23">
        <v>14616.032140807338</v>
      </c>
      <c r="F32" s="23">
        <v>14548.334174659263</v>
      </c>
      <c r="G32" s="23">
        <v>14694.068250626069</v>
      </c>
      <c r="H32" s="23">
        <v>14877.451884646131</v>
      </c>
      <c r="I32" s="23">
        <v>14723.021539424739</v>
      </c>
      <c r="J32" s="23">
        <v>15011.863306380208</v>
      </c>
      <c r="K32" s="23">
        <v>14981.738326398521</v>
      </c>
      <c r="L32" s="23">
        <v>15492.637960198437</v>
      </c>
      <c r="M32" s="23">
        <v>15799.75091184058</v>
      </c>
      <c r="N32" s="23">
        <v>15878.121172667186</v>
      </c>
      <c r="O32" s="23">
        <v>15786.756794940065</v>
      </c>
      <c r="P32" s="23">
        <v>15849.583062652422</v>
      </c>
      <c r="Q32" s="23">
        <v>15679.875110012148</v>
      </c>
      <c r="R32" s="23">
        <v>15602.925510120462</v>
      </c>
      <c r="S32" s="23">
        <v>15721.400000000001</v>
      </c>
      <c r="T32" s="23">
        <v>15910.335554661349</v>
      </c>
      <c r="U32" s="23">
        <v>16182.378563372607</v>
      </c>
      <c r="V32" s="23">
        <v>16400.687383645996</v>
      </c>
      <c r="W32" s="23">
        <v>16600.185920730164</v>
      </c>
      <c r="X32" s="23">
        <v>16610.548000145842</v>
      </c>
      <c r="Y32" s="23">
        <v>16795.118132650168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13952.741364960466</v>
      </c>
      <c r="E33" s="23">
        <v>13970.154964606849</v>
      </c>
      <c r="F33" s="23">
        <v>14195.229681978799</v>
      </c>
      <c r="G33" s="23">
        <v>14501.077707038112</v>
      </c>
      <c r="H33" s="23">
        <v>14681.178134415544</v>
      </c>
      <c r="I33" s="23">
        <v>14756.25173073913</v>
      </c>
      <c r="J33" s="23">
        <v>15108.658443014814</v>
      </c>
      <c r="K33" s="23">
        <v>15368.816458622285</v>
      </c>
      <c r="L33" s="23">
        <v>15879.641717847127</v>
      </c>
      <c r="M33" s="23">
        <v>16251.22320078285</v>
      </c>
      <c r="N33" s="23">
        <v>16597.411481722589</v>
      </c>
      <c r="O33" s="23">
        <v>16695.175891411371</v>
      </c>
      <c r="P33" s="23">
        <v>16805.503785982812</v>
      </c>
      <c r="Q33" s="23">
        <v>16654.268471564475</v>
      </c>
      <c r="R33" s="23">
        <v>16669.056789314105</v>
      </c>
      <c r="S33" s="23">
        <v>16788.599999999999</v>
      </c>
      <c r="T33" s="23">
        <v>17024.565467018678</v>
      </c>
      <c r="U33" s="23">
        <v>17304.865243262164</v>
      </c>
      <c r="V33" s="23">
        <v>17542.985345362547</v>
      </c>
      <c r="W33" s="23">
        <v>17860.315314046406</v>
      </c>
      <c r="X33" s="23">
        <v>17660.517008786963</v>
      </c>
      <c r="Y33" s="23">
        <v>17795.865357244522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14529.234290470245</v>
      </c>
      <c r="E34" s="23">
        <v>15006.951087303105</v>
      </c>
      <c r="F34" s="23">
        <v>15508.833922261485</v>
      </c>
      <c r="G34" s="23">
        <v>15815.381931898881</v>
      </c>
      <c r="H34" s="23">
        <v>16348.767140134047</v>
      </c>
      <c r="I34" s="23">
        <v>16620.152425442768</v>
      </c>
      <c r="J34" s="23">
        <v>17100.395443546007</v>
      </c>
      <c r="K34" s="23">
        <v>17628.409616273693</v>
      </c>
      <c r="L34" s="23">
        <v>18307.355228353787</v>
      </c>
      <c r="M34" s="23">
        <v>18898.452095009343</v>
      </c>
      <c r="N34" s="23">
        <v>19379.351436042856</v>
      </c>
      <c r="O34" s="23">
        <v>19661.584272471391</v>
      </c>
      <c r="P34" s="23">
        <v>19934.930084452444</v>
      </c>
      <c r="Q34" s="23">
        <v>20326.788483299108</v>
      </c>
      <c r="R34" s="23">
        <v>20608.866672129807</v>
      </c>
      <c r="S34" s="23">
        <v>21204.9</v>
      </c>
      <c r="T34" s="23">
        <v>21953.656358265205</v>
      </c>
      <c r="U34" s="23">
        <v>22552.988760549139</v>
      </c>
      <c r="V34" s="23">
        <v>23070.122678886819</v>
      </c>
      <c r="W34" s="23">
        <v>23710.5270571002</v>
      </c>
      <c r="X34" s="23">
        <v>23562.547854304154</v>
      </c>
      <c r="Y34" s="23">
        <v>25258.237261599774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2783.7598834789856</v>
      </c>
      <c r="E35" s="23">
        <v>2750.2072571902299</v>
      </c>
      <c r="F35" s="23">
        <v>2855.6284704694604</v>
      </c>
      <c r="G35" s="23">
        <v>2929.6188779387762</v>
      </c>
      <c r="H35" s="23">
        <v>3140.0110680686221</v>
      </c>
      <c r="I35" s="23">
        <v>3380.9311677522669</v>
      </c>
      <c r="J35" s="23">
        <v>3378.268311397037</v>
      </c>
      <c r="K35" s="23">
        <v>3586.2228386500233</v>
      </c>
      <c r="L35" s="23">
        <v>3814.8648495237671</v>
      </c>
      <c r="M35" s="23">
        <v>3781.0248198558852</v>
      </c>
      <c r="N35" s="23">
        <v>3856.6274232878372</v>
      </c>
      <c r="O35" s="23">
        <v>3925.6876446743527</v>
      </c>
      <c r="P35" s="23">
        <v>3937.9546108052259</v>
      </c>
      <c r="Q35" s="23">
        <v>3923.4524957042868</v>
      </c>
      <c r="R35" s="23">
        <v>3989.5927231008777</v>
      </c>
      <c r="S35" s="23">
        <v>4033.8999999999987</v>
      </c>
      <c r="T35" s="23">
        <v>3917.1271260464623</v>
      </c>
      <c r="U35" s="23">
        <v>4067.8839497530457</v>
      </c>
      <c r="V35" s="23">
        <v>4103.0120769487803</v>
      </c>
      <c r="W35" s="23">
        <v>4291.7640872512848</v>
      </c>
      <c r="X35" s="23">
        <v>3116.1811353775483</v>
      </c>
      <c r="Y35" s="23">
        <v>3194.7409621406214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3667.8110694964626</v>
      </c>
      <c r="E36" s="23">
        <v>3760.0918308781329</v>
      </c>
      <c r="F36" s="23">
        <v>3942.7057041898033</v>
      </c>
      <c r="G36" s="23">
        <v>3986.8930889700109</v>
      </c>
      <c r="H36" s="23">
        <v>4150.1567976388123</v>
      </c>
      <c r="I36" s="23">
        <v>4147.9947505929658</v>
      </c>
      <c r="J36" s="23">
        <v>4223.8092427551201</v>
      </c>
      <c r="K36" s="23">
        <v>4341.8862690707356</v>
      </c>
      <c r="L36" s="23">
        <v>4433.9119279802917</v>
      </c>
      <c r="M36" s="23">
        <v>4382.061204519171</v>
      </c>
      <c r="N36" s="23">
        <v>4410.5217861438141</v>
      </c>
      <c r="O36" s="23">
        <v>4475.3686818740025</v>
      </c>
      <c r="P36" s="23">
        <v>4491.6346286967919</v>
      </c>
      <c r="Q36" s="23">
        <v>4569.590545241188</v>
      </c>
      <c r="R36" s="23">
        <v>4583.7089240350733</v>
      </c>
      <c r="S36" s="23">
        <v>4629.6000000000004</v>
      </c>
      <c r="T36" s="23">
        <v>4706.6963716128021</v>
      </c>
      <c r="U36" s="23">
        <v>4857.8540038113006</v>
      </c>
      <c r="V36" s="23">
        <v>4899.9952265024585</v>
      </c>
      <c r="W36" s="23">
        <v>5049.9075091317127</v>
      </c>
      <c r="X36" s="23">
        <v>4604.313267947643</v>
      </c>
      <c r="Y36" s="23">
        <v>4604.4157415314548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247.2170203911777</v>
      </c>
      <c r="E37" s="23">
        <v>230.72508130859001</v>
      </c>
      <c r="F37" s="23">
        <v>229.68197879858658</v>
      </c>
      <c r="G37" s="23">
        <v>217.65944457595654</v>
      </c>
      <c r="H37" s="23">
        <v>209.55543257701532</v>
      </c>
      <c r="I37" s="23">
        <v>201.06673730088974</v>
      </c>
      <c r="J37" s="23">
        <v>194.41657321607744</v>
      </c>
      <c r="K37" s="23">
        <v>191.28525196486362</v>
      </c>
      <c r="L37" s="23">
        <v>191.62873068670746</v>
      </c>
      <c r="M37" s="23">
        <v>198.26972689262521</v>
      </c>
      <c r="N37" s="23">
        <v>194.96640222440445</v>
      </c>
      <c r="O37" s="23">
        <v>187.46535966180164</v>
      </c>
      <c r="P37" s="23">
        <v>182.11056560772744</v>
      </c>
      <c r="Q37" s="23">
        <v>182.82972214073175</v>
      </c>
      <c r="R37" s="23">
        <v>177.10808817503894</v>
      </c>
      <c r="S37" s="23">
        <v>175.8</v>
      </c>
      <c r="T37" s="23">
        <v>170.57443738897447</v>
      </c>
      <c r="U37" s="23">
        <v>168.10562750359739</v>
      </c>
      <c r="V37" s="23">
        <v>163.92190558021861</v>
      </c>
      <c r="W37" s="23">
        <v>162.44589049456792</v>
      </c>
      <c r="X37" s="23">
        <v>137.36464068253909</v>
      </c>
      <c r="Y37" s="23">
        <v>132.72132080842584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247899.50062421977</v>
      </c>
      <c r="E39" s="30">
        <f t="shared" ref="E39:S39" si="2">SUM(E18:E38)</f>
        <v>251357.1838530706</v>
      </c>
      <c r="F39" s="30">
        <f t="shared" si="2"/>
        <v>255367.74356385667</v>
      </c>
      <c r="G39" s="30">
        <f t="shared" si="2"/>
        <v>258210.75713591566</v>
      </c>
      <c r="H39" s="30">
        <f t="shared" si="2"/>
        <v>265754.53483367153</v>
      </c>
      <c r="I39" s="30">
        <f t="shared" si="2"/>
        <v>271967.5644436953</v>
      </c>
      <c r="J39" s="30">
        <f t="shared" si="2"/>
        <v>282212.12300064921</v>
      </c>
      <c r="K39" s="30">
        <f t="shared" si="2"/>
        <v>293116.85159500694</v>
      </c>
      <c r="L39" s="30">
        <f t="shared" si="2"/>
        <v>297904.11752017896</v>
      </c>
      <c r="M39" s="30">
        <f t="shared" si="2"/>
        <v>285418.33466773416</v>
      </c>
      <c r="N39" s="30">
        <f t="shared" si="2"/>
        <v>290886.67233065946</v>
      </c>
      <c r="O39" s="30">
        <f t="shared" si="2"/>
        <v>300383.62476498896</v>
      </c>
      <c r="P39" s="30">
        <f t="shared" si="2"/>
        <v>301971.47999446205</v>
      </c>
      <c r="Q39" s="30">
        <f t="shared" si="2"/>
        <v>302401.6177025272</v>
      </c>
      <c r="R39" s="30">
        <f t="shared" si="2"/>
        <v>304464.27108088176</v>
      </c>
      <c r="S39" s="30">
        <f t="shared" si="2"/>
        <v>307037.7</v>
      </c>
      <c r="T39" s="30">
        <f t="shared" ref="T39:Y39" si="3">SUM(T18:T38)</f>
        <v>313033.24140503083</v>
      </c>
      <c r="U39" s="30">
        <f t="shared" si="3"/>
        <v>320282.34745070583</v>
      </c>
      <c r="V39" s="30">
        <f t="shared" si="3"/>
        <v>328671.4401642083</v>
      </c>
      <c r="W39" s="30">
        <f t="shared" si="3"/>
        <v>333260.56133036606</v>
      </c>
      <c r="X39" s="30">
        <f t="shared" si="3"/>
        <v>311592.6823932621</v>
      </c>
      <c r="Y39" s="30">
        <f t="shared" si="3"/>
        <v>322415.937233134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5113.2698709945898</v>
      </c>
      <c r="E41" s="19">
        <v>5060.774185319814</v>
      </c>
      <c r="F41" s="19">
        <v>5165.3205451792028</v>
      </c>
      <c r="G41" s="19">
        <v>5301.1973138307803</v>
      </c>
      <c r="H41" s="19">
        <v>5470.7003627866943</v>
      </c>
      <c r="I41" s="19">
        <v>5300.9379101099248</v>
      </c>
      <c r="J41" s="19">
        <v>5324.55881484979</v>
      </c>
      <c r="K41" s="19">
        <v>5701.1095700416099</v>
      </c>
      <c r="L41" s="19">
        <v>5371.7347622237103</v>
      </c>
      <c r="M41" s="19">
        <v>5557.5571568365804</v>
      </c>
      <c r="N41" s="19">
        <v>5626.3309463649302</v>
      </c>
      <c r="O41" s="19">
        <v>5333.1449623439139</v>
      </c>
      <c r="P41" s="19">
        <v>5731.7969307447365</v>
      </c>
      <c r="Q41" s="19">
        <v>5411.3406814467116</v>
      </c>
      <c r="R41" s="19">
        <v>5639.8016881094818</v>
      </c>
      <c r="S41" s="19">
        <v>5647.8</v>
      </c>
      <c r="T41" s="19">
        <v>5898.460119146931</v>
      </c>
      <c r="U41" s="19">
        <v>6024.4817796445377</v>
      </c>
      <c r="V41" s="19">
        <v>5966.4900472576255</v>
      </c>
      <c r="W41" s="19">
        <v>6156.7931491027921</v>
      </c>
      <c r="X41" s="19">
        <v>6096.6383490720827</v>
      </c>
      <c r="Y41" s="19">
        <v>6186.6638200967836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2087.4947981689556</v>
      </c>
      <c r="E42" s="23">
        <v>1903.3224921879983</v>
      </c>
      <c r="F42" s="23">
        <v>1731.8273599192328</v>
      </c>
      <c r="G42" s="23">
        <v>1512.4029752189676</v>
      </c>
      <c r="H42" s="23">
        <v>1602.5333579290414</v>
      </c>
      <c r="I42" s="23">
        <v>1471.0379618815994</v>
      </c>
      <c r="J42" s="23">
        <v>1474.4732337838634</v>
      </c>
      <c r="K42" s="23">
        <v>1388.8118354137771</v>
      </c>
      <c r="L42" s="23">
        <v>1266.2481410423786</v>
      </c>
      <c r="M42" s="23">
        <v>1136.1311271239215</v>
      </c>
      <c r="N42" s="23">
        <v>1209.4095839172026</v>
      </c>
      <c r="O42" s="23">
        <v>1194.9965767195192</v>
      </c>
      <c r="P42" s="23">
        <v>1095.112834002492</v>
      </c>
      <c r="Q42" s="23">
        <v>1049.4111730438792</v>
      </c>
      <c r="R42" s="23">
        <v>1058.9609112513317</v>
      </c>
      <c r="S42" s="23">
        <v>1079.5</v>
      </c>
      <c r="T42" s="23">
        <v>1009.0194423452512</v>
      </c>
      <c r="U42" s="23">
        <v>904.01742309337681</v>
      </c>
      <c r="V42" s="23">
        <v>958.80471621557115</v>
      </c>
      <c r="W42" s="23">
        <v>915.33094828962317</v>
      </c>
      <c r="X42" s="23">
        <v>812.52050898749405</v>
      </c>
      <c r="Y42" s="23">
        <v>809.49331056077426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6250.9103204327921</v>
      </c>
      <c r="E43" s="23">
        <v>6353.2937950385813</v>
      </c>
      <c r="F43" s="23">
        <v>6150.5552751135792</v>
      </c>
      <c r="G43" s="23">
        <v>5977.1002828202272</v>
      </c>
      <c r="H43" s="23">
        <v>5901.8631248847087</v>
      </c>
      <c r="I43" s="23">
        <v>5655.3932841301757</v>
      </c>
      <c r="J43" s="23">
        <v>5984.3003010092671</v>
      </c>
      <c r="K43" s="23">
        <v>6164.9329634766527</v>
      </c>
      <c r="L43" s="23">
        <v>5673.2548503184344</v>
      </c>
      <c r="M43" s="23">
        <v>5230.2953473890229</v>
      </c>
      <c r="N43" s="23">
        <v>5365.4930432192077</v>
      </c>
      <c r="O43" s="23">
        <v>5344.2298705673957</v>
      </c>
      <c r="P43" s="23">
        <v>5206.8712126859709</v>
      </c>
      <c r="Q43" s="23">
        <v>4996.3329282092118</v>
      </c>
      <c r="R43" s="23">
        <v>4991.3955584692294</v>
      </c>
      <c r="S43" s="23">
        <v>5120.8999999999996</v>
      </c>
      <c r="T43" s="23">
        <v>5302.2347410468046</v>
      </c>
      <c r="U43" s="23">
        <v>5160.2302337339088</v>
      </c>
      <c r="V43" s="23">
        <v>5459.2581984820272</v>
      </c>
      <c r="W43" s="23">
        <v>5576.7768106143831</v>
      </c>
      <c r="X43" s="23">
        <v>5138.9142086265356</v>
      </c>
      <c r="Y43" s="23">
        <v>5374.4128949615715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1550.7958801498128</v>
      </c>
      <c r="E44" s="23">
        <v>1135.2592309163956</v>
      </c>
      <c r="F44" s="23">
        <v>921.12569409389198</v>
      </c>
      <c r="G44" s="23">
        <v>801.11633006491149</v>
      </c>
      <c r="H44" s="23">
        <v>895.65270860234887</v>
      </c>
      <c r="I44" s="23">
        <v>877.59008873424273</v>
      </c>
      <c r="J44" s="23">
        <v>651.00631529245118</v>
      </c>
      <c r="K44" s="23">
        <v>602.86638927415629</v>
      </c>
      <c r="L44" s="23">
        <v>511.99382428735225</v>
      </c>
      <c r="M44" s="23">
        <v>572.2355662307624</v>
      </c>
      <c r="N44" s="23">
        <v>304.97291213823081</v>
      </c>
      <c r="O44" s="23">
        <v>248.43235489094408</v>
      </c>
      <c r="P44" s="23">
        <v>281.57914354785458</v>
      </c>
      <c r="Q44" s="23">
        <v>36.042077029462298</v>
      </c>
      <c r="R44" s="23">
        <v>2.5608456936818818</v>
      </c>
      <c r="S44" s="23">
        <v>446.9</v>
      </c>
      <c r="T44" s="23">
        <v>504.85322550568742</v>
      </c>
      <c r="U44" s="23">
        <v>563.7226305759732</v>
      </c>
      <c r="V44" s="23">
        <v>889.77994176332993</v>
      </c>
      <c r="W44" s="23">
        <v>1038.6208062198934</v>
      </c>
      <c r="X44" s="23">
        <v>533.96288329018842</v>
      </c>
      <c r="Y44" s="23">
        <v>1078.7610304582977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1904.0002080732418</v>
      </c>
      <c r="E45" s="23">
        <v>2209.8080479561254</v>
      </c>
      <c r="F45" s="23">
        <v>1974.0030287733468</v>
      </c>
      <c r="G45" s="23">
        <v>2004.7842717067638</v>
      </c>
      <c r="H45" s="23">
        <v>1982.1681116645145</v>
      </c>
      <c r="I45" s="23">
        <v>1962.9892724273691</v>
      </c>
      <c r="J45" s="23">
        <v>2284.6013102756301</v>
      </c>
      <c r="K45" s="23">
        <v>2378.9875173370324</v>
      </c>
      <c r="L45" s="23">
        <v>2269.0067773905344</v>
      </c>
      <c r="M45" s="23">
        <v>2129.7037630104082</v>
      </c>
      <c r="N45" s="23">
        <v>2145.4027871258177</v>
      </c>
      <c r="O45" s="23">
        <v>2319.354032407055</v>
      </c>
      <c r="P45" s="23">
        <v>1969.350046326372</v>
      </c>
      <c r="Q45" s="23">
        <v>2270.3365324169145</v>
      </c>
      <c r="R45" s="23">
        <v>2470.9087929197735</v>
      </c>
      <c r="S45" s="23">
        <v>2750.7</v>
      </c>
      <c r="T45" s="23">
        <v>3448.6853598453249</v>
      </c>
      <c r="U45" s="23">
        <v>3092.4046202310114</v>
      </c>
      <c r="V45" s="23">
        <v>2845.8637643801612</v>
      </c>
      <c r="W45" s="23">
        <v>2659.4176361775449</v>
      </c>
      <c r="X45" s="23">
        <v>2813.4684799649981</v>
      </c>
      <c r="Y45" s="23">
        <v>4169.3353259322521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1521.1454431960051</v>
      </c>
      <c r="E46" s="23">
        <v>1377.7182577641731</v>
      </c>
      <c r="F46" s="23">
        <v>1411.2821807168098</v>
      </c>
      <c r="G46" s="23">
        <v>1501.812790451391</v>
      </c>
      <c r="H46" s="23">
        <v>1370.5958310274857</v>
      </c>
      <c r="I46" s="23">
        <v>1789.9755589534898</v>
      </c>
      <c r="J46" s="23">
        <v>1776.544885793543</v>
      </c>
      <c r="K46" s="23">
        <v>2091.8862690707351</v>
      </c>
      <c r="L46" s="23">
        <v>1669.5993733468049</v>
      </c>
      <c r="M46" s="23">
        <v>1915.9772262254248</v>
      </c>
      <c r="N46" s="23">
        <v>1980.9998786287254</v>
      </c>
      <c r="O46" s="23">
        <v>2037.1235749915777</v>
      </c>
      <c r="P46" s="23">
        <v>2101.8328203708238</v>
      </c>
      <c r="Q46" s="23">
        <v>2071.2669209169776</v>
      </c>
      <c r="R46" s="23">
        <v>2168.4216995820702</v>
      </c>
      <c r="S46" s="23">
        <v>2190.1999999999998</v>
      </c>
      <c r="T46" s="23">
        <v>2224.8284931937069</v>
      </c>
      <c r="U46" s="23">
        <v>2298.2538015789683</v>
      </c>
      <c r="V46" s="23">
        <v>2202.9691154709053</v>
      </c>
      <c r="W46" s="23">
        <v>2421.0071645210664</v>
      </c>
      <c r="X46" s="23">
        <v>2450.504976847632</v>
      </c>
      <c r="Y46" s="23">
        <v>2399.5694563051525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5113.1398252184772</v>
      </c>
      <c r="E47" s="23">
        <v>4997.3853708309416</v>
      </c>
      <c r="F47" s="23">
        <v>4973.624432104998</v>
      </c>
      <c r="G47" s="23">
        <v>5023.609882511244</v>
      </c>
      <c r="H47" s="23">
        <v>5156.7361495419054</v>
      </c>
      <c r="I47" s="23">
        <v>5186.317829924029</v>
      </c>
      <c r="J47" s="23">
        <v>5474.5912766334177</v>
      </c>
      <c r="K47" s="23">
        <v>5687.7022653721688</v>
      </c>
      <c r="L47" s="23">
        <v>5302.2579949368246</v>
      </c>
      <c r="M47" s="23">
        <v>4685.3037985944302</v>
      </c>
      <c r="N47" s="23">
        <v>4871.0706049806358</v>
      </c>
      <c r="O47" s="23">
        <v>5070.9108099590303</v>
      </c>
      <c r="P47" s="23">
        <v>4878.7527023716975</v>
      </c>
      <c r="Q47" s="23">
        <v>4978.7309836134273</v>
      </c>
      <c r="R47" s="23">
        <v>5156.8261902810791</v>
      </c>
      <c r="S47" s="23">
        <v>4950.6000000000004</v>
      </c>
      <c r="T47" s="23">
        <v>5060.5058346664573</v>
      </c>
      <c r="U47" s="23">
        <v>5094.9908606541439</v>
      </c>
      <c r="V47" s="23">
        <v>4944.1023437872927</v>
      </c>
      <c r="W47" s="23">
        <v>5133.1023409110112</v>
      </c>
      <c r="X47" s="23">
        <v>4566.4855799030156</v>
      </c>
      <c r="Y47" s="23">
        <v>4566.6097352690012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7536.6729088639204</v>
      </c>
      <c r="E48" s="23">
        <v>8098.7181939927295</v>
      </c>
      <c r="F48" s="23">
        <v>7681.7264008076736</v>
      </c>
      <c r="G48" s="23">
        <v>7935.6615127767463</v>
      </c>
      <c r="H48" s="23">
        <v>8407.0589682100472</v>
      </c>
      <c r="I48" s="23">
        <v>9011.6426068844285</v>
      </c>
      <c r="J48" s="23">
        <v>9907.4544059493601</v>
      </c>
      <c r="K48" s="23">
        <v>10409.500693481275</v>
      </c>
      <c r="L48" s="23">
        <v>10128.963411173043</v>
      </c>
      <c r="M48" s="23">
        <v>8627.5687216439819</v>
      </c>
      <c r="N48" s="23">
        <v>8714.898875660645</v>
      </c>
      <c r="O48" s="23">
        <v>9273.612484649575</v>
      </c>
      <c r="P48" s="23">
        <v>9417.672179682424</v>
      </c>
      <c r="Q48" s="23">
        <v>9344.3275638070481</v>
      </c>
      <c r="R48" s="23">
        <v>9367.880848971563</v>
      </c>
      <c r="S48" s="23">
        <v>9927.7999999999993</v>
      </c>
      <c r="T48" s="23">
        <v>9965.2569903131789</v>
      </c>
      <c r="U48" s="23">
        <v>10205.538054680512</v>
      </c>
      <c r="V48" s="23">
        <v>10507.136378824764</v>
      </c>
      <c r="W48" s="23">
        <v>10157.281425767862</v>
      </c>
      <c r="X48" s="23">
        <v>8925.8759616436364</v>
      </c>
      <c r="Y48" s="23">
        <v>9651.3841446057504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3939.2166042446943</v>
      </c>
      <c r="E49" s="23">
        <v>3970.1549646068488</v>
      </c>
      <c r="F49" s="23">
        <v>3800.731953558809</v>
      </c>
      <c r="G49" s="23">
        <v>3650.8727558152573</v>
      </c>
      <c r="H49" s="23">
        <v>3775.8101211338621</v>
      </c>
      <c r="I49" s="23">
        <v>4106.4570114499684</v>
      </c>
      <c r="J49" s="23">
        <v>4400.6374313875931</v>
      </c>
      <c r="K49" s="23">
        <v>2999.8844197873327</v>
      </c>
      <c r="L49" s="23">
        <v>2835.4921838636797</v>
      </c>
      <c r="M49" s="23">
        <v>2557.8240370073836</v>
      </c>
      <c r="N49" s="23">
        <v>2552.1068949917799</v>
      </c>
      <c r="O49" s="23">
        <v>2957.9316865361839</v>
      </c>
      <c r="P49" s="23">
        <v>2929.1046763011323</v>
      </c>
      <c r="Q49" s="23">
        <v>3037.4879510498304</v>
      </c>
      <c r="R49" s="23">
        <v>2963.205769073179</v>
      </c>
      <c r="S49" s="23">
        <v>2856.9</v>
      </c>
      <c r="T49" s="23">
        <v>3237.8718434405391</v>
      </c>
      <c r="U49" s="23">
        <v>3275.2887644382217</v>
      </c>
      <c r="V49" s="23">
        <v>3673.5882381020574</v>
      </c>
      <c r="W49" s="23">
        <v>3854.2869752199595</v>
      </c>
      <c r="X49" s="23">
        <v>3465.0162248878842</v>
      </c>
      <c r="Y49" s="23">
        <v>4031.098775974951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2865.9488139825221</v>
      </c>
      <c r="E50" s="23">
        <v>2924.5583827562018</v>
      </c>
      <c r="F50" s="23">
        <v>2904.0888440181725</v>
      </c>
      <c r="G50" s="23">
        <v>2837.5465656653751</v>
      </c>
      <c r="H50" s="23">
        <v>2764.0656705404908</v>
      </c>
      <c r="I50" s="23">
        <v>2691.4046979784966</v>
      </c>
      <c r="J50" s="23">
        <v>2935.0174113203093</v>
      </c>
      <c r="K50" s="23">
        <v>4527.8548312528901</v>
      </c>
      <c r="L50" s="23">
        <v>5210.9845947756194</v>
      </c>
      <c r="M50" s="23">
        <v>5080.2864513833301</v>
      </c>
      <c r="N50" s="23">
        <v>5142.1698977171163</v>
      </c>
      <c r="O50" s="23">
        <v>4737.8201854005247</v>
      </c>
      <c r="P50" s="23">
        <v>5321.1429301696508</v>
      </c>
      <c r="Q50" s="23">
        <v>4763.002388835338</v>
      </c>
      <c r="R50" s="23">
        <v>4711.6487748914205</v>
      </c>
      <c r="S50" s="23">
        <v>4815</v>
      </c>
      <c r="T50" s="23">
        <v>5056.5800708600364</v>
      </c>
      <c r="U50" s="23">
        <v>5428.3825302376226</v>
      </c>
      <c r="V50" s="23">
        <v>5515.8718793259823</v>
      </c>
      <c r="W50" s="23">
        <v>4973.0039343831286</v>
      </c>
      <c r="X50" s="23">
        <v>4092.5000911510556</v>
      </c>
      <c r="Y50" s="23">
        <v>4313.1760603472812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5142.4001248439454</v>
      </c>
      <c r="E51" s="23">
        <v>5468.1461641476944</v>
      </c>
      <c r="F51" s="23">
        <v>5622.7915194346297</v>
      </c>
      <c r="G51" s="23">
        <v>5648.3061933892322</v>
      </c>
      <c r="H51" s="23">
        <v>5986.8412961938147</v>
      </c>
      <c r="I51" s="23">
        <v>6232.5872593520116</v>
      </c>
      <c r="J51" s="23">
        <v>6740.2467095555685</v>
      </c>
      <c r="K51" s="23">
        <v>7337.031900138697</v>
      </c>
      <c r="L51" s="23">
        <v>7606.3437283594621</v>
      </c>
      <c r="M51" s="23">
        <v>6435.3705186371317</v>
      </c>
      <c r="N51" s="23">
        <v>6802.1979234478267</v>
      </c>
      <c r="O51" s="23">
        <v>7970.4837149657133</v>
      </c>
      <c r="P51" s="23">
        <v>7968.3489707025637</v>
      </c>
      <c r="Q51" s="23">
        <v>8062.3192657474538</v>
      </c>
      <c r="R51" s="23">
        <v>7953.3721216094409</v>
      </c>
      <c r="S51" s="23">
        <v>8116.7</v>
      </c>
      <c r="T51" s="23">
        <v>8028.7758487010624</v>
      </c>
      <c r="U51" s="23">
        <v>8463.3259440749825</v>
      </c>
      <c r="V51" s="23">
        <v>8556.1124636020813</v>
      </c>
      <c r="W51" s="23">
        <v>8593.0120097279723</v>
      </c>
      <c r="X51" s="23">
        <v>7756.3167681481746</v>
      </c>
      <c r="Y51" s="23">
        <v>8221.5165101053226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3658.8379109446523</v>
      </c>
      <c r="E52" s="23">
        <v>3888.9101460366046</v>
      </c>
      <c r="F52" s="23">
        <v>4177.1832407874817</v>
      </c>
      <c r="G52" s="23">
        <v>4354.061024382343</v>
      </c>
      <c r="H52" s="23">
        <v>4547.2545040890363</v>
      </c>
      <c r="I52" s="23">
        <v>5007.7657512310825</v>
      </c>
      <c r="J52" s="23">
        <v>5343.2095850793839</v>
      </c>
      <c r="K52" s="23">
        <v>5604.0221914008334</v>
      </c>
      <c r="L52" s="23">
        <v>5433.7189369600501</v>
      </c>
      <c r="M52" s="23">
        <v>4296.4371497197762</v>
      </c>
      <c r="N52" s="23">
        <v>4260.0214054793614</v>
      </c>
      <c r="O52" s="23">
        <v>4595.455187628374</v>
      </c>
      <c r="P52" s="23">
        <v>4728.8043536139894</v>
      </c>
      <c r="Q52" s="23">
        <v>4768.3458363019154</v>
      </c>
      <c r="R52" s="23">
        <v>4812.1363599114975</v>
      </c>
      <c r="S52" s="23">
        <v>4580.8999999999996</v>
      </c>
      <c r="T52" s="23">
        <v>5020.1686115554858</v>
      </c>
      <c r="U52" s="23">
        <v>4923.4822852253719</v>
      </c>
      <c r="V52" s="23">
        <v>5590.2429710248698</v>
      </c>
      <c r="W52" s="23">
        <v>5568.3258683343192</v>
      </c>
      <c r="X52" s="23">
        <v>5078.8456630327782</v>
      </c>
      <c r="Y52" s="23">
        <v>5434.7245943637918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3914.7679983354392</v>
      </c>
      <c r="E53" s="23">
        <v>4198.8393597347022</v>
      </c>
      <c r="F53" s="23">
        <v>4208.6067642605121</v>
      </c>
      <c r="G53" s="23">
        <v>3870.027285299584</v>
      </c>
      <c r="H53" s="23">
        <v>3807.5385845169658</v>
      </c>
      <c r="I53" s="23">
        <v>3957.04154977906</v>
      </c>
      <c r="J53" s="23">
        <v>4051.5847252552485</v>
      </c>
      <c r="K53" s="23">
        <v>4689.667128987523</v>
      </c>
      <c r="L53" s="23">
        <v>4806.1575487869995</v>
      </c>
      <c r="M53" s="23">
        <v>4183.5690774842442</v>
      </c>
      <c r="N53" s="23">
        <v>4824.6185080159776</v>
      </c>
      <c r="O53" s="23">
        <v>4849.2126454893805</v>
      </c>
      <c r="P53" s="23">
        <v>5062.993216115181</v>
      </c>
      <c r="Q53" s="23">
        <v>5192.7832027157856</v>
      </c>
      <c r="R53" s="23">
        <v>5214.4964353028045</v>
      </c>
      <c r="S53" s="23">
        <v>4974.7000000000553</v>
      </c>
      <c r="T53" s="23">
        <v>5074.1478638937406</v>
      </c>
      <c r="U53" s="23">
        <v>5051.433127211938</v>
      </c>
      <c r="V53" s="23">
        <v>4789.4410234378447</v>
      </c>
      <c r="W53" s="23">
        <v>4826.9904316553075</v>
      </c>
      <c r="X53" s="23">
        <v>4424.5633864440169</v>
      </c>
      <c r="Y53" s="23">
        <v>4774.4982920580296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50598.600707449041</v>
      </c>
      <c r="E54" s="30">
        <f t="shared" ref="E54:S54" si="4">SUM(E41:E53)</f>
        <v>51586.888591288807</v>
      </c>
      <c r="F54" s="30">
        <f t="shared" si="4"/>
        <v>50722.86723876834</v>
      </c>
      <c r="G54" s="30">
        <f t="shared" si="4"/>
        <v>50418.499183932829</v>
      </c>
      <c r="H54" s="30">
        <f t="shared" si="4"/>
        <v>51668.818791120924</v>
      </c>
      <c r="I54" s="30">
        <f t="shared" si="4"/>
        <v>53251.140782835879</v>
      </c>
      <c r="J54" s="30">
        <f t="shared" si="4"/>
        <v>56348.226406185429</v>
      </c>
      <c r="K54" s="30">
        <f t="shared" si="4"/>
        <v>59584.257975034685</v>
      </c>
      <c r="L54" s="30">
        <f t="shared" si="4"/>
        <v>58085.756127464891</v>
      </c>
      <c r="M54" s="30">
        <f t="shared" si="4"/>
        <v>52408.2599412864</v>
      </c>
      <c r="N54" s="30">
        <f t="shared" si="4"/>
        <v>53799.693261687462</v>
      </c>
      <c r="O54" s="30">
        <f t="shared" si="4"/>
        <v>55932.708086549181</v>
      </c>
      <c r="P54" s="30">
        <f t="shared" si="4"/>
        <v>56693.362016634885</v>
      </c>
      <c r="Q54" s="30">
        <f t="shared" si="4"/>
        <v>55981.727505133953</v>
      </c>
      <c r="R54" s="30">
        <f t="shared" si="4"/>
        <v>56511.615996066561</v>
      </c>
      <c r="S54" s="30">
        <f t="shared" si="4"/>
        <v>57458.600000000049</v>
      </c>
      <c r="T54" s="30">
        <f t="shared" ref="T54:Y54" si="5">SUM(T41:T53)</f>
        <v>59831.38844451421</v>
      </c>
      <c r="U54" s="30">
        <f t="shared" si="5"/>
        <v>60485.552055380562</v>
      </c>
      <c r="V54" s="30">
        <f t="shared" si="5"/>
        <v>61899.661081674516</v>
      </c>
      <c r="W54" s="30">
        <f t="shared" si="5"/>
        <v>61873.949500924871</v>
      </c>
      <c r="X54" s="30">
        <f t="shared" si="5"/>
        <v>56155.613081999494</v>
      </c>
      <c r="Y54" s="30">
        <f t="shared" si="5"/>
        <v>61011.243951038952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5113.2698709945898</v>
      </c>
      <c r="E56" s="19">
        <v>5060.774185319814</v>
      </c>
      <c r="F56" s="19">
        <v>5165.3205451792028</v>
      </c>
      <c r="G56" s="19">
        <v>5301.1973138307803</v>
      </c>
      <c r="H56" s="19">
        <v>5470.7003627866943</v>
      </c>
      <c r="I56" s="19">
        <v>5300.9379101099248</v>
      </c>
      <c r="J56" s="19">
        <v>5324.55881484979</v>
      </c>
      <c r="K56" s="19">
        <v>5701.1095700416099</v>
      </c>
      <c r="L56" s="19">
        <v>5371.7347622237103</v>
      </c>
      <c r="M56" s="19">
        <v>5557.5571568365804</v>
      </c>
      <c r="N56" s="19">
        <v>5626.3309463649302</v>
      </c>
      <c r="O56" s="19">
        <v>5333.1449623439139</v>
      </c>
      <c r="P56" s="19">
        <v>5731.7969307447365</v>
      </c>
      <c r="Q56" s="19">
        <v>5411.3406814467116</v>
      </c>
      <c r="R56" s="19">
        <v>5639.8016881094818</v>
      </c>
      <c r="S56" s="19">
        <v>5647.8</v>
      </c>
      <c r="T56" s="19">
        <v>5898.460119146931</v>
      </c>
      <c r="U56" s="19">
        <v>6024.4817796445377</v>
      </c>
      <c r="V56" s="19">
        <v>5966.4900472576255</v>
      </c>
      <c r="W56" s="19">
        <v>6156.7931491027921</v>
      </c>
      <c r="X56" s="19">
        <v>6096.6383490720827</v>
      </c>
      <c r="Y56" s="19">
        <v>6186.6638200967836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2087.4947981689556</v>
      </c>
      <c r="E57" s="23">
        <v>1903.3224921879983</v>
      </c>
      <c r="F57" s="23">
        <v>1731.8273599192328</v>
      </c>
      <c r="G57" s="23">
        <v>1512.4029752189676</v>
      </c>
      <c r="H57" s="23">
        <v>1602.5333579290414</v>
      </c>
      <c r="I57" s="23">
        <v>1471.0379618815994</v>
      </c>
      <c r="J57" s="23">
        <v>1474.4732337838634</v>
      </c>
      <c r="K57" s="23">
        <v>1388.8118354137771</v>
      </c>
      <c r="L57" s="23">
        <v>1266.2481410423786</v>
      </c>
      <c r="M57" s="23">
        <v>1136.1311271239215</v>
      </c>
      <c r="N57" s="23">
        <v>1209.4095839172026</v>
      </c>
      <c r="O57" s="23">
        <v>1194.9965767195192</v>
      </c>
      <c r="P57" s="23">
        <v>1095.112834002492</v>
      </c>
      <c r="Q57" s="23">
        <v>1049.4111730438792</v>
      </c>
      <c r="R57" s="23">
        <v>1058.9609112513317</v>
      </c>
      <c r="S57" s="23">
        <v>1079.5</v>
      </c>
      <c r="T57" s="23">
        <v>1009.0194423452512</v>
      </c>
      <c r="U57" s="23">
        <v>904.01742309337681</v>
      </c>
      <c r="V57" s="23">
        <v>958.80471621557115</v>
      </c>
      <c r="W57" s="23">
        <v>915.33094828962317</v>
      </c>
      <c r="X57" s="23">
        <v>812.52050898749405</v>
      </c>
      <c r="Y57" s="23">
        <v>809.49331056077426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2214.6795672076569</v>
      </c>
      <c r="E58" s="23">
        <v>2252.9175435240099</v>
      </c>
      <c r="F58" s="23">
        <v>2218.9550731953559</v>
      </c>
      <c r="G58" s="23">
        <v>2232.9093106412665</v>
      </c>
      <c r="H58" s="23">
        <v>2299.2067884154217</v>
      </c>
      <c r="I58" s="23">
        <v>2192.4702312869476</v>
      </c>
      <c r="J58" s="23">
        <v>2498.0227822699635</v>
      </c>
      <c r="K58" s="23">
        <v>2700.4160887656035</v>
      </c>
      <c r="L58" s="23">
        <v>2411.4795599804734</v>
      </c>
      <c r="M58" s="23">
        <v>2105.1285472822701</v>
      </c>
      <c r="N58" s="23">
        <v>2261.8088733435579</v>
      </c>
      <c r="O58" s="23">
        <v>2264.6902202853821</v>
      </c>
      <c r="P58" s="23">
        <v>2167.1157307319568</v>
      </c>
      <c r="Q58" s="23">
        <v>2156.5525334227405</v>
      </c>
      <c r="R58" s="23">
        <v>2148.1398016881094</v>
      </c>
      <c r="S58" s="23">
        <v>2291.5</v>
      </c>
      <c r="T58" s="23">
        <v>2396.2862274391259</v>
      </c>
      <c r="U58" s="23">
        <v>2391.3973476451602</v>
      </c>
      <c r="V58" s="23">
        <v>2577.4977325886675</v>
      </c>
      <c r="W58" s="23">
        <v>2701.2967501431967</v>
      </c>
      <c r="X58" s="23">
        <v>2614.9414810223502</v>
      </c>
      <c r="Y58" s="23">
        <v>3090.7522060916594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2318.7161880982108</v>
      </c>
      <c r="E59" s="23">
        <v>2477.520566290415</v>
      </c>
      <c r="F59" s="23">
        <v>2343.2609793033821</v>
      </c>
      <c r="G59" s="23">
        <v>2178.3387114859897</v>
      </c>
      <c r="H59" s="23">
        <v>2108.8360081165838</v>
      </c>
      <c r="I59" s="23">
        <v>2027.162069422204</v>
      </c>
      <c r="J59" s="23">
        <v>2056.6605677861062</v>
      </c>
      <c r="K59" s="23">
        <v>2047.3878871937125</v>
      </c>
      <c r="L59" s="23">
        <v>1841.2478572320547</v>
      </c>
      <c r="M59" s="23">
        <v>1833.9115737034072</v>
      </c>
      <c r="N59" s="23">
        <v>1870.2210060575301</v>
      </c>
      <c r="O59" s="23">
        <v>1885.4124781290413</v>
      </c>
      <c r="P59" s="23">
        <v>1897.7837889647387</v>
      </c>
      <c r="Q59" s="23">
        <v>1810.380956372323</v>
      </c>
      <c r="R59" s="23">
        <v>1883.0410554781613</v>
      </c>
      <c r="S59" s="23">
        <v>1902.9</v>
      </c>
      <c r="T59" s="23">
        <v>2020.0017665937125</v>
      </c>
      <c r="U59" s="23">
        <v>1915.7624547894061</v>
      </c>
      <c r="V59" s="23">
        <v>2109.1221538020905</v>
      </c>
      <c r="W59" s="23">
        <v>2148.323426950994</v>
      </c>
      <c r="X59" s="23">
        <v>1889.3790790097353</v>
      </c>
      <c r="Y59" s="23">
        <v>1698.7795331625391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1717.5145651269245</v>
      </c>
      <c r="E60" s="23">
        <v>1622.8556852241568</v>
      </c>
      <c r="F60" s="23">
        <v>1588.3392226148412</v>
      </c>
      <c r="G60" s="23">
        <v>1565.852260692971</v>
      </c>
      <c r="H60" s="23">
        <v>1493.8203283527032</v>
      </c>
      <c r="I60" s="23">
        <v>1435.7609834210241</v>
      </c>
      <c r="J60" s="23">
        <v>1429.6169509531974</v>
      </c>
      <c r="K60" s="23">
        <v>1417.1289875173368</v>
      </c>
      <c r="L60" s="23">
        <v>1420.5274331059063</v>
      </c>
      <c r="M60" s="23">
        <v>1291.2552264033457</v>
      </c>
      <c r="N60" s="23">
        <v>1233.4631638181197</v>
      </c>
      <c r="O60" s="23">
        <v>1194.1271721529722</v>
      </c>
      <c r="P60" s="23">
        <v>1141.9716929892754</v>
      </c>
      <c r="Q60" s="23">
        <v>1029.3994384141483</v>
      </c>
      <c r="R60" s="23">
        <v>960.2147013029587</v>
      </c>
      <c r="S60" s="23">
        <v>926.49999999999955</v>
      </c>
      <c r="T60" s="23">
        <v>885.94674701396616</v>
      </c>
      <c r="U60" s="23">
        <v>853.07043129934254</v>
      </c>
      <c r="V60" s="23">
        <v>772.6383120912692</v>
      </c>
      <c r="W60" s="23">
        <v>727.15663352019237</v>
      </c>
      <c r="X60" s="23">
        <v>634.59364859445009</v>
      </c>
      <c r="Y60" s="23">
        <v>584.88115570737295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1550.7958801498128</v>
      </c>
      <c r="E61" s="23">
        <v>1135.2592309163956</v>
      </c>
      <c r="F61" s="23">
        <v>921.12569409389198</v>
      </c>
      <c r="G61" s="23">
        <v>801.11633006491149</v>
      </c>
      <c r="H61" s="23">
        <v>895.65270860234887</v>
      </c>
      <c r="I61" s="23">
        <v>877.59008873424273</v>
      </c>
      <c r="J61" s="23">
        <v>651.00631529245118</v>
      </c>
      <c r="K61" s="23">
        <v>602.86638927415629</v>
      </c>
      <c r="L61" s="23">
        <v>511.99382428735225</v>
      </c>
      <c r="M61" s="23">
        <v>572.2355662307624</v>
      </c>
      <c r="N61" s="23">
        <v>304.97291213823081</v>
      </c>
      <c r="O61" s="23">
        <v>248.43235489094408</v>
      </c>
      <c r="P61" s="23">
        <v>281.57914354785458</v>
      </c>
      <c r="Q61" s="23">
        <v>36.042077029462298</v>
      </c>
      <c r="R61" s="23">
        <v>2.5608456936818818</v>
      </c>
      <c r="S61" s="23">
        <v>446.9</v>
      </c>
      <c r="T61" s="23">
        <v>504.85322550568742</v>
      </c>
      <c r="U61" s="23">
        <v>563.7226305759732</v>
      </c>
      <c r="V61" s="23">
        <v>889.77994176332993</v>
      </c>
      <c r="W61" s="23">
        <v>1038.6208062198934</v>
      </c>
      <c r="X61" s="23">
        <v>533.96288329018842</v>
      </c>
      <c r="Y61" s="23">
        <v>1078.7610304582977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1904.0002080732418</v>
      </c>
      <c r="E62" s="23">
        <v>2209.8080479561254</v>
      </c>
      <c r="F62" s="23">
        <v>1974.0030287733468</v>
      </c>
      <c r="G62" s="23">
        <v>2004.7842717067638</v>
      </c>
      <c r="H62" s="23">
        <v>1982.1681116645145</v>
      </c>
      <c r="I62" s="23">
        <v>1962.9892724273691</v>
      </c>
      <c r="J62" s="23">
        <v>2284.6013102756301</v>
      </c>
      <c r="K62" s="23">
        <v>2378.9875173370324</v>
      </c>
      <c r="L62" s="23">
        <v>2269.0067773905344</v>
      </c>
      <c r="M62" s="23">
        <v>2129.7037630104082</v>
      </c>
      <c r="N62" s="23">
        <v>2145.4027871258177</v>
      </c>
      <c r="O62" s="23">
        <v>2319.354032407055</v>
      </c>
      <c r="P62" s="23">
        <v>1969.350046326372</v>
      </c>
      <c r="Q62" s="23">
        <v>2270.3365324169145</v>
      </c>
      <c r="R62" s="23">
        <v>2470.9087929197735</v>
      </c>
      <c r="S62" s="23">
        <v>2750.7</v>
      </c>
      <c r="T62" s="23">
        <v>3448.6853598453249</v>
      </c>
      <c r="U62" s="23">
        <v>3092.4046202310114</v>
      </c>
      <c r="V62" s="23">
        <v>2845.8637643801612</v>
      </c>
      <c r="W62" s="23">
        <v>2659.4176361775449</v>
      </c>
      <c r="X62" s="23">
        <v>2813.4684799649981</v>
      </c>
      <c r="Y62" s="23">
        <v>4169.3353259322521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1521.1454431960051</v>
      </c>
      <c r="E63" s="23">
        <v>1377.7182577641731</v>
      </c>
      <c r="F63" s="23">
        <v>1411.2821807168098</v>
      </c>
      <c r="G63" s="23">
        <v>1501.812790451391</v>
      </c>
      <c r="H63" s="23">
        <v>1370.5958310274857</v>
      </c>
      <c r="I63" s="23">
        <v>1789.9755589534898</v>
      </c>
      <c r="J63" s="23">
        <v>1776.544885793543</v>
      </c>
      <c r="K63" s="23">
        <v>2091.8862690707351</v>
      </c>
      <c r="L63" s="23">
        <v>1669.5993733468049</v>
      </c>
      <c r="M63" s="23">
        <v>1915.9772262254248</v>
      </c>
      <c r="N63" s="23">
        <v>1980.9998786287254</v>
      </c>
      <c r="O63" s="23">
        <v>2037.1235749915777</v>
      </c>
      <c r="P63" s="23">
        <v>2101.8328203708238</v>
      </c>
      <c r="Q63" s="23">
        <v>2071.2669209169776</v>
      </c>
      <c r="R63" s="23">
        <v>2168.4216995820702</v>
      </c>
      <c r="S63" s="23">
        <v>2190.1999999999998</v>
      </c>
      <c r="T63" s="23">
        <v>2224.8284931937069</v>
      </c>
      <c r="U63" s="23">
        <v>2298.2538015789683</v>
      </c>
      <c r="V63" s="23">
        <v>2202.9691154709053</v>
      </c>
      <c r="W63" s="23">
        <v>2421.0071645210664</v>
      </c>
      <c r="X63" s="23">
        <v>2450.504976847632</v>
      </c>
      <c r="Y63" s="23">
        <v>2399.5694563051525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2089.5755305867665</v>
      </c>
      <c r="E64" s="23">
        <v>2019.1314329443276</v>
      </c>
      <c r="F64" s="23">
        <v>2034.8308934881375</v>
      </c>
      <c r="G64" s="23">
        <v>1984.6006254438532</v>
      </c>
      <c r="H64" s="23">
        <v>2088.2985918957143</v>
      </c>
      <c r="I64" s="23">
        <v>2023.5500921054215</v>
      </c>
      <c r="J64" s="23">
        <v>2204.8043439768635</v>
      </c>
      <c r="K64" s="23">
        <v>2310.4484512251502</v>
      </c>
      <c r="L64" s="23">
        <v>2279.110424920817</v>
      </c>
      <c r="M64" s="23">
        <v>2099.7909438662041</v>
      </c>
      <c r="N64" s="23">
        <v>2179.8280941399744</v>
      </c>
      <c r="O64" s="23">
        <v>2407.8159470532619</v>
      </c>
      <c r="P64" s="23">
        <v>2296.7230747931289</v>
      </c>
      <c r="Q64" s="23">
        <v>2380.4534596203007</v>
      </c>
      <c r="R64" s="23">
        <v>2503.3803163156604</v>
      </c>
      <c r="S64" s="23">
        <v>2397.5</v>
      </c>
      <c r="T64" s="23">
        <v>2508.7593604930753</v>
      </c>
      <c r="U64" s="23">
        <v>2491.3467895617</v>
      </c>
      <c r="V64" s="23">
        <v>2417.394625041768</v>
      </c>
      <c r="W64" s="23">
        <v>2477.0650816454922</v>
      </c>
      <c r="X64" s="23">
        <v>2236.02654318737</v>
      </c>
      <c r="Y64" s="23">
        <v>2239.3609450612012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3023.5642946317107</v>
      </c>
      <c r="E65" s="23">
        <v>2978.253937886614</v>
      </c>
      <c r="F65" s="23">
        <v>2938.7935386168606</v>
      </c>
      <c r="G65" s="23">
        <v>3039.0092570673905</v>
      </c>
      <c r="H65" s="23">
        <v>3068.4375576461912</v>
      </c>
      <c r="I65" s="23">
        <v>3162.7677378186072</v>
      </c>
      <c r="J65" s="23">
        <v>3269.7869326565542</v>
      </c>
      <c r="K65" s="23">
        <v>3377.2538141470186</v>
      </c>
      <c r="L65" s="23">
        <v>3023.1475700160076</v>
      </c>
      <c r="M65" s="23">
        <v>2585.5128547282261</v>
      </c>
      <c r="N65" s="23">
        <v>2691.2425108406615</v>
      </c>
      <c r="O65" s="23">
        <v>2663.0948629057684</v>
      </c>
      <c r="P65" s="23">
        <v>2582.0296275785686</v>
      </c>
      <c r="Q65" s="23">
        <v>2598.2775239931266</v>
      </c>
      <c r="R65" s="23">
        <v>2653.4458739654187</v>
      </c>
      <c r="S65" s="23">
        <v>2553.1000000000004</v>
      </c>
      <c r="T65" s="23">
        <v>2551.746474173382</v>
      </c>
      <c r="U65" s="23">
        <v>2603.6440710924439</v>
      </c>
      <c r="V65" s="23">
        <v>2526.7077187455247</v>
      </c>
      <c r="W65" s="23">
        <v>2656.037259265519</v>
      </c>
      <c r="X65" s="23">
        <v>2330.4590367156457</v>
      </c>
      <c r="Y65" s="23">
        <v>2327.2487902078001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3011.6000832292971</v>
      </c>
      <c r="E66" s="23">
        <v>3279.6377782029208</v>
      </c>
      <c r="F66" s="23">
        <v>2864.083796062595</v>
      </c>
      <c r="G66" s="23">
        <v>2942.7008708869589</v>
      </c>
      <c r="H66" s="23">
        <v>3382.1558138104901</v>
      </c>
      <c r="I66" s="23">
        <v>4025.3079210662554</v>
      </c>
      <c r="J66" s="23">
        <v>4204.0960868795373</v>
      </c>
      <c r="K66" s="23">
        <v>4526.6990291262136</v>
      </c>
      <c r="L66" s="23">
        <v>4527.9099072507861</v>
      </c>
      <c r="M66" s="23">
        <v>3324.6597277822257</v>
      </c>
      <c r="N66" s="23">
        <v>3711.7542562699296</v>
      </c>
      <c r="O66" s="23">
        <v>3877.2183400893314</v>
      </c>
      <c r="P66" s="23">
        <v>3998.7646300812576</v>
      </c>
      <c r="Q66" s="23">
        <v>3613.2182222035958</v>
      </c>
      <c r="R66" s="23">
        <v>3769.359993444235</v>
      </c>
      <c r="S66" s="23">
        <v>4182.3</v>
      </c>
      <c r="T66" s="23">
        <v>3878.9490730290208</v>
      </c>
      <c r="U66" s="23">
        <v>4063.0225955742226</v>
      </c>
      <c r="V66" s="23">
        <v>4297.1979569430523</v>
      </c>
      <c r="W66" s="23">
        <v>3944.7120576166467</v>
      </c>
      <c r="X66" s="23">
        <v>3195.117949465855</v>
      </c>
      <c r="Y66" s="23">
        <v>3562.7490748647879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4525.0728256346229</v>
      </c>
      <c r="E67" s="23">
        <v>4819.0804157898092</v>
      </c>
      <c r="F67" s="23">
        <v>4817.6426047450786</v>
      </c>
      <c r="G67" s="23">
        <v>4992.9606418897874</v>
      </c>
      <c r="H67" s="23">
        <v>5024.903154399557</v>
      </c>
      <c r="I67" s="23">
        <v>4986.3346858181731</v>
      </c>
      <c r="J67" s="23">
        <v>5703.3583190698228</v>
      </c>
      <c r="K67" s="23">
        <v>5882.8016643550618</v>
      </c>
      <c r="L67" s="23">
        <v>5601.0535039222568</v>
      </c>
      <c r="M67" s="23">
        <v>5302.9089938617562</v>
      </c>
      <c r="N67" s="23">
        <v>5003.1446193907159</v>
      </c>
      <c r="O67" s="23">
        <v>5396.3941445602431</v>
      </c>
      <c r="P67" s="23">
        <v>5418.9075496011665</v>
      </c>
      <c r="Q67" s="23">
        <v>5731.1093416034528</v>
      </c>
      <c r="R67" s="23">
        <v>5598.5208555273275</v>
      </c>
      <c r="S67" s="23">
        <v>5745.4999999999991</v>
      </c>
      <c r="T67" s="23">
        <v>6086.3079172841581</v>
      </c>
      <c r="U67" s="23">
        <v>6142.5154591062892</v>
      </c>
      <c r="V67" s="23">
        <v>6209.9384218817113</v>
      </c>
      <c r="W67" s="23">
        <v>6212.5693681512148</v>
      </c>
      <c r="X67" s="23">
        <v>5730.758012177781</v>
      </c>
      <c r="Y67" s="23">
        <v>6088.6350697409625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3939.2166042446943</v>
      </c>
      <c r="E68" s="23">
        <v>3970.1549646068488</v>
      </c>
      <c r="F68" s="23">
        <v>3800.731953558809</v>
      </c>
      <c r="G68" s="23">
        <v>3650.8727558152573</v>
      </c>
      <c r="H68" s="23">
        <v>3775.8101211338621</v>
      </c>
      <c r="I68" s="23">
        <v>4106.4570114499684</v>
      </c>
      <c r="J68" s="23">
        <v>4400.6374313875931</v>
      </c>
      <c r="K68" s="23">
        <v>2999.8844197873327</v>
      </c>
      <c r="L68" s="23">
        <v>2835.4921838636797</v>
      </c>
      <c r="M68" s="23">
        <v>2557.8240370073836</v>
      </c>
      <c r="N68" s="23">
        <v>2552.1068949917799</v>
      </c>
      <c r="O68" s="23">
        <v>2957.9316865361839</v>
      </c>
      <c r="P68" s="23">
        <v>2929.1046763011323</v>
      </c>
      <c r="Q68" s="23">
        <v>3037.4879510498304</v>
      </c>
      <c r="R68" s="23">
        <v>2963.205769073179</v>
      </c>
      <c r="S68" s="23">
        <v>2856.9</v>
      </c>
      <c r="T68" s="23">
        <v>3237.8718434405391</v>
      </c>
      <c r="U68" s="23">
        <v>3275.2887644382217</v>
      </c>
      <c r="V68" s="23">
        <v>3673.5882381020574</v>
      </c>
      <c r="W68" s="23">
        <v>3854.2869752199595</v>
      </c>
      <c r="X68" s="23">
        <v>3465.0162248878842</v>
      </c>
      <c r="Y68" s="23">
        <v>4031.098775974951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2865.9488139825221</v>
      </c>
      <c r="E69" s="23">
        <v>2924.5583827562018</v>
      </c>
      <c r="F69" s="23">
        <v>2904.0888440181725</v>
      </c>
      <c r="G69" s="23">
        <v>2837.5465656653751</v>
      </c>
      <c r="H69" s="23">
        <v>2764.0656705404908</v>
      </c>
      <c r="I69" s="23">
        <v>2691.4046979784966</v>
      </c>
      <c r="J69" s="23">
        <v>2935.0174113203093</v>
      </c>
      <c r="K69" s="23">
        <v>4527.8548312528901</v>
      </c>
      <c r="L69" s="23">
        <v>5210.9845947756194</v>
      </c>
      <c r="M69" s="23">
        <v>5080.2864513833301</v>
      </c>
      <c r="N69" s="23">
        <v>5142.1698977171163</v>
      </c>
      <c r="O69" s="23">
        <v>4737.8201854005247</v>
      </c>
      <c r="P69" s="23">
        <v>5321.1429301696508</v>
      </c>
      <c r="Q69" s="23">
        <v>4763.002388835338</v>
      </c>
      <c r="R69" s="23">
        <v>4711.6487748914205</v>
      </c>
      <c r="S69" s="23">
        <v>4815</v>
      </c>
      <c r="T69" s="23">
        <v>5056.5800708600364</v>
      </c>
      <c r="U69" s="23">
        <v>5428.3825302376226</v>
      </c>
      <c r="V69" s="23">
        <v>5515.8718793259823</v>
      </c>
      <c r="W69" s="23">
        <v>4973.0039343831286</v>
      </c>
      <c r="X69" s="23">
        <v>4092.5000911510556</v>
      </c>
      <c r="Y69" s="23">
        <v>4313.1760603472812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5142.4001248439454</v>
      </c>
      <c r="E70" s="23">
        <v>5468.1461641476944</v>
      </c>
      <c r="F70" s="23">
        <v>5622.7915194346297</v>
      </c>
      <c r="G70" s="23">
        <v>5648.3061933892322</v>
      </c>
      <c r="H70" s="23">
        <v>5986.8412961938147</v>
      </c>
      <c r="I70" s="23">
        <v>6232.5872593520116</v>
      </c>
      <c r="J70" s="23">
        <v>6740.2467095555685</v>
      </c>
      <c r="K70" s="23">
        <v>7337.031900138697</v>
      </c>
      <c r="L70" s="23">
        <v>7606.3437283594621</v>
      </c>
      <c r="M70" s="23">
        <v>6435.3705186371317</v>
      </c>
      <c r="N70" s="23">
        <v>6802.1979234478267</v>
      </c>
      <c r="O70" s="23">
        <v>7970.4837149657133</v>
      </c>
      <c r="P70" s="23">
        <v>7968.3489707025637</v>
      </c>
      <c r="Q70" s="23">
        <v>8062.3192657474538</v>
      </c>
      <c r="R70" s="23">
        <v>7953.3721216094409</v>
      </c>
      <c r="S70" s="23">
        <v>8116.7</v>
      </c>
      <c r="T70" s="23">
        <v>8028.7758487010624</v>
      </c>
      <c r="U70" s="23">
        <v>8463.3259440749825</v>
      </c>
      <c r="V70" s="23">
        <v>8556.1124636020813</v>
      </c>
      <c r="W70" s="23">
        <v>8593.0120097279723</v>
      </c>
      <c r="X70" s="23">
        <v>7756.3167681481746</v>
      </c>
      <c r="Y70" s="23">
        <v>8221.5165101053226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3173.8972118185602</v>
      </c>
      <c r="E71" s="23">
        <v>3396.3395191633185</v>
      </c>
      <c r="F71" s="23">
        <v>3497.2236244321052</v>
      </c>
      <c r="G71" s="23">
        <v>3605.895618155314</v>
      </c>
      <c r="H71" s="23">
        <v>3885.5069790321591</v>
      </c>
      <c r="I71" s="23">
        <v>4358.8138266491687</v>
      </c>
      <c r="J71" s="23">
        <v>4396.0337602549725</v>
      </c>
      <c r="K71" s="23">
        <v>4579.8659269533055</v>
      </c>
      <c r="L71" s="23">
        <v>4292.6879108154435</v>
      </c>
      <c r="M71" s="23">
        <v>3454.0966106218307</v>
      </c>
      <c r="N71" s="23">
        <v>3462.2811179397777</v>
      </c>
      <c r="O71" s="23">
        <v>3720.6168425399655</v>
      </c>
      <c r="P71" s="23">
        <v>4102.9190939200635</v>
      </c>
      <c r="Q71" s="23">
        <v>3894.6397887766648</v>
      </c>
      <c r="R71" s="23">
        <v>3967.9791854462019</v>
      </c>
      <c r="S71" s="23">
        <v>3753.2</v>
      </c>
      <c r="T71" s="23">
        <v>4137.9513401576196</v>
      </c>
      <c r="U71" s="23">
        <v>3977.1710807762611</v>
      </c>
      <c r="V71" s="23">
        <v>4329.371330373765</v>
      </c>
      <c r="W71" s="23">
        <v>4283.2192456125522</v>
      </c>
      <c r="X71" s="23">
        <v>3767.1819739672583</v>
      </c>
      <c r="Y71" s="23">
        <v>4022.3811557073727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484.94069912609211</v>
      </c>
      <c r="E72" s="23">
        <v>492.57062687328607</v>
      </c>
      <c r="F72" s="23">
        <v>679.95961635537651</v>
      </c>
      <c r="G72" s="23">
        <v>748.16540622702905</v>
      </c>
      <c r="H72" s="23">
        <v>661.74752505687729</v>
      </c>
      <c r="I72" s="23">
        <v>648.95192458191377</v>
      </c>
      <c r="J72" s="23">
        <v>947.17582482441139</v>
      </c>
      <c r="K72" s="23">
        <v>1024.156264447528</v>
      </c>
      <c r="L72" s="23">
        <v>1141.0310261446066</v>
      </c>
      <c r="M72" s="23">
        <v>842.34053909794557</v>
      </c>
      <c r="N72" s="23">
        <v>797.74028753958373</v>
      </c>
      <c r="O72" s="23">
        <v>874.83834508840846</v>
      </c>
      <c r="P72" s="23">
        <v>625.88525969392595</v>
      </c>
      <c r="Q72" s="23">
        <v>873.7060475252506</v>
      </c>
      <c r="R72" s="23">
        <v>844.15717446529561</v>
      </c>
      <c r="S72" s="23">
        <v>827.69999999999982</v>
      </c>
      <c r="T72" s="23">
        <v>882.21727139786617</v>
      </c>
      <c r="U72" s="23">
        <v>946.31120444911085</v>
      </c>
      <c r="V72" s="23">
        <v>1260.8716406511048</v>
      </c>
      <c r="W72" s="23">
        <v>1285.1066227217671</v>
      </c>
      <c r="X72" s="23">
        <v>1311.66368906552</v>
      </c>
      <c r="Y72" s="23">
        <v>1412.343438656419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2992.8734914689971</v>
      </c>
      <c r="E73" s="23">
        <v>3106.8171672724952</v>
      </c>
      <c r="F73" s="23">
        <v>3219.2074709742556</v>
      </c>
      <c r="G73" s="23">
        <v>2796.9300923214928</v>
      </c>
      <c r="H73" s="23">
        <v>2822.6034556969807</v>
      </c>
      <c r="I73" s="23">
        <v>2835.8837906497947</v>
      </c>
      <c r="J73" s="23">
        <v>2966.5348521513306</v>
      </c>
      <c r="K73" s="23">
        <v>3175.9130836800741</v>
      </c>
      <c r="L73" s="23">
        <v>2982.619455765323</v>
      </c>
      <c r="M73" s="23">
        <v>2576.3944488924471</v>
      </c>
      <c r="N73" s="23">
        <v>2709.4482020500714</v>
      </c>
      <c r="O73" s="23">
        <v>2711.6728430616081</v>
      </c>
      <c r="P73" s="23">
        <v>2698.111800977646</v>
      </c>
      <c r="Q73" s="23">
        <v>2703.4700976488834</v>
      </c>
      <c r="R73" s="23">
        <v>2749.4263705646154</v>
      </c>
      <c r="S73" s="23">
        <v>2608.3000000000002</v>
      </c>
      <c r="T73" s="23">
        <v>2659.2142583741447</v>
      </c>
      <c r="U73" s="23">
        <v>2734.0255901683972</v>
      </c>
      <c r="V73" s="23">
        <v>2695.594061769058</v>
      </c>
      <c r="W73" s="23">
        <v>2603.6414171291212</v>
      </c>
      <c r="X73" s="23">
        <v>2330.8236409377623</v>
      </c>
      <c r="Y73" s="23">
        <v>2522.7725590663254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921.89450686644204</v>
      </c>
      <c r="E74" s="23">
        <v>1092.0221924622069</v>
      </c>
      <c r="F74" s="23">
        <v>989.39929328625658</v>
      </c>
      <c r="G74" s="23">
        <v>1073.0971929780912</v>
      </c>
      <c r="H74" s="23">
        <v>984.93512881998504</v>
      </c>
      <c r="I74" s="23">
        <v>1121.1577591292653</v>
      </c>
      <c r="J74" s="23">
        <v>1085.0498731039179</v>
      </c>
      <c r="K74" s="23">
        <v>1513.7540453074489</v>
      </c>
      <c r="L74" s="23">
        <v>1823.5380930216766</v>
      </c>
      <c r="M74" s="23">
        <v>1607.174628591797</v>
      </c>
      <c r="N74" s="23">
        <v>2115.1703059659062</v>
      </c>
      <c r="O74" s="23">
        <v>2137.5398024277724</v>
      </c>
      <c r="P74" s="23">
        <v>2364.881415137535</v>
      </c>
      <c r="Q74" s="23">
        <v>2489.3131050669022</v>
      </c>
      <c r="R74" s="23">
        <v>2465.0700647381891</v>
      </c>
      <c r="S74" s="23">
        <v>2366.4000000000551</v>
      </c>
      <c r="T74" s="23">
        <v>2414.9336055195959</v>
      </c>
      <c r="U74" s="23">
        <v>2317.4075370435407</v>
      </c>
      <c r="V74" s="23">
        <v>2093.8469616687867</v>
      </c>
      <c r="W74" s="23">
        <v>2223.3490145261862</v>
      </c>
      <c r="X74" s="23">
        <v>2093.7397455062546</v>
      </c>
      <c r="Y74" s="23">
        <v>2251.7257329917043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50598.600707449048</v>
      </c>
      <c r="E75" s="30">
        <f t="shared" ref="E75:S75" si="6">SUM(E56:E74)</f>
        <v>51586.8885912888</v>
      </c>
      <c r="F75" s="30">
        <f t="shared" si="6"/>
        <v>50722.867238768347</v>
      </c>
      <c r="G75" s="30">
        <f t="shared" si="6"/>
        <v>50418.499183932829</v>
      </c>
      <c r="H75" s="30">
        <f t="shared" si="6"/>
        <v>51668.818791120917</v>
      </c>
      <c r="I75" s="30">
        <f t="shared" si="6"/>
        <v>53251.140782835872</v>
      </c>
      <c r="J75" s="30">
        <f t="shared" si="6"/>
        <v>56348.226406185422</v>
      </c>
      <c r="K75" s="30">
        <f t="shared" si="6"/>
        <v>59584.25797503467</v>
      </c>
      <c r="L75" s="30">
        <f t="shared" si="6"/>
        <v>58085.756127464891</v>
      </c>
      <c r="M75" s="30">
        <f t="shared" si="6"/>
        <v>52408.2599412864</v>
      </c>
      <c r="N75" s="30">
        <f t="shared" si="6"/>
        <v>53799.693261687462</v>
      </c>
      <c r="O75" s="30">
        <f t="shared" si="6"/>
        <v>55932.708086549181</v>
      </c>
      <c r="P75" s="30">
        <f t="shared" si="6"/>
        <v>56693.362016634885</v>
      </c>
      <c r="Q75" s="30">
        <f t="shared" si="6"/>
        <v>55981.727505133953</v>
      </c>
      <c r="R75" s="30">
        <f t="shared" si="6"/>
        <v>56511.615996066561</v>
      </c>
      <c r="S75" s="30">
        <f t="shared" si="6"/>
        <v>57458.600000000042</v>
      </c>
      <c r="T75" s="30">
        <f t="shared" ref="T75:Y75" si="7">SUM(T56:T74)</f>
        <v>59831.388444514203</v>
      </c>
      <c r="U75" s="30">
        <f t="shared" si="7"/>
        <v>60485.552055380562</v>
      </c>
      <c r="V75" s="30">
        <f t="shared" si="7"/>
        <v>61899.661081674523</v>
      </c>
      <c r="W75" s="30">
        <f t="shared" si="7"/>
        <v>61873.949500924857</v>
      </c>
      <c r="X75" s="30">
        <f t="shared" si="7"/>
        <v>56155.613081999494</v>
      </c>
      <c r="Y75" s="30">
        <f t="shared" si="7"/>
        <v>61011.243951038952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8002186</v>
      </c>
      <c r="E3" s="42">
        <v>8020946</v>
      </c>
      <c r="F3" s="42">
        <v>8063640</v>
      </c>
      <c r="G3" s="42">
        <v>8100273</v>
      </c>
      <c r="H3" s="42">
        <v>8142573</v>
      </c>
      <c r="I3" s="42">
        <v>8201359</v>
      </c>
      <c r="J3" s="42">
        <v>8254298</v>
      </c>
      <c r="K3" s="42">
        <v>8282984</v>
      </c>
      <c r="L3" s="42">
        <v>8307989</v>
      </c>
      <c r="M3" s="42">
        <v>8335003</v>
      </c>
      <c r="N3" s="42">
        <v>8351643</v>
      </c>
      <c r="O3" s="42">
        <v>8375164</v>
      </c>
      <c r="P3" s="42">
        <v>8408121</v>
      </c>
      <c r="Q3" s="42">
        <v>8451860</v>
      </c>
      <c r="R3" s="42">
        <v>8507786</v>
      </c>
      <c r="S3" s="42">
        <v>8584926</v>
      </c>
      <c r="T3" s="42">
        <v>8700471</v>
      </c>
      <c r="U3" s="42">
        <v>8772865</v>
      </c>
      <c r="V3" s="42">
        <v>8822267</v>
      </c>
      <c r="W3" s="42">
        <v>8858775</v>
      </c>
      <c r="X3" s="42">
        <v>8901064</v>
      </c>
      <c r="Y3" s="42">
        <v>8932664</v>
      </c>
    </row>
    <row r="4" spans="1:25" x14ac:dyDescent="0.25">
      <c r="A4" s="43" t="s">
        <v>239</v>
      </c>
      <c r="B4" s="44"/>
      <c r="C4" s="44"/>
      <c r="D4" s="45">
        <v>3279631</v>
      </c>
      <c r="E4" s="45">
        <v>3332374</v>
      </c>
      <c r="F4" s="45">
        <v>3396664</v>
      </c>
      <c r="G4" s="45">
        <v>3460177</v>
      </c>
      <c r="H4" s="45">
        <v>3478246</v>
      </c>
      <c r="I4" s="45">
        <v>3519897</v>
      </c>
      <c r="J4" s="45">
        <v>3553292</v>
      </c>
      <c r="K4" s="45">
        <v>3577963</v>
      </c>
      <c r="L4" s="45">
        <v>3610599</v>
      </c>
      <c r="M4" s="45">
        <v>3639739</v>
      </c>
      <c r="N4" s="45">
        <v>3669439</v>
      </c>
      <c r="O4" s="45">
        <v>3687875</v>
      </c>
      <c r="P4" s="45">
        <v>3712195</v>
      </c>
      <c r="Q4" s="45">
        <v>3759724</v>
      </c>
      <c r="R4" s="45">
        <v>3827164</v>
      </c>
      <c r="S4" s="45">
        <v>3877564</v>
      </c>
      <c r="T4" s="45">
        <v>3931528</v>
      </c>
      <c r="U4" s="45">
        <v>3960661</v>
      </c>
      <c r="V4" s="45">
        <v>4001028</v>
      </c>
      <c r="W4" s="45">
        <v>4023059</v>
      </c>
      <c r="X4" s="45">
        <v>4066270</v>
      </c>
      <c r="Y4" s="45">
        <v>4086306</v>
      </c>
    </row>
    <row r="5" spans="1:25" x14ac:dyDescent="0.25">
      <c r="A5" s="46" t="s">
        <v>240</v>
      </c>
      <c r="B5" s="47"/>
      <c r="C5" s="47"/>
      <c r="D5" s="48">
        <f>D3/D4</f>
        <v>2.4399653497603846</v>
      </c>
      <c r="E5" s="48">
        <f t="shared" ref="E5:S5" si="0">E3/E4</f>
        <v>2.4069765278447135</v>
      </c>
      <c r="F5" s="48">
        <f t="shared" si="0"/>
        <v>2.3739881248189398</v>
      </c>
      <c r="G5" s="48">
        <f t="shared" si="0"/>
        <v>2.3409996078235302</v>
      </c>
      <c r="H5" s="48">
        <f t="shared" si="0"/>
        <v>2.3409997452739111</v>
      </c>
      <c r="I5" s="48">
        <f t="shared" si="0"/>
        <v>2.3299997130597854</v>
      </c>
      <c r="J5" s="48">
        <f t="shared" si="0"/>
        <v>2.323000192497549</v>
      </c>
      <c r="K5" s="48">
        <f t="shared" si="0"/>
        <v>2.3149999035764206</v>
      </c>
      <c r="L5" s="48">
        <f t="shared" si="0"/>
        <v>2.3010001941506104</v>
      </c>
      <c r="M5" s="48">
        <f t="shared" si="0"/>
        <v>2.2900001895740325</v>
      </c>
      <c r="N5" s="48">
        <f t="shared" si="0"/>
        <v>2.2759999553065198</v>
      </c>
      <c r="O5" s="48">
        <f t="shared" si="0"/>
        <v>2.2709999661051419</v>
      </c>
      <c r="P5" s="48">
        <f t="shared" si="0"/>
        <v>2.2649998181668796</v>
      </c>
      <c r="Q5" s="48">
        <f t="shared" si="0"/>
        <v>2.2480001191576831</v>
      </c>
      <c r="R5" s="48">
        <f t="shared" si="0"/>
        <v>2.2230001118321554</v>
      </c>
      <c r="S5" s="48">
        <f t="shared" si="0"/>
        <v>2.213999820505864</v>
      </c>
      <c r="T5" s="48">
        <f t="shared" ref="T5:Y5" si="1">T3/T4</f>
        <v>2.2129998819797292</v>
      </c>
      <c r="U5" s="48">
        <f t="shared" si="1"/>
        <v>2.215000223447551</v>
      </c>
      <c r="V5" s="48">
        <f t="shared" si="1"/>
        <v>2.2050000649832993</v>
      </c>
      <c r="W5" s="48">
        <f t="shared" si="1"/>
        <v>2.2019997718154269</v>
      </c>
      <c r="X5" s="48">
        <f t="shared" si="1"/>
        <v>2.188999746696604</v>
      </c>
      <c r="Y5" s="48">
        <f t="shared" si="1"/>
        <v>2.1859997758366605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3408.97</v>
      </c>
      <c r="E8" s="42">
        <v>3747.09</v>
      </c>
      <c r="F8" s="42">
        <v>3480.79</v>
      </c>
      <c r="G8" s="42">
        <v>3703.61</v>
      </c>
      <c r="H8" s="42">
        <v>3737.74</v>
      </c>
      <c r="I8" s="42">
        <v>3853.61</v>
      </c>
      <c r="J8" s="42">
        <v>3649.35</v>
      </c>
      <c r="K8" s="42">
        <v>3363.28</v>
      </c>
      <c r="L8" s="42">
        <v>3444.43</v>
      </c>
      <c r="M8" s="42">
        <v>3504.84</v>
      </c>
      <c r="N8" s="42">
        <v>3905.88</v>
      </c>
      <c r="O8" s="42">
        <v>3409.28</v>
      </c>
      <c r="P8" s="42">
        <v>3552.85</v>
      </c>
      <c r="Q8" s="42">
        <v>3635.43</v>
      </c>
      <c r="R8" s="42">
        <v>3126.98</v>
      </c>
      <c r="S8" s="42">
        <v>3316.42</v>
      </c>
      <c r="T8" s="42">
        <v>3419.3</v>
      </c>
      <c r="U8" s="42">
        <v>3498.07</v>
      </c>
      <c r="V8" s="42">
        <v>3193.65</v>
      </c>
      <c r="W8" s="42">
        <v>3279.5</v>
      </c>
      <c r="X8" s="42">
        <v>3322.79</v>
      </c>
      <c r="Y8" s="42">
        <v>3633.44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3502.5647619047613</v>
      </c>
      <c r="E9" s="45">
        <f t="shared" si="2"/>
        <v>3502.5647619047613</v>
      </c>
      <c r="F9" s="45">
        <f t="shared" si="2"/>
        <v>3502.5647619047613</v>
      </c>
      <c r="G9" s="45">
        <f t="shared" si="2"/>
        <v>3502.5647619047613</v>
      </c>
      <c r="H9" s="45">
        <f t="shared" si="2"/>
        <v>3502.5647619047613</v>
      </c>
      <c r="I9" s="45">
        <f t="shared" si="2"/>
        <v>3502.5647619047613</v>
      </c>
      <c r="J9" s="45">
        <f t="shared" si="2"/>
        <v>3502.5647619047613</v>
      </c>
      <c r="K9" s="45">
        <f t="shared" si="2"/>
        <v>3502.5647619047613</v>
      </c>
      <c r="L9" s="45">
        <f t="shared" si="2"/>
        <v>3502.5647619047613</v>
      </c>
      <c r="M9" s="45">
        <f t="shared" si="2"/>
        <v>3502.5647619047613</v>
      </c>
      <c r="N9" s="45">
        <f t="shared" si="2"/>
        <v>3502.5647619047613</v>
      </c>
      <c r="O9" s="45">
        <f t="shared" si="2"/>
        <v>3502.5647619047613</v>
      </c>
      <c r="P9" s="45">
        <f t="shared" si="2"/>
        <v>3502.5647619047613</v>
      </c>
      <c r="Q9" s="45">
        <f t="shared" si="2"/>
        <v>3502.5647619047613</v>
      </c>
      <c r="R9" s="45">
        <f t="shared" si="2"/>
        <v>3502.5647619047613</v>
      </c>
      <c r="S9" s="45">
        <f t="shared" si="2"/>
        <v>3502.5647619047613</v>
      </c>
      <c r="T9" s="45">
        <f t="shared" si="2"/>
        <v>3502.5647619047613</v>
      </c>
      <c r="U9" s="45">
        <f t="shared" si="2"/>
        <v>3502.5647619047613</v>
      </c>
      <c r="V9" s="45">
        <f t="shared" si="2"/>
        <v>3502.5647619047613</v>
      </c>
      <c r="W9" s="45">
        <f t="shared" si="2"/>
        <v>3502.5647619047613</v>
      </c>
      <c r="X9" s="45">
        <f>AVERAGE($D8:$X8)</f>
        <v>3502.5647619047613</v>
      </c>
      <c r="Y9" s="45">
        <f t="shared" ref="Y9" si="3">AVERAGE($D8:$X8)</f>
        <v>3502.5647619047613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0.97327822088466887</v>
      </c>
      <c r="E10" s="53">
        <f t="shared" si="4"/>
        <v>1.0698131953917853</v>
      </c>
      <c r="F10" s="53">
        <f t="shared" si="4"/>
        <v>0.99378319506277457</v>
      </c>
      <c r="G10" s="53">
        <f t="shared" si="4"/>
        <v>1.0573994349174878</v>
      </c>
      <c r="H10" s="53">
        <f t="shared" si="4"/>
        <v>1.0671437229806839</v>
      </c>
      <c r="I10" s="53">
        <f t="shared" si="4"/>
        <v>1.1002251955233895</v>
      </c>
      <c r="J10" s="53">
        <f t="shared" si="4"/>
        <v>1.0419079297809797</v>
      </c>
      <c r="K10" s="53">
        <f t="shared" si="4"/>
        <v>0.9602334942041113</v>
      </c>
      <c r="L10" s="53">
        <f t="shared" si="4"/>
        <v>0.98340223069190402</v>
      </c>
      <c r="M10" s="53">
        <f t="shared" si="4"/>
        <v>1.0006495920132541</v>
      </c>
      <c r="N10" s="53">
        <f t="shared" si="4"/>
        <v>1.1151485455691927</v>
      </c>
      <c r="O10" s="53">
        <f t="shared" si="4"/>
        <v>0.97336672745658781</v>
      </c>
      <c r="P10" s="53">
        <f t="shared" si="4"/>
        <v>1.0143566904578496</v>
      </c>
      <c r="Q10" s="53">
        <f t="shared" si="4"/>
        <v>1.037933699196752</v>
      </c>
      <c r="R10" s="53">
        <f t="shared" si="4"/>
        <v>0.89276864599628092</v>
      </c>
      <c r="S10" s="53">
        <f t="shared" si="4"/>
        <v>0.94685472659082759</v>
      </c>
      <c r="T10" s="53">
        <f t="shared" ref="T10:Y10" si="5">IF(T8=0,0,T8/T9)</f>
        <v>0.976227488265062</v>
      </c>
      <c r="U10" s="53">
        <f t="shared" si="5"/>
        <v>0.99871672268457445</v>
      </c>
      <c r="V10" s="53">
        <f t="shared" si="5"/>
        <v>0.91180326906025067</v>
      </c>
      <c r="W10" s="53">
        <f t="shared" si="5"/>
        <v>0.9363138793803617</v>
      </c>
      <c r="X10" s="53">
        <f t="shared" si="5"/>
        <v>0.94867339389122485</v>
      </c>
      <c r="Y10" s="53">
        <f t="shared" si="5"/>
        <v>1.0373655441060472</v>
      </c>
    </row>
    <row r="11" spans="1:25" x14ac:dyDescent="0.25">
      <c r="A11" s="43" t="s">
        <v>251</v>
      </c>
      <c r="B11" s="44"/>
      <c r="C11" s="44"/>
      <c r="D11" s="45">
        <v>18.43</v>
      </c>
      <c r="E11" s="45">
        <v>13.41</v>
      </c>
      <c r="F11" s="45">
        <v>15.8</v>
      </c>
      <c r="G11" s="45">
        <v>45.78</v>
      </c>
      <c r="H11" s="45">
        <v>4.9400000000000004</v>
      </c>
      <c r="I11" s="45">
        <v>10.8</v>
      </c>
      <c r="J11" s="45">
        <v>28.77</v>
      </c>
      <c r="K11" s="45">
        <v>25.74</v>
      </c>
      <c r="L11" s="45">
        <v>7.3</v>
      </c>
      <c r="M11" s="45">
        <v>9.94</v>
      </c>
      <c r="N11" s="45">
        <v>25.27</v>
      </c>
      <c r="O11" s="45">
        <v>17.63</v>
      </c>
      <c r="P11" s="45">
        <v>31.63</v>
      </c>
      <c r="Q11" s="45">
        <v>46.63</v>
      </c>
      <c r="R11" s="45">
        <v>8.9700000000000006</v>
      </c>
      <c r="S11" s="45">
        <v>67.53</v>
      </c>
      <c r="T11" s="45">
        <v>12.46</v>
      </c>
      <c r="U11" s="45">
        <v>36.049999999999997</v>
      </c>
      <c r="V11" s="45">
        <v>32.69</v>
      </c>
      <c r="W11" s="45">
        <v>40.159999999999997</v>
      </c>
      <c r="X11" s="45">
        <v>10</v>
      </c>
      <c r="Y11" s="45">
        <v>24.65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24.282380952380954</v>
      </c>
      <c r="E12" s="45">
        <f t="shared" ref="E12" si="7">AVERAGE($D11:$X11)</f>
        <v>24.282380952380954</v>
      </c>
      <c r="F12" s="45">
        <f t="shared" ref="F12" si="8">AVERAGE($D11:$X11)</f>
        <v>24.282380952380954</v>
      </c>
      <c r="G12" s="45">
        <f t="shared" ref="G12" si="9">AVERAGE($D11:$X11)</f>
        <v>24.282380952380954</v>
      </c>
      <c r="H12" s="45">
        <f t="shared" ref="H12" si="10">AVERAGE($D11:$X11)</f>
        <v>24.282380952380954</v>
      </c>
      <c r="I12" s="45">
        <f t="shared" ref="I12" si="11">AVERAGE($D11:$X11)</f>
        <v>24.282380952380954</v>
      </c>
      <c r="J12" s="45">
        <f t="shared" ref="J12" si="12">AVERAGE($D11:$X11)</f>
        <v>24.282380952380954</v>
      </c>
      <c r="K12" s="45">
        <f t="shared" ref="K12" si="13">AVERAGE($D11:$X11)</f>
        <v>24.282380952380954</v>
      </c>
      <c r="L12" s="45">
        <f t="shared" ref="L12" si="14">AVERAGE($D11:$X11)</f>
        <v>24.282380952380954</v>
      </c>
      <c r="M12" s="45">
        <f t="shared" ref="M12" si="15">AVERAGE($D11:$X11)</f>
        <v>24.282380952380954</v>
      </c>
      <c r="N12" s="45">
        <f t="shared" ref="N12" si="16">AVERAGE($D11:$X11)</f>
        <v>24.282380952380954</v>
      </c>
      <c r="O12" s="45">
        <f t="shared" ref="O12" si="17">AVERAGE($D11:$X11)</f>
        <v>24.282380952380954</v>
      </c>
      <c r="P12" s="45">
        <f t="shared" ref="P12" si="18">AVERAGE($D11:$X11)</f>
        <v>24.282380952380954</v>
      </c>
      <c r="Q12" s="45">
        <f t="shared" ref="Q12" si="19">AVERAGE($D11:$X11)</f>
        <v>24.282380952380954</v>
      </c>
      <c r="R12" s="45">
        <f t="shared" ref="R12" si="20">AVERAGE($D11:$X11)</f>
        <v>24.282380952380954</v>
      </c>
      <c r="S12" s="45">
        <f t="shared" ref="S12" si="21">AVERAGE($D11:$X11)</f>
        <v>24.282380952380954</v>
      </c>
      <c r="T12" s="45">
        <f t="shared" ref="T12" si="22">AVERAGE($D11:$X11)</f>
        <v>24.282380952380954</v>
      </c>
      <c r="U12" s="45">
        <f t="shared" ref="U12" si="23">AVERAGE($D11:$X11)</f>
        <v>24.282380952380954</v>
      </c>
      <c r="V12" s="45">
        <f t="shared" ref="V12" si="24">AVERAGE($D11:$X11)</f>
        <v>24.282380952380954</v>
      </c>
      <c r="W12" s="45">
        <f t="shared" ref="W12" si="25">AVERAGE($D11:$X11)</f>
        <v>24.282380952380954</v>
      </c>
      <c r="X12" s="45">
        <f>AVERAGE($D11:$X11)</f>
        <v>24.282380952380954</v>
      </c>
      <c r="Y12" s="45">
        <f t="shared" ref="Y12" si="26">AVERAGE($D11:$X11)</f>
        <v>24.282380952380954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0.75898652756260654</v>
      </c>
      <c r="E13" s="55">
        <f t="shared" si="27"/>
        <v>0.55225226991940068</v>
      </c>
      <c r="F13" s="55">
        <f t="shared" ref="F13" si="28">IF(F11=0,0,F11/F12)</f>
        <v>0.65067754397662425</v>
      </c>
      <c r="G13" s="55">
        <f t="shared" ref="G13" si="29">IF(G11=0,0,G11/G12)</f>
        <v>1.8853175926107504</v>
      </c>
      <c r="H13" s="55">
        <f t="shared" ref="H13" si="30">IF(H11=0,0,H11/H12)</f>
        <v>0.20343968780028632</v>
      </c>
      <c r="I13" s="55">
        <f t="shared" ref="I13" si="31">IF(I11=0,0,I11/I12)</f>
        <v>0.4447669287941482</v>
      </c>
      <c r="J13" s="55">
        <f t="shared" ref="J13" si="32">IF(J11=0,0,J11/J12)</f>
        <v>1.184809679759967</v>
      </c>
      <c r="K13" s="55">
        <f t="shared" ref="K13" si="33">IF(K11=0,0,K11/K12)</f>
        <v>1.0600278469593865</v>
      </c>
      <c r="L13" s="55">
        <f t="shared" ref="L13" si="34">IF(L11=0,0,L11/L12)</f>
        <v>0.30062949816641499</v>
      </c>
      <c r="M13" s="55">
        <f t="shared" ref="M13" si="35">IF(M11=0,0,M11/M12)</f>
        <v>0.40935030298276226</v>
      </c>
      <c r="N13" s="55">
        <f t="shared" ref="N13" si="36">IF(N11=0,0,N11/N12)</f>
        <v>1.0406722491322338</v>
      </c>
      <c r="O13" s="55">
        <f t="shared" ref="O13" si="37">IF(O11=0,0,O11/O12)</f>
        <v>0.72604082913341039</v>
      </c>
      <c r="P13" s="55">
        <f t="shared" ref="P13" si="38">IF(P11=0,0,P11/P12)</f>
        <v>1.3025905516443432</v>
      </c>
      <c r="Q13" s="55">
        <f t="shared" ref="Q13" si="39">IF(Q11=0,0,Q11/Q12)</f>
        <v>1.9203223971917713</v>
      </c>
      <c r="R13" s="55">
        <f t="shared" ref="R13" si="40">IF(R11=0,0,R11/R12)</f>
        <v>0.369403643637362</v>
      </c>
      <c r="S13" s="55">
        <f t="shared" ref="S13:Y13" si="41">IF(S11=0,0,S11/S12)</f>
        <v>2.781028768654521</v>
      </c>
      <c r="T13" s="55">
        <f t="shared" si="41"/>
        <v>0.51312925303473023</v>
      </c>
      <c r="U13" s="55">
        <f t="shared" si="41"/>
        <v>1.4846155354656518</v>
      </c>
      <c r="V13" s="55">
        <f t="shared" si="41"/>
        <v>1.346243602063028</v>
      </c>
      <c r="W13" s="55">
        <f t="shared" si="41"/>
        <v>1.6538740611456471</v>
      </c>
      <c r="X13" s="55">
        <f t="shared" si="41"/>
        <v>0.411821230364952</v>
      </c>
      <c r="Y13" s="55">
        <f t="shared" si="41"/>
        <v>1.0151393328496066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280478.08503374562</v>
      </c>
      <c r="E16" s="42">
        <v>284031.76156927395</v>
      </c>
      <c r="F16" s="42">
        <v>288720.632616419</v>
      </c>
      <c r="G16" s="42">
        <v>291438.32172754465</v>
      </c>
      <c r="H16" s="42">
        <v>299409.82431864797</v>
      </c>
      <c r="I16" s="42">
        <v>306129.2110463155</v>
      </c>
      <c r="J16" s="42">
        <v>316704.70401816332</v>
      </c>
      <c r="K16" s="42">
        <v>328507.14327028749</v>
      </c>
      <c r="L16" s="42">
        <v>333305.23282200244</v>
      </c>
      <c r="M16" s="42">
        <v>320758.12073362211</v>
      </c>
      <c r="N16" s="42">
        <v>326650.76999503229</v>
      </c>
      <c r="O16" s="42">
        <v>336197.45029594778</v>
      </c>
      <c r="P16" s="42">
        <v>338484.82595256052</v>
      </c>
      <c r="Q16" s="42">
        <v>338573.83269397612</v>
      </c>
      <c r="R16" s="42">
        <v>340810.9379955192</v>
      </c>
      <c r="S16" s="42">
        <v>344269.2</v>
      </c>
      <c r="T16" s="42">
        <v>351119.3150577331</v>
      </c>
      <c r="U16" s="42">
        <v>359049.98444669106</v>
      </c>
      <c r="V16" s="42">
        <v>367757.79616849456</v>
      </c>
      <c r="W16" s="42">
        <v>373090.33518713363</v>
      </c>
      <c r="X16" s="42">
        <v>348342.82944495761</v>
      </c>
      <c r="Y16" s="42">
        <v>363106.51947958855</v>
      </c>
    </row>
    <row r="17" spans="1:25" x14ac:dyDescent="0.25">
      <c r="A17" s="46" t="s">
        <v>141</v>
      </c>
      <c r="B17" s="47"/>
      <c r="C17" s="47"/>
      <c r="D17" s="57">
        <v>153455.94217201692</v>
      </c>
      <c r="E17" s="57">
        <v>155422.45724631075</v>
      </c>
      <c r="F17" s="57">
        <v>156481.68916044704</v>
      </c>
      <c r="G17" s="57">
        <v>159208.6486211975</v>
      </c>
      <c r="H17" s="57">
        <v>162904.19199041545</v>
      </c>
      <c r="I17" s="57">
        <v>166567.69697486568</v>
      </c>
      <c r="J17" s="57">
        <v>170053.45360394218</v>
      </c>
      <c r="K17" s="57">
        <v>171929.46516906246</v>
      </c>
      <c r="L17" s="57">
        <v>173555.51755585955</v>
      </c>
      <c r="M17" s="57">
        <v>175033.518156615</v>
      </c>
      <c r="N17" s="57">
        <v>176772.5222207334</v>
      </c>
      <c r="O17" s="57">
        <v>179150.59628162673</v>
      </c>
      <c r="P17" s="57">
        <v>180086.79197412098</v>
      </c>
      <c r="Q17" s="57">
        <v>179942.95889106288</v>
      </c>
      <c r="R17" s="57">
        <v>180490.87846750134</v>
      </c>
      <c r="S17" s="57">
        <v>181370.8</v>
      </c>
      <c r="T17" s="57">
        <v>184174.18897079112</v>
      </c>
      <c r="U17" s="57">
        <v>187776.48687637359</v>
      </c>
      <c r="V17" s="57">
        <v>189855.77242406702</v>
      </c>
      <c r="W17" s="57">
        <v>190896.98766537075</v>
      </c>
      <c r="X17" s="57">
        <v>174615.23583211296</v>
      </c>
      <c r="Y17" s="57">
        <v>181977.70582877137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35050.183166667906</v>
      </c>
      <c r="E20" s="42">
        <f t="shared" ref="E20:S20" si="42">1000000*E16/E$3</f>
        <v>35411.254678597004</v>
      </c>
      <c r="F20" s="42">
        <f t="shared" si="42"/>
        <v>35805.248326614157</v>
      </c>
      <c r="G20" s="42">
        <f t="shared" si="42"/>
        <v>35978.827099721784</v>
      </c>
      <c r="H20" s="42">
        <f t="shared" si="42"/>
        <v>36770.91065915503</v>
      </c>
      <c r="I20" s="42">
        <f t="shared" si="42"/>
        <v>37326.644406898355</v>
      </c>
      <c r="J20" s="42">
        <f t="shared" si="42"/>
        <v>38368.460166832279</v>
      </c>
      <c r="K20" s="42">
        <f t="shared" si="42"/>
        <v>39660.48265580224</v>
      </c>
      <c r="L20" s="42">
        <f t="shared" si="42"/>
        <v>40118.641565606602</v>
      </c>
      <c r="M20" s="42">
        <f t="shared" si="42"/>
        <v>38483.263981263372</v>
      </c>
      <c r="N20" s="42">
        <f t="shared" si="42"/>
        <v>39112.156733116142</v>
      </c>
      <c r="O20" s="42">
        <f t="shared" si="42"/>
        <v>40142.193071795104</v>
      </c>
      <c r="P20" s="42">
        <f t="shared" si="42"/>
        <v>40256.892824515795</v>
      </c>
      <c r="Q20" s="42">
        <f t="shared" si="42"/>
        <v>40059.091453712688</v>
      </c>
      <c r="R20" s="42">
        <f t="shared" si="42"/>
        <v>40058.710691068067</v>
      </c>
      <c r="S20" s="42">
        <f t="shared" si="42"/>
        <v>40101.592023041318</v>
      </c>
      <c r="T20" s="42">
        <f t="shared" ref="T20:Y20" si="43">1000000*T16/T$3</f>
        <v>40356.357150978736</v>
      </c>
      <c r="U20" s="42">
        <f t="shared" si="43"/>
        <v>40927.334963742294</v>
      </c>
      <c r="V20" s="42">
        <f t="shared" si="43"/>
        <v>41685.180936883291</v>
      </c>
      <c r="W20" s="42">
        <f t="shared" si="43"/>
        <v>42115.341589230295</v>
      </c>
      <c r="X20" s="42">
        <f t="shared" si="43"/>
        <v>39134.965150790689</v>
      </c>
      <c r="Y20" s="42">
        <f t="shared" si="43"/>
        <v>40649.297844359593</v>
      </c>
    </row>
    <row r="21" spans="1:25" x14ac:dyDescent="0.25">
      <c r="A21" s="46" t="s">
        <v>141</v>
      </c>
      <c r="B21" s="47"/>
      <c r="C21" s="47"/>
      <c r="D21" s="57">
        <f>1000000*D17/D$3</f>
        <v>19176.752723820329</v>
      </c>
      <c r="E21" s="57">
        <f t="shared" ref="E21:S21" si="44">1000000*E17/E$3</f>
        <v>19377.073134055605</v>
      </c>
      <c r="F21" s="57">
        <f t="shared" si="44"/>
        <v>19405.837706103826</v>
      </c>
      <c r="G21" s="57">
        <f t="shared" si="44"/>
        <v>19654.726281595387</v>
      </c>
      <c r="H21" s="57">
        <f t="shared" si="44"/>
        <v>20006.476084453334</v>
      </c>
      <c r="I21" s="57">
        <f t="shared" si="44"/>
        <v>20309.767804929121</v>
      </c>
      <c r="J21" s="57">
        <f t="shared" si="44"/>
        <v>20601.806913676024</v>
      </c>
      <c r="K21" s="57">
        <f t="shared" si="44"/>
        <v>20756.947637356592</v>
      </c>
      <c r="L21" s="57">
        <f t="shared" si="44"/>
        <v>20890.195877228478</v>
      </c>
      <c r="M21" s="57">
        <f t="shared" si="44"/>
        <v>20999.814655929338</v>
      </c>
      <c r="N21" s="57">
        <f t="shared" si="44"/>
        <v>21166.197144769405</v>
      </c>
      <c r="O21" s="57">
        <f t="shared" si="44"/>
        <v>21390.697099379395</v>
      </c>
      <c r="P21" s="57">
        <f t="shared" si="44"/>
        <v>21418.196999558044</v>
      </c>
      <c r="Q21" s="57">
        <f t="shared" si="44"/>
        <v>21290.338326837271</v>
      </c>
      <c r="R21" s="57">
        <f t="shared" si="44"/>
        <v>21214.7882501395</v>
      </c>
      <c r="S21" s="57">
        <f t="shared" si="44"/>
        <v>21126.65851749916</v>
      </c>
      <c r="T21" s="57">
        <f t="shared" ref="T21:Y21" si="45">1000000*T17/T$3</f>
        <v>21168.301000117248</v>
      </c>
      <c r="U21" s="57">
        <f t="shared" si="45"/>
        <v>21404.237598136253</v>
      </c>
      <c r="V21" s="57">
        <f t="shared" si="45"/>
        <v>21520.066489040404</v>
      </c>
      <c r="W21" s="57">
        <f t="shared" si="45"/>
        <v>21548.914795259025</v>
      </c>
      <c r="X21" s="57">
        <f t="shared" si="45"/>
        <v>19617.344154823844</v>
      </c>
      <c r="Y21" s="57">
        <f t="shared" si="45"/>
        <v>20372.165104247888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247899.50062421971</v>
      </c>
      <c r="E23" s="60">
        <v>251357.1838530706</v>
      </c>
      <c r="F23" s="60">
        <v>255367.74356385667</v>
      </c>
      <c r="G23" s="60">
        <v>258210.75713591566</v>
      </c>
      <c r="H23" s="60">
        <v>265754.53483367153</v>
      </c>
      <c r="I23" s="60">
        <v>271967.5644436953</v>
      </c>
      <c r="J23" s="60">
        <v>282212.12300064921</v>
      </c>
      <c r="K23" s="60">
        <v>293116.85159500694</v>
      </c>
      <c r="L23" s="60">
        <v>297904.1175201789</v>
      </c>
      <c r="M23" s="60">
        <v>285418.33466773422</v>
      </c>
      <c r="N23" s="60">
        <v>290886.67233065946</v>
      </c>
      <c r="O23" s="60">
        <v>300383.62476498907</v>
      </c>
      <c r="P23" s="60">
        <v>301971.4799944621</v>
      </c>
      <c r="Q23" s="60">
        <v>302401.61770252715</v>
      </c>
      <c r="R23" s="60">
        <v>304464.27108088176</v>
      </c>
      <c r="S23" s="60">
        <v>307037.7</v>
      </c>
      <c r="T23" s="60">
        <v>313033.24140503083</v>
      </c>
      <c r="U23" s="60">
        <v>320282.34745070589</v>
      </c>
      <c r="V23" s="60">
        <v>328671.4401642083</v>
      </c>
      <c r="W23" s="60">
        <v>333260.56133036612</v>
      </c>
      <c r="X23" s="60">
        <v>311592.6823932621</v>
      </c>
      <c r="Y23" s="60">
        <v>322415.93723313406</v>
      </c>
    </row>
    <row r="24" spans="1:25" x14ac:dyDescent="0.25">
      <c r="A24" s="61" t="s">
        <v>33</v>
      </c>
      <c r="B24" s="62"/>
      <c r="C24" s="62"/>
      <c r="D24" s="63">
        <v>4575.9207240948817</v>
      </c>
      <c r="E24" s="63">
        <v>4699.0625597857279</v>
      </c>
      <c r="F24" s="63">
        <v>4471.7314487632511</v>
      </c>
      <c r="G24" s="63">
        <v>4309.8314291765819</v>
      </c>
      <c r="H24" s="63">
        <v>4400.4181270368326</v>
      </c>
      <c r="I24" s="63">
        <v>3852.5350060801616</v>
      </c>
      <c r="J24" s="63">
        <v>4120.0495779968123</v>
      </c>
      <c r="K24" s="63">
        <v>4648.8673139158582</v>
      </c>
      <c r="L24" s="63">
        <v>4476.1429041742822</v>
      </c>
      <c r="M24" s="63">
        <v>3673.2719508940486</v>
      </c>
      <c r="N24" s="63">
        <v>4137.6570930476328</v>
      </c>
      <c r="O24" s="63">
        <v>4724.8877924731305</v>
      </c>
      <c r="P24" s="63">
        <v>4576.4065645001547</v>
      </c>
      <c r="Q24" s="63">
        <v>4258.2037634633916</v>
      </c>
      <c r="R24" s="63">
        <v>4097.5579775465048</v>
      </c>
      <c r="S24" s="63">
        <v>3889.5</v>
      </c>
      <c r="T24" s="63">
        <v>3896.9094424433952</v>
      </c>
      <c r="U24" s="63">
        <v>4347.3145879516196</v>
      </c>
      <c r="V24" s="63">
        <v>4158.5755883335714</v>
      </c>
      <c r="W24" s="63">
        <v>3924.6175948618275</v>
      </c>
      <c r="X24" s="63">
        <v>3708.2072410398514</v>
      </c>
      <c r="Y24" s="63">
        <v>4392.9689723882721</v>
      </c>
    </row>
    <row r="25" spans="1:25" x14ac:dyDescent="0.25">
      <c r="A25" s="64" t="s">
        <v>56</v>
      </c>
      <c r="B25" s="65"/>
      <c r="C25" s="65"/>
      <c r="D25" s="66">
        <v>914.87203495630456</v>
      </c>
      <c r="E25" s="66">
        <v>1004.7828582360819</v>
      </c>
      <c r="F25" s="66">
        <v>1015.5224634023222</v>
      </c>
      <c r="G25" s="66">
        <v>1024.7561142743232</v>
      </c>
      <c r="H25" s="66">
        <v>1120.2115230892209</v>
      </c>
      <c r="I25" s="66">
        <v>1187.6181417580697</v>
      </c>
      <c r="J25" s="66">
        <v>1245.2340199492417</v>
      </c>
      <c r="K25" s="66">
        <v>1134.7665279704115</v>
      </c>
      <c r="L25" s="66">
        <v>1523.0397220929308</v>
      </c>
      <c r="M25" s="66">
        <v>1194.8447647006494</v>
      </c>
      <c r="N25" s="66">
        <v>1297.6796019022188</v>
      </c>
      <c r="O25" s="66">
        <v>1628.0687264309856</v>
      </c>
      <c r="P25" s="66">
        <v>1608.749826941714</v>
      </c>
      <c r="Q25" s="66">
        <v>1547.609069192406</v>
      </c>
      <c r="R25" s="66">
        <v>1435.6100958780628</v>
      </c>
      <c r="S25" s="66">
        <v>1147.8</v>
      </c>
      <c r="T25" s="66">
        <v>950.42741753442397</v>
      </c>
      <c r="U25" s="66">
        <v>1155.0577528876443</v>
      </c>
      <c r="V25" s="66">
        <v>1104.4918611866915</v>
      </c>
      <c r="W25" s="66">
        <v>987.63345446350604</v>
      </c>
      <c r="X25" s="66">
        <v>798.93900171363987</v>
      </c>
      <c r="Y25" s="66">
        <v>931.89581554227141</v>
      </c>
    </row>
    <row r="26" spans="1:25" x14ac:dyDescent="0.25">
      <c r="A26" s="67" t="s">
        <v>146</v>
      </c>
      <c r="B26" s="44"/>
      <c r="C26" s="44"/>
      <c r="D26" s="45">
        <v>168343.47690387018</v>
      </c>
      <c r="E26" s="45">
        <v>171054.39704100502</v>
      </c>
      <c r="F26" s="45">
        <v>176254.66935890965</v>
      </c>
      <c r="G26" s="45">
        <v>178407.11162054742</v>
      </c>
      <c r="H26" s="45">
        <v>183832.13429256593</v>
      </c>
      <c r="I26" s="45">
        <v>189385.00066219585</v>
      </c>
      <c r="J26" s="45">
        <v>196069.99940978573</v>
      </c>
      <c r="K26" s="45">
        <v>202646.55570966253</v>
      </c>
      <c r="L26" s="45">
        <v>208310.30685572216</v>
      </c>
      <c r="M26" s="45">
        <v>203697.17996619522</v>
      </c>
      <c r="N26" s="45">
        <v>208529.64217541454</v>
      </c>
      <c r="O26" s="45">
        <v>215116.55454970276</v>
      </c>
      <c r="P26" s="45">
        <v>215985.26075890049</v>
      </c>
      <c r="Q26" s="45">
        <v>217206.215162818</v>
      </c>
      <c r="R26" s="45">
        <v>219535.87232647711</v>
      </c>
      <c r="S26" s="45">
        <v>222043.40000000002</v>
      </c>
      <c r="T26" s="45">
        <v>225397.14008106699</v>
      </c>
      <c r="U26" s="45">
        <v>230322.79391747364</v>
      </c>
      <c r="V26" s="45">
        <v>236732.63640269224</v>
      </c>
      <c r="W26" s="45">
        <v>241033.55024085182</v>
      </c>
      <c r="X26" s="45">
        <v>224810.4058044992</v>
      </c>
      <c r="Y26" s="45">
        <v>229690.96925704525</v>
      </c>
    </row>
    <row r="27" spans="1:25" x14ac:dyDescent="0.25">
      <c r="A27" s="68" t="s">
        <v>148</v>
      </c>
      <c r="B27" s="69"/>
      <c r="C27" s="69"/>
      <c r="D27" s="70">
        <v>70252.678942987928</v>
      </c>
      <c r="E27" s="70">
        <v>70821.886359288299</v>
      </c>
      <c r="F27" s="70">
        <v>72711.004543160016</v>
      </c>
      <c r="G27" s="70">
        <v>73935.188069222437</v>
      </c>
      <c r="H27" s="70">
        <v>75742.605915267777</v>
      </c>
      <c r="I27" s="70">
        <v>77134.859193084281</v>
      </c>
      <c r="J27" s="70">
        <v>79328.218143185979</v>
      </c>
      <c r="K27" s="70">
        <v>81203.42117429497</v>
      </c>
      <c r="L27" s="70">
        <v>84264.193354297458</v>
      </c>
      <c r="M27" s="70">
        <v>84720.220620941196</v>
      </c>
      <c r="N27" s="70">
        <v>85930.31082080082</v>
      </c>
      <c r="O27" s="70">
        <v>87214.319093211045</v>
      </c>
      <c r="P27" s="70">
        <v>88120.746759816393</v>
      </c>
      <c r="Q27" s="70">
        <v>88642.135702610947</v>
      </c>
      <c r="R27" s="70">
        <v>89542.735392936185</v>
      </c>
      <c r="S27" s="70">
        <v>90859.799999999988</v>
      </c>
      <c r="T27" s="70">
        <v>92740.379425071878</v>
      </c>
      <c r="U27" s="70">
        <v>94921.634970637417</v>
      </c>
      <c r="V27" s="70">
        <v>96475.726765000727</v>
      </c>
      <c r="W27" s="70">
        <v>98240.232119214619</v>
      </c>
      <c r="X27" s="70">
        <v>88235.042111787654</v>
      </c>
      <c r="Y27" s="70">
        <v>89099.060631938541</v>
      </c>
    </row>
    <row r="28" spans="1:25" x14ac:dyDescent="0.25">
      <c r="A28" s="68" t="s">
        <v>150</v>
      </c>
      <c r="B28" s="71"/>
      <c r="C28" s="71"/>
      <c r="D28" s="70">
        <v>62383.999167707036</v>
      </c>
      <c r="E28" s="70">
        <v>64283.910464893823</v>
      </c>
      <c r="F28" s="70">
        <v>66910.398788490667</v>
      </c>
      <c r="G28" s="70">
        <v>67912.487696697106</v>
      </c>
      <c r="H28" s="70">
        <v>70565.824263666</v>
      </c>
      <c r="I28" s="70">
        <v>73880.226832175482</v>
      </c>
      <c r="J28" s="70">
        <v>76992.150150504633</v>
      </c>
      <c r="K28" s="70">
        <v>79891.701340730462</v>
      </c>
      <c r="L28" s="70">
        <v>81781.534165086792</v>
      </c>
      <c r="M28" s="70">
        <v>78194.222044302107</v>
      </c>
      <c r="N28" s="70">
        <v>79567.256236828456</v>
      </c>
      <c r="O28" s="70">
        <v>83283.08899442495</v>
      </c>
      <c r="P28" s="70">
        <v>83504.297170363905</v>
      </c>
      <c r="Q28" s="70">
        <v>85777.628766606576</v>
      </c>
      <c r="R28" s="70">
        <v>86737.994755388019</v>
      </c>
      <c r="S28" s="70">
        <v>88088.900000000009</v>
      </c>
      <c r="T28" s="70">
        <v>89713.026665750658</v>
      </c>
      <c r="U28" s="70">
        <v>92936.841286508759</v>
      </c>
      <c r="V28" s="70">
        <v>95527.42374337677</v>
      </c>
      <c r="W28" s="70">
        <v>98297.135130567054</v>
      </c>
      <c r="X28" s="70">
        <v>94371.695774237072</v>
      </c>
      <c r="Y28" s="70">
        <v>95934.297608881301</v>
      </c>
    </row>
    <row r="29" spans="1:25" x14ac:dyDescent="0.25">
      <c r="A29" s="68" t="s">
        <v>152</v>
      </c>
      <c r="B29" s="71"/>
      <c r="C29" s="71"/>
      <c r="D29" s="70">
        <v>35706.798793175221</v>
      </c>
      <c r="E29" s="70">
        <v>35948.600216822895</v>
      </c>
      <c r="F29" s="70">
        <v>36633.266027259</v>
      </c>
      <c r="G29" s="70">
        <v>36559.435854627911</v>
      </c>
      <c r="H29" s="70">
        <v>37523.704113632128</v>
      </c>
      <c r="I29" s="70">
        <v>38369.914636936075</v>
      </c>
      <c r="J29" s="70">
        <v>39749.631116095123</v>
      </c>
      <c r="K29" s="70">
        <v>41551.433194637073</v>
      </c>
      <c r="L29" s="70">
        <v>42264.579336337942</v>
      </c>
      <c r="M29" s="70">
        <v>40782.737300951907</v>
      </c>
      <c r="N29" s="70">
        <v>43032.075117785265</v>
      </c>
      <c r="O29" s="70">
        <v>44619.146462066761</v>
      </c>
      <c r="P29" s="70">
        <v>44360.216828720229</v>
      </c>
      <c r="Q29" s="70">
        <v>42786.450693600491</v>
      </c>
      <c r="R29" s="70">
        <v>43255.142178152906</v>
      </c>
      <c r="S29" s="70">
        <v>43094.700000000048</v>
      </c>
      <c r="T29" s="70">
        <v>42943.733990244444</v>
      </c>
      <c r="U29" s="70">
        <v>42464.31766032747</v>
      </c>
      <c r="V29" s="70">
        <v>44729.485894314741</v>
      </c>
      <c r="W29" s="70">
        <v>44496.182991070134</v>
      </c>
      <c r="X29" s="70">
        <v>42203.667918474486</v>
      </c>
      <c r="Y29" s="70">
        <v>44657.611016225404</v>
      </c>
    </row>
    <row r="30" spans="1:25" x14ac:dyDescent="0.25">
      <c r="A30" s="64" t="s">
        <v>154</v>
      </c>
      <c r="B30" s="65"/>
      <c r="C30" s="65"/>
      <c r="D30" s="66">
        <v>7331.3306283811899</v>
      </c>
      <c r="E30" s="66">
        <v>7382.9475161022892</v>
      </c>
      <c r="F30" s="66">
        <v>6979.8081776880363</v>
      </c>
      <c r="G30" s="66">
        <v>7130.1845183957721</v>
      </c>
      <c r="H30" s="66">
        <v>7426.059152677858</v>
      </c>
      <c r="I30" s="66">
        <v>7226.3626184427558</v>
      </c>
      <c r="J30" s="66">
        <v>7118.6920852269368</v>
      </c>
      <c r="K30" s="66">
        <v>7067.2676837725385</v>
      </c>
      <c r="L30" s="66">
        <v>7217.2965363788071</v>
      </c>
      <c r="M30" s="66">
        <v>7211.9918156747626</v>
      </c>
      <c r="N30" s="66">
        <v>6648.3874171089365</v>
      </c>
      <c r="O30" s="66">
        <v>6374.3656063553481</v>
      </c>
      <c r="P30" s="66">
        <v>6554.4893981831547</v>
      </c>
      <c r="Q30" s="66">
        <v>6502.3469259461044</v>
      </c>
      <c r="R30" s="66">
        <v>5931.123494222732</v>
      </c>
      <c r="S30" s="66">
        <v>6137.5</v>
      </c>
      <c r="T30" s="66">
        <v>6292.9993816921997</v>
      </c>
      <c r="U30" s="66">
        <v>6290.8839886438764</v>
      </c>
      <c r="V30" s="66">
        <v>6444.3171511766668</v>
      </c>
      <c r="W30" s="66">
        <v>6790.5199207489404</v>
      </c>
      <c r="X30" s="66">
        <v>6607.904619535494</v>
      </c>
      <c r="Y30" s="66">
        <v>6948.0323085681757</v>
      </c>
    </row>
    <row r="31" spans="1:25" x14ac:dyDescent="0.25">
      <c r="A31" s="64" t="s">
        <v>37</v>
      </c>
      <c r="B31" s="65"/>
      <c r="C31" s="65"/>
      <c r="D31" s="66">
        <v>18607.990012484395</v>
      </c>
      <c r="E31" s="66">
        <v>17856.386710031249</v>
      </c>
      <c r="F31" s="66">
        <v>17833.6698637052</v>
      </c>
      <c r="G31" s="66">
        <v>18794.587792631723</v>
      </c>
      <c r="H31" s="66">
        <v>19187.480784603089</v>
      </c>
      <c r="I31" s="66">
        <v>19063.655080246095</v>
      </c>
      <c r="J31" s="66">
        <v>19045.977689901432</v>
      </c>
      <c r="K31" s="66">
        <v>20151.756819232549</v>
      </c>
      <c r="L31" s="66">
        <v>20627.10729165484</v>
      </c>
      <c r="M31" s="66">
        <v>19412.196423805712</v>
      </c>
      <c r="N31" s="66">
        <v>18893.755999602781</v>
      </c>
      <c r="O31" s="66">
        <v>18993.012160796374</v>
      </c>
      <c r="P31" s="66">
        <v>19199.671987987091</v>
      </c>
      <c r="Q31" s="66">
        <v>19430.87045806965</v>
      </c>
      <c r="R31" s="66">
        <v>19420.122101122677</v>
      </c>
      <c r="S31" s="66">
        <v>19174.2</v>
      </c>
      <c r="T31" s="66">
        <v>19584.163468804898</v>
      </c>
      <c r="U31" s="66">
        <v>20561.875315988022</v>
      </c>
      <c r="V31" s="66">
        <v>21315.384982576732</v>
      </c>
      <c r="W31" s="66">
        <v>21912.260439261201</v>
      </c>
      <c r="X31" s="66">
        <v>22139.315273270866</v>
      </c>
      <c r="Y31" s="66">
        <v>22771.313692001138</v>
      </c>
    </row>
    <row r="32" spans="1:25" x14ac:dyDescent="0.25">
      <c r="A32" s="64" t="s">
        <v>58</v>
      </c>
      <c r="B32" s="65"/>
      <c r="C32" s="65"/>
      <c r="D32" s="66">
        <v>48125.910320432791</v>
      </c>
      <c r="E32" s="66">
        <v>49359.607167910202</v>
      </c>
      <c r="F32" s="66">
        <v>48812.342251388196</v>
      </c>
      <c r="G32" s="66">
        <v>48544.285660889822</v>
      </c>
      <c r="H32" s="66">
        <v>49788.230953698592</v>
      </c>
      <c r="I32" s="66">
        <v>51252.392934972369</v>
      </c>
      <c r="J32" s="66">
        <v>54612.170217789062</v>
      </c>
      <c r="K32" s="66">
        <v>57467.637540453085</v>
      </c>
      <c r="L32" s="66">
        <v>55750.224210155859</v>
      </c>
      <c r="M32" s="66">
        <v>50228.849746463842</v>
      </c>
      <c r="N32" s="66">
        <v>51379.550043583324</v>
      </c>
      <c r="O32" s="66">
        <v>53546.735929230461</v>
      </c>
      <c r="P32" s="66">
        <v>54046.901457949498</v>
      </c>
      <c r="Q32" s="66">
        <v>53456.372323037584</v>
      </c>
      <c r="R32" s="66">
        <v>54043.985085634689</v>
      </c>
      <c r="S32" s="66">
        <v>54645.299999999996</v>
      </c>
      <c r="T32" s="66">
        <v>56911.601613488929</v>
      </c>
      <c r="U32" s="66">
        <v>57604.421887761047</v>
      </c>
      <c r="V32" s="66">
        <v>58916.0341782424</v>
      </c>
      <c r="W32" s="66">
        <v>58611.979680178789</v>
      </c>
      <c r="X32" s="66">
        <v>53527.910453203054</v>
      </c>
      <c r="Y32" s="66">
        <v>57680.757187588948</v>
      </c>
    </row>
    <row r="33" spans="1:25" x14ac:dyDescent="0.25">
      <c r="A33" s="72" t="s">
        <v>158</v>
      </c>
      <c r="B33" s="65"/>
      <c r="C33" s="65"/>
      <c r="D33" s="66">
        <v>3011.6000832292971</v>
      </c>
      <c r="E33" s="66">
        <v>3279.6377782029208</v>
      </c>
      <c r="F33" s="66">
        <v>2864.083796062595</v>
      </c>
      <c r="G33" s="66">
        <v>2942.7008708869589</v>
      </c>
      <c r="H33" s="66">
        <v>3382.1558138104901</v>
      </c>
      <c r="I33" s="66">
        <v>4025.3079210662554</v>
      </c>
      <c r="J33" s="66">
        <v>4204.0960868795373</v>
      </c>
      <c r="K33" s="66">
        <v>4526.6990291262136</v>
      </c>
      <c r="L33" s="66">
        <v>4527.9099072507861</v>
      </c>
      <c r="M33" s="66">
        <v>3324.6597277822257</v>
      </c>
      <c r="N33" s="66">
        <v>3711.7542562699296</v>
      </c>
      <c r="O33" s="66">
        <v>3877.2183400893314</v>
      </c>
      <c r="P33" s="66">
        <v>3998.7646300812576</v>
      </c>
      <c r="Q33" s="66">
        <v>3613.2182222035958</v>
      </c>
      <c r="R33" s="66">
        <v>3769.359993444235</v>
      </c>
      <c r="S33" s="66">
        <v>4182.3</v>
      </c>
      <c r="T33" s="66">
        <v>3878.9490730290208</v>
      </c>
      <c r="U33" s="66">
        <v>4063.0225955742226</v>
      </c>
      <c r="V33" s="66">
        <v>4297.1979569430523</v>
      </c>
      <c r="W33" s="66">
        <v>3944.7120576166467</v>
      </c>
      <c r="X33" s="66">
        <v>3195.117949465855</v>
      </c>
      <c r="Y33" s="66">
        <v>3562.7490748647879</v>
      </c>
    </row>
    <row r="34" spans="1:25" x14ac:dyDescent="0.25">
      <c r="A34" s="73" t="s">
        <v>5</v>
      </c>
      <c r="B34" s="65"/>
      <c r="C34" s="65"/>
      <c r="D34" s="66">
        <v>2269.6746834050127</v>
      </c>
      <c r="E34" s="66">
        <v>2471.6797151712276</v>
      </c>
      <c r="F34" s="66">
        <v>2158.499901521905</v>
      </c>
      <c r="G34" s="66">
        <v>2217.7491974048044</v>
      </c>
      <c r="H34" s="66">
        <v>2548.9418295225505</v>
      </c>
      <c r="I34" s="66">
        <v>3033.6496310483526</v>
      </c>
      <c r="J34" s="66">
        <v>3168.3922802794218</v>
      </c>
      <c r="K34" s="66">
        <v>3411.5200896079828</v>
      </c>
      <c r="L34" s="66">
        <v>3412.4326607821354</v>
      </c>
      <c r="M34" s="66">
        <v>2503.2596696376263</v>
      </c>
      <c r="N34" s="66">
        <v>2482.4771483252257</v>
      </c>
      <c r="O34" s="66">
        <v>2633.9517713645496</v>
      </c>
      <c r="P34" s="66">
        <v>2726.5796810669922</v>
      </c>
      <c r="Q34" s="66">
        <v>2529.931009973157</v>
      </c>
      <c r="R34" s="66">
        <v>2564.4273504710677</v>
      </c>
      <c r="S34" s="66">
        <v>2900.4659640432642</v>
      </c>
      <c r="T34" s="66">
        <v>2593.923350846404</v>
      </c>
      <c r="U34" s="66">
        <v>2726.0384581340386</v>
      </c>
      <c r="V34" s="66">
        <v>3100.2210576996404</v>
      </c>
      <c r="W34" s="66">
        <v>2799.565688531563</v>
      </c>
      <c r="X34" s="66">
        <v>2294.5083729952098</v>
      </c>
      <c r="Y34" s="66">
        <v>2378.5029594071611</v>
      </c>
    </row>
    <row r="35" spans="1:25" x14ac:dyDescent="0.25">
      <c r="A35" s="74" t="s">
        <v>270</v>
      </c>
      <c r="B35" s="44"/>
      <c r="C35" s="44"/>
      <c r="D35" s="45">
        <v>2084.5935036552114</v>
      </c>
      <c r="E35" s="45">
        <v>2272.4187447472154</v>
      </c>
      <c r="F35" s="45">
        <v>1968.3231122521113</v>
      </c>
      <c r="G35" s="45">
        <v>2054.7510545053801</v>
      </c>
      <c r="H35" s="45">
        <v>2339.3718107990198</v>
      </c>
      <c r="I35" s="45">
        <v>2799.803748581382</v>
      </c>
      <c r="J35" s="45">
        <v>2917.7850222413231</v>
      </c>
      <c r="K35" s="45">
        <v>3130.9958991652625</v>
      </c>
      <c r="L35" s="45">
        <v>3126.2948138946695</v>
      </c>
      <c r="M35" s="45">
        <v>2275.0012090709188</v>
      </c>
      <c r="N35" s="45">
        <v>2301.6287655143847</v>
      </c>
      <c r="O35" s="45">
        <v>2432.1916360402215</v>
      </c>
      <c r="P35" s="45">
        <v>2518.7290430934631</v>
      </c>
      <c r="Q35" s="45">
        <v>2360.5489675244776</v>
      </c>
      <c r="R35" s="45">
        <v>2381.8681598283129</v>
      </c>
      <c r="S35" s="45">
        <v>2688.6270252921163</v>
      </c>
      <c r="T35" s="45">
        <v>2400.0464191999163</v>
      </c>
      <c r="U35" s="45">
        <v>2527.893574042067</v>
      </c>
      <c r="V35" s="45">
        <v>2819.1390506437228</v>
      </c>
      <c r="W35" s="45">
        <v>2573.1352120190895</v>
      </c>
      <c r="X35" s="45">
        <v>2104.1959311580799</v>
      </c>
      <c r="Y35" s="45">
        <v>2186.3387226519985</v>
      </c>
    </row>
    <row r="36" spans="1:25" x14ac:dyDescent="0.25">
      <c r="A36" s="74" t="s">
        <v>15</v>
      </c>
      <c r="B36" s="44"/>
      <c r="C36" s="44"/>
      <c r="D36" s="45">
        <v>185.08117974980132</v>
      </c>
      <c r="E36" s="45">
        <v>199.26097042401216</v>
      </c>
      <c r="F36" s="45">
        <v>190.17678926979374</v>
      </c>
      <c r="G36" s="45">
        <v>162.99814289942424</v>
      </c>
      <c r="H36" s="45">
        <v>209.57001872353067</v>
      </c>
      <c r="I36" s="45">
        <v>233.84588246697058</v>
      </c>
      <c r="J36" s="45">
        <v>250.60725803809873</v>
      </c>
      <c r="K36" s="45">
        <v>280.52419044272028</v>
      </c>
      <c r="L36" s="45">
        <v>286.13784688746591</v>
      </c>
      <c r="M36" s="45">
        <v>228.25846056670753</v>
      </c>
      <c r="N36" s="45">
        <v>180.84838281084103</v>
      </c>
      <c r="O36" s="45">
        <v>201.76013532432808</v>
      </c>
      <c r="P36" s="45">
        <v>207.85063797352905</v>
      </c>
      <c r="Q36" s="45">
        <v>169.38204244867939</v>
      </c>
      <c r="R36" s="45">
        <v>182.55919064275486</v>
      </c>
      <c r="S36" s="45">
        <v>211.83893875114791</v>
      </c>
      <c r="T36" s="45">
        <v>193.87693164648772</v>
      </c>
      <c r="U36" s="45">
        <v>198.14488409197156</v>
      </c>
      <c r="V36" s="45">
        <v>281.08200705591753</v>
      </c>
      <c r="W36" s="45">
        <v>226.43047651247343</v>
      </c>
      <c r="X36" s="45">
        <v>190.31244183712988</v>
      </c>
      <c r="Y36" s="45">
        <v>192.16423675516262</v>
      </c>
    </row>
    <row r="37" spans="1:25" x14ac:dyDescent="0.25">
      <c r="A37" s="73" t="s">
        <v>269</v>
      </c>
      <c r="B37" s="65"/>
      <c r="C37" s="65"/>
      <c r="D37" s="66">
        <v>741.92539982428434</v>
      </c>
      <c r="E37" s="66">
        <v>807.9580630316932</v>
      </c>
      <c r="F37" s="66">
        <v>705.58389454068993</v>
      </c>
      <c r="G37" s="66">
        <v>724.95167348215455</v>
      </c>
      <c r="H37" s="66">
        <v>833.21398428793964</v>
      </c>
      <c r="I37" s="66">
        <v>991.6582900179028</v>
      </c>
      <c r="J37" s="66">
        <v>1035.7038066001155</v>
      </c>
      <c r="K37" s="66">
        <v>1115.1789395182309</v>
      </c>
      <c r="L37" s="66">
        <v>1115.4772464686507</v>
      </c>
      <c r="M37" s="66">
        <v>821.40005814459937</v>
      </c>
      <c r="N37" s="66">
        <v>1229.2771079447039</v>
      </c>
      <c r="O37" s="66">
        <v>1243.2665687247818</v>
      </c>
      <c r="P37" s="66">
        <v>1272.1849490142654</v>
      </c>
      <c r="Q37" s="66">
        <v>1083.2872122304389</v>
      </c>
      <c r="R37" s="66">
        <v>1204.9326429731673</v>
      </c>
      <c r="S37" s="66">
        <v>1281.834035956736</v>
      </c>
      <c r="T37" s="66">
        <v>1285.0257221826168</v>
      </c>
      <c r="U37" s="66">
        <v>1336.984137440184</v>
      </c>
      <c r="V37" s="66">
        <v>1196.9768992434119</v>
      </c>
      <c r="W37" s="66">
        <v>1145.1463690850837</v>
      </c>
      <c r="X37" s="66">
        <v>900.60957647064515</v>
      </c>
      <c r="Y37" s="66">
        <v>1184.2461154576267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304.92643879559319</v>
      </c>
      <c r="E39" s="45">
        <v>332.06542721786951</v>
      </c>
      <c r="F39" s="45">
        <v>289.99032016530748</v>
      </c>
      <c r="G39" s="45">
        <v>297.95034938306952</v>
      </c>
      <c r="H39" s="45">
        <v>342.44544403491483</v>
      </c>
      <c r="I39" s="45">
        <v>407.56500714074787</v>
      </c>
      <c r="J39" s="45">
        <v>425.66742352857779</v>
      </c>
      <c r="K39" s="45">
        <v>458.33117821235987</v>
      </c>
      <c r="L39" s="45">
        <v>458.45378039861885</v>
      </c>
      <c r="M39" s="45">
        <v>433.42780186281482</v>
      </c>
      <c r="N39" s="45">
        <v>762.10878478684549</v>
      </c>
      <c r="O39" s="45">
        <v>718.36624312139702</v>
      </c>
      <c r="P39" s="45">
        <v>703.31895505774662</v>
      </c>
      <c r="Q39" s="45">
        <v>722.11072997477606</v>
      </c>
      <c r="R39" s="45">
        <v>744.27446626236008</v>
      </c>
      <c r="S39" s="45">
        <v>835.39136612531388</v>
      </c>
      <c r="T39" s="45">
        <v>863.41794740046271</v>
      </c>
      <c r="U39" s="45">
        <v>885.63419459043962</v>
      </c>
      <c r="V39" s="45">
        <v>826.69798405544884</v>
      </c>
      <c r="W39" s="45">
        <v>822.20167507551105</v>
      </c>
      <c r="X39" s="45">
        <v>619.09721788712284</v>
      </c>
      <c r="Y39" s="45">
        <v>737.95347096710293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304.92643879559319</v>
      </c>
      <c r="E41" s="45">
        <v>332.06542721786951</v>
      </c>
      <c r="F41" s="45">
        <v>289.99032016530748</v>
      </c>
      <c r="G41" s="45">
        <v>297.95034938306952</v>
      </c>
      <c r="H41" s="45">
        <v>342.44544403491483</v>
      </c>
      <c r="I41" s="45">
        <v>407.56500714074787</v>
      </c>
      <c r="J41" s="45">
        <v>425.66742352857779</v>
      </c>
      <c r="K41" s="45">
        <v>458.33117821235987</v>
      </c>
      <c r="L41" s="45">
        <v>458.45378039861885</v>
      </c>
      <c r="M41" s="45">
        <v>433.42780186281482</v>
      </c>
      <c r="N41" s="45">
        <v>762.10878478684549</v>
      </c>
      <c r="O41" s="45">
        <v>718.36624312139702</v>
      </c>
      <c r="P41" s="45">
        <v>703.31895505774662</v>
      </c>
      <c r="Q41" s="45">
        <v>722.11072997477606</v>
      </c>
      <c r="R41" s="45">
        <v>744.27446626236008</v>
      </c>
      <c r="S41" s="45">
        <v>835.39136612531388</v>
      </c>
      <c r="T41" s="45">
        <v>863.41794740046271</v>
      </c>
      <c r="U41" s="45">
        <v>885.63419459043962</v>
      </c>
      <c r="V41" s="45">
        <v>826.69798405544884</v>
      </c>
      <c r="W41" s="45">
        <v>822.20167507551105</v>
      </c>
      <c r="X41" s="45">
        <v>619.09721788712284</v>
      </c>
      <c r="Y41" s="45">
        <v>737.95347096710293</v>
      </c>
    </row>
    <row r="42" spans="1:25" x14ac:dyDescent="0.25">
      <c r="A42" s="74" t="s">
        <v>13</v>
      </c>
      <c r="B42" s="44"/>
      <c r="C42" s="44"/>
      <c r="D42" s="45">
        <v>436.99896102869116</v>
      </c>
      <c r="E42" s="45">
        <v>475.89263581382369</v>
      </c>
      <c r="F42" s="45">
        <v>415.59357437538239</v>
      </c>
      <c r="G42" s="45">
        <v>427.00132409908502</v>
      </c>
      <c r="H42" s="45">
        <v>490.76854025302481</v>
      </c>
      <c r="I42" s="45">
        <v>584.09328287715493</v>
      </c>
      <c r="J42" s="45">
        <v>610.03638307153778</v>
      </c>
      <c r="K42" s="45">
        <v>656.84776130587102</v>
      </c>
      <c r="L42" s="45">
        <v>657.02346607003187</v>
      </c>
      <c r="M42" s="45">
        <v>387.97225628178455</v>
      </c>
      <c r="N42" s="45">
        <v>467.16832315785837</v>
      </c>
      <c r="O42" s="45">
        <v>524.90032560338477</v>
      </c>
      <c r="P42" s="45">
        <v>568.86599395651876</v>
      </c>
      <c r="Q42" s="45">
        <v>361.17648225566268</v>
      </c>
      <c r="R42" s="45">
        <v>460.6581767108072</v>
      </c>
      <c r="S42" s="45">
        <v>446.44266983142211</v>
      </c>
      <c r="T42" s="45">
        <v>421.60777478215414</v>
      </c>
      <c r="U42" s="45">
        <v>451.34994284974442</v>
      </c>
      <c r="V42" s="45">
        <v>370.27891518796309</v>
      </c>
      <c r="W42" s="45">
        <v>322.94469400957269</v>
      </c>
      <c r="X42" s="45">
        <v>281.51235858352231</v>
      </c>
      <c r="Y42" s="45">
        <v>446.2926444905238</v>
      </c>
    </row>
    <row r="43" spans="1:25" x14ac:dyDescent="0.25">
      <c r="A43" s="72" t="s">
        <v>271</v>
      </c>
      <c r="B43" s="65"/>
      <c r="C43" s="65"/>
      <c r="D43" s="66">
        <v>3425.1456512692466</v>
      </c>
      <c r="E43" s="66">
        <v>3587.5263057202983</v>
      </c>
      <c r="F43" s="66">
        <v>3385.2852094901564</v>
      </c>
      <c r="G43" s="66">
        <v>3506.5970621581546</v>
      </c>
      <c r="H43" s="66">
        <v>3352.7639426920005</v>
      </c>
      <c r="I43" s="66">
        <v>3752.9648313808589</v>
      </c>
      <c r="J43" s="66">
        <v>4061.1461960691731</v>
      </c>
      <c r="K43" s="66">
        <v>4470.8737864077675</v>
      </c>
      <c r="L43" s="66">
        <v>3938.6061507373392</v>
      </c>
      <c r="M43" s="66">
        <v>4045.6809892358333</v>
      </c>
      <c r="N43" s="66">
        <v>4126.4026657545428</v>
      </c>
      <c r="O43" s="66">
        <v>4356.4776073986322</v>
      </c>
      <c r="P43" s="66">
        <v>4071.182866697196</v>
      </c>
      <c r="Q43" s="66">
        <v>4341.6034533338916</v>
      </c>
      <c r="R43" s="66">
        <v>4639.3304925018438</v>
      </c>
      <c r="S43" s="66">
        <v>4940.8999999999996</v>
      </c>
      <c r="T43" s="66">
        <v>5673.5138530390323</v>
      </c>
      <c r="U43" s="66">
        <v>5390.6584218099797</v>
      </c>
      <c r="V43" s="66">
        <v>5048.8328798510665</v>
      </c>
      <c r="W43" s="66">
        <v>5080.4248006986109</v>
      </c>
      <c r="X43" s="66">
        <v>5263.9734568126296</v>
      </c>
      <c r="Y43" s="66">
        <v>6568.904782237405</v>
      </c>
    </row>
    <row r="44" spans="1:25" x14ac:dyDescent="0.25">
      <c r="A44" s="73" t="s">
        <v>272</v>
      </c>
      <c r="B44" s="65"/>
      <c r="C44" s="65"/>
      <c r="D44" s="66">
        <v>1904.0002080732418</v>
      </c>
      <c r="E44" s="66">
        <v>2209.8080479561254</v>
      </c>
      <c r="F44" s="66">
        <v>1974.0030287733468</v>
      </c>
      <c r="G44" s="66">
        <v>2004.7842717067638</v>
      </c>
      <c r="H44" s="66">
        <v>1982.1681116645145</v>
      </c>
      <c r="I44" s="66">
        <v>1962.9892724273691</v>
      </c>
      <c r="J44" s="66">
        <v>2284.6013102756301</v>
      </c>
      <c r="K44" s="66">
        <v>2378.9875173370324</v>
      </c>
      <c r="L44" s="66">
        <v>2269.0067773905344</v>
      </c>
      <c r="M44" s="66">
        <v>2129.7037630104082</v>
      </c>
      <c r="N44" s="66">
        <v>2145.4027871258177</v>
      </c>
      <c r="O44" s="66">
        <v>2319.354032407055</v>
      </c>
      <c r="P44" s="66">
        <v>1969.350046326372</v>
      </c>
      <c r="Q44" s="66">
        <v>2270.3365324169145</v>
      </c>
      <c r="R44" s="66">
        <v>2470.9087929197735</v>
      </c>
      <c r="S44" s="66">
        <v>2750.7</v>
      </c>
      <c r="T44" s="66">
        <v>3448.6853598453249</v>
      </c>
      <c r="U44" s="66">
        <v>3092.4046202310114</v>
      </c>
      <c r="V44" s="66">
        <v>2845.8637643801612</v>
      </c>
      <c r="W44" s="66">
        <v>2659.4176361775449</v>
      </c>
      <c r="X44" s="66">
        <v>2813.4684799649981</v>
      </c>
      <c r="Y44" s="66">
        <v>4169.3353259322521</v>
      </c>
    </row>
    <row r="45" spans="1:25" x14ac:dyDescent="0.25">
      <c r="A45" s="74" t="s">
        <v>20</v>
      </c>
      <c r="B45" s="44"/>
      <c r="C45" s="44"/>
      <c r="D45" s="45">
        <v>481.31527806828456</v>
      </c>
      <c r="E45" s="45">
        <v>508.36220568804521</v>
      </c>
      <c r="F45" s="45">
        <v>522.2543426285024</v>
      </c>
      <c r="G45" s="45">
        <v>526.31042900394198</v>
      </c>
      <c r="H45" s="45">
        <v>562.72401098509704</v>
      </c>
      <c r="I45" s="45">
        <v>549.01472832229297</v>
      </c>
      <c r="J45" s="45">
        <v>623.45718989430634</v>
      </c>
      <c r="K45" s="45">
        <v>706.89514538798653</v>
      </c>
      <c r="L45" s="45">
        <v>812.19046820773679</v>
      </c>
      <c r="M45" s="45">
        <v>644.72342212168769</v>
      </c>
      <c r="N45" s="45">
        <v>897.32885353218796</v>
      </c>
      <c r="O45" s="45">
        <v>982.09652264086128</v>
      </c>
      <c r="P45" s="45">
        <v>639.14042332955978</v>
      </c>
      <c r="Q45" s="45">
        <v>876.05211846321322</v>
      </c>
      <c r="R45" s="45">
        <v>917.013981115212</v>
      </c>
      <c r="S45" s="45">
        <v>1303.0098775282863</v>
      </c>
      <c r="T45" s="45">
        <v>1886.478080411958</v>
      </c>
      <c r="U45" s="45">
        <v>1675.3459829075787</v>
      </c>
      <c r="V45" s="45">
        <v>1451.58447641878</v>
      </c>
      <c r="W45" s="45">
        <v>1222.7223830345201</v>
      </c>
      <c r="X45" s="45">
        <v>1320.2692210994323</v>
      </c>
      <c r="Y45" s="45">
        <v>1834.5537085492488</v>
      </c>
    </row>
    <row r="46" spans="1:25" x14ac:dyDescent="0.25">
      <c r="A46" s="74" t="s">
        <v>12</v>
      </c>
      <c r="B46" s="44"/>
      <c r="C46" s="44"/>
      <c r="D46" s="45">
        <v>1422.6849300049571</v>
      </c>
      <c r="E46" s="45">
        <v>1701.4458422680802</v>
      </c>
      <c r="F46" s="45">
        <v>1451.7486861448444</v>
      </c>
      <c r="G46" s="45">
        <v>1478.4738427028219</v>
      </c>
      <c r="H46" s="45">
        <v>1419.4441006794175</v>
      </c>
      <c r="I46" s="45">
        <v>1413.9745441050761</v>
      </c>
      <c r="J46" s="45">
        <v>1661.1441203813238</v>
      </c>
      <c r="K46" s="45">
        <v>1672.0923719490459</v>
      </c>
      <c r="L46" s="45">
        <v>1456.8163091827976</v>
      </c>
      <c r="M46" s="45">
        <v>1484.9803408887205</v>
      </c>
      <c r="N46" s="45">
        <v>1248.0739335936296</v>
      </c>
      <c r="O46" s="45">
        <v>1337.2575097661938</v>
      </c>
      <c r="P46" s="45">
        <v>1330.2096229968122</v>
      </c>
      <c r="Q46" s="45">
        <v>1394.2844139537012</v>
      </c>
      <c r="R46" s="45">
        <v>1553.8948118045614</v>
      </c>
      <c r="S46" s="45">
        <v>1447.6901224717135</v>
      </c>
      <c r="T46" s="45">
        <v>1562.2072794333669</v>
      </c>
      <c r="U46" s="45">
        <v>1417.0586373234328</v>
      </c>
      <c r="V46" s="45">
        <v>1394.2792879613812</v>
      </c>
      <c r="W46" s="45">
        <v>1436.6952531430247</v>
      </c>
      <c r="X46" s="45">
        <v>1493.1992588655658</v>
      </c>
      <c r="Y46" s="45">
        <v>2334.7816173830033</v>
      </c>
    </row>
    <row r="47" spans="1:25" x14ac:dyDescent="0.25">
      <c r="A47" s="73" t="s">
        <v>11</v>
      </c>
      <c r="B47" s="65"/>
      <c r="C47" s="65"/>
      <c r="D47" s="66">
        <v>1521.1454431960051</v>
      </c>
      <c r="E47" s="66">
        <v>1377.7182577641731</v>
      </c>
      <c r="F47" s="66">
        <v>1411.2821807168098</v>
      </c>
      <c r="G47" s="66">
        <v>1501.812790451391</v>
      </c>
      <c r="H47" s="66">
        <v>1370.5958310274857</v>
      </c>
      <c r="I47" s="66">
        <v>1789.9755589534898</v>
      </c>
      <c r="J47" s="66">
        <v>1776.544885793543</v>
      </c>
      <c r="K47" s="66">
        <v>2091.8862690707351</v>
      </c>
      <c r="L47" s="66">
        <v>1669.5993733468049</v>
      </c>
      <c r="M47" s="66">
        <v>1915.9772262254248</v>
      </c>
      <c r="N47" s="66">
        <v>1980.9998786287254</v>
      </c>
      <c r="O47" s="66">
        <v>2037.1235749915777</v>
      </c>
      <c r="P47" s="66">
        <v>2101.8328203708238</v>
      </c>
      <c r="Q47" s="66">
        <v>2071.2669209169776</v>
      </c>
      <c r="R47" s="66">
        <v>2168.4216995820702</v>
      </c>
      <c r="S47" s="66">
        <v>2190.1999999999998</v>
      </c>
      <c r="T47" s="66">
        <v>2224.8284931937069</v>
      </c>
      <c r="U47" s="66">
        <v>2298.2538015789683</v>
      </c>
      <c r="V47" s="66">
        <v>2202.9691154709053</v>
      </c>
      <c r="W47" s="66">
        <v>2421.0071645210664</v>
      </c>
      <c r="X47" s="66">
        <v>2450.504976847632</v>
      </c>
      <c r="Y47" s="66">
        <v>2399.5694563051525</v>
      </c>
    </row>
    <row r="48" spans="1:25" x14ac:dyDescent="0.25">
      <c r="A48" s="72" t="s">
        <v>4</v>
      </c>
      <c r="B48" s="65"/>
      <c r="C48" s="65"/>
      <c r="D48" s="66">
        <v>3023.5642946317107</v>
      </c>
      <c r="E48" s="66">
        <v>2978.253937886614</v>
      </c>
      <c r="F48" s="66">
        <v>2938.7935386168606</v>
      </c>
      <c r="G48" s="66">
        <v>3039.0092570673905</v>
      </c>
      <c r="H48" s="66">
        <v>3068.4375576461912</v>
      </c>
      <c r="I48" s="66">
        <v>3162.7677378186072</v>
      </c>
      <c r="J48" s="66">
        <v>3269.7869326565542</v>
      </c>
      <c r="K48" s="66">
        <v>3377.2538141470186</v>
      </c>
      <c r="L48" s="66">
        <v>3023.1475700160076</v>
      </c>
      <c r="M48" s="66">
        <v>2585.5128547282261</v>
      </c>
      <c r="N48" s="66">
        <v>2691.2425108406615</v>
      </c>
      <c r="O48" s="66">
        <v>2663.0948629057684</v>
      </c>
      <c r="P48" s="66">
        <v>2582.0296275785686</v>
      </c>
      <c r="Q48" s="66">
        <v>2598.2775239931266</v>
      </c>
      <c r="R48" s="66">
        <v>2653.4458739654187</v>
      </c>
      <c r="S48" s="66">
        <v>2553.1000000000004</v>
      </c>
      <c r="T48" s="66">
        <v>2551.746474173382</v>
      </c>
      <c r="U48" s="66">
        <v>2603.6440710924439</v>
      </c>
      <c r="V48" s="66">
        <v>2526.7077187455247</v>
      </c>
      <c r="W48" s="66">
        <v>2656.037259265519</v>
      </c>
      <c r="X48" s="66">
        <v>2330.4590367156457</v>
      </c>
      <c r="Y48" s="66">
        <v>2327.2487902078001</v>
      </c>
    </row>
    <row r="49" spans="1:25" x14ac:dyDescent="0.25">
      <c r="A49" s="77" t="s">
        <v>10</v>
      </c>
      <c r="B49" s="44"/>
      <c r="C49" s="44"/>
      <c r="D49" s="45">
        <v>1167.85353200035</v>
      </c>
      <c r="E49" s="45">
        <v>1161.9497537242441</v>
      </c>
      <c r="F49" s="45">
        <v>1195.3490147632692</v>
      </c>
      <c r="G49" s="45">
        <v>1196.8807920830141</v>
      </c>
      <c r="H49" s="45">
        <v>1236.2986693433036</v>
      </c>
      <c r="I49" s="45">
        <v>1360.1063581807548</v>
      </c>
      <c r="J49" s="45">
        <v>1343.8990824059465</v>
      </c>
      <c r="K49" s="45">
        <v>1374.9459608223749</v>
      </c>
      <c r="L49" s="45">
        <v>1291.1529956200061</v>
      </c>
      <c r="M49" s="45">
        <v>1180.4952827847153</v>
      </c>
      <c r="N49" s="45">
        <v>1088.8550132906905</v>
      </c>
      <c r="O49" s="45">
        <v>1081.2931501219382</v>
      </c>
      <c r="P49" s="45">
        <v>1078.2366526164958</v>
      </c>
      <c r="Q49" s="45">
        <v>1135.2862859954412</v>
      </c>
      <c r="R49" s="45">
        <v>1107.2447965440301</v>
      </c>
      <c r="S49" s="45">
        <v>1123.1869858276391</v>
      </c>
      <c r="T49" s="45">
        <v>1128.697162246805</v>
      </c>
      <c r="U49" s="45">
        <v>1153.4040161429452</v>
      </c>
      <c r="V49" s="45">
        <v>1013.8375328661202</v>
      </c>
      <c r="W49" s="45">
        <v>1109.8453488579885</v>
      </c>
      <c r="X49" s="45">
        <v>1129.6002805160808</v>
      </c>
      <c r="Y49" s="45">
        <v>1125.5101547475726</v>
      </c>
    </row>
    <row r="50" spans="1:25" x14ac:dyDescent="0.25">
      <c r="A50" s="77" t="s">
        <v>18</v>
      </c>
      <c r="B50" s="44"/>
      <c r="C50" s="44"/>
      <c r="D50" s="45">
        <v>739.23629543129675</v>
      </c>
      <c r="E50" s="45">
        <v>821.08762423875612</v>
      </c>
      <c r="F50" s="45">
        <v>777.94960756044475</v>
      </c>
      <c r="G50" s="45">
        <v>903.56665413606174</v>
      </c>
      <c r="H50" s="45">
        <v>722.65691674578454</v>
      </c>
      <c r="I50" s="45">
        <v>846.39698785105213</v>
      </c>
      <c r="J50" s="45">
        <v>836.04982417616736</v>
      </c>
      <c r="K50" s="45">
        <v>864.35113836585629</v>
      </c>
      <c r="L50" s="45">
        <v>820.34583846112059</v>
      </c>
      <c r="M50" s="45">
        <v>730.44851318621977</v>
      </c>
      <c r="N50" s="45">
        <v>826.17932744015343</v>
      </c>
      <c r="O50" s="45">
        <v>831.13295277077862</v>
      </c>
      <c r="P50" s="45">
        <v>736.0677550498757</v>
      </c>
      <c r="Q50" s="45">
        <v>724.15705928085822</v>
      </c>
      <c r="R50" s="45">
        <v>721.84142445919701</v>
      </c>
      <c r="S50" s="45">
        <v>649.21760164058571</v>
      </c>
      <c r="T50" s="45">
        <v>655.83771506054188</v>
      </c>
      <c r="U50" s="45">
        <v>664.07058737625039</v>
      </c>
      <c r="V50" s="45">
        <v>605.58253566139865</v>
      </c>
      <c r="W50" s="45">
        <v>639.37885116895359</v>
      </c>
      <c r="X50" s="45">
        <v>476.38855574148391</v>
      </c>
      <c r="Y50" s="45">
        <v>528.72754068530458</v>
      </c>
    </row>
    <row r="51" spans="1:25" x14ac:dyDescent="0.25">
      <c r="A51" s="77" t="s">
        <v>9</v>
      </c>
      <c r="B51" s="44"/>
      <c r="C51" s="44"/>
      <c r="D51" s="45">
        <v>1116.4744672000638</v>
      </c>
      <c r="E51" s="45">
        <v>995.21655992361377</v>
      </c>
      <c r="F51" s="45">
        <v>965.49491629314662</v>
      </c>
      <c r="G51" s="45">
        <v>938.56181084831474</v>
      </c>
      <c r="H51" s="45">
        <v>1109.481971557103</v>
      </c>
      <c r="I51" s="45">
        <v>956.26439178680027</v>
      </c>
      <c r="J51" s="45">
        <v>1089.8380260744402</v>
      </c>
      <c r="K51" s="45">
        <v>1137.9567149587874</v>
      </c>
      <c r="L51" s="45">
        <v>911.64873593488096</v>
      </c>
      <c r="M51" s="45">
        <v>674.56905875729103</v>
      </c>
      <c r="N51" s="45">
        <v>776.2081701098175</v>
      </c>
      <c r="O51" s="45">
        <v>750.66876001305161</v>
      </c>
      <c r="P51" s="45">
        <v>767.72521991219708</v>
      </c>
      <c r="Q51" s="45">
        <v>738.83417871682718</v>
      </c>
      <c r="R51" s="45">
        <v>824.3596529621916</v>
      </c>
      <c r="S51" s="45">
        <v>780.69541253177556</v>
      </c>
      <c r="T51" s="45">
        <v>767.21159686603517</v>
      </c>
      <c r="U51" s="45">
        <v>786.16946757324831</v>
      </c>
      <c r="V51" s="45">
        <v>907.28765021800587</v>
      </c>
      <c r="W51" s="45">
        <v>906.8130592385769</v>
      </c>
      <c r="X51" s="45">
        <v>724.47020045808085</v>
      </c>
      <c r="Y51" s="45">
        <v>673.01109477492287</v>
      </c>
    </row>
    <row r="52" spans="1:25" x14ac:dyDescent="0.25">
      <c r="A52" s="72" t="s">
        <v>3</v>
      </c>
      <c r="B52" s="65"/>
      <c r="C52" s="65"/>
      <c r="D52" s="66">
        <v>4036.2307532251352</v>
      </c>
      <c r="E52" s="66">
        <v>4100.3762515145718</v>
      </c>
      <c r="F52" s="66">
        <v>3931.6002019182233</v>
      </c>
      <c r="G52" s="66">
        <v>3744.1909721789607</v>
      </c>
      <c r="H52" s="66">
        <v>3602.656336469287</v>
      </c>
      <c r="I52" s="66">
        <v>3462.9230528432281</v>
      </c>
      <c r="J52" s="66">
        <v>3486.2775187393036</v>
      </c>
      <c r="K52" s="66">
        <v>3464.5168747110492</v>
      </c>
      <c r="L52" s="66">
        <v>3261.775290337961</v>
      </c>
      <c r="M52" s="66">
        <v>3125.1668001067528</v>
      </c>
      <c r="N52" s="66">
        <v>3103.6841698756498</v>
      </c>
      <c r="O52" s="66">
        <v>3079.5396502820136</v>
      </c>
      <c r="P52" s="66">
        <v>3039.7554819540142</v>
      </c>
      <c r="Q52" s="66">
        <v>2839.7803947864713</v>
      </c>
      <c r="R52" s="66">
        <v>2843.25575678112</v>
      </c>
      <c r="S52" s="66">
        <v>2829.3999999999996</v>
      </c>
      <c r="T52" s="66">
        <v>2905.9485136076787</v>
      </c>
      <c r="U52" s="66">
        <v>2768.8328860887486</v>
      </c>
      <c r="V52" s="66">
        <v>2881.7604658933597</v>
      </c>
      <c r="W52" s="66">
        <v>2875.4800604711863</v>
      </c>
      <c r="X52" s="66">
        <v>2523.9727276041854</v>
      </c>
      <c r="Y52" s="66">
        <v>2283.6606888699121</v>
      </c>
    </row>
    <row r="53" spans="1:25" x14ac:dyDescent="0.25">
      <c r="A53" s="73" t="s">
        <v>21</v>
      </c>
      <c r="B53" s="65"/>
      <c r="C53" s="65"/>
      <c r="D53" s="66">
        <v>2318.7161880982108</v>
      </c>
      <c r="E53" s="66">
        <v>2477.520566290415</v>
      </c>
      <c r="F53" s="66">
        <v>2343.2609793033821</v>
      </c>
      <c r="G53" s="66">
        <v>2178.3387114859897</v>
      </c>
      <c r="H53" s="66">
        <v>2108.8360081165838</v>
      </c>
      <c r="I53" s="66">
        <v>2027.162069422204</v>
      </c>
      <c r="J53" s="66">
        <v>2056.6605677861062</v>
      </c>
      <c r="K53" s="66">
        <v>2047.3878871937125</v>
      </c>
      <c r="L53" s="66">
        <v>1841.2478572320547</v>
      </c>
      <c r="M53" s="66">
        <v>1833.9115737034072</v>
      </c>
      <c r="N53" s="66">
        <v>1870.2210060575301</v>
      </c>
      <c r="O53" s="66">
        <v>1885.4124781290413</v>
      </c>
      <c r="P53" s="66">
        <v>1897.7837889647387</v>
      </c>
      <c r="Q53" s="66">
        <v>1810.380956372323</v>
      </c>
      <c r="R53" s="66">
        <v>1883.0410554781613</v>
      </c>
      <c r="S53" s="66">
        <v>1902.9</v>
      </c>
      <c r="T53" s="66">
        <v>2020.0017665937125</v>
      </c>
      <c r="U53" s="66">
        <v>1915.7624547894061</v>
      </c>
      <c r="V53" s="66">
        <v>2109.1221538020905</v>
      </c>
      <c r="W53" s="66">
        <v>2148.323426950994</v>
      </c>
      <c r="X53" s="66">
        <v>1889.3790790097353</v>
      </c>
      <c r="Y53" s="66">
        <v>1698.7795331625391</v>
      </c>
    </row>
    <row r="54" spans="1:25" x14ac:dyDescent="0.25">
      <c r="A54" s="74" t="s">
        <v>8</v>
      </c>
      <c r="B54" s="44"/>
      <c r="C54" s="44"/>
      <c r="D54" s="45">
        <v>111.13968431952912</v>
      </c>
      <c r="E54" s="45">
        <v>120.22751839792033</v>
      </c>
      <c r="F54" s="45">
        <v>111.00896528613042</v>
      </c>
      <c r="G54" s="45">
        <v>103.82527803592642</v>
      </c>
      <c r="H54" s="45">
        <v>100.34424301294416</v>
      </c>
      <c r="I54" s="45">
        <v>94.43265521815816</v>
      </c>
      <c r="J54" s="45">
        <v>90.784923646355807</v>
      </c>
      <c r="K54" s="45">
        <v>93.486069718202103</v>
      </c>
      <c r="L54" s="45">
        <v>84.827784802075854</v>
      </c>
      <c r="M54" s="45">
        <v>80.700349174076536</v>
      </c>
      <c r="N54" s="45">
        <v>90.783296738020184</v>
      </c>
      <c r="O54" s="45">
        <v>92.594512432954346</v>
      </c>
      <c r="P54" s="45">
        <v>73.88959403021056</v>
      </c>
      <c r="Q54" s="45">
        <v>65.037456904505319</v>
      </c>
      <c r="R54" s="45">
        <v>65.781483802179565</v>
      </c>
      <c r="S54" s="45">
        <v>66.61902995084742</v>
      </c>
      <c r="T54" s="45">
        <v>67.371247935023419</v>
      </c>
      <c r="U54" s="45">
        <v>68.414580584416058</v>
      </c>
      <c r="V54" s="45">
        <v>69.137739043353193</v>
      </c>
      <c r="W54" s="45">
        <v>70.074539972854367</v>
      </c>
      <c r="X54" s="45">
        <v>71.410805453134913</v>
      </c>
      <c r="Y54" s="45">
        <v>72.781887649781282</v>
      </c>
    </row>
    <row r="55" spans="1:25" x14ac:dyDescent="0.25">
      <c r="A55" s="74" t="s">
        <v>17</v>
      </c>
      <c r="B55" s="44"/>
      <c r="C55" s="44"/>
      <c r="D55" s="45">
        <v>2207.5765037786814</v>
      </c>
      <c r="E55" s="45">
        <v>2357.2930478924945</v>
      </c>
      <c r="F55" s="45">
        <v>2232.2520140172519</v>
      </c>
      <c r="G55" s="45">
        <v>2074.5134334500635</v>
      </c>
      <c r="H55" s="45">
        <v>2008.4917651036396</v>
      </c>
      <c r="I55" s="45">
        <v>1932.729414204046</v>
      </c>
      <c r="J55" s="45">
        <v>1965.8756441397504</v>
      </c>
      <c r="K55" s="45">
        <v>1953.9018174755104</v>
      </c>
      <c r="L55" s="45">
        <v>1756.4200724299787</v>
      </c>
      <c r="M55" s="45">
        <v>1753.2112245293306</v>
      </c>
      <c r="N55" s="45">
        <v>1779.4377093195098</v>
      </c>
      <c r="O55" s="45">
        <v>1792.817965696087</v>
      </c>
      <c r="P55" s="45">
        <v>1823.8941949345281</v>
      </c>
      <c r="Q55" s="45">
        <v>1745.3434994678178</v>
      </c>
      <c r="R55" s="45">
        <v>1817.2595716759818</v>
      </c>
      <c r="S55" s="45">
        <v>1836.2809700491528</v>
      </c>
      <c r="T55" s="45">
        <v>1952.6305186586892</v>
      </c>
      <c r="U55" s="45">
        <v>1847.3478742049901</v>
      </c>
      <c r="V55" s="45">
        <v>2039.9844147587373</v>
      </c>
      <c r="W55" s="45">
        <v>2078.2488869781396</v>
      </c>
      <c r="X55" s="45">
        <v>1817.9682735566003</v>
      </c>
      <c r="Y55" s="45">
        <v>1625.9976455127578</v>
      </c>
    </row>
    <row r="56" spans="1:25" x14ac:dyDescent="0.25">
      <c r="A56" s="73" t="s">
        <v>16</v>
      </c>
      <c r="B56" s="65"/>
      <c r="C56" s="65"/>
      <c r="D56" s="66">
        <v>1717.5145651269245</v>
      </c>
      <c r="E56" s="66">
        <v>1622.8556852241568</v>
      </c>
      <c r="F56" s="66">
        <v>1588.3392226148412</v>
      </c>
      <c r="G56" s="66">
        <v>1565.852260692971</v>
      </c>
      <c r="H56" s="66">
        <v>1493.8203283527032</v>
      </c>
      <c r="I56" s="66">
        <v>1435.7609834210241</v>
      </c>
      <c r="J56" s="66">
        <v>1429.6169509531974</v>
      </c>
      <c r="K56" s="66">
        <v>1417.1289875173368</v>
      </c>
      <c r="L56" s="66">
        <v>1420.5274331059063</v>
      </c>
      <c r="M56" s="66">
        <v>1291.2552264033457</v>
      </c>
      <c r="N56" s="66">
        <v>1233.4631638181197</v>
      </c>
      <c r="O56" s="66">
        <v>1194.1271721529722</v>
      </c>
      <c r="P56" s="66">
        <v>1141.9716929892754</v>
      </c>
      <c r="Q56" s="66">
        <v>1029.3994384141483</v>
      </c>
      <c r="R56" s="66">
        <v>960.2147013029587</v>
      </c>
      <c r="S56" s="66">
        <v>926.49999999999955</v>
      </c>
      <c r="T56" s="66">
        <v>885.94674701396616</v>
      </c>
      <c r="U56" s="66">
        <v>853.07043129934254</v>
      </c>
      <c r="V56" s="66">
        <v>772.6383120912692</v>
      </c>
      <c r="W56" s="66">
        <v>727.15663352019237</v>
      </c>
      <c r="X56" s="66">
        <v>634.59364859445009</v>
      </c>
      <c r="Y56" s="66">
        <v>584.88115570737295</v>
      </c>
    </row>
    <row r="57" spans="1:25" x14ac:dyDescent="0.25">
      <c r="A57" s="72" t="s">
        <v>2</v>
      </c>
      <c r="B57" s="65"/>
      <c r="C57" s="65"/>
      <c r="D57" s="66">
        <v>5113.2698709945898</v>
      </c>
      <c r="E57" s="66">
        <v>5060.774185319814</v>
      </c>
      <c r="F57" s="66">
        <v>5165.3205451792028</v>
      </c>
      <c r="G57" s="66">
        <v>5301.1973138307803</v>
      </c>
      <c r="H57" s="66">
        <v>5470.7003627866943</v>
      </c>
      <c r="I57" s="66">
        <v>5300.9379101099248</v>
      </c>
      <c r="J57" s="66">
        <v>5324.55881484979</v>
      </c>
      <c r="K57" s="66">
        <v>5701.1095700416099</v>
      </c>
      <c r="L57" s="66">
        <v>5371.7347622237103</v>
      </c>
      <c r="M57" s="66">
        <v>5557.5571568365804</v>
      </c>
      <c r="N57" s="66">
        <v>5626.3309463649302</v>
      </c>
      <c r="O57" s="66">
        <v>5333.1449623439139</v>
      </c>
      <c r="P57" s="66">
        <v>5731.7969307447365</v>
      </c>
      <c r="Q57" s="66">
        <v>5411.3406814467116</v>
      </c>
      <c r="R57" s="66">
        <v>5639.8016881094818</v>
      </c>
      <c r="S57" s="66">
        <v>5647.8</v>
      </c>
      <c r="T57" s="66">
        <v>5898.460119146931</v>
      </c>
      <c r="U57" s="66">
        <v>6024.4817796445377</v>
      </c>
      <c r="V57" s="66">
        <v>5966.4900472576255</v>
      </c>
      <c r="W57" s="66">
        <v>6156.7931491027921</v>
      </c>
      <c r="X57" s="66">
        <v>6096.6383490720827</v>
      </c>
      <c r="Y57" s="66">
        <v>6186.6638200967836</v>
      </c>
    </row>
    <row r="58" spans="1:25" x14ac:dyDescent="0.25">
      <c r="A58" s="72" t="s">
        <v>275</v>
      </c>
      <c r="B58" s="65"/>
      <c r="C58" s="65"/>
      <c r="D58" s="66">
        <v>3658.8379109446523</v>
      </c>
      <c r="E58" s="66">
        <v>3888.9101460366046</v>
      </c>
      <c r="F58" s="66">
        <v>4177.1832407874817</v>
      </c>
      <c r="G58" s="66">
        <v>4354.061024382343</v>
      </c>
      <c r="H58" s="66">
        <v>4547.2545040890363</v>
      </c>
      <c r="I58" s="66">
        <v>5007.7657512310825</v>
      </c>
      <c r="J58" s="66">
        <v>5343.2095850793839</v>
      </c>
      <c r="K58" s="66">
        <v>5604.0221914008334</v>
      </c>
      <c r="L58" s="66">
        <v>5433.7189369600501</v>
      </c>
      <c r="M58" s="66">
        <v>4296.4371497197762</v>
      </c>
      <c r="N58" s="66">
        <v>4260.0214054793614</v>
      </c>
      <c r="O58" s="66">
        <v>4595.455187628374</v>
      </c>
      <c r="P58" s="66">
        <v>4728.8043536139894</v>
      </c>
      <c r="Q58" s="66">
        <v>4768.3458363019154</v>
      </c>
      <c r="R58" s="66">
        <v>4812.1363599114975</v>
      </c>
      <c r="S58" s="66">
        <v>4580.8999999999996</v>
      </c>
      <c r="T58" s="66">
        <v>5020.1686115554858</v>
      </c>
      <c r="U58" s="66">
        <v>4923.4822852253719</v>
      </c>
      <c r="V58" s="66">
        <v>5590.2429710248698</v>
      </c>
      <c r="W58" s="66">
        <v>5568.3258683343192</v>
      </c>
      <c r="X58" s="66">
        <v>5078.8456630327782</v>
      </c>
      <c r="Y58" s="66">
        <v>5434.7245943637918</v>
      </c>
    </row>
    <row r="59" spans="1:25" x14ac:dyDescent="0.25">
      <c r="A59" s="72" t="s">
        <v>276</v>
      </c>
      <c r="B59" s="65"/>
      <c r="C59" s="65"/>
      <c r="D59" s="66">
        <v>16472.638368705782</v>
      </c>
      <c r="E59" s="66">
        <v>17181.939927300555</v>
      </c>
      <c r="F59" s="66">
        <v>17145.254921756692</v>
      </c>
      <c r="G59" s="66">
        <v>17129.68615675965</v>
      </c>
      <c r="H59" s="66">
        <v>17551.620242267723</v>
      </c>
      <c r="I59" s="66">
        <v>18016.78365459865</v>
      </c>
      <c r="J59" s="66">
        <v>19779.259871333292</v>
      </c>
      <c r="K59" s="66">
        <v>20747.572815533982</v>
      </c>
      <c r="L59" s="66">
        <v>21253.874010921016</v>
      </c>
      <c r="M59" s="66">
        <v>19376.390000889602</v>
      </c>
      <c r="N59" s="66">
        <v>19499.619335547439</v>
      </c>
      <c r="O59" s="66">
        <v>21062.629731462664</v>
      </c>
      <c r="P59" s="66">
        <v>21637.504126774511</v>
      </c>
      <c r="Q59" s="66">
        <v>21593.918947236074</v>
      </c>
      <c r="R59" s="66">
        <v>21226.747521101366</v>
      </c>
      <c r="S59" s="66">
        <v>21534.1</v>
      </c>
      <c r="T59" s="66">
        <v>22409.535680285793</v>
      </c>
      <c r="U59" s="66">
        <v>23309.512697857117</v>
      </c>
      <c r="V59" s="66">
        <v>23955.511002911833</v>
      </c>
      <c r="W59" s="66">
        <v>23632.872287482278</v>
      </c>
      <c r="X59" s="66">
        <v>21044.591096364893</v>
      </c>
      <c r="Y59" s="66">
        <v>22654.426416168517</v>
      </c>
    </row>
    <row r="60" spans="1:25" x14ac:dyDescent="0.25">
      <c r="A60" s="72" t="s">
        <v>1</v>
      </c>
      <c r="B60" s="65"/>
      <c r="C60" s="65"/>
      <c r="D60" s="66">
        <v>2087.4947981689556</v>
      </c>
      <c r="E60" s="66">
        <v>1903.3224921879983</v>
      </c>
      <c r="F60" s="66">
        <v>1731.8273599192328</v>
      </c>
      <c r="G60" s="66">
        <v>1512.4029752189676</v>
      </c>
      <c r="H60" s="66">
        <v>1602.5333579290414</v>
      </c>
      <c r="I60" s="66">
        <v>1471.0379618815994</v>
      </c>
      <c r="J60" s="66">
        <v>1474.4732337838634</v>
      </c>
      <c r="K60" s="66">
        <v>1388.8118354137771</v>
      </c>
      <c r="L60" s="66">
        <v>1266.2481410423786</v>
      </c>
      <c r="M60" s="66">
        <v>1136.1311271239215</v>
      </c>
      <c r="N60" s="66">
        <v>1209.4095839172026</v>
      </c>
      <c r="O60" s="66">
        <v>1194.9965767195192</v>
      </c>
      <c r="P60" s="66">
        <v>1095.112834002492</v>
      </c>
      <c r="Q60" s="66">
        <v>1049.4111730438792</v>
      </c>
      <c r="R60" s="66">
        <v>1058.9609112513317</v>
      </c>
      <c r="S60" s="66">
        <v>1079.5</v>
      </c>
      <c r="T60" s="66">
        <v>1009.0194423452512</v>
      </c>
      <c r="U60" s="66">
        <v>904.01742309337681</v>
      </c>
      <c r="V60" s="66">
        <v>958.80471621557115</v>
      </c>
      <c r="W60" s="66">
        <v>915.33094828962317</v>
      </c>
      <c r="X60" s="66">
        <v>812.52050898749405</v>
      </c>
      <c r="Y60" s="66">
        <v>809.49331056077426</v>
      </c>
    </row>
    <row r="61" spans="1:25" x14ac:dyDescent="0.25">
      <c r="A61" s="72" t="s">
        <v>0</v>
      </c>
      <c r="B61" s="65"/>
      <c r="C61" s="65"/>
      <c r="D61" s="66">
        <v>2214.6795672076569</v>
      </c>
      <c r="E61" s="66">
        <v>2252.9175435240099</v>
      </c>
      <c r="F61" s="66">
        <v>2218.9550731953559</v>
      </c>
      <c r="G61" s="66">
        <v>2232.9093106412665</v>
      </c>
      <c r="H61" s="66">
        <v>2299.2067884154217</v>
      </c>
      <c r="I61" s="66">
        <v>2192.4702312869476</v>
      </c>
      <c r="J61" s="66">
        <v>2498.0227822699635</v>
      </c>
      <c r="K61" s="66">
        <v>2700.4160887656035</v>
      </c>
      <c r="L61" s="66">
        <v>2411.4795599804734</v>
      </c>
      <c r="M61" s="66">
        <v>2105.1285472822701</v>
      </c>
      <c r="N61" s="66">
        <v>2261.8088733435579</v>
      </c>
      <c r="O61" s="66">
        <v>2264.6902202853821</v>
      </c>
      <c r="P61" s="66">
        <v>2167.1157307319568</v>
      </c>
      <c r="Q61" s="66">
        <v>2156.5525334227405</v>
      </c>
      <c r="R61" s="66">
        <v>2148.1398016881094</v>
      </c>
      <c r="S61" s="66">
        <v>2291.5</v>
      </c>
      <c r="T61" s="66">
        <v>2396.2862274391259</v>
      </c>
      <c r="U61" s="66">
        <v>2391.3973476451602</v>
      </c>
      <c r="V61" s="66">
        <v>2577.4977325886675</v>
      </c>
      <c r="W61" s="66">
        <v>2701.2967501431967</v>
      </c>
      <c r="X61" s="66">
        <v>2614.9414810223502</v>
      </c>
      <c r="Y61" s="66">
        <v>3090.7522060916594</v>
      </c>
    </row>
    <row r="62" spans="1:25" x14ac:dyDescent="0.25">
      <c r="A62" s="78" t="s">
        <v>277</v>
      </c>
      <c r="B62" s="79"/>
      <c r="C62" s="79"/>
      <c r="D62" s="80">
        <v>5082.4490220557636</v>
      </c>
      <c r="E62" s="80">
        <v>5125.9486002168233</v>
      </c>
      <c r="F62" s="80">
        <v>5254.0383644623926</v>
      </c>
      <c r="G62" s="80">
        <v>4781.5307177653458</v>
      </c>
      <c r="H62" s="80">
        <v>4910.9020475926955</v>
      </c>
      <c r="I62" s="80">
        <v>4859.4338827552165</v>
      </c>
      <c r="J62" s="80">
        <v>5171.3391961281941</v>
      </c>
      <c r="K62" s="80">
        <v>5486.3615349052243</v>
      </c>
      <c r="L62" s="80">
        <v>5261.7298806861399</v>
      </c>
      <c r="M62" s="80">
        <v>4676.1853927586508</v>
      </c>
      <c r="N62" s="80">
        <v>4889.2762961900462</v>
      </c>
      <c r="O62" s="80">
        <v>5119.4887901148704</v>
      </c>
      <c r="P62" s="80">
        <v>4994.8348757707754</v>
      </c>
      <c r="Q62" s="80">
        <v>5083.9235572691841</v>
      </c>
      <c r="R62" s="80">
        <v>5252.8066868802762</v>
      </c>
      <c r="S62" s="80">
        <v>5005.8</v>
      </c>
      <c r="T62" s="80">
        <v>5167.9736188672196</v>
      </c>
      <c r="U62" s="80">
        <v>5225.3723797300972</v>
      </c>
      <c r="V62" s="80">
        <v>5112.988686810826</v>
      </c>
      <c r="W62" s="80">
        <v>5080.7064987746135</v>
      </c>
      <c r="X62" s="80">
        <v>4566.8501841251327</v>
      </c>
      <c r="Y62" s="80">
        <v>4762.133504127527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1.8458773464942655E-2</v>
      </c>
      <c r="E66" s="83">
        <f t="shared" ref="E66:S66" si="49">E24/E$23</f>
        <v>1.8694761326306625E-2</v>
      </c>
      <c r="F66" s="83">
        <f t="shared" si="49"/>
        <v>1.7510948667034999E-2</v>
      </c>
      <c r="G66" s="83">
        <f t="shared" si="49"/>
        <v>1.6691138188747089E-2</v>
      </c>
      <c r="H66" s="83">
        <f t="shared" si="49"/>
        <v>1.6558205224196584E-2</v>
      </c>
      <c r="I66" s="83">
        <f t="shared" si="49"/>
        <v>1.4165420843329063E-2</v>
      </c>
      <c r="J66" s="83">
        <f t="shared" si="49"/>
        <v>1.4599123291338318E-2</v>
      </c>
      <c r="K66" s="83">
        <f t="shared" si="49"/>
        <v>1.5860116157153239E-2</v>
      </c>
      <c r="L66" s="83">
        <f t="shared" si="49"/>
        <v>1.5025448259778031E-2</v>
      </c>
      <c r="M66" s="83">
        <f t="shared" si="49"/>
        <v>1.2869782717954111E-2</v>
      </c>
      <c r="N66" s="83">
        <f t="shared" si="49"/>
        <v>1.4224292436279913E-2</v>
      </c>
      <c r="O66" s="83">
        <f t="shared" si="49"/>
        <v>1.5729511873923678E-2</v>
      </c>
      <c r="P66" s="83">
        <f t="shared" si="49"/>
        <v>1.5155095324181217E-2</v>
      </c>
      <c r="Q66" s="83">
        <f t="shared" si="49"/>
        <v>1.4081286323184262E-2</v>
      </c>
      <c r="R66" s="83">
        <f t="shared" si="49"/>
        <v>1.3458255587756559E-2</v>
      </c>
      <c r="S66" s="83">
        <f t="shared" si="49"/>
        <v>1.2667825482017354E-2</v>
      </c>
      <c r="T66" s="83">
        <f t="shared" ref="T66:Y66" si="50">T24/T$23</f>
        <v>1.2448867810180005E-2</v>
      </c>
      <c r="U66" s="83">
        <f t="shared" si="50"/>
        <v>1.3573381806878093E-2</v>
      </c>
      <c r="V66" s="83">
        <f t="shared" si="50"/>
        <v>1.2652683136252715E-2</v>
      </c>
      <c r="W66" s="83">
        <f t="shared" si="50"/>
        <v>1.1776423766421303E-2</v>
      </c>
      <c r="X66" s="83">
        <f t="shared" si="50"/>
        <v>1.1900816195547594E-2</v>
      </c>
      <c r="Y66" s="83">
        <f t="shared" si="50"/>
        <v>1.3625160747595995E-2</v>
      </c>
    </row>
    <row r="67" spans="1:25" x14ac:dyDescent="0.25">
      <c r="A67" s="64" t="s">
        <v>56</v>
      </c>
      <c r="B67" s="65"/>
      <c r="C67" s="65"/>
      <c r="D67" s="83">
        <f t="shared" si="46"/>
        <v>3.6904956752741511E-3</v>
      </c>
      <c r="E67" s="83">
        <f t="shared" ref="E67:S67" si="51">E25/E$23</f>
        <v>3.9974304407524785E-3</v>
      </c>
      <c r="F67" s="83">
        <f t="shared" si="51"/>
        <v>3.9767060993291933E-3</v>
      </c>
      <c r="G67" s="83">
        <f t="shared" si="51"/>
        <v>3.9686809552048107E-3</v>
      </c>
      <c r="H67" s="83">
        <f t="shared" si="51"/>
        <v>4.2152113181825124E-3</v>
      </c>
      <c r="I67" s="83">
        <f t="shared" si="51"/>
        <v>4.3667638976997896E-3</v>
      </c>
      <c r="J67" s="83">
        <f t="shared" si="51"/>
        <v>4.412404423697904E-3</v>
      </c>
      <c r="K67" s="83">
        <f t="shared" si="51"/>
        <v>3.871379355351064E-3</v>
      </c>
      <c r="L67" s="83">
        <f t="shared" si="51"/>
        <v>5.1125165196475196E-3</v>
      </c>
      <c r="M67" s="83">
        <f t="shared" si="51"/>
        <v>4.1862929586903071E-3</v>
      </c>
      <c r="N67" s="83">
        <f t="shared" si="51"/>
        <v>4.4611174224823474E-3</v>
      </c>
      <c r="O67" s="83">
        <f t="shared" si="51"/>
        <v>5.4199649787991496E-3</v>
      </c>
      <c r="P67" s="83">
        <f t="shared" si="51"/>
        <v>5.3274892945890688E-3</v>
      </c>
      <c r="Q67" s="83">
        <f t="shared" si="51"/>
        <v>5.1177274809250228E-3</v>
      </c>
      <c r="R67" s="83">
        <f t="shared" si="51"/>
        <v>4.7152005415331284E-3</v>
      </c>
      <c r="S67" s="83">
        <f t="shared" si="51"/>
        <v>3.7383031464865712E-3</v>
      </c>
      <c r="T67" s="83">
        <f t="shared" ref="T67:Y67" si="52">T25/T$23</f>
        <v>3.0361868703415898E-3</v>
      </c>
      <c r="U67" s="83">
        <f t="shared" si="52"/>
        <v>3.6063734454344762E-3</v>
      </c>
      <c r="V67" s="83">
        <f t="shared" si="52"/>
        <v>3.3604740972774322E-3</v>
      </c>
      <c r="W67" s="83">
        <f t="shared" si="52"/>
        <v>2.9635473532208644E-3</v>
      </c>
      <c r="X67" s="83">
        <f t="shared" si="52"/>
        <v>2.5640493081454862E-3</v>
      </c>
      <c r="Y67" s="83">
        <f t="shared" si="52"/>
        <v>2.8903528266607729E-3</v>
      </c>
    </row>
    <row r="68" spans="1:25" x14ac:dyDescent="0.25">
      <c r="A68" s="64" t="s">
        <v>146</v>
      </c>
      <c r="B68" s="65"/>
      <c r="C68" s="65"/>
      <c r="D68" s="83">
        <f t="shared" si="46"/>
        <v>0.6790795321490174</v>
      </c>
      <c r="E68" s="83">
        <f t="shared" ref="E68:S68" si="53">E26/E$23</f>
        <v>0.68052320772735064</v>
      </c>
      <c r="F68" s="83">
        <f t="shared" si="53"/>
        <v>0.69019942338502838</v>
      </c>
      <c r="G68" s="83">
        <f t="shared" si="53"/>
        <v>0.69093601521271397</v>
      </c>
      <c r="H68" s="83">
        <f t="shared" si="53"/>
        <v>0.69173658469316968</v>
      </c>
      <c r="I68" s="83">
        <f t="shared" si="53"/>
        <v>0.69635142355883284</v>
      </c>
      <c r="J68" s="83">
        <f t="shared" si="53"/>
        <v>0.6947610801586106</v>
      </c>
      <c r="K68" s="83">
        <f t="shared" si="53"/>
        <v>0.69135075178023131</v>
      </c>
      <c r="L68" s="83">
        <f t="shared" si="53"/>
        <v>0.69925286226234185</v>
      </c>
      <c r="M68" s="83">
        <f t="shared" si="53"/>
        <v>0.71367937943904847</v>
      </c>
      <c r="N68" s="83">
        <f t="shared" si="53"/>
        <v>0.71687589020363485</v>
      </c>
      <c r="O68" s="83">
        <f t="shared" si="53"/>
        <v>0.71613941911115608</v>
      </c>
      <c r="P68" s="83">
        <f t="shared" si="53"/>
        <v>0.71525052883425111</v>
      </c>
      <c r="Q68" s="83">
        <f t="shared" si="53"/>
        <v>0.71827067861946436</v>
      </c>
      <c r="R68" s="83">
        <f t="shared" si="53"/>
        <v>0.72105627220921698</v>
      </c>
      <c r="S68" s="83">
        <f t="shared" si="53"/>
        <v>0.72317959651208963</v>
      </c>
      <c r="T68" s="83">
        <f t="shared" ref="T68:Y68" si="54">T26/T$23</f>
        <v>0.72004218807365483</v>
      </c>
      <c r="U68" s="83">
        <f t="shared" si="54"/>
        <v>0.71912422195832137</v>
      </c>
      <c r="V68" s="83">
        <f t="shared" si="54"/>
        <v>0.72027139408406671</v>
      </c>
      <c r="W68" s="83">
        <f t="shared" si="54"/>
        <v>0.72325854964251746</v>
      </c>
      <c r="X68" s="83">
        <f t="shared" si="54"/>
        <v>0.72148807885278021</v>
      </c>
      <c r="Y68" s="83">
        <f t="shared" si="54"/>
        <v>0.71240575521227789</v>
      </c>
    </row>
    <row r="69" spans="1:25" x14ac:dyDescent="0.25">
      <c r="A69" s="68" t="s">
        <v>148</v>
      </c>
      <c r="B69" s="69"/>
      <c r="C69" s="69"/>
      <c r="D69" s="84">
        <f t="shared" si="46"/>
        <v>0.28339177273890909</v>
      </c>
      <c r="E69" s="84">
        <f t="shared" ref="E69:S69" si="55">E27/E$23</f>
        <v>0.28175795604348758</v>
      </c>
      <c r="F69" s="84">
        <f t="shared" si="55"/>
        <v>0.28473057532020707</v>
      </c>
      <c r="G69" s="84">
        <f t="shared" si="55"/>
        <v>0.28633659143141277</v>
      </c>
      <c r="H69" s="84">
        <f t="shared" si="55"/>
        <v>0.28500964607310653</v>
      </c>
      <c r="I69" s="84">
        <f t="shared" si="55"/>
        <v>0.28361786211845602</v>
      </c>
      <c r="J69" s="84">
        <f t="shared" si="55"/>
        <v>0.28109429637437472</v>
      </c>
      <c r="K69" s="84">
        <f t="shared" si="55"/>
        <v>0.27703429786593076</v>
      </c>
      <c r="L69" s="84">
        <f t="shared" si="55"/>
        <v>0.28285675960349799</v>
      </c>
      <c r="M69" s="84">
        <f t="shared" si="55"/>
        <v>0.29682823536745478</v>
      </c>
      <c r="N69" s="84">
        <f t="shared" si="55"/>
        <v>0.29540820874433638</v>
      </c>
      <c r="O69" s="84">
        <f t="shared" si="55"/>
        <v>0.29034312093891551</v>
      </c>
      <c r="P69" s="84">
        <f t="shared" si="55"/>
        <v>0.2918181106422118</v>
      </c>
      <c r="Q69" s="84">
        <f t="shared" si="55"/>
        <v>0.29312718753313127</v>
      </c>
      <c r="R69" s="84">
        <f t="shared" si="55"/>
        <v>0.2940993209976645</v>
      </c>
      <c r="S69" s="84">
        <f t="shared" si="55"/>
        <v>0.29592392074328328</v>
      </c>
      <c r="T69" s="84">
        <f t="shared" ref="T69:Y69" si="56">T27/T$23</f>
        <v>0.29626367796855146</v>
      </c>
      <c r="U69" s="84">
        <f t="shared" si="56"/>
        <v>0.29636861265120656</v>
      </c>
      <c r="V69" s="84">
        <f t="shared" si="56"/>
        <v>0.29353243079715191</v>
      </c>
      <c r="W69" s="84">
        <f t="shared" si="56"/>
        <v>0.2947850526538231</v>
      </c>
      <c r="X69" s="84">
        <f t="shared" si="56"/>
        <v>0.2831743076701202</v>
      </c>
      <c r="Y69" s="84">
        <f t="shared" si="56"/>
        <v>0.27634818984618731</v>
      </c>
    </row>
    <row r="70" spans="1:25" x14ac:dyDescent="0.25">
      <c r="A70" s="68" t="s">
        <v>150</v>
      </c>
      <c r="B70" s="71"/>
      <c r="C70" s="71"/>
      <c r="D70" s="84">
        <f t="shared" si="46"/>
        <v>0.25165036238726546</v>
      </c>
      <c r="E70" s="84">
        <f t="shared" ref="E70:S70" si="57">E28/E$23</f>
        <v>0.2557472576652936</v>
      </c>
      <c r="F70" s="84">
        <f t="shared" si="57"/>
        <v>0.26201585938264443</v>
      </c>
      <c r="G70" s="84">
        <f t="shared" si="57"/>
        <v>0.26301184524605098</v>
      </c>
      <c r="H70" s="84">
        <f t="shared" si="57"/>
        <v>0.26553008515106324</v>
      </c>
      <c r="I70" s="84">
        <f t="shared" si="57"/>
        <v>0.27165087492435408</v>
      </c>
      <c r="J70" s="84">
        <f t="shared" si="57"/>
        <v>0.2728165938864629</v>
      </c>
      <c r="K70" s="84">
        <f t="shared" si="57"/>
        <v>0.27255922307433572</v>
      </c>
      <c r="L70" s="84">
        <f t="shared" si="57"/>
        <v>0.27452300708649058</v>
      </c>
      <c r="M70" s="84">
        <f t="shared" si="57"/>
        <v>0.27396355645943637</v>
      </c>
      <c r="N70" s="84">
        <f t="shared" si="57"/>
        <v>0.27353352286412769</v>
      </c>
      <c r="O70" s="84">
        <f t="shared" si="57"/>
        <v>0.27725575606720598</v>
      </c>
      <c r="P70" s="84">
        <f t="shared" si="57"/>
        <v>0.27653040999731265</v>
      </c>
      <c r="Q70" s="84">
        <f t="shared" si="57"/>
        <v>0.28365466236025938</v>
      </c>
      <c r="R70" s="84">
        <f t="shared" si="57"/>
        <v>0.28488726919404556</v>
      </c>
      <c r="S70" s="84">
        <f t="shared" si="57"/>
        <v>0.28689929607992765</v>
      </c>
      <c r="T70" s="84">
        <f t="shared" ref="T70:Y70" si="58">T28/T$23</f>
        <v>0.28659265151227759</v>
      </c>
      <c r="U70" s="84">
        <f t="shared" si="58"/>
        <v>0.29017160023411065</v>
      </c>
      <c r="V70" s="84">
        <f t="shared" si="58"/>
        <v>0.29064716939095803</v>
      </c>
      <c r="W70" s="84">
        <f t="shared" si="58"/>
        <v>0.2949557989645335</v>
      </c>
      <c r="X70" s="84">
        <f t="shared" si="58"/>
        <v>0.30286878064463096</v>
      </c>
      <c r="Y70" s="84">
        <f t="shared" si="58"/>
        <v>0.2975482491100081</v>
      </c>
    </row>
    <row r="71" spans="1:25" x14ac:dyDescent="0.25">
      <c r="A71" s="68" t="s">
        <v>152</v>
      </c>
      <c r="B71" s="71"/>
      <c r="C71" s="71"/>
      <c r="D71" s="84">
        <f t="shared" si="46"/>
        <v>0.14403739702284288</v>
      </c>
      <c r="E71" s="84">
        <f t="shared" ref="E71:S71" si="59">E29/E$23</f>
        <v>0.14301799401856938</v>
      </c>
      <c r="F71" s="84">
        <f t="shared" si="59"/>
        <v>0.14345298868217696</v>
      </c>
      <c r="G71" s="84">
        <f t="shared" si="59"/>
        <v>0.14158757853525034</v>
      </c>
      <c r="H71" s="84">
        <f t="shared" si="59"/>
        <v>0.14119685346899982</v>
      </c>
      <c r="I71" s="84">
        <f t="shared" si="59"/>
        <v>0.14108268651602274</v>
      </c>
      <c r="J71" s="84">
        <f t="shared" si="59"/>
        <v>0.14085018989777304</v>
      </c>
      <c r="K71" s="84">
        <f t="shared" si="59"/>
        <v>0.14175723083996469</v>
      </c>
      <c r="L71" s="84">
        <f t="shared" si="59"/>
        <v>0.14187309557235339</v>
      </c>
      <c r="M71" s="84">
        <f t="shared" si="59"/>
        <v>0.14288758761215731</v>
      </c>
      <c r="N71" s="84">
        <f t="shared" si="59"/>
        <v>0.14793415859517081</v>
      </c>
      <c r="O71" s="84">
        <f t="shared" si="59"/>
        <v>0.14854054210503456</v>
      </c>
      <c r="P71" s="84">
        <f t="shared" si="59"/>
        <v>0.14690200819472674</v>
      </c>
      <c r="Q71" s="84">
        <f t="shared" si="59"/>
        <v>0.14148882872607374</v>
      </c>
      <c r="R71" s="84">
        <f t="shared" si="59"/>
        <v>0.14206968201750694</v>
      </c>
      <c r="S71" s="84">
        <f t="shared" si="59"/>
        <v>0.14035637968887874</v>
      </c>
      <c r="T71" s="84">
        <f t="shared" ref="T71:Y71" si="60">T29/T$23</f>
        <v>0.13718585859282575</v>
      </c>
      <c r="U71" s="84">
        <f t="shared" si="60"/>
        <v>0.13258400907300419</v>
      </c>
      <c r="V71" s="84">
        <f t="shared" si="60"/>
        <v>0.13609179389595683</v>
      </c>
      <c r="W71" s="84">
        <f t="shared" si="60"/>
        <v>0.13351769802416077</v>
      </c>
      <c r="X71" s="84">
        <f t="shared" si="60"/>
        <v>0.13544499053802908</v>
      </c>
      <c r="Y71" s="84">
        <f t="shared" si="60"/>
        <v>0.13850931625608248</v>
      </c>
    </row>
    <row r="72" spans="1:25" x14ac:dyDescent="0.25">
      <c r="A72" s="64" t="s">
        <v>154</v>
      </c>
      <c r="B72" s="65"/>
      <c r="C72" s="65"/>
      <c r="D72" s="83">
        <f t="shared" si="46"/>
        <v>2.9573801520054056E-2</v>
      </c>
      <c r="E72" s="83">
        <f t="shared" ref="E72:S72" si="61">E30/E$23</f>
        <v>2.9372335426935514E-2</v>
      </c>
      <c r="F72" s="83">
        <f t="shared" si="61"/>
        <v>2.7332379885882812E-2</v>
      </c>
      <c r="G72" s="83">
        <f t="shared" si="61"/>
        <v>2.7613816703394051E-2</v>
      </c>
      <c r="H72" s="83">
        <f t="shared" si="61"/>
        <v>2.7943301728889123E-2</v>
      </c>
      <c r="I72" s="83">
        <f t="shared" si="61"/>
        <v>2.6570678136652613E-2</v>
      </c>
      <c r="J72" s="83">
        <f t="shared" si="61"/>
        <v>2.5224614766852383E-2</v>
      </c>
      <c r="K72" s="83">
        <f t="shared" si="61"/>
        <v>2.4110751890639253E-2</v>
      </c>
      <c r="L72" s="83">
        <f t="shared" si="61"/>
        <v>2.4226910982154969E-2</v>
      </c>
      <c r="M72" s="83">
        <f t="shared" si="61"/>
        <v>2.5268144823528953E-2</v>
      </c>
      <c r="N72" s="83">
        <f t="shared" si="61"/>
        <v>2.2855593086614563E-2</v>
      </c>
      <c r="O72" s="83">
        <f t="shared" si="61"/>
        <v>2.1220749337925646E-2</v>
      </c>
      <c r="P72" s="83">
        <f t="shared" si="61"/>
        <v>2.1705657098158269E-2</v>
      </c>
      <c r="Q72" s="83">
        <f t="shared" si="61"/>
        <v>2.1502354965384052E-2</v>
      </c>
      <c r="R72" s="83">
        <f t="shared" si="61"/>
        <v>1.9480523849864515E-2</v>
      </c>
      <c r="S72" s="83">
        <f t="shared" si="61"/>
        <v>1.9989401952919789E-2</v>
      </c>
      <c r="T72" s="83">
        <f t="shared" ref="T72:Y72" si="62">T30/T$23</f>
        <v>2.0103294312918497E-2</v>
      </c>
      <c r="U72" s="83">
        <f t="shared" si="62"/>
        <v>1.9641681905719438E-2</v>
      </c>
      <c r="V72" s="83">
        <f t="shared" si="62"/>
        <v>1.9607171064078482E-2</v>
      </c>
      <c r="W72" s="83">
        <f t="shared" si="62"/>
        <v>2.0376008171028068E-2</v>
      </c>
      <c r="X72" s="83">
        <f t="shared" si="62"/>
        <v>2.1206867147141911E-2</v>
      </c>
      <c r="Y72" s="83">
        <f t="shared" si="62"/>
        <v>2.1549903420388799E-2</v>
      </c>
    </row>
    <row r="73" spans="1:25" x14ac:dyDescent="0.25">
      <c r="A73" s="64" t="s">
        <v>37</v>
      </c>
      <c r="B73" s="65"/>
      <c r="C73" s="65"/>
      <c r="D73" s="83">
        <f t="shared" si="46"/>
        <v>7.5062636131290369E-2</v>
      </c>
      <c r="E73" s="83">
        <f t="shared" ref="E73:S73" si="63">E31/E$23</f>
        <v>7.1039890073199968E-2</v>
      </c>
      <c r="F73" s="83">
        <f t="shared" si="63"/>
        <v>6.9835248629378094E-2</v>
      </c>
      <c r="G73" s="83">
        <f t="shared" si="63"/>
        <v>7.278778003326454E-2</v>
      </c>
      <c r="H73" s="83">
        <f t="shared" si="63"/>
        <v>7.2200012679414879E-2</v>
      </c>
      <c r="I73" s="83">
        <f t="shared" si="63"/>
        <v>7.0095325960066068E-2</v>
      </c>
      <c r="J73" s="83">
        <f t="shared" si="63"/>
        <v>6.7488162759959169E-2</v>
      </c>
      <c r="K73" s="83">
        <f t="shared" si="63"/>
        <v>6.8749908814781435E-2</v>
      </c>
      <c r="L73" s="83">
        <f t="shared" si="63"/>
        <v>6.9240759286442688E-2</v>
      </c>
      <c r="M73" s="83">
        <f t="shared" si="63"/>
        <v>6.8013137440536706E-2</v>
      </c>
      <c r="N73" s="83">
        <f t="shared" si="63"/>
        <v>6.4952291723168715E-2</v>
      </c>
      <c r="O73" s="83">
        <f t="shared" si="63"/>
        <v>6.3229186263585188E-2</v>
      </c>
      <c r="P73" s="83">
        <f t="shared" si="63"/>
        <v>6.3581077220733542E-2</v>
      </c>
      <c r="Q73" s="83">
        <f t="shared" si="63"/>
        <v>6.4255180265549453E-2</v>
      </c>
      <c r="R73" s="83">
        <f t="shared" si="63"/>
        <v>6.3784568324483856E-2</v>
      </c>
      <c r="S73" s="83">
        <f t="shared" si="63"/>
        <v>6.244900870479423E-2</v>
      </c>
      <c r="T73" s="83">
        <f t="shared" ref="T73:Y73" si="64">T31/T$23</f>
        <v>6.2562568054761722E-2</v>
      </c>
      <c r="U73" s="83">
        <f t="shared" si="64"/>
        <v>6.4199215097712078E-2</v>
      </c>
      <c r="V73" s="83">
        <f t="shared" si="64"/>
        <v>6.4853170606875066E-2</v>
      </c>
      <c r="W73" s="83">
        <f t="shared" si="64"/>
        <v>6.5751135843341676E-2</v>
      </c>
      <c r="X73" s="83">
        <f t="shared" si="64"/>
        <v>7.1052102710578949E-2</v>
      </c>
      <c r="Y73" s="83">
        <f t="shared" si="64"/>
        <v>7.0627134276974493E-2</v>
      </c>
    </row>
    <row r="74" spans="1:25" x14ac:dyDescent="0.25">
      <c r="A74" s="64" t="s">
        <v>58</v>
      </c>
      <c r="B74" s="65"/>
      <c r="C74" s="65"/>
      <c r="D74" s="83">
        <f t="shared" si="46"/>
        <v>0.19413476105942146</v>
      </c>
      <c r="E74" s="83">
        <f t="shared" ref="E74:S74" si="65">E32/E$23</f>
        <v>0.19637237500545471</v>
      </c>
      <c r="F74" s="83">
        <f t="shared" si="65"/>
        <v>0.19114529333334651</v>
      </c>
      <c r="G74" s="83">
        <f t="shared" si="65"/>
        <v>0.18800256890667544</v>
      </c>
      <c r="H74" s="83">
        <f t="shared" si="65"/>
        <v>0.18734668435614724</v>
      </c>
      <c r="I74" s="83">
        <f t="shared" si="65"/>
        <v>0.18845038760341956</v>
      </c>
      <c r="J74" s="83">
        <f t="shared" si="65"/>
        <v>0.19351461459954161</v>
      </c>
      <c r="K74" s="83">
        <f t="shared" si="65"/>
        <v>0.19605709200184385</v>
      </c>
      <c r="L74" s="83">
        <f t="shared" si="65"/>
        <v>0.18714150268963486</v>
      </c>
      <c r="M74" s="83">
        <f t="shared" si="65"/>
        <v>0.17598326262024147</v>
      </c>
      <c r="N74" s="83">
        <f t="shared" si="65"/>
        <v>0.1766308151278195</v>
      </c>
      <c r="O74" s="83">
        <f t="shared" si="65"/>
        <v>0.17826116843461018</v>
      </c>
      <c r="P74" s="83">
        <f t="shared" si="65"/>
        <v>0.1789801522280868</v>
      </c>
      <c r="Q74" s="83">
        <f t="shared" si="65"/>
        <v>0.17677277234549282</v>
      </c>
      <c r="R74" s="83">
        <f t="shared" si="65"/>
        <v>0.177505179487145</v>
      </c>
      <c r="S74" s="83">
        <f t="shared" si="65"/>
        <v>0.17797586420169248</v>
      </c>
      <c r="T74" s="83">
        <f t="shared" ref="T74:Y74" si="66">T32/T$23</f>
        <v>0.18180689487814342</v>
      </c>
      <c r="U74" s="83">
        <f t="shared" si="66"/>
        <v>0.17985512578593438</v>
      </c>
      <c r="V74" s="83">
        <f t="shared" si="66"/>
        <v>0.17925510701144956</v>
      </c>
      <c r="W74" s="83">
        <f t="shared" si="66"/>
        <v>0.1758743352234706</v>
      </c>
      <c r="X74" s="83">
        <f t="shared" si="66"/>
        <v>0.17178808578580582</v>
      </c>
      <c r="Y74" s="83">
        <f t="shared" si="66"/>
        <v>0.17890169351610205</v>
      </c>
    </row>
    <row r="75" spans="1:25" x14ac:dyDescent="0.25">
      <c r="A75" s="85" t="s">
        <v>158</v>
      </c>
      <c r="B75" s="86"/>
      <c r="C75" s="86"/>
      <c r="D75" s="87">
        <f t="shared" si="46"/>
        <v>1.2148471762331031E-2</v>
      </c>
      <c r="E75" s="87">
        <f t="shared" ref="E75:S75" si="67">E33/E$23</f>
        <v>1.3047718501333998E-2</v>
      </c>
      <c r="F75" s="87">
        <f t="shared" si="67"/>
        <v>1.1215526895026227E-2</v>
      </c>
      <c r="G75" s="87">
        <f t="shared" si="67"/>
        <v>1.13965076572623E-2</v>
      </c>
      <c r="H75" s="87">
        <f t="shared" si="67"/>
        <v>1.2726615618910468E-2</v>
      </c>
      <c r="I75" s="87">
        <f t="shared" si="67"/>
        <v>1.4800691138665559E-2</v>
      </c>
      <c r="J75" s="87">
        <f t="shared" si="67"/>
        <v>1.4896936539008518E-2</v>
      </c>
      <c r="K75" s="87">
        <f t="shared" si="67"/>
        <v>1.544332577432516E-2</v>
      </c>
      <c r="L75" s="87">
        <f t="shared" si="67"/>
        <v>1.5199218946492348E-2</v>
      </c>
      <c r="M75" s="87">
        <f t="shared" si="67"/>
        <v>1.1648374767698725E-2</v>
      </c>
      <c r="N75" s="87">
        <f t="shared" si="67"/>
        <v>1.2760138601505499E-2</v>
      </c>
      <c r="O75" s="87">
        <f t="shared" si="67"/>
        <v>1.2907555607010028E-2</v>
      </c>
      <c r="P75" s="87">
        <f t="shared" si="67"/>
        <v>1.3242193038079594E-2</v>
      </c>
      <c r="Q75" s="87">
        <f t="shared" si="67"/>
        <v>1.1948409038465935E-2</v>
      </c>
      <c r="R75" s="87">
        <f t="shared" si="67"/>
        <v>1.2380303212796007E-2</v>
      </c>
      <c r="S75" s="87">
        <f t="shared" si="67"/>
        <v>1.3621454303494327E-2</v>
      </c>
      <c r="T75" s="87">
        <f t="shared" ref="T75:Y75" si="68">T33/T$23</f>
        <v>1.2391492531651244E-2</v>
      </c>
      <c r="U75" s="87">
        <f t="shared" si="68"/>
        <v>1.268575251778294E-2</v>
      </c>
      <c r="V75" s="87">
        <f t="shared" si="68"/>
        <v>1.3074448923204642E-2</v>
      </c>
      <c r="W75" s="87">
        <f t="shared" si="68"/>
        <v>1.1836720318388335E-2</v>
      </c>
      <c r="X75" s="87">
        <f t="shared" si="68"/>
        <v>1.0254149503528091E-2</v>
      </c>
      <c r="Y75" s="87">
        <f t="shared" si="68"/>
        <v>1.1050164286043399E-2</v>
      </c>
    </row>
    <row r="76" spans="1:25" x14ac:dyDescent="0.25">
      <c r="A76" s="88" t="s">
        <v>5</v>
      </c>
      <c r="B76" s="44"/>
      <c r="C76" s="44"/>
      <c r="D76" s="89">
        <f t="shared" si="46"/>
        <v>9.1556242658411644E-3</v>
      </c>
      <c r="E76" s="89">
        <f t="shared" ref="E76:S76" si="69">E34/E$23</f>
        <v>9.833336279801869E-3</v>
      </c>
      <c r="F76" s="89">
        <f t="shared" si="69"/>
        <v>8.4525158557551168E-3</v>
      </c>
      <c r="G76" s="89">
        <f t="shared" si="69"/>
        <v>8.5889109423796656E-3</v>
      </c>
      <c r="H76" s="89">
        <f t="shared" si="69"/>
        <v>9.5913389817331371E-3</v>
      </c>
      <c r="I76" s="89">
        <f t="shared" si="69"/>
        <v>1.1154453793979542E-2</v>
      </c>
      <c r="J76" s="89">
        <f t="shared" si="69"/>
        <v>1.1226988573669931E-2</v>
      </c>
      <c r="K76" s="89">
        <f t="shared" si="69"/>
        <v>1.1638771606081538E-2</v>
      </c>
      <c r="L76" s="89">
        <f t="shared" si="69"/>
        <v>1.1454801931534196E-2</v>
      </c>
      <c r="M76" s="89">
        <f t="shared" si="69"/>
        <v>8.7704935723619901E-3</v>
      </c>
      <c r="N76" s="89">
        <f t="shared" si="69"/>
        <v>8.534172873700176E-3</v>
      </c>
      <c r="O76" s="89">
        <f t="shared" si="69"/>
        <v>8.7686263637882147E-3</v>
      </c>
      <c r="P76" s="89">
        <f t="shared" si="69"/>
        <v>9.029262237337762E-3</v>
      </c>
      <c r="Q76" s="89">
        <f t="shared" si="69"/>
        <v>8.366129219790925E-3</v>
      </c>
      <c r="R76" s="89">
        <f t="shared" si="69"/>
        <v>8.4227529928785003E-3</v>
      </c>
      <c r="S76" s="89">
        <f t="shared" si="69"/>
        <v>9.446611813608766E-3</v>
      </c>
      <c r="T76" s="89">
        <f t="shared" ref="T76:Y76" si="70">T34/T$23</f>
        <v>8.286415012040688E-3</v>
      </c>
      <c r="U76" s="89">
        <f t="shared" si="70"/>
        <v>8.5113603039068484E-3</v>
      </c>
      <c r="V76" s="89">
        <f t="shared" si="70"/>
        <v>9.4325842736768719E-3</v>
      </c>
      <c r="W76" s="89">
        <f t="shared" si="70"/>
        <v>8.4005310360031234E-3</v>
      </c>
      <c r="X76" s="89">
        <f t="shared" si="70"/>
        <v>7.3638069911388469E-3</v>
      </c>
      <c r="Y76" s="89">
        <f t="shared" si="70"/>
        <v>7.3771258946399472E-3</v>
      </c>
    </row>
    <row r="77" spans="1:25" x14ac:dyDescent="0.25">
      <c r="A77" s="88" t="s">
        <v>269</v>
      </c>
      <c r="B77" s="44"/>
      <c r="C77" s="44"/>
      <c r="D77" s="89">
        <f>D37/D$23</f>
        <v>2.9928474964898678E-3</v>
      </c>
      <c r="E77" s="89">
        <f t="shared" ref="E77:S77" si="71">E37/E$23</f>
        <v>3.2143822215321303E-3</v>
      </c>
      <c r="F77" s="89">
        <f t="shared" si="71"/>
        <v>2.7630110392711099E-3</v>
      </c>
      <c r="G77" s="89">
        <f t="shared" si="71"/>
        <v>2.8075967148826343E-3</v>
      </c>
      <c r="H77" s="89">
        <f t="shared" si="71"/>
        <v>3.1352766371773315E-3</v>
      </c>
      <c r="I77" s="89">
        <f t="shared" si="71"/>
        <v>3.6462373446860172E-3</v>
      </c>
      <c r="J77" s="89">
        <f t="shared" si="71"/>
        <v>3.6699479653385866E-3</v>
      </c>
      <c r="K77" s="89">
        <f t="shared" si="71"/>
        <v>3.8045541682436221E-3</v>
      </c>
      <c r="L77" s="89">
        <f t="shared" si="71"/>
        <v>3.7444170149581518E-3</v>
      </c>
      <c r="M77" s="89">
        <f t="shared" si="71"/>
        <v>2.8778811953367356E-3</v>
      </c>
      <c r="N77" s="89">
        <f t="shared" si="71"/>
        <v>4.2259657278053229E-3</v>
      </c>
      <c r="O77" s="89">
        <f t="shared" si="71"/>
        <v>4.1389292432218146E-3</v>
      </c>
      <c r="P77" s="89">
        <f t="shared" si="71"/>
        <v>4.2129308007418324E-3</v>
      </c>
      <c r="Q77" s="89">
        <f t="shared" si="71"/>
        <v>3.5822798186750109E-3</v>
      </c>
      <c r="R77" s="89">
        <f t="shared" si="71"/>
        <v>3.9575502199175076E-3</v>
      </c>
      <c r="S77" s="89">
        <f t="shared" si="71"/>
        <v>4.1748424898855607E-3</v>
      </c>
      <c r="T77" s="89">
        <f t="shared" ref="T77:Y77" si="72">T37/T$23</f>
        <v>4.1050775196105572E-3</v>
      </c>
      <c r="U77" s="89">
        <f t="shared" si="72"/>
        <v>4.174392213876092E-3</v>
      </c>
      <c r="V77" s="89">
        <f t="shared" si="72"/>
        <v>3.64186464952777E-3</v>
      </c>
      <c r="W77" s="89">
        <f t="shared" si="72"/>
        <v>3.4361892823852121E-3</v>
      </c>
      <c r="X77" s="89">
        <f t="shared" si="72"/>
        <v>2.8903425123892445E-3</v>
      </c>
      <c r="Y77" s="89">
        <f t="shared" si="72"/>
        <v>3.6730383914034509E-3</v>
      </c>
    </row>
    <row r="78" spans="1:25" x14ac:dyDescent="0.25">
      <c r="A78" s="68" t="s">
        <v>271</v>
      </c>
      <c r="B78" s="44"/>
      <c r="C78" s="44"/>
      <c r="D78" s="89">
        <f>D43/D$23</f>
        <v>1.3816670233883525E-2</v>
      </c>
      <c r="E78" s="89">
        <f t="shared" ref="E78:S78" si="73">E43/E$23</f>
        <v>1.4272622929358431E-2</v>
      </c>
      <c r="F78" s="89">
        <f t="shared" si="73"/>
        <v>1.3256510639307269E-2</v>
      </c>
      <c r="G78" s="89">
        <f t="shared" si="73"/>
        <v>1.3580367840029105E-2</v>
      </c>
      <c r="H78" s="89">
        <f t="shared" si="73"/>
        <v>1.2616017803009093E-2</v>
      </c>
      <c r="I78" s="89">
        <f t="shared" si="73"/>
        <v>1.3799310366504476E-2</v>
      </c>
      <c r="J78" s="89">
        <f t="shared" si="73"/>
        <v>1.4390403051749236E-2</v>
      </c>
      <c r="K78" s="89">
        <f t="shared" si="73"/>
        <v>1.5252871890781205E-2</v>
      </c>
      <c r="L78" s="89">
        <f t="shared" si="73"/>
        <v>1.3221053080847575E-2</v>
      </c>
      <c r="M78" s="89">
        <f t="shared" si="73"/>
        <v>1.4174565883952607E-2</v>
      </c>
      <c r="N78" s="89">
        <f t="shared" si="73"/>
        <v>1.418560236085323E-2</v>
      </c>
      <c r="O78" s="89">
        <f t="shared" si="73"/>
        <v>1.4503046265611205E-2</v>
      </c>
      <c r="P78" s="89">
        <f t="shared" si="73"/>
        <v>1.3482011171292925E-2</v>
      </c>
      <c r="Q78" s="89">
        <f t="shared" si="73"/>
        <v>1.4357077473060122E-2</v>
      </c>
      <c r="R78" s="89">
        <f t="shared" si="73"/>
        <v>1.5237684461403988E-2</v>
      </c>
      <c r="S78" s="89">
        <f t="shared" si="73"/>
        <v>1.6092160669520385E-2</v>
      </c>
      <c r="T78" s="89">
        <f t="shared" ref="T78:Y78" si="74">T43/T$23</f>
        <v>1.8124317492844554E-2</v>
      </c>
      <c r="U78" s="89">
        <f t="shared" si="74"/>
        <v>1.6830957012514237E-2</v>
      </c>
      <c r="V78" s="89">
        <f t="shared" si="74"/>
        <v>1.5361337380968081E-2</v>
      </c>
      <c r="W78" s="89">
        <f t="shared" si="74"/>
        <v>1.5244602542880285E-2</v>
      </c>
      <c r="X78" s="89">
        <f t="shared" si="74"/>
        <v>1.6893764694284292E-2</v>
      </c>
      <c r="Y78" s="89">
        <f t="shared" si="74"/>
        <v>2.0374007682776332E-2</v>
      </c>
    </row>
    <row r="79" spans="1:25" x14ac:dyDescent="0.25">
      <c r="A79" s="88" t="s">
        <v>272</v>
      </c>
      <c r="B79" s="44"/>
      <c r="C79" s="44"/>
      <c r="D79" s="89">
        <f>D44/D$23</f>
        <v>7.6805326484276973E-3</v>
      </c>
      <c r="E79" s="89">
        <f t="shared" ref="E79:S79" si="75">E44/E$23</f>
        <v>8.7915054349425557E-3</v>
      </c>
      <c r="F79" s="89">
        <f t="shared" si="75"/>
        <v>7.7300406121172159E-3</v>
      </c>
      <c r="G79" s="89">
        <f t="shared" si="75"/>
        <v>7.7641392401459697E-3</v>
      </c>
      <c r="H79" s="89">
        <f t="shared" si="75"/>
        <v>7.4586426640098511E-3</v>
      </c>
      <c r="I79" s="89">
        <f t="shared" si="75"/>
        <v>7.2177330279904073E-3</v>
      </c>
      <c r="J79" s="89">
        <f t="shared" si="75"/>
        <v>8.0953337014171237E-3</v>
      </c>
      <c r="K79" s="89">
        <f t="shared" si="75"/>
        <v>8.1161745030750628E-3</v>
      </c>
      <c r="L79" s="89">
        <f t="shared" si="75"/>
        <v>7.6165673582435141E-3</v>
      </c>
      <c r="M79" s="89">
        <f t="shared" si="75"/>
        <v>7.4616922051965349E-3</v>
      </c>
      <c r="N79" s="89">
        <f t="shared" si="75"/>
        <v>7.3753904568273753E-3</v>
      </c>
      <c r="O79" s="89">
        <f t="shared" si="75"/>
        <v>7.7213064933937276E-3</v>
      </c>
      <c r="P79" s="89">
        <f t="shared" si="75"/>
        <v>6.521642528501328E-3</v>
      </c>
      <c r="Q79" s="89">
        <f t="shared" si="75"/>
        <v>7.5076864656532603E-3</v>
      </c>
      <c r="R79" s="89">
        <f t="shared" si="75"/>
        <v>8.115595252433971E-3</v>
      </c>
      <c r="S79" s="89">
        <f t="shared" si="75"/>
        <v>8.958834696846673E-3</v>
      </c>
      <c r="T79" s="89">
        <f t="shared" ref="T79:Y79" si="76">T44/T$23</f>
        <v>1.101699405585844E-2</v>
      </c>
      <c r="U79" s="89">
        <f t="shared" si="76"/>
        <v>9.6552452698223032E-3</v>
      </c>
      <c r="V79" s="89">
        <f t="shared" si="76"/>
        <v>8.658688941632204E-3</v>
      </c>
      <c r="W79" s="89">
        <f t="shared" si="76"/>
        <v>7.9799950692071991E-3</v>
      </c>
      <c r="X79" s="89">
        <f t="shared" si="76"/>
        <v>9.0293149966022331E-3</v>
      </c>
      <c r="Y79" s="89">
        <f t="shared" si="76"/>
        <v>1.2931542285757013E-2</v>
      </c>
    </row>
    <row r="80" spans="1:25" x14ac:dyDescent="0.25">
      <c r="A80" s="88" t="s">
        <v>11</v>
      </c>
      <c r="B80" s="44"/>
      <c r="C80" s="44"/>
      <c r="D80" s="89">
        <f>D47/D$23</f>
        <v>6.1361375854558278E-3</v>
      </c>
      <c r="E80" s="89">
        <f t="shared" ref="E80:S80" si="77">E47/E$23</f>
        <v>5.4811174944158761E-3</v>
      </c>
      <c r="F80" s="89">
        <f t="shared" si="77"/>
        <v>5.5264700271900544E-3</v>
      </c>
      <c r="G80" s="89">
        <f t="shared" si="77"/>
        <v>5.816228599883135E-3</v>
      </c>
      <c r="H80" s="89">
        <f t="shared" si="77"/>
        <v>5.1573751389992423E-3</v>
      </c>
      <c r="I80" s="89">
        <f t="shared" si="77"/>
        <v>6.5815773385140691E-3</v>
      </c>
      <c r="J80" s="89">
        <f t="shared" si="77"/>
        <v>6.2950693503321126E-3</v>
      </c>
      <c r="K80" s="89">
        <f t="shared" si="77"/>
        <v>7.1366973877061424E-3</v>
      </c>
      <c r="L80" s="89">
        <f t="shared" si="77"/>
        <v>5.604485722604061E-3</v>
      </c>
      <c r="M80" s="89">
        <f t="shared" si="77"/>
        <v>6.7128736787560725E-3</v>
      </c>
      <c r="N80" s="89">
        <f t="shared" si="77"/>
        <v>6.8102119040258551E-3</v>
      </c>
      <c r="O80" s="89">
        <f t="shared" si="77"/>
        <v>6.7817397722174794E-3</v>
      </c>
      <c r="P80" s="89">
        <f t="shared" si="77"/>
        <v>6.9603686427915958E-3</v>
      </c>
      <c r="Q80" s="89">
        <f t="shared" si="77"/>
        <v>6.8493910074068631E-3</v>
      </c>
      <c r="R80" s="89">
        <f t="shared" si="77"/>
        <v>7.1220892089700174E-3</v>
      </c>
      <c r="S80" s="89">
        <f t="shared" si="77"/>
        <v>7.1333259726737135E-3</v>
      </c>
      <c r="T80" s="89">
        <f t="shared" ref="T80:Y80" si="78">T47/T$23</f>
        <v>7.1073234369861118E-3</v>
      </c>
      <c r="U80" s="89">
        <f t="shared" si="78"/>
        <v>7.1757117426919344E-3</v>
      </c>
      <c r="V80" s="89">
        <f t="shared" si="78"/>
        <v>6.7026484393358753E-3</v>
      </c>
      <c r="W80" s="89">
        <f t="shared" si="78"/>
        <v>7.2646074736730888E-3</v>
      </c>
      <c r="X80" s="89">
        <f t="shared" si="78"/>
        <v>7.8644496976820587E-3</v>
      </c>
      <c r="Y80" s="89">
        <f t="shared" si="78"/>
        <v>7.4424653970193173E-3</v>
      </c>
    </row>
    <row r="81" spans="1:25" x14ac:dyDescent="0.25">
      <c r="A81" s="68" t="s">
        <v>4</v>
      </c>
      <c r="B81" s="44"/>
      <c r="C81" s="44"/>
      <c r="D81" s="89">
        <f>D48/D$23</f>
        <v>1.2196734108048902E-2</v>
      </c>
      <c r="E81" s="89">
        <f t="shared" ref="E81:S81" si="79">E48/E$23</f>
        <v>1.184869233587346E-2</v>
      </c>
      <c r="F81" s="89">
        <f t="shared" si="79"/>
        <v>1.1508084371204041E-2</v>
      </c>
      <c r="G81" s="89">
        <f t="shared" si="79"/>
        <v>1.1769491289891274E-2</v>
      </c>
      <c r="H81" s="89">
        <f t="shared" si="79"/>
        <v>1.1546134328682827E-2</v>
      </c>
      <c r="I81" s="89">
        <f t="shared" si="79"/>
        <v>1.1629209329752211E-2</v>
      </c>
      <c r="J81" s="89">
        <f t="shared" si="79"/>
        <v>1.1586273820877045E-2</v>
      </c>
      <c r="K81" s="89">
        <f t="shared" si="79"/>
        <v>1.152186848272134E-2</v>
      </c>
      <c r="L81" s="89">
        <f t="shared" si="79"/>
        <v>1.0148055673689139E-2</v>
      </c>
      <c r="M81" s="89">
        <f t="shared" si="79"/>
        <v>9.0586782301077997E-3</v>
      </c>
      <c r="N81" s="89">
        <f t="shared" si="79"/>
        <v>9.2518591150214224E-3</v>
      </c>
      <c r="O81" s="89">
        <f t="shared" si="79"/>
        <v>8.865645938553714E-3</v>
      </c>
      <c r="P81" s="89">
        <f t="shared" si="79"/>
        <v>8.5505744702311648E-3</v>
      </c>
      <c r="Q81" s="89">
        <f t="shared" si="79"/>
        <v>8.5921416152907465E-3</v>
      </c>
      <c r="R81" s="89">
        <f t="shared" si="79"/>
        <v>8.7151305621030444E-3</v>
      </c>
      <c r="S81" s="89">
        <f t="shared" si="79"/>
        <v>8.3152655195111221E-3</v>
      </c>
      <c r="T81" s="89">
        <f t="shared" ref="T81:Y81" si="80">T48/T$23</f>
        <v>8.1516789166544163E-3</v>
      </c>
      <c r="U81" s="89">
        <f t="shared" si="80"/>
        <v>8.1292150248560499E-3</v>
      </c>
      <c r="V81" s="89">
        <f t="shared" si="80"/>
        <v>7.6876400258055599E-3</v>
      </c>
      <c r="W81" s="89">
        <f t="shared" si="80"/>
        <v>7.9698517240164822E-3</v>
      </c>
      <c r="X81" s="89">
        <f t="shared" si="80"/>
        <v>7.4791841028357849E-3</v>
      </c>
      <c r="Y81" s="89">
        <f t="shared" si="80"/>
        <v>7.2181568013649456E-3</v>
      </c>
    </row>
    <row r="82" spans="1:25" x14ac:dyDescent="0.25">
      <c r="A82" s="68" t="s">
        <v>3</v>
      </c>
      <c r="B82" s="44"/>
      <c r="C82" s="44"/>
      <c r="D82" s="89">
        <f>D52/D$23</f>
        <v>1.6281722000495213E-2</v>
      </c>
      <c r="E82" s="89">
        <f t="shared" ref="E82:S82" si="81">E52/E$23</f>
        <v>1.6312946336602113E-2</v>
      </c>
      <c r="F82" s="89">
        <f t="shared" si="81"/>
        <v>1.5395837183857548E-2</v>
      </c>
      <c r="G82" s="89">
        <f t="shared" si="81"/>
        <v>1.4500522804354401E-2</v>
      </c>
      <c r="H82" s="89">
        <f t="shared" si="81"/>
        <v>1.3556330614354675E-2</v>
      </c>
      <c r="I82" s="89">
        <f t="shared" si="81"/>
        <v>1.2732853125065021E-2</v>
      </c>
      <c r="J82" s="89">
        <f t="shared" si="81"/>
        <v>1.2353393899847753E-2</v>
      </c>
      <c r="K82" s="89">
        <f t="shared" si="81"/>
        <v>1.1819575899027107E-2</v>
      </c>
      <c r="L82" s="89">
        <f t="shared" si="81"/>
        <v>1.0949077567271358E-2</v>
      </c>
      <c r="M82" s="89">
        <f t="shared" si="81"/>
        <v>1.094942552917938E-2</v>
      </c>
      <c r="N82" s="89">
        <f t="shared" si="81"/>
        <v>1.0669736585069804E-2</v>
      </c>
      <c r="O82" s="89">
        <f t="shared" si="81"/>
        <v>1.025202240199129E-2</v>
      </c>
      <c r="P82" s="89">
        <f t="shared" si="81"/>
        <v>1.0066366141629536E-2</v>
      </c>
      <c r="Q82" s="89">
        <f t="shared" si="81"/>
        <v>9.3907579475317714E-3</v>
      </c>
      <c r="R82" s="89">
        <f t="shared" si="81"/>
        <v>9.3385530810799183E-3</v>
      </c>
      <c r="S82" s="89">
        <f t="shared" si="81"/>
        <v>9.2151550119089591E-3</v>
      </c>
      <c r="T82" s="89">
        <f t="shared" ref="T82:Y82" si="82">T52/T$23</f>
        <v>9.2831946555084824E-3</v>
      </c>
      <c r="U82" s="89">
        <f t="shared" si="82"/>
        <v>8.6449749982393121E-3</v>
      </c>
      <c r="V82" s="89">
        <f t="shared" si="82"/>
        <v>8.7679065283360075E-3</v>
      </c>
      <c r="W82" s="89">
        <f t="shared" si="82"/>
        <v>8.6283238826471292E-3</v>
      </c>
      <c r="X82" s="89">
        <f t="shared" si="82"/>
        <v>8.1002310715970905E-3</v>
      </c>
      <c r="Y82" s="89">
        <f t="shared" si="82"/>
        <v>7.0829646588426295E-3</v>
      </c>
    </row>
    <row r="83" spans="1:25" x14ac:dyDescent="0.25">
      <c r="A83" s="88" t="s">
        <v>21</v>
      </c>
      <c r="B83" s="44"/>
      <c r="C83" s="44"/>
      <c r="D83" s="89">
        <f>D53/D$23</f>
        <v>9.3534524364091154E-3</v>
      </c>
      <c r="E83" s="89">
        <f t="shared" ref="E83:S83" si="83">E53/E$23</f>
        <v>9.8565735353664512E-3</v>
      </c>
      <c r="F83" s="89">
        <f t="shared" si="83"/>
        <v>9.1760257055231078E-3</v>
      </c>
      <c r="G83" s="89">
        <f t="shared" si="83"/>
        <v>8.4362818019210837E-3</v>
      </c>
      <c r="H83" s="89">
        <f t="shared" si="83"/>
        <v>7.9352776028316745E-3</v>
      </c>
      <c r="I83" s="89">
        <f t="shared" si="83"/>
        <v>7.4536905662582493E-3</v>
      </c>
      <c r="J83" s="89">
        <f t="shared" si="83"/>
        <v>7.2876407502216866E-3</v>
      </c>
      <c r="K83" s="89">
        <f t="shared" si="83"/>
        <v>6.9848863211131335E-3</v>
      </c>
      <c r="L83" s="89">
        <f t="shared" si="83"/>
        <v>6.1806727364462676E-3</v>
      </c>
      <c r="M83" s="89">
        <f t="shared" si="83"/>
        <v>6.4253460655859049E-3</v>
      </c>
      <c r="N83" s="89">
        <f t="shared" si="83"/>
        <v>6.4293801811985208E-3</v>
      </c>
      <c r="O83" s="89">
        <f t="shared" si="83"/>
        <v>6.2766819582929338E-3</v>
      </c>
      <c r="P83" s="89">
        <f t="shared" si="83"/>
        <v>6.2846457850905075E-3</v>
      </c>
      <c r="Q83" s="89">
        <f t="shared" si="83"/>
        <v>5.986677485810268E-3</v>
      </c>
      <c r="R83" s="89">
        <f t="shared" si="83"/>
        <v>6.1847685733145558E-3</v>
      </c>
      <c r="S83" s="89">
        <f t="shared" si="83"/>
        <v>6.1976102608897864E-3</v>
      </c>
      <c r="T83" s="89">
        <f t="shared" ref="T83:Y83" si="84">T53/T$23</f>
        <v>6.452994440868505E-3</v>
      </c>
      <c r="U83" s="89">
        <f t="shared" si="84"/>
        <v>5.9814799973771822E-3</v>
      </c>
      <c r="V83" s="89">
        <f t="shared" si="84"/>
        <v>6.4171141634586414E-3</v>
      </c>
      <c r="W83" s="89">
        <f t="shared" si="84"/>
        <v>6.4463776282886629E-3</v>
      </c>
      <c r="X83" s="89">
        <f t="shared" si="84"/>
        <v>6.0636182611796515E-3</v>
      </c>
      <c r="Y83" s="89">
        <f t="shared" si="84"/>
        <v>5.2689068280584945E-3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6.9282695640860998E-3</v>
      </c>
      <c r="E84" s="89">
        <f t="shared" ref="E84:S84" si="86">E56/E$23</f>
        <v>6.4563728012356622E-3</v>
      </c>
      <c r="F84" s="89">
        <f t="shared" si="86"/>
        <v>6.2198114783344385E-3</v>
      </c>
      <c r="G84" s="89">
        <f t="shared" si="86"/>
        <v>6.0642410024333172E-3</v>
      </c>
      <c r="H84" s="89">
        <f t="shared" si="86"/>
        <v>5.6210530115229996E-3</v>
      </c>
      <c r="I84" s="89">
        <f t="shared" si="86"/>
        <v>5.2791625588067721E-3</v>
      </c>
      <c r="J84" s="89">
        <f t="shared" si="86"/>
        <v>5.065753149626066E-3</v>
      </c>
      <c r="K84" s="89">
        <f t="shared" si="86"/>
        <v>4.8346895779139733E-3</v>
      </c>
      <c r="L84" s="89">
        <f t="shared" si="86"/>
        <v>4.7684048308250897E-3</v>
      </c>
      <c r="M84" s="89">
        <f t="shared" si="86"/>
        <v>4.5240794635934738E-3</v>
      </c>
      <c r="N84" s="89">
        <f t="shared" si="86"/>
        <v>4.2403564038712843E-3</v>
      </c>
      <c r="O84" s="89">
        <f t="shared" si="86"/>
        <v>3.9753404436983567E-3</v>
      </c>
      <c r="P84" s="89">
        <f t="shared" si="86"/>
        <v>3.7817203565390289E-3</v>
      </c>
      <c r="Q84" s="89">
        <f t="shared" si="86"/>
        <v>3.4040804617215038E-3</v>
      </c>
      <c r="R84" s="89">
        <f t="shared" si="86"/>
        <v>3.1537845077653629E-3</v>
      </c>
      <c r="S84" s="89">
        <f t="shared" si="86"/>
        <v>3.0175447510191731E-3</v>
      </c>
      <c r="T84" s="89">
        <f t="shared" ref="T84:Y84" si="87">T56/T$23</f>
        <v>2.8302002146399774E-3</v>
      </c>
      <c r="U84" s="89">
        <f t="shared" si="87"/>
        <v>2.663495000862129E-3</v>
      </c>
      <c r="V84" s="89">
        <f t="shared" si="87"/>
        <v>2.350792364877367E-3</v>
      </c>
      <c r="W84" s="89">
        <f t="shared" si="87"/>
        <v>2.1819462543584667E-3</v>
      </c>
      <c r="X84" s="89">
        <f t="shared" si="87"/>
        <v>2.0366128104174395E-3</v>
      </c>
      <c r="Y84" s="89">
        <f t="shared" si="87"/>
        <v>1.8140578307841348E-3</v>
      </c>
    </row>
    <row r="85" spans="1:25" x14ac:dyDescent="0.25">
      <c r="A85" s="68" t="s">
        <v>2</v>
      </c>
      <c r="B85" s="44"/>
      <c r="C85" s="44"/>
      <c r="D85" s="89">
        <f t="shared" si="85"/>
        <v>2.0626382296532245E-2</v>
      </c>
      <c r="E85" s="89">
        <f t="shared" ref="E85:S85" si="88">E57/E$23</f>
        <v>2.0133795691624476E-2</v>
      </c>
      <c r="F85" s="89">
        <f t="shared" si="88"/>
        <v>2.0226989020199315E-2</v>
      </c>
      <c r="G85" s="89">
        <f t="shared" si="88"/>
        <v>2.053050528425647E-2</v>
      </c>
      <c r="H85" s="89">
        <f t="shared" si="88"/>
        <v>2.0585539081057095E-2</v>
      </c>
      <c r="I85" s="89">
        <f t="shared" si="88"/>
        <v>1.9491066594477531E-2</v>
      </c>
      <c r="J85" s="89">
        <f t="shared" si="88"/>
        <v>1.8867222138566817E-2</v>
      </c>
      <c r="K85" s="89">
        <f t="shared" si="88"/>
        <v>1.9449954989004543E-2</v>
      </c>
      <c r="L85" s="89">
        <f t="shared" si="88"/>
        <v>1.8031757355149176E-2</v>
      </c>
      <c r="M85" s="89">
        <f t="shared" si="88"/>
        <v>1.9471619310323329E-2</v>
      </c>
      <c r="N85" s="89">
        <f t="shared" si="88"/>
        <v>1.934200319762094E-2</v>
      </c>
      <c r="O85" s="89">
        <f t="shared" si="88"/>
        <v>1.7754446390066712E-2</v>
      </c>
      <c r="P85" s="89">
        <f t="shared" si="88"/>
        <v>1.8981252570109776E-2</v>
      </c>
      <c r="Q85" s="89">
        <f t="shared" si="88"/>
        <v>1.7894549382899975E-2</v>
      </c>
      <c r="R85" s="89">
        <f t="shared" si="88"/>
        <v>1.8523689719281554E-2</v>
      </c>
      <c r="S85" s="89">
        <f t="shared" si="88"/>
        <v>1.8394483804431833E-2</v>
      </c>
      <c r="T85" s="89">
        <f t="shared" ref="T85:Y85" si="89">T57/T$23</f>
        <v>1.8842919341958857E-2</v>
      </c>
      <c r="U85" s="89">
        <f t="shared" si="89"/>
        <v>1.8809908905678154E-2</v>
      </c>
      <c r="V85" s="89">
        <f t="shared" si="89"/>
        <v>1.8153357177236616E-2</v>
      </c>
      <c r="W85" s="89">
        <f t="shared" si="89"/>
        <v>1.8474412707357449E-2</v>
      </c>
      <c r="X85" s="89">
        <f t="shared" si="89"/>
        <v>1.9566051109561989E-2</v>
      </c>
      <c r="Y85" s="89">
        <f t="shared" si="89"/>
        <v>1.9188455363555124E-2</v>
      </c>
    </row>
    <row r="86" spans="1:25" x14ac:dyDescent="0.25">
      <c r="A86" s="68" t="s">
        <v>275</v>
      </c>
      <c r="B86" s="44"/>
      <c r="C86" s="44"/>
      <c r="D86" s="89">
        <f t="shared" si="85"/>
        <v>1.4759359747524981E-2</v>
      </c>
      <c r="E86" s="89">
        <f t="shared" ref="E86:S86" si="90">E58/E$23</f>
        <v>1.5471649094818967E-2</v>
      </c>
      <c r="F86" s="89">
        <f t="shared" si="90"/>
        <v>1.6357521049806922E-2</v>
      </c>
      <c r="G86" s="89">
        <f t="shared" si="90"/>
        <v>1.6862430801403348E-2</v>
      </c>
      <c r="H86" s="89">
        <f t="shared" si="90"/>
        <v>1.7110731551335665E-2</v>
      </c>
      <c r="I86" s="89">
        <f t="shared" si="90"/>
        <v>1.8413099229220131E-2</v>
      </c>
      <c r="J86" s="89">
        <f t="shared" si="90"/>
        <v>1.8933309909819472E-2</v>
      </c>
      <c r="K86" s="89">
        <f t="shared" si="90"/>
        <v>1.9118730843710709E-2</v>
      </c>
      <c r="L86" s="89">
        <f t="shared" si="90"/>
        <v>1.8239824887925526E-2</v>
      </c>
      <c r="M86" s="89">
        <f t="shared" si="90"/>
        <v>1.5053122479750342E-2</v>
      </c>
      <c r="N86" s="89">
        <f t="shared" si="90"/>
        <v>1.4644952177928831E-2</v>
      </c>
      <c r="O86" s="89">
        <f t="shared" si="90"/>
        <v>1.5298620859321866E-2</v>
      </c>
      <c r="P86" s="89">
        <f t="shared" si="90"/>
        <v>1.5659771425105152E-2</v>
      </c>
      <c r="Q86" s="89">
        <f t="shared" si="90"/>
        <v>1.5768255052764114E-2</v>
      </c>
      <c r="R86" s="89">
        <f t="shared" si="90"/>
        <v>1.5805258012140087E-2</v>
      </c>
      <c r="S86" s="89">
        <f t="shared" si="90"/>
        <v>1.4919666216884765E-2</v>
      </c>
      <c r="T86" s="89">
        <f t="shared" ref="T86:Y86" si="91">T58/T$23</f>
        <v>1.6037174164068843E-2</v>
      </c>
      <c r="U86" s="89">
        <f t="shared" si="91"/>
        <v>1.5372318594558624E-2</v>
      </c>
      <c r="V86" s="89">
        <f t="shared" si="91"/>
        <v>1.7008605822982113E-2</v>
      </c>
      <c r="W86" s="89">
        <f t="shared" si="91"/>
        <v>1.6708625365406966E-2</v>
      </c>
      <c r="X86" s="89">
        <f t="shared" si="91"/>
        <v>1.6299630735945047E-2</v>
      </c>
      <c r="Y86" s="89">
        <f t="shared" si="91"/>
        <v>1.6856252953879339E-2</v>
      </c>
    </row>
    <row r="87" spans="1:25" x14ac:dyDescent="0.25">
      <c r="A87" s="68" t="s">
        <v>276</v>
      </c>
      <c r="B87" s="44"/>
      <c r="C87" s="44"/>
      <c r="D87" s="89">
        <f t="shared" si="85"/>
        <v>6.6448856602079054E-2</v>
      </c>
      <c r="E87" s="89">
        <f t="shared" ref="E87:S87" si="92">E59/E$23</f>
        <v>6.8356669437163009E-2</v>
      </c>
      <c r="F87" s="89">
        <f t="shared" si="92"/>
        <v>6.7139469858178813E-2</v>
      </c>
      <c r="G87" s="89">
        <f t="shared" si="92"/>
        <v>6.633994008136157E-2</v>
      </c>
      <c r="H87" s="89">
        <f t="shared" si="92"/>
        <v>6.6044480683096526E-2</v>
      </c>
      <c r="I87" s="89">
        <f t="shared" si="92"/>
        <v>6.6246074937103813E-2</v>
      </c>
      <c r="J87" s="89">
        <f t="shared" si="92"/>
        <v>7.0086499690474993E-2</v>
      </c>
      <c r="K87" s="89">
        <f t="shared" si="92"/>
        <v>7.0782599849293013E-2</v>
      </c>
      <c r="L87" s="89">
        <f t="shared" si="92"/>
        <v>7.134468025431491E-2</v>
      </c>
      <c r="M87" s="89">
        <f t="shared" si="92"/>
        <v>6.7887685013110169E-2</v>
      </c>
      <c r="N87" s="89">
        <f t="shared" si="92"/>
        <v>6.7035107450305068E-2</v>
      </c>
      <c r="O87" s="89">
        <f t="shared" si="92"/>
        <v>7.0119101026034358E-2</v>
      </c>
      <c r="P87" s="89">
        <f t="shared" si="92"/>
        <v>7.1654131466889939E-2</v>
      </c>
      <c r="Q87" s="89">
        <f t="shared" si="92"/>
        <v>7.1408080126337287E-2</v>
      </c>
      <c r="R87" s="89">
        <f t="shared" si="92"/>
        <v>6.9718352980282616E-2</v>
      </c>
      <c r="S87" s="89">
        <f t="shared" si="92"/>
        <v>7.0135035534724235E-2</v>
      </c>
      <c r="T87" s="89">
        <f t="shared" ref="T87:Y87" si="93">T59/T$23</f>
        <v>7.1588357772171235E-2</v>
      </c>
      <c r="U87" s="89">
        <f t="shared" si="93"/>
        <v>7.2778012536094089E-2</v>
      </c>
      <c r="V87" s="89">
        <f t="shared" si="93"/>
        <v>7.2885891731095845E-2</v>
      </c>
      <c r="W87" s="89">
        <f t="shared" si="93"/>
        <v>7.0914098545416124E-2</v>
      </c>
      <c r="X87" s="89">
        <f t="shared" si="93"/>
        <v>6.7538784719611764E-2</v>
      </c>
      <c r="Y87" s="89">
        <f t="shared" si="93"/>
        <v>7.0264598613149348E-2</v>
      </c>
    </row>
    <row r="88" spans="1:25" x14ac:dyDescent="0.25">
      <c r="A88" s="68" t="s">
        <v>1</v>
      </c>
      <c r="B88" s="44"/>
      <c r="C88" s="44"/>
      <c r="D88" s="89">
        <f t="shared" si="85"/>
        <v>8.4207301463398269E-3</v>
      </c>
      <c r="E88" s="89">
        <f t="shared" ref="E88:S88" si="94">E60/E$23</f>
        <v>7.5721825929613157E-3</v>
      </c>
      <c r="F88" s="89">
        <f t="shared" si="94"/>
        <v>6.7816997391691959E-3</v>
      </c>
      <c r="G88" s="89">
        <f t="shared" si="94"/>
        <v>5.8572423240402672E-3</v>
      </c>
      <c r="H88" s="89">
        <f t="shared" si="94"/>
        <v>6.0301261046477456E-3</v>
      </c>
      <c r="I88" s="89">
        <f t="shared" si="94"/>
        <v>5.4088728002935965E-3</v>
      </c>
      <c r="J88" s="89">
        <f t="shared" si="94"/>
        <v>5.2246984222590305E-3</v>
      </c>
      <c r="K88" s="89">
        <f t="shared" si="94"/>
        <v>4.7380825355366049E-3</v>
      </c>
      <c r="L88" s="89">
        <f t="shared" si="94"/>
        <v>4.2505224552883457E-3</v>
      </c>
      <c r="M88" s="89">
        <f t="shared" si="94"/>
        <v>3.9805821460157167E-3</v>
      </c>
      <c r="N88" s="89">
        <f t="shared" si="94"/>
        <v>4.157665850508376E-3</v>
      </c>
      <c r="O88" s="89">
        <f t="shared" si="94"/>
        <v>3.9782347578182662E-3</v>
      </c>
      <c r="P88" s="89">
        <f t="shared" si="94"/>
        <v>3.6265439174009923E-3</v>
      </c>
      <c r="Q88" s="89">
        <f t="shared" si="94"/>
        <v>3.4702564788399587E-3</v>
      </c>
      <c r="R88" s="89">
        <f t="shared" si="94"/>
        <v>3.4781122510431309E-3</v>
      </c>
      <c r="S88" s="89">
        <f t="shared" si="94"/>
        <v>3.5158548933893132E-3</v>
      </c>
      <c r="T88" s="89">
        <f t="shared" ref="T88:Y88" si="95">T60/T$23</f>
        <v>3.223361959312462E-3</v>
      </c>
      <c r="U88" s="89">
        <f t="shared" si="95"/>
        <v>2.8225639979503167E-3</v>
      </c>
      <c r="V88" s="89">
        <f t="shared" si="95"/>
        <v>2.9172133597508212E-3</v>
      </c>
      <c r="W88" s="89">
        <f t="shared" si="95"/>
        <v>2.7465924699749938E-3</v>
      </c>
      <c r="X88" s="89">
        <f t="shared" si="95"/>
        <v>2.6076366837203494E-3</v>
      </c>
      <c r="Y88" s="89">
        <f t="shared" si="95"/>
        <v>2.5107112182715767E-3</v>
      </c>
    </row>
    <row r="89" spans="1:25" x14ac:dyDescent="0.25">
      <c r="A89" s="68" t="s">
        <v>0</v>
      </c>
      <c r="B89" s="44"/>
      <c r="C89" s="44"/>
      <c r="D89" s="89">
        <f t="shared" si="85"/>
        <v>8.9337798649493667E-3</v>
      </c>
      <c r="E89" s="89">
        <f t="shared" ref="E89:S89" si="96">E61/E$23</f>
        <v>8.9630123515424959E-3</v>
      </c>
      <c r="F89" s="89">
        <f t="shared" si="96"/>
        <v>8.6892535534367089E-3</v>
      </c>
      <c r="G89" s="89">
        <f t="shared" si="96"/>
        <v>8.6476231099307729E-3</v>
      </c>
      <c r="H89" s="89">
        <f t="shared" si="96"/>
        <v>8.6516182681677743E-3</v>
      </c>
      <c r="I89" s="89">
        <f t="shared" si="96"/>
        <v>8.0615136432596497E-3</v>
      </c>
      <c r="J89" s="89">
        <f t="shared" si="96"/>
        <v>8.8515785775234637E-3</v>
      </c>
      <c r="K89" s="89">
        <f t="shared" si="96"/>
        <v>9.212763012672872E-3</v>
      </c>
      <c r="L89" s="89">
        <f t="shared" si="96"/>
        <v>8.0948178227752392E-3</v>
      </c>
      <c r="M89" s="89">
        <f t="shared" si="96"/>
        <v>7.3755897627702377E-3</v>
      </c>
      <c r="N89" s="89">
        <f t="shared" si="96"/>
        <v>7.7755672173680512E-3</v>
      </c>
      <c r="O89" s="89">
        <f t="shared" si="96"/>
        <v>7.5393264931042968E-3</v>
      </c>
      <c r="P89" s="89">
        <f t="shared" si="96"/>
        <v>7.1765576364089083E-3</v>
      </c>
      <c r="Q89" s="89">
        <f t="shared" si="96"/>
        <v>7.1314186405713742E-3</v>
      </c>
      <c r="R89" s="89">
        <f t="shared" si="96"/>
        <v>7.055474174562342E-3</v>
      </c>
      <c r="S89" s="89">
        <f t="shared" si="96"/>
        <v>7.4632528839292372E-3</v>
      </c>
      <c r="T89" s="89">
        <f t="shared" ref="T89:Y89" si="97">T61/T$23</f>
        <v>7.6550535549628519E-3</v>
      </c>
      <c r="U89" s="89">
        <f t="shared" si="97"/>
        <v>7.4665287259180471E-3</v>
      </c>
      <c r="V89" s="89">
        <f t="shared" si="97"/>
        <v>7.8421712920992408E-3</v>
      </c>
      <c r="W89" s="89">
        <f t="shared" si="97"/>
        <v>8.105659845736626E-3</v>
      </c>
      <c r="X89" s="89">
        <f t="shared" si="97"/>
        <v>8.3921787281320825E-3</v>
      </c>
      <c r="Y89" s="89">
        <f t="shared" si="97"/>
        <v>9.5862265141588941E-3</v>
      </c>
    </row>
    <row r="90" spans="1:25" x14ac:dyDescent="0.25">
      <c r="A90" s="90" t="s">
        <v>278</v>
      </c>
      <c r="B90" s="47"/>
      <c r="C90" s="47"/>
      <c r="D90" s="91">
        <f t="shared" si="85"/>
        <v>2.0502054297237296E-2</v>
      </c>
      <c r="E90" s="91">
        <f t="shared" ref="E90:S90" si="98">E62/E$23</f>
        <v>2.0393085734176458E-2</v>
      </c>
      <c r="F90" s="91">
        <f t="shared" si="98"/>
        <v>2.0574401023160469E-2</v>
      </c>
      <c r="G90" s="91">
        <f t="shared" si="98"/>
        <v>1.8517937714145921E-2</v>
      </c>
      <c r="H90" s="91">
        <f t="shared" si="98"/>
        <v>1.8479090302885307E-2</v>
      </c>
      <c r="I90" s="91">
        <f t="shared" si="98"/>
        <v>1.7867696439077579E-2</v>
      </c>
      <c r="J90" s="91">
        <f t="shared" si="98"/>
        <v>1.8324298549415249E-2</v>
      </c>
      <c r="K90" s="91">
        <f t="shared" si="98"/>
        <v>1.8717318724771267E-2</v>
      </c>
      <c r="L90" s="91">
        <f t="shared" si="98"/>
        <v>1.7662494645881256E-2</v>
      </c>
      <c r="M90" s="91">
        <f t="shared" si="98"/>
        <v>1.6383619497333159E-2</v>
      </c>
      <c r="N90" s="91">
        <f t="shared" si="98"/>
        <v>1.6808182571638283E-2</v>
      </c>
      <c r="O90" s="91">
        <f t="shared" si="98"/>
        <v>1.704316869509848E-2</v>
      </c>
      <c r="P90" s="91">
        <f t="shared" si="98"/>
        <v>1.6540750390938826E-2</v>
      </c>
      <c r="Q90" s="91">
        <f t="shared" si="98"/>
        <v>1.6811826589731561E-2</v>
      </c>
      <c r="R90" s="91">
        <f t="shared" si="98"/>
        <v>1.725262103245229E-2</v>
      </c>
      <c r="S90" s="91">
        <f t="shared" si="98"/>
        <v>1.6303535363898308E-2</v>
      </c>
      <c r="T90" s="91">
        <f t="shared" ref="T90:Y90" si="99">T62/T$23</f>
        <v>1.6509344489010438E-2</v>
      </c>
      <c r="U90" s="91">
        <f t="shared" si="99"/>
        <v>1.6314893472342634E-2</v>
      </c>
      <c r="V90" s="91">
        <f t="shared" si="99"/>
        <v>1.5556534769970624E-2</v>
      </c>
      <c r="W90" s="91">
        <f t="shared" si="99"/>
        <v>1.524544782164618E-2</v>
      </c>
      <c r="X90" s="91">
        <f t="shared" si="99"/>
        <v>1.4656474436589293E-2</v>
      </c>
      <c r="Y90" s="91">
        <f t="shared" si="99"/>
        <v>1.4770155424060507E-2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1.2670068447953042E-2</v>
      </c>
      <c r="F93" s="92">
        <f t="shared" ref="F93:F94" si="101">IF(E16=0,"",F16/E16-1)</f>
        <v>1.6508263094377362E-2</v>
      </c>
      <c r="G93" s="92">
        <f t="shared" ref="G93:G94" si="102">IF(F16=0,"",G16/F16-1)</f>
        <v>9.4128676793814314E-3</v>
      </c>
      <c r="H93" s="92">
        <f t="shared" ref="H93:H94" si="103">IF(G16=0,"",H16/G16-1)</f>
        <v>2.7352280042826971E-2</v>
      </c>
      <c r="I93" s="92">
        <f t="shared" ref="I93:I94" si="104">IF(H16=0,"",I16/H16-1)</f>
        <v>2.2442105041003524E-2</v>
      </c>
      <c r="J93" s="92">
        <f t="shared" ref="J93:J94" si="105">IF(I16=0,"",J16/I16-1)</f>
        <v>3.4545847277043462E-2</v>
      </c>
      <c r="K93" s="92">
        <f t="shared" ref="K93:K94" si="106">IF(J16=0,"",K16/J16-1)</f>
        <v>3.7266384434401445E-2</v>
      </c>
      <c r="L93" s="92">
        <f t="shared" ref="L93:L94" si="107">IF(K16=0,"",L16/K16-1)</f>
        <v>1.4605738870546281E-2</v>
      </c>
      <c r="M93" s="92">
        <f t="shared" ref="M93:M94" si="108">IF(L16=0,"",M16/L16-1)</f>
        <v>-3.764450975505973E-2</v>
      </c>
      <c r="N93" s="92">
        <f t="shared" ref="N93:N94" si="109">IF(M16=0,"",N16/M16-1)</f>
        <v>1.8371005690932529E-2</v>
      </c>
      <c r="O93" s="92">
        <f t="shared" ref="O93:O94" si="110">IF(N16=0,"",O16/N16-1)</f>
        <v>2.9225953764201007E-2</v>
      </c>
      <c r="P93" s="92">
        <f t="shared" ref="P93:P94" si="111">IF(O16=0,"",P16/O16-1)</f>
        <v>6.8036674715981071E-3</v>
      </c>
      <c r="Q93" s="92">
        <f t="shared" ref="Q93:Q94" si="112">IF(P16=0,"",Q16/P16-1)</f>
        <v>2.6295637083606493E-4</v>
      </c>
      <c r="R93" s="92">
        <f t="shared" ref="R93:R94" si="113">IF(Q16=0,"",R16/Q16-1)</f>
        <v>6.6074370950135464E-3</v>
      </c>
      <c r="S93" s="92">
        <f t="shared" ref="S93:S94" si="114">IF(R16=0,"",S16/R16-1)</f>
        <v>1.0147156733937512E-2</v>
      </c>
      <c r="T93" s="92">
        <f t="shared" ref="T93:T94" si="115">IF(S16=0,"",T16/S16-1)</f>
        <v>1.9897554174852283E-2</v>
      </c>
      <c r="U93" s="92">
        <f t="shared" ref="U93:U94" si="116">IF(T16=0,"",U16/T16-1)</f>
        <v>2.2586821769272181E-2</v>
      </c>
      <c r="V93" s="92">
        <f t="shared" ref="V93:V94" si="117">IF(U16=0,"",V16/U16-1)</f>
        <v>2.4252366241493073E-2</v>
      </c>
      <c r="W93" s="92">
        <f t="shared" ref="W93:W94" si="118">IF(V16=0,"",W16/V16-1)</f>
        <v>1.4500138608063429E-2</v>
      </c>
      <c r="X93" s="92">
        <f t="shared" ref="X93:X94" si="119">IF(W16=0,"",X16/W16-1)</f>
        <v>-6.6331135942621633E-2</v>
      </c>
      <c r="Y93" s="92">
        <f t="shared" ref="Y93:Y94" si="120">IF(X16=0,"",Y16/X16-1)</f>
        <v>4.2382643725306757E-2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1.2814851262582305E-2</v>
      </c>
      <c r="F94" s="93">
        <f t="shared" si="101"/>
        <v>6.8151793048647491E-3</v>
      </c>
      <c r="G94" s="93">
        <f t="shared" si="102"/>
        <v>1.7426700052773469E-2</v>
      </c>
      <c r="H94" s="93">
        <f t="shared" si="103"/>
        <v>2.3211951117119822E-2</v>
      </c>
      <c r="I94" s="93">
        <f t="shared" si="104"/>
        <v>2.2488709097588933E-2</v>
      </c>
      <c r="J94" s="93">
        <f t="shared" si="105"/>
        <v>2.0926966587059725E-2</v>
      </c>
      <c r="K94" s="93">
        <f t="shared" si="106"/>
        <v>1.1031893356835631E-2</v>
      </c>
      <c r="L94" s="93">
        <f t="shared" si="107"/>
        <v>9.4576714072724943E-3</v>
      </c>
      <c r="M94" s="93">
        <f t="shared" si="108"/>
        <v>8.5160104476640353E-3</v>
      </c>
      <c r="N94" s="93">
        <f t="shared" si="109"/>
        <v>9.9352631566393956E-3</v>
      </c>
      <c r="O94" s="93">
        <f t="shared" si="110"/>
        <v>1.3452735928742632E-2</v>
      </c>
      <c r="P94" s="93">
        <f t="shared" si="111"/>
        <v>5.2257470079672963E-3</v>
      </c>
      <c r="Q94" s="93">
        <f t="shared" si="112"/>
        <v>-7.9868757437118187E-4</v>
      </c>
      <c r="R94" s="93">
        <f t="shared" si="113"/>
        <v>3.044962580448507E-3</v>
      </c>
      <c r="S94" s="93">
        <f t="shared" si="114"/>
        <v>4.8751579025478886E-3</v>
      </c>
      <c r="T94" s="93">
        <f t="shared" si="115"/>
        <v>1.5456672026539664E-2</v>
      </c>
      <c r="U94" s="93">
        <f t="shared" si="116"/>
        <v>1.9559189730727011E-2</v>
      </c>
      <c r="V94" s="93">
        <f t="shared" si="117"/>
        <v>1.1073194425361477E-2</v>
      </c>
      <c r="W94" s="93">
        <f t="shared" si="118"/>
        <v>5.4842432653459117E-3</v>
      </c>
      <c r="X94" s="93">
        <f t="shared" si="119"/>
        <v>-8.529077400529006E-2</v>
      </c>
      <c r="Y94" s="93">
        <f t="shared" si="120"/>
        <v>4.2163961017337659E-2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1.0301558488643447E-2</v>
      </c>
      <c r="F95" s="92">
        <f t="shared" ref="F95:F96" si="122">IF(E20=0,"",F20/E20-1)</f>
        <v>1.1126226720661325E-2</v>
      </c>
      <c r="G95" s="92">
        <f t="shared" ref="G95:G96" si="123">IF(F20=0,"",G20/F20-1)</f>
        <v>4.8478583788680307E-3</v>
      </c>
      <c r="H95" s="92">
        <f t="shared" ref="H95:H96" si="124">IF(G20=0,"",H20/G20-1)</f>
        <v>2.2015269070274179E-2</v>
      </c>
      <c r="I95" s="92">
        <f t="shared" ref="I95:I96" si="125">IF(H20=0,"",I20/H20-1)</f>
        <v>1.5113407249949695E-2</v>
      </c>
      <c r="J95" s="92">
        <f t="shared" ref="J95:J96" si="126">IF(I20=0,"",J20/I20-1)</f>
        <v>2.7910779993429724E-2</v>
      </c>
      <c r="K95" s="92">
        <f t="shared" ref="K95:K96" si="127">IF(J20=0,"",K20/J20-1)</f>
        <v>3.367407718089388E-2</v>
      </c>
      <c r="L95" s="92">
        <f t="shared" ref="L95:L96" si="128">IF(K20=0,"",L20/K20-1)</f>
        <v>1.1552025571159641E-2</v>
      </c>
      <c r="M95" s="92">
        <f t="shared" ref="M95:M96" si="129">IF(L20=0,"",M20/L20-1)</f>
        <v>-4.0763533373104677E-2</v>
      </c>
      <c r="N95" s="92">
        <f t="shared" ref="N95:N96" si="130">IF(M20=0,"",N20/M20-1)</f>
        <v>1.6341980559626323E-2</v>
      </c>
      <c r="O95" s="92">
        <f t="shared" ref="O95:O96" si="131">IF(N20=0,"",O20/N20-1)</f>
        <v>2.6335452317484576E-2</v>
      </c>
      <c r="P95" s="92">
        <f t="shared" ref="P95:P96" si="132">IF(O20=0,"",P20/O20-1)</f>
        <v>2.8573364817301439E-3</v>
      </c>
      <c r="Q95" s="92">
        <f t="shared" ref="Q95:Q96" si="133">IF(P20=0,"",Q20/P20-1)</f>
        <v>-4.9134783368737223E-3</v>
      </c>
      <c r="R95" s="92">
        <f t="shared" ref="R95:R96" si="134">IF(Q20=0,"",R20/Q20-1)</f>
        <v>-9.5050244727223898E-6</v>
      </c>
      <c r="S95" s="92">
        <f t="shared" ref="S95:S96" si="135">IF(R20=0,"",S20/R20-1)</f>
        <v>1.070462110075221E-3</v>
      </c>
      <c r="T95" s="92">
        <f t="shared" ref="T95:T96" si="136">IF(S20=0,"",T20/S20-1)</f>
        <v>6.3529928635011057E-3</v>
      </c>
      <c r="U95" s="92">
        <f t="shared" ref="U95:U96" si="137">IF(T20=0,"",U20/T20-1)</f>
        <v>1.4148398246835114E-2</v>
      </c>
      <c r="V95" s="92">
        <f t="shared" ref="V95:V96" si="138">IF(U20=0,"",V20/U20-1)</f>
        <v>1.8516865899340207E-2</v>
      </c>
      <c r="W95" s="92">
        <f t="shared" ref="W95:W96" si="139">IF(V20=0,"",W20/V20-1)</f>
        <v>1.0319270366088151E-2</v>
      </c>
      <c r="X95" s="92">
        <f t="shared" ref="X95:X96" si="140">IF(W20=0,"",X20/W20-1)</f>
        <v>-7.0767001429278387E-2</v>
      </c>
      <c r="Y95" s="92">
        <f t="shared" ref="Y95:Y96" si="141">IF(X20=0,"",Y20/X20-1)</f>
        <v>3.8695133309408547E-2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1.0446002674188382E-2</v>
      </c>
      <c r="F96" s="93">
        <f t="shared" si="122"/>
        <v>1.4844642350895221E-3</v>
      </c>
      <c r="G96" s="93">
        <f t="shared" si="123"/>
        <v>1.2825448674822049E-2</v>
      </c>
      <c r="H96" s="93">
        <f t="shared" si="124"/>
        <v>1.789644881431518E-2</v>
      </c>
      <c r="I96" s="93">
        <f t="shared" si="125"/>
        <v>1.5159677256279425E-2</v>
      </c>
      <c r="J96" s="93">
        <f t="shared" si="126"/>
        <v>1.4379244093377874E-2</v>
      </c>
      <c r="K96" s="93">
        <f t="shared" si="127"/>
        <v>7.5304425641220529E-3</v>
      </c>
      <c r="L96" s="93">
        <f t="shared" si="128"/>
        <v>6.4194525225893528E-3</v>
      </c>
      <c r="M96" s="93">
        <f t="shared" si="129"/>
        <v>5.2473791698790517E-3</v>
      </c>
      <c r="N96" s="93">
        <f t="shared" si="130"/>
        <v>7.9230455871233119E-3</v>
      </c>
      <c r="O96" s="93">
        <f t="shared" si="131"/>
        <v>1.060653234374076E-2</v>
      </c>
      <c r="P96" s="93">
        <f t="shared" si="132"/>
        <v>1.2856009344102137E-3</v>
      </c>
      <c r="Q96" s="93">
        <f t="shared" si="133"/>
        <v>-5.969628196220822E-3</v>
      </c>
      <c r="R96" s="93">
        <f t="shared" si="134"/>
        <v>-3.5485615840372686E-3</v>
      </c>
      <c r="S96" s="93">
        <f t="shared" si="135"/>
        <v>-4.1541650852801038E-3</v>
      </c>
      <c r="T96" s="93">
        <f t="shared" si="136"/>
        <v>1.9710870312783513E-3</v>
      </c>
      <c r="U96" s="93">
        <f t="shared" si="137"/>
        <v>1.1145750337625104E-2</v>
      </c>
      <c r="V96" s="93">
        <f t="shared" si="138"/>
        <v>5.4114934191460407E-3</v>
      </c>
      <c r="W96" s="93">
        <f t="shared" si="139"/>
        <v>1.3405305338305418E-3</v>
      </c>
      <c r="X96" s="93">
        <f t="shared" si="140"/>
        <v>-8.9636562155795629E-2</v>
      </c>
      <c r="Y96" s="93">
        <f t="shared" si="141"/>
        <v>3.8477224208682381E-2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1.3947923332416234E-2</v>
      </c>
      <c r="F97" s="89">
        <f t="shared" ref="F97:F106" si="143">IF(E23=0,"",F23/E23-1)</f>
        <v>1.5955620003804682E-2</v>
      </c>
      <c r="G97" s="89">
        <f t="shared" ref="G97:G106" si="144">IF(F23=0,"",G23/F23-1)</f>
        <v>1.1133017554928903E-2</v>
      </c>
      <c r="H97" s="89">
        <f t="shared" ref="H97:H106" si="145">IF(G23=0,"",H23/G23-1)</f>
        <v>2.9215582578478783E-2</v>
      </c>
      <c r="I97" s="89">
        <f t="shared" ref="I97:I106" si="146">IF(H23=0,"",I23/H23-1)</f>
        <v>2.3378828187870182E-2</v>
      </c>
      <c r="J97" s="89">
        <f t="shared" ref="J97:J106" si="147">IF(I23=0,"",J23/I23-1)</f>
        <v>3.7668310108629921E-2</v>
      </c>
      <c r="K97" s="89">
        <f t="shared" ref="K97:K106" si="148">IF(J23=0,"",K23/J23-1)</f>
        <v>3.8640184831225888E-2</v>
      </c>
      <c r="L97" s="89">
        <f t="shared" ref="L97:L106" si="149">IF(K23=0,"",L23/K23-1)</f>
        <v>1.6332278062901828E-2</v>
      </c>
      <c r="M97" s="89">
        <f t="shared" ref="M97:M106" si="150">IF(L23=0,"",M23/L23-1)</f>
        <v>-4.1912085527313847E-2</v>
      </c>
      <c r="N97" s="89">
        <f t="shared" ref="N97:N106" si="151">IF(M23=0,"",N23/M23-1)</f>
        <v>1.9159027289858965E-2</v>
      </c>
      <c r="O97" s="89">
        <f t="shared" ref="O97:O106" si="152">IF(N23=0,"",O23/N23-1)</f>
        <v>3.2648289996367152E-2</v>
      </c>
      <c r="P97" s="89">
        <f t="shared" ref="P97:P106" si="153">IF(O23=0,"",P23/O23-1)</f>
        <v>5.2860911799545995E-3</v>
      </c>
      <c r="Q97" s="89">
        <f t="shared" ref="Q97:Q106" si="154">IF(P23=0,"",Q23/P23-1)</f>
        <v>1.4244315657654383E-3</v>
      </c>
      <c r="R97" s="89">
        <f t="shared" ref="R97:R106" si="155">IF(Q23=0,"",R23/Q23-1)</f>
        <v>6.8209072227374268E-3</v>
      </c>
      <c r="S97" s="89">
        <f t="shared" ref="S97:S106" si="156">IF(R23=0,"",S23/R23-1)</f>
        <v>8.4523182637565863E-3</v>
      </c>
      <c r="T97" s="89">
        <f t="shared" ref="T97:T106" si="157">IF(S23=0,"",T23/S23-1)</f>
        <v>1.9527052883182794E-2</v>
      </c>
      <c r="U97" s="89">
        <f t="shared" ref="U97:U106" si="158">IF(T23=0,"",U23/T23-1)</f>
        <v>2.3157623813809369E-2</v>
      </c>
      <c r="V97" s="89">
        <f t="shared" ref="V97:V106" si="159">IF(U23=0,"",V23/U23-1)</f>
        <v>2.6192803881561311E-2</v>
      </c>
      <c r="W97" s="89">
        <f t="shared" ref="W97:W106" si="160">IF(V23=0,"",W23/V23-1)</f>
        <v>1.3962640513775826E-2</v>
      </c>
      <c r="X97" s="89">
        <f t="shared" ref="X97:X106" si="161">IF(W23=0,"",X23/W23-1)</f>
        <v>-6.5017831244736812E-2</v>
      </c>
      <c r="Y97" s="89">
        <f t="shared" ref="Y97:Y106" si="162">IF(X23=0,"",Y23/X23-1)</f>
        <v>3.4735266427765144E-2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2.6910832401976004E-2</v>
      </c>
      <c r="F98" s="83">
        <f t="shared" si="143"/>
        <v>-4.837797073994321E-2</v>
      </c>
      <c r="G98" s="83">
        <f t="shared" si="144"/>
        <v>-3.6205219710017666E-2</v>
      </c>
      <c r="H98" s="83">
        <f t="shared" si="145"/>
        <v>2.1018617398119055E-2</v>
      </c>
      <c r="I98" s="83">
        <f t="shared" si="146"/>
        <v>-0.12450705936110806</v>
      </c>
      <c r="J98" s="83">
        <f t="shared" si="147"/>
        <v>6.9438583035443591E-2</v>
      </c>
      <c r="K98" s="83">
        <f t="shared" si="148"/>
        <v>0.1283522748714494</v>
      </c>
      <c r="L98" s="83">
        <f t="shared" si="149"/>
        <v>-3.7154084657255115E-2</v>
      </c>
      <c r="M98" s="83">
        <f t="shared" si="150"/>
        <v>-0.17936669370665226</v>
      </c>
      <c r="N98" s="83">
        <f t="shared" si="151"/>
        <v>0.12642275016979232</v>
      </c>
      <c r="O98" s="83">
        <f t="shared" si="152"/>
        <v>0.141923481385686</v>
      </c>
      <c r="P98" s="83">
        <f t="shared" si="153"/>
        <v>-3.1425344790094289E-2</v>
      </c>
      <c r="Q98" s="83">
        <f t="shared" si="154"/>
        <v>-6.9531147757960987E-2</v>
      </c>
      <c r="R98" s="83">
        <f t="shared" si="155"/>
        <v>-3.7726185697188441E-2</v>
      </c>
      <c r="S98" s="83">
        <f t="shared" si="156"/>
        <v>-5.0776091195440243E-2</v>
      </c>
      <c r="T98" s="83">
        <f t="shared" si="157"/>
        <v>1.9049858448116908E-3</v>
      </c>
      <c r="U98" s="83">
        <f t="shared" si="158"/>
        <v>0.11558009036664108</v>
      </c>
      <c r="V98" s="83">
        <f t="shared" si="159"/>
        <v>-4.3415077469003416E-2</v>
      </c>
      <c r="W98" s="83">
        <f t="shared" si="160"/>
        <v>-5.6259165789384169E-2</v>
      </c>
      <c r="X98" s="83">
        <f t="shared" si="161"/>
        <v>-5.5141768233751942E-2</v>
      </c>
      <c r="Y98" s="83">
        <f t="shared" si="162"/>
        <v>0.18466112782747302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9.8276939117580175E-2</v>
      </c>
      <c r="F99" s="83">
        <f t="shared" si="143"/>
        <v>1.0688483664116122E-2</v>
      </c>
      <c r="G99" s="83">
        <f t="shared" si="144"/>
        <v>9.0925126767411601E-3</v>
      </c>
      <c r="H99" s="83">
        <f t="shared" si="145"/>
        <v>9.3149391826263139E-2</v>
      </c>
      <c r="I99" s="83">
        <f t="shared" si="146"/>
        <v>6.0173116665467541E-2</v>
      </c>
      <c r="J99" s="83">
        <f t="shared" si="147"/>
        <v>4.8513807734430037E-2</v>
      </c>
      <c r="K99" s="83">
        <f t="shared" si="148"/>
        <v>-8.871223417372831E-2</v>
      </c>
      <c r="L99" s="83">
        <f t="shared" si="149"/>
        <v>0.34216130327439775</v>
      </c>
      <c r="M99" s="83">
        <f t="shared" si="150"/>
        <v>-0.2154868009228823</v>
      </c>
      <c r="N99" s="83">
        <f t="shared" si="151"/>
        <v>8.6065437318405991E-2</v>
      </c>
      <c r="O99" s="83">
        <f t="shared" si="152"/>
        <v>0.25459992130912901</v>
      </c>
      <c r="P99" s="83">
        <f t="shared" si="153"/>
        <v>-1.1866144945626544E-2</v>
      </c>
      <c r="Q99" s="83">
        <f t="shared" si="154"/>
        <v>-3.8005137110434739E-2</v>
      </c>
      <c r="R99" s="83">
        <f t="shared" si="155"/>
        <v>-7.2369033978838093E-2</v>
      </c>
      <c r="S99" s="83">
        <f t="shared" si="156"/>
        <v>-0.2004792921869426</v>
      </c>
      <c r="T99" s="83">
        <f t="shared" si="157"/>
        <v>-0.17195729435927509</v>
      </c>
      <c r="U99" s="83">
        <f t="shared" si="158"/>
        <v>0.21530348512469</v>
      </c>
      <c r="V99" s="83">
        <f t="shared" si="159"/>
        <v>-4.3777803815036931E-2</v>
      </c>
      <c r="W99" s="83">
        <f t="shared" si="160"/>
        <v>-0.10580286811496287</v>
      </c>
      <c r="X99" s="83">
        <f t="shared" si="161"/>
        <v>-0.19105716994202793</v>
      </c>
      <c r="Y99" s="83">
        <f t="shared" si="162"/>
        <v>0.16641672711365096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1.6103505683697339E-2</v>
      </c>
      <c r="F100" s="83">
        <f t="shared" si="143"/>
        <v>3.0401278235823614E-2</v>
      </c>
      <c r="G100" s="83">
        <f t="shared" si="144"/>
        <v>1.221211483058493E-2</v>
      </c>
      <c r="H100" s="83">
        <f t="shared" si="145"/>
        <v>3.0408107741562107E-2</v>
      </c>
      <c r="I100" s="83">
        <f t="shared" si="146"/>
        <v>3.0206179082883367E-2</v>
      </c>
      <c r="J100" s="83">
        <f t="shared" si="147"/>
        <v>3.5298459351138733E-2</v>
      </c>
      <c r="K100" s="83">
        <f t="shared" si="148"/>
        <v>3.3541879531155727E-2</v>
      </c>
      <c r="L100" s="83">
        <f t="shared" si="149"/>
        <v>2.7948913941445053E-2</v>
      </c>
      <c r="M100" s="83">
        <f t="shared" si="150"/>
        <v>-2.2145456742675873E-2</v>
      </c>
      <c r="N100" s="83">
        <f t="shared" si="151"/>
        <v>2.3723756067812518E-2</v>
      </c>
      <c r="O100" s="83">
        <f t="shared" si="152"/>
        <v>3.1587415129918694E-2</v>
      </c>
      <c r="P100" s="83">
        <f t="shared" si="153"/>
        <v>4.038304773968493E-3</v>
      </c>
      <c r="Q100" s="83">
        <f t="shared" si="154"/>
        <v>5.6529524266029085E-3</v>
      </c>
      <c r="R100" s="83">
        <f t="shared" si="155"/>
        <v>1.0725554800136816E-2</v>
      </c>
      <c r="S100" s="83">
        <f t="shared" si="156"/>
        <v>1.142194962012355E-2</v>
      </c>
      <c r="T100" s="83">
        <f t="shared" si="157"/>
        <v>1.5103984541161575E-2</v>
      </c>
      <c r="U100" s="83">
        <f t="shared" si="158"/>
        <v>2.1853222426136742E-2</v>
      </c>
      <c r="V100" s="83">
        <f t="shared" si="159"/>
        <v>2.782982255553601E-2</v>
      </c>
      <c r="W100" s="83">
        <f t="shared" si="160"/>
        <v>1.8167811179374382E-2</v>
      </c>
      <c r="X100" s="83">
        <f t="shared" si="161"/>
        <v>-6.7306582092583001E-2</v>
      </c>
      <c r="Y100" s="83">
        <f t="shared" si="162"/>
        <v>2.1709686591599775E-2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8.1022876972749458E-3</v>
      </c>
      <c r="F101" s="84">
        <f t="shared" si="143"/>
        <v>2.6674214441111843E-2</v>
      </c>
      <c r="G101" s="84">
        <f t="shared" si="144"/>
        <v>1.6836289551408479E-2</v>
      </c>
      <c r="H101" s="84">
        <f t="shared" si="145"/>
        <v>2.4445976175148543E-2</v>
      </c>
      <c r="I101" s="84">
        <f t="shared" si="146"/>
        <v>1.8381375462233285E-2</v>
      </c>
      <c r="J101" s="84">
        <f t="shared" si="147"/>
        <v>2.8435378933035604E-2</v>
      </c>
      <c r="K101" s="84">
        <f t="shared" si="148"/>
        <v>2.363853714354569E-2</v>
      </c>
      <c r="L101" s="84">
        <f t="shared" si="149"/>
        <v>3.7692650577280995E-2</v>
      </c>
      <c r="M101" s="84">
        <f t="shared" si="150"/>
        <v>5.4118748247706794E-3</v>
      </c>
      <c r="N101" s="84">
        <f t="shared" si="151"/>
        <v>1.4283369318333738E-2</v>
      </c>
      <c r="O101" s="84">
        <f t="shared" si="152"/>
        <v>1.4942437192946967E-2</v>
      </c>
      <c r="P101" s="84">
        <f t="shared" si="153"/>
        <v>1.0393106040724742E-2</v>
      </c>
      <c r="Q101" s="84">
        <f t="shared" si="154"/>
        <v>5.9167558374835227E-3</v>
      </c>
      <c r="R101" s="84">
        <f t="shared" si="155"/>
        <v>1.0159950267293771E-2</v>
      </c>
      <c r="S101" s="84">
        <f t="shared" si="156"/>
        <v>1.4708782362792272E-2</v>
      </c>
      <c r="T101" s="84">
        <f t="shared" si="157"/>
        <v>2.0697595912294364E-2</v>
      </c>
      <c r="U101" s="84">
        <f t="shared" si="158"/>
        <v>2.3520019640720147E-2</v>
      </c>
      <c r="V101" s="84">
        <f t="shared" si="159"/>
        <v>1.637236647729523E-2</v>
      </c>
      <c r="W101" s="84">
        <f t="shared" si="160"/>
        <v>1.8289630079822539E-2</v>
      </c>
      <c r="X101" s="84">
        <f t="shared" si="161"/>
        <v>-0.1018441201898389</v>
      </c>
      <c r="Y101" s="84">
        <f t="shared" si="162"/>
        <v>9.7922378623249706E-3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3.0455105836983076E-2</v>
      </c>
      <c r="F102" s="84">
        <f t="shared" si="143"/>
        <v>4.0857631475782696E-2</v>
      </c>
      <c r="G102" s="84">
        <f t="shared" si="144"/>
        <v>1.497657952053344E-2</v>
      </c>
      <c r="H102" s="84">
        <f t="shared" si="145"/>
        <v>3.9069936280628159E-2</v>
      </c>
      <c r="I102" s="84">
        <f t="shared" si="146"/>
        <v>4.696894853981104E-2</v>
      </c>
      <c r="J102" s="84">
        <f t="shared" si="147"/>
        <v>4.2121193339025975E-2</v>
      </c>
      <c r="K102" s="84">
        <f t="shared" si="148"/>
        <v>3.7660348289504375E-2</v>
      </c>
      <c r="L102" s="84">
        <f t="shared" si="149"/>
        <v>2.3654932773259807E-2</v>
      </c>
      <c r="M102" s="84">
        <f t="shared" si="150"/>
        <v>-4.3864573554504682E-2</v>
      </c>
      <c r="N102" s="84">
        <f t="shared" si="151"/>
        <v>1.755927940236357E-2</v>
      </c>
      <c r="O102" s="84">
        <f t="shared" si="152"/>
        <v>4.670052648964651E-2</v>
      </c>
      <c r="P102" s="84">
        <f t="shared" si="153"/>
        <v>2.6560995588644776E-3</v>
      </c>
      <c r="Q102" s="84">
        <f t="shared" si="154"/>
        <v>2.7224127060247794E-2</v>
      </c>
      <c r="R102" s="84">
        <f t="shared" si="155"/>
        <v>1.1195996002576702E-2</v>
      </c>
      <c r="S102" s="84">
        <f t="shared" si="156"/>
        <v>1.5574550096779438E-2</v>
      </c>
      <c r="T102" s="84">
        <f t="shared" si="157"/>
        <v>1.8437358915262214E-2</v>
      </c>
      <c r="U102" s="84">
        <f t="shared" si="158"/>
        <v>3.5934743710846595E-2</v>
      </c>
      <c r="V102" s="84">
        <f t="shared" si="159"/>
        <v>2.7874655744772658E-2</v>
      </c>
      <c r="W102" s="84">
        <f t="shared" si="160"/>
        <v>2.8993887604786606E-2</v>
      </c>
      <c r="X102" s="84">
        <f t="shared" si="161"/>
        <v>-3.9934422820317783E-2</v>
      </c>
      <c r="Y102" s="84">
        <f t="shared" si="162"/>
        <v>1.6557950154698853E-2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6.7718594727088632E-3</v>
      </c>
      <c r="F103" s="84">
        <f t="shared" si="143"/>
        <v>1.9045687629186236E-2</v>
      </c>
      <c r="G103" s="84">
        <f t="shared" si="144"/>
        <v>-2.0153860312687177E-3</v>
      </c>
      <c r="H103" s="84">
        <f t="shared" si="145"/>
        <v>2.6375359369287255E-2</v>
      </c>
      <c r="I103" s="84">
        <f t="shared" si="146"/>
        <v>2.2551359022056738E-2</v>
      </c>
      <c r="J103" s="84">
        <f t="shared" si="147"/>
        <v>3.5958288993191756E-2</v>
      </c>
      <c r="K103" s="84">
        <f t="shared" si="148"/>
        <v>4.5328774832639418E-2</v>
      </c>
      <c r="L103" s="84">
        <f t="shared" si="149"/>
        <v>1.7162973377123247E-2</v>
      </c>
      <c r="M103" s="84">
        <f t="shared" si="150"/>
        <v>-3.5061085633756428E-2</v>
      </c>
      <c r="N103" s="84">
        <f t="shared" si="151"/>
        <v>5.5154164867223354E-2</v>
      </c>
      <c r="O103" s="84">
        <f t="shared" si="152"/>
        <v>3.6881125066301035E-2</v>
      </c>
      <c r="P103" s="84">
        <f t="shared" si="153"/>
        <v>-5.8031059282288577E-3</v>
      </c>
      <c r="Q103" s="84">
        <f t="shared" si="154"/>
        <v>-3.5476971205894325E-2</v>
      </c>
      <c r="R103" s="84">
        <f t="shared" si="155"/>
        <v>1.09542034208161E-2</v>
      </c>
      <c r="S103" s="84">
        <f t="shared" si="156"/>
        <v>-3.7092047343655343E-3</v>
      </c>
      <c r="T103" s="84">
        <f t="shared" si="157"/>
        <v>-3.5031224200563482E-3</v>
      </c>
      <c r="U103" s="84">
        <f t="shared" si="158"/>
        <v>-1.1163824972134084E-2</v>
      </c>
      <c r="V103" s="84">
        <f t="shared" si="159"/>
        <v>5.3342861931901853E-2</v>
      </c>
      <c r="W103" s="84">
        <f t="shared" si="160"/>
        <v>-5.2158637323900248E-3</v>
      </c>
      <c r="X103" s="84">
        <f t="shared" si="161"/>
        <v>-5.1521611933673661E-2</v>
      </c>
      <c r="Y103" s="84">
        <f t="shared" si="162"/>
        <v>5.8145256532945E-2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7.040589265102648E-3</v>
      </c>
      <c r="F104" s="83">
        <f t="shared" si="143"/>
        <v>-5.4604118143194436E-2</v>
      </c>
      <c r="G104" s="83">
        <f t="shared" si="144"/>
        <v>2.1544480432633684E-2</v>
      </c>
      <c r="H104" s="83">
        <f t="shared" si="145"/>
        <v>4.1496069774734856E-2</v>
      </c>
      <c r="I104" s="83">
        <f t="shared" si="146"/>
        <v>-2.689132016449014E-2</v>
      </c>
      <c r="J104" s="83">
        <f t="shared" si="147"/>
        <v>-1.4899685900210402E-2</v>
      </c>
      <c r="K104" s="83">
        <f t="shared" si="148"/>
        <v>-7.2238552867199823E-3</v>
      </c>
      <c r="L104" s="83">
        <f t="shared" si="149"/>
        <v>2.1228692518716397E-2</v>
      </c>
      <c r="M104" s="83">
        <f t="shared" si="150"/>
        <v>-7.3500107378243751E-4</v>
      </c>
      <c r="N104" s="83">
        <f t="shared" si="151"/>
        <v>-7.814823047093189E-2</v>
      </c>
      <c r="O104" s="83">
        <f t="shared" si="152"/>
        <v>-4.1216282018767703E-2</v>
      </c>
      <c r="P104" s="83">
        <f t="shared" si="153"/>
        <v>2.8257524426935854E-2</v>
      </c>
      <c r="Q104" s="83">
        <f t="shared" si="154"/>
        <v>-7.9552302352496884E-3</v>
      </c>
      <c r="R104" s="83">
        <f t="shared" si="155"/>
        <v>-8.7848808780724652E-2</v>
      </c>
      <c r="S104" s="83">
        <f t="shared" si="156"/>
        <v>3.4795516562467599E-2</v>
      </c>
      <c r="T104" s="83">
        <f t="shared" si="157"/>
        <v>2.5335948137221953E-2</v>
      </c>
      <c r="U104" s="83">
        <f t="shared" si="158"/>
        <v>-3.3615020755883851E-4</v>
      </c>
      <c r="V104" s="83">
        <f t="shared" si="159"/>
        <v>2.4389761885573513E-2</v>
      </c>
      <c r="W104" s="83">
        <f t="shared" si="160"/>
        <v>5.3722180558581023E-2</v>
      </c>
      <c r="X104" s="83">
        <f t="shared" si="161"/>
        <v>-2.6892683232612513E-2</v>
      </c>
      <c r="Y104" s="83">
        <f t="shared" si="162"/>
        <v>5.1472850868206299E-2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-4.0391428732973522E-2</v>
      </c>
      <c r="F105" s="83">
        <f t="shared" si="143"/>
        <v>-1.2721972644827995E-3</v>
      </c>
      <c r="G105" s="83">
        <f t="shared" si="144"/>
        <v>5.3882231546865667E-2</v>
      </c>
      <c r="H105" s="83">
        <f t="shared" si="145"/>
        <v>2.0904581484112006E-2</v>
      </c>
      <c r="I105" s="83">
        <f t="shared" si="146"/>
        <v>-6.4534633674451225E-3</v>
      </c>
      <c r="J105" s="83">
        <f t="shared" si="147"/>
        <v>-9.272823217925108E-4</v>
      </c>
      <c r="K105" s="83">
        <f t="shared" si="148"/>
        <v>5.8058407257161937E-2</v>
      </c>
      <c r="L105" s="83">
        <f t="shared" si="149"/>
        <v>2.3588537549670274E-2</v>
      </c>
      <c r="M105" s="83">
        <f t="shared" si="150"/>
        <v>-5.8898751563708052E-2</v>
      </c>
      <c r="N105" s="83">
        <f t="shared" si="151"/>
        <v>-2.670694304160004E-2</v>
      </c>
      <c r="O105" s="83">
        <f t="shared" si="152"/>
        <v>5.2533843030300176E-3</v>
      </c>
      <c r="P105" s="83">
        <f t="shared" si="153"/>
        <v>1.0880834774448456E-2</v>
      </c>
      <c r="Q105" s="83">
        <f t="shared" si="154"/>
        <v>1.2041792704959642E-2</v>
      </c>
      <c r="R105" s="83">
        <f t="shared" si="155"/>
        <v>-5.5315879801509649E-4</v>
      </c>
      <c r="S105" s="83">
        <f t="shared" si="156"/>
        <v>-1.2663262354486449E-2</v>
      </c>
      <c r="T105" s="83">
        <f t="shared" si="157"/>
        <v>2.1380994711899248E-2</v>
      </c>
      <c r="U105" s="83">
        <f t="shared" si="158"/>
        <v>4.9923595089496509E-2</v>
      </c>
      <c r="V105" s="83">
        <f t="shared" si="159"/>
        <v>3.6645960303183678E-2</v>
      </c>
      <c r="W105" s="83">
        <f t="shared" si="160"/>
        <v>2.8002096005882882E-2</v>
      </c>
      <c r="X105" s="83">
        <f t="shared" si="161"/>
        <v>1.0361999604697969E-2</v>
      </c>
      <c r="Y105" s="83">
        <f t="shared" si="162"/>
        <v>2.8546430227374353E-2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2.5634774267399685E-2</v>
      </c>
      <c r="F106" s="83">
        <f t="shared" si="143"/>
        <v>-1.108730291674187E-2</v>
      </c>
      <c r="G106" s="83">
        <f t="shared" si="144"/>
        <v>-5.4915740186746165E-3</v>
      </c>
      <c r="H106" s="83">
        <f t="shared" si="145"/>
        <v>2.5624958239131468E-2</v>
      </c>
      <c r="I106" s="83">
        <f t="shared" si="146"/>
        <v>2.940779283030559E-2</v>
      </c>
      <c r="J106" s="83">
        <f t="shared" si="147"/>
        <v>6.5553569119777277E-2</v>
      </c>
      <c r="K106" s="83">
        <f t="shared" si="148"/>
        <v>5.228628181734285E-2</v>
      </c>
      <c r="L106" s="83">
        <f t="shared" si="149"/>
        <v>-2.9884877886067418E-2</v>
      </c>
      <c r="M106" s="83">
        <f t="shared" si="150"/>
        <v>-9.9037708671424585E-2</v>
      </c>
      <c r="N106" s="83">
        <f t="shared" si="151"/>
        <v>2.2909150875000783E-2</v>
      </c>
      <c r="O106" s="83">
        <f t="shared" si="152"/>
        <v>4.2179931194586073E-2</v>
      </c>
      <c r="P106" s="83">
        <f t="shared" si="153"/>
        <v>9.3407286184554739E-3</v>
      </c>
      <c r="Q106" s="83">
        <f t="shared" si="154"/>
        <v>-1.0926234788341538E-2</v>
      </c>
      <c r="R106" s="83">
        <f t="shared" si="155"/>
        <v>1.0992380086066289E-2</v>
      </c>
      <c r="S106" s="83">
        <f t="shared" si="156"/>
        <v>1.1126398495826972E-2</v>
      </c>
      <c r="T106" s="83">
        <f t="shared" si="157"/>
        <v>4.1472946685056744E-2</v>
      </c>
      <c r="U106" s="83">
        <f t="shared" si="158"/>
        <v>1.2173621100621146E-2</v>
      </c>
      <c r="V106" s="83">
        <f t="shared" si="159"/>
        <v>2.2769298736075472E-2</v>
      </c>
      <c r="W106" s="83">
        <f t="shared" si="160"/>
        <v>-5.1608106741152238E-3</v>
      </c>
      <c r="X106" s="83">
        <f t="shared" si="161"/>
        <v>-8.6741127918172789E-2</v>
      </c>
      <c r="Y106" s="83">
        <f t="shared" si="162"/>
        <v>7.7582829204897452E-2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8.9001755733188359E-2</v>
      </c>
      <c r="F107" s="87">
        <f t="shared" ref="F107:F108" si="164">IF(E33=0,"",F33/E33-1)</f>
        <v>-0.12670727996310283</v>
      </c>
      <c r="G107" s="87">
        <f t="shared" ref="G107:G108" si="165">IF(F33=0,"",G33/F33-1)</f>
        <v>2.744929283579034E-2</v>
      </c>
      <c r="H107" s="87">
        <f t="shared" ref="H107:H108" si="166">IF(G33=0,"",H33/G33-1)</f>
        <v>0.14933727966413213</v>
      </c>
      <c r="I107" s="87">
        <f t="shared" ref="I107:I108" si="167">IF(H33=0,"",I33/H33-1)</f>
        <v>0.19016040143081425</v>
      </c>
      <c r="J107" s="87">
        <f t="shared" ref="J107:J108" si="168">IF(I33=0,"",J33/I33-1)</f>
        <v>4.441602215760998E-2</v>
      </c>
      <c r="K107" s="87">
        <f t="shared" ref="K107:K108" si="169">IF(J33=0,"",K33/J33-1)</f>
        <v>7.6735387484001549E-2</v>
      </c>
      <c r="L107" s="87">
        <f t="shared" ref="L107:L108" si="170">IF(K33=0,"",L33/K33-1)</f>
        <v>2.6749693690297782E-4</v>
      </c>
      <c r="M107" s="87">
        <f t="shared" ref="M107:M108" si="171">IF(L33=0,"",M33/L33-1)</f>
        <v>-0.26574075105640482</v>
      </c>
      <c r="N107" s="87">
        <f t="shared" ref="N107:N108" si="172">IF(M33=0,"",N33/M33-1)</f>
        <v>0.1164313223554827</v>
      </c>
      <c r="O107" s="87">
        <f t="shared" ref="O107:O108" si="173">IF(N33=0,"",O33/N33-1)</f>
        <v>4.4578404817586792E-2</v>
      </c>
      <c r="P107" s="87">
        <f t="shared" ref="P107:P108" si="174">IF(O33=0,"",P33/O33-1)</f>
        <v>3.1348838092292164E-2</v>
      </c>
      <c r="Q107" s="87">
        <f t="shared" ref="Q107:Q108" si="175">IF(P33=0,"",Q33/P33-1)</f>
        <v>-9.6416379443124978E-2</v>
      </c>
      <c r="R107" s="87">
        <f t="shared" ref="R107:R108" si="176">IF(Q33=0,"",R33/Q33-1)</f>
        <v>4.3214044001309349E-2</v>
      </c>
      <c r="S107" s="87">
        <f t="shared" ref="S107:S108" si="177">IF(R33=0,"",S33/R33-1)</f>
        <v>0.10955175607369982</v>
      </c>
      <c r="T107" s="87">
        <f t="shared" ref="T107:T108" si="178">IF(S33=0,"",T33/S33-1)</f>
        <v>-7.2532082100992157E-2</v>
      </c>
      <c r="U107" s="87">
        <f t="shared" ref="U107:U108" si="179">IF(T33=0,"",U33/T33-1)</f>
        <v>4.7454482922989483E-2</v>
      </c>
      <c r="V107" s="87">
        <f t="shared" ref="V107:V108" si="180">IF(U33=0,"",V33/U33-1)</f>
        <v>5.763575167509849E-2</v>
      </c>
      <c r="W107" s="87">
        <f t="shared" ref="W107:W108" si="181">IF(V33=0,"",W33/V33-1)</f>
        <v>-8.2026916809100792E-2</v>
      </c>
      <c r="X107" s="87">
        <f t="shared" ref="X107:X108" si="182">IF(W33=0,"",X33/W33-1)</f>
        <v>-0.19002505054923791</v>
      </c>
      <c r="Y107" s="87">
        <f t="shared" ref="Y107:Y108" si="183">IF(X33=0,"",Y33/X33-1)</f>
        <v>0.11506026732452601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8.9001755733188581E-2</v>
      </c>
      <c r="F108" s="89">
        <f t="shared" si="164"/>
        <v>-0.1267072799631026</v>
      </c>
      <c r="G108" s="89">
        <f t="shared" si="165"/>
        <v>2.744929283579034E-2</v>
      </c>
      <c r="H108" s="89">
        <f t="shared" si="166"/>
        <v>0.14933727966413235</v>
      </c>
      <c r="I108" s="89">
        <f t="shared" si="167"/>
        <v>0.19016040143081425</v>
      </c>
      <c r="J108" s="89">
        <f t="shared" si="168"/>
        <v>4.441602215760998E-2</v>
      </c>
      <c r="K108" s="89">
        <f t="shared" si="169"/>
        <v>7.6735387484001549E-2</v>
      </c>
      <c r="L108" s="89">
        <f t="shared" si="170"/>
        <v>2.6749693690275578E-4</v>
      </c>
      <c r="M108" s="89">
        <f t="shared" si="171"/>
        <v>-0.2664295772318992</v>
      </c>
      <c r="N108" s="89">
        <f t="shared" si="172"/>
        <v>-8.3021835746704964E-3</v>
      </c>
      <c r="O108" s="89">
        <f t="shared" si="173"/>
        <v>6.1017529664478376E-2</v>
      </c>
      <c r="P108" s="89">
        <f t="shared" si="174"/>
        <v>3.516689664156436E-2</v>
      </c>
      <c r="Q108" s="89">
        <f t="shared" si="175"/>
        <v>-7.2122840370056895E-2</v>
      </c>
      <c r="R108" s="89">
        <f t="shared" si="176"/>
        <v>1.3635289010618834E-2</v>
      </c>
      <c r="S108" s="89">
        <f t="shared" si="177"/>
        <v>0.13103846108585149</v>
      </c>
      <c r="T108" s="89">
        <f t="shared" si="178"/>
        <v>-0.10568736782194066</v>
      </c>
      <c r="U108" s="89">
        <f t="shared" si="179"/>
        <v>5.0932540949802929E-2</v>
      </c>
      <c r="V108" s="89">
        <f t="shared" si="180"/>
        <v>0.13726240671664192</v>
      </c>
      <c r="W108" s="89">
        <f t="shared" si="181"/>
        <v>-9.6978687510484551E-2</v>
      </c>
      <c r="X108" s="89">
        <f t="shared" si="182"/>
        <v>-0.18040559562696579</v>
      </c>
      <c r="Y108" s="89">
        <f t="shared" si="183"/>
        <v>3.660679010829071E-2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8.9001755733188137E-2</v>
      </c>
      <c r="F109" s="89">
        <f t="shared" ref="F109" si="185">IF(E37=0,"",F37/E37-1)</f>
        <v>-0.12670727996310316</v>
      </c>
      <c r="G109" s="89">
        <f t="shared" ref="G109" si="186">IF(F37=0,"",G37/F37-1)</f>
        <v>2.7449292835790118E-2</v>
      </c>
      <c r="H109" s="89">
        <f t="shared" ref="H109" si="187">IF(G37=0,"",H37/G37-1)</f>
        <v>0.14933727966413213</v>
      </c>
      <c r="I109" s="89">
        <f t="shared" ref="I109" si="188">IF(H37=0,"",I37/H37-1)</f>
        <v>0.1901604014308147</v>
      </c>
      <c r="J109" s="89">
        <f t="shared" ref="J109" si="189">IF(I37=0,"",J37/I37-1)</f>
        <v>4.441602215760998E-2</v>
      </c>
      <c r="K109" s="89">
        <f t="shared" ref="K109" si="190">IF(J37=0,"",K37/J37-1)</f>
        <v>7.6735387484001549E-2</v>
      </c>
      <c r="L109" s="89">
        <f t="shared" ref="L109" si="191">IF(K37=0,"",L37/K37-1)</f>
        <v>2.6749693690297782E-4</v>
      </c>
      <c r="M109" s="89">
        <f t="shared" ref="M109" si="192">IF(L37=0,"",M37/L37-1)</f>
        <v>-0.26363351583820593</v>
      </c>
      <c r="N109" s="89">
        <f t="shared" ref="N109" si="193">IF(M37=0,"",N37/M37-1)</f>
        <v>0.49656321028443573</v>
      </c>
      <c r="O109" s="89">
        <f t="shared" ref="O109" si="194">IF(N37=0,"",O37/N37-1)</f>
        <v>1.1380233707815268E-2</v>
      </c>
      <c r="P109" s="89">
        <f t="shared" ref="P109" si="195">IF(O37=0,"",P37/O37-1)</f>
        <v>2.3259999920326901E-2</v>
      </c>
      <c r="Q109" s="89">
        <f t="shared" ref="Q109" si="196">IF(P37=0,"",Q37/P37-1)</f>
        <v>-0.14848292060850998</v>
      </c>
      <c r="R109" s="89">
        <f t="shared" ref="R109" si="197">IF(Q37=0,"",R37/Q37-1)</f>
        <v>0.11229287059732385</v>
      </c>
      <c r="S109" s="89">
        <f t="shared" ref="S109" si="198">IF(R37=0,"",S37/R37-1)</f>
        <v>6.3822150916099885E-2</v>
      </c>
      <c r="T109" s="89">
        <f t="shared" ref="T109" si="199">IF(S37=0,"",T37/S37-1)</f>
        <v>2.4899371809070647E-3</v>
      </c>
      <c r="U109" s="89">
        <f t="shared" ref="U109" si="200">IF(T37=0,"",U37/T37-1)</f>
        <v>4.0433755029678053E-2</v>
      </c>
      <c r="V109" s="89">
        <f t="shared" ref="V109" si="201">IF(U37=0,"",V37/U37-1)</f>
        <v>-0.1047186980578787</v>
      </c>
      <c r="W109" s="89">
        <f t="shared" ref="W109" si="202">IF(V37=0,"",W37/V37-1)</f>
        <v>-4.3301195028149109E-2</v>
      </c>
      <c r="X109" s="89">
        <f t="shared" ref="X109" si="203">IF(W37=0,"",X37/W37-1)</f>
        <v>-0.21354195342715154</v>
      </c>
      <c r="Y109" s="89">
        <f t="shared" ref="Y109" si="204">IF(X37=0,"",Y37/X37-1)</f>
        <v>0.31493839994297068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4.7408393973225271E-2</v>
      </c>
      <c r="F110" s="89">
        <f t="shared" ref="F110:F111" si="206">IF(E43=0,"",F43/E43-1)</f>
        <v>-5.6373411369184723E-2</v>
      </c>
      <c r="G110" s="89">
        <f t="shared" ref="G110:G111" si="207">IF(F43=0,"",G43/F43-1)</f>
        <v>3.5835046432105111E-2</v>
      </c>
      <c r="H110" s="89">
        <f t="shared" ref="H110:H111" si="208">IF(G43=0,"",H43/G43-1)</f>
        <v>-4.3869631080873828E-2</v>
      </c>
      <c r="I110" s="89">
        <f t="shared" ref="I110:I111" si="209">IF(H43=0,"",I43/H43-1)</f>
        <v>0.11936446929440825</v>
      </c>
      <c r="J110" s="89">
        <f t="shared" ref="J110:J111" si="210">IF(I43=0,"",J43/I43-1)</f>
        <v>8.2116773946672605E-2</v>
      </c>
      <c r="K110" s="89">
        <f t="shared" ref="K110:K111" si="211">IF(J43=0,"",K43/J43-1)</f>
        <v>0.10088964310991178</v>
      </c>
      <c r="L110" s="89">
        <f t="shared" ref="L110:L111" si="212">IF(K43=0,"",L43/K43-1)</f>
        <v>-0.11905226161575266</v>
      </c>
      <c r="M110" s="89">
        <f t="shared" ref="M110:M111" si="213">IF(L43=0,"",M43/L43-1)</f>
        <v>2.7185972499039757E-2</v>
      </c>
      <c r="N110" s="89">
        <f t="shared" ref="N110:N111" si="214">IF(M43=0,"",N43/M43-1)</f>
        <v>1.9952556005647049E-2</v>
      </c>
      <c r="O110" s="89">
        <f t="shared" ref="O110:O111" si="215">IF(N43=0,"",O43/N43-1)</f>
        <v>5.575678388187999E-2</v>
      </c>
      <c r="P110" s="89">
        <f t="shared" ref="P110:P111" si="216">IF(O43=0,"",P43/O43-1)</f>
        <v>-6.5487480118552321E-2</v>
      </c>
      <c r="Q110" s="89">
        <f t="shared" ref="Q110:Q111" si="217">IF(P43=0,"",Q43/P43-1)</f>
        <v>6.6423099991103518E-2</v>
      </c>
      <c r="R110" s="89">
        <f t="shared" ref="R110:R111" si="218">IF(Q43=0,"",R43/Q43-1)</f>
        <v>6.857536446340573E-2</v>
      </c>
      <c r="S110" s="89">
        <f t="shared" ref="S110:S111" si="219">IF(R43=0,"",S43/R43-1)</f>
        <v>6.50028076218232E-2</v>
      </c>
      <c r="T110" s="89">
        <f t="shared" ref="T110:T111" si="220">IF(S43=0,"",T43/S43-1)</f>
        <v>0.14827538566638321</v>
      </c>
      <c r="U110" s="89">
        <f t="shared" ref="U110:U111" si="221">IF(T43=0,"",U43/T43-1)</f>
        <v>-4.9855422680873618E-2</v>
      </c>
      <c r="V110" s="89">
        <f t="shared" ref="V110:V111" si="222">IF(U43=0,"",V43/U43-1)</f>
        <v>-6.3410721884348376E-2</v>
      </c>
      <c r="W110" s="89">
        <f t="shared" ref="W110:W111" si="223">IF(V43=0,"",W43/V43-1)</f>
        <v>6.2572720466984588E-3</v>
      </c>
      <c r="X110" s="89">
        <f t="shared" ref="X110:X111" si="224">IF(W43=0,"",X43/W43-1)</f>
        <v>3.6128604066490544E-2</v>
      </c>
      <c r="Y110" s="89">
        <f t="shared" ref="Y110:Y111" si="225">IF(X43=0,"",Y43/X43-1)</f>
        <v>0.24789853826788089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0.16061334373085323</v>
      </c>
      <c r="F111" s="89">
        <f t="shared" si="206"/>
        <v>-0.106708371978678</v>
      </c>
      <c r="G111" s="89">
        <f t="shared" si="207"/>
        <v>1.5593310894028711E-2</v>
      </c>
      <c r="H111" s="89">
        <f t="shared" si="208"/>
        <v>-1.1281094111435297E-2</v>
      </c>
      <c r="I111" s="89">
        <f t="shared" si="209"/>
        <v>-9.675687508180153E-3</v>
      </c>
      <c r="J111" s="89">
        <f t="shared" si="210"/>
        <v>0.16383789884422861</v>
      </c>
      <c r="K111" s="89">
        <f t="shared" si="211"/>
        <v>4.131408252147728E-2</v>
      </c>
      <c r="L111" s="89">
        <f t="shared" si="212"/>
        <v>-4.6230061799402478E-2</v>
      </c>
      <c r="M111" s="89">
        <f t="shared" si="213"/>
        <v>-6.1393829127443733E-2</v>
      </c>
      <c r="N111" s="89">
        <f t="shared" si="214"/>
        <v>7.3714590677242953E-3</v>
      </c>
      <c r="O111" s="89">
        <f t="shared" si="215"/>
        <v>8.1080926306746681E-2</v>
      </c>
      <c r="P111" s="89">
        <f t="shared" si="216"/>
        <v>-0.15090580445687474</v>
      </c>
      <c r="Q111" s="89">
        <f t="shared" si="217"/>
        <v>0.15283544266394045</v>
      </c>
      <c r="R111" s="89">
        <f t="shared" si="218"/>
        <v>8.834472671297644E-2</v>
      </c>
      <c r="S111" s="89">
        <f t="shared" si="219"/>
        <v>0.11323412983998016</v>
      </c>
      <c r="T111" s="89">
        <f t="shared" si="220"/>
        <v>0.25374826765744185</v>
      </c>
      <c r="U111" s="89">
        <f t="shared" si="221"/>
        <v>-0.10330914607712804</v>
      </c>
      <c r="V111" s="89">
        <f t="shared" si="222"/>
        <v>-7.9724643482272706E-2</v>
      </c>
      <c r="W111" s="89">
        <f t="shared" si="223"/>
        <v>-6.5514776405055652E-2</v>
      </c>
      <c r="X111" s="89">
        <f t="shared" si="224"/>
        <v>5.7926533122069079E-2</v>
      </c>
      <c r="Y111" s="89">
        <f t="shared" si="225"/>
        <v>0.48192004126668664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-9.4288936060238915E-2</v>
      </c>
      <c r="F112" s="89">
        <f t="shared" ref="F112:F113" si="227">IF(E47=0,"",F47/E47-1)</f>
        <v>2.4361964257558544E-2</v>
      </c>
      <c r="G112" s="89">
        <f t="shared" ref="G112:G113" si="228">IF(F47=0,"",G47/F47-1)</f>
        <v>6.4147773543487663E-2</v>
      </c>
      <c r="H112" s="89">
        <f t="shared" ref="H112:H113" si="229">IF(G47=0,"",H47/G47-1)</f>
        <v>-8.7372381070523586E-2</v>
      </c>
      <c r="I112" s="89">
        <f t="shared" ref="I112:I113" si="230">IF(H47=0,"",I47/H47-1)</f>
        <v>0.30598351347064168</v>
      </c>
      <c r="J112" s="89">
        <f t="shared" ref="J112:J113" si="231">IF(I47=0,"",J47/I47-1)</f>
        <v>-7.5032718143922539E-3</v>
      </c>
      <c r="K112" s="89">
        <f t="shared" ref="K112:K113" si="232">IF(J47=0,"",K47/J47-1)</f>
        <v>0.17750262647393567</v>
      </c>
      <c r="L112" s="89">
        <f t="shared" ref="L112:L113" si="233">IF(K47=0,"",L47/K47-1)</f>
        <v>-0.20186895529053783</v>
      </c>
      <c r="M112" s="89">
        <f t="shared" ref="M112:M113" si="234">IF(L47=0,"",M47/L47-1)</f>
        <v>0.14756704920458952</v>
      </c>
      <c r="N112" s="89">
        <f t="shared" ref="N112:N113" si="235">IF(M47=0,"",N47/M47-1)</f>
        <v>3.3937069560789457E-2</v>
      </c>
      <c r="O112" s="89">
        <f t="shared" ref="O112:O113" si="236">IF(N47=0,"",O47/N47-1)</f>
        <v>2.8330994347007143E-2</v>
      </c>
      <c r="P112" s="89">
        <f t="shared" ref="P112:P113" si="237">IF(O47=0,"",P47/O47-1)</f>
        <v>3.1765007372963838E-2</v>
      </c>
      <c r="Q112" s="89">
        <f t="shared" ref="Q112:Q113" si="238">IF(P47=0,"",Q47/P47-1)</f>
        <v>-1.4542497936849919E-2</v>
      </c>
      <c r="R112" s="89">
        <f t="shared" ref="R112:R113" si="239">IF(Q47=0,"",R47/Q47-1)</f>
        <v>4.6905967398002346E-2</v>
      </c>
      <c r="S112" s="89">
        <f t="shared" ref="S112:S113" si="240">IF(R47=0,"",S47/R47-1)</f>
        <v>1.0043387972979101E-2</v>
      </c>
      <c r="T112" s="89">
        <f t="shared" ref="T112:T113" si="241">IF(S47=0,"",T47/S47-1)</f>
        <v>1.5810653453432133E-2</v>
      </c>
      <c r="U112" s="89">
        <f t="shared" ref="U112:U113" si="242">IF(T47=0,"",U47/T47-1)</f>
        <v>3.3002682503342262E-2</v>
      </c>
      <c r="V112" s="89">
        <f t="shared" ref="V112:V113" si="243">IF(U47=0,"",V47/U47-1)</f>
        <v>-4.1459601216627839E-2</v>
      </c>
      <c r="W112" s="89">
        <f t="shared" ref="W112:W113" si="244">IF(V47=0,"",W47/V47-1)</f>
        <v>9.8974628159302913E-2</v>
      </c>
      <c r="X112" s="89">
        <f t="shared" ref="X112:X113" si="245">IF(W47=0,"",X47/W47-1)</f>
        <v>1.2184107820432999E-2</v>
      </c>
      <c r="Y112" s="89">
        <f t="shared" ref="Y112:Y113" si="246">IF(X47=0,"",Y47/X47-1)</f>
        <v>-2.0785724176738407E-2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-1.4985742762455678E-2</v>
      </c>
      <c r="F113" s="89">
        <f t="shared" si="227"/>
        <v>-1.3249507964305685E-2</v>
      </c>
      <c r="G113" s="89">
        <f t="shared" si="228"/>
        <v>3.4100972774595339E-2</v>
      </c>
      <c r="H113" s="89">
        <f t="shared" si="229"/>
        <v>9.6835179130709825E-3</v>
      </c>
      <c r="I113" s="89">
        <f t="shared" si="230"/>
        <v>3.074208889711838E-2</v>
      </c>
      <c r="J113" s="89">
        <f t="shared" si="231"/>
        <v>3.3837196945659676E-2</v>
      </c>
      <c r="K113" s="89">
        <f t="shared" si="232"/>
        <v>3.2866631283265946E-2</v>
      </c>
      <c r="L113" s="89">
        <f t="shared" si="233"/>
        <v>-0.10485034990491127</v>
      </c>
      <c r="M113" s="89">
        <f t="shared" si="234"/>
        <v>-0.14476128113238751</v>
      </c>
      <c r="N113" s="89">
        <f t="shared" si="235"/>
        <v>4.0893107887312707E-2</v>
      </c>
      <c r="O113" s="89">
        <f t="shared" si="236"/>
        <v>-1.0458978639610095E-2</v>
      </c>
      <c r="P113" s="89">
        <f t="shared" si="237"/>
        <v>-3.044023570333787E-2</v>
      </c>
      <c r="Q113" s="89">
        <f t="shared" si="238"/>
        <v>6.2926839572305937E-3</v>
      </c>
      <c r="R113" s="89">
        <f t="shared" si="239"/>
        <v>2.1232662586214923E-2</v>
      </c>
      <c r="S113" s="89">
        <f t="shared" si="240"/>
        <v>-3.7817192711550374E-2</v>
      </c>
      <c r="T113" s="89">
        <f t="shared" si="241"/>
        <v>-5.3014994579858588E-4</v>
      </c>
      <c r="U113" s="89">
        <f t="shared" si="242"/>
        <v>2.0338069414154392E-2</v>
      </c>
      <c r="V113" s="89">
        <f t="shared" si="243"/>
        <v>-2.9549489195210166E-2</v>
      </c>
      <c r="W113" s="89">
        <f t="shared" si="244"/>
        <v>5.1185002349303899E-2</v>
      </c>
      <c r="X113" s="89">
        <f t="shared" si="245"/>
        <v>-0.12258044250475097</v>
      </c>
      <c r="Y113" s="89">
        <f t="shared" si="246"/>
        <v>-1.3775168141851868E-3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1.5892425931837817E-2</v>
      </c>
      <c r="F114" s="89">
        <f t="shared" ref="F114:F115" si="248">IF(E52=0,"",F52/E52-1)</f>
        <v>-4.1161112845194858E-2</v>
      </c>
      <c r="G114" s="89">
        <f t="shared" ref="G114:G115" si="249">IF(F52=0,"",G52/F52-1)</f>
        <v>-4.7667417874235007E-2</v>
      </c>
      <c r="H114" s="89">
        <f t="shared" ref="H114:H115" si="250">IF(G52=0,"",H52/G52-1)</f>
        <v>-3.7801126267687835E-2</v>
      </c>
      <c r="I114" s="89">
        <f t="shared" ref="I114:I115" si="251">IF(H52=0,"",I52/H52-1)</f>
        <v>-3.8786181799122632E-2</v>
      </c>
      <c r="J114" s="89">
        <f t="shared" ref="J114:J115" si="252">IF(I52=0,"",J52/I52-1)</f>
        <v>6.7441480909893325E-3</v>
      </c>
      <c r="K114" s="89">
        <f t="shared" ref="K114:K115" si="253">IF(J52=0,"",K52/J52-1)</f>
        <v>-6.2417991428643793E-3</v>
      </c>
      <c r="L114" s="89">
        <f t="shared" ref="L114:L115" si="254">IF(K52=0,"",L52/K52-1)</f>
        <v>-5.8519439132475704E-2</v>
      </c>
      <c r="M114" s="89">
        <f t="shared" ref="M114:M115" si="255">IF(L52=0,"",M52/L52-1)</f>
        <v>-4.1881637473884292E-2</v>
      </c>
      <c r="N114" s="89">
        <f t="shared" ref="N114:N115" si="256">IF(M52=0,"",N52/M52-1)</f>
        <v>-6.8740747631036436E-3</v>
      </c>
      <c r="O114" s="89">
        <f t="shared" ref="O114:O115" si="257">IF(N52=0,"",O52/N52-1)</f>
        <v>-7.7793094503567639E-3</v>
      </c>
      <c r="P114" s="89">
        <f t="shared" ref="P114:P115" si="258">IF(O52=0,"",P52/O52-1)</f>
        <v>-1.2918868677127104E-2</v>
      </c>
      <c r="Q114" s="89">
        <f t="shared" ref="Q114:Q115" si="259">IF(P52=0,"",Q52/P52-1)</f>
        <v>-6.5786570122079335E-2</v>
      </c>
      <c r="R114" s="89">
        <f t="shared" ref="R114:R115" si="260">IF(Q52=0,"",R52/Q52-1)</f>
        <v>1.2238136445441583E-3</v>
      </c>
      <c r="S114" s="89">
        <f t="shared" ref="S114:S115" si="261">IF(R52=0,"",S52/R52-1)</f>
        <v>-4.8732009943440735E-3</v>
      </c>
      <c r="T114" s="89">
        <f t="shared" ref="T114:T115" si="262">IF(S52=0,"",T52/S52-1)</f>
        <v>2.7054680712405021E-2</v>
      </c>
      <c r="U114" s="89">
        <f t="shared" ref="U114:U115" si="263">IF(T52=0,"",U52/T52-1)</f>
        <v>-4.7184465546054599E-2</v>
      </c>
      <c r="V114" s="89">
        <f t="shared" ref="V114:V115" si="264">IF(U52=0,"",V52/U52-1)</f>
        <v>4.0785263846000008E-2</v>
      </c>
      <c r="W114" s="89">
        <f t="shared" ref="W114:W115" si="265">IF(V52=0,"",W52/V52-1)</f>
        <v>-2.1793641409493247E-3</v>
      </c>
      <c r="X114" s="89">
        <f t="shared" ref="X114:X115" si="266">IF(W52=0,"",X52/W52-1)</f>
        <v>-0.12224300828898871</v>
      </c>
      <c r="Y114" s="89">
        <f t="shared" ref="Y114:Y115" si="267">IF(X52=0,"",Y52/X52-1)</f>
        <v>-9.5211820676994074E-2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6.8488062060952037E-2</v>
      </c>
      <c r="F115" s="89">
        <f t="shared" si="248"/>
        <v>-5.4191108971522906E-2</v>
      </c>
      <c r="G115" s="89">
        <f t="shared" si="249"/>
        <v>-7.0381519290446892E-2</v>
      </c>
      <c r="H115" s="89">
        <f t="shared" si="250"/>
        <v>-3.1906288495416546E-2</v>
      </c>
      <c r="I115" s="89">
        <f t="shared" si="251"/>
        <v>-3.8729393077522101E-2</v>
      </c>
      <c r="J115" s="89">
        <f t="shared" si="252"/>
        <v>1.4551623083747911E-2</v>
      </c>
      <c r="K115" s="89">
        <f t="shared" si="253"/>
        <v>-4.5086100923183992E-3</v>
      </c>
      <c r="L115" s="89">
        <f t="shared" si="254"/>
        <v>-0.1006844043823113</v>
      </c>
      <c r="M115" s="89">
        <f t="shared" si="255"/>
        <v>-3.9844084542078884E-3</v>
      </c>
      <c r="N115" s="89">
        <f t="shared" si="256"/>
        <v>1.9798900271292608E-2</v>
      </c>
      <c r="O115" s="89">
        <f t="shared" si="257"/>
        <v>8.1228218602544811E-3</v>
      </c>
      <c r="P115" s="89">
        <f t="shared" si="258"/>
        <v>6.5615938046479361E-3</v>
      </c>
      <c r="Q115" s="89">
        <f t="shared" si="259"/>
        <v>-4.6055210873149566E-2</v>
      </c>
      <c r="R115" s="89">
        <f t="shared" si="260"/>
        <v>4.0135253770806401E-2</v>
      </c>
      <c r="S115" s="89">
        <f t="shared" si="261"/>
        <v>1.0546208997443296E-2</v>
      </c>
      <c r="T115" s="89">
        <f t="shared" si="262"/>
        <v>6.1538581425041983E-2</v>
      </c>
      <c r="U115" s="89">
        <f t="shared" si="263"/>
        <v>-5.1603574575126765E-2</v>
      </c>
      <c r="V115" s="89">
        <f t="shared" si="264"/>
        <v>0.10093093667708386</v>
      </c>
      <c r="W115" s="89">
        <f t="shared" si="265"/>
        <v>1.8586535198179988E-2</v>
      </c>
      <c r="X115" s="89">
        <f t="shared" si="266"/>
        <v>-0.12053322357926577</v>
      </c>
      <c r="Y115" s="89">
        <f t="shared" si="267"/>
        <v>-0.100879462445987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-5.5113873165769878E-2</v>
      </c>
      <c r="F116" s="89">
        <f t="shared" ref="F116:F122" si="269">IF(E56=0,"",F56/E56-1)</f>
        <v>-2.1268966133946798E-2</v>
      </c>
      <c r="G116" s="89">
        <f t="shared" ref="G116:G122" si="270">IF(F56=0,"",G56/F56-1)</f>
        <v>-1.4157531087629072E-2</v>
      </c>
      <c r="H116" s="89">
        <f t="shared" ref="H116:H122" si="271">IF(G56=0,"",H56/G56-1)</f>
        <v>-4.6001742404733537E-2</v>
      </c>
      <c r="I116" s="89">
        <f t="shared" ref="I116:I122" si="272">IF(H56=0,"",I56/H56-1)</f>
        <v>-3.8866350811883499E-2</v>
      </c>
      <c r="J116" s="89">
        <f t="shared" ref="J116:J122" si="273">IF(I56=0,"",J56/I56-1)</f>
        <v>-4.2792864124132635E-3</v>
      </c>
      <c r="K116" s="89">
        <f t="shared" ref="K116:K122" si="274">IF(J56=0,"",K56/J56-1)</f>
        <v>-8.735181425719829E-3</v>
      </c>
      <c r="L116" s="89">
        <f t="shared" ref="L116:L122" si="275">IF(K56=0,"",L56/K56-1)</f>
        <v>2.39812015596641E-3</v>
      </c>
      <c r="M116" s="89">
        <f t="shared" ref="M116:M122" si="276">IF(L56=0,"",M56/L56-1)</f>
        <v>-9.1002963892020006E-2</v>
      </c>
      <c r="N116" s="89">
        <f t="shared" ref="N116:N122" si="277">IF(M56=0,"",N56/M56-1)</f>
        <v>-4.4756498485740592E-2</v>
      </c>
      <c r="O116" s="89">
        <f t="shared" ref="O116:O122" si="278">IF(N56=0,"",O56/N56-1)</f>
        <v>-3.1890690228141949E-2</v>
      </c>
      <c r="P116" s="89">
        <f t="shared" ref="P116:P122" si="279">IF(O56=0,"",P56/O56-1)</f>
        <v>-4.3676653860628689E-2</v>
      </c>
      <c r="Q116" s="89">
        <f t="shared" ref="Q116:Q122" si="280">IF(P56=0,"",Q56/P56-1)</f>
        <v>-9.8577097196212438E-2</v>
      </c>
      <c r="R116" s="89">
        <f t="shared" ref="R116:R122" si="281">IF(Q56=0,"",R56/Q56-1)</f>
        <v>-6.7208835102701148E-2</v>
      </c>
      <c r="S116" s="89">
        <f t="shared" ref="S116:S122" si="282">IF(R56=0,"",S56/R56-1)</f>
        <v>-3.5111627906977638E-2</v>
      </c>
      <c r="T116" s="89">
        <f t="shared" ref="T116:T122" si="283">IF(S56=0,"",T56/S56-1)</f>
        <v>-4.3770375592048993E-2</v>
      </c>
      <c r="U116" s="89">
        <f t="shared" ref="U116:U122" si="284">IF(T56=0,"",U56/T56-1)</f>
        <v>-3.710868156063718E-2</v>
      </c>
      <c r="V116" s="89">
        <f t="shared" ref="V116:V122" si="285">IF(U56=0,"",V56/U56-1)</f>
        <v>-9.428543793923827E-2</v>
      </c>
      <c r="W116" s="89">
        <f t="shared" ref="W116:W122" si="286">IF(V56=0,"",W56/V56-1)</f>
        <v>-5.8865419769275174E-2</v>
      </c>
      <c r="X116" s="89">
        <f t="shared" ref="X116:X122" si="287">IF(W56=0,"",X56/W56-1)</f>
        <v>-0.12729442414303704</v>
      </c>
      <c r="Y116" s="89">
        <f t="shared" ref="Y116:Y122" si="288">IF(X56=0,"",Y56/X56-1)</f>
        <v>-7.8337520391489002E-2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-1.0266558777302426E-2</v>
      </c>
      <c r="F117" s="89">
        <f t="shared" si="269"/>
        <v>2.0658175218063457E-2</v>
      </c>
      <c r="G117" s="89">
        <f t="shared" si="270"/>
        <v>2.6305583063647608E-2</v>
      </c>
      <c r="H117" s="89">
        <f t="shared" si="271"/>
        <v>3.1974484049797969E-2</v>
      </c>
      <c r="I117" s="89">
        <f t="shared" si="272"/>
        <v>-3.1031210159405465E-2</v>
      </c>
      <c r="J117" s="89">
        <f t="shared" si="273"/>
        <v>4.4559859293609172E-3</v>
      </c>
      <c r="K117" s="89">
        <f t="shared" si="274"/>
        <v>7.071961608192745E-2</v>
      </c>
      <c r="L117" s="89">
        <f t="shared" si="275"/>
        <v>-5.7773807672231059E-2</v>
      </c>
      <c r="M117" s="89">
        <f t="shared" si="276"/>
        <v>3.459262283753306E-2</v>
      </c>
      <c r="N117" s="89">
        <f t="shared" si="277"/>
        <v>1.2374823611799979E-2</v>
      </c>
      <c r="O117" s="89">
        <f t="shared" si="278"/>
        <v>-5.210962291694532E-2</v>
      </c>
      <c r="P117" s="89">
        <f t="shared" si="279"/>
        <v>7.4749884208213047E-2</v>
      </c>
      <c r="Q117" s="89">
        <f t="shared" si="280"/>
        <v>-5.5908514061119741E-2</v>
      </c>
      <c r="R117" s="89">
        <f t="shared" si="281"/>
        <v>4.2218928748299023E-2</v>
      </c>
      <c r="S117" s="89">
        <f t="shared" si="282"/>
        <v>1.4181902720766804E-3</v>
      </c>
      <c r="T117" s="89">
        <f t="shared" si="283"/>
        <v>4.4381904307328579E-2</v>
      </c>
      <c r="U117" s="89">
        <f t="shared" si="284"/>
        <v>2.1365179716741567E-2</v>
      </c>
      <c r="V117" s="89">
        <f t="shared" si="285"/>
        <v>-9.6260117480733154E-3</v>
      </c>
      <c r="W117" s="89">
        <f t="shared" si="286"/>
        <v>3.1895318744834755E-2</v>
      </c>
      <c r="X117" s="89">
        <f t="shared" si="287"/>
        <v>-9.7704760536702073E-3</v>
      </c>
      <c r="Y117" s="89">
        <f t="shared" si="288"/>
        <v>1.4766411564891779E-2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6.2881231880685062E-2</v>
      </c>
      <c r="F118" s="89">
        <f t="shared" si="269"/>
        <v>7.4126962034510191E-2</v>
      </c>
      <c r="G118" s="89">
        <f t="shared" si="270"/>
        <v>4.2343793269053798E-2</v>
      </c>
      <c r="H118" s="89">
        <f t="shared" si="271"/>
        <v>4.4370870923679639E-2</v>
      </c>
      <c r="I118" s="89">
        <f t="shared" si="272"/>
        <v>0.10127237143378265</v>
      </c>
      <c r="J118" s="89">
        <f t="shared" si="273"/>
        <v>6.6984729420667799E-2</v>
      </c>
      <c r="K118" s="89">
        <f t="shared" si="274"/>
        <v>4.8811973808729814E-2</v>
      </c>
      <c r="L118" s="89">
        <f t="shared" si="275"/>
        <v>-3.0389468246950768E-2</v>
      </c>
      <c r="M118" s="89">
        <f t="shared" si="276"/>
        <v>-0.20930081228613162</v>
      </c>
      <c r="N118" s="89">
        <f t="shared" si="277"/>
        <v>-8.4758005229496058E-3</v>
      </c>
      <c r="O118" s="89">
        <f t="shared" si="278"/>
        <v>7.8739928798847725E-2</v>
      </c>
      <c r="P118" s="89">
        <f t="shared" si="279"/>
        <v>2.9017618612539264E-2</v>
      </c>
      <c r="Q118" s="89">
        <f t="shared" si="280"/>
        <v>8.3618351978775873E-3</v>
      </c>
      <c r="R118" s="89">
        <f t="shared" si="281"/>
        <v>9.1835880015664895E-3</v>
      </c>
      <c r="S118" s="89">
        <f t="shared" si="282"/>
        <v>-4.8052744689003557E-2</v>
      </c>
      <c r="T118" s="89">
        <f t="shared" si="283"/>
        <v>9.5891333920296473E-2</v>
      </c>
      <c r="U118" s="89">
        <f t="shared" si="284"/>
        <v>-1.9259577478644818E-2</v>
      </c>
      <c r="V118" s="89">
        <f t="shared" si="285"/>
        <v>0.13542461355052415</v>
      </c>
      <c r="W118" s="89">
        <f t="shared" si="286"/>
        <v>-3.9205993020607899E-3</v>
      </c>
      <c r="X118" s="89">
        <f t="shared" si="287"/>
        <v>-8.7904375008850177E-2</v>
      </c>
      <c r="Y118" s="89">
        <f t="shared" si="288"/>
        <v>7.0070830055210642E-2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4.3059377782631358E-2</v>
      </c>
      <c r="F119" s="89">
        <f t="shared" si="269"/>
        <v>-2.1350910141161306E-3</v>
      </c>
      <c r="G119" s="89">
        <f t="shared" si="270"/>
        <v>-9.0805094867885128E-4</v>
      </c>
      <c r="H119" s="89">
        <f t="shared" si="271"/>
        <v>2.4631746410693767E-2</v>
      </c>
      <c r="I119" s="89">
        <f t="shared" si="272"/>
        <v>2.6502590980787222E-2</v>
      </c>
      <c r="J119" s="89">
        <f t="shared" si="273"/>
        <v>9.7824131683169835E-2</v>
      </c>
      <c r="K119" s="89">
        <f t="shared" si="274"/>
        <v>4.8955974616830655E-2</v>
      </c>
      <c r="L119" s="89">
        <f t="shared" si="275"/>
        <v>2.4402912084634742E-2</v>
      </c>
      <c r="M119" s="89">
        <f t="shared" si="276"/>
        <v>-8.8336084474138432E-2</v>
      </c>
      <c r="N119" s="89">
        <f t="shared" si="277"/>
        <v>6.3597674619564337E-3</v>
      </c>
      <c r="O119" s="89">
        <f t="shared" si="278"/>
        <v>8.0155944022245018E-2</v>
      </c>
      <c r="P119" s="89">
        <f t="shared" si="279"/>
        <v>2.7293571725904631E-2</v>
      </c>
      <c r="Q119" s="89">
        <f t="shared" si="280"/>
        <v>-2.0143348920037552E-3</v>
      </c>
      <c r="R119" s="89">
        <f t="shared" si="281"/>
        <v>-1.7003464124871304E-2</v>
      </c>
      <c r="S119" s="89">
        <f t="shared" si="282"/>
        <v>1.4479490020461006E-2</v>
      </c>
      <c r="T119" s="89">
        <f t="shared" si="283"/>
        <v>4.0653460338987646E-2</v>
      </c>
      <c r="U119" s="89">
        <f t="shared" si="284"/>
        <v>4.0160449123586961E-2</v>
      </c>
      <c r="V119" s="89">
        <f t="shared" si="285"/>
        <v>2.7713934367838755E-2</v>
      </c>
      <c r="W119" s="89">
        <f t="shared" si="286"/>
        <v>-1.346824600779073E-2</v>
      </c>
      <c r="X119" s="89">
        <f t="shared" si="287"/>
        <v>-0.10952038159527189</v>
      </c>
      <c r="Y119" s="89">
        <f t="shared" si="288"/>
        <v>7.6496393416819464E-2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-8.8226474213255024E-2</v>
      </c>
      <c r="F120" s="89">
        <f t="shared" si="269"/>
        <v>-9.0103034547561189E-2</v>
      </c>
      <c r="G120" s="89">
        <f t="shared" si="270"/>
        <v>-0.12670107296982447</v>
      </c>
      <c r="H120" s="89">
        <f t="shared" si="271"/>
        <v>5.9594158558848642E-2</v>
      </c>
      <c r="I120" s="89">
        <f t="shared" si="272"/>
        <v>-8.2054701324516532E-2</v>
      </c>
      <c r="J120" s="89">
        <f t="shared" si="273"/>
        <v>2.335270734869388E-3</v>
      </c>
      <c r="K120" s="89">
        <f t="shared" si="274"/>
        <v>-5.8096272219372858E-2</v>
      </c>
      <c r="L120" s="89">
        <f t="shared" si="275"/>
        <v>-8.8250755967155481E-2</v>
      </c>
      <c r="M120" s="89">
        <f t="shared" si="276"/>
        <v>-0.10275791110843757</v>
      </c>
      <c r="N120" s="89">
        <f t="shared" si="277"/>
        <v>6.4498238842186417E-2</v>
      </c>
      <c r="O120" s="89">
        <f t="shared" si="278"/>
        <v>-1.1917391253838505E-2</v>
      </c>
      <c r="P120" s="89">
        <f t="shared" si="279"/>
        <v>-8.3584961382254352E-2</v>
      </c>
      <c r="Q120" s="89">
        <f t="shared" si="280"/>
        <v>-4.1732376372194735E-2</v>
      </c>
      <c r="R120" s="89">
        <f t="shared" si="281"/>
        <v>9.1000919875408037E-3</v>
      </c>
      <c r="S120" s="89">
        <f t="shared" si="282"/>
        <v>1.9395511704391577E-2</v>
      </c>
      <c r="T120" s="89">
        <f t="shared" si="283"/>
        <v>-6.5290002459239327E-2</v>
      </c>
      <c r="U120" s="89">
        <f t="shared" si="284"/>
        <v>-0.1040634251881406</v>
      </c>
      <c r="V120" s="89">
        <f t="shared" si="285"/>
        <v>6.0604244699977716E-2</v>
      </c>
      <c r="W120" s="89">
        <f t="shared" si="286"/>
        <v>-4.5341629208437984E-2</v>
      </c>
      <c r="X120" s="89">
        <f t="shared" si="287"/>
        <v>-0.11232051040581503</v>
      </c>
      <c r="Y120" s="89">
        <f t="shared" si="288"/>
        <v>-3.7256886358377761E-3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1.7265692465192606E-2</v>
      </c>
      <c r="F121" s="89">
        <f t="shared" si="269"/>
        <v>-1.5074883866157851E-2</v>
      </c>
      <c r="G121" s="89">
        <f t="shared" si="270"/>
        <v>6.2886525349141742E-3</v>
      </c>
      <c r="H121" s="89">
        <f t="shared" si="271"/>
        <v>2.9691074983746235E-2</v>
      </c>
      <c r="I121" s="89">
        <f t="shared" si="272"/>
        <v>-4.6423208937215743E-2</v>
      </c>
      <c r="J121" s="89">
        <f t="shared" si="273"/>
        <v>0.13936451524984261</v>
      </c>
      <c r="K121" s="89">
        <f t="shared" si="274"/>
        <v>8.1021401378783331E-2</v>
      </c>
      <c r="L121" s="89">
        <f t="shared" si="275"/>
        <v>-0.10699704019213085</v>
      </c>
      <c r="M121" s="89">
        <f t="shared" si="276"/>
        <v>-0.12703861056184274</v>
      </c>
      <c r="N121" s="89">
        <f t="shared" si="277"/>
        <v>7.4427913802965984E-2</v>
      </c>
      <c r="O121" s="89">
        <f t="shared" si="278"/>
        <v>1.2739126527365752E-3</v>
      </c>
      <c r="P121" s="89">
        <f t="shared" si="279"/>
        <v>-4.3085137507738125E-2</v>
      </c>
      <c r="Q121" s="89">
        <f t="shared" si="280"/>
        <v>-4.8743115835574446E-3</v>
      </c>
      <c r="R121" s="89">
        <f t="shared" si="281"/>
        <v>-3.9010094139829699E-3</v>
      </c>
      <c r="S121" s="89">
        <f t="shared" si="282"/>
        <v>6.6736903342711429E-2</v>
      </c>
      <c r="T121" s="89">
        <f t="shared" si="283"/>
        <v>4.5728224935250195E-2</v>
      </c>
      <c r="U121" s="89">
        <f t="shared" si="284"/>
        <v>-2.0401902485540635E-3</v>
      </c>
      <c r="V121" s="89">
        <f t="shared" si="285"/>
        <v>7.7820770825376639E-2</v>
      </c>
      <c r="W121" s="89">
        <f t="shared" si="286"/>
        <v>4.8030698917509218E-2</v>
      </c>
      <c r="X121" s="89">
        <f t="shared" si="287"/>
        <v>-3.1968079447868392E-2</v>
      </c>
      <c r="Y121" s="89">
        <f t="shared" si="288"/>
        <v>0.18195846007356309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8.5587829749573796E-3</v>
      </c>
      <c r="F122" s="91">
        <f t="shared" si="269"/>
        <v>2.4988499541363174E-2</v>
      </c>
      <c r="G122" s="91">
        <f t="shared" si="270"/>
        <v>-8.9932279500093637E-2</v>
      </c>
      <c r="H122" s="91">
        <f t="shared" si="271"/>
        <v>2.7056467366544767E-2</v>
      </c>
      <c r="I122" s="91">
        <f t="shared" si="272"/>
        <v>-1.048038921132799E-2</v>
      </c>
      <c r="J122" s="91">
        <f t="shared" si="273"/>
        <v>6.4185524671884764E-2</v>
      </c>
      <c r="K122" s="91">
        <f t="shared" si="274"/>
        <v>6.0916974661590295E-2</v>
      </c>
      <c r="L122" s="91">
        <f t="shared" si="275"/>
        <v>-4.0943647769097424E-2</v>
      </c>
      <c r="M122" s="91">
        <f t="shared" si="276"/>
        <v>-0.11128364648227307</v>
      </c>
      <c r="N122" s="91">
        <f t="shared" si="277"/>
        <v>4.5569387338957767E-2</v>
      </c>
      <c r="O122" s="91">
        <f t="shared" si="278"/>
        <v>4.7085188068470618E-2</v>
      </c>
      <c r="P122" s="91">
        <f t="shared" si="279"/>
        <v>-2.434889877770352E-2</v>
      </c>
      <c r="Q122" s="91">
        <f t="shared" si="280"/>
        <v>1.7836161497663428E-2</v>
      </c>
      <c r="R122" s="91">
        <f t="shared" si="281"/>
        <v>3.321905369124134E-2</v>
      </c>
      <c r="S122" s="91">
        <f t="shared" si="282"/>
        <v>-4.7023753510140542E-2</v>
      </c>
      <c r="T122" s="91">
        <f t="shared" si="283"/>
        <v>3.2397143087462332E-2</v>
      </c>
      <c r="U122" s="91">
        <f t="shared" si="284"/>
        <v>1.1106628070493008E-2</v>
      </c>
      <c r="V122" s="91">
        <f t="shared" si="285"/>
        <v>-2.1507307949041543E-2</v>
      </c>
      <c r="W122" s="91">
        <f t="shared" si="286"/>
        <v>-6.3137608967306358E-3</v>
      </c>
      <c r="X122" s="91">
        <f t="shared" si="287"/>
        <v>-0.10113875201675493</v>
      </c>
      <c r="Y122" s="91">
        <f t="shared" si="288"/>
        <v>4.2761052394759913E-2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2024-05-20T16:45:41Z</dcterms:created>
  <dcterms:modified xsi:type="dcterms:W3CDTF">2024-05-20T16:45:41Z</dcterms:modified>
</cp:coreProperties>
</file>