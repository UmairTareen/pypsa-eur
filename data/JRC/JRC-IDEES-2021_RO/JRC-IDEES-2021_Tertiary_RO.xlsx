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RO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K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K7" i="29" s="1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N6" i="29" s="1"/>
  <c r="M14" i="29"/>
  <c r="L14" i="29"/>
  <c r="L6" i="29" s="1"/>
  <c r="K14" i="29"/>
  <c r="K6" i="29" s="1"/>
  <c r="J14" i="29"/>
  <c r="J6" i="29" s="1"/>
  <c r="I14" i="29"/>
  <c r="I6" i="29" s="1"/>
  <c r="H14" i="29"/>
  <c r="G14" i="29"/>
  <c r="G6" i="29" s="1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N11" i="29" s="1"/>
  <c r="M13" i="29"/>
  <c r="L13" i="29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M4" i="29" s="1"/>
  <c r="L12" i="29"/>
  <c r="L11" i="29" s="1"/>
  <c r="K12" i="29"/>
  <c r="J12" i="29"/>
  <c r="J11" i="29" s="1"/>
  <c r="I12" i="29"/>
  <c r="H12" i="29"/>
  <c r="G12" i="29"/>
  <c r="F12" i="29"/>
  <c r="E12" i="29"/>
  <c r="D12" i="29"/>
  <c r="D11" i="29" s="1"/>
  <c r="V11" i="29"/>
  <c r="T9" i="29"/>
  <c r="R9" i="29"/>
  <c r="Q9" i="29"/>
  <c r="L9" i="29"/>
  <c r="K9" i="29"/>
  <c r="D9" i="29"/>
  <c r="W8" i="29"/>
  <c r="U8" i="29"/>
  <c r="P8" i="29"/>
  <c r="O8" i="29"/>
  <c r="N8" i="29"/>
  <c r="H8" i="29"/>
  <c r="G8" i="29"/>
  <c r="F8" i="29"/>
  <c r="T7" i="29"/>
  <c r="S7" i="29"/>
  <c r="R7" i="29"/>
  <c r="L7" i="29"/>
  <c r="J7" i="29"/>
  <c r="I7" i="29"/>
  <c r="D7" i="29"/>
  <c r="W6" i="29"/>
  <c r="V6" i="29"/>
  <c r="P6" i="29"/>
  <c r="O6" i="29"/>
  <c r="M6" i="29"/>
  <c r="H6" i="29"/>
  <c r="F6" i="29"/>
  <c r="T5" i="29"/>
  <c r="S5" i="29"/>
  <c r="R5" i="29"/>
  <c r="L5" i="29"/>
  <c r="K5" i="29"/>
  <c r="D5" i="29"/>
  <c r="W4" i="29"/>
  <c r="V4" i="29"/>
  <c r="P4" i="29"/>
  <c r="O4" i="29"/>
  <c r="N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4" i="29" l="1"/>
  <c r="W11" i="29"/>
  <c r="K11" i="29"/>
  <c r="G11" i="29"/>
  <c r="V8" i="29"/>
  <c r="S9" i="29"/>
  <c r="U6" i="29"/>
  <c r="U11" i="29"/>
  <c r="W9" i="29"/>
  <c r="O11" i="29"/>
  <c r="G5" i="29"/>
  <c r="W5" i="29"/>
  <c r="S4" i="29"/>
  <c r="W7" i="29"/>
  <c r="W3" i="33" s="1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V4" i="14" l="1"/>
  <c r="U15" i="24"/>
  <c r="W3" i="29"/>
  <c r="U27" i="24"/>
  <c r="U19" i="25"/>
  <c r="W3" i="8"/>
  <c r="R3" i="29"/>
  <c r="S3" i="30"/>
  <c r="T15" i="12"/>
  <c r="T19" i="14"/>
  <c r="T3" i="11"/>
  <c r="T27" i="13"/>
  <c r="S3" i="32"/>
  <c r="S15" i="24"/>
  <c r="S3" i="29"/>
  <c r="S3" i="34"/>
  <c r="U3" i="22"/>
  <c r="U3" i="25" s="1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W3" i="12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90" i="6" l="1"/>
  <c r="S81" i="6"/>
  <c r="S113" i="6" s="1"/>
  <c r="S91" i="6"/>
  <c r="C91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O56" i="6"/>
  <c r="S89" i="6"/>
  <c r="S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G16" i="12" s="1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O29" i="12" s="1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N4" i="12" s="1"/>
  <c r="J4" i="8"/>
  <c r="F4" i="8"/>
  <c r="F4" i="12" s="1"/>
  <c r="B4" i="8"/>
  <c r="O29" i="9"/>
  <c r="O29" i="13" s="1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G19" i="24" l="1"/>
  <c r="J4" i="13"/>
  <c r="O4" i="13"/>
  <c r="J4" i="12"/>
  <c r="J16" i="13"/>
  <c r="L19" i="24"/>
  <c r="J19" i="23"/>
  <c r="M29" i="24"/>
  <c r="G19" i="23"/>
  <c r="J29" i="13"/>
  <c r="E4" i="13"/>
  <c r="P29" i="12"/>
  <c r="P19" i="24"/>
  <c r="C4" i="24"/>
  <c r="P29" i="13"/>
  <c r="O29" i="23"/>
  <c r="E19" i="24"/>
  <c r="I4" i="23"/>
  <c r="K4" i="24"/>
  <c r="G16" i="13"/>
  <c r="N29" i="23"/>
  <c r="C19" i="13"/>
  <c r="K19" i="24"/>
  <c r="O19" i="23"/>
  <c r="O19" i="26" s="1"/>
  <c r="Q29" i="24"/>
  <c r="G29" i="24"/>
  <c r="G29" i="27" s="1"/>
  <c r="C19" i="12"/>
  <c r="C19" i="15" s="1"/>
  <c r="P16" i="23"/>
  <c r="M4" i="14"/>
  <c r="O16" i="13"/>
  <c r="O16" i="23"/>
  <c r="F19" i="12"/>
  <c r="M16" i="24"/>
  <c r="J4" i="23"/>
  <c r="J4" i="26" s="1"/>
  <c r="P19" i="12"/>
  <c r="P19" i="15" s="1"/>
  <c r="H4" i="24"/>
  <c r="M4" i="12"/>
  <c r="O19" i="24"/>
  <c r="P16" i="24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D4" i="13"/>
  <c r="N16" i="12"/>
  <c r="N16" i="15" s="1"/>
  <c r="E16" i="12"/>
  <c r="E16" i="15" s="1"/>
  <c r="I16" i="14"/>
  <c r="Q4" i="23"/>
  <c r="J29" i="24"/>
  <c r="P16" i="13"/>
  <c r="C29" i="12"/>
  <c r="G16" i="24"/>
  <c r="I4" i="12"/>
  <c r="L16" i="13"/>
  <c r="L16" i="16" s="1"/>
  <c r="B29" i="13"/>
  <c r="L4" i="24"/>
  <c r="Q29" i="23"/>
  <c r="G16" i="25"/>
  <c r="Q4" i="24"/>
  <c r="D4" i="23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E29" i="13"/>
  <c r="L16" i="24"/>
  <c r="L16" i="27" s="1"/>
  <c r="M4" i="13"/>
  <c r="M4" i="16" s="1"/>
  <c r="D27" i="13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G15" i="23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4"/>
  <c r="K27" i="27" s="1"/>
  <c r="B27" i="12"/>
  <c r="B27" i="15" s="1"/>
  <c r="B27" i="13"/>
  <c r="Q19" i="24"/>
  <c r="K15" i="23"/>
  <c r="K15" i="24"/>
  <c r="P27" i="23"/>
  <c r="P27" i="26" s="1"/>
  <c r="P27" i="24"/>
  <c r="P27" i="27" s="1"/>
  <c r="P16" i="12"/>
  <c r="F4" i="13"/>
  <c r="L29" i="13"/>
  <c r="L15" i="23"/>
  <c r="L15" i="24"/>
  <c r="J27" i="12"/>
  <c r="J27" i="15" s="1"/>
  <c r="J27" i="13"/>
  <c r="J27" i="16" s="1"/>
  <c r="E16" i="24"/>
  <c r="D16" i="12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3" l="1"/>
  <c r="Q3" i="12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Q3" i="15" l="1"/>
  <c r="B153" i="6"/>
  <c r="M3" i="16"/>
  <c r="N3" i="16"/>
  <c r="Q3" i="16"/>
  <c r="F3" i="16"/>
  <c r="I3" i="16"/>
  <c r="L3" i="16"/>
  <c r="G3" i="16"/>
  <c r="C3" i="16"/>
  <c r="M3" i="15"/>
  <c r="J3" i="16"/>
  <c r="D3" i="16"/>
  <c r="B27" i="4"/>
  <c r="B36" i="4"/>
  <c r="B33" i="4"/>
  <c r="B26" i="4"/>
  <c r="B10" i="4"/>
  <c r="B11" i="4"/>
  <c r="B39" i="4"/>
  <c r="B38" i="4"/>
  <c r="B13" i="4"/>
  <c r="B9" i="4"/>
  <c r="B43" i="4"/>
  <c r="B28" i="4"/>
  <c r="B14" i="4"/>
  <c r="B7" i="4"/>
  <c r="B30" i="4"/>
  <c r="B16" i="4"/>
  <c r="B15" i="4"/>
  <c r="B34" i="4"/>
  <c r="B20" i="4"/>
  <c r="B17" i="4"/>
  <c r="B35" i="4"/>
  <c r="B45" i="4"/>
  <c r="B44" i="4"/>
  <c r="B12" i="4"/>
  <c r="B25" i="4"/>
  <c r="B42" i="4"/>
  <c r="B21" i="4"/>
  <c r="B29" i="4"/>
  <c r="B8" i="4"/>
  <c r="B23" i="4"/>
  <c r="B4" i="4"/>
  <c r="B37" i="4"/>
  <c r="B24" i="4"/>
  <c r="B22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<sst xmlns="http://schemas.openxmlformats.org/spreadsheetml/2006/main" count="2099" uniqueCount="1055">
  <si>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</si>
  <si>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</si>
  <si>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</si>
  <si>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</si>
  <si>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</si>
  <si>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</si>
  <si>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</si>
  <si>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</si>
  <si>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</si>
  <si>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</si>
  <si>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</si>
  <si>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</si>
  <si>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</si>
  <si>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</si>
  <si>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</si>
  <si>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</si>
  <si>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</si>
  <si>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</si>
  <si>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</si>
  <si>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</si>
  <si>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</si>
  <si>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</si>
  <si>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</si>
  <si>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</si>
  <si>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</si>
  <si>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</si>
  <si>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</si>
  <si>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</si>
  <si>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</si>
  <si>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</si>
  <si>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</si>
  <si>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</si>
  <si>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</si>
  <si>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</si>
  <si>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</si>
  <si>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</si>
  <si>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</si>
  <si>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</si>
  <si>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</si>
  <si>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</si>
  <si>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</si>
  <si>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</si>
  <si>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</si>
  <si>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</si>
  <si>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</si>
  <si>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</si>
  <si>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</si>
  <si>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</si>
  <si>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</si>
  <si>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</si>
  <si>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</si>
  <si>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</si>
  <si>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</si>
  <si>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</si>
  <si>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</si>
  <si>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</si>
  <si>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</si>
  <si>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</si>
  <si>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</si>
  <si>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</si>
  <si>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</si>
  <si>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</si>
  <si>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</si>
  <si>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</si>
  <si>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</si>
  <si>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</si>
  <si>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</si>
  <si>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</si>
  <si>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</si>
  <si>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</si>
  <si>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</si>
  <si>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</si>
  <si>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</si>
  <si>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</si>
  <si>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</si>
  <si>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</si>
  <si>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</si>
  <si>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</si>
  <si>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</si>
  <si>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</si>
  <si>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</si>
  <si>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</si>
  <si>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</si>
  <si>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</si>
  <si>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</si>
  <si>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</si>
  <si>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</si>
  <si>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</si>
  <si>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</si>
  <si>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</si>
  <si>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</si>
  <si>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</si>
  <si>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</si>
  <si>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</si>
  <si>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</si>
  <si>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</si>
  <si>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</si>
  <si>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</si>
  <si>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</si>
  <si>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</si>
  <si>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</si>
  <si>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</si>
  <si>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</si>
  <si>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</si>
  <si>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</si>
  <si>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</si>
  <si>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</si>
  <si>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</si>
  <si>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</si>
  <si>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</si>
  <si>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</si>
  <si>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</si>
  <si>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</si>
  <si>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</si>
  <si>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</si>
  <si>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</si>
  <si>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</si>
  <si>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</si>
  <si>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</si>
  <si>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</si>
  <si>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</si>
  <si>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</si>
  <si>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</si>
  <si>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</si>
  <si>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</si>
  <si>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</si>
  <si>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</si>
  <si>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</si>
  <si>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</si>
  <si>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</si>
  <si>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</si>
  <si>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</si>
  <si>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</si>
  <si>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</si>
  <si>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</si>
  <si>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</si>
  <si>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</si>
  <si>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</si>
  <si>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</si>
  <si>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</si>
  <si>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</si>
  <si>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</si>
  <si>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</si>
  <si>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</si>
  <si>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</si>
  <si>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</si>
  <si>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</si>
  <si>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</si>
  <si>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</si>
  <si>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</si>
  <si>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</si>
  <si>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</si>
  <si>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</si>
  <si>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</si>
  <si>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</si>
  <si>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</si>
  <si>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</si>
  <si>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</si>
  <si>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</si>
  <si>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</si>
  <si>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</si>
  <si>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</si>
  <si>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</si>
  <si>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</si>
  <si>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</si>
  <si>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</si>
  <si>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</si>
  <si>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</si>
  <si>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</si>
  <si>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</si>
  <si>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</si>
  <si>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</si>
  <si>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</si>
  <si>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</si>
  <si>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</si>
  <si>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</si>
  <si>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</si>
  <si>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</si>
  <si>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</si>
  <si>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</si>
  <si>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</si>
  <si>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</si>
  <si>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</si>
  <si>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</si>
  <si>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RO</t>
  </si>
  <si>
    <t>Romania</t>
  </si>
  <si>
    <t>RO - Services sector summary</t>
  </si>
  <si>
    <t>Macro.number.RO.Population</t>
  </si>
  <si>
    <t>Macro.Meuro2015.RO.GDP</t>
  </si>
  <si>
    <t>Macro.Meuro2015.RO.VA</t>
  </si>
  <si>
    <t>Macro.number.RO.Employees</t>
  </si>
  <si>
    <t>NUM.number.RO.Ser.Bld</t>
  </si>
  <si>
    <t>SurfaceArea.ksqm.RO.Ser.Bld</t>
  </si>
  <si>
    <t>NUM.number.RO.Ser.BldNew</t>
  </si>
  <si>
    <t>SurfaceArea.ksqm.RO.Ser.BldNew</t>
  </si>
  <si>
    <t>HDD.Celsius.RO.Actual</t>
  </si>
  <si>
    <t>HDD.Celsius.RO.Mean</t>
  </si>
  <si>
    <t>HDD.ratio.RO.Relative</t>
  </si>
  <si>
    <t>FEC.ktoe.RO.ES.Ser</t>
  </si>
  <si>
    <t>FEC.ktoe.RO.ES.Ser.Solids</t>
  </si>
  <si>
    <t>FEC.ktoe.RO.ES.Ser.LPG</t>
  </si>
  <si>
    <t>FEC.ktoe.RO.ES.Ser.Oil</t>
  </si>
  <si>
    <t>FEC.ktoe.RO.ES.Ser.NG</t>
  </si>
  <si>
    <t>FEC.ktoe.RO.ES.Ser.Biomass_Waste</t>
  </si>
  <si>
    <t>FEC.ktoe.RO.ES.Ser.Biogas</t>
  </si>
  <si>
    <t>FEC.ktoe.RO.ES.Ser.LiqBio</t>
  </si>
  <si>
    <t>FEC.ktoe.RO.ES.Ser.Solar</t>
  </si>
  <si>
    <t>FEC.ktoe.RO.ES.Ser.Geo</t>
  </si>
  <si>
    <t>FEC.ktoe.RO.ES.Ser.Ambient</t>
  </si>
  <si>
    <t>FEC.ktoe.RO.ES.Ser.Steam_Distr</t>
  </si>
  <si>
    <t>FEC.ktoe.RO.ES.Ser.Elec</t>
  </si>
  <si>
    <t>FEC.ktoe.RO.Ser</t>
  </si>
  <si>
    <t>FEC.ktoe.RO.Ser.Bld.Thermal</t>
  </si>
  <si>
    <t>FEC.ktoe.RO.Ser.Bld.Thermal.SH</t>
  </si>
  <si>
    <t>FEC.ktoe.RO.Ser.Bld.Thermal.SC</t>
  </si>
  <si>
    <t>FEC.ktoe.RO.Ser.Bld.Thermal.HW</t>
  </si>
  <si>
    <t>FEC.ktoe.RO.Ser.Bld.Thermal.CA</t>
  </si>
  <si>
    <t>FEC.ktoe.RO.Ser.SEU</t>
  </si>
  <si>
    <t>EMI.ktCO2.RO.ES.Ser</t>
  </si>
  <si>
    <t>EMI.ktCO2.RO.ES.Ser.Solids</t>
  </si>
  <si>
    <t>EMI.ktCO2.RO.ES.Ser.LPG</t>
  </si>
  <si>
    <t>EMI.ktCO2.RO.ES.Ser.Oil</t>
  </si>
  <si>
    <t>EMI.ktCO2.RO.ES.Ser.NG</t>
  </si>
  <si>
    <t>EMI.ktCO2.RO.ES.Ser.Biomass_Waste</t>
  </si>
  <si>
    <t>EMI.ktCO2.RO.ES.Ser.Biogas</t>
  </si>
  <si>
    <t>EMI.ktCO2.RO.ES.Ser.LiqBio</t>
  </si>
  <si>
    <t>EMI.ktCO2.RO.ES.Ser.Solar</t>
  </si>
  <si>
    <t>EMI.ktCO2.RO.ES.Ser.Geo</t>
  </si>
  <si>
    <t>EMI.ktCO2.RO.ES.Ser.Ambient</t>
  </si>
  <si>
    <t>EMI.ktCO2.RO.ES.Ser.Steam_Distr</t>
  </si>
  <si>
    <t>EMI.ktCO2.RO.ES.Ser.Elec</t>
  </si>
  <si>
    <t>EMI.ktCO2.RO.Ser</t>
  </si>
  <si>
    <t>EMI.ktCO2.RO.Ser.Bld.Thermal</t>
  </si>
  <si>
    <t>EMI.ktCO2.RO.Ser.Bld.Thermal.SH</t>
  </si>
  <si>
    <t>EMI.ktCO2.RO.Ser.Bld.Thermal.SC</t>
  </si>
  <si>
    <t>EMI.ktCO2.RO.Ser.Bld.Thermal.HW</t>
  </si>
  <si>
    <t>EMI.ktCO2.RO.Ser.Bld.Thermal.CA</t>
  </si>
  <si>
    <t>EMI.ktCO2.RO.Ser.SEU</t>
  </si>
  <si>
    <t>Eff.ratio.RO.Ser.Bld.Thermal</t>
  </si>
  <si>
    <t>Eff.ratio.RO.Ser.Bld.Thermal.SH</t>
  </si>
  <si>
    <t>Eff.ratio.RO.Ser.Bld.Thermal.SC</t>
  </si>
  <si>
    <t>Eff.ratio.RO.Ser.Bld.Thermal.HW</t>
  </si>
  <si>
    <t>Eff.ratio.RO.Ser.Bld.Thermal.CA</t>
  </si>
  <si>
    <t>RO - Number of buildings</t>
  </si>
  <si>
    <t>NUM.number.RO.Ser.Bld.Thermal</t>
  </si>
  <si>
    <t>NUM.number.RO.Ser.Bld.Thermal.SH</t>
  </si>
  <si>
    <t>NUM.number.RO.Ser.Bld.Thermal.SH.Solids</t>
  </si>
  <si>
    <t>NUM.number.RO.Ser.Bld.Thermal.SH.LPG</t>
  </si>
  <si>
    <t>NUM.number.RO.Ser.Bld.Thermal.SH.Oil</t>
  </si>
  <si>
    <t>NUM.number.RO.Ser.Bld.Thermal.SH.GasHP</t>
  </si>
  <si>
    <t>NUM.number.RO.Ser.Bld.Thermal.SH.GasTH</t>
  </si>
  <si>
    <t>NUM.number.RO.Ser.Bld.Thermal.SH.Biomass</t>
  </si>
  <si>
    <t>NUM.number.RO.Ser.Bld.Thermal.SH.Geo</t>
  </si>
  <si>
    <t>NUM.number.RO.Ser.Bld.Thermal.SH.DistrHeat</t>
  </si>
  <si>
    <t>NUM.number.RO.Ser.Bld.Thermal.SH.AdvElc</t>
  </si>
  <si>
    <t>NUM.number.RO.Ser.Bld.Thermal.SH.ConvElc</t>
  </si>
  <si>
    <t>NUM.number.RO.Ser.Bld.Thermal.SC</t>
  </si>
  <si>
    <t>NUM.number.RO.Ser.Bld.Thermal.SC.GasHP</t>
  </si>
  <si>
    <t>NUM.number.RO.Ser.Bld.Thermal.SC.AC</t>
  </si>
  <si>
    <t>NUM.number.RO.Ser.Bld.Thermal.HW</t>
  </si>
  <si>
    <t>NUM.number.RO.Ser.Bld.Thermal.HW.Solids</t>
  </si>
  <si>
    <t>NUM.number.RO.Ser.Bld.Thermal.HW.LPG</t>
  </si>
  <si>
    <t>NUM.number.RO.Ser.Bld.Thermal.HW.Oil</t>
  </si>
  <si>
    <t>NUM.number.RO.Ser.Bld.Thermal.HW.Gas</t>
  </si>
  <si>
    <t>NUM.number.RO.Ser.Bld.Thermal.HW.Biomass</t>
  </si>
  <si>
    <t>NUM.number.RO.Ser.Bld.Thermal.HW.DistrHeat</t>
  </si>
  <si>
    <t>NUM.number.RO.Ser.Bld.Thermal.HW.Elc</t>
  </si>
  <si>
    <t>NUM.number.RO.Ser.Bld.Thermal.HW.Solar</t>
  </si>
  <si>
    <t>NUM.number.RO.Ser.Bld.Thermal.CA</t>
  </si>
  <si>
    <t>NUM.number.RO.Ser.Bld.Thermal.CA.LPG</t>
  </si>
  <si>
    <t>NUM.number.RO.Ser.Bld.Thermal.CA.Gas</t>
  </si>
  <si>
    <t>NUM.number.RO.Ser.Bld.Thermal.CA.Biomass</t>
  </si>
  <si>
    <t>NUM.number.RO.Ser.Bld.Thermal.CA.Elc</t>
  </si>
  <si>
    <t>RO - Final energy consumption</t>
  </si>
  <si>
    <t>FEC.ktoe.RO.Ser.Bld.Thermal.SH.Solids.Solids</t>
  </si>
  <si>
    <t>FEC.ktoe.RO.Ser.Bld.Thermal.SH.LPG.LPG</t>
  </si>
  <si>
    <t>FEC.ktoe.RO.Ser.Bld.Thermal.SH.Oil.Oil_LiqBio</t>
  </si>
  <si>
    <t>FEC.ktoe.RO.Ser.Bld.Thermal.SH.GasHP.NG_Biogas</t>
  </si>
  <si>
    <t>FEC.ktoe.RO.Ser.Bld.Thermal.SH.GasTH.NG_Biogas</t>
  </si>
  <si>
    <t>FEC.ktoe.RO.Ser.Bld.Thermal.SH.Biomass.Biomass_Waste</t>
  </si>
  <si>
    <t>FEC.ktoe.RO.Ser.Bld.Thermal.SH.Geo.Geo</t>
  </si>
  <si>
    <t>FEC.ktoe.RO.Ser.Bld.Thermal.SH.DistrHeat.Steam_Distr</t>
  </si>
  <si>
    <t>FEC.ktoe.RO.Ser.Bld.Thermal.SH.AdvElc.Elec</t>
  </si>
  <si>
    <t>FEC.ktoe.RO.Ser.Bld.Thermal.SH.ConvElc.Elec</t>
  </si>
  <si>
    <t>FEC.ktoe.RO.Ser.Bld.Thermal.SH.TotalCirculation.Elec</t>
  </si>
  <si>
    <t>FEC.ktoe.RO.Ser.Bld.Thermal.SC.GasHP.NG_Biogas</t>
  </si>
  <si>
    <t>FEC.ktoe.RO.Ser.Bld.Thermal.SC.AC.Elec</t>
  </si>
  <si>
    <t>FEC.ktoe.RO.Ser.Bld.Thermal.HW.Solids.Solids</t>
  </si>
  <si>
    <t>FEC.ktoe.RO.Ser.Bld.Thermal.HW.LPG.LPG</t>
  </si>
  <si>
    <t>FEC.ktoe.RO.Ser.Bld.Thermal.HW.Oil.Oil_LiqBio</t>
  </si>
  <si>
    <t>FEC.ktoe.RO.Ser.Bld.Thermal.HW.Gas.NG_Biogas</t>
  </si>
  <si>
    <t>FEC.ktoe.RO.Ser.Bld.Thermal.HW.Biomass.Biomass_Waste</t>
  </si>
  <si>
    <t>FEC.ktoe.RO.Ser.Bld.Thermal.HW.DistrHeat.Steam_Distr</t>
  </si>
  <si>
    <t>FEC.ktoe.RO.Ser.Bld.Thermal.HW.Elc.Elec</t>
  </si>
  <si>
    <t>FEC.ktoe.RO.Ser.Bld.Thermal.HW.TotalSolar.Solar</t>
  </si>
  <si>
    <t>FEC.ktoe.RO.Ser.Bld.Thermal.CA.LPG</t>
  </si>
  <si>
    <t>FEC.ktoe.RO.Ser.Bld.Thermal.CA.Gas.NG_Biogas</t>
  </si>
  <si>
    <t>FEC.ktoe.RO.Ser.Bld.Thermal.CA.Biomass.Biomass_Waste</t>
  </si>
  <si>
    <t>FEC.ktoe.RO.Ser.Bld.Thermal.CA.Elc.Elec</t>
  </si>
  <si>
    <t>RO - Thermal energy service</t>
  </si>
  <si>
    <t>TES.ktoe.RO.Ser.Bld.Thermal</t>
  </si>
  <si>
    <t>TES.ktoe.RO.Ser.Bld.Thermal.SH</t>
  </si>
  <si>
    <t>TES.ktoe.RO.Ser.Bld.Thermal.SH.Solids.Solids</t>
  </si>
  <si>
    <t>TES.ktoe.RO.Ser.Bld.Thermal.SH.LPG.LPG</t>
  </si>
  <si>
    <t>TES.ktoe.RO.Ser.Bld.Thermal.SH.Oil.Oil_LiqBio</t>
  </si>
  <si>
    <t>TES.ktoe.RO.Ser.Bld.Thermal.SH.GasHP.NG_Biogas</t>
  </si>
  <si>
    <t>TES.ktoe.RO.Ser.Bld.Thermal.SH.GasTH.NG_Biogas</t>
  </si>
  <si>
    <t>TES.ktoe.RO.Ser.Bld.Thermal.SH.Biomass.Biomass_Waste</t>
  </si>
  <si>
    <t>TES.ktoe.RO.Ser.Bld.Thermal.SH.Geo.Geo</t>
  </si>
  <si>
    <t>TES.ktoe.RO.Ser.Bld.Thermal.SH.DistrHeat.Steam_Distr</t>
  </si>
  <si>
    <t>TES.ktoe.RO.Ser.Bld.Thermal.SH.AdvElc.Elec</t>
  </si>
  <si>
    <t>TES.ktoe.RO.Ser.Bld.Thermal.SH.ConvElc.Elec</t>
  </si>
  <si>
    <t>TES.ktoe.RO.Ser.Bld.Thermal.SH.TotalCirculation.Elec</t>
  </si>
  <si>
    <t>TES.ktoe.RO.Ser.Bld.Thermal.SC</t>
  </si>
  <si>
    <t>TES.ktoe.RO.Ser.Bld.Thermal.SC.GasHP.NG_Biogas</t>
  </si>
  <si>
    <t>TES.ktoe.RO.Ser.Bld.Thermal.SC.AC.Elec</t>
  </si>
  <si>
    <t>TES.ktoe.RO.Ser.Bld.Thermal.HW</t>
  </si>
  <si>
    <t>TES.ktoe.RO.Ser.Bld.Thermal.HW.Solids.Solids</t>
  </si>
  <si>
    <t>TES.ktoe.RO.Ser.Bld.Thermal.HW.LPG.LPG</t>
  </si>
  <si>
    <t>TES.ktoe.RO.Ser.Bld.Thermal.HW.Oil.Oil_LiqBio</t>
  </si>
  <si>
    <t>TES.ktoe.RO.Ser.Bld.Thermal.HW.Gas.NG_Biogas</t>
  </si>
  <si>
    <t>TES.ktoe.RO.Ser.Bld.Thermal.HW.Biomass.Biomass_Waste</t>
  </si>
  <si>
    <t>TES.ktoe.RO.Ser.Bld.Thermal.HW.DistrHeat.Steam_Distr</t>
  </si>
  <si>
    <t>TES.ktoe.RO.Ser.Bld.Thermal.HW.Elc.Elec</t>
  </si>
  <si>
    <t>TES.ktoe.RO.Ser.Bld.Thermal.HW.TotalSolar.Solar</t>
  </si>
  <si>
    <t>TES.ktoe.RO.Ser.Bld.Thermal.CA</t>
  </si>
  <si>
    <t>TES.ktoe.RO.Ser.Bld.Thermal.CA.LPG</t>
  </si>
  <si>
    <t>TES.ktoe.RO.Ser.Bld.Thermal.CA.Gas.NG_Biogas</t>
  </si>
  <si>
    <t>TES.ktoe.RO.Ser.Bld.Thermal.CA.Biomass.Biomass_Waste</t>
  </si>
  <si>
    <t>TES.ktoe.RO.Ser.Bld.Thermal.CA.Elc.Elec</t>
  </si>
  <si>
    <t>RO - System efficiency indicator of total stock</t>
  </si>
  <si>
    <t>Eff.ratio.RO.Ser.Bld.Thermal.SH.Solids.Solids</t>
  </si>
  <si>
    <t>Eff.ratio.RO.Ser.Bld.Thermal.SH.LPG.LPG</t>
  </si>
  <si>
    <t>Eff.ratio.RO.Ser.Bld.Thermal.SH.Oil.Oil_LiqBio</t>
  </si>
  <si>
    <t>Eff.ratio.RO.Ser.Bld.Thermal.SH.GasHP.NG_Biogas</t>
  </si>
  <si>
    <t>Eff.ratio.RO.Ser.Bld.Thermal.SH.GasTH.NG_Biogas</t>
  </si>
  <si>
    <t>Eff.ratio.RO.Ser.Bld.Thermal.SH.Biomass.Biomass_Waste</t>
  </si>
  <si>
    <t>Eff.ratio.RO.Ser.Bld.Thermal.SH.Geo.Geo</t>
  </si>
  <si>
    <t>Eff.ratio.RO.Ser.Bld.Thermal.SH.DistrHeat.Steam_Distr</t>
  </si>
  <si>
    <t>Eff.ratio.RO.Ser.Bld.Thermal.SH.AdvElc.Elec</t>
  </si>
  <si>
    <t>Eff.ratio.RO.Ser.Bld.Thermal.SH.ConvElc.Elec</t>
  </si>
  <si>
    <t>Eff.ratio.RO.Ser.Bld.Thermal.SH.TotalCirculation.Elec</t>
  </si>
  <si>
    <t>Eff.ratio.RO.Ser.Bld.Thermal.SC.GasHP.NG_Biogas</t>
  </si>
  <si>
    <t>Eff.ratio.RO.Ser.Bld.Thermal.SC.AC.Elec</t>
  </si>
  <si>
    <t>Eff.ratio.RO.Ser.Bld.Thermal.HW.Solids.Solids</t>
  </si>
  <si>
    <t>Eff.ratio.RO.Ser.Bld.Thermal.HW.LPG.LPG</t>
  </si>
  <si>
    <t>Eff.ratio.RO.Ser.Bld.Thermal.HW.Oil.Oil_LiqBio</t>
  </si>
  <si>
    <t>Eff.ratio.RO.Ser.Bld.Thermal.HW.Gas.NG_Biogas</t>
  </si>
  <si>
    <t>Eff.ratio.RO.Ser.Bld.Thermal.HW.Biomass.Biomass_Waste</t>
  </si>
  <si>
    <t>Eff.ratio.RO.Ser.Bld.Thermal.HW.DistrHeat.Steam_Distr</t>
  </si>
  <si>
    <t>Eff.ratio.RO.Ser.Bld.Thermal.HW.Elc.Elec</t>
  </si>
  <si>
    <t>Eff.ratio.RO.Ser.Bld.Thermal.HW.TotalSolar.Solar</t>
  </si>
  <si>
    <t>Eff.ratio.RO.Ser.Bld.Thermal.CA.LPG</t>
  </si>
  <si>
    <t>Eff.ratio.RO.Ser.Bld.Thermal.CA.Gas.NG_Biogas</t>
  </si>
  <si>
    <t>Eff.ratio.RO.Ser.Bld.Thermal.CA.Biomass.Biomass_Waste</t>
  </si>
  <si>
    <t>Eff.ratio.RO.Ser.Bld.Thermal.CA.Elc.Elec</t>
  </si>
  <si>
    <t>RO - CO2 emissions</t>
  </si>
  <si>
    <t>EMI.ktCO2.RO.Ser.Bld.Thermal.SH.Solids.Solids</t>
  </si>
  <si>
    <t>EMI.ktCO2.RO.Ser.Bld.Thermal.SH.LPG.LPG</t>
  </si>
  <si>
    <t>EMI.ktCO2.RO.Ser.Bld.Thermal.SH.Oil.Oil_LiqBio</t>
  </si>
  <si>
    <t>EMI.ktCO2.RO.Ser.Bld.Thermal.SH.GasHP.NG_Biogas</t>
  </si>
  <si>
    <t>EMI.ktCO2.RO.Ser.Bld.Thermal.SH.GasTH.NG_Biogas</t>
  </si>
  <si>
    <t>EMI.ktCO2.RO.Ser.Bld.Thermal.SH.Biomass.Biomass_Waste</t>
  </si>
  <si>
    <t>EMI.ktCO2.RO.Ser.Bld.Thermal.SH.Geo.Geo</t>
  </si>
  <si>
    <t>EMI.ktCO2.RO.Ser.Bld.Thermal.SH.DistrHeat.Steam_Distr</t>
  </si>
  <si>
    <t>EMI.ktCO2.RO.Ser.Bld.Thermal.SH.AdvElc.Elec</t>
  </si>
  <si>
    <t>EMI.ktCO2.RO.Ser.Bld.Thermal.SH.ConvElc.Elec</t>
  </si>
  <si>
    <t>EMI.ktCO2.RO.Ser.Bld.Thermal.SH.TotalCirculation.Elec</t>
  </si>
  <si>
    <t>EMI.ktCO2.RO.Ser.Bld.Thermal.SC.GasHP.NG_Biogas</t>
  </si>
  <si>
    <t>EMI.ktCO2.RO.Ser.Bld.Thermal.SC.AC.Elec</t>
  </si>
  <si>
    <t>EMI.ktCO2.RO.Ser.Bld.Thermal.HW.Solids.Solids</t>
  </si>
  <si>
    <t>EMI.ktCO2.RO.Ser.Bld.Thermal.HW.LPG.LPG</t>
  </si>
  <si>
    <t>EMI.ktCO2.RO.Ser.Bld.Thermal.HW.Oil.Oil_LiqBio</t>
  </si>
  <si>
    <t>EMI.ktCO2.RO.Ser.Bld.Thermal.HW.Gas.NG_Biogas</t>
  </si>
  <si>
    <t>EMI.ktCO2.RO.Ser.Bld.Thermal.HW.Biomass.Biomass_Waste</t>
  </si>
  <si>
    <t>EMI.ktCO2.RO.Ser.Bld.Thermal.HW.DistrHeat.Steam_Distr</t>
  </si>
  <si>
    <t>EMI.ktCO2.RO.Ser.Bld.Thermal.HW.Elc.Elec</t>
  </si>
  <si>
    <t>EMI.ktCO2.RO.Ser.Bld.Thermal.HW.TotalSolar.Solar</t>
  </si>
  <si>
    <t>EMI.ktCO2.RO.Ser.Bld.Thermal.CA.LPG</t>
  </si>
  <si>
    <t>EMI.ktCO2.RO.Ser.Bld.Thermal.CA.Gas.NG_Biogas</t>
  </si>
  <si>
    <t>EMI.ktCO2.RO.Ser.Bld.Thermal.CA.Biomass.Biomass_Waste</t>
  </si>
  <si>
    <t>EMI.ktCO2.RO.Ser.Bld.Thermal.CA.Elc.Elec</t>
  </si>
  <si>
    <t>RO - Final energy consumption per building</t>
  </si>
  <si>
    <t>FEC_per_building.kWh.RO.Ser.Bld.Thermal</t>
  </si>
  <si>
    <t>FEC_per_building.kWh.RO.Ser.Bld.Thermal.SH</t>
  </si>
  <si>
    <t>FEC_per_building.kWh.RO.Ser.Bld.Thermal.SH.Solids.Solids</t>
  </si>
  <si>
    <t>FEC_per_building.kWh.RO.Ser.Bld.Thermal.SH.LPG.LPG</t>
  </si>
  <si>
    <t>FEC_per_building.kWh.RO.Ser.Bld.Thermal.SH.Oil.Oil_LiqBio</t>
  </si>
  <si>
    <t>FEC_per_building.kWh.RO.Ser.Bld.Thermal.SH.GasHP.NG_Biogas</t>
  </si>
  <si>
    <t>FEC_per_building.kWh.RO.Ser.Bld.Thermal.SH.GasTH.NG_Biogas</t>
  </si>
  <si>
    <t>FEC_per_building.kWh.RO.Ser.Bld.Thermal.SH.Biomass.Biomass_Waste</t>
  </si>
  <si>
    <t>FEC_per_building.kWh.RO.Ser.Bld.Thermal.SH.Geo.Geo</t>
  </si>
  <si>
    <t>FEC_per_building.kWh.RO.Ser.Bld.Thermal.SH.DistrHeat.Steam_Distr</t>
  </si>
  <si>
    <t>FEC_per_building.kWh.RO.Ser.Bld.Thermal.SH.AdvElc.Elec</t>
  </si>
  <si>
    <t>FEC_per_building.kWh.RO.Ser.Bld.Thermal.SH.ConvElc.Elec</t>
  </si>
  <si>
    <t>FEC_per_building.kWh.RO.Ser.Bld.Thermal.SH.TotalCirculation.Elec</t>
  </si>
  <si>
    <t>FEC_per_building.kWh.RO.Ser.Bld.Thermal.SC</t>
  </si>
  <si>
    <t>FEC_per_building.kWh.RO.Ser.Bld.Thermal.SC.GasHP.NG_Biogas</t>
  </si>
  <si>
    <t>FEC_per_building.kWh.RO.Ser.Bld.Thermal.SC.AC.Elec</t>
  </si>
  <si>
    <t>FEC_per_building.kWh.RO.Ser.Bld.Thermal.HW</t>
  </si>
  <si>
    <t>FEC_per_building.kWh.RO.Ser.Bld.Thermal.HW.Solids.Solids</t>
  </si>
  <si>
    <t>FEC_per_building.kWh.RO.Ser.Bld.Thermal.HW.LPG.LPG</t>
  </si>
  <si>
    <t>FEC_per_building.kWh.RO.Ser.Bld.Thermal.HW.Oil.Oil_LiqBio</t>
  </si>
  <si>
    <t>FEC_per_building.kWh.RO.Ser.Bld.Thermal.HW.Gas.NG_Biogas</t>
  </si>
  <si>
    <t>FEC_per_building.kWh.RO.Ser.Bld.Thermal.HW.Biomass.Biomass_Waste</t>
  </si>
  <si>
    <t>FEC_per_building.kWh.RO.Ser.Bld.Thermal.HW.DistrHeat.Steam_Distr</t>
  </si>
  <si>
    <t>FEC_per_building.kWh.RO.Ser.Bld.Thermal.HW.Elc.Elec</t>
  </si>
  <si>
    <t>FEC_per_building.kWh.RO.Ser.Bld.Thermal.HW.TotalSolar.Solar</t>
  </si>
  <si>
    <t>FEC_per_building.kWh.RO.Ser.Bld.Thermal.CA</t>
  </si>
  <si>
    <t>FEC_per_building.kWh.RO.Ser.Bld.Thermal.CA.LPG</t>
  </si>
  <si>
    <t>FEC_per_building.kWh.RO.Ser.Bld.Thermal.CA.Gas.NG_Biogas</t>
  </si>
  <si>
    <t>FEC_per_building.kWh.RO.Ser.Bld.Thermal.CA.Biomass.Biomass_Waste</t>
  </si>
  <si>
    <t>FEC_per_building.kWh.RO.Ser.Bld.Thermal.CA.Elc.Elec</t>
  </si>
  <si>
    <t>RO - Thermal energy service per building</t>
  </si>
  <si>
    <t>TES_per_building.kWh.RO.Ser.Bld.Thermal</t>
  </si>
  <si>
    <t>TES_per_building.kWh.RO.Ser.Bld.Thermal.SH</t>
  </si>
  <si>
    <t>TES_per_building.kWh.RO.Ser.Bld.Thermal.SH.Solids.Solids</t>
  </si>
  <si>
    <t>TES_per_building.kWh.RO.Ser.Bld.Thermal.SH.LPG.LPG</t>
  </si>
  <si>
    <t>TES_per_building.kWh.RO.Ser.Bld.Thermal.SH.Oil.Oil_LiqBio</t>
  </si>
  <si>
    <t>TES_per_building.kWh.RO.Ser.Bld.Thermal.SH.GasHP.NG_Biogas</t>
  </si>
  <si>
    <t>TES_per_building.kWh.RO.Ser.Bld.Thermal.SH.GasTH.NG_Biogas</t>
  </si>
  <si>
    <t>TES_per_building.kWh.RO.Ser.Bld.Thermal.SH.Biomass.Biomass_Waste</t>
  </si>
  <si>
    <t>TES_per_building.kWh.RO.Ser.Bld.Thermal.SH.Geo.Geo</t>
  </si>
  <si>
    <t>TES_per_building.kWh.RO.Ser.Bld.Thermal.SH.DistrHeat.Steam_Distr</t>
  </si>
  <si>
    <t>TES_per_building.kWh.RO.Ser.Bld.Thermal.SH.AdvElc.Elec</t>
  </si>
  <si>
    <t>TES_per_building.kWh.RO.Ser.Bld.Thermal.SH.ConvElc.Elec</t>
  </si>
  <si>
    <t>TES_per_building.kWh.RO.Ser.Bld.Thermal.SH.TotalCirculation.Elec</t>
  </si>
  <si>
    <t>TES_per_building.kWh.RO.Ser.Bld.Thermal.SC</t>
  </si>
  <si>
    <t>TES_per_building.kWh.RO.Ser.Bld.Thermal.SC.GasHP.NG_Biogas</t>
  </si>
  <si>
    <t>TES_per_building.kWh.RO.Ser.Bld.Thermal.SC.AC.Elec</t>
  </si>
  <si>
    <t>TES_per_building.kWh.RO.Ser.Bld.Thermal.HW</t>
  </si>
  <si>
    <t>TES_per_building.kWh.RO.Ser.Bld.Thermal.HW.Solids.Solids</t>
  </si>
  <si>
    <t>TES_per_building.kWh.RO.Ser.Bld.Thermal.HW.LPG.LPG</t>
  </si>
  <si>
    <t>TES_per_building.kWh.RO.Ser.Bld.Thermal.HW.Oil.Oil_LiqBio</t>
  </si>
  <si>
    <t>TES_per_building.kWh.RO.Ser.Bld.Thermal.HW.Gas.NG_Biogas</t>
  </si>
  <si>
    <t>TES_per_building.kWh.RO.Ser.Bld.Thermal.HW.Biomass.Biomass_Waste</t>
  </si>
  <si>
    <t>TES_per_building.kWh.RO.Ser.Bld.Thermal.HW.DistrHeat.Steam_Distr</t>
  </si>
  <si>
    <t>TES_per_building.kWh.RO.Ser.Bld.Thermal.HW.Elc.Elec</t>
  </si>
  <si>
    <t>TES_per_building.kWh.RO.Ser.Bld.Thermal.HW.TotalSolar.Solar</t>
  </si>
  <si>
    <t>TES_per_building.kWh.RO.Ser.Bld.Thermal.CA</t>
  </si>
  <si>
    <t>TES_per_building.kWh.RO.Ser.Bld.Thermal.CA.LPG</t>
  </si>
  <si>
    <t>TES_per_building.kWh.RO.Ser.Bld.Thermal.CA.Gas.NG_Biogas</t>
  </si>
  <si>
    <t>TES_per_building.kWh.RO.Ser.Bld.Thermal.CA.Biomass.Biomass_Waste</t>
  </si>
  <si>
    <t>TES_per_building.kWh.RO.Ser.Bld.Thermal.CA.Elc.Elec</t>
  </si>
  <si>
    <t>RO - CO2 emissions per building</t>
  </si>
  <si>
    <t>EMI_per_building.kgCO2.RO.Ser.Bld.Thermal</t>
  </si>
  <si>
    <t>EMI_per_building.kgCO2.RO.Ser.Bld.Thermal.SH</t>
  </si>
  <si>
    <t>EMI_per_building.kgCO2.RO.Ser.Bld.Thermal.SH.Solids.Solids</t>
  </si>
  <si>
    <t>EMI_per_building.kgCO2.RO.Ser.Bld.Thermal.SH.LPG.LPG</t>
  </si>
  <si>
    <t>EMI_per_building.kgCO2.RO.Ser.Bld.Thermal.SH.Oil.Oil_LiqBio</t>
  </si>
  <si>
    <t>EMI_per_building.kgCO2.RO.Ser.Bld.Thermal.SH.GasHP.NG_Biogas</t>
  </si>
  <si>
    <t>EMI_per_building.kgCO2.RO.Ser.Bld.Thermal.SH.GasTH.NG_Biogas</t>
  </si>
  <si>
    <t>EMI_per_building.kgCO2.RO.Ser.Bld.Thermal.SH.Biomass.Biomass_Waste</t>
  </si>
  <si>
    <t>EMI_per_building.kgCO2.RO.Ser.Bld.Thermal.SH.Geo.Geo</t>
  </si>
  <si>
    <t>EMI_per_building.kgCO2.RO.Ser.Bld.Thermal.SH.DistrHeat.Steam_Distr</t>
  </si>
  <si>
    <t>EMI_per_building.kgCO2.RO.Ser.Bld.Thermal.SH.AdvElc.Elec</t>
  </si>
  <si>
    <t>EMI_per_building.kgCO2.RO.Ser.Bld.Thermal.SH.ConvElc.Elec</t>
  </si>
  <si>
    <t>EMI_per_building.kgCO2.RO.Ser.Bld.Thermal.SH.TotalCirculation.Elec</t>
  </si>
  <si>
    <t>EMI_per_building.kgCO2.RO.Ser.Bld.Thermal.SC</t>
  </si>
  <si>
    <t>EMI_per_building.kgCO2.RO.Ser.Bld.Thermal.SC.GasHP.NG_Biogas</t>
  </si>
  <si>
    <t>EMI_per_building.kgCO2.RO.Ser.Bld.Thermal.SC.AC.Elec</t>
  </si>
  <si>
    <t>EMI_per_building.kgCO2.RO.Ser.Bld.Thermal.HW</t>
  </si>
  <si>
    <t>EMI_per_building.kgCO2.RO.Ser.Bld.Thermal.HW.Solids.Solids</t>
  </si>
  <si>
    <t>EMI_per_building.kgCO2.RO.Ser.Bld.Thermal.HW.LPG.LPG</t>
  </si>
  <si>
    <t>EMI_per_building.kgCO2.RO.Ser.Bld.Thermal.HW.Oil.Oil_LiqBio</t>
  </si>
  <si>
    <t>EMI_per_building.kgCO2.RO.Ser.Bld.Thermal.HW.Gas.NG_Biogas</t>
  </si>
  <si>
    <t>EMI_per_building.kgCO2.RO.Ser.Bld.Thermal.HW.Biomass.Biomass_Waste</t>
  </si>
  <si>
    <t>EMI_per_building.kgCO2.RO.Ser.Bld.Thermal.HW.DistrHeat.Steam_Distr</t>
  </si>
  <si>
    <t>EMI_per_building.kgCO2.RO.Ser.Bld.Thermal.HW.Elc.Elec</t>
  </si>
  <si>
    <t>EMI_per_building.kgCO2.RO.Ser.Bld.Thermal.HW.TotalSolar.Solar</t>
  </si>
  <si>
    <t>EMI_per_building.kgCO2.RO.Ser.Bld.Thermal.CA</t>
  </si>
  <si>
    <t>EMI_per_building.kgCO2.RO.Ser.Bld.Thermal.CA.LPG</t>
  </si>
  <si>
    <t>EMI_per_building.kgCO2.RO.Ser.Bld.Thermal.CA.Gas.NG_Biogas</t>
  </si>
  <si>
    <t>EMI_per_building.kgCO2.RO.Ser.Bld.Thermal.CA.Biomass.Biomass_Waste</t>
  </si>
  <si>
    <t>EMI_per_building.kgCO2.RO.Ser.Bld.Thermal.CA.Elc.Elec</t>
  </si>
  <si>
    <t>RO - Final energy consumption per useful surface area</t>
  </si>
  <si>
    <t>FEC_per_sqm.kWh.RO.Ser.Bld.Thermal</t>
  </si>
  <si>
    <t>FEC_per_sqm.kWh.RO.Ser.Bld.Thermal.SH</t>
  </si>
  <si>
    <t>FEC_per_sqm.kWh.RO.Ser.Bld.Thermal.SH.Solids.Solids</t>
  </si>
  <si>
    <t>FEC_per_sqm.kWh.RO.Ser.Bld.Thermal.SH.LPG.LPG</t>
  </si>
  <si>
    <t>FEC_per_sqm.kWh.RO.Ser.Bld.Thermal.SH.Oil.Oil_LiqBio</t>
  </si>
  <si>
    <t>FEC_per_sqm.kWh.RO.Ser.Bld.Thermal.SH.GasHP.NG_Biogas</t>
  </si>
  <si>
    <t>FEC_per_sqm.kWh.RO.Ser.Bld.Thermal.SH.GasTH.NG_Biogas</t>
  </si>
  <si>
    <t>FEC_per_sqm.kWh.RO.Ser.Bld.Thermal.SH.Biomass.Biomass_Waste</t>
  </si>
  <si>
    <t>FEC_per_sqm.kWh.RO.Ser.Bld.Thermal.SH.Geo.Geo</t>
  </si>
  <si>
    <t>FEC_per_sqm.kWh.RO.Ser.Bld.Thermal.SH.DistrHeat.Steam_Distr</t>
  </si>
  <si>
    <t>FEC_per_sqm.kWh.RO.Ser.Bld.Thermal.SH.AdvElc.Elec</t>
  </si>
  <si>
    <t>FEC_per_sqm.kWh.RO.Ser.Bld.Thermal.SH.ConvElc.Elec</t>
  </si>
  <si>
    <t>FEC_per_sqm.kWh.RO.Ser.Bld.Thermal.SH.TotalCirculation.Elec</t>
  </si>
  <si>
    <t>FEC_per_sqm.kWh.RO.Ser.Bld.Thermal.SC</t>
  </si>
  <si>
    <t>FEC_per_sqm.kWh.RO.Ser.Bld.Thermal.SC.GasHP.NG_Biogas</t>
  </si>
  <si>
    <t>FEC_per_sqm.kWh.RO.Ser.Bld.Thermal.SC.AC.Elec</t>
  </si>
  <si>
    <t>FEC_per_sqm.kWh.RO.Ser.Bld.Thermal.HW</t>
  </si>
  <si>
    <t>FEC_per_sqm.kWh.RO.Ser.Bld.Thermal.HW.Solids.Solids</t>
  </si>
  <si>
    <t>FEC_per_sqm.kWh.RO.Ser.Bld.Thermal.HW.LPG.LPG</t>
  </si>
  <si>
    <t>FEC_per_sqm.kWh.RO.Ser.Bld.Thermal.HW.Oil.Oil_LiqBio</t>
  </si>
  <si>
    <t>FEC_per_sqm.kWh.RO.Ser.Bld.Thermal.HW.Gas.NG_Biogas</t>
  </si>
  <si>
    <t>FEC_per_sqm.kWh.RO.Ser.Bld.Thermal.HW.Biomass.Biomass_Waste</t>
  </si>
  <si>
    <t>FEC_per_sqm.kWh.RO.Ser.Bld.Thermal.HW.DistrHeat.Steam_Distr</t>
  </si>
  <si>
    <t>FEC_per_sqm.kWh.RO.Ser.Bld.Thermal.HW.Elc.Elec</t>
  </si>
  <si>
    <t>FEC_per_sqm.kWh.RO.Ser.Bld.Thermal.HW.TotalSolar.Solar</t>
  </si>
  <si>
    <t>FEC_per_sqm.kWh.RO.Ser.Bld.Thermal.CA</t>
  </si>
  <si>
    <t>FEC_per_sqm.kWh.RO.Ser.Bld.Thermal.CA.LPG</t>
  </si>
  <si>
    <t>FEC_per_sqm.kWh.RO.Ser.Bld.Thermal.CA.Gas.NG_Biogas</t>
  </si>
  <si>
    <t>FEC_per_sqm.kWh.RO.Ser.Bld.Thermal.CA.Biomass.Biomass_Waste</t>
  </si>
  <si>
    <t>FEC_per_sqm.kWh.RO.Ser.Bld.Thermal.CA.Elc.Elec</t>
  </si>
  <si>
    <t>RO - Thermal energy service per useful surface area</t>
  </si>
  <si>
    <t>TES_per_sqm.kWh.RO.Ser.Bld.Thermal</t>
  </si>
  <si>
    <t>TES_per_sqm.kWh.RO.Ser.Bld.Thermal.SH</t>
  </si>
  <si>
    <t>TES_per_sqm.kWh.RO.Ser.Bld.Thermal.SH.Solids.Solids</t>
  </si>
  <si>
    <t>TES_per_sqm.kWh.RO.Ser.Bld.Thermal.SH.LPG.LPG</t>
  </si>
  <si>
    <t>TES_per_sqm.kWh.RO.Ser.Bld.Thermal.SH.Oil.Oil_LiqBio</t>
  </si>
  <si>
    <t>TES_per_sqm.kWh.RO.Ser.Bld.Thermal.SH.GasHP.NG_Biogas</t>
  </si>
  <si>
    <t>TES_per_sqm.kWh.RO.Ser.Bld.Thermal.SH.GasTH.NG_Biogas</t>
  </si>
  <si>
    <t>TES_per_sqm.kWh.RO.Ser.Bld.Thermal.SH.Biomass.Biomass_Waste</t>
  </si>
  <si>
    <t>TES_per_sqm.kWh.RO.Ser.Bld.Thermal.SH.Geo.Geo</t>
  </si>
  <si>
    <t>TES_per_sqm.kWh.RO.Ser.Bld.Thermal.SH.DistrHeat.Steam_Distr</t>
  </si>
  <si>
    <t>TES_per_sqm.kWh.RO.Ser.Bld.Thermal.SH.AdvElc.Elec</t>
  </si>
  <si>
    <t>TES_per_sqm.kWh.RO.Ser.Bld.Thermal.SH.ConvElc.Elec</t>
  </si>
  <si>
    <t>TES_per_sqm.kWh.RO.Ser.Bld.Thermal.SH.TotalCirculation.Elec</t>
  </si>
  <si>
    <t>TES_per_sqm.kWh.RO.Ser.Bld.Thermal.SC</t>
  </si>
  <si>
    <t>TES_per_sqm.kWh.RO.Ser.Bld.Thermal.SC.GasHP.NG_Biogas</t>
  </si>
  <si>
    <t>TES_per_sqm.kWh.RO.Ser.Bld.Thermal.SC.AC.Elec</t>
  </si>
  <si>
    <t>TES_per_sqm.kWh.RO.Ser.Bld.Thermal.HW</t>
  </si>
  <si>
    <t>TES_per_sqm.kWh.RO.Ser.Bld.Thermal.HW.Solids.Solids</t>
  </si>
  <si>
    <t>TES_per_sqm.kWh.RO.Ser.Bld.Thermal.HW.LPG.LPG</t>
  </si>
  <si>
    <t>TES_per_sqm.kWh.RO.Ser.Bld.Thermal.HW.Oil.Oil_LiqBio</t>
  </si>
  <si>
    <t>TES_per_sqm.kWh.RO.Ser.Bld.Thermal.HW.Gas.NG_Biogas</t>
  </si>
  <si>
    <t>TES_per_sqm.kWh.RO.Ser.Bld.Thermal.HW.Biomass.Biomass_Waste</t>
  </si>
  <si>
    <t>TES_per_sqm.kWh.RO.Ser.Bld.Thermal.HW.DistrHeat.Steam_Distr</t>
  </si>
  <si>
    <t>TES_per_sqm.kWh.RO.Ser.Bld.Thermal.HW.Elc.Elec</t>
  </si>
  <si>
    <t>TES_per_sqm.kWh.RO.Ser.Bld.Thermal.HW.TotalSolar.Solar</t>
  </si>
  <si>
    <t>TES_per_sqm.kWh.RO.Ser.Bld.Thermal.CA</t>
  </si>
  <si>
    <t>TES_per_sqm.kWh.RO.Ser.Bld.Thermal.CA.LPG</t>
  </si>
  <si>
    <t>TES_per_sqm.kWh.RO.Ser.Bld.Thermal.CA.Gas.NG_Biogas</t>
  </si>
  <si>
    <t>TES_per_sqm.kWh.RO.Ser.Bld.Thermal.CA.Biomass.Biomass_Waste</t>
  </si>
  <si>
    <t>TES_per_sqm.kWh.RO.Ser.Bld.Thermal.CA.Elc.Elec</t>
  </si>
  <si>
    <t>RO - CO2 emissions per useful surface area</t>
  </si>
  <si>
    <t>EMI_per_sqm.kgCO2.RO.Ser.Bld.Thermal</t>
  </si>
  <si>
    <t>EMI_per_sqm.kgCO2.RO.Ser.Bld.Thermal.SH</t>
  </si>
  <si>
    <t>EMI_per_sqm.kgCO2.RO.Ser.Bld.Thermal.SH.Solids.Solids</t>
  </si>
  <si>
    <t>EMI_per_sqm.kgCO2.RO.Ser.Bld.Thermal.SH.LPG.LPG</t>
  </si>
  <si>
    <t>EMI_per_sqm.kgCO2.RO.Ser.Bld.Thermal.SH.Oil.Oil_LiqBio</t>
  </si>
  <si>
    <t>EMI_per_sqm.kgCO2.RO.Ser.Bld.Thermal.SH.GasHP.NG_Biogas</t>
  </si>
  <si>
    <t>EMI_per_sqm.kgCO2.RO.Ser.Bld.Thermal.SH.GasTH.NG_Biogas</t>
  </si>
  <si>
    <t>EMI_per_sqm.kgCO2.RO.Ser.Bld.Thermal.SH.Biomass.Biomass_Waste</t>
  </si>
  <si>
    <t>EMI_per_sqm.kgCO2.RO.Ser.Bld.Thermal.SH.Geo.Geo</t>
  </si>
  <si>
    <t>EMI_per_sqm.kgCO2.RO.Ser.Bld.Thermal.SH.DistrHeat.Steam_Distr</t>
  </si>
  <si>
    <t>EMI_per_sqm.kgCO2.RO.Ser.Bld.Thermal.SH.AdvElc.Elec</t>
  </si>
  <si>
    <t>EMI_per_sqm.kgCO2.RO.Ser.Bld.Thermal.SH.ConvElc.Elec</t>
  </si>
  <si>
    <t>EMI_per_sqm.kgCO2.RO.Ser.Bld.Thermal.SH.TotalCirculation.Elec</t>
  </si>
  <si>
    <t>EMI_per_sqm.kgCO2.RO.Ser.Bld.Thermal.SC</t>
  </si>
  <si>
    <t>EMI_per_sqm.kgCO2.RO.Ser.Bld.Thermal.SC.GasHP.NG_Biogas</t>
  </si>
  <si>
    <t>EMI_per_sqm.kgCO2.RO.Ser.Bld.Thermal.SC.AC.Elec</t>
  </si>
  <si>
    <t>EMI_per_sqm.kgCO2.RO.Ser.Bld.Thermal.HW</t>
  </si>
  <si>
    <t>EMI_per_sqm.kgCO2.RO.Ser.Bld.Thermal.HW.Solids.Solids</t>
  </si>
  <si>
    <t>EMI_per_sqm.kgCO2.RO.Ser.Bld.Thermal.HW.LPG.LPG</t>
  </si>
  <si>
    <t>EMI_per_sqm.kgCO2.RO.Ser.Bld.Thermal.HW.Oil.Oil_LiqBio</t>
  </si>
  <si>
    <t>EMI_per_sqm.kgCO2.RO.Ser.Bld.Thermal.HW.Gas.NG_Biogas</t>
  </si>
  <si>
    <t>EMI_per_sqm.kgCO2.RO.Ser.Bld.Thermal.HW.Biomass.Biomass_Waste</t>
  </si>
  <si>
    <t>EMI_per_sqm.kgCO2.RO.Ser.Bld.Thermal.HW.DistrHeat.Steam_Distr</t>
  </si>
  <si>
    <t>EMI_per_sqm.kgCO2.RO.Ser.Bld.Thermal.HW.Elc.Elec</t>
  </si>
  <si>
    <t>EMI_per_sqm.kgCO2.RO.Ser.Bld.Thermal.HW.TotalSolar.Solar</t>
  </si>
  <si>
    <t>EMI_per_sqm.kgCO2.RO.Ser.Bld.Thermal.CA</t>
  </si>
  <si>
    <t>EMI_per_sqm.kgCO2.RO.Ser.Bld.Thermal.CA.LPG</t>
  </si>
  <si>
    <t>EMI_per_sqm.kgCO2.RO.Ser.Bld.Thermal.CA.Gas.NG_Biogas</t>
  </si>
  <si>
    <t>EMI_per_sqm.kgCO2.RO.Ser.Bld.Thermal.CA.Biomass.Biomass_Waste</t>
  </si>
  <si>
    <t>EMI_per_sqm.kgCO2.RO.Ser.Bld.Thermal.CA.Elc.Elec</t>
  </si>
  <si>
    <t>RO - Number of new and renovated buildings</t>
  </si>
  <si>
    <t>NUM.number.RO.Ser.BldNew.Thermal</t>
  </si>
  <si>
    <t>NUM.number.RO.Ser.BldNew.Thermal.SH</t>
  </si>
  <si>
    <t>NUM.number.RO.Ser.BldNew.Thermal.SH.Solids</t>
  </si>
  <si>
    <t>NUM.number.RO.Ser.BldNew.Thermal.SH.LPG</t>
  </si>
  <si>
    <t>NUM.number.RO.Ser.BldNew.Thermal.SH.Oil</t>
  </si>
  <si>
    <t>NUM.number.RO.Ser.BldNew.Thermal.SH.GasHP</t>
  </si>
  <si>
    <t>NUM.number.RO.Ser.BldNew.Thermal.SH.GasTH</t>
  </si>
  <si>
    <t>NUM.number.RO.Ser.BldNew.Thermal.SH.Biomass</t>
  </si>
  <si>
    <t>NUM.number.RO.Ser.BldNew.Thermal.SH.Geo</t>
  </si>
  <si>
    <t>NUM.number.RO.Ser.BldNew.Thermal.SH.DistrHeat</t>
  </si>
  <si>
    <t>NUM.number.RO.Ser.BldNew.Thermal.SH.AdvElc</t>
  </si>
  <si>
    <t>NUM.number.RO.Ser.BldNew.Thermal.SH.ConvElc</t>
  </si>
  <si>
    <t>NUM.number.RO.Ser.BldNew.Thermal.SC</t>
  </si>
  <si>
    <t>NUM.number.RO.Ser.BldNew.Thermal.SC.GasHP</t>
  </si>
  <si>
    <t>NUM.number.RO.Ser.BldNew.Thermal.SC.AC</t>
  </si>
  <si>
    <t>NUM.number.RO.Ser.BldNew.Thermal.HW</t>
  </si>
  <si>
    <t>NUM.number.RO.Ser.BldNew.Thermal.HW.Solids</t>
  </si>
  <si>
    <t>NUM.number.RO.Ser.BldNew.Thermal.HW.LPG</t>
  </si>
  <si>
    <t>NUM.number.RO.Ser.BldNew.Thermal.HW.Oil</t>
  </si>
  <si>
    <t>NUM.number.RO.Ser.BldNew.Thermal.HW.Gas</t>
  </si>
  <si>
    <t>NUM.number.RO.Ser.BldNew.Thermal.HW.Biomass</t>
  </si>
  <si>
    <t>NUM.number.RO.Ser.BldNew.Thermal.HW.DistrHeat</t>
  </si>
  <si>
    <t>NUM.number.RO.Ser.BldNew.Thermal.HW.Elc</t>
  </si>
  <si>
    <t>NUM.number.RO.Ser.BldNew.Thermal.HW.Solar</t>
  </si>
  <si>
    <t>NUM.number.RO.Ser.BldNew.Thermal.CA</t>
  </si>
  <si>
    <t>NUM.number.RO.Ser.BldNew.Thermal.CA.LPG</t>
  </si>
  <si>
    <t>NUM.number.RO.Ser.BldNew.Thermal.CA.Gas</t>
  </si>
  <si>
    <t>NUM.number.RO.Ser.BldNew.Thermal.CA.Biomass</t>
  </si>
  <si>
    <t>NUM.number.RO.Ser.BldNew.Thermal.CA.Elc</t>
  </si>
  <si>
    <t>RO - Final energy consumption in new and renovated buildings</t>
  </si>
  <si>
    <t>FEC.ktoe.RO.Ser.BldNew.Thermal</t>
  </si>
  <si>
    <t>FEC.ktoe.RO.Ser.BldNew.Thermal.SH</t>
  </si>
  <si>
    <t>FEC.ktoe.RO.Ser.BldNew.Thermal.SH.Solids.Solids</t>
  </si>
  <si>
    <t>FEC.ktoe.RO.Ser.BldNew.Thermal.SH.LPG.LPG</t>
  </si>
  <si>
    <t>FEC.ktoe.RO.Ser.BldNew.Thermal.SH.Oil.Oil_LiqBio</t>
  </si>
  <si>
    <t>FEC.ktoe.RO.Ser.BldNew.Thermal.SH.GasHP.NG_Biogas</t>
  </si>
  <si>
    <t>FEC.ktoe.RO.Ser.BldNew.Thermal.SH.GasTH.NG_Biogas</t>
  </si>
  <si>
    <t>FEC.ktoe.RO.Ser.BldNew.Thermal.SH.Biomass.Biomass_Waste</t>
  </si>
  <si>
    <t>FEC.ktoe.RO.Ser.BldNew.Thermal.SH.Geo.Geo</t>
  </si>
  <si>
    <t>FEC.ktoe.RO.Ser.BldNew.Thermal.SH.DistrHeat.Steam_Distr</t>
  </si>
  <si>
    <t>FEC.ktoe.RO.Ser.BldNew.Thermal.SH.AdvElc.Elec</t>
  </si>
  <si>
    <t>FEC.ktoe.RO.Ser.BldNew.Thermal.SH.ConvElc.Elec</t>
  </si>
  <si>
    <t>FEC.ktoe.RO.Ser.BldNew.Thermal.SH.TotalCirculation.Elec</t>
  </si>
  <si>
    <t>FEC.ktoe.RO.Ser.BldNew.Thermal.SC</t>
  </si>
  <si>
    <t>FEC.ktoe.RO.Ser.BldNew.Thermal.SC.GasHP.NG_Biogas</t>
  </si>
  <si>
    <t>FEC.ktoe.RO.Ser.BldNew.Thermal.SC.AC.Elec</t>
  </si>
  <si>
    <t>FEC.ktoe.RO.Ser.BldNew.Thermal.HW</t>
  </si>
  <si>
    <t>FEC.ktoe.RO.Ser.BldNew.Thermal.HW.Solids.Solids</t>
  </si>
  <si>
    <t>FEC.ktoe.RO.Ser.BldNew.Thermal.HW.LPG.LPG</t>
  </si>
  <si>
    <t>FEC.ktoe.RO.Ser.BldNew.Thermal.HW.Oil.Oil_LiqBio</t>
  </si>
  <si>
    <t>FEC.ktoe.RO.Ser.BldNew.Thermal.HW.Gas.NG_Biogas</t>
  </si>
  <si>
    <t>FEC.ktoe.RO.Ser.BldNew.Thermal.HW.Biomass.Biomass_Waste</t>
  </si>
  <si>
    <t>FEC.ktoe.RO.Ser.BldNew.Thermal.HW.DistrHeat.Steam_Distr</t>
  </si>
  <si>
    <t>FEC.ktoe.RO.Ser.BldNew.Thermal.HW.Elc.Elec</t>
  </si>
  <si>
    <t>FEC.ktoe.RO.Ser.BldNew.Thermal.HW.TotalSolar.Solar</t>
  </si>
  <si>
    <t>FEC.ktoe.RO.Ser.BldNew.Thermal.CA</t>
  </si>
  <si>
    <t>FEC.ktoe.RO.Ser.BldNew.Thermal.CA.LPG</t>
  </si>
  <si>
    <t>FEC.ktoe.RO.Ser.BldNew.Thermal.CA.Gas.NG_Biogas</t>
  </si>
  <si>
    <t>FEC.ktoe.RO.Ser.BldNew.Thermal.CA.Biomass.Biomass_Waste</t>
  </si>
  <si>
    <t>FEC.ktoe.RO.Ser.BldNew.Thermal.CA.Elc.Elec</t>
  </si>
  <si>
    <t>RO - Thermal energy service in new and renovated buildings</t>
  </si>
  <si>
    <t>TES.ktoe.RO.Ser.BldNew.Thermal</t>
  </si>
  <si>
    <t>TES.ktoe.RO.Ser.BldNew.Thermal.SH</t>
  </si>
  <si>
    <t>TES.ktoe.RO.Ser.BldNew.Thermal.SH.Solids.Solids</t>
  </si>
  <si>
    <t>TES.ktoe.RO.Ser.BldNew.Thermal.SH.LPG.LPG</t>
  </si>
  <si>
    <t>TES.ktoe.RO.Ser.BldNew.Thermal.SH.Oil.Oil_LiqBio</t>
  </si>
  <si>
    <t>TES.ktoe.RO.Ser.BldNew.Thermal.SH.GasHP.NG_Biogas</t>
  </si>
  <si>
    <t>TES.ktoe.RO.Ser.BldNew.Thermal.SH.GasTH.NG_Biogas</t>
  </si>
  <si>
    <t>TES.ktoe.RO.Ser.BldNew.Thermal.SH.Biomass.Biomass_Waste</t>
  </si>
  <si>
    <t>TES.ktoe.RO.Ser.BldNew.Thermal.SH.Geo.Geo</t>
  </si>
  <si>
    <t>TES.ktoe.RO.Ser.BldNew.Thermal.SH.DistrHeat.Steam_Distr</t>
  </si>
  <si>
    <t>TES.ktoe.RO.Ser.BldNew.Thermal.SH.AdvElc.Elec</t>
  </si>
  <si>
    <t>TES.ktoe.RO.Ser.BldNew.Thermal.SH.ConvElc.Elec</t>
  </si>
  <si>
    <t>TES.ktoe.RO.Ser.BldNew.Thermal.SH.TotalCirculation.Elec</t>
  </si>
  <si>
    <t>TES.ktoe.RO.Ser.BldNew.Thermal.SC</t>
  </si>
  <si>
    <t>TES.ktoe.RO.Ser.BldNew.Thermal.SC.GasHP.NG_Biogas</t>
  </si>
  <si>
    <t>TES.ktoe.RO.Ser.BldNew.Thermal.SC.AC.Elec</t>
  </si>
  <si>
    <t>TES.ktoe.RO.Ser.BldNew.Thermal.HW</t>
  </si>
  <si>
    <t>TES.ktoe.RO.Ser.BldNew.Thermal.HW.Solids.Solids</t>
  </si>
  <si>
    <t>TES.ktoe.RO.Ser.BldNew.Thermal.HW.LPG.LPG</t>
  </si>
  <si>
    <t>TES.ktoe.RO.Ser.BldNew.Thermal.HW.Oil.Oil_LiqBio</t>
  </si>
  <si>
    <t>TES.ktoe.RO.Ser.BldNew.Thermal.HW.Gas.NG_Biogas</t>
  </si>
  <si>
    <t>TES.ktoe.RO.Ser.BldNew.Thermal.HW.Biomass.Biomass_Waste</t>
  </si>
  <si>
    <t>TES.ktoe.RO.Ser.BldNew.Thermal.HW.DistrHeat.Steam_Distr</t>
  </si>
  <si>
    <t>TES.ktoe.RO.Ser.BldNew.Thermal.HW.Elc.Elec</t>
  </si>
  <si>
    <t>TES.ktoe.RO.Ser.BldNew.Thermal.HW.TotalSolar.Solar</t>
  </si>
  <si>
    <t>TES.ktoe.RO.Ser.BldNew.Thermal.CA</t>
  </si>
  <si>
    <t>TES.ktoe.RO.Ser.BldNew.Thermal.CA.LPG</t>
  </si>
  <si>
    <t>TES.ktoe.RO.Ser.BldNew.Thermal.CA.Gas.NG_Biogas</t>
  </si>
  <si>
    <t>TES.ktoe.RO.Ser.BldNew.Thermal.CA.Biomass.Biomass_Waste</t>
  </si>
  <si>
    <t>TES.ktoe.RO.Ser.BldNew.Thermal.CA.Elc.Elec</t>
  </si>
  <si>
    <t>RO - System efficiency indicator of new and renovated buildings</t>
  </si>
  <si>
    <t>Eff.ratio.RO.Ser.BldNew.Thermal</t>
  </si>
  <si>
    <t>Eff.ratio.RO.Ser.BldNew.Thermal.SH</t>
  </si>
  <si>
    <t>Eff.ratio.RO.Ser.BldNew.Thermal.SH.Solids.Solids</t>
  </si>
  <si>
    <t>Eff.ratio.RO.Ser.BldNew.Thermal.SH.LPG.LPG</t>
  </si>
  <si>
    <t>Eff.ratio.RO.Ser.BldNew.Thermal.SH.Oil.Oil_LiqBio</t>
  </si>
  <si>
    <t>Eff.ratio.RO.Ser.BldNew.Thermal.SH.GasHP.NG_Biogas</t>
  </si>
  <si>
    <t>Eff.ratio.RO.Ser.BldNew.Thermal.SH.GasTH.NG_Biogas</t>
  </si>
  <si>
    <t>Eff.ratio.RO.Ser.BldNew.Thermal.SH.Biomass.Biomass_Waste</t>
  </si>
  <si>
    <t>Eff.ratio.RO.Ser.BldNew.Thermal.SH.Geo.Geo</t>
  </si>
  <si>
    <t>Eff.ratio.RO.Ser.BldNew.Thermal.SH.DistrHeat.Steam_Distr</t>
  </si>
  <si>
    <t>Eff.ratio.RO.Ser.BldNew.Thermal.SH.AdvElc.Elec</t>
  </si>
  <si>
    <t>Eff.ratio.RO.Ser.BldNew.Thermal.SH.ConvElc.Elec</t>
  </si>
  <si>
    <t>Eff.ratio.RO.Ser.BldNew.Thermal.SH.TotalCirculation.Elec</t>
  </si>
  <si>
    <t>Eff.ratio.RO.Ser.BldNew.Thermal.SC</t>
  </si>
  <si>
    <t>Eff.ratio.RO.Ser.BldNew.Thermal.SC.GasHP.NG_Biogas</t>
  </si>
  <si>
    <t>Eff.ratio.RO.Ser.BldNew.Thermal.SC.AC.Elec</t>
  </si>
  <si>
    <t>Eff.ratio.RO.Ser.BldNew.Thermal.HW</t>
  </si>
  <si>
    <t>Eff.ratio.RO.Ser.BldNew.Thermal.HW.Solids.Solids</t>
  </si>
  <si>
    <t>Eff.ratio.RO.Ser.BldNew.Thermal.HW.LPG.LPG</t>
  </si>
  <si>
    <t>Eff.ratio.RO.Ser.BldNew.Thermal.HW.Oil.Oil_LiqBio</t>
  </si>
  <si>
    <t>Eff.ratio.RO.Ser.BldNew.Thermal.HW.Gas.NG_Biogas</t>
  </si>
  <si>
    <t>Eff.ratio.RO.Ser.BldNew.Thermal.HW.Biomass.Biomass_Waste</t>
  </si>
  <si>
    <t>Eff.ratio.RO.Ser.BldNew.Thermal.HW.DistrHeat.Steam_Distr</t>
  </si>
  <si>
    <t>Eff.ratio.RO.Ser.BldNew.Thermal.HW.Elc.Elec</t>
  </si>
  <si>
    <t>Eff.ratio.RO.Ser.BldNew.Thermal.HW.TotalSolar.Solar</t>
  </si>
  <si>
    <t>Eff.ratio.RO.Ser.BldNew.Thermal.CA</t>
  </si>
  <si>
    <t>Eff.ratio.RO.Ser.BldNew.Thermal.CA.LPG</t>
  </si>
  <si>
    <t>Eff.ratio.RO.Ser.BldNew.Thermal.CA.Gas.NG_Biogas</t>
  </si>
  <si>
    <t>Eff.ratio.RO.Ser.BldNew.Thermal.CA.Biomass.Biomass_Waste</t>
  </si>
  <si>
    <t>Eff.ratio.RO.Ser.BldNew.Thermal.CA.Elc.Elec</t>
  </si>
  <si>
    <t>RO - CO2 emissions in new and renovated buildings</t>
  </si>
  <si>
    <t>EMI.ktCO2.RO.Ser.BldNew.Thermal</t>
  </si>
  <si>
    <t>EMI.ktCO2.RO.Ser.BldNew.Thermal.SH</t>
  </si>
  <si>
    <t>EMI.ktCO2.RO.Ser.BldNew.Thermal.SH.Solids.Solids</t>
  </si>
  <si>
    <t>EMI.ktCO2.RO.Ser.BldNew.Thermal.SH.LPG.LPG</t>
  </si>
  <si>
    <t>EMI.ktCO2.RO.Ser.BldNew.Thermal.SH.Oil.Oil_LiqBio</t>
  </si>
  <si>
    <t>EMI.ktCO2.RO.Ser.BldNew.Thermal.SH.GasHP.NG_Biogas</t>
  </si>
  <si>
    <t>EMI.ktCO2.RO.Ser.BldNew.Thermal.SH.GasTH.NG_Biogas</t>
  </si>
  <si>
    <t>EMI.ktCO2.RO.Ser.BldNew.Thermal.SH.Biomass.Biomass_Waste</t>
  </si>
  <si>
    <t>EMI.ktCO2.RO.Ser.BldNew.Thermal.SH.Geo.Geo</t>
  </si>
  <si>
    <t>EMI.ktCO2.RO.Ser.BldNew.Thermal.SH.DistrHeat.Steam_Distr</t>
  </si>
  <si>
    <t>EMI.ktCO2.RO.Ser.BldNew.Thermal.SH.AdvElc.Elec</t>
  </si>
  <si>
    <t>EMI.ktCO2.RO.Ser.BldNew.Thermal.SH.ConvElc.Elec</t>
  </si>
  <si>
    <t>EMI.ktCO2.RO.Ser.BldNew.Thermal.SH.TotalCirculation.Elec</t>
  </si>
  <si>
    <t>EMI.ktCO2.RO.Ser.BldNew.Thermal.SC</t>
  </si>
  <si>
    <t>EMI.ktCO2.RO.Ser.BldNew.Thermal.SC.GasHP.NG_Biogas</t>
  </si>
  <si>
    <t>EMI.ktCO2.RO.Ser.BldNew.Thermal.SC.AC.Elec</t>
  </si>
  <si>
    <t>EMI.ktCO2.RO.Ser.BldNew.Thermal.HW</t>
  </si>
  <si>
    <t>EMI.ktCO2.RO.Ser.BldNew.Thermal.HW.Solids.Solids</t>
  </si>
  <si>
    <t>EMI.ktCO2.RO.Ser.BldNew.Thermal.HW.LPG.LPG</t>
  </si>
  <si>
    <t>EMI.ktCO2.RO.Ser.BldNew.Thermal.HW.Oil.Oil_LiqBio</t>
  </si>
  <si>
    <t>EMI.ktCO2.RO.Ser.BldNew.Thermal.HW.Gas.NG_Biogas</t>
  </si>
  <si>
    <t>EMI.ktCO2.RO.Ser.BldNew.Thermal.HW.Biomass.Biomass_Waste</t>
  </si>
  <si>
    <t>EMI.ktCO2.RO.Ser.BldNew.Thermal.HW.DistrHeat.Steam_Distr</t>
  </si>
  <si>
    <t>EMI.ktCO2.RO.Ser.BldNew.Thermal.HW.Elc.Elec</t>
  </si>
  <si>
    <t>EMI.ktCO2.RO.Ser.BldNew.Thermal.HW.TotalSolar.Solar</t>
  </si>
  <si>
    <t>EMI.ktCO2.RO.Ser.BldNew.Thermal.CA</t>
  </si>
  <si>
    <t>EMI.ktCO2.RO.Ser.BldNew.Thermal.CA.LPG</t>
  </si>
  <si>
    <t>EMI.ktCO2.RO.Ser.BldNew.Thermal.CA.Gas.NG_Biogas</t>
  </si>
  <si>
    <t>EMI.ktCO2.RO.Ser.BldNew.Thermal.CA.Biomass.Biomass_Waste</t>
  </si>
  <si>
    <t>EMI.ktCO2.RO.Ser.BldNew.Thermal.CA.Elc.Elec</t>
  </si>
  <si>
    <t>RO - Final energy consumption of new and renovated buildings (per building)</t>
  </si>
  <si>
    <t>FEC_per_building.kWh.RO.Ser.BldNew.Thermal</t>
  </si>
  <si>
    <t>FEC_per_building.kWh.RO.Ser.BldNew.Thermal.SH</t>
  </si>
  <si>
    <t>FEC_per_building.kWh.RO.Ser.BldNew.Thermal.SH.Solids.Solids</t>
  </si>
  <si>
    <t>FEC_per_building.kWh.RO.Ser.BldNew.Thermal.SH.LPG.LPG</t>
  </si>
  <si>
    <t>FEC_per_building.kWh.RO.Ser.BldNew.Thermal.SH.Oil.Oil_LiqBio</t>
  </si>
  <si>
    <t>FEC_per_building.kWh.RO.Ser.BldNew.Thermal.SH.GasHP.NG_Biogas</t>
  </si>
  <si>
    <t>FEC_per_building.kWh.RO.Ser.BldNew.Thermal.SH.GasTH.NG_Biogas</t>
  </si>
  <si>
    <t>FEC_per_building.kWh.RO.Ser.BldNew.Thermal.SH.Biomass.Biomass_Waste</t>
  </si>
  <si>
    <t>FEC_per_building.kWh.RO.Ser.BldNew.Thermal.SH.Geo.Geo</t>
  </si>
  <si>
    <t>FEC_per_building.kWh.RO.Ser.BldNew.Thermal.SH.DistrHeat.Steam_Distr</t>
  </si>
  <si>
    <t>FEC_per_building.kWh.RO.Ser.BldNew.Thermal.SH.AdvElc.Elec</t>
  </si>
  <si>
    <t>FEC_per_building.kWh.RO.Ser.BldNew.Thermal.SH.ConvElc.Elec</t>
  </si>
  <si>
    <t>FEC_per_building.kWh.RO.Ser.BldNew.Thermal.SH.TotalCirculation.Elec</t>
  </si>
  <si>
    <t>FEC_per_building.kWh.RO.Ser.BldNew.Thermal.SC</t>
  </si>
  <si>
    <t>FEC_per_building.kWh.RO.Ser.BldNew.Thermal.SC.GasHP.NG_Biogas</t>
  </si>
  <si>
    <t>FEC_per_building.kWh.RO.Ser.BldNew.Thermal.SC.AC.Elec</t>
  </si>
  <si>
    <t>FEC_per_building.kWh.RO.Ser.BldNew.Thermal.HW</t>
  </si>
  <si>
    <t>FEC_per_building.kWh.RO.Ser.BldNew.Thermal.HW.Solids.Solids</t>
  </si>
  <si>
    <t>FEC_per_building.kWh.RO.Ser.BldNew.Thermal.HW.LPG.LPG</t>
  </si>
  <si>
    <t>FEC_per_building.kWh.RO.Ser.BldNew.Thermal.HW.Oil.Oil_LiqBio</t>
  </si>
  <si>
    <t>FEC_per_building.kWh.RO.Ser.BldNew.Thermal.HW.Gas.NG_Biogas</t>
  </si>
  <si>
    <t>FEC_per_building.kWh.RO.Ser.BldNew.Thermal.HW.Biomass.Biomass_Waste</t>
  </si>
  <si>
    <t>FEC_per_building.kWh.RO.Ser.BldNew.Thermal.HW.DistrHeat.Steam_Distr</t>
  </si>
  <si>
    <t>FEC_per_building.kWh.RO.Ser.BldNew.Thermal.HW.Elc.Elec</t>
  </si>
  <si>
    <t>FEC_per_building.kWh.RO.Ser.BldNew.Thermal.HW.TotalSolar.Solar</t>
  </si>
  <si>
    <t>FEC_per_building.kWh.RO.Ser.BldNew.Thermal.CA</t>
  </si>
  <si>
    <t>FEC_per_building.kWh.RO.Ser.BldNew.Thermal.CA.LPG</t>
  </si>
  <si>
    <t>FEC_per_building.kWh.RO.Ser.BldNew.Thermal.CA.Gas.NG_Biogas</t>
  </si>
  <si>
    <t>FEC_per_building.kWh.RO.Ser.BldNew.Thermal.CA.Biomass.Biomass_Waste</t>
  </si>
  <si>
    <t>FEC_per_building.kWh.RO.Ser.BldNew.Thermal.CA.Elc.Elec</t>
  </si>
  <si>
    <t>RO - Thermal energy service of new and renovated buildings (per building)</t>
  </si>
  <si>
    <t>TES_per_building.kWh.RO.Ser.BldNew.Thermal</t>
  </si>
  <si>
    <t>TES_per_building.kWh.RO.Ser.BldNew.Thermal.SH</t>
  </si>
  <si>
    <t>TES_per_building.kWh.RO.Ser.BldNew.Thermal.SH.Solids.Solids</t>
  </si>
  <si>
    <t>TES_per_building.kWh.RO.Ser.BldNew.Thermal.SH.LPG.LPG</t>
  </si>
  <si>
    <t>TES_per_building.kWh.RO.Ser.BldNew.Thermal.SH.Oil.Oil_LiqBio</t>
  </si>
  <si>
    <t>TES_per_building.kWh.RO.Ser.BldNew.Thermal.SH.GasHP.NG_Biogas</t>
  </si>
  <si>
    <t>TES_per_building.kWh.RO.Ser.BldNew.Thermal.SH.GasTH.NG_Biogas</t>
  </si>
  <si>
    <t>TES_per_building.kWh.RO.Ser.BldNew.Thermal.SH.Biomass.Biomass_Waste</t>
  </si>
  <si>
    <t>TES_per_building.kWh.RO.Ser.BldNew.Thermal.SH.Geo.Geo</t>
  </si>
  <si>
    <t>TES_per_building.kWh.RO.Ser.BldNew.Thermal.SH.DistrHeat.Steam_Distr</t>
  </si>
  <si>
    <t>TES_per_building.kWh.RO.Ser.BldNew.Thermal.SH.AdvElc.Elec</t>
  </si>
  <si>
    <t>TES_per_building.kWh.RO.Ser.BldNew.Thermal.SH.ConvElc.Elec</t>
  </si>
  <si>
    <t>TES_per_building.kWh.RO.Ser.BldNew.Thermal.SH.TotalCirculation.Elec</t>
  </si>
  <si>
    <t>TES_per_building.kWh.RO.Ser.BldNew.Thermal.SC</t>
  </si>
  <si>
    <t>TES_per_building.kWh.RO.Ser.BldNew.Thermal.SC.GasHP.NG_Biogas</t>
  </si>
  <si>
    <t>TES_per_building.kWh.RO.Ser.BldNew.Thermal.SC.AC.Elec</t>
  </si>
  <si>
    <t>TES_per_building.kWh.RO.Ser.BldNew.Thermal.HW</t>
  </si>
  <si>
    <t>TES_per_building.kWh.RO.Ser.BldNew.Thermal.HW.Solids.Solids</t>
  </si>
  <si>
    <t>TES_per_building.kWh.RO.Ser.BldNew.Thermal.HW.LPG.LPG</t>
  </si>
  <si>
    <t>TES_per_building.kWh.RO.Ser.BldNew.Thermal.HW.Oil.Oil_LiqBio</t>
  </si>
  <si>
    <t>TES_per_building.kWh.RO.Ser.BldNew.Thermal.HW.Gas.NG_Biogas</t>
  </si>
  <si>
    <t>TES_per_building.kWh.RO.Ser.BldNew.Thermal.HW.Biomass.Biomass_Waste</t>
  </si>
  <si>
    <t>TES_per_building.kWh.RO.Ser.BldNew.Thermal.HW.DistrHeat.Steam_Distr</t>
  </si>
  <si>
    <t>TES_per_building.kWh.RO.Ser.BldNew.Thermal.HW.Elc.Elec</t>
  </si>
  <si>
    <t>TES_per_building.kWh.RO.Ser.BldNew.Thermal.HW.TotalSolar.Solar</t>
  </si>
  <si>
    <t>TES_per_building.kWh.RO.Ser.BldNew.Thermal.CA</t>
  </si>
  <si>
    <t>TES_per_building.kWh.RO.Ser.BldNew.Thermal.CA.LPG</t>
  </si>
  <si>
    <t>TES_per_building.kWh.RO.Ser.BldNew.Thermal.CA.Gas.NG_Biogas</t>
  </si>
  <si>
    <t>TES_per_building.kWh.RO.Ser.BldNew.Thermal.CA.Biomass.Biomass_Waste</t>
  </si>
  <si>
    <t>TES_per_building.kWh.RO.Ser.BldNew.Thermal.CA.Elc.Elec</t>
  </si>
  <si>
    <t>RO - CO2 emissions in new and renovated buildings (per building)</t>
  </si>
  <si>
    <t>EMI_per_building.kgCO2.RO.Ser.BldNew.Thermal</t>
  </si>
  <si>
    <t>EMI_per_building.kgCO2.RO.Ser.BldNew.Thermal.SH</t>
  </si>
  <si>
    <t>EMI_per_building.kgCO2.RO.Ser.BldNew.Thermal.SH.Solids.Solids</t>
  </si>
  <si>
    <t>EMI_per_building.kgCO2.RO.Ser.BldNew.Thermal.SH.LPG.LPG</t>
  </si>
  <si>
    <t>EMI_per_building.kgCO2.RO.Ser.BldNew.Thermal.SH.Oil.Oil_LiqBio</t>
  </si>
  <si>
    <t>EMI_per_building.kgCO2.RO.Ser.BldNew.Thermal.SH.GasHP.NG_Biogas</t>
  </si>
  <si>
    <t>EMI_per_building.kgCO2.RO.Ser.BldNew.Thermal.SH.GasTH.NG_Biogas</t>
  </si>
  <si>
    <t>EMI_per_building.kgCO2.RO.Ser.BldNew.Thermal.SH.Biomass.Biomass_Waste</t>
  </si>
  <si>
    <t>EMI_per_building.kgCO2.RO.Ser.BldNew.Thermal.SH.Geo.Geo</t>
  </si>
  <si>
    <t>EMI_per_building.kgCO2.RO.Ser.BldNew.Thermal.SH.DistrHeat.Steam_Distr</t>
  </si>
  <si>
    <t>EMI_per_building.kgCO2.RO.Ser.BldNew.Thermal.SH.AdvElc.Elec</t>
  </si>
  <si>
    <t>EMI_per_building.kgCO2.RO.Ser.BldNew.Thermal.SH.ConvElc.Elec</t>
  </si>
  <si>
    <t>EMI_per_building.kgCO2.RO.Ser.BldNew.Thermal.SH.TotalCirculation.Elec</t>
  </si>
  <si>
    <t>EMI_per_building.kgCO2.RO.Ser.BldNew.Thermal.SC</t>
  </si>
  <si>
    <t>EMI_per_building.kgCO2.RO.Ser.BldNew.Thermal.SC.GasHP.NG_Biogas</t>
  </si>
  <si>
    <t>EMI_per_building.kgCO2.RO.Ser.BldNew.Thermal.SC.AC.Elec</t>
  </si>
  <si>
    <t>EMI_per_building.kgCO2.RO.Ser.BldNew.Thermal.HW</t>
  </si>
  <si>
    <t>EMI_per_building.kgCO2.RO.Ser.BldNew.Thermal.HW.Solids.Solids</t>
  </si>
  <si>
    <t>EMI_per_building.kgCO2.RO.Ser.BldNew.Thermal.HW.LPG.LPG</t>
  </si>
  <si>
    <t>EMI_per_building.kgCO2.RO.Ser.BldNew.Thermal.HW.Oil.Oil_LiqBio</t>
  </si>
  <si>
    <t>EMI_per_building.kgCO2.RO.Ser.BldNew.Thermal.HW.Gas.NG_Biogas</t>
  </si>
  <si>
    <t>EMI_per_building.kgCO2.RO.Ser.BldNew.Thermal.HW.Biomass.Biomass_Waste</t>
  </si>
  <si>
    <t>EMI_per_building.kgCO2.RO.Ser.BldNew.Thermal.HW.DistrHeat.Steam_Distr</t>
  </si>
  <si>
    <t>EMI_per_building.kgCO2.RO.Ser.BldNew.Thermal.HW.Elc.Elec</t>
  </si>
  <si>
    <t>EMI_per_building.kgCO2.RO.Ser.BldNew.Thermal.HW.TotalSolar.Solar</t>
  </si>
  <si>
    <t>EMI_per_building.kgCO2.RO.Ser.BldNew.Thermal.CA</t>
  </si>
  <si>
    <t>EMI_per_building.kgCO2.RO.Ser.BldNew.Thermal.CA.LPG</t>
  </si>
  <si>
    <t>EMI_per_building.kgCO2.RO.Ser.BldNew.Thermal.CA.Gas.NG_Biogas</t>
  </si>
  <si>
    <t>EMI_per_building.kgCO2.RO.Ser.BldNew.Thermal.CA.Biomass.Biomass_Waste</t>
  </si>
  <si>
    <t>EMI_per_building.kgCO2.RO.Ser.BldNew.Thermal.CA.Elc.Elec</t>
  </si>
  <si>
    <t>RO - Final energy consumption in new and renovated buildings per surface area</t>
  </si>
  <si>
    <t>FEC_per_sqm.kWh.RO.Ser.BldNew.Thermal</t>
  </si>
  <si>
    <t>FEC_per_sqm.kWh.RO.Ser.BldNew.Thermal.SH</t>
  </si>
  <si>
    <t>FEC_per_sqm.kWh.RO.Ser.BldNew.Thermal.SH.Solids.Solids</t>
  </si>
  <si>
    <t>FEC_per_sqm.kWh.RO.Ser.BldNew.Thermal.SH.LPG.LPG</t>
  </si>
  <si>
    <t>FEC_per_sqm.kWh.RO.Ser.BldNew.Thermal.SH.Oil.Oil_LiqBio</t>
  </si>
  <si>
    <t>FEC_per_sqm.kWh.RO.Ser.BldNew.Thermal.SH.GasHP.NG_Biogas</t>
  </si>
  <si>
    <t>FEC_per_sqm.kWh.RO.Ser.BldNew.Thermal.SH.GasTH.NG_Biogas</t>
  </si>
  <si>
    <t>FEC_per_sqm.kWh.RO.Ser.BldNew.Thermal.SH.Biomass.Biomass_Waste</t>
  </si>
  <si>
    <t>FEC_per_sqm.kWh.RO.Ser.BldNew.Thermal.SH.Geo.Geo</t>
  </si>
  <si>
    <t>FEC_per_sqm.kWh.RO.Ser.BldNew.Thermal.SH.DistrHeat.Steam_Distr</t>
  </si>
  <si>
    <t>FEC_per_sqm.kWh.RO.Ser.BldNew.Thermal.SH.AdvElc.Elec</t>
  </si>
  <si>
    <t>FEC_per_sqm.kWh.RO.Ser.BldNew.Thermal.SH.ConvElc.Elec</t>
  </si>
  <si>
    <t>FEC_per_sqm.kWh.RO.Ser.BldNew.Thermal.SH.TotalCirculation.Elec</t>
  </si>
  <si>
    <t>FEC_per_sqm.kWh.RO.Ser.BldNew.Thermal.SC</t>
  </si>
  <si>
    <t>FEC_per_sqm.kWh.RO.Ser.BldNew.Thermal.SC.GasHP.NG_Biogas</t>
  </si>
  <si>
    <t>FEC_per_sqm.kWh.RO.Ser.BldNew.Thermal.SC.AC.Elec</t>
  </si>
  <si>
    <t>FEC_per_sqm.kWh.RO.Ser.BldNew.Thermal.HW</t>
  </si>
  <si>
    <t>FEC_per_sqm.kWh.RO.Ser.BldNew.Thermal.HW.Solids.Solids</t>
  </si>
  <si>
    <t>FEC_per_sqm.kWh.RO.Ser.BldNew.Thermal.HW.LPG.LPG</t>
  </si>
  <si>
    <t>FEC_per_sqm.kWh.RO.Ser.BldNew.Thermal.HW.Oil.Oil_LiqBio</t>
  </si>
  <si>
    <t>FEC_per_sqm.kWh.RO.Ser.BldNew.Thermal.HW.Gas.NG_Biogas</t>
  </si>
  <si>
    <t>FEC_per_sqm.kWh.RO.Ser.BldNew.Thermal.HW.Biomass.Biomass_Waste</t>
  </si>
  <si>
    <t>FEC_per_sqm.kWh.RO.Ser.BldNew.Thermal.HW.DistrHeat.Steam_Distr</t>
  </si>
  <si>
    <t>FEC_per_sqm.kWh.RO.Ser.BldNew.Thermal.HW.Elc.Elec</t>
  </si>
  <si>
    <t>FEC_per_sqm.kWh.RO.Ser.BldNew.Thermal.HW.TotalSolar.Solar</t>
  </si>
  <si>
    <t>FEC_per_sqm.kWh.RO.Ser.BldNew.Thermal.CA</t>
  </si>
  <si>
    <t>FEC_per_sqm.kWh.RO.Ser.BldNew.Thermal.CA.LPG</t>
  </si>
  <si>
    <t>FEC_per_sqm.kWh.RO.Ser.BldNew.Thermal.CA.Gas.NG_Biogas</t>
  </si>
  <si>
    <t>FEC_per_sqm.kWh.RO.Ser.BldNew.Thermal.CA.Biomass.Biomass_Waste</t>
  </si>
  <si>
    <t>FEC_per_sqm.kWh.RO.Ser.BldNew.Thermal.CA.Elc.Elec</t>
  </si>
  <si>
    <t>RO - Thermal energy service in new and renovated buildings per surface area</t>
  </si>
  <si>
    <t>TES_per_sqm.kWh.RO.Ser.BldNew.Thermal</t>
  </si>
  <si>
    <t>TES_per_sqm.kWh.RO.Ser.BldNew.Thermal.SH</t>
  </si>
  <si>
    <t>TES_per_sqm.kWh.RO.Ser.BldNew.Thermal.SH.Solids.Solids</t>
  </si>
  <si>
    <t>TES_per_sqm.kWh.RO.Ser.BldNew.Thermal.SH.LPG.LPG</t>
  </si>
  <si>
    <t>TES_per_sqm.kWh.RO.Ser.BldNew.Thermal.SH.Oil.Oil_LiqBio</t>
  </si>
  <si>
    <t>TES_per_sqm.kWh.RO.Ser.BldNew.Thermal.SH.GasHP.NG_Biogas</t>
  </si>
  <si>
    <t>TES_per_sqm.kWh.RO.Ser.BldNew.Thermal.SH.GasTH.NG_Biogas</t>
  </si>
  <si>
    <t>TES_per_sqm.kWh.RO.Ser.BldNew.Thermal.SH.Biomass.Biomass_Waste</t>
  </si>
  <si>
    <t>TES_per_sqm.kWh.RO.Ser.BldNew.Thermal.SH.Geo.Geo</t>
  </si>
  <si>
    <t>TES_per_sqm.kWh.RO.Ser.BldNew.Thermal.SH.DistrHeat.Steam_Distr</t>
  </si>
  <si>
    <t>TES_per_sqm.kWh.RO.Ser.BldNew.Thermal.SH.AdvElc.Elec</t>
  </si>
  <si>
    <t>TES_per_sqm.kWh.RO.Ser.BldNew.Thermal.SH.ConvElc.Elec</t>
  </si>
  <si>
    <t>TES_per_sqm.kWh.RO.Ser.BldNew.Thermal.SH.TotalCirculation.Elec</t>
  </si>
  <si>
    <t>TES_per_sqm.kWh.RO.Ser.BldNew.Thermal.SC</t>
  </si>
  <si>
    <t>TES_per_sqm.kWh.RO.Ser.BldNew.Thermal.SC.GasHP.NG_Biogas</t>
  </si>
  <si>
    <t>TES_per_sqm.kWh.RO.Ser.BldNew.Thermal.SC.AC.Elec</t>
  </si>
  <si>
    <t>TES_per_sqm.kWh.RO.Ser.BldNew.Thermal.HW</t>
  </si>
  <si>
    <t>TES_per_sqm.kWh.RO.Ser.BldNew.Thermal.HW.Solids.Solids</t>
  </si>
  <si>
    <t>TES_per_sqm.kWh.RO.Ser.BldNew.Thermal.HW.LPG.LPG</t>
  </si>
  <si>
    <t>TES_per_sqm.kWh.RO.Ser.BldNew.Thermal.HW.Oil.Oil_LiqBio</t>
  </si>
  <si>
    <t>TES_per_sqm.kWh.RO.Ser.BldNew.Thermal.HW.Gas.NG_Biogas</t>
  </si>
  <si>
    <t>TES_per_sqm.kWh.RO.Ser.BldNew.Thermal.HW.Biomass.Biomass_Waste</t>
  </si>
  <si>
    <t>TES_per_sqm.kWh.RO.Ser.BldNew.Thermal.HW.DistrHeat.Steam_Distr</t>
  </si>
  <si>
    <t>TES_per_sqm.kWh.RO.Ser.BldNew.Thermal.HW.Elc.Elec</t>
  </si>
  <si>
    <t>TES_per_sqm.kWh.RO.Ser.BldNew.Thermal.HW.TotalSolar.Solar</t>
  </si>
  <si>
    <t>TES_per_sqm.kWh.RO.Ser.BldNew.Thermal.CA</t>
  </si>
  <si>
    <t>TES_per_sqm.kWh.RO.Ser.BldNew.Thermal.CA.LPG</t>
  </si>
  <si>
    <t>TES_per_sqm.kWh.RO.Ser.BldNew.Thermal.CA.Gas.NG_Biogas</t>
  </si>
  <si>
    <t>TES_per_sqm.kWh.RO.Ser.BldNew.Thermal.CA.Biomass.Biomass_Waste</t>
  </si>
  <si>
    <t>TES_per_sqm.kWh.RO.Ser.BldNew.Thermal.CA.Elc.Elec</t>
  </si>
  <si>
    <t>RO - CO2 emissions in new and renovated buildings per surface area</t>
  </si>
  <si>
    <t>EMI_per_sqm.kgCO2.RO.Ser.BldNew.Thermal</t>
  </si>
  <si>
    <t>EMI_per_sqm.kgCO2.RO.Ser.BldNew.Thermal.SH</t>
  </si>
  <si>
    <t>EMI_per_sqm.kgCO2.RO.Ser.BldNew.Thermal.SH.Solids.Solids</t>
  </si>
  <si>
    <t>EMI_per_sqm.kgCO2.RO.Ser.BldNew.Thermal.SH.LPG.LPG</t>
  </si>
  <si>
    <t>EMI_per_sqm.kgCO2.RO.Ser.BldNew.Thermal.SH.Oil.Oil_LiqBio</t>
  </si>
  <si>
    <t>EMI_per_sqm.kgCO2.RO.Ser.BldNew.Thermal.SH.GasHP.NG_Biogas</t>
  </si>
  <si>
    <t>EMI_per_sqm.kgCO2.RO.Ser.BldNew.Thermal.SH.GasTH.NG_Biogas</t>
  </si>
  <si>
    <t>EMI_per_sqm.kgCO2.RO.Ser.BldNew.Thermal.SH.Biomass.Biomass_Waste</t>
  </si>
  <si>
    <t>EMI_per_sqm.kgCO2.RO.Ser.BldNew.Thermal.SH.Geo.Geo</t>
  </si>
  <si>
    <t>EMI_per_sqm.kgCO2.RO.Ser.BldNew.Thermal.SH.DistrHeat.Steam_Distr</t>
  </si>
  <si>
    <t>EMI_per_sqm.kgCO2.RO.Ser.BldNew.Thermal.SH.AdvElc.Elec</t>
  </si>
  <si>
    <t>EMI_per_sqm.kgCO2.RO.Ser.BldNew.Thermal.SH.ConvElc.Elec</t>
  </si>
  <si>
    <t>EMI_per_sqm.kgCO2.RO.Ser.BldNew.Thermal.SH.TotalCirculation.Elec</t>
  </si>
  <si>
    <t>EMI_per_sqm.kgCO2.RO.Ser.BldNew.Thermal.SC</t>
  </si>
  <si>
    <t>EMI_per_sqm.kgCO2.RO.Ser.BldNew.Thermal.SC.GasHP.NG_Biogas</t>
  </si>
  <si>
    <t>EMI_per_sqm.kgCO2.RO.Ser.BldNew.Thermal.SC.AC.Elec</t>
  </si>
  <si>
    <t>EMI_per_sqm.kgCO2.RO.Ser.BldNew.Thermal.HW</t>
  </si>
  <si>
    <t>EMI_per_sqm.kgCO2.RO.Ser.BldNew.Thermal.HW.Solids.Solids</t>
  </si>
  <si>
    <t>EMI_per_sqm.kgCO2.RO.Ser.BldNew.Thermal.HW.LPG.LPG</t>
  </si>
  <si>
    <t>EMI_per_sqm.kgCO2.RO.Ser.BldNew.Thermal.HW.Oil.Oil_LiqBio</t>
  </si>
  <si>
    <t>EMI_per_sqm.kgCO2.RO.Ser.BldNew.Thermal.HW.Gas.NG_Biogas</t>
  </si>
  <si>
    <t>EMI_per_sqm.kgCO2.RO.Ser.BldNew.Thermal.HW.Biomass.Biomass_Waste</t>
  </si>
  <si>
    <t>EMI_per_sqm.kgCO2.RO.Ser.BldNew.Thermal.HW.DistrHeat.Steam_Distr</t>
  </si>
  <si>
    <t>EMI_per_sqm.kgCO2.RO.Ser.BldNew.Thermal.HW.Elc.Elec</t>
  </si>
  <si>
    <t>EMI_per_sqm.kgCO2.RO.Ser.BldNew.Thermal.HW.TotalSolar.Solar</t>
  </si>
  <si>
    <t>EMI_per_sqm.kgCO2.RO.Ser.BldNew.Thermal.CA</t>
  </si>
  <si>
    <t>EMI_per_sqm.kgCO2.RO.Ser.BldNew.Thermal.CA.LPG</t>
  </si>
  <si>
    <t>EMI_per_sqm.kgCO2.RO.Ser.BldNew.Thermal.CA.Gas.NG_Biogas</t>
  </si>
  <si>
    <t>EMI_per_sqm.kgCO2.RO.Ser.BldNew.Thermal.CA.Biomass.Biomass_Waste</t>
  </si>
  <si>
    <t>EMI_per_sqm.kgCO2.RO.Ser.BldNew.Thermal.CA.Elc.Elec</t>
  </si>
  <si>
    <t>FEC.ktoe.RO.Ser.SEU.VE</t>
  </si>
  <si>
    <t>FEC.ktoe.RO.Ser.SEU.SL</t>
  </si>
  <si>
    <t>FEC.ktoe.RO.Ser.SEU.BL</t>
  </si>
  <si>
    <t>FEC.ktoe.RO.Ser.SEU.CR</t>
  </si>
  <si>
    <t>FEC.ktoe.RO.Ser.SEU.BT</t>
  </si>
  <si>
    <t>FEC.ktoe.RO.Ser.SEU.IT</t>
  </si>
  <si>
    <t>Size.MW.RO.Ser.SEU</t>
  </si>
  <si>
    <t>Size.MW.RO.Ser.SEU.VE</t>
  </si>
  <si>
    <t>Size.MW.RO.Ser.SEU.SL</t>
  </si>
  <si>
    <t>Size.MW.RO.Ser.SEU.BL</t>
  </si>
  <si>
    <t>Size.MW.RO.Ser.SEU.CR</t>
  </si>
  <si>
    <t>Size.MW.RO.Ser.SEU.BT</t>
  </si>
  <si>
    <t>Size.MW.RO.Ser.SEU.IT</t>
  </si>
  <si>
    <t>NUM.Msqm.RO.Ser.SEU.VE</t>
  </si>
  <si>
    <t>NUM.k.RO.Ser.SEU.SL</t>
  </si>
  <si>
    <t>NUM.M.RO.Ser.SEU.BL</t>
  </si>
  <si>
    <t>NUM.k.RO.Ser.SEU.CR</t>
  </si>
  <si>
    <t>NUM.Msqm.RO.Ser.SEU.BT</t>
  </si>
  <si>
    <t>NUM.k.RO.Ser.SEU.IT</t>
  </si>
  <si>
    <t>NUM.Msqm.RO.Ser.SEUnew.VE</t>
  </si>
  <si>
    <t>NUM.k.RO.Ser.SEUnew.SL</t>
  </si>
  <si>
    <t>NUM.M.RO.Ser.SEUnew.BL</t>
  </si>
  <si>
    <t>NUM.k.RO.Ser.SEUnew.CR</t>
  </si>
  <si>
    <t>NUM.Msqm.RO.Ser.SEUnew.BT</t>
  </si>
  <si>
    <t>NUM.k.RO.Ser.SEUnew.IT</t>
  </si>
  <si>
    <t>NUM.Msqm.RO.Ser.SEUrepl.VE</t>
  </si>
  <si>
    <t>NUM.k.RO.Ser.SEUrepl.SL</t>
  </si>
  <si>
    <t>NUM.M.RO.Ser.SEUrepl.BL</t>
  </si>
  <si>
    <t>NUM.k.RO.Ser.SEUrepl.CR</t>
  </si>
  <si>
    <t>NUM.Msqm.RO.Ser.SEUrepl.BT</t>
  </si>
  <si>
    <t>NUM.k.RO.Ser.SEUrepl.IT</t>
  </si>
  <si>
    <t>Op.hours.RO.Ser.SEU.VE</t>
  </si>
  <si>
    <t>Op.hours.RO.Ser.SEU.SL</t>
  </si>
  <si>
    <t>Op.hours.RO.Ser.SEU.BL</t>
  </si>
  <si>
    <t>Op.hours.RO.Ser.SEU.CR</t>
  </si>
  <si>
    <t>Op.hours.RO.Ser.SEU.BT</t>
  </si>
  <si>
    <t>Op.hours.RO.Ser.SEU.IT</t>
  </si>
  <si>
    <t>Size_per_appl.W.RO.Ser.SEU.VE</t>
  </si>
  <si>
    <t>Size_per_appl.W.RO.Ser.SEU.SL</t>
  </si>
  <si>
    <t>Size_per_appl.W.RO.Ser.SEU.BL</t>
  </si>
  <si>
    <t>Size_per_appl.W.RO.Ser.SEU.CR</t>
  </si>
  <si>
    <t>Size_per_appl.W.RO.Ser.SEU.BT</t>
  </si>
  <si>
    <t>Size_per_appl.W.RO.Ser.SEU.IT</t>
  </si>
  <si>
    <t>Size_per_appl.W.RO.Ser.SEUnew.VE</t>
  </si>
  <si>
    <t>Size_per_appl.W.RO.Ser.SEUnew.SL</t>
  </si>
  <si>
    <t>Size_per_appl.W.RO.Ser.SEUnew.BL</t>
  </si>
  <si>
    <t>Size_per_appl.W.RO.Ser.SEUnew.CR</t>
  </si>
  <si>
    <t>Size_per_appl.W.RO.Ser.SEUnew.BT</t>
  </si>
  <si>
    <t>Size_per_appl.W.RO.Ser.SEUnew.IT</t>
  </si>
  <si>
    <t>NUM.sqm_per_building.RO.Ser.SEU.VE</t>
  </si>
  <si>
    <t>NUM.number_per_capita.RO.Ser.SEU.SL</t>
  </si>
  <si>
    <t>NUM.number_per_building.RO.Ser.SEU.BL</t>
  </si>
  <si>
    <t>NUM.number_per_capita.RO.Ser.SEU.CR</t>
  </si>
  <si>
    <t>NUM.sqm_per_building.RO.Ser.SEU.BT</t>
  </si>
  <si>
    <t>NUM.number_per_capita.RO.Ser.SEU.IT</t>
  </si>
  <si>
    <t>Lumens_per_sqm.lumen.RO.Ser.SEU.BL</t>
  </si>
  <si>
    <t>RO - Services / specific electric uses</t>
  </si>
  <si>
    <t>RO - Ventilation and others</t>
  </si>
  <si>
    <t>RO - Street lighting</t>
  </si>
  <si>
    <t>RO - Building lighting</t>
  </si>
  <si>
    <t>RO - Commercial refrigeration</t>
  </si>
  <si>
    <t>RO - Miscellaneous building technologies</t>
  </si>
  <si>
    <t>RO - ICT and multimedia</t>
  </si>
  <si>
    <t>RO - Agriculture, forestry and fishing</t>
  </si>
  <si>
    <t>VA.Meuro2015.RO.AGR.AGR</t>
  </si>
  <si>
    <t>OUTPUT.index.RO.AGR.AGR</t>
  </si>
  <si>
    <t>CAP.index.RO.AGR.AGR</t>
  </si>
  <si>
    <t>NEWCAP.index.RO.AGR.AGR</t>
  </si>
  <si>
    <t>CAPOUT.index.RO.AGR.AGR</t>
  </si>
  <si>
    <t>CAPIDLE.index.RO.AGR.AGR</t>
  </si>
  <si>
    <t>FEC.ktoe.RO.ES.AGR</t>
  </si>
  <si>
    <t>FEC.ktoe.RO.ES.AGR.Solids</t>
  </si>
  <si>
    <t>FEC.ktoe.RO.ES.AGR.LPG</t>
  </si>
  <si>
    <t>FEC.ktoe.RO.ES.AGR.Diesel</t>
  </si>
  <si>
    <t>FEC.ktoe.RO.ES.AGR.RFO</t>
  </si>
  <si>
    <t>FEC.ktoe.RO.ES.AGR.NG</t>
  </si>
  <si>
    <t>FEC.ktoe.RO.ES.AGR.Biomass_Waste</t>
  </si>
  <si>
    <t>FEC.ktoe.RO.ES.AGR.Biogas</t>
  </si>
  <si>
    <t>FEC.ktoe.RO.ES.AGR.LiqBio</t>
  </si>
  <si>
    <t>FEC.ktoe.RO.ES.AGR.Solar</t>
  </si>
  <si>
    <t>FEC.ktoe.RO.ES.AGR.Geo</t>
  </si>
  <si>
    <t>FEC.ktoe.RO.ES.AGR.Ambient</t>
  </si>
  <si>
    <t>FEC.ktoe.RO.ES.AGR.Steam_Distr</t>
  </si>
  <si>
    <t>FEC.ktoe.RO.ES.AGR.Elec</t>
  </si>
  <si>
    <t>RO - Agriculture, forestry and fishing / final energy consumption</t>
  </si>
  <si>
    <t>FEC.ktoe.RO.AGR.AGR.LIGHT.GENERIC.ELEC</t>
  </si>
  <si>
    <t>FEC.ktoe.RO.AGR.AGR.FANS.GENERIC.ELEC</t>
  </si>
  <si>
    <t>FEC.ktoe.RO.AGR.AGR.MOTOR.GENERIC.ELEC</t>
  </si>
  <si>
    <t>FEC.ktoe.RO.AGR.AGR.LOW_ENTH.THERM.DIESEL_LIQBIO</t>
  </si>
  <si>
    <t>FEC.ktoe.RO.AGR.AGR.LOW_ENTH.THERM.NG_BIOGAS</t>
  </si>
  <si>
    <t>FEC.ktoe.RO.AGR.AGR.LOW_ENTH.THERM.SOLAR_GEO</t>
  </si>
  <si>
    <t>FEC.ktoe.RO.AGR.AGR.LOW_ENTH.HP.AMBIENT</t>
  </si>
  <si>
    <t>FEC.ktoe.RO.AGR.AGR.LOW_ENTH.THERM.STEAM_DISTR</t>
  </si>
  <si>
    <t>FEC.ktoe.RO.AGR.AGR.LOW_ENTH.THERM.ELEC</t>
  </si>
  <si>
    <t>FEC.ktoe.RO.AGR.AGR.FARM_DRIVES.MECH.DIESEL_LIQBIO</t>
  </si>
  <si>
    <t>FEC.ktoe.RO.AGR.AGR.HEAT_USE.THERM.SOLIDS</t>
  </si>
  <si>
    <t>FEC.ktoe.RO.AGR.AGR.HEAT_USE.THERM.LPG</t>
  </si>
  <si>
    <t>FEC.ktoe.RO.AGR.AGR.HEAT_USE.THERM.DIESEL_LIQBIO</t>
  </si>
  <si>
    <t>FEC.ktoe.RO.AGR.AGR.HEAT_USE.THERM.RFO</t>
  </si>
  <si>
    <t>FEC.ktoe.RO.AGR.AGR.HEAT_USE.THERM.NG_BIOGAS</t>
  </si>
  <si>
    <t>FEC.ktoe.RO.AGR.AGR.HEAT_USE.THERM.BIOMASS_WASTE</t>
  </si>
  <si>
    <t>FEC.ktoe.RO.AGR.AGR.HEAT_USE.THERM.SOLAR_GEO</t>
  </si>
  <si>
    <t>FEC.ktoe.RO.AGR.AGR.FARM_PUMP.MECH.DIESEL_LIQBIO</t>
  </si>
  <si>
    <t>FEC.ktoe.RO.AGR.AGR.FARM_PUMP_ELEC.MECH.ELEC</t>
  </si>
  <si>
    <t>FEC.ktoe.RO.AGR.AGR.GENERIC.MECH.ELEC</t>
  </si>
  <si>
    <t>RO - Agriculture, forestry and fishing / useful energy demand</t>
  </si>
  <si>
    <t>UED.ktoe.RO.AGR.AGR.LIGHT.GENERIC.ELEC</t>
  </si>
  <si>
    <t>UED.ktoe.RO.AGR.AGR.FANS.GENERIC.ELEC</t>
  </si>
  <si>
    <t>UED.ktoe.RO.AGR.AGR.MOTOR.GENERIC.ELEC</t>
  </si>
  <si>
    <t>UED.ktoe.RO.AGR.AGR.LOW_ENTH.THERM.DIESEL_LIQBIO</t>
  </si>
  <si>
    <t>UED.ktoe.RO.AGR.AGR.LOW_ENTH.THERM.NG_BIOGAS</t>
  </si>
  <si>
    <t>UED.ktoe.RO.AGR.AGR.LOW_ENTH.THERM.SOLAR_GEO</t>
  </si>
  <si>
    <t>UED.ktoe.RO.AGR.AGR.LOW_ENTH.HP.AMBIENT</t>
  </si>
  <si>
    <t>UED.ktoe.RO.AGR.AGR.LOW_ENTH.THERM.STEAM_DISTR</t>
  </si>
  <si>
    <t>UED.ktoe.RO.AGR.AGR.LOW_ENTH.THERM.ELEC</t>
  </si>
  <si>
    <t>UED.ktoe.RO.AGR.AGR.FARM_DRIVES.MECH.DIESEL_LIQBIO</t>
  </si>
  <si>
    <t>UED.ktoe.RO.AGR.AGR.HEAT_USE.THERM.SOLIDS</t>
  </si>
  <si>
    <t>UED.ktoe.RO.AGR.AGR.HEAT_USE.THERM.LPG</t>
  </si>
  <si>
    <t>UED.ktoe.RO.AGR.AGR.HEAT_USE.THERM.DIESEL_LIQBIO</t>
  </si>
  <si>
    <t>UED.ktoe.RO.AGR.AGR.HEAT_USE.THERM.RFO</t>
  </si>
  <si>
    <t>UED.ktoe.RO.AGR.AGR.HEAT_USE.THERM.NG_BIOGAS</t>
  </si>
  <si>
    <t>UED.ktoe.RO.AGR.AGR.HEAT_USE.THERM.BIOMASS_WASTE</t>
  </si>
  <si>
    <t>UED.ktoe.RO.AGR.AGR.HEAT_USE.THERM.SOLAR_GEO</t>
  </si>
  <si>
    <t>UED.ktoe.RO.AGR.AGR.FARM_PUMP.MECH.DIESEL_LIQBIO</t>
  </si>
  <si>
    <t>UED.ktoe.RO.AGR.AGR.FARM_PUMP_ELEC.MECH.ELEC</t>
  </si>
  <si>
    <t>UED.ktoe.RO.AGR.AGR.GENERIC.MECH.ELEC</t>
  </si>
  <si>
    <t>RO - Agriculture, forestry and fishing / CO2 emissions</t>
  </si>
  <si>
    <t>FUEL_EMI.ktCO2.RO.AGR.AGR.LIGHT.GENERIC.ELEC</t>
  </si>
  <si>
    <t>FUEL_EMI.ktCO2.RO.AGR.AGR.FANS.GENERIC.ELEC</t>
  </si>
  <si>
    <t>FUEL_EMI.ktCO2.RO.AGR.AGR.MOTOR.GENERIC.ELEC</t>
  </si>
  <si>
    <t>FUEL_EMI.ktCO2.RO.AGR.AGR.LOW_ENTH.THERM.DIESEL_LIQBIO</t>
  </si>
  <si>
    <t>FUEL_EMI.ktCO2.RO.AGR.AGR.LOW_ENTH.THERM.NG_BIOGAS</t>
  </si>
  <si>
    <t>FUEL_EMI.ktCO2.RO.AGR.AGR.LOW_ENTH.THERM.SOLAR_GEO</t>
  </si>
  <si>
    <t>FUEL_EMI.ktCO2.RO.AGR.AGR.LOW_ENTH.HP.AMBIENT</t>
  </si>
  <si>
    <t>FUEL_EMI.ktCO2.RO.AGR.AGR.LOW_ENTH.THERM.STEAM_DISTR</t>
  </si>
  <si>
    <t>FUEL_EMI.ktCO2.RO.AGR.AGR.LOW_ENTH.THERM.ELEC</t>
  </si>
  <si>
    <t>FUEL_EMI.ktCO2.RO.AGR.AGR.FARM_DRIVES.MECH.DIESEL_LIQBIO</t>
  </si>
  <si>
    <t>FUEL_EMI.ktCO2.RO.AGR.AGR.HEAT_USE.THERM.SOLIDS</t>
  </si>
  <si>
    <t>FUEL_EMI.ktCO2.RO.AGR.AGR.HEAT_USE.THERM.LPG</t>
  </si>
  <si>
    <t>FUEL_EMI.ktCO2.RO.AGR.AGR.HEAT_USE.THERM.DIESEL_LIQBIO</t>
  </si>
  <si>
    <t>FUEL_EMI.ktCO2.RO.AGR.AGR.HEAT_USE.THERM.RFO</t>
  </si>
  <si>
    <t>FUEL_EMI.ktCO2.RO.AGR.AGR.HEAT_USE.THERM.NG_BIOGAS</t>
  </si>
  <si>
    <t>FUEL_EMI.ktCO2.RO.AGR.AGR.HEAT_USE.THERM.BIOMASS_WASTE</t>
  </si>
  <si>
    <t>FUEL_EMI.ktCO2.RO.AGR.AGR.HEAT_USE.THERM.SOLAR_GEO</t>
  </si>
  <si>
    <t>FUEL_EMI.ktCO2.RO.AGR.AGR.FARM_PUMP.MECH.DIESEL_LIQBIO</t>
  </si>
  <si>
    <t>FUEL_EMI.ktCO2.RO.AGR.AGR.FARM_PUMP_ELEC.MECH.ELEC</t>
  </si>
  <si>
    <t>FUEL_EMI.ktCO2.RO.AGR.AGR.GENERIC.MECH.ELEC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</si>
</sst>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45432.788530092592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22455485</v>
      </c>
      <c r="C3" s="34">
        <v>22430457</v>
      </c>
      <c r="D3" s="34">
        <v>21833483</v>
      </c>
      <c r="E3" s="34">
        <v>21627509</v>
      </c>
      <c r="F3" s="34">
        <v>21521142</v>
      </c>
      <c r="G3" s="34">
        <v>21382354</v>
      </c>
      <c r="H3" s="34">
        <v>21257016</v>
      </c>
      <c r="I3" s="34">
        <v>21130503</v>
      </c>
      <c r="J3" s="34">
        <v>20635460</v>
      </c>
      <c r="K3" s="34">
        <v>20440290</v>
      </c>
      <c r="L3" s="34">
        <v>20294683</v>
      </c>
      <c r="M3" s="34">
        <v>20199059</v>
      </c>
      <c r="N3" s="34">
        <v>20095996</v>
      </c>
      <c r="O3" s="34">
        <v>20020074</v>
      </c>
      <c r="P3" s="34">
        <v>19947311</v>
      </c>
      <c r="Q3" s="34">
        <v>19870647</v>
      </c>
      <c r="R3" s="34">
        <v>19760585</v>
      </c>
      <c r="S3" s="34">
        <v>19643949</v>
      </c>
      <c r="T3" s="34">
        <v>19533481</v>
      </c>
      <c r="U3" s="34">
        <v>19414458</v>
      </c>
      <c r="V3" s="34">
        <v>19328838</v>
      </c>
      <c r="W3" s="34">
        <v>19201662</v>
      </c>
      <c r="DA3" s="88" t="s">
        <v>187</v>
      </c>
    </row>
    <row r="4" spans="1:105" ht="12" customHeight="1" x14ac:dyDescent="0.25">
      <c r="A4" s="35" t="s">
        <v>178</v>
      </c>
      <c r="B4" s="36">
        <v>92363.99626857182</v>
      </c>
      <c r="C4" s="36">
        <v>97183.329027813656</v>
      </c>
      <c r="D4" s="36">
        <v>102724.87553792929</v>
      </c>
      <c r="E4" s="36">
        <v>105129.07538825466</v>
      </c>
      <c r="F4" s="36">
        <v>116092.94816352418</v>
      </c>
      <c r="G4" s="36">
        <v>121512.77646553575</v>
      </c>
      <c r="H4" s="36">
        <v>131267.77299180382</v>
      </c>
      <c r="I4" s="36">
        <v>140763.8605507825</v>
      </c>
      <c r="J4" s="36">
        <v>153865.35393399949</v>
      </c>
      <c r="K4" s="36">
        <v>145376.11312999966</v>
      </c>
      <c r="L4" s="36">
        <v>139705.4050816262</v>
      </c>
      <c r="M4" s="36">
        <v>146015.68511705863</v>
      </c>
      <c r="N4" s="36">
        <v>148826.85980429858</v>
      </c>
      <c r="O4" s="36">
        <v>149227.80567765379</v>
      </c>
      <c r="P4" s="36">
        <v>155376.35740534292</v>
      </c>
      <c r="Q4" s="36">
        <v>160287.79999999999</v>
      </c>
      <c r="R4" s="36">
        <v>164867.9535007333</v>
      </c>
      <c r="S4" s="36">
        <v>178380.78376955836</v>
      </c>
      <c r="T4" s="36">
        <v>189136.60810984453</v>
      </c>
      <c r="U4" s="36">
        <v>196423.90256724789</v>
      </c>
      <c r="V4" s="36">
        <v>189200.41875471958</v>
      </c>
      <c r="W4" s="36">
        <v>200001.07611439921</v>
      </c>
      <c r="DA4" s="89" t="s">
        <v>188</v>
      </c>
    </row>
    <row r="5" spans="1:105" ht="12" customHeight="1" x14ac:dyDescent="0.25">
      <c r="A5" s="35" t="s">
        <v>147</v>
      </c>
      <c r="B5" s="36">
        <v>44550.586870174506</v>
      </c>
      <c r="C5" s="36">
        <v>43136.115922436737</v>
      </c>
      <c r="D5" s="36">
        <v>45935.943795846673</v>
      </c>
      <c r="E5" s="36">
        <v>47151.972276016713</v>
      </c>
      <c r="F5" s="36">
        <v>51764.237053342687</v>
      </c>
      <c r="G5" s="36">
        <v>57801.406563965182</v>
      </c>
      <c r="H5" s="36">
        <v>62872.63272171664</v>
      </c>
      <c r="I5" s="36">
        <v>68750.777762010286</v>
      </c>
      <c r="J5" s="36">
        <v>70673.952829505855</v>
      </c>
      <c r="K5" s="36">
        <v>69133.913083173567</v>
      </c>
      <c r="L5" s="36">
        <v>63316.910857081522</v>
      </c>
      <c r="M5" s="36">
        <v>61475.944350670456</v>
      </c>
      <c r="N5" s="36">
        <v>73306.895487112895</v>
      </c>
      <c r="O5" s="36">
        <v>75502.539344159508</v>
      </c>
      <c r="P5" s="36">
        <v>78950.242093334717</v>
      </c>
      <c r="Q5" s="36">
        <v>84314.7</v>
      </c>
      <c r="R5" s="36">
        <v>89115.219385046119</v>
      </c>
      <c r="S5" s="36">
        <v>98726.546794728638</v>
      </c>
      <c r="T5" s="36">
        <v>104409.03349758952</v>
      </c>
      <c r="U5" s="36">
        <v>111053.99198298292</v>
      </c>
      <c r="V5" s="36">
        <v>109792.10427996183</v>
      </c>
      <c r="W5" s="36">
        <v>115200.85480346723</v>
      </c>
      <c r="DA5" s="89" t="s">
        <v>189</v>
      </c>
    </row>
    <row r="6" spans="1:105" ht="12" customHeight="1" x14ac:dyDescent="0.25">
      <c r="A6" s="37" t="s">
        <v>70</v>
      </c>
      <c r="B6" s="38">
        <v>3174800</v>
      </c>
      <c r="C6" s="38">
        <v>3184800</v>
      </c>
      <c r="D6" s="38">
        <v>3273700</v>
      </c>
      <c r="E6" s="38">
        <v>3209800</v>
      </c>
      <c r="F6" s="38">
        <v>3466220.0000000005</v>
      </c>
      <c r="G6" s="38">
        <v>3493410</v>
      </c>
      <c r="H6" s="38">
        <v>3703049.9999999995</v>
      </c>
      <c r="I6" s="38">
        <v>3741720</v>
      </c>
      <c r="J6" s="38">
        <v>3753000</v>
      </c>
      <c r="K6" s="38">
        <v>3730700.0000000005</v>
      </c>
      <c r="L6" s="38">
        <v>3626000</v>
      </c>
      <c r="M6" s="38">
        <v>3701840</v>
      </c>
      <c r="N6" s="38">
        <v>3747000</v>
      </c>
      <c r="O6" s="38">
        <v>3741300</v>
      </c>
      <c r="P6" s="38">
        <v>3800900.0000000005</v>
      </c>
      <c r="Q6" s="38">
        <v>4017700</v>
      </c>
      <c r="R6" s="38">
        <v>4086700</v>
      </c>
      <c r="S6" s="38">
        <v>4213300</v>
      </c>
      <c r="T6" s="38">
        <v>4231100</v>
      </c>
      <c r="U6" s="38">
        <v>4315799.9999999991</v>
      </c>
      <c r="V6" s="38">
        <v>4312600</v>
      </c>
      <c r="W6" s="38">
        <v>4349299.9999999991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32838.432040694963</v>
      </c>
      <c r="C8" s="34">
        <v>35719.937310639922</v>
      </c>
      <c r="D8" s="34">
        <v>37157.052335049455</v>
      </c>
      <c r="E8" s="34">
        <v>39857.43668449598</v>
      </c>
      <c r="F8" s="34">
        <v>42566.644162568751</v>
      </c>
      <c r="G8" s="34">
        <v>45911.161130593704</v>
      </c>
      <c r="H8" s="34">
        <v>48661.475506371469</v>
      </c>
      <c r="I8" s="34">
        <v>50002.95883331092</v>
      </c>
      <c r="J8" s="34">
        <v>51532.110969474925</v>
      </c>
      <c r="K8" s="34">
        <v>52665.52237225898</v>
      </c>
      <c r="L8" s="34">
        <v>54791.046579909605</v>
      </c>
      <c r="M8" s="34">
        <v>56960.981791148799</v>
      </c>
      <c r="N8" s="34">
        <v>58420.510842979442</v>
      </c>
      <c r="O8" s="34">
        <v>61170.742702579671</v>
      </c>
      <c r="P8" s="34">
        <v>63725.858062569438</v>
      </c>
      <c r="Q8" s="34">
        <v>66995.348380343828</v>
      </c>
      <c r="R8" s="34">
        <v>69614.880293867391</v>
      </c>
      <c r="S8" s="34">
        <v>72589.442341480491</v>
      </c>
      <c r="T8" s="34">
        <v>74651.038519664944</v>
      </c>
      <c r="U8" s="34">
        <v>76405.308553928713</v>
      </c>
      <c r="V8" s="34">
        <v>77939.505555555545</v>
      </c>
      <c r="W8" s="34">
        <v>79309.081703577496</v>
      </c>
      <c r="DA8" s="88" t="s">
        <v>191</v>
      </c>
    </row>
    <row r="9" spans="1:105" ht="12" customHeight="1" x14ac:dyDescent="0.25">
      <c r="A9" s="39" t="s">
        <v>68</v>
      </c>
      <c r="B9" s="40">
        <v>29554.588836625462</v>
      </c>
      <c r="C9" s="40">
        <v>32147.943579575927</v>
      </c>
      <c r="D9" s="40">
        <v>33441.34710154451</v>
      </c>
      <c r="E9" s="40">
        <v>35871.693016046382</v>
      </c>
      <c r="F9" s="40">
        <v>38309.979746311874</v>
      </c>
      <c r="G9" s="40">
        <v>41320.045017534336</v>
      </c>
      <c r="H9" s="40">
        <v>43795.327955734319</v>
      </c>
      <c r="I9" s="40">
        <v>45002.662949979829</v>
      </c>
      <c r="J9" s="40">
        <v>46378.899872527436</v>
      </c>
      <c r="K9" s="40">
        <v>47398.97013503308</v>
      </c>
      <c r="L9" s="40">
        <v>49311.941921918646</v>
      </c>
      <c r="M9" s="40">
        <v>51264.883612033918</v>
      </c>
      <c r="N9" s="40">
        <v>52578.459758681493</v>
      </c>
      <c r="O9" s="40">
        <v>55053.668432321705</v>
      </c>
      <c r="P9" s="40">
        <v>57353.272256312492</v>
      </c>
      <c r="Q9" s="40">
        <v>60295.81354230945</v>
      </c>
      <c r="R9" s="40">
        <v>62653.392264480652</v>
      </c>
      <c r="S9" s="40">
        <v>65330.498107332438</v>
      </c>
      <c r="T9" s="40">
        <v>67185.934667698457</v>
      </c>
      <c r="U9" s="40">
        <v>68764.777698535851</v>
      </c>
      <c r="V9" s="40">
        <v>70145.554999999993</v>
      </c>
      <c r="W9" s="40">
        <v>71378.173533219742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3012.7952558790007</v>
      </c>
      <c r="D10" s="41">
        <v>1580.0216535063546</v>
      </c>
      <c r="E10" s="41">
        <v>2848.9897091515095</v>
      </c>
      <c r="F10" s="41">
        <v>2868.5527531546541</v>
      </c>
      <c r="G10" s="41">
        <v>3514.8213404302205</v>
      </c>
      <c r="H10" s="41">
        <v>2933.9888469175412</v>
      </c>
      <c r="I10" s="41">
        <v>1536.1168954026159</v>
      </c>
      <c r="J10" s="41">
        <v>1729.2652532888617</v>
      </c>
      <c r="K10" s="41">
        <v>1339.4424324635143</v>
      </c>
      <c r="L10" s="41">
        <v>2336.158058205915</v>
      </c>
      <c r="M10" s="41">
        <v>2389.1171577067157</v>
      </c>
      <c r="N10" s="41">
        <v>1687.4782761568554</v>
      </c>
      <c r="O10" s="41">
        <v>2983.8798145346213</v>
      </c>
      <c r="P10" s="41">
        <v>2799.7224122475086</v>
      </c>
      <c r="Q10" s="41">
        <v>3524.3989215161296</v>
      </c>
      <c r="R10" s="41">
        <v>2968.466019671202</v>
      </c>
      <c r="S10" s="41">
        <v>3337.1395491436615</v>
      </c>
      <c r="T10" s="41">
        <v>2439.6661903796457</v>
      </c>
      <c r="U10" s="41">
        <v>2143.0775265536927</v>
      </c>
      <c r="V10" s="41">
        <v>1932.1413170118958</v>
      </c>
      <c r="W10" s="41">
        <v>1775.5110727904323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2711.5157302911007</v>
      </c>
      <c r="D11" s="42">
        <v>1422.019488155719</v>
      </c>
      <c r="E11" s="42">
        <v>2564.0907382363584</v>
      </c>
      <c r="F11" s="42">
        <v>2581.6974778391887</v>
      </c>
      <c r="G11" s="42">
        <v>3163.3392063871984</v>
      </c>
      <c r="H11" s="42">
        <v>2640.5899622257871</v>
      </c>
      <c r="I11" s="42">
        <v>1382.5052058623544</v>
      </c>
      <c r="J11" s="42">
        <v>1556.3387279599756</v>
      </c>
      <c r="K11" s="42">
        <v>1205.4981892171629</v>
      </c>
      <c r="L11" s="42">
        <v>2102.5422523853235</v>
      </c>
      <c r="M11" s="42">
        <v>2150.2054419360443</v>
      </c>
      <c r="N11" s="42">
        <v>1518.7304485411698</v>
      </c>
      <c r="O11" s="42">
        <v>2685.4918330811593</v>
      </c>
      <c r="P11" s="42">
        <v>2519.750171022758</v>
      </c>
      <c r="Q11" s="42">
        <v>3171.9590293645174</v>
      </c>
      <c r="R11" s="42">
        <v>2671.6194177040816</v>
      </c>
      <c r="S11" s="42">
        <v>3003.4255942292948</v>
      </c>
      <c r="T11" s="42">
        <v>2195.6995713416813</v>
      </c>
      <c r="U11" s="42">
        <v>1928.7697738983234</v>
      </c>
      <c r="V11" s="42">
        <v>1738.9271853107064</v>
      </c>
      <c r="W11" s="42">
        <v>1597.9599655113891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2931.43</v>
      </c>
      <c r="C13" s="43">
        <v>3028.97</v>
      </c>
      <c r="D13" s="43">
        <v>2932</v>
      </c>
      <c r="E13" s="43">
        <v>3393.84</v>
      </c>
      <c r="F13" s="43">
        <v>3107.75</v>
      </c>
      <c r="G13" s="43">
        <v>3248.31</v>
      </c>
      <c r="H13" s="43">
        <v>3164.93</v>
      </c>
      <c r="I13" s="43">
        <v>2837.51</v>
      </c>
      <c r="J13" s="43">
        <v>2871.73</v>
      </c>
      <c r="K13" s="43">
        <v>2850.3</v>
      </c>
      <c r="L13" s="43">
        <v>3056.91</v>
      </c>
      <c r="M13" s="43">
        <v>3174.1</v>
      </c>
      <c r="N13" s="43">
        <v>3089.55</v>
      </c>
      <c r="O13" s="43">
        <v>2865.71</v>
      </c>
      <c r="P13" s="43">
        <v>2730.97</v>
      </c>
      <c r="Q13" s="43">
        <v>2787.05</v>
      </c>
      <c r="R13" s="43">
        <v>2920.43</v>
      </c>
      <c r="S13" s="43">
        <v>2918.88</v>
      </c>
      <c r="T13" s="43">
        <v>2748.49</v>
      </c>
      <c r="U13" s="43">
        <v>2568.23</v>
      </c>
      <c r="V13" s="43">
        <v>2665.91</v>
      </c>
      <c r="W13" s="43">
        <v>2993.6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2947.2857142857142</v>
      </c>
      <c r="C14" s="44">
        <f t="shared" ref="C14:W14" si="0">AVERAGE($B$13:$V$13)</f>
        <v>2947.2857142857142</v>
      </c>
      <c r="D14" s="44">
        <f t="shared" si="0"/>
        <v>2947.2857142857142</v>
      </c>
      <c r="E14" s="44">
        <f t="shared" si="0"/>
        <v>2947.2857142857142</v>
      </c>
      <c r="F14" s="44">
        <f t="shared" si="0"/>
        <v>2947.2857142857142</v>
      </c>
      <c r="G14" s="44">
        <f t="shared" si="0"/>
        <v>2947.2857142857142</v>
      </c>
      <c r="H14" s="44">
        <f t="shared" si="0"/>
        <v>2947.2857142857142</v>
      </c>
      <c r="I14" s="44">
        <f t="shared" si="0"/>
        <v>2947.2857142857142</v>
      </c>
      <c r="J14" s="44">
        <f t="shared" si="0"/>
        <v>2947.2857142857142</v>
      </c>
      <c r="K14" s="44">
        <f t="shared" si="0"/>
        <v>2947.2857142857142</v>
      </c>
      <c r="L14" s="44">
        <f t="shared" si="0"/>
        <v>2947.2857142857142</v>
      </c>
      <c r="M14" s="44">
        <f t="shared" si="0"/>
        <v>2947.2857142857142</v>
      </c>
      <c r="N14" s="44">
        <f t="shared" si="0"/>
        <v>2947.2857142857142</v>
      </c>
      <c r="O14" s="44">
        <f t="shared" si="0"/>
        <v>2947.2857142857142</v>
      </c>
      <c r="P14" s="44">
        <f t="shared" si="0"/>
        <v>2947.2857142857142</v>
      </c>
      <c r="Q14" s="44">
        <f t="shared" si="0"/>
        <v>2947.2857142857142</v>
      </c>
      <c r="R14" s="44">
        <f t="shared" si="0"/>
        <v>2947.2857142857142</v>
      </c>
      <c r="S14" s="44">
        <f t="shared" si="0"/>
        <v>2947.2857142857142</v>
      </c>
      <c r="T14" s="44">
        <f t="shared" si="0"/>
        <v>2947.2857142857142</v>
      </c>
      <c r="U14" s="44">
        <f t="shared" si="0"/>
        <v>2947.2857142857142</v>
      </c>
      <c r="V14" s="44">
        <f t="shared" si="0"/>
        <v>2947.2857142857142</v>
      </c>
      <c r="W14" s="44">
        <f t="shared" si="0"/>
        <v>2947.2857142857142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0.99462023169017499</v>
      </c>
      <c r="C15" s="46">
        <f t="shared" ref="C15:W15" si="1">C13/C14</f>
        <v>1.0277150889438225</v>
      </c>
      <c r="D15" s="46">
        <f t="shared" si="1"/>
        <v>0.99481362997431055</v>
      </c>
      <c r="E15" s="46">
        <f t="shared" si="1"/>
        <v>1.1515137414570307</v>
      </c>
      <c r="F15" s="46">
        <f t="shared" si="1"/>
        <v>1.0544447675827637</v>
      </c>
      <c r="G15" s="46">
        <f t="shared" si="1"/>
        <v>1.1021361058601133</v>
      </c>
      <c r="H15" s="46">
        <f t="shared" si="1"/>
        <v>1.0738456691386749</v>
      </c>
      <c r="I15" s="46">
        <f t="shared" si="1"/>
        <v>0.96275362318840585</v>
      </c>
      <c r="J15" s="46">
        <f t="shared" si="1"/>
        <v>0.97436430614124381</v>
      </c>
      <c r="K15" s="46">
        <f t="shared" si="1"/>
        <v>0.96709320924821873</v>
      </c>
      <c r="L15" s="46">
        <f t="shared" si="1"/>
        <v>1.0371949978188164</v>
      </c>
      <c r="M15" s="46">
        <f t="shared" si="1"/>
        <v>1.0769570064466094</v>
      </c>
      <c r="N15" s="46">
        <f t="shared" si="1"/>
        <v>1.0482695942998401</v>
      </c>
      <c r="O15" s="46">
        <f t="shared" si="1"/>
        <v>0.97232174882458444</v>
      </c>
      <c r="P15" s="46">
        <f t="shared" si="1"/>
        <v>0.926605108816829</v>
      </c>
      <c r="Q15" s="46">
        <f t="shared" si="1"/>
        <v>0.94563278561388209</v>
      </c>
      <c r="R15" s="46">
        <f t="shared" si="1"/>
        <v>0.99088798410159462</v>
      </c>
      <c r="S15" s="46">
        <f t="shared" si="1"/>
        <v>0.99036207648684027</v>
      </c>
      <c r="T15" s="46">
        <f t="shared" si="1"/>
        <v>0.93254956133973144</v>
      </c>
      <c r="U15" s="46">
        <f t="shared" si="1"/>
        <v>0.87138820221996027</v>
      </c>
      <c r="V15" s="46">
        <f t="shared" si="1"/>
        <v>0.90453056080655325</v>
      </c>
      <c r="W15" s="46">
        <f t="shared" si="1"/>
        <v>1.0157142164703601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4113.2042469165917</v>
      </c>
      <c r="C19" s="34">
        <f t="shared" si="2"/>
        <v>4332.6504238328116</v>
      </c>
      <c r="D19" s="34">
        <f t="shared" ref="D19:W19" si="3">D4*1000000/D3</f>
        <v>4704.9238794345956</v>
      </c>
      <c r="E19" s="34">
        <f t="shared" si="3"/>
        <v>4860.8961572160088</v>
      </c>
      <c r="F19" s="34">
        <f t="shared" si="3"/>
        <v>5394.3674626339152</v>
      </c>
      <c r="G19" s="34">
        <f t="shared" si="3"/>
        <v>5682.8530883707072</v>
      </c>
      <c r="H19" s="34">
        <f t="shared" si="3"/>
        <v>6175.2681087413121</v>
      </c>
      <c r="I19" s="34">
        <f t="shared" si="3"/>
        <v>6661.642676030121</v>
      </c>
      <c r="J19" s="34">
        <f t="shared" si="3"/>
        <v>7456.3568698734834</v>
      </c>
      <c r="K19" s="34">
        <f t="shared" si="3"/>
        <v>7112.2333944381253</v>
      </c>
      <c r="L19" s="34">
        <f t="shared" si="3"/>
        <v>6883.8426834075799</v>
      </c>
      <c r="M19" s="34">
        <f t="shared" si="3"/>
        <v>7228.8360124626906</v>
      </c>
      <c r="N19" s="34">
        <f t="shared" si="3"/>
        <v>7405.7966474664199</v>
      </c>
      <c r="O19" s="34">
        <f t="shared" si="3"/>
        <v>7453.9087956245203</v>
      </c>
      <c r="P19" s="34">
        <f t="shared" si="3"/>
        <v>7789.3384930601887</v>
      </c>
      <c r="Q19" s="34">
        <f t="shared" si="3"/>
        <v>8066.5616977645468</v>
      </c>
      <c r="R19" s="34">
        <f t="shared" si="3"/>
        <v>8343.2729092146474</v>
      </c>
      <c r="S19" s="34">
        <f t="shared" si="3"/>
        <v>9080.6987825899141</v>
      </c>
      <c r="T19" s="34">
        <f t="shared" si="3"/>
        <v>9682.6883088500472</v>
      </c>
      <c r="U19" s="34">
        <f t="shared" si="3"/>
        <v>10117.403358221378</v>
      </c>
      <c r="V19" s="34">
        <f t="shared" si="3"/>
        <v>9788.5045523543413</v>
      </c>
      <c r="W19" s="34">
        <f t="shared" si="3"/>
        <v>10415.821094778108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14032.564845084575</v>
      </c>
      <c r="C20" s="36">
        <f t="shared" si="4"/>
        <v>13544.371992726934</v>
      </c>
      <c r="D20" s="36">
        <f t="shared" ref="D20:W20" si="5">D5*1000000/D6</f>
        <v>14031.812260086957</v>
      </c>
      <c r="E20" s="36">
        <f t="shared" si="5"/>
        <v>14690.003201450781</v>
      </c>
      <c r="F20" s="36">
        <f t="shared" si="5"/>
        <v>14933.915635286474</v>
      </c>
      <c r="G20" s="36">
        <f t="shared" si="5"/>
        <v>16545.84104469993</v>
      </c>
      <c r="H20" s="36">
        <f t="shared" si="5"/>
        <v>16978.607559097676</v>
      </c>
      <c r="I20" s="36">
        <f t="shared" si="5"/>
        <v>18374.110773123131</v>
      </c>
      <c r="J20" s="36">
        <f t="shared" si="5"/>
        <v>18831.322363310916</v>
      </c>
      <c r="K20" s="36">
        <f t="shared" si="5"/>
        <v>18531.083465079893</v>
      </c>
      <c r="L20" s="36">
        <f t="shared" si="5"/>
        <v>17461.916949002072</v>
      </c>
      <c r="M20" s="36">
        <f t="shared" si="5"/>
        <v>16606.861547411681</v>
      </c>
      <c r="N20" s="36">
        <f t="shared" si="5"/>
        <v>19564.156788661036</v>
      </c>
      <c r="O20" s="36">
        <f t="shared" si="5"/>
        <v>20180.830017416276</v>
      </c>
      <c r="P20" s="36">
        <f t="shared" si="5"/>
        <v>20771.459941943936</v>
      </c>
      <c r="Q20" s="36">
        <f t="shared" si="5"/>
        <v>20985.812778455336</v>
      </c>
      <c r="R20" s="36">
        <f t="shared" si="5"/>
        <v>21806.156406158054</v>
      </c>
      <c r="S20" s="36">
        <f t="shared" si="5"/>
        <v>23432.118955386191</v>
      </c>
      <c r="T20" s="36">
        <f t="shared" si="5"/>
        <v>24676.569567627692</v>
      </c>
      <c r="U20" s="36">
        <f t="shared" si="5"/>
        <v>25731.959771764894</v>
      </c>
      <c r="V20" s="36">
        <f t="shared" si="5"/>
        <v>25458.448332783431</v>
      </c>
      <c r="W20" s="36">
        <f t="shared" si="5"/>
        <v>26487.217438085958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1983.9512203888942</v>
      </c>
      <c r="C21" s="36">
        <f t="shared" si="6"/>
        <v>1923.1046394835707</v>
      </c>
      <c r="D21" s="36">
        <f t="shared" ref="D21:W21" si="7">D5*1000000/D3</f>
        <v>2103.9219347571193</v>
      </c>
      <c r="E21" s="36">
        <f t="shared" si="7"/>
        <v>2180.1850724471651</v>
      </c>
      <c r="F21" s="36">
        <f t="shared" si="7"/>
        <v>2405.2737096081</v>
      </c>
      <c r="G21" s="36">
        <f t="shared" si="7"/>
        <v>2703.2293340557912</v>
      </c>
      <c r="H21" s="36">
        <f t="shared" si="7"/>
        <v>2957.7355881802337</v>
      </c>
      <c r="I21" s="36">
        <f t="shared" si="7"/>
        <v>3253.6271267186721</v>
      </c>
      <c r="J21" s="36">
        <f t="shared" si="7"/>
        <v>3424.8789622090258</v>
      </c>
      <c r="K21" s="36">
        <f t="shared" si="7"/>
        <v>3382.2373891551229</v>
      </c>
      <c r="L21" s="36">
        <f t="shared" si="7"/>
        <v>3119.8768099546824</v>
      </c>
      <c r="M21" s="36">
        <f t="shared" si="7"/>
        <v>3043.5053608522285</v>
      </c>
      <c r="N21" s="36">
        <f t="shared" si="7"/>
        <v>3647.8358916429374</v>
      </c>
      <c r="O21" s="36">
        <f t="shared" si="7"/>
        <v>3771.3416715722187</v>
      </c>
      <c r="P21" s="36">
        <f t="shared" si="7"/>
        <v>3957.939097321675</v>
      </c>
      <c r="Q21" s="36">
        <f t="shared" si="7"/>
        <v>4243.178392731752</v>
      </c>
      <c r="R21" s="36">
        <f t="shared" si="7"/>
        <v>4509.746011317282</v>
      </c>
      <c r="S21" s="36">
        <f t="shared" si="7"/>
        <v>5025.7993845702122</v>
      </c>
      <c r="T21" s="36">
        <f t="shared" si="7"/>
        <v>5345.1319556196622</v>
      </c>
      <c r="U21" s="36">
        <f t="shared" si="7"/>
        <v>5720.1695758379092</v>
      </c>
      <c r="V21" s="36">
        <f t="shared" si="7"/>
        <v>5680.2226952267811</v>
      </c>
      <c r="W21" s="36">
        <f t="shared" si="7"/>
        <v>5999.5251871149085</v>
      </c>
      <c r="DA21" s="89"/>
    </row>
    <row r="22" spans="1:105" ht="12" customHeight="1" x14ac:dyDescent="0.25">
      <c r="A22" s="51" t="s">
        <v>152</v>
      </c>
      <c r="B22" s="52">
        <v>0.13636614312822054</v>
      </c>
      <c r="C22" s="52">
        <v>0.12882521280641807</v>
      </c>
      <c r="D22" s="52">
        <v>0.13825298646422027</v>
      </c>
      <c r="E22" s="52">
        <v>0.1416745862202497</v>
      </c>
      <c r="F22" s="52">
        <v>0.15272348170245303</v>
      </c>
      <c r="G22" s="52">
        <v>0.16823832720180304</v>
      </c>
      <c r="H22" s="52">
        <v>0.17887714024664789</v>
      </c>
      <c r="I22" s="52">
        <v>0.19096115844924885</v>
      </c>
      <c r="J22" s="52">
        <v>0.19840320038048209</v>
      </c>
      <c r="K22" s="52">
        <v>0.20043340523635242</v>
      </c>
      <c r="L22" s="52">
        <v>0.1824215725068494</v>
      </c>
      <c r="M22" s="52">
        <v>0.17464102499898401</v>
      </c>
      <c r="N22" s="52">
        <v>0.20995586361662094</v>
      </c>
      <c r="O22" s="52">
        <v>0.21624186717401933</v>
      </c>
      <c r="P22" s="52">
        <v>0.2240066699907273</v>
      </c>
      <c r="Q22" s="52">
        <v>0.2367031257049742</v>
      </c>
      <c r="R22" s="52">
        <v>0.24755431526974558</v>
      </c>
      <c r="S22" s="52">
        <v>0.26879466967157511</v>
      </c>
      <c r="T22" s="52">
        <v>0.27996051384348186</v>
      </c>
      <c r="U22" s="52">
        <v>0.29399500758884711</v>
      </c>
      <c r="V22" s="52">
        <v>0.30927717160100304</v>
      </c>
      <c r="W22" s="52">
        <v>0.3100404254578269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96.679402843157533</v>
      </c>
      <c r="C23" s="53">
        <f t="shared" si="8"/>
        <v>89.160290856707121</v>
      </c>
      <c r="D23" s="53">
        <f t="shared" ref="D23:W23" si="9">D6/D8</f>
        <v>88.104405335511203</v>
      </c>
      <c r="E23" s="53">
        <f t="shared" si="9"/>
        <v>80.532022804380944</v>
      </c>
      <c r="F23" s="53">
        <f t="shared" si="9"/>
        <v>81.430426762371908</v>
      </c>
      <c r="G23" s="53">
        <f t="shared" si="9"/>
        <v>76.090647981283695</v>
      </c>
      <c r="H23" s="53">
        <f t="shared" si="9"/>
        <v>76.098185709866982</v>
      </c>
      <c r="I23" s="53">
        <f t="shared" si="9"/>
        <v>74.829971811734964</v>
      </c>
      <c r="J23" s="53">
        <f t="shared" si="9"/>
        <v>72.828376897330898</v>
      </c>
      <c r="K23" s="53">
        <f t="shared" si="9"/>
        <v>70.837615045950983</v>
      </c>
      <c r="L23" s="53">
        <f t="shared" si="9"/>
        <v>66.17869572379287</v>
      </c>
      <c r="M23" s="53">
        <f t="shared" si="9"/>
        <v>64.989048355469734</v>
      </c>
      <c r="N23" s="53">
        <f t="shared" si="9"/>
        <v>64.138432648612962</v>
      </c>
      <c r="O23" s="53">
        <f t="shared" si="9"/>
        <v>61.161591877193658</v>
      </c>
      <c r="P23" s="53">
        <f t="shared" si="9"/>
        <v>59.644547999150902</v>
      </c>
      <c r="Q23" s="53">
        <f t="shared" si="9"/>
        <v>59.969835177075929</v>
      </c>
      <c r="R23" s="53">
        <f t="shared" si="9"/>
        <v>58.704403178583235</v>
      </c>
      <c r="S23" s="53">
        <f t="shared" si="9"/>
        <v>58.042875989864889</v>
      </c>
      <c r="T23" s="53">
        <f t="shared" si="9"/>
        <v>56.678380956286667</v>
      </c>
      <c r="U23" s="53">
        <f t="shared" si="9"/>
        <v>56.485603967606558</v>
      </c>
      <c r="V23" s="53">
        <f t="shared" si="9"/>
        <v>55.332657928217984</v>
      </c>
      <c r="W23" s="53">
        <f t="shared" si="9"/>
        <v>54.839873398809125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1.3161411938608969</v>
      </c>
      <c r="C24" s="54">
        <f t="shared" si="10"/>
        <v>1.4332273113996707</v>
      </c>
      <c r="D24" s="54">
        <f t="shared" ref="D24:W24" si="11">D9*1000/D3</f>
        <v>1.5316542533110502</v>
      </c>
      <c r="E24" s="54">
        <f t="shared" si="11"/>
        <v>1.6586141758649313</v>
      </c>
      <c r="F24" s="54">
        <f t="shared" si="11"/>
        <v>1.7801090549150167</v>
      </c>
      <c r="G24" s="54">
        <f t="shared" si="11"/>
        <v>1.9324366726663649</v>
      </c>
      <c r="H24" s="54">
        <f t="shared" si="11"/>
        <v>2.060276379136861</v>
      </c>
      <c r="I24" s="54">
        <f t="shared" si="11"/>
        <v>2.1297487783409523</v>
      </c>
      <c r="J24" s="54">
        <f t="shared" si="11"/>
        <v>2.2475340928928862</v>
      </c>
      <c r="K24" s="54">
        <f t="shared" si="11"/>
        <v>2.3188991024605365</v>
      </c>
      <c r="L24" s="54">
        <f t="shared" si="11"/>
        <v>2.4297961156584038</v>
      </c>
      <c r="M24" s="54">
        <f t="shared" si="11"/>
        <v>2.5379837551855222</v>
      </c>
      <c r="N24" s="54">
        <f t="shared" si="11"/>
        <v>2.6163649594019369</v>
      </c>
      <c r="O24" s="54">
        <f t="shared" si="11"/>
        <v>2.7499233235762119</v>
      </c>
      <c r="P24" s="54">
        <f t="shared" si="11"/>
        <v>2.8752382843137347</v>
      </c>
      <c r="Q24" s="54">
        <f t="shared" si="11"/>
        <v>3.0344162191754225</v>
      </c>
      <c r="R24" s="54">
        <f t="shared" si="11"/>
        <v>3.1706243648394343</v>
      </c>
      <c r="S24" s="54">
        <f t="shared" si="11"/>
        <v>3.325731404990536</v>
      </c>
      <c r="T24" s="54">
        <f t="shared" si="11"/>
        <v>3.4395269674513447</v>
      </c>
      <c r="U24" s="54">
        <f t="shared" si="11"/>
        <v>3.5419365144541168</v>
      </c>
      <c r="V24" s="54">
        <f t="shared" si="11"/>
        <v>3.6290621815962241</v>
      </c>
      <c r="W24" s="54">
        <f t="shared" si="11"/>
        <v>3.7172914268160611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9.3091183182012909</v>
      </c>
      <c r="C25" s="54">
        <f t="shared" si="12"/>
        <v>10.094179722298394</v>
      </c>
      <c r="D25" s="54">
        <f t="shared" ref="D25:W25" si="13">D9*1000/D6</f>
        <v>10.215153221597737</v>
      </c>
      <c r="E25" s="54">
        <f t="shared" si="13"/>
        <v>11.175678551949151</v>
      </c>
      <c r="F25" s="54">
        <f t="shared" si="13"/>
        <v>11.052379752673479</v>
      </c>
      <c r="G25" s="54">
        <f t="shared" si="13"/>
        <v>11.827997577591619</v>
      </c>
      <c r="H25" s="54">
        <f t="shared" si="13"/>
        <v>11.826825982834238</v>
      </c>
      <c r="I25" s="54">
        <f t="shared" si="13"/>
        <v>12.027266324038097</v>
      </c>
      <c r="J25" s="54">
        <f t="shared" si="13"/>
        <v>12.357820376372885</v>
      </c>
      <c r="K25" s="54">
        <f t="shared" si="13"/>
        <v>12.705114357904167</v>
      </c>
      <c r="L25" s="54">
        <f t="shared" si="13"/>
        <v>13.599542725294718</v>
      </c>
      <c r="M25" s="54">
        <f t="shared" si="13"/>
        <v>13.848487133974974</v>
      </c>
      <c r="N25" s="54">
        <f t="shared" si="13"/>
        <v>14.032148320971842</v>
      </c>
      <c r="O25" s="54">
        <f t="shared" si="13"/>
        <v>14.715117320803385</v>
      </c>
      <c r="P25" s="54">
        <f t="shared" si="13"/>
        <v>15.089392579734401</v>
      </c>
      <c r="Q25" s="54">
        <f t="shared" si="13"/>
        <v>15.007544998956977</v>
      </c>
      <c r="R25" s="54">
        <f t="shared" si="13"/>
        <v>15.331047609190948</v>
      </c>
      <c r="S25" s="54">
        <f t="shared" si="13"/>
        <v>15.505778868661723</v>
      </c>
      <c r="T25" s="54">
        <f t="shared" si="13"/>
        <v>15.879070375953878</v>
      </c>
      <c r="U25" s="54">
        <f t="shared" si="13"/>
        <v>15.933263288042973</v>
      </c>
      <c r="V25" s="54">
        <f t="shared" si="13"/>
        <v>16.265258776608079</v>
      </c>
      <c r="W25" s="54">
        <f t="shared" si="13"/>
        <v>16.411416442466546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899.99999999999977</v>
      </c>
      <c r="C26" s="55">
        <f t="shared" si="14"/>
        <v>899.99999999999989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899.99999999999989</v>
      </c>
      <c r="G26" s="55">
        <f t="shared" si="15"/>
        <v>900.00000000000011</v>
      </c>
      <c r="H26" s="55">
        <f t="shared" si="15"/>
        <v>900</v>
      </c>
      <c r="I26" s="55">
        <f t="shared" si="15"/>
        <v>900</v>
      </c>
      <c r="J26" s="55">
        <f t="shared" si="15"/>
        <v>900.00000000000011</v>
      </c>
      <c r="K26" s="55">
        <f t="shared" si="15"/>
        <v>899.99999999999989</v>
      </c>
      <c r="L26" s="55">
        <f t="shared" si="15"/>
        <v>900</v>
      </c>
      <c r="M26" s="55">
        <f t="shared" si="15"/>
        <v>900</v>
      </c>
      <c r="N26" s="55">
        <f t="shared" si="15"/>
        <v>899.99999999999989</v>
      </c>
      <c r="O26" s="55">
        <f t="shared" si="15"/>
        <v>900</v>
      </c>
      <c r="P26" s="55">
        <f t="shared" si="15"/>
        <v>899.99999999999989</v>
      </c>
      <c r="Q26" s="55">
        <f t="shared" si="15"/>
        <v>900</v>
      </c>
      <c r="R26" s="55">
        <f t="shared" si="15"/>
        <v>900</v>
      </c>
      <c r="S26" s="55">
        <f t="shared" si="15"/>
        <v>900</v>
      </c>
      <c r="T26" s="55">
        <f t="shared" si="15"/>
        <v>900.00000000000011</v>
      </c>
      <c r="U26" s="55">
        <f t="shared" si="15"/>
        <v>900</v>
      </c>
      <c r="V26" s="55">
        <f t="shared" si="15"/>
        <v>900.00000000000011</v>
      </c>
      <c r="W26" s="55">
        <f t="shared" si="15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</v>
      </c>
      <c r="E27" s="57">
        <f t="shared" si="17"/>
        <v>900</v>
      </c>
      <c r="F27" s="57">
        <f t="shared" si="17"/>
        <v>900</v>
      </c>
      <c r="G27" s="57">
        <f t="shared" si="17"/>
        <v>900</v>
      </c>
      <c r="H27" s="57">
        <f t="shared" si="17"/>
        <v>899.99999999999989</v>
      </c>
      <c r="I27" s="57">
        <f t="shared" si="17"/>
        <v>900.00000000000011</v>
      </c>
      <c r="J27" s="57">
        <f t="shared" si="17"/>
        <v>900</v>
      </c>
      <c r="K27" s="57">
        <f t="shared" si="17"/>
        <v>900.00000000000011</v>
      </c>
      <c r="L27" s="57">
        <f t="shared" si="17"/>
        <v>899.99999999999989</v>
      </c>
      <c r="M27" s="57">
        <f t="shared" si="17"/>
        <v>900.00000000000011</v>
      </c>
      <c r="N27" s="57">
        <f t="shared" si="17"/>
        <v>900</v>
      </c>
      <c r="O27" s="57">
        <f t="shared" si="17"/>
        <v>900</v>
      </c>
      <c r="P27" s="57">
        <f t="shared" si="17"/>
        <v>900</v>
      </c>
      <c r="Q27" s="57">
        <f t="shared" si="17"/>
        <v>900.00000000000023</v>
      </c>
      <c r="R27" s="57">
        <f t="shared" si="17"/>
        <v>899.99999999999989</v>
      </c>
      <c r="S27" s="57">
        <f t="shared" si="17"/>
        <v>899.99999999999989</v>
      </c>
      <c r="T27" s="57">
        <f t="shared" si="17"/>
        <v>900</v>
      </c>
      <c r="U27" s="57">
        <f t="shared" si="17"/>
        <v>900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1236.3976356943149</v>
      </c>
      <c r="C31" s="80">
        <f t="shared" ref="C31:W31" si="18">SUM(C32:C33,C36:C37,C44:C45)</f>
        <v>1643.3741476784044</v>
      </c>
      <c r="D31" s="80">
        <f t="shared" si="18"/>
        <v>873.50686250583487</v>
      </c>
      <c r="E31" s="80">
        <f t="shared" si="18"/>
        <v>1450.8091203110334</v>
      </c>
      <c r="F31" s="80">
        <f t="shared" si="18"/>
        <v>1680.7845338334548</v>
      </c>
      <c r="G31" s="80">
        <f t="shared" si="18"/>
        <v>2135.2852281303471</v>
      </c>
      <c r="H31" s="80">
        <f t="shared" si="18"/>
        <v>2739.7321951157628</v>
      </c>
      <c r="I31" s="80">
        <f t="shared" si="18"/>
        <v>2430.2449805228011</v>
      </c>
      <c r="J31" s="80">
        <f t="shared" si="18"/>
        <v>2077.673096511463</v>
      </c>
      <c r="K31" s="80">
        <f t="shared" si="18"/>
        <v>1988.6505517846331</v>
      </c>
      <c r="L31" s="80">
        <f t="shared" si="18"/>
        <v>2111.0705263199325</v>
      </c>
      <c r="M31" s="80">
        <f t="shared" si="18"/>
        <v>2015.8306213693463</v>
      </c>
      <c r="N31" s="80">
        <f t="shared" si="18"/>
        <v>1984.4823518988628</v>
      </c>
      <c r="O31" s="80">
        <f t="shared" si="18"/>
        <v>1956.4601974092989</v>
      </c>
      <c r="P31" s="80">
        <f t="shared" si="18"/>
        <v>1931.8578615042638</v>
      </c>
      <c r="Q31" s="80">
        <f t="shared" si="18"/>
        <v>1995.1058796549871</v>
      </c>
      <c r="R31" s="80">
        <f t="shared" si="18"/>
        <v>2052.0430768317506</v>
      </c>
      <c r="S31" s="80">
        <f t="shared" si="18"/>
        <v>2148.2950860747369</v>
      </c>
      <c r="T31" s="80">
        <f t="shared" si="18"/>
        <v>2172.6604358124218</v>
      </c>
      <c r="U31" s="80">
        <f t="shared" si="18"/>
        <v>2154.9244221456538</v>
      </c>
      <c r="V31" s="80">
        <f t="shared" si="18"/>
        <v>2021.1884176255653</v>
      </c>
      <c r="W31" s="80">
        <f t="shared" si="18"/>
        <v>2199.0692419386864</v>
      </c>
      <c r="DA31" s="103" t="s">
        <v>198</v>
      </c>
    </row>
    <row r="32" spans="1:105" ht="12" customHeight="1" x14ac:dyDescent="0.25">
      <c r="A32" s="58" t="s">
        <v>29</v>
      </c>
      <c r="B32" s="59">
        <v>3.6036973344797936</v>
      </c>
      <c r="C32" s="59">
        <v>7.3535683576956146</v>
      </c>
      <c r="D32" s="59">
        <v>4.4060189165950128</v>
      </c>
      <c r="E32" s="59">
        <v>2.7844368013757519</v>
      </c>
      <c r="F32" s="59">
        <v>1.1445399828030953</v>
      </c>
      <c r="G32" s="59">
        <v>0.37179707652622518</v>
      </c>
      <c r="H32" s="59">
        <v>2.920808254514188</v>
      </c>
      <c r="I32" s="59">
        <v>1.373946689595873</v>
      </c>
      <c r="J32" s="59">
        <v>0.38890799656061897</v>
      </c>
      <c r="K32" s="59">
        <v>0.1899398108340499</v>
      </c>
      <c r="L32" s="59">
        <v>0.55288048151332758</v>
      </c>
      <c r="M32" s="59">
        <v>0.76096302665520199</v>
      </c>
      <c r="N32" s="59">
        <v>0.41547721410146171</v>
      </c>
      <c r="O32" s="59">
        <v>0.6083404987102321</v>
      </c>
      <c r="P32" s="59">
        <v>0.40696474634565771</v>
      </c>
      <c r="Q32" s="59">
        <v>0.44316423043852099</v>
      </c>
      <c r="R32" s="59">
        <v>0.8826311263972485</v>
      </c>
      <c r="S32" s="59">
        <v>0</v>
      </c>
      <c r="T32" s="59">
        <v>0.65107480653482364</v>
      </c>
      <c r="U32" s="59">
        <v>0.40851246775580402</v>
      </c>
      <c r="V32" s="59">
        <v>7.8417884780739466E-2</v>
      </c>
      <c r="W32" s="59">
        <v>0.1401547721410146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103.86969072440945</v>
      </c>
      <c r="C33" s="55">
        <f t="shared" ref="C33:W33" si="19">SUM(C34:C35)</f>
        <v>135.17603933790565</v>
      </c>
      <c r="D33" s="55">
        <f t="shared" si="19"/>
        <v>236.33549535192262</v>
      </c>
      <c r="E33" s="55">
        <f t="shared" si="19"/>
        <v>262.01195780028559</v>
      </c>
      <c r="F33" s="55">
        <f t="shared" si="19"/>
        <v>481.37404372167487</v>
      </c>
      <c r="G33" s="55">
        <f t="shared" si="19"/>
        <v>475.09210689217025</v>
      </c>
      <c r="H33" s="55">
        <f t="shared" si="19"/>
        <v>264.69186837457642</v>
      </c>
      <c r="I33" s="55">
        <f t="shared" si="19"/>
        <v>446.25899600001588</v>
      </c>
      <c r="J33" s="55">
        <f t="shared" si="19"/>
        <v>286.20989788721522</v>
      </c>
      <c r="K33" s="55">
        <f t="shared" si="19"/>
        <v>129.23179093050814</v>
      </c>
      <c r="L33" s="55">
        <f t="shared" si="19"/>
        <v>143.43856243019837</v>
      </c>
      <c r="M33" s="55">
        <f t="shared" si="19"/>
        <v>256.23812119166269</v>
      </c>
      <c r="N33" s="55">
        <f t="shared" si="19"/>
        <v>228.94367686520036</v>
      </c>
      <c r="O33" s="55">
        <f t="shared" si="19"/>
        <v>194.35775535332962</v>
      </c>
      <c r="P33" s="55">
        <f t="shared" si="19"/>
        <v>189.51049276727184</v>
      </c>
      <c r="Q33" s="55">
        <f t="shared" si="19"/>
        <v>207.58274088357206</v>
      </c>
      <c r="R33" s="55">
        <f t="shared" si="19"/>
        <v>208.59022784018009</v>
      </c>
      <c r="S33" s="55">
        <f t="shared" si="19"/>
        <v>272.37706682872795</v>
      </c>
      <c r="T33" s="55">
        <f t="shared" si="19"/>
        <v>297.26689444868373</v>
      </c>
      <c r="U33" s="55">
        <f t="shared" si="19"/>
        <v>299.40775844509818</v>
      </c>
      <c r="V33" s="55">
        <f t="shared" si="19"/>
        <v>279.07973393022576</v>
      </c>
      <c r="W33" s="55">
        <f t="shared" si="19"/>
        <v>423.99235272334369</v>
      </c>
      <c r="DA33" s="101"/>
    </row>
    <row r="34" spans="1:105" ht="12" customHeight="1" x14ac:dyDescent="0.25">
      <c r="A34" s="61" t="s">
        <v>52</v>
      </c>
      <c r="B34" s="55">
        <v>22.594840928632841</v>
      </c>
      <c r="C34" s="55">
        <v>12.427171109200341</v>
      </c>
      <c r="D34" s="55">
        <v>7.9081685296646604</v>
      </c>
      <c r="E34" s="55">
        <v>33.892261392949273</v>
      </c>
      <c r="F34" s="55">
        <v>73.433190025795355</v>
      </c>
      <c r="G34" s="55">
        <v>90.826999140154768</v>
      </c>
      <c r="H34" s="55">
        <v>36.793723129836629</v>
      </c>
      <c r="I34" s="55">
        <v>109.2223559759243</v>
      </c>
      <c r="J34" s="55">
        <v>25.293551160791051</v>
      </c>
      <c r="K34" s="55">
        <v>13.79853826311264</v>
      </c>
      <c r="L34" s="55">
        <v>21.844453998280311</v>
      </c>
      <c r="M34" s="55">
        <v>13.796474634565779</v>
      </c>
      <c r="N34" s="55">
        <v>17.245657781599309</v>
      </c>
      <c r="O34" s="55">
        <v>19.54505588993981</v>
      </c>
      <c r="P34" s="55">
        <v>25.293551160791051</v>
      </c>
      <c r="Q34" s="55">
        <v>32.191831470335337</v>
      </c>
      <c r="R34" s="55">
        <v>29.89243336199484</v>
      </c>
      <c r="S34" s="55">
        <v>29.652794496990541</v>
      </c>
      <c r="T34" s="55">
        <v>30.441530524505591</v>
      </c>
      <c r="U34" s="55">
        <v>29.832158211521921</v>
      </c>
      <c r="V34" s="55">
        <v>26.8402407566638</v>
      </c>
      <c r="W34" s="55">
        <v>26.553998280309539</v>
      </c>
      <c r="DA34" s="101" t="s">
        <v>200</v>
      </c>
    </row>
    <row r="35" spans="1:105" ht="12" customHeight="1" x14ac:dyDescent="0.25">
      <c r="A35" s="61" t="s">
        <v>170</v>
      </c>
      <c r="B35" s="55">
        <v>81.274849795776618</v>
      </c>
      <c r="C35" s="55">
        <v>122.74886822870531</v>
      </c>
      <c r="D35" s="55">
        <v>228.42732682225795</v>
      </c>
      <c r="E35" s="55">
        <v>228.11969640733631</v>
      </c>
      <c r="F35" s="55">
        <v>407.94085369587953</v>
      </c>
      <c r="G35" s="55">
        <v>384.26510775201547</v>
      </c>
      <c r="H35" s="55">
        <v>227.89814524473979</v>
      </c>
      <c r="I35" s="55">
        <v>337.03664002409158</v>
      </c>
      <c r="J35" s="55">
        <v>260.91634672642419</v>
      </c>
      <c r="K35" s="55">
        <v>115.43325266739549</v>
      </c>
      <c r="L35" s="55">
        <v>121.59410843191806</v>
      </c>
      <c r="M35" s="55">
        <v>242.4416465570969</v>
      </c>
      <c r="N35" s="55">
        <v>211.69801908360105</v>
      </c>
      <c r="O35" s="55">
        <v>174.81269946338981</v>
      </c>
      <c r="P35" s="55">
        <v>164.21694160648079</v>
      </c>
      <c r="Q35" s="55">
        <v>175.39090941323673</v>
      </c>
      <c r="R35" s="55">
        <v>178.69779447818524</v>
      </c>
      <c r="S35" s="55">
        <v>242.72427233173741</v>
      </c>
      <c r="T35" s="55">
        <v>266.82536392417813</v>
      </c>
      <c r="U35" s="55">
        <v>269.57560023357627</v>
      </c>
      <c r="V35" s="55">
        <v>252.23949317356195</v>
      </c>
      <c r="W35" s="55">
        <v>397.43835444303414</v>
      </c>
      <c r="DA35" s="101" t="s">
        <v>201</v>
      </c>
    </row>
    <row r="36" spans="1:105" ht="12" customHeight="1" x14ac:dyDescent="0.25">
      <c r="A36" s="60" t="s">
        <v>153</v>
      </c>
      <c r="B36" s="55">
        <v>234.60877042132421</v>
      </c>
      <c r="C36" s="55">
        <v>517.86328460877041</v>
      </c>
      <c r="D36" s="55">
        <v>91.723989681857262</v>
      </c>
      <c r="E36" s="55">
        <v>462.20980223559758</v>
      </c>
      <c r="F36" s="55">
        <v>674.67755803955288</v>
      </c>
      <c r="G36" s="55">
        <v>781.64230438521065</v>
      </c>
      <c r="H36" s="55">
        <v>1596.152192605331</v>
      </c>
      <c r="I36" s="55">
        <v>1080.825451418744</v>
      </c>
      <c r="J36" s="55">
        <v>807.97506448839204</v>
      </c>
      <c r="K36" s="55">
        <v>929.01977644024066</v>
      </c>
      <c r="L36" s="55">
        <v>935.61908856405842</v>
      </c>
      <c r="M36" s="55">
        <v>755.9544282029234</v>
      </c>
      <c r="N36" s="55">
        <v>764.01547721410145</v>
      </c>
      <c r="O36" s="55">
        <v>784.60877042132415</v>
      </c>
      <c r="P36" s="55">
        <v>775.79535683576955</v>
      </c>
      <c r="Q36" s="55">
        <v>750.60189165950123</v>
      </c>
      <c r="R36" s="55">
        <v>762.48925193465175</v>
      </c>
      <c r="S36" s="55">
        <v>829.70945829750644</v>
      </c>
      <c r="T36" s="55">
        <v>821.65408426483225</v>
      </c>
      <c r="U36" s="55">
        <v>818.50137575236454</v>
      </c>
      <c r="V36" s="55">
        <v>770.77446259673252</v>
      </c>
      <c r="W36" s="55">
        <v>757.24978503869306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21.257265692175412</v>
      </c>
      <c r="C37" s="55">
        <f t="shared" ref="C37:W37" si="20">SUM(C38:C42)</f>
        <v>133.68202923473771</v>
      </c>
      <c r="D37" s="55">
        <f t="shared" si="20"/>
        <v>160.36113499570075</v>
      </c>
      <c r="E37" s="55">
        <f t="shared" si="20"/>
        <v>157.59054170249351</v>
      </c>
      <c r="F37" s="55">
        <f t="shared" si="20"/>
        <v>127.42424763542562</v>
      </c>
      <c r="G37" s="55">
        <f t="shared" si="20"/>
        <v>196.80902837489253</v>
      </c>
      <c r="H37" s="55">
        <f t="shared" si="20"/>
        <v>179.34935511607904</v>
      </c>
      <c r="I37" s="55">
        <f t="shared" si="20"/>
        <v>151.16560619088568</v>
      </c>
      <c r="J37" s="55">
        <f t="shared" si="20"/>
        <v>147.41564918314705</v>
      </c>
      <c r="K37" s="55">
        <f t="shared" si="20"/>
        <v>130.98306104901121</v>
      </c>
      <c r="L37" s="55">
        <f t="shared" si="20"/>
        <v>127.90197764402403</v>
      </c>
      <c r="M37" s="55">
        <f t="shared" si="20"/>
        <v>71.534393809114363</v>
      </c>
      <c r="N37" s="55">
        <f t="shared" si="20"/>
        <v>72.609114359415301</v>
      </c>
      <c r="O37" s="55">
        <f t="shared" si="20"/>
        <v>65.443938091143593</v>
      </c>
      <c r="P37" s="55">
        <f t="shared" si="20"/>
        <v>70.029664660361135</v>
      </c>
      <c r="Q37" s="55">
        <f t="shared" si="20"/>
        <v>126.49277730008598</v>
      </c>
      <c r="R37" s="55">
        <f t="shared" si="20"/>
        <v>147.89346517626828</v>
      </c>
      <c r="S37" s="55">
        <f t="shared" si="20"/>
        <v>130.59346517626821</v>
      </c>
      <c r="T37" s="55">
        <f t="shared" si="20"/>
        <v>128.69733447979365</v>
      </c>
      <c r="U37" s="55">
        <f t="shared" si="20"/>
        <v>127.893981083405</v>
      </c>
      <c r="V37" s="55">
        <f t="shared" si="20"/>
        <v>93.346345657781598</v>
      </c>
      <c r="W37" s="55">
        <f t="shared" si="20"/>
        <v>102.44445399828031</v>
      </c>
      <c r="DA37" s="101"/>
    </row>
    <row r="38" spans="1:105" ht="12" customHeight="1" x14ac:dyDescent="0.25">
      <c r="A38" s="61" t="s">
        <v>171</v>
      </c>
      <c r="B38" s="55">
        <v>16.766981943250219</v>
      </c>
      <c r="C38" s="55">
        <v>131.03086844368011</v>
      </c>
      <c r="D38" s="55">
        <v>152.07317282889079</v>
      </c>
      <c r="E38" s="55">
        <v>147.58288907996558</v>
      </c>
      <c r="F38" s="55">
        <v>121.64419604471195</v>
      </c>
      <c r="G38" s="55">
        <v>185.79819432502151</v>
      </c>
      <c r="H38" s="55">
        <v>172.70945829750639</v>
      </c>
      <c r="I38" s="55">
        <v>143.85692175408431</v>
      </c>
      <c r="J38" s="55">
        <v>132.79828030954431</v>
      </c>
      <c r="K38" s="55">
        <v>117.87042132416168</v>
      </c>
      <c r="L38" s="55">
        <v>123.6027515047291</v>
      </c>
      <c r="M38" s="55">
        <v>63.007566638005159</v>
      </c>
      <c r="N38" s="55">
        <v>63.533018056749782</v>
      </c>
      <c r="O38" s="55">
        <v>51.925193465176271</v>
      </c>
      <c r="P38" s="55">
        <v>54.480739466895955</v>
      </c>
      <c r="Q38" s="55">
        <v>111.13499570077386</v>
      </c>
      <c r="R38" s="55">
        <v>129.1201203783319</v>
      </c>
      <c r="S38" s="55">
        <v>108.69759243336195</v>
      </c>
      <c r="T38" s="55">
        <v>103.09312123817715</v>
      </c>
      <c r="U38" s="55">
        <v>102.85588993981084</v>
      </c>
      <c r="V38" s="55">
        <v>85.754686156491829</v>
      </c>
      <c r="W38" s="55">
        <v>95.567325881341361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4.2374032674118656</v>
      </c>
      <c r="U39" s="55">
        <v>3.805588993981083</v>
      </c>
      <c r="V39" s="55">
        <v>1.792261392949269</v>
      </c>
      <c r="W39" s="55">
        <v>0.99724849527085124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2.3903697334479789E-2</v>
      </c>
      <c r="J41" s="55">
        <v>0</v>
      </c>
      <c r="K41" s="55">
        <v>0</v>
      </c>
      <c r="L41" s="55">
        <v>7.1625107480653469E-2</v>
      </c>
      <c r="M41" s="55">
        <v>4.7807394668959592E-2</v>
      </c>
      <c r="N41" s="55">
        <v>9.5528804815133275E-2</v>
      </c>
      <c r="O41" s="55">
        <v>4.7807394668959592E-2</v>
      </c>
      <c r="P41" s="55">
        <v>4.7807394668959592E-2</v>
      </c>
      <c r="Q41" s="55">
        <v>2.3903697334479789E-2</v>
      </c>
      <c r="R41" s="55">
        <v>2.3903697334479789E-2</v>
      </c>
      <c r="S41" s="55">
        <v>6.2252794496990532E-2</v>
      </c>
      <c r="T41" s="55">
        <v>5.7351676698194333E-2</v>
      </c>
      <c r="U41" s="55">
        <v>6.7153912295786752E-2</v>
      </c>
      <c r="V41" s="55">
        <v>3.7747205503009452E-2</v>
      </c>
      <c r="W41" s="55">
        <v>0.3981943250214961</v>
      </c>
      <c r="DA41" s="101" t="s">
        <v>206</v>
      </c>
    </row>
    <row r="42" spans="1:105" ht="12" customHeight="1" x14ac:dyDescent="0.25">
      <c r="A42" s="61" t="s">
        <v>25</v>
      </c>
      <c r="B42" s="55">
        <v>4.4902837489251937</v>
      </c>
      <c r="C42" s="55">
        <v>2.6511607910576092</v>
      </c>
      <c r="D42" s="55">
        <v>8.2879621668099741</v>
      </c>
      <c r="E42" s="55">
        <v>10.007652622527941</v>
      </c>
      <c r="F42" s="55">
        <v>5.7800515907136703</v>
      </c>
      <c r="G42" s="55">
        <v>11.01083404987102</v>
      </c>
      <c r="H42" s="55">
        <v>6.6398968185726561</v>
      </c>
      <c r="I42" s="55">
        <v>7.2847807394668953</v>
      </c>
      <c r="J42" s="55">
        <v>14.61736887360275</v>
      </c>
      <c r="K42" s="55">
        <v>13.112639724849529</v>
      </c>
      <c r="L42" s="55">
        <v>4.2276010318142729</v>
      </c>
      <c r="M42" s="55">
        <v>8.4790197764402411</v>
      </c>
      <c r="N42" s="55">
        <v>8.9805674978503873</v>
      </c>
      <c r="O42" s="55">
        <v>13.47093723129837</v>
      </c>
      <c r="P42" s="55">
        <v>15.501117798796219</v>
      </c>
      <c r="Q42" s="55">
        <v>15.33387790197764</v>
      </c>
      <c r="R42" s="55">
        <v>18.749441100601889</v>
      </c>
      <c r="S42" s="55">
        <v>21.833619948409289</v>
      </c>
      <c r="T42" s="55">
        <v>21.309458297506449</v>
      </c>
      <c r="U42" s="55">
        <v>21.165348237317279</v>
      </c>
      <c r="V42" s="55">
        <v>5.7616509028374887</v>
      </c>
      <c r="W42" s="55">
        <v>5.4816852966466039</v>
      </c>
      <c r="DA42" s="101" t="s">
        <v>207</v>
      </c>
    </row>
    <row r="43" spans="1:105" ht="12" customHeight="1" x14ac:dyDescent="0.25">
      <c r="A43" s="61" t="s">
        <v>157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DA43" s="101" t="s">
        <v>208</v>
      </c>
    </row>
    <row r="44" spans="1:105" ht="12" customHeight="1" x14ac:dyDescent="0.25">
      <c r="A44" s="60" t="s">
        <v>169</v>
      </c>
      <c r="B44" s="55">
        <v>442.53370593293209</v>
      </c>
      <c r="C44" s="55">
        <v>295.14187446259672</v>
      </c>
      <c r="D44" s="55">
        <v>101.3423043852107</v>
      </c>
      <c r="E44" s="55">
        <v>124.03267411865863</v>
      </c>
      <c r="F44" s="55">
        <v>87.823645743766122</v>
      </c>
      <c r="G44" s="55">
        <v>287.90481513327597</v>
      </c>
      <c r="H44" s="55">
        <v>237.46061908856399</v>
      </c>
      <c r="I44" s="55">
        <v>216.6570937231298</v>
      </c>
      <c r="J44" s="55">
        <v>235.16766981943249</v>
      </c>
      <c r="K44" s="55">
        <v>193.89509888220121</v>
      </c>
      <c r="L44" s="55">
        <v>214.07755803955291</v>
      </c>
      <c r="M44" s="55">
        <v>225.13611349957009</v>
      </c>
      <c r="N44" s="55">
        <v>234.283920894239</v>
      </c>
      <c r="O44" s="55">
        <v>223.15374032674109</v>
      </c>
      <c r="P44" s="55">
        <v>185.3444539982803</v>
      </c>
      <c r="Q44" s="55">
        <v>183.79191745485809</v>
      </c>
      <c r="R44" s="55">
        <v>191.5066208082545</v>
      </c>
      <c r="S44" s="55">
        <v>177.77558039552881</v>
      </c>
      <c r="T44" s="55">
        <v>169.2189165950129</v>
      </c>
      <c r="U44" s="55">
        <v>148.13482373172829</v>
      </c>
      <c r="V44" s="55">
        <v>144.87712811693891</v>
      </c>
      <c r="W44" s="55">
        <v>146.6301805674978</v>
      </c>
      <c r="DA44" s="101" t="s">
        <v>209</v>
      </c>
    </row>
    <row r="45" spans="1:105" ht="12" customHeight="1" x14ac:dyDescent="0.25">
      <c r="A45" s="62" t="s">
        <v>24</v>
      </c>
      <c r="B45" s="63">
        <v>430.52450558899386</v>
      </c>
      <c r="C45" s="63">
        <v>554.15735167669823</v>
      </c>
      <c r="D45" s="63">
        <v>279.33791917454857</v>
      </c>
      <c r="E45" s="63">
        <v>442.17970765262248</v>
      </c>
      <c r="F45" s="63">
        <v>308.34049871023211</v>
      </c>
      <c r="G45" s="63">
        <v>393.46517626827165</v>
      </c>
      <c r="H45" s="63">
        <v>459.15735167669817</v>
      </c>
      <c r="I45" s="63">
        <v>533.96388650042991</v>
      </c>
      <c r="J45" s="63">
        <v>600.51590713671544</v>
      </c>
      <c r="K45" s="63">
        <v>605.33088467183779</v>
      </c>
      <c r="L45" s="63">
        <v>689.48045916058516</v>
      </c>
      <c r="M45" s="63">
        <v>706.20660163942046</v>
      </c>
      <c r="N45" s="63">
        <v>684.21468535180531</v>
      </c>
      <c r="O45" s="63">
        <v>688.28765271805025</v>
      </c>
      <c r="P45" s="63">
        <v>710.77092849623534</v>
      </c>
      <c r="Q45" s="63">
        <v>726.19338812653132</v>
      </c>
      <c r="R45" s="63">
        <v>740.68087994599864</v>
      </c>
      <c r="S45" s="63">
        <v>737.83951537670578</v>
      </c>
      <c r="T45" s="63">
        <v>755.17213121756447</v>
      </c>
      <c r="U45" s="63">
        <v>760.5779706653019</v>
      </c>
      <c r="V45" s="63">
        <v>733.03232943910609</v>
      </c>
      <c r="W45" s="63">
        <v>768.61231483873064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1236.3976356943147</v>
      </c>
      <c r="C47" s="82">
        <f t="shared" ref="C47:W47" si="22">SUM(C48,C53)</f>
        <v>1643.3741476784044</v>
      </c>
      <c r="D47" s="82">
        <f t="shared" si="22"/>
        <v>873.50686250583487</v>
      </c>
      <c r="E47" s="82">
        <f t="shared" si="22"/>
        <v>1450.8091203110334</v>
      </c>
      <c r="F47" s="82">
        <f t="shared" si="22"/>
        <v>1680.7845338334548</v>
      </c>
      <c r="G47" s="82">
        <f t="shared" si="22"/>
        <v>2135.2852281303471</v>
      </c>
      <c r="H47" s="82">
        <f t="shared" si="22"/>
        <v>2739.7321951157633</v>
      </c>
      <c r="I47" s="82">
        <f t="shared" si="22"/>
        <v>2430.2449805228011</v>
      </c>
      <c r="J47" s="82">
        <f t="shared" si="22"/>
        <v>2077.673096511463</v>
      </c>
      <c r="K47" s="82">
        <f t="shared" si="22"/>
        <v>1988.6505517846331</v>
      </c>
      <c r="L47" s="82">
        <f t="shared" si="22"/>
        <v>2111.070526319932</v>
      </c>
      <c r="M47" s="82">
        <f t="shared" si="22"/>
        <v>2015.8306213693461</v>
      </c>
      <c r="N47" s="82">
        <f t="shared" si="22"/>
        <v>1984.482351898863</v>
      </c>
      <c r="O47" s="82">
        <f t="shared" si="22"/>
        <v>1956.4601974092989</v>
      </c>
      <c r="P47" s="82">
        <f t="shared" si="22"/>
        <v>1931.8578615042638</v>
      </c>
      <c r="Q47" s="82">
        <f t="shared" si="22"/>
        <v>1995.1058796549871</v>
      </c>
      <c r="R47" s="82">
        <f t="shared" si="22"/>
        <v>2052.043076831751</v>
      </c>
      <c r="S47" s="82">
        <f t="shared" si="22"/>
        <v>2148.2950860747374</v>
      </c>
      <c r="T47" s="82">
        <f t="shared" si="22"/>
        <v>2172.6604358124214</v>
      </c>
      <c r="U47" s="82">
        <f t="shared" si="22"/>
        <v>2154.9244221456538</v>
      </c>
      <c r="V47" s="82">
        <f t="shared" si="22"/>
        <v>2021.1884176255662</v>
      </c>
      <c r="W47" s="82">
        <f t="shared" si="22"/>
        <v>2199.069241938686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1064.292450817612</v>
      </c>
      <c r="C48" s="64">
        <f t="shared" ref="C48:W48" si="24">SUM(C49:C52)</f>
        <v>1457.7428641866532</v>
      </c>
      <c r="D48" s="64">
        <f t="shared" si="24"/>
        <v>681.73780436859386</v>
      </c>
      <c r="E48" s="64">
        <f t="shared" si="24"/>
        <v>1237.8096575230452</v>
      </c>
      <c r="F48" s="64">
        <f t="shared" si="24"/>
        <v>1449.5193971894391</v>
      </c>
      <c r="G48" s="64">
        <f t="shared" si="24"/>
        <v>1877.8545074545077</v>
      </c>
      <c r="H48" s="64">
        <f t="shared" si="24"/>
        <v>2455.441095760475</v>
      </c>
      <c r="I48" s="64">
        <f t="shared" si="24"/>
        <v>2119.3035261096156</v>
      </c>
      <c r="J48" s="64">
        <f t="shared" si="24"/>
        <v>1743.2336959460847</v>
      </c>
      <c r="K48" s="64">
        <f t="shared" si="24"/>
        <v>1636.0745304688025</v>
      </c>
      <c r="L48" s="64">
        <f t="shared" si="24"/>
        <v>1742.7898928782856</v>
      </c>
      <c r="M48" s="64">
        <f t="shared" si="24"/>
        <v>1636.3279037634525</v>
      </c>
      <c r="N48" s="64">
        <f t="shared" si="24"/>
        <v>1593.161683361418</v>
      </c>
      <c r="O48" s="64">
        <f t="shared" si="24"/>
        <v>1550.8158036945365</v>
      </c>
      <c r="P48" s="64">
        <f t="shared" si="24"/>
        <v>1506.2349961664258</v>
      </c>
      <c r="Q48" s="64">
        <f t="shared" si="24"/>
        <v>1544.8015640631518</v>
      </c>
      <c r="R48" s="64">
        <f t="shared" si="24"/>
        <v>1587.4109994314013</v>
      </c>
      <c r="S48" s="64">
        <f t="shared" si="24"/>
        <v>1668.827815867628</v>
      </c>
      <c r="T48" s="64">
        <f t="shared" si="24"/>
        <v>1683.8015852599867</v>
      </c>
      <c r="U48" s="64">
        <f t="shared" si="24"/>
        <v>1662.0168967821282</v>
      </c>
      <c r="V48" s="64">
        <f t="shared" si="24"/>
        <v>1527.8739616961518</v>
      </c>
      <c r="W48" s="64">
        <f t="shared" si="24"/>
        <v>1698.0868149207186</v>
      </c>
      <c r="DA48" s="108" t="s">
        <v>212</v>
      </c>
    </row>
    <row r="49" spans="1:105" ht="12" customHeight="1" x14ac:dyDescent="0.25">
      <c r="A49" s="61" t="s">
        <v>32</v>
      </c>
      <c r="B49" s="65">
        <v>824.8368954573408</v>
      </c>
      <c r="C49" s="65">
        <v>1191.9347207548553</v>
      </c>
      <c r="D49" s="65">
        <v>497.55970102919798</v>
      </c>
      <c r="E49" s="65">
        <v>916.66480929844704</v>
      </c>
      <c r="F49" s="65">
        <v>1049.4048493512807</v>
      </c>
      <c r="G49" s="65">
        <v>1446.0694039827374</v>
      </c>
      <c r="H49" s="65">
        <v>1994.6736048390846</v>
      </c>
      <c r="I49" s="65">
        <v>1635.452524036059</v>
      </c>
      <c r="J49" s="65">
        <v>1262.4173158454937</v>
      </c>
      <c r="K49" s="65">
        <v>1147.8573838726486</v>
      </c>
      <c r="L49" s="65">
        <v>1241.8041379292431</v>
      </c>
      <c r="M49" s="65">
        <v>1117.6073065832015</v>
      </c>
      <c r="N49" s="65">
        <v>1059.7346543934721</v>
      </c>
      <c r="O49" s="65">
        <v>983.85528153948746</v>
      </c>
      <c r="P49" s="65">
        <v>912.7652968936967</v>
      </c>
      <c r="Q49" s="65">
        <v>913.44932441784624</v>
      </c>
      <c r="R49" s="65">
        <v>951.46963778101895</v>
      </c>
      <c r="S49" s="65">
        <v>1017.6021838377874</v>
      </c>
      <c r="T49" s="65">
        <v>1026.380701497674</v>
      </c>
      <c r="U49" s="65">
        <v>1007.0952628873647</v>
      </c>
      <c r="V49" s="65">
        <v>915.90156132906543</v>
      </c>
      <c r="W49" s="65">
        <v>1031.9995108866092</v>
      </c>
      <c r="DA49" s="109" t="s">
        <v>213</v>
      </c>
    </row>
    <row r="50" spans="1:105" ht="12" customHeight="1" x14ac:dyDescent="0.25">
      <c r="A50" s="61" t="s">
        <v>31</v>
      </c>
      <c r="B50" s="65">
        <v>4.5585945196761721E-2</v>
      </c>
      <c r="C50" s="65">
        <v>0.49876282313251674</v>
      </c>
      <c r="D50" s="65">
        <v>1.0340920606022825</v>
      </c>
      <c r="E50" s="65">
        <v>1.5271363684148631</v>
      </c>
      <c r="F50" s="65">
        <v>1.8590682624126016</v>
      </c>
      <c r="G50" s="65">
        <v>2.3264914731619495</v>
      </c>
      <c r="H50" s="65">
        <v>3.1375063021849208</v>
      </c>
      <c r="I50" s="65">
        <v>5.0080305419924898</v>
      </c>
      <c r="J50" s="65">
        <v>4.6536706639705123</v>
      </c>
      <c r="K50" s="65">
        <v>4.9556576483176524</v>
      </c>
      <c r="L50" s="65">
        <v>6.3339610375475424</v>
      </c>
      <c r="M50" s="65">
        <v>5.9649671297352915</v>
      </c>
      <c r="N50" s="65">
        <v>9.7865273319322252</v>
      </c>
      <c r="O50" s="65">
        <v>7.0386205020772774</v>
      </c>
      <c r="P50" s="65">
        <v>7.0030821180454801</v>
      </c>
      <c r="Q50" s="65">
        <v>9.5421743441938567</v>
      </c>
      <c r="R50" s="65">
        <v>8.1701473337748549</v>
      </c>
      <c r="S50" s="65">
        <v>8.9248545064545279</v>
      </c>
      <c r="T50" s="65">
        <v>7.8781080855806831</v>
      </c>
      <c r="U50" s="65">
        <v>8.9589690643534965</v>
      </c>
      <c r="V50" s="65">
        <v>8.0830391396916177</v>
      </c>
      <c r="W50" s="65">
        <v>9.3252303316705305</v>
      </c>
      <c r="DA50" s="109" t="s">
        <v>214</v>
      </c>
    </row>
    <row r="51" spans="1:105" ht="12" customHeight="1" x14ac:dyDescent="0.25">
      <c r="A51" s="61" t="s">
        <v>35</v>
      </c>
      <c r="B51" s="65">
        <v>97.222647897354051</v>
      </c>
      <c r="C51" s="65">
        <v>116.44653235479797</v>
      </c>
      <c r="D51" s="65">
        <v>67.068157320854866</v>
      </c>
      <c r="E51" s="65">
        <v>146.03929013519615</v>
      </c>
      <c r="F51" s="65">
        <v>182.83321903167973</v>
      </c>
      <c r="G51" s="65">
        <v>192.04500844036036</v>
      </c>
      <c r="H51" s="65">
        <v>205.86553409042995</v>
      </c>
      <c r="I51" s="65">
        <v>212.59174680503921</v>
      </c>
      <c r="J51" s="65">
        <v>212.16614232532936</v>
      </c>
      <c r="K51" s="65">
        <v>217.78727958409451</v>
      </c>
      <c r="L51" s="65">
        <v>216.96139756235422</v>
      </c>
      <c r="M51" s="65">
        <v>229.18613693176241</v>
      </c>
      <c r="N51" s="65">
        <v>231.09258454743954</v>
      </c>
      <c r="O51" s="65">
        <v>244.48144206738812</v>
      </c>
      <c r="P51" s="65">
        <v>255.87676821298308</v>
      </c>
      <c r="Q51" s="65">
        <v>269.56537144873653</v>
      </c>
      <c r="R51" s="65">
        <v>274.50526187669453</v>
      </c>
      <c r="S51" s="65">
        <v>281.69389399762775</v>
      </c>
      <c r="T51" s="65">
        <v>278.13299378552313</v>
      </c>
      <c r="U51" s="65">
        <v>267.49136785207003</v>
      </c>
      <c r="V51" s="65">
        <v>254.5654524934458</v>
      </c>
      <c r="W51" s="65">
        <v>283.93677584739095</v>
      </c>
      <c r="DA51" s="109" t="s">
        <v>215</v>
      </c>
    </row>
    <row r="52" spans="1:105" ht="12" customHeight="1" x14ac:dyDescent="0.25">
      <c r="A52" s="66" t="s">
        <v>34</v>
      </c>
      <c r="B52" s="67">
        <v>142.18732151772039</v>
      </c>
      <c r="C52" s="67">
        <v>148.86284825386755</v>
      </c>
      <c r="D52" s="67">
        <v>116.07585395793875</v>
      </c>
      <c r="E52" s="67">
        <v>173.57842172098708</v>
      </c>
      <c r="F52" s="67">
        <v>215.42226054406592</v>
      </c>
      <c r="G52" s="67">
        <v>237.4136035582481</v>
      </c>
      <c r="H52" s="67">
        <v>251.76445052877526</v>
      </c>
      <c r="I52" s="67">
        <v>266.25122472652481</v>
      </c>
      <c r="J52" s="67">
        <v>263.99656711129114</v>
      </c>
      <c r="K52" s="67">
        <v>265.47420936374203</v>
      </c>
      <c r="L52" s="67">
        <v>277.69039634914077</v>
      </c>
      <c r="M52" s="67">
        <v>283.56949311875348</v>
      </c>
      <c r="N52" s="67">
        <v>292.54791708857425</v>
      </c>
      <c r="O52" s="67">
        <v>315.44045958558365</v>
      </c>
      <c r="P52" s="67">
        <v>330.58984894170067</v>
      </c>
      <c r="Q52" s="67">
        <v>352.24469385237506</v>
      </c>
      <c r="R52" s="67">
        <v>353.26595243991301</v>
      </c>
      <c r="S52" s="67">
        <v>360.60688352575824</v>
      </c>
      <c r="T52" s="67">
        <v>371.40978189120892</v>
      </c>
      <c r="U52" s="67">
        <v>378.47129697833998</v>
      </c>
      <c r="V52" s="67">
        <v>349.32390873394894</v>
      </c>
      <c r="W52" s="67">
        <v>372.82529785504789</v>
      </c>
      <c r="DA52" s="110" t="s">
        <v>216</v>
      </c>
    </row>
    <row r="53" spans="1:105" ht="12" customHeight="1" x14ac:dyDescent="0.25">
      <c r="A53" s="78" t="s">
        <v>33</v>
      </c>
      <c r="B53" s="68">
        <v>172.10518487670274</v>
      </c>
      <c r="C53" s="68">
        <v>185.63128349175113</v>
      </c>
      <c r="D53" s="68">
        <v>191.76905813724105</v>
      </c>
      <c r="E53" s="68">
        <v>212.99946278798836</v>
      </c>
      <c r="F53" s="68">
        <v>231.26513664401566</v>
      </c>
      <c r="G53" s="68">
        <v>257.43072067583961</v>
      </c>
      <c r="H53" s="68">
        <v>284.29109935528822</v>
      </c>
      <c r="I53" s="68">
        <v>310.94145441318568</v>
      </c>
      <c r="J53" s="68">
        <v>334.43940056537815</v>
      </c>
      <c r="K53" s="68">
        <v>352.57602131583053</v>
      </c>
      <c r="L53" s="68">
        <v>368.2806334416465</v>
      </c>
      <c r="M53" s="68">
        <v>379.50271760589357</v>
      </c>
      <c r="N53" s="68">
        <v>391.32066853744499</v>
      </c>
      <c r="O53" s="68">
        <v>405.64439371476232</v>
      </c>
      <c r="P53" s="68">
        <v>425.62286533783788</v>
      </c>
      <c r="Q53" s="68">
        <v>450.30431559183535</v>
      </c>
      <c r="R53" s="68">
        <v>464.63207740034971</v>
      </c>
      <c r="S53" s="68">
        <v>479.46727020710915</v>
      </c>
      <c r="T53" s="68">
        <v>488.85885055243483</v>
      </c>
      <c r="U53" s="68">
        <v>492.90752536352556</v>
      </c>
      <c r="V53" s="68">
        <v>493.31445592941429</v>
      </c>
      <c r="W53" s="68">
        <v>500.98242701796761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0.86080110483222105</v>
      </c>
      <c r="C56" s="70">
        <f t="shared" ref="C56:W56" si="28">IF(C48=0,0,C48/C$47)</f>
        <v>0.88704259236766458</v>
      </c>
      <c r="D56" s="70">
        <f t="shared" si="28"/>
        <v>0.78046073091273505</v>
      </c>
      <c r="E56" s="70">
        <f t="shared" si="28"/>
        <v>0.85318574317872764</v>
      </c>
      <c r="F56" s="70">
        <f t="shared" si="28"/>
        <v>0.86240643462100586</v>
      </c>
      <c r="G56" s="70">
        <f t="shared" si="28"/>
        <v>0.87943965645224575</v>
      </c>
      <c r="H56" s="70">
        <f t="shared" si="28"/>
        <v>0.89623398233516915</v>
      </c>
      <c r="I56" s="70">
        <f t="shared" si="28"/>
        <v>0.87205345267443168</v>
      </c>
      <c r="J56" s="70">
        <f t="shared" si="28"/>
        <v>0.83903175089145543</v>
      </c>
      <c r="K56" s="70">
        <f t="shared" si="28"/>
        <v>0.82270589420578411</v>
      </c>
      <c r="L56" s="70">
        <f t="shared" si="28"/>
        <v>0.82554792516399633</v>
      </c>
      <c r="M56" s="70">
        <f t="shared" si="28"/>
        <v>0.81173878718634662</v>
      </c>
      <c r="N56" s="70">
        <f t="shared" si="28"/>
        <v>0.80280970089605097</v>
      </c>
      <c r="O56" s="70">
        <f t="shared" si="28"/>
        <v>0.79266412153341648</v>
      </c>
      <c r="P56" s="70">
        <f t="shared" si="28"/>
        <v>0.77968210093550994</v>
      </c>
      <c r="Q56" s="70">
        <f t="shared" si="28"/>
        <v>0.77429552978426075</v>
      </c>
      <c r="R56" s="70">
        <f t="shared" si="28"/>
        <v>0.77357586561110703</v>
      </c>
      <c r="S56" s="70">
        <f t="shared" si="28"/>
        <v>0.77681498537374161</v>
      </c>
      <c r="T56" s="70">
        <f t="shared" si="28"/>
        <v>0.77499528113345695</v>
      </c>
      <c r="U56" s="70">
        <f t="shared" si="28"/>
        <v>0.77126458807648646</v>
      </c>
      <c r="V56" s="70">
        <f t="shared" si="28"/>
        <v>0.75592851629886837</v>
      </c>
      <c r="W56" s="70">
        <f t="shared" si="28"/>
        <v>0.77218433259686525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0.667129143282568</v>
      </c>
      <c r="C57" s="71">
        <f t="shared" ref="C57:W57" si="30">IF(C49=0,0,C49/C$47)</f>
        <v>0.72529723218458941</v>
      </c>
      <c r="D57" s="71">
        <f t="shared" si="30"/>
        <v>0.56961166807762131</v>
      </c>
      <c r="E57" s="71">
        <f t="shared" si="30"/>
        <v>0.63183005708009798</v>
      </c>
      <c r="F57" s="71">
        <f t="shared" si="30"/>
        <v>0.62435417998394305</v>
      </c>
      <c r="G57" s="71">
        <f t="shared" si="30"/>
        <v>0.67722540526771391</v>
      </c>
      <c r="H57" s="71">
        <f t="shared" si="30"/>
        <v>0.72805422675802911</v>
      </c>
      <c r="I57" s="71">
        <f t="shared" si="30"/>
        <v>0.67295788578657445</v>
      </c>
      <c r="J57" s="71">
        <f t="shared" si="30"/>
        <v>0.60761113861712301</v>
      </c>
      <c r="K57" s="71">
        <f t="shared" si="30"/>
        <v>0.57720416633407556</v>
      </c>
      <c r="L57" s="71">
        <f t="shared" si="30"/>
        <v>0.58823432114036733</v>
      </c>
      <c r="M57" s="71">
        <f t="shared" si="30"/>
        <v>0.55441528406985663</v>
      </c>
      <c r="N57" s="71">
        <f t="shared" si="30"/>
        <v>0.5340106216512629</v>
      </c>
      <c r="O57" s="71">
        <f t="shared" si="30"/>
        <v>0.50287518388684149</v>
      </c>
      <c r="P57" s="71">
        <f t="shared" si="30"/>
        <v>0.47248056654797638</v>
      </c>
      <c r="Q57" s="71">
        <f t="shared" si="30"/>
        <v>0.4578450365630764</v>
      </c>
      <c r="R57" s="71">
        <f t="shared" si="30"/>
        <v>0.46366942708144271</v>
      </c>
      <c r="S57" s="71">
        <f t="shared" si="30"/>
        <v>0.4736789607879715</v>
      </c>
      <c r="T57" s="71">
        <f t="shared" si="30"/>
        <v>0.47240732356498227</v>
      </c>
      <c r="U57" s="71">
        <f t="shared" si="30"/>
        <v>0.46734597860494892</v>
      </c>
      <c r="V57" s="71">
        <f t="shared" si="30"/>
        <v>0.4531500147843911</v>
      </c>
      <c r="W57" s="71">
        <f t="shared" si="30"/>
        <v>0.46928922982743587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3.6869971181368651E-5</v>
      </c>
      <c r="C58" s="72">
        <f t="shared" ref="C58:W58" si="32">IF(C50=0,0,C50/C$47)</f>
        <v>3.0349925112130993E-4</v>
      </c>
      <c r="D58" s="72">
        <f t="shared" si="32"/>
        <v>1.183839652542369E-3</v>
      </c>
      <c r="E58" s="72">
        <f t="shared" si="32"/>
        <v>1.0526101242646353E-3</v>
      </c>
      <c r="F58" s="72">
        <f t="shared" si="32"/>
        <v>1.1060717331641109E-3</v>
      </c>
      <c r="G58" s="72">
        <f t="shared" si="32"/>
        <v>1.0895459971869998E-3</v>
      </c>
      <c r="H58" s="72">
        <f t="shared" si="32"/>
        <v>1.1451872222322627E-3</v>
      </c>
      <c r="I58" s="72">
        <f t="shared" si="32"/>
        <v>2.0607101679581078E-3</v>
      </c>
      <c r="J58" s="72">
        <f t="shared" si="32"/>
        <v>2.2398473907104554E-3</v>
      </c>
      <c r="K58" s="72">
        <f t="shared" si="32"/>
        <v>2.491970066772365E-3</v>
      </c>
      <c r="L58" s="72">
        <f t="shared" si="32"/>
        <v>3.0003550135243718E-3</v>
      </c>
      <c r="M58" s="72">
        <f t="shared" si="32"/>
        <v>2.9590616723955271E-3</v>
      </c>
      <c r="N58" s="72">
        <f t="shared" si="32"/>
        <v>4.9315265124771366E-3</v>
      </c>
      <c r="O58" s="72">
        <f t="shared" si="32"/>
        <v>3.5976303077351955E-3</v>
      </c>
      <c r="P58" s="72">
        <f t="shared" si="32"/>
        <v>3.6250504023067451E-3</v>
      </c>
      <c r="Q58" s="72">
        <f t="shared" si="32"/>
        <v>4.7827909493424886E-3</v>
      </c>
      <c r="R58" s="72">
        <f t="shared" si="32"/>
        <v>3.9814697001337527E-3</v>
      </c>
      <c r="S58" s="72">
        <f t="shared" si="32"/>
        <v>4.1543894804328754E-3</v>
      </c>
      <c r="T58" s="72">
        <f t="shared" si="32"/>
        <v>3.6260190298143978E-3</v>
      </c>
      <c r="U58" s="72">
        <f t="shared" si="32"/>
        <v>4.1574400346871881E-3</v>
      </c>
      <c r="V58" s="72">
        <f t="shared" si="32"/>
        <v>3.999151721434926E-3</v>
      </c>
      <c r="W58" s="72">
        <f t="shared" si="32"/>
        <v>4.2405351108678437E-3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7.8633802824086968E-2</v>
      </c>
      <c r="C59" s="72">
        <f t="shared" ref="C59:W59" si="34">IF(C51=0,0,C51/C$47)</f>
        <v>7.0858198980008322E-2</v>
      </c>
      <c r="D59" s="72">
        <f t="shared" si="34"/>
        <v>7.6780343921347111E-2</v>
      </c>
      <c r="E59" s="72">
        <f t="shared" si="34"/>
        <v>0.10066058180271664</v>
      </c>
      <c r="F59" s="72">
        <f t="shared" si="34"/>
        <v>0.10877849917781089</v>
      </c>
      <c r="G59" s="72">
        <f t="shared" si="34"/>
        <v>8.993880813221132E-2</v>
      </c>
      <c r="H59" s="72">
        <f t="shared" si="34"/>
        <v>7.5140750784852314E-2</v>
      </c>
      <c r="I59" s="72">
        <f t="shared" si="34"/>
        <v>8.7477496511197766E-2</v>
      </c>
      <c r="J59" s="72">
        <f t="shared" si="34"/>
        <v>0.10211719191126312</v>
      </c>
      <c r="K59" s="72">
        <f t="shared" si="34"/>
        <v>0.10951510781451786</v>
      </c>
      <c r="L59" s="72">
        <f t="shared" si="34"/>
        <v>0.10277316406883215</v>
      </c>
      <c r="M59" s="72">
        <f t="shared" si="34"/>
        <v>0.11369315184629805</v>
      </c>
      <c r="N59" s="72">
        <f t="shared" si="34"/>
        <v>0.11644980582786101</v>
      </c>
      <c r="O59" s="72">
        <f t="shared" si="34"/>
        <v>0.12496111211008791</v>
      </c>
      <c r="P59" s="72">
        <f t="shared" si="34"/>
        <v>0.13245113593074681</v>
      </c>
      <c r="Q59" s="72">
        <f t="shared" si="34"/>
        <v>0.13511331613906744</v>
      </c>
      <c r="R59" s="72">
        <f t="shared" si="34"/>
        <v>0.13377168587538452</v>
      </c>
      <c r="S59" s="72">
        <f t="shared" si="34"/>
        <v>0.13112439525816047</v>
      </c>
      <c r="T59" s="72">
        <f t="shared" si="34"/>
        <v>0.12801493928871635</v>
      </c>
      <c r="U59" s="72">
        <f t="shared" si="34"/>
        <v>0.12413027812164727</v>
      </c>
      <c r="V59" s="72">
        <f t="shared" si="34"/>
        <v>0.12594840257025713</v>
      </c>
      <c r="W59" s="72">
        <f t="shared" si="34"/>
        <v>0.12911679652118369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0.11500128875438467</v>
      </c>
      <c r="C60" s="73">
        <f t="shared" ref="C60:W60" si="36">IF(C52=0,0,C52/C$47)</f>
        <v>9.0583661951945754E-2</v>
      </c>
      <c r="D60" s="73">
        <f t="shared" si="36"/>
        <v>0.13288487926122433</v>
      </c>
      <c r="E60" s="73">
        <f t="shared" si="36"/>
        <v>0.11964249417164835</v>
      </c>
      <c r="F60" s="73">
        <f t="shared" si="36"/>
        <v>0.12816768372608767</v>
      </c>
      <c r="G60" s="73">
        <f t="shared" si="36"/>
        <v>0.11118589705513353</v>
      </c>
      <c r="H60" s="73">
        <f t="shared" si="36"/>
        <v>9.1893817570055353E-2</v>
      </c>
      <c r="I60" s="73">
        <f t="shared" si="36"/>
        <v>0.1095573602087013</v>
      </c>
      <c r="J60" s="73">
        <f t="shared" si="36"/>
        <v>0.1270635729723589</v>
      </c>
      <c r="K60" s="73">
        <f t="shared" si="36"/>
        <v>0.13349464999041841</v>
      </c>
      <c r="L60" s="73">
        <f t="shared" si="36"/>
        <v>0.13154008494127253</v>
      </c>
      <c r="M60" s="73">
        <f t="shared" si="36"/>
        <v>0.14067128959779657</v>
      </c>
      <c r="N60" s="73">
        <f t="shared" si="36"/>
        <v>0.14741774690444998</v>
      </c>
      <c r="O60" s="73">
        <f t="shared" si="36"/>
        <v>0.16123019522875184</v>
      </c>
      <c r="P60" s="73">
        <f t="shared" si="36"/>
        <v>0.17112534805448004</v>
      </c>
      <c r="Q60" s="73">
        <f t="shared" si="36"/>
        <v>0.17655438613277435</v>
      </c>
      <c r="R60" s="73">
        <f t="shared" si="36"/>
        <v>0.17215328295414611</v>
      </c>
      <c r="S60" s="73">
        <f t="shared" si="36"/>
        <v>0.16785723984717668</v>
      </c>
      <c r="T60" s="73">
        <f t="shared" si="36"/>
        <v>0.17094699924994397</v>
      </c>
      <c r="U60" s="73">
        <f t="shared" si="36"/>
        <v>0.17563089131520301</v>
      </c>
      <c r="V60" s="73">
        <f t="shared" si="36"/>
        <v>0.17283094722278519</v>
      </c>
      <c r="W60" s="73">
        <f t="shared" si="36"/>
        <v>0.16953777113737784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0.139198895167779</v>
      </c>
      <c r="C61" s="70">
        <f t="shared" ref="C61:W61" si="38">IF(C53=0,0,C53/C$47)</f>
        <v>0.11295740763233532</v>
      </c>
      <c r="D61" s="70">
        <f t="shared" si="38"/>
        <v>0.21953926908726498</v>
      </c>
      <c r="E61" s="70">
        <f t="shared" si="38"/>
        <v>0.14681425682127242</v>
      </c>
      <c r="F61" s="70">
        <f t="shared" si="38"/>
        <v>0.13759356537899414</v>
      </c>
      <c r="G61" s="70">
        <f t="shared" si="38"/>
        <v>0.12056034354775431</v>
      </c>
      <c r="H61" s="70">
        <f t="shared" si="38"/>
        <v>0.1037660176648309</v>
      </c>
      <c r="I61" s="70">
        <f t="shared" si="38"/>
        <v>0.12794654732556843</v>
      </c>
      <c r="J61" s="70">
        <f t="shared" si="38"/>
        <v>0.16096824910854449</v>
      </c>
      <c r="K61" s="70">
        <f t="shared" si="38"/>
        <v>0.17729410579421589</v>
      </c>
      <c r="L61" s="70">
        <f t="shared" si="38"/>
        <v>0.1744520748360037</v>
      </c>
      <c r="M61" s="70">
        <f t="shared" si="38"/>
        <v>0.18826121281365338</v>
      </c>
      <c r="N61" s="70">
        <f t="shared" si="38"/>
        <v>0.197190299103949</v>
      </c>
      <c r="O61" s="70">
        <f t="shared" si="38"/>
        <v>0.20733587846658347</v>
      </c>
      <c r="P61" s="70">
        <f t="shared" si="38"/>
        <v>0.22031789906448998</v>
      </c>
      <c r="Q61" s="70">
        <f t="shared" si="38"/>
        <v>0.22570447021573928</v>
      </c>
      <c r="R61" s="70">
        <f t="shared" si="38"/>
        <v>0.22642413438889292</v>
      </c>
      <c r="S61" s="70">
        <f t="shared" si="38"/>
        <v>0.22318501462625834</v>
      </c>
      <c r="T61" s="70">
        <f t="shared" si="38"/>
        <v>0.22500471886654308</v>
      </c>
      <c r="U61" s="70">
        <f t="shared" si="38"/>
        <v>0.22873541192351357</v>
      </c>
      <c r="V61" s="70">
        <f t="shared" si="38"/>
        <v>0.24407148370113158</v>
      </c>
      <c r="W61" s="70">
        <f t="shared" si="38"/>
        <v>0.22781566740313486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869.48848054144935</v>
      </c>
      <c r="C65" s="80">
        <v>1645.0980619481959</v>
      </c>
      <c r="D65" s="80">
        <v>957.00336662311804</v>
      </c>
      <c r="E65" s="80">
        <v>1885.5166975814477</v>
      </c>
      <c r="F65" s="80">
        <v>3038.4570756839821</v>
      </c>
      <c r="G65" s="80">
        <v>3262.8269449729896</v>
      </c>
      <c r="H65" s="80">
        <v>4550.7442463086672</v>
      </c>
      <c r="I65" s="80">
        <v>3858.5579198097248</v>
      </c>
      <c r="J65" s="80">
        <v>2765.3593114936502</v>
      </c>
      <c r="K65" s="80">
        <v>2576.476072219948</v>
      </c>
      <c r="L65" s="80">
        <v>2631.3223680036617</v>
      </c>
      <c r="M65" s="80">
        <v>2560.7860253701037</v>
      </c>
      <c r="N65" s="80">
        <v>2494.3138703667782</v>
      </c>
      <c r="O65" s="80">
        <v>2434.1722395018201</v>
      </c>
      <c r="P65" s="80">
        <v>2424.3160007712172</v>
      </c>
      <c r="Q65" s="80">
        <v>2416.51632807132</v>
      </c>
      <c r="R65" s="80">
        <v>2445.1249419428004</v>
      </c>
      <c r="S65" s="80">
        <v>2788.7330322583025</v>
      </c>
      <c r="T65" s="80">
        <v>2842.7295704234402</v>
      </c>
      <c r="U65" s="80">
        <v>2840.8308477708706</v>
      </c>
      <c r="V65" s="80">
        <v>2665.2492810172594</v>
      </c>
      <c r="W65" s="80">
        <v>3082.5978336277994</v>
      </c>
      <c r="DA65" s="103" t="s">
        <v>218</v>
      </c>
    </row>
    <row r="66" spans="1:105" ht="12" customHeight="1" x14ac:dyDescent="0.25">
      <c r="A66" s="58" t="s">
        <v>29</v>
      </c>
      <c r="B66" s="59">
        <v>15.280637207855708</v>
      </c>
      <c r="C66" s="59">
        <v>31.334061476737599</v>
      </c>
      <c r="D66" s="59">
        <v>18.530793056000654</v>
      </c>
      <c r="E66" s="59">
        <v>11.710758197035032</v>
      </c>
      <c r="F66" s="59">
        <v>4.6382710898358166</v>
      </c>
      <c r="G66" s="59">
        <v>1.5637006591106282</v>
      </c>
      <c r="H66" s="59">
        <v>12.284307976255539</v>
      </c>
      <c r="I66" s="59">
        <v>5.9510154301516245</v>
      </c>
      <c r="J66" s="59">
        <v>1.6395648222735832</v>
      </c>
      <c r="K66" s="59">
        <v>0.78185251946968048</v>
      </c>
      <c r="L66" s="59">
        <v>2.2832825552403291</v>
      </c>
      <c r="M66" s="59">
        <v>2.9687115484112256</v>
      </c>
      <c r="N66" s="59">
        <v>1.7105652390553232</v>
      </c>
      <c r="O66" s="59">
        <v>2.5105707678493316</v>
      </c>
      <c r="P66" s="59">
        <v>1.6734910927686122</v>
      </c>
      <c r="Q66" s="59">
        <v>1.8196050785972882</v>
      </c>
      <c r="R66" s="59">
        <v>3.6236087151422165</v>
      </c>
      <c r="S66" s="59">
        <v>0</v>
      </c>
      <c r="T66" s="59">
        <v>2.6686617482281991</v>
      </c>
      <c r="U66" s="59">
        <v>1.6561910649391836</v>
      </c>
      <c r="V66" s="59">
        <v>0.31682493312885096</v>
      </c>
      <c r="W66" s="59">
        <v>0.5620041626661475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303.15998333359352</v>
      </c>
      <c r="C67" s="55">
        <f t="shared" ref="C67:W67" si="39">SUM(C68:C69)</f>
        <v>397.4094104714581</v>
      </c>
      <c r="D67" s="55">
        <f t="shared" si="39"/>
        <v>723.03174356711736</v>
      </c>
      <c r="E67" s="55">
        <f t="shared" si="39"/>
        <v>786.4541309844127</v>
      </c>
      <c r="F67" s="55">
        <f t="shared" si="39"/>
        <v>1447.8526645941465</v>
      </c>
      <c r="G67" s="55">
        <f t="shared" si="39"/>
        <v>1425.3458643138788</v>
      </c>
      <c r="H67" s="55">
        <f t="shared" si="39"/>
        <v>789.42596833241157</v>
      </c>
      <c r="I67" s="55">
        <f t="shared" si="39"/>
        <v>1314.1065943795743</v>
      </c>
      <c r="J67" s="55">
        <f t="shared" si="39"/>
        <v>865.95211667137687</v>
      </c>
      <c r="K67" s="55">
        <f t="shared" si="39"/>
        <v>393.6173997004779</v>
      </c>
      <c r="L67" s="55">
        <f t="shared" si="39"/>
        <v>431.46183544842114</v>
      </c>
      <c r="M67" s="55">
        <f t="shared" si="39"/>
        <v>782.2354838216927</v>
      </c>
      <c r="N67" s="55">
        <f t="shared" si="39"/>
        <v>698.08772512772271</v>
      </c>
      <c r="O67" s="55">
        <f t="shared" si="39"/>
        <v>588.59318873397046</v>
      </c>
      <c r="P67" s="55">
        <f t="shared" si="39"/>
        <v>570.85360807844825</v>
      </c>
      <c r="Q67" s="55">
        <f t="shared" si="39"/>
        <v>623.56359019272259</v>
      </c>
      <c r="R67" s="55">
        <f t="shared" si="39"/>
        <v>625.54542882765816</v>
      </c>
      <c r="S67" s="55">
        <f t="shared" si="39"/>
        <v>823.47885389830208</v>
      </c>
      <c r="T67" s="55">
        <f t="shared" si="39"/>
        <v>897.51787415521198</v>
      </c>
      <c r="U67" s="55">
        <f t="shared" si="39"/>
        <v>903.89151394593159</v>
      </c>
      <c r="V67" s="55">
        <f t="shared" si="39"/>
        <v>845.17150516413028</v>
      </c>
      <c r="W67" s="55">
        <f t="shared" si="39"/>
        <v>1293.776369665133</v>
      </c>
      <c r="DA67" s="101"/>
    </row>
    <row r="68" spans="1:105" ht="12" customHeight="1" x14ac:dyDescent="0.25">
      <c r="A68" s="61" t="s">
        <v>52</v>
      </c>
      <c r="B68" s="55">
        <v>59.692650479999998</v>
      </c>
      <c r="C68" s="55">
        <v>32.830980479999994</v>
      </c>
      <c r="D68" s="55">
        <v>20.892359520000003</v>
      </c>
      <c r="E68" s="55">
        <v>89.538975720000025</v>
      </c>
      <c r="F68" s="55">
        <v>194.00100048000002</v>
      </c>
      <c r="G68" s="55">
        <v>239.95319688000004</v>
      </c>
      <c r="H68" s="55">
        <v>97.204262760000006</v>
      </c>
      <c r="I68" s="55">
        <v>288.55135295999997</v>
      </c>
      <c r="J68" s="55">
        <v>66.822294239999991</v>
      </c>
      <c r="K68" s="55">
        <v>36.453955320000006</v>
      </c>
      <c r="L68" s="55">
        <v>57.710225160000014</v>
      </c>
      <c r="M68" s="55">
        <v>36.448503480000007</v>
      </c>
      <c r="N68" s="55">
        <v>45.560799719999999</v>
      </c>
      <c r="O68" s="55">
        <v>51.635512440000007</v>
      </c>
      <c r="P68" s="55">
        <v>66.822294239999991</v>
      </c>
      <c r="Q68" s="55">
        <v>85.046659560000009</v>
      </c>
      <c r="R68" s="55">
        <v>78.971946840000015</v>
      </c>
      <c r="S68" s="55">
        <v>78.33885192000001</v>
      </c>
      <c r="T68" s="55">
        <v>80.422590600000021</v>
      </c>
      <c r="U68" s="55">
        <v>78.812707680000003</v>
      </c>
      <c r="V68" s="55">
        <v>70.908448320000005</v>
      </c>
      <c r="W68" s="55">
        <v>70.152232679999997</v>
      </c>
      <c r="DA68" s="101" t="s">
        <v>220</v>
      </c>
    </row>
    <row r="69" spans="1:105" ht="12" customHeight="1" x14ac:dyDescent="0.25">
      <c r="A69" s="61" t="s">
        <v>170</v>
      </c>
      <c r="B69" s="55">
        <v>243.46733285359352</v>
      </c>
      <c r="C69" s="55">
        <v>364.57842999145811</v>
      </c>
      <c r="D69" s="55">
        <v>702.13938404711735</v>
      </c>
      <c r="E69" s="55">
        <v>696.91515526441265</v>
      </c>
      <c r="F69" s="55">
        <v>1253.8516641141464</v>
      </c>
      <c r="G69" s="55">
        <v>1185.3926674338788</v>
      </c>
      <c r="H69" s="55">
        <v>692.22170557241157</v>
      </c>
      <c r="I69" s="55">
        <v>1025.5552414195743</v>
      </c>
      <c r="J69" s="55">
        <v>799.12982243137685</v>
      </c>
      <c r="K69" s="55">
        <v>357.16344438047793</v>
      </c>
      <c r="L69" s="55">
        <v>373.75161028842115</v>
      </c>
      <c r="M69" s="55">
        <v>745.7869803416927</v>
      </c>
      <c r="N69" s="55">
        <v>652.52692540772273</v>
      </c>
      <c r="O69" s="55">
        <v>536.95767629397051</v>
      </c>
      <c r="P69" s="55">
        <v>504.03131383844823</v>
      </c>
      <c r="Q69" s="55">
        <v>538.51693063272262</v>
      </c>
      <c r="R69" s="55">
        <v>546.57348198765817</v>
      </c>
      <c r="S69" s="55">
        <v>745.14000197830205</v>
      </c>
      <c r="T69" s="55">
        <v>817.09528355521195</v>
      </c>
      <c r="U69" s="55">
        <v>825.07880626593158</v>
      </c>
      <c r="V69" s="55">
        <v>774.26305684413023</v>
      </c>
      <c r="W69" s="55">
        <v>1223.624136985133</v>
      </c>
      <c r="DA69" s="101" t="s">
        <v>221</v>
      </c>
    </row>
    <row r="70" spans="1:105" ht="12" customHeight="1" x14ac:dyDescent="0.25">
      <c r="A70" s="60" t="s">
        <v>153</v>
      </c>
      <c r="B70" s="55">
        <v>551.04786000000013</v>
      </c>
      <c r="C70" s="55">
        <v>1216.3545900000001</v>
      </c>
      <c r="D70" s="55">
        <v>215.44083000000001</v>
      </c>
      <c r="E70" s="55">
        <v>1085.63598</v>
      </c>
      <c r="F70" s="55">
        <v>1584.6791400000002</v>
      </c>
      <c r="G70" s="55">
        <v>1835.9173800000001</v>
      </c>
      <c r="H70" s="55">
        <v>3749.0339700000004</v>
      </c>
      <c r="I70" s="55">
        <v>2538.500309999999</v>
      </c>
      <c r="J70" s="55">
        <v>1897.7676300000001</v>
      </c>
      <c r="K70" s="55">
        <v>2182.0768200000002</v>
      </c>
      <c r="L70" s="55">
        <v>2197.5772500000003</v>
      </c>
      <c r="M70" s="55">
        <v>1775.5818300000001</v>
      </c>
      <c r="N70" s="55">
        <v>1794.5155800000002</v>
      </c>
      <c r="O70" s="55">
        <v>1842.8850000000002</v>
      </c>
      <c r="P70" s="55">
        <v>1822.1841000000002</v>
      </c>
      <c r="Q70" s="55">
        <v>1763.00982</v>
      </c>
      <c r="R70" s="55">
        <v>1790.9307900000001</v>
      </c>
      <c r="S70" s="55">
        <v>1948.8172611600003</v>
      </c>
      <c r="T70" s="55">
        <v>1929.8968405200001</v>
      </c>
      <c r="U70" s="55">
        <v>1922.4917751600001</v>
      </c>
      <c r="V70" s="55">
        <v>1810.39104972</v>
      </c>
      <c r="W70" s="55">
        <v>1778.6243574000002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1.7158283999999999</v>
      </c>
      <c r="F71" s="55">
        <f t="shared" si="40"/>
        <v>1.2869999999999999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0.18348000000000003</v>
      </c>
      <c r="P71" s="55">
        <f t="shared" si="40"/>
        <v>29.604801600000002</v>
      </c>
      <c r="Q71" s="55">
        <f t="shared" si="40"/>
        <v>28.123312800000001</v>
      </c>
      <c r="R71" s="55">
        <f t="shared" si="40"/>
        <v>25.025114399999996</v>
      </c>
      <c r="S71" s="55">
        <f t="shared" si="40"/>
        <v>16.4369172</v>
      </c>
      <c r="T71" s="55">
        <f t="shared" si="40"/>
        <v>12.646193999999998</v>
      </c>
      <c r="U71" s="55">
        <f t="shared" si="40"/>
        <v>12.791367600000001</v>
      </c>
      <c r="V71" s="55">
        <f t="shared" si="40"/>
        <v>9.3699011999999975</v>
      </c>
      <c r="W71" s="55">
        <f t="shared" si="40"/>
        <v>9.6351024000000027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1.7158283999999999</v>
      </c>
      <c r="F72" s="55">
        <v>1.2869999999999999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0.18348000000000003</v>
      </c>
      <c r="P72" s="55">
        <v>29.604801600000002</v>
      </c>
      <c r="Q72" s="55">
        <v>28.123312800000001</v>
      </c>
      <c r="R72" s="55">
        <v>25.025114399999996</v>
      </c>
      <c r="S72" s="55">
        <v>16.4369172</v>
      </c>
      <c r="T72" s="55">
        <v>12.646193999999998</v>
      </c>
      <c r="U72" s="55">
        <v>12.791367600000001</v>
      </c>
      <c r="V72" s="55">
        <v>9.3699011999999975</v>
      </c>
      <c r="W72" s="55">
        <v>9.6351024000000027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869.48848054144923</v>
      </c>
      <c r="C81" s="82">
        <f t="shared" ref="C81:W81" si="42">C82+C87</f>
        <v>1645.0980619481959</v>
      </c>
      <c r="D81" s="82">
        <f t="shared" si="42"/>
        <v>957.00336662311827</v>
      </c>
      <c r="E81" s="82">
        <f t="shared" si="42"/>
        <v>1885.5166975814479</v>
      </c>
      <c r="F81" s="82">
        <f t="shared" si="42"/>
        <v>3038.4570756839821</v>
      </c>
      <c r="G81" s="82">
        <f t="shared" si="42"/>
        <v>3262.8269449729901</v>
      </c>
      <c r="H81" s="82">
        <f t="shared" si="42"/>
        <v>4550.7442463086682</v>
      </c>
      <c r="I81" s="82">
        <f t="shared" si="42"/>
        <v>3858.5579198097253</v>
      </c>
      <c r="J81" s="82">
        <f t="shared" si="42"/>
        <v>2765.3593114936502</v>
      </c>
      <c r="K81" s="82">
        <f t="shared" si="42"/>
        <v>2576.476072219948</v>
      </c>
      <c r="L81" s="82">
        <f t="shared" si="42"/>
        <v>2631.3223680036617</v>
      </c>
      <c r="M81" s="82">
        <f t="shared" si="42"/>
        <v>2560.7860253701037</v>
      </c>
      <c r="N81" s="82">
        <f t="shared" si="42"/>
        <v>2494.3138703667792</v>
      </c>
      <c r="O81" s="82">
        <f t="shared" si="42"/>
        <v>2434.1722395018196</v>
      </c>
      <c r="P81" s="82">
        <f t="shared" si="42"/>
        <v>2424.3160007712167</v>
      </c>
      <c r="Q81" s="82">
        <f t="shared" si="42"/>
        <v>2416.5163280713195</v>
      </c>
      <c r="R81" s="82">
        <f t="shared" si="42"/>
        <v>2445.1249419428023</v>
      </c>
      <c r="S81" s="82">
        <f t="shared" si="42"/>
        <v>2788.733032258302</v>
      </c>
      <c r="T81" s="82">
        <f t="shared" si="42"/>
        <v>2842.7295704234398</v>
      </c>
      <c r="U81" s="82">
        <f t="shared" si="42"/>
        <v>2840.8308477708702</v>
      </c>
      <c r="V81" s="82">
        <f t="shared" si="42"/>
        <v>2665.2492810172594</v>
      </c>
      <c r="W81" s="82">
        <f t="shared" si="42"/>
        <v>3082.5978336277994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869.48848054144923</v>
      </c>
      <c r="C82" s="64">
        <f t="shared" ref="C82:W82" si="44">SUM(C83:C86)</f>
        <v>1645.0980619481959</v>
      </c>
      <c r="D82" s="64">
        <f t="shared" si="44"/>
        <v>957.00336662311827</v>
      </c>
      <c r="E82" s="64">
        <f t="shared" si="44"/>
        <v>1885.5166975814479</v>
      </c>
      <c r="F82" s="64">
        <f t="shared" si="44"/>
        <v>3038.4570756839821</v>
      </c>
      <c r="G82" s="64">
        <f t="shared" si="44"/>
        <v>3262.8269449729901</v>
      </c>
      <c r="H82" s="64">
        <f t="shared" si="44"/>
        <v>4550.7442463086682</v>
      </c>
      <c r="I82" s="64">
        <f t="shared" si="44"/>
        <v>3858.5579198097253</v>
      </c>
      <c r="J82" s="64">
        <f t="shared" si="44"/>
        <v>2765.3593114936502</v>
      </c>
      <c r="K82" s="64">
        <f t="shared" si="44"/>
        <v>2576.476072219948</v>
      </c>
      <c r="L82" s="64">
        <f t="shared" si="44"/>
        <v>2631.3223680036617</v>
      </c>
      <c r="M82" s="64">
        <f t="shared" si="44"/>
        <v>2560.7860253701037</v>
      </c>
      <c r="N82" s="64">
        <f t="shared" si="44"/>
        <v>2494.3138703667792</v>
      </c>
      <c r="O82" s="64">
        <f t="shared" si="44"/>
        <v>2434.1722395018196</v>
      </c>
      <c r="P82" s="64">
        <f t="shared" si="44"/>
        <v>2424.3160007712167</v>
      </c>
      <c r="Q82" s="64">
        <f t="shared" si="44"/>
        <v>2416.5163280713195</v>
      </c>
      <c r="R82" s="64">
        <f t="shared" si="44"/>
        <v>2445.1249419428023</v>
      </c>
      <c r="S82" s="64">
        <f t="shared" si="44"/>
        <v>2788.733032258302</v>
      </c>
      <c r="T82" s="64">
        <f t="shared" si="44"/>
        <v>2842.7295704234398</v>
      </c>
      <c r="U82" s="64">
        <f t="shared" si="44"/>
        <v>2840.8308477708702</v>
      </c>
      <c r="V82" s="64">
        <f t="shared" si="44"/>
        <v>2665.2492810172594</v>
      </c>
      <c r="W82" s="64">
        <f t="shared" si="44"/>
        <v>3082.5978336277994</v>
      </c>
      <c r="DA82" s="108" t="s">
        <v>232</v>
      </c>
    </row>
    <row r="83" spans="1:105" ht="12" customHeight="1" x14ac:dyDescent="0.25">
      <c r="A83" s="61" t="s">
        <v>32</v>
      </c>
      <c r="B83" s="65">
        <v>682.1389436030455</v>
      </c>
      <c r="C83" s="65">
        <v>1451.757032176462</v>
      </c>
      <c r="D83" s="65">
        <v>759.74916480156116</v>
      </c>
      <c r="E83" s="65">
        <v>1450.3868983852424</v>
      </c>
      <c r="F83" s="65">
        <v>2258.2379631308031</v>
      </c>
      <c r="G83" s="65">
        <v>2454.5684487269141</v>
      </c>
      <c r="H83" s="65">
        <v>3764.2321335592601</v>
      </c>
      <c r="I83" s="65">
        <v>3016.4587365880088</v>
      </c>
      <c r="J83" s="65">
        <v>2161.4178205189423</v>
      </c>
      <c r="K83" s="65">
        <v>1927.1099359505665</v>
      </c>
      <c r="L83" s="65">
        <v>1968.4287611156797</v>
      </c>
      <c r="M83" s="65">
        <v>1947.946800400199</v>
      </c>
      <c r="N83" s="65">
        <v>1871.5140800486033</v>
      </c>
      <c r="O83" s="65">
        <v>1762.7538240669626</v>
      </c>
      <c r="P83" s="65">
        <v>1706.9649484576305</v>
      </c>
      <c r="Q83" s="65">
        <v>1619.4517947400655</v>
      </c>
      <c r="R83" s="65">
        <v>1636.955527670111</v>
      </c>
      <c r="S83" s="65">
        <v>1884.8583208642401</v>
      </c>
      <c r="T83" s="65">
        <v>1937.4516698675368</v>
      </c>
      <c r="U83" s="65">
        <v>1934.6586841827459</v>
      </c>
      <c r="V83" s="65">
        <v>1793.8108395379636</v>
      </c>
      <c r="W83" s="65">
        <v>2127.0447525624736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46.841397457980214</v>
      </c>
      <c r="C85" s="65">
        <v>53.435844527237151</v>
      </c>
      <c r="D85" s="65">
        <v>100.97663705848115</v>
      </c>
      <c r="E85" s="65">
        <v>175.27207316037916</v>
      </c>
      <c r="F85" s="65">
        <v>275.45705734057287</v>
      </c>
      <c r="G85" s="65">
        <v>279.44618384935774</v>
      </c>
      <c r="H85" s="65">
        <v>284.3469680300658</v>
      </c>
      <c r="I85" s="65">
        <v>252.46277214409824</v>
      </c>
      <c r="J85" s="65">
        <v>223.94782236780927</v>
      </c>
      <c r="K85" s="65">
        <v>303.72674287835986</v>
      </c>
      <c r="L85" s="65">
        <v>303.64914129621218</v>
      </c>
      <c r="M85" s="65">
        <v>281.86344224074571</v>
      </c>
      <c r="N85" s="65">
        <v>292.89086410909732</v>
      </c>
      <c r="O85" s="65">
        <v>331.62642747022568</v>
      </c>
      <c r="P85" s="65">
        <v>363.99510666015004</v>
      </c>
      <c r="Q85" s="65">
        <v>394.94118793485694</v>
      </c>
      <c r="R85" s="65">
        <v>409.92085421203222</v>
      </c>
      <c r="S85" s="65">
        <v>467.69832069748412</v>
      </c>
      <c r="T85" s="65">
        <v>469.28394242832525</v>
      </c>
      <c r="U85" s="65">
        <v>462.64676646212223</v>
      </c>
      <c r="V85" s="65">
        <v>448.71151219870461</v>
      </c>
      <c r="W85" s="65">
        <v>523.13977956523399</v>
      </c>
      <c r="DA85" s="109" t="s">
        <v>235</v>
      </c>
    </row>
    <row r="86" spans="1:105" ht="12" customHeight="1" x14ac:dyDescent="0.25">
      <c r="A86" s="66" t="s">
        <v>34</v>
      </c>
      <c r="B86" s="67">
        <v>140.50813948042358</v>
      </c>
      <c r="C86" s="67">
        <v>139.90518524449681</v>
      </c>
      <c r="D86" s="67">
        <v>96.277564763075887</v>
      </c>
      <c r="E86" s="67">
        <v>259.85772603582626</v>
      </c>
      <c r="F86" s="67">
        <v>504.76205521260613</v>
      </c>
      <c r="G86" s="67">
        <v>528.81231239671843</v>
      </c>
      <c r="H86" s="67">
        <v>502.16514471934204</v>
      </c>
      <c r="I86" s="67">
        <v>589.63641107761805</v>
      </c>
      <c r="J86" s="67">
        <v>379.99366860689872</v>
      </c>
      <c r="K86" s="67">
        <v>345.6393933910216</v>
      </c>
      <c r="L86" s="67">
        <v>359.24446559176982</v>
      </c>
      <c r="M86" s="67">
        <v>330.97578272915911</v>
      </c>
      <c r="N86" s="67">
        <v>329.90892620907829</v>
      </c>
      <c r="O86" s="67">
        <v>339.79198796463174</v>
      </c>
      <c r="P86" s="67">
        <v>353.35594565343644</v>
      </c>
      <c r="Q86" s="67">
        <v>402.12334539639687</v>
      </c>
      <c r="R86" s="67">
        <v>398.24856006065875</v>
      </c>
      <c r="S86" s="67">
        <v>436.17639069657815</v>
      </c>
      <c r="T86" s="67">
        <v>435.9939581275774</v>
      </c>
      <c r="U86" s="67">
        <v>443.52539712600208</v>
      </c>
      <c r="V86" s="67">
        <v>422.72692928059149</v>
      </c>
      <c r="W86" s="67">
        <v>432.41330150009145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0.78452901777176265</v>
      </c>
      <c r="C91" s="71">
        <f t="shared" ref="C91:W91" si="50">IF(C83=0,0,C83/C$81)</f>
        <v>0.88247446505239258</v>
      </c>
      <c r="D91" s="71">
        <f t="shared" si="50"/>
        <v>0.79388348181303869</v>
      </c>
      <c r="E91" s="71">
        <f t="shared" si="50"/>
        <v>0.76922516795828622</v>
      </c>
      <c r="F91" s="71">
        <f t="shared" si="50"/>
        <v>0.74321864909757029</v>
      </c>
      <c r="G91" s="71">
        <f t="shared" si="50"/>
        <v>0.75228275667780875</v>
      </c>
      <c r="H91" s="71">
        <f t="shared" si="50"/>
        <v>0.82716846516097087</v>
      </c>
      <c r="I91" s="71">
        <f t="shared" si="50"/>
        <v>0.781758055542356</v>
      </c>
      <c r="J91" s="71">
        <f t="shared" si="50"/>
        <v>0.78160469474453154</v>
      </c>
      <c r="K91" s="71">
        <f t="shared" si="50"/>
        <v>0.74796345160315292</v>
      </c>
      <c r="L91" s="71">
        <f t="shared" si="50"/>
        <v>0.74807586673961657</v>
      </c>
      <c r="M91" s="71">
        <f t="shared" si="50"/>
        <v>0.76068315786699414</v>
      </c>
      <c r="N91" s="71">
        <f t="shared" si="50"/>
        <v>0.75031218094994778</v>
      </c>
      <c r="O91" s="71">
        <f t="shared" si="50"/>
        <v>0.7241697179274913</v>
      </c>
      <c r="P91" s="71">
        <f t="shared" si="50"/>
        <v>0.70410167152904801</v>
      </c>
      <c r="Q91" s="71">
        <f t="shared" si="50"/>
        <v>0.67015967404308385</v>
      </c>
      <c r="R91" s="71">
        <f t="shared" si="50"/>
        <v>0.66947725230329092</v>
      </c>
      <c r="S91" s="71">
        <f t="shared" si="50"/>
        <v>0.67588338469885423</v>
      </c>
      <c r="T91" s="71">
        <f t="shared" si="50"/>
        <v>0.68154624696817112</v>
      </c>
      <c r="U91" s="71">
        <f t="shared" si="50"/>
        <v>0.68101861316411172</v>
      </c>
      <c r="V91" s="71">
        <f t="shared" si="50"/>
        <v>0.67303679708837993</v>
      </c>
      <c r="W91" s="71">
        <f t="shared" si="50"/>
        <v>0.69001694913255374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5.3872361171261367E-2</v>
      </c>
      <c r="C93" s="72">
        <f t="shared" ref="C93:W93" si="54">IF(C85=0,0,C85/C$81)</f>
        <v>3.2481859752455197E-2</v>
      </c>
      <c r="D93" s="72">
        <f t="shared" si="54"/>
        <v>0.10551335614919231</v>
      </c>
      <c r="E93" s="72">
        <f t="shared" si="54"/>
        <v>9.2957051711714159E-2</v>
      </c>
      <c r="F93" s="72">
        <f t="shared" si="54"/>
        <v>9.0656886202206813E-2</v>
      </c>
      <c r="G93" s="72">
        <f t="shared" si="54"/>
        <v>8.5645419926391783E-2</v>
      </c>
      <c r="H93" s="72">
        <f t="shared" si="54"/>
        <v>6.2483618643414993E-2</v>
      </c>
      <c r="I93" s="72">
        <f t="shared" si="54"/>
        <v>6.5429307371015905E-2</v>
      </c>
      <c r="J93" s="72">
        <f t="shared" si="54"/>
        <v>8.0983263707184797E-2</v>
      </c>
      <c r="K93" s="72">
        <f t="shared" si="54"/>
        <v>0.11788455796395667</v>
      </c>
      <c r="L93" s="72">
        <f t="shared" si="54"/>
        <v>0.11539792500855206</v>
      </c>
      <c r="M93" s="72">
        <f t="shared" si="54"/>
        <v>0.11006911137763208</v>
      </c>
      <c r="N93" s="72">
        <f t="shared" si="54"/>
        <v>0.11742341955787178</v>
      </c>
      <c r="O93" s="72">
        <f t="shared" si="54"/>
        <v>0.13623786439126293</v>
      </c>
      <c r="P93" s="72">
        <f t="shared" si="54"/>
        <v>0.15014342459661073</v>
      </c>
      <c r="Q93" s="72">
        <f t="shared" si="54"/>
        <v>0.16343410691955437</v>
      </c>
      <c r="R93" s="72">
        <f t="shared" si="54"/>
        <v>0.16764822409701685</v>
      </c>
      <c r="S93" s="72">
        <f t="shared" si="54"/>
        <v>0.16770996552464701</v>
      </c>
      <c r="T93" s="72">
        <f t="shared" si="54"/>
        <v>0.16508216163467948</v>
      </c>
      <c r="U93" s="72">
        <f t="shared" si="54"/>
        <v>0.16285614711102905</v>
      </c>
      <c r="V93" s="72">
        <f t="shared" si="54"/>
        <v>0.16835630175179808</v>
      </c>
      <c r="W93" s="72">
        <f t="shared" si="54"/>
        <v>0.16970743762236717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0.16159862105697609</v>
      </c>
      <c r="C94" s="73">
        <f t="shared" ref="C94:W94" si="56">IF(C86=0,0,C86/C$81)</f>
        <v>8.5043675195152241E-2</v>
      </c>
      <c r="D94" s="73">
        <f t="shared" si="56"/>
        <v>0.10060316203776887</v>
      </c>
      <c r="E94" s="73">
        <f t="shared" si="56"/>
        <v>0.13781778032999958</v>
      </c>
      <c r="F94" s="73">
        <f t="shared" si="56"/>
        <v>0.16612446470022288</v>
      </c>
      <c r="G94" s="73">
        <f t="shared" si="56"/>
        <v>0.16207182339579948</v>
      </c>
      <c r="H94" s="73">
        <f t="shared" si="56"/>
        <v>0.11034791619561411</v>
      </c>
      <c r="I94" s="73">
        <f t="shared" si="56"/>
        <v>0.15281263708662807</v>
      </c>
      <c r="J94" s="73">
        <f t="shared" si="56"/>
        <v>0.13741204154828371</v>
      </c>
      <c r="K94" s="73">
        <f t="shared" si="56"/>
        <v>0.13415199043289044</v>
      </c>
      <c r="L94" s="73">
        <f t="shared" si="56"/>
        <v>0.13652620825183132</v>
      </c>
      <c r="M94" s="73">
        <f t="shared" si="56"/>
        <v>0.12924773075537385</v>
      </c>
      <c r="N94" s="73">
        <f t="shared" si="56"/>
        <v>0.13226439949218038</v>
      </c>
      <c r="O94" s="73">
        <f t="shared" si="56"/>
        <v>0.13959241768124592</v>
      </c>
      <c r="P94" s="73">
        <f t="shared" si="56"/>
        <v>0.1457549038743414</v>
      </c>
      <c r="Q94" s="73">
        <f t="shared" si="56"/>
        <v>0.16640621903736164</v>
      </c>
      <c r="R94" s="73">
        <f t="shared" si="56"/>
        <v>0.16287452359969212</v>
      </c>
      <c r="S94" s="73">
        <f t="shared" si="56"/>
        <v>0.15640664977649893</v>
      </c>
      <c r="T94" s="73">
        <f t="shared" si="56"/>
        <v>0.15337159139714923</v>
      </c>
      <c r="U94" s="73">
        <f t="shared" si="56"/>
        <v>0.1561252397248592</v>
      </c>
      <c r="V94" s="73">
        <f t="shared" si="56"/>
        <v>0.15860690115982215</v>
      </c>
      <c r="W94" s="73">
        <f t="shared" si="56"/>
        <v>0.14027561324507895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437880.36180611042</v>
      </c>
      <c r="C99" s="82">
        <f t="shared" ref="C99:W99" si="60">C47*11630*1000/C$8</f>
        <v>535063.68645856518</v>
      </c>
      <c r="D99" s="82">
        <f t="shared" si="60"/>
        <v>273403.9481748718</v>
      </c>
      <c r="E99" s="82">
        <f t="shared" si="60"/>
        <v>423331.54042945924</v>
      </c>
      <c r="F99" s="82">
        <f t="shared" si="60"/>
        <v>459221.63969111565</v>
      </c>
      <c r="G99" s="82">
        <f t="shared" si="60"/>
        <v>540900.43883921264</v>
      </c>
      <c r="H99" s="82">
        <f t="shared" si="60"/>
        <v>654790.77848809469</v>
      </c>
      <c r="I99" s="82">
        <f t="shared" si="60"/>
        <v>565241.53336005111</v>
      </c>
      <c r="J99" s="82">
        <f t="shared" si="60"/>
        <v>468898.66644006647</v>
      </c>
      <c r="K99" s="82">
        <f t="shared" si="60"/>
        <v>439148.89429517405</v>
      </c>
      <c r="L99" s="82">
        <f t="shared" si="60"/>
        <v>448097.85090148787</v>
      </c>
      <c r="M99" s="82">
        <f t="shared" si="60"/>
        <v>411581.9178202523</v>
      </c>
      <c r="N99" s="82">
        <f t="shared" si="60"/>
        <v>395058.67750140204</v>
      </c>
      <c r="O99" s="82">
        <f t="shared" si="60"/>
        <v>371969.19786475936</v>
      </c>
      <c r="P99" s="82">
        <f t="shared" si="60"/>
        <v>352564.99657069816</v>
      </c>
      <c r="Q99" s="82">
        <f t="shared" si="60"/>
        <v>346338.69277997804</v>
      </c>
      <c r="R99" s="82">
        <f t="shared" si="60"/>
        <v>342818.38714381348</v>
      </c>
      <c r="S99" s="82">
        <f t="shared" si="60"/>
        <v>344191.53867465322</v>
      </c>
      <c r="T99" s="82">
        <f t="shared" si="60"/>
        <v>338482.10781209997</v>
      </c>
      <c r="U99" s="82">
        <f t="shared" si="60"/>
        <v>328010.86081426858</v>
      </c>
      <c r="V99" s="82">
        <f t="shared" si="60"/>
        <v>301598.2861249983</v>
      </c>
      <c r="W99" s="82">
        <f t="shared" si="60"/>
        <v>322474.7372480706</v>
      </c>
      <c r="DA99" s="107"/>
    </row>
    <row r="100" spans="1:105" ht="12" customHeight="1" x14ac:dyDescent="0.25">
      <c r="A100" s="77" t="s">
        <v>36</v>
      </c>
      <c r="B100" s="64">
        <f t="shared" si="59"/>
        <v>376927.89922703255</v>
      </c>
      <c r="C100" s="64">
        <f t="shared" ref="C100:W100" si="61">C48*11630*1000/C$8</f>
        <v>474624.27951800497</v>
      </c>
      <c r="D100" s="64">
        <f t="shared" si="61"/>
        <v>213381.04522698798</v>
      </c>
      <c r="E100" s="64">
        <f t="shared" si="61"/>
        <v>361180.43493230373</v>
      </c>
      <c r="F100" s="64">
        <f t="shared" si="61"/>
        <v>396035.69698682718</v>
      </c>
      <c r="G100" s="64">
        <f t="shared" si="61"/>
        <v>475689.29610762617</v>
      </c>
      <c r="H100" s="64">
        <f t="shared" si="61"/>
        <v>586845.74700073071</v>
      </c>
      <c r="I100" s="64">
        <f t="shared" si="61"/>
        <v>492920.83076162252</v>
      </c>
      <c r="J100" s="64">
        <f t="shared" si="61"/>
        <v>393420.86909387755</v>
      </c>
      <c r="K100" s="64">
        <f t="shared" si="61"/>
        <v>361290.38377059257</v>
      </c>
      <c r="L100" s="64">
        <f t="shared" si="61"/>
        <v>369926.25108216907</v>
      </c>
      <c r="M100" s="64">
        <f t="shared" si="61"/>
        <v>334097.00679924223</v>
      </c>
      <c r="N100" s="64">
        <f t="shared" si="61"/>
        <v>317156.93872129009</v>
      </c>
      <c r="O100" s="64">
        <f t="shared" si="61"/>
        <v>294846.63746295904</v>
      </c>
      <c r="P100" s="64">
        <f t="shared" si="61"/>
        <v>274888.61724256276</v>
      </c>
      <c r="Q100" s="64">
        <f t="shared" si="61"/>
        <v>268168.50161086139</v>
      </c>
      <c r="R100" s="64">
        <f t="shared" si="61"/>
        <v>265196.03058217914</v>
      </c>
      <c r="S100" s="64">
        <f t="shared" si="61"/>
        <v>267373.14508131635</v>
      </c>
      <c r="T100" s="64">
        <f t="shared" si="61"/>
        <v>262322.03630248358</v>
      </c>
      <c r="U100" s="64">
        <f t="shared" si="61"/>
        <v>252983.16145053058</v>
      </c>
      <c r="V100" s="64">
        <f t="shared" si="61"/>
        <v>227986.74494875153</v>
      </c>
      <c r="W100" s="64">
        <f t="shared" si="61"/>
        <v>249009.93976125089</v>
      </c>
      <c r="DA100" s="108"/>
    </row>
    <row r="101" spans="1:105" ht="12" customHeight="1" x14ac:dyDescent="0.25">
      <c r="A101" s="61" t="s">
        <v>32</v>
      </c>
      <c r="B101" s="65">
        <f t="shared" si="59"/>
        <v>292122.75063197134</v>
      </c>
      <c r="C101" s="65">
        <f t="shared" ref="C101:W101" si="62">C49*11630*1000/C$8</f>
        <v>388080.21083088027</v>
      </c>
      <c r="D101" s="65">
        <f t="shared" si="62"/>
        <v>155734.07897889626</v>
      </c>
      <c r="E101" s="65">
        <f t="shared" si="62"/>
        <v>267473.59135335102</v>
      </c>
      <c r="F101" s="65">
        <f t="shared" si="62"/>
        <v>286716.95028022828</v>
      </c>
      <c r="G101" s="65">
        <f t="shared" si="62"/>
        <v>366311.51890237012</v>
      </c>
      <c r="H101" s="65">
        <f t="shared" si="62"/>
        <v>476723.19392043771</v>
      </c>
      <c r="I101" s="65">
        <f t="shared" si="62"/>
        <v>380383.74724874145</v>
      </c>
      <c r="J101" s="65">
        <f t="shared" si="62"/>
        <v>284908.05261169939</v>
      </c>
      <c r="K101" s="65">
        <f t="shared" si="62"/>
        <v>253478.57142817701</v>
      </c>
      <c r="L101" s="65">
        <f t="shared" si="62"/>
        <v>263586.53512949421</v>
      </c>
      <c r="M101" s="65">
        <f t="shared" si="62"/>
        <v>228187.30588633157</v>
      </c>
      <c r="N101" s="65">
        <f t="shared" si="62"/>
        <v>210965.52996124947</v>
      </c>
      <c r="O101" s="65">
        <f t="shared" si="62"/>
        <v>187054.07877648182</v>
      </c>
      <c r="P101" s="65">
        <f t="shared" si="62"/>
        <v>166580.10932470881</v>
      </c>
      <c r="Q101" s="65">
        <f t="shared" si="62"/>
        <v>158569.45145905711</v>
      </c>
      <c r="R101" s="65">
        <f t="shared" si="62"/>
        <v>158954.40515995625</v>
      </c>
      <c r="S101" s="65">
        <f t="shared" si="62"/>
        <v>163036.29035142268</v>
      </c>
      <c r="T101" s="65">
        <f t="shared" si="62"/>
        <v>159901.42662614794</v>
      </c>
      <c r="U101" s="65">
        <f t="shared" si="62"/>
        <v>153294.55674029604</v>
      </c>
      <c r="V101" s="65">
        <f t="shared" si="62"/>
        <v>136669.26781649003</v>
      </c>
      <c r="W101" s="65">
        <f t="shared" si="62"/>
        <v>151333.92108195182</v>
      </c>
      <c r="DA101" s="109"/>
    </row>
    <row r="102" spans="1:105" ht="12" customHeight="1" x14ac:dyDescent="0.25">
      <c r="A102" s="61" t="s">
        <v>31</v>
      </c>
      <c r="B102" s="65">
        <f t="shared" si="59"/>
        <v>16.144636320678572</v>
      </c>
      <c r="C102" s="65">
        <f t="shared" ref="C102:W102" si="63">C50*11630*1000/C$8</f>
        <v>162.39142814238193</v>
      </c>
      <c r="D102" s="65">
        <f t="shared" si="63"/>
        <v>323.6664350110521</v>
      </c>
      <c r="E102" s="65">
        <f t="shared" si="63"/>
        <v>445.6030653765925</v>
      </c>
      <c r="F102" s="65">
        <f t="shared" si="63"/>
        <v>507.93207491961715</v>
      </c>
      <c r="G102" s="65">
        <f t="shared" si="63"/>
        <v>589.33590801395576</v>
      </c>
      <c r="H102" s="65">
        <f t="shared" si="63"/>
        <v>749.8580327600821</v>
      </c>
      <c r="I102" s="65">
        <f t="shared" si="63"/>
        <v>1164.7989751472892</v>
      </c>
      <c r="J102" s="65">
        <f t="shared" si="63"/>
        <v>1050.261454533395</v>
      </c>
      <c r="K102" s="65">
        <f t="shared" si="63"/>
        <v>1094.3458994397552</v>
      </c>
      <c r="L102" s="65">
        <f t="shared" si="63"/>
        <v>1344.4526335017756</v>
      </c>
      <c r="M102" s="65">
        <f t="shared" si="63"/>
        <v>1217.8962780729544</v>
      </c>
      <c r="N102" s="65">
        <f t="shared" si="63"/>
        <v>1948.2423420823188</v>
      </c>
      <c r="O102" s="65">
        <f t="shared" si="63"/>
        <v>1338.2076597822083</v>
      </c>
      <c r="P102" s="65">
        <f t="shared" si="63"/>
        <v>1278.0658826578856</v>
      </c>
      <c r="Q102" s="65">
        <f t="shared" si="63"/>
        <v>1656.4655652351878</v>
      </c>
      <c r="R102" s="65">
        <f t="shared" si="63"/>
        <v>1364.9210210618157</v>
      </c>
      <c r="S102" s="65">
        <f t="shared" si="63"/>
        <v>1429.9057075239848</v>
      </c>
      <c r="T102" s="65">
        <f t="shared" si="63"/>
        <v>1227.3425641783635</v>
      </c>
      <c r="U102" s="65">
        <f t="shared" si="63"/>
        <v>1363.6854845614471</v>
      </c>
      <c r="V102" s="65">
        <f t="shared" si="63"/>
        <v>1206.1373051386104</v>
      </c>
      <c r="W102" s="65">
        <f t="shared" si="63"/>
        <v>1367.4654456683256</v>
      </c>
      <c r="DA102" s="109"/>
    </row>
    <row r="103" spans="1:105" ht="12" customHeight="1" x14ac:dyDescent="0.25">
      <c r="A103" s="61" t="s">
        <v>35</v>
      </c>
      <c r="B103" s="65">
        <f t="shared" si="59"/>
        <v>34432.198030801555</v>
      </c>
      <c r="C103" s="65">
        <f t="shared" ref="C103:W103" si="64">C51*11630*1000/C$8</f>
        <v>37913.649162057794</v>
      </c>
      <c r="D103" s="65">
        <f t="shared" si="64"/>
        <v>20992.049170320817</v>
      </c>
      <c r="E103" s="65">
        <f t="shared" si="64"/>
        <v>42612.799155069624</v>
      </c>
      <c r="F103" s="65">
        <f t="shared" si="64"/>
        <v>49953.440755572999</v>
      </c>
      <c r="G103" s="65">
        <f t="shared" si="64"/>
        <v>48647.940787388856</v>
      </c>
      <c r="H103" s="65">
        <f t="shared" si="64"/>
        <v>49201.47070259336</v>
      </c>
      <c r="I103" s="65">
        <f t="shared" si="64"/>
        <v>49445.914262487939</v>
      </c>
      <c r="J103" s="65">
        <f t="shared" si="64"/>
        <v>47882.615107795616</v>
      </c>
      <c r="K103" s="65">
        <f t="shared" si="64"/>
        <v>48093.43850536229</v>
      </c>
      <c r="L103" s="65">
        <f t="shared" si="64"/>
        <v>46052.433949589693</v>
      </c>
      <c r="M103" s="65">
        <f t="shared" si="64"/>
        <v>46794.045479928514</v>
      </c>
      <c r="N103" s="65">
        <f t="shared" si="64"/>
        <v>46004.506285649833</v>
      </c>
      <c r="O103" s="65">
        <f t="shared" si="64"/>
        <v>46481.684635877675</v>
      </c>
      <c r="P103" s="65">
        <f t="shared" si="64"/>
        <v>46697.634285208813</v>
      </c>
      <c r="Q103" s="65">
        <f t="shared" si="64"/>
        <v>46794.969288772525</v>
      </c>
      <c r="R103" s="65">
        <f t="shared" si="64"/>
        <v>45859.393597308175</v>
      </c>
      <c r="S103" s="65">
        <f t="shared" si="64"/>
        <v>45131.907361689664</v>
      </c>
      <c r="T103" s="65">
        <f t="shared" si="64"/>
        <v>43330.766481882725</v>
      </c>
      <c r="U103" s="65">
        <f t="shared" si="64"/>
        <v>40716.079379796087</v>
      </c>
      <c r="V103" s="65">
        <f t="shared" si="64"/>
        <v>37985.822355370881</v>
      </c>
      <c r="W103" s="65">
        <f t="shared" si="64"/>
        <v>41636.905032481307</v>
      </c>
      <c r="DA103" s="109"/>
    </row>
    <row r="104" spans="1:105" ht="12" customHeight="1" x14ac:dyDescent="0.25">
      <c r="A104" s="66" t="s">
        <v>34</v>
      </c>
      <c r="B104" s="67">
        <f t="shared" si="59"/>
        <v>50356.805927938942</v>
      </c>
      <c r="C104" s="67">
        <f t="shared" ref="C104:W104" si="65">C52*11630*1000/C$8</f>
        <v>48468.028096924565</v>
      </c>
      <c r="D104" s="67">
        <f t="shared" si="65"/>
        <v>36331.250642759871</v>
      </c>
      <c r="E104" s="67">
        <f t="shared" si="65"/>
        <v>50648.441358506483</v>
      </c>
      <c r="F104" s="67">
        <f t="shared" si="65"/>
        <v>58857.3738761063</v>
      </c>
      <c r="G104" s="67">
        <f t="shared" si="65"/>
        <v>60140.500509853249</v>
      </c>
      <c r="H104" s="67">
        <f t="shared" si="65"/>
        <v>60171.224344939503</v>
      </c>
      <c r="I104" s="67">
        <f t="shared" si="65"/>
        <v>61926.370275245768</v>
      </c>
      <c r="J104" s="67">
        <f t="shared" si="65"/>
        <v>59579.939919849159</v>
      </c>
      <c r="K104" s="67">
        <f t="shared" si="65"/>
        <v>58624.027937613508</v>
      </c>
      <c r="L104" s="67">
        <f t="shared" si="65"/>
        <v>58942.829369583378</v>
      </c>
      <c r="M104" s="67">
        <f t="shared" si="65"/>
        <v>57897.759154909225</v>
      </c>
      <c r="N104" s="67">
        <f t="shared" si="65"/>
        <v>58238.660132308418</v>
      </c>
      <c r="O104" s="67">
        <f t="shared" si="65"/>
        <v>59972.666390817387</v>
      </c>
      <c r="P104" s="67">
        <f t="shared" si="65"/>
        <v>60332.807749987274</v>
      </c>
      <c r="Q104" s="67">
        <f t="shared" si="65"/>
        <v>61147.615297796561</v>
      </c>
      <c r="R104" s="67">
        <f t="shared" si="65"/>
        <v>59017.310803852932</v>
      </c>
      <c r="S104" s="67">
        <f t="shared" si="65"/>
        <v>57775.041660680057</v>
      </c>
      <c r="T104" s="67">
        <f t="shared" si="65"/>
        <v>57862.500630274517</v>
      </c>
      <c r="U104" s="67">
        <f t="shared" si="65"/>
        <v>57608.839845876988</v>
      </c>
      <c r="V104" s="67">
        <f t="shared" si="65"/>
        <v>52125.517471752042</v>
      </c>
      <c r="W104" s="67">
        <f t="shared" si="65"/>
        <v>54671.648201149445</v>
      </c>
      <c r="DA104" s="110"/>
    </row>
    <row r="105" spans="1:105" ht="12" customHeight="1" x14ac:dyDescent="0.25">
      <c r="A105" s="78" t="s">
        <v>33</v>
      </c>
      <c r="B105" s="68">
        <f t="shared" si="59"/>
        <v>60952.46257907791</v>
      </c>
      <c r="C105" s="68">
        <f t="shared" ref="C105:W105" si="66">C53*11630*1000/C$8</f>
        <v>60439.406940560199</v>
      </c>
      <c r="D105" s="68">
        <f t="shared" si="66"/>
        <v>60022.902947883827</v>
      </c>
      <c r="E105" s="68">
        <f t="shared" si="66"/>
        <v>62151.105497155484</v>
      </c>
      <c r="F105" s="68">
        <f t="shared" si="66"/>
        <v>63185.942704288413</v>
      </c>
      <c r="G105" s="68">
        <f t="shared" si="66"/>
        <v>65211.142731586559</v>
      </c>
      <c r="H105" s="68">
        <f t="shared" si="66"/>
        <v>67945.031487364002</v>
      </c>
      <c r="I105" s="68">
        <f t="shared" si="66"/>
        <v>72320.702598428645</v>
      </c>
      <c r="J105" s="68">
        <f t="shared" si="66"/>
        <v>75477.797346188934</v>
      </c>
      <c r="K105" s="68">
        <f t="shared" si="66"/>
        <v>77858.510524581521</v>
      </c>
      <c r="L105" s="68">
        <f t="shared" si="66"/>
        <v>78171.599819318784</v>
      </c>
      <c r="M105" s="68">
        <f t="shared" si="66"/>
        <v>77484.911021010106</v>
      </c>
      <c r="N105" s="68">
        <f t="shared" si="66"/>
        <v>77901.738780112006</v>
      </c>
      <c r="O105" s="68">
        <f t="shared" si="66"/>
        <v>77122.560401800307</v>
      </c>
      <c r="P105" s="68">
        <f t="shared" si="66"/>
        <v>77676.379328135314</v>
      </c>
      <c r="Q105" s="68">
        <f t="shared" si="66"/>
        <v>78170.191169116631</v>
      </c>
      <c r="R105" s="68">
        <f t="shared" si="66"/>
        <v>77622.356561634355</v>
      </c>
      <c r="S105" s="68">
        <f t="shared" si="66"/>
        <v>76818.393593336848</v>
      </c>
      <c r="T105" s="68">
        <f t="shared" si="66"/>
        <v>76160.071509616493</v>
      </c>
      <c r="U105" s="68">
        <f t="shared" si="66"/>
        <v>75027.699363737993</v>
      </c>
      <c r="V105" s="68">
        <f t="shared" si="66"/>
        <v>73611.541176246741</v>
      </c>
      <c r="W105" s="68">
        <f t="shared" si="66"/>
        <v>73464.797486819763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244142.06244485648</v>
      </c>
      <c r="C107" s="85">
        <f t="shared" ref="C107:W107" si="68">SUM(C108:C111)</f>
        <v>284735.80074966478</v>
      </c>
      <c r="D107" s="85">
        <f t="shared" si="68"/>
        <v>125230.23372921767</v>
      </c>
      <c r="E107" s="85">
        <f t="shared" si="68"/>
        <v>211533.82168794633</v>
      </c>
      <c r="F107" s="85">
        <f t="shared" si="68"/>
        <v>222318.35637418838</v>
      </c>
      <c r="G107" s="85">
        <f t="shared" si="68"/>
        <v>281231.70334491465</v>
      </c>
      <c r="H107" s="85">
        <f t="shared" si="68"/>
        <v>348579.15313087753</v>
      </c>
      <c r="I107" s="85">
        <f t="shared" si="68"/>
        <v>294569.45420123631</v>
      </c>
      <c r="J107" s="85">
        <f t="shared" si="68"/>
        <v>243185.86653524454</v>
      </c>
      <c r="K107" s="85">
        <f t="shared" si="68"/>
        <v>227347.42760388387</v>
      </c>
      <c r="L107" s="85">
        <f t="shared" si="68"/>
        <v>236288.07760175344</v>
      </c>
      <c r="M107" s="85">
        <f t="shared" si="68"/>
        <v>215783.35660862364</v>
      </c>
      <c r="N107" s="85">
        <f t="shared" si="68"/>
        <v>209156.63356923495</v>
      </c>
      <c r="O107" s="85">
        <f t="shared" si="68"/>
        <v>196833.5489589147</v>
      </c>
      <c r="P107" s="85">
        <f t="shared" si="68"/>
        <v>184554.53949996753</v>
      </c>
      <c r="Q107" s="85">
        <f t="shared" si="68"/>
        <v>181556.00903508405</v>
      </c>
      <c r="R107" s="85">
        <f t="shared" si="68"/>
        <v>181217.70599589188</v>
      </c>
      <c r="S107" s="85">
        <f t="shared" si="68"/>
        <v>185063.75655932393</v>
      </c>
      <c r="T107" s="85">
        <f t="shared" si="68"/>
        <v>184230.99841750055</v>
      </c>
      <c r="U107" s="85">
        <f t="shared" si="68"/>
        <v>180409.86400715515</v>
      </c>
      <c r="V107" s="85">
        <f t="shared" si="68"/>
        <v>164632.9821246627</v>
      </c>
      <c r="W107" s="85">
        <f t="shared" si="68"/>
        <v>181505.41423321495</v>
      </c>
      <c r="DA107" s="117"/>
    </row>
    <row r="108" spans="1:105" ht="12" customHeight="1" x14ac:dyDescent="0.25">
      <c r="A108" s="61" t="s">
        <v>32</v>
      </c>
      <c r="B108" s="65">
        <v>187224.99207828095</v>
      </c>
      <c r="C108" s="65">
        <v>226740.35252401605</v>
      </c>
      <c r="D108" s="65">
        <v>86844.775477725925</v>
      </c>
      <c r="E108" s="65">
        <v>151969.118889851</v>
      </c>
      <c r="F108" s="65">
        <v>156701.25326395014</v>
      </c>
      <c r="G108" s="65">
        <v>214156.92206827167</v>
      </c>
      <c r="H108" s="65">
        <v>279458.5155536625</v>
      </c>
      <c r="I108" s="65">
        <v>223384.66342694886</v>
      </c>
      <c r="J108" s="65">
        <v>170586.83932609542</v>
      </c>
      <c r="K108" s="65">
        <v>154605.76482862624</v>
      </c>
      <c r="L108" s="65">
        <v>163399.63814483827</v>
      </c>
      <c r="M108" s="65">
        <v>142176.9421753498</v>
      </c>
      <c r="N108" s="65">
        <v>133207.438040596</v>
      </c>
      <c r="O108" s="65">
        <v>120151.7467486658</v>
      </c>
      <c r="P108" s="65">
        <v>107135.31229820511</v>
      </c>
      <c r="Q108" s="65">
        <v>102018.60495293458</v>
      </c>
      <c r="R108" s="65">
        <v>103679.64779483984</v>
      </c>
      <c r="S108" s="65">
        <v>108194.30947274718</v>
      </c>
      <c r="T108" s="65">
        <v>107904.57046980574</v>
      </c>
      <c r="U108" s="65">
        <v>104524.13593781361</v>
      </c>
      <c r="V108" s="65">
        <v>94413.721527710877</v>
      </c>
      <c r="W108" s="65">
        <v>105028.05354586798</v>
      </c>
      <c r="DA108" s="109"/>
    </row>
    <row r="109" spans="1:105" ht="12" customHeight="1" x14ac:dyDescent="0.25">
      <c r="A109" s="61" t="s">
        <v>31</v>
      </c>
      <c r="B109" s="65">
        <v>26.739996649054966</v>
      </c>
      <c r="C109" s="65">
        <v>334.98433193693512</v>
      </c>
      <c r="D109" s="65">
        <v>685.51630519357298</v>
      </c>
      <c r="E109" s="65">
        <v>959.70229544117456</v>
      </c>
      <c r="F109" s="65">
        <v>1114.4709252169832</v>
      </c>
      <c r="G109" s="65">
        <v>1313.3914890242322</v>
      </c>
      <c r="H109" s="65">
        <v>1704.6706292560534</v>
      </c>
      <c r="I109" s="65">
        <v>2699.9326031497894</v>
      </c>
      <c r="J109" s="65">
        <v>2485.2135190911008</v>
      </c>
      <c r="K109" s="65">
        <v>2641.4654752102142</v>
      </c>
      <c r="L109" s="65">
        <v>3315.2870872754538</v>
      </c>
      <c r="M109" s="65">
        <v>3092.5897602503023</v>
      </c>
      <c r="N109" s="65">
        <v>5092.0564738038138</v>
      </c>
      <c r="O109" s="65">
        <v>3596.5542697628639</v>
      </c>
      <c r="P109" s="65">
        <v>3545.1948409613406</v>
      </c>
      <c r="Q109" s="65">
        <v>4735.1852391869143</v>
      </c>
      <c r="R109" s="65">
        <v>4010.0612528132365</v>
      </c>
      <c r="S109" s="65">
        <v>4321.8741588127314</v>
      </c>
      <c r="T109" s="65">
        <v>3810.5422562761623</v>
      </c>
      <c r="U109" s="65">
        <v>4343.3718031620601</v>
      </c>
      <c r="V109" s="65">
        <v>3925.9646188750244</v>
      </c>
      <c r="W109" s="65">
        <v>4557.6523301491434</v>
      </c>
      <c r="DA109" s="109"/>
    </row>
    <row r="110" spans="1:105" ht="12" customHeight="1" x14ac:dyDescent="0.25">
      <c r="A110" s="61" t="s">
        <v>35</v>
      </c>
      <c r="B110" s="65">
        <v>20921.159670432924</v>
      </c>
      <c r="C110" s="65">
        <v>22846.967825024214</v>
      </c>
      <c r="D110" s="65">
        <v>11277.635429380842</v>
      </c>
      <c r="E110" s="65">
        <v>24211.415282768994</v>
      </c>
      <c r="F110" s="65">
        <v>28131.388768663921</v>
      </c>
      <c r="G110" s="65">
        <v>27988.069342501232</v>
      </c>
      <c r="H110" s="65">
        <v>28760.780269263094</v>
      </c>
      <c r="I110" s="65">
        <v>29392.304338729904</v>
      </c>
      <c r="J110" s="65">
        <v>28965.114818891321</v>
      </c>
      <c r="K110" s="65">
        <v>28863.036681192076</v>
      </c>
      <c r="L110" s="65">
        <v>27956.481441344298</v>
      </c>
      <c r="M110" s="65">
        <v>29005.149762690198</v>
      </c>
      <c r="N110" s="65">
        <v>28849.326883020865</v>
      </c>
      <c r="O110" s="65">
        <v>29481.309673150878</v>
      </c>
      <c r="P110" s="65">
        <v>29869.572455549012</v>
      </c>
      <c r="Q110" s="65">
        <v>30470.996036657212</v>
      </c>
      <c r="R110" s="65">
        <v>30534.947725579983</v>
      </c>
      <c r="S110" s="65">
        <v>30686.444514412549</v>
      </c>
      <c r="T110" s="65">
        <v>30133.524126405988</v>
      </c>
      <c r="U110" s="65">
        <v>28960.942683186426</v>
      </c>
      <c r="V110" s="65">
        <v>27576.396501534087</v>
      </c>
      <c r="W110" s="65">
        <v>30640.224484022096</v>
      </c>
      <c r="DA110" s="109"/>
    </row>
    <row r="111" spans="1:105" ht="12" customHeight="1" x14ac:dyDescent="0.25">
      <c r="A111" s="74" t="s">
        <v>34</v>
      </c>
      <c r="B111" s="68">
        <v>35969.170699493545</v>
      </c>
      <c r="C111" s="68">
        <v>34813.496068687607</v>
      </c>
      <c r="D111" s="68">
        <v>26422.306516917328</v>
      </c>
      <c r="E111" s="68">
        <v>34393.585219885164</v>
      </c>
      <c r="F111" s="68">
        <v>36371.243416357363</v>
      </c>
      <c r="G111" s="68">
        <v>37773.320445117497</v>
      </c>
      <c r="H111" s="68">
        <v>38655.186678695907</v>
      </c>
      <c r="I111" s="68">
        <v>39092.553832407757</v>
      </c>
      <c r="J111" s="68">
        <v>41148.698871166715</v>
      </c>
      <c r="K111" s="68">
        <v>41237.160618855327</v>
      </c>
      <c r="L111" s="68">
        <v>41616.670928295403</v>
      </c>
      <c r="M111" s="68">
        <v>41508.674910333357</v>
      </c>
      <c r="N111" s="68">
        <v>42007.812171814257</v>
      </c>
      <c r="O111" s="68">
        <v>43603.938267335165</v>
      </c>
      <c r="P111" s="68">
        <v>44004.459905252064</v>
      </c>
      <c r="Q111" s="68">
        <v>44331.222806305334</v>
      </c>
      <c r="R111" s="68">
        <v>42993.049222658832</v>
      </c>
      <c r="S111" s="68">
        <v>41861.1284133515</v>
      </c>
      <c r="T111" s="68">
        <v>42382.361565012667</v>
      </c>
      <c r="U111" s="68">
        <v>42581.41358299306</v>
      </c>
      <c r="V111" s="68">
        <v>38716.899476542727</v>
      </c>
      <c r="W111" s="68">
        <v>41279.483873175719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26477.770907695511</v>
      </c>
      <c r="C113" s="82">
        <f t="shared" ref="C113:W113" si="70">C81*1000000/C$8</f>
        <v>46055.457702557876</v>
      </c>
      <c r="D113" s="82">
        <f t="shared" si="70"/>
        <v>25755.632012833197</v>
      </c>
      <c r="E113" s="82">
        <f t="shared" si="70"/>
        <v>47306.521804371056</v>
      </c>
      <c r="F113" s="82">
        <f t="shared" si="70"/>
        <v>71381.17498949726</v>
      </c>
      <c r="G113" s="82">
        <f t="shared" si="70"/>
        <v>71068.273261308306</v>
      </c>
      <c r="H113" s="82">
        <f t="shared" si="70"/>
        <v>93518.418809820476</v>
      </c>
      <c r="I113" s="82">
        <f t="shared" si="70"/>
        <v>77166.591934540382</v>
      </c>
      <c r="J113" s="82">
        <f t="shared" si="70"/>
        <v>53662.837781508941</v>
      </c>
      <c r="K113" s="82">
        <f t="shared" si="70"/>
        <v>48921.49467365921</v>
      </c>
      <c r="L113" s="82">
        <f t="shared" si="70"/>
        <v>48024.677976647676</v>
      </c>
      <c r="M113" s="82">
        <f t="shared" si="70"/>
        <v>44956.844928681094</v>
      </c>
      <c r="N113" s="82">
        <f t="shared" si="70"/>
        <v>42695.858601286571</v>
      </c>
      <c r="O113" s="82">
        <f t="shared" si="70"/>
        <v>39793.079697218825</v>
      </c>
      <c r="P113" s="82">
        <f t="shared" si="70"/>
        <v>38042.893018261042</v>
      </c>
      <c r="Q113" s="82">
        <f t="shared" si="70"/>
        <v>36069.91211318659</v>
      </c>
      <c r="R113" s="82">
        <f t="shared" si="70"/>
        <v>35123.596156757332</v>
      </c>
      <c r="S113" s="82">
        <f t="shared" si="70"/>
        <v>38417.88753713444</v>
      </c>
      <c r="T113" s="82">
        <f t="shared" si="70"/>
        <v>38080.241437961966</v>
      </c>
      <c r="U113" s="82">
        <f t="shared" si="70"/>
        <v>37181.066362237689</v>
      </c>
      <c r="V113" s="82">
        <f t="shared" si="70"/>
        <v>34196.384260065148</v>
      </c>
      <c r="W113" s="82">
        <f t="shared" si="70"/>
        <v>38868.156929986857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26477.770907695511</v>
      </c>
      <c r="C114" s="64">
        <f t="shared" ref="C114:W114" si="72">C82*1000000/C$8</f>
        <v>46055.457702557876</v>
      </c>
      <c r="D114" s="64">
        <f t="shared" si="72"/>
        <v>25755.632012833197</v>
      </c>
      <c r="E114" s="64">
        <f t="shared" si="72"/>
        <v>47306.521804371056</v>
      </c>
      <c r="F114" s="64">
        <f t="shared" si="72"/>
        <v>71381.17498949726</v>
      </c>
      <c r="G114" s="64">
        <f t="shared" si="72"/>
        <v>71068.273261308306</v>
      </c>
      <c r="H114" s="64">
        <f t="shared" si="72"/>
        <v>93518.418809820476</v>
      </c>
      <c r="I114" s="64">
        <f t="shared" si="72"/>
        <v>77166.591934540382</v>
      </c>
      <c r="J114" s="64">
        <f t="shared" si="72"/>
        <v>53662.837781508941</v>
      </c>
      <c r="K114" s="64">
        <f t="shared" si="72"/>
        <v>48921.49467365921</v>
      </c>
      <c r="L114" s="64">
        <f t="shared" si="72"/>
        <v>48024.677976647676</v>
      </c>
      <c r="M114" s="64">
        <f t="shared" si="72"/>
        <v>44956.844928681094</v>
      </c>
      <c r="N114" s="64">
        <f t="shared" si="72"/>
        <v>42695.858601286571</v>
      </c>
      <c r="O114" s="64">
        <f t="shared" si="72"/>
        <v>39793.079697218825</v>
      </c>
      <c r="P114" s="64">
        <f t="shared" si="72"/>
        <v>38042.893018261042</v>
      </c>
      <c r="Q114" s="64">
        <f t="shared" si="72"/>
        <v>36069.91211318659</v>
      </c>
      <c r="R114" s="64">
        <f t="shared" si="72"/>
        <v>35123.596156757332</v>
      </c>
      <c r="S114" s="64">
        <f t="shared" si="72"/>
        <v>38417.88753713444</v>
      </c>
      <c r="T114" s="64">
        <f t="shared" si="72"/>
        <v>38080.241437961966</v>
      </c>
      <c r="U114" s="64">
        <f t="shared" si="72"/>
        <v>37181.066362237689</v>
      </c>
      <c r="V114" s="64">
        <f t="shared" si="72"/>
        <v>34196.384260065148</v>
      </c>
      <c r="W114" s="64">
        <f t="shared" si="72"/>
        <v>38868.156929986857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20772.579603000111</v>
      </c>
      <c r="C115" s="65">
        <f t="shared" ref="C115:W115" si="74">C83*1000000/C$8</f>
        <v>40642.765398807853</v>
      </c>
      <c r="D115" s="65">
        <f t="shared" si="74"/>
        <v>20446.970818643382</v>
      </c>
      <c r="E115" s="65">
        <f t="shared" si="74"/>
        <v>36389.367180489658</v>
      </c>
      <c r="F115" s="65">
        <f t="shared" si="74"/>
        <v>53051.820446691425</v>
      </c>
      <c r="G115" s="65">
        <f t="shared" si="74"/>
        <v>53463.43652134882</v>
      </c>
      <c r="H115" s="65">
        <f t="shared" si="74"/>
        <v>77355.486951200073</v>
      </c>
      <c r="I115" s="65">
        <f t="shared" si="74"/>
        <v>60325.604863576744</v>
      </c>
      <c r="J115" s="65">
        <f t="shared" si="74"/>
        <v>41943.125943341605</v>
      </c>
      <c r="K115" s="65">
        <f t="shared" si="74"/>
        <v>36591.490013695409</v>
      </c>
      <c r="L115" s="65">
        <f t="shared" si="74"/>
        <v>35926.102602271691</v>
      </c>
      <c r="M115" s="65">
        <f t="shared" si="74"/>
        <v>34197.914768085888</v>
      </c>
      <c r="N115" s="65">
        <f t="shared" si="74"/>
        <v>32035.222784661913</v>
      </c>
      <c r="O115" s="65">
        <f t="shared" si="74"/>
        <v>28816.943299801136</v>
      </c>
      <c r="P115" s="65">
        <f t="shared" si="74"/>
        <v>26786.064563958345</v>
      </c>
      <c r="Q115" s="65">
        <f t="shared" si="74"/>
        <v>24172.600544535806</v>
      </c>
      <c r="R115" s="65">
        <f t="shared" si="74"/>
        <v>23514.448646036326</v>
      </c>
      <c r="S115" s="65">
        <f t="shared" si="74"/>
        <v>25966.01186157835</v>
      </c>
      <c r="T115" s="65">
        <f t="shared" si="74"/>
        <v>25953.44563568481</v>
      </c>
      <c r="U115" s="65">
        <f t="shared" si="74"/>
        <v>25320.998249973916</v>
      </c>
      <c r="V115" s="65">
        <f t="shared" si="74"/>
        <v>23015.424934397732</v>
      </c>
      <c r="W115" s="65">
        <f t="shared" si="74"/>
        <v>26819.687063234855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1426.4200373492895</v>
      </c>
      <c r="C117" s="65">
        <f t="shared" ref="C117:W117" si="78">C85*1000000/C$8</f>
        <v>1495.9669179296175</v>
      </c>
      <c r="D117" s="65">
        <f t="shared" si="78"/>
        <v>2717.5631734176081</v>
      </c>
      <c r="E117" s="65">
        <f t="shared" si="78"/>
        <v>4397.4747936702543</v>
      </c>
      <c r="F117" s="65">
        <f t="shared" si="78"/>
        <v>6471.1950580026651</v>
      </c>
      <c r="G117" s="65">
        <f t="shared" si="78"/>
        <v>6086.6721069083105</v>
      </c>
      <c r="H117" s="65">
        <f t="shared" si="78"/>
        <v>5843.3692170479899</v>
      </c>
      <c r="I117" s="65">
        <f t="shared" si="78"/>
        <v>5048.9566624587997</v>
      </c>
      <c r="J117" s="65">
        <f t="shared" si="78"/>
        <v>4345.791743335818</v>
      </c>
      <c r="K117" s="65">
        <f t="shared" si="78"/>
        <v>5767.088774540377</v>
      </c>
      <c r="L117" s="65">
        <f t="shared" si="78"/>
        <v>5541.9481877090502</v>
      </c>
      <c r="M117" s="65">
        <f t="shared" si="78"/>
        <v>4948.359971641933</v>
      </c>
      <c r="N117" s="65">
        <f t="shared" si="78"/>
        <v>5013.4937179224416</v>
      </c>
      <c r="O117" s="65">
        <f t="shared" si="78"/>
        <v>5421.324195500416</v>
      </c>
      <c r="P117" s="65">
        <f t="shared" si="78"/>
        <v>5711.8902393242051</v>
      </c>
      <c r="Q117" s="65">
        <f t="shared" si="78"/>
        <v>5895.0538728854663</v>
      </c>
      <c r="R117" s="65">
        <f t="shared" si="78"/>
        <v>5888.4085195811722</v>
      </c>
      <c r="S117" s="65">
        <f t="shared" si="78"/>
        <v>6443.0625943825817</v>
      </c>
      <c r="T117" s="65">
        <f t="shared" si="78"/>
        <v>6286.3685721492566</v>
      </c>
      <c r="U117" s="65">
        <f t="shared" si="78"/>
        <v>6055.1652132335139</v>
      </c>
      <c r="V117" s="65">
        <f t="shared" si="78"/>
        <v>5757.1767873079652</v>
      </c>
      <c r="W117" s="65">
        <f t="shared" si="78"/>
        <v>6596.2153176921238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4278.7712673461128</v>
      </c>
      <c r="C118" s="67">
        <f t="shared" ref="C118:W118" si="80">C86*1000000/C$8</f>
        <v>3916.725385820404</v>
      </c>
      <c r="D118" s="67">
        <f t="shared" si="80"/>
        <v>2591.098020772205</v>
      </c>
      <c r="E118" s="67">
        <f t="shared" si="80"/>
        <v>6519.6798302111465</v>
      </c>
      <c r="F118" s="67">
        <f t="shared" si="80"/>
        <v>11858.159484803171</v>
      </c>
      <c r="G118" s="67">
        <f t="shared" si="80"/>
        <v>11518.164633051179</v>
      </c>
      <c r="H118" s="67">
        <f t="shared" si="80"/>
        <v>10319.562641572413</v>
      </c>
      <c r="I118" s="67">
        <f t="shared" si="80"/>
        <v>11792.030408504839</v>
      </c>
      <c r="J118" s="67">
        <f t="shared" si="80"/>
        <v>7373.9200948315156</v>
      </c>
      <c r="K118" s="67">
        <f t="shared" si="80"/>
        <v>6562.915885423432</v>
      </c>
      <c r="L118" s="67">
        <f t="shared" si="80"/>
        <v>6556.6271866669367</v>
      </c>
      <c r="M118" s="67">
        <f t="shared" si="80"/>
        <v>5810.5701889532675</v>
      </c>
      <c r="N118" s="67">
        <f t="shared" si="80"/>
        <v>5647.1420987022129</v>
      </c>
      <c r="O118" s="67">
        <f t="shared" si="80"/>
        <v>5554.8122019172761</v>
      </c>
      <c r="P118" s="67">
        <f t="shared" si="80"/>
        <v>5544.9382149784906</v>
      </c>
      <c r="Q118" s="67">
        <f t="shared" si="80"/>
        <v>6002.2576957653118</v>
      </c>
      <c r="R118" s="67">
        <f t="shared" si="80"/>
        <v>5720.7389911398268</v>
      </c>
      <c r="S118" s="67">
        <f t="shared" si="80"/>
        <v>6008.8130811735091</v>
      </c>
      <c r="T118" s="67">
        <f t="shared" si="80"/>
        <v>5840.4272301278934</v>
      </c>
      <c r="U118" s="67">
        <f t="shared" si="80"/>
        <v>5804.9028990302568</v>
      </c>
      <c r="V118" s="67">
        <f t="shared" si="80"/>
        <v>5423.78253835945</v>
      </c>
      <c r="W118" s="67">
        <f t="shared" si="80"/>
        <v>5452.2545490598714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0.64771555235237166</v>
      </c>
      <c r="C121" s="86">
        <f t="shared" ref="C121:W121" si="84">IF(C107=0,"",C107/C100)</f>
        <v>0.59991832073745244</v>
      </c>
      <c r="D121" s="86">
        <f t="shared" si="84"/>
        <v>0.58688546396425101</v>
      </c>
      <c r="E121" s="86">
        <f t="shared" si="84"/>
        <v>0.58567353386014454</v>
      </c>
      <c r="F121" s="86">
        <f t="shared" si="84"/>
        <v>0.56135938771595906</v>
      </c>
      <c r="G121" s="86">
        <f t="shared" si="84"/>
        <v>0.59120881139458126</v>
      </c>
      <c r="H121" s="86">
        <f t="shared" si="84"/>
        <v>0.59398769593612388</v>
      </c>
      <c r="I121" s="86">
        <f t="shared" si="84"/>
        <v>0.5975999304920645</v>
      </c>
      <c r="J121" s="86">
        <f t="shared" si="84"/>
        <v>0.61813158792350653</v>
      </c>
      <c r="K121" s="86">
        <f t="shared" si="84"/>
        <v>0.62926509482810356</v>
      </c>
      <c r="L121" s="86">
        <f t="shared" si="84"/>
        <v>0.63874374124713973</v>
      </c>
      <c r="M121" s="86">
        <f t="shared" si="84"/>
        <v>0.64587036763932204</v>
      </c>
      <c r="N121" s="86">
        <f t="shared" si="84"/>
        <v>0.65947361710738661</v>
      </c>
      <c r="O121" s="86">
        <f t="shared" si="84"/>
        <v>0.66757942587574015</v>
      </c>
      <c r="P121" s="86">
        <f t="shared" si="84"/>
        <v>0.67137934393666043</v>
      </c>
      <c r="Q121" s="86">
        <f t="shared" si="84"/>
        <v>0.67702212580707744</v>
      </c>
      <c r="R121" s="86">
        <f t="shared" si="84"/>
        <v>0.68333491115258604</v>
      </c>
      <c r="S121" s="86">
        <f t="shared" si="84"/>
        <v>0.69215536400651001</v>
      </c>
      <c r="T121" s="86">
        <f t="shared" si="84"/>
        <v>0.70230850985413884</v>
      </c>
      <c r="U121" s="86">
        <f t="shared" si="84"/>
        <v>0.71312992917290774</v>
      </c>
      <c r="V121" s="86">
        <f t="shared" si="84"/>
        <v>0.72211646410263919</v>
      </c>
      <c r="W121" s="86">
        <f t="shared" si="84"/>
        <v>0.72890830947246987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0.6409120538309423</v>
      </c>
      <c r="C122" s="75">
        <f t="shared" ref="C122:W122" si="86">IF(C108=0,"",C108/C101)</f>
        <v>0.58426156808811414</v>
      </c>
      <c r="D122" s="75">
        <f t="shared" si="86"/>
        <v>0.55764785747051793</v>
      </c>
      <c r="E122" s="75">
        <f t="shared" si="86"/>
        <v>0.56816494712963772</v>
      </c>
      <c r="F122" s="75">
        <f t="shared" si="86"/>
        <v>0.54653641199376313</v>
      </c>
      <c r="G122" s="75">
        <f t="shared" si="86"/>
        <v>0.58463059723041111</v>
      </c>
      <c r="H122" s="75">
        <f t="shared" si="86"/>
        <v>0.58620708855273884</v>
      </c>
      <c r="I122" s="75">
        <f t="shared" si="86"/>
        <v>0.58726132502415418</v>
      </c>
      <c r="J122" s="75">
        <f t="shared" si="86"/>
        <v>0.59874348149291479</v>
      </c>
      <c r="K122" s="75">
        <f t="shared" si="86"/>
        <v>0.60993623231158889</v>
      </c>
      <c r="L122" s="75">
        <f t="shared" si="86"/>
        <v>0.61990889657760273</v>
      </c>
      <c r="M122" s="75">
        <f t="shared" si="86"/>
        <v>0.62307121609198246</v>
      </c>
      <c r="N122" s="75">
        <f t="shared" si="86"/>
        <v>0.63141802390686186</v>
      </c>
      <c r="O122" s="75">
        <f t="shared" si="86"/>
        <v>0.64233695161622106</v>
      </c>
      <c r="P122" s="75">
        <f t="shared" si="86"/>
        <v>0.64314588778045512</v>
      </c>
      <c r="Q122" s="75">
        <f t="shared" si="86"/>
        <v>0.64336859347259545</v>
      </c>
      <c r="R122" s="75">
        <f t="shared" si="86"/>
        <v>0.65226029873476443</v>
      </c>
      <c r="S122" s="75">
        <f t="shared" si="86"/>
        <v>0.66362102105939547</v>
      </c>
      <c r="T122" s="75">
        <f t="shared" si="86"/>
        <v>0.67481931053741206</v>
      </c>
      <c r="U122" s="75">
        <f t="shared" si="86"/>
        <v>0.68185158142890334</v>
      </c>
      <c r="V122" s="75">
        <f t="shared" si="86"/>
        <v>0.69081896051775915</v>
      </c>
      <c r="W122" s="75">
        <f t="shared" si="86"/>
        <v>0.69401527955515119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1.6562774235307807</v>
      </c>
      <c r="C123" s="76">
        <f t="shared" ref="C123:W123" si="88">IF(C109=0,"",C109/C102)</f>
        <v>2.0628202841053089</v>
      </c>
      <c r="D123" s="76">
        <f t="shared" si="88"/>
        <v>2.1179715628225861</v>
      </c>
      <c r="E123" s="76">
        <f t="shared" si="88"/>
        <v>2.1537156496670447</v>
      </c>
      <c r="F123" s="76">
        <f t="shared" si="88"/>
        <v>2.1941337833279264</v>
      </c>
      <c r="G123" s="76">
        <f t="shared" si="88"/>
        <v>2.2285957315078968</v>
      </c>
      <c r="H123" s="76">
        <f t="shared" si="88"/>
        <v>2.2733244891456201</v>
      </c>
      <c r="I123" s="76">
        <f t="shared" si="88"/>
        <v>2.3179386836328408</v>
      </c>
      <c r="J123" s="76">
        <f t="shared" si="88"/>
        <v>2.3662808040453309</v>
      </c>
      <c r="K123" s="76">
        <f t="shared" si="88"/>
        <v>2.413739089772712</v>
      </c>
      <c r="L123" s="76">
        <f t="shared" si="88"/>
        <v>2.4659009954411126</v>
      </c>
      <c r="M123" s="76">
        <f t="shared" si="88"/>
        <v>2.5392882923853146</v>
      </c>
      <c r="N123" s="76">
        <f t="shared" si="88"/>
        <v>2.6136668749131724</v>
      </c>
      <c r="O123" s="76">
        <f t="shared" si="88"/>
        <v>2.6875905570202749</v>
      </c>
      <c r="P123" s="76">
        <f t="shared" si="88"/>
        <v>2.7738748753614315</v>
      </c>
      <c r="Q123" s="76">
        <f t="shared" si="88"/>
        <v>2.8586077118449515</v>
      </c>
      <c r="R123" s="76">
        <f t="shared" si="88"/>
        <v>2.9379438010953054</v>
      </c>
      <c r="S123" s="76">
        <f t="shared" si="88"/>
        <v>3.0224889208229402</v>
      </c>
      <c r="T123" s="76">
        <f t="shared" si="88"/>
        <v>3.1047096120447066</v>
      </c>
      <c r="U123" s="76">
        <f t="shared" si="88"/>
        <v>3.1850245913256616</v>
      </c>
      <c r="V123" s="76">
        <f t="shared" si="88"/>
        <v>3.2549897944030914</v>
      </c>
      <c r="W123" s="76">
        <f t="shared" si="88"/>
        <v>3.3329195590179377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0.60760453490996302</v>
      </c>
      <c r="C124" s="76">
        <f t="shared" ref="C124:W124" si="90">IF(C110=0,"",C110/C103)</f>
        <v>0.60260535005130522</v>
      </c>
      <c r="D124" s="76">
        <f t="shared" si="90"/>
        <v>0.53723366108181081</v>
      </c>
      <c r="E124" s="76">
        <f t="shared" si="90"/>
        <v>0.56817237456433489</v>
      </c>
      <c r="F124" s="76">
        <f t="shared" si="90"/>
        <v>0.56315217416781194</v>
      </c>
      <c r="G124" s="76">
        <f t="shared" si="90"/>
        <v>0.5753186854263862</v>
      </c>
      <c r="H124" s="76">
        <f t="shared" si="90"/>
        <v>0.58455123106202478</v>
      </c>
      <c r="I124" s="76">
        <f t="shared" si="90"/>
        <v>0.59443342846687597</v>
      </c>
      <c r="J124" s="76">
        <f t="shared" si="90"/>
        <v>0.60491923328923614</v>
      </c>
      <c r="K124" s="76">
        <f t="shared" si="90"/>
        <v>0.60014500061113174</v>
      </c>
      <c r="L124" s="76">
        <f t="shared" si="90"/>
        <v>0.6070576306986567</v>
      </c>
      <c r="M124" s="76">
        <f t="shared" si="90"/>
        <v>0.6198470225262197</v>
      </c>
      <c r="N124" s="76">
        <f t="shared" si="90"/>
        <v>0.62709784784756673</v>
      </c>
      <c r="O124" s="76">
        <f t="shared" si="90"/>
        <v>0.63425647981775668</v>
      </c>
      <c r="P124" s="76">
        <f t="shared" si="90"/>
        <v>0.63963780848337348</v>
      </c>
      <c r="Q124" s="76">
        <f t="shared" si="90"/>
        <v>0.6511596545479108</v>
      </c>
      <c r="R124" s="76">
        <f t="shared" si="90"/>
        <v>0.66583845381183371</v>
      </c>
      <c r="S124" s="76">
        <f t="shared" si="90"/>
        <v>0.67992793365655135</v>
      </c>
      <c r="T124" s="76">
        <f t="shared" si="90"/>
        <v>0.69543021213357226</v>
      </c>
      <c r="U124" s="76">
        <f t="shared" si="90"/>
        <v>0.71129006339341372</v>
      </c>
      <c r="V124" s="76">
        <f t="shared" si="90"/>
        <v>0.72596549953682954</v>
      </c>
      <c r="W124" s="76">
        <f t="shared" si="90"/>
        <v>0.7358910192801168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0.71428618310235492</v>
      </c>
      <c r="C125" s="56">
        <f t="shared" ref="C125:W125" si="92">IF(C111=0,"",C111/C104)</f>
        <v>0.71827754162122848</v>
      </c>
      <c r="D125" s="56">
        <f t="shared" si="92"/>
        <v>0.72726113330708564</v>
      </c>
      <c r="E125" s="56">
        <f t="shared" si="92"/>
        <v>0.67906502741981634</v>
      </c>
      <c r="F125" s="56">
        <f t="shared" si="92"/>
        <v>0.61795559368513742</v>
      </c>
      <c r="G125" s="56">
        <f t="shared" si="92"/>
        <v>0.62808457071169244</v>
      </c>
      <c r="H125" s="56">
        <f t="shared" si="92"/>
        <v>0.64241981278459515</v>
      </c>
      <c r="I125" s="56">
        <f t="shared" si="92"/>
        <v>0.63127474868383293</v>
      </c>
      <c r="J125" s="56">
        <f t="shared" si="92"/>
        <v>0.69064686749470783</v>
      </c>
      <c r="K125" s="56">
        <f t="shared" si="92"/>
        <v>0.70341738822073208</v>
      </c>
      <c r="L125" s="56">
        <f t="shared" si="92"/>
        <v>0.7060514633145708</v>
      </c>
      <c r="M125" s="56">
        <f t="shared" si="92"/>
        <v>0.71693059483138533</v>
      </c>
      <c r="N125" s="56">
        <f t="shared" si="92"/>
        <v>0.72130457803080616</v>
      </c>
      <c r="O125" s="56">
        <f t="shared" si="92"/>
        <v>0.72706352562659293</v>
      </c>
      <c r="P125" s="56">
        <f t="shared" si="92"/>
        <v>0.72936204274798311</v>
      </c>
      <c r="Q125" s="56">
        <f t="shared" si="92"/>
        <v>0.72498694495945126</v>
      </c>
      <c r="R125" s="56">
        <f t="shared" si="92"/>
        <v>0.72848201039773641</v>
      </c>
      <c r="S125" s="56">
        <f t="shared" si="92"/>
        <v>0.72455384211070017</v>
      </c>
      <c r="T125" s="56">
        <f t="shared" si="92"/>
        <v>0.73246681535290559</v>
      </c>
      <c r="U125" s="56">
        <f t="shared" si="92"/>
        <v>0.73914721589451648</v>
      </c>
      <c r="V125" s="56">
        <f t="shared" si="92"/>
        <v>0.74276287995652535</v>
      </c>
      <c r="W125" s="56">
        <f t="shared" si="92"/>
        <v>0.7550437060411842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486.5337353401228</v>
      </c>
      <c r="C129" s="82">
        <f t="shared" ref="C129:W129" si="94">IF(C99=0,0,C99/C$26)</f>
        <v>594.51520717618359</v>
      </c>
      <c r="D129" s="82">
        <f t="shared" si="94"/>
        <v>303.78216463874645</v>
      </c>
      <c r="E129" s="82">
        <f t="shared" si="94"/>
        <v>470.36837825495473</v>
      </c>
      <c r="F129" s="82">
        <f t="shared" si="94"/>
        <v>510.2462663234619</v>
      </c>
      <c r="G129" s="82">
        <f t="shared" si="94"/>
        <v>601.00048759912511</v>
      </c>
      <c r="H129" s="82">
        <f t="shared" si="94"/>
        <v>727.54530943121631</v>
      </c>
      <c r="I129" s="82">
        <f t="shared" si="94"/>
        <v>628.04614817783454</v>
      </c>
      <c r="J129" s="82">
        <f t="shared" si="94"/>
        <v>520.99851826674046</v>
      </c>
      <c r="K129" s="82">
        <f t="shared" si="94"/>
        <v>487.94321588352676</v>
      </c>
      <c r="L129" s="82">
        <f t="shared" si="94"/>
        <v>497.88650100165319</v>
      </c>
      <c r="M129" s="82">
        <f t="shared" si="94"/>
        <v>457.31324202250255</v>
      </c>
      <c r="N129" s="82">
        <f t="shared" si="94"/>
        <v>438.95408611266896</v>
      </c>
      <c r="O129" s="82">
        <f t="shared" si="94"/>
        <v>413.2991087386215</v>
      </c>
      <c r="P129" s="82">
        <f t="shared" si="94"/>
        <v>391.73888507855355</v>
      </c>
      <c r="Q129" s="82">
        <f t="shared" si="94"/>
        <v>384.82076975553116</v>
      </c>
      <c r="R129" s="82">
        <f t="shared" si="94"/>
        <v>380.90931904868165</v>
      </c>
      <c r="S129" s="82">
        <f t="shared" si="94"/>
        <v>382.43504297183694</v>
      </c>
      <c r="T129" s="82">
        <f t="shared" si="94"/>
        <v>376.09123090233328</v>
      </c>
      <c r="U129" s="82">
        <f t="shared" si="94"/>
        <v>364.456512015854</v>
      </c>
      <c r="V129" s="82">
        <f t="shared" si="94"/>
        <v>335.10920680555364</v>
      </c>
      <c r="W129" s="82">
        <f t="shared" si="94"/>
        <v>358.30526360896738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418.80877691892516</v>
      </c>
      <c r="C130" s="64">
        <f t="shared" ref="C130:W130" si="96">IF(C100=0,0,C100/C$26)</f>
        <v>527.36031057556113</v>
      </c>
      <c r="D130" s="64">
        <f t="shared" si="96"/>
        <v>237.09005025220887</v>
      </c>
      <c r="E130" s="64">
        <f t="shared" si="96"/>
        <v>401.31159436922638</v>
      </c>
      <c r="F130" s="64">
        <f t="shared" si="96"/>
        <v>440.03966331869691</v>
      </c>
      <c r="G130" s="64">
        <f t="shared" si="96"/>
        <v>528.54366234180679</v>
      </c>
      <c r="H130" s="64">
        <f t="shared" si="96"/>
        <v>652.05083000081186</v>
      </c>
      <c r="I130" s="64">
        <f t="shared" si="96"/>
        <v>547.6898119573583</v>
      </c>
      <c r="J130" s="64">
        <f t="shared" si="96"/>
        <v>437.13429899319721</v>
      </c>
      <c r="K130" s="64">
        <f t="shared" si="96"/>
        <v>401.43375974510292</v>
      </c>
      <c r="L130" s="64">
        <f t="shared" si="96"/>
        <v>411.02916786907673</v>
      </c>
      <c r="M130" s="64">
        <f t="shared" si="96"/>
        <v>371.21889644360249</v>
      </c>
      <c r="N130" s="64">
        <f t="shared" si="96"/>
        <v>352.39659857921123</v>
      </c>
      <c r="O130" s="64">
        <f t="shared" si="96"/>
        <v>327.60737495884337</v>
      </c>
      <c r="P130" s="64">
        <f t="shared" si="96"/>
        <v>305.43179693618089</v>
      </c>
      <c r="Q130" s="64">
        <f t="shared" si="96"/>
        <v>297.96500178984599</v>
      </c>
      <c r="R130" s="64">
        <f t="shared" si="96"/>
        <v>294.66225620242125</v>
      </c>
      <c r="S130" s="64">
        <f t="shared" si="96"/>
        <v>297.08127231257373</v>
      </c>
      <c r="T130" s="64">
        <f t="shared" si="96"/>
        <v>291.46892922498171</v>
      </c>
      <c r="U130" s="64">
        <f t="shared" si="96"/>
        <v>281.09240161170067</v>
      </c>
      <c r="V130" s="64">
        <f t="shared" si="96"/>
        <v>253.31860549861278</v>
      </c>
      <c r="W130" s="64">
        <f t="shared" si="96"/>
        <v>276.67771084583438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324.58083403552382</v>
      </c>
      <c r="C131" s="65">
        <f t="shared" ref="C131:W131" si="98">IF(C101=0,0,C101/C$26)</f>
        <v>431.20023425653369</v>
      </c>
      <c r="D131" s="65">
        <f t="shared" si="98"/>
        <v>173.03786553210696</v>
      </c>
      <c r="E131" s="65">
        <f t="shared" si="98"/>
        <v>297.19287928150112</v>
      </c>
      <c r="F131" s="65">
        <f t="shared" si="98"/>
        <v>318.57438920025368</v>
      </c>
      <c r="G131" s="65">
        <f t="shared" si="98"/>
        <v>407.01279878041117</v>
      </c>
      <c r="H131" s="65">
        <f t="shared" si="98"/>
        <v>529.6924376893752</v>
      </c>
      <c r="I131" s="65">
        <f t="shared" si="98"/>
        <v>422.64860805415719</v>
      </c>
      <c r="J131" s="65">
        <f t="shared" si="98"/>
        <v>316.56450290188815</v>
      </c>
      <c r="K131" s="65">
        <f t="shared" si="98"/>
        <v>281.6428571424189</v>
      </c>
      <c r="L131" s="65">
        <f t="shared" si="98"/>
        <v>292.87392792166025</v>
      </c>
      <c r="M131" s="65">
        <f t="shared" si="98"/>
        <v>253.54145098481285</v>
      </c>
      <c r="N131" s="65">
        <f t="shared" si="98"/>
        <v>234.40614440138833</v>
      </c>
      <c r="O131" s="65">
        <f t="shared" si="98"/>
        <v>207.83786530720204</v>
      </c>
      <c r="P131" s="65">
        <f t="shared" si="98"/>
        <v>185.0890103607876</v>
      </c>
      <c r="Q131" s="65">
        <f t="shared" si="98"/>
        <v>176.18827939895235</v>
      </c>
      <c r="R131" s="65">
        <f t="shared" si="98"/>
        <v>176.61600573328474</v>
      </c>
      <c r="S131" s="65">
        <f t="shared" si="98"/>
        <v>181.15143372380297</v>
      </c>
      <c r="T131" s="65">
        <f t="shared" si="98"/>
        <v>177.66825180683102</v>
      </c>
      <c r="U131" s="65">
        <f t="shared" si="98"/>
        <v>170.3272852669956</v>
      </c>
      <c r="V131" s="65">
        <f t="shared" si="98"/>
        <v>151.85474201832224</v>
      </c>
      <c r="W131" s="65">
        <f t="shared" si="98"/>
        <v>168.1488012021687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1.7938484800753975E-2</v>
      </c>
      <c r="C132" s="65">
        <f t="shared" ref="C132:W132" si="100">IF(C102=0,0,C102/C$26)</f>
        <v>0.18043492015820217</v>
      </c>
      <c r="D132" s="65">
        <f t="shared" si="100"/>
        <v>0.35962937223450231</v>
      </c>
      <c r="E132" s="65">
        <f t="shared" si="100"/>
        <v>0.49511451708510279</v>
      </c>
      <c r="F132" s="65">
        <f t="shared" si="100"/>
        <v>0.56436897213290804</v>
      </c>
      <c r="G132" s="65">
        <f t="shared" si="100"/>
        <v>0.65481767557106185</v>
      </c>
      <c r="H132" s="65">
        <f t="shared" si="100"/>
        <v>0.83317559195564672</v>
      </c>
      <c r="I132" s="65">
        <f t="shared" si="100"/>
        <v>1.2942210834969881</v>
      </c>
      <c r="J132" s="65">
        <f t="shared" si="100"/>
        <v>1.1669571717037721</v>
      </c>
      <c r="K132" s="65">
        <f t="shared" si="100"/>
        <v>1.2159398882663948</v>
      </c>
      <c r="L132" s="65">
        <f t="shared" si="100"/>
        <v>1.4938362594464174</v>
      </c>
      <c r="M132" s="65">
        <f t="shared" si="100"/>
        <v>1.353218086747727</v>
      </c>
      <c r="N132" s="65">
        <f t="shared" si="100"/>
        <v>2.1647137134247991</v>
      </c>
      <c r="O132" s="65">
        <f t="shared" si="100"/>
        <v>1.4868973997580093</v>
      </c>
      <c r="P132" s="65">
        <f t="shared" si="100"/>
        <v>1.4200732029532064</v>
      </c>
      <c r="Q132" s="65">
        <f t="shared" si="100"/>
        <v>1.8405172947057642</v>
      </c>
      <c r="R132" s="65">
        <f t="shared" si="100"/>
        <v>1.5165789122909064</v>
      </c>
      <c r="S132" s="65">
        <f t="shared" si="100"/>
        <v>1.5887841194710943</v>
      </c>
      <c r="T132" s="65">
        <f t="shared" si="100"/>
        <v>1.3637139601981816</v>
      </c>
      <c r="U132" s="65">
        <f t="shared" si="100"/>
        <v>1.5152060939571634</v>
      </c>
      <c r="V132" s="65">
        <f t="shared" si="100"/>
        <v>1.3401525612651224</v>
      </c>
      <c r="W132" s="65">
        <f t="shared" si="100"/>
        <v>1.5194060507425842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38.25799781200174</v>
      </c>
      <c r="C133" s="65">
        <f t="shared" ref="C133:W133" si="102">IF(C103=0,0,C103/C$26)</f>
        <v>42.126276846730889</v>
      </c>
      <c r="D133" s="65">
        <f t="shared" si="102"/>
        <v>23.324499078134242</v>
      </c>
      <c r="E133" s="65">
        <f t="shared" si="102"/>
        <v>47.347554616744027</v>
      </c>
      <c r="F133" s="65">
        <f t="shared" si="102"/>
        <v>55.503823061747781</v>
      </c>
      <c r="G133" s="65">
        <f t="shared" si="102"/>
        <v>54.053267541543164</v>
      </c>
      <c r="H133" s="65">
        <f t="shared" si="102"/>
        <v>54.668300780659287</v>
      </c>
      <c r="I133" s="65">
        <f t="shared" si="102"/>
        <v>54.939904736097709</v>
      </c>
      <c r="J133" s="65">
        <f t="shared" si="102"/>
        <v>53.202905675328459</v>
      </c>
      <c r="K133" s="65">
        <f t="shared" si="102"/>
        <v>53.437153894846993</v>
      </c>
      <c r="L133" s="65">
        <f t="shared" si="102"/>
        <v>51.16937105509966</v>
      </c>
      <c r="M133" s="65">
        <f t="shared" si="102"/>
        <v>51.993383866587237</v>
      </c>
      <c r="N133" s="65">
        <f t="shared" si="102"/>
        <v>51.116118095166485</v>
      </c>
      <c r="O133" s="65">
        <f t="shared" si="102"/>
        <v>51.646316262086309</v>
      </c>
      <c r="P133" s="65">
        <f t="shared" si="102"/>
        <v>51.886260316898685</v>
      </c>
      <c r="Q133" s="65">
        <f t="shared" si="102"/>
        <v>51.994410320858364</v>
      </c>
      <c r="R133" s="65">
        <f t="shared" si="102"/>
        <v>50.954881774786863</v>
      </c>
      <c r="S133" s="65">
        <f t="shared" si="102"/>
        <v>50.146563735210741</v>
      </c>
      <c r="T133" s="65">
        <f t="shared" si="102"/>
        <v>48.1452960909808</v>
      </c>
      <c r="U133" s="65">
        <f t="shared" si="102"/>
        <v>45.240088199773432</v>
      </c>
      <c r="V133" s="65">
        <f t="shared" si="102"/>
        <v>42.20646928374542</v>
      </c>
      <c r="W133" s="65">
        <f t="shared" si="102"/>
        <v>46.263227813868127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55.952006586598841</v>
      </c>
      <c r="C134" s="67">
        <f t="shared" ref="C134:W134" si="104">IF(C104=0,0,C104/C$26)</f>
        <v>53.853364552138416</v>
      </c>
      <c r="D134" s="67">
        <f t="shared" si="104"/>
        <v>40.368056269733188</v>
      </c>
      <c r="E134" s="67">
        <f t="shared" si="104"/>
        <v>56.276045953896094</v>
      </c>
      <c r="F134" s="67">
        <f t="shared" si="104"/>
        <v>65.39708208456257</v>
      </c>
      <c r="G134" s="67">
        <f t="shared" si="104"/>
        <v>66.822778344281375</v>
      </c>
      <c r="H134" s="67">
        <f t="shared" si="104"/>
        <v>66.856915938821672</v>
      </c>
      <c r="I134" s="67">
        <f t="shared" si="104"/>
        <v>68.807078083606413</v>
      </c>
      <c r="J134" s="67">
        <f t="shared" si="104"/>
        <v>66.199933244276835</v>
      </c>
      <c r="K134" s="67">
        <f t="shared" si="104"/>
        <v>65.137808819570566</v>
      </c>
      <c r="L134" s="67">
        <f t="shared" si="104"/>
        <v>65.492032632870419</v>
      </c>
      <c r="M134" s="67">
        <f t="shared" si="104"/>
        <v>64.330843505454695</v>
      </c>
      <c r="N134" s="67">
        <f t="shared" si="104"/>
        <v>64.709622369231582</v>
      </c>
      <c r="O134" s="67">
        <f t="shared" si="104"/>
        <v>66.636295989797091</v>
      </c>
      <c r="P134" s="67">
        <f t="shared" si="104"/>
        <v>67.036453055541429</v>
      </c>
      <c r="Q134" s="67">
        <f t="shared" si="104"/>
        <v>67.941794775329512</v>
      </c>
      <c r="R134" s="67">
        <f t="shared" si="104"/>
        <v>65.574789782058815</v>
      </c>
      <c r="S134" s="67">
        <f t="shared" si="104"/>
        <v>64.194490734088959</v>
      </c>
      <c r="T134" s="67">
        <f t="shared" si="104"/>
        <v>64.29166736697168</v>
      </c>
      <c r="U134" s="67">
        <f t="shared" si="104"/>
        <v>64.009822050974435</v>
      </c>
      <c r="V134" s="67">
        <f t="shared" si="104"/>
        <v>57.917241635280043</v>
      </c>
      <c r="W134" s="67">
        <f t="shared" si="104"/>
        <v>60.746275779054947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67.724958421197698</v>
      </c>
      <c r="C135" s="68">
        <f t="shared" ref="C135:W135" si="106">IF(C105=0,0,C105/C$26)</f>
        <v>67.15489660062245</v>
      </c>
      <c r="D135" s="68">
        <f t="shared" si="106"/>
        <v>66.692114386537583</v>
      </c>
      <c r="E135" s="68">
        <f t="shared" si="106"/>
        <v>69.056783885728322</v>
      </c>
      <c r="F135" s="68">
        <f t="shared" si="106"/>
        <v>70.206603004764915</v>
      </c>
      <c r="G135" s="68">
        <f t="shared" si="106"/>
        <v>72.456825257318386</v>
      </c>
      <c r="H135" s="68">
        <f t="shared" si="106"/>
        <v>75.494479430404454</v>
      </c>
      <c r="I135" s="68">
        <f t="shared" si="106"/>
        <v>80.356336220476265</v>
      </c>
      <c r="J135" s="68">
        <f t="shared" si="106"/>
        <v>83.864219273543256</v>
      </c>
      <c r="K135" s="68">
        <f t="shared" si="106"/>
        <v>86.509456138423928</v>
      </c>
      <c r="L135" s="68">
        <f t="shared" si="106"/>
        <v>86.857333132576429</v>
      </c>
      <c r="M135" s="68">
        <f t="shared" si="106"/>
        <v>86.094345578900118</v>
      </c>
      <c r="N135" s="68">
        <f t="shared" si="106"/>
        <v>86.557487533457788</v>
      </c>
      <c r="O135" s="68">
        <f t="shared" si="106"/>
        <v>85.691733779778119</v>
      </c>
      <c r="P135" s="68">
        <f t="shared" si="106"/>
        <v>86.307088142372578</v>
      </c>
      <c r="Q135" s="68">
        <f t="shared" si="106"/>
        <v>86.855767965685146</v>
      </c>
      <c r="R135" s="68">
        <f t="shared" si="106"/>
        <v>86.247062846260391</v>
      </c>
      <c r="S135" s="68">
        <f t="shared" si="106"/>
        <v>85.353770659263162</v>
      </c>
      <c r="T135" s="68">
        <f t="shared" si="106"/>
        <v>84.622301677351643</v>
      </c>
      <c r="U135" s="68">
        <f t="shared" si="106"/>
        <v>83.364110404153323</v>
      </c>
      <c r="V135" s="68">
        <f t="shared" si="106"/>
        <v>81.790601306940815</v>
      </c>
      <c r="W135" s="68">
        <f t="shared" si="106"/>
        <v>81.627552763133082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271.26895827206283</v>
      </c>
      <c r="C137" s="85">
        <f t="shared" ref="C137:W137" si="108">IF(C107=0,0,C107/C$26)</f>
        <v>316.37311194407204</v>
      </c>
      <c r="D137" s="85">
        <f t="shared" si="108"/>
        <v>139.14470414357518</v>
      </c>
      <c r="E137" s="85">
        <f t="shared" si="108"/>
        <v>235.0375796532737</v>
      </c>
      <c r="F137" s="85">
        <f t="shared" si="108"/>
        <v>247.02039597132045</v>
      </c>
      <c r="G137" s="85">
        <f t="shared" si="108"/>
        <v>312.47967038323844</v>
      </c>
      <c r="H137" s="85">
        <f t="shared" si="108"/>
        <v>387.31017014541948</v>
      </c>
      <c r="I137" s="85">
        <f t="shared" si="108"/>
        <v>327.29939355692926</v>
      </c>
      <c r="J137" s="85">
        <f t="shared" si="108"/>
        <v>270.20651837249392</v>
      </c>
      <c r="K137" s="85">
        <f t="shared" si="108"/>
        <v>252.60825289320434</v>
      </c>
      <c r="L137" s="85">
        <f t="shared" si="108"/>
        <v>262.54230844639272</v>
      </c>
      <c r="M137" s="85">
        <f t="shared" si="108"/>
        <v>239.75928512069294</v>
      </c>
      <c r="N137" s="85">
        <f t="shared" si="108"/>
        <v>232.3962595213722</v>
      </c>
      <c r="O137" s="85">
        <f t="shared" si="108"/>
        <v>218.70394328768302</v>
      </c>
      <c r="P137" s="85">
        <f t="shared" si="108"/>
        <v>205.06059944440841</v>
      </c>
      <c r="Q137" s="85">
        <f t="shared" si="108"/>
        <v>201.72889892787117</v>
      </c>
      <c r="R137" s="85">
        <f t="shared" si="108"/>
        <v>201.3530066621021</v>
      </c>
      <c r="S137" s="85">
        <f t="shared" si="108"/>
        <v>205.62639617702658</v>
      </c>
      <c r="T137" s="85">
        <f t="shared" si="108"/>
        <v>204.70110935277836</v>
      </c>
      <c r="U137" s="85">
        <f t="shared" si="108"/>
        <v>200.45540445239462</v>
      </c>
      <c r="V137" s="85">
        <f t="shared" si="108"/>
        <v>182.92553569406965</v>
      </c>
      <c r="W137" s="85">
        <f t="shared" si="108"/>
        <v>201.67268248134997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208.02776897586779</v>
      </c>
      <c r="C138" s="65">
        <f t="shared" ref="C138:W138" si="110">IF(C108=0,0,C108/C$26)</f>
        <v>251.93372502668453</v>
      </c>
      <c r="D138" s="65">
        <f t="shared" si="110"/>
        <v>96.494194975251034</v>
      </c>
      <c r="E138" s="65">
        <f t="shared" si="110"/>
        <v>168.8545765442789</v>
      </c>
      <c r="F138" s="65">
        <f t="shared" si="110"/>
        <v>174.1125036266113</v>
      </c>
      <c r="G138" s="65">
        <f t="shared" si="110"/>
        <v>237.95213563141294</v>
      </c>
      <c r="H138" s="65">
        <f t="shared" si="110"/>
        <v>310.50946172629165</v>
      </c>
      <c r="I138" s="65">
        <f t="shared" si="110"/>
        <v>248.20518158549874</v>
      </c>
      <c r="J138" s="65">
        <f t="shared" si="110"/>
        <v>189.54093258455043</v>
      </c>
      <c r="K138" s="65">
        <f t="shared" si="110"/>
        <v>171.78418314291807</v>
      </c>
      <c r="L138" s="65">
        <f t="shared" si="110"/>
        <v>181.55515349426474</v>
      </c>
      <c r="M138" s="65">
        <f t="shared" si="110"/>
        <v>157.97438019483312</v>
      </c>
      <c r="N138" s="65">
        <f t="shared" si="110"/>
        <v>148.00826448955112</v>
      </c>
      <c r="O138" s="65">
        <f t="shared" si="110"/>
        <v>133.50194083185087</v>
      </c>
      <c r="P138" s="65">
        <f t="shared" si="110"/>
        <v>119.03923588689459</v>
      </c>
      <c r="Q138" s="65">
        <f t="shared" si="110"/>
        <v>113.35400550326064</v>
      </c>
      <c r="R138" s="65">
        <f t="shared" si="110"/>
        <v>115.19960866093315</v>
      </c>
      <c r="S138" s="65">
        <f t="shared" si="110"/>
        <v>120.21589941416353</v>
      </c>
      <c r="T138" s="65">
        <f t="shared" si="110"/>
        <v>119.89396718867303</v>
      </c>
      <c r="U138" s="65">
        <f t="shared" si="110"/>
        <v>116.1379288197929</v>
      </c>
      <c r="V138" s="65">
        <f t="shared" si="110"/>
        <v>104.90413503078985</v>
      </c>
      <c r="W138" s="65">
        <f t="shared" si="110"/>
        <v>116.69783727318666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2.9711107387838859E-2</v>
      </c>
      <c r="C139" s="65">
        <f t="shared" ref="C139:W139" si="112">IF(C109=0,0,C109/C$26)</f>
        <v>0.37220481326326127</v>
      </c>
      <c r="D139" s="65">
        <f t="shared" si="112"/>
        <v>0.7616847835484144</v>
      </c>
      <c r="E139" s="65">
        <f t="shared" si="112"/>
        <v>1.0663358838235273</v>
      </c>
      <c r="F139" s="65">
        <f t="shared" si="112"/>
        <v>1.2383010280188704</v>
      </c>
      <c r="G139" s="65">
        <f t="shared" si="112"/>
        <v>1.4593238766935912</v>
      </c>
      <c r="H139" s="65">
        <f t="shared" si="112"/>
        <v>1.8940784769511705</v>
      </c>
      <c r="I139" s="65">
        <f t="shared" si="112"/>
        <v>2.999925114610877</v>
      </c>
      <c r="J139" s="65">
        <f t="shared" si="112"/>
        <v>2.7613483545456674</v>
      </c>
      <c r="K139" s="65">
        <f t="shared" si="112"/>
        <v>2.9349616391224607</v>
      </c>
      <c r="L139" s="65">
        <f t="shared" si="112"/>
        <v>3.6836523191949486</v>
      </c>
      <c r="M139" s="65">
        <f t="shared" si="112"/>
        <v>3.4362108447225581</v>
      </c>
      <c r="N139" s="65">
        <f t="shared" si="112"/>
        <v>5.6578405264486831</v>
      </c>
      <c r="O139" s="65">
        <f t="shared" si="112"/>
        <v>3.9961714108476265</v>
      </c>
      <c r="P139" s="65">
        <f t="shared" si="112"/>
        <v>3.9391053788459343</v>
      </c>
      <c r="Q139" s="65">
        <f t="shared" si="112"/>
        <v>5.2613169324299047</v>
      </c>
      <c r="R139" s="65">
        <f t="shared" si="112"/>
        <v>4.455623614236929</v>
      </c>
      <c r="S139" s="65">
        <f t="shared" si="112"/>
        <v>4.8020823986808123</v>
      </c>
      <c r="T139" s="65">
        <f t="shared" si="112"/>
        <v>4.2339358403068461</v>
      </c>
      <c r="U139" s="65">
        <f t="shared" si="112"/>
        <v>4.8259686701800666</v>
      </c>
      <c r="V139" s="65">
        <f t="shared" si="112"/>
        <v>4.3621829098611373</v>
      </c>
      <c r="W139" s="65">
        <f t="shared" si="112"/>
        <v>5.0640581446101596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23.245732967147699</v>
      </c>
      <c r="C140" s="65">
        <f t="shared" ref="C140:W140" si="114">IF(C110=0,0,C110/C$26)</f>
        <v>25.385519805582462</v>
      </c>
      <c r="D140" s="65">
        <f t="shared" si="114"/>
        <v>12.53070603264538</v>
      </c>
      <c r="E140" s="65">
        <f t="shared" si="114"/>
        <v>26.901572536409994</v>
      </c>
      <c r="F140" s="65">
        <f t="shared" si="114"/>
        <v>31.257098631848805</v>
      </c>
      <c r="G140" s="65">
        <f t="shared" si="114"/>
        <v>31.097854825001367</v>
      </c>
      <c r="H140" s="65">
        <f t="shared" si="114"/>
        <v>31.956422521403439</v>
      </c>
      <c r="I140" s="65">
        <f t="shared" si="114"/>
        <v>32.658115931922119</v>
      </c>
      <c r="J140" s="65">
        <f t="shared" si="114"/>
        <v>32.183460909879244</v>
      </c>
      <c r="K140" s="65">
        <f t="shared" si="114"/>
        <v>32.07004075688009</v>
      </c>
      <c r="L140" s="65">
        <f t="shared" si="114"/>
        <v>31.062757157049219</v>
      </c>
      <c r="M140" s="65">
        <f t="shared" si="114"/>
        <v>32.22794418076689</v>
      </c>
      <c r="N140" s="65">
        <f t="shared" si="114"/>
        <v>32.054807647800963</v>
      </c>
      <c r="O140" s="65">
        <f t="shared" si="114"/>
        <v>32.757010747945422</v>
      </c>
      <c r="P140" s="65">
        <f t="shared" si="114"/>
        <v>33.188413839498907</v>
      </c>
      <c r="Q140" s="65">
        <f t="shared" si="114"/>
        <v>33.856662262952455</v>
      </c>
      <c r="R140" s="65">
        <f t="shared" si="114"/>
        <v>33.927719695088868</v>
      </c>
      <c r="S140" s="65">
        <f t="shared" si="114"/>
        <v>34.096049460458389</v>
      </c>
      <c r="T140" s="65">
        <f t="shared" si="114"/>
        <v>33.481693473784425</v>
      </c>
      <c r="U140" s="65">
        <f t="shared" si="114"/>
        <v>32.17882520354047</v>
      </c>
      <c r="V140" s="65">
        <f t="shared" si="114"/>
        <v>30.640440557260092</v>
      </c>
      <c r="W140" s="65">
        <f t="shared" si="114"/>
        <v>34.044693871135664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39.965745221659503</v>
      </c>
      <c r="C141" s="68">
        <f t="shared" ref="C141:W141" si="116">IF(C111=0,0,C111/C$26)</f>
        <v>38.681662298541788</v>
      </c>
      <c r="D141" s="68">
        <f t="shared" si="116"/>
        <v>29.358118352130365</v>
      </c>
      <c r="E141" s="68">
        <f t="shared" si="116"/>
        <v>38.21509468876129</v>
      </c>
      <c r="F141" s="68">
        <f t="shared" si="116"/>
        <v>40.412492684841517</v>
      </c>
      <c r="G141" s="68">
        <f t="shared" si="116"/>
        <v>41.970356050130547</v>
      </c>
      <c r="H141" s="68">
        <f t="shared" si="116"/>
        <v>42.950207420773232</v>
      </c>
      <c r="I141" s="68">
        <f t="shared" si="116"/>
        <v>43.43617092489751</v>
      </c>
      <c r="J141" s="68">
        <f t="shared" si="116"/>
        <v>45.720776523518566</v>
      </c>
      <c r="K141" s="68">
        <f t="shared" si="116"/>
        <v>45.819067354283703</v>
      </c>
      <c r="L141" s="68">
        <f t="shared" si="116"/>
        <v>46.240745475883784</v>
      </c>
      <c r="M141" s="68">
        <f t="shared" si="116"/>
        <v>46.120749900370399</v>
      </c>
      <c r="N141" s="68">
        <f t="shared" si="116"/>
        <v>46.675346857571405</v>
      </c>
      <c r="O141" s="68">
        <f t="shared" si="116"/>
        <v>48.44882029703907</v>
      </c>
      <c r="P141" s="68">
        <f t="shared" si="116"/>
        <v>48.893844339168965</v>
      </c>
      <c r="Q141" s="68">
        <f t="shared" si="116"/>
        <v>49.256914229228151</v>
      </c>
      <c r="R141" s="68">
        <f t="shared" si="116"/>
        <v>47.77005469184315</v>
      </c>
      <c r="S141" s="68">
        <f t="shared" si="116"/>
        <v>46.512364903723892</v>
      </c>
      <c r="T141" s="68">
        <f t="shared" si="116"/>
        <v>47.09151285001407</v>
      </c>
      <c r="U141" s="68">
        <f t="shared" si="116"/>
        <v>47.312681758881176</v>
      </c>
      <c r="V141" s="68">
        <f t="shared" si="116"/>
        <v>43.018777196158581</v>
      </c>
      <c r="W141" s="68">
        <f t="shared" si="116"/>
        <v>45.866093192417473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29.41974545299502</v>
      </c>
      <c r="C143" s="82">
        <f t="shared" ref="C143:W143" si="118">IF(C113=0,0,C113/C$26)</f>
        <v>51.172730780619872</v>
      </c>
      <c r="D143" s="82">
        <f t="shared" si="118"/>
        <v>28.617368903147998</v>
      </c>
      <c r="E143" s="82">
        <f t="shared" si="118"/>
        <v>52.562802004856728</v>
      </c>
      <c r="F143" s="82">
        <f t="shared" si="118"/>
        <v>79.312416654996966</v>
      </c>
      <c r="G143" s="82">
        <f t="shared" si="118"/>
        <v>78.964748068120329</v>
      </c>
      <c r="H143" s="82">
        <f t="shared" si="118"/>
        <v>103.90935423313387</v>
      </c>
      <c r="I143" s="82">
        <f t="shared" si="118"/>
        <v>85.740657705044867</v>
      </c>
      <c r="J143" s="82">
        <f t="shared" si="118"/>
        <v>59.625375312787703</v>
      </c>
      <c r="K143" s="82">
        <f t="shared" si="118"/>
        <v>54.357216304065794</v>
      </c>
      <c r="L143" s="82">
        <f t="shared" si="118"/>
        <v>53.360753307386304</v>
      </c>
      <c r="M143" s="82">
        <f t="shared" si="118"/>
        <v>49.952049920756771</v>
      </c>
      <c r="N143" s="82">
        <f t="shared" si="118"/>
        <v>47.439842890318417</v>
      </c>
      <c r="O143" s="82">
        <f t="shared" si="118"/>
        <v>44.214532996909803</v>
      </c>
      <c r="P143" s="82">
        <f t="shared" si="118"/>
        <v>42.269881131401164</v>
      </c>
      <c r="Q143" s="82">
        <f t="shared" si="118"/>
        <v>40.077680125762875</v>
      </c>
      <c r="R143" s="82">
        <f t="shared" si="118"/>
        <v>39.026217951952589</v>
      </c>
      <c r="S143" s="82">
        <f t="shared" si="118"/>
        <v>42.686541707927155</v>
      </c>
      <c r="T143" s="82">
        <f t="shared" si="118"/>
        <v>42.31137937551329</v>
      </c>
      <c r="U143" s="82">
        <f t="shared" si="118"/>
        <v>41.312295958041879</v>
      </c>
      <c r="V143" s="82">
        <f t="shared" si="118"/>
        <v>37.995982511183492</v>
      </c>
      <c r="W143" s="82">
        <f t="shared" si="118"/>
        <v>43.186841033318736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29.41974545299502</v>
      </c>
      <c r="C144" s="64">
        <f t="shared" ref="C144:W144" si="120">IF(C114=0,0,C114/C$26)</f>
        <v>51.172730780619872</v>
      </c>
      <c r="D144" s="64">
        <f t="shared" si="120"/>
        <v>28.617368903147998</v>
      </c>
      <c r="E144" s="64">
        <f t="shared" si="120"/>
        <v>52.562802004856728</v>
      </c>
      <c r="F144" s="64">
        <f t="shared" si="120"/>
        <v>79.312416654996966</v>
      </c>
      <c r="G144" s="64">
        <f t="shared" si="120"/>
        <v>78.964748068120329</v>
      </c>
      <c r="H144" s="64">
        <f t="shared" si="120"/>
        <v>103.90935423313387</v>
      </c>
      <c r="I144" s="64">
        <f t="shared" si="120"/>
        <v>85.740657705044867</v>
      </c>
      <c r="J144" s="64">
        <f t="shared" si="120"/>
        <v>59.625375312787703</v>
      </c>
      <c r="K144" s="64">
        <f t="shared" si="120"/>
        <v>54.357216304065794</v>
      </c>
      <c r="L144" s="64">
        <f t="shared" si="120"/>
        <v>53.360753307386304</v>
      </c>
      <c r="M144" s="64">
        <f t="shared" si="120"/>
        <v>49.952049920756771</v>
      </c>
      <c r="N144" s="64">
        <f t="shared" si="120"/>
        <v>47.439842890318417</v>
      </c>
      <c r="O144" s="64">
        <f t="shared" si="120"/>
        <v>44.214532996909803</v>
      </c>
      <c r="P144" s="64">
        <f t="shared" si="120"/>
        <v>42.269881131401164</v>
      </c>
      <c r="Q144" s="64">
        <f t="shared" si="120"/>
        <v>40.077680125762875</v>
      </c>
      <c r="R144" s="64">
        <f t="shared" si="120"/>
        <v>39.026217951952589</v>
      </c>
      <c r="S144" s="64">
        <f t="shared" si="120"/>
        <v>42.686541707927155</v>
      </c>
      <c r="T144" s="64">
        <f t="shared" si="120"/>
        <v>42.31137937551329</v>
      </c>
      <c r="U144" s="64">
        <f t="shared" si="120"/>
        <v>41.312295958041879</v>
      </c>
      <c r="V144" s="64">
        <f t="shared" si="120"/>
        <v>37.995982511183492</v>
      </c>
      <c r="W144" s="64">
        <f t="shared" si="120"/>
        <v>43.186841033318736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23.080644003333461</v>
      </c>
      <c r="C145" s="65">
        <f t="shared" ref="C145:W145" si="122">IF(C115=0,0,C115/C$26)</f>
        <v>45.158628220897619</v>
      </c>
      <c r="D145" s="65">
        <f t="shared" si="122"/>
        <v>22.718856465159313</v>
      </c>
      <c r="E145" s="65">
        <f t="shared" si="122"/>
        <v>40.432630200544068</v>
      </c>
      <c r="F145" s="65">
        <f t="shared" si="122"/>
        <v>58.94646716299048</v>
      </c>
      <c r="G145" s="65">
        <f t="shared" si="122"/>
        <v>59.403818357054234</v>
      </c>
      <c r="H145" s="65">
        <f t="shared" si="122"/>
        <v>85.950541056888966</v>
      </c>
      <c r="I145" s="65">
        <f t="shared" si="122"/>
        <v>67.028449848418603</v>
      </c>
      <c r="J145" s="65">
        <f t="shared" si="122"/>
        <v>46.603473270379553</v>
      </c>
      <c r="K145" s="65">
        <f t="shared" si="122"/>
        <v>40.657211126328235</v>
      </c>
      <c r="L145" s="65">
        <f t="shared" si="122"/>
        <v>39.917891780301879</v>
      </c>
      <c r="M145" s="65">
        <f t="shared" si="122"/>
        <v>37.99768307565099</v>
      </c>
      <c r="N145" s="65">
        <f t="shared" si="122"/>
        <v>35.594691982957684</v>
      </c>
      <c r="O145" s="65">
        <f t="shared" si="122"/>
        <v>32.018825888667926</v>
      </c>
      <c r="P145" s="65">
        <f t="shared" si="122"/>
        <v>29.76229395995372</v>
      </c>
      <c r="Q145" s="65">
        <f t="shared" si="122"/>
        <v>26.858445049484228</v>
      </c>
      <c r="R145" s="65">
        <f t="shared" si="122"/>
        <v>26.127165162262585</v>
      </c>
      <c r="S145" s="65">
        <f t="shared" si="122"/>
        <v>28.851124290642613</v>
      </c>
      <c r="T145" s="65">
        <f t="shared" si="122"/>
        <v>28.837161817427564</v>
      </c>
      <c r="U145" s="65">
        <f t="shared" si="122"/>
        <v>28.134442499971019</v>
      </c>
      <c r="V145" s="65">
        <f t="shared" si="122"/>
        <v>25.57269437155303</v>
      </c>
      <c r="W145" s="65">
        <f t="shared" si="122"/>
        <v>29.799652292483177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1.5849111526103221</v>
      </c>
      <c r="C147" s="65">
        <f t="shared" ref="C147:W147" si="126">IF(C117=0,0,C117/C$26)</f>
        <v>1.6621854643662419</v>
      </c>
      <c r="D147" s="65">
        <f t="shared" si="126"/>
        <v>3.0195146371306758</v>
      </c>
      <c r="E147" s="65">
        <f t="shared" si="126"/>
        <v>4.8860831040780601</v>
      </c>
      <c r="F147" s="65">
        <f t="shared" si="126"/>
        <v>7.1902167311140728</v>
      </c>
      <c r="G147" s="65">
        <f t="shared" si="126"/>
        <v>6.7629690076758999</v>
      </c>
      <c r="H147" s="65">
        <f t="shared" si="126"/>
        <v>6.4926324633866557</v>
      </c>
      <c r="I147" s="65">
        <f t="shared" si="126"/>
        <v>5.6099518471764442</v>
      </c>
      <c r="J147" s="65">
        <f t="shared" si="126"/>
        <v>4.8286574925953527</v>
      </c>
      <c r="K147" s="65">
        <f t="shared" si="126"/>
        <v>6.4078764161559754</v>
      </c>
      <c r="L147" s="65">
        <f t="shared" si="126"/>
        <v>6.1577202085656113</v>
      </c>
      <c r="M147" s="65">
        <f t="shared" si="126"/>
        <v>5.4981777462688148</v>
      </c>
      <c r="N147" s="65">
        <f t="shared" si="126"/>
        <v>5.5705485754693802</v>
      </c>
      <c r="O147" s="65">
        <f t="shared" si="126"/>
        <v>6.0236935505560174</v>
      </c>
      <c r="P147" s="65">
        <f t="shared" si="126"/>
        <v>6.346544710360229</v>
      </c>
      <c r="Q147" s="65">
        <f t="shared" si="126"/>
        <v>6.550059858761629</v>
      </c>
      <c r="R147" s="65">
        <f t="shared" si="126"/>
        <v>6.5426761328679692</v>
      </c>
      <c r="S147" s="65">
        <f t="shared" si="126"/>
        <v>7.1589584382028688</v>
      </c>
      <c r="T147" s="65">
        <f t="shared" si="126"/>
        <v>6.9848539690547282</v>
      </c>
      <c r="U147" s="65">
        <f t="shared" si="126"/>
        <v>6.7279613480372378</v>
      </c>
      <c r="V147" s="65">
        <f t="shared" si="126"/>
        <v>6.3968630970088496</v>
      </c>
      <c r="W147" s="65">
        <f t="shared" si="126"/>
        <v>7.3291281307690275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4.7541902970512373</v>
      </c>
      <c r="C148" s="67">
        <f t="shared" ref="C148:W148" si="128">IF(C118=0,0,C118/C$26)</f>
        <v>4.3519170953560051</v>
      </c>
      <c r="D148" s="67">
        <f t="shared" si="128"/>
        <v>2.8789978008580057</v>
      </c>
      <c r="E148" s="67">
        <f t="shared" si="128"/>
        <v>7.2440887002346068</v>
      </c>
      <c r="F148" s="67">
        <f t="shared" si="128"/>
        <v>13.175732760892414</v>
      </c>
      <c r="G148" s="67">
        <f t="shared" si="128"/>
        <v>12.797960703390197</v>
      </c>
      <c r="H148" s="67">
        <f t="shared" si="128"/>
        <v>11.466180712858236</v>
      </c>
      <c r="I148" s="67">
        <f t="shared" si="128"/>
        <v>13.102256009449821</v>
      </c>
      <c r="J148" s="67">
        <f t="shared" si="128"/>
        <v>8.1932445498127944</v>
      </c>
      <c r="K148" s="67">
        <f t="shared" si="128"/>
        <v>7.2921287615815924</v>
      </c>
      <c r="L148" s="67">
        <f t="shared" si="128"/>
        <v>7.2851413185188187</v>
      </c>
      <c r="M148" s="67">
        <f t="shared" si="128"/>
        <v>6.4561890988369637</v>
      </c>
      <c r="N148" s="67">
        <f t="shared" si="128"/>
        <v>6.2746023318913489</v>
      </c>
      <c r="O148" s="67">
        <f t="shared" si="128"/>
        <v>6.1720135576858626</v>
      </c>
      <c r="P148" s="67">
        <f t="shared" si="128"/>
        <v>6.1610424610872121</v>
      </c>
      <c r="Q148" s="67">
        <f t="shared" si="128"/>
        <v>6.6691752175170134</v>
      </c>
      <c r="R148" s="67">
        <f t="shared" si="128"/>
        <v>6.3563766568220297</v>
      </c>
      <c r="S148" s="67">
        <f t="shared" si="128"/>
        <v>6.6764589790816764</v>
      </c>
      <c r="T148" s="67">
        <f t="shared" si="128"/>
        <v>6.489363589030992</v>
      </c>
      <c r="U148" s="67">
        <f t="shared" si="128"/>
        <v>6.4498921100336188</v>
      </c>
      <c r="V148" s="67">
        <f t="shared" si="128"/>
        <v>6.0264250426216099</v>
      </c>
      <c r="W148" s="67">
        <f t="shared" si="128"/>
        <v>6.0580606100665246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4529.2001080776363</v>
      </c>
      <c r="C153" s="82">
        <f t="shared" ref="C153:W153" si="132">IF(C99=0,0,C99/C$23)</f>
        <v>6001.1433488758612</v>
      </c>
      <c r="D153" s="82">
        <f t="shared" si="132"/>
        <v>3103.1813577734242</v>
      </c>
      <c r="E153" s="82">
        <f t="shared" si="132"/>
        <v>5256.6857963790026</v>
      </c>
      <c r="F153" s="82">
        <f t="shared" si="132"/>
        <v>5639.4355027906695</v>
      </c>
      <c r="G153" s="82">
        <f t="shared" si="132"/>
        <v>7108.6323114538327</v>
      </c>
      <c r="H153" s="82">
        <f t="shared" si="132"/>
        <v>8604.5517692702851</v>
      </c>
      <c r="I153" s="82">
        <f t="shared" si="132"/>
        <v>7553.6782879211105</v>
      </c>
      <c r="J153" s="82">
        <f t="shared" si="132"/>
        <v>6438.4061050968066</v>
      </c>
      <c r="K153" s="82">
        <f t="shared" si="132"/>
        <v>6199.3743579637276</v>
      </c>
      <c r="L153" s="82">
        <f t="shared" si="132"/>
        <v>6771.0287427194744</v>
      </c>
      <c r="M153" s="82">
        <f t="shared" si="132"/>
        <v>6333.09654834501</v>
      </c>
      <c r="N153" s="82">
        <f t="shared" si="132"/>
        <v>6159.4688424296173</v>
      </c>
      <c r="O153" s="82">
        <f t="shared" si="132"/>
        <v>6081.7448736722909</v>
      </c>
      <c r="P153" s="82">
        <f t="shared" si="132"/>
        <v>5911.1018256977532</v>
      </c>
      <c r="Q153" s="82">
        <f t="shared" si="132"/>
        <v>5775.2150186393956</v>
      </c>
      <c r="R153" s="82">
        <f t="shared" si="132"/>
        <v>5839.7389051198425</v>
      </c>
      <c r="S153" s="82">
        <f t="shared" si="132"/>
        <v>5929.953207948447</v>
      </c>
      <c r="T153" s="82">
        <f t="shared" si="132"/>
        <v>5971.9791232772704</v>
      </c>
      <c r="U153" s="82">
        <f t="shared" si="132"/>
        <v>5806.9815629903987</v>
      </c>
      <c r="V153" s="82">
        <f t="shared" si="132"/>
        <v>5450.6379671162022</v>
      </c>
      <c r="W153" s="82">
        <f t="shared" si="132"/>
        <v>5880.2968946145174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3898.7404570394442</v>
      </c>
      <c r="C154" s="64">
        <f t="shared" ref="C154:W154" si="134">IF(C100=0,0,C100/C$23)</f>
        <v>5323.2697533568125</v>
      </c>
      <c r="D154" s="64">
        <f t="shared" si="134"/>
        <v>2421.9111906426206</v>
      </c>
      <c r="E154" s="64">
        <f t="shared" si="134"/>
        <v>4484.9293778406809</v>
      </c>
      <c r="F154" s="64">
        <f t="shared" si="134"/>
        <v>4863.4854652368203</v>
      </c>
      <c r="G154" s="64">
        <f t="shared" si="134"/>
        <v>6251.6131578302929</v>
      </c>
      <c r="H154" s="64">
        <f t="shared" si="134"/>
        <v>7711.6916983822339</v>
      </c>
      <c r="I154" s="64">
        <f t="shared" si="134"/>
        <v>6587.2112313734942</v>
      </c>
      <c r="J154" s="64">
        <f t="shared" si="134"/>
        <v>5402.02714730961</v>
      </c>
      <c r="K154" s="64">
        <f t="shared" si="134"/>
        <v>5100.2618246849579</v>
      </c>
      <c r="L154" s="64">
        <f t="shared" si="134"/>
        <v>5589.8087297778438</v>
      </c>
      <c r="M154" s="64">
        <f t="shared" si="134"/>
        <v>5140.8201112876168</v>
      </c>
      <c r="N154" s="64">
        <f t="shared" si="134"/>
        <v>4944.8813390694668</v>
      </c>
      <c r="O154" s="64">
        <f t="shared" si="134"/>
        <v>4820.7809576798054</v>
      </c>
      <c r="P154" s="64">
        <f t="shared" si="134"/>
        <v>4608.7802903037518</v>
      </c>
      <c r="Q154" s="64">
        <f t="shared" si="134"/>
        <v>4471.7231724754092</v>
      </c>
      <c r="R154" s="64">
        <f t="shared" si="134"/>
        <v>4517.4810784709416</v>
      </c>
      <c r="S154" s="64">
        <f t="shared" si="134"/>
        <v>4606.4765144994453</v>
      </c>
      <c r="T154" s="64">
        <f t="shared" si="134"/>
        <v>4628.2556395674055</v>
      </c>
      <c r="U154" s="64">
        <f t="shared" si="134"/>
        <v>4478.7192431475405</v>
      </c>
      <c r="V154" s="64">
        <f t="shared" si="134"/>
        <v>4120.292671364431</v>
      </c>
      <c r="W154" s="64">
        <f t="shared" si="134"/>
        <v>4540.6731330393313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3021.5613878571476</v>
      </c>
      <c r="C155" s="65">
        <f t="shared" ref="C155:W155" si="136">IF(C101=0,0,C101/C$23)</f>
        <v>4352.6126608826198</v>
      </c>
      <c r="D155" s="65">
        <f t="shared" si="136"/>
        <v>1767.6083095486981</v>
      </c>
      <c r="E155" s="65">
        <f t="shared" si="136"/>
        <v>3321.3320867782854</v>
      </c>
      <c r="F155" s="65">
        <f t="shared" si="136"/>
        <v>3521.0051289172043</v>
      </c>
      <c r="G155" s="65">
        <f t="shared" si="136"/>
        <v>4814.1463980234885</v>
      </c>
      <c r="H155" s="65">
        <f t="shared" si="136"/>
        <v>6264.5802849755091</v>
      </c>
      <c r="I155" s="65">
        <f t="shared" si="136"/>
        <v>5083.3073705513416</v>
      </c>
      <c r="J155" s="65">
        <f t="shared" si="136"/>
        <v>3912.0472643973071</v>
      </c>
      <c r="K155" s="65">
        <f t="shared" si="136"/>
        <v>3578.304708081298</v>
      </c>
      <c r="L155" s="65">
        <f t="shared" si="136"/>
        <v>3982.9514958955042</v>
      </c>
      <c r="M155" s="65">
        <f t="shared" si="136"/>
        <v>3511.1655218925271</v>
      </c>
      <c r="N155" s="65">
        <f t="shared" si="136"/>
        <v>3289.2217855874242</v>
      </c>
      <c r="O155" s="65">
        <f t="shared" si="136"/>
        <v>3058.3585717008095</v>
      </c>
      <c r="P155" s="65">
        <f t="shared" si="136"/>
        <v>2792.8807395284521</v>
      </c>
      <c r="Q155" s="65">
        <f t="shared" si="136"/>
        <v>2644.1535313685818</v>
      </c>
      <c r="R155" s="65">
        <f t="shared" si="136"/>
        <v>2707.7083924421295</v>
      </c>
      <c r="S155" s="65">
        <f t="shared" si="136"/>
        <v>2808.894073062319</v>
      </c>
      <c r="T155" s="65">
        <f t="shared" si="136"/>
        <v>2821.2066740133646</v>
      </c>
      <c r="U155" s="65">
        <f t="shared" si="136"/>
        <v>2713.8694812966437</v>
      </c>
      <c r="V155" s="65">
        <f t="shared" si="136"/>
        <v>2469.9566753830713</v>
      </c>
      <c r="W155" s="65">
        <f t="shared" si="136"/>
        <v>2759.5600008303104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0.16699147745947426</v>
      </c>
      <c r="C156" s="65">
        <f t="shared" ref="C156:W156" si="138">IF(C102=0,0,C102/C$23)</f>
        <v>1.8213425122554538</v>
      </c>
      <c r="D156" s="65">
        <f t="shared" si="138"/>
        <v>3.6736691403624477</v>
      </c>
      <c r="E156" s="65">
        <f t="shared" si="138"/>
        <v>5.5332406893466439</v>
      </c>
      <c r="F156" s="65">
        <f t="shared" si="138"/>
        <v>6.2376202006388954</v>
      </c>
      <c r="G156" s="65">
        <f t="shared" si="138"/>
        <v>7.745181880418694</v>
      </c>
      <c r="H156" s="65">
        <f t="shared" si="138"/>
        <v>9.8538227392043414</v>
      </c>
      <c r="I156" s="65">
        <f t="shared" si="138"/>
        <v>15.565941653403423</v>
      </c>
      <c r="J156" s="65">
        <f t="shared" si="138"/>
        <v>14.421047114835346</v>
      </c>
      <c r="K156" s="65">
        <f t="shared" si="138"/>
        <v>15.448655332761758</v>
      </c>
      <c r="L156" s="65">
        <f t="shared" si="138"/>
        <v>20.315490034935998</v>
      </c>
      <c r="M156" s="65">
        <f t="shared" si="138"/>
        <v>18.740023263788128</v>
      </c>
      <c r="N156" s="65">
        <f t="shared" si="138"/>
        <v>30.375583899218512</v>
      </c>
      <c r="O156" s="65">
        <f t="shared" si="138"/>
        <v>21.879869681436595</v>
      </c>
      <c r="P156" s="65">
        <f t="shared" si="138"/>
        <v>21.428042051321775</v>
      </c>
      <c r="Q156" s="65">
        <f t="shared" si="138"/>
        <v>27.621646121655314</v>
      </c>
      <c r="R156" s="65">
        <f t="shared" si="138"/>
        <v>23.250743507426908</v>
      </c>
      <c r="S156" s="65">
        <f t="shared" si="138"/>
        <v>24.635335226560219</v>
      </c>
      <c r="T156" s="65">
        <f t="shared" si="138"/>
        <v>21.654509946657694</v>
      </c>
      <c r="U156" s="65">
        <f t="shared" si="138"/>
        <v>24.142177630666662</v>
      </c>
      <c r="V156" s="65">
        <f t="shared" si="138"/>
        <v>21.79792820911133</v>
      </c>
      <c r="W156" s="65">
        <f t="shared" si="138"/>
        <v>24.935605443940009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356.14822824941029</v>
      </c>
      <c r="C157" s="65">
        <f t="shared" ref="C157:W157" si="140">IF(C103=0,0,C103/C$23)</f>
        <v>425.23020952219923</v>
      </c>
      <c r="D157" s="65">
        <f t="shared" si="140"/>
        <v>238.2633319001564</v>
      </c>
      <c r="E157" s="65">
        <f t="shared" si="140"/>
        <v>529.14105061758721</v>
      </c>
      <c r="F157" s="65">
        <f t="shared" si="140"/>
        <v>613.44933020363248</v>
      </c>
      <c r="G157" s="65">
        <f t="shared" si="140"/>
        <v>639.34191754228425</v>
      </c>
      <c r="H157" s="65">
        <f t="shared" si="140"/>
        <v>646.5524801100986</v>
      </c>
      <c r="I157" s="65">
        <f t="shared" si="140"/>
        <v>660.77686607832914</v>
      </c>
      <c r="J157" s="65">
        <f t="shared" si="140"/>
        <v>657.47195183681868</v>
      </c>
      <c r="K157" s="65">
        <f t="shared" si="140"/>
        <v>678.92515119495499</v>
      </c>
      <c r="L157" s="65">
        <f t="shared" si="140"/>
        <v>695.88004789028673</v>
      </c>
      <c r="M157" s="65">
        <f t="shared" si="140"/>
        <v>720.02970752825536</v>
      </c>
      <c r="N157" s="65">
        <f t="shared" si="140"/>
        <v>717.2689507036888</v>
      </c>
      <c r="O157" s="65">
        <f t="shared" si="140"/>
        <v>759.98160298391576</v>
      </c>
      <c r="P157" s="65">
        <f t="shared" si="140"/>
        <v>782.93215141597852</v>
      </c>
      <c r="Q157" s="65">
        <f t="shared" si="140"/>
        <v>780.30845258451484</v>
      </c>
      <c r="R157" s="65">
        <f t="shared" si="140"/>
        <v>781.19171840995352</v>
      </c>
      <c r="S157" s="65">
        <f t="shared" si="140"/>
        <v>777.56152830142901</v>
      </c>
      <c r="T157" s="65">
        <f t="shared" si="140"/>
        <v>764.50254489982137</v>
      </c>
      <c r="U157" s="65">
        <f t="shared" si="140"/>
        <v>720.82223646127602</v>
      </c>
      <c r="V157" s="65">
        <f t="shared" si="140"/>
        <v>686.49914494707946</v>
      </c>
      <c r="W157" s="65">
        <f t="shared" si="140"/>
        <v>759.24509762609102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520.86384945542659</v>
      </c>
      <c r="C158" s="67">
        <f t="shared" ref="C158:W158" si="142">IF(C104=0,0,C104/C$23)</f>
        <v>543.60554043973866</v>
      </c>
      <c r="D158" s="67">
        <f t="shared" si="142"/>
        <v>412.36588005340366</v>
      </c>
      <c r="E158" s="67">
        <f t="shared" si="142"/>
        <v>628.92299975546132</v>
      </c>
      <c r="F158" s="67">
        <f t="shared" si="142"/>
        <v>722.79338591534474</v>
      </c>
      <c r="G158" s="67">
        <f t="shared" si="142"/>
        <v>790.37966038410184</v>
      </c>
      <c r="H158" s="67">
        <f t="shared" si="142"/>
        <v>790.70511055742065</v>
      </c>
      <c r="I158" s="67">
        <f t="shared" si="142"/>
        <v>827.56105309041914</v>
      </c>
      <c r="J158" s="67">
        <f t="shared" si="142"/>
        <v>818.08688396064906</v>
      </c>
      <c r="K158" s="67">
        <f t="shared" si="142"/>
        <v>827.58331007594256</v>
      </c>
      <c r="L158" s="67">
        <f t="shared" si="142"/>
        <v>890.66169595711722</v>
      </c>
      <c r="M158" s="67">
        <f t="shared" si="142"/>
        <v>890.88485860304684</v>
      </c>
      <c r="N158" s="67">
        <f t="shared" si="142"/>
        <v>908.0150188791348</v>
      </c>
      <c r="O158" s="67">
        <f t="shared" si="142"/>
        <v>980.56091331364439</v>
      </c>
      <c r="P158" s="67">
        <f t="shared" si="142"/>
        <v>1011.5393573080003</v>
      </c>
      <c r="Q158" s="67">
        <f t="shared" si="142"/>
        <v>1019.6395424006577</v>
      </c>
      <c r="R158" s="67">
        <f t="shared" si="142"/>
        <v>1005.3302241114318</v>
      </c>
      <c r="S158" s="67">
        <f t="shared" si="142"/>
        <v>995.3855779091374</v>
      </c>
      <c r="T158" s="67">
        <f t="shared" si="142"/>
        <v>1020.8919107075607</v>
      </c>
      <c r="U158" s="67">
        <f t="shared" si="142"/>
        <v>1019.8853477589544</v>
      </c>
      <c r="V158" s="67">
        <f t="shared" si="142"/>
        <v>942.03892282516949</v>
      </c>
      <c r="W158" s="67">
        <f t="shared" si="142"/>
        <v>996.93242913898973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630.45965103819231</v>
      </c>
      <c r="C159" s="68">
        <f t="shared" ref="C159:W159" si="144">IF(C105=0,0,C105/C$23)</f>
        <v>677.87359551904842</v>
      </c>
      <c r="D159" s="68">
        <f t="shared" si="144"/>
        <v>681.27016713080411</v>
      </c>
      <c r="E159" s="68">
        <f t="shared" si="144"/>
        <v>771.75641853832167</v>
      </c>
      <c r="F159" s="68">
        <f t="shared" si="144"/>
        <v>775.9500375538488</v>
      </c>
      <c r="G159" s="68">
        <f t="shared" si="144"/>
        <v>857.01915362354111</v>
      </c>
      <c r="H159" s="68">
        <f t="shared" si="144"/>
        <v>892.86007088805229</v>
      </c>
      <c r="I159" s="68">
        <f t="shared" si="144"/>
        <v>966.46705654761706</v>
      </c>
      <c r="J159" s="68">
        <f t="shared" si="144"/>
        <v>1036.3789577871964</v>
      </c>
      <c r="K159" s="68">
        <f t="shared" si="144"/>
        <v>1099.1125332787703</v>
      </c>
      <c r="L159" s="68">
        <f t="shared" si="144"/>
        <v>1181.2200129416296</v>
      </c>
      <c r="M159" s="68">
        <f t="shared" si="144"/>
        <v>1192.2764370573934</v>
      </c>
      <c r="N159" s="68">
        <f t="shared" si="144"/>
        <v>1214.5875033601508</v>
      </c>
      <c r="O159" s="68">
        <f t="shared" si="144"/>
        <v>1260.9639159924855</v>
      </c>
      <c r="P159" s="68">
        <f t="shared" si="144"/>
        <v>1302.3215353939997</v>
      </c>
      <c r="Q159" s="68">
        <f t="shared" si="144"/>
        <v>1303.4918461639857</v>
      </c>
      <c r="R159" s="68">
        <f t="shared" si="144"/>
        <v>1322.257826648902</v>
      </c>
      <c r="S159" s="68">
        <f t="shared" si="144"/>
        <v>1323.4766934490019</v>
      </c>
      <c r="T159" s="68">
        <f t="shared" si="144"/>
        <v>1343.7234837098667</v>
      </c>
      <c r="U159" s="68">
        <f t="shared" si="144"/>
        <v>1328.2623198428573</v>
      </c>
      <c r="V159" s="68">
        <f t="shared" si="144"/>
        <v>1330.3452957517711</v>
      </c>
      <c r="W159" s="68">
        <f t="shared" si="144"/>
        <v>1339.6237615751879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2525.2748286098417</v>
      </c>
      <c r="C161" s="85">
        <f t="shared" ref="C161:W161" si="146">IF(C107=0,0,C107/C$23)</f>
        <v>3193.5270512662914</v>
      </c>
      <c r="D161" s="85">
        <f t="shared" si="146"/>
        <v>1421.3844728005058</v>
      </c>
      <c r="E161" s="85">
        <f t="shared" si="146"/>
        <v>2626.7044378331311</v>
      </c>
      <c r="F161" s="85">
        <f t="shared" si="146"/>
        <v>2730.1632229308075</v>
      </c>
      <c r="G161" s="85">
        <f t="shared" si="146"/>
        <v>3696.0087843395718</v>
      </c>
      <c r="H161" s="85">
        <f t="shared" si="146"/>
        <v>4580.6499836917974</v>
      </c>
      <c r="I161" s="85">
        <f t="shared" si="146"/>
        <v>3936.5169740053466</v>
      </c>
      <c r="J161" s="85">
        <f t="shared" si="146"/>
        <v>3339.1636185723796</v>
      </c>
      <c r="K161" s="85">
        <f t="shared" si="146"/>
        <v>3209.4167407585364</v>
      </c>
      <c r="L161" s="85">
        <f t="shared" si="146"/>
        <v>3570.4553409142218</v>
      </c>
      <c r="M161" s="85">
        <f t="shared" si="146"/>
        <v>3320.3033752449533</v>
      </c>
      <c r="N161" s="85">
        <f t="shared" si="146"/>
        <v>3261.0187828429589</v>
      </c>
      <c r="O161" s="85">
        <f t="shared" si="146"/>
        <v>3218.2541840005852</v>
      </c>
      <c r="P161" s="85">
        <f t="shared" si="146"/>
        <v>3094.2398876523444</v>
      </c>
      <c r="Q161" s="85">
        <f t="shared" si="146"/>
        <v>3027.4555282500701</v>
      </c>
      <c r="R161" s="85">
        <f t="shared" si="146"/>
        <v>3086.9525313904292</v>
      </c>
      <c r="S161" s="85">
        <f t="shared" si="146"/>
        <v>3188.3974286808029</v>
      </c>
      <c r="T161" s="85">
        <f t="shared" si="146"/>
        <v>3250.4633214485984</v>
      </c>
      <c r="U161" s="85">
        <f t="shared" si="146"/>
        <v>3193.9087366511449</v>
      </c>
      <c r="V161" s="85">
        <f t="shared" si="146"/>
        <v>2975.3311749137006</v>
      </c>
      <c r="W161" s="85">
        <f t="shared" si="146"/>
        <v>3309.7343772707623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1936.5551148677969</v>
      </c>
      <c r="C162" s="65">
        <f t="shared" ref="C162:W162" si="148">IF(C108=0,0,C108/C$23)</f>
        <v>2543.0642985274585</v>
      </c>
      <c r="D162" s="65">
        <f t="shared" si="148"/>
        <v>985.70298666691554</v>
      </c>
      <c r="E162" s="65">
        <f t="shared" si="148"/>
        <v>1887.0644694843538</v>
      </c>
      <c r="F162" s="65">
        <f t="shared" si="148"/>
        <v>1924.3575097700464</v>
      </c>
      <c r="G162" s="65">
        <f t="shared" si="148"/>
        <v>2814.4972838311046</v>
      </c>
      <c r="H162" s="65">
        <f t="shared" si="148"/>
        <v>3672.3413698603799</v>
      </c>
      <c r="I162" s="65">
        <f t="shared" si="148"/>
        <v>2985.2298219350296</v>
      </c>
      <c r="J162" s="65">
        <f t="shared" si="148"/>
        <v>2342.3127988500769</v>
      </c>
      <c r="K162" s="65">
        <f t="shared" si="148"/>
        <v>2182.537691709927</v>
      </c>
      <c r="L162" s="65">
        <f t="shared" si="148"/>
        <v>2469.0670669426941</v>
      </c>
      <c r="M162" s="65">
        <f t="shared" si="148"/>
        <v>2187.7061716258172</v>
      </c>
      <c r="N162" s="65">
        <f t="shared" si="148"/>
        <v>2076.8739200470109</v>
      </c>
      <c r="O162" s="65">
        <f t="shared" si="148"/>
        <v>1964.4967218956376</v>
      </c>
      <c r="P162" s="65">
        <f t="shared" si="148"/>
        <v>1796.2297626889601</v>
      </c>
      <c r="Q162" s="65">
        <f t="shared" si="148"/>
        <v>1701.1653384022009</v>
      </c>
      <c r="R162" s="65">
        <f t="shared" si="148"/>
        <v>1766.130684940932</v>
      </c>
      <c r="S162" s="65">
        <f t="shared" si="148"/>
        <v>1864.0411528133002</v>
      </c>
      <c r="T162" s="65">
        <f t="shared" si="148"/>
        <v>1903.8047426412443</v>
      </c>
      <c r="U162" s="65">
        <f t="shared" si="148"/>
        <v>1850.4561976137541</v>
      </c>
      <c r="V162" s="65">
        <f t="shared" si="148"/>
        <v>1706.2929030120335</v>
      </c>
      <c r="W162" s="65">
        <f t="shared" si="148"/>
        <v>1915.176805425461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0.27658421403817646</v>
      </c>
      <c r="C163" s="65">
        <f t="shared" ref="C163:W163" si="150">IF(C109=0,0,C109/C$23)</f>
        <v>3.7571022785838721</v>
      </c>
      <c r="D163" s="65">
        <f t="shared" si="150"/>
        <v>7.7807267705065595</v>
      </c>
      <c r="E163" s="65">
        <f t="shared" si="150"/>
        <v>11.917027066020335</v>
      </c>
      <c r="F163" s="65">
        <f t="shared" si="150"/>
        <v>13.686173209790518</v>
      </c>
      <c r="G163" s="65">
        <f t="shared" si="150"/>
        <v>17.260879278453405</v>
      </c>
      <c r="H163" s="65">
        <f t="shared" si="150"/>
        <v>22.400936544733206</v>
      </c>
      <c r="I163" s="65">
        <f t="shared" si="150"/>
        <v>36.080898305595532</v>
      </c>
      <c r="J163" s="65">
        <f t="shared" si="150"/>
        <v>34.124246962068185</v>
      </c>
      <c r="K163" s="65">
        <f t="shared" si="150"/>
        <v>37.289023261112717</v>
      </c>
      <c r="L163" s="65">
        <f t="shared" si="150"/>
        <v>50.095987100022683</v>
      </c>
      <c r="M163" s="65">
        <f t="shared" si="150"/>
        <v>47.586321672765621</v>
      </c>
      <c r="N163" s="65">
        <f t="shared" si="150"/>
        <v>79.391657443533319</v>
      </c>
      <c r="O163" s="65">
        <f t="shared" si="150"/>
        <v>58.804131144663209</v>
      </c>
      <c r="P163" s="65">
        <f t="shared" si="150"/>
        <v>59.438707474349705</v>
      </c>
      <c r="Q163" s="65">
        <f t="shared" si="150"/>
        <v>78.959450617216078</v>
      </c>
      <c r="R163" s="65">
        <f t="shared" si="150"/>
        <v>68.30937775850181</v>
      </c>
      <c r="S163" s="65">
        <f t="shared" si="150"/>
        <v>74.460027783037347</v>
      </c>
      <c r="T163" s="65">
        <f t="shared" si="150"/>
        <v>67.230965175505844</v>
      </c>
      <c r="U163" s="65">
        <f t="shared" si="150"/>
        <v>76.893429441825617</v>
      </c>
      <c r="V163" s="65">
        <f t="shared" si="150"/>
        <v>70.952033859788628</v>
      </c>
      <c r="W163" s="65">
        <f t="shared" si="150"/>
        <v>83.108367100061812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216.39727858449029</v>
      </c>
      <c r="C164" s="65">
        <f t="shared" ref="C164:W164" si="152">IF(C110=0,0,C110/C$23)</f>
        <v>256.24599926151478</v>
      </c>
      <c r="D164" s="65">
        <f t="shared" si="152"/>
        <v>128.00308209827162</v>
      </c>
      <c r="E164" s="65">
        <f t="shared" si="152"/>
        <v>300.64332720886148</v>
      </c>
      <c r="F164" s="65">
        <f t="shared" si="152"/>
        <v>345.46532404596365</v>
      </c>
      <c r="G164" s="65">
        <f t="shared" si="152"/>
        <v>367.82535153841195</v>
      </c>
      <c r="H164" s="65">
        <f t="shared" si="152"/>
        <v>377.9430481945634</v>
      </c>
      <c r="I164" s="65">
        <f t="shared" si="152"/>
        <v>392.78785795453894</v>
      </c>
      <c r="J164" s="65">
        <f t="shared" si="152"/>
        <v>397.71742901430594</v>
      </c>
      <c r="K164" s="65">
        <f t="shared" si="152"/>
        <v>407.45353527880894</v>
      </c>
      <c r="L164" s="65">
        <f t="shared" si="152"/>
        <v>422.43929312274514</v>
      </c>
      <c r="M164" s="65">
        <f t="shared" si="152"/>
        <v>446.30827034181385</v>
      </c>
      <c r="N164" s="65">
        <f t="shared" si="152"/>
        <v>449.79781531416563</v>
      </c>
      <c r="O164" s="65">
        <f t="shared" si="152"/>
        <v>482.02325623483426</v>
      </c>
      <c r="P164" s="65">
        <f t="shared" si="152"/>
        <v>500.7930055228893</v>
      </c>
      <c r="Q164" s="65">
        <f t="shared" si="152"/>
        <v>508.10538242574756</v>
      </c>
      <c r="R164" s="65">
        <f t="shared" si="152"/>
        <v>520.14748591669286</v>
      </c>
      <c r="S164" s="65">
        <f t="shared" si="152"/>
        <v>528.68580322882065</v>
      </c>
      <c r="T164" s="65">
        <f t="shared" si="152"/>
        <v>531.65816697633863</v>
      </c>
      <c r="U164" s="65">
        <f t="shared" si="152"/>
        <v>512.7136942679233</v>
      </c>
      <c r="V164" s="65">
        <f t="shared" si="152"/>
        <v>498.37469469311282</v>
      </c>
      <c r="W164" s="65">
        <f t="shared" si="152"/>
        <v>558.72164877549596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372.0458509435162</v>
      </c>
      <c r="C165" s="68">
        <f t="shared" ref="C165:W165" si="154">IF(C111=0,0,C111/C$23)</f>
        <v>390.45965119873483</v>
      </c>
      <c r="D165" s="68">
        <f t="shared" si="154"/>
        <v>299.8976772648121</v>
      </c>
      <c r="E165" s="68">
        <f t="shared" si="154"/>
        <v>427.07961407389547</v>
      </c>
      <c r="F165" s="68">
        <f t="shared" si="154"/>
        <v>446.6542159050075</v>
      </c>
      <c r="G165" s="68">
        <f t="shared" si="154"/>
        <v>496.42526969160184</v>
      </c>
      <c r="H165" s="68">
        <f t="shared" si="154"/>
        <v>507.96462909212079</v>
      </c>
      <c r="I165" s="68">
        <f t="shared" si="154"/>
        <v>522.41839581018246</v>
      </c>
      <c r="J165" s="68">
        <f t="shared" si="154"/>
        <v>565.00914374592878</v>
      </c>
      <c r="K165" s="68">
        <f t="shared" si="154"/>
        <v>582.13649050868787</v>
      </c>
      <c r="L165" s="68">
        <f t="shared" si="154"/>
        <v>628.8529937487599</v>
      </c>
      <c r="M165" s="68">
        <f t="shared" si="154"/>
        <v>638.70261160455698</v>
      </c>
      <c r="N165" s="68">
        <f t="shared" si="154"/>
        <v>654.95539003824888</v>
      </c>
      <c r="O165" s="68">
        <f t="shared" si="154"/>
        <v>712.93007472545025</v>
      </c>
      <c r="P165" s="68">
        <f t="shared" si="154"/>
        <v>737.77841196614497</v>
      </c>
      <c r="Q165" s="68">
        <f t="shared" si="154"/>
        <v>739.22535680490557</v>
      </c>
      <c r="R165" s="68">
        <f t="shared" si="154"/>
        <v>732.36498277430269</v>
      </c>
      <c r="S165" s="68">
        <f t="shared" si="154"/>
        <v>721.21044485564516</v>
      </c>
      <c r="T165" s="68">
        <f t="shared" si="154"/>
        <v>747.7694466555098</v>
      </c>
      <c r="U165" s="68">
        <f t="shared" si="154"/>
        <v>753.84541532764183</v>
      </c>
      <c r="V165" s="68">
        <f t="shared" si="154"/>
        <v>699.71154334876576</v>
      </c>
      <c r="W165" s="68">
        <f t="shared" si="154"/>
        <v>752.72755596974309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273.87189131329507</v>
      </c>
      <c r="C167" s="82">
        <f t="shared" ref="C167:W167" si="156">IF(C113=0,0,C113/C$23)</f>
        <v>516.54674138036796</v>
      </c>
      <c r="D167" s="82">
        <f t="shared" si="156"/>
        <v>292.33080814464313</v>
      </c>
      <c r="E167" s="82">
        <f t="shared" si="156"/>
        <v>587.42497899602711</v>
      </c>
      <c r="F167" s="82">
        <f t="shared" si="156"/>
        <v>876.59094797329124</v>
      </c>
      <c r="G167" s="82">
        <f t="shared" si="156"/>
        <v>933.9948488648597</v>
      </c>
      <c r="H167" s="82">
        <f t="shared" si="156"/>
        <v>1228.9178505039545</v>
      </c>
      <c r="I167" s="82">
        <f t="shared" si="156"/>
        <v>1031.2257250167638</v>
      </c>
      <c r="J167" s="82">
        <f t="shared" si="156"/>
        <v>736.83967798924868</v>
      </c>
      <c r="K167" s="82">
        <f t="shared" si="156"/>
        <v>690.61464932048864</v>
      </c>
      <c r="L167" s="82">
        <f t="shared" si="156"/>
        <v>725.68184445771146</v>
      </c>
      <c r="M167" s="82">
        <f t="shared" si="156"/>
        <v>691.76032064327569</v>
      </c>
      <c r="N167" s="82">
        <f t="shared" si="156"/>
        <v>665.68291176054947</v>
      </c>
      <c r="O167" s="82">
        <f t="shared" si="156"/>
        <v>650.62204033406033</v>
      </c>
      <c r="P167" s="82">
        <f t="shared" si="156"/>
        <v>637.8268306904198</v>
      </c>
      <c r="Q167" s="82">
        <f t="shared" si="156"/>
        <v>601.46758794119012</v>
      </c>
      <c r="R167" s="82">
        <f t="shared" si="156"/>
        <v>598.31280542804768</v>
      </c>
      <c r="S167" s="82">
        <f t="shared" si="156"/>
        <v>661.88807639102424</v>
      </c>
      <c r="T167" s="82">
        <f t="shared" si="156"/>
        <v>671.86537080745904</v>
      </c>
      <c r="U167" s="82">
        <f t="shared" si="156"/>
        <v>658.23968853303472</v>
      </c>
      <c r="V167" s="82">
        <f t="shared" si="156"/>
        <v>618.01448801587435</v>
      </c>
      <c r="W167" s="82">
        <f t="shared" si="156"/>
        <v>708.75723303239602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273.87189131329507</v>
      </c>
      <c r="C168" s="64">
        <f t="shared" ref="C168:W168" si="158">IF(C114=0,0,C114/C$23)</f>
        <v>516.54674138036796</v>
      </c>
      <c r="D168" s="64">
        <f t="shared" si="158"/>
        <v>292.33080814464313</v>
      </c>
      <c r="E168" s="64">
        <f t="shared" si="158"/>
        <v>587.42497899602711</v>
      </c>
      <c r="F168" s="64">
        <f t="shared" si="158"/>
        <v>876.59094797329124</v>
      </c>
      <c r="G168" s="64">
        <f t="shared" si="158"/>
        <v>933.9948488648597</v>
      </c>
      <c r="H168" s="64">
        <f t="shared" si="158"/>
        <v>1228.9178505039545</v>
      </c>
      <c r="I168" s="64">
        <f t="shared" si="158"/>
        <v>1031.2257250167638</v>
      </c>
      <c r="J168" s="64">
        <f t="shared" si="158"/>
        <v>736.83967798924868</v>
      </c>
      <c r="K168" s="64">
        <f t="shared" si="158"/>
        <v>690.61464932048864</v>
      </c>
      <c r="L168" s="64">
        <f t="shared" si="158"/>
        <v>725.68184445771146</v>
      </c>
      <c r="M168" s="64">
        <f t="shared" si="158"/>
        <v>691.76032064327569</v>
      </c>
      <c r="N168" s="64">
        <f t="shared" si="158"/>
        <v>665.68291176054947</v>
      </c>
      <c r="O168" s="64">
        <f t="shared" si="158"/>
        <v>650.62204033406033</v>
      </c>
      <c r="P168" s="64">
        <f t="shared" si="158"/>
        <v>637.8268306904198</v>
      </c>
      <c r="Q168" s="64">
        <f t="shared" si="158"/>
        <v>601.46758794119012</v>
      </c>
      <c r="R168" s="64">
        <f t="shared" si="158"/>
        <v>598.31280542804768</v>
      </c>
      <c r="S168" s="64">
        <f t="shared" si="158"/>
        <v>661.88807639102424</v>
      </c>
      <c r="T168" s="64">
        <f t="shared" si="158"/>
        <v>671.86537080745904</v>
      </c>
      <c r="U168" s="64">
        <f t="shared" si="158"/>
        <v>658.23968853303472</v>
      </c>
      <c r="V168" s="64">
        <f t="shared" si="158"/>
        <v>618.01448801587435</v>
      </c>
      <c r="W168" s="64">
        <f t="shared" si="158"/>
        <v>708.75723303239602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214.86044588731431</v>
      </c>
      <c r="C169" s="65">
        <f t="shared" ref="C169:W169" si="160">IF(C115=0,0,C115/C$23)</f>
        <v>455.83930927419675</v>
      </c>
      <c r="D169" s="65">
        <f t="shared" si="160"/>
        <v>232.0765998110887</v>
      </c>
      <c r="E169" s="65">
        <f t="shared" si="160"/>
        <v>451.86207813111179</v>
      </c>
      <c r="F169" s="65">
        <f t="shared" si="160"/>
        <v>651.49874016386809</v>
      </c>
      <c r="G169" s="65">
        <f t="shared" si="160"/>
        <v>702.62821962692999</v>
      </c>
      <c r="H169" s="65">
        <f t="shared" si="160"/>
        <v>1016.5220922102754</v>
      </c>
      <c r="I169" s="65">
        <f t="shared" si="160"/>
        <v>806.16901761436156</v>
      </c>
      <c r="J169" s="65">
        <f t="shared" si="160"/>
        <v>575.91735159044561</v>
      </c>
      <c r="K169" s="65">
        <f t="shared" si="160"/>
        <v>516.55451683345382</v>
      </c>
      <c r="L169" s="65">
        <f t="shared" si="160"/>
        <v>542.86507476990619</v>
      </c>
      <c r="M169" s="65">
        <f t="shared" si="160"/>
        <v>526.21042519401124</v>
      </c>
      <c r="N169" s="65">
        <f t="shared" si="160"/>
        <v>499.46999734416954</v>
      </c>
      <c r="O169" s="65">
        <f t="shared" si="160"/>
        <v>471.16077942612526</v>
      </c>
      <c r="P169" s="65">
        <f t="shared" si="160"/>
        <v>449.09493763519964</v>
      </c>
      <c r="Q169" s="65">
        <f t="shared" si="160"/>
        <v>403.07932268214779</v>
      </c>
      <c r="R169" s="65">
        <f t="shared" si="160"/>
        <v>400.55681299584285</v>
      </c>
      <c r="S169" s="65">
        <f t="shared" si="160"/>
        <v>447.35915336297921</v>
      </c>
      <c r="T169" s="65">
        <f t="shared" si="160"/>
        <v>457.90732194170232</v>
      </c>
      <c r="U169" s="65">
        <f t="shared" si="160"/>
        <v>448.27347981434417</v>
      </c>
      <c r="V169" s="65">
        <f t="shared" si="160"/>
        <v>415.94649156841894</v>
      </c>
      <c r="W169" s="65">
        <f t="shared" si="160"/>
        <v>489.05450361264434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14.754125443486272</v>
      </c>
      <c r="C171" s="65">
        <f t="shared" ref="C171:W171" si="164">IF(C117=0,0,C117/C$23)</f>
        <v>16.778398809104857</v>
      </c>
      <c r="D171" s="65">
        <f t="shared" si="164"/>
        <v>30.844804673146939</v>
      </c>
      <c r="E171" s="65">
        <f t="shared" si="164"/>
        <v>54.605294149286308</v>
      </c>
      <c r="F171" s="65">
        <f t="shared" si="164"/>
        <v>79.469005816299273</v>
      </c>
      <c r="G171" s="65">
        <f t="shared" si="164"/>
        <v>79.992381040117735</v>
      </c>
      <c r="H171" s="65">
        <f t="shared" si="164"/>
        <v>76.78723431497437</v>
      </c>
      <c r="I171" s="65">
        <f t="shared" si="164"/>
        <v>67.472384931020557</v>
      </c>
      <c r="J171" s="65">
        <f t="shared" si="164"/>
        <v>59.671681952520458</v>
      </c>
      <c r="K171" s="65">
        <f t="shared" si="164"/>
        <v>81.412802658578755</v>
      </c>
      <c r="L171" s="65">
        <f t="shared" si="164"/>
        <v>83.742179066798741</v>
      </c>
      <c r="M171" s="65">
        <f t="shared" si="164"/>
        <v>76.141443779511192</v>
      </c>
      <c r="N171" s="65">
        <f t="shared" si="164"/>
        <v>78.166763840164748</v>
      </c>
      <c r="O171" s="65">
        <f t="shared" si="164"/>
        <v>88.639357300998498</v>
      </c>
      <c r="P171" s="65">
        <f t="shared" si="164"/>
        <v>95.765504659462238</v>
      </c>
      <c r="Q171" s="65">
        <f t="shared" si="164"/>
        <v>98.30031807622693</v>
      </c>
      <c r="R171" s="65">
        <f t="shared" si="164"/>
        <v>100.30607928451616</v>
      </c>
      <c r="S171" s="65">
        <f t="shared" si="164"/>
        <v>111.00522647271359</v>
      </c>
      <c r="T171" s="65">
        <f t="shared" si="164"/>
        <v>110.91298774038081</v>
      </c>
      <c r="U171" s="65">
        <f t="shared" si="164"/>
        <v>107.19837955005383</v>
      </c>
      <c r="V171" s="65">
        <f t="shared" si="164"/>
        <v>104.04663363138351</v>
      </c>
      <c r="W171" s="65">
        <f t="shared" si="164"/>
        <v>120.28137391424693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44.257319982494515</v>
      </c>
      <c r="C172" s="67">
        <f t="shared" ref="C172:W172" si="166">IF(C118=0,0,C118/C$23)</f>
        <v>43.929033297066312</v>
      </c>
      <c r="D172" s="67">
        <f t="shared" si="166"/>
        <v>29.409403660407452</v>
      </c>
      <c r="E172" s="67">
        <f t="shared" si="166"/>
        <v>80.957606715629097</v>
      </c>
      <c r="F172" s="67">
        <f t="shared" si="166"/>
        <v>145.62320199312396</v>
      </c>
      <c r="G172" s="67">
        <f t="shared" si="166"/>
        <v>151.37424819781199</v>
      </c>
      <c r="H172" s="67">
        <f t="shared" si="166"/>
        <v>135.6085239787046</v>
      </c>
      <c r="I172" s="67">
        <f t="shared" si="166"/>
        <v>157.58432247138163</v>
      </c>
      <c r="J172" s="67">
        <f t="shared" si="166"/>
        <v>101.25064444628264</v>
      </c>
      <c r="K172" s="67">
        <f t="shared" si="166"/>
        <v>92.647329828456193</v>
      </c>
      <c r="L172" s="67">
        <f t="shared" si="166"/>
        <v>99.074590621006564</v>
      </c>
      <c r="M172" s="67">
        <f t="shared" si="166"/>
        <v>89.408451669753177</v>
      </c>
      <c r="N172" s="67">
        <f t="shared" si="166"/>
        <v>88.046150576215183</v>
      </c>
      <c r="O172" s="67">
        <f t="shared" si="166"/>
        <v>90.821903606936559</v>
      </c>
      <c r="P172" s="67">
        <f t="shared" si="166"/>
        <v>92.966388395757946</v>
      </c>
      <c r="Q172" s="67">
        <f t="shared" si="166"/>
        <v>100.08794718281526</v>
      </c>
      <c r="R172" s="67">
        <f t="shared" si="166"/>
        <v>97.449913147688534</v>
      </c>
      <c r="S172" s="67">
        <f t="shared" si="166"/>
        <v>103.5236965553315</v>
      </c>
      <c r="T172" s="67">
        <f t="shared" si="166"/>
        <v>103.04506112537577</v>
      </c>
      <c r="U172" s="67">
        <f t="shared" si="166"/>
        <v>102.76782916863668</v>
      </c>
      <c r="V172" s="67">
        <f t="shared" si="166"/>
        <v>98.021362816071857</v>
      </c>
      <c r="W172" s="67">
        <f t="shared" si="166"/>
        <v>99.421355505504678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32838.432040694963</v>
      </c>
      <c r="C3" s="125">
        <f t="shared" si="0"/>
        <v>35719.937310639929</v>
      </c>
      <c r="D3" s="125">
        <f t="shared" si="0"/>
        <v>37157.052335049462</v>
      </c>
      <c r="E3" s="125">
        <f t="shared" si="0"/>
        <v>39857.436684495973</v>
      </c>
      <c r="F3" s="125">
        <f t="shared" si="0"/>
        <v>42566.644162568758</v>
      </c>
      <c r="G3" s="125">
        <f t="shared" si="0"/>
        <v>45911.161130593704</v>
      </c>
      <c r="H3" s="125">
        <f t="shared" si="0"/>
        <v>48661.475506371469</v>
      </c>
      <c r="I3" s="125">
        <f t="shared" si="0"/>
        <v>50002.958833310913</v>
      </c>
      <c r="J3" s="125">
        <f t="shared" si="0"/>
        <v>51532.110969474939</v>
      </c>
      <c r="K3" s="125">
        <f t="shared" si="0"/>
        <v>52665.52237225898</v>
      </c>
      <c r="L3" s="125">
        <f t="shared" si="0"/>
        <v>54791.046579909613</v>
      </c>
      <c r="M3" s="125">
        <f t="shared" si="0"/>
        <v>56960.981791148799</v>
      </c>
      <c r="N3" s="125">
        <f t="shared" si="0"/>
        <v>58420.510842979449</v>
      </c>
      <c r="O3" s="125">
        <f t="shared" si="0"/>
        <v>61170.742702579686</v>
      </c>
      <c r="P3" s="125">
        <f t="shared" si="0"/>
        <v>63725.85806256943</v>
      </c>
      <c r="Q3" s="125">
        <f t="shared" si="0"/>
        <v>66995.348380343828</v>
      </c>
      <c r="R3" s="125">
        <f t="shared" si="0"/>
        <v>69614.880293867405</v>
      </c>
      <c r="S3" s="125">
        <f t="shared" si="0"/>
        <v>72589.442341480491</v>
      </c>
      <c r="T3" s="125">
        <f t="shared" si="0"/>
        <v>74651.038519664944</v>
      </c>
      <c r="U3" s="125">
        <f t="shared" si="0"/>
        <v>76405.308553928699</v>
      </c>
      <c r="V3" s="125">
        <f t="shared" si="0"/>
        <v>77939.505555555545</v>
      </c>
      <c r="W3" s="125">
        <f t="shared" si="0"/>
        <v>79309.081703577554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32838.432040694963</v>
      </c>
      <c r="C4" s="140">
        <f t="shared" si="1"/>
        <v>35719.937310639929</v>
      </c>
      <c r="D4" s="140">
        <f t="shared" si="1"/>
        <v>37157.052335049462</v>
      </c>
      <c r="E4" s="140">
        <f t="shared" si="1"/>
        <v>39857.436684495973</v>
      </c>
      <c r="F4" s="140">
        <f t="shared" si="1"/>
        <v>42566.644162568758</v>
      </c>
      <c r="G4" s="140">
        <f t="shared" si="1"/>
        <v>45911.161130593704</v>
      </c>
      <c r="H4" s="140">
        <f t="shared" si="1"/>
        <v>48661.475506371469</v>
      </c>
      <c r="I4" s="140">
        <f t="shared" si="1"/>
        <v>50002.958833310913</v>
      </c>
      <c r="J4" s="140">
        <f t="shared" si="1"/>
        <v>51532.110969474939</v>
      </c>
      <c r="K4" s="140">
        <f t="shared" si="1"/>
        <v>52665.52237225898</v>
      </c>
      <c r="L4" s="140">
        <f t="shared" si="1"/>
        <v>54791.046579909613</v>
      </c>
      <c r="M4" s="140">
        <f t="shared" si="1"/>
        <v>56960.981791148799</v>
      </c>
      <c r="N4" s="140">
        <f t="shared" si="1"/>
        <v>58420.510842979449</v>
      </c>
      <c r="O4" s="140">
        <f t="shared" si="1"/>
        <v>61170.742702579686</v>
      </c>
      <c r="P4" s="140">
        <f t="shared" si="1"/>
        <v>63725.85806256943</v>
      </c>
      <c r="Q4" s="140">
        <f t="shared" si="1"/>
        <v>66995.348380343828</v>
      </c>
      <c r="R4" s="140">
        <f t="shared" ref="R4:W4" si="2">SUM(R5:R14)</f>
        <v>69614.880293867405</v>
      </c>
      <c r="S4" s="140">
        <f t="shared" si="2"/>
        <v>72589.442341480491</v>
      </c>
      <c r="T4" s="140">
        <f t="shared" si="2"/>
        <v>74651.038519664944</v>
      </c>
      <c r="U4" s="140">
        <f t="shared" si="2"/>
        <v>76405.308553928699</v>
      </c>
      <c r="V4" s="140">
        <f t="shared" si="2"/>
        <v>77939.505555555545</v>
      </c>
      <c r="W4" s="140">
        <f t="shared" si="2"/>
        <v>79309.081703577554</v>
      </c>
      <c r="DA4" s="170" t="s">
        <v>245</v>
      </c>
    </row>
    <row r="5" spans="1:105" ht="12" customHeight="1" x14ac:dyDescent="0.25">
      <c r="A5" s="132" t="s">
        <v>29</v>
      </c>
      <c r="B5" s="141">
        <v>212.81607959950509</v>
      </c>
      <c r="C5" s="141">
        <v>208.0357699124005</v>
      </c>
      <c r="D5" s="141">
        <v>195.63027332937622</v>
      </c>
      <c r="E5" s="141">
        <v>139.46287898089841</v>
      </c>
      <c r="F5" s="141">
        <v>81.558804060743014</v>
      </c>
      <c r="G5" s="141">
        <v>41.876668627985566</v>
      </c>
      <c r="H5" s="141">
        <v>42.02570225734901</v>
      </c>
      <c r="I5" s="141">
        <v>33.18030324865228</v>
      </c>
      <c r="J5" s="141">
        <v>23.646562189538873</v>
      </c>
      <c r="K5" s="141">
        <v>17.665977129662291</v>
      </c>
      <c r="L5" s="141">
        <v>20.845526822665484</v>
      </c>
      <c r="M5" s="141">
        <v>27.26617454297017</v>
      </c>
      <c r="N5" s="141">
        <v>27.978716207215228</v>
      </c>
      <c r="O5" s="141">
        <v>31.596214812633193</v>
      </c>
      <c r="P5" s="141">
        <v>33.695253970969794</v>
      </c>
      <c r="Q5" s="141">
        <v>35.051764454108906</v>
      </c>
      <c r="R5" s="141">
        <v>39.747532795154505</v>
      </c>
      <c r="S5" s="141">
        <v>0</v>
      </c>
      <c r="T5" s="141">
        <v>33.337548364564427</v>
      </c>
      <c r="U5" s="141">
        <v>25.243344837480048</v>
      </c>
      <c r="V5" s="141">
        <v>14.192153618161205</v>
      </c>
      <c r="W5" s="141">
        <v>9.5903042740872095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2391.657180066637</v>
      </c>
      <c r="C7" s="141">
        <v>5371.1279851008594</v>
      </c>
      <c r="D7" s="141">
        <v>9117.2242959580544</v>
      </c>
      <c r="E7" s="141">
        <v>9738.1837245106781</v>
      </c>
      <c r="F7" s="141">
        <v>10764.286154631296</v>
      </c>
      <c r="G7" s="141">
        <v>9062.2823810194714</v>
      </c>
      <c r="H7" s="141">
        <v>7560.1551880841271</v>
      </c>
      <c r="I7" s="141">
        <v>7223.4744251360644</v>
      </c>
      <c r="J7" s="141">
        <v>6591.5612597303116</v>
      </c>
      <c r="K7" s="141">
        <v>5752.0369311893219</v>
      </c>
      <c r="L7" s="141">
        <v>5936.1470797453776</v>
      </c>
      <c r="M7" s="141">
        <v>7518.3584548189383</v>
      </c>
      <c r="N7" s="141">
        <v>8101.9036000538608</v>
      </c>
      <c r="O7" s="141">
        <v>8152.7558037145573</v>
      </c>
      <c r="P7" s="141">
        <v>8234.8408565653208</v>
      </c>
      <c r="Q7" s="141">
        <v>9199.6386558285685</v>
      </c>
      <c r="R7" s="141">
        <v>10740.474426810786</v>
      </c>
      <c r="S7" s="141">
        <v>13028.115903972735</v>
      </c>
      <c r="T7" s="141">
        <v>14896.961401200982</v>
      </c>
      <c r="U7" s="141">
        <v>16968.931597568495</v>
      </c>
      <c r="V7" s="141">
        <v>18871.424091568158</v>
      </c>
      <c r="W7" s="141">
        <v>22142.019333210847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7545.7584145570245</v>
      </c>
      <c r="C9" s="141">
        <v>8023.715272790334</v>
      </c>
      <c r="D9" s="141">
        <v>9042.3230430920066</v>
      </c>
      <c r="E9" s="141">
        <v>13163.76105623994</v>
      </c>
      <c r="F9" s="141">
        <v>17641.950357200869</v>
      </c>
      <c r="G9" s="141">
        <v>21938.710552913486</v>
      </c>
      <c r="H9" s="141">
        <v>26665.620527516294</v>
      </c>
      <c r="I9" s="141">
        <v>26773.431717429168</v>
      </c>
      <c r="J9" s="141">
        <v>27304.389462462019</v>
      </c>
      <c r="K9" s="141">
        <v>28005.176732364438</v>
      </c>
      <c r="L9" s="141">
        <v>28647.131693550527</v>
      </c>
      <c r="M9" s="141">
        <v>28986.926773731699</v>
      </c>
      <c r="N9" s="141">
        <v>30073.61131302287</v>
      </c>
      <c r="O9" s="141">
        <v>33045.275150305824</v>
      </c>
      <c r="P9" s="141">
        <v>35310.897762235421</v>
      </c>
      <c r="Q9" s="141">
        <v>36517.547152751089</v>
      </c>
      <c r="R9" s="141">
        <v>36956.51127729455</v>
      </c>
      <c r="S9" s="141">
        <v>38375.760188616303</v>
      </c>
      <c r="T9" s="141">
        <v>39525.430272781516</v>
      </c>
      <c r="U9" s="141">
        <v>40301.340491550705</v>
      </c>
      <c r="V9" s="141">
        <v>40844.829745760268</v>
      </c>
      <c r="W9" s="141">
        <v>39583.858756250884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4196.7496220715411</v>
      </c>
      <c r="D10" s="141">
        <v>6232.9574507324014</v>
      </c>
      <c r="E10" s="141">
        <v>5963.0183853488543</v>
      </c>
      <c r="F10" s="141">
        <v>5294.735599454395</v>
      </c>
      <c r="G10" s="141">
        <v>4646.9281534255106</v>
      </c>
      <c r="H10" s="141">
        <v>4191.9246236519957</v>
      </c>
      <c r="I10" s="141">
        <v>4157.8216435174281</v>
      </c>
      <c r="J10" s="141">
        <v>4309.5720974581527</v>
      </c>
      <c r="K10" s="141">
        <v>4206.6795320781157</v>
      </c>
      <c r="L10" s="141">
        <v>3848.8855846121228</v>
      </c>
      <c r="M10" s="141">
        <v>3005.4388593316421</v>
      </c>
      <c r="N10" s="141">
        <v>2631.8732145888503</v>
      </c>
      <c r="O10" s="141">
        <v>2768.5857831088051</v>
      </c>
      <c r="P10" s="141">
        <v>3715.3068229004239</v>
      </c>
      <c r="Q10" s="141">
        <v>5294.142619310267</v>
      </c>
      <c r="R10" s="141">
        <v>6186.6074467263643</v>
      </c>
      <c r="S10" s="141">
        <v>6165.1983133309404</v>
      </c>
      <c r="T10" s="141">
        <v>5867.1772543733869</v>
      </c>
      <c r="U10" s="141">
        <v>5683.6117846125589</v>
      </c>
      <c r="V10" s="141">
        <v>5527.1043988553811</v>
      </c>
      <c r="W10" s="141">
        <v>5423.8654812575778</v>
      </c>
      <c r="DA10" s="171" t="s">
        <v>251</v>
      </c>
    </row>
    <row r="11" spans="1:105" ht="12" customHeight="1" x14ac:dyDescent="0.25">
      <c r="A11" s="132" t="s">
        <v>25</v>
      </c>
      <c r="B11" s="141">
        <v>167.54074804637986</v>
      </c>
      <c r="C11" s="141">
        <v>310.65064330582453</v>
      </c>
      <c r="D11" s="141">
        <v>524.80235098598303</v>
      </c>
      <c r="E11" s="141">
        <v>520.74289187723014</v>
      </c>
      <c r="F11" s="141">
        <v>442.03570067864644</v>
      </c>
      <c r="G11" s="141">
        <v>375.68897639747416</v>
      </c>
      <c r="H11" s="141">
        <v>342.49311365714459</v>
      </c>
      <c r="I11" s="141">
        <v>434.60228053078941</v>
      </c>
      <c r="J11" s="141">
        <v>564.67150341111051</v>
      </c>
      <c r="K11" s="141">
        <v>591.49707666098288</v>
      </c>
      <c r="L11" s="141">
        <v>495.24105688049093</v>
      </c>
      <c r="M11" s="141">
        <v>569.63621932238414</v>
      </c>
      <c r="N11" s="141">
        <v>724.66161967162827</v>
      </c>
      <c r="O11" s="141">
        <v>1008.246620112591</v>
      </c>
      <c r="P11" s="141">
        <v>1266.8611125025243</v>
      </c>
      <c r="Q11" s="141">
        <v>1475.9432873839005</v>
      </c>
      <c r="R11" s="141">
        <v>1675.9772948887953</v>
      </c>
      <c r="S11" s="141">
        <v>1822.1032751412008</v>
      </c>
      <c r="T11" s="141">
        <v>1753.2102417330668</v>
      </c>
      <c r="U11" s="141">
        <v>1507.6212148475181</v>
      </c>
      <c r="V11" s="141">
        <v>898.50899503759979</v>
      </c>
      <c r="W11" s="141">
        <v>525.9846595028564</v>
      </c>
      <c r="DA11" s="171" t="s">
        <v>252</v>
      </c>
    </row>
    <row r="12" spans="1:105" ht="12" customHeight="1" x14ac:dyDescent="0.25">
      <c r="A12" s="132" t="s">
        <v>169</v>
      </c>
      <c r="B12" s="141">
        <v>16194.584184477484</v>
      </c>
      <c r="C12" s="141">
        <v>12584.786504910959</v>
      </c>
      <c r="D12" s="141">
        <v>8948.0294013475577</v>
      </c>
      <c r="E12" s="141">
        <v>7346.388562100502</v>
      </c>
      <c r="F12" s="141">
        <v>6788.0237161783589</v>
      </c>
      <c r="G12" s="141">
        <v>8067.580016312224</v>
      </c>
      <c r="H12" s="141">
        <v>8040.9846910162451</v>
      </c>
      <c r="I12" s="141">
        <v>8737.7259883389142</v>
      </c>
      <c r="J12" s="141">
        <v>9564.6237603962581</v>
      </c>
      <c r="K12" s="141">
        <v>10140.98909275499</v>
      </c>
      <c r="L12" s="141">
        <v>11035.090628963306</v>
      </c>
      <c r="M12" s="141">
        <v>12246.075362343961</v>
      </c>
      <c r="N12" s="141">
        <v>13298.820374747069</v>
      </c>
      <c r="O12" s="141">
        <v>13830.682538395207</v>
      </c>
      <c r="P12" s="141">
        <v>13702.407300037758</v>
      </c>
      <c r="Q12" s="141">
        <v>13605.574868888598</v>
      </c>
      <c r="R12" s="141">
        <v>13381.231414273256</v>
      </c>
      <c r="S12" s="141">
        <v>12670.573372161096</v>
      </c>
      <c r="T12" s="141">
        <v>12052.707933463935</v>
      </c>
      <c r="U12" s="141">
        <v>11402.322993809626</v>
      </c>
      <c r="V12" s="141">
        <v>11271.071353642501</v>
      </c>
      <c r="W12" s="141">
        <v>11104.479917980705</v>
      </c>
      <c r="DA12" s="171" t="s">
        <v>253</v>
      </c>
    </row>
    <row r="13" spans="1:105" ht="12" customHeight="1" x14ac:dyDescent="0.25">
      <c r="A13" s="132" t="s">
        <v>77</v>
      </c>
      <c r="B13" s="141">
        <v>0</v>
      </c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254</v>
      </c>
    </row>
    <row r="14" spans="1:105" ht="12" customHeight="1" x14ac:dyDescent="0.25">
      <c r="A14" s="60" t="s">
        <v>76</v>
      </c>
      <c r="B14" s="142">
        <v>6326.075433947929</v>
      </c>
      <c r="C14" s="142">
        <v>5024.8715125480066</v>
      </c>
      <c r="D14" s="142">
        <v>3096.0855196040807</v>
      </c>
      <c r="E14" s="142">
        <v>2985.8791854378715</v>
      </c>
      <c r="F14" s="142">
        <v>1554.0538303644496</v>
      </c>
      <c r="G14" s="142">
        <v>1778.09438189755</v>
      </c>
      <c r="H14" s="142">
        <v>1818.2716601883094</v>
      </c>
      <c r="I14" s="142">
        <v>2642.7224751099052</v>
      </c>
      <c r="J14" s="142">
        <v>3173.6463238275451</v>
      </c>
      <c r="K14" s="142">
        <v>3951.4770300814666</v>
      </c>
      <c r="L14" s="142">
        <v>4807.7050093351208</v>
      </c>
      <c r="M14" s="142">
        <v>4607.2799470572036</v>
      </c>
      <c r="N14" s="142">
        <v>3561.6620046879539</v>
      </c>
      <c r="O14" s="142">
        <v>2333.6005921300571</v>
      </c>
      <c r="P14" s="142">
        <v>1461.8489543570035</v>
      </c>
      <c r="Q14" s="142">
        <v>867.45003172729503</v>
      </c>
      <c r="R14" s="142">
        <v>634.33090107850103</v>
      </c>
      <c r="S14" s="142">
        <v>527.69128825820962</v>
      </c>
      <c r="T14" s="142">
        <v>522.21386774748453</v>
      </c>
      <c r="U14" s="142">
        <v>516.23712670231191</v>
      </c>
      <c r="V14" s="142">
        <v>512.37481707347308</v>
      </c>
      <c r="W14" s="142">
        <v>519.28325110060246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26512.356606747031</v>
      </c>
      <c r="C15" s="144">
        <f t="shared" si="3"/>
        <v>30695.06579809192</v>
      </c>
      <c r="D15" s="144">
        <f t="shared" si="3"/>
        <v>34060.966815445383</v>
      </c>
      <c r="E15" s="144">
        <f t="shared" si="3"/>
        <v>36871.557499058101</v>
      </c>
      <c r="F15" s="144">
        <f t="shared" si="3"/>
        <v>41012.590332204309</v>
      </c>
      <c r="G15" s="144">
        <f t="shared" si="3"/>
        <v>44133.066748696154</v>
      </c>
      <c r="H15" s="144">
        <f t="shared" si="3"/>
        <v>46843.203846183162</v>
      </c>
      <c r="I15" s="144">
        <f t="shared" si="3"/>
        <v>47360.236358201008</v>
      </c>
      <c r="J15" s="144">
        <f t="shared" si="3"/>
        <v>48358.464645647393</v>
      </c>
      <c r="K15" s="144">
        <f t="shared" si="3"/>
        <v>48714.045342177516</v>
      </c>
      <c r="L15" s="144">
        <f t="shared" si="3"/>
        <v>49983.341570574492</v>
      </c>
      <c r="M15" s="144">
        <f t="shared" si="3"/>
        <v>52353.701844091593</v>
      </c>
      <c r="N15" s="144">
        <f t="shared" si="3"/>
        <v>54858.848838291495</v>
      </c>
      <c r="O15" s="144">
        <f t="shared" si="3"/>
        <v>58837.142110449626</v>
      </c>
      <c r="P15" s="144">
        <f t="shared" si="3"/>
        <v>62264.009108212427</v>
      </c>
      <c r="Q15" s="144">
        <f t="shared" si="3"/>
        <v>66127.898348616538</v>
      </c>
      <c r="R15" s="144">
        <f t="shared" ref="R15:W15" si="4">SUM(R5:R12)</f>
        <v>68980.549392788904</v>
      </c>
      <c r="S15" s="144">
        <f t="shared" si="4"/>
        <v>72061.75105322228</v>
      </c>
      <c r="T15" s="144">
        <f t="shared" si="4"/>
        <v>74128.824651917457</v>
      </c>
      <c r="U15" s="144">
        <f t="shared" si="4"/>
        <v>75889.071427226387</v>
      </c>
      <c r="V15" s="144">
        <f t="shared" si="4"/>
        <v>77427.130738482068</v>
      </c>
      <c r="W15" s="144">
        <f t="shared" si="4"/>
        <v>78789.798452476956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30.499952655268483</v>
      </c>
      <c r="C16" s="140">
        <f t="shared" si="5"/>
        <v>430.66696156913213</v>
      </c>
      <c r="D16" s="140">
        <f t="shared" si="5"/>
        <v>957.34778834992085</v>
      </c>
      <c r="E16" s="140">
        <f t="shared" si="5"/>
        <v>1420.683303724566</v>
      </c>
      <c r="F16" s="140">
        <f t="shared" si="5"/>
        <v>2015.7042320252328</v>
      </c>
      <c r="G16" s="140">
        <f t="shared" si="5"/>
        <v>2539.2972886861671</v>
      </c>
      <c r="H16" s="140">
        <f t="shared" si="5"/>
        <v>3263.8469208889519</v>
      </c>
      <c r="I16" s="140">
        <f t="shared" si="5"/>
        <v>4005.4918016653137</v>
      </c>
      <c r="J16" s="140">
        <f t="shared" si="5"/>
        <v>4799.6076131308128</v>
      </c>
      <c r="K16" s="140">
        <f t="shared" si="5"/>
        <v>5482.8202363556693</v>
      </c>
      <c r="L16" s="140">
        <f t="shared" si="5"/>
        <v>6057.7774690828846</v>
      </c>
      <c r="M16" s="140">
        <f t="shared" si="5"/>
        <v>6848.9659148712162</v>
      </c>
      <c r="N16" s="140">
        <f t="shared" si="5"/>
        <v>7595.7525706553661</v>
      </c>
      <c r="O16" s="140">
        <f t="shared" si="5"/>
        <v>8239.7083700826224</v>
      </c>
      <c r="P16" s="140">
        <f t="shared" si="5"/>
        <v>8994.5007278188532</v>
      </c>
      <c r="Q16" s="140">
        <f t="shared" si="5"/>
        <v>9604.2633812810636</v>
      </c>
      <c r="R16" s="140">
        <f t="shared" ref="R16:W16" si="6">SUM(R17:R18)</f>
        <v>9883.9251314555968</v>
      </c>
      <c r="S16" s="140">
        <f t="shared" si="6"/>
        <v>10292.792843756348</v>
      </c>
      <c r="T16" s="140">
        <f t="shared" si="6"/>
        <v>10639.723033010716</v>
      </c>
      <c r="U16" s="140">
        <f t="shared" si="6"/>
        <v>11050.677571888513</v>
      </c>
      <c r="V16" s="140">
        <f t="shared" si="6"/>
        <v>10997.20014777279</v>
      </c>
      <c r="W16" s="140">
        <f t="shared" si="6"/>
        <v>11385.683950252447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30.499952655268483</v>
      </c>
      <c r="C18" s="141">
        <v>430.66696156913213</v>
      </c>
      <c r="D18" s="141">
        <v>957.34778834992085</v>
      </c>
      <c r="E18" s="141">
        <v>1420.683303724566</v>
      </c>
      <c r="F18" s="141">
        <v>2015.7042320252328</v>
      </c>
      <c r="G18" s="141">
        <v>2539.2972886861671</v>
      </c>
      <c r="H18" s="141">
        <v>3263.8469208889519</v>
      </c>
      <c r="I18" s="141">
        <v>4005.4918016653137</v>
      </c>
      <c r="J18" s="141">
        <v>4799.6076131308128</v>
      </c>
      <c r="K18" s="141">
        <v>5482.8202363556693</v>
      </c>
      <c r="L18" s="141">
        <v>6057.7774690828846</v>
      </c>
      <c r="M18" s="141">
        <v>6848.9659148712162</v>
      </c>
      <c r="N18" s="141">
        <v>7595.7525706553661</v>
      </c>
      <c r="O18" s="141">
        <v>8239.7083700826224</v>
      </c>
      <c r="P18" s="141">
        <v>8994.5007278188532</v>
      </c>
      <c r="Q18" s="141">
        <v>9604.2633812810636</v>
      </c>
      <c r="R18" s="141">
        <v>9883.9251314555968</v>
      </c>
      <c r="S18" s="141">
        <v>10292.792843756348</v>
      </c>
      <c r="T18" s="141">
        <v>10639.723033010716</v>
      </c>
      <c r="U18" s="141">
        <v>11050.677571888513</v>
      </c>
      <c r="V18" s="141">
        <v>10997.20014777279</v>
      </c>
      <c r="W18" s="141">
        <v>11385.683950252447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32838.432040694963</v>
      </c>
      <c r="C19" s="140">
        <f t="shared" si="7"/>
        <v>35719.937310639929</v>
      </c>
      <c r="D19" s="140">
        <f t="shared" si="7"/>
        <v>37157.052335049462</v>
      </c>
      <c r="E19" s="140">
        <f t="shared" si="7"/>
        <v>39857.43668449598</v>
      </c>
      <c r="F19" s="140">
        <f t="shared" si="7"/>
        <v>42566.644162568751</v>
      </c>
      <c r="G19" s="140">
        <f t="shared" si="7"/>
        <v>45911.161130593689</v>
      </c>
      <c r="H19" s="140">
        <f t="shared" si="7"/>
        <v>48661.475506371469</v>
      </c>
      <c r="I19" s="140">
        <f t="shared" si="7"/>
        <v>50002.958833310913</v>
      </c>
      <c r="J19" s="140">
        <f t="shared" si="7"/>
        <v>51532.110969474932</v>
      </c>
      <c r="K19" s="140">
        <f t="shared" si="7"/>
        <v>52665.52237225898</v>
      </c>
      <c r="L19" s="140">
        <f t="shared" si="7"/>
        <v>54791.046579909598</v>
      </c>
      <c r="M19" s="140">
        <f t="shared" si="7"/>
        <v>56960.981791148821</v>
      </c>
      <c r="N19" s="140">
        <f t="shared" si="7"/>
        <v>58420.510842979449</v>
      </c>
      <c r="O19" s="140">
        <f t="shared" si="7"/>
        <v>61170.742702579686</v>
      </c>
      <c r="P19" s="140">
        <f t="shared" si="7"/>
        <v>63725.858062569445</v>
      </c>
      <c r="Q19" s="140">
        <f t="shared" si="7"/>
        <v>66995.348380343828</v>
      </c>
      <c r="R19" s="140">
        <f t="shared" ref="R19:W19" si="8">SUM(R20:R26)</f>
        <v>69614.880293867376</v>
      </c>
      <c r="S19" s="140">
        <f t="shared" si="8"/>
        <v>72589.442341480506</v>
      </c>
      <c r="T19" s="140">
        <f t="shared" si="8"/>
        <v>74651.038519664959</v>
      </c>
      <c r="U19" s="140">
        <f t="shared" si="8"/>
        <v>76405.308553928728</v>
      </c>
      <c r="V19" s="140">
        <f t="shared" si="8"/>
        <v>77939.50555555553</v>
      </c>
      <c r="W19" s="140">
        <f t="shared" si="8"/>
        <v>79309.081703577467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5070.9828680604778</v>
      </c>
      <c r="C22" s="141">
        <v>6330.4688041387972</v>
      </c>
      <c r="D22" s="141">
        <v>7506.7934649627496</v>
      </c>
      <c r="E22" s="141">
        <v>7373.1599056610467</v>
      </c>
      <c r="F22" s="141">
        <v>7056.6519782377445</v>
      </c>
      <c r="G22" s="141">
        <v>5866.5227280120462</v>
      </c>
      <c r="H22" s="141">
        <v>4456.3119370396953</v>
      </c>
      <c r="I22" s="141">
        <v>3674.5647432210135</v>
      </c>
      <c r="J22" s="141">
        <v>3275.2558521237552</v>
      </c>
      <c r="K22" s="141">
        <v>3214.0171278704802</v>
      </c>
      <c r="L22" s="141">
        <v>3386.779223799284</v>
      </c>
      <c r="M22" s="141">
        <v>3878.0651233508902</v>
      </c>
      <c r="N22" s="141">
        <v>4840.9991839124432</v>
      </c>
      <c r="O22" s="141">
        <v>6028.1533733374063</v>
      </c>
      <c r="P22" s="141">
        <v>6799.2666782633551</v>
      </c>
      <c r="Q22" s="141">
        <v>7579.3420844893135</v>
      </c>
      <c r="R22" s="141">
        <v>8475.0618868363017</v>
      </c>
      <c r="S22" s="141">
        <v>10239.356456976408</v>
      </c>
      <c r="T22" s="141">
        <v>11876.200275977295</v>
      </c>
      <c r="U22" s="141">
        <v>13440.709602851342</v>
      </c>
      <c r="V22" s="141">
        <v>14946.342922960117</v>
      </c>
      <c r="W22" s="141">
        <v>17500.779052020007</v>
      </c>
      <c r="DA22" s="171" t="s">
        <v>262</v>
      </c>
    </row>
    <row r="23" spans="1:105" ht="12" customHeight="1" x14ac:dyDescent="0.25">
      <c r="A23" s="132" t="s">
        <v>153</v>
      </c>
      <c r="B23" s="141">
        <v>4196.0003772606624</v>
      </c>
      <c r="C23" s="141">
        <v>4954.4772436372205</v>
      </c>
      <c r="D23" s="141">
        <v>7849.2164004864553</v>
      </c>
      <c r="E23" s="141">
        <v>10267.052732642394</v>
      </c>
      <c r="F23" s="141">
        <v>14397.76101176874</v>
      </c>
      <c r="G23" s="141">
        <v>17588.214908398757</v>
      </c>
      <c r="H23" s="141">
        <v>19877.209513561447</v>
      </c>
      <c r="I23" s="141">
        <v>19550.459430531639</v>
      </c>
      <c r="J23" s="141">
        <v>20194.912012034092</v>
      </c>
      <c r="K23" s="141">
        <v>22241.208022365448</v>
      </c>
      <c r="L23" s="141">
        <v>23759.793974073618</v>
      </c>
      <c r="M23" s="141">
        <v>23810.594523962878</v>
      </c>
      <c r="N23" s="141">
        <v>23078.822825715204</v>
      </c>
      <c r="O23" s="141">
        <v>24250.855029767084</v>
      </c>
      <c r="P23" s="141">
        <v>26309.62091638743</v>
      </c>
      <c r="Q23" s="141">
        <v>29499.439112045118</v>
      </c>
      <c r="R23" s="141">
        <v>32237.697534457817</v>
      </c>
      <c r="S23" s="141">
        <v>35037.205064975591</v>
      </c>
      <c r="T23" s="141">
        <v>36381.047806689152</v>
      </c>
      <c r="U23" s="141">
        <v>37285.053217825043</v>
      </c>
      <c r="V23" s="141">
        <v>37708.040406537119</v>
      </c>
      <c r="W23" s="141">
        <v>37238.538286697709</v>
      </c>
      <c r="DA23" s="171" t="s">
        <v>263</v>
      </c>
    </row>
    <row r="24" spans="1:105" ht="12" customHeight="1" x14ac:dyDescent="0.25">
      <c r="A24" s="132" t="s">
        <v>128</v>
      </c>
      <c r="B24" s="141">
        <v>4571.1077157608361</v>
      </c>
      <c r="C24" s="141">
        <v>4509.1293966696503</v>
      </c>
      <c r="D24" s="141">
        <v>4145.420912128754</v>
      </c>
      <c r="E24" s="141">
        <v>3938.2560226866626</v>
      </c>
      <c r="F24" s="141">
        <v>3121.5456632209189</v>
      </c>
      <c r="G24" s="141">
        <v>2287.7703187039529</v>
      </c>
      <c r="H24" s="141">
        <v>2007.418508699473</v>
      </c>
      <c r="I24" s="141">
        <v>1892.9213758665855</v>
      </c>
      <c r="J24" s="141">
        <v>1897.0299673923905</v>
      </c>
      <c r="K24" s="141">
        <v>1976.6011546323414</v>
      </c>
      <c r="L24" s="141">
        <v>2134.4048999455326</v>
      </c>
      <c r="M24" s="141">
        <v>2299.4028609713368</v>
      </c>
      <c r="N24" s="141">
        <v>2463.6088076367696</v>
      </c>
      <c r="O24" s="141">
        <v>2576.0270121083208</v>
      </c>
      <c r="P24" s="141">
        <v>2622.991511487437</v>
      </c>
      <c r="Q24" s="141">
        <v>2576.7950002086077</v>
      </c>
      <c r="R24" s="141">
        <v>2417.6528694278481</v>
      </c>
      <c r="S24" s="141">
        <v>2238.1619637583549</v>
      </c>
      <c r="T24" s="141">
        <v>2136.3286565946182</v>
      </c>
      <c r="U24" s="141">
        <v>1920.8262095058803</v>
      </c>
      <c r="V24" s="141">
        <v>1731.1570272921292</v>
      </c>
      <c r="W24" s="141">
        <v>1649.5268750246878</v>
      </c>
      <c r="DA24" s="171" t="s">
        <v>264</v>
      </c>
    </row>
    <row r="25" spans="1:105" ht="12" customHeight="1" x14ac:dyDescent="0.25">
      <c r="A25" s="132" t="s">
        <v>169</v>
      </c>
      <c r="B25" s="141">
        <v>12147.937450637237</v>
      </c>
      <c r="C25" s="141">
        <v>10540.532355267962</v>
      </c>
      <c r="D25" s="141">
        <v>8291.5089547744647</v>
      </c>
      <c r="E25" s="141">
        <v>5498.6119873843927</v>
      </c>
      <c r="F25" s="141">
        <v>4590.3548709879369</v>
      </c>
      <c r="G25" s="141">
        <v>4855.5791992237992</v>
      </c>
      <c r="H25" s="141">
        <v>5366.4641075318532</v>
      </c>
      <c r="I25" s="141">
        <v>6186.3586400515669</v>
      </c>
      <c r="J25" s="141">
        <v>7252.3733009815005</v>
      </c>
      <c r="K25" s="141">
        <v>8094.3791226131925</v>
      </c>
      <c r="L25" s="141">
        <v>8979.1046786004008</v>
      </c>
      <c r="M25" s="141">
        <v>9796.7625970724366</v>
      </c>
      <c r="N25" s="141">
        <v>10490.706649333568</v>
      </c>
      <c r="O25" s="141">
        <v>10815.409843790909</v>
      </c>
      <c r="P25" s="141">
        <v>10718.49157820041</v>
      </c>
      <c r="Q25" s="141">
        <v>10606.76821526773</v>
      </c>
      <c r="R25" s="141">
        <v>10357.984488926309</v>
      </c>
      <c r="S25" s="141">
        <v>9866.8227041196042</v>
      </c>
      <c r="T25" s="141">
        <v>9382.7557809901027</v>
      </c>
      <c r="U25" s="141">
        <v>8928.842343853692</v>
      </c>
      <c r="V25" s="141">
        <v>8722.5086332495848</v>
      </c>
      <c r="W25" s="141">
        <v>8499.8885607057327</v>
      </c>
      <c r="DA25" s="171" t="s">
        <v>265</v>
      </c>
    </row>
    <row r="26" spans="1:105" ht="12" customHeight="1" x14ac:dyDescent="0.25">
      <c r="A26" s="132" t="s">
        <v>24</v>
      </c>
      <c r="B26" s="142">
        <v>6852.4036289757469</v>
      </c>
      <c r="C26" s="142">
        <v>9385.3295109262963</v>
      </c>
      <c r="D26" s="142">
        <v>9364.1126026970378</v>
      </c>
      <c r="E26" s="142">
        <v>12780.356036121484</v>
      </c>
      <c r="F26" s="142">
        <v>13400.330638353409</v>
      </c>
      <c r="G26" s="142">
        <v>15313.073976255138</v>
      </c>
      <c r="H26" s="142">
        <v>16954.071439538999</v>
      </c>
      <c r="I26" s="142">
        <v>18698.654643640108</v>
      </c>
      <c r="J26" s="142">
        <v>18912.539836943193</v>
      </c>
      <c r="K26" s="142">
        <v>17139.316944777514</v>
      </c>
      <c r="L26" s="142">
        <v>16530.963803490766</v>
      </c>
      <c r="M26" s="142">
        <v>17176.15668579128</v>
      </c>
      <c r="N26" s="142">
        <v>17546.37337638146</v>
      </c>
      <c r="O26" s="142">
        <v>17500.297443575961</v>
      </c>
      <c r="P26" s="142">
        <v>17275.48737823081</v>
      </c>
      <c r="Q26" s="142">
        <v>16733.003968333061</v>
      </c>
      <c r="R26" s="142">
        <v>16126.483514219106</v>
      </c>
      <c r="S26" s="142">
        <v>15207.896151650553</v>
      </c>
      <c r="T26" s="142">
        <v>14874.705999413782</v>
      </c>
      <c r="U26" s="142">
        <v>14829.877179892766</v>
      </c>
      <c r="V26" s="142">
        <v>14831.456565516584</v>
      </c>
      <c r="W26" s="142">
        <v>14420.348929129332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12.077449213301911</v>
      </c>
      <c r="J27" s="151">
        <v>0</v>
      </c>
      <c r="K27" s="151">
        <v>0</v>
      </c>
      <c r="L27" s="151">
        <v>38.214238503541516</v>
      </c>
      <c r="M27" s="151">
        <v>24.620480655871919</v>
      </c>
      <c r="N27" s="151">
        <v>49.538500266945285</v>
      </c>
      <c r="O27" s="151">
        <v>24.313608548450226</v>
      </c>
      <c r="P27" s="151">
        <v>24.029364633716693</v>
      </c>
      <c r="Q27" s="151">
        <v>11.814218906342028</v>
      </c>
      <c r="R27" s="151">
        <v>11.796987775842103</v>
      </c>
      <c r="S27" s="151">
        <v>30.366266499226292</v>
      </c>
      <c r="T27" s="151">
        <v>28.221047577994153</v>
      </c>
      <c r="U27" s="151">
        <v>34.297733722854076</v>
      </c>
      <c r="V27" s="151">
        <v>20.282592457010892</v>
      </c>
      <c r="W27" s="151">
        <v>192.47979276971171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32838.432040694963</v>
      </c>
      <c r="C29" s="140">
        <f t="shared" si="9"/>
        <v>35719.937310639922</v>
      </c>
      <c r="D29" s="140">
        <f t="shared" si="9"/>
        <v>37157.052335049462</v>
      </c>
      <c r="E29" s="140">
        <f t="shared" si="9"/>
        <v>39857.43668449598</v>
      </c>
      <c r="F29" s="140">
        <f t="shared" si="9"/>
        <v>42566.644162568744</v>
      </c>
      <c r="G29" s="140">
        <f t="shared" si="9"/>
        <v>45911.161130593711</v>
      </c>
      <c r="H29" s="140">
        <f t="shared" si="9"/>
        <v>48661.475506371469</v>
      </c>
      <c r="I29" s="140">
        <f t="shared" si="9"/>
        <v>50002.958833310913</v>
      </c>
      <c r="J29" s="140">
        <f t="shared" si="9"/>
        <v>51532.110969474939</v>
      </c>
      <c r="K29" s="140">
        <f t="shared" si="9"/>
        <v>52665.52237225898</v>
      </c>
      <c r="L29" s="140">
        <f t="shared" si="9"/>
        <v>54791.046579909598</v>
      </c>
      <c r="M29" s="140">
        <f t="shared" si="9"/>
        <v>56960.981791148792</v>
      </c>
      <c r="N29" s="140">
        <f t="shared" si="9"/>
        <v>58420.510842979435</v>
      </c>
      <c r="O29" s="140">
        <f t="shared" si="9"/>
        <v>61170.742702579664</v>
      </c>
      <c r="P29" s="140">
        <f t="shared" si="9"/>
        <v>63725.858062569467</v>
      </c>
      <c r="Q29" s="140">
        <f t="shared" si="9"/>
        <v>66995.348380343828</v>
      </c>
      <c r="R29" s="140">
        <f t="shared" ref="R29:W29" si="10">SUM(R30:R33)</f>
        <v>69614.880293867376</v>
      </c>
      <c r="S29" s="140">
        <f t="shared" si="10"/>
        <v>72589.442341480491</v>
      </c>
      <c r="T29" s="140">
        <f t="shared" si="10"/>
        <v>74651.038519664929</v>
      </c>
      <c r="U29" s="140">
        <f t="shared" si="10"/>
        <v>76405.308553928742</v>
      </c>
      <c r="V29" s="140">
        <f t="shared" si="10"/>
        <v>77939.505555555545</v>
      </c>
      <c r="W29" s="140">
        <f t="shared" si="10"/>
        <v>79309.081703577482</v>
      </c>
      <c r="DA29" s="170" t="s">
        <v>268</v>
      </c>
    </row>
    <row r="30" spans="1:105" ht="12" customHeight="1" x14ac:dyDescent="0.25">
      <c r="A30" s="132" t="s">
        <v>52</v>
      </c>
      <c r="B30" s="141">
        <v>2759.8775896785655</v>
      </c>
      <c r="C30" s="141">
        <v>3869.9258944464354</v>
      </c>
      <c r="D30" s="141">
        <v>5592.7065724489767</v>
      </c>
      <c r="E30" s="141">
        <v>7999.5826553764628</v>
      </c>
      <c r="F30" s="141">
        <v>11378.538520036296</v>
      </c>
      <c r="G30" s="141">
        <v>11672.670761678575</v>
      </c>
      <c r="H30" s="141">
        <v>11410.777659422667</v>
      </c>
      <c r="I30" s="141">
        <v>11065.325417625465</v>
      </c>
      <c r="J30" s="141">
        <v>7216.3641025126417</v>
      </c>
      <c r="K30" s="141">
        <v>4776.2737924740804</v>
      </c>
      <c r="L30" s="141">
        <v>3159.7747990249313</v>
      </c>
      <c r="M30" s="141">
        <v>2823.7472799728807</v>
      </c>
      <c r="N30" s="141">
        <v>3052.6245494581854</v>
      </c>
      <c r="O30" s="141">
        <v>3424.80731160612</v>
      </c>
      <c r="P30" s="141">
        <v>4092.8252772625146</v>
      </c>
      <c r="Q30" s="141">
        <v>4704.186393513447</v>
      </c>
      <c r="R30" s="141">
        <v>4956.7331716832723</v>
      </c>
      <c r="S30" s="141">
        <v>5067.3018883201494</v>
      </c>
      <c r="T30" s="141">
        <v>5064.6123458819211</v>
      </c>
      <c r="U30" s="141">
        <v>4990.4222124108919</v>
      </c>
      <c r="V30" s="141">
        <v>4878.7586463413554</v>
      </c>
      <c r="W30" s="141">
        <v>4714.5470883665639</v>
      </c>
      <c r="DA30" s="171" t="s">
        <v>269</v>
      </c>
    </row>
    <row r="31" spans="1:105" ht="12" customHeight="1" x14ac:dyDescent="0.25">
      <c r="A31" s="132" t="s">
        <v>153</v>
      </c>
      <c r="B31" s="141">
        <v>7555.4765776990835</v>
      </c>
      <c r="C31" s="141">
        <v>9433.5551512017428</v>
      </c>
      <c r="D31" s="141">
        <v>11517.579301764972</v>
      </c>
      <c r="E31" s="141">
        <v>15901.710663946851</v>
      </c>
      <c r="F31" s="141">
        <v>21792.649906064311</v>
      </c>
      <c r="G31" s="141">
        <v>24923.459243070076</v>
      </c>
      <c r="H31" s="141">
        <v>25498.727529255819</v>
      </c>
      <c r="I31" s="141">
        <v>25008.682556995958</v>
      </c>
      <c r="J31" s="141">
        <v>23880.443356895656</v>
      </c>
      <c r="K31" s="141">
        <v>22622.572714363992</v>
      </c>
      <c r="L31" s="141">
        <v>22045.675942457678</v>
      </c>
      <c r="M31" s="141">
        <v>21445.366008279474</v>
      </c>
      <c r="N31" s="141">
        <v>20773.23191208666</v>
      </c>
      <c r="O31" s="141">
        <v>20493.666917822011</v>
      </c>
      <c r="P31" s="141">
        <v>20684.352893618056</v>
      </c>
      <c r="Q31" s="141">
        <v>21909.94363166322</v>
      </c>
      <c r="R31" s="141">
        <v>23306.016341657079</v>
      </c>
      <c r="S31" s="141">
        <v>25075.408682439214</v>
      </c>
      <c r="T31" s="141">
        <v>26000.37517554604</v>
      </c>
      <c r="U31" s="141">
        <v>26717.931007935404</v>
      </c>
      <c r="V31" s="141">
        <v>27404.835910526846</v>
      </c>
      <c r="W31" s="141">
        <v>27398.023021899571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22523.077873317314</v>
      </c>
      <c r="C33" s="153">
        <v>22416.456264991743</v>
      </c>
      <c r="D33" s="153">
        <v>20046.766460835512</v>
      </c>
      <c r="E33" s="153">
        <v>15956.143365172666</v>
      </c>
      <c r="F33" s="153">
        <v>9395.4557364681386</v>
      </c>
      <c r="G33" s="153">
        <v>9315.0311258450583</v>
      </c>
      <c r="H33" s="153">
        <v>11751.970317692982</v>
      </c>
      <c r="I33" s="153">
        <v>13928.950858689492</v>
      </c>
      <c r="J33" s="153">
        <v>20435.303510066642</v>
      </c>
      <c r="K33" s="153">
        <v>25266.675865420908</v>
      </c>
      <c r="L33" s="153">
        <v>29585.595838426994</v>
      </c>
      <c r="M33" s="153">
        <v>32691.868502896439</v>
      </c>
      <c r="N33" s="153">
        <v>34594.654381434593</v>
      </c>
      <c r="O33" s="153">
        <v>37252.268473151533</v>
      </c>
      <c r="P33" s="153">
        <v>38948.679891688895</v>
      </c>
      <c r="Q33" s="153">
        <v>40381.218355167162</v>
      </c>
      <c r="R33" s="153">
        <v>41352.130780527033</v>
      </c>
      <c r="S33" s="153">
        <v>42446.731770721126</v>
      </c>
      <c r="T33" s="153">
        <v>43586.050998236962</v>
      </c>
      <c r="U33" s="153">
        <v>44696.955333582453</v>
      </c>
      <c r="V33" s="153">
        <v>45655.910998687337</v>
      </c>
      <c r="W33" s="153">
        <v>47196.511593311348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1064.292450817612</v>
      </c>
      <c r="C3" s="126">
        <f t="shared" si="0"/>
        <v>1457.7428641866532</v>
      </c>
      <c r="D3" s="126">
        <f t="shared" si="0"/>
        <v>681.73780436859386</v>
      </c>
      <c r="E3" s="126">
        <f t="shared" si="0"/>
        <v>1237.8096575230452</v>
      </c>
      <c r="F3" s="126">
        <f t="shared" si="0"/>
        <v>1449.5193971894391</v>
      </c>
      <c r="G3" s="126">
        <f t="shared" si="0"/>
        <v>1877.8545074545077</v>
      </c>
      <c r="H3" s="126">
        <f t="shared" si="0"/>
        <v>2455.4410957604746</v>
      </c>
      <c r="I3" s="126">
        <f t="shared" si="0"/>
        <v>2119.3035261096156</v>
      </c>
      <c r="J3" s="126">
        <f t="shared" si="0"/>
        <v>1743.2336959460852</v>
      </c>
      <c r="K3" s="126">
        <f t="shared" si="0"/>
        <v>1636.0745304688025</v>
      </c>
      <c r="L3" s="126">
        <f t="shared" si="0"/>
        <v>1742.7898928782861</v>
      </c>
      <c r="M3" s="126">
        <f t="shared" si="0"/>
        <v>1636.3279037634525</v>
      </c>
      <c r="N3" s="126">
        <f t="shared" si="0"/>
        <v>1593.161683361418</v>
      </c>
      <c r="O3" s="126">
        <f t="shared" si="0"/>
        <v>1550.8158036945365</v>
      </c>
      <c r="P3" s="126">
        <f t="shared" si="0"/>
        <v>1506.2349961664258</v>
      </c>
      <c r="Q3" s="126">
        <f t="shared" si="0"/>
        <v>1544.8015640631518</v>
      </c>
      <c r="R3" s="126">
        <f t="shared" ref="R3:W3" si="1">SUM(R4,R16,R19,R29)</f>
        <v>1587.4109994314013</v>
      </c>
      <c r="S3" s="126">
        <f t="shared" si="1"/>
        <v>1668.827815867628</v>
      </c>
      <c r="T3" s="126">
        <f t="shared" si="1"/>
        <v>1683.8015852599867</v>
      </c>
      <c r="U3" s="126">
        <f t="shared" si="1"/>
        <v>1662.0168967821282</v>
      </c>
      <c r="V3" s="126">
        <f t="shared" si="1"/>
        <v>1527.8739616961516</v>
      </c>
      <c r="W3" s="126">
        <f t="shared" si="1"/>
        <v>1698.0868149207186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824.8368954573408</v>
      </c>
      <c r="C4" s="131">
        <f t="shared" si="2"/>
        <v>1191.9347207548553</v>
      </c>
      <c r="D4" s="131">
        <f t="shared" si="2"/>
        <v>497.55970102919798</v>
      </c>
      <c r="E4" s="131">
        <f t="shared" si="2"/>
        <v>916.66480929844715</v>
      </c>
      <c r="F4" s="131">
        <f t="shared" si="2"/>
        <v>1049.4048493512807</v>
      </c>
      <c r="G4" s="131">
        <f t="shared" si="2"/>
        <v>1446.0694039827374</v>
      </c>
      <c r="H4" s="131">
        <f t="shared" si="2"/>
        <v>1994.6736048390844</v>
      </c>
      <c r="I4" s="131">
        <f t="shared" si="2"/>
        <v>1635.452524036059</v>
      </c>
      <c r="J4" s="131">
        <f t="shared" si="2"/>
        <v>1262.4173158454939</v>
      </c>
      <c r="K4" s="131">
        <f t="shared" si="2"/>
        <v>1147.8573838726484</v>
      </c>
      <c r="L4" s="131">
        <f t="shared" si="2"/>
        <v>1241.8041379292433</v>
      </c>
      <c r="M4" s="131">
        <f t="shared" si="2"/>
        <v>1117.6073065832013</v>
      </c>
      <c r="N4" s="131">
        <f t="shared" si="2"/>
        <v>1059.7346543934721</v>
      </c>
      <c r="O4" s="131">
        <f t="shared" si="2"/>
        <v>983.85528153948735</v>
      </c>
      <c r="P4" s="131">
        <f t="shared" si="2"/>
        <v>912.76529689369681</v>
      </c>
      <c r="Q4" s="131">
        <f t="shared" si="2"/>
        <v>913.44932441784624</v>
      </c>
      <c r="R4" s="131">
        <f t="shared" ref="R4:W4" si="3">SUM(R5:R15)</f>
        <v>951.46963778101883</v>
      </c>
      <c r="S4" s="131">
        <f t="shared" si="3"/>
        <v>1017.6021838377874</v>
      </c>
      <c r="T4" s="131">
        <f t="shared" si="3"/>
        <v>1026.3807014976742</v>
      </c>
      <c r="U4" s="131">
        <f t="shared" si="3"/>
        <v>1007.0952628873647</v>
      </c>
      <c r="V4" s="131">
        <f t="shared" si="3"/>
        <v>915.9015613290652</v>
      </c>
      <c r="W4" s="131">
        <f t="shared" si="3"/>
        <v>1031.9995108866092</v>
      </c>
      <c r="DA4" s="156" t="s">
        <v>213</v>
      </c>
    </row>
    <row r="5" spans="1:105" ht="12" customHeight="1" x14ac:dyDescent="0.25">
      <c r="A5" s="132" t="s">
        <v>29</v>
      </c>
      <c r="B5" s="133">
        <v>3.6036973344797936</v>
      </c>
      <c r="C5" s="133">
        <v>7.3535683576956155</v>
      </c>
      <c r="D5" s="133">
        <v>4.4060189165950145</v>
      </c>
      <c r="E5" s="133">
        <v>2.7844368013757514</v>
      </c>
      <c r="F5" s="133">
        <v>1.1445399828030953</v>
      </c>
      <c r="G5" s="133">
        <v>0.37179707652622501</v>
      </c>
      <c r="H5" s="133">
        <v>2.9208082545141871</v>
      </c>
      <c r="I5" s="133">
        <v>1.3739466895958721</v>
      </c>
      <c r="J5" s="133">
        <v>0.38890799656061903</v>
      </c>
      <c r="K5" s="133">
        <v>0.18993981083404995</v>
      </c>
      <c r="L5" s="133">
        <v>0.55288048151332747</v>
      </c>
      <c r="M5" s="133">
        <v>0.76096302665520177</v>
      </c>
      <c r="N5" s="133">
        <v>0.41547721410146177</v>
      </c>
      <c r="O5" s="133">
        <v>0.60834049871023199</v>
      </c>
      <c r="P5" s="133">
        <v>0.40696474634565755</v>
      </c>
      <c r="Q5" s="133">
        <v>0.4431642304385206</v>
      </c>
      <c r="R5" s="133">
        <v>0.8826311263972485</v>
      </c>
      <c r="S5" s="133">
        <v>0</v>
      </c>
      <c r="T5" s="133">
        <v>0.65107480653482364</v>
      </c>
      <c r="U5" s="133">
        <v>0.40851246775580402</v>
      </c>
      <c r="V5" s="133">
        <v>7.8417884780739494E-2</v>
      </c>
      <c r="W5" s="133">
        <v>0.14015477214101457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78.178549012878548</v>
      </c>
      <c r="C7" s="133">
        <v>116.54494123229603</v>
      </c>
      <c r="D7" s="133">
        <v>205.96006031544979</v>
      </c>
      <c r="E7" s="133">
        <v>197.34064308838165</v>
      </c>
      <c r="F7" s="133">
        <v>374.09098717115705</v>
      </c>
      <c r="G7" s="133">
        <v>351.24384177396104</v>
      </c>
      <c r="H7" s="133">
        <v>210.26140308323221</v>
      </c>
      <c r="I7" s="133">
        <v>320.27168158246025</v>
      </c>
      <c r="J7" s="133">
        <v>244.46273650474245</v>
      </c>
      <c r="K7" s="133">
        <v>100.06049695883709</v>
      </c>
      <c r="L7" s="133">
        <v>105.90696006035198</v>
      </c>
      <c r="M7" s="133">
        <v>226.02528682043453</v>
      </c>
      <c r="N7" s="133">
        <v>189.92504632244976</v>
      </c>
      <c r="O7" s="133">
        <v>143.98906412760556</v>
      </c>
      <c r="P7" s="133">
        <v>131.62274330016305</v>
      </c>
      <c r="Q7" s="133">
        <v>140.05194545956488</v>
      </c>
      <c r="R7" s="133">
        <v>146.23884365351088</v>
      </c>
      <c r="S7" s="133">
        <v>198.58939758193378</v>
      </c>
      <c r="T7" s="133">
        <v>217.05097312189594</v>
      </c>
      <c r="U7" s="133">
        <v>221.97061350176298</v>
      </c>
      <c r="V7" s="133">
        <v>204.49899223233658</v>
      </c>
      <c r="W7" s="133">
        <v>324.38644633091769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184.20777631635613</v>
      </c>
      <c r="C9" s="133">
        <v>457.37112760796902</v>
      </c>
      <c r="D9" s="133">
        <v>46.040130474351066</v>
      </c>
      <c r="E9" s="133">
        <v>355.18257280829653</v>
      </c>
      <c r="F9" s="133">
        <v>469.44480734926617</v>
      </c>
      <c r="G9" s="133">
        <v>583.0552265227816</v>
      </c>
      <c r="H9" s="133">
        <v>1325.486696776868</v>
      </c>
      <c r="I9" s="133">
        <v>866.85975646234681</v>
      </c>
      <c r="J9" s="133">
        <v>600.75160682830938</v>
      </c>
      <c r="K9" s="133">
        <v>688.32308009063638</v>
      </c>
      <c r="L9" s="133">
        <v>698.49118467709889</v>
      </c>
      <c r="M9" s="133">
        <v>532.05597224330029</v>
      </c>
      <c r="N9" s="133">
        <v>546.82872437365779</v>
      </c>
      <c r="O9" s="133">
        <v>561.06071002887506</v>
      </c>
      <c r="P9" s="133">
        <v>543.8755559479157</v>
      </c>
      <c r="Q9" s="133">
        <v>494.85723825692014</v>
      </c>
      <c r="R9" s="133">
        <v>495.09029264985548</v>
      </c>
      <c r="S9" s="133">
        <v>536.45114320594996</v>
      </c>
      <c r="T9" s="133">
        <v>538.58170626296987</v>
      </c>
      <c r="U9" s="133">
        <v>531.08676886964395</v>
      </c>
      <c r="V9" s="133">
        <v>493.75822999306234</v>
      </c>
      <c r="W9" s="133">
        <v>476.93009700876758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121.02794244165889</v>
      </c>
      <c r="D10" s="133">
        <v>137.07918796346894</v>
      </c>
      <c r="E10" s="133">
        <v>132.57057475125015</v>
      </c>
      <c r="F10" s="133">
        <v>109.62548927856606</v>
      </c>
      <c r="G10" s="133">
        <v>175.79777636323897</v>
      </c>
      <c r="H10" s="133">
        <v>163.21152945315683</v>
      </c>
      <c r="I10" s="133">
        <v>134.85331035906592</v>
      </c>
      <c r="J10" s="133">
        <v>123.79617683307784</v>
      </c>
      <c r="K10" s="133">
        <v>108.6641056185738</v>
      </c>
      <c r="L10" s="133">
        <v>114.10269481204038</v>
      </c>
      <c r="M10" s="133">
        <v>53.09219979630884</v>
      </c>
      <c r="N10" s="133">
        <v>53.353645563673247</v>
      </c>
      <c r="O10" s="133">
        <v>41.743935279994247</v>
      </c>
      <c r="P10" s="133">
        <v>43.889428226031434</v>
      </c>
      <c r="Q10" s="133">
        <v>99.982990782805061</v>
      </c>
      <c r="R10" s="133">
        <v>119.56600708696914</v>
      </c>
      <c r="S10" s="133">
        <v>100.48115812958113</v>
      </c>
      <c r="T10" s="133">
        <v>94.430816515662158</v>
      </c>
      <c r="U10" s="133">
        <v>96.375104411874162</v>
      </c>
      <c r="V10" s="133">
        <v>79.868458796737698</v>
      </c>
      <c r="W10" s="133">
        <v>89.580712746271701</v>
      </c>
      <c r="DA10" s="157" t="s">
        <v>279</v>
      </c>
    </row>
    <row r="11" spans="1:105" ht="12" customHeight="1" x14ac:dyDescent="0.25">
      <c r="A11" s="132" t="s">
        <v>25</v>
      </c>
      <c r="B11" s="133">
        <v>4.4902837489251937</v>
      </c>
      <c r="C11" s="133">
        <v>2.6511607910576096</v>
      </c>
      <c r="D11" s="133">
        <v>8.2879621668099741</v>
      </c>
      <c r="E11" s="133">
        <v>10.007652622527939</v>
      </c>
      <c r="F11" s="133">
        <v>5.7800515907136711</v>
      </c>
      <c r="G11" s="133">
        <v>11.010834049871024</v>
      </c>
      <c r="H11" s="133">
        <v>6.6398968185726552</v>
      </c>
      <c r="I11" s="133">
        <v>7.2847807394668962</v>
      </c>
      <c r="J11" s="133">
        <v>14.617368873602754</v>
      </c>
      <c r="K11" s="133">
        <v>13.112639724849529</v>
      </c>
      <c r="L11" s="133">
        <v>4.2276010318142756</v>
      </c>
      <c r="M11" s="133">
        <v>8.4790197764402429</v>
      </c>
      <c r="N11" s="133">
        <v>8.9805674978503909</v>
      </c>
      <c r="O11" s="133">
        <v>13.470937231298365</v>
      </c>
      <c r="P11" s="133">
        <v>15.501117798796223</v>
      </c>
      <c r="Q11" s="133">
        <v>15.333877901977642</v>
      </c>
      <c r="R11" s="133">
        <v>18.749441100601882</v>
      </c>
      <c r="S11" s="133">
        <v>21.833619948409279</v>
      </c>
      <c r="T11" s="133">
        <v>21.309458297506438</v>
      </c>
      <c r="U11" s="133">
        <v>21.165348237317275</v>
      </c>
      <c r="V11" s="133">
        <v>5.7616509028374905</v>
      </c>
      <c r="W11" s="133">
        <v>5.4816852966466065</v>
      </c>
      <c r="DA11" s="157" t="s">
        <v>280</v>
      </c>
    </row>
    <row r="12" spans="1:105" ht="12" customHeight="1" x14ac:dyDescent="0.25">
      <c r="A12" s="132" t="s">
        <v>169</v>
      </c>
      <c r="B12" s="133">
        <v>404.57866572937058</v>
      </c>
      <c r="C12" s="133">
        <v>273.40015869954181</v>
      </c>
      <c r="D12" s="133">
        <v>91.139389420105502</v>
      </c>
      <c r="E12" s="133">
        <v>109.49624563454763</v>
      </c>
      <c r="F12" s="133">
        <v>77.533570426007373</v>
      </c>
      <c r="G12" s="133">
        <v>270.52613316174427</v>
      </c>
      <c r="H12" s="133">
        <v>219.90544005952964</v>
      </c>
      <c r="I12" s="133">
        <v>197.55454614602678</v>
      </c>
      <c r="J12" s="133">
        <v>209.43002005018727</v>
      </c>
      <c r="K12" s="133">
        <v>167.5517433726198</v>
      </c>
      <c r="L12" s="133">
        <v>186.44870949086095</v>
      </c>
      <c r="M12" s="133">
        <v>193.82138775945324</v>
      </c>
      <c r="N12" s="133">
        <v>200.07309282987816</v>
      </c>
      <c r="O12" s="133">
        <v>187.27403548818506</v>
      </c>
      <c r="P12" s="133">
        <v>151.77935075026684</v>
      </c>
      <c r="Q12" s="133">
        <v>148.89411574836544</v>
      </c>
      <c r="R12" s="133">
        <v>156.40843636469108</v>
      </c>
      <c r="S12" s="133">
        <v>145.20219848395743</v>
      </c>
      <c r="T12" s="133">
        <v>138.75388668935292</v>
      </c>
      <c r="U12" s="133">
        <v>120.7442951315474</v>
      </c>
      <c r="V12" s="133">
        <v>118.00957907650461</v>
      </c>
      <c r="W12" s="133">
        <v>119.41539773050242</v>
      </c>
      <c r="DA12" s="157" t="s">
        <v>281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282</v>
      </c>
    </row>
    <row r="14" spans="1:105" ht="12" customHeight="1" x14ac:dyDescent="0.25">
      <c r="A14" s="60" t="s">
        <v>76</v>
      </c>
      <c r="B14" s="65">
        <v>145.79478034929252</v>
      </c>
      <c r="C14" s="65">
        <v>206.45811362307677</v>
      </c>
      <c r="D14" s="65">
        <v>1.2003897385825639</v>
      </c>
      <c r="E14" s="65">
        <v>102.82205659240368</v>
      </c>
      <c r="F14" s="65">
        <v>2.7920565383185956</v>
      </c>
      <c r="G14" s="65">
        <v>43.155585310599278</v>
      </c>
      <c r="H14" s="65">
        <v>49.294408224139445</v>
      </c>
      <c r="I14" s="65">
        <v>94.368367586115951</v>
      </c>
      <c r="J14" s="65">
        <v>59.504734274081819</v>
      </c>
      <c r="K14" s="65">
        <v>61.106368684360213</v>
      </c>
      <c r="L14" s="65">
        <v>123.04355443115927</v>
      </c>
      <c r="M14" s="65">
        <v>95.199797729759098</v>
      </c>
      <c r="N14" s="65">
        <v>52.102271412329998</v>
      </c>
      <c r="O14" s="65">
        <v>27.936822974506395</v>
      </c>
      <c r="P14" s="65">
        <v>18.278492984169233</v>
      </c>
      <c r="Q14" s="65">
        <v>6.5962902647858339</v>
      </c>
      <c r="R14" s="65">
        <v>6.9634605373763341</v>
      </c>
      <c r="S14" s="65">
        <v>6.4822157148415078</v>
      </c>
      <c r="T14" s="65">
        <v>6.7170069400478933</v>
      </c>
      <c r="U14" s="65">
        <v>6.4106748817141277</v>
      </c>
      <c r="V14" s="65">
        <v>5.6054667916610494</v>
      </c>
      <c r="W14" s="65">
        <v>6.5187837723179447</v>
      </c>
      <c r="DA14" s="109" t="s">
        <v>283</v>
      </c>
    </row>
    <row r="15" spans="1:105" ht="12" customHeight="1" x14ac:dyDescent="0.25">
      <c r="A15" s="134" t="s">
        <v>80</v>
      </c>
      <c r="B15" s="135">
        <v>3.9831429660380735</v>
      </c>
      <c r="C15" s="135">
        <v>7.1277080015595136</v>
      </c>
      <c r="D15" s="135">
        <v>3.4465620338351393</v>
      </c>
      <c r="E15" s="135">
        <v>6.4606269996636945</v>
      </c>
      <c r="F15" s="135">
        <v>8.9933470144487213</v>
      </c>
      <c r="G15" s="135">
        <v>10.908209724014972</v>
      </c>
      <c r="H15" s="135">
        <v>16.953422169071484</v>
      </c>
      <c r="I15" s="135">
        <v>12.886134470980485</v>
      </c>
      <c r="J15" s="135">
        <v>9.4657644849316505</v>
      </c>
      <c r="K15" s="135">
        <v>8.8490096119376638</v>
      </c>
      <c r="L15" s="135">
        <v>9.030552944404155</v>
      </c>
      <c r="M15" s="135">
        <v>8.1726794308499322</v>
      </c>
      <c r="N15" s="135">
        <v>8.0558291795312176</v>
      </c>
      <c r="O15" s="135">
        <v>7.7714359103124355</v>
      </c>
      <c r="P15" s="135">
        <v>7.4116431400085521</v>
      </c>
      <c r="Q15" s="135">
        <v>7.2897017729887628</v>
      </c>
      <c r="R15" s="135">
        <v>7.5705252616168348</v>
      </c>
      <c r="S15" s="135">
        <v>8.5624507731143673</v>
      </c>
      <c r="T15" s="135">
        <v>8.8857788637039548</v>
      </c>
      <c r="U15" s="135">
        <v>8.9339453857489399</v>
      </c>
      <c r="V15" s="135">
        <v>8.3207656511448516</v>
      </c>
      <c r="W15" s="135">
        <v>9.5462332290442511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4.5585945196761721E-2</v>
      </c>
      <c r="C16" s="131">
        <f t="shared" si="4"/>
        <v>0.49876282313251674</v>
      </c>
      <c r="D16" s="131">
        <f t="shared" si="4"/>
        <v>1.0340920606022825</v>
      </c>
      <c r="E16" s="131">
        <f t="shared" si="4"/>
        <v>1.5271363684148631</v>
      </c>
      <c r="F16" s="131">
        <f t="shared" si="4"/>
        <v>1.8590682624126016</v>
      </c>
      <c r="G16" s="131">
        <f t="shared" si="4"/>
        <v>2.3264914731619495</v>
      </c>
      <c r="H16" s="131">
        <f t="shared" si="4"/>
        <v>3.1375063021849208</v>
      </c>
      <c r="I16" s="131">
        <f t="shared" si="4"/>
        <v>5.0080305419924898</v>
      </c>
      <c r="J16" s="131">
        <f t="shared" si="4"/>
        <v>4.6536706639705123</v>
      </c>
      <c r="K16" s="131">
        <f t="shared" si="4"/>
        <v>4.9556576483176524</v>
      </c>
      <c r="L16" s="131">
        <f t="shared" si="4"/>
        <v>6.3339610375475424</v>
      </c>
      <c r="M16" s="131">
        <f t="shared" si="4"/>
        <v>5.9649671297352915</v>
      </c>
      <c r="N16" s="131">
        <f t="shared" si="4"/>
        <v>9.7865273319322252</v>
      </c>
      <c r="O16" s="131">
        <f t="shared" si="4"/>
        <v>7.0386205020772774</v>
      </c>
      <c r="P16" s="131">
        <f t="shared" si="4"/>
        <v>7.0030821180454801</v>
      </c>
      <c r="Q16" s="131">
        <f t="shared" si="4"/>
        <v>9.5421743441938567</v>
      </c>
      <c r="R16" s="131">
        <f t="shared" ref="R16:W16" si="5">SUM(R17:R18)</f>
        <v>8.1701473337748549</v>
      </c>
      <c r="S16" s="131">
        <f t="shared" si="5"/>
        <v>8.9248545064545279</v>
      </c>
      <c r="T16" s="131">
        <f t="shared" si="5"/>
        <v>7.8781080855806831</v>
      </c>
      <c r="U16" s="131">
        <f t="shared" si="5"/>
        <v>8.9589690643534965</v>
      </c>
      <c r="V16" s="131">
        <f t="shared" si="5"/>
        <v>8.0830391396916177</v>
      </c>
      <c r="W16" s="131">
        <f t="shared" si="5"/>
        <v>9.3252303316705305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4.5585945196761721E-2</v>
      </c>
      <c r="C18" s="133">
        <v>0.49876282313251674</v>
      </c>
      <c r="D18" s="133">
        <v>1.0340920606022825</v>
      </c>
      <c r="E18" s="133">
        <v>1.5271363684148631</v>
      </c>
      <c r="F18" s="133">
        <v>1.8590682624126016</v>
      </c>
      <c r="G18" s="133">
        <v>2.3264914731619495</v>
      </c>
      <c r="H18" s="133">
        <v>3.1375063021849208</v>
      </c>
      <c r="I18" s="133">
        <v>5.0080305419924898</v>
      </c>
      <c r="J18" s="133">
        <v>4.6536706639705123</v>
      </c>
      <c r="K18" s="133">
        <v>4.9556576483176524</v>
      </c>
      <c r="L18" s="133">
        <v>6.3339610375475424</v>
      </c>
      <c r="M18" s="133">
        <v>5.9649671297352915</v>
      </c>
      <c r="N18" s="133">
        <v>9.7865273319322252</v>
      </c>
      <c r="O18" s="133">
        <v>7.0386205020772774</v>
      </c>
      <c r="P18" s="133">
        <v>7.0030821180454801</v>
      </c>
      <c r="Q18" s="133">
        <v>9.5421743441938567</v>
      </c>
      <c r="R18" s="133">
        <v>8.1701473337748549</v>
      </c>
      <c r="S18" s="133">
        <v>8.9248545064545279</v>
      </c>
      <c r="T18" s="133">
        <v>7.8781080855806831</v>
      </c>
      <c r="U18" s="133">
        <v>8.9589690643534965</v>
      </c>
      <c r="V18" s="133">
        <v>8.0830391396916177</v>
      </c>
      <c r="W18" s="133">
        <v>9.3252303316705305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97.222647897354051</v>
      </c>
      <c r="C19" s="131">
        <f t="shared" si="6"/>
        <v>116.44653235479797</v>
      </c>
      <c r="D19" s="131">
        <f t="shared" si="6"/>
        <v>67.068157320854866</v>
      </c>
      <c r="E19" s="131">
        <f t="shared" si="6"/>
        <v>146.03929013519615</v>
      </c>
      <c r="F19" s="131">
        <f t="shared" si="6"/>
        <v>182.83321903167973</v>
      </c>
      <c r="G19" s="131">
        <f t="shared" si="6"/>
        <v>192.04500844036036</v>
      </c>
      <c r="H19" s="131">
        <f t="shared" si="6"/>
        <v>205.86553409042995</v>
      </c>
      <c r="I19" s="131">
        <f t="shared" si="6"/>
        <v>212.59174680503921</v>
      </c>
      <c r="J19" s="131">
        <f t="shared" si="6"/>
        <v>212.16614232532936</v>
      </c>
      <c r="K19" s="131">
        <f t="shared" si="6"/>
        <v>217.78727958409451</v>
      </c>
      <c r="L19" s="131">
        <f t="shared" si="6"/>
        <v>216.96139756235422</v>
      </c>
      <c r="M19" s="131">
        <f t="shared" si="6"/>
        <v>229.18613693176241</v>
      </c>
      <c r="N19" s="131">
        <f t="shared" si="6"/>
        <v>231.09258454743954</v>
      </c>
      <c r="O19" s="131">
        <f t="shared" si="6"/>
        <v>244.48144206738812</v>
      </c>
      <c r="P19" s="131">
        <f t="shared" si="6"/>
        <v>255.876768212983</v>
      </c>
      <c r="Q19" s="131">
        <f t="shared" si="6"/>
        <v>269.56537144873653</v>
      </c>
      <c r="R19" s="131">
        <f t="shared" ref="R19:W19" si="7">SUM(R20:R27)</f>
        <v>274.50526187669453</v>
      </c>
      <c r="S19" s="131">
        <f t="shared" si="7"/>
        <v>281.69389399762775</v>
      </c>
      <c r="T19" s="131">
        <f t="shared" si="7"/>
        <v>278.13299378552313</v>
      </c>
      <c r="U19" s="131">
        <f t="shared" si="7"/>
        <v>267.49136785207008</v>
      </c>
      <c r="V19" s="131">
        <f t="shared" si="7"/>
        <v>254.5654524934458</v>
      </c>
      <c r="W19" s="131">
        <f t="shared" si="7"/>
        <v>283.93677584739083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3.0963007828980742</v>
      </c>
      <c r="C22" s="133">
        <v>6.2039269964092831</v>
      </c>
      <c r="D22" s="133">
        <v>22.467266506808201</v>
      </c>
      <c r="E22" s="133">
        <v>30.779053318954659</v>
      </c>
      <c r="F22" s="133">
        <v>33.849866524722529</v>
      </c>
      <c r="G22" s="133">
        <v>33.021265978054494</v>
      </c>
      <c r="H22" s="133">
        <v>17.636742161507598</v>
      </c>
      <c r="I22" s="133">
        <v>16.764958441631357</v>
      </c>
      <c r="J22" s="133">
        <v>16.453610221681764</v>
      </c>
      <c r="K22" s="133">
        <v>15.372755708558374</v>
      </c>
      <c r="L22" s="133">
        <v>15.687148371566071</v>
      </c>
      <c r="M22" s="133">
        <v>16.416359736662429</v>
      </c>
      <c r="N22" s="133">
        <v>21.77297276115122</v>
      </c>
      <c r="O22" s="133">
        <v>30.823635335784243</v>
      </c>
      <c r="P22" s="133">
        <v>32.594198306317729</v>
      </c>
      <c r="Q22" s="133">
        <v>35.338963953671843</v>
      </c>
      <c r="R22" s="133">
        <v>32.458950824674375</v>
      </c>
      <c r="S22" s="133">
        <v>44.13487474980343</v>
      </c>
      <c r="T22" s="133">
        <v>49.774390802282113</v>
      </c>
      <c r="U22" s="133">
        <v>47.604986731813163</v>
      </c>
      <c r="V22" s="133">
        <v>47.740500941225562</v>
      </c>
      <c r="W22" s="133">
        <v>73.051908112116408</v>
      </c>
      <c r="DA22" s="157" t="s">
        <v>289</v>
      </c>
    </row>
    <row r="23" spans="1:105" ht="12" customHeight="1" x14ac:dyDescent="0.25">
      <c r="A23" s="132" t="s">
        <v>153</v>
      </c>
      <c r="B23" s="133">
        <v>15.993778540448091</v>
      </c>
      <c r="C23" s="133">
        <v>14.905286336537062</v>
      </c>
      <c r="D23" s="133">
        <v>13.588588371979869</v>
      </c>
      <c r="E23" s="133">
        <v>34.513976964452304</v>
      </c>
      <c r="F23" s="133">
        <v>72.926150414857688</v>
      </c>
      <c r="G23" s="133">
        <v>75.605233932632316</v>
      </c>
      <c r="H23" s="133">
        <v>98.253294490422789</v>
      </c>
      <c r="I23" s="133">
        <v>85.771740213325415</v>
      </c>
      <c r="J23" s="133">
        <v>73.890663170372861</v>
      </c>
      <c r="K23" s="133">
        <v>109.06091527966102</v>
      </c>
      <c r="L23" s="133">
        <v>108.74962221170642</v>
      </c>
      <c r="M23" s="133">
        <v>98.503389839262354</v>
      </c>
      <c r="N23" s="133">
        <v>96.125463668193518</v>
      </c>
      <c r="O23" s="133">
        <v>100.8653656229307</v>
      </c>
      <c r="P23" s="133">
        <v>109.92802390783136</v>
      </c>
      <c r="Q23" s="133">
        <v>120.74917153400857</v>
      </c>
      <c r="R23" s="133">
        <v>131.46685775738419</v>
      </c>
      <c r="S23" s="133">
        <v>140.90888943011618</v>
      </c>
      <c r="T23" s="133">
        <v>135.14446368053751</v>
      </c>
      <c r="U23" s="133">
        <v>135.22172111711069</v>
      </c>
      <c r="V23" s="133">
        <v>128.67338848072109</v>
      </c>
      <c r="W23" s="133">
        <v>126.8810773428724</v>
      </c>
      <c r="DA23" s="157" t="s">
        <v>290</v>
      </c>
    </row>
    <row r="24" spans="1:105" ht="12" customHeight="1" x14ac:dyDescent="0.25">
      <c r="A24" s="132" t="s">
        <v>128</v>
      </c>
      <c r="B24" s="133">
        <v>16.766981943250219</v>
      </c>
      <c r="C24" s="133">
        <v>10.002926002021194</v>
      </c>
      <c r="D24" s="133">
        <v>14.993984865421837</v>
      </c>
      <c r="E24" s="133">
        <v>15.012314328715444</v>
      </c>
      <c r="F24" s="133">
        <v>12.018706766145893</v>
      </c>
      <c r="G24" s="133">
        <v>10.000417961782503</v>
      </c>
      <c r="H24" s="133">
        <v>9.4979288443495342</v>
      </c>
      <c r="I24" s="133">
        <v>9.0036113950184085</v>
      </c>
      <c r="J24" s="133">
        <v>9.0021034764665195</v>
      </c>
      <c r="K24" s="133">
        <v>9.2063157055878992</v>
      </c>
      <c r="L24" s="133">
        <v>9.5000566926887142</v>
      </c>
      <c r="M24" s="133">
        <v>9.9153668416963221</v>
      </c>
      <c r="N24" s="133">
        <v>10.179372493076546</v>
      </c>
      <c r="O24" s="133">
        <v>10.181258185182024</v>
      </c>
      <c r="P24" s="133">
        <v>10.591311240864549</v>
      </c>
      <c r="Q24" s="133">
        <v>11.152004917968751</v>
      </c>
      <c r="R24" s="133">
        <v>9.5541132913627855</v>
      </c>
      <c r="S24" s="133">
        <v>8.2164343037808738</v>
      </c>
      <c r="T24" s="133">
        <v>8.6623047225149783</v>
      </c>
      <c r="U24" s="133">
        <v>6.4807855279366962</v>
      </c>
      <c r="V24" s="133">
        <v>5.8862273597541339</v>
      </c>
      <c r="W24" s="133">
        <v>5.9866131350696454</v>
      </c>
      <c r="DA24" s="157" t="s">
        <v>291</v>
      </c>
    </row>
    <row r="25" spans="1:105" ht="12" customHeight="1" x14ac:dyDescent="0.25">
      <c r="A25" s="132" t="s">
        <v>169</v>
      </c>
      <c r="B25" s="133">
        <v>37.955040203561509</v>
      </c>
      <c r="C25" s="133">
        <v>21.741715763054923</v>
      </c>
      <c r="D25" s="133">
        <v>10.202914965105192</v>
      </c>
      <c r="E25" s="133">
        <v>14.536428484110999</v>
      </c>
      <c r="F25" s="133">
        <v>10.290075317758749</v>
      </c>
      <c r="G25" s="133">
        <v>17.378681971531744</v>
      </c>
      <c r="H25" s="133">
        <v>17.555179029034363</v>
      </c>
      <c r="I25" s="133">
        <v>19.102547577103074</v>
      </c>
      <c r="J25" s="133">
        <v>25.737649769245227</v>
      </c>
      <c r="K25" s="133">
        <v>26.343355509581411</v>
      </c>
      <c r="L25" s="133">
        <v>27.628848548691938</v>
      </c>
      <c r="M25" s="133">
        <v>31.314725740116774</v>
      </c>
      <c r="N25" s="133">
        <v>34.210828064360776</v>
      </c>
      <c r="O25" s="133">
        <v>35.879704838555838</v>
      </c>
      <c r="P25" s="133">
        <v>33.565103248013401</v>
      </c>
      <c r="Q25" s="133">
        <v>34.897801706492764</v>
      </c>
      <c r="R25" s="133">
        <v>35.09818444356339</v>
      </c>
      <c r="S25" s="133">
        <v>32.573381911571303</v>
      </c>
      <c r="T25" s="133">
        <v>30.465029905659957</v>
      </c>
      <c r="U25" s="133">
        <v>27.390528600180861</v>
      </c>
      <c r="V25" s="133">
        <v>26.867549040434231</v>
      </c>
      <c r="W25" s="133">
        <v>27.214782836995546</v>
      </c>
      <c r="DA25" s="157" t="s">
        <v>292</v>
      </c>
    </row>
    <row r="26" spans="1:105" ht="12" customHeight="1" x14ac:dyDescent="0.25">
      <c r="A26" s="132" t="s">
        <v>24</v>
      </c>
      <c r="B26" s="65">
        <v>23.410546427196156</v>
      </c>
      <c r="C26" s="65">
        <v>63.592677256775509</v>
      </c>
      <c r="D26" s="65">
        <v>5.8154026115397626</v>
      </c>
      <c r="E26" s="65">
        <v>51.197517038962737</v>
      </c>
      <c r="F26" s="65">
        <v>53.748420008194863</v>
      </c>
      <c r="G26" s="65">
        <v>56.039408596359294</v>
      </c>
      <c r="H26" s="65">
        <v>62.922389565115687</v>
      </c>
      <c r="I26" s="65">
        <v>81.924985480626461</v>
      </c>
      <c r="J26" s="65">
        <v>87.082115687563004</v>
      </c>
      <c r="K26" s="65">
        <v>57.803937380705804</v>
      </c>
      <c r="L26" s="65">
        <v>55.324096630220431</v>
      </c>
      <c r="M26" s="65">
        <v>72.988487379355576</v>
      </c>
      <c r="N26" s="65">
        <v>68.708418755842317</v>
      </c>
      <c r="O26" s="65">
        <v>66.683670690266354</v>
      </c>
      <c r="P26" s="65">
        <v>69.150324115287006</v>
      </c>
      <c r="Q26" s="65">
        <v>67.403525639260081</v>
      </c>
      <c r="R26" s="65">
        <v>65.903251862375299</v>
      </c>
      <c r="S26" s="65">
        <v>55.79806080785896</v>
      </c>
      <c r="T26" s="65">
        <v>54.029452997830354</v>
      </c>
      <c r="U26" s="65">
        <v>50.726191962732905</v>
      </c>
      <c r="V26" s="65">
        <v>45.360039465807787</v>
      </c>
      <c r="W26" s="65">
        <v>50.404200095315389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2.3903697334479789E-2</v>
      </c>
      <c r="J27" s="146">
        <v>0</v>
      </c>
      <c r="K27" s="146">
        <v>0</v>
      </c>
      <c r="L27" s="146">
        <v>7.1625107480653455E-2</v>
      </c>
      <c r="M27" s="146">
        <v>4.7807394668959592E-2</v>
      </c>
      <c r="N27" s="146">
        <v>9.5528804815133289E-2</v>
      </c>
      <c r="O27" s="146">
        <v>4.7807394668959592E-2</v>
      </c>
      <c r="P27" s="146">
        <v>4.7807394668959585E-2</v>
      </c>
      <c r="Q27" s="146">
        <v>2.3903697334479786E-2</v>
      </c>
      <c r="R27" s="146">
        <v>2.3903697334479793E-2</v>
      </c>
      <c r="S27" s="146">
        <v>6.2252794496990525E-2</v>
      </c>
      <c r="T27" s="146">
        <v>5.7351676698194347E-2</v>
      </c>
      <c r="U27" s="146">
        <v>6.7153912295786766E-2</v>
      </c>
      <c r="V27" s="146">
        <v>3.7747205503009446E-2</v>
      </c>
      <c r="W27" s="146">
        <v>0.39819432502149604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142.18732151772039</v>
      </c>
      <c r="C29" s="131">
        <f t="shared" si="8"/>
        <v>148.86284825386755</v>
      </c>
      <c r="D29" s="131">
        <f t="shared" si="8"/>
        <v>116.07585395793875</v>
      </c>
      <c r="E29" s="131">
        <f t="shared" si="8"/>
        <v>173.57842172098708</v>
      </c>
      <c r="F29" s="131">
        <f t="shared" si="8"/>
        <v>215.42226054406592</v>
      </c>
      <c r="G29" s="131">
        <f t="shared" si="8"/>
        <v>237.4136035582481</v>
      </c>
      <c r="H29" s="131">
        <f t="shared" si="8"/>
        <v>251.76445052877526</v>
      </c>
      <c r="I29" s="131">
        <f t="shared" si="8"/>
        <v>266.25122472652481</v>
      </c>
      <c r="J29" s="131">
        <f t="shared" si="8"/>
        <v>263.99656711129114</v>
      </c>
      <c r="K29" s="131">
        <f t="shared" si="8"/>
        <v>265.47420936374203</v>
      </c>
      <c r="L29" s="131">
        <f t="shared" si="8"/>
        <v>277.69039634914077</v>
      </c>
      <c r="M29" s="131">
        <f t="shared" si="8"/>
        <v>283.56949311875348</v>
      </c>
      <c r="N29" s="131">
        <f t="shared" si="8"/>
        <v>292.54791708857425</v>
      </c>
      <c r="O29" s="131">
        <f t="shared" si="8"/>
        <v>315.44045958558365</v>
      </c>
      <c r="P29" s="131">
        <f t="shared" si="8"/>
        <v>330.58984894170067</v>
      </c>
      <c r="Q29" s="131">
        <f t="shared" si="8"/>
        <v>352.24469385237506</v>
      </c>
      <c r="R29" s="131">
        <f t="shared" ref="R29:W29" si="9">SUM(R30:R33)</f>
        <v>353.26595243991301</v>
      </c>
      <c r="S29" s="131">
        <f t="shared" si="9"/>
        <v>360.60688352575824</v>
      </c>
      <c r="T29" s="131">
        <f t="shared" si="9"/>
        <v>371.40978189120892</v>
      </c>
      <c r="U29" s="131">
        <f t="shared" si="9"/>
        <v>378.47129697833998</v>
      </c>
      <c r="V29" s="131">
        <f t="shared" si="9"/>
        <v>349.32390873394894</v>
      </c>
      <c r="W29" s="131">
        <f t="shared" si="9"/>
        <v>372.82529785504789</v>
      </c>
      <c r="DA29" s="156" t="s">
        <v>216</v>
      </c>
    </row>
    <row r="30" spans="1:105" ht="12" customHeight="1" x14ac:dyDescent="0.25">
      <c r="A30" s="132" t="s">
        <v>52</v>
      </c>
      <c r="B30" s="133">
        <v>22.594840928632841</v>
      </c>
      <c r="C30" s="133">
        <v>12.427171109200341</v>
      </c>
      <c r="D30" s="133">
        <v>7.9081685296646604</v>
      </c>
      <c r="E30" s="133">
        <v>33.892261392949266</v>
      </c>
      <c r="F30" s="133">
        <v>73.433190025795383</v>
      </c>
      <c r="G30" s="133">
        <v>90.826999140154768</v>
      </c>
      <c r="H30" s="133">
        <v>36.793723129836614</v>
      </c>
      <c r="I30" s="133">
        <v>109.22235597592429</v>
      </c>
      <c r="J30" s="133">
        <v>25.293551160791051</v>
      </c>
      <c r="K30" s="133">
        <v>13.798538263112642</v>
      </c>
      <c r="L30" s="133">
        <v>21.844453998280311</v>
      </c>
      <c r="M30" s="133">
        <v>13.796474634565776</v>
      </c>
      <c r="N30" s="133">
        <v>17.245657781599309</v>
      </c>
      <c r="O30" s="133">
        <v>19.545055889939807</v>
      </c>
      <c r="P30" s="133">
        <v>25.293551160791058</v>
      </c>
      <c r="Q30" s="133">
        <v>32.191831470335352</v>
      </c>
      <c r="R30" s="133">
        <v>29.892433361994865</v>
      </c>
      <c r="S30" s="133">
        <v>29.652794496990548</v>
      </c>
      <c r="T30" s="133">
        <v>30.441530524505591</v>
      </c>
      <c r="U30" s="133">
        <v>29.832158211521939</v>
      </c>
      <c r="V30" s="133">
        <v>26.8402407566638</v>
      </c>
      <c r="W30" s="133">
        <v>26.553998280309568</v>
      </c>
      <c r="DA30" s="157" t="s">
        <v>295</v>
      </c>
    </row>
    <row r="31" spans="1:105" ht="12" customHeight="1" x14ac:dyDescent="0.25">
      <c r="A31" s="132" t="s">
        <v>153</v>
      </c>
      <c r="B31" s="133">
        <v>34.40721556451998</v>
      </c>
      <c r="C31" s="133">
        <v>45.58687066426441</v>
      </c>
      <c r="D31" s="133">
        <v>32.095270835526321</v>
      </c>
      <c r="E31" s="133">
        <v>72.513252462848712</v>
      </c>
      <c r="F31" s="133">
        <v>132.30660027542891</v>
      </c>
      <c r="G31" s="133">
        <v>122.98184392979682</v>
      </c>
      <c r="H31" s="133">
        <v>172.41220133804026</v>
      </c>
      <c r="I31" s="133">
        <v>128.19395474307169</v>
      </c>
      <c r="J31" s="133">
        <v>133.33279448970967</v>
      </c>
      <c r="K31" s="133">
        <v>131.63578106994342</v>
      </c>
      <c r="L31" s="133">
        <v>128.37828167525311</v>
      </c>
      <c r="M31" s="133">
        <v>125.39506612036057</v>
      </c>
      <c r="N31" s="133">
        <v>121.0612891722505</v>
      </c>
      <c r="O31" s="133">
        <v>122.68269476951826</v>
      </c>
      <c r="P31" s="133">
        <v>121.99177698002244</v>
      </c>
      <c r="Q31" s="133">
        <v>134.99548186857223</v>
      </c>
      <c r="R31" s="133">
        <v>135.93210152741256</v>
      </c>
      <c r="S31" s="133">
        <v>152.34942566144053</v>
      </c>
      <c r="T31" s="133">
        <v>152.1653175887366</v>
      </c>
      <c r="U31" s="133">
        <v>155.99847475959098</v>
      </c>
      <c r="V31" s="133">
        <v>150.13510551589849</v>
      </c>
      <c r="W31" s="133">
        <v>154.43585918232372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85.18526502456757</v>
      </c>
      <c r="C33" s="68">
        <v>90.8488064804028</v>
      </c>
      <c r="D33" s="68">
        <v>76.072414592747762</v>
      </c>
      <c r="E33" s="68">
        <v>67.172907865189117</v>
      </c>
      <c r="F33" s="68">
        <v>9.6824702428416458</v>
      </c>
      <c r="G33" s="68">
        <v>23.604760488296506</v>
      </c>
      <c r="H33" s="68">
        <v>42.558526060898373</v>
      </c>
      <c r="I33" s="68">
        <v>28.834914007528816</v>
      </c>
      <c r="J33" s="68">
        <v>105.37022146079042</v>
      </c>
      <c r="K33" s="68">
        <v>120.03989003068595</v>
      </c>
      <c r="L33" s="68">
        <v>127.46766067560733</v>
      </c>
      <c r="M33" s="68">
        <v>144.37795236382718</v>
      </c>
      <c r="N33" s="68">
        <v>154.24097013472445</v>
      </c>
      <c r="O33" s="68">
        <v>173.21270892612554</v>
      </c>
      <c r="P33" s="68">
        <v>183.30452080088716</v>
      </c>
      <c r="Q33" s="68">
        <v>185.05738051346748</v>
      </c>
      <c r="R33" s="68">
        <v>187.44141755050558</v>
      </c>
      <c r="S33" s="68">
        <v>178.60466336732716</v>
      </c>
      <c r="T33" s="68">
        <v>188.8029337779667</v>
      </c>
      <c r="U33" s="68">
        <v>192.64066400722709</v>
      </c>
      <c r="V33" s="68">
        <v>172.34856246138665</v>
      </c>
      <c r="W33" s="68">
        <v>191.8354403924146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689.3587726457888</v>
      </c>
      <c r="C3" s="126">
        <f t="shared" si="0"/>
        <v>874.52665114986132</v>
      </c>
      <c r="D3" s="126">
        <f t="shared" si="0"/>
        <v>400.10200761883209</v>
      </c>
      <c r="E3" s="126">
        <f t="shared" si="0"/>
        <v>724.95235636773702</v>
      </c>
      <c r="F3" s="126">
        <f t="shared" si="0"/>
        <v>813.70132128866965</v>
      </c>
      <c r="G3" s="126">
        <f t="shared" si="0"/>
        <v>1110.2041313241361</v>
      </c>
      <c r="H3" s="126">
        <f t="shared" si="0"/>
        <v>1458.5017989776361</v>
      </c>
      <c r="I3" s="126">
        <f t="shared" si="0"/>
        <v>1266.4956398946933</v>
      </c>
      <c r="J3" s="126">
        <f t="shared" si="0"/>
        <v>1077.5478125969171</v>
      </c>
      <c r="K3" s="126">
        <f t="shared" si="0"/>
        <v>1029.524594561296</v>
      </c>
      <c r="L3" s="126">
        <f t="shared" si="0"/>
        <v>1113.1961363847781</v>
      </c>
      <c r="M3" s="126">
        <f t="shared" si="0"/>
        <v>1056.8557047821823</v>
      </c>
      <c r="N3" s="126">
        <f t="shared" si="0"/>
        <v>1050.6480979632474</v>
      </c>
      <c r="O3" s="126">
        <f t="shared" si="0"/>
        <v>1035.2927238694231</v>
      </c>
      <c r="P3" s="126">
        <f t="shared" si="0"/>
        <v>1011.2550635406531</v>
      </c>
      <c r="Q3" s="126">
        <f t="shared" si="0"/>
        <v>1045.8648388521331</v>
      </c>
      <c r="R3" s="126">
        <f t="shared" ref="R3:W3" si="1">SUM(R4,R16,R19,R29)</f>
        <v>1084.7333542590945</v>
      </c>
      <c r="S3" s="126">
        <f t="shared" si="1"/>
        <v>1155.088124356047</v>
      </c>
      <c r="T3" s="126">
        <f t="shared" si="1"/>
        <v>1182.548182233978</v>
      </c>
      <c r="U3" s="126">
        <f t="shared" si="1"/>
        <v>1185.233991886415</v>
      </c>
      <c r="V3" s="126">
        <f t="shared" si="1"/>
        <v>1103.3029428145164</v>
      </c>
      <c r="W3" s="126">
        <f t="shared" si="1"/>
        <v>1237.7495896013522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528.64790874310245</v>
      </c>
      <c r="C4" s="131">
        <f t="shared" si="2"/>
        <v>696.40164900690024</v>
      </c>
      <c r="D4" s="131">
        <f t="shared" si="2"/>
        <v>277.46310124260378</v>
      </c>
      <c r="E4" s="131">
        <f t="shared" si="2"/>
        <v>520.81681291065149</v>
      </c>
      <c r="F4" s="131">
        <f t="shared" si="2"/>
        <v>573.5379610933046</v>
      </c>
      <c r="G4" s="131">
        <f t="shared" si="2"/>
        <v>845.41641928705235</v>
      </c>
      <c r="H4" s="131">
        <f t="shared" si="2"/>
        <v>1169.2918065057161</v>
      </c>
      <c r="I4" s="131">
        <f t="shared" si="2"/>
        <v>960.43801627951325</v>
      </c>
      <c r="J4" s="131">
        <f t="shared" si="2"/>
        <v>755.86413878627184</v>
      </c>
      <c r="K4" s="131">
        <f t="shared" si="2"/>
        <v>700.11980795032025</v>
      </c>
      <c r="L4" s="131">
        <f t="shared" si="2"/>
        <v>769.80543290921833</v>
      </c>
      <c r="M4" s="131">
        <f t="shared" si="2"/>
        <v>696.34894362608043</v>
      </c>
      <c r="N4" s="131">
        <f t="shared" si="2"/>
        <v>669.13556134274734</v>
      </c>
      <c r="O4" s="131">
        <f t="shared" si="2"/>
        <v>631.96660237559331</v>
      </c>
      <c r="P4" s="131">
        <f t="shared" si="2"/>
        <v>587.04124720588709</v>
      </c>
      <c r="Q4" s="131">
        <f t="shared" si="2"/>
        <v>587.68460705920234</v>
      </c>
      <c r="R4" s="131">
        <f t="shared" ref="R4:W4" si="3">SUM(R5:R15)</f>
        <v>620.60587017610555</v>
      </c>
      <c r="S4" s="131">
        <f t="shared" si="3"/>
        <v>675.30220027070311</v>
      </c>
      <c r="T4" s="131">
        <f t="shared" si="3"/>
        <v>692.62151733356552</v>
      </c>
      <c r="U4" s="131">
        <f t="shared" si="3"/>
        <v>686.68949764930642</v>
      </c>
      <c r="V4" s="131">
        <f t="shared" si="3"/>
        <v>632.72216453393776</v>
      </c>
      <c r="W4" s="131">
        <f t="shared" si="3"/>
        <v>716.22342904874995</v>
      </c>
      <c r="DA4" s="156" t="s">
        <v>301</v>
      </c>
    </row>
    <row r="5" spans="1:105" ht="12" customHeight="1" x14ac:dyDescent="0.25">
      <c r="A5" s="132" t="s">
        <v>29</v>
      </c>
      <c r="B5" s="133">
        <v>1.812513249903952</v>
      </c>
      <c r="C5" s="133">
        <v>3.7256109297662934</v>
      </c>
      <c r="D5" s="133">
        <v>2.2400272164940076</v>
      </c>
      <c r="E5" s="133">
        <v>1.4170170175515351</v>
      </c>
      <c r="F5" s="133">
        <v>0.58246343824316738</v>
      </c>
      <c r="G5" s="133">
        <v>0.18920981946987114</v>
      </c>
      <c r="H5" s="133">
        <v>1.487267371838072</v>
      </c>
      <c r="I5" s="133">
        <v>0.69960970377891818</v>
      </c>
      <c r="J5" s="133">
        <v>0.19803083360611087</v>
      </c>
      <c r="K5" s="133">
        <v>9.6716805535241895E-2</v>
      </c>
      <c r="L5" s="133">
        <v>0.29000219749775635</v>
      </c>
      <c r="M5" s="133">
        <v>0.41679724554202074</v>
      </c>
      <c r="N5" s="133">
        <v>0.2341286087828745</v>
      </c>
      <c r="O5" s="133">
        <v>0.39449675801499695</v>
      </c>
      <c r="P5" s="133">
        <v>0.2642806023422079</v>
      </c>
      <c r="Q5" s="133">
        <v>0.28815556330417519</v>
      </c>
      <c r="R5" s="133">
        <v>0.57689829461004283</v>
      </c>
      <c r="S5" s="133">
        <v>0</v>
      </c>
      <c r="T5" s="133">
        <v>0.45661824696711573</v>
      </c>
      <c r="U5" s="133">
        <v>0.28650201945863268</v>
      </c>
      <c r="V5" s="133">
        <v>5.4996809460381595E-2</v>
      </c>
      <c r="W5" s="133">
        <v>9.8294736206603062E-2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34.033735401550544</v>
      </c>
      <c r="C7" s="133">
        <v>54.72278697510712</v>
      </c>
      <c r="D7" s="133">
        <v>99.697590219719416</v>
      </c>
      <c r="E7" s="133">
        <v>96.114738584212247</v>
      </c>
      <c r="F7" s="133">
        <v>183.68746318753185</v>
      </c>
      <c r="G7" s="133">
        <v>172.85051971213349</v>
      </c>
      <c r="H7" s="133">
        <v>103.47168683380848</v>
      </c>
      <c r="I7" s="133">
        <v>157.60881765503788</v>
      </c>
      <c r="J7" s="133">
        <v>120.53142576024779</v>
      </c>
      <c r="K7" s="133">
        <v>49.45709334558962</v>
      </c>
      <c r="L7" s="133">
        <v>52.747883432790616</v>
      </c>
      <c r="M7" s="133">
        <v>116.24174437172391</v>
      </c>
      <c r="N7" s="133">
        <v>99.238058428437128</v>
      </c>
      <c r="O7" s="133">
        <v>75.779374495360273</v>
      </c>
      <c r="P7" s="133">
        <v>69.939459586916939</v>
      </c>
      <c r="Q7" s="133">
        <v>77.642916321050365</v>
      </c>
      <c r="R7" s="133">
        <v>85.799107308941259</v>
      </c>
      <c r="S7" s="133">
        <v>124.12949352837229</v>
      </c>
      <c r="T7" s="133">
        <v>140.96955606801663</v>
      </c>
      <c r="U7" s="133">
        <v>146.69349281074881</v>
      </c>
      <c r="V7" s="133">
        <v>136.82026449583367</v>
      </c>
      <c r="W7" s="133">
        <v>219.10938234412311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88.147818736066526</v>
      </c>
      <c r="C9" s="133">
        <v>223.5264887044633</v>
      </c>
      <c r="D9" s="133">
        <v>23.150829594665964</v>
      </c>
      <c r="E9" s="133">
        <v>188.17641243985557</v>
      </c>
      <c r="F9" s="133">
        <v>257.12892167473183</v>
      </c>
      <c r="G9" s="133">
        <v>326.61744842576093</v>
      </c>
      <c r="H9" s="133">
        <v>756.42984295441693</v>
      </c>
      <c r="I9" s="133">
        <v>497.82389412895594</v>
      </c>
      <c r="J9" s="133">
        <v>347.71915537259844</v>
      </c>
      <c r="K9" s="133">
        <v>401.97246820369236</v>
      </c>
      <c r="L9" s="133">
        <v>411.75089556934455</v>
      </c>
      <c r="M9" s="133">
        <v>316.71368739396661</v>
      </c>
      <c r="N9" s="133">
        <v>329.96043870001455</v>
      </c>
      <c r="O9" s="133">
        <v>345.03792809451642</v>
      </c>
      <c r="P9" s="133">
        <v>338.85353040030583</v>
      </c>
      <c r="Q9" s="133">
        <v>312.20408622349146</v>
      </c>
      <c r="R9" s="133">
        <v>316.48041265313458</v>
      </c>
      <c r="S9" s="133">
        <v>349.3850165540598</v>
      </c>
      <c r="T9" s="133">
        <v>357.67361493188258</v>
      </c>
      <c r="U9" s="133">
        <v>359.7548732019788</v>
      </c>
      <c r="V9" s="133">
        <v>340.25712344493007</v>
      </c>
      <c r="W9" s="133">
        <v>332.52242247134512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65.388840915587281</v>
      </c>
      <c r="D10" s="133">
        <v>74.073117448413484</v>
      </c>
      <c r="E10" s="133">
        <v>71.636821665461582</v>
      </c>
      <c r="F10" s="133">
        <v>59.238044642810543</v>
      </c>
      <c r="G10" s="133">
        <v>94.995393797968632</v>
      </c>
      <c r="H10" s="133">
        <v>88.194195816992732</v>
      </c>
      <c r="I10" s="133">
        <v>72.870337654611774</v>
      </c>
      <c r="J10" s="133">
        <v>66.903054684306994</v>
      </c>
      <c r="K10" s="133">
        <v>58.725241688955542</v>
      </c>
      <c r="L10" s="133">
        <v>61.664413396256414</v>
      </c>
      <c r="M10" s="133">
        <v>28.692568232058612</v>
      </c>
      <c r="N10" s="133">
        <v>28.833861125324784</v>
      </c>
      <c r="O10" s="133">
        <v>22.56517148759929</v>
      </c>
      <c r="P10" s="133">
        <v>23.755015766502119</v>
      </c>
      <c r="Q10" s="133">
        <v>54.206426588317434</v>
      </c>
      <c r="R10" s="133">
        <v>64.916772532342094</v>
      </c>
      <c r="S10" s="133">
        <v>54.631046295673229</v>
      </c>
      <c r="T10" s="133">
        <v>51.364268641909156</v>
      </c>
      <c r="U10" s="133">
        <v>52.421942678230202</v>
      </c>
      <c r="V10" s="133">
        <v>43.443455572532272</v>
      </c>
      <c r="W10" s="133">
        <v>48.726825708592649</v>
      </c>
      <c r="DA10" s="157" t="s">
        <v>307</v>
      </c>
    </row>
    <row r="11" spans="1:105" ht="12" customHeight="1" x14ac:dyDescent="0.25">
      <c r="A11" s="132" t="s">
        <v>25</v>
      </c>
      <c r="B11" s="133">
        <v>3.2155963190874903</v>
      </c>
      <c r="C11" s="133">
        <v>1.9617943668516997</v>
      </c>
      <c r="D11" s="133">
        <v>6.24118115272762</v>
      </c>
      <c r="E11" s="133">
        <v>7.5494437057854755</v>
      </c>
      <c r="F11" s="133">
        <v>4.3661713043778647</v>
      </c>
      <c r="G11" s="133">
        <v>8.3174322774301803</v>
      </c>
      <c r="H11" s="133">
        <v>5.0156865381373255</v>
      </c>
      <c r="I11" s="133">
        <v>5.5542046216572025</v>
      </c>
      <c r="J11" s="133">
        <v>11.272201944158651</v>
      </c>
      <c r="K11" s="133">
        <v>10.152327068498037</v>
      </c>
      <c r="L11" s="133">
        <v>3.2793058694462864</v>
      </c>
      <c r="M11" s="133">
        <v>6.6198632805131581</v>
      </c>
      <c r="N11" s="133">
        <v>7.0823173193576716</v>
      </c>
      <c r="O11" s="133">
        <v>10.730741940060303</v>
      </c>
      <c r="P11" s="133">
        <v>12.424112437623553</v>
      </c>
      <c r="Q11" s="133">
        <v>12.361604372203697</v>
      </c>
      <c r="R11" s="133">
        <v>15.199499489881974</v>
      </c>
      <c r="S11" s="133">
        <v>17.790738368050338</v>
      </c>
      <c r="T11" s="133">
        <v>17.398083906870127</v>
      </c>
      <c r="U11" s="133">
        <v>17.289569533857144</v>
      </c>
      <c r="V11" s="133">
        <v>4.7073605354036934</v>
      </c>
      <c r="W11" s="133">
        <v>4.4786241770095581</v>
      </c>
      <c r="DA11" s="157" t="s">
        <v>308</v>
      </c>
    </row>
    <row r="12" spans="1:105" ht="12" customHeight="1" x14ac:dyDescent="0.25">
      <c r="A12" s="132" t="s">
        <v>169</v>
      </c>
      <c r="B12" s="133">
        <v>301.06175383825098</v>
      </c>
      <c r="C12" s="133">
        <v>203.44703824002167</v>
      </c>
      <c r="D12" s="133">
        <v>67.820146603870668</v>
      </c>
      <c r="E12" s="133">
        <v>81.480153408513559</v>
      </c>
      <c r="F12" s="133">
        <v>57.695560025919512</v>
      </c>
      <c r="G12" s="133">
        <v>202.7567781190134</v>
      </c>
      <c r="H12" s="133">
        <v>164.81680240575463</v>
      </c>
      <c r="I12" s="133">
        <v>148.58809533255732</v>
      </c>
      <c r="J12" s="133">
        <v>158.78479261800501</v>
      </c>
      <c r="K12" s="133">
        <v>128.33137837810992</v>
      </c>
      <c r="L12" s="133">
        <v>144.33385388614269</v>
      </c>
      <c r="M12" s="133">
        <v>151.70193431546912</v>
      </c>
      <c r="N12" s="133">
        <v>158.26347648070055</v>
      </c>
      <c r="O12" s="133">
        <v>149.39463313933322</v>
      </c>
      <c r="P12" s="133">
        <v>121.11602703334836</v>
      </c>
      <c r="Q12" s="133">
        <v>118.90028611272044</v>
      </c>
      <c r="R12" s="133">
        <v>125.00451845367677</v>
      </c>
      <c r="S12" s="133">
        <v>116.09488640812934</v>
      </c>
      <c r="T12" s="133">
        <v>110.99448008338007</v>
      </c>
      <c r="U12" s="133">
        <v>96.652569688364949</v>
      </c>
      <c r="V12" s="133">
        <v>95.046484794814717</v>
      </c>
      <c r="W12" s="133">
        <v>96.95786101727829</v>
      </c>
      <c r="DA12" s="157" t="s">
        <v>309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310</v>
      </c>
    </row>
    <row r="14" spans="1:105" ht="12" customHeight="1" x14ac:dyDescent="0.25">
      <c r="A14" s="60" t="s">
        <v>76</v>
      </c>
      <c r="B14" s="65">
        <v>96.393348232204943</v>
      </c>
      <c r="C14" s="65">
        <v>136.50138087354335</v>
      </c>
      <c r="D14" s="65">
        <v>0.79364697287748975</v>
      </c>
      <c r="E14" s="65">
        <v>67.981599089607926</v>
      </c>
      <c r="F14" s="65">
        <v>1.8459898052410286</v>
      </c>
      <c r="G14" s="65">
        <v>28.781427411260879</v>
      </c>
      <c r="H14" s="65">
        <v>32.922902415696427</v>
      </c>
      <c r="I14" s="65">
        <v>64.406922711933831</v>
      </c>
      <c r="J14" s="65">
        <v>40.989713088417162</v>
      </c>
      <c r="K14" s="65">
        <v>42.535572848001969</v>
      </c>
      <c r="L14" s="65">
        <v>86.708525613335794</v>
      </c>
      <c r="M14" s="65">
        <v>67.789669355957116</v>
      </c>
      <c r="N14" s="65">
        <v>37.467451500598521</v>
      </c>
      <c r="O14" s="65">
        <v>20.292820550396439</v>
      </c>
      <c r="P14" s="65">
        <v>13.277178238839452</v>
      </c>
      <c r="Q14" s="65">
        <v>4.791430105126012</v>
      </c>
      <c r="R14" s="65">
        <v>5.0581361819021176</v>
      </c>
      <c r="S14" s="65">
        <v>4.7085683433036341</v>
      </c>
      <c r="T14" s="65">
        <v>4.8791165908358911</v>
      </c>
      <c r="U14" s="65">
        <v>4.6566023309190303</v>
      </c>
      <c r="V14" s="65">
        <v>4.0717132298181076</v>
      </c>
      <c r="W14" s="65">
        <v>4.7837853651503224</v>
      </c>
      <c r="DA14" s="109" t="s">
        <v>311</v>
      </c>
    </row>
    <row r="15" spans="1:105" ht="12" customHeight="1" x14ac:dyDescent="0.25">
      <c r="A15" s="134" t="s">
        <v>80</v>
      </c>
      <c r="B15" s="135">
        <v>3.9831429660380735</v>
      </c>
      <c r="C15" s="135">
        <v>7.1277080015595136</v>
      </c>
      <c r="D15" s="135">
        <v>3.4465620338351393</v>
      </c>
      <c r="E15" s="135">
        <v>6.4606269996636945</v>
      </c>
      <c r="F15" s="135">
        <v>8.9933470144487213</v>
      </c>
      <c r="G15" s="135">
        <v>10.908209724014972</v>
      </c>
      <c r="H15" s="135">
        <v>16.953422169071484</v>
      </c>
      <c r="I15" s="135">
        <v>12.886134470980485</v>
      </c>
      <c r="J15" s="135">
        <v>9.4657644849316505</v>
      </c>
      <c r="K15" s="135">
        <v>8.8490096119376638</v>
      </c>
      <c r="L15" s="135">
        <v>9.030552944404155</v>
      </c>
      <c r="M15" s="135">
        <v>8.1726794308499322</v>
      </c>
      <c r="N15" s="135">
        <v>8.0558291795312176</v>
      </c>
      <c r="O15" s="135">
        <v>7.7714359103124355</v>
      </c>
      <c r="P15" s="135">
        <v>7.4116431400085521</v>
      </c>
      <c r="Q15" s="135">
        <v>7.2897017729887628</v>
      </c>
      <c r="R15" s="135">
        <v>7.5705252616168348</v>
      </c>
      <c r="S15" s="135">
        <v>8.5624507731143673</v>
      </c>
      <c r="T15" s="135">
        <v>8.8857788637039548</v>
      </c>
      <c r="U15" s="135">
        <v>8.9339453857489399</v>
      </c>
      <c r="V15" s="135">
        <v>8.3207656511448516</v>
      </c>
      <c r="W15" s="135">
        <v>9.5462332290442511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7.5502971859707863E-2</v>
      </c>
      <c r="C16" s="131">
        <f t="shared" si="4"/>
        <v>1.0288580685153841</v>
      </c>
      <c r="D16" s="131">
        <f t="shared" si="4"/>
        <v>2.1901775776962449</v>
      </c>
      <c r="E16" s="131">
        <f t="shared" si="4"/>
        <v>3.2890174958307883</v>
      </c>
      <c r="F16" s="131">
        <f t="shared" si="4"/>
        <v>4.0790444800722359</v>
      </c>
      <c r="G16" s="131">
        <f t="shared" si="4"/>
        <v>5.1848089664782391</v>
      </c>
      <c r="H16" s="131">
        <f t="shared" si="4"/>
        <v>7.1325699116056995</v>
      </c>
      <c r="I16" s="131">
        <f t="shared" si="4"/>
        <v>11.608307722099132</v>
      </c>
      <c r="J16" s="131">
        <f t="shared" si="4"/>
        <v>11.011891560502317</v>
      </c>
      <c r="K16" s="131">
        <f t="shared" si="4"/>
        <v>11.961664581275427</v>
      </c>
      <c r="L16" s="131">
        <f t="shared" si="4"/>
        <v>15.61892082757371</v>
      </c>
      <c r="M16" s="131">
        <f t="shared" si="4"/>
        <v>15.146771197000056</v>
      </c>
      <c r="N16" s="131">
        <f t="shared" si="4"/>
        <v>25.578722307903647</v>
      </c>
      <c r="O16" s="131">
        <f t="shared" si="4"/>
        <v>18.916929995832202</v>
      </c>
      <c r="P16" s="131">
        <f t="shared" si="4"/>
        <v>19.425673537339271</v>
      </c>
      <c r="Q16" s="131">
        <f t="shared" si="4"/>
        <v>27.277333168081604</v>
      </c>
      <c r="R16" s="131">
        <f t="shared" ref="R16:W16" si="5">SUM(R17:R18)</f>
        <v>24.003433713299174</v>
      </c>
      <c r="S16" s="131">
        <f t="shared" si="5"/>
        <v>26.975273865715501</v>
      </c>
      <c r="T16" s="131">
        <f t="shared" si="5"/>
        <v>24.459237898029471</v>
      </c>
      <c r="U16" s="131">
        <f t="shared" si="5"/>
        <v>28.534536782891731</v>
      </c>
      <c r="V16" s="131">
        <f t="shared" si="5"/>
        <v>26.310209907456958</v>
      </c>
      <c r="W16" s="131">
        <f t="shared" si="5"/>
        <v>31.08024256477206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7.5502971859707863E-2</v>
      </c>
      <c r="C18" s="133">
        <v>1.0288580685153841</v>
      </c>
      <c r="D18" s="133">
        <v>2.1901775776962449</v>
      </c>
      <c r="E18" s="133">
        <v>3.2890174958307883</v>
      </c>
      <c r="F18" s="133">
        <v>4.0790444800722359</v>
      </c>
      <c r="G18" s="133">
        <v>5.1848089664782391</v>
      </c>
      <c r="H18" s="133">
        <v>7.1325699116056995</v>
      </c>
      <c r="I18" s="133">
        <v>11.608307722099132</v>
      </c>
      <c r="J18" s="133">
        <v>11.011891560502317</v>
      </c>
      <c r="K18" s="133">
        <v>11.961664581275427</v>
      </c>
      <c r="L18" s="133">
        <v>15.61892082757371</v>
      </c>
      <c r="M18" s="133">
        <v>15.146771197000056</v>
      </c>
      <c r="N18" s="133">
        <v>25.578722307903647</v>
      </c>
      <c r="O18" s="133">
        <v>18.916929995832202</v>
      </c>
      <c r="P18" s="133">
        <v>19.425673537339271</v>
      </c>
      <c r="Q18" s="133">
        <v>27.277333168081604</v>
      </c>
      <c r="R18" s="133">
        <v>24.003433713299174</v>
      </c>
      <c r="S18" s="133">
        <v>26.975273865715501</v>
      </c>
      <c r="T18" s="133">
        <v>24.459237898029471</v>
      </c>
      <c r="U18" s="133">
        <v>28.534536782891731</v>
      </c>
      <c r="V18" s="133">
        <v>26.310209907456958</v>
      </c>
      <c r="W18" s="133">
        <v>31.08024256477206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59.072921758386897</v>
      </c>
      <c r="C19" s="131">
        <f t="shared" si="6"/>
        <v>70.171303391923672</v>
      </c>
      <c r="D19" s="131">
        <f t="shared" si="6"/>
        <v>36.031271699493715</v>
      </c>
      <c r="E19" s="131">
        <f t="shared" si="6"/>
        <v>82.97549025580426</v>
      </c>
      <c r="F19" s="131">
        <f t="shared" si="6"/>
        <v>102.96292480779022</v>
      </c>
      <c r="G19" s="131">
        <f t="shared" si="6"/>
        <v>110.48708179860738</v>
      </c>
      <c r="H19" s="131">
        <f t="shared" si="6"/>
        <v>120.33895138580205</v>
      </c>
      <c r="I19" s="131">
        <f t="shared" si="6"/>
        <v>126.37164091708146</v>
      </c>
      <c r="J19" s="131">
        <f t="shared" si="6"/>
        <v>128.3433801453732</v>
      </c>
      <c r="K19" s="131">
        <f t="shared" si="6"/>
        <v>130.70394703909309</v>
      </c>
      <c r="L19" s="131">
        <f t="shared" si="6"/>
        <v>131.70807195727207</v>
      </c>
      <c r="M19" s="131">
        <f t="shared" si="6"/>
        <v>142.06034458143952</v>
      </c>
      <c r="N19" s="131">
        <f t="shared" si="6"/>
        <v>144.91766242323118</v>
      </c>
      <c r="O19" s="131">
        <f t="shared" si="6"/>
        <v>155.0639388264305</v>
      </c>
      <c r="P19" s="131">
        <f t="shared" si="6"/>
        <v>163.66845526156061</v>
      </c>
      <c r="Q19" s="131">
        <f t="shared" si="6"/>
        <v>175.53009415063852</v>
      </c>
      <c r="R19" s="131">
        <f t="shared" ref="R19:W19" si="7">SUM(R20:R27)</f>
        <v>182.77615913119078</v>
      </c>
      <c r="S19" s="131">
        <f t="shared" si="7"/>
        <v>191.53154726947466</v>
      </c>
      <c r="T19" s="131">
        <f t="shared" si="7"/>
        <v>193.42208686961192</v>
      </c>
      <c r="U19" s="131">
        <f t="shared" si="7"/>
        <v>190.26395199668991</v>
      </c>
      <c r="V19" s="131">
        <f t="shared" si="7"/>
        <v>184.80573588422334</v>
      </c>
      <c r="W19" s="131">
        <f t="shared" si="7"/>
        <v>208.94652338944653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1.4919322344326436</v>
      </c>
      <c r="C22" s="133">
        <v>3.0166123252259589</v>
      </c>
      <c r="D22" s="133">
        <v>10.999129164720362</v>
      </c>
      <c r="E22" s="133">
        <v>15.096594808952906</v>
      </c>
      <c r="F22" s="133">
        <v>16.625765385737818</v>
      </c>
      <c r="G22" s="133">
        <v>16.23656810694392</v>
      </c>
      <c r="H22" s="133">
        <v>8.6731233189154935</v>
      </c>
      <c r="I22" s="133">
        <v>8.2444110521788563</v>
      </c>
      <c r="J22" s="133">
        <v>8.0913010570324051</v>
      </c>
      <c r="K22" s="133">
        <v>7.5601642325970717</v>
      </c>
      <c r="L22" s="133">
        <v>7.8262974358537365</v>
      </c>
      <c r="M22" s="133">
        <v>8.3817559404553954</v>
      </c>
      <c r="N22" s="133">
        <v>11.491740696938187</v>
      </c>
      <c r="O22" s="133">
        <v>16.848528860847249</v>
      </c>
      <c r="P22" s="133">
        <v>18.127092625608118</v>
      </c>
      <c r="Q22" s="133">
        <v>20.215754869672363</v>
      </c>
      <c r="R22" s="133">
        <v>19.29816989244927</v>
      </c>
      <c r="S22" s="133">
        <v>27.672646711200436</v>
      </c>
      <c r="T22" s="133">
        <v>32.334791370693793</v>
      </c>
      <c r="U22" s="133">
        <v>31.6182965070821</v>
      </c>
      <c r="V22" s="133">
        <v>32.313074298689635</v>
      </c>
      <c r="W22" s="133">
        <v>50.638645246202302</v>
      </c>
      <c r="DA22" s="157" t="s">
        <v>319</v>
      </c>
    </row>
    <row r="23" spans="1:105" ht="12" customHeight="1" x14ac:dyDescent="0.25">
      <c r="A23" s="132" t="s">
        <v>153</v>
      </c>
      <c r="B23" s="133">
        <v>7.8731432324054316</v>
      </c>
      <c r="C23" s="133">
        <v>7.4973031334810081</v>
      </c>
      <c r="D23" s="133">
        <v>7.0998290932167478</v>
      </c>
      <c r="E23" s="133">
        <v>18.388233859613912</v>
      </c>
      <c r="F23" s="133">
        <v>39.641192094633283</v>
      </c>
      <c r="G23" s="133">
        <v>41.604928544915403</v>
      </c>
      <c r="H23" s="133">
        <v>54.551809401963887</v>
      </c>
      <c r="I23" s="133">
        <v>47.741438669073716</v>
      </c>
      <c r="J23" s="133">
        <v>41.375022889571497</v>
      </c>
      <c r="K23" s="133">
        <v>61.749892252053336</v>
      </c>
      <c r="L23" s="133">
        <v>62.183420958003047</v>
      </c>
      <c r="M23" s="133">
        <v>56.696989378735431</v>
      </c>
      <c r="N23" s="133">
        <v>55.628633667518031</v>
      </c>
      <c r="O23" s="133">
        <v>59.439024084115225</v>
      </c>
      <c r="P23" s="133">
        <v>66.354890650133228</v>
      </c>
      <c r="Q23" s="133">
        <v>75.39342965710118</v>
      </c>
      <c r="R23" s="133">
        <v>84.798348689486659</v>
      </c>
      <c r="S23" s="133">
        <v>94.101932325710393</v>
      </c>
      <c r="T23" s="133">
        <v>92.991761398620767</v>
      </c>
      <c r="U23" s="133">
        <v>95.519010023247674</v>
      </c>
      <c r="V23" s="133">
        <v>93.05474787723557</v>
      </c>
      <c r="W23" s="133">
        <v>93.236920457138609</v>
      </c>
      <c r="DA23" s="157" t="s">
        <v>320</v>
      </c>
    </row>
    <row r="24" spans="1:105" ht="12" customHeight="1" x14ac:dyDescent="0.25">
      <c r="A24" s="132" t="s">
        <v>128</v>
      </c>
      <c r="B24" s="133">
        <v>7.5260670226084727</v>
      </c>
      <c r="C24" s="133">
        <v>4.5521877710281533</v>
      </c>
      <c r="D24" s="133">
        <v>6.8316708821702647</v>
      </c>
      <c r="E24" s="133">
        <v>6.9069862621990508</v>
      </c>
      <c r="F24" s="133">
        <v>5.5430824199843896</v>
      </c>
      <c r="G24" s="133">
        <v>4.6122384109242054</v>
      </c>
      <c r="H24" s="133">
        <v>4.3804881363504178</v>
      </c>
      <c r="I24" s="133">
        <v>4.1525066724048125</v>
      </c>
      <c r="J24" s="133">
        <v>4.1544043778923516</v>
      </c>
      <c r="K24" s="133">
        <v>4.5348918540608327</v>
      </c>
      <c r="L24" s="133">
        <v>5.0913224489949291</v>
      </c>
      <c r="M24" s="133">
        <v>5.7758650568188372</v>
      </c>
      <c r="N24" s="133">
        <v>6.4328481159328028</v>
      </c>
      <c r="O24" s="133">
        <v>6.8576826846882613</v>
      </c>
      <c r="P24" s="133">
        <v>7.1545152318037735</v>
      </c>
      <c r="Q24" s="133">
        <v>7.5586877692401142</v>
      </c>
      <c r="R24" s="133">
        <v>6.5027639353160023</v>
      </c>
      <c r="S24" s="133">
        <v>5.6237939216983888</v>
      </c>
      <c r="T24" s="133">
        <v>5.9381475387322356</v>
      </c>
      <c r="U24" s="133">
        <v>4.4526015740337677</v>
      </c>
      <c r="V24" s="133">
        <v>4.0447800190649508</v>
      </c>
      <c r="W24" s="133">
        <v>4.1151005213361902</v>
      </c>
      <c r="DA24" s="157" t="s">
        <v>321</v>
      </c>
    </row>
    <row r="25" spans="1:105" ht="12" customHeight="1" x14ac:dyDescent="0.25">
      <c r="A25" s="132" t="s">
        <v>169</v>
      </c>
      <c r="B25" s="133">
        <v>27.967618833272809</v>
      </c>
      <c r="C25" s="133">
        <v>16.020639577281269</v>
      </c>
      <c r="D25" s="133">
        <v>7.5181381761672075</v>
      </c>
      <c r="E25" s="133">
        <v>10.71133870127208</v>
      </c>
      <c r="F25" s="133">
        <v>7.5823633095701641</v>
      </c>
      <c r="G25" s="133">
        <v>12.838869825999481</v>
      </c>
      <c r="H25" s="133">
        <v>13.0294154094993</v>
      </c>
      <c r="I25" s="133">
        <v>14.268426591930591</v>
      </c>
      <c r="J25" s="133">
        <v>19.360039221567121</v>
      </c>
      <c r="K25" s="133">
        <v>20.057601653417763</v>
      </c>
      <c r="L25" s="133">
        <v>21.268211788199029</v>
      </c>
      <c r="M25" s="133">
        <v>24.35255485180711</v>
      </c>
      <c r="N25" s="133">
        <v>26.871185748540341</v>
      </c>
      <c r="O25" s="133">
        <v>28.41180856428284</v>
      </c>
      <c r="P25" s="133">
        <v>26.586566536610434</v>
      </c>
      <c r="Q25" s="133">
        <v>27.658980596531656</v>
      </c>
      <c r="R25" s="133">
        <v>27.830681337282869</v>
      </c>
      <c r="S25" s="133">
        <v>25.837388909355429</v>
      </c>
      <c r="T25" s="133">
        <v>24.175401355502835</v>
      </c>
      <c r="U25" s="133">
        <v>21.765160590480306</v>
      </c>
      <c r="V25" s="133">
        <v>21.479950054053123</v>
      </c>
      <c r="W25" s="133">
        <v>21.942192947157228</v>
      </c>
      <c r="DA25" s="157" t="s">
        <v>322</v>
      </c>
    </row>
    <row r="26" spans="1:105" ht="12" customHeight="1" x14ac:dyDescent="0.25">
      <c r="A26" s="132" t="s">
        <v>24</v>
      </c>
      <c r="B26" s="65">
        <v>14.214160435667537</v>
      </c>
      <c r="C26" s="65">
        <v>39.08456058490728</v>
      </c>
      <c r="D26" s="65">
        <v>3.5825043832191317</v>
      </c>
      <c r="E26" s="65">
        <v>31.872336623766309</v>
      </c>
      <c r="F26" s="65">
        <v>33.570521597864563</v>
      </c>
      <c r="G26" s="65">
        <v>35.19447690982436</v>
      </c>
      <c r="H26" s="65">
        <v>39.704115119072938</v>
      </c>
      <c r="I26" s="65">
        <v>51.940954234159022</v>
      </c>
      <c r="J26" s="65">
        <v>55.36261259930982</v>
      </c>
      <c r="K26" s="65">
        <v>36.801397046964091</v>
      </c>
      <c r="L26" s="65">
        <v>35.267194218740677</v>
      </c>
      <c r="M26" s="65">
        <v>46.805371958953785</v>
      </c>
      <c r="N26" s="65">
        <v>44.397725389486688</v>
      </c>
      <c r="O26" s="65">
        <v>43.459087237827973</v>
      </c>
      <c r="P26" s="65">
        <v>45.397582822736105</v>
      </c>
      <c r="Q26" s="65">
        <v>44.679337560758746</v>
      </c>
      <c r="R26" s="65">
        <v>44.322291579321536</v>
      </c>
      <c r="S26" s="65">
        <v>38.23353260701299</v>
      </c>
      <c r="T26" s="65">
        <v>37.924633529364073</v>
      </c>
      <c r="U26" s="65">
        <v>36.841729389550281</v>
      </c>
      <c r="V26" s="65">
        <v>33.87543642967708</v>
      </c>
      <c r="W26" s="65">
        <v>38.615469892590703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2.3903697334479789E-2</v>
      </c>
      <c r="J27" s="146">
        <v>0</v>
      </c>
      <c r="K27" s="146">
        <v>0</v>
      </c>
      <c r="L27" s="146">
        <v>7.1625107480653455E-2</v>
      </c>
      <c r="M27" s="146">
        <v>4.7807394668959592E-2</v>
      </c>
      <c r="N27" s="146">
        <v>9.5528804815133289E-2</v>
      </c>
      <c r="O27" s="146">
        <v>4.7807394668959592E-2</v>
      </c>
      <c r="P27" s="146">
        <v>4.7807394668959585E-2</v>
      </c>
      <c r="Q27" s="146">
        <v>2.3903697334479786E-2</v>
      </c>
      <c r="R27" s="146">
        <v>2.3903697334479793E-2</v>
      </c>
      <c r="S27" s="146">
        <v>6.2252794496990525E-2</v>
      </c>
      <c r="T27" s="146">
        <v>5.7351676698194347E-2</v>
      </c>
      <c r="U27" s="146">
        <v>6.7153912295786766E-2</v>
      </c>
      <c r="V27" s="146">
        <v>3.7747205503009446E-2</v>
      </c>
      <c r="W27" s="146">
        <v>0.39819432502149604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101.56243917243984</v>
      </c>
      <c r="C29" s="131">
        <f t="shared" si="8"/>
        <v>106.92484068252199</v>
      </c>
      <c r="D29" s="131">
        <f t="shared" si="8"/>
        <v>84.417457099038302</v>
      </c>
      <c r="E29" s="131">
        <f t="shared" si="8"/>
        <v>117.87103570545052</v>
      </c>
      <c r="F29" s="131">
        <f t="shared" si="8"/>
        <v>133.12139090750259</v>
      </c>
      <c r="G29" s="131">
        <f t="shared" si="8"/>
        <v>149.11582127199821</v>
      </c>
      <c r="H29" s="131">
        <f t="shared" si="8"/>
        <v>161.73847117451226</v>
      </c>
      <c r="I29" s="131">
        <f t="shared" si="8"/>
        <v>168.07767497599963</v>
      </c>
      <c r="J29" s="131">
        <f t="shared" si="8"/>
        <v>182.32840210476965</v>
      </c>
      <c r="K29" s="131">
        <f t="shared" si="8"/>
        <v>186.73917499060727</v>
      </c>
      <c r="L29" s="131">
        <f t="shared" si="8"/>
        <v>196.06371069071395</v>
      </c>
      <c r="M29" s="131">
        <f t="shared" si="8"/>
        <v>203.29964537766239</v>
      </c>
      <c r="N29" s="131">
        <f t="shared" si="8"/>
        <v>211.01615188936529</v>
      </c>
      <c r="O29" s="131">
        <f t="shared" si="8"/>
        <v>229.34525267156718</v>
      </c>
      <c r="P29" s="131">
        <f t="shared" si="8"/>
        <v>241.11968753586601</v>
      </c>
      <c r="Q29" s="131">
        <f t="shared" si="8"/>
        <v>255.3728044742106</v>
      </c>
      <c r="R29" s="131">
        <f t="shared" ref="R29:W29" si="9">SUM(R30:R33)</f>
        <v>257.34789123849896</v>
      </c>
      <c r="S29" s="131">
        <f t="shared" si="9"/>
        <v>261.27910295015386</v>
      </c>
      <c r="T29" s="131">
        <f t="shared" si="9"/>
        <v>272.045340132771</v>
      </c>
      <c r="U29" s="131">
        <f t="shared" si="9"/>
        <v>279.74600545752685</v>
      </c>
      <c r="V29" s="131">
        <f t="shared" si="9"/>
        <v>259.46483248889831</v>
      </c>
      <c r="W29" s="131">
        <f t="shared" si="9"/>
        <v>281.49939459838367</v>
      </c>
      <c r="DA29" s="156" t="s">
        <v>325</v>
      </c>
    </row>
    <row r="30" spans="1:105" ht="12" customHeight="1" x14ac:dyDescent="0.25">
      <c r="A30" s="132" t="s">
        <v>52</v>
      </c>
      <c r="B30" s="133">
        <v>13.586119502600564</v>
      </c>
      <c r="C30" s="133">
        <v>7.5018508960749415</v>
      </c>
      <c r="D30" s="133">
        <v>4.7883916618604836</v>
      </c>
      <c r="E30" s="133">
        <v>20.566573048716499</v>
      </c>
      <c r="F30" s="133">
        <v>44.635041315790495</v>
      </c>
      <c r="G30" s="133">
        <v>55.233184163740319</v>
      </c>
      <c r="H30" s="133">
        <v>22.382295943878407</v>
      </c>
      <c r="I30" s="133">
        <v>66.466522037036896</v>
      </c>
      <c r="J30" s="133">
        <v>15.397221335190721</v>
      </c>
      <c r="K30" s="133">
        <v>8.4019010783670236</v>
      </c>
      <c r="L30" s="133">
        <v>13.305251094619608</v>
      </c>
      <c r="M30" s="133">
        <v>8.4033026986116965</v>
      </c>
      <c r="N30" s="133">
        <v>10.508879503154388</v>
      </c>
      <c r="O30" s="133">
        <v>11.926964182741095</v>
      </c>
      <c r="P30" s="133">
        <v>15.459710586667944</v>
      </c>
      <c r="Q30" s="133">
        <v>19.702144563782852</v>
      </c>
      <c r="R30" s="133">
        <v>18.323941150423625</v>
      </c>
      <c r="S30" s="133">
        <v>18.186810821748949</v>
      </c>
      <c r="T30" s="133">
        <v>18.67657573825969</v>
      </c>
      <c r="U30" s="133">
        <v>18.310012414678724</v>
      </c>
      <c r="V30" s="133">
        <v>16.481513468736747</v>
      </c>
      <c r="W30" s="133">
        <v>16.319243170395847</v>
      </c>
      <c r="DA30" s="157" t="s">
        <v>326</v>
      </c>
    </row>
    <row r="31" spans="1:105" ht="12" customHeight="1" x14ac:dyDescent="0.25">
      <c r="A31" s="132" t="s">
        <v>153</v>
      </c>
      <c r="B31" s="133">
        <v>20.797933202864485</v>
      </c>
      <c r="C31" s="133">
        <v>27.642590366185942</v>
      </c>
      <c r="D31" s="133">
        <v>19.510374962907434</v>
      </c>
      <c r="E31" s="133">
        <v>44.204484557594348</v>
      </c>
      <c r="F31" s="133">
        <v>80.831409990233283</v>
      </c>
      <c r="G31" s="133">
        <v>75.220765569962055</v>
      </c>
      <c r="H31" s="133">
        <v>105.52551451895772</v>
      </c>
      <c r="I31" s="133">
        <v>78.504705266413893</v>
      </c>
      <c r="J31" s="133">
        <v>81.694740220681695</v>
      </c>
      <c r="K31" s="133">
        <v>80.708678697547199</v>
      </c>
      <c r="L31" s="133">
        <v>78.774462814641538</v>
      </c>
      <c r="M31" s="133">
        <v>76.9891817294655</v>
      </c>
      <c r="N31" s="133">
        <v>74.390018938692009</v>
      </c>
      <c r="O31" s="133">
        <v>75.478474494970939</v>
      </c>
      <c r="P31" s="133">
        <v>75.146580218452556</v>
      </c>
      <c r="Q31" s="133">
        <v>83.256522859438675</v>
      </c>
      <c r="R31" s="133">
        <v>83.951761811944152</v>
      </c>
      <c r="S31" s="133">
        <v>94.234074236351574</v>
      </c>
      <c r="T31" s="133">
        <v>94.240049268198902</v>
      </c>
      <c r="U31" s="133">
        <v>96.760130046867033</v>
      </c>
      <c r="V31" s="133">
        <v>93.315603058033588</v>
      </c>
      <c r="W31" s="133">
        <v>96.208077633084002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67.178386466974786</v>
      </c>
      <c r="C33" s="68">
        <v>71.780399420261105</v>
      </c>
      <c r="D33" s="68">
        <v>60.11869047427038</v>
      </c>
      <c r="E33" s="68">
        <v>53.099978099139676</v>
      </c>
      <c r="F33" s="68">
        <v>7.6549396014788034</v>
      </c>
      <c r="G33" s="68">
        <v>18.661871538295856</v>
      </c>
      <c r="H33" s="68">
        <v>33.830660711676117</v>
      </c>
      <c r="I33" s="68">
        <v>23.106447672548814</v>
      </c>
      <c r="J33" s="68">
        <v>85.236440548897235</v>
      </c>
      <c r="K33" s="68">
        <v>97.62859521469305</v>
      </c>
      <c r="L33" s="68">
        <v>103.98399678145282</v>
      </c>
      <c r="M33" s="68">
        <v>117.90716094958519</v>
      </c>
      <c r="N33" s="68">
        <v>126.11725344751889</v>
      </c>
      <c r="O33" s="68">
        <v>141.93981399385515</v>
      </c>
      <c r="P33" s="68">
        <v>150.51339673074551</v>
      </c>
      <c r="Q33" s="68">
        <v>152.41413705098907</v>
      </c>
      <c r="R33" s="68">
        <v>155.07218827613116</v>
      </c>
      <c r="S33" s="68">
        <v>148.85821789205335</v>
      </c>
      <c r="T33" s="68">
        <v>159.12871512631241</v>
      </c>
      <c r="U33" s="68">
        <v>164.67586299598111</v>
      </c>
      <c r="V33" s="68">
        <v>149.66771596212794</v>
      </c>
      <c r="W33" s="68">
        <v>168.97207379490385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0.64771555235237155</v>
      </c>
      <c r="C3" s="127">
        <f>IF(SER_hh_tes!C3=0,"",SER_hh_tes!C3/SER_hh_fec!C3)</f>
        <v>0.59991832073745255</v>
      </c>
      <c r="D3" s="127">
        <f>IF(SER_hh_tes!D3=0,"",SER_hh_tes!D3/SER_hh_fec!D3)</f>
        <v>0.58688546396425112</v>
      </c>
      <c r="E3" s="127">
        <f>IF(SER_hh_tes!E3=0,"",SER_hh_tes!E3/SER_hh_fec!E3)</f>
        <v>0.58567353386014442</v>
      </c>
      <c r="F3" s="127">
        <f>IF(SER_hh_tes!F3=0,"",SER_hh_tes!F3/SER_hh_fec!F3)</f>
        <v>0.56135938771595906</v>
      </c>
      <c r="G3" s="127">
        <f>IF(SER_hh_tes!G3=0,"",SER_hh_tes!G3/SER_hh_fec!G3)</f>
        <v>0.59120881139458115</v>
      </c>
      <c r="H3" s="127">
        <f>IF(SER_hh_tes!H3=0,"",SER_hh_tes!H3/SER_hh_fec!H3)</f>
        <v>0.5939876959361241</v>
      </c>
      <c r="I3" s="127">
        <f>IF(SER_hh_tes!I3=0,"",SER_hh_tes!I3/SER_hh_fec!I3)</f>
        <v>0.59759993049206439</v>
      </c>
      <c r="J3" s="127">
        <f>IF(SER_hh_tes!J3=0,"",SER_hh_tes!J3/SER_hh_fec!J3)</f>
        <v>0.61813158792350675</v>
      </c>
      <c r="K3" s="127">
        <f>IF(SER_hh_tes!K3=0,"",SER_hh_tes!K3/SER_hh_fec!K3)</f>
        <v>0.62926509482810356</v>
      </c>
      <c r="L3" s="127">
        <f>IF(SER_hh_tes!L3=0,"",SER_hh_tes!L3/SER_hh_fec!L3)</f>
        <v>0.63874374124713962</v>
      </c>
      <c r="M3" s="127">
        <f>IF(SER_hh_tes!M3=0,"",SER_hh_tes!M3/SER_hh_fec!M3)</f>
        <v>0.64587036763932215</v>
      </c>
      <c r="N3" s="127">
        <f>IF(SER_hh_tes!N3=0,"",SER_hh_tes!N3/SER_hh_fec!N3)</f>
        <v>0.65947361710738672</v>
      </c>
      <c r="O3" s="127">
        <f>IF(SER_hh_tes!O3=0,"",SER_hh_tes!O3/SER_hh_fec!O3)</f>
        <v>0.66757942587574004</v>
      </c>
      <c r="P3" s="127">
        <f>IF(SER_hh_tes!P3=0,"",SER_hh_tes!P3/SER_hh_fec!P3)</f>
        <v>0.67137934393666032</v>
      </c>
      <c r="Q3" s="127">
        <f>IF(SER_hh_tes!Q3=0,"",SER_hh_tes!Q3/SER_hh_fec!Q3)</f>
        <v>0.67702212580707744</v>
      </c>
      <c r="R3" s="127">
        <f>IF(SER_hh_tes!R3=0,"",SER_hh_tes!R3/SER_hh_fec!R3)</f>
        <v>0.68333491115258616</v>
      </c>
      <c r="S3" s="127">
        <f>IF(SER_hh_tes!S3=0,"",SER_hh_tes!S3/SER_hh_fec!S3)</f>
        <v>0.6921553640065099</v>
      </c>
      <c r="T3" s="127">
        <f>IF(SER_hh_tes!T3=0,"",SER_hh_tes!T3/SER_hh_fec!T3)</f>
        <v>0.70230850985413884</v>
      </c>
      <c r="U3" s="127">
        <f>IF(SER_hh_tes!U3=0,"",SER_hh_tes!U3/SER_hh_fec!U3)</f>
        <v>0.71312992917290774</v>
      </c>
      <c r="V3" s="127">
        <f>IF(SER_hh_tes!V3=0,"",SER_hh_tes!V3/SER_hh_fec!V3)</f>
        <v>0.72211646410263941</v>
      </c>
      <c r="W3" s="127">
        <f>IF(SER_hh_tes!W3=0,"",SER_hh_tes!W3/SER_hh_fec!W3)</f>
        <v>0.7289083094724701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0.64091205383094219</v>
      </c>
      <c r="C4" s="136">
        <f>IF(SER_hh_tes!C4=0,"",SER_hh_tes!C4/SER_hh_fec!C4)</f>
        <v>0.58426156808811414</v>
      </c>
      <c r="D4" s="136">
        <f>IF(SER_hh_tes!D4=0,"",SER_hh_tes!D4/SER_hh_fec!D4)</f>
        <v>0.55764785747051804</v>
      </c>
      <c r="E4" s="136">
        <f>IF(SER_hh_tes!E4=0,"",SER_hh_tes!E4/SER_hh_fec!E4)</f>
        <v>0.5681649471296375</v>
      </c>
      <c r="F4" s="136">
        <f>IF(SER_hh_tes!F4=0,"",SER_hh_tes!F4/SER_hh_fec!F4)</f>
        <v>0.54653641199376324</v>
      </c>
      <c r="G4" s="136">
        <f>IF(SER_hh_tes!G4=0,"",SER_hh_tes!G4/SER_hh_fec!G4)</f>
        <v>0.58463059723041111</v>
      </c>
      <c r="H4" s="136">
        <f>IF(SER_hh_tes!H4=0,"",SER_hh_tes!H4/SER_hh_fec!H4)</f>
        <v>0.58620708855273884</v>
      </c>
      <c r="I4" s="136">
        <f>IF(SER_hh_tes!I4=0,"",SER_hh_tes!I4/SER_hh_fec!I4)</f>
        <v>0.58726132502415407</v>
      </c>
      <c r="J4" s="136">
        <f>IF(SER_hh_tes!J4=0,"",SER_hh_tes!J4/SER_hh_fec!J4)</f>
        <v>0.5987434814929149</v>
      </c>
      <c r="K4" s="136">
        <f>IF(SER_hh_tes!K4=0,"",SER_hh_tes!K4/SER_hh_fec!K4)</f>
        <v>0.60993623231158878</v>
      </c>
      <c r="L4" s="136">
        <f>IF(SER_hh_tes!L4=0,"",SER_hh_tes!L4/SER_hh_fec!L4)</f>
        <v>0.61990889657760262</v>
      </c>
      <c r="M4" s="136">
        <f>IF(SER_hh_tes!M4=0,"",SER_hh_tes!M4/SER_hh_fec!M4)</f>
        <v>0.62307121609198257</v>
      </c>
      <c r="N4" s="136">
        <f>IF(SER_hh_tes!N4=0,"",SER_hh_tes!N4/SER_hh_fec!N4)</f>
        <v>0.63141802390686186</v>
      </c>
      <c r="O4" s="136">
        <f>IF(SER_hh_tes!O4=0,"",SER_hh_tes!O4/SER_hh_fec!O4)</f>
        <v>0.64233695161622117</v>
      </c>
      <c r="P4" s="136">
        <f>IF(SER_hh_tes!P4=0,"",SER_hh_tes!P4/SER_hh_fec!P4)</f>
        <v>0.64314588778045489</v>
      </c>
      <c r="Q4" s="136">
        <f>IF(SER_hh_tes!Q4=0,"",SER_hh_tes!Q4/SER_hh_fec!Q4)</f>
        <v>0.64336859347259556</v>
      </c>
      <c r="R4" s="136">
        <f>IF(SER_hh_tes!R4=0,"",SER_hh_tes!R4/SER_hh_fec!R4)</f>
        <v>0.65226029873476454</v>
      </c>
      <c r="S4" s="136">
        <f>IF(SER_hh_tes!S4=0,"",SER_hh_tes!S4/SER_hh_fec!S4)</f>
        <v>0.66362102105939547</v>
      </c>
      <c r="T4" s="136">
        <f>IF(SER_hh_tes!T4=0,"",SER_hh_tes!T4/SER_hh_fec!T4)</f>
        <v>0.67481931053741173</v>
      </c>
      <c r="U4" s="136">
        <f>IF(SER_hh_tes!U4=0,"",SER_hh_tes!U4/SER_hh_fec!U4)</f>
        <v>0.68185158142890301</v>
      </c>
      <c r="V4" s="136">
        <f>IF(SER_hh_tes!V4=0,"",SER_hh_tes!V4/SER_hh_fec!V4)</f>
        <v>0.69081896051775948</v>
      </c>
      <c r="W4" s="136">
        <f>IF(SER_hh_tes!W4=0,"",SER_hh_tes!W4/SER_hh_fec!W4)</f>
        <v>0.69401527955515174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0.50295934471577775</v>
      </c>
      <c r="C5" s="137">
        <f>IF(SER_hh_tes!C5=0,"",SER_hh_tes!C5/SER_hh_fec!C5)</f>
        <v>0.50663987176611847</v>
      </c>
      <c r="D5" s="137">
        <f>IF(SER_hh_tes!D5=0,"",SER_hh_tes!D5/SER_hh_fec!D5)</f>
        <v>0.50840163396872284</v>
      </c>
      <c r="E5" s="137">
        <f>IF(SER_hh_tes!E5=0,"",SER_hh_tes!E5/SER_hh_fec!E5)</f>
        <v>0.5089061518118877</v>
      </c>
      <c r="F5" s="137">
        <f>IF(SER_hh_tes!F5=0,"",SER_hh_tes!F5/SER_hh_fec!F5)</f>
        <v>0.5089061518118877</v>
      </c>
      <c r="G5" s="137">
        <f>IF(SER_hh_tes!G5=0,"",SER_hh_tes!G5/SER_hh_fec!G5)</f>
        <v>0.50890615181188781</v>
      </c>
      <c r="H5" s="137">
        <f>IF(SER_hh_tes!H5=0,"",SER_hh_tes!H5/SER_hh_fec!H5)</f>
        <v>0.50919719551581677</v>
      </c>
      <c r="I5" s="137">
        <f>IF(SER_hh_tes!I5=0,"",SER_hh_tes!I5/SER_hh_fec!I5)</f>
        <v>0.50919712466041822</v>
      </c>
      <c r="J5" s="137">
        <f>IF(SER_hh_tes!J5=0,"",SER_hh_tes!J5/SER_hh_fec!J5)</f>
        <v>0.50919712466041778</v>
      </c>
      <c r="K5" s="137">
        <f>IF(SER_hh_tes!K5=0,"",SER_hh_tes!K5/SER_hh_fec!K5)</f>
        <v>0.50919712466041778</v>
      </c>
      <c r="L5" s="137">
        <f>IF(SER_hh_tes!L5=0,"",SER_hh_tes!L5/SER_hh_fec!L5)</f>
        <v>0.5245296355985859</v>
      </c>
      <c r="M5" s="137">
        <f>IF(SER_hh_tes!M5=0,"",SER_hh_tes!M5/SER_hh_fec!M5)</f>
        <v>0.54772338594957093</v>
      </c>
      <c r="N5" s="137">
        <f>IF(SER_hh_tes!N5=0,"",SER_hh_tes!N5/SER_hh_fec!N5)</f>
        <v>0.56351732618891359</v>
      </c>
      <c r="O5" s="137">
        <f>IF(SER_hh_tes!O5=0,"",SER_hh_tes!O5/SER_hh_fec!O5)</f>
        <v>0.64848018313984679</v>
      </c>
      <c r="P5" s="137">
        <f>IF(SER_hh_tes!P5=0,"",SER_hh_tes!P5/SER_hh_fec!P5)</f>
        <v>0.64939433873650532</v>
      </c>
      <c r="Q5" s="137">
        <f>IF(SER_hh_tes!Q5=0,"",SER_hh_tes!Q5/SER_hh_fec!Q5)</f>
        <v>0.65022297268675999</v>
      </c>
      <c r="R5" s="137">
        <f>IF(SER_hh_tes!R5=0,"",SER_hh_tes!R5/SER_hh_fec!R5)</f>
        <v>0.6536119986668093</v>
      </c>
      <c r="S5" s="137" t="str">
        <f>IF(SER_hh_tes!S5=0,"",SER_hh_tes!S5/SER_hh_fec!S5)</f>
        <v/>
      </c>
      <c r="T5" s="137">
        <f>IF(SER_hh_tes!T5=0,"",SER_hh_tes!T5/SER_hh_fec!T5)</f>
        <v>0.70132992765815594</v>
      </c>
      <c r="U5" s="137">
        <f>IF(SER_hh_tes!U5=0,"",SER_hh_tes!U5/SER_hh_fec!U5)</f>
        <v>0.70132992765815572</v>
      </c>
      <c r="V5" s="137">
        <f>IF(SER_hh_tes!V5=0,"",SER_hh_tes!V5/SER_hh_fec!V5)</f>
        <v>0.70132992765815538</v>
      </c>
      <c r="W5" s="137">
        <f>IF(SER_hh_tes!W5=0,"",SER_hh_tes!W5/SER_hh_fec!W5)</f>
        <v>0.70132992765815583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0.43533342369841221</v>
      </c>
      <c r="C7" s="137">
        <f>IF(SER_hh_tes!C7=0,"",SER_hh_tes!C7/SER_hh_fec!C7)</f>
        <v>0.46954236191199661</v>
      </c>
      <c r="D7" s="137">
        <f>IF(SER_hh_tes!D7=0,"",SER_hh_tes!D7/SER_hh_fec!D7)</f>
        <v>0.4840627355955418</v>
      </c>
      <c r="E7" s="137">
        <f>IF(SER_hh_tes!E7=0,"",SER_hh_tes!E7/SER_hh_fec!E7)</f>
        <v>0.48704989038251978</v>
      </c>
      <c r="F7" s="137">
        <f>IF(SER_hh_tes!F7=0,"",SER_hh_tes!F7/SER_hh_fec!F7)</f>
        <v>0.49102349291160474</v>
      </c>
      <c r="G7" s="137">
        <f>IF(SER_hh_tes!G7=0,"",SER_hh_tes!G7/SER_hh_fec!G7)</f>
        <v>0.492109751559344</v>
      </c>
      <c r="H7" s="137">
        <f>IF(SER_hh_tes!H7=0,"",SER_hh_tes!H7/SER_hh_fec!H7)</f>
        <v>0.49210975155934394</v>
      </c>
      <c r="I7" s="137">
        <f>IF(SER_hh_tes!I7=0,"",SER_hh_tes!I7/SER_hh_fec!I7)</f>
        <v>0.49210975155934411</v>
      </c>
      <c r="J7" s="137">
        <f>IF(SER_hh_tes!J7=0,"",SER_hh_tes!J7/SER_hh_fec!J7)</f>
        <v>0.49304621016507988</v>
      </c>
      <c r="K7" s="137">
        <f>IF(SER_hh_tes!K7=0,"",SER_hh_tes!K7/SER_hh_fec!K7)</f>
        <v>0.49427191397955267</v>
      </c>
      <c r="L7" s="137">
        <f>IF(SER_hh_tes!L7=0,"",SER_hh_tes!L7/SER_hh_fec!L7)</f>
        <v>0.49805870551597164</v>
      </c>
      <c r="M7" s="137">
        <f>IF(SER_hh_tes!M7=0,"",SER_hh_tes!M7/SER_hh_fec!M7)</f>
        <v>0.51428645886011859</v>
      </c>
      <c r="N7" s="137">
        <f>IF(SER_hh_tes!N7=0,"",SER_hh_tes!N7/SER_hh_fec!N7)</f>
        <v>0.52251169790398977</v>
      </c>
      <c r="O7" s="137">
        <f>IF(SER_hh_tes!O7=0,"",SER_hh_tes!O7/SER_hh_fec!O7)</f>
        <v>0.5262856242207623</v>
      </c>
      <c r="P7" s="137">
        <f>IF(SER_hh_tes!P7=0,"",SER_hh_tes!P7/SER_hh_fec!P7)</f>
        <v>0.53136302916450684</v>
      </c>
      <c r="Q7" s="137">
        <f>IF(SER_hh_tes!Q7=0,"",SER_hh_tes!Q7/SER_hh_fec!Q7)</f>
        <v>0.55438656040281176</v>
      </c>
      <c r="R7" s="137">
        <f>IF(SER_hh_tes!R7=0,"",SER_hh_tes!R7/SER_hh_fec!R7)</f>
        <v>0.58670531826843675</v>
      </c>
      <c r="S7" s="137">
        <f>IF(SER_hh_tes!S7=0,"",SER_hh_tes!S7/SER_hh_fec!S7)</f>
        <v>0.62505599513266608</v>
      </c>
      <c r="T7" s="137">
        <f>IF(SER_hh_tes!T7=0,"",SER_hh_tes!T7/SER_hh_fec!T7)</f>
        <v>0.64947672908542109</v>
      </c>
      <c r="U7" s="137">
        <f>IF(SER_hh_tes!U7=0,"",SER_hh_tes!U7/SER_hh_fec!U7)</f>
        <v>0.66086897944075695</v>
      </c>
      <c r="V7" s="137">
        <f>IF(SER_hh_tes!V7=0,"",SER_hh_tes!V7/SER_hh_fec!V7)</f>
        <v>0.66905104520216241</v>
      </c>
      <c r="W7" s="137">
        <f>IF(SER_hh_tes!W7=0,"",SER_hh_tes!W7/SER_hh_fec!W7)</f>
        <v>0.67545788309725541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0.47852387395786466</v>
      </c>
      <c r="C9" s="137">
        <f>IF(SER_hh_tes!C9=0,"",SER_hh_tes!C9/SER_hh_fec!C9)</f>
        <v>0.48872015571576866</v>
      </c>
      <c r="D9" s="137">
        <f>IF(SER_hh_tes!D9=0,"",SER_hh_tes!D9/SER_hh_fec!D9)</f>
        <v>0.50284022560629538</v>
      </c>
      <c r="E9" s="137">
        <f>IF(SER_hh_tes!E9=0,"",SER_hh_tes!E9/SER_hh_fec!E9)</f>
        <v>0.52980192961612571</v>
      </c>
      <c r="F9" s="137">
        <f>IF(SER_hh_tes!F9=0,"",SER_hh_tes!F9/SER_hh_fec!F9)</f>
        <v>0.54772982393099157</v>
      </c>
      <c r="G9" s="137">
        <f>IF(SER_hh_tes!G9=0,"",SER_hh_tes!G9/SER_hh_fec!G9)</f>
        <v>0.56018269551177602</v>
      </c>
      <c r="H9" s="137">
        <f>IF(SER_hh_tes!H9=0,"",SER_hh_tes!H9/SER_hh_fec!H9)</f>
        <v>0.57068082598927361</v>
      </c>
      <c r="I9" s="137">
        <f>IF(SER_hh_tes!I9=0,"",SER_hh_tes!I9/SER_hh_fec!I9)</f>
        <v>0.5742842373495044</v>
      </c>
      <c r="J9" s="137">
        <f>IF(SER_hh_tes!J9=0,"",SER_hh_tes!J9/SER_hh_fec!J9)</f>
        <v>0.57880686696519168</v>
      </c>
      <c r="K9" s="137">
        <f>IF(SER_hh_tes!K9=0,"",SER_hh_tes!K9/SER_hh_fec!K9)</f>
        <v>0.58398807163456123</v>
      </c>
      <c r="L9" s="137">
        <f>IF(SER_hh_tes!L9=0,"",SER_hh_tes!L9/SER_hh_fec!L9)</f>
        <v>0.58948617334331899</v>
      </c>
      <c r="M9" s="137">
        <f>IF(SER_hh_tes!M9=0,"",SER_hh_tes!M9/SER_hh_fec!M9)</f>
        <v>0.59526385176847285</v>
      </c>
      <c r="N9" s="137">
        <f>IF(SER_hh_tes!N9=0,"",SER_hh_tes!N9/SER_hh_fec!N9)</f>
        <v>0.603407290057694</v>
      </c>
      <c r="O9" s="137">
        <f>IF(SER_hh_tes!O9=0,"",SER_hh_tes!O9/SER_hh_fec!O9)</f>
        <v>0.61497431904786026</v>
      </c>
      <c r="P9" s="137">
        <f>IF(SER_hh_tes!P9=0,"",SER_hh_tes!P9/SER_hh_fec!P9)</f>
        <v>0.62303504302509261</v>
      </c>
      <c r="Q9" s="137">
        <f>IF(SER_hh_tes!Q9=0,"",SER_hh_tes!Q9/SER_hh_fec!Q9)</f>
        <v>0.63089728125064071</v>
      </c>
      <c r="R9" s="137">
        <f>IF(SER_hh_tes!R9=0,"",SER_hh_tes!R9/SER_hh_fec!R9)</f>
        <v>0.63923776602293469</v>
      </c>
      <c r="S9" s="137">
        <f>IF(SER_hh_tes!S9=0,"",SER_hh_tes!S9/SER_hh_fec!S9)</f>
        <v>0.65128953676202117</v>
      </c>
      <c r="T9" s="137">
        <f>IF(SER_hh_tes!T9=0,"",SER_hh_tes!T9/SER_hh_fec!T9)</f>
        <v>0.66410279215321799</v>
      </c>
      <c r="U9" s="137">
        <f>IF(SER_hh_tes!U9=0,"",SER_hh_tes!U9/SER_hh_fec!U9)</f>
        <v>0.67739377873727669</v>
      </c>
      <c r="V9" s="137">
        <f>IF(SER_hh_tes!V9=0,"",SER_hh_tes!V9/SER_hh_fec!V9)</f>
        <v>0.68911686484640655</v>
      </c>
      <c r="W9" s="137">
        <f>IF(SER_hh_tes!W9=0,"",SER_hh_tes!W9/SER_hh_fec!W9)</f>
        <v>0.69721417154604992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>
        <f>IF(SER_hh_tes!C10=0,"",SER_hh_tes!C10/SER_hh_fec!C10)</f>
        <v>0.54027887772369387</v>
      </c>
      <c r="D10" s="137">
        <f>IF(SER_hh_tes!D10=0,"",SER_hh_tes!D10/SER_hh_fec!D10)</f>
        <v>0.54036734933207864</v>
      </c>
      <c r="E10" s="137">
        <f>IF(SER_hh_tes!E10=0,"",SER_hh_tes!E10/SER_hh_fec!E10)</f>
        <v>0.54036743673984899</v>
      </c>
      <c r="F10" s="137">
        <f>IF(SER_hh_tes!F10=0,"",SER_hh_tes!F10/SER_hh_fec!F10)</f>
        <v>0.54036743673984899</v>
      </c>
      <c r="G10" s="137">
        <f>IF(SER_hh_tes!G10=0,"",SER_hh_tes!G10/SER_hh_fec!G10)</f>
        <v>0.54036743673984888</v>
      </c>
      <c r="H10" s="137">
        <f>IF(SER_hh_tes!H10=0,"",SER_hh_tes!H10/SER_hh_fec!H10)</f>
        <v>0.54036743673984899</v>
      </c>
      <c r="I10" s="137">
        <f>IF(SER_hh_tes!I10=0,"",SER_hh_tes!I10/SER_hh_fec!I10)</f>
        <v>0.54036743673984899</v>
      </c>
      <c r="J10" s="137">
        <f>IF(SER_hh_tes!J10=0,"",SER_hh_tes!J10/SER_hh_fec!J10)</f>
        <v>0.54042908590397409</v>
      </c>
      <c r="K10" s="137">
        <f>IF(SER_hh_tes!K10=0,"",SER_hh_tes!K10/SER_hh_fec!K10)</f>
        <v>0.54042907135396989</v>
      </c>
      <c r="L10" s="137">
        <f>IF(SER_hh_tes!L10=0,"",SER_hh_tes!L10/SER_hh_fec!L10)</f>
        <v>0.54042907135396978</v>
      </c>
      <c r="M10" s="137">
        <f>IF(SER_hh_tes!M10=0,"",SER_hh_tes!M10/SER_hh_fec!M10)</f>
        <v>0.54042907135396978</v>
      </c>
      <c r="N10" s="137">
        <f>IF(SER_hh_tes!N10=0,"",SER_hh_tes!N10/SER_hh_fec!N10)</f>
        <v>0.54042907135396978</v>
      </c>
      <c r="O10" s="137">
        <f>IF(SER_hh_tes!O10=0,"",SER_hh_tes!O10/SER_hh_fec!O10)</f>
        <v>0.54056167288122525</v>
      </c>
      <c r="P10" s="137">
        <f>IF(SER_hh_tes!P10=0,"",SER_hh_tes!P10/SER_hh_fec!P10)</f>
        <v>0.5412468725763141</v>
      </c>
      <c r="Q10" s="137">
        <f>IF(SER_hh_tes!Q10=0,"",SER_hh_tes!Q10/SER_hh_fec!Q10)</f>
        <v>0.54215648245681192</v>
      </c>
      <c r="R10" s="137">
        <f>IF(SER_hh_tes!R10=0,"",SER_hh_tes!R10/SER_hh_fec!R10)</f>
        <v>0.54293669341256301</v>
      </c>
      <c r="S10" s="137">
        <f>IF(SER_hh_tes!S10=0,"",SER_hh_tes!S10/SER_hh_fec!S10)</f>
        <v>0.5436944329923098</v>
      </c>
      <c r="T10" s="137">
        <f>IF(SER_hh_tes!T10=0,"",SER_hh_tes!T10/SER_hh_fec!T10)</f>
        <v>0.54393544964624929</v>
      </c>
      <c r="U10" s="137">
        <f>IF(SER_hh_tes!U10=0,"",SER_hh_tes!U10/SER_hh_fec!U10)</f>
        <v>0.54393655911589767</v>
      </c>
      <c r="V10" s="137">
        <f>IF(SER_hh_tes!V10=0,"",SER_hh_tes!V10/SER_hh_fec!V10)</f>
        <v>0.54393757219097305</v>
      </c>
      <c r="W10" s="137">
        <f>IF(SER_hh_tes!W10=0,"",SER_hh_tes!W10/SER_hh_fec!W10)</f>
        <v>0.54394326875480947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0.71612318928780039</v>
      </c>
      <c r="C11" s="137">
        <f>IF(SER_hh_tes!C11=0,"",SER_hh_tes!C11/SER_hh_fec!C11)</f>
        <v>0.73997562632521219</v>
      </c>
      <c r="D11" s="137">
        <f>IF(SER_hh_tes!D11=0,"",SER_hh_tes!D11/SER_hh_fec!D11)</f>
        <v>0.75304170399342474</v>
      </c>
      <c r="E11" s="137">
        <f>IF(SER_hh_tes!E11=0,"",SER_hh_tes!E11/SER_hh_fec!E11)</f>
        <v>0.75436708192599933</v>
      </c>
      <c r="F11" s="137">
        <f>IF(SER_hh_tes!F11=0,"",SER_hh_tes!F11/SER_hh_fec!F11)</f>
        <v>0.75538621686225593</v>
      </c>
      <c r="G11" s="137">
        <f>IF(SER_hh_tes!G11=0,"",SER_hh_tes!G11/SER_hh_fec!G11)</f>
        <v>0.75538621686225549</v>
      </c>
      <c r="H11" s="137">
        <f>IF(SER_hh_tes!H11=0,"",SER_hh_tes!H11/SER_hh_fec!H11)</f>
        <v>0.75538621686225571</v>
      </c>
      <c r="I11" s="137">
        <f>IF(SER_hh_tes!I11=0,"",SER_hh_tes!I11/SER_hh_fec!I11)</f>
        <v>0.76243950508573055</v>
      </c>
      <c r="J11" s="137">
        <f>IF(SER_hh_tes!J11=0,"",SER_hh_tes!J11/SER_hh_fec!J11)</f>
        <v>0.77115122712097106</v>
      </c>
      <c r="K11" s="137">
        <f>IF(SER_hh_tes!K11=0,"",SER_hh_tes!K11/SER_hh_fec!K11)</f>
        <v>0.77423976266644035</v>
      </c>
      <c r="L11" s="137">
        <f>IF(SER_hh_tes!L11=0,"",SER_hh_tes!L11/SER_hh_fec!L11)</f>
        <v>0.77568953285049513</v>
      </c>
      <c r="M11" s="137">
        <f>IF(SER_hh_tes!M11=0,"",SER_hh_tes!M11/SER_hh_fec!M11)</f>
        <v>0.78073450175302972</v>
      </c>
      <c r="N11" s="137">
        <f>IF(SER_hh_tes!N11=0,"",SER_hh_tes!N11/SER_hh_fec!N11)</f>
        <v>0.78862692374985333</v>
      </c>
      <c r="O11" s="137">
        <f>IF(SER_hh_tes!O11=0,"",SER_hh_tes!O11/SER_hh_fec!O11)</f>
        <v>0.79658465894477681</v>
      </c>
      <c r="P11" s="137">
        <f>IF(SER_hh_tes!P11=0,"",SER_hh_tes!P11/SER_hh_fec!P11)</f>
        <v>0.80149784027758164</v>
      </c>
      <c r="Q11" s="137">
        <f>IF(SER_hh_tes!Q11=0,"",SER_hh_tes!Q11/SER_hh_fec!Q11)</f>
        <v>0.80616295833485119</v>
      </c>
      <c r="R11" s="137">
        <f>IF(SER_hh_tes!R11=0,"",SER_hh_tes!R11/SER_hh_fec!R11)</f>
        <v>0.81066413704427975</v>
      </c>
      <c r="S11" s="137">
        <f>IF(SER_hh_tes!S11=0,"",SER_hh_tes!S11/SER_hh_fec!S11)</f>
        <v>0.8148322820534627</v>
      </c>
      <c r="T11" s="137">
        <f>IF(SER_hh_tes!T11=0,"",SER_hh_tes!T11/SER_hh_fec!T11)</f>
        <v>0.81644890564421302</v>
      </c>
      <c r="U11" s="137">
        <f>IF(SER_hh_tes!U11=0,"",SER_hh_tes!U11/SER_hh_fec!U11)</f>
        <v>0.81688093859818345</v>
      </c>
      <c r="V11" s="137">
        <f>IF(SER_hh_tes!V11=0,"",SER_hh_tes!V11/SER_hh_fec!V11)</f>
        <v>0.8170159238709549</v>
      </c>
      <c r="W11" s="137">
        <f>IF(SER_hh_tes!W11=0,"",SER_hh_tes!W11/SER_hh_fec!W11)</f>
        <v>0.81701592387095512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0.74413650382552843</v>
      </c>
      <c r="C12" s="137">
        <f>IF(SER_hh_tes!C12=0,"",SER_hh_tes!C12/SER_hh_fec!C12)</f>
        <v>0.74413650382552843</v>
      </c>
      <c r="D12" s="137">
        <f>IF(SER_hh_tes!D12=0,"",SER_hh_tes!D12/SER_hh_fec!D12)</f>
        <v>0.74413650382552854</v>
      </c>
      <c r="E12" s="137">
        <f>IF(SER_hh_tes!E12=0,"",SER_hh_tes!E12/SER_hh_fec!E12)</f>
        <v>0.74413650382552843</v>
      </c>
      <c r="F12" s="137">
        <f>IF(SER_hh_tes!F12=0,"",SER_hh_tes!F12/SER_hh_fec!F12)</f>
        <v>0.74413650382552843</v>
      </c>
      <c r="G12" s="137">
        <f>IF(SER_hh_tes!G12=0,"",SER_hh_tes!G12/SER_hh_fec!G12)</f>
        <v>0.74949054181685137</v>
      </c>
      <c r="H12" s="137">
        <f>IF(SER_hh_tes!H12=0,"",SER_hh_tes!H12/SER_hh_fec!H12)</f>
        <v>0.74948942764279858</v>
      </c>
      <c r="I12" s="137">
        <f>IF(SER_hh_tes!I12=0,"",SER_hh_tes!I12/SER_hh_fec!I12)</f>
        <v>0.75213705901116124</v>
      </c>
      <c r="J12" s="137">
        <f>IF(SER_hh_tes!J12=0,"",SER_hh_tes!J12/SER_hh_fec!J12)</f>
        <v>0.75817589369448679</v>
      </c>
      <c r="K12" s="137">
        <f>IF(SER_hh_tes!K12=0,"",SER_hh_tes!K12/SER_hh_fec!K12)</f>
        <v>0.76592087790284957</v>
      </c>
      <c r="L12" s="137">
        <f>IF(SER_hh_tes!L12=0,"",SER_hh_tes!L12/SER_hh_fec!L12)</f>
        <v>0.77412095948680959</v>
      </c>
      <c r="M12" s="137">
        <f>IF(SER_hh_tes!M12=0,"",SER_hh_tes!M12/SER_hh_fec!M12)</f>
        <v>0.78268934130088108</v>
      </c>
      <c r="N12" s="137">
        <f>IF(SER_hh_tes!N12=0,"",SER_hh_tes!N12/SER_hh_fec!N12)</f>
        <v>0.79102828992238217</v>
      </c>
      <c r="O12" s="137">
        <f>IF(SER_hh_tes!O12=0,"",SER_hh_tes!O12/SER_hh_fec!O12)</f>
        <v>0.79773275964226442</v>
      </c>
      <c r="P12" s="137">
        <f>IF(SER_hh_tes!P12=0,"",SER_hh_tes!P12/SER_hh_fec!P12)</f>
        <v>0.79797433863470013</v>
      </c>
      <c r="Q12" s="137">
        <f>IF(SER_hh_tes!Q12=0,"",SER_hh_tes!Q12/SER_hh_fec!Q12)</f>
        <v>0.79855597728028904</v>
      </c>
      <c r="R12" s="137">
        <f>IF(SER_hh_tes!R12=0,"",SER_hh_tes!R12/SER_hh_fec!R12)</f>
        <v>0.79921851633507091</v>
      </c>
      <c r="S12" s="137">
        <f>IF(SER_hh_tes!S12=0,"",SER_hh_tes!S12/SER_hh_fec!S12)</f>
        <v>0.79953945339853794</v>
      </c>
      <c r="T12" s="137">
        <f>IF(SER_hh_tes!T12=0,"",SER_hh_tes!T12/SER_hh_fec!T12)</f>
        <v>0.79993780881885068</v>
      </c>
      <c r="U12" s="137">
        <f>IF(SER_hh_tes!U12=0,"",SER_hh_tes!U12/SER_hh_fec!U12)</f>
        <v>0.8004731783233715</v>
      </c>
      <c r="V12" s="137">
        <f>IF(SER_hh_tes!V12=0,"",SER_hh_tes!V12/SER_hh_fec!V12)</f>
        <v>0.80541330236587738</v>
      </c>
      <c r="W12" s="137">
        <f>IF(SER_hh_tes!W12=0,"",SER_hh_tes!W12/SER_hh_fec!W12)</f>
        <v>0.81193768023193735</v>
      </c>
      <c r="DA12" s="164" t="s">
        <v>338</v>
      </c>
    </row>
    <row r="13" spans="1:105" ht="12" customHeight="1" x14ac:dyDescent="0.25">
      <c r="A13" s="132" t="s">
        <v>77</v>
      </c>
      <c r="B13" s="137" t="str">
        <f>IF(SER_hh_tes!B13=0,"",SER_hh_tes!B13/SER_hh_fec!B13)</f>
        <v/>
      </c>
      <c r="C13" s="137" t="str">
        <f>IF(SER_hh_tes!C13=0,"",SER_hh_tes!C13/SER_hh_fec!C13)</f>
        <v/>
      </c>
      <c r="D13" s="137" t="str">
        <f>IF(SER_hh_tes!D13=0,"",SER_hh_tes!D13/SER_hh_fec!D13)</f>
        <v/>
      </c>
      <c r="E13" s="137" t="str">
        <f>IF(SER_hh_tes!E13=0,"",SER_hh_tes!E13/SER_hh_fec!E13)</f>
        <v/>
      </c>
      <c r="F13" s="137" t="str">
        <f>IF(SER_hh_tes!F13=0,"",SER_hh_tes!F13/SER_hh_fec!F13)</f>
        <v/>
      </c>
      <c r="G13" s="137" t="str">
        <f>IF(SER_hh_tes!G13=0,"",SER_hh_tes!G13/SER_hh_fec!G13)</f>
        <v/>
      </c>
      <c r="H13" s="137" t="str">
        <f>IF(SER_hh_tes!H13=0,"",SER_hh_tes!H13/SER_hh_fec!H13)</f>
        <v/>
      </c>
      <c r="I13" s="137" t="str">
        <f>IF(SER_hh_tes!I13=0,"",SER_hh_tes!I13/SER_hh_fec!I13)</f>
        <v/>
      </c>
      <c r="J13" s="137" t="str">
        <f>IF(SER_hh_tes!J13=0,"",SER_hh_tes!J13/SER_hh_fec!J13)</f>
        <v/>
      </c>
      <c r="K13" s="137" t="str">
        <f>IF(SER_hh_tes!K13=0,"",SER_hh_tes!K13/SER_hh_fec!K13)</f>
        <v/>
      </c>
      <c r="L13" s="137" t="str">
        <f>IF(SER_hh_tes!L13=0,"",SER_hh_tes!L13/SER_hh_fec!L13)</f>
        <v/>
      </c>
      <c r="M13" s="137" t="str">
        <f>IF(SER_hh_tes!M13=0,"",SER_hh_tes!M13/SER_hh_fec!M13)</f>
        <v/>
      </c>
      <c r="N13" s="137" t="str">
        <f>IF(SER_hh_tes!N13=0,"",SER_hh_tes!N13/SER_hh_fec!N13)</f>
        <v/>
      </c>
      <c r="O13" s="137" t="str">
        <f>IF(SER_hh_tes!O13=0,"",SER_hh_tes!O13/SER_hh_fec!O13)</f>
        <v/>
      </c>
      <c r="P13" s="137" t="str">
        <f>IF(SER_hh_tes!P13=0,"",SER_hh_tes!P13/SER_hh_fec!P13)</f>
        <v/>
      </c>
      <c r="Q13" s="137" t="str">
        <f>IF(SER_hh_tes!Q13=0,"",SER_hh_tes!Q13/SER_hh_fec!Q13)</f>
        <v/>
      </c>
      <c r="R13" s="137" t="str">
        <f>IF(SER_hh_tes!R13=0,"",SER_hh_tes!R13/SER_hh_fec!R13)</f>
        <v/>
      </c>
      <c r="S13" s="137" t="str">
        <f>IF(SER_hh_tes!S13=0,"",SER_hh_tes!S13/SER_hh_fec!S13)</f>
        <v/>
      </c>
      <c r="T13" s="137" t="str">
        <f>IF(SER_hh_tes!T13=0,"",SER_hh_tes!T13/SER_hh_fec!T13)</f>
        <v/>
      </c>
      <c r="U13" s="137" t="str">
        <f>IF(SER_hh_tes!U13=0,"",SER_hh_tes!U13/SER_hh_fec!U13)</f>
        <v/>
      </c>
      <c r="V13" s="137" t="str">
        <f>IF(SER_hh_tes!V13=0,"",SER_hh_tes!V13/SER_hh_fec!V13)</f>
        <v/>
      </c>
      <c r="W13" s="137" t="str">
        <f>IF(SER_hh_tes!W13=0,"",SER_hh_tes!W13/SER_hh_fec!W13)</f>
        <v/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0.66115774516253245</v>
      </c>
      <c r="C14" s="138">
        <f>IF(SER_hh_tes!C14=0,"",SER_hh_tes!C14/SER_hh_fec!C14)</f>
        <v>0.66115774516253245</v>
      </c>
      <c r="D14" s="138">
        <f>IF(SER_hh_tes!D14=0,"",SER_hh_tes!D14/SER_hh_fec!D14)</f>
        <v>0.66115774516253245</v>
      </c>
      <c r="E14" s="138">
        <f>IF(SER_hh_tes!E14=0,"",SER_hh_tes!E14/SER_hh_fec!E14)</f>
        <v>0.66115774516253245</v>
      </c>
      <c r="F14" s="138">
        <f>IF(SER_hh_tes!F14=0,"",SER_hh_tes!F14/SER_hh_fec!F14)</f>
        <v>0.66115774516253245</v>
      </c>
      <c r="G14" s="138">
        <f>IF(SER_hh_tes!G14=0,"",SER_hh_tes!G14/SER_hh_fec!G14)</f>
        <v>0.66692242044952599</v>
      </c>
      <c r="H14" s="138">
        <f>IF(SER_hh_tes!H14=0,"",SER_hh_tes!H14/SER_hh_fec!H14)</f>
        <v>0.66788310483407121</v>
      </c>
      <c r="I14" s="138">
        <f>IF(SER_hh_tes!I14=0,"",SER_hh_tes!I14/SER_hh_fec!I14)</f>
        <v>0.68250542379213275</v>
      </c>
      <c r="J14" s="138">
        <f>IF(SER_hh_tes!J14=0,"",SER_hh_tes!J14/SER_hh_fec!J14)</f>
        <v>0.68884793098338137</v>
      </c>
      <c r="K14" s="138">
        <f>IF(SER_hh_tes!K14=0,"",SER_hh_tes!K14/SER_hh_fec!K14)</f>
        <v>0.69609066556901589</v>
      </c>
      <c r="L14" s="138">
        <f>IF(SER_hh_tes!L14=0,"",SER_hh_tes!L14/SER_hh_fec!L14)</f>
        <v>0.70469782845754603</v>
      </c>
      <c r="M14" s="138">
        <f>IF(SER_hh_tes!M14=0,"",SER_hh_tes!M14/SER_hh_fec!M14)</f>
        <v>0.71207787172394721</v>
      </c>
      <c r="N14" s="138">
        <f>IF(SER_hh_tes!N14=0,"",SER_hh_tes!N14/SER_hh_fec!N14)</f>
        <v>0.71911359111556605</v>
      </c>
      <c r="O14" s="138">
        <f>IF(SER_hh_tes!O14=0,"",SER_hh_tes!O14/SER_hh_fec!O14)</f>
        <v>0.72638254424687265</v>
      </c>
      <c r="P14" s="138">
        <f>IF(SER_hh_tes!P14=0,"",SER_hh_tes!P14/SER_hh_fec!P14)</f>
        <v>0.72638254424687232</v>
      </c>
      <c r="Q14" s="138">
        <f>IF(SER_hh_tes!Q14=0,"",SER_hh_tes!Q14/SER_hh_fec!Q14)</f>
        <v>0.72638254424687276</v>
      </c>
      <c r="R14" s="138">
        <f>IF(SER_hh_tes!R14=0,"",SER_hh_tes!R14/SER_hh_fec!R14)</f>
        <v>0.72638254424687276</v>
      </c>
      <c r="S14" s="138">
        <f>IF(SER_hh_tes!S14=0,"",SER_hh_tes!S14/SER_hh_fec!S14)</f>
        <v>0.72638254424687254</v>
      </c>
      <c r="T14" s="138">
        <f>IF(SER_hh_tes!T14=0,"",SER_hh_tes!T14/SER_hh_fec!T14)</f>
        <v>0.72638254424687287</v>
      </c>
      <c r="U14" s="138">
        <f>IF(SER_hh_tes!U14=0,"",SER_hh_tes!U14/SER_hh_fec!U14)</f>
        <v>0.7263825442468731</v>
      </c>
      <c r="V14" s="138">
        <f>IF(SER_hh_tes!V14=0,"",SER_hh_tes!V14/SER_hh_fec!V14)</f>
        <v>0.72638254424687265</v>
      </c>
      <c r="W14" s="138">
        <f>IF(SER_hh_tes!W14=0,"",SER_hh_tes!W14/SER_hh_fec!W14)</f>
        <v>0.73384630204558954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1.6562774235307804</v>
      </c>
      <c r="C16" s="136">
        <f>IF(SER_hh_tes!C16=0,"",SER_hh_tes!C16/SER_hh_fec!C16)</f>
        <v>2.0628202841053089</v>
      </c>
      <c r="D16" s="136">
        <f>IF(SER_hh_tes!D16=0,"",SER_hh_tes!D16/SER_hh_fec!D16)</f>
        <v>2.1179715628225861</v>
      </c>
      <c r="E16" s="136">
        <f>IF(SER_hh_tes!E16=0,"",SER_hh_tes!E16/SER_hh_fec!E16)</f>
        <v>2.1537156496670447</v>
      </c>
      <c r="F16" s="136">
        <f>IF(SER_hh_tes!F16=0,"",SER_hh_tes!F16/SER_hh_fec!F16)</f>
        <v>2.1941337833279264</v>
      </c>
      <c r="G16" s="136">
        <f>IF(SER_hh_tes!G16=0,"",SER_hh_tes!G16/SER_hh_fec!G16)</f>
        <v>2.2285957315078968</v>
      </c>
      <c r="H16" s="136">
        <f>IF(SER_hh_tes!H16=0,"",SER_hh_tes!H16/SER_hh_fec!H16)</f>
        <v>2.2733244891456206</v>
      </c>
      <c r="I16" s="136">
        <f>IF(SER_hh_tes!I16=0,"",SER_hh_tes!I16/SER_hh_fec!I16)</f>
        <v>2.3179386836328404</v>
      </c>
      <c r="J16" s="136">
        <f>IF(SER_hh_tes!J16=0,"",SER_hh_tes!J16/SER_hh_fec!J16)</f>
        <v>2.3662808040453318</v>
      </c>
      <c r="K16" s="136">
        <f>IF(SER_hh_tes!K16=0,"",SER_hh_tes!K16/SER_hh_fec!K16)</f>
        <v>2.4137390897727116</v>
      </c>
      <c r="L16" s="136">
        <f>IF(SER_hh_tes!L16=0,"",SER_hh_tes!L16/SER_hh_fec!L16)</f>
        <v>2.4659009954411131</v>
      </c>
      <c r="M16" s="136">
        <f>IF(SER_hh_tes!M16=0,"",SER_hh_tes!M16/SER_hh_fec!M16)</f>
        <v>2.5392882923853142</v>
      </c>
      <c r="N16" s="136">
        <f>IF(SER_hh_tes!N16=0,"",SER_hh_tes!N16/SER_hh_fec!N16)</f>
        <v>2.6136668749131724</v>
      </c>
      <c r="O16" s="136">
        <f>IF(SER_hh_tes!O16=0,"",SER_hh_tes!O16/SER_hh_fec!O16)</f>
        <v>2.6875905570202758</v>
      </c>
      <c r="P16" s="136">
        <f>IF(SER_hh_tes!P16=0,"",SER_hh_tes!P16/SER_hh_fec!P16)</f>
        <v>2.7738748753614311</v>
      </c>
      <c r="Q16" s="136">
        <f>IF(SER_hh_tes!Q16=0,"",SER_hh_tes!Q16/SER_hh_fec!Q16)</f>
        <v>2.858607711844952</v>
      </c>
      <c r="R16" s="136">
        <f>IF(SER_hh_tes!R16=0,"",SER_hh_tes!R16/SER_hh_fec!R16)</f>
        <v>2.9379438010953054</v>
      </c>
      <c r="S16" s="136">
        <f>IF(SER_hh_tes!S16=0,"",SER_hh_tes!S16/SER_hh_fec!S16)</f>
        <v>3.0224889208229402</v>
      </c>
      <c r="T16" s="136">
        <f>IF(SER_hh_tes!T16=0,"",SER_hh_tes!T16/SER_hh_fec!T16)</f>
        <v>3.1047096120447071</v>
      </c>
      <c r="U16" s="136">
        <f>IF(SER_hh_tes!U16=0,"",SER_hh_tes!U16/SER_hh_fec!U16)</f>
        <v>3.1850245913256607</v>
      </c>
      <c r="V16" s="136">
        <f>IF(SER_hh_tes!V16=0,"",SER_hh_tes!V16/SER_hh_fec!V16)</f>
        <v>3.254989794403091</v>
      </c>
      <c r="W16" s="136">
        <f>IF(SER_hh_tes!W16=0,"",SER_hh_tes!W16/SER_hh_fec!W16)</f>
        <v>3.3329195590179399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1.6562774235307804</v>
      </c>
      <c r="C18" s="137">
        <f>IF(SER_hh_tes!C18=0,"",SER_hh_tes!C18/SER_hh_fec!C18)</f>
        <v>2.0628202841053089</v>
      </c>
      <c r="D18" s="137">
        <f>IF(SER_hh_tes!D18=0,"",SER_hh_tes!D18/SER_hh_fec!D18)</f>
        <v>2.1179715628225861</v>
      </c>
      <c r="E18" s="137">
        <f>IF(SER_hh_tes!E18=0,"",SER_hh_tes!E18/SER_hh_fec!E18)</f>
        <v>2.1537156496670447</v>
      </c>
      <c r="F18" s="137">
        <f>IF(SER_hh_tes!F18=0,"",SER_hh_tes!F18/SER_hh_fec!F18)</f>
        <v>2.1941337833279264</v>
      </c>
      <c r="G18" s="137">
        <f>IF(SER_hh_tes!G18=0,"",SER_hh_tes!G18/SER_hh_fec!G18)</f>
        <v>2.2285957315078968</v>
      </c>
      <c r="H18" s="137">
        <f>IF(SER_hh_tes!H18=0,"",SER_hh_tes!H18/SER_hh_fec!H18)</f>
        <v>2.2733244891456206</v>
      </c>
      <c r="I18" s="137">
        <f>IF(SER_hh_tes!I18=0,"",SER_hh_tes!I18/SER_hh_fec!I18)</f>
        <v>2.3179386836328404</v>
      </c>
      <c r="J18" s="137">
        <f>IF(SER_hh_tes!J18=0,"",SER_hh_tes!J18/SER_hh_fec!J18)</f>
        <v>2.3662808040453318</v>
      </c>
      <c r="K18" s="137">
        <f>IF(SER_hh_tes!K18=0,"",SER_hh_tes!K18/SER_hh_fec!K18)</f>
        <v>2.4137390897727116</v>
      </c>
      <c r="L18" s="137">
        <f>IF(SER_hh_tes!L18=0,"",SER_hh_tes!L18/SER_hh_fec!L18)</f>
        <v>2.4659009954411131</v>
      </c>
      <c r="M18" s="137">
        <f>IF(SER_hh_tes!M18=0,"",SER_hh_tes!M18/SER_hh_fec!M18)</f>
        <v>2.5392882923853142</v>
      </c>
      <c r="N18" s="137">
        <f>IF(SER_hh_tes!N18=0,"",SER_hh_tes!N18/SER_hh_fec!N18)</f>
        <v>2.6136668749131724</v>
      </c>
      <c r="O18" s="137">
        <f>IF(SER_hh_tes!O18=0,"",SER_hh_tes!O18/SER_hh_fec!O18)</f>
        <v>2.6875905570202758</v>
      </c>
      <c r="P18" s="137">
        <f>IF(SER_hh_tes!P18=0,"",SER_hh_tes!P18/SER_hh_fec!P18)</f>
        <v>2.7738748753614311</v>
      </c>
      <c r="Q18" s="137">
        <f>IF(SER_hh_tes!Q18=0,"",SER_hh_tes!Q18/SER_hh_fec!Q18)</f>
        <v>2.858607711844952</v>
      </c>
      <c r="R18" s="137">
        <f>IF(SER_hh_tes!R18=0,"",SER_hh_tes!R18/SER_hh_fec!R18)</f>
        <v>2.9379438010953054</v>
      </c>
      <c r="S18" s="137">
        <f>IF(SER_hh_tes!S18=0,"",SER_hh_tes!S18/SER_hh_fec!S18)</f>
        <v>3.0224889208229402</v>
      </c>
      <c r="T18" s="137">
        <f>IF(SER_hh_tes!T18=0,"",SER_hh_tes!T18/SER_hh_fec!T18)</f>
        <v>3.1047096120447071</v>
      </c>
      <c r="U18" s="137">
        <f>IF(SER_hh_tes!U18=0,"",SER_hh_tes!U18/SER_hh_fec!U18)</f>
        <v>3.1850245913256607</v>
      </c>
      <c r="V18" s="137">
        <f>IF(SER_hh_tes!V18=0,"",SER_hh_tes!V18/SER_hh_fec!V18)</f>
        <v>3.254989794403091</v>
      </c>
      <c r="W18" s="137">
        <f>IF(SER_hh_tes!W18=0,"",SER_hh_tes!W18/SER_hh_fec!W18)</f>
        <v>3.3329195590179399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0.60760453490996302</v>
      </c>
      <c r="C19" s="136">
        <f>IF(SER_hh_tes!C19=0,"",SER_hh_tes!C19/SER_hh_fec!C19)</f>
        <v>0.60260535005130522</v>
      </c>
      <c r="D19" s="136">
        <f>IF(SER_hh_tes!D19=0,"",SER_hh_tes!D19/SER_hh_fec!D19)</f>
        <v>0.53723366108181081</v>
      </c>
      <c r="E19" s="136">
        <f>IF(SER_hh_tes!E19=0,"",SER_hh_tes!E19/SER_hh_fec!E19)</f>
        <v>0.568172374564335</v>
      </c>
      <c r="F19" s="136">
        <f>IF(SER_hh_tes!F19=0,"",SER_hh_tes!F19/SER_hh_fec!F19)</f>
        <v>0.56315217416781194</v>
      </c>
      <c r="G19" s="136">
        <f>IF(SER_hh_tes!G19=0,"",SER_hh_tes!G19/SER_hh_fec!G19)</f>
        <v>0.57531868542638631</v>
      </c>
      <c r="H19" s="136">
        <f>IF(SER_hh_tes!H19=0,"",SER_hh_tes!H19/SER_hh_fec!H19)</f>
        <v>0.58455123106202478</v>
      </c>
      <c r="I19" s="136">
        <f>IF(SER_hh_tes!I19=0,"",SER_hh_tes!I19/SER_hh_fec!I19)</f>
        <v>0.59443342846687586</v>
      </c>
      <c r="J19" s="136">
        <f>IF(SER_hh_tes!J19=0,"",SER_hh_tes!J19/SER_hh_fec!J19)</f>
        <v>0.60491923328923625</v>
      </c>
      <c r="K19" s="136">
        <f>IF(SER_hh_tes!K19=0,"",SER_hh_tes!K19/SER_hh_fec!K19)</f>
        <v>0.60014500061113163</v>
      </c>
      <c r="L19" s="136">
        <f>IF(SER_hh_tes!L19=0,"",SER_hh_tes!L19/SER_hh_fec!L19)</f>
        <v>0.6070576306986567</v>
      </c>
      <c r="M19" s="136">
        <f>IF(SER_hh_tes!M19=0,"",SER_hh_tes!M19/SER_hh_fec!M19)</f>
        <v>0.61984702252622026</v>
      </c>
      <c r="N19" s="136">
        <f>IF(SER_hh_tes!N19=0,"",SER_hh_tes!N19/SER_hh_fec!N19)</f>
        <v>0.62709784784756661</v>
      </c>
      <c r="O19" s="136">
        <f>IF(SER_hh_tes!O19=0,"",SER_hh_tes!O19/SER_hh_fec!O19)</f>
        <v>0.63425647981775712</v>
      </c>
      <c r="P19" s="136">
        <f>IF(SER_hh_tes!P19=0,"",SER_hh_tes!P19/SER_hh_fec!P19)</f>
        <v>0.6396378084833737</v>
      </c>
      <c r="Q19" s="136">
        <f>IF(SER_hh_tes!Q19=0,"",SER_hh_tes!Q19/SER_hh_fec!Q19)</f>
        <v>0.65115965454791069</v>
      </c>
      <c r="R19" s="136">
        <f>IF(SER_hh_tes!R19=0,"",SER_hh_tes!R19/SER_hh_fec!R19)</f>
        <v>0.66583845381183371</v>
      </c>
      <c r="S19" s="136">
        <f>IF(SER_hh_tes!S19=0,"",SER_hh_tes!S19/SER_hh_fec!S19)</f>
        <v>0.67992793365655135</v>
      </c>
      <c r="T19" s="136">
        <f>IF(SER_hh_tes!T19=0,"",SER_hh_tes!T19/SER_hh_fec!T19)</f>
        <v>0.69543021213357237</v>
      </c>
      <c r="U19" s="136">
        <f>IF(SER_hh_tes!U19=0,"",SER_hh_tes!U19/SER_hh_fec!U19)</f>
        <v>0.71129006339341383</v>
      </c>
      <c r="V19" s="136">
        <f>IF(SER_hh_tes!V19=0,"",SER_hh_tes!V19/SER_hh_fec!V19)</f>
        <v>0.72596549953682921</v>
      </c>
      <c r="W19" s="136">
        <f>IF(SER_hh_tes!W19=0,"",SER_hh_tes!W19/SER_hh_fec!W19)</f>
        <v>0.73589101928011691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0.48184344449773564</v>
      </c>
      <c r="C22" s="137">
        <f>IF(SER_hh_tes!C22=0,"",SER_hh_tes!C22/SER_hh_fec!C22)</f>
        <v>0.48624239565873645</v>
      </c>
      <c r="D22" s="137">
        <f>IF(SER_hh_tes!D22=0,"",SER_hh_tes!D22/SER_hh_fec!D22)</f>
        <v>0.48956241122556332</v>
      </c>
      <c r="E22" s="137">
        <f>IF(SER_hh_tes!E22=0,"",SER_hh_tes!E22/SER_hh_fec!E22)</f>
        <v>0.49048275307596845</v>
      </c>
      <c r="F22" s="137">
        <f>IF(SER_hh_tes!F22=0,"",SER_hh_tes!F22/SER_hh_fec!F22)</f>
        <v>0.49116191857344704</v>
      </c>
      <c r="G22" s="137">
        <f>IF(SER_hh_tes!G22=0,"",SER_hh_tes!G22/SER_hh_fec!G22)</f>
        <v>0.49170035206204793</v>
      </c>
      <c r="H22" s="137">
        <f>IF(SER_hh_tes!H22=0,"",SER_hh_tes!H22/SER_hh_fec!H22)</f>
        <v>0.49176447892086833</v>
      </c>
      <c r="I22" s="137">
        <f>IF(SER_hh_tes!I22=0,"",SER_hh_tes!I22/SER_hh_fec!I22)</f>
        <v>0.49176447892086828</v>
      </c>
      <c r="J22" s="137">
        <f>IF(SER_hh_tes!J22=0,"",SER_hh_tes!J22/SER_hh_fec!J22)</f>
        <v>0.49176447892086833</v>
      </c>
      <c r="K22" s="137">
        <f>IF(SER_hh_tes!K22=0,"",SER_hh_tes!K22/SER_hh_fec!K22)</f>
        <v>0.49178978550918823</v>
      </c>
      <c r="L22" s="137">
        <f>IF(SER_hh_tes!L22=0,"",SER_hh_tes!L22/SER_hh_fec!L22)</f>
        <v>0.49889866854573683</v>
      </c>
      <c r="M22" s="137">
        <f>IF(SER_hh_tes!M22=0,"",SER_hh_tes!M22/SER_hh_fec!M22)</f>
        <v>0.51057335943586424</v>
      </c>
      <c r="N22" s="137">
        <f>IF(SER_hh_tes!N22=0,"",SER_hh_tes!N22/SER_hh_fec!N22)</f>
        <v>0.52779842344002337</v>
      </c>
      <c r="O22" s="137">
        <f>IF(SER_hh_tes!O22=0,"",SER_hh_tes!O22/SER_hh_fec!O22)</f>
        <v>0.54661069913733373</v>
      </c>
      <c r="P22" s="137">
        <f>IF(SER_hh_tes!P22=0,"",SER_hh_tes!P22/SER_hh_fec!P22)</f>
        <v>0.5561447609556498</v>
      </c>
      <c r="Q22" s="137">
        <f>IF(SER_hh_tes!Q22=0,"",SER_hh_tes!Q22/SER_hh_fec!Q22)</f>
        <v>0.57205284501759923</v>
      </c>
      <c r="R22" s="137">
        <f>IF(SER_hh_tes!R22=0,"",SER_hh_tes!R22/SER_hh_fec!R22)</f>
        <v>0.59454077849550668</v>
      </c>
      <c r="S22" s="137">
        <f>IF(SER_hh_tes!S22=0,"",SER_hh_tes!S22/SER_hh_fec!S22)</f>
        <v>0.62700181813303291</v>
      </c>
      <c r="T22" s="137">
        <f>IF(SER_hh_tes!T22=0,"",SER_hh_tes!T22/SER_hh_fec!T22)</f>
        <v>0.6496270642294083</v>
      </c>
      <c r="U22" s="137">
        <f>IF(SER_hh_tes!U22=0,"",SER_hh_tes!U22/SER_hh_fec!U22)</f>
        <v>0.66418034491232036</v>
      </c>
      <c r="V22" s="137">
        <f>IF(SER_hh_tes!V22=0,"",SER_hh_tes!V22/SER_hh_fec!V22)</f>
        <v>0.67684824544407296</v>
      </c>
      <c r="W22" s="137">
        <f>IF(SER_hh_tes!W22=0,"",SER_hh_tes!W22/SER_hh_fec!W22)</f>
        <v>0.69318716724667406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0.49226286411896591</v>
      </c>
      <c r="C23" s="137">
        <f>IF(SER_hh_tes!C23=0,"",SER_hh_tes!C23/SER_hh_fec!C23)</f>
        <v>0.50299625006887683</v>
      </c>
      <c r="D23" s="137">
        <f>IF(SER_hh_tes!D23=0,"",SER_hh_tes!D23/SER_hh_fec!D23)</f>
        <v>0.5224846686692517</v>
      </c>
      <c r="E23" s="137">
        <f>IF(SER_hh_tes!E23=0,"",SER_hh_tes!E23/SER_hh_fec!E23)</f>
        <v>0.53277644238312172</v>
      </c>
      <c r="F23" s="137">
        <f>IF(SER_hh_tes!F23=0,"",SER_hh_tes!F23/SER_hh_fec!F23)</f>
        <v>0.54357993489475265</v>
      </c>
      <c r="G23" s="137">
        <f>IF(SER_hh_tes!G23=0,"",SER_hh_tes!G23/SER_hh_fec!G23)</f>
        <v>0.55029164491425653</v>
      </c>
      <c r="H23" s="137">
        <f>IF(SER_hh_tes!H23=0,"",SER_hh_tes!H23/SER_hh_fec!H23)</f>
        <v>0.55521608394801769</v>
      </c>
      <c r="I23" s="137">
        <f>IF(SER_hh_tes!I23=0,"",SER_hh_tes!I23/SER_hh_fec!I23)</f>
        <v>0.5566103538337287</v>
      </c>
      <c r="J23" s="137">
        <f>IF(SER_hh_tes!J23=0,"",SER_hh_tes!J23/SER_hh_fec!J23)</f>
        <v>0.55994926983090321</v>
      </c>
      <c r="K23" s="137">
        <f>IF(SER_hh_tes!K23=0,"",SER_hh_tes!K23/SER_hh_fec!K23)</f>
        <v>0.56619635085319331</v>
      </c>
      <c r="L23" s="137">
        <f>IF(SER_hh_tes!L23=0,"",SER_hh_tes!L23/SER_hh_fec!L23)</f>
        <v>0.57180355842476915</v>
      </c>
      <c r="M23" s="137">
        <f>IF(SER_hh_tes!M23=0,"",SER_hh_tes!M23/SER_hh_fec!M23)</f>
        <v>0.57558414457871421</v>
      </c>
      <c r="N23" s="137">
        <f>IF(SER_hh_tes!N23=0,"",SER_hh_tes!N23/SER_hh_fec!N23)</f>
        <v>0.57870861210654134</v>
      </c>
      <c r="O23" s="137">
        <f>IF(SER_hh_tes!O23=0,"",SER_hh_tes!O23/SER_hh_fec!O23)</f>
        <v>0.58929072151801509</v>
      </c>
      <c r="P23" s="137">
        <f>IF(SER_hh_tes!P23=0,"",SER_hh_tes!P23/SER_hh_fec!P23)</f>
        <v>0.60362124498633918</v>
      </c>
      <c r="Q23" s="137">
        <f>IF(SER_hh_tes!Q23=0,"",SER_hh_tes!Q23/SER_hh_fec!Q23)</f>
        <v>0.62438051292026375</v>
      </c>
      <c r="R23" s="137">
        <f>IF(SER_hh_tes!R23=0,"",SER_hh_tes!R23/SER_hh_fec!R23)</f>
        <v>0.64501692773381691</v>
      </c>
      <c r="S23" s="137">
        <f>IF(SER_hh_tes!S23=0,"",SER_hh_tes!S23/SER_hh_fec!S23)</f>
        <v>0.6678211197766929</v>
      </c>
      <c r="T23" s="137">
        <f>IF(SER_hh_tes!T23=0,"",SER_hh_tes!T23/SER_hh_fec!T23)</f>
        <v>0.6880915345406986</v>
      </c>
      <c r="U23" s="137">
        <f>IF(SER_hh_tes!U23=0,"",SER_hh_tes!U23/SER_hh_fec!U23)</f>
        <v>0.706388065720019</v>
      </c>
      <c r="V23" s="137">
        <f>IF(SER_hh_tes!V23=0,"",SER_hh_tes!V23/SER_hh_fec!V23)</f>
        <v>0.72318564837653132</v>
      </c>
      <c r="W23" s="137">
        <f>IF(SER_hh_tes!W23=0,"",SER_hh_tes!W23/SER_hh_fec!W23)</f>
        <v>0.73483708059306008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0.44886235627146931</v>
      </c>
      <c r="C24" s="137">
        <f>IF(SER_hh_tes!C24=0,"",SER_hh_tes!C24/SER_hh_fec!C24)</f>
        <v>0.45508561895872635</v>
      </c>
      <c r="D24" s="137">
        <f>IF(SER_hh_tes!D24=0,"",SER_hh_tes!D24/SER_hh_fec!D24)</f>
        <v>0.45562743616775447</v>
      </c>
      <c r="E24" s="137">
        <f>IF(SER_hh_tes!E24=0,"",SER_hh_tes!E24/SER_hh_fec!E24)</f>
        <v>0.46008803912314961</v>
      </c>
      <c r="F24" s="137">
        <f>IF(SER_hh_tes!F24=0,"",SER_hh_tes!F24/SER_hh_fec!F24)</f>
        <v>0.46120456450423253</v>
      </c>
      <c r="G24" s="137">
        <f>IF(SER_hh_tes!G24=0,"",SER_hh_tes!G24/SER_hh_fec!G24)</f>
        <v>0.46120456450423264</v>
      </c>
      <c r="H24" s="137">
        <f>IF(SER_hh_tes!H24=0,"",SER_hh_tes!H24/SER_hh_fec!H24)</f>
        <v>0.46120456450423275</v>
      </c>
      <c r="I24" s="137">
        <f>IF(SER_hh_tes!I24=0,"",SER_hh_tes!I24/SER_hh_fec!I24)</f>
        <v>0.46120456450423275</v>
      </c>
      <c r="J24" s="137">
        <f>IF(SER_hh_tes!J24=0,"",SER_hh_tes!J24/SER_hh_fec!J24)</f>
        <v>0.46149262655699075</v>
      </c>
      <c r="K24" s="137">
        <f>IF(SER_hh_tes!K24=0,"",SER_hh_tes!K24/SER_hh_fec!K24)</f>
        <v>0.49258487315488408</v>
      </c>
      <c r="L24" s="137">
        <f>IF(SER_hh_tes!L24=0,"",SER_hh_tes!L24/SER_hh_fec!L24)</f>
        <v>0.53592548062510337</v>
      </c>
      <c r="M24" s="137">
        <f>IF(SER_hh_tes!M24=0,"",SER_hh_tes!M24/SER_hh_fec!M24)</f>
        <v>0.58251652702651813</v>
      </c>
      <c r="N24" s="137">
        <f>IF(SER_hh_tes!N24=0,"",SER_hh_tes!N24/SER_hh_fec!N24)</f>
        <v>0.63194937804939111</v>
      </c>
      <c r="O24" s="137">
        <f>IF(SER_hh_tes!O24=0,"",SER_hh_tes!O24/SER_hh_fec!O24)</f>
        <v>0.67355945207921841</v>
      </c>
      <c r="P24" s="137">
        <f>IF(SER_hh_tes!P24=0,"",SER_hh_tes!P24/SER_hh_fec!P24)</f>
        <v>0.67550797716145328</v>
      </c>
      <c r="Q24" s="137">
        <f>IF(SER_hh_tes!Q24=0,"",SER_hh_tes!Q24/SER_hh_fec!Q24)</f>
        <v>0.67778734181340994</v>
      </c>
      <c r="R24" s="137">
        <f>IF(SER_hh_tes!R24=0,"",SER_hh_tes!R24/SER_hh_fec!R24)</f>
        <v>0.68062453699337044</v>
      </c>
      <c r="S24" s="137">
        <f>IF(SER_hh_tes!S24=0,"",SER_hh_tes!S24/SER_hh_fec!S24)</f>
        <v>0.68445675018791841</v>
      </c>
      <c r="T24" s="137">
        <f>IF(SER_hh_tes!T24=0,"",SER_hh_tes!T24/SER_hh_fec!T24)</f>
        <v>0.68551589085729803</v>
      </c>
      <c r="U24" s="137">
        <f>IF(SER_hh_tes!U24=0,"",SER_hh_tes!U24/SER_hh_fec!U24)</f>
        <v>0.68704658638061022</v>
      </c>
      <c r="V24" s="137">
        <f>IF(SER_hh_tes!V24=0,"",SER_hh_tes!V24/SER_hh_fec!V24)</f>
        <v>0.68716000450820169</v>
      </c>
      <c r="W24" s="137">
        <f>IF(SER_hh_tes!W24=0,"",SER_hh_tes!W24/SER_hh_fec!W24)</f>
        <v>0.68738373910114325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0.73686178919258449</v>
      </c>
      <c r="C25" s="137">
        <f>IF(SER_hh_tes!C25=0,"",SER_hh_tes!C25/SER_hh_fec!C25)</f>
        <v>0.73686178919258449</v>
      </c>
      <c r="D25" s="137">
        <f>IF(SER_hh_tes!D25=0,"",SER_hh_tes!D25/SER_hh_fec!D25)</f>
        <v>0.73686178919258449</v>
      </c>
      <c r="E25" s="137">
        <f>IF(SER_hh_tes!E25=0,"",SER_hh_tes!E25/SER_hh_fec!E25)</f>
        <v>0.73686178919258449</v>
      </c>
      <c r="F25" s="137">
        <f>IF(SER_hh_tes!F25=0,"",SER_hh_tes!F25/SER_hh_fec!F25)</f>
        <v>0.73686178919258449</v>
      </c>
      <c r="G25" s="137">
        <f>IF(SER_hh_tes!G25=0,"",SER_hh_tes!G25/SER_hh_fec!G25)</f>
        <v>0.73877120526349516</v>
      </c>
      <c r="H25" s="137">
        <f>IF(SER_hh_tes!H25=0,"",SER_hh_tes!H25/SER_hh_fec!H25)</f>
        <v>0.7421978088602833</v>
      </c>
      <c r="I25" s="137">
        <f>IF(SER_hh_tes!I25=0,"",SER_hh_tes!I25/SER_hh_fec!I25)</f>
        <v>0.74693841406960737</v>
      </c>
      <c r="J25" s="137">
        <f>IF(SER_hh_tes!J25=0,"",SER_hh_tes!J25/SER_hh_fec!J25)</f>
        <v>0.7522069573229283</v>
      </c>
      <c r="K25" s="137">
        <f>IF(SER_hh_tes!K25=0,"",SER_hh_tes!K25/SER_hh_fec!K25)</f>
        <v>0.76139129831515051</v>
      </c>
      <c r="L25" s="137">
        <f>IF(SER_hh_tes!L25=0,"",SER_hh_tes!L25/SER_hh_fec!L25)</f>
        <v>0.76978277797993688</v>
      </c>
      <c r="M25" s="137">
        <f>IF(SER_hh_tes!M25=0,"",SER_hh_tes!M25/SER_hh_fec!M25)</f>
        <v>0.77767102461349225</v>
      </c>
      <c r="N25" s="137">
        <f>IF(SER_hh_tes!N25=0,"",SER_hh_tes!N25/SER_hh_fec!N25)</f>
        <v>0.78545850155943675</v>
      </c>
      <c r="O25" s="137">
        <f>IF(SER_hh_tes!O25=0,"",SER_hh_tes!O25/SER_hh_fec!O25)</f>
        <v>0.79186294012519021</v>
      </c>
      <c r="P25" s="137">
        <f>IF(SER_hh_tes!P25=0,"",SER_hh_tes!P25/SER_hh_fec!P25)</f>
        <v>0.7920895204808881</v>
      </c>
      <c r="Q25" s="137">
        <f>IF(SER_hh_tes!Q25=0,"",SER_hh_tes!Q25/SER_hh_fec!Q25)</f>
        <v>0.79257085673065997</v>
      </c>
      <c r="R25" s="137">
        <f>IF(SER_hh_tes!R25=0,"",SER_hh_tes!R25/SER_hh_fec!R25)</f>
        <v>0.79293791911184452</v>
      </c>
      <c r="S25" s="137">
        <f>IF(SER_hh_tes!S25=0,"",SER_hh_tes!S25/SER_hh_fec!S25)</f>
        <v>0.7932055989610648</v>
      </c>
      <c r="T25" s="137">
        <f>IF(SER_hh_tes!T25=0,"",SER_hh_tes!T25/SER_hh_fec!T25)</f>
        <v>0.79354595844369735</v>
      </c>
      <c r="U25" s="137">
        <f>IF(SER_hh_tes!U25=0,"",SER_hh_tes!U25/SER_hh_fec!U25)</f>
        <v>0.79462360541433985</v>
      </c>
      <c r="V25" s="137">
        <f>IF(SER_hh_tes!V25=0,"",SER_hh_tes!V25/SER_hh_fec!V25)</f>
        <v>0.79947560611974477</v>
      </c>
      <c r="W25" s="137">
        <f>IF(SER_hh_tes!W25=0,"",SER_hh_tes!W25/SER_hh_fec!W25)</f>
        <v>0.80626007852354409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0.60716910132242241</v>
      </c>
      <c r="C26" s="138">
        <f>IF(SER_hh_tes!C26=0,"",SER_hh_tes!C26/SER_hh_fec!C26)</f>
        <v>0.61460788051257897</v>
      </c>
      <c r="D26" s="138">
        <f>IF(SER_hh_tes!D26=0,"",SER_hh_tes!D26/SER_hh_fec!D26)</f>
        <v>0.61603720714197996</v>
      </c>
      <c r="E26" s="138">
        <f>IF(SER_hh_tes!E26=0,"",SER_hh_tes!E26/SER_hh_fec!E26)</f>
        <v>0.62253676481049991</v>
      </c>
      <c r="F26" s="138">
        <f>IF(SER_hh_tes!F26=0,"",SER_hh_tes!F26/SER_hh_fec!F26)</f>
        <v>0.62458620351530636</v>
      </c>
      <c r="G26" s="138">
        <f>IF(SER_hh_tes!G26=0,"",SER_hh_tes!G26/SER_hh_fec!G26)</f>
        <v>0.62803084099839757</v>
      </c>
      <c r="H26" s="138">
        <f>IF(SER_hh_tes!H26=0,"",SER_hh_tes!H26/SER_hh_fec!H26)</f>
        <v>0.63100138747885359</v>
      </c>
      <c r="I26" s="138">
        <f>IF(SER_hh_tes!I26=0,"",SER_hh_tes!I26/SER_hh_fec!I26)</f>
        <v>0.63400626718990349</v>
      </c>
      <c r="J26" s="138">
        <f>IF(SER_hh_tes!J26=0,"",SER_hh_tes!J26/SER_hh_fec!J26)</f>
        <v>0.63575180922271346</v>
      </c>
      <c r="K26" s="138">
        <f>IF(SER_hh_tes!K26=0,"",SER_hh_tes!K26/SER_hh_fec!K26)</f>
        <v>0.63665900135114173</v>
      </c>
      <c r="L26" s="138">
        <f>IF(SER_hh_tes!L26=0,"",SER_hh_tes!L26/SER_hh_fec!L26)</f>
        <v>0.63746534271426669</v>
      </c>
      <c r="M26" s="138">
        <f>IF(SER_hh_tes!M26=0,"",SER_hh_tes!M26/SER_hh_fec!M26)</f>
        <v>0.6412706118388809</v>
      </c>
      <c r="N26" s="138">
        <f>IF(SER_hh_tes!N26=0,"",SER_hh_tes!N26/SER_hh_fec!N26)</f>
        <v>0.64617591546176467</v>
      </c>
      <c r="O26" s="138">
        <f>IF(SER_hh_tes!O26=0,"",SER_hh_tes!O26/SER_hh_fec!O26)</f>
        <v>0.65172008061295261</v>
      </c>
      <c r="P26" s="138">
        <f>IF(SER_hh_tes!P26=0,"",SER_hh_tes!P26/SER_hh_fec!P26)</f>
        <v>0.65650571278667513</v>
      </c>
      <c r="Q26" s="138">
        <f>IF(SER_hh_tes!Q26=0,"",SER_hh_tes!Q26/SER_hh_fec!Q26)</f>
        <v>0.66286350954221707</v>
      </c>
      <c r="R26" s="138">
        <f>IF(SER_hh_tes!R26=0,"",SER_hh_tes!R26/SER_hh_fec!R26)</f>
        <v>0.67253572967657294</v>
      </c>
      <c r="S26" s="138">
        <f>IF(SER_hh_tes!S26=0,"",SER_hh_tes!S26/SER_hh_fec!S26)</f>
        <v>0.68521256928032759</v>
      </c>
      <c r="T26" s="138">
        <f>IF(SER_hh_tes!T26=0,"",SER_hh_tes!T26/SER_hh_fec!T26)</f>
        <v>0.70192518015844063</v>
      </c>
      <c r="U26" s="138">
        <f>IF(SER_hh_tes!U26=0,"",SER_hh_tes!U26/SER_hh_fec!U26)</f>
        <v>0.72628612486064115</v>
      </c>
      <c r="V26" s="138">
        <f>IF(SER_hh_tes!V26=0,"",SER_hh_tes!V26/SER_hh_fec!V26)</f>
        <v>0.74681232266590614</v>
      </c>
      <c r="W26" s="138">
        <f>IF(SER_hh_tes!W26=0,"",SER_hh_tes!W26/SER_hh_fec!W26)</f>
        <v>0.76611611372798394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>
        <f>IF(SER_hh_tes!I27=0,"",SER_hh_tes!I27/SER_hh_fec!I27)</f>
        <v>1</v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0.71428618310235492</v>
      </c>
      <c r="C29" s="136">
        <f>IF(SER_hh_tes!C29=0,"",SER_hh_tes!C29/SER_hh_fec!C29)</f>
        <v>0.71827754162122859</v>
      </c>
      <c r="D29" s="136">
        <f>IF(SER_hh_tes!D29=0,"",SER_hh_tes!D29/SER_hh_fec!D29)</f>
        <v>0.72726113330708564</v>
      </c>
      <c r="E29" s="136">
        <f>IF(SER_hh_tes!E29=0,"",SER_hh_tes!E29/SER_hh_fec!E29)</f>
        <v>0.67906502741981623</v>
      </c>
      <c r="F29" s="136">
        <f>IF(SER_hh_tes!F29=0,"",SER_hh_tes!F29/SER_hh_fec!F29)</f>
        <v>0.61795559368513731</v>
      </c>
      <c r="G29" s="136">
        <f>IF(SER_hh_tes!G29=0,"",SER_hh_tes!G29/SER_hh_fec!G29)</f>
        <v>0.62808457071169255</v>
      </c>
      <c r="H29" s="136">
        <f>IF(SER_hh_tes!H29=0,"",SER_hh_tes!H29/SER_hh_fec!H29)</f>
        <v>0.64241981278459515</v>
      </c>
      <c r="I29" s="136">
        <f>IF(SER_hh_tes!I29=0,"",SER_hh_tes!I29/SER_hh_fec!I29)</f>
        <v>0.63127474868383271</v>
      </c>
      <c r="J29" s="136">
        <f>IF(SER_hh_tes!J29=0,"",SER_hh_tes!J29/SER_hh_fec!J29)</f>
        <v>0.69064686749470794</v>
      </c>
      <c r="K29" s="136">
        <f>IF(SER_hh_tes!K29=0,"",SER_hh_tes!K29/SER_hh_fec!K29)</f>
        <v>0.70341738822073219</v>
      </c>
      <c r="L29" s="136">
        <f>IF(SER_hh_tes!L29=0,"",SER_hh_tes!L29/SER_hh_fec!L29)</f>
        <v>0.70605146331457069</v>
      </c>
      <c r="M29" s="136">
        <f>IF(SER_hh_tes!M29=0,"",SER_hh_tes!M29/SER_hh_fec!M29)</f>
        <v>0.71693059483138544</v>
      </c>
      <c r="N29" s="136">
        <f>IF(SER_hh_tes!N29=0,"",SER_hh_tes!N29/SER_hh_fec!N29)</f>
        <v>0.72130457803080605</v>
      </c>
      <c r="O29" s="136">
        <f>IF(SER_hh_tes!O29=0,"",SER_hh_tes!O29/SER_hh_fec!O29)</f>
        <v>0.72706352562659271</v>
      </c>
      <c r="P29" s="136">
        <f>IF(SER_hh_tes!P29=0,"",SER_hh_tes!P29/SER_hh_fec!P29)</f>
        <v>0.72936204274798322</v>
      </c>
      <c r="Q29" s="136">
        <f>IF(SER_hh_tes!Q29=0,"",SER_hh_tes!Q29/SER_hh_fec!Q29)</f>
        <v>0.72498694495945126</v>
      </c>
      <c r="R29" s="136">
        <f>IF(SER_hh_tes!R29=0,"",SER_hh_tes!R29/SER_hh_fec!R29)</f>
        <v>0.72848201039773641</v>
      </c>
      <c r="S29" s="136">
        <f>IF(SER_hh_tes!S29=0,"",SER_hh_tes!S29/SER_hh_fec!S29)</f>
        <v>0.72455384211070006</v>
      </c>
      <c r="T29" s="136">
        <f>IF(SER_hh_tes!T29=0,"",SER_hh_tes!T29/SER_hh_fec!T29)</f>
        <v>0.73246681535290548</v>
      </c>
      <c r="U29" s="136">
        <f>IF(SER_hh_tes!U29=0,"",SER_hh_tes!U29/SER_hh_fec!U29)</f>
        <v>0.73914721589451682</v>
      </c>
      <c r="V29" s="136">
        <f>IF(SER_hh_tes!V29=0,"",SER_hh_tes!V29/SER_hh_fec!V29)</f>
        <v>0.74276287995652523</v>
      </c>
      <c r="W29" s="136">
        <f>IF(SER_hh_tes!W29=0,"",SER_hh_tes!W29/SER_hh_fec!W29)</f>
        <v>0.75504370604118409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0.60129299186097995</v>
      </c>
      <c r="C30" s="137">
        <f>IF(SER_hh_tes!C30=0,"",SER_hh_tes!C30/SER_hh_fec!C30)</f>
        <v>0.60366521311684651</v>
      </c>
      <c r="D30" s="137">
        <f>IF(SER_hh_tes!D30=0,"",SER_hh_tes!D30/SER_hh_fec!D30)</f>
        <v>0.60549944578173165</v>
      </c>
      <c r="E30" s="137">
        <f>IF(SER_hh_tes!E30=0,"",SER_hh_tes!E30/SER_hh_fec!E30)</f>
        <v>0.60682209458572867</v>
      </c>
      <c r="F30" s="137">
        <f>IF(SER_hh_tes!F30=0,"",SER_hh_tes!F30/SER_hh_fec!F30)</f>
        <v>0.6078319803362926</v>
      </c>
      <c r="G30" s="137">
        <f>IF(SER_hh_tes!G30=0,"",SER_hh_tes!G30/SER_hh_fec!G30)</f>
        <v>0.60811415863811835</v>
      </c>
      <c r="H30" s="137">
        <f>IF(SER_hh_tes!H30=0,"",SER_hh_tes!H30/SER_hh_fec!H30)</f>
        <v>0.60831832279914744</v>
      </c>
      <c r="I30" s="137">
        <f>IF(SER_hh_tes!I30=0,"",SER_hh_tes!I30/SER_hh_fec!I30)</f>
        <v>0.60854320018227781</v>
      </c>
      <c r="J30" s="137">
        <f>IF(SER_hh_tes!J30=0,"",SER_hh_tes!J30/SER_hh_fec!J30)</f>
        <v>0.60874098845633096</v>
      </c>
      <c r="K30" s="137">
        <f>IF(SER_hh_tes!K30=0,"",SER_hh_tes!K30/SER_hh_fec!K30)</f>
        <v>0.60889790774633423</v>
      </c>
      <c r="L30" s="137">
        <f>IF(SER_hh_tes!L30=0,"",SER_hh_tes!L30/SER_hh_fec!L30)</f>
        <v>0.6090905772086157</v>
      </c>
      <c r="M30" s="137">
        <f>IF(SER_hh_tes!M30=0,"",SER_hh_tes!M30/SER_hh_fec!M30)</f>
        <v>0.60909057720861592</v>
      </c>
      <c r="N30" s="137">
        <f>IF(SER_hh_tes!N30=0,"",SER_hh_tes!N30/SER_hh_fec!N30)</f>
        <v>0.60936379674465668</v>
      </c>
      <c r="O30" s="137">
        <f>IF(SER_hh_tes!O30=0,"",SER_hh_tes!O30/SER_hh_fec!O30)</f>
        <v>0.6102292185759427</v>
      </c>
      <c r="P30" s="137">
        <f>IF(SER_hh_tes!P30=0,"",SER_hh_tes!P30/SER_hh_fec!P30)</f>
        <v>0.6112115490778891</v>
      </c>
      <c r="Q30" s="137">
        <f>IF(SER_hh_tes!Q30=0,"",SER_hh_tes!Q30/SER_hh_fec!Q30)</f>
        <v>0.61202310225618262</v>
      </c>
      <c r="R30" s="137">
        <f>IF(SER_hh_tes!R30=0,"",SER_hh_tes!R30/SER_hh_fec!R30)</f>
        <v>0.61299596886349905</v>
      </c>
      <c r="S30" s="137">
        <f>IF(SER_hh_tes!S30=0,"",SER_hh_tes!S30/SER_hh_fec!S30)</f>
        <v>0.61332535871432703</v>
      </c>
      <c r="T30" s="137">
        <f>IF(SER_hh_tes!T30=0,"",SER_hh_tes!T30/SER_hh_fec!T30)</f>
        <v>0.61352288851655956</v>
      </c>
      <c r="U30" s="137">
        <f>IF(SER_hh_tes!U30=0,"",SER_hh_tes!U30/SER_hh_fec!U30)</f>
        <v>0.61376760892904259</v>
      </c>
      <c r="V30" s="137">
        <f>IF(SER_hh_tes!V30=0,"",SER_hh_tes!V30/SER_hh_fec!V30)</f>
        <v>0.61405982227058731</v>
      </c>
      <c r="W30" s="137">
        <f>IF(SER_hh_tes!W30=0,"",SER_hh_tes!W30/SER_hh_fec!W30)</f>
        <v>0.61456820920625577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0.60446429220244402</v>
      </c>
      <c r="C31" s="137">
        <f>IF(SER_hh_tes!C31=0,"",SER_hh_tes!C31/SER_hh_fec!C31)</f>
        <v>0.60637174614959899</v>
      </c>
      <c r="D31" s="137">
        <f>IF(SER_hh_tes!D31=0,"",SER_hh_tes!D31/SER_hh_fec!D31)</f>
        <v>0.60788940099272692</v>
      </c>
      <c r="E31" s="137">
        <f>IF(SER_hh_tes!E31=0,"",SER_hh_tes!E31/SER_hh_fec!E31)</f>
        <v>0.60960559699403882</v>
      </c>
      <c r="F31" s="137">
        <f>IF(SER_hh_tes!F31=0,"",SER_hh_tes!F31/SER_hh_fec!F31)</f>
        <v>0.61094011804371595</v>
      </c>
      <c r="G31" s="137">
        <f>IF(SER_hh_tes!G31=0,"",SER_hh_tes!G31/SER_hh_fec!G31)</f>
        <v>0.61164122415420286</v>
      </c>
      <c r="H31" s="137">
        <f>IF(SER_hh_tes!H31=0,"",SER_hh_tes!H31/SER_hh_fec!H31)</f>
        <v>0.6120536348356167</v>
      </c>
      <c r="I31" s="137">
        <f>IF(SER_hh_tes!I31=0,"",SER_hh_tes!I31/SER_hh_fec!I31)</f>
        <v>0.61239007271251</v>
      </c>
      <c r="J31" s="137">
        <f>IF(SER_hh_tes!J31=0,"",SER_hh_tes!J31/SER_hh_fec!J31)</f>
        <v>0.61271302782892412</v>
      </c>
      <c r="K31" s="137">
        <f>IF(SER_hh_tes!K31=0,"",SER_hh_tes!K31/SER_hh_fec!K31)</f>
        <v>0.61312112893274373</v>
      </c>
      <c r="L31" s="137">
        <f>IF(SER_hh_tes!L31=0,"",SER_hh_tes!L31/SER_hh_fec!L31)</f>
        <v>0.61361206729585427</v>
      </c>
      <c r="M31" s="137">
        <f>IF(SER_hh_tes!M31=0,"",SER_hh_tes!M31/SER_hh_fec!M31)</f>
        <v>0.61397297446749111</v>
      </c>
      <c r="N31" s="137">
        <f>IF(SER_hh_tes!N31=0,"",SER_hh_tes!N31/SER_hh_fec!N31)</f>
        <v>0.61448229609422977</v>
      </c>
      <c r="O31" s="137">
        <f>IF(SER_hh_tes!O31=0,"",SER_hh_tes!O31/SER_hh_fec!O31)</f>
        <v>0.61523326200790562</v>
      </c>
      <c r="P31" s="137">
        <f>IF(SER_hh_tes!P31=0,"",SER_hh_tes!P31/SER_hh_fec!P31)</f>
        <v>0.61599709487598231</v>
      </c>
      <c r="Q31" s="137">
        <f>IF(SER_hh_tes!Q31=0,"",SER_hh_tes!Q31/SER_hh_fec!Q31)</f>
        <v>0.61673562482998401</v>
      </c>
      <c r="R31" s="137">
        <f>IF(SER_hh_tes!R31=0,"",SER_hh_tes!R31/SER_hh_fec!R31)</f>
        <v>0.61760070556265279</v>
      </c>
      <c r="S31" s="137">
        <f>IF(SER_hh_tes!S31=0,"",SER_hh_tes!S31/SER_hh_fec!S31)</f>
        <v>0.61853908426122872</v>
      </c>
      <c r="T31" s="137">
        <f>IF(SER_hh_tes!T31=0,"",SER_hh_tes!T31/SER_hh_fec!T31)</f>
        <v>0.61932673464333921</v>
      </c>
      <c r="U31" s="137">
        <f>IF(SER_hh_tes!U31=0,"",SER_hh_tes!U31/SER_hh_fec!U31)</f>
        <v>0.62026330831749432</v>
      </c>
      <c r="V31" s="137">
        <f>IF(SER_hh_tes!V31=0,"",SER_hh_tes!V31/SER_hh_fec!V31)</f>
        <v>0.62154419339420908</v>
      </c>
      <c r="W31" s="137">
        <f>IF(SER_hh_tes!W31=0,"",SER_hh_tes!W31/SER_hh_fec!W31)</f>
        <v>0.62296462843841705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0.78861510200855078</v>
      </c>
      <c r="C33" s="150">
        <f>IF(SER_hh_tes!C33=0,"",SER_hh_tes!C33/SER_hh_fec!C33)</f>
        <v>0.79010833714964668</v>
      </c>
      <c r="D33" s="150">
        <f>IF(SER_hh_tes!D33=0,"",SER_hh_tes!D33/SER_hh_fec!D33)</f>
        <v>0.79028240126351523</v>
      </c>
      <c r="E33" s="150">
        <f>IF(SER_hh_tes!E33=0,"",SER_hh_tes!E33/SER_hh_fec!E33)</f>
        <v>0.79049693971425605</v>
      </c>
      <c r="F33" s="150">
        <f>IF(SER_hh_tes!F33=0,"",SER_hh_tes!F33/SER_hh_fec!F33)</f>
        <v>0.7905977926591804</v>
      </c>
      <c r="G33" s="150">
        <f>IF(SER_hh_tes!G33=0,"",SER_hh_tes!G33/SER_hh_fec!G33)</f>
        <v>0.7905977926591804</v>
      </c>
      <c r="H33" s="150">
        <f>IF(SER_hh_tes!H33=0,"",SER_hh_tes!H33/SER_hh_fec!H33)</f>
        <v>0.79492087351114393</v>
      </c>
      <c r="I33" s="150">
        <f>IF(SER_hh_tes!I33=0,"",SER_hh_tes!I33/SER_hh_fec!I33)</f>
        <v>0.80133575798130363</v>
      </c>
      <c r="J33" s="150">
        <f>IF(SER_hh_tes!J33=0,"",SER_hh_tes!J33/SER_hh_fec!J33)</f>
        <v>0.80892342606126899</v>
      </c>
      <c r="K33" s="150">
        <f>IF(SER_hh_tes!K33=0,"",SER_hh_tes!K33/SER_hh_fec!K33)</f>
        <v>0.8133012716834056</v>
      </c>
      <c r="L33" s="150">
        <f>IF(SER_hh_tes!L33=0,"",SER_hh_tes!L33/SER_hh_fec!L33)</f>
        <v>0.81576767181820231</v>
      </c>
      <c r="M33" s="150">
        <f>IF(SER_hh_tes!M33=0,"",SER_hh_tes!M33/SER_hh_fec!M33)</f>
        <v>0.81665627624682913</v>
      </c>
      <c r="N33" s="150">
        <f>IF(SER_hh_tes!N33=0,"",SER_hh_tes!N33/SER_hh_fec!N33)</f>
        <v>0.81766377206626484</v>
      </c>
      <c r="O33" s="150">
        <f>IF(SER_hh_tes!O33=0,"",SER_hh_tes!O33/SER_hh_fec!O33)</f>
        <v>0.81945380840612481</v>
      </c>
      <c r="P33" s="150">
        <f>IF(SER_hh_tes!P33=0,"",SER_hh_tes!P33/SER_hh_fec!P33)</f>
        <v>0.82111120922238079</v>
      </c>
      <c r="Q33" s="150">
        <f>IF(SER_hh_tes!Q33=0,"",SER_hh_tes!Q33/SER_hh_fec!Q33)</f>
        <v>0.82360474696061736</v>
      </c>
      <c r="R33" s="150">
        <f>IF(SER_hh_tes!R33=0,"",SER_hh_tes!R33/SER_hh_fec!R33)</f>
        <v>0.82731015536812924</v>
      </c>
      <c r="S33" s="150">
        <f>IF(SER_hh_tes!S33=0,"",SER_hh_tes!S33/SER_hh_fec!S33)</f>
        <v>0.83345090259991805</v>
      </c>
      <c r="T33" s="150">
        <f>IF(SER_hh_tes!T33=0,"",SER_hh_tes!T33/SER_hh_fec!T33)</f>
        <v>0.84282967399992137</v>
      </c>
      <c r="U33" s="150">
        <f>IF(SER_hh_tes!U33=0,"",SER_hh_tes!U33/SER_hh_fec!U33)</f>
        <v>0.85483438216244489</v>
      </c>
      <c r="V33" s="150">
        <f>IF(SER_hh_tes!V33=0,"",SER_hh_tes!V33/SER_hh_fec!V33)</f>
        <v>0.86840130155225304</v>
      </c>
      <c r="W33" s="150">
        <f>IF(SER_hh_tes!W33=0,"",SER_hh_tes!W33/SER_hh_fec!W33)</f>
        <v>0.88081781681871751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869.48848054144923</v>
      </c>
      <c r="C3" s="126">
        <f t="shared" si="0"/>
        <v>1645.0980619481959</v>
      </c>
      <c r="D3" s="126">
        <f t="shared" si="0"/>
        <v>957.00336662311827</v>
      </c>
      <c r="E3" s="126">
        <f t="shared" si="0"/>
        <v>1885.5166975814479</v>
      </c>
      <c r="F3" s="126">
        <f t="shared" si="0"/>
        <v>3038.4570756839821</v>
      </c>
      <c r="G3" s="126">
        <f t="shared" si="0"/>
        <v>3262.8269449729901</v>
      </c>
      <c r="H3" s="126">
        <f t="shared" si="0"/>
        <v>4550.7442463086682</v>
      </c>
      <c r="I3" s="126">
        <f t="shared" si="0"/>
        <v>3858.5579198097253</v>
      </c>
      <c r="J3" s="126">
        <f t="shared" si="0"/>
        <v>2765.3593114936502</v>
      </c>
      <c r="K3" s="126">
        <f t="shared" si="0"/>
        <v>2576.476072219948</v>
      </c>
      <c r="L3" s="126">
        <f t="shared" si="0"/>
        <v>2631.3223680036617</v>
      </c>
      <c r="M3" s="126">
        <f t="shared" si="0"/>
        <v>2560.7860253701037</v>
      </c>
      <c r="N3" s="126">
        <f t="shared" si="0"/>
        <v>2494.3138703667792</v>
      </c>
      <c r="O3" s="126">
        <f t="shared" si="0"/>
        <v>2434.1722395018196</v>
      </c>
      <c r="P3" s="126">
        <f t="shared" si="0"/>
        <v>2424.3160007712167</v>
      </c>
      <c r="Q3" s="126">
        <f t="shared" si="0"/>
        <v>2416.5163280713195</v>
      </c>
      <c r="R3" s="126">
        <f t="shared" ref="R3:W3" si="1">SUM(R4,R16,R19,R29)</f>
        <v>2445.1249419428023</v>
      </c>
      <c r="S3" s="126">
        <f t="shared" si="1"/>
        <v>2788.733032258302</v>
      </c>
      <c r="T3" s="126">
        <f t="shared" si="1"/>
        <v>2842.7295704234398</v>
      </c>
      <c r="U3" s="126">
        <f t="shared" si="1"/>
        <v>2840.8308477708702</v>
      </c>
      <c r="V3" s="126">
        <f t="shared" si="1"/>
        <v>2665.2492810172594</v>
      </c>
      <c r="W3" s="126">
        <f t="shared" si="1"/>
        <v>3082.5978336277994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682.1389436030455</v>
      </c>
      <c r="C4" s="131">
        <f t="shared" si="2"/>
        <v>1451.757032176462</v>
      </c>
      <c r="D4" s="131">
        <f t="shared" si="2"/>
        <v>759.74916480156116</v>
      </c>
      <c r="E4" s="131">
        <f t="shared" si="2"/>
        <v>1450.3868983852424</v>
      </c>
      <c r="F4" s="131">
        <f t="shared" si="2"/>
        <v>2258.2379631308031</v>
      </c>
      <c r="G4" s="131">
        <f t="shared" si="2"/>
        <v>2454.5684487269141</v>
      </c>
      <c r="H4" s="131">
        <f t="shared" si="2"/>
        <v>3764.2321335592601</v>
      </c>
      <c r="I4" s="131">
        <f t="shared" si="2"/>
        <v>3016.4587365880088</v>
      </c>
      <c r="J4" s="131">
        <f t="shared" si="2"/>
        <v>2161.4178205189423</v>
      </c>
      <c r="K4" s="131">
        <f t="shared" si="2"/>
        <v>1927.1099359505665</v>
      </c>
      <c r="L4" s="131">
        <f t="shared" si="2"/>
        <v>1968.4287611156797</v>
      </c>
      <c r="M4" s="131">
        <f t="shared" si="2"/>
        <v>1947.946800400199</v>
      </c>
      <c r="N4" s="131">
        <f t="shared" si="2"/>
        <v>1871.5140800486033</v>
      </c>
      <c r="O4" s="131">
        <f t="shared" si="2"/>
        <v>1762.7538240669626</v>
      </c>
      <c r="P4" s="131">
        <f t="shared" si="2"/>
        <v>1706.9649484576305</v>
      </c>
      <c r="Q4" s="131">
        <f t="shared" si="2"/>
        <v>1619.4517947400655</v>
      </c>
      <c r="R4" s="131">
        <f t="shared" ref="R4:W4" si="3">SUM(R5:R15)</f>
        <v>1636.955527670111</v>
      </c>
      <c r="S4" s="131">
        <f t="shared" si="3"/>
        <v>1884.8583208642401</v>
      </c>
      <c r="T4" s="131">
        <f t="shared" si="3"/>
        <v>1937.4516698675368</v>
      </c>
      <c r="U4" s="131">
        <f t="shared" si="3"/>
        <v>1934.6586841827459</v>
      </c>
      <c r="V4" s="131">
        <f t="shared" si="3"/>
        <v>1793.8108395379636</v>
      </c>
      <c r="W4" s="131">
        <f t="shared" si="3"/>
        <v>2127.0447525624736</v>
      </c>
      <c r="DA4" s="156" t="s">
        <v>233</v>
      </c>
    </row>
    <row r="5" spans="1:105" ht="12" customHeight="1" x14ac:dyDescent="0.25">
      <c r="A5" s="132" t="s">
        <v>29</v>
      </c>
      <c r="B5" s="133">
        <v>15.280637207855708</v>
      </c>
      <c r="C5" s="133">
        <v>31.334061476737602</v>
      </c>
      <c r="D5" s="133">
        <v>18.530793056000661</v>
      </c>
      <c r="E5" s="133">
        <v>11.71075819703503</v>
      </c>
      <c r="F5" s="133">
        <v>4.6382710898358166</v>
      </c>
      <c r="G5" s="133">
        <v>1.5637006591106275</v>
      </c>
      <c r="H5" s="133">
        <v>12.284307976255535</v>
      </c>
      <c r="I5" s="133">
        <v>5.9510154301516209</v>
      </c>
      <c r="J5" s="133">
        <v>1.6395648222735835</v>
      </c>
      <c r="K5" s="133">
        <v>0.78185251946968071</v>
      </c>
      <c r="L5" s="133">
        <v>2.2832825552403286</v>
      </c>
      <c r="M5" s="133">
        <v>2.9687115484112248</v>
      </c>
      <c r="N5" s="133">
        <v>1.7105652390553234</v>
      </c>
      <c r="O5" s="133">
        <v>2.5105707678493308</v>
      </c>
      <c r="P5" s="133">
        <v>1.6734910927686115</v>
      </c>
      <c r="Q5" s="133">
        <v>1.8196050785972866</v>
      </c>
      <c r="R5" s="133">
        <v>3.6236087151422165</v>
      </c>
      <c r="S5" s="133">
        <v>0</v>
      </c>
      <c r="T5" s="133">
        <v>2.6686617482281991</v>
      </c>
      <c r="U5" s="133">
        <v>1.6561910649391836</v>
      </c>
      <c r="V5" s="133">
        <v>0.31682493312885107</v>
      </c>
      <c r="W5" s="133">
        <v>0.56200416266614739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234.19203926376937</v>
      </c>
      <c r="C7" s="133">
        <v>346.15204450399028</v>
      </c>
      <c r="D7" s="133">
        <v>633.07955269608317</v>
      </c>
      <c r="E7" s="133">
        <v>602.88386791617529</v>
      </c>
      <c r="F7" s="133">
        <v>1149.8103280049022</v>
      </c>
      <c r="G7" s="133">
        <v>1083.5276638982716</v>
      </c>
      <c r="H7" s="133">
        <v>638.65156472431954</v>
      </c>
      <c r="I7" s="133">
        <v>974.54182341028206</v>
      </c>
      <c r="J7" s="133">
        <v>748.73600548669094</v>
      </c>
      <c r="K7" s="133">
        <v>309.5984121942264</v>
      </c>
      <c r="L7" s="133">
        <v>325.53301614502953</v>
      </c>
      <c r="M7" s="133">
        <v>695.28778793777951</v>
      </c>
      <c r="N7" s="133">
        <v>585.41505051006709</v>
      </c>
      <c r="O7" s="133">
        <v>442.27927103141906</v>
      </c>
      <c r="P7" s="133">
        <v>403.98989037062802</v>
      </c>
      <c r="Q7" s="133">
        <v>430.01284416816179</v>
      </c>
      <c r="R7" s="133">
        <v>447.29300778978433</v>
      </c>
      <c r="S7" s="133">
        <v>609.65021209262579</v>
      </c>
      <c r="T7" s="133">
        <v>664.67191806910421</v>
      </c>
      <c r="U7" s="133">
        <v>679.37620710281237</v>
      </c>
      <c r="V7" s="133">
        <v>627.72095223964186</v>
      </c>
      <c r="W7" s="133">
        <v>998.71358917433292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432.6662671314204</v>
      </c>
      <c r="C9" s="133">
        <v>1074.2709261957341</v>
      </c>
      <c r="D9" s="133">
        <v>108.13881904947733</v>
      </c>
      <c r="E9" s="133">
        <v>834.25098006274834</v>
      </c>
      <c r="F9" s="133">
        <v>1102.6295223889583</v>
      </c>
      <c r="G9" s="133">
        <v>1369.4770841695317</v>
      </c>
      <c r="H9" s="133">
        <v>3113.2962608586849</v>
      </c>
      <c r="I9" s="133">
        <v>2035.9658977475749</v>
      </c>
      <c r="J9" s="133">
        <v>1411.0422502099777</v>
      </c>
      <c r="K9" s="133">
        <v>1616.7296712368704</v>
      </c>
      <c r="L9" s="133">
        <v>1640.6124624154097</v>
      </c>
      <c r="M9" s="133">
        <v>1249.6903009140083</v>
      </c>
      <c r="N9" s="133">
        <v>1284.3884642994808</v>
      </c>
      <c r="O9" s="133">
        <v>1317.8164782001297</v>
      </c>
      <c r="P9" s="133">
        <v>1277.4520776575737</v>
      </c>
      <c r="Q9" s="133">
        <v>1162.3181079602152</v>
      </c>
      <c r="R9" s="133">
        <v>1162.8655049064589</v>
      </c>
      <c r="S9" s="133">
        <v>1260.0136556161908</v>
      </c>
      <c r="T9" s="133">
        <v>1258.5274808734437</v>
      </c>
      <c r="U9" s="133">
        <v>1241.6408820800125</v>
      </c>
      <c r="V9" s="133">
        <v>1157.0463139918616</v>
      </c>
      <c r="W9" s="133">
        <v>1118.7376274502001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1.5412922092836088</v>
      </c>
      <c r="F10" s="133">
        <v>1.159841647107074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0.14750406756423523</v>
      </c>
      <c r="P10" s="133">
        <v>23.849489336660255</v>
      </c>
      <c r="Q10" s="133">
        <v>25.301237533091154</v>
      </c>
      <c r="R10" s="133">
        <v>23.173406258725393</v>
      </c>
      <c r="S10" s="133">
        <v>15.19445315542348</v>
      </c>
      <c r="T10" s="133">
        <v>11.583609176760849</v>
      </c>
      <c r="U10" s="133">
        <v>11.985403934981806</v>
      </c>
      <c r="V10" s="133">
        <v>8.7267483733313203</v>
      </c>
      <c r="W10" s="133">
        <v>9.0315317752741411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46.841397457980214</v>
      </c>
      <c r="C19" s="131">
        <f t="shared" si="6"/>
        <v>53.435844527237151</v>
      </c>
      <c r="D19" s="131">
        <f t="shared" si="6"/>
        <v>100.97663705848115</v>
      </c>
      <c r="E19" s="131">
        <f t="shared" si="6"/>
        <v>175.27207316037916</v>
      </c>
      <c r="F19" s="131">
        <f t="shared" si="6"/>
        <v>275.45705734057287</v>
      </c>
      <c r="G19" s="131">
        <f t="shared" si="6"/>
        <v>279.44618384935774</v>
      </c>
      <c r="H19" s="131">
        <f t="shared" si="6"/>
        <v>284.3469680300658</v>
      </c>
      <c r="I19" s="131">
        <f t="shared" si="6"/>
        <v>252.46277214409821</v>
      </c>
      <c r="J19" s="131">
        <f t="shared" si="6"/>
        <v>223.94782236780927</v>
      </c>
      <c r="K19" s="131">
        <f t="shared" si="6"/>
        <v>303.72674287835986</v>
      </c>
      <c r="L19" s="131">
        <f t="shared" si="6"/>
        <v>303.64914129621218</v>
      </c>
      <c r="M19" s="131">
        <f t="shared" si="6"/>
        <v>281.86344224074571</v>
      </c>
      <c r="N19" s="131">
        <f t="shared" si="6"/>
        <v>292.89086410909732</v>
      </c>
      <c r="O19" s="131">
        <f t="shared" si="6"/>
        <v>331.62642747022556</v>
      </c>
      <c r="P19" s="131">
        <f t="shared" si="6"/>
        <v>363.99510666015004</v>
      </c>
      <c r="Q19" s="131">
        <f t="shared" si="6"/>
        <v>394.94118793485694</v>
      </c>
      <c r="R19" s="131">
        <f t="shared" ref="R19:W19" si="7">SUM(R20:R27)</f>
        <v>409.92085421203222</v>
      </c>
      <c r="S19" s="131">
        <f t="shared" si="7"/>
        <v>467.69832069748412</v>
      </c>
      <c r="T19" s="131">
        <f t="shared" si="7"/>
        <v>469.2839424283253</v>
      </c>
      <c r="U19" s="131">
        <f t="shared" si="7"/>
        <v>462.64676646212229</v>
      </c>
      <c r="V19" s="131">
        <f t="shared" si="7"/>
        <v>448.71151219870461</v>
      </c>
      <c r="W19" s="131">
        <f t="shared" si="7"/>
        <v>523.13977956523411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9.2752935898241518</v>
      </c>
      <c r="C22" s="133">
        <v>18.426385487467847</v>
      </c>
      <c r="D22" s="133">
        <v>69.059831351034362</v>
      </c>
      <c r="E22" s="133">
        <v>94.031287348237413</v>
      </c>
      <c r="F22" s="133">
        <v>104.04133610924436</v>
      </c>
      <c r="G22" s="133">
        <v>101.86500353560739</v>
      </c>
      <c r="H22" s="133">
        <v>53.570140848092052</v>
      </c>
      <c r="I22" s="133">
        <v>51.013418009292351</v>
      </c>
      <c r="J22" s="133">
        <v>50.393816944685973</v>
      </c>
      <c r="K22" s="133">
        <v>47.565032186251457</v>
      </c>
      <c r="L22" s="133">
        <v>48.218594143391556</v>
      </c>
      <c r="M22" s="133">
        <v>50.499192403913455</v>
      </c>
      <c r="N22" s="133">
        <v>67.111874897655412</v>
      </c>
      <c r="O22" s="133">
        <v>94.678405262551422</v>
      </c>
      <c r="P22" s="133">
        <v>100.04142346782022</v>
      </c>
      <c r="Q22" s="133">
        <v>108.50408646456079</v>
      </c>
      <c r="R22" s="133">
        <v>99.2804741978739</v>
      </c>
      <c r="S22" s="133">
        <v>135.48978988567575</v>
      </c>
      <c r="T22" s="133">
        <v>152.42336548610746</v>
      </c>
      <c r="U22" s="133">
        <v>145.70259916311878</v>
      </c>
      <c r="V22" s="133">
        <v>146.54210460448891</v>
      </c>
      <c r="W22" s="133">
        <v>224.91054781079993</v>
      </c>
      <c r="DA22" s="157" t="s">
        <v>372</v>
      </c>
    </row>
    <row r="23" spans="1:105" ht="12" customHeight="1" x14ac:dyDescent="0.25">
      <c r="A23" s="132" t="s">
        <v>153</v>
      </c>
      <c r="B23" s="133">
        <v>37.566103868156063</v>
      </c>
      <c r="C23" s="133">
        <v>35.009459039769304</v>
      </c>
      <c r="D23" s="133">
        <v>31.916805707446784</v>
      </c>
      <c r="E23" s="133">
        <v>81.066249621425371</v>
      </c>
      <c r="F23" s="133">
        <v>171.28856287843561</v>
      </c>
      <c r="G23" s="133">
        <v>177.58118031375037</v>
      </c>
      <c r="H23" s="133">
        <v>230.77682718197372</v>
      </c>
      <c r="I23" s="133">
        <v>201.44935413480587</v>
      </c>
      <c r="J23" s="133">
        <v>173.5540054231233</v>
      </c>
      <c r="K23" s="133">
        <v>256.16171069210839</v>
      </c>
      <c r="L23" s="133">
        <v>255.43054715282059</v>
      </c>
      <c r="M23" s="133">
        <v>231.36424983683224</v>
      </c>
      <c r="N23" s="133">
        <v>225.77898921144191</v>
      </c>
      <c r="O23" s="133">
        <v>236.91204627523842</v>
      </c>
      <c r="P23" s="133">
        <v>258.19837092899007</v>
      </c>
      <c r="Q23" s="133">
        <v>283.61502620338734</v>
      </c>
      <c r="R23" s="133">
        <v>308.7886718728837</v>
      </c>
      <c r="S23" s="133">
        <v>330.96606676723184</v>
      </c>
      <c r="T23" s="133">
        <v>315.7979921189787</v>
      </c>
      <c r="U23" s="133">
        <v>316.13820363398526</v>
      </c>
      <c r="V23" s="133">
        <v>301.52625476754702</v>
      </c>
      <c r="W23" s="133">
        <v>297.62566112970836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0.17453619071639129</v>
      </c>
      <c r="F24" s="133">
        <v>0.12715835289292607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3.5975932435764815E-2</v>
      </c>
      <c r="P24" s="133">
        <v>5.7553122633397606</v>
      </c>
      <c r="Q24" s="133">
        <v>2.8220752669088345</v>
      </c>
      <c r="R24" s="133">
        <v>1.851708141274605</v>
      </c>
      <c r="S24" s="133">
        <v>1.2424640445765278</v>
      </c>
      <c r="T24" s="133">
        <v>1.0625848232391484</v>
      </c>
      <c r="U24" s="133">
        <v>0.80596366501819816</v>
      </c>
      <c r="V24" s="133">
        <v>0.64315282666867801</v>
      </c>
      <c r="W24" s="133">
        <v>0.60357062472586032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140.50813948042358</v>
      </c>
      <c r="C29" s="131">
        <f t="shared" si="8"/>
        <v>139.90518524449681</v>
      </c>
      <c r="D29" s="131">
        <f t="shared" si="8"/>
        <v>96.277564763075887</v>
      </c>
      <c r="E29" s="131">
        <f t="shared" si="8"/>
        <v>259.85772603582626</v>
      </c>
      <c r="F29" s="131">
        <f t="shared" si="8"/>
        <v>504.76205521260613</v>
      </c>
      <c r="G29" s="131">
        <f t="shared" si="8"/>
        <v>528.81231239671843</v>
      </c>
      <c r="H29" s="131">
        <f t="shared" si="8"/>
        <v>502.16514471934204</v>
      </c>
      <c r="I29" s="131">
        <f t="shared" si="8"/>
        <v>589.63641107761805</v>
      </c>
      <c r="J29" s="131">
        <f t="shared" si="8"/>
        <v>379.99366860689872</v>
      </c>
      <c r="K29" s="131">
        <f t="shared" si="8"/>
        <v>345.6393933910216</v>
      </c>
      <c r="L29" s="131">
        <f t="shared" si="8"/>
        <v>359.24446559176982</v>
      </c>
      <c r="M29" s="131">
        <f t="shared" si="8"/>
        <v>330.97578272915911</v>
      </c>
      <c r="N29" s="131">
        <f t="shared" si="8"/>
        <v>329.90892620907829</v>
      </c>
      <c r="O29" s="131">
        <f t="shared" si="8"/>
        <v>339.79198796463174</v>
      </c>
      <c r="P29" s="131">
        <f t="shared" si="8"/>
        <v>353.35594565343644</v>
      </c>
      <c r="Q29" s="131">
        <f t="shared" si="8"/>
        <v>402.12334539639687</v>
      </c>
      <c r="R29" s="131">
        <f t="shared" ref="R29:W29" si="9">SUM(R30:R33)</f>
        <v>398.24856006065875</v>
      </c>
      <c r="S29" s="131">
        <f t="shared" si="9"/>
        <v>436.17639069657815</v>
      </c>
      <c r="T29" s="131">
        <f t="shared" si="9"/>
        <v>435.9939581275774</v>
      </c>
      <c r="U29" s="131">
        <f t="shared" si="9"/>
        <v>443.52539712600208</v>
      </c>
      <c r="V29" s="131">
        <f t="shared" si="9"/>
        <v>422.72692928059149</v>
      </c>
      <c r="W29" s="131">
        <f t="shared" si="9"/>
        <v>432.41330150009145</v>
      </c>
      <c r="DA29" s="156" t="s">
        <v>236</v>
      </c>
    </row>
    <row r="30" spans="1:105" ht="12" customHeight="1" x14ac:dyDescent="0.25">
      <c r="A30" s="132" t="s">
        <v>52</v>
      </c>
      <c r="B30" s="133">
        <v>59.692650479999998</v>
      </c>
      <c r="C30" s="133">
        <v>32.830980479999994</v>
      </c>
      <c r="D30" s="133">
        <v>20.892359520000003</v>
      </c>
      <c r="E30" s="133">
        <v>89.53897572000001</v>
      </c>
      <c r="F30" s="133">
        <v>194.0010004800001</v>
      </c>
      <c r="G30" s="133">
        <v>239.95319688000004</v>
      </c>
      <c r="H30" s="133">
        <v>97.204262759999978</v>
      </c>
      <c r="I30" s="133">
        <v>288.55135295999992</v>
      </c>
      <c r="J30" s="133">
        <v>66.822294239999991</v>
      </c>
      <c r="K30" s="133">
        <v>36.453955320000013</v>
      </c>
      <c r="L30" s="133">
        <v>57.710225160000014</v>
      </c>
      <c r="M30" s="133">
        <v>36.448503479999999</v>
      </c>
      <c r="N30" s="133">
        <v>45.560799719999999</v>
      </c>
      <c r="O30" s="133">
        <v>51.635512439999999</v>
      </c>
      <c r="P30" s="133">
        <v>66.822294240000005</v>
      </c>
      <c r="Q30" s="133">
        <v>85.046659560000052</v>
      </c>
      <c r="R30" s="133">
        <v>78.971946840000072</v>
      </c>
      <c r="S30" s="133">
        <v>78.338851920000025</v>
      </c>
      <c r="T30" s="133">
        <v>80.422590600000021</v>
      </c>
      <c r="U30" s="133">
        <v>78.812707680000045</v>
      </c>
      <c r="V30" s="133">
        <v>70.908448320000005</v>
      </c>
      <c r="W30" s="133">
        <v>70.152232680000068</v>
      </c>
      <c r="DA30" s="157" t="s">
        <v>378</v>
      </c>
    </row>
    <row r="31" spans="1:105" ht="12" customHeight="1" x14ac:dyDescent="0.25">
      <c r="A31" s="132" t="s">
        <v>153</v>
      </c>
      <c r="B31" s="133">
        <v>80.815489000423582</v>
      </c>
      <c r="C31" s="133">
        <v>107.0742047644968</v>
      </c>
      <c r="D31" s="133">
        <v>75.385205243075887</v>
      </c>
      <c r="E31" s="133">
        <v>170.31875031582626</v>
      </c>
      <c r="F31" s="133">
        <v>310.761054732606</v>
      </c>
      <c r="G31" s="133">
        <v>288.85911551671836</v>
      </c>
      <c r="H31" s="133">
        <v>404.96088195934203</v>
      </c>
      <c r="I31" s="133">
        <v>301.08505811761808</v>
      </c>
      <c r="J31" s="133">
        <v>313.17137436689876</v>
      </c>
      <c r="K31" s="133">
        <v>309.18543807102157</v>
      </c>
      <c r="L31" s="133">
        <v>301.53424043176983</v>
      </c>
      <c r="M31" s="133">
        <v>294.52727924915911</v>
      </c>
      <c r="N31" s="133">
        <v>284.34812648907831</v>
      </c>
      <c r="O31" s="133">
        <v>288.15647552463173</v>
      </c>
      <c r="P31" s="133">
        <v>286.53365141343642</v>
      </c>
      <c r="Q31" s="133">
        <v>317.07668583639679</v>
      </c>
      <c r="R31" s="133">
        <v>319.2766132206587</v>
      </c>
      <c r="S31" s="133">
        <v>357.83753877657813</v>
      </c>
      <c r="T31" s="133">
        <v>355.57136752757737</v>
      </c>
      <c r="U31" s="133">
        <v>364.712689446002</v>
      </c>
      <c r="V31" s="133">
        <v>351.8184809605915</v>
      </c>
      <c r="W31" s="133">
        <v>362.2610688200914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376927.89922703255</v>
      </c>
      <c r="C3" s="126">
        <f>IF(SER_hh_fec!C3=0,0,11630*1000*SER_hh_fec!C3/SER_hh_num!C3)</f>
        <v>474624.27951800486</v>
      </c>
      <c r="D3" s="126">
        <f>IF(SER_hh_fec!D3=0,0,11630*1000*SER_hh_fec!D3/SER_hh_num!D3)</f>
        <v>213381.04522698792</v>
      </c>
      <c r="E3" s="126">
        <f>IF(SER_hh_fec!E3=0,0,11630*1000*SER_hh_fec!E3/SER_hh_num!E3)</f>
        <v>361180.43493230379</v>
      </c>
      <c r="F3" s="126">
        <f>IF(SER_hh_fec!F3=0,0,11630*1000*SER_hh_fec!F3/SER_hh_num!F3)</f>
        <v>396035.69698682718</v>
      </c>
      <c r="G3" s="126">
        <f>IF(SER_hh_fec!G3=0,0,11630*1000*SER_hh_fec!G3/SER_hh_num!G3)</f>
        <v>475689.29610762611</v>
      </c>
      <c r="H3" s="126">
        <f>IF(SER_hh_fec!H3=0,0,11630*1000*SER_hh_fec!H3/SER_hh_num!H3)</f>
        <v>586845.7470007306</v>
      </c>
      <c r="I3" s="126">
        <f>IF(SER_hh_fec!I3=0,0,11630*1000*SER_hh_fec!I3/SER_hh_num!I3)</f>
        <v>492920.83076162264</v>
      </c>
      <c r="J3" s="126">
        <f>IF(SER_hh_fec!J3=0,0,11630*1000*SER_hh_fec!J3/SER_hh_num!J3)</f>
        <v>393420.8690938775</v>
      </c>
      <c r="K3" s="126">
        <f>IF(SER_hh_fec!K3=0,0,11630*1000*SER_hh_fec!K3/SER_hh_num!K3)</f>
        <v>361290.38377059251</v>
      </c>
      <c r="L3" s="126">
        <f>IF(SER_hh_fec!L3=0,0,11630*1000*SER_hh_fec!L3/SER_hh_num!L3)</f>
        <v>369926.25108216918</v>
      </c>
      <c r="M3" s="126">
        <f>IF(SER_hh_fec!M3=0,0,11630*1000*SER_hh_fec!M3/SER_hh_num!M3)</f>
        <v>334097.00679924223</v>
      </c>
      <c r="N3" s="126">
        <f>IF(SER_hh_fec!N3=0,0,11630*1000*SER_hh_fec!N3/SER_hh_num!N3)</f>
        <v>317156.93872128997</v>
      </c>
      <c r="O3" s="126">
        <f>IF(SER_hh_fec!O3=0,0,11630*1000*SER_hh_fec!O3/SER_hh_num!O3)</f>
        <v>294846.63746295904</v>
      </c>
      <c r="P3" s="126">
        <f>IF(SER_hh_fec!P3=0,0,11630*1000*SER_hh_fec!P3/SER_hh_num!P3)</f>
        <v>274888.61724256276</v>
      </c>
      <c r="Q3" s="126">
        <f>IF(SER_hh_fec!Q3=0,0,11630*1000*SER_hh_fec!Q3/SER_hh_num!Q3)</f>
        <v>268168.50161086139</v>
      </c>
      <c r="R3" s="126">
        <f>IF(SER_hh_fec!R3=0,0,11630*1000*SER_hh_fec!R3/SER_hh_num!R3)</f>
        <v>265196.03058217908</v>
      </c>
      <c r="S3" s="126">
        <f>IF(SER_hh_fec!S3=0,0,11630*1000*SER_hh_fec!S3/SER_hh_num!S3)</f>
        <v>267373.14508131641</v>
      </c>
      <c r="T3" s="126">
        <f>IF(SER_hh_fec!T3=0,0,11630*1000*SER_hh_fec!T3/SER_hh_num!T3)</f>
        <v>262322.03630248358</v>
      </c>
      <c r="U3" s="126">
        <f>IF(SER_hh_fec!U3=0,0,11630*1000*SER_hh_fec!U3/SER_hh_num!U3)</f>
        <v>252983.16145053064</v>
      </c>
      <c r="V3" s="126">
        <f>IF(SER_hh_fec!V3=0,0,11630*1000*SER_hh_fec!V3/SER_hh_num!V3)</f>
        <v>227986.7449487515</v>
      </c>
      <c r="W3" s="126">
        <f>IF(SER_hh_fec!W3=0,0,11630*1000*SER_hh_fec!W3/SER_hh_num!W3)</f>
        <v>249009.93976125072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292122.75063197134</v>
      </c>
      <c r="C4" s="131">
        <f>IF(SER_hh_fec!C4=0,0,11630*1000*SER_hh_fec!C4/SER_hh_num!C4)</f>
        <v>388080.21083088021</v>
      </c>
      <c r="D4" s="131">
        <f>IF(SER_hh_fec!D4=0,0,11630*1000*SER_hh_fec!D4/SER_hh_num!D4)</f>
        <v>155734.0789788962</v>
      </c>
      <c r="E4" s="131">
        <f>IF(SER_hh_fec!E4=0,0,11630*1000*SER_hh_fec!E4/SER_hh_num!E4)</f>
        <v>267473.59135335108</v>
      </c>
      <c r="F4" s="131">
        <f>IF(SER_hh_fec!F4=0,0,11630*1000*SER_hh_fec!F4/SER_hh_num!F4)</f>
        <v>286716.95028022822</v>
      </c>
      <c r="G4" s="131">
        <f>IF(SER_hh_fec!G4=0,0,11630*1000*SER_hh_fec!G4/SER_hh_num!G4)</f>
        <v>366311.51890237012</v>
      </c>
      <c r="H4" s="131">
        <f>IF(SER_hh_fec!H4=0,0,11630*1000*SER_hh_fec!H4/SER_hh_num!H4)</f>
        <v>476723.19392043765</v>
      </c>
      <c r="I4" s="131">
        <f>IF(SER_hh_fec!I4=0,0,11630*1000*SER_hh_fec!I4/SER_hh_num!I4)</f>
        <v>380383.74724874157</v>
      </c>
      <c r="J4" s="131">
        <f>IF(SER_hh_fec!J4=0,0,11630*1000*SER_hh_fec!J4/SER_hh_num!J4)</f>
        <v>284908.05261169933</v>
      </c>
      <c r="K4" s="131">
        <f>IF(SER_hh_fec!K4=0,0,11630*1000*SER_hh_fec!K4/SER_hh_num!K4)</f>
        <v>253478.57142817698</v>
      </c>
      <c r="L4" s="131">
        <f>IF(SER_hh_fec!L4=0,0,11630*1000*SER_hh_fec!L4/SER_hh_num!L4)</f>
        <v>263586.53512949421</v>
      </c>
      <c r="M4" s="131">
        <f>IF(SER_hh_fec!M4=0,0,11630*1000*SER_hh_fec!M4/SER_hh_num!M4)</f>
        <v>228187.30588633154</v>
      </c>
      <c r="N4" s="131">
        <f>IF(SER_hh_fec!N4=0,0,11630*1000*SER_hh_fec!N4/SER_hh_num!N4)</f>
        <v>210965.52996124947</v>
      </c>
      <c r="O4" s="131">
        <f>IF(SER_hh_fec!O4=0,0,11630*1000*SER_hh_fec!O4/SER_hh_num!O4)</f>
        <v>187054.07877648177</v>
      </c>
      <c r="P4" s="131">
        <f>IF(SER_hh_fec!P4=0,0,11630*1000*SER_hh_fec!P4/SER_hh_num!P4)</f>
        <v>166580.10932470884</v>
      </c>
      <c r="Q4" s="131">
        <f>IF(SER_hh_fec!Q4=0,0,11630*1000*SER_hh_fec!Q4/SER_hh_num!Q4)</f>
        <v>158569.45145905711</v>
      </c>
      <c r="R4" s="131">
        <f>IF(SER_hh_fec!R4=0,0,11630*1000*SER_hh_fec!R4/SER_hh_num!R4)</f>
        <v>158954.40515995619</v>
      </c>
      <c r="S4" s="131">
        <f>IF(SER_hh_fec!S4=0,0,11630*1000*SER_hh_fec!S4/SER_hh_num!S4)</f>
        <v>163036.29035142265</v>
      </c>
      <c r="T4" s="131">
        <f>IF(SER_hh_fec!T4=0,0,11630*1000*SER_hh_fec!T4/SER_hh_num!T4)</f>
        <v>159901.42662614799</v>
      </c>
      <c r="U4" s="131">
        <f>IF(SER_hh_fec!U4=0,0,11630*1000*SER_hh_fec!U4/SER_hh_num!U4)</f>
        <v>153294.55674029604</v>
      </c>
      <c r="V4" s="131">
        <f>IF(SER_hh_fec!V4=0,0,11630*1000*SER_hh_fec!V4/SER_hh_num!V4)</f>
        <v>136669.26781648997</v>
      </c>
      <c r="W4" s="131">
        <f>IF(SER_hh_fec!W4=0,0,11630*1000*SER_hh_fec!W4/SER_hh_num!W4)</f>
        <v>151333.9210819517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196935.30713878194</v>
      </c>
      <c r="C5" s="133">
        <f>IF(SER_hh_fec!C5=0,0,11630*1000*SER_hh_fec!C5/SER_hh_num!C5)</f>
        <v>411092.76561435341</v>
      </c>
      <c r="D5" s="133">
        <f>IF(SER_hh_fec!D5=0,0,11630*1000*SER_hh_fec!D5/SER_hh_num!D5)</f>
        <v>261932.87535679899</v>
      </c>
      <c r="E5" s="133">
        <f>IF(SER_hh_fec!E5=0,0,11630*1000*SER_hh_fec!E5/SER_hh_num!E5)</f>
        <v>232197.98871666301</v>
      </c>
      <c r="F5" s="133">
        <f>IF(SER_hh_fec!F5=0,0,11630*1000*SER_hh_fec!F5/SER_hh_num!F5)</f>
        <v>163207.39561220503</v>
      </c>
      <c r="G5" s="133">
        <f>IF(SER_hh_fec!G5=0,0,11630*1000*SER_hh_fec!G5/SER_hh_num!G5)</f>
        <v>103255.58698120345</v>
      </c>
      <c r="H5" s="133">
        <f>IF(SER_hh_fec!H5=0,0,11630*1000*SER_hh_fec!H5/SER_hh_num!H5)</f>
        <v>808291.07368598133</v>
      </c>
      <c r="I5" s="133">
        <f>IF(SER_hh_fec!I5=0,0,11630*1000*SER_hh_fec!I5/SER_hh_num!I5)</f>
        <v>481580.89093561942</v>
      </c>
      <c r="J5" s="133">
        <f>IF(SER_hh_fec!J5=0,0,11630*1000*SER_hh_fec!J5/SER_hh_num!J5)</f>
        <v>191275.16142709967</v>
      </c>
      <c r="K5" s="133">
        <f>IF(SER_hh_fec!K5=0,0,11630*1000*SER_hh_fec!K5/SER_hh_num!K5)</f>
        <v>125042.61631194747</v>
      </c>
      <c r="L5" s="133">
        <f>IF(SER_hh_fec!L5=0,0,11630*1000*SER_hh_fec!L5/SER_hh_num!L5)</f>
        <v>308459.46253603988</v>
      </c>
      <c r="M5" s="133">
        <f>IF(SER_hh_fec!M5=0,0,11630*1000*SER_hh_fec!M5/SER_hh_num!M5)</f>
        <v>324577.98530016834</v>
      </c>
      <c r="N5" s="133">
        <f>IF(SER_hh_fec!N5=0,0,11630*1000*SER_hh_fec!N5/SER_hh_num!N5)</f>
        <v>172702.70602172628</v>
      </c>
      <c r="O5" s="133">
        <f>IF(SER_hh_fec!O5=0,0,11630*1000*SER_hh_fec!O5/SER_hh_num!O5)</f>
        <v>223919.22709587301</v>
      </c>
      <c r="P5" s="133">
        <f>IF(SER_hh_fec!P5=0,0,11630*1000*SER_hh_fec!P5/SER_hh_num!P5)</f>
        <v>140464.88576930514</v>
      </c>
      <c r="Q5" s="133">
        <f>IF(SER_hh_fec!Q5=0,0,11630*1000*SER_hh_fec!Q5/SER_hh_num!Q5)</f>
        <v>147039.67347343685</v>
      </c>
      <c r="R5" s="133">
        <f>IF(SER_hh_fec!R5=0,0,11630*1000*SER_hh_fec!R5/SER_hh_num!R5)</f>
        <v>258255.02309545546</v>
      </c>
      <c r="S5" s="133">
        <f>IF(SER_hh_fec!S5=0,0,11630*1000*SER_hh_fec!S5/SER_hh_num!S5)</f>
        <v>0</v>
      </c>
      <c r="T5" s="133">
        <f>IF(SER_hh_fec!T5=0,0,11630*1000*SER_hh_fec!T5/SER_hh_num!T5)</f>
        <v>227131.27903695899</v>
      </c>
      <c r="U5" s="133">
        <f>IF(SER_hh_fec!U5=0,0,11630*1000*SER_hh_fec!U5/SER_hh_num!U5)</f>
        <v>188208.02197916163</v>
      </c>
      <c r="V5" s="133">
        <f>IF(SER_hh_fec!V5=0,0,11630*1000*SER_hh_fec!V5/SER_hh_num!V5)</f>
        <v>64260.860228636877</v>
      </c>
      <c r="W5" s="133">
        <f>IF(SER_hh_fec!W5=0,0,11630*1000*SER_hh_fec!W5/SER_hh_num!W5)</f>
        <v>169963.32477210587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380161.727440571</v>
      </c>
      <c r="C7" s="133">
        <f>IF(SER_hh_fec!C7=0,0,11630*1000*SER_hh_fec!C7/SER_hh_num!C7)</f>
        <v>252352.51706744626</v>
      </c>
      <c r="D7" s="133">
        <f>IF(SER_hh_fec!D7=0,0,11630*1000*SER_hh_fec!D7/SER_hh_num!D7)</f>
        <v>262724.20461681503</v>
      </c>
      <c r="E7" s="133">
        <f>IF(SER_hh_fec!E7=0,0,11630*1000*SER_hh_fec!E7/SER_hh_num!E7)</f>
        <v>235677.59081616634</v>
      </c>
      <c r="F7" s="133">
        <f>IF(SER_hh_fec!F7=0,0,11630*1000*SER_hh_fec!F7/SER_hh_num!F7)</f>
        <v>404177.12036842242</v>
      </c>
      <c r="G7" s="133">
        <f>IF(SER_hh_fec!G7=0,0,11630*1000*SER_hh_fec!G7/SER_hh_num!G7)</f>
        <v>450765.67999987921</v>
      </c>
      <c r="H7" s="133">
        <f>IF(SER_hh_fec!H7=0,0,11630*1000*SER_hh_fec!H7/SER_hh_num!H7)</f>
        <v>323451.04789808975</v>
      </c>
      <c r="I7" s="133">
        <f>IF(SER_hh_fec!I7=0,0,11630*1000*SER_hh_fec!I7/SER_hh_num!I7)</f>
        <v>515646.54868060275</v>
      </c>
      <c r="J7" s="133">
        <f>IF(SER_hh_fec!J7=0,0,11630*1000*SER_hh_fec!J7/SER_hh_num!J7)</f>
        <v>431324.46373812173</v>
      </c>
      <c r="K7" s="133">
        <f>IF(SER_hh_fec!K7=0,0,11630*1000*SER_hh_fec!K7/SER_hh_num!K7)</f>
        <v>202311.56259121269</v>
      </c>
      <c r="L7" s="133">
        <f>IF(SER_hh_fec!L7=0,0,11630*1000*SER_hh_fec!L7/SER_hh_num!L7)</f>
        <v>207491.14349011806</v>
      </c>
      <c r="M7" s="133">
        <f>IF(SER_hh_fec!M7=0,0,11630*1000*SER_hh_fec!M7/SER_hh_num!M7)</f>
        <v>349634.04598470411</v>
      </c>
      <c r="N7" s="133">
        <f>IF(SER_hh_fec!N7=0,0,11630*1000*SER_hh_fec!N7/SER_hh_num!N7)</f>
        <v>272630.77885984804</v>
      </c>
      <c r="O7" s="133">
        <f>IF(SER_hh_fec!O7=0,0,11630*1000*SER_hh_fec!O7/SER_hh_num!O7)</f>
        <v>205402.05742959637</v>
      </c>
      <c r="P7" s="133">
        <f>IF(SER_hh_fec!P7=0,0,11630*1000*SER_hh_fec!P7/SER_hh_num!P7)</f>
        <v>185889.74957062717</v>
      </c>
      <c r="Q7" s="133">
        <f>IF(SER_hh_fec!Q7=0,0,11630*1000*SER_hh_fec!Q7/SER_hh_num!Q7)</f>
        <v>177050.88065201195</v>
      </c>
      <c r="R7" s="133">
        <f>IF(SER_hh_fec!R7=0,0,11630*1000*SER_hh_fec!R7/SER_hh_num!R7)</f>
        <v>158350.33762054628</v>
      </c>
      <c r="S7" s="133">
        <f>IF(SER_hh_fec!S7=0,0,11630*1000*SER_hh_fec!S7/SER_hh_num!S7)</f>
        <v>177277.72080793453</v>
      </c>
      <c r="T7" s="133">
        <f>IF(SER_hh_fec!T7=0,0,11630*1000*SER_hh_fec!T7/SER_hh_num!T7)</f>
        <v>169450.8530581372</v>
      </c>
      <c r="U7" s="133">
        <f>IF(SER_hh_fec!U7=0,0,11630*1000*SER_hh_fec!U7/SER_hh_num!U7)</f>
        <v>152132.04320980428</v>
      </c>
      <c r="V7" s="133">
        <f>IF(SER_hh_fec!V7=0,0,11630*1000*SER_hh_fec!V7/SER_hh_num!V7)</f>
        <v>126027.75859002187</v>
      </c>
      <c r="W7" s="133">
        <f>IF(SER_hh_fec!W7=0,0,11630*1000*SER_hh_fec!W7/SER_hh_num!W7)</f>
        <v>170382.5795676198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283912.6726382199</v>
      </c>
      <c r="C9" s="133">
        <f>IF(SER_hh_fec!C9=0,0,11630*1000*SER_hh_fec!C9/SER_hh_num!C9)</f>
        <v>662938.05715152971</v>
      </c>
      <c r="D9" s="133">
        <f>IF(SER_hh_fec!D9=0,0,11630*1000*SER_hh_fec!D9/SER_hh_num!D9)</f>
        <v>59215.614711505361</v>
      </c>
      <c r="E9" s="133">
        <f>IF(SER_hh_fec!E9=0,0,11630*1000*SER_hh_fec!E9/SER_hh_num!E9)</f>
        <v>313798.86828030826</v>
      </c>
      <c r="F9" s="133">
        <f>IF(SER_hh_fec!F9=0,0,11630*1000*SER_hh_fec!F9/SER_hh_num!F9)</f>
        <v>309469.36131942563</v>
      </c>
      <c r="G9" s="133">
        <f>IF(SER_hh_fec!G9=0,0,11630*1000*SER_hh_fec!G9/SER_hh_num!G9)</f>
        <v>309085.27044491383</v>
      </c>
      <c r="H9" s="133">
        <f>IF(SER_hh_fec!H9=0,0,11630*1000*SER_hh_fec!H9/SER_hh_num!H9)</f>
        <v>578100.56464306882</v>
      </c>
      <c r="I9" s="133">
        <f>IF(SER_hh_fec!I9=0,0,11630*1000*SER_hh_fec!I9/SER_hh_num!I9)</f>
        <v>376551.6155739614</v>
      </c>
      <c r="J9" s="133">
        <f>IF(SER_hh_fec!J9=0,0,11630*1000*SER_hh_fec!J9/SER_hh_num!J9)</f>
        <v>255883.44310055298</v>
      </c>
      <c r="K9" s="133">
        <f>IF(SER_hh_fec!K9=0,0,11630*1000*SER_hh_fec!K9/SER_hh_num!K9)</f>
        <v>285847.05956177105</v>
      </c>
      <c r="L9" s="133">
        <f>IF(SER_hh_fec!L9=0,0,11630*1000*SER_hh_fec!L9/SER_hh_num!L9)</f>
        <v>283569.48837651114</v>
      </c>
      <c r="M9" s="133">
        <f>IF(SER_hh_fec!M9=0,0,11630*1000*SER_hh_fec!M9/SER_hh_num!M9)</f>
        <v>213469.02365645231</v>
      </c>
      <c r="N9" s="133">
        <f>IF(SER_hh_fec!N9=0,0,11630*1000*SER_hh_fec!N9/SER_hh_num!N9)</f>
        <v>211468.38662876896</v>
      </c>
      <c r="O9" s="133">
        <f>IF(SER_hh_fec!O9=0,0,11630*1000*SER_hh_fec!O9/SER_hh_num!O9)</f>
        <v>197460.48498480814</v>
      </c>
      <c r="P9" s="133">
        <f>IF(SER_hh_fec!P9=0,0,11630*1000*SER_hh_fec!P9/SER_hh_num!P9)</f>
        <v>179130.89489441024</v>
      </c>
      <c r="Q9" s="133">
        <f>IF(SER_hh_fec!Q9=0,0,11630*1000*SER_hh_fec!Q9/SER_hh_num!Q9)</f>
        <v>157600.66405485308</v>
      </c>
      <c r="R9" s="133">
        <f>IF(SER_hh_fec!R9=0,0,11630*1000*SER_hh_fec!R9/SER_hh_num!R9)</f>
        <v>155802.04690628833</v>
      </c>
      <c r="S9" s="133">
        <f>IF(SER_hh_fec!S9=0,0,11630*1000*SER_hh_fec!S9/SER_hh_num!S9)</f>
        <v>162574.6764317101</v>
      </c>
      <c r="T9" s="133">
        <f>IF(SER_hh_fec!T9=0,0,11630*1000*SER_hh_fec!T9/SER_hh_num!T9)</f>
        <v>158472.79082377831</v>
      </c>
      <c r="U9" s="133">
        <f>IF(SER_hh_fec!U9=0,0,11630*1000*SER_hh_fec!U9/SER_hh_num!U9)</f>
        <v>153258.90024052397</v>
      </c>
      <c r="V9" s="133">
        <f>IF(SER_hh_fec!V9=0,0,11630*1000*SER_hh_fec!V9/SER_hh_num!V9)</f>
        <v>140590.82264666271</v>
      </c>
      <c r="W9" s="133">
        <f>IF(SER_hh_fec!W9=0,0,11630*1000*SER_hh_fec!W9/SER_hh_num!W9)</f>
        <v>140125.22281790074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335391.69532389578</v>
      </c>
      <c r="D10" s="133">
        <f>IF(SER_hh_fec!D10=0,0,11630*1000*SER_hh_fec!D10/SER_hh_num!D10)</f>
        <v>255774.40061424041</v>
      </c>
      <c r="E10" s="133">
        <f>IF(SER_hh_fec!E10=0,0,11630*1000*SER_hh_fec!E10/SER_hh_num!E10)</f>
        <v>258559.62278185054</v>
      </c>
      <c r="F10" s="133">
        <f>IF(SER_hh_fec!F10=0,0,11630*1000*SER_hh_fec!F10/SER_hh_num!F10)</f>
        <v>240794.73211865427</v>
      </c>
      <c r="G10" s="133">
        <f>IF(SER_hh_fec!G10=0,0,11630*1000*SER_hh_fec!G10/SER_hh_num!G10)</f>
        <v>439974.12303380098</v>
      </c>
      <c r="H10" s="133">
        <f>IF(SER_hh_fec!H10=0,0,11630*1000*SER_hh_fec!H10/SER_hh_num!H10)</f>
        <v>452811.12089428498</v>
      </c>
      <c r="I10" s="133">
        <f>IF(SER_hh_fec!I10=0,0,11630*1000*SER_hh_fec!I10/SER_hh_num!I10)</f>
        <v>377203.28911202436</v>
      </c>
      <c r="J10" s="133">
        <f>IF(SER_hh_fec!J10=0,0,11630*1000*SER_hh_fec!J10/SER_hh_num!J10)</f>
        <v>334081.78445787699</v>
      </c>
      <c r="K10" s="133">
        <f>IF(SER_hh_fec!K10=0,0,11630*1000*SER_hh_fec!K10/SER_hh_num!K10)</f>
        <v>300418.30824220384</v>
      </c>
      <c r="L10" s="133">
        <f>IF(SER_hh_fec!L10=0,0,11630*1000*SER_hh_fec!L10/SER_hh_num!L10)</f>
        <v>344778.8487060889</v>
      </c>
      <c r="M10" s="133">
        <f>IF(SER_hh_fec!M10=0,0,11630*1000*SER_hh_fec!M10/SER_hh_num!M10)</f>
        <v>205448.29308834611</v>
      </c>
      <c r="N10" s="133">
        <f>IF(SER_hh_fec!N10=0,0,11630*1000*SER_hh_fec!N10/SER_hh_num!N10)</f>
        <v>235764.73762717115</v>
      </c>
      <c r="O10" s="133">
        <f>IF(SER_hh_fec!O10=0,0,11630*1000*SER_hh_fec!O10/SER_hh_num!O10)</f>
        <v>175353.77457627206</v>
      </c>
      <c r="P10" s="133">
        <f>IF(SER_hh_fec!P10=0,0,11630*1000*SER_hh_fec!P10/SER_hh_num!P10)</f>
        <v>137386.78246505244</v>
      </c>
      <c r="Q10" s="133">
        <f>IF(SER_hh_fec!Q10=0,0,11630*1000*SER_hh_fec!Q10/SER_hh_num!Q10)</f>
        <v>219639.37627269953</v>
      </c>
      <c r="R10" s="133">
        <f>IF(SER_hh_fec!R10=0,0,11630*1000*SER_hh_fec!R10/SER_hh_num!R10)</f>
        <v>224768.20687196832</v>
      </c>
      <c r="S10" s="133">
        <f>IF(SER_hh_fec!S10=0,0,11630*1000*SER_hh_fec!S10/SER_hh_num!S10)</f>
        <v>189547.16615038749</v>
      </c>
      <c r="T10" s="133">
        <f>IF(SER_hh_fec!T10=0,0,11630*1000*SER_hh_fec!T10/SER_hh_num!T10)</f>
        <v>187182.07213844292</v>
      </c>
      <c r="U10" s="133">
        <f>IF(SER_hh_fec!U10=0,0,11630*1000*SER_hh_fec!U10/SER_hh_num!U10)</f>
        <v>197206.02088703393</v>
      </c>
      <c r="V10" s="133">
        <f>IF(SER_hh_fec!V10=0,0,11630*1000*SER_hh_fec!V10/SER_hh_num!V10)</f>
        <v>168057.28800751819</v>
      </c>
      <c r="W10" s="133">
        <f>IF(SER_hh_fec!W10=0,0,11630*1000*SER_hh_fec!W10/SER_hh_num!W10)</f>
        <v>192081.40261575635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311697.30712640437</v>
      </c>
      <c r="C11" s="133">
        <f>IF(SER_hh_fec!C11=0,0,11630*1000*SER_hh_fec!C11/SER_hh_num!C11)</f>
        <v>99252.973281777522</v>
      </c>
      <c r="D11" s="133">
        <f>IF(SER_hh_fec!D11=0,0,11630*1000*SER_hh_fec!D11/SER_hh_num!D11)</f>
        <v>183667.24123645257</v>
      </c>
      <c r="E11" s="133">
        <f>IF(SER_hh_fec!E11=0,0,11630*1000*SER_hh_fec!E11/SER_hh_num!E11)</f>
        <v>223505.69122591056</v>
      </c>
      <c r="F11" s="133">
        <f>IF(SER_hh_fec!F11=0,0,11630*1000*SER_hh_fec!F11/SER_hh_num!F11)</f>
        <v>152073.6897422442</v>
      </c>
      <c r="G11" s="133">
        <f>IF(SER_hh_fec!G11=0,0,11630*1000*SER_hh_fec!G11/SER_hh_num!G11)</f>
        <v>340856.42125553981</v>
      </c>
      <c r="H11" s="133">
        <f>IF(SER_hh_fec!H11=0,0,11630*1000*SER_hh_fec!H11/SER_hh_num!H11)</f>
        <v>225470.22675995663</v>
      </c>
      <c r="I11" s="133">
        <f>IF(SER_hh_fec!I11=0,0,11630*1000*SER_hh_fec!I11/SER_hh_num!I11)</f>
        <v>194941.4528992511</v>
      </c>
      <c r="J11" s="133">
        <f>IF(SER_hh_fec!J11=0,0,11630*1000*SER_hh_fec!J11/SER_hh_num!J11)</f>
        <v>301059.99501134927</v>
      </c>
      <c r="K11" s="133">
        <f>IF(SER_hh_fec!K11=0,0,11630*1000*SER_hh_fec!K11/SER_hh_num!K11)</f>
        <v>257820.37818490446</v>
      </c>
      <c r="L11" s="133">
        <f>IF(SER_hh_fec!L11=0,0,11630*1000*SER_hh_fec!L11/SER_hh_num!L11)</f>
        <v>99278.925519022057</v>
      </c>
      <c r="M11" s="133">
        <f>IF(SER_hh_fec!M11=0,0,11630*1000*SER_hh_fec!M11/SER_hh_num!M11)</f>
        <v>173112.23664342065</v>
      </c>
      <c r="N11" s="133">
        <f>IF(SER_hh_fec!N11=0,0,11630*1000*SER_hh_fec!N11/SER_hh_num!N11)</f>
        <v>144127.95871171926</v>
      </c>
      <c r="O11" s="133">
        <f>IF(SER_hh_fec!O11=0,0,11630*1000*SER_hh_fec!O11/SER_hh_num!O11)</f>
        <v>155385.59403502385</v>
      </c>
      <c r="P11" s="133">
        <f>IF(SER_hh_fec!P11=0,0,11630*1000*SER_hh_fec!P11/SER_hh_num!P11)</f>
        <v>142302.89194360352</v>
      </c>
      <c r="Q11" s="133">
        <f>IF(SER_hh_fec!Q11=0,0,11630*1000*SER_hh_fec!Q11/SER_hh_num!Q11)</f>
        <v>120826.45825510952</v>
      </c>
      <c r="R11" s="133">
        <f>IF(SER_hh_fec!R11=0,0,11630*1000*SER_hh_fec!R11/SER_hh_num!R11)</f>
        <v>130106.77451598075</v>
      </c>
      <c r="S11" s="133">
        <f>IF(SER_hh_fec!S11=0,0,11630*1000*SER_hh_fec!S11/SER_hh_num!S11)</f>
        <v>139358.18208785253</v>
      </c>
      <c r="T11" s="133">
        <f>IF(SER_hh_fec!T11=0,0,11630*1000*SER_hh_fec!T11/SER_hh_num!T11)</f>
        <v>141357.26229560369</v>
      </c>
      <c r="U11" s="133">
        <f>IF(SER_hh_fec!U11=0,0,11630*1000*SER_hh_fec!U11/SER_hh_num!U11)</f>
        <v>163272.44375165948</v>
      </c>
      <c r="V11" s="133">
        <f>IF(SER_hh_fec!V11=0,0,11630*1000*SER_hh_fec!V11/SER_hh_num!V11)</f>
        <v>74576.882780339816</v>
      </c>
      <c r="W11" s="133">
        <f>IF(SER_hh_fec!W11=0,0,11630*1000*SER_hh_fec!W11/SER_hh_num!W11)</f>
        <v>121205.05579051745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290544.65547454834</v>
      </c>
      <c r="C12" s="133">
        <f>IF(SER_hh_fec!C12=0,0,11630*1000*SER_hh_fec!C12/SER_hh_num!C12)</f>
        <v>252657.75024748169</v>
      </c>
      <c r="D12" s="133">
        <f>IF(SER_hh_fec!D12=0,0,11630*1000*SER_hh_fec!D12/SER_hh_num!D12)</f>
        <v>118456.37194667691</v>
      </c>
      <c r="E12" s="133">
        <f>IF(SER_hh_fec!E12=0,0,11630*1000*SER_hh_fec!E12/SER_hh_num!E12)</f>
        <v>173342.49692418703</v>
      </c>
      <c r="F12" s="133">
        <f>IF(SER_hh_fec!F12=0,0,11630*1000*SER_hh_fec!F12/SER_hh_num!F12)</f>
        <v>132839.16818165293</v>
      </c>
      <c r="G12" s="133">
        <f>IF(SER_hh_fec!G12=0,0,11630*1000*SER_hh_fec!G12/SER_hh_num!G12)</f>
        <v>389982.9840310968</v>
      </c>
      <c r="H12" s="133">
        <f>IF(SER_hh_fec!H12=0,0,11630*1000*SER_hh_fec!H12/SER_hh_num!H12)</f>
        <v>318058.09439603653</v>
      </c>
      <c r="I12" s="133">
        <f>IF(SER_hh_fec!I12=0,0,11630*1000*SER_hh_fec!I12/SER_hh_num!I12)</f>
        <v>262947.06136866042</v>
      </c>
      <c r="J12" s="133">
        <f>IF(SER_hh_fec!J12=0,0,11630*1000*SER_hh_fec!J12/SER_hh_num!J12)</f>
        <v>254654.1499383316</v>
      </c>
      <c r="K12" s="133">
        <f>IF(SER_hh_fec!K12=0,0,11630*1000*SER_hh_fec!K12/SER_hh_num!K12)</f>
        <v>192153.52246219479</v>
      </c>
      <c r="L12" s="133">
        <f>IF(SER_hh_fec!L12=0,0,11630*1000*SER_hh_fec!L12/SER_hh_num!L12)</f>
        <v>196500.28842422142</v>
      </c>
      <c r="M12" s="133">
        <f>IF(SER_hh_fec!M12=0,0,11630*1000*SER_hh_fec!M12/SER_hh_num!M12)</f>
        <v>184070.624501774</v>
      </c>
      <c r="N12" s="133">
        <f>IF(SER_hh_fec!N12=0,0,11630*1000*SER_hh_fec!N12/SER_hh_num!N12)</f>
        <v>174966.65148060079</v>
      </c>
      <c r="O12" s="133">
        <f>IF(SER_hh_fec!O12=0,0,11630*1000*SER_hh_fec!O12/SER_hh_num!O12)</f>
        <v>157475.7447205717</v>
      </c>
      <c r="P12" s="133">
        <f>IF(SER_hh_fec!P12=0,0,11630*1000*SER_hh_fec!P12/SER_hh_num!P12)</f>
        <v>128823.63008000348</v>
      </c>
      <c r="Q12" s="133">
        <f>IF(SER_hh_fec!Q12=0,0,11630*1000*SER_hh_fec!Q12/SER_hh_num!Q12)</f>
        <v>127274.19332447089</v>
      </c>
      <c r="R12" s="133">
        <f>IF(SER_hh_fec!R12=0,0,11630*1000*SER_hh_fec!R12/SER_hh_num!R12)</f>
        <v>135938.91762316183</v>
      </c>
      <c r="S12" s="133">
        <f>IF(SER_hh_fec!S12=0,0,11630*1000*SER_hh_fec!S12/SER_hh_num!S12)</f>
        <v>133277.43889465355</v>
      </c>
      <c r="T12" s="133">
        <f>IF(SER_hh_fec!T12=0,0,11630*1000*SER_hh_fec!T12/SER_hh_num!T12)</f>
        <v>133887.56378280517</v>
      </c>
      <c r="U12" s="133">
        <f>IF(SER_hh_fec!U12=0,0,11630*1000*SER_hh_fec!U12/SER_hh_num!U12)</f>
        <v>123155.2687239498</v>
      </c>
      <c r="V12" s="133">
        <f>IF(SER_hh_fec!V12=0,0,11630*1000*SER_hh_fec!V12/SER_hh_num!V12)</f>
        <v>121767.60856155967</v>
      </c>
      <c r="W12" s="133">
        <f>IF(SER_hh_fec!W12=0,0,11630*1000*SER_hh_fec!W12/SER_hh_num!W12)</f>
        <v>125066.73755670043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0</v>
      </c>
      <c r="C13" s="133">
        <f>IF(SER_hh_fec!C13=0,0,11630*1000*SER_hh_fec!C13/SER_hh_num!C13)</f>
        <v>0</v>
      </c>
      <c r="D13" s="133">
        <f>IF(SER_hh_fec!D13=0,0,11630*1000*SER_hh_fec!D13/SER_hh_num!D13)</f>
        <v>0</v>
      </c>
      <c r="E13" s="133">
        <f>IF(SER_hh_fec!E13=0,0,11630*1000*SER_hh_fec!E13/SER_hh_num!E13)</f>
        <v>0</v>
      </c>
      <c r="F13" s="133">
        <f>IF(SER_hh_fec!F13=0,0,11630*1000*SER_hh_fec!F13/SER_hh_num!F13)</f>
        <v>0</v>
      </c>
      <c r="G13" s="133">
        <f>IF(SER_hh_fec!G13=0,0,11630*1000*SER_hh_fec!G13/SER_hh_num!G13)</f>
        <v>0</v>
      </c>
      <c r="H13" s="133">
        <f>IF(SER_hh_fec!H13=0,0,11630*1000*SER_hh_fec!H13/SER_hh_num!H13)</f>
        <v>0</v>
      </c>
      <c r="I13" s="133">
        <f>IF(SER_hh_fec!I13=0,0,11630*1000*SER_hh_fec!I13/SER_hh_num!I13)</f>
        <v>0</v>
      </c>
      <c r="J13" s="133">
        <f>IF(SER_hh_fec!J13=0,0,11630*1000*SER_hh_fec!J13/SER_hh_num!J13)</f>
        <v>0</v>
      </c>
      <c r="K13" s="133">
        <f>IF(SER_hh_fec!K13=0,0,11630*1000*SER_hh_fec!K13/SER_hh_num!K13)</f>
        <v>0</v>
      </c>
      <c r="L13" s="133">
        <f>IF(SER_hh_fec!L13=0,0,11630*1000*SER_hh_fec!L13/SER_hh_num!L13)</f>
        <v>0</v>
      </c>
      <c r="M13" s="133">
        <f>IF(SER_hh_fec!M13=0,0,11630*1000*SER_hh_fec!M13/SER_hh_num!M13)</f>
        <v>0</v>
      </c>
      <c r="N13" s="133">
        <f>IF(SER_hh_fec!N13=0,0,11630*1000*SER_hh_fec!N13/SER_hh_num!N13)</f>
        <v>0</v>
      </c>
      <c r="O13" s="133">
        <f>IF(SER_hh_fec!O13=0,0,11630*1000*SER_hh_fec!O13/SER_hh_num!O13)</f>
        <v>0</v>
      </c>
      <c r="P13" s="133">
        <f>IF(SER_hh_fec!P13=0,0,11630*1000*SER_hh_fec!P13/SER_hh_num!P13)</f>
        <v>0</v>
      </c>
      <c r="Q13" s="133">
        <f>IF(SER_hh_fec!Q13=0,0,11630*1000*SER_hh_fec!Q13/SER_hh_num!Q13)</f>
        <v>0</v>
      </c>
      <c r="R13" s="133">
        <f>IF(SER_hh_fec!R13=0,0,11630*1000*SER_hh_fec!R13/SER_hh_num!R13)</f>
        <v>0</v>
      </c>
      <c r="S13" s="133">
        <f>IF(SER_hh_fec!S13=0,0,11630*1000*SER_hh_fec!S13/SER_hh_num!S13)</f>
        <v>0</v>
      </c>
      <c r="T13" s="133">
        <f>IF(SER_hh_fec!T13=0,0,11630*1000*SER_hh_fec!T13/SER_hh_num!T13)</f>
        <v>0</v>
      </c>
      <c r="U13" s="133">
        <f>IF(SER_hh_fec!U13=0,0,11630*1000*SER_hh_fec!U13/SER_hh_num!U13)</f>
        <v>0</v>
      </c>
      <c r="V13" s="133">
        <f>IF(SER_hh_fec!V13=0,0,11630*1000*SER_hh_fec!V13/SER_hh_num!V13)</f>
        <v>0</v>
      </c>
      <c r="W13" s="133">
        <f>IF(SER_hh_fec!W13=0,0,11630*1000*SER_hh_fec!W13/SER_hh_num!W13)</f>
        <v>0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268032.41807126207</v>
      </c>
      <c r="C14" s="65">
        <f>IF(SER_hh_fec!C14=0,0,11630*1000*SER_hh_fec!C14/SER_hh_num!C14)</f>
        <v>477844.62855226948</v>
      </c>
      <c r="D14" s="65">
        <f>IF(SER_hh_fec!D14=0,0,11630*1000*SER_hh_fec!D14/SER_hh_num!D14)</f>
        <v>4509.0914224812677</v>
      </c>
      <c r="E14" s="65">
        <f>IF(SER_hh_fec!E14=0,0,11630*1000*SER_hh_fec!E14/SER_hh_num!E14)</f>
        <v>400491.93014964228</v>
      </c>
      <c r="F14" s="65">
        <f>IF(SER_hh_fec!F14=0,0,11630*1000*SER_hh_fec!F14/SER_hh_num!F14)</f>
        <v>20894.782990258562</v>
      </c>
      <c r="G14" s="65">
        <f>IF(SER_hh_fec!G14=0,0,11630*1000*SER_hh_fec!G14/SER_hh_num!G14)</f>
        <v>282268.17556594021</v>
      </c>
      <c r="H14" s="65">
        <f>IF(SER_hh_fec!H14=0,0,11630*1000*SER_hh_fec!H14/SER_hh_num!H14)</f>
        <v>315296.10244674247</v>
      </c>
      <c r="I14" s="65">
        <f>IF(SER_hh_fec!I14=0,0,11630*1000*SER_hh_fec!I14/SER_hh_num!I14)</f>
        <v>415292.98871266673</v>
      </c>
      <c r="J14" s="65">
        <f>IF(SER_hh_fec!J14=0,0,11630*1000*SER_hh_fec!J14/SER_hh_num!J14)</f>
        <v>218058.34330428587</v>
      </c>
      <c r="K14" s="65">
        <f>IF(SER_hh_fec!K14=0,0,11630*1000*SER_hh_fec!K14/SER_hh_num!K14)</f>
        <v>179848.46233168096</v>
      </c>
      <c r="L14" s="65">
        <f>IF(SER_hh_fec!L14=0,0,11630*1000*SER_hh_fec!L14/SER_hh_num!L14)</f>
        <v>297646.49354646687</v>
      </c>
      <c r="M14" s="65">
        <f>IF(SER_hh_fec!M14=0,0,11630*1000*SER_hh_fec!M14/SER_hh_num!M14)</f>
        <v>240309.61007791173</v>
      </c>
      <c r="N14" s="65">
        <f>IF(SER_hh_fec!N14=0,0,11630*1000*SER_hh_fec!N14/SER_hh_num!N14)</f>
        <v>170131.08367044126</v>
      </c>
      <c r="O14" s="65">
        <f>IF(SER_hh_fec!O14=0,0,11630*1000*SER_hh_fec!O14/SER_hh_num!O14)</f>
        <v>139229.16041812595</v>
      </c>
      <c r="P14" s="65">
        <f>IF(SER_hh_fec!P14=0,0,11630*1000*SER_hh_fec!P14/SER_hh_num!P14)</f>
        <v>145417.80994014617</v>
      </c>
      <c r="Q14" s="65">
        <f>IF(SER_hh_fec!Q14=0,0,11630*1000*SER_hh_fec!Q14/SER_hh_num!Q14)</f>
        <v>88437.204419374</v>
      </c>
      <c r="R14" s="65">
        <f>IF(SER_hh_fec!R14=0,0,11630*1000*SER_hh_fec!R14/SER_hh_num!R14)</f>
        <v>127670.03138581851</v>
      </c>
      <c r="S14" s="65">
        <f>IF(SER_hh_fec!S14=0,0,11630*1000*SER_hh_fec!S14/SER_hh_num!S14)</f>
        <v>142864.15266101161</v>
      </c>
      <c r="T14" s="65">
        <f>IF(SER_hh_fec!T14=0,0,11630*1000*SER_hh_fec!T14/SER_hh_num!T14)</f>
        <v>149591.56686074677</v>
      </c>
      <c r="U14" s="65">
        <f>IF(SER_hh_fec!U14=0,0,11630*1000*SER_hh_fec!U14/SER_hh_num!U14)</f>
        <v>144422.29165227804</v>
      </c>
      <c r="V14" s="65">
        <f>IF(SER_hh_fec!V14=0,0,11630*1000*SER_hh_fec!V14/SER_hh_num!V14)</f>
        <v>127234.15869533207</v>
      </c>
      <c r="W14" s="65">
        <f>IF(SER_hh_fec!W14=0,0,11630*1000*SER_hh_fec!W14/SER_hh_num!W14)</f>
        <v>145996.34228790118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1747.2589623826191</v>
      </c>
      <c r="C15" s="135">
        <f>IF(SER_hh_fec!C15=0,0,11630*1000*SER_hh_fec!C15/SER_hh_num!C15)</f>
        <v>2700.6048660527749</v>
      </c>
      <c r="D15" s="135">
        <f>IF(SER_hh_fec!D15=0,0,11630*1000*SER_hh_fec!D15/SER_hh_num!D15)</f>
        <v>1176.8167553989185</v>
      </c>
      <c r="E15" s="135">
        <f>IF(SER_hh_fec!E15=0,0,11630*1000*SER_hh_fec!E15/SER_hh_num!E15)</f>
        <v>2037.8062957608495</v>
      </c>
      <c r="F15" s="135">
        <f>IF(SER_hh_fec!F15=0,0,11630*1000*SER_hh_fec!F15/SER_hh_num!F15)</f>
        <v>2550.2565171044412</v>
      </c>
      <c r="G15" s="135">
        <f>IF(SER_hh_fec!G15=0,0,11630*1000*SER_hh_fec!G15/SER_hh_num!G15)</f>
        <v>2874.5448353425854</v>
      </c>
      <c r="H15" s="135">
        <f>IF(SER_hh_fec!H15=0,0,11630*1000*SER_hh_fec!H15/SER_hh_num!H15)</f>
        <v>4209.1121792978483</v>
      </c>
      <c r="I15" s="135">
        <f>IF(SER_hh_fec!I15=0,0,11630*1000*SER_hh_fec!I15/SER_hh_num!I15)</f>
        <v>3164.3791378915266</v>
      </c>
      <c r="J15" s="135">
        <f>IF(SER_hh_fec!J15=0,0,11630*1000*SER_hh_fec!J15/SER_hh_num!J15)</f>
        <v>2276.4751066112208</v>
      </c>
      <c r="K15" s="135">
        <f>IF(SER_hh_fec!K15=0,0,11630*1000*SER_hh_fec!K15/SER_hh_num!K15)</f>
        <v>2112.6141560189872</v>
      </c>
      <c r="L15" s="135">
        <f>IF(SER_hh_fec!L15=0,0,11630*1000*SER_hh_fec!L15/SER_hh_num!L15)</f>
        <v>2101.206670929128</v>
      </c>
      <c r="M15" s="135">
        <f>IF(SER_hh_fec!M15=0,0,11630*1000*SER_hh_fec!M15/SER_hh_num!M15)</f>
        <v>1815.5022172803897</v>
      </c>
      <c r="N15" s="135">
        <f>IF(SER_hh_fec!N15=0,0,11630*1000*SER_hh_fec!N15/SER_hh_num!N15)</f>
        <v>1707.8246325240589</v>
      </c>
      <c r="O15" s="135">
        <f>IF(SER_hh_fec!O15=0,0,11630*1000*SER_hh_fec!O15/SER_hh_num!O15)</f>
        <v>1536.135107773727</v>
      </c>
      <c r="P15" s="135">
        <f>IF(SER_hh_fec!P15=0,0,11630*1000*SER_hh_fec!P15/SER_hh_num!P15)</f>
        <v>1384.3857945043615</v>
      </c>
      <c r="Q15" s="135">
        <f>IF(SER_hh_fec!Q15=0,0,11630*1000*SER_hh_fec!Q15/SER_hh_num!Q15)</f>
        <v>1282.0493881858408</v>
      </c>
      <c r="R15" s="135">
        <f>IF(SER_hh_fec!R15=0,0,11630*1000*SER_hh_fec!R15/SER_hh_num!R15)</f>
        <v>1276.3773203842861</v>
      </c>
      <c r="S15" s="135">
        <f>IF(SER_hh_fec!S15=0,0,11630*1000*SER_hh_fec!S15/SER_hh_num!S15)</f>
        <v>1381.8884642113794</v>
      </c>
      <c r="T15" s="135">
        <f>IF(SER_hh_fec!T15=0,0,11630*1000*SER_hh_fec!T15/SER_hh_num!T15)</f>
        <v>1394.0812992804399</v>
      </c>
      <c r="U15" s="135">
        <f>IF(SER_hh_fec!U15=0,0,11630*1000*SER_hh_fec!U15/SER_hh_num!U15)</f>
        <v>1369.1271072659849</v>
      </c>
      <c r="V15" s="135">
        <f>IF(SER_hh_fec!V15=0,0,11630*1000*SER_hh_fec!V15/SER_hh_num!V15)</f>
        <v>1249.8268190986792</v>
      </c>
      <c r="W15" s="135">
        <f>IF(SER_hh_fec!W15=0,0,11630*1000*SER_hh_fec!W15/SER_hh_num!W15)</f>
        <v>1409.0998407712561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17382.471003500381</v>
      </c>
      <c r="C16" s="131">
        <f>IF(SER_hh_fec!C16=0,0,11630*1000*SER_hh_fec!C16/SER_hh_num!C16)</f>
        <v>13468.903237658818</v>
      </c>
      <c r="D16" s="131">
        <f>IF(SER_hh_fec!D16=0,0,11630*1000*SER_hh_fec!D16/SER_hh_num!D16)</f>
        <v>12562.300567417968</v>
      </c>
      <c r="E16" s="131">
        <f>IF(SER_hh_fec!E16=0,0,11630*1000*SER_hh_fec!E16/SER_hh_num!E16)</f>
        <v>12501.446253434806</v>
      </c>
      <c r="F16" s="131">
        <f>IF(SER_hh_fec!F16=0,0,11630*1000*SER_hh_fec!F16/SER_hh_num!F16)</f>
        <v>10726.258122768033</v>
      </c>
      <c r="G16" s="131">
        <f>IF(SER_hh_fec!G16=0,0,11630*1000*SER_hh_fec!G16/SER_hh_num!G16)</f>
        <v>10655.347821393854</v>
      </c>
      <c r="H16" s="131">
        <f>IF(SER_hh_fec!H16=0,0,11630*1000*SER_hh_fec!H16/SER_hh_num!H16)</f>
        <v>11179.813017845921</v>
      </c>
      <c r="I16" s="131">
        <f>IF(SER_hh_fec!I16=0,0,11630*1000*SER_hh_fec!I16/SER_hh_num!I16)</f>
        <v>14540.884886883934</v>
      </c>
      <c r="J16" s="131">
        <f>IF(SER_hh_fec!J16=0,0,11630*1000*SER_hh_fec!J16/SER_hh_num!J16)</f>
        <v>11276.378025968008</v>
      </c>
      <c r="K16" s="131">
        <f>IF(SER_hh_fec!K16=0,0,11630*1000*SER_hh_fec!K16/SER_hh_num!K16)</f>
        <v>10511.797937085525</v>
      </c>
      <c r="L16" s="131">
        <f>IF(SER_hh_fec!L16=0,0,11630*1000*SER_hh_fec!L16/SER_hh_num!L16)</f>
        <v>12160.229926344629</v>
      </c>
      <c r="M16" s="131">
        <f>IF(SER_hh_fec!M16=0,0,11630*1000*SER_hh_fec!M16/SER_hh_num!M16)</f>
        <v>10128.911222669718</v>
      </c>
      <c r="N16" s="131">
        <f>IF(SER_hh_fec!N16=0,0,11630*1000*SER_hh_fec!N16/SER_hh_num!N16)</f>
        <v>14984.336550150625</v>
      </c>
      <c r="O16" s="131">
        <f>IF(SER_hh_fec!O16=0,0,11630*1000*SER_hh_fec!O16/SER_hh_num!O16)</f>
        <v>9934.7152547752012</v>
      </c>
      <c r="P16" s="131">
        <f>IF(SER_hh_fec!P16=0,0,11630*1000*SER_hh_fec!P16/SER_hh_num!P16)</f>
        <v>9055.0712593715452</v>
      </c>
      <c r="Q16" s="131">
        <f>IF(SER_hh_fec!Q16=0,0,11630*1000*SER_hh_fec!Q16/SER_hh_num!Q16)</f>
        <v>11554.815108389093</v>
      </c>
      <c r="R16" s="131">
        <f>IF(SER_hh_fec!R16=0,0,11630*1000*SER_hh_fec!R16/SER_hh_num!R16)</f>
        <v>9613.4695708493527</v>
      </c>
      <c r="S16" s="131">
        <f>IF(SER_hh_fec!S16=0,0,11630*1000*SER_hh_fec!S16/SER_hh_num!S16)</f>
        <v>10084.343431921812</v>
      </c>
      <c r="T16" s="131">
        <f>IF(SER_hh_fec!T16=0,0,11630*1000*SER_hh_fec!T16/SER_hh_num!T16)</f>
        <v>8611.3517007008977</v>
      </c>
      <c r="U16" s="131">
        <f>IF(SER_hh_fec!U16=0,0,11630*1000*SER_hh_fec!U16/SER_hh_num!U16)</f>
        <v>9428.635442543733</v>
      </c>
      <c r="V16" s="131">
        <f>IF(SER_hh_fec!V16=0,0,11630*1000*SER_hh_fec!V16/SER_hh_num!V16)</f>
        <v>8548.1526144317795</v>
      </c>
      <c r="W16" s="131">
        <f>IF(SER_hh_fec!W16=0,0,11630*1000*SER_hh_fec!W16/SER_hh_num!W16)</f>
        <v>9525.3327978530124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17382.471003500381</v>
      </c>
      <c r="C18" s="133">
        <f>IF(SER_hh_fec!C18=0,0,11630*1000*SER_hh_fec!C18/SER_hh_num!C18)</f>
        <v>13468.903237658818</v>
      </c>
      <c r="D18" s="133">
        <f>IF(SER_hh_fec!D18=0,0,11630*1000*SER_hh_fec!D18/SER_hh_num!D18)</f>
        <v>12562.300567417968</v>
      </c>
      <c r="E18" s="133">
        <f>IF(SER_hh_fec!E18=0,0,11630*1000*SER_hh_fec!E18/SER_hh_num!E18)</f>
        <v>12501.446253434806</v>
      </c>
      <c r="F18" s="133">
        <f>IF(SER_hh_fec!F18=0,0,11630*1000*SER_hh_fec!F18/SER_hh_num!F18)</f>
        <v>10726.258122768033</v>
      </c>
      <c r="G18" s="133">
        <f>IF(SER_hh_fec!G18=0,0,11630*1000*SER_hh_fec!G18/SER_hh_num!G18)</f>
        <v>10655.347821393854</v>
      </c>
      <c r="H18" s="133">
        <f>IF(SER_hh_fec!H18=0,0,11630*1000*SER_hh_fec!H18/SER_hh_num!H18)</f>
        <v>11179.813017845921</v>
      </c>
      <c r="I18" s="133">
        <f>IF(SER_hh_fec!I18=0,0,11630*1000*SER_hh_fec!I18/SER_hh_num!I18)</f>
        <v>14540.884886883934</v>
      </c>
      <c r="J18" s="133">
        <f>IF(SER_hh_fec!J18=0,0,11630*1000*SER_hh_fec!J18/SER_hh_num!J18)</f>
        <v>11276.378025968008</v>
      </c>
      <c r="K18" s="133">
        <f>IF(SER_hh_fec!K18=0,0,11630*1000*SER_hh_fec!K18/SER_hh_num!K18)</f>
        <v>10511.797937085525</v>
      </c>
      <c r="L18" s="133">
        <f>IF(SER_hh_fec!L18=0,0,11630*1000*SER_hh_fec!L18/SER_hh_num!L18)</f>
        <v>12160.229926344629</v>
      </c>
      <c r="M18" s="133">
        <f>IF(SER_hh_fec!M18=0,0,11630*1000*SER_hh_fec!M18/SER_hh_num!M18)</f>
        <v>10128.911222669718</v>
      </c>
      <c r="N18" s="133">
        <f>IF(SER_hh_fec!N18=0,0,11630*1000*SER_hh_fec!N18/SER_hh_num!N18)</f>
        <v>14984.336550150625</v>
      </c>
      <c r="O18" s="133">
        <f>IF(SER_hh_fec!O18=0,0,11630*1000*SER_hh_fec!O18/SER_hh_num!O18)</f>
        <v>9934.7152547752012</v>
      </c>
      <c r="P18" s="133">
        <f>IF(SER_hh_fec!P18=0,0,11630*1000*SER_hh_fec!P18/SER_hh_num!P18)</f>
        <v>9055.0712593715452</v>
      </c>
      <c r="Q18" s="133">
        <f>IF(SER_hh_fec!Q18=0,0,11630*1000*SER_hh_fec!Q18/SER_hh_num!Q18)</f>
        <v>11554.815108389093</v>
      </c>
      <c r="R18" s="133">
        <f>IF(SER_hh_fec!R18=0,0,11630*1000*SER_hh_fec!R18/SER_hh_num!R18)</f>
        <v>9613.4695708493527</v>
      </c>
      <c r="S18" s="133">
        <f>IF(SER_hh_fec!S18=0,0,11630*1000*SER_hh_fec!S18/SER_hh_num!S18)</f>
        <v>10084.343431921812</v>
      </c>
      <c r="T18" s="133">
        <f>IF(SER_hh_fec!T18=0,0,11630*1000*SER_hh_fec!T18/SER_hh_num!T18)</f>
        <v>8611.3517007008977</v>
      </c>
      <c r="U18" s="133">
        <f>IF(SER_hh_fec!U18=0,0,11630*1000*SER_hh_fec!U18/SER_hh_num!U18)</f>
        <v>9428.635442543733</v>
      </c>
      <c r="V18" s="133">
        <f>IF(SER_hh_fec!V18=0,0,11630*1000*SER_hh_fec!V18/SER_hh_num!V18)</f>
        <v>8548.1526144317795</v>
      </c>
      <c r="W18" s="133">
        <f>IF(SER_hh_fec!W18=0,0,11630*1000*SER_hh_fec!W18/SER_hh_num!W18)</f>
        <v>9525.3327978530124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34432.198030801555</v>
      </c>
      <c r="C19" s="131">
        <f>IF(SER_hh_fec!C19=0,0,11630*1000*SER_hh_fec!C19/SER_hh_num!C19)</f>
        <v>37913.649162057794</v>
      </c>
      <c r="D19" s="131">
        <f>IF(SER_hh_fec!D19=0,0,11630*1000*SER_hh_fec!D19/SER_hh_num!D19)</f>
        <v>20992.049170320814</v>
      </c>
      <c r="E19" s="131">
        <f>IF(SER_hh_fec!E19=0,0,11630*1000*SER_hh_fec!E19/SER_hh_num!E19)</f>
        <v>42612.799155069624</v>
      </c>
      <c r="F19" s="131">
        <f>IF(SER_hh_fec!F19=0,0,11630*1000*SER_hh_fec!F19/SER_hh_num!F19)</f>
        <v>49953.440755572992</v>
      </c>
      <c r="G19" s="131">
        <f>IF(SER_hh_fec!G19=0,0,11630*1000*SER_hh_fec!G19/SER_hh_num!G19)</f>
        <v>48647.940787388863</v>
      </c>
      <c r="H19" s="131">
        <f>IF(SER_hh_fec!H19=0,0,11630*1000*SER_hh_fec!H19/SER_hh_num!H19)</f>
        <v>49201.47070259336</v>
      </c>
      <c r="I19" s="131">
        <f>IF(SER_hh_fec!I19=0,0,11630*1000*SER_hh_fec!I19/SER_hh_num!I19)</f>
        <v>49445.914262487953</v>
      </c>
      <c r="J19" s="131">
        <f>IF(SER_hh_fec!J19=0,0,11630*1000*SER_hh_fec!J19/SER_hh_num!J19)</f>
        <v>47882.615107795609</v>
      </c>
      <c r="K19" s="131">
        <f>IF(SER_hh_fec!K19=0,0,11630*1000*SER_hh_fec!K19/SER_hh_num!K19)</f>
        <v>48093.43850536229</v>
      </c>
      <c r="L19" s="131">
        <f>IF(SER_hh_fec!L19=0,0,11630*1000*SER_hh_fec!L19/SER_hh_num!L19)</f>
        <v>46052.4339495897</v>
      </c>
      <c r="M19" s="131">
        <f>IF(SER_hh_fec!M19=0,0,11630*1000*SER_hh_fec!M19/SER_hh_num!M19)</f>
        <v>46794.0454799285</v>
      </c>
      <c r="N19" s="131">
        <f>IF(SER_hh_fec!N19=0,0,11630*1000*SER_hh_fec!N19/SER_hh_num!N19)</f>
        <v>46004.506285649826</v>
      </c>
      <c r="O19" s="131">
        <f>IF(SER_hh_fec!O19=0,0,11630*1000*SER_hh_fec!O19/SER_hh_num!O19)</f>
        <v>46481.68463587766</v>
      </c>
      <c r="P19" s="131">
        <f>IF(SER_hh_fec!P19=0,0,11630*1000*SER_hh_fec!P19/SER_hh_num!P19)</f>
        <v>46697.634285208798</v>
      </c>
      <c r="Q19" s="131">
        <f>IF(SER_hh_fec!Q19=0,0,11630*1000*SER_hh_fec!Q19/SER_hh_num!Q19)</f>
        <v>46794.969288772525</v>
      </c>
      <c r="R19" s="131">
        <f>IF(SER_hh_fec!R19=0,0,11630*1000*SER_hh_fec!R19/SER_hh_num!R19)</f>
        <v>45859.39359730819</v>
      </c>
      <c r="S19" s="131">
        <f>IF(SER_hh_fec!S19=0,0,11630*1000*SER_hh_fec!S19/SER_hh_num!S19)</f>
        <v>45131.907361689657</v>
      </c>
      <c r="T19" s="131">
        <f>IF(SER_hh_fec!T19=0,0,11630*1000*SER_hh_fec!T19/SER_hh_num!T19)</f>
        <v>43330.766481882718</v>
      </c>
      <c r="U19" s="131">
        <f>IF(SER_hh_fec!U19=0,0,11630*1000*SER_hh_fec!U19/SER_hh_num!U19)</f>
        <v>40716.079379796087</v>
      </c>
      <c r="V19" s="131">
        <f>IF(SER_hh_fec!V19=0,0,11630*1000*SER_hh_fec!V19/SER_hh_num!V19)</f>
        <v>37985.822355370881</v>
      </c>
      <c r="W19" s="131">
        <f>IF(SER_hh_fec!W19=0,0,11630*1000*SER_hh_fec!W19/SER_hh_num!W19)</f>
        <v>41636.9050324813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7101.1831516751909</v>
      </c>
      <c r="C22" s="133">
        <f>IF(SER_hh_fec!C22=0,0,11630*1000*SER_hh_fec!C22/SER_hh_num!C22)</f>
        <v>11397.524132978575</v>
      </c>
      <c r="D22" s="133">
        <f>IF(SER_hh_fec!D22=0,0,11630*1000*SER_hh_fec!D22/SER_hh_num!D22)</f>
        <v>34807.712599759929</v>
      </c>
      <c r="E22" s="133">
        <f>IF(SER_hh_fec!E22=0,0,11630*1000*SER_hh_fec!E22/SER_hh_num!E22)</f>
        <v>48549.115261233361</v>
      </c>
      <c r="F22" s="133">
        <f>IF(SER_hh_fec!F22=0,0,11630*1000*SER_hh_fec!F22/SER_hh_num!F22)</f>
        <v>55787.63823079101</v>
      </c>
      <c r="G22" s="133">
        <f>IF(SER_hh_fec!G22=0,0,11630*1000*SER_hh_fec!G22/SER_hh_num!G22)</f>
        <v>65462.513507539115</v>
      </c>
      <c r="H22" s="133">
        <f>IF(SER_hh_fec!H22=0,0,11630*1000*SER_hh_fec!H22/SER_hh_num!H22)</f>
        <v>46028.041626410559</v>
      </c>
      <c r="I22" s="133">
        <f>IF(SER_hh_fec!I22=0,0,11630*1000*SER_hh_fec!I22/SER_hh_num!I22)</f>
        <v>53061.105273998284</v>
      </c>
      <c r="J22" s="133">
        <f>IF(SER_hh_fec!J22=0,0,11630*1000*SER_hh_fec!J22/SER_hh_num!J22)</f>
        <v>58424.592006783045</v>
      </c>
      <c r="K22" s="133">
        <f>IF(SER_hh_fec!K22=0,0,11630*1000*SER_hh_fec!K22/SER_hh_num!K22)</f>
        <v>55626.69450022254</v>
      </c>
      <c r="L22" s="133">
        <f>IF(SER_hh_fec!L22=0,0,11630*1000*SER_hh_fec!L22/SER_hh_num!L22)</f>
        <v>53868.741806160826</v>
      </c>
      <c r="M22" s="133">
        <f>IF(SER_hh_fec!M22=0,0,11630*1000*SER_hh_fec!M22/SER_hh_num!M22)</f>
        <v>49231.319656750711</v>
      </c>
      <c r="N22" s="133">
        <f>IF(SER_hh_fec!N22=0,0,11630*1000*SER_hh_fec!N22/SER_hh_num!N22)</f>
        <v>52307.315823081648</v>
      </c>
      <c r="O22" s="133">
        <f>IF(SER_hh_fec!O22=0,0,11630*1000*SER_hh_fec!O22/SER_hh_num!O22)</f>
        <v>59467.444962619411</v>
      </c>
      <c r="P22" s="133">
        <f>IF(SER_hh_fec!P22=0,0,11630*1000*SER_hh_fec!P22/SER_hh_num!P22)</f>
        <v>55751.677973498176</v>
      </c>
      <c r="Q22" s="133">
        <f>IF(SER_hh_fec!Q22=0,0,11630*1000*SER_hh_fec!Q22/SER_hh_num!Q22)</f>
        <v>54225.306919749048</v>
      </c>
      <c r="R22" s="133">
        <f>IF(SER_hh_fec!R22=0,0,11630*1000*SER_hh_fec!R22/SER_hh_num!R22)</f>
        <v>44542.164190836484</v>
      </c>
      <c r="S22" s="133">
        <f>IF(SER_hh_fec!S22=0,0,11630*1000*SER_hh_fec!S22/SER_hh_num!S22)</f>
        <v>50128.989599780332</v>
      </c>
      <c r="T22" s="133">
        <f>IF(SER_hh_fec!T22=0,0,11630*1000*SER_hh_fec!T22/SER_hh_num!T22)</f>
        <v>48742.539834181523</v>
      </c>
      <c r="U22" s="133">
        <f>IF(SER_hh_fec!U22=0,0,11630*1000*SER_hh_fec!U22/SER_hh_num!U22)</f>
        <v>41191.723655240297</v>
      </c>
      <c r="V22" s="133">
        <f>IF(SER_hh_fec!V22=0,0,11630*1000*SER_hh_fec!V22/SER_hh_num!V22)</f>
        <v>37147.684139746198</v>
      </c>
      <c r="W22" s="133">
        <f>IF(SER_hh_fec!W22=0,0,11630*1000*SER_hh_fec!W22/SER_hh_num!W22)</f>
        <v>48546.049796900355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44329.749213903895</v>
      </c>
      <c r="C23" s="133">
        <f>IF(SER_hh_fec!C23=0,0,11630*1000*SER_hh_fec!C23/SER_hh_num!C23)</f>
        <v>34988.248319547441</v>
      </c>
      <c r="D23" s="133">
        <f>IF(SER_hh_fec!D23=0,0,11630*1000*SER_hh_fec!D23/SER_hh_num!D23)</f>
        <v>20133.892952210063</v>
      </c>
      <c r="E23" s="133">
        <f>IF(SER_hh_fec!E23=0,0,11630*1000*SER_hh_fec!E23/SER_hh_num!E23)</f>
        <v>39095.6940174665</v>
      </c>
      <c r="F23" s="133">
        <f>IF(SER_hh_fec!F23=0,0,11630*1000*SER_hh_fec!F23/SER_hh_num!F23)</f>
        <v>58907.154288193276</v>
      </c>
      <c r="G23" s="133">
        <f>IF(SER_hh_fec!G23=0,0,11630*1000*SER_hh_fec!G23/SER_hh_num!G23)</f>
        <v>49993.070656456111</v>
      </c>
      <c r="H23" s="133">
        <f>IF(SER_hh_fec!H23=0,0,11630*1000*SER_hh_fec!H23/SER_hh_num!H23)</f>
        <v>57487.23502380991</v>
      </c>
      <c r="I23" s="133">
        <f>IF(SER_hh_fec!I23=0,0,11630*1000*SER_hh_fec!I23/SER_hh_num!I23)</f>
        <v>51023.114941388812</v>
      </c>
      <c r="J23" s="133">
        <f>IF(SER_hh_fec!J23=0,0,11630*1000*SER_hh_fec!J23/SER_hh_num!J23)</f>
        <v>42552.718831325095</v>
      </c>
      <c r="K23" s="133">
        <f>IF(SER_hh_fec!K23=0,0,11630*1000*SER_hh_fec!K23/SER_hh_num!K23)</f>
        <v>57028.307249632933</v>
      </c>
      <c r="L23" s="133">
        <f>IF(SER_hh_fec!L23=0,0,11630*1000*SER_hh_fec!L23/SER_hh_num!L23)</f>
        <v>53231.021603227433</v>
      </c>
      <c r="M23" s="133">
        <f>IF(SER_hh_fec!M23=0,0,11630*1000*SER_hh_fec!M23/SER_hh_num!M23)</f>
        <v>48112.802167862712</v>
      </c>
      <c r="N23" s="133">
        <f>IF(SER_hh_fec!N23=0,0,11630*1000*SER_hh_fec!N23/SER_hh_num!N23)</f>
        <v>48440.041803841268</v>
      </c>
      <c r="O23" s="133">
        <f>IF(SER_hh_fec!O23=0,0,11630*1000*SER_hh_fec!O23/SER_hh_num!O23)</f>
        <v>48372.075984734904</v>
      </c>
      <c r="P23" s="133">
        <f>IF(SER_hh_fec!P23=0,0,11630*1000*SER_hh_fec!P23/SER_hh_num!P23)</f>
        <v>48592.981332230622</v>
      </c>
      <c r="Q23" s="133">
        <f>IF(SER_hh_fec!Q23=0,0,11630*1000*SER_hh_fec!Q23/SER_hh_num!Q23)</f>
        <v>47604.731046127417</v>
      </c>
      <c r="R23" s="133">
        <f>IF(SER_hh_fec!R23=0,0,11630*1000*SER_hh_fec!R23/SER_hh_num!R23)</f>
        <v>47427.690953552854</v>
      </c>
      <c r="S23" s="133">
        <f>IF(SER_hh_fec!S23=0,0,11630*1000*SER_hh_fec!S23/SER_hh_num!S23)</f>
        <v>46772.291940330106</v>
      </c>
      <c r="T23" s="133">
        <f>IF(SER_hh_fec!T23=0,0,11630*1000*SER_hh_fec!T23/SER_hh_num!T23)</f>
        <v>43201.892396174117</v>
      </c>
      <c r="U23" s="133">
        <f>IF(SER_hh_fec!U23=0,0,11630*1000*SER_hh_fec!U23/SER_hh_num!U23)</f>
        <v>42178.526805485781</v>
      </c>
      <c r="V23" s="133">
        <f>IF(SER_hh_fec!V23=0,0,11630*1000*SER_hh_fec!V23/SER_hh_num!V23)</f>
        <v>39685.740544909248</v>
      </c>
      <c r="W23" s="133">
        <f>IF(SER_hh_fec!W23=0,0,11630*1000*SER_hh_fec!W23/SER_hh_num!W23)</f>
        <v>39626.338663908493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42659.244131932108</v>
      </c>
      <c r="C24" s="133">
        <f>IF(SER_hh_fec!C24=0,0,11630*1000*SER_hh_fec!C24/SER_hh_num!C24)</f>
        <v>25799.665338818708</v>
      </c>
      <c r="D24" s="133">
        <f>IF(SER_hh_fec!D24=0,0,11630*1000*SER_hh_fec!D24/SER_hh_num!D24)</f>
        <v>42065.702779336927</v>
      </c>
      <c r="E24" s="133">
        <f>IF(SER_hh_fec!E24=0,0,11630*1000*SER_hh_fec!E24/SER_hh_num!E24)</f>
        <v>44332.622012688196</v>
      </c>
      <c r="F24" s="133">
        <f>IF(SER_hh_fec!F24=0,0,11630*1000*SER_hh_fec!F24/SER_hh_num!F24)</f>
        <v>44778.316504282506</v>
      </c>
      <c r="G24" s="133">
        <f>IF(SER_hh_fec!G24=0,0,11630*1000*SER_hh_fec!G24/SER_hh_num!G24)</f>
        <v>50837.647444179842</v>
      </c>
      <c r="H24" s="133">
        <f>IF(SER_hh_fec!H24=0,0,11630*1000*SER_hh_fec!H24/SER_hh_num!H24)</f>
        <v>55026.349503646023</v>
      </c>
      <c r="I24" s="133">
        <f>IF(SER_hh_fec!I24=0,0,11630*1000*SER_hh_fec!I24/SER_hh_num!I24)</f>
        <v>55317.670273614298</v>
      </c>
      <c r="J24" s="133">
        <f>IF(SER_hh_fec!J24=0,0,11630*1000*SER_hh_fec!J24/SER_hh_num!J24)</f>
        <v>55188.618646449737</v>
      </c>
      <c r="K24" s="133">
        <f>IF(SER_hh_fec!K24=0,0,11630*1000*SER_hh_fec!K24/SER_hh_num!K24)</f>
        <v>54168.465603220175</v>
      </c>
      <c r="L24" s="133">
        <f>IF(SER_hh_fec!L24=0,0,11630*1000*SER_hh_fec!L24/SER_hh_num!L24)</f>
        <v>51764.1518433495</v>
      </c>
      <c r="M24" s="133">
        <f>IF(SER_hh_fec!M24=0,0,11630*1000*SER_hh_fec!M24/SER_hh_num!M24)</f>
        <v>50150.288288419106</v>
      </c>
      <c r="N24" s="133">
        <f>IF(SER_hh_fec!N24=0,0,11630*1000*SER_hh_fec!N24/SER_hh_num!N24)</f>
        <v>48053.936861852169</v>
      </c>
      <c r="O24" s="133">
        <f>IF(SER_hh_fec!O24=0,0,11630*1000*SER_hh_fec!O24/SER_hh_num!O24)</f>
        <v>45965.369205021336</v>
      </c>
      <c r="P24" s="133">
        <f>IF(SER_hh_fec!P24=0,0,11630*1000*SER_hh_fec!P24/SER_hh_num!P24)</f>
        <v>46960.483551623824</v>
      </c>
      <c r="Q24" s="133">
        <f>IF(SER_hh_fec!Q24=0,0,11630*1000*SER_hh_fec!Q24/SER_hh_num!Q24)</f>
        <v>50332.997846346618</v>
      </c>
      <c r="R24" s="133">
        <f>IF(SER_hh_fec!R24=0,0,11630*1000*SER_hh_fec!R24/SER_hh_num!R24)</f>
        <v>45959.591214947686</v>
      </c>
      <c r="S24" s="133">
        <f>IF(SER_hh_fec!S24=0,0,11630*1000*SER_hh_fec!S24/SER_hh_num!S24)</f>
        <v>42694.466486469377</v>
      </c>
      <c r="T24" s="133">
        <f>IF(SER_hh_fec!T24=0,0,11630*1000*SER_hh_fec!T24/SER_hh_num!T24)</f>
        <v>47156.88459819492</v>
      </c>
      <c r="U24" s="133">
        <f>IF(SER_hh_fec!U24=0,0,11630*1000*SER_hh_fec!U24/SER_hh_num!U24)</f>
        <v>39239.12289248313</v>
      </c>
      <c r="V24" s="133">
        <f>IF(SER_hh_fec!V24=0,0,11630*1000*SER_hh_fec!V24/SER_hh_num!V24)</f>
        <v>39543.971525806963</v>
      </c>
      <c r="W24" s="133">
        <f>IF(SER_hh_fec!W24=0,0,11630*1000*SER_hh_fec!W24/SER_hh_num!W24)</f>
        <v>42208.654987702423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36336.795391078114</v>
      </c>
      <c r="C25" s="133">
        <f>IF(SER_hh_fec!C25=0,0,11630*1000*SER_hh_fec!C25/SER_hh_num!C25)</f>
        <v>23988.935833772754</v>
      </c>
      <c r="D25" s="133">
        <f>IF(SER_hh_fec!D25=0,0,11630*1000*SER_hh_fec!D25/SER_hh_num!D25)</f>
        <v>14311.014037540894</v>
      </c>
      <c r="E25" s="133">
        <f>IF(SER_hh_fec!E25=0,0,11630*1000*SER_hh_fec!E25/SER_hh_num!E25)</f>
        <v>30745.697943060281</v>
      </c>
      <c r="F25" s="133">
        <f>IF(SER_hh_fec!F25=0,0,11630*1000*SER_hh_fec!F25/SER_hh_num!F25)</f>
        <v>26070.658872562955</v>
      </c>
      <c r="G25" s="133">
        <f>IF(SER_hh_fec!G25=0,0,11630*1000*SER_hh_fec!G25/SER_hh_num!G25)</f>
        <v>41625.120925063617</v>
      </c>
      <c r="H25" s="133">
        <f>IF(SER_hh_fec!H25=0,0,11630*1000*SER_hh_fec!H25/SER_hh_num!H25)</f>
        <v>38044.926420195538</v>
      </c>
      <c r="I25" s="133">
        <f>IF(SER_hh_fec!I25=0,0,11630*1000*SER_hh_fec!I25/SER_hh_num!I25)</f>
        <v>35911.695594786419</v>
      </c>
      <c r="J25" s="133">
        <f>IF(SER_hh_fec!J25=0,0,11630*1000*SER_hh_fec!J25/SER_hh_num!J25)</f>
        <v>41273.229382140642</v>
      </c>
      <c r="K25" s="133">
        <f>IF(SER_hh_fec!K25=0,0,11630*1000*SER_hh_fec!K25/SER_hh_num!K25)</f>
        <v>37850.120427460548</v>
      </c>
      <c r="L25" s="133">
        <f>IF(SER_hh_fec!L25=0,0,11630*1000*SER_hh_fec!L25/SER_hh_num!L25)</f>
        <v>35785.695804069059</v>
      </c>
      <c r="M25" s="133">
        <f>IF(SER_hh_fec!M25=0,0,11630*1000*SER_hh_fec!M25/SER_hh_num!M25)</f>
        <v>37174.551975607632</v>
      </c>
      <c r="N25" s="133">
        <f>IF(SER_hh_fec!N25=0,0,11630*1000*SER_hh_fec!N25/SER_hh_num!N25)</f>
        <v>37926.132498785584</v>
      </c>
      <c r="O25" s="133">
        <f>IF(SER_hh_fec!O25=0,0,11630*1000*SER_hh_fec!O25/SER_hh_num!O25)</f>
        <v>38582.076250394151</v>
      </c>
      <c r="P25" s="133">
        <f>IF(SER_hh_fec!P25=0,0,11630*1000*SER_hh_fec!P25/SER_hh_num!P25)</f>
        <v>36419.504360886574</v>
      </c>
      <c r="Q25" s="133">
        <f>IF(SER_hh_fec!Q25=0,0,11630*1000*SER_hh_fec!Q25/SER_hh_num!Q25)</f>
        <v>38264.382289630936</v>
      </c>
      <c r="R25" s="133">
        <f>IF(SER_hh_fec!R25=0,0,11630*1000*SER_hh_fec!R25/SER_hh_num!R25)</f>
        <v>39408.427915202905</v>
      </c>
      <c r="S25" s="133">
        <f>IF(SER_hh_fec!S25=0,0,11630*1000*SER_hh_fec!S25/SER_hh_num!S25)</f>
        <v>38394.166287533015</v>
      </c>
      <c r="T25" s="133">
        <f>IF(SER_hh_fec!T25=0,0,11630*1000*SER_hh_fec!T25/SER_hh_num!T25)</f>
        <v>37761.645520036902</v>
      </c>
      <c r="U25" s="133">
        <f>IF(SER_hh_fec!U25=0,0,11630*1000*SER_hh_fec!U25/SER_hh_num!U25)</f>
        <v>35676.724412026779</v>
      </c>
      <c r="V25" s="133">
        <f>IF(SER_hh_fec!V25=0,0,11630*1000*SER_hh_fec!V25/SER_hh_num!V25)</f>
        <v>35823.363263767736</v>
      </c>
      <c r="W25" s="133">
        <f>IF(SER_hh_fec!W25=0,0,11630*1000*SER_hh_fec!W25/SER_hh_num!W25)</f>
        <v>37236.714591465068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39732.722952425916</v>
      </c>
      <c r="C26" s="65">
        <f>IF(SER_hh_fec!C26=0,0,11630*1000*SER_hh_fec!C26/SER_hh_num!C26)</f>
        <v>78802.010695019824</v>
      </c>
      <c r="D26" s="65">
        <f>IF(SER_hh_fec!D26=0,0,11630*1000*SER_hh_fec!D26/SER_hh_num!D26)</f>
        <v>7222.5885400745647</v>
      </c>
      <c r="E26" s="65">
        <f>IF(SER_hh_fec!E26=0,0,11630*1000*SER_hh_fec!E26/SER_hh_num!E26)</f>
        <v>46589.24379573339</v>
      </c>
      <c r="F26" s="65">
        <f>IF(SER_hh_fec!F26=0,0,11630*1000*SER_hh_fec!F26/SER_hh_num!F26)</f>
        <v>46647.664267791224</v>
      </c>
      <c r="G26" s="65">
        <f>IF(SER_hh_fec!G26=0,0,11630*1000*SER_hh_fec!G26/SER_hh_num!G26)</f>
        <v>42560.907299622624</v>
      </c>
      <c r="H26" s="65">
        <f>IF(SER_hh_fec!H26=0,0,11630*1000*SER_hh_fec!H26/SER_hh_num!H26)</f>
        <v>43162.929521204947</v>
      </c>
      <c r="I26" s="65">
        <f>IF(SER_hh_fec!I26=0,0,11630*1000*SER_hh_fec!I26/SER_hh_num!I26)</f>
        <v>50954.87345469281</v>
      </c>
      <c r="J26" s="65">
        <f>IF(SER_hh_fec!J26=0,0,11630*1000*SER_hh_fec!J26/SER_hh_num!J26)</f>
        <v>53549.920538332597</v>
      </c>
      <c r="K26" s="65">
        <f>IF(SER_hh_fec!K26=0,0,11630*1000*SER_hh_fec!K26/SER_hh_num!K26)</f>
        <v>39223.254573307335</v>
      </c>
      <c r="L26" s="65">
        <f>IF(SER_hh_fec!L26=0,0,11630*1000*SER_hh_fec!L26/SER_hh_num!L26)</f>
        <v>38922.064766338415</v>
      </c>
      <c r="M26" s="65">
        <f>IF(SER_hh_fec!M26=0,0,11630*1000*SER_hh_fec!M26/SER_hh_num!M26)</f>
        <v>49420.608099372366</v>
      </c>
      <c r="N26" s="65">
        <f>IF(SER_hh_fec!N26=0,0,11630*1000*SER_hh_fec!N26/SER_hh_num!N26)</f>
        <v>45540.972655127553</v>
      </c>
      <c r="O26" s="65">
        <f>IF(SER_hh_fec!O26=0,0,11630*1000*SER_hh_fec!O26/SER_hh_num!O26)</f>
        <v>44315.309075645513</v>
      </c>
      <c r="P26" s="65">
        <f>IF(SER_hh_fec!P26=0,0,11630*1000*SER_hh_fec!P26/SER_hh_num!P26)</f>
        <v>46552.56617964941</v>
      </c>
      <c r="Q26" s="65">
        <f>IF(SER_hh_fec!Q26=0,0,11630*1000*SER_hh_fec!Q26/SER_hh_num!Q26)</f>
        <v>46847.715130416422</v>
      </c>
      <c r="R26" s="65">
        <f>IF(SER_hh_fec!R26=0,0,11630*1000*SER_hh_fec!R26/SER_hh_num!R26)</f>
        <v>47527.709217178264</v>
      </c>
      <c r="S26" s="65">
        <f>IF(SER_hh_fec!S26=0,0,11630*1000*SER_hh_fec!S26/SER_hh_num!S26)</f>
        <v>42670.691640997917</v>
      </c>
      <c r="T26" s="65">
        <f>IF(SER_hh_fec!T26=0,0,11630*1000*SER_hh_fec!T26/SER_hh_num!T26)</f>
        <v>42243.694657866254</v>
      </c>
      <c r="U26" s="65">
        <f>IF(SER_hh_fec!U26=0,0,11630*1000*SER_hh_fec!U26/SER_hh_num!U26)</f>
        <v>39780.883237958784</v>
      </c>
      <c r="V26" s="65">
        <f>IF(SER_hh_fec!V26=0,0,11630*1000*SER_hh_fec!V26/SER_hh_num!V26)</f>
        <v>35568.8098911255</v>
      </c>
      <c r="W26" s="65">
        <f>IF(SER_hh_fec!W26=0,0,11630*1000*SER_hh_fec!W26/SER_hh_num!W26)</f>
        <v>40650.947490208302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5.5596709972051137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15.203213882492953</v>
      </c>
      <c r="M27" s="146">
        <f>IF(SER_hh_fec!M27=0,0,11630*1000*SER_hh_fec!M27/SER_hh_num!M19)</f>
        <v>9.7610677083939752</v>
      </c>
      <c r="N27" s="146">
        <f>IF(SER_hh_fec!N27=0,0,11630*1000*SER_hh_fec!N27/SER_hh_num!N19)</f>
        <v>19.01729348081372</v>
      </c>
      <c r="O27" s="146">
        <f>IF(SER_hh_fec!O27=0,0,11630*1000*SER_hh_fec!O27/SER_hh_num!O19)</f>
        <v>9.0893125607996321</v>
      </c>
      <c r="P27" s="146">
        <f>IF(SER_hh_fec!P27=0,0,11630*1000*SER_hh_fec!P27/SER_hh_num!P19)</f>
        <v>8.7248727110757702</v>
      </c>
      <c r="Q27" s="146">
        <f>IF(SER_hh_fec!Q27=0,0,11630*1000*SER_hh_fec!Q27/SER_hh_num!Q19)</f>
        <v>4.1495418222433482</v>
      </c>
      <c r="R27" s="146">
        <f>IF(SER_hh_fec!R27=0,0,11630*1000*SER_hh_fec!R27/SER_hh_num!R19)</f>
        <v>3.9933990955162213</v>
      </c>
      <c r="S27" s="146">
        <f>IF(SER_hh_fec!S27=0,0,11630*1000*SER_hh_fec!S27/SER_hh_num!S19)</f>
        <v>9.9739022183709114</v>
      </c>
      <c r="T27" s="146">
        <f>IF(SER_hh_fec!T27=0,0,11630*1000*SER_hh_fec!T27/SER_hh_num!T19)</f>
        <v>8.9349058395791197</v>
      </c>
      <c r="U27" s="146">
        <f>IF(SER_hh_fec!U27=0,0,11630*1000*SER_hh_fec!U27/SER_hh_num!U19)</f>
        <v>10.221802840423729</v>
      </c>
      <c r="V27" s="146">
        <f>IF(SER_hh_fec!V27=0,0,11630*1000*SER_hh_fec!V27/SER_hh_num!V19)</f>
        <v>5.6325735821749499</v>
      </c>
      <c r="W27" s="146">
        <f>IF(SER_hh_fec!W27=0,0,11630*1000*SER_hh_fec!W27/SER_hh_num!W19)</f>
        <v>58.391799533231818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23018.105486530647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21798.157771030845</v>
      </c>
      <c r="M28" s="147">
        <f>IF(SER_hh_fec!M27=0,0,11630*1000*SER_hh_fec!M27/SER_hh_num!M27)</f>
        <v>22582.824753561239</v>
      </c>
      <c r="N28" s="147">
        <f>IF(SER_hh_fec!N27=0,0,11630*1000*SER_hh_fec!N27/SER_hh_num!N27)</f>
        <v>22427.00110042125</v>
      </c>
      <c r="O28" s="147">
        <f>IF(SER_hh_fec!O27=0,0,11630*1000*SER_hh_fec!O27/SER_hh_num!O27)</f>
        <v>22867.851923010418</v>
      </c>
      <c r="P28" s="147">
        <f>IF(SER_hh_fec!P27=0,0,11630*1000*SER_hh_fec!P27/SER_hh_num!P27)</f>
        <v>23138.356276796898</v>
      </c>
      <c r="Q28" s="147">
        <f>IF(SER_hh_fec!Q27=0,0,11630*1000*SER_hh_fec!Q27/SER_hh_num!Q27)</f>
        <v>23530.967404943363</v>
      </c>
      <c r="R28" s="147">
        <f>IF(SER_hh_fec!R27=0,0,11630*1000*SER_hh_fec!R27/SER_hh_num!R27)</f>
        <v>23565.337633839801</v>
      </c>
      <c r="S28" s="147">
        <f>IF(SER_hh_fec!S27=0,0,11630*1000*SER_hh_fec!S27/SER_hh_num!S27)</f>
        <v>23842.246132511769</v>
      </c>
      <c r="T28" s="147">
        <f>IF(SER_hh_fec!T27=0,0,11630*1000*SER_hh_fec!T27/SER_hh_num!T27)</f>
        <v>23634.841979434703</v>
      </c>
      <c r="U28" s="147">
        <f>IF(SER_hh_fec!U27=0,0,11630*1000*SER_hh_fec!U27/SER_hh_num!U27)</f>
        <v>22771.183842960032</v>
      </c>
      <c r="V28" s="147">
        <f>IF(SER_hh_fec!V27=0,0,11630*1000*SER_hh_fec!V27/SER_hh_num!V27)</f>
        <v>21644.175956819308</v>
      </c>
      <c r="W28" s="147">
        <f>IF(SER_hh_fec!W27=0,0,11630*1000*SER_hh_fec!W27/SER_hh_num!W27)</f>
        <v>24059.668463695092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50356.805927938942</v>
      </c>
      <c r="C29" s="131">
        <f>IF(SER_hh_fec!C29=0,0,11630*1000*SER_hh_fec!C29/SER_hh_num!C29)</f>
        <v>48468.028096924558</v>
      </c>
      <c r="D29" s="131">
        <f>IF(SER_hh_fec!D29=0,0,11630*1000*SER_hh_fec!D29/SER_hh_num!D29)</f>
        <v>36331.250642759856</v>
      </c>
      <c r="E29" s="131">
        <f>IF(SER_hh_fec!E29=0,0,11630*1000*SER_hh_fec!E29/SER_hh_num!E29)</f>
        <v>50648.441358506483</v>
      </c>
      <c r="F29" s="131">
        <f>IF(SER_hh_fec!F29=0,0,11630*1000*SER_hh_fec!F29/SER_hh_num!F29)</f>
        <v>58857.373876106307</v>
      </c>
      <c r="G29" s="131">
        <f>IF(SER_hh_fec!G29=0,0,11630*1000*SER_hh_fec!G29/SER_hh_num!G29)</f>
        <v>60140.500509853242</v>
      </c>
      <c r="H29" s="131">
        <f>IF(SER_hh_fec!H29=0,0,11630*1000*SER_hh_fec!H29/SER_hh_num!H29)</f>
        <v>60171.224344939503</v>
      </c>
      <c r="I29" s="131">
        <f>IF(SER_hh_fec!I29=0,0,11630*1000*SER_hh_fec!I29/SER_hh_num!I29)</f>
        <v>61926.37027524579</v>
      </c>
      <c r="J29" s="131">
        <f>IF(SER_hh_fec!J29=0,0,11630*1000*SER_hh_fec!J29/SER_hh_num!J29)</f>
        <v>59579.939919849145</v>
      </c>
      <c r="K29" s="131">
        <f>IF(SER_hh_fec!K29=0,0,11630*1000*SER_hh_fec!K29/SER_hh_num!K29)</f>
        <v>58624.027937613515</v>
      </c>
      <c r="L29" s="131">
        <f>IF(SER_hh_fec!L29=0,0,11630*1000*SER_hh_fec!L29/SER_hh_num!L29)</f>
        <v>58942.829369583393</v>
      </c>
      <c r="M29" s="131">
        <f>IF(SER_hh_fec!M29=0,0,11630*1000*SER_hh_fec!M29/SER_hh_num!M29)</f>
        <v>57897.759154909232</v>
      </c>
      <c r="N29" s="131">
        <f>IF(SER_hh_fec!N29=0,0,11630*1000*SER_hh_fec!N29/SER_hh_num!N29)</f>
        <v>58238.660132308425</v>
      </c>
      <c r="O29" s="131">
        <f>IF(SER_hh_fec!O29=0,0,11630*1000*SER_hh_fec!O29/SER_hh_num!O29)</f>
        <v>59972.666390817401</v>
      </c>
      <c r="P29" s="131">
        <f>IF(SER_hh_fec!P29=0,0,11630*1000*SER_hh_fec!P29/SER_hh_num!P29)</f>
        <v>60332.807749987252</v>
      </c>
      <c r="Q29" s="131">
        <f>IF(SER_hh_fec!Q29=0,0,11630*1000*SER_hh_fec!Q29/SER_hh_num!Q29)</f>
        <v>61147.615297796554</v>
      </c>
      <c r="R29" s="131">
        <f>IF(SER_hh_fec!R29=0,0,11630*1000*SER_hh_fec!R29/SER_hh_num!R29)</f>
        <v>59017.310803852939</v>
      </c>
      <c r="S29" s="131">
        <f>IF(SER_hh_fec!S29=0,0,11630*1000*SER_hh_fec!S29/SER_hh_num!S29)</f>
        <v>57775.041660680057</v>
      </c>
      <c r="T29" s="131">
        <f>IF(SER_hh_fec!T29=0,0,11630*1000*SER_hh_fec!T29/SER_hh_num!T29)</f>
        <v>57862.500630274531</v>
      </c>
      <c r="U29" s="131">
        <f>IF(SER_hh_fec!U29=0,0,11630*1000*SER_hh_fec!U29/SER_hh_num!U29)</f>
        <v>57608.839845876966</v>
      </c>
      <c r="V29" s="131">
        <f>IF(SER_hh_fec!V29=0,0,11630*1000*SER_hh_fec!V29/SER_hh_num!V29)</f>
        <v>52125.517471752042</v>
      </c>
      <c r="W29" s="131">
        <f>IF(SER_hh_fec!W29=0,0,11630*1000*SER_hh_fec!W29/SER_hh_num!W29)</f>
        <v>54671.648201149452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95213.643164008914</v>
      </c>
      <c r="C30" s="133">
        <f>IF(SER_hh_fec!C30=0,0,11630*1000*SER_hh_fec!C30/SER_hh_num!C30)</f>
        <v>37346.451570921781</v>
      </c>
      <c r="D30" s="133">
        <f>IF(SER_hh_fec!D30=0,0,11630*1000*SER_hh_fec!D30/SER_hh_num!D30)</f>
        <v>16444.989346138107</v>
      </c>
      <c r="E30" s="133">
        <f>IF(SER_hh_fec!E30=0,0,11630*1000*SER_hh_fec!E30/SER_hh_num!E30)</f>
        <v>49273.445500945367</v>
      </c>
      <c r="F30" s="133">
        <f>IF(SER_hh_fec!F30=0,0,11630*1000*SER_hh_fec!F30/SER_hh_num!F30)</f>
        <v>75056.036282353438</v>
      </c>
      <c r="G30" s="133">
        <f>IF(SER_hh_fec!G30=0,0,11630*1000*SER_hh_fec!G30/SER_hh_num!G30)</f>
        <v>90494.970822606963</v>
      </c>
      <c r="H30" s="133">
        <f>IF(SER_hh_fec!H30=0,0,11630*1000*SER_hh_fec!H30/SER_hh_num!H30)</f>
        <v>37500.599238005845</v>
      </c>
      <c r="I30" s="133">
        <f>IF(SER_hh_fec!I30=0,0,11630*1000*SER_hh_fec!I30/SER_hh_num!I30)</f>
        <v>114796.08163865341</v>
      </c>
      <c r="J30" s="133">
        <f>IF(SER_hh_fec!J30=0,0,11630*1000*SER_hh_fec!J30/SER_hh_num!J30)</f>
        <v>40763.464235067622</v>
      </c>
      <c r="K30" s="133">
        <f>IF(SER_hh_fec!K30=0,0,11630*1000*SER_hh_fec!K30/SER_hh_num!K30)</f>
        <v>33598.785784194741</v>
      </c>
      <c r="L30" s="133">
        <f>IF(SER_hh_fec!L30=0,0,11630*1000*SER_hh_fec!L30/SER_hh_num!L30)</f>
        <v>80401.615988075209</v>
      </c>
      <c r="M30" s="133">
        <f>IF(SER_hh_fec!M30=0,0,11630*1000*SER_hh_fec!M30/SER_hh_num!M30)</f>
        <v>56822.719631461128</v>
      </c>
      <c r="N30" s="133">
        <f>IF(SER_hh_fec!N30=0,0,11630*1000*SER_hh_fec!N30/SER_hh_num!N30)</f>
        <v>65703.134057412622</v>
      </c>
      <c r="O30" s="133">
        <f>IF(SER_hh_fec!O30=0,0,11630*1000*SER_hh_fec!O30/SER_hh_num!O30)</f>
        <v>66371.325250821086</v>
      </c>
      <c r="P30" s="133">
        <f>IF(SER_hh_fec!P30=0,0,11630*1000*SER_hh_fec!P30/SER_hh_num!P30)</f>
        <v>71873.090120463574</v>
      </c>
      <c r="Q30" s="133">
        <f>IF(SER_hh_fec!Q30=0,0,11630*1000*SER_hh_fec!Q30/SER_hh_num!Q30)</f>
        <v>79586.769885700938</v>
      </c>
      <c r="R30" s="133">
        <f>IF(SER_hh_fec!R30=0,0,11630*1000*SER_hh_fec!R30/SER_hh_num!R30)</f>
        <v>70136.718673105643</v>
      </c>
      <c r="S30" s="133">
        <f>IF(SER_hh_fec!S30=0,0,11630*1000*SER_hh_fec!S30/SER_hh_num!S30)</f>
        <v>68056.336014810542</v>
      </c>
      <c r="T30" s="133">
        <f>IF(SER_hh_fec!T30=0,0,11630*1000*SER_hh_fec!T30/SER_hh_num!T30)</f>
        <v>69903.671953860161</v>
      </c>
      <c r="U30" s="133">
        <f>IF(SER_hh_fec!U30=0,0,11630*1000*SER_hh_fec!U30/SER_hh_num!U30)</f>
        <v>69522.774874069873</v>
      </c>
      <c r="V30" s="133">
        <f>IF(SER_hh_fec!V30=0,0,11630*1000*SER_hh_fec!V30/SER_hh_num!V30)</f>
        <v>63981.849201351011</v>
      </c>
      <c r="W30" s="133">
        <f>IF(SER_hh_fec!W30=0,0,11630*1000*SER_hh_fec!W30/SER_hh_num!W30)</f>
        <v>65504.27733812228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52962.366159201221</v>
      </c>
      <c r="C31" s="133">
        <f>IF(SER_hh_fec!C31=0,0,11630*1000*SER_hh_fec!C31/SER_hh_num!C31)</f>
        <v>56201.007714239735</v>
      </c>
      <c r="D31" s="133">
        <f>IF(SER_hh_fec!D31=0,0,11630*1000*SER_hh_fec!D31/SER_hh_num!D31)</f>
        <v>32408.546104820038</v>
      </c>
      <c r="E31" s="133">
        <f>IF(SER_hh_fec!E31=0,0,11630*1000*SER_hh_fec!E31/SER_hh_num!E31)</f>
        <v>53033.86182563164</v>
      </c>
      <c r="F31" s="133">
        <f>IF(SER_hh_fec!F31=0,0,11630*1000*SER_hh_fec!F31/SER_hh_num!F31)</f>
        <v>70607.556576910458</v>
      </c>
      <c r="G31" s="133">
        <f>IF(SER_hh_fec!G31=0,0,11630*1000*SER_hh_fec!G31/SER_hh_num!G31)</f>
        <v>57386.851117034392</v>
      </c>
      <c r="H31" s="133">
        <f>IF(SER_hh_fec!H31=0,0,11630*1000*SER_hh_fec!H31/SER_hh_num!H31)</f>
        <v>78637.410406492112</v>
      </c>
      <c r="I31" s="133">
        <f>IF(SER_hh_fec!I31=0,0,11630*1000*SER_hh_fec!I31/SER_hh_num!I31)</f>
        <v>59615.123278249564</v>
      </c>
      <c r="J31" s="133">
        <f>IF(SER_hh_fec!J31=0,0,11630*1000*SER_hh_fec!J31/SER_hh_num!J31)</f>
        <v>64934.322061803716</v>
      </c>
      <c r="K31" s="133">
        <f>IF(SER_hh_fec!K31=0,0,11630*1000*SER_hh_fec!K31/SER_hh_num!K31)</f>
        <v>67672.415209937462</v>
      </c>
      <c r="L31" s="133">
        <f>IF(SER_hh_fec!L31=0,0,11630*1000*SER_hh_fec!L31/SER_hh_num!L31)</f>
        <v>67724.819133703917</v>
      </c>
      <c r="M31" s="133">
        <f>IF(SER_hh_fec!M31=0,0,11630*1000*SER_hh_fec!M31/SER_hh_num!M31)</f>
        <v>68002.785236529235</v>
      </c>
      <c r="N31" s="133">
        <f>IF(SER_hh_fec!N31=0,0,11630*1000*SER_hh_fec!N31/SER_hh_num!N31)</f>
        <v>67776.781149498376</v>
      </c>
      <c r="O31" s="133">
        <f>IF(SER_hh_fec!O31=0,0,11630*1000*SER_hh_fec!O31/SER_hh_num!O31)</f>
        <v>69621.495552301698</v>
      </c>
      <c r="P31" s="133">
        <f>IF(SER_hh_fec!P31=0,0,11630*1000*SER_hh_fec!P31/SER_hh_num!P31)</f>
        <v>68591.189367853323</v>
      </c>
      <c r="Q31" s="133">
        <f>IF(SER_hh_fec!Q31=0,0,11630*1000*SER_hh_fec!Q31/SER_hh_num!Q31)</f>
        <v>71656.845883556205</v>
      </c>
      <c r="R31" s="133">
        <f>IF(SER_hh_fec!R31=0,0,11630*1000*SER_hh_fec!R31/SER_hh_num!R31)</f>
        <v>67831.855843082507</v>
      </c>
      <c r="S31" s="133">
        <f>IF(SER_hh_fec!S31=0,0,11630*1000*SER_hh_fec!S31/SER_hh_num!S31)</f>
        <v>70659.818265829323</v>
      </c>
      <c r="T31" s="133">
        <f>IF(SER_hh_fec!T31=0,0,11630*1000*SER_hh_fec!T31/SER_hh_num!T31)</f>
        <v>68063.734911849824</v>
      </c>
      <c r="U31" s="133">
        <f>IF(SER_hh_fec!U31=0,0,11630*1000*SER_hh_fec!U31/SER_hh_num!U31)</f>
        <v>67904.294719347658</v>
      </c>
      <c r="V31" s="133">
        <f>IF(SER_hh_fec!V31=0,0,11630*1000*SER_hh_fec!V31/SER_hh_num!V31)</f>
        <v>63713.984015470502</v>
      </c>
      <c r="W31" s="133">
        <f>IF(SER_hh_fec!W31=0,0,11630*1000*SER_hh_fec!W31/SER_hh_num!W31)</f>
        <v>65555.424960946606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43986.201078201258</v>
      </c>
      <c r="C33" s="68">
        <f>IF(SER_hh_fec!C33=0,0,11630*1000*SER_hh_fec!C33/SER_hh_num!C33)</f>
        <v>47133.748835098217</v>
      </c>
      <c r="D33" s="68">
        <f>IF(SER_hh_fec!D33=0,0,11630*1000*SER_hh_fec!D33/SER_hh_num!D33)</f>
        <v>44132.912080464412</v>
      </c>
      <c r="E33" s="68">
        <f>IF(SER_hh_fec!E33=0,0,11630*1000*SER_hh_fec!E33/SER_hh_num!E33)</f>
        <v>48960.510105299851</v>
      </c>
      <c r="F33" s="68">
        <f>IF(SER_hh_fec!F33=0,0,11630*1000*SER_hh_fec!F33/SER_hh_num!F33)</f>
        <v>11985.275869819452</v>
      </c>
      <c r="G33" s="68">
        <f>IF(SER_hh_fec!G33=0,0,11630*1000*SER_hh_fec!G33/SER_hh_num!G33)</f>
        <v>29471.008821130876</v>
      </c>
      <c r="H33" s="68">
        <f>IF(SER_hh_fec!H33=0,0,11630*1000*SER_hh_fec!H33/SER_hh_num!H33)</f>
        <v>42116.82336731875</v>
      </c>
      <c r="I33" s="68">
        <f>IF(SER_hh_fec!I33=0,0,11630*1000*SER_hh_fec!I33/SER_hh_num!I33)</f>
        <v>24075.757988503061</v>
      </c>
      <c r="J33" s="68">
        <f>IF(SER_hh_fec!J33=0,0,11630*1000*SER_hh_fec!J33/SER_hh_num!J33)</f>
        <v>59967.578900177352</v>
      </c>
      <c r="K33" s="68">
        <f>IF(SER_hh_fec!K33=0,0,11630*1000*SER_hh_fec!K33/SER_hh_num!K33)</f>
        <v>55253.169371895179</v>
      </c>
      <c r="L33" s="68">
        <f>IF(SER_hh_fec!L33=0,0,11630*1000*SER_hh_fec!L33/SER_hh_num!L33)</f>
        <v>50107.116373564713</v>
      </c>
      <c r="M33" s="68">
        <f>IF(SER_hh_fec!M33=0,0,11630*1000*SER_hh_fec!M33/SER_hh_num!M33)</f>
        <v>51361.872627211371</v>
      </c>
      <c r="N33" s="68">
        <f>IF(SER_hh_fec!N33=0,0,11630*1000*SER_hh_fec!N33/SER_hh_num!N33)</f>
        <v>51852.591527247918</v>
      </c>
      <c r="O33" s="68">
        <f>IF(SER_hh_fec!O33=0,0,11630*1000*SER_hh_fec!O33/SER_hh_num!O33)</f>
        <v>54076.272060121795</v>
      </c>
      <c r="P33" s="68">
        <f>IF(SER_hh_fec!P33=0,0,11630*1000*SER_hh_fec!P33/SER_hh_num!P33)</f>
        <v>54734.373099233606</v>
      </c>
      <c r="Q33" s="68">
        <f>IF(SER_hh_fec!Q33=0,0,11630*1000*SER_hh_fec!Q33/SER_hh_num!Q33)</f>
        <v>53297.483905564979</v>
      </c>
      <c r="R33" s="68">
        <f>IF(SER_hh_fec!R33=0,0,11630*1000*SER_hh_fec!R33/SER_hh_num!R33)</f>
        <v>52716.598757201857</v>
      </c>
      <c r="S33" s="68">
        <f>IF(SER_hh_fec!S33=0,0,11630*1000*SER_hh_fec!S33/SER_hh_num!S33)</f>
        <v>48935.97571143994</v>
      </c>
      <c r="T33" s="68">
        <f>IF(SER_hh_fec!T33=0,0,11630*1000*SER_hh_fec!T33/SER_hh_num!T33)</f>
        <v>50378.000978491284</v>
      </c>
      <c r="U33" s="68">
        <f>IF(SER_hh_fec!U33=0,0,11630*1000*SER_hh_fec!U33/SER_hh_num!U33)</f>
        <v>50124.463862994897</v>
      </c>
      <c r="V33" s="68">
        <f>IF(SER_hh_fec!V33=0,0,11630*1000*SER_hh_fec!V33/SER_hh_num!V33)</f>
        <v>43902.612774139059</v>
      </c>
      <c r="W33" s="68">
        <f>IF(SER_hh_fec!W33=0,0,11630*1000*SER_hh_fec!W33/SER_hh_num!W33)</f>
        <v>47271.42105307553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244142.06244485642</v>
      </c>
      <c r="C3" s="126">
        <f>IF(SER_hh_tes!C3=0,0,11630*1000*SER_hh_tes!C3/SER_hh_num!C3)</f>
        <v>284735.80074966478</v>
      </c>
      <c r="D3" s="126">
        <f>IF(SER_hh_tes!D3=0,0,11630*1000*SER_hh_tes!D3/SER_hh_num!D3)</f>
        <v>125230.23372921767</v>
      </c>
      <c r="E3" s="126">
        <f>IF(SER_hh_tes!E3=0,0,11630*1000*SER_hh_tes!E3/SER_hh_num!E3)</f>
        <v>211533.82168794633</v>
      </c>
      <c r="F3" s="126">
        <f>IF(SER_hh_tes!F3=0,0,11630*1000*SER_hh_tes!F3/SER_hh_num!F3)</f>
        <v>222318.35637418841</v>
      </c>
      <c r="G3" s="126">
        <f>IF(SER_hh_tes!G3=0,0,11630*1000*SER_hh_tes!G3/SER_hh_num!G3)</f>
        <v>281231.7033449146</v>
      </c>
      <c r="H3" s="126">
        <f>IF(SER_hh_tes!H3=0,0,11630*1000*SER_hh_tes!H3/SER_hh_num!H3)</f>
        <v>348579.15313087753</v>
      </c>
      <c r="I3" s="126">
        <f>IF(SER_hh_tes!I3=0,0,11630*1000*SER_hh_tes!I3/SER_hh_num!I3)</f>
        <v>294569.45420123631</v>
      </c>
      <c r="J3" s="126">
        <f>IF(SER_hh_tes!J3=0,0,11630*1000*SER_hh_tes!J3/SER_hh_num!J3)</f>
        <v>243185.86653524457</v>
      </c>
      <c r="K3" s="126">
        <f>IF(SER_hh_tes!K3=0,0,11630*1000*SER_hh_tes!K3/SER_hh_num!K3)</f>
        <v>227347.42760388384</v>
      </c>
      <c r="L3" s="126">
        <f>IF(SER_hh_tes!L3=0,0,11630*1000*SER_hh_tes!L3/SER_hh_num!L3)</f>
        <v>236288.07760175344</v>
      </c>
      <c r="M3" s="126">
        <f>IF(SER_hh_tes!M3=0,0,11630*1000*SER_hh_tes!M3/SER_hh_num!M3)</f>
        <v>215783.35660862367</v>
      </c>
      <c r="N3" s="126">
        <f>IF(SER_hh_tes!N3=0,0,11630*1000*SER_hh_tes!N3/SER_hh_num!N3)</f>
        <v>209156.63356923489</v>
      </c>
      <c r="O3" s="126">
        <f>IF(SER_hh_tes!O3=0,0,11630*1000*SER_hh_tes!O3/SER_hh_num!O3)</f>
        <v>196833.54895891467</v>
      </c>
      <c r="P3" s="126">
        <f>IF(SER_hh_tes!P3=0,0,11630*1000*SER_hh_tes!P3/SER_hh_num!P3)</f>
        <v>184554.53949996753</v>
      </c>
      <c r="Q3" s="126">
        <f>IF(SER_hh_tes!Q3=0,0,11630*1000*SER_hh_tes!Q3/SER_hh_num!Q3)</f>
        <v>181556.00903508405</v>
      </c>
      <c r="R3" s="126">
        <f>IF(SER_hh_tes!R3=0,0,11630*1000*SER_hh_tes!R3/SER_hh_num!R3)</f>
        <v>181217.70599589185</v>
      </c>
      <c r="S3" s="126">
        <f>IF(SER_hh_tes!S3=0,0,11630*1000*SER_hh_tes!S3/SER_hh_num!S3)</f>
        <v>185063.75655932396</v>
      </c>
      <c r="T3" s="126">
        <f>IF(SER_hh_tes!T3=0,0,11630*1000*SER_hh_tes!T3/SER_hh_num!T3)</f>
        <v>184230.99841750055</v>
      </c>
      <c r="U3" s="126">
        <f>IF(SER_hh_tes!U3=0,0,11630*1000*SER_hh_tes!U3/SER_hh_num!U3)</f>
        <v>180409.86400715518</v>
      </c>
      <c r="V3" s="126">
        <f>IF(SER_hh_tes!V3=0,0,11630*1000*SER_hh_tes!V3/SER_hh_num!V3)</f>
        <v>164632.98212466273</v>
      </c>
      <c r="W3" s="126">
        <f>IF(SER_hh_tes!W3=0,0,11630*1000*SER_hh_tes!W3/SER_hh_num!W3)</f>
        <v>181505.41423321486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187224.99207828095</v>
      </c>
      <c r="C4" s="131">
        <f>IF(SER_hh_tes!C4=0,0,11630*1000*SER_hh_tes!C4/SER_hh_num!C4)</f>
        <v>226740.35252401599</v>
      </c>
      <c r="D4" s="131">
        <f>IF(SER_hh_tes!D4=0,0,11630*1000*SER_hh_tes!D4/SER_hh_num!D4)</f>
        <v>86844.775477725911</v>
      </c>
      <c r="E4" s="131">
        <f>IF(SER_hh_tes!E4=0,0,11630*1000*SER_hh_tes!E4/SER_hh_num!E4)</f>
        <v>151969.118889851</v>
      </c>
      <c r="F4" s="131">
        <f>IF(SER_hh_tes!F4=0,0,11630*1000*SER_hh_tes!F4/SER_hh_num!F4)</f>
        <v>156701.25326395017</v>
      </c>
      <c r="G4" s="131">
        <f>IF(SER_hh_tes!G4=0,0,11630*1000*SER_hh_tes!G4/SER_hh_num!G4)</f>
        <v>214156.92206827164</v>
      </c>
      <c r="H4" s="131">
        <f>IF(SER_hh_tes!H4=0,0,11630*1000*SER_hh_tes!H4/SER_hh_num!H4)</f>
        <v>279458.5155536625</v>
      </c>
      <c r="I4" s="131">
        <f>IF(SER_hh_tes!I4=0,0,11630*1000*SER_hh_tes!I4/SER_hh_num!I4)</f>
        <v>223384.66342694892</v>
      </c>
      <c r="J4" s="131">
        <f>IF(SER_hh_tes!J4=0,0,11630*1000*SER_hh_tes!J4/SER_hh_num!J4)</f>
        <v>170586.83932609542</v>
      </c>
      <c r="K4" s="131">
        <f>IF(SER_hh_tes!K4=0,0,11630*1000*SER_hh_tes!K4/SER_hh_num!K4)</f>
        <v>154605.76482862621</v>
      </c>
      <c r="L4" s="131">
        <f>IF(SER_hh_tes!L4=0,0,11630*1000*SER_hh_tes!L4/SER_hh_num!L4)</f>
        <v>163399.63814483827</v>
      </c>
      <c r="M4" s="131">
        <f>IF(SER_hh_tes!M4=0,0,11630*1000*SER_hh_tes!M4/SER_hh_num!M4)</f>
        <v>142176.9421753498</v>
      </c>
      <c r="N4" s="131">
        <f>IF(SER_hh_tes!N4=0,0,11630*1000*SER_hh_tes!N4/SER_hh_num!N4)</f>
        <v>133207.438040596</v>
      </c>
      <c r="O4" s="131">
        <f>IF(SER_hh_tes!O4=0,0,11630*1000*SER_hh_tes!O4/SER_hh_num!O4)</f>
        <v>120151.74674866578</v>
      </c>
      <c r="P4" s="131">
        <f>IF(SER_hh_tes!P4=0,0,11630*1000*SER_hh_tes!P4/SER_hh_num!P4)</f>
        <v>107135.3122982051</v>
      </c>
      <c r="Q4" s="131">
        <f>IF(SER_hh_tes!Q4=0,0,11630*1000*SER_hh_tes!Q4/SER_hh_num!Q4)</f>
        <v>102018.60495293459</v>
      </c>
      <c r="R4" s="131">
        <f>IF(SER_hh_tes!R4=0,0,11630*1000*SER_hh_tes!R4/SER_hh_num!R4)</f>
        <v>103679.64779483981</v>
      </c>
      <c r="S4" s="131">
        <f>IF(SER_hh_tes!S4=0,0,11630*1000*SER_hh_tes!S4/SER_hh_num!S4)</f>
        <v>108194.30947274718</v>
      </c>
      <c r="T4" s="131">
        <f>IF(SER_hh_tes!T4=0,0,11630*1000*SER_hh_tes!T4/SER_hh_num!T4)</f>
        <v>107904.57046980571</v>
      </c>
      <c r="U4" s="131">
        <f>IF(SER_hh_tes!U4=0,0,11630*1000*SER_hh_tes!U4/SER_hh_num!U4)</f>
        <v>104524.13593781357</v>
      </c>
      <c r="V4" s="131">
        <f>IF(SER_hh_tes!V4=0,0,11630*1000*SER_hh_tes!V4/SER_hh_num!V4)</f>
        <v>94413.721527710877</v>
      </c>
      <c r="W4" s="131">
        <f>IF(SER_hh_tes!W4=0,0,11630*1000*SER_hh_tes!W4/SER_hh_num!W4)</f>
        <v>105028.05354586798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99050.453029922195</v>
      </c>
      <c r="C5" s="133">
        <f>IF(SER_hh_tes!C5=0,0,11630*1000*SER_hh_tes!C5/SER_hh_num!C5)</f>
        <v>208275.98605483503</v>
      </c>
      <c r="D5" s="133">
        <f>IF(SER_hh_tes!D5=0,0,11630*1000*SER_hh_tes!D5/SER_hh_num!D5)</f>
        <v>133167.10182152243</v>
      </c>
      <c r="E5" s="133">
        <f>IF(SER_hh_tes!E5=0,0,11630*1000*SER_hh_tes!E5/SER_hh_num!E5)</f>
        <v>118166.9848962571</v>
      </c>
      <c r="F5" s="133">
        <f>IF(SER_hh_tes!F5=0,0,11630*1000*SER_hh_tes!F5/SER_hh_num!F5)</f>
        <v>83057.247648247634</v>
      </c>
      <c r="G5" s="133">
        <f>IF(SER_hh_tes!G5=0,0,11630*1000*SER_hh_tes!G5/SER_hh_num!G5)</f>
        <v>52547.403423681906</v>
      </c>
      <c r="H5" s="133">
        <f>IF(SER_hh_tes!H5=0,0,11630*1000*SER_hh_tes!H5/SER_hh_num!H5)</f>
        <v>411579.54788137</v>
      </c>
      <c r="I5" s="133">
        <f>IF(SER_hh_tes!I5=0,0,11630*1000*SER_hh_tes!I5/SER_hh_num!I5)</f>
        <v>245219.60495581987</v>
      </c>
      <c r="J5" s="133">
        <f>IF(SER_hh_tes!J5=0,0,11630*1000*SER_hh_tes!J5/SER_hh_num!J5)</f>
        <v>97396.762217636409</v>
      </c>
      <c r="K5" s="133">
        <f>IF(SER_hh_tes!K5=0,0,11630*1000*SER_hh_tes!K5/SER_hh_num!K5)</f>
        <v>63671.340686059499</v>
      </c>
      <c r="L5" s="133">
        <f>IF(SER_hh_tes!L5=0,0,11630*1000*SER_hh_tes!L5/SER_hh_num!L5)</f>
        <v>161796.12948096465</v>
      </c>
      <c r="M5" s="133">
        <f>IF(SER_hh_tes!M5=0,0,11630*1000*SER_hh_tes!M5/SER_hh_num!M5)</f>
        <v>177778.95311329831</v>
      </c>
      <c r="N5" s="133">
        <f>IF(SER_hh_tes!N5=0,0,11630*1000*SER_hh_tes!N5/SER_hh_num!N5)</f>
        <v>97320.967122953181</v>
      </c>
      <c r="O5" s="133">
        <f>IF(SER_hh_tes!O5=0,0,11630*1000*SER_hh_tes!O5/SER_hh_num!O5)</f>
        <v>145207.18139566467</v>
      </c>
      <c r="P5" s="133">
        <f>IF(SER_hh_tes!P5=0,0,11630*1000*SER_hh_tes!P5/SER_hh_num!P5)</f>
        <v>91217.101609856662</v>
      </c>
      <c r="Q5" s="133">
        <f>IF(SER_hh_tes!Q5=0,0,11630*1000*SER_hh_tes!Q5/SER_hh_num!Q5)</f>
        <v>95608.57358878864</v>
      </c>
      <c r="R5" s="133">
        <f>IF(SER_hh_tes!R5=0,0,11630*1000*SER_hh_tes!R5/SER_hh_num!R5)</f>
        <v>168798.58181116366</v>
      </c>
      <c r="S5" s="133">
        <f>IF(SER_hh_tes!S5=0,0,11630*1000*SER_hh_tes!S5/SER_hh_num!S5)</f>
        <v>0</v>
      </c>
      <c r="T5" s="133">
        <f>IF(SER_hh_tes!T5=0,0,11630*1000*SER_hh_tes!T5/SER_hh_num!T5)</f>
        <v>159293.96349589489</v>
      </c>
      <c r="U5" s="133">
        <f>IF(SER_hh_tes!U5=0,0,11630*1000*SER_hh_tes!U5/SER_hh_num!U5)</f>
        <v>131995.91843932998</v>
      </c>
      <c r="V5" s="133">
        <f>IF(SER_hh_tes!V5=0,0,11630*1000*SER_hh_tes!V5/SER_hh_num!V5)</f>
        <v>45068.064455400738</v>
      </c>
      <c r="W5" s="133">
        <f>IF(SER_hh_tes!W5=0,0,11630*1000*SER_hh_tes!W5/SER_hh_num!W5)</f>
        <v>119200.36626696064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165497.10636580639</v>
      </c>
      <c r="C7" s="133">
        <f>IF(SER_hh_tes!C7=0,0,11630*1000*SER_hh_tes!C7/SER_hh_num!C7)</f>
        <v>118490.19689828614</v>
      </c>
      <c r="D7" s="133">
        <f>IF(SER_hh_tes!D7=0,0,11630*1000*SER_hh_tes!D7/SER_hh_num!D7)</f>
        <v>127174.99719397834</v>
      </c>
      <c r="E7" s="133">
        <f>IF(SER_hh_tes!E7=0,0,11630*1000*SER_hh_tes!E7/SER_hh_num!E7)</f>
        <v>114786.74477263018</v>
      </c>
      <c r="F7" s="133">
        <f>IF(SER_hh_tes!F7=0,0,11630*1000*SER_hh_tes!F7/SER_hh_num!F7)</f>
        <v>198460.46139825688</v>
      </c>
      <c r="G7" s="133">
        <f>IF(SER_hh_tes!G7=0,0,11630*1000*SER_hh_tes!G7/SER_hh_num!G7)</f>
        <v>221826.18679621932</v>
      </c>
      <c r="H7" s="133">
        <f>IF(SER_hh_tes!H7=0,0,11630*1000*SER_hh_tes!H7/SER_hh_num!H7)</f>
        <v>159173.41482273838</v>
      </c>
      <c r="I7" s="133">
        <f>IF(SER_hh_tes!I7=0,0,11630*1000*SER_hh_tes!I7/SER_hh_num!I7)</f>
        <v>253754.6949636447</v>
      </c>
      <c r="J7" s="133">
        <f>IF(SER_hh_tes!J7=0,0,11630*1000*SER_hh_tes!J7/SER_hh_num!J7)</f>
        <v>212662.89219756631</v>
      </c>
      <c r="K7" s="133">
        <f>IF(SER_hh_tes!K7=0,0,11630*1000*SER_hh_tes!K7/SER_hh_num!K7)</f>
        <v>99996.923262152763</v>
      </c>
      <c r="L7" s="133">
        <f>IF(SER_hh_tes!L7=0,0,11630*1000*SER_hh_tes!L7/SER_hh_num!L7)</f>
        <v>103342.77033271693</v>
      </c>
      <c r="M7" s="133">
        <f>IF(SER_hh_tes!M7=0,0,11630*1000*SER_hh_tes!M7/SER_hh_num!M7)</f>
        <v>179812.05540640934</v>
      </c>
      <c r="N7" s="133">
        <f>IF(SER_hh_tes!N7=0,0,11630*1000*SER_hh_tes!N7/SER_hh_num!N7)</f>
        <v>142452.77116294636</v>
      </c>
      <c r="O7" s="133">
        <f>IF(SER_hh_tes!O7=0,0,11630*1000*SER_hh_tes!O7/SER_hh_num!O7)</f>
        <v>108100.15001056402</v>
      </c>
      <c r="P7" s="133">
        <f>IF(SER_hh_tes!P7=0,0,11630*1000*SER_hh_tes!P7/SER_hh_num!P7)</f>
        <v>98774.940422480038</v>
      </c>
      <c r="Q7" s="133">
        <f>IF(SER_hh_tes!Q7=0,0,11630*1000*SER_hh_tes!Q7/SER_hh_num!Q7)</f>
        <v>98154.628740957633</v>
      </c>
      <c r="R7" s="133">
        <f>IF(SER_hh_tes!R7=0,0,11630*1000*SER_hh_tes!R7/SER_hh_num!R7)</f>
        <v>92904.985231577026</v>
      </c>
      <c r="S7" s="133">
        <f>IF(SER_hh_tes!S7=0,0,11630*1000*SER_hh_tes!S7/SER_hh_num!S7)</f>
        <v>110808.50219445446</v>
      </c>
      <c r="T7" s="133">
        <f>IF(SER_hh_tes!T7=0,0,11630*1000*SER_hh_tes!T7/SER_hh_num!T7)</f>
        <v>110054.3857849333</v>
      </c>
      <c r="U7" s="133">
        <f>IF(SER_hh_tes!U7=0,0,11630*1000*SER_hh_tes!U7/SER_hh_num!U7)</f>
        <v>100539.34813630048</v>
      </c>
      <c r="V7" s="133">
        <f>IF(SER_hh_tes!V7=0,0,11630*1000*SER_hh_tes!V7/SER_hh_num!V7)</f>
        <v>84319.003609139909</v>
      </c>
      <c r="W7" s="133">
        <f>IF(SER_hh_tes!W7=0,0,11630*1000*SER_hh_tes!W7/SER_hh_num!W7)</f>
        <v>115086.25651139414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135858.99197657203</v>
      </c>
      <c r="C9" s="133">
        <f>IF(SER_hh_tes!C9=0,0,11630*1000*SER_hh_tes!C9/SER_hh_num!C9)</f>
        <v>323991.19052100473</v>
      </c>
      <c r="D9" s="133">
        <f>IF(SER_hh_tes!D9=0,0,11630*1000*SER_hh_tes!D9/SER_hh_num!D9)</f>
        <v>29775.993060948818</v>
      </c>
      <c r="E9" s="133">
        <f>IF(SER_hh_tes!E9=0,0,11630*1000*SER_hh_tes!E9/SER_hh_num!E9)</f>
        <v>166251.2459262638</v>
      </c>
      <c r="F9" s="133">
        <f>IF(SER_hh_tes!F9=0,0,11630*1000*SER_hh_tes!F9/SER_hh_num!F9)</f>
        <v>169505.59878752541</v>
      </c>
      <c r="G9" s="133">
        <f>IF(SER_hh_tes!G9=0,0,11630*1000*SER_hh_tes!G9/SER_hh_num!G9)</f>
        <v>173144.21994081809</v>
      </c>
      <c r="H9" s="133">
        <f>IF(SER_hh_tes!H9=0,0,11630*1000*SER_hh_tes!H9/SER_hh_num!H9)</f>
        <v>329910.90773537202</v>
      </c>
      <c r="I9" s="133">
        <f>IF(SER_hh_tes!I9=0,0,11630*1000*SER_hh_tes!I9/SER_hh_num!I9)</f>
        <v>216247.6573726162</v>
      </c>
      <c r="J9" s="133">
        <f>IF(SER_hh_tes!J9=0,0,11630*1000*SER_hh_tes!J9/SER_hh_num!J9)</f>
        <v>148107.09400929697</v>
      </c>
      <c r="K9" s="133">
        <f>IF(SER_hh_tes!K9=0,0,11630*1000*SER_hh_tes!K9/SER_hh_num!K9)</f>
        <v>166931.27309588823</v>
      </c>
      <c r="L9" s="133">
        <f>IF(SER_hh_tes!L9=0,0,11630*1000*SER_hh_tes!L9/SER_hh_num!L9)</f>
        <v>167160.29257999233</v>
      </c>
      <c r="M9" s="133">
        <f>IF(SER_hh_tes!M9=0,0,11630*1000*SER_hh_tes!M9/SER_hh_num!M9)</f>
        <v>127070.39325499506</v>
      </c>
      <c r="N9" s="133">
        <f>IF(SER_hh_tes!N9=0,0,11630*1000*SER_hh_tes!N9/SER_hh_num!N9)</f>
        <v>127601.56610853817</v>
      </c>
      <c r="O9" s="133">
        <f>IF(SER_hh_tes!O9=0,0,11630*1000*SER_hh_tes!O9/SER_hh_num!O9)</f>
        <v>121433.12729239262</v>
      </c>
      <c r="P9" s="133">
        <f>IF(SER_hh_tes!P9=0,0,11630*1000*SER_hh_tes!P9/SER_hh_num!P9)</f>
        <v>111604.82480766224</v>
      </c>
      <c r="Q9" s="133">
        <f>IF(SER_hh_tes!Q9=0,0,11630*1000*SER_hh_tes!Q9/SER_hh_num!Q9)</f>
        <v>99429.830475502386</v>
      </c>
      <c r="R9" s="133">
        <f>IF(SER_hh_tes!R9=0,0,11630*1000*SER_hh_tes!R9/SER_hh_num!R9)</f>
        <v>99594.552406176241</v>
      </c>
      <c r="S9" s="133">
        <f>IF(SER_hh_tes!S9=0,0,11630*1000*SER_hh_tes!S9/SER_hh_num!S9)</f>
        <v>105883.18570244395</v>
      </c>
      <c r="T9" s="133">
        <f>IF(SER_hh_tes!T9=0,0,11630*1000*SER_hh_tes!T9/SER_hh_num!T9)</f>
        <v>105242.22286638404</v>
      </c>
      <c r="U9" s="133">
        <f>IF(SER_hh_tes!U9=0,0,11630*1000*SER_hh_tes!U9/SER_hh_num!U9)</f>
        <v>103816.62555904787</v>
      </c>
      <c r="V9" s="133">
        <f>IF(SER_hh_tes!V9=0,0,11630*1000*SER_hh_tes!V9/SER_hh_num!V9)</f>
        <v>96883.506928445378</v>
      </c>
      <c r="W9" s="133">
        <f>IF(SER_hh_tes!W9=0,0,11630*1000*SER_hh_tes!W9/SER_hh_num!W9)</f>
        <v>97697.291139688328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181205.04874744144</v>
      </c>
      <c r="D10" s="133">
        <f>IF(SER_hh_tes!D10=0,0,11630*1000*SER_hh_tes!D10/SER_hh_num!D10)</f>
        <v>138212.13488691827</v>
      </c>
      <c r="E10" s="133">
        <f>IF(SER_hh_tes!E10=0,0,11630*1000*SER_hh_tes!E10/SER_hh_num!E10)</f>
        <v>139717.20060705082</v>
      </c>
      <c r="F10" s="133">
        <f>IF(SER_hh_tes!F10=0,0,11630*1000*SER_hh_tes!F10/SER_hh_num!F10)</f>
        <v>130117.6321754158</v>
      </c>
      <c r="G10" s="133">
        <f>IF(SER_hh_tes!G10=0,0,11630*1000*SER_hh_tes!G10/SER_hh_num!G10)</f>
        <v>237747.68909563794</v>
      </c>
      <c r="H10" s="133">
        <f>IF(SER_hh_tes!H10=0,0,11630*1000*SER_hh_tes!H10/SER_hh_num!H10)</f>
        <v>244684.38472494268</v>
      </c>
      <c r="I10" s="133">
        <f>IF(SER_hh_tes!I10=0,0,11630*1000*SER_hh_tes!I10/SER_hh_num!I10)</f>
        <v>203828.37446730476</v>
      </c>
      <c r="J10" s="133">
        <f>IF(SER_hh_tes!J10=0,0,11630*1000*SER_hh_tes!J10/SER_hh_num!J10)</f>
        <v>180547.51339173896</v>
      </c>
      <c r="K10" s="133">
        <f>IF(SER_hh_tes!K10=0,0,11630*1000*SER_hh_tes!K10/SER_hh_num!K10)</f>
        <v>162354.78734106492</v>
      </c>
      <c r="L10" s="133">
        <f>IF(SER_hh_tes!L10=0,0,11630*1000*SER_hh_tes!L10/SER_hh_num!L10)</f>
        <v>186328.51302872252</v>
      </c>
      <c r="M10" s="133">
        <f>IF(SER_hh_tes!M10=0,0,11630*1000*SER_hh_tes!M10/SER_hh_num!M10)</f>
        <v>111030.2302449931</v>
      </c>
      <c r="N10" s="133">
        <f>IF(SER_hh_tes!N10=0,0,11630*1000*SER_hh_tes!N10/SER_hh_num!N10)</f>
        <v>127414.11821386447</v>
      </c>
      <c r="O10" s="133">
        <f>IF(SER_hh_tes!O10=0,0,11630*1000*SER_hh_tes!O10/SER_hh_num!O10)</f>
        <v>94789.529730986906</v>
      </c>
      <c r="P10" s="133">
        <f>IF(SER_hh_tes!P10=0,0,11630*1000*SER_hh_tes!P10/SER_hh_num!P10)</f>
        <v>74360.166342532015</v>
      </c>
      <c r="Q10" s="133">
        <f>IF(SER_hh_tes!Q10=0,0,11630*1000*SER_hh_tes!Q10/SER_hh_num!Q10)</f>
        <v>119078.91164901492</v>
      </c>
      <c r="R10" s="133">
        <f>IF(SER_hh_tes!R10=0,0,11630*1000*SER_hh_tes!R10/SER_hh_num!R10)</f>
        <v>122034.90702333738</v>
      </c>
      <c r="S10" s="133">
        <f>IF(SER_hh_tes!S10=0,0,11630*1000*SER_hh_tes!S10/SER_hh_num!S10)</f>
        <v>103055.73902543407</v>
      </c>
      <c r="T10" s="133">
        <f>IF(SER_hh_tes!T10=0,0,11630*1000*SER_hh_tes!T10/SER_hh_num!T10)</f>
        <v>101814.96457434063</v>
      </c>
      <c r="U10" s="133">
        <f>IF(SER_hh_tes!U10=0,0,11630*1000*SER_hh_tes!U10/SER_hh_num!U10)</f>
        <v>107267.5644382311</v>
      </c>
      <c r="V10" s="133">
        <f>IF(SER_hh_tes!V10=0,0,11630*1000*SER_hh_tes!V10/SER_hh_num!V10)</f>
        <v>91412.673227808584</v>
      </c>
      <c r="W10" s="133">
        <f>IF(SER_hh_tes!W10=0,0,11630*1000*SER_hh_tes!W10/SER_hh_num!W10)</f>
        <v>104481.38600582309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223213.66967177976</v>
      </c>
      <c r="C11" s="133">
        <f>IF(SER_hh_tes!C11=0,0,11630*1000*SER_hh_tes!C11/SER_hh_num!C11)</f>
        <v>73444.781068822878</v>
      </c>
      <c r="D11" s="133">
        <f>IF(SER_hh_tes!D11=0,0,11630*1000*SER_hh_tes!D11/SER_hh_num!D11)</f>
        <v>138309.09230846964</v>
      </c>
      <c r="E11" s="133">
        <f>IF(SER_hh_tes!E11=0,0,11630*1000*SER_hh_tes!E11/SER_hh_num!E11)</f>
        <v>168605.33608394358</v>
      </c>
      <c r="F11" s="133">
        <f>IF(SER_hh_tes!F11=0,0,11630*1000*SER_hh_tes!F11/SER_hh_num!F11)</f>
        <v>114874.3691786783</v>
      </c>
      <c r="G11" s="133">
        <f>IF(SER_hh_tes!G11=0,0,11630*1000*SER_hh_tes!G11/SER_hh_num!G11)</f>
        <v>257478.2425454295</v>
      </c>
      <c r="H11" s="133">
        <f>IF(SER_hh_tes!H11=0,0,11630*1000*SER_hh_tes!H11/SER_hh_num!H11)</f>
        <v>170317.10160727857</v>
      </c>
      <c r="I11" s="133">
        <f>IF(SER_hh_tes!I11=0,0,11630*1000*SER_hh_tes!I11/SER_hh_num!I11)</f>
        <v>148631.06486919828</v>
      </c>
      <c r="J11" s="133">
        <f>IF(SER_hh_tes!J11=0,0,11630*1000*SER_hh_tes!J11/SER_hh_num!J11)</f>
        <v>232162.78459003544</v>
      </c>
      <c r="K11" s="133">
        <f>IF(SER_hh_tes!K11=0,0,11630*1000*SER_hh_tes!K11/SER_hh_num!K11)</f>
        <v>199614.78841645233</v>
      </c>
      <c r="L11" s="133">
        <f>IF(SER_hh_tes!L11=0,0,11630*1000*SER_hh_tes!L11/SER_hh_num!L11)</f>
        <v>77009.623357749311</v>
      </c>
      <c r="M11" s="133">
        <f>IF(SER_hh_tes!M11=0,0,11630*1000*SER_hh_tes!M11/SER_hh_num!M11)</f>
        <v>135154.6958231536</v>
      </c>
      <c r="N11" s="133">
        <f>IF(SER_hh_tes!N11=0,0,11630*1000*SER_hh_tes!N11/SER_hh_num!N11)</f>
        <v>113663.18870516904</v>
      </c>
      <c r="O11" s="133">
        <f>IF(SER_hh_tes!O11=0,0,11630*1000*SER_hh_tes!O11/SER_hh_num!O11)</f>
        <v>123777.78042932102</v>
      </c>
      <c r="P11" s="133">
        <f>IF(SER_hh_tes!P11=0,0,11630*1000*SER_hh_tes!P11/SER_hh_num!P11)</f>
        <v>114055.46055805229</v>
      </c>
      <c r="Q11" s="133">
        <f>IF(SER_hh_tes!Q11=0,0,11630*1000*SER_hh_tes!Q11/SER_hh_num!Q11)</f>
        <v>97405.815032061495</v>
      </c>
      <c r="R11" s="133">
        <f>IF(SER_hh_tes!R11=0,0,11630*1000*SER_hh_tes!R11/SER_hh_num!R11)</f>
        <v>105472.89608661222</v>
      </c>
      <c r="S11" s="133">
        <f>IF(SER_hh_tes!S11=0,0,11630*1000*SER_hh_tes!S11/SER_hh_num!S11)</f>
        <v>113553.54553346685</v>
      </c>
      <c r="T11" s="133">
        <f>IF(SER_hh_tes!T11=0,0,11630*1000*SER_hh_tes!T11/SER_hh_num!T11)</f>
        <v>115410.98210610761</v>
      </c>
      <c r="U11" s="133">
        <f>IF(SER_hh_tes!U11=0,0,11630*1000*SER_hh_tes!U11/SER_hh_num!U11)</f>
        <v>133374.1470990747</v>
      </c>
      <c r="V11" s="133">
        <f>IF(SER_hh_tes!V11=0,0,11630*1000*SER_hh_tes!V11/SER_hh_num!V11)</f>
        <v>60930.500784195247</v>
      </c>
      <c r="W11" s="133">
        <f>IF(SER_hh_tes!W11=0,0,11630*1000*SER_hh_tes!W11/SER_hh_num!W11)</f>
        <v>99026.460634520277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216204.88413002307</v>
      </c>
      <c r="C12" s="133">
        <f>IF(SER_hh_tes!C12=0,0,11630*1000*SER_hh_tes!C12/SER_hh_num!C12)</f>
        <v>188011.85493358457</v>
      </c>
      <c r="D12" s="133">
        <f>IF(SER_hh_tes!D12=0,0,11630*1000*SER_hh_tes!D12/SER_hh_num!D12)</f>
        <v>88147.710476256572</v>
      </c>
      <c r="E12" s="133">
        <f>IF(SER_hh_tes!E12=0,0,11630*1000*SER_hh_tes!E12/SER_hh_num!E12)</f>
        <v>128990.47962555195</v>
      </c>
      <c r="F12" s="133">
        <f>IF(SER_hh_tes!F12=0,0,11630*1000*SER_hh_tes!F12/SER_hh_num!F12)</f>
        <v>98850.474181786587</v>
      </c>
      <c r="G12" s="133">
        <f>IF(SER_hh_tes!G12=0,0,11630*1000*SER_hh_tes!G12/SER_hh_num!G12)</f>
        <v>292288.55800081929</v>
      </c>
      <c r="H12" s="133">
        <f>IF(SER_hh_tes!H12=0,0,11630*1000*SER_hh_tes!H12/SER_hh_num!H12)</f>
        <v>238381.17912604468</v>
      </c>
      <c r="I12" s="133">
        <f>IF(SER_hh_tes!I12=0,0,11630*1000*SER_hh_tes!I12/SER_hh_num!I12)</f>
        <v>197772.22941345157</v>
      </c>
      <c r="J12" s="133">
        <f>IF(SER_hh_tes!J12=0,0,11630*1000*SER_hh_tes!J12/SER_hh_num!J12)</f>
        <v>193072.63771250439</v>
      </c>
      <c r="K12" s="133">
        <f>IF(SER_hh_tes!K12=0,0,11630*1000*SER_hh_tes!K12/SER_hh_num!K12)</f>
        <v>147174.39461636916</v>
      </c>
      <c r="L12" s="133">
        <f>IF(SER_hh_tes!L12=0,0,11630*1000*SER_hh_tes!L12/SER_hh_num!L12)</f>
        <v>152114.99181439311</v>
      </c>
      <c r="M12" s="133">
        <f>IF(SER_hh_tes!M12=0,0,11630*1000*SER_hh_tes!M12/SER_hh_num!M12)</f>
        <v>144070.11584413532</v>
      </c>
      <c r="N12" s="133">
        <f>IF(SER_hh_tes!N12=0,0,11630*1000*SER_hh_tes!N12/SER_hh_num!N12)</f>
        <v>138403.57111414507</v>
      </c>
      <c r="O12" s="133">
        <f>IF(SER_hh_tes!O12=0,0,11630*1000*SER_hh_tes!O12/SER_hh_num!O12)</f>
        <v>125623.56041266241</v>
      </c>
      <c r="P12" s="133">
        <f>IF(SER_hh_tes!P12=0,0,11630*1000*SER_hh_tes!P12/SER_hh_num!P12)</f>
        <v>102797.95101361204</v>
      </c>
      <c r="Q12" s="133">
        <f>IF(SER_hh_tes!Q12=0,0,11630*1000*SER_hh_tes!Q12/SER_hh_num!Q12)</f>
        <v>101635.56783278329</v>
      </c>
      <c r="R12" s="133">
        <f>IF(SER_hh_tes!R12=0,0,11630*1000*SER_hh_tes!R12/SER_hh_num!R12)</f>
        <v>108644.90005497882</v>
      </c>
      <c r="S12" s="133">
        <f>IF(SER_hh_tes!S12=0,0,11630*1000*SER_hh_tes!S12/SER_hh_num!S12)</f>
        <v>106560.57064418834</v>
      </c>
      <c r="T12" s="133">
        <f>IF(SER_hh_tes!T12=0,0,11630*1000*SER_hh_tes!T12/SER_hh_num!T12)</f>
        <v>107101.72440051129</v>
      </c>
      <c r="U12" s="133">
        <f>IF(SER_hh_tes!U12=0,0,11630*1000*SER_hh_tes!U12/SER_hh_num!U12)</f>
        <v>98582.489382729007</v>
      </c>
      <c r="V12" s="133">
        <f>IF(SER_hh_tes!V12=0,0,11630*1000*SER_hh_tes!V12/SER_hh_num!V12)</f>
        <v>98073.251732761244</v>
      </c>
      <c r="W12" s="133">
        <f>IF(SER_hh_tes!W12=0,0,11630*1000*SER_hh_tes!W12/SER_hh_num!W12)</f>
        <v>101546.39676596384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0</v>
      </c>
      <c r="C13" s="133">
        <f>IF(SER_hh_tes!C13=0,0,11630*1000*SER_hh_tes!C13/SER_hh_num!C13)</f>
        <v>0</v>
      </c>
      <c r="D13" s="133">
        <f>IF(SER_hh_tes!D13=0,0,11630*1000*SER_hh_tes!D13/SER_hh_num!D13)</f>
        <v>0</v>
      </c>
      <c r="E13" s="133">
        <f>IF(SER_hh_tes!E13=0,0,11630*1000*SER_hh_tes!E13/SER_hh_num!E13)</f>
        <v>0</v>
      </c>
      <c r="F13" s="133">
        <f>IF(SER_hh_tes!F13=0,0,11630*1000*SER_hh_tes!F13/SER_hh_num!F13)</f>
        <v>0</v>
      </c>
      <c r="G13" s="133">
        <f>IF(SER_hh_tes!G13=0,0,11630*1000*SER_hh_tes!G13/SER_hh_num!G13)</f>
        <v>0</v>
      </c>
      <c r="H13" s="133">
        <f>IF(SER_hh_tes!H13=0,0,11630*1000*SER_hh_tes!H13/SER_hh_num!H13)</f>
        <v>0</v>
      </c>
      <c r="I13" s="133">
        <f>IF(SER_hh_tes!I13=0,0,11630*1000*SER_hh_tes!I13/SER_hh_num!I13)</f>
        <v>0</v>
      </c>
      <c r="J13" s="133">
        <f>IF(SER_hh_tes!J13=0,0,11630*1000*SER_hh_tes!J13/SER_hh_num!J13)</f>
        <v>0</v>
      </c>
      <c r="K13" s="133">
        <f>IF(SER_hh_tes!K13=0,0,11630*1000*SER_hh_tes!K13/SER_hh_num!K13)</f>
        <v>0</v>
      </c>
      <c r="L13" s="133">
        <f>IF(SER_hh_tes!L13=0,0,11630*1000*SER_hh_tes!L13/SER_hh_num!L13)</f>
        <v>0</v>
      </c>
      <c r="M13" s="133">
        <f>IF(SER_hh_tes!M13=0,0,11630*1000*SER_hh_tes!M13/SER_hh_num!M13)</f>
        <v>0</v>
      </c>
      <c r="N13" s="133">
        <f>IF(SER_hh_tes!N13=0,0,11630*1000*SER_hh_tes!N13/SER_hh_num!N13)</f>
        <v>0</v>
      </c>
      <c r="O13" s="133">
        <f>IF(SER_hh_tes!O13=0,0,11630*1000*SER_hh_tes!O13/SER_hh_num!O13)</f>
        <v>0</v>
      </c>
      <c r="P13" s="133">
        <f>IF(SER_hh_tes!P13=0,0,11630*1000*SER_hh_tes!P13/SER_hh_num!P13)</f>
        <v>0</v>
      </c>
      <c r="Q13" s="133">
        <f>IF(SER_hh_tes!Q13=0,0,11630*1000*SER_hh_tes!Q13/SER_hh_num!Q13)</f>
        <v>0</v>
      </c>
      <c r="R13" s="133">
        <f>IF(SER_hh_tes!R13=0,0,11630*1000*SER_hh_tes!R13/SER_hh_num!R13)</f>
        <v>0</v>
      </c>
      <c r="S13" s="133">
        <f>IF(SER_hh_tes!S13=0,0,11630*1000*SER_hh_tes!S13/SER_hh_num!S13)</f>
        <v>0</v>
      </c>
      <c r="T13" s="133">
        <f>IF(SER_hh_tes!T13=0,0,11630*1000*SER_hh_tes!T13/SER_hh_num!T13)</f>
        <v>0</v>
      </c>
      <c r="U13" s="133">
        <f>IF(SER_hh_tes!U13=0,0,11630*1000*SER_hh_tes!U13/SER_hh_num!U13)</f>
        <v>0</v>
      </c>
      <c r="V13" s="133">
        <f>IF(SER_hh_tes!V13=0,0,11630*1000*SER_hh_tes!V13/SER_hh_num!V13)</f>
        <v>0</v>
      </c>
      <c r="W13" s="133">
        <f>IF(SER_hh_tes!W13=0,0,11630*1000*SER_hh_tes!W13/SER_hh_num!W13)</f>
        <v>0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177211.70916245686</v>
      </c>
      <c r="C14" s="65">
        <f>IF(SER_hh_tes!C14=0,0,11630*1000*SER_hh_tes!C14/SER_hh_num!C14)</f>
        <v>315930.67715164635</v>
      </c>
      <c r="D14" s="65">
        <f>IF(SER_hh_tes!D14=0,0,11630*1000*SER_hh_tes!D14/SER_hh_num!D14)</f>
        <v>2981.2207176194311</v>
      </c>
      <c r="E14" s="65">
        <f>IF(SER_hh_tes!E14=0,0,11630*1000*SER_hh_tes!E14/SER_hh_num!E14)</f>
        <v>264788.34149352793</v>
      </c>
      <c r="F14" s="65">
        <f>IF(SER_hh_tes!F14=0,0,11630*1000*SER_hh_tes!F14/SER_hh_num!F14)</f>
        <v>13814.74760749979</v>
      </c>
      <c r="G14" s="65">
        <f>IF(SER_hh_tes!G14=0,0,11630*1000*SER_hh_tes!G14/SER_hh_num!G14)</f>
        <v>188250.97486430861</v>
      </c>
      <c r="H14" s="65">
        <f>IF(SER_hh_tes!H14=0,0,11630*1000*SER_hh_tes!H14/SER_hh_num!H14)</f>
        <v>210580.9398442118</v>
      </c>
      <c r="I14" s="65">
        <f>IF(SER_hh_tes!I14=0,0,11630*1000*SER_hh_tes!I14/SER_hh_num!I14)</f>
        <v>283439.71725923999</v>
      </c>
      <c r="J14" s="65">
        <f>IF(SER_hh_tes!J14=0,0,11630*1000*SER_hh_tes!J14/SER_hh_num!J14)</f>
        <v>150209.03861882119</v>
      </c>
      <c r="K14" s="65">
        <f>IF(SER_hh_tes!K14=0,0,11630*1000*SER_hh_tes!K14/SER_hh_num!K14)</f>
        <v>125190.8358460239</v>
      </c>
      <c r="L14" s="65">
        <f>IF(SER_hh_tes!L14=0,0,11630*1000*SER_hh_tes!L14/SER_hh_num!L14)</f>
        <v>209750.83765019814</v>
      </c>
      <c r="M14" s="65">
        <f>IF(SER_hh_tes!M14=0,0,11630*1000*SER_hh_tes!M14/SER_hh_num!M14)</f>
        <v>171119.15569909097</v>
      </c>
      <c r="N14" s="65">
        <f>IF(SER_hh_tes!N14=0,0,11630*1000*SER_hh_tes!N14/SER_hh_num!N14)</f>
        <v>122343.57453863387</v>
      </c>
      <c r="O14" s="65">
        <f>IF(SER_hh_tes!O14=0,0,11630*1000*SER_hh_tes!O14/SER_hh_num!O14)</f>
        <v>101133.63177787428</v>
      </c>
      <c r="P14" s="65">
        <f>IF(SER_hh_tes!P14=0,0,11630*1000*SER_hh_tes!P14/SER_hh_num!P14)</f>
        <v>105628.95876313149</v>
      </c>
      <c r="Q14" s="65">
        <f>IF(SER_hh_tes!Q14=0,0,11630*1000*SER_hh_tes!Q14/SER_hh_num!Q14)</f>
        <v>64239.241552225656</v>
      </c>
      <c r="R14" s="65">
        <f>IF(SER_hh_tes!R14=0,0,11630*1000*SER_hh_tes!R14/SER_hh_num!R14)</f>
        <v>92737.282222108945</v>
      </c>
      <c r="S14" s="65">
        <f>IF(SER_hh_tes!S14=0,0,11630*1000*SER_hh_tes!S14/SER_hh_num!S14)</f>
        <v>103774.0266915792</v>
      </c>
      <c r="T14" s="65">
        <f>IF(SER_hh_tes!T14=0,0,11630*1000*SER_hh_tes!T14/SER_hh_num!T14)</f>
        <v>108660.70293418544</v>
      </c>
      <c r="U14" s="65">
        <f>IF(SER_hh_tes!U14=0,0,11630*1000*SER_hh_tes!U14/SER_hh_num!U14)</f>
        <v>104905.83165634568</v>
      </c>
      <c r="V14" s="65">
        <f>IF(SER_hh_tes!V14=0,0,11630*1000*SER_hh_tes!V14/SER_hh_num!V14)</f>
        <v>92420.67190822566</v>
      </c>
      <c r="W14" s="65">
        <f>IF(SER_hh_tes!W14=0,0,11630*1000*SER_hh_tes!W14/SER_hh_num!W14)</f>
        <v>107138.87590015843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1747.2589623826191</v>
      </c>
      <c r="C15" s="135">
        <f>IF(SER_hh_tes!C15=0,0,11630*1000*SER_hh_tes!C15/SER_hh_num!C15)</f>
        <v>2700.6048660527749</v>
      </c>
      <c r="D15" s="135">
        <f>IF(SER_hh_tes!D15=0,0,11630*1000*SER_hh_tes!D15/SER_hh_num!D15)</f>
        <v>1176.8167553989185</v>
      </c>
      <c r="E15" s="135">
        <f>IF(SER_hh_tes!E15=0,0,11630*1000*SER_hh_tes!E15/SER_hh_num!E15)</f>
        <v>2037.8062957608495</v>
      </c>
      <c r="F15" s="135">
        <f>IF(SER_hh_tes!F15=0,0,11630*1000*SER_hh_tes!F15/SER_hh_num!F15)</f>
        <v>2550.2565171044412</v>
      </c>
      <c r="G15" s="135">
        <f>IF(SER_hh_tes!G15=0,0,11630*1000*SER_hh_tes!G15/SER_hh_num!G15)</f>
        <v>2874.5448353425854</v>
      </c>
      <c r="H15" s="135">
        <f>IF(SER_hh_tes!H15=0,0,11630*1000*SER_hh_tes!H15/SER_hh_num!H15)</f>
        <v>4209.1121792978483</v>
      </c>
      <c r="I15" s="135">
        <f>IF(SER_hh_tes!I15=0,0,11630*1000*SER_hh_tes!I15/SER_hh_num!I15)</f>
        <v>3164.3791378915266</v>
      </c>
      <c r="J15" s="135">
        <f>IF(SER_hh_tes!J15=0,0,11630*1000*SER_hh_tes!J15/SER_hh_num!J15)</f>
        <v>2276.4751066112208</v>
      </c>
      <c r="K15" s="135">
        <f>IF(SER_hh_tes!K15=0,0,11630*1000*SER_hh_tes!K15/SER_hh_num!K15)</f>
        <v>2112.6141560189872</v>
      </c>
      <c r="L15" s="135">
        <f>IF(SER_hh_tes!L15=0,0,11630*1000*SER_hh_tes!L15/SER_hh_num!L15)</f>
        <v>2101.206670929128</v>
      </c>
      <c r="M15" s="135">
        <f>IF(SER_hh_tes!M15=0,0,11630*1000*SER_hh_tes!M15/SER_hh_num!M15)</f>
        <v>1815.5022172803897</v>
      </c>
      <c r="N15" s="135">
        <f>IF(SER_hh_tes!N15=0,0,11630*1000*SER_hh_tes!N15/SER_hh_num!N15)</f>
        <v>1707.8246325240589</v>
      </c>
      <c r="O15" s="135">
        <f>IF(SER_hh_tes!O15=0,0,11630*1000*SER_hh_tes!O15/SER_hh_num!O15)</f>
        <v>1536.135107773727</v>
      </c>
      <c r="P15" s="135">
        <f>IF(SER_hh_tes!P15=0,0,11630*1000*SER_hh_tes!P15/SER_hh_num!P15)</f>
        <v>1384.3857945043615</v>
      </c>
      <c r="Q15" s="135">
        <f>IF(SER_hh_tes!Q15=0,0,11630*1000*SER_hh_tes!Q15/SER_hh_num!Q15)</f>
        <v>1282.0493881858408</v>
      </c>
      <c r="R15" s="135">
        <f>IF(SER_hh_tes!R15=0,0,11630*1000*SER_hh_tes!R15/SER_hh_num!R15)</f>
        <v>1276.3773203842861</v>
      </c>
      <c r="S15" s="135">
        <f>IF(SER_hh_tes!S15=0,0,11630*1000*SER_hh_tes!S15/SER_hh_num!S15)</f>
        <v>1381.8884642113794</v>
      </c>
      <c r="T15" s="135">
        <f>IF(SER_hh_tes!T15=0,0,11630*1000*SER_hh_tes!T15/SER_hh_num!T15)</f>
        <v>1394.0812992804399</v>
      </c>
      <c r="U15" s="135">
        <f>IF(SER_hh_tes!U15=0,0,11630*1000*SER_hh_tes!U15/SER_hh_num!U15)</f>
        <v>1369.1271072659849</v>
      </c>
      <c r="V15" s="135">
        <f>IF(SER_hh_tes!V15=0,0,11630*1000*SER_hh_tes!V15/SER_hh_num!V15)</f>
        <v>1249.8268190986792</v>
      </c>
      <c r="W15" s="135">
        <f>IF(SER_hh_tes!W15=0,0,11630*1000*SER_hh_tes!W15/SER_hh_num!W15)</f>
        <v>1409.0998407712561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28790.19428827611</v>
      </c>
      <c r="C16" s="131">
        <f>IF(SER_hh_tes!C16=0,0,11630*1000*SER_hh_tes!C16/SER_hh_num!C16)</f>
        <v>27783.926803294278</v>
      </c>
      <c r="D16" s="131">
        <f>IF(SER_hh_tes!D16=0,0,11630*1000*SER_hh_tes!D16/SER_hh_num!D16)</f>
        <v>26606.59536542129</v>
      </c>
      <c r="E16" s="131">
        <f>IF(SER_hh_tes!E16=0,0,11630*1000*SER_hh_tes!E16/SER_hh_num!E16)</f>
        <v>26924.560439493984</v>
      </c>
      <c r="F16" s="131">
        <f>IF(SER_hh_tes!F16=0,0,11630*1000*SER_hh_tes!F16/SER_hh_num!F16)</f>
        <v>23534.84531586093</v>
      </c>
      <c r="G16" s="131">
        <f>IF(SER_hh_tes!G16=0,0,11630*1000*SER_hh_tes!G16/SER_hh_num!G16)</f>
        <v>23746.46267249031</v>
      </c>
      <c r="H16" s="131">
        <f>IF(SER_hh_tes!H16=0,0,11630*1000*SER_hh_tes!H16/SER_hh_num!H16)</f>
        <v>25415.342717538137</v>
      </c>
      <c r="I16" s="131">
        <f>IF(SER_hh_tes!I16=0,0,11630*1000*SER_hh_tes!I16/SER_hh_num!I16)</f>
        <v>33704.879573560407</v>
      </c>
      <c r="J16" s="131">
        <f>IF(SER_hh_tes!J16=0,0,11630*1000*SER_hh_tes!J16/SER_hh_num!J16)</f>
        <v>26683.076862006688</v>
      </c>
      <c r="K16" s="131">
        <f>IF(SER_hh_tes!K16=0,0,11630*1000*SER_hh_tes!K16/SER_hh_num!K16)</f>
        <v>25372.737584535484</v>
      </c>
      <c r="L16" s="131">
        <f>IF(SER_hh_tes!L16=0,0,11630*1000*SER_hh_tes!L16/SER_hh_num!L16)</f>
        <v>29985.923080166031</v>
      </c>
      <c r="M16" s="131">
        <f>IF(SER_hh_tes!M16=0,0,11630*1000*SER_hh_tes!M16/SER_hh_num!M16)</f>
        <v>25720.225682335433</v>
      </c>
      <c r="N16" s="131">
        <f>IF(SER_hh_tes!N16=0,0,11630*1000*SER_hh_tes!N16/SER_hh_num!N16)</f>
        <v>39164.064083679412</v>
      </c>
      <c r="O16" s="131">
        <f>IF(SER_hh_tes!O16=0,0,11630*1000*SER_hh_tes!O16/SER_hh_num!O16)</f>
        <v>26700.446905419114</v>
      </c>
      <c r="P16" s="131">
        <f>IF(SER_hh_tes!P16=0,0,11630*1000*SER_hh_tes!P16/SER_hh_num!P16)</f>
        <v>25117.634660978118</v>
      </c>
      <c r="Q16" s="131">
        <f>IF(SER_hh_tes!Q16=0,0,11630*1000*SER_hh_tes!Q16/SER_hh_num!Q16)</f>
        <v>33030.683577783624</v>
      </c>
      <c r="R16" s="131">
        <f>IF(SER_hh_tes!R16=0,0,11630*1000*SER_hh_tes!R16/SER_hh_num!R16)</f>
        <v>28243.833332695202</v>
      </c>
      <c r="S16" s="131">
        <f>IF(SER_hh_tes!S16=0,0,11630*1000*SER_hh_tes!S16/SER_hh_num!S16)</f>
        <v>30479.816296757264</v>
      </c>
      <c r="T16" s="131">
        <f>IF(SER_hh_tes!T16=0,0,11630*1000*SER_hh_tes!T16/SER_hh_num!T16)</f>
        <v>26735.746397863611</v>
      </c>
      <c r="U16" s="131">
        <f>IF(SER_hh_tes!U16=0,0,11630*1000*SER_hh_tes!U16/SER_hh_num!U16)</f>
        <v>30030.435747146497</v>
      </c>
      <c r="V16" s="131">
        <f>IF(SER_hh_tes!V16=0,0,11630*1000*SER_hh_tes!V16/SER_hh_num!V16)</f>
        <v>27824.149520975541</v>
      </c>
      <c r="W16" s="131">
        <f>IF(SER_hh_tes!W16=0,0,11630*1000*SER_hh_tes!W16/SER_hh_num!W16)</f>
        <v>31747.167988119374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28790.19428827611</v>
      </c>
      <c r="C18" s="133">
        <f>IF(SER_hh_tes!C18=0,0,11630*1000*SER_hh_tes!C18/SER_hh_num!C18)</f>
        <v>27783.926803294278</v>
      </c>
      <c r="D18" s="133">
        <f>IF(SER_hh_tes!D18=0,0,11630*1000*SER_hh_tes!D18/SER_hh_num!D18)</f>
        <v>26606.59536542129</v>
      </c>
      <c r="E18" s="133">
        <f>IF(SER_hh_tes!E18=0,0,11630*1000*SER_hh_tes!E18/SER_hh_num!E18)</f>
        <v>26924.560439493984</v>
      </c>
      <c r="F18" s="133">
        <f>IF(SER_hh_tes!F18=0,0,11630*1000*SER_hh_tes!F18/SER_hh_num!F18)</f>
        <v>23534.84531586093</v>
      </c>
      <c r="G18" s="133">
        <f>IF(SER_hh_tes!G18=0,0,11630*1000*SER_hh_tes!G18/SER_hh_num!G18)</f>
        <v>23746.46267249031</v>
      </c>
      <c r="H18" s="133">
        <f>IF(SER_hh_tes!H18=0,0,11630*1000*SER_hh_tes!H18/SER_hh_num!H18)</f>
        <v>25415.342717538137</v>
      </c>
      <c r="I18" s="133">
        <f>IF(SER_hh_tes!I18=0,0,11630*1000*SER_hh_tes!I18/SER_hh_num!I18)</f>
        <v>33704.879573560407</v>
      </c>
      <c r="J18" s="133">
        <f>IF(SER_hh_tes!J18=0,0,11630*1000*SER_hh_tes!J18/SER_hh_num!J18)</f>
        <v>26683.076862006688</v>
      </c>
      <c r="K18" s="133">
        <f>IF(SER_hh_tes!K18=0,0,11630*1000*SER_hh_tes!K18/SER_hh_num!K18)</f>
        <v>25372.737584535484</v>
      </c>
      <c r="L18" s="133">
        <f>IF(SER_hh_tes!L18=0,0,11630*1000*SER_hh_tes!L18/SER_hh_num!L18)</f>
        <v>29985.923080166031</v>
      </c>
      <c r="M18" s="133">
        <f>IF(SER_hh_tes!M18=0,0,11630*1000*SER_hh_tes!M18/SER_hh_num!M18)</f>
        <v>25720.225682335433</v>
      </c>
      <c r="N18" s="133">
        <f>IF(SER_hh_tes!N18=0,0,11630*1000*SER_hh_tes!N18/SER_hh_num!N18)</f>
        <v>39164.064083679412</v>
      </c>
      <c r="O18" s="133">
        <f>IF(SER_hh_tes!O18=0,0,11630*1000*SER_hh_tes!O18/SER_hh_num!O18)</f>
        <v>26700.446905419114</v>
      </c>
      <c r="P18" s="133">
        <f>IF(SER_hh_tes!P18=0,0,11630*1000*SER_hh_tes!P18/SER_hh_num!P18)</f>
        <v>25117.634660978118</v>
      </c>
      <c r="Q18" s="133">
        <f>IF(SER_hh_tes!Q18=0,0,11630*1000*SER_hh_tes!Q18/SER_hh_num!Q18)</f>
        <v>33030.683577783624</v>
      </c>
      <c r="R18" s="133">
        <f>IF(SER_hh_tes!R18=0,0,11630*1000*SER_hh_tes!R18/SER_hh_num!R18)</f>
        <v>28243.833332695202</v>
      </c>
      <c r="S18" s="133">
        <f>IF(SER_hh_tes!S18=0,0,11630*1000*SER_hh_tes!S18/SER_hh_num!S18)</f>
        <v>30479.816296757264</v>
      </c>
      <c r="T18" s="133">
        <f>IF(SER_hh_tes!T18=0,0,11630*1000*SER_hh_tes!T18/SER_hh_num!T18)</f>
        <v>26735.746397863611</v>
      </c>
      <c r="U18" s="133">
        <f>IF(SER_hh_tes!U18=0,0,11630*1000*SER_hh_tes!U18/SER_hh_num!U18)</f>
        <v>30030.435747146497</v>
      </c>
      <c r="V18" s="133">
        <f>IF(SER_hh_tes!V18=0,0,11630*1000*SER_hh_tes!V18/SER_hh_num!V18)</f>
        <v>27824.149520975541</v>
      </c>
      <c r="W18" s="133">
        <f>IF(SER_hh_tes!W18=0,0,11630*1000*SER_hh_tes!W18/SER_hh_num!W18)</f>
        <v>31747.167988119374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20921.15967043292</v>
      </c>
      <c r="C19" s="131">
        <f>IF(SER_hh_tes!C19=0,0,11630*1000*SER_hh_tes!C19/SER_hh_num!C19)</f>
        <v>22846.96782502421</v>
      </c>
      <c r="D19" s="131">
        <f>IF(SER_hh_tes!D19=0,0,11630*1000*SER_hh_tes!D19/SER_hh_num!D19)</f>
        <v>11277.63542938084</v>
      </c>
      <c r="E19" s="131">
        <f>IF(SER_hh_tes!E19=0,0,11630*1000*SER_hh_tes!E19/SER_hh_num!E19)</f>
        <v>24211.415282768994</v>
      </c>
      <c r="F19" s="131">
        <f>IF(SER_hh_tes!F19=0,0,11630*1000*SER_hh_tes!F19/SER_hh_num!F19)</f>
        <v>28131.388768663921</v>
      </c>
      <c r="G19" s="131">
        <f>IF(SER_hh_tes!G19=0,0,11630*1000*SER_hh_tes!G19/SER_hh_num!G19)</f>
        <v>27988.06934250124</v>
      </c>
      <c r="H19" s="131">
        <f>IF(SER_hh_tes!H19=0,0,11630*1000*SER_hh_tes!H19/SER_hh_num!H19)</f>
        <v>28760.780269263094</v>
      </c>
      <c r="I19" s="131">
        <f>IF(SER_hh_tes!I19=0,0,11630*1000*SER_hh_tes!I19/SER_hh_num!I19)</f>
        <v>29392.304338729908</v>
      </c>
      <c r="J19" s="131">
        <f>IF(SER_hh_tes!J19=0,0,11630*1000*SER_hh_tes!J19/SER_hh_num!J19)</f>
        <v>28965.114818891321</v>
      </c>
      <c r="K19" s="131">
        <f>IF(SER_hh_tes!K19=0,0,11630*1000*SER_hh_tes!K19/SER_hh_num!K19)</f>
        <v>28863.036681192072</v>
      </c>
      <c r="L19" s="131">
        <f>IF(SER_hh_tes!L19=0,0,11630*1000*SER_hh_tes!L19/SER_hh_num!L19)</f>
        <v>27956.481441344305</v>
      </c>
      <c r="M19" s="131">
        <f>IF(SER_hh_tes!M19=0,0,11630*1000*SER_hh_tes!M19/SER_hh_num!M19)</f>
        <v>29005.149762690213</v>
      </c>
      <c r="N19" s="131">
        <f>IF(SER_hh_tes!N19=0,0,11630*1000*SER_hh_tes!N19/SER_hh_num!N19)</f>
        <v>28849.326883020862</v>
      </c>
      <c r="O19" s="131">
        <f>IF(SER_hh_tes!O19=0,0,11630*1000*SER_hh_tes!O19/SER_hh_num!O19)</f>
        <v>29481.309673150892</v>
      </c>
      <c r="P19" s="131">
        <f>IF(SER_hh_tes!P19=0,0,11630*1000*SER_hh_tes!P19/SER_hh_num!P19)</f>
        <v>29869.572455549005</v>
      </c>
      <c r="Q19" s="131">
        <f>IF(SER_hh_tes!Q19=0,0,11630*1000*SER_hh_tes!Q19/SER_hh_num!Q19)</f>
        <v>30470.996036657212</v>
      </c>
      <c r="R19" s="131">
        <f>IF(SER_hh_tes!R19=0,0,11630*1000*SER_hh_tes!R19/SER_hh_num!R19)</f>
        <v>30534.94772557999</v>
      </c>
      <c r="S19" s="131">
        <f>IF(SER_hh_tes!S19=0,0,11630*1000*SER_hh_tes!S19/SER_hh_num!S19)</f>
        <v>30686.444514412549</v>
      </c>
      <c r="T19" s="131">
        <f>IF(SER_hh_tes!T19=0,0,11630*1000*SER_hh_tes!T19/SER_hh_num!T19)</f>
        <v>30133.524126405988</v>
      </c>
      <c r="U19" s="131">
        <f>IF(SER_hh_tes!U19=0,0,11630*1000*SER_hh_tes!U19/SER_hh_num!U19)</f>
        <v>28960.942683186429</v>
      </c>
      <c r="V19" s="131">
        <f>IF(SER_hh_tes!V19=0,0,11630*1000*SER_hh_tes!V19/SER_hh_num!V19)</f>
        <v>27576.39650153408</v>
      </c>
      <c r="W19" s="131">
        <f>IF(SER_hh_tes!W19=0,0,11630*1000*SER_hh_tes!W19/SER_hh_num!W19)</f>
        <v>30640.224484022099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3421.65854981246</v>
      </c>
      <c r="C22" s="133">
        <f>IF(SER_hh_tes!C22=0,0,11630*1000*SER_hh_tes!C22/SER_hh_num!C22)</f>
        <v>5541.9594389977647</v>
      </c>
      <c r="D22" s="133">
        <f>IF(SER_hh_tes!D22=0,0,11630*1000*SER_hh_tes!D22/SER_hh_num!D22)</f>
        <v>17040.547709584891</v>
      </c>
      <c r="E22" s="133">
        <f>IF(SER_hh_tes!E22=0,0,11630*1000*SER_hh_tes!E22/SER_hh_num!E22)</f>
        <v>23812.503712732258</v>
      </c>
      <c r="F22" s="133">
        <f>IF(SER_hh_tes!F22=0,0,11630*1000*SER_hh_tes!F22/SER_hh_num!F22)</f>
        <v>27400.763426116697</v>
      </c>
      <c r="G22" s="133">
        <f>IF(SER_hh_tes!G22=0,0,11630*1000*SER_hh_tes!G22/SER_hh_num!G22)</f>
        <v>32187.940938523549</v>
      </c>
      <c r="H22" s="133">
        <f>IF(SER_hh_tes!H22=0,0,11630*1000*SER_hh_tes!H22/SER_hh_num!H22)</f>
        <v>22634.955906159827</v>
      </c>
      <c r="I22" s="133">
        <f>IF(SER_hh_tes!I22=0,0,11630*1000*SER_hh_tes!I22/SER_hh_num!I22)</f>
        <v>26093.566786033105</v>
      </c>
      <c r="J22" s="133">
        <f>IF(SER_hh_tes!J22=0,0,11630*1000*SER_hh_tes!J22/SER_hh_num!J22)</f>
        <v>28731.13904437999</v>
      </c>
      <c r="K22" s="133">
        <f>IF(SER_hh_tes!K22=0,0,11630*1000*SER_hh_tes!K22/SER_hh_num!K22)</f>
        <v>27356.640156849582</v>
      </c>
      <c r="L22" s="133">
        <f>IF(SER_hh_tes!L22=0,0,11630*1000*SER_hh_tes!L22/SER_hh_num!L22)</f>
        <v>26875.043563327705</v>
      </c>
      <c r="M22" s="133">
        <f>IF(SER_hh_tes!M22=0,0,11630*1000*SER_hh_tes!M22/SER_hh_num!M22)</f>
        <v>25136.200266608106</v>
      </c>
      <c r="N22" s="133">
        <f>IF(SER_hh_tes!N22=0,0,11630*1000*SER_hh_tes!N22/SER_hh_num!N22)</f>
        <v>27607.718825801883</v>
      </c>
      <c r="O22" s="133">
        <f>IF(SER_hh_tes!O22=0,0,11630*1000*SER_hh_tes!O22/SER_hh_num!O22)</f>
        <v>32505.541666928308</v>
      </c>
      <c r="P22" s="133">
        <f>IF(SER_hh_tes!P22=0,0,11630*1000*SER_hh_tes!P22/SER_hh_num!P22)</f>
        <v>31006.003619447507</v>
      </c>
      <c r="Q22" s="133">
        <f>IF(SER_hh_tes!Q22=0,0,11630*1000*SER_hh_tes!Q22/SER_hh_num!Q22)</f>
        <v>31019.741095394951</v>
      </c>
      <c r="R22" s="133">
        <f>IF(SER_hh_tes!R22=0,0,11630*1000*SER_hh_tes!R22/SER_hh_num!R22)</f>
        <v>26482.132973894601</v>
      </c>
      <c r="S22" s="133">
        <f>IF(SER_hh_tes!S22=0,0,11630*1000*SER_hh_tes!S22/SER_hh_num!S22)</f>
        <v>31430.967620234162</v>
      </c>
      <c r="T22" s="133">
        <f>IF(SER_hh_tes!T22=0,0,11630*1000*SER_hh_tes!T22/SER_hh_num!T22)</f>
        <v>31664.47305556434</v>
      </c>
      <c r="U22" s="133">
        <f>IF(SER_hh_tes!U22=0,0,11630*1000*SER_hh_tes!U22/SER_hh_num!U22)</f>
        <v>27358.733224870484</v>
      </c>
      <c r="V22" s="133">
        <f>IF(SER_hh_tes!V22=0,0,11630*1000*SER_hh_tes!V22/SER_hh_num!V22)</f>
        <v>25143.344832297826</v>
      </c>
      <c r="W22" s="133">
        <f>IF(SER_hh_tes!W22=0,0,11630*1000*SER_hh_tes!W22/SER_hh_num!W22)</f>
        <v>33651.49873972933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21821.88931371181</v>
      </c>
      <c r="C23" s="133">
        <f>IF(SER_hh_tes!C23=0,0,11630*1000*SER_hh_tes!C23/SER_hh_num!C23)</f>
        <v>17598.957701211042</v>
      </c>
      <c r="D23" s="133">
        <f>IF(SER_hh_tes!D23=0,0,11630*1000*SER_hh_tes!D23/SER_hh_num!D23)</f>
        <v>10519.650388157655</v>
      </c>
      <c r="E23" s="133">
        <f>IF(SER_hh_tes!E23=0,0,11630*1000*SER_hh_tes!E23/SER_hh_num!E23)</f>
        <v>20829.264771124894</v>
      </c>
      <c r="F23" s="133">
        <f>IF(SER_hh_tes!F23=0,0,11630*1000*SER_hh_tes!F23/SER_hh_num!F23)</f>
        <v>32020.747092811253</v>
      </c>
      <c r="G23" s="133">
        <f>IF(SER_hh_tes!G23=0,0,11630*1000*SER_hh_tes!G23/SER_hh_num!G23)</f>
        <v>27510.769085855885</v>
      </c>
      <c r="H23" s="133">
        <f>IF(SER_hh_tes!H23=0,0,11630*1000*SER_hh_tes!H23/SER_hh_num!H23)</f>
        <v>31917.837506919066</v>
      </c>
      <c r="I23" s="133">
        <f>IF(SER_hh_tes!I23=0,0,11630*1000*SER_hh_tes!I23/SER_hh_num!I23)</f>
        <v>28399.994061225432</v>
      </c>
      <c r="J23" s="133">
        <f>IF(SER_hh_tes!J23=0,0,11630*1000*SER_hh_tes!J23/SER_hh_num!J23)</f>
        <v>23827.36383892021</v>
      </c>
      <c r="K23" s="133">
        <f>IF(SER_hh_tes!K23=0,0,11630*1000*SER_hh_tes!K23/SER_hh_num!K23)</f>
        <v>32289.219460076874</v>
      </c>
      <c r="L23" s="133">
        <f>IF(SER_hh_tes!L23=0,0,11630*1000*SER_hh_tes!L23/SER_hh_num!L23)</f>
        <v>30437.687571311206</v>
      </c>
      <c r="M23" s="133">
        <f>IF(SER_hh_tes!M23=0,0,11630*1000*SER_hh_tes!M23/SER_hh_num!M23)</f>
        <v>27692.966079074165</v>
      </c>
      <c r="N23" s="133">
        <f>IF(SER_hh_tes!N23=0,0,11630*1000*SER_hh_tes!N23/SER_hh_num!N23)</f>
        <v>28032.669362683824</v>
      </c>
      <c r="O23" s="133">
        <f>IF(SER_hh_tes!O23=0,0,11630*1000*SER_hh_tes!O23/SER_hh_num!O23)</f>
        <v>28505.21555836868</v>
      </c>
      <c r="P23" s="133">
        <f>IF(SER_hh_tes!P23=0,0,11630*1000*SER_hh_tes!P23/SER_hh_num!P23)</f>
        <v>29331.755889358988</v>
      </c>
      <c r="Q23" s="133">
        <f>IF(SER_hh_tes!Q23=0,0,11630*1000*SER_hh_tes!Q23/SER_hh_num!Q23)</f>
        <v>29723.466388012239</v>
      </c>
      <c r="R23" s="133">
        <f>IF(SER_hh_tes!R23=0,0,11630*1000*SER_hh_tes!R23/SER_hh_num!R23)</f>
        <v>30591.663508369598</v>
      </c>
      <c r="S23" s="133">
        <f>IF(SER_hh_tes!S23=0,0,11630*1000*SER_hh_tes!S23/SER_hh_num!S23)</f>
        <v>31235.524378113641</v>
      </c>
      <c r="T23" s="133">
        <f>IF(SER_hh_tes!T23=0,0,11630*1000*SER_hh_tes!T23/SER_hh_num!T23)</f>
        <v>29726.856433945588</v>
      </c>
      <c r="U23" s="133">
        <f>IF(SER_hh_tes!U23=0,0,11630*1000*SER_hh_tes!U23/SER_hh_num!U23)</f>
        <v>29794.40796504707</v>
      </c>
      <c r="V23" s="133">
        <f>IF(SER_hh_tes!V23=0,0,11630*1000*SER_hh_tes!V23/SER_hh_num!V23)</f>
        <v>28700.158007272988</v>
      </c>
      <c r="W23" s="133">
        <f>IF(SER_hh_tes!W23=0,0,11630*1000*SER_hh_tes!W23/SER_hh_num!W23)</f>
        <v>29118.903018378413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19148.128837818898</v>
      </c>
      <c r="C24" s="133">
        <f>IF(SER_hh_tes!C24=0,0,11630*1000*SER_hh_tes!C24/SER_hh_num!C24)</f>
        <v>11741.056669644311</v>
      </c>
      <c r="D24" s="133">
        <f>IF(SER_hh_tes!D24=0,0,11630*1000*SER_hh_tes!D24/SER_hh_num!D24)</f>
        <v>19166.288307944069</v>
      </c>
      <c r="E24" s="133">
        <f>IF(SER_hh_tes!E24=0,0,11630*1000*SER_hh_tes!E24/SER_hh_num!E24)</f>
        <v>20396.90913100549</v>
      </c>
      <c r="F24" s="133">
        <f>IF(SER_hh_tes!F24=0,0,11630*1000*SER_hh_tes!F24/SER_hh_num!F24)</f>
        <v>20651.9639625903</v>
      </c>
      <c r="G24" s="133">
        <f>IF(SER_hh_tes!G24=0,0,11630*1000*SER_hh_tes!G24/SER_hh_num!G24)</f>
        <v>23446.55504991268</v>
      </c>
      <c r="H24" s="133">
        <f>IF(SER_hh_tes!H24=0,0,11630*1000*SER_hh_tes!H24/SER_hh_num!H24)</f>
        <v>25378.403559086768</v>
      </c>
      <c r="I24" s="133">
        <f>IF(SER_hh_tes!I24=0,0,11630*1000*SER_hh_tes!I24/SER_hh_num!I24)</f>
        <v>25512.762027931025</v>
      </c>
      <c r="J24" s="133">
        <f>IF(SER_hh_tes!J24=0,0,11630*1000*SER_hh_tes!J24/SER_hh_num!J24)</f>
        <v>25469.140575202204</v>
      </c>
      <c r="K24" s="133">
        <f>IF(SER_hh_tes!K24=0,0,11630*1000*SER_hh_tes!K24/SER_hh_num!K24)</f>
        <v>26682.566758156914</v>
      </c>
      <c r="L24" s="133">
        <f>IF(SER_hh_tes!L24=0,0,11630*1000*SER_hh_tes!L24/SER_hh_num!L24)</f>
        <v>27741.727955797913</v>
      </c>
      <c r="M24" s="133">
        <f>IF(SER_hh_tes!M24=0,0,11630*1000*SER_hh_tes!M24/SER_hh_num!M24)</f>
        <v>29213.371763148567</v>
      </c>
      <c r="N24" s="133">
        <f>IF(SER_hh_tes!N24=0,0,11630*1000*SER_hh_tes!N24/SER_hh_num!N24)</f>
        <v>30367.655512672187</v>
      </c>
      <c r="O24" s="133">
        <f>IF(SER_hh_tes!O24=0,0,11630*1000*SER_hh_tes!O24/SER_hh_num!O24)</f>
        <v>30960.40889635315</v>
      </c>
      <c r="P24" s="133">
        <f>IF(SER_hh_tes!P24=0,0,11630*1000*SER_hh_tes!P24/SER_hh_num!P24)</f>
        <v>31722.18125048111</v>
      </c>
      <c r="Q24" s="133">
        <f>IF(SER_hh_tes!Q24=0,0,11630*1000*SER_hh_tes!Q24/SER_hh_num!Q24)</f>
        <v>34115.068815775354</v>
      </c>
      <c r="R24" s="133">
        <f>IF(SER_hh_tes!R24=0,0,11630*1000*SER_hh_tes!R24/SER_hh_num!R24)</f>
        <v>31281.225491078345</v>
      </c>
      <c r="S24" s="133">
        <f>IF(SER_hh_tes!S24=0,0,11630*1000*SER_hh_tes!S24/SER_hh_num!S24)</f>
        <v>29222.515782335824</v>
      </c>
      <c r="T24" s="133">
        <f>IF(SER_hh_tes!T24=0,0,11630*1000*SER_hh_tes!T24/SER_hh_num!T24)</f>
        <v>32326.793755386392</v>
      </c>
      <c r="U24" s="133">
        <f>IF(SER_hh_tes!U24=0,0,11630*1000*SER_hh_tes!U24/SER_hh_num!U24)</f>
        <v>26959.105435849786</v>
      </c>
      <c r="V24" s="133">
        <f>IF(SER_hh_tes!V24=0,0,11630*1000*SER_hh_tes!V24/SER_hh_num!V24)</f>
        <v>27173.035651945709</v>
      </c>
      <c r="W24" s="133">
        <f>IF(SER_hh_tes!W24=0,0,11630*1000*SER_hh_tes!W24/SER_hh_num!W24)</f>
        <v>29013.543087877009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26775.196065394673</v>
      </c>
      <c r="C25" s="133">
        <f>IF(SER_hh_tes!C25=0,0,11630*1000*SER_hh_tes!C25/SER_hh_num!C25)</f>
        <v>17676.530179299898</v>
      </c>
      <c r="D25" s="133">
        <f>IF(SER_hh_tes!D25=0,0,11630*1000*SER_hh_tes!D25/SER_hh_num!D25)</f>
        <v>10545.239408862575</v>
      </c>
      <c r="E25" s="133">
        <f>IF(SER_hh_tes!E25=0,0,11630*1000*SER_hh_tes!E25/SER_hh_num!E25)</f>
        <v>22655.329996298162</v>
      </c>
      <c r="F25" s="133">
        <f>IF(SER_hh_tes!F25=0,0,11630*1000*SER_hh_tes!F25/SER_hh_num!F25)</f>
        <v>19210.472342266268</v>
      </c>
      <c r="G25" s="133">
        <f>IF(SER_hh_tes!G25=0,0,11630*1000*SER_hh_tes!G25/SER_hh_num!G25)</f>
        <v>30751.440755047977</v>
      </c>
      <c r="H25" s="133">
        <f>IF(SER_hh_tes!H25=0,0,11630*1000*SER_hh_tes!H25/SER_hh_num!H25)</f>
        <v>28236.861027319825</v>
      </c>
      <c r="I25" s="133">
        <f>IF(SER_hh_tes!I25=0,0,11630*1000*SER_hh_tes!I25/SER_hh_num!I25)</f>
        <v>26823.824954120271</v>
      </c>
      <c r="J25" s="133">
        <f>IF(SER_hh_tes!J25=0,0,11630*1000*SER_hh_tes!J25/SER_hh_num!J25)</f>
        <v>31046.0102924313</v>
      </c>
      <c r="K25" s="133">
        <f>IF(SER_hh_tes!K25=0,0,11630*1000*SER_hh_tes!K25/SER_hh_num!K25)</f>
        <v>28818.752333648987</v>
      </c>
      <c r="L25" s="133">
        <f>IF(SER_hh_tes!L25=0,0,11630*1000*SER_hh_tes!L25/SER_hh_num!L25)</f>
        <v>27547.212328001253</v>
      </c>
      <c r="M25" s="133">
        <f>IF(SER_hh_tes!M25=0,0,11630*1000*SER_hh_tes!M25/SER_hh_num!M25)</f>
        <v>28909.571924418309</v>
      </c>
      <c r="N25" s="133">
        <f>IF(SER_hh_tes!N25=0,0,11630*1000*SER_hh_tes!N25/SER_hh_num!N25)</f>
        <v>29789.403202440779</v>
      </c>
      <c r="O25" s="133">
        <f>IF(SER_hh_tes!O25=0,0,11630*1000*SER_hh_tes!O25/SER_hh_num!O25)</f>
        <v>30551.716335771394</v>
      </c>
      <c r="P25" s="133">
        <f>IF(SER_hh_tes!P25=0,0,11630*1000*SER_hh_tes!P25/SER_hh_num!P25)</f>
        <v>28847.507745366256</v>
      </c>
      <c r="Q25" s="133">
        <f>IF(SER_hh_tes!Q25=0,0,11630*1000*SER_hh_tes!Q25/SER_hh_num!Q25)</f>
        <v>30327.234253562281</v>
      </c>
      <c r="R25" s="133">
        <f>IF(SER_hh_tes!R25=0,0,11630*1000*SER_hh_tes!R25/SER_hh_num!R25)</f>
        <v>31248.436826550114</v>
      </c>
      <c r="S25" s="133">
        <f>IF(SER_hh_tes!S25=0,0,11630*1000*SER_hh_tes!S25/SER_hh_num!S25)</f>
        <v>30454.467666713346</v>
      </c>
      <c r="T25" s="133">
        <f>IF(SER_hh_tes!T25=0,0,11630*1000*SER_hh_tes!T25/SER_hh_num!T25)</f>
        <v>29965.601186608841</v>
      </c>
      <c r="U25" s="133">
        <f>IF(SER_hh_tes!U25=0,0,11630*1000*SER_hh_tes!U25/SER_hh_num!U25)</f>
        <v>28349.567381658511</v>
      </c>
      <c r="V25" s="133">
        <f>IF(SER_hh_tes!V25=0,0,11630*1000*SER_hh_tes!V25/SER_hh_num!V25)</f>
        <v>28639.905058548509</v>
      </c>
      <c r="W25" s="133">
        <f>IF(SER_hh_tes!W25=0,0,11630*1000*SER_hh_tes!W25/SER_hh_num!W25)</f>
        <v>30022.476430473427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24124.48168811723</v>
      </c>
      <c r="C26" s="65">
        <f>IF(SER_hh_tes!C26=0,0,11630*1000*SER_hh_tes!C26/SER_hh_num!C26)</f>
        <v>48432.336773395713</v>
      </c>
      <c r="D26" s="65">
        <f>IF(SER_hh_tes!D26=0,0,11630*1000*SER_hh_tes!D26/SER_hh_num!D26)</f>
        <v>4449.3832725632055</v>
      </c>
      <c r="E26" s="65">
        <f>IF(SER_hh_tes!E26=0,0,11630*1000*SER_hh_tes!E26/SER_hh_num!E26)</f>
        <v>29003.517107563519</v>
      </c>
      <c r="F26" s="65">
        <f>IF(SER_hh_tes!F26=0,0,11630*1000*SER_hh_tes!F26/SER_hh_num!F26)</f>
        <v>29135.487527876332</v>
      </c>
      <c r="G26" s="65">
        <f>IF(SER_hh_tes!G26=0,0,11630*1000*SER_hh_tes!G26/SER_hh_num!G26)</f>
        <v>26729.562405036835</v>
      </c>
      <c r="H26" s="65">
        <f>IF(SER_hh_tes!H26=0,0,11630*1000*SER_hh_tes!H26/SER_hh_num!H26)</f>
        <v>27235.868415532288</v>
      </c>
      <c r="I26" s="65">
        <f>IF(SER_hh_tes!I26=0,0,11630*1000*SER_hh_tes!I26/SER_hh_num!I26)</f>
        <v>32305.70911414369</v>
      </c>
      <c r="J26" s="65">
        <f>IF(SER_hh_tes!J26=0,0,11630*1000*SER_hh_tes!J26/SER_hh_num!J26)</f>
        <v>34044.458865977489</v>
      </c>
      <c r="K26" s="65">
        <f>IF(SER_hh_tes!K26=0,0,11630*1000*SER_hh_tes!K26/SER_hh_num!K26)</f>
        <v>24971.83808638345</v>
      </c>
      <c r="L26" s="65">
        <f>IF(SER_hh_tes!L26=0,0,11630*1000*SER_hh_tes!L26/SER_hh_num!L26)</f>
        <v>24811.467355420806</v>
      </c>
      <c r="M26" s="65">
        <f>IF(SER_hh_tes!M26=0,0,11630*1000*SER_hh_tes!M26/SER_hh_num!M26)</f>
        <v>31691.983593334066</v>
      </c>
      <c r="N26" s="65">
        <f>IF(SER_hh_tes!N26=0,0,11630*1000*SER_hh_tes!N26/SER_hh_num!N26)</f>
        <v>29427.479696446237</v>
      </c>
      <c r="O26" s="65">
        <f>IF(SER_hh_tes!O26=0,0,11630*1000*SER_hh_tes!O26/SER_hh_num!O26)</f>
        <v>28881.1768031676</v>
      </c>
      <c r="P26" s="65">
        <f>IF(SER_hh_tes!P26=0,0,11630*1000*SER_hh_tes!P26/SER_hh_num!P26)</f>
        <v>30562.025641819604</v>
      </c>
      <c r="Q26" s="65">
        <f>IF(SER_hh_tes!Q26=0,0,11630*1000*SER_hh_tes!Q26/SER_hh_num!Q26)</f>
        <v>31053.640865381851</v>
      </c>
      <c r="R26" s="65">
        <f>IF(SER_hh_tes!R26=0,0,11630*1000*SER_hh_tes!R26/SER_hh_num!R26)</f>
        <v>31964.082598230965</v>
      </c>
      <c r="S26" s="65">
        <f>IF(SER_hh_tes!S26=0,0,11630*1000*SER_hh_tes!S26/SER_hh_num!S26)</f>
        <v>29238.494252296779</v>
      </c>
      <c r="T26" s="65">
        <f>IF(SER_hh_tes!T26=0,0,11630*1000*SER_hh_tes!T26/SER_hh_num!T26)</f>
        <v>29651.912983280923</v>
      </c>
      <c r="U26" s="65">
        <f>IF(SER_hh_tes!U26=0,0,11630*1000*SER_hh_tes!U26/SER_hh_num!U26)</f>
        <v>28892.30353043072</v>
      </c>
      <c r="V26" s="65">
        <f>IF(SER_hh_tes!V26=0,0,11630*1000*SER_hh_tes!V26/SER_hh_num!V26)</f>
        <v>26563.225529253494</v>
      </c>
      <c r="W26" s="65">
        <f>IF(SER_hh_tes!W26=0,0,11630*1000*SER_hh_tes!W26/SER_hh_num!W26)</f>
        <v>31143.345910558728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5.5596709972051137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15.203213882492953</v>
      </c>
      <c r="M27" s="146">
        <f>IF(SER_hh_tes!M27=0,0,11630*1000*SER_hh_tes!M27/SER_hh_num!M19)</f>
        <v>9.7610677083939752</v>
      </c>
      <c r="N27" s="146">
        <f>IF(SER_hh_tes!N27=0,0,11630*1000*SER_hh_tes!N27/SER_hh_num!N19)</f>
        <v>19.01729348081372</v>
      </c>
      <c r="O27" s="146">
        <f>IF(SER_hh_tes!O27=0,0,11630*1000*SER_hh_tes!O27/SER_hh_num!O19)</f>
        <v>9.0893125607996321</v>
      </c>
      <c r="P27" s="146">
        <f>IF(SER_hh_tes!P27=0,0,11630*1000*SER_hh_tes!P27/SER_hh_num!P19)</f>
        <v>8.7248727110757702</v>
      </c>
      <c r="Q27" s="146">
        <f>IF(SER_hh_tes!Q27=0,0,11630*1000*SER_hh_tes!Q27/SER_hh_num!Q19)</f>
        <v>4.1495418222433482</v>
      </c>
      <c r="R27" s="146">
        <f>IF(SER_hh_tes!R27=0,0,11630*1000*SER_hh_tes!R27/SER_hh_num!R19)</f>
        <v>3.9933990955162213</v>
      </c>
      <c r="S27" s="146">
        <f>IF(SER_hh_tes!S27=0,0,11630*1000*SER_hh_tes!S27/SER_hh_num!S19)</f>
        <v>9.9739022183709114</v>
      </c>
      <c r="T27" s="146">
        <f>IF(SER_hh_tes!T27=0,0,11630*1000*SER_hh_tes!T27/SER_hh_num!T19)</f>
        <v>8.9349058395791197</v>
      </c>
      <c r="U27" s="146">
        <f>IF(SER_hh_tes!U27=0,0,11630*1000*SER_hh_tes!U27/SER_hh_num!U19)</f>
        <v>10.221802840423729</v>
      </c>
      <c r="V27" s="146">
        <f>IF(SER_hh_tes!V27=0,0,11630*1000*SER_hh_tes!V27/SER_hh_num!V19)</f>
        <v>5.6325735821749499</v>
      </c>
      <c r="W27" s="146">
        <f>IF(SER_hh_tes!W27=0,0,11630*1000*SER_hh_tes!W27/SER_hh_num!W19)</f>
        <v>58.391799533231818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23018.105486530647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21798.157771030845</v>
      </c>
      <c r="M28" s="147">
        <f>IF(SER_hh_tes!M27=0,0,11630*1000*SER_hh_tes!M27/SER_hh_num!M27)</f>
        <v>22582.824753561239</v>
      </c>
      <c r="N28" s="147">
        <f>IF(SER_hh_tes!N27=0,0,11630*1000*SER_hh_tes!N27/SER_hh_num!N27)</f>
        <v>22427.00110042125</v>
      </c>
      <c r="O28" s="147">
        <f>IF(SER_hh_tes!O27=0,0,11630*1000*SER_hh_tes!O27/SER_hh_num!O27)</f>
        <v>22867.851923010418</v>
      </c>
      <c r="P28" s="147">
        <f>IF(SER_hh_tes!P27=0,0,11630*1000*SER_hh_tes!P27/SER_hh_num!P27)</f>
        <v>23138.356276796898</v>
      </c>
      <c r="Q28" s="147">
        <f>IF(SER_hh_tes!Q27=0,0,11630*1000*SER_hh_tes!Q27/SER_hh_num!Q27)</f>
        <v>23530.967404943363</v>
      </c>
      <c r="R28" s="147">
        <f>IF(SER_hh_tes!R27=0,0,11630*1000*SER_hh_tes!R27/SER_hh_num!R27)</f>
        <v>23565.337633839801</v>
      </c>
      <c r="S28" s="147">
        <f>IF(SER_hh_tes!S27=0,0,11630*1000*SER_hh_tes!S27/SER_hh_num!S27)</f>
        <v>23842.246132511769</v>
      </c>
      <c r="T28" s="147">
        <f>IF(SER_hh_tes!T27=0,0,11630*1000*SER_hh_tes!T27/SER_hh_num!T27)</f>
        <v>23634.841979434703</v>
      </c>
      <c r="U28" s="147">
        <f>IF(SER_hh_tes!U27=0,0,11630*1000*SER_hh_tes!U27/SER_hh_num!U27)</f>
        <v>22771.183842960032</v>
      </c>
      <c r="V28" s="147">
        <f>IF(SER_hh_tes!V27=0,0,11630*1000*SER_hh_tes!V27/SER_hh_num!V27)</f>
        <v>21644.175956819308</v>
      </c>
      <c r="W28" s="147">
        <f>IF(SER_hh_tes!W27=0,0,11630*1000*SER_hh_tes!W27/SER_hh_num!W27)</f>
        <v>24059.668463695092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35969.170699493545</v>
      </c>
      <c r="C29" s="131">
        <f>IF(SER_hh_tes!C29=0,0,11630*1000*SER_hh_tes!C29/SER_hh_num!C29)</f>
        <v>34813.496068687615</v>
      </c>
      <c r="D29" s="131">
        <f>IF(SER_hh_tes!D29=0,0,11630*1000*SER_hh_tes!D29/SER_hh_num!D29)</f>
        <v>26422.306516917324</v>
      </c>
      <c r="E29" s="131">
        <f>IF(SER_hh_tes!E29=0,0,11630*1000*SER_hh_tes!E29/SER_hh_num!E29)</f>
        <v>34393.585219885157</v>
      </c>
      <c r="F29" s="131">
        <f>IF(SER_hh_tes!F29=0,0,11630*1000*SER_hh_tes!F29/SER_hh_num!F29)</f>
        <v>36371.243416357363</v>
      </c>
      <c r="G29" s="131">
        <f>IF(SER_hh_tes!G29=0,0,11630*1000*SER_hh_tes!G29/SER_hh_num!G29)</f>
        <v>37773.320445117497</v>
      </c>
      <c r="H29" s="131">
        <f>IF(SER_hh_tes!H29=0,0,11630*1000*SER_hh_tes!H29/SER_hh_num!H29)</f>
        <v>38655.186678695907</v>
      </c>
      <c r="I29" s="131">
        <f>IF(SER_hh_tes!I29=0,0,11630*1000*SER_hh_tes!I29/SER_hh_num!I29)</f>
        <v>39092.553832407757</v>
      </c>
      <c r="J29" s="131">
        <f>IF(SER_hh_tes!J29=0,0,11630*1000*SER_hh_tes!J29/SER_hh_num!J29)</f>
        <v>41148.698871166707</v>
      </c>
      <c r="K29" s="131">
        <f>IF(SER_hh_tes!K29=0,0,11630*1000*SER_hh_tes!K29/SER_hh_num!K29)</f>
        <v>41237.160618855327</v>
      </c>
      <c r="L29" s="131">
        <f>IF(SER_hh_tes!L29=0,0,11630*1000*SER_hh_tes!L29/SER_hh_num!L29)</f>
        <v>41616.670928295403</v>
      </c>
      <c r="M29" s="131">
        <f>IF(SER_hh_tes!M29=0,0,11630*1000*SER_hh_tes!M29/SER_hh_num!M29)</f>
        <v>41508.674910333371</v>
      </c>
      <c r="N29" s="131">
        <f>IF(SER_hh_tes!N29=0,0,11630*1000*SER_hh_tes!N29/SER_hh_num!N29)</f>
        <v>42007.812171814257</v>
      </c>
      <c r="O29" s="131">
        <f>IF(SER_hh_tes!O29=0,0,11630*1000*SER_hh_tes!O29/SER_hh_num!O29)</f>
        <v>43603.938267335157</v>
      </c>
      <c r="P29" s="131">
        <f>IF(SER_hh_tes!P29=0,0,11630*1000*SER_hh_tes!P29/SER_hh_num!P29)</f>
        <v>44004.459905252064</v>
      </c>
      <c r="Q29" s="131">
        <f>IF(SER_hh_tes!Q29=0,0,11630*1000*SER_hh_tes!Q29/SER_hh_num!Q29)</f>
        <v>44331.222806305334</v>
      </c>
      <c r="R29" s="131">
        <f>IF(SER_hh_tes!R29=0,0,11630*1000*SER_hh_tes!R29/SER_hh_num!R29)</f>
        <v>42993.049222658839</v>
      </c>
      <c r="S29" s="131">
        <f>IF(SER_hh_tes!S29=0,0,11630*1000*SER_hh_tes!S29/SER_hh_num!S29)</f>
        <v>41861.1284133515</v>
      </c>
      <c r="T29" s="131">
        <f>IF(SER_hh_tes!T29=0,0,11630*1000*SER_hh_tes!T29/SER_hh_num!T29)</f>
        <v>42382.361565012667</v>
      </c>
      <c r="U29" s="131">
        <f>IF(SER_hh_tes!U29=0,0,11630*1000*SER_hh_tes!U29/SER_hh_num!U29)</f>
        <v>42581.41358299306</v>
      </c>
      <c r="V29" s="131">
        <f>IF(SER_hh_tes!V29=0,0,11630*1000*SER_hh_tes!V29/SER_hh_num!V29)</f>
        <v>38716.899476542727</v>
      </c>
      <c r="W29" s="131">
        <f>IF(SER_hh_tes!W29=0,0,11630*1000*SER_hh_tes!W29/SER_hh_num!W29)</f>
        <v>41279.483873175719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57251.296364070658</v>
      </c>
      <c r="C30" s="133">
        <f>IF(SER_hh_tes!C30=0,0,11630*1000*SER_hh_tes!C30/SER_hh_num!C30)</f>
        <v>22544.753646718484</v>
      </c>
      <c r="D30" s="133">
        <f>IF(SER_hh_tes!D30=0,0,11630*1000*SER_hh_tes!D30/SER_hh_num!D30)</f>
        <v>9957.4319349731068</v>
      </c>
      <c r="E30" s="133">
        <f>IF(SER_hh_tes!E30=0,0,11630*1000*SER_hh_tes!E30/SER_hh_num!E30)</f>
        <v>29900.215406339415</v>
      </c>
      <c r="F30" s="133">
        <f>IF(SER_hh_tes!F30=0,0,11630*1000*SER_hh_tes!F30/SER_hh_num!F30)</f>
        <v>45621.45916969551</v>
      </c>
      <c r="G30" s="133">
        <f>IF(SER_hh_tes!G30=0,0,11630*1000*SER_hh_tes!G30/SER_hh_num!G30)</f>
        <v>55031.273042770699</v>
      </c>
      <c r="H30" s="133">
        <f>IF(SER_hh_tes!H30=0,0,11630*1000*SER_hh_tes!H30/SER_hh_num!H30)</f>
        <v>22812.301632426705</v>
      </c>
      <c r="I30" s="133">
        <f>IF(SER_hh_tes!I30=0,0,11630*1000*SER_hh_tes!I30/SER_hh_num!I30)</f>
        <v>69858.374888772159</v>
      </c>
      <c r="J30" s="133">
        <f>IF(SER_hh_tes!J30=0,0,11630*1000*SER_hh_tes!J30/SER_hh_num!J30)</f>
        <v>24814.391511359358</v>
      </c>
      <c r="K30" s="133">
        <f>IF(SER_hh_tes!K30=0,0,11630*1000*SER_hh_tes!K30/SER_hh_num!K30)</f>
        <v>20458.230366813452</v>
      </c>
      <c r="L30" s="133">
        <f>IF(SER_hh_tes!L30=0,0,11630*1000*SER_hh_tes!L30/SER_hh_num!L30)</f>
        <v>48971.866690682189</v>
      </c>
      <c r="M30" s="133">
        <f>IF(SER_hh_tes!M30=0,0,11630*1000*SER_hh_tes!M30/SER_hh_num!M30)</f>
        <v>34610.183098890011</v>
      </c>
      <c r="N30" s="133">
        <f>IF(SER_hh_tes!N30=0,0,11630*1000*SER_hh_tes!N30/SER_hh_num!N30)</f>
        <v>40037.111227248119</v>
      </c>
      <c r="O30" s="133">
        <f>IF(SER_hh_tes!O30=0,0,11630*1000*SER_hh_tes!O30/SER_hh_num!O30)</f>
        <v>40501.721943658289</v>
      </c>
      <c r="P30" s="133">
        <f>IF(SER_hh_tes!P30=0,0,11630*1000*SER_hh_tes!P30/SER_hh_num!P30)</f>
        <v>43929.662749543269</v>
      </c>
      <c r="Q30" s="133">
        <f>IF(SER_hh_tes!Q30=0,0,11630*1000*SER_hh_tes!Q30/SER_hh_num!Q30)</f>
        <v>48708.941803995629</v>
      </c>
      <c r="R30" s="133">
        <f>IF(SER_hh_tes!R30=0,0,11630*1000*SER_hh_tes!R30/SER_hh_num!R30)</f>
        <v>42993.52581592706</v>
      </c>
      <c r="S30" s="133">
        <f>IF(SER_hh_tes!S30=0,0,11630*1000*SER_hh_tes!S30/SER_hh_num!S30)</f>
        <v>41740.676699066447</v>
      </c>
      <c r="T30" s="133">
        <f>IF(SER_hh_tes!T30=0,0,11630*1000*SER_hh_tes!T30/SER_hh_num!T30)</f>
        <v>42887.502735046306</v>
      </c>
      <c r="U30" s="133">
        <f>IF(SER_hh_tes!U30=0,0,11630*1000*SER_hh_tes!U30/SER_hh_num!U30)</f>
        <v>42670.827300569988</v>
      </c>
      <c r="V30" s="133">
        <f>IF(SER_hh_tes!V30=0,0,11630*1000*SER_hh_tes!V30/SER_hh_num!V30)</f>
        <v>39288.682949125119</v>
      </c>
      <c r="W30" s="133">
        <f>IF(SER_hh_tes!W30=0,0,11630*1000*SER_hh_tes!W30/SER_hh_num!W30)</f>
        <v>40256.846419039735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32013.859173788238</v>
      </c>
      <c r="C31" s="133">
        <f>IF(SER_hh_tes!C31=0,0,11630*1000*SER_hh_tes!C31/SER_hh_num!C31)</f>
        <v>34078.703183050631</v>
      </c>
      <c r="D31" s="133">
        <f>IF(SER_hh_tes!D31=0,0,11630*1000*SER_hh_tes!D31/SER_hh_num!D31)</f>
        <v>19700.811678704231</v>
      </c>
      <c r="E31" s="133">
        <f>IF(SER_hh_tes!E31=0,0,11630*1000*SER_hh_tes!E31/SER_hh_num!E31)</f>
        <v>32329.738999113546</v>
      </c>
      <c r="F31" s="133">
        <f>IF(SER_hh_tes!F31=0,0,11630*1000*SER_hh_tes!F31/SER_hh_num!F31)</f>
        <v>43136.988949876031</v>
      </c>
      <c r="G31" s="133">
        <f>IF(SER_hh_tes!G31=0,0,11630*1000*SER_hh_tes!G31/SER_hh_num!G31)</f>
        <v>35100.163867577896</v>
      </c>
      <c r="H31" s="133">
        <f>IF(SER_hh_tes!H31=0,0,11630*1000*SER_hh_tes!H31/SER_hh_num!H31)</f>
        <v>48130.312873353643</v>
      </c>
      <c r="I31" s="133">
        <f>IF(SER_hh_tes!I31=0,0,11630*1000*SER_hh_tes!I31/SER_hh_num!I31)</f>
        <v>36507.709679132502</v>
      </c>
      <c r="J31" s="133">
        <f>IF(SER_hh_tes!J31=0,0,11630*1000*SER_hh_tes!J31/SER_hh_num!J31)</f>
        <v>39786.105080506255</v>
      </c>
      <c r="K31" s="133">
        <f>IF(SER_hh_tes!K31=0,0,11630*1000*SER_hh_tes!K31/SER_hh_num!K31)</f>
        <v>41491.387611122227</v>
      </c>
      <c r="L31" s="133">
        <f>IF(SER_hh_tes!L31=0,0,11630*1000*SER_hh_tes!L31/SER_hh_num!L31)</f>
        <v>41556.766275869879</v>
      </c>
      <c r="M31" s="133">
        <f>IF(SER_hh_tes!M31=0,0,11630*1000*SER_hh_tes!M31/SER_hh_num!M31)</f>
        <v>41751.872323745847</v>
      </c>
      <c r="N31" s="133">
        <f>IF(SER_hh_tes!N31=0,0,11630*1000*SER_hh_tes!N31/SER_hh_num!N31)</f>
        <v>41647.632102619878</v>
      </c>
      <c r="O31" s="133">
        <f>IF(SER_hh_tes!O31=0,0,11630*1000*SER_hh_tes!O31/SER_hh_num!O31)</f>
        <v>42833.459814511458</v>
      </c>
      <c r="P31" s="133">
        <f>IF(SER_hh_tes!P31=0,0,11630*1000*SER_hh_tes!P31/SER_hh_num!P31)</f>
        <v>42251.973384686018</v>
      </c>
      <c r="Q31" s="133">
        <f>IF(SER_hh_tes!Q31=0,0,11630*1000*SER_hh_tes!Q31/SER_hh_num!Q31)</f>
        <v>44193.329619340904</v>
      </c>
      <c r="R31" s="133">
        <f>IF(SER_hh_tes!R31=0,0,11630*1000*SER_hh_tes!R31/SER_hh_num!R31)</f>
        <v>41893.002028311908</v>
      </c>
      <c r="S31" s="133">
        <f>IF(SER_hh_tes!S31=0,0,11630*1000*SER_hh_tes!S31/SER_hh_num!S31)</f>
        <v>43705.859284210906</v>
      </c>
      <c r="T31" s="133">
        <f>IF(SER_hh_tes!T31=0,0,11630*1000*SER_hh_tes!T31/SER_hh_num!T31)</f>
        <v>42153.690690585798</v>
      </c>
      <c r="U31" s="133">
        <f>IF(SER_hh_tes!U31=0,0,11630*1000*SER_hh_tes!U31/SER_hh_num!U31)</f>
        <v>42118.542491588734</v>
      </c>
      <c r="V31" s="133">
        <f>IF(SER_hh_tes!V31=0,0,11630*1000*SER_hh_tes!V31/SER_hh_num!V31)</f>
        <v>39601.056802827137</v>
      </c>
      <c r="W31" s="133">
        <f>IF(SER_hh_tes!W31=0,0,11630*1000*SER_hh_tes!W31/SER_hh_num!W31)</f>
        <v>40838.710952918635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34688.18245025431</v>
      </c>
      <c r="C33" s="68">
        <f>IF(SER_hh_tes!C33=0,0,11630*1000*SER_hh_tes!C33/SER_hh_num!C33)</f>
        <v>37240.767915728546</v>
      </c>
      <c r="D33" s="68">
        <f>IF(SER_hh_tes!D33=0,0,11630*1000*SER_hh_tes!D33/SER_hh_num!D33)</f>
        <v>34877.463733701021</v>
      </c>
      <c r="E33" s="68">
        <f>IF(SER_hh_tes!E33=0,0,11630*1000*SER_hh_tes!E33/SER_hh_num!E33)</f>
        <v>38703.133405088432</v>
      </c>
      <c r="F33" s="68">
        <f>IF(SER_hh_tes!F33=0,0,11630*1000*SER_hh_tes!F33/SER_hh_num!F33)</f>
        <v>9475.5326470905984</v>
      </c>
      <c r="G33" s="68">
        <f>IF(SER_hh_tes!G33=0,0,11630*1000*SER_hh_tes!G33/SER_hh_num!G33)</f>
        <v>23299.714521425303</v>
      </c>
      <c r="H33" s="68">
        <f>IF(SER_hh_tes!H33=0,0,11630*1000*SER_hh_tes!H33/SER_hh_num!H33)</f>
        <v>33479.542020663575</v>
      </c>
      <c r="I33" s="68">
        <f>IF(SER_hh_tes!I33=0,0,11630*1000*SER_hh_tes!I33/SER_hh_num!I33)</f>
        <v>19292.765776691529</v>
      </c>
      <c r="J33" s="68">
        <f>IF(SER_hh_tes!J33=0,0,11630*1000*SER_hh_tes!J33/SER_hh_num!J33)</f>
        <v>48509.179376530927</v>
      </c>
      <c r="K33" s="68">
        <f>IF(SER_hh_tes!K33=0,0,11630*1000*SER_hh_tes!K33/SER_hh_num!K33)</f>
        <v>44937.472914700949</v>
      </c>
      <c r="L33" s="68">
        <f>IF(SER_hh_tes!L33=0,0,11630*1000*SER_hh_tes!L33/SER_hh_num!L33)</f>
        <v>40875.765665586609</v>
      </c>
      <c r="M33" s="68">
        <f>IF(SER_hh_tes!M33=0,0,11630*1000*SER_hh_tes!M33/SER_hh_num!M33)</f>
        <v>41944.995640802379</v>
      </c>
      <c r="N33" s="68">
        <f>IF(SER_hh_tes!N33=0,0,11630*1000*SER_hh_tes!N33/SER_hh_num!N33)</f>
        <v>42397.985579580774</v>
      </c>
      <c r="O33" s="68">
        <f>IF(SER_hh_tes!O33=0,0,11630*1000*SER_hh_tes!O33/SER_hh_num!O33)</f>
        <v>44313.007084072524</v>
      </c>
      <c r="P33" s="68">
        <f>IF(SER_hh_tes!P33=0,0,11630*1000*SER_hh_tes!P33/SER_hh_num!P33)</f>
        <v>44943.00728154066</v>
      </c>
      <c r="Q33" s="68">
        <f>IF(SER_hh_tes!Q33=0,0,11630*1000*SER_hh_tes!Q33/SER_hh_num!Q33)</f>
        <v>43896.060745680421</v>
      </c>
      <c r="R33" s="68">
        <f>IF(SER_hh_tes!R33=0,0,11630*1000*SER_hh_tes!R33/SER_hh_num!R33)</f>
        <v>43612.977508299991</v>
      </c>
      <c r="S33" s="68">
        <f>IF(SER_hh_tes!S33=0,0,11630*1000*SER_hh_tes!S33/SER_hh_num!S33)</f>
        <v>40785.733126307285</v>
      </c>
      <c r="T33" s="68">
        <f>IF(SER_hh_tes!T33=0,0,11630*1000*SER_hh_tes!T33/SER_hh_num!T33)</f>
        <v>42460.074141469529</v>
      </c>
      <c r="U33" s="68">
        <f>IF(SER_hh_tes!U33=0,0,11630*1000*SER_hh_tes!U33/SER_hh_num!U33)</f>
        <v>42848.115097547045</v>
      </c>
      <c r="V33" s="68">
        <f>IF(SER_hh_tes!V33=0,0,11630*1000*SER_hh_tes!V33/SER_hh_num!V33)</f>
        <v>38125.08607460693</v>
      </c>
      <c r="W33" s="68">
        <f>IF(SER_hh_tes!W33=0,0,11630*1000*SER_hh_tes!W33/SER_hh_num!W33)</f>
        <v>41637.509889888352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26477.770907695511</v>
      </c>
      <c r="C3" s="126">
        <f>IF(SER_hh_emi!C3=0,0,1000000*SER_hh_emi!C3/SER_hh_num!C3)</f>
        <v>46055.457702557869</v>
      </c>
      <c r="D3" s="126">
        <f>IF(SER_hh_emi!D3=0,0,1000000*SER_hh_emi!D3/SER_hh_num!D3)</f>
        <v>25755.632012833194</v>
      </c>
      <c r="E3" s="126">
        <f>IF(SER_hh_emi!E3=0,0,1000000*SER_hh_emi!E3/SER_hh_num!E3)</f>
        <v>47306.521804371063</v>
      </c>
      <c r="F3" s="126">
        <f>IF(SER_hh_emi!F3=0,0,1000000*SER_hh_emi!F3/SER_hh_num!F3)</f>
        <v>71381.174989497245</v>
      </c>
      <c r="G3" s="126">
        <f>IF(SER_hh_emi!G3=0,0,1000000*SER_hh_emi!G3/SER_hh_num!G3)</f>
        <v>71068.273261308306</v>
      </c>
      <c r="H3" s="126">
        <f>IF(SER_hh_emi!H3=0,0,1000000*SER_hh_emi!H3/SER_hh_num!H3)</f>
        <v>93518.418809820476</v>
      </c>
      <c r="I3" s="126">
        <f>IF(SER_hh_emi!I3=0,0,1000000*SER_hh_emi!I3/SER_hh_num!I3)</f>
        <v>77166.591934540396</v>
      </c>
      <c r="J3" s="126">
        <f>IF(SER_hh_emi!J3=0,0,1000000*SER_hh_emi!J3/SER_hh_num!J3)</f>
        <v>53662.837781508926</v>
      </c>
      <c r="K3" s="126">
        <f>IF(SER_hh_emi!K3=0,0,1000000*SER_hh_emi!K3/SER_hh_num!K3)</f>
        <v>48921.49467365921</v>
      </c>
      <c r="L3" s="126">
        <f>IF(SER_hh_emi!L3=0,0,1000000*SER_hh_emi!L3/SER_hh_num!L3)</f>
        <v>48024.677976647668</v>
      </c>
      <c r="M3" s="126">
        <f>IF(SER_hh_emi!M3=0,0,1000000*SER_hh_emi!M3/SER_hh_num!M3)</f>
        <v>44956.844928681094</v>
      </c>
      <c r="N3" s="126">
        <f>IF(SER_hh_emi!N3=0,0,1000000*SER_hh_emi!N3/SER_hh_num!N3)</f>
        <v>42695.858601286571</v>
      </c>
      <c r="O3" s="126">
        <f>IF(SER_hh_emi!O3=0,0,1000000*SER_hh_emi!O3/SER_hh_num!O3)</f>
        <v>39793.079697218811</v>
      </c>
      <c r="P3" s="126">
        <f>IF(SER_hh_emi!P3=0,0,1000000*SER_hh_emi!P3/SER_hh_num!P3)</f>
        <v>38042.893018261042</v>
      </c>
      <c r="Q3" s="126">
        <f>IF(SER_hh_emi!Q3=0,0,1000000*SER_hh_emi!Q3/SER_hh_num!Q3)</f>
        <v>36069.91211318659</v>
      </c>
      <c r="R3" s="126">
        <f>IF(SER_hh_emi!R3=0,0,1000000*SER_hh_emi!R3/SER_hh_num!R3)</f>
        <v>35123.596156757325</v>
      </c>
      <c r="S3" s="126">
        <f>IF(SER_hh_emi!S3=0,0,1000000*SER_hh_emi!S3/SER_hh_num!S3)</f>
        <v>38417.88753713444</v>
      </c>
      <c r="T3" s="126">
        <f>IF(SER_hh_emi!T3=0,0,1000000*SER_hh_emi!T3/SER_hh_num!T3)</f>
        <v>38080.241437961966</v>
      </c>
      <c r="U3" s="126">
        <f>IF(SER_hh_emi!U3=0,0,1000000*SER_hh_emi!U3/SER_hh_num!U3)</f>
        <v>37181.066362237696</v>
      </c>
      <c r="V3" s="126">
        <f>IF(SER_hh_emi!V3=0,0,1000000*SER_hh_emi!V3/SER_hh_num!V3)</f>
        <v>34196.384260065148</v>
      </c>
      <c r="W3" s="126">
        <f>IF(SER_hh_emi!W3=0,0,1000000*SER_hh_emi!W3/SER_hh_num!W3)</f>
        <v>38868.156929986828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20772.579603000111</v>
      </c>
      <c r="C4" s="131">
        <f>IF(SER_hh_emi!C4=0,0,1000000*SER_hh_emi!C4/SER_hh_num!C4)</f>
        <v>40642.765398807845</v>
      </c>
      <c r="D4" s="131">
        <f>IF(SER_hh_emi!D4=0,0,1000000*SER_hh_emi!D4/SER_hh_num!D4)</f>
        <v>20446.970818643378</v>
      </c>
      <c r="E4" s="131">
        <f>IF(SER_hh_emi!E4=0,0,1000000*SER_hh_emi!E4/SER_hh_num!E4)</f>
        <v>36389.367180489666</v>
      </c>
      <c r="F4" s="131">
        <f>IF(SER_hh_emi!F4=0,0,1000000*SER_hh_emi!F4/SER_hh_num!F4)</f>
        <v>53051.820446691418</v>
      </c>
      <c r="G4" s="131">
        <f>IF(SER_hh_emi!G4=0,0,1000000*SER_hh_emi!G4/SER_hh_num!G4)</f>
        <v>53463.43652134882</v>
      </c>
      <c r="H4" s="131">
        <f>IF(SER_hh_emi!H4=0,0,1000000*SER_hh_emi!H4/SER_hh_num!H4)</f>
        <v>77355.486951200073</v>
      </c>
      <c r="I4" s="131">
        <f>IF(SER_hh_emi!I4=0,0,1000000*SER_hh_emi!I4/SER_hh_num!I4)</f>
        <v>60325.604863576751</v>
      </c>
      <c r="J4" s="131">
        <f>IF(SER_hh_emi!J4=0,0,1000000*SER_hh_emi!J4/SER_hh_num!J4)</f>
        <v>41943.125943341598</v>
      </c>
      <c r="K4" s="131">
        <f>IF(SER_hh_emi!K4=0,0,1000000*SER_hh_emi!K4/SER_hh_num!K4)</f>
        <v>36591.490013695409</v>
      </c>
      <c r="L4" s="131">
        <f>IF(SER_hh_emi!L4=0,0,1000000*SER_hh_emi!L4/SER_hh_num!L4)</f>
        <v>35926.102602271683</v>
      </c>
      <c r="M4" s="131">
        <f>IF(SER_hh_emi!M4=0,0,1000000*SER_hh_emi!M4/SER_hh_num!M4)</f>
        <v>34197.914768085888</v>
      </c>
      <c r="N4" s="131">
        <f>IF(SER_hh_emi!N4=0,0,1000000*SER_hh_emi!N4/SER_hh_num!N4)</f>
        <v>32035.222784661906</v>
      </c>
      <c r="O4" s="131">
        <f>IF(SER_hh_emi!O4=0,0,1000000*SER_hh_emi!O4/SER_hh_num!O4)</f>
        <v>28816.943299801129</v>
      </c>
      <c r="P4" s="131">
        <f>IF(SER_hh_emi!P4=0,0,1000000*SER_hh_emi!P4/SER_hh_num!P4)</f>
        <v>26786.064563958349</v>
      </c>
      <c r="Q4" s="131">
        <f>IF(SER_hh_emi!Q4=0,0,1000000*SER_hh_emi!Q4/SER_hh_num!Q4)</f>
        <v>24172.600544535806</v>
      </c>
      <c r="R4" s="131">
        <f>IF(SER_hh_emi!R4=0,0,1000000*SER_hh_emi!R4/SER_hh_num!R4)</f>
        <v>23514.448646036322</v>
      </c>
      <c r="S4" s="131">
        <f>IF(SER_hh_emi!S4=0,0,1000000*SER_hh_emi!S4/SER_hh_num!S4)</f>
        <v>25966.01186157835</v>
      </c>
      <c r="T4" s="131">
        <f>IF(SER_hh_emi!T4=0,0,1000000*SER_hh_emi!T4/SER_hh_num!T4)</f>
        <v>25953.44563568481</v>
      </c>
      <c r="U4" s="131">
        <f>IF(SER_hh_emi!U4=0,0,1000000*SER_hh_emi!U4/SER_hh_num!U4)</f>
        <v>25320.99824997392</v>
      </c>
      <c r="V4" s="131">
        <f>IF(SER_hh_emi!V4=0,0,1000000*SER_hh_emi!V4/SER_hh_num!V4)</f>
        <v>23015.424934397732</v>
      </c>
      <c r="W4" s="131">
        <f>IF(SER_hh_emi!W4=0,0,1000000*SER_hh_emi!W4/SER_hh_num!W4)</f>
        <v>26819.687063234836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71802.080165239749</v>
      </c>
      <c r="C5" s="133">
        <f>IF(SER_hh_emi!C5=0,0,1000000*SER_hh_emi!C5/SER_hh_num!C5)</f>
        <v>150618.62433528484</v>
      </c>
      <c r="D5" s="133">
        <f>IF(SER_hh_emi!D5=0,0,1000000*SER_hh_emi!D5/SER_hh_num!D5)</f>
        <v>94723.545290973329</v>
      </c>
      <c r="E5" s="133">
        <f>IF(SER_hh_emi!E5=0,0,1000000*SER_hh_emi!E5/SER_hh_num!E5)</f>
        <v>83970.432007494965</v>
      </c>
      <c r="F5" s="133">
        <f>IF(SER_hh_emi!F5=0,0,1000000*SER_hh_emi!F5/SER_hh_num!F5)</f>
        <v>56870.268553488662</v>
      </c>
      <c r="G5" s="133">
        <f>IF(SER_hh_emi!G5=0,0,1000000*SER_hh_emi!G5/SER_hh_num!G5)</f>
        <v>37340.617349528831</v>
      </c>
      <c r="H5" s="133">
        <f>IF(SER_hh_emi!H5=0,0,1000000*SER_hh_emi!H5/SER_hh_num!H5)</f>
        <v>292304.64492969622</v>
      </c>
      <c r="I5" s="133">
        <f>IF(SER_hh_emi!I5=0,0,1000000*SER_hh_emi!I5/SER_hh_num!I5)</f>
        <v>179353.8589914286</v>
      </c>
      <c r="J5" s="133">
        <f>IF(SER_hh_emi!J5=0,0,1000000*SER_hh_emi!J5/SER_hh_num!J5)</f>
        <v>69336.286988851134</v>
      </c>
      <c r="K5" s="133">
        <f>IF(SER_hh_emi!K5=0,0,1000000*SER_hh_emi!K5/SER_hh_num!K5)</f>
        <v>44257.530377807459</v>
      </c>
      <c r="L5" s="133">
        <f>IF(SER_hh_emi!L5=0,0,1000000*SER_hh_emi!L5/SER_hh_num!L5)</f>
        <v>109533.4540913449</v>
      </c>
      <c r="M5" s="133">
        <f>IF(SER_hh_emi!M5=0,0,1000000*SER_hh_emi!M5/SER_hh_num!M5)</f>
        <v>108878.9167593965</v>
      </c>
      <c r="N5" s="133">
        <f>IF(SER_hh_emi!N5=0,0,1000000*SER_hh_emi!N5/SER_hh_num!N5)</f>
        <v>61138.088909676211</v>
      </c>
      <c r="O5" s="133">
        <f>IF(SER_hh_emi!O5=0,0,1000000*SER_hh_emi!O5/SER_hh_num!O5)</f>
        <v>79457.959845415506</v>
      </c>
      <c r="P5" s="133">
        <f>IF(SER_hh_emi!P5=0,0,1000000*SER_hh_emi!P5/SER_hh_num!P5)</f>
        <v>49665.483875278427</v>
      </c>
      <c r="Q5" s="133">
        <f>IF(SER_hh_emi!Q5=0,0,1000000*SER_hh_emi!Q5/SER_hh_num!Q5)</f>
        <v>51911.939582373438</v>
      </c>
      <c r="R5" s="133">
        <f>IF(SER_hh_emi!R5=0,0,1000000*SER_hh_emi!R5/SER_hh_num!R5)</f>
        <v>91165.626148850148</v>
      </c>
      <c r="S5" s="133">
        <f>IF(SER_hh_emi!S5=0,0,1000000*SER_hh_emi!S5/SER_hh_num!S5)</f>
        <v>0</v>
      </c>
      <c r="T5" s="133">
        <f>IF(SER_hh_emi!T5=0,0,1000000*SER_hh_emi!T5/SER_hh_num!T5)</f>
        <v>80049.730083475704</v>
      </c>
      <c r="U5" s="133">
        <f>IF(SER_hh_emi!U5=0,0,1000000*SER_hh_emi!U5/SER_hh_num!U5)</f>
        <v>65609.017965010498</v>
      </c>
      <c r="V5" s="133">
        <f>IF(SER_hh_emi!V5=0,0,1000000*SER_hh_emi!V5/SER_hh_num!V5)</f>
        <v>22323.950378004731</v>
      </c>
      <c r="W5" s="133">
        <f>IF(SER_hh_emi!W5=0,0,1000000*SER_hh_emi!W5/SER_hh_num!W5)</f>
        <v>58601.28590337537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97920.404820411699</v>
      </c>
      <c r="C7" s="133">
        <f>IF(SER_hh_emi!C7=0,0,1000000*SER_hh_emi!C7/SER_hh_num!C7)</f>
        <v>64446.806232171773</v>
      </c>
      <c r="D7" s="133">
        <f>IF(SER_hh_emi!D7=0,0,1000000*SER_hh_emi!D7/SER_hh_num!D7)</f>
        <v>69437.751243736187</v>
      </c>
      <c r="E7" s="133">
        <f>IF(SER_hh_emi!E7=0,0,1000000*SER_hh_emi!E7/SER_hh_num!E7)</f>
        <v>61909.272300823097</v>
      </c>
      <c r="F7" s="133">
        <f>IF(SER_hh_emi!F7=0,0,1000000*SER_hh_emi!F7/SER_hh_num!F7)</f>
        <v>106817.14620808369</v>
      </c>
      <c r="G7" s="133">
        <f>IF(SER_hh_emi!G7=0,0,1000000*SER_hh_emi!G7/SER_hh_num!G7)</f>
        <v>119564.54437655461</v>
      </c>
      <c r="H7" s="133">
        <f>IF(SER_hh_emi!H7=0,0,1000000*SER_hh_emi!H7/SER_hh_num!H7)</f>
        <v>84475.986118767076</v>
      </c>
      <c r="I7" s="133">
        <f>IF(SER_hh_emi!I7=0,0,1000000*SER_hh_emi!I7/SER_hh_num!I7)</f>
        <v>134913.16865732864</v>
      </c>
      <c r="J7" s="133">
        <f>IF(SER_hh_emi!J7=0,0,1000000*SER_hh_emi!J7/SER_hh_num!J7)</f>
        <v>113590.08525960737</v>
      </c>
      <c r="K7" s="133">
        <f>IF(SER_hh_emi!K7=0,0,1000000*SER_hh_emi!K7/SER_hh_num!K7)</f>
        <v>53824.134979990849</v>
      </c>
      <c r="L7" s="133">
        <f>IF(SER_hh_emi!L7=0,0,1000000*SER_hh_emi!L7/SER_hh_num!L7)</f>
        <v>54839.108898729108</v>
      </c>
      <c r="M7" s="133">
        <f>IF(SER_hh_emi!M7=0,0,1000000*SER_hh_emi!M7/SER_hh_num!M7)</f>
        <v>92478.669661211825</v>
      </c>
      <c r="N7" s="133">
        <f>IF(SER_hh_emi!N7=0,0,1000000*SER_hh_emi!N7/SER_hh_num!N7)</f>
        <v>72256.481860161279</v>
      </c>
      <c r="O7" s="133">
        <f>IF(SER_hh_emi!O7=0,0,1000000*SER_hh_emi!O7/SER_hh_num!O7)</f>
        <v>54249.051692423782</v>
      </c>
      <c r="P7" s="133">
        <f>IF(SER_hh_emi!P7=0,0,1000000*SER_hh_emi!P7/SER_hh_num!P7)</f>
        <v>49058.615388850223</v>
      </c>
      <c r="Q7" s="133">
        <f>IF(SER_hh_emi!Q7=0,0,1000000*SER_hh_emi!Q7/SER_hh_num!Q7)</f>
        <v>46742.36241830224</v>
      </c>
      <c r="R7" s="133">
        <f>IF(SER_hh_emi!R7=0,0,1000000*SER_hh_emi!R7/SER_hh_num!R7)</f>
        <v>41645.554005811355</v>
      </c>
      <c r="S7" s="133">
        <f>IF(SER_hh_emi!S7=0,0,1000000*SER_hh_emi!S7/SER_hh_num!S7)</f>
        <v>46794.963798773213</v>
      </c>
      <c r="T7" s="133">
        <f>IF(SER_hh_emi!T7=0,0,1000000*SER_hh_emi!T7/SER_hh_num!T7)</f>
        <v>44617.952625930739</v>
      </c>
      <c r="U7" s="133">
        <f>IF(SER_hh_emi!U7=0,0,1000000*SER_hh_emi!U7/SER_hh_num!U7)</f>
        <v>40036.475083685371</v>
      </c>
      <c r="V7" s="133">
        <f>IF(SER_hh_emi!V7=0,0,1000000*SER_hh_emi!V7/SER_hh_num!V7)</f>
        <v>33263.040944541681</v>
      </c>
      <c r="W7" s="133">
        <f>IF(SER_hh_emi!W7=0,0,1000000*SER_hh_emi!W7/SER_hh_num!W7)</f>
        <v>45104.900964310924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57339.003366014884</v>
      </c>
      <c r="C9" s="133">
        <f>IF(SER_hh_emi!C9=0,0,1000000*SER_hh_emi!C9/SER_hh_num!C9)</f>
        <v>133886.97002232293</v>
      </c>
      <c r="D9" s="133">
        <f>IF(SER_hh_emi!D9=0,0,1000000*SER_hh_emi!D9/SER_hh_num!D9)</f>
        <v>11959.185547135623</v>
      </c>
      <c r="E9" s="133">
        <f>IF(SER_hh_emi!E9=0,0,1000000*SER_hh_emi!E9/SER_hh_num!E9)</f>
        <v>63374.819437891056</v>
      </c>
      <c r="F9" s="133">
        <f>IF(SER_hh_emi!F9=0,0,1000000*SER_hh_emi!F9/SER_hh_num!F9)</f>
        <v>62500.432212071202</v>
      </c>
      <c r="G9" s="133">
        <f>IF(SER_hh_emi!G9=0,0,1000000*SER_hh_emi!G9/SER_hh_num!G9)</f>
        <v>62422.861219054816</v>
      </c>
      <c r="H9" s="133">
        <f>IF(SER_hh_emi!H9=0,0,1000000*SER_hh_emi!H9/SER_hh_num!H9)</f>
        <v>116753.1900353142</v>
      </c>
      <c r="I9" s="133">
        <f>IF(SER_hh_emi!I9=0,0,1000000*SER_hh_emi!I9/SER_hh_num!I9)</f>
        <v>76044.263553341443</v>
      </c>
      <c r="J9" s="133">
        <f>IF(SER_hh_emi!J9=0,0,1000000*SER_hh_emi!J9/SER_hh_num!J9)</f>
        <v>51678.220168587679</v>
      </c>
      <c r="K9" s="133">
        <f>IF(SER_hh_emi!K9=0,0,1000000*SER_hh_emi!K9/SER_hh_num!K9)</f>
        <v>57729.672149095284</v>
      </c>
      <c r="L9" s="133">
        <f>IF(SER_hh_emi!L9=0,0,1000000*SER_hh_emi!L9/SER_hh_num!L9)</f>
        <v>57269.693872520198</v>
      </c>
      <c r="M9" s="133">
        <f>IF(SER_hh_emi!M9=0,0,1000000*SER_hh_emi!M9/SER_hh_num!M9)</f>
        <v>43112.204017657117</v>
      </c>
      <c r="N9" s="133">
        <f>IF(SER_hh_emi!N9=0,0,1000000*SER_hh_emi!N9/SER_hh_num!N9)</f>
        <v>42708.155363546182</v>
      </c>
      <c r="O9" s="133">
        <f>IF(SER_hh_emi!O9=0,0,1000000*SER_hh_emi!O9/SER_hh_num!O9)</f>
        <v>39879.11954753186</v>
      </c>
      <c r="P9" s="133">
        <f>IF(SER_hh_emi!P9=0,0,1000000*SER_hh_emi!P9/SER_hh_num!P9)</f>
        <v>36177.275532875101</v>
      </c>
      <c r="Q9" s="133">
        <f>IF(SER_hh_emi!Q9=0,0,1000000*SER_hh_emi!Q9/SER_hh_num!Q9)</f>
        <v>31829.030112518136</v>
      </c>
      <c r="R9" s="133">
        <f>IF(SER_hh_emi!R9=0,0,1000000*SER_hh_emi!R9/SER_hh_num!R9)</f>
        <v>31465.781393193993</v>
      </c>
      <c r="S9" s="133">
        <f>IF(SER_hh_emi!S9=0,0,1000000*SER_hh_emi!S9/SER_hh_num!S9)</f>
        <v>32833.581652148183</v>
      </c>
      <c r="T9" s="133">
        <f>IF(SER_hh_emi!T9=0,0,1000000*SER_hh_emi!T9/SER_hh_num!T9)</f>
        <v>31840.955865320615</v>
      </c>
      <c r="U9" s="133">
        <f>IF(SER_hh_emi!U9=0,0,1000000*SER_hh_emi!U9/SER_hh_num!U9)</f>
        <v>30808.922654578357</v>
      </c>
      <c r="V9" s="133">
        <f>IF(SER_hh_emi!V9=0,0,1000000*SER_hh_emi!V9/SER_hh_num!V9)</f>
        <v>28327.852538348849</v>
      </c>
      <c r="W9" s="133">
        <f>IF(SER_hh_emi!W9=0,0,1000000*SER_hh_emi!W9/SER_hh_num!W9)</f>
        <v>28262.470173490467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258.47517308861001</v>
      </c>
      <c r="F10" s="133">
        <f>IF(SER_hh_emi!F10=0,0,1000000*SER_hh_emi!F10/SER_hh_num!F10)</f>
        <v>219.0556308848721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53.277766744364719</v>
      </c>
      <c r="P10" s="133">
        <f>IF(SER_hh_emi!P10=0,0,1000000*SER_hh_emi!P10/SER_hh_num!P10)</f>
        <v>6419.2516186433568</v>
      </c>
      <c r="Q10" s="133">
        <f>IF(SER_hh_emi!Q10=0,0,1000000*SER_hh_emi!Q10/SER_hh_num!Q10)</f>
        <v>4779.1001022158816</v>
      </c>
      <c r="R10" s="133">
        <f>IF(SER_hh_emi!R10=0,0,1000000*SER_hh_emi!R10/SER_hh_num!R10)</f>
        <v>3745.7372975858639</v>
      </c>
      <c r="S10" s="133">
        <f>IF(SER_hh_emi!S10=0,0,1000000*SER_hh_emi!S10/SER_hh_num!S10)</f>
        <v>2464.5522144143652</v>
      </c>
      <c r="T10" s="133">
        <f>IF(SER_hh_emi!T10=0,0,1000000*SER_hh_emi!T10/SER_hh_num!T10)</f>
        <v>1974.3070090692147</v>
      </c>
      <c r="U10" s="133">
        <f>IF(SER_hh_emi!U10=0,0,1000000*SER_hh_emi!U10/SER_hh_num!U10)</f>
        <v>2108.7654099511706</v>
      </c>
      <c r="V10" s="133">
        <f>IF(SER_hh_emi!V10=0,0,1000000*SER_hh_emi!V10/SER_hh_num!V10)</f>
        <v>1578.9005858363303</v>
      </c>
      <c r="W10" s="133">
        <f>IF(SER_hh_emi!W10=0,0,1000000*SER_hh_emi!W10/SER_hh_num!W10)</f>
        <v>1665.1467125213601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1426.4200373492895</v>
      </c>
      <c r="C19" s="131">
        <f>IF(SER_hh_emi!C19=0,0,1000000*SER_hh_emi!C19/SER_hh_num!C19)</f>
        <v>1495.9669179296172</v>
      </c>
      <c r="D19" s="131">
        <f>IF(SER_hh_emi!D19=0,0,1000000*SER_hh_emi!D19/SER_hh_num!D19)</f>
        <v>2717.5631734176077</v>
      </c>
      <c r="E19" s="131">
        <f>IF(SER_hh_emi!E19=0,0,1000000*SER_hh_emi!E19/SER_hh_num!E19)</f>
        <v>4397.4747936702543</v>
      </c>
      <c r="F19" s="131">
        <f>IF(SER_hh_emi!F19=0,0,1000000*SER_hh_emi!F19/SER_hh_num!F19)</f>
        <v>6471.1950580026651</v>
      </c>
      <c r="G19" s="131">
        <f>IF(SER_hh_emi!G19=0,0,1000000*SER_hh_emi!G19/SER_hh_num!G19)</f>
        <v>6086.6721069083123</v>
      </c>
      <c r="H19" s="131">
        <f>IF(SER_hh_emi!H19=0,0,1000000*SER_hh_emi!H19/SER_hh_num!H19)</f>
        <v>5843.3692170479899</v>
      </c>
      <c r="I19" s="131">
        <f>IF(SER_hh_emi!I19=0,0,1000000*SER_hh_emi!I19/SER_hh_num!I19)</f>
        <v>5048.9566624587997</v>
      </c>
      <c r="J19" s="131">
        <f>IF(SER_hh_emi!J19=0,0,1000000*SER_hh_emi!J19/SER_hh_num!J19)</f>
        <v>4345.791743335817</v>
      </c>
      <c r="K19" s="131">
        <f>IF(SER_hh_emi!K19=0,0,1000000*SER_hh_emi!K19/SER_hh_num!K19)</f>
        <v>5767.088774540377</v>
      </c>
      <c r="L19" s="131">
        <f>IF(SER_hh_emi!L19=0,0,1000000*SER_hh_emi!L19/SER_hh_num!L19)</f>
        <v>5541.9481877090511</v>
      </c>
      <c r="M19" s="131">
        <f>IF(SER_hh_emi!M19=0,0,1000000*SER_hh_emi!M19/SER_hh_num!M19)</f>
        <v>4948.3599716419312</v>
      </c>
      <c r="N19" s="131">
        <f>IF(SER_hh_emi!N19=0,0,1000000*SER_hh_emi!N19/SER_hh_num!N19)</f>
        <v>5013.4937179224407</v>
      </c>
      <c r="O19" s="131">
        <f>IF(SER_hh_emi!O19=0,0,1000000*SER_hh_emi!O19/SER_hh_num!O19)</f>
        <v>5421.3241955004132</v>
      </c>
      <c r="P19" s="131">
        <f>IF(SER_hh_emi!P19=0,0,1000000*SER_hh_emi!P19/SER_hh_num!P19)</f>
        <v>5711.8902393242042</v>
      </c>
      <c r="Q19" s="131">
        <f>IF(SER_hh_emi!Q19=0,0,1000000*SER_hh_emi!Q19/SER_hh_num!Q19)</f>
        <v>5895.0538728854663</v>
      </c>
      <c r="R19" s="131">
        <f>IF(SER_hh_emi!R19=0,0,1000000*SER_hh_emi!R19/SER_hh_num!R19)</f>
        <v>5888.4085195811731</v>
      </c>
      <c r="S19" s="131">
        <f>IF(SER_hh_emi!S19=0,0,1000000*SER_hh_emi!S19/SER_hh_num!S19)</f>
        <v>6443.0625943825808</v>
      </c>
      <c r="T19" s="131">
        <f>IF(SER_hh_emi!T19=0,0,1000000*SER_hh_emi!T19/SER_hh_num!T19)</f>
        <v>6286.3685721492557</v>
      </c>
      <c r="U19" s="131">
        <f>IF(SER_hh_emi!U19=0,0,1000000*SER_hh_emi!U19/SER_hh_num!U19)</f>
        <v>6055.1652132335139</v>
      </c>
      <c r="V19" s="131">
        <f>IF(SER_hh_emi!V19=0,0,1000000*SER_hh_emi!V19/SER_hh_num!V19)</f>
        <v>5757.1767873079662</v>
      </c>
      <c r="W19" s="131">
        <f>IF(SER_hh_emi!W19=0,0,1000000*SER_hh_emi!W19/SER_hh_num!W19)</f>
        <v>6596.2153176921274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1829.0918804408652</v>
      </c>
      <c r="C22" s="133">
        <f>IF(SER_hh_emi!C22=0,0,1000000*SER_hh_emi!C22/SER_hh_num!C22)</f>
        <v>2910.7458005986637</v>
      </c>
      <c r="D22" s="133">
        <f>IF(SER_hh_emi!D22=0,0,1000000*SER_hh_emi!D22/SER_hh_num!D22)</f>
        <v>9199.6445184438071</v>
      </c>
      <c r="E22" s="133">
        <f>IF(SER_hh_emi!E22=0,0,1000000*SER_hh_emi!E22/SER_hh_num!E22)</f>
        <v>12753.187039391485</v>
      </c>
      <c r="F22" s="133">
        <f>IF(SER_hh_emi!F22=0,0,1000000*SER_hh_emi!F22/SER_hh_num!F22)</f>
        <v>14743.724988861726</v>
      </c>
      <c r="G22" s="133">
        <f>IF(SER_hh_emi!G22=0,0,1000000*SER_hh_emi!G22/SER_hh_num!G22)</f>
        <v>17363.778895667172</v>
      </c>
      <c r="H22" s="133">
        <f>IF(SER_hh_emi!H22=0,0,1000000*SER_hh_emi!H22/SER_hh_num!H22)</f>
        <v>12021.182898537936</v>
      </c>
      <c r="I22" s="133">
        <f>IF(SER_hh_emi!I22=0,0,1000000*SER_hh_emi!I22/SER_hh_num!I22)</f>
        <v>13882.846425118507</v>
      </c>
      <c r="J22" s="133">
        <f>IF(SER_hh_emi!J22=0,0,1000000*SER_hh_emi!J22/SER_hh_num!J22)</f>
        <v>15386.223006672717</v>
      </c>
      <c r="K22" s="133">
        <f>IF(SER_hh_emi!K22=0,0,1000000*SER_hh_emi!K22/SER_hh_num!K22)</f>
        <v>14799.246641777152</v>
      </c>
      <c r="L22" s="133">
        <f>IF(SER_hh_emi!L22=0,0,1000000*SER_hh_emi!L22/SER_hh_num!L22)</f>
        <v>14237.300679227626</v>
      </c>
      <c r="M22" s="133">
        <f>IF(SER_hh_emi!M22=0,0,1000000*SER_hh_emi!M22/SER_hh_num!M22)</f>
        <v>13021.749454346193</v>
      </c>
      <c r="N22" s="133">
        <f>IF(SER_hh_emi!N22=0,0,1000000*SER_hh_emi!N22/SER_hh_num!N22)</f>
        <v>13863.227889126872</v>
      </c>
      <c r="O22" s="133">
        <f>IF(SER_hh_emi!O22=0,0,1000000*SER_hh_emi!O22/SER_hh_num!O22)</f>
        <v>15706.037885717231</v>
      </c>
      <c r="P22" s="133">
        <f>IF(SER_hh_emi!P22=0,0,1000000*SER_hh_emi!P22/SER_hh_num!P22)</f>
        <v>14713.560770846609</v>
      </c>
      <c r="Q22" s="133">
        <f>IF(SER_hh_emi!Q22=0,0,1000000*SER_hh_emi!Q22/SER_hh_num!Q22)</f>
        <v>14315.765834953952</v>
      </c>
      <c r="R22" s="133">
        <f>IF(SER_hh_emi!R22=0,0,1000000*SER_hh_emi!R22/SER_hh_num!R22)</f>
        <v>11714.424687810133</v>
      </c>
      <c r="S22" s="133">
        <f>IF(SER_hh_emi!S22=0,0,1000000*SER_hh_emi!S22/SER_hh_num!S22)</f>
        <v>13232.256387886775</v>
      </c>
      <c r="T22" s="133">
        <f>IF(SER_hh_emi!T22=0,0,1000000*SER_hh_emi!T22/SER_hh_num!T22)</f>
        <v>12834.354586830552</v>
      </c>
      <c r="U22" s="133">
        <f>IF(SER_hh_emi!U22=0,0,1000000*SER_hh_emi!U22/SER_hh_num!U22)</f>
        <v>10840.394850299355</v>
      </c>
      <c r="V22" s="133">
        <f>IF(SER_hh_emi!V22=0,0,1000000*SER_hh_emi!V22/SER_hh_num!V22)</f>
        <v>9804.5458584638382</v>
      </c>
      <c r="W22" s="133">
        <f>IF(SER_hh_emi!W22=0,0,1000000*SER_hh_emi!W22/SER_hh_num!W22)</f>
        <v>12851.459191746089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8952.8361512400297</v>
      </c>
      <c r="C23" s="133">
        <f>IF(SER_hh_emi!C23=0,0,1000000*SER_hh_emi!C23/SER_hh_num!C23)</f>
        <v>7066.2266306158026</v>
      </c>
      <c r="D23" s="133">
        <f>IF(SER_hh_emi!D23=0,0,1000000*SER_hh_emi!D23/SER_hh_num!D23)</f>
        <v>4066.2410206283444</v>
      </c>
      <c r="E23" s="133">
        <f>IF(SER_hh_emi!E23=0,0,1000000*SER_hh_emi!E23/SER_hh_num!E23)</f>
        <v>7895.766363767535</v>
      </c>
      <c r="F23" s="133">
        <f>IF(SER_hh_emi!F23=0,0,1000000*SER_hh_emi!F23/SER_hh_num!F23)</f>
        <v>11896.888880043516</v>
      </c>
      <c r="G23" s="133">
        <f>IF(SER_hh_emi!G23=0,0,1000000*SER_hh_emi!G23/SER_hh_num!G23)</f>
        <v>10096.600549777877</v>
      </c>
      <c r="H23" s="133">
        <f>IF(SER_hh_emi!H23=0,0,1000000*SER_hh_emi!H23/SER_hh_num!H23)</f>
        <v>11610.12198540865</v>
      </c>
      <c r="I23" s="133">
        <f>IF(SER_hh_emi!I23=0,0,1000000*SER_hh_emi!I23/SER_hh_num!I23)</f>
        <v>10304.072640881555</v>
      </c>
      <c r="J23" s="133">
        <f>IF(SER_hh_emi!J23=0,0,1000000*SER_hh_emi!J23/SER_hh_num!J23)</f>
        <v>8593.9470951744152</v>
      </c>
      <c r="K23" s="133">
        <f>IF(SER_hh_emi!K23=0,0,1000000*SER_hh_emi!K23/SER_hh_num!K23)</f>
        <v>11517.43693213587</v>
      </c>
      <c r="L23" s="133">
        <f>IF(SER_hh_emi!L23=0,0,1000000*SER_hh_emi!L23/SER_hh_num!L23)</f>
        <v>10750.537122987813</v>
      </c>
      <c r="M23" s="133">
        <f>IF(SER_hh_emi!M23=0,0,1000000*SER_hh_emi!M23/SER_hh_num!M23)</f>
        <v>9716.8615258215541</v>
      </c>
      <c r="N23" s="133">
        <f>IF(SER_hh_emi!N23=0,0,1000000*SER_hh_emi!N23/SER_hh_num!N23)</f>
        <v>9782.9508427037854</v>
      </c>
      <c r="O23" s="133">
        <f>IF(SER_hh_emi!O23=0,0,1000000*SER_hh_emi!O23/SER_hh_num!O23)</f>
        <v>9769.2244658770633</v>
      </c>
      <c r="P23" s="133">
        <f>IF(SER_hh_emi!P23=0,0,1000000*SER_hh_emi!P23/SER_hh_num!P23)</f>
        <v>9813.8385098572999</v>
      </c>
      <c r="Q23" s="133">
        <f>IF(SER_hh_emi!Q23=0,0,1000000*SER_hh_emi!Q23/SER_hh_num!Q23)</f>
        <v>9614.2514820758915</v>
      </c>
      <c r="R23" s="133">
        <f>IF(SER_hh_emi!R23=0,0,1000000*SER_hh_emi!R23/SER_hh_num!R23)</f>
        <v>9578.4964649795347</v>
      </c>
      <c r="S23" s="133">
        <f>IF(SER_hh_emi!S23=0,0,1000000*SER_hh_emi!S23/SER_hh_num!S23)</f>
        <v>9446.132080269068</v>
      </c>
      <c r="T23" s="133">
        <f>IF(SER_hh_emi!T23=0,0,1000000*SER_hh_emi!T23/SER_hh_num!T23)</f>
        <v>8680.2885336610598</v>
      </c>
      <c r="U23" s="133">
        <f>IF(SER_hh_emi!U23=0,0,1000000*SER_hh_emi!U23/SER_hh_num!U23)</f>
        <v>8478.9527263661676</v>
      </c>
      <c r="V23" s="133">
        <f>IF(SER_hh_emi!V23=0,0,1000000*SER_hh_emi!V23/SER_hh_num!V23)</f>
        <v>7996.3384868780931</v>
      </c>
      <c r="W23" s="133">
        <f>IF(SER_hh_emi!W23=0,0,1000000*SER_hh_emi!W23/SER_hh_num!W23)</f>
        <v>7992.4098749070854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44.318142271848387</v>
      </c>
      <c r="F24" s="133">
        <f>IF(SER_hh_emi!F24=0,0,1000000*SER_hh_emi!F24/SER_hh_num!F24)</f>
        <v>40.735701672138816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13.965665836058415</v>
      </c>
      <c r="P24" s="133">
        <f>IF(SER_hh_emi!P24=0,0,1000000*SER_hh_emi!P24/SER_hh_num!P24)</f>
        <v>2194.1787604474775</v>
      </c>
      <c r="Q24" s="133">
        <f>IF(SER_hh_emi!Q24=0,0,1000000*SER_hh_emi!Q24/SER_hh_num!Q24)</f>
        <v>1095.1881180615337</v>
      </c>
      <c r="R24" s="133">
        <f>IF(SER_hh_emi!R24=0,0,1000000*SER_hh_emi!R24/SER_hh_num!R24)</f>
        <v>765.91150230463927</v>
      </c>
      <c r="S24" s="133">
        <f>IF(SER_hh_emi!S24=0,0,1000000*SER_hh_emi!S24/SER_hh_num!S24)</f>
        <v>555.12695894901356</v>
      </c>
      <c r="T24" s="133">
        <f>IF(SER_hh_emi!T24=0,0,1000000*SER_hh_emi!T24/SER_hh_num!T24)</f>
        <v>497.38827401816786</v>
      </c>
      <c r="U24" s="133">
        <f>IF(SER_hh_emi!U24=0,0,1000000*SER_hh_emi!U24/SER_hh_num!U24)</f>
        <v>419.59218435775455</v>
      </c>
      <c r="V24" s="133">
        <f>IF(SER_hh_emi!V24=0,0,1000000*SER_hh_emi!V24/SER_hh_num!V24)</f>
        <v>371.51616897208669</v>
      </c>
      <c r="W24" s="133">
        <f>IF(SER_hh_emi!W24=0,0,1000000*SER_hh_emi!W24/SER_hh_num!W24)</f>
        <v>365.90529918879128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4278.7712673461128</v>
      </c>
      <c r="C29" s="131">
        <f>IF(SER_hh_emi!C29=0,0,1000000*SER_hh_emi!C29/SER_hh_num!C29)</f>
        <v>3916.725385820404</v>
      </c>
      <c r="D29" s="131">
        <f>IF(SER_hh_emi!D29=0,0,1000000*SER_hh_emi!D29/SER_hh_num!D29)</f>
        <v>2591.0980207722046</v>
      </c>
      <c r="E29" s="131">
        <f>IF(SER_hh_emi!E29=0,0,1000000*SER_hh_emi!E29/SER_hh_num!E29)</f>
        <v>6519.6798302111465</v>
      </c>
      <c r="F29" s="131">
        <f>IF(SER_hh_emi!F29=0,0,1000000*SER_hh_emi!F29/SER_hh_num!F29)</f>
        <v>11858.159484803173</v>
      </c>
      <c r="G29" s="131">
        <f>IF(SER_hh_emi!G29=0,0,1000000*SER_hh_emi!G29/SER_hh_num!G29)</f>
        <v>11518.164633051178</v>
      </c>
      <c r="H29" s="131">
        <f>IF(SER_hh_emi!H29=0,0,1000000*SER_hh_emi!H29/SER_hh_num!H29)</f>
        <v>10319.562641572413</v>
      </c>
      <c r="I29" s="131">
        <f>IF(SER_hh_emi!I29=0,0,1000000*SER_hh_emi!I29/SER_hh_num!I29)</f>
        <v>11792.030408504841</v>
      </c>
      <c r="J29" s="131">
        <f>IF(SER_hh_emi!J29=0,0,1000000*SER_hh_emi!J29/SER_hh_num!J29)</f>
        <v>7373.9200948315138</v>
      </c>
      <c r="K29" s="131">
        <f>IF(SER_hh_emi!K29=0,0,1000000*SER_hh_emi!K29/SER_hh_num!K29)</f>
        <v>6562.915885423432</v>
      </c>
      <c r="L29" s="131">
        <f>IF(SER_hh_emi!L29=0,0,1000000*SER_hh_emi!L29/SER_hh_num!L29)</f>
        <v>6556.6271866669376</v>
      </c>
      <c r="M29" s="131">
        <f>IF(SER_hh_emi!M29=0,0,1000000*SER_hh_emi!M29/SER_hh_num!M29)</f>
        <v>5810.5701889532684</v>
      </c>
      <c r="N29" s="131">
        <f>IF(SER_hh_emi!N29=0,0,1000000*SER_hh_emi!N29/SER_hh_num!N29)</f>
        <v>5647.1420987022138</v>
      </c>
      <c r="O29" s="131">
        <f>IF(SER_hh_emi!O29=0,0,1000000*SER_hh_emi!O29/SER_hh_num!O29)</f>
        <v>5554.812201917277</v>
      </c>
      <c r="P29" s="131">
        <f>IF(SER_hh_emi!P29=0,0,1000000*SER_hh_emi!P29/SER_hh_num!P29)</f>
        <v>5544.9382149784878</v>
      </c>
      <c r="Q29" s="131">
        <f>IF(SER_hh_emi!Q29=0,0,1000000*SER_hh_emi!Q29/SER_hh_num!Q29)</f>
        <v>6002.2576957653118</v>
      </c>
      <c r="R29" s="131">
        <f>IF(SER_hh_emi!R29=0,0,1000000*SER_hh_emi!R29/SER_hh_num!R29)</f>
        <v>5720.7389911398277</v>
      </c>
      <c r="S29" s="131">
        <f>IF(SER_hh_emi!S29=0,0,1000000*SER_hh_emi!S29/SER_hh_num!S29)</f>
        <v>6008.8130811735091</v>
      </c>
      <c r="T29" s="131">
        <f>IF(SER_hh_emi!T29=0,0,1000000*SER_hh_emi!T29/SER_hh_num!T29)</f>
        <v>5840.4272301278952</v>
      </c>
      <c r="U29" s="131">
        <f>IF(SER_hh_emi!U29=0,0,1000000*SER_hh_emi!U29/SER_hh_num!U29)</f>
        <v>5804.902899030255</v>
      </c>
      <c r="V29" s="131">
        <f>IF(SER_hh_emi!V29=0,0,1000000*SER_hh_emi!V29/SER_hh_num!V29)</f>
        <v>5423.78253835945</v>
      </c>
      <c r="W29" s="131">
        <f>IF(SER_hh_emi!W29=0,0,1000000*SER_hh_emi!W29/SER_hh_num!W29)</f>
        <v>5452.2545490598723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21628.731181136267</v>
      </c>
      <c r="C30" s="133">
        <f>IF(SER_hh_emi!C30=0,0,1000000*SER_hh_emi!C30/SER_hh_num!C30)</f>
        <v>8483.619938850592</v>
      </c>
      <c r="D30" s="133">
        <f>IF(SER_hh_emi!D30=0,0,1000000*SER_hh_emi!D30/SER_hh_num!D30)</f>
        <v>3735.6437798687334</v>
      </c>
      <c r="E30" s="133">
        <f>IF(SER_hh_emi!E30=0,0,1000000*SER_hh_emi!E30/SER_hh_num!E30)</f>
        <v>11192.955879994752</v>
      </c>
      <c r="F30" s="133">
        <f>IF(SER_hh_emi!F30=0,0,1000000*SER_hh_emi!F30/SER_hh_num!F30)</f>
        <v>17049.729201899409</v>
      </c>
      <c r="G30" s="133">
        <f>IF(SER_hh_emi!G30=0,0,1000000*SER_hh_emi!G30/SER_hh_num!G30)</f>
        <v>20556.837572063399</v>
      </c>
      <c r="H30" s="133">
        <f>IF(SER_hh_emi!H30=0,0,1000000*SER_hh_emi!H30/SER_hh_num!H30)</f>
        <v>8518.6361229054091</v>
      </c>
      <c r="I30" s="133">
        <f>IF(SER_hh_emi!I30=0,0,1000000*SER_hh_emi!I30/SER_hh_num!I30)</f>
        <v>26077.077905036513</v>
      </c>
      <c r="J30" s="133">
        <f>IF(SER_hh_emi!J30=0,0,1000000*SER_hh_emi!J30/SER_hh_num!J30)</f>
        <v>9259.828535637962</v>
      </c>
      <c r="K30" s="133">
        <f>IF(SER_hh_emi!K30=0,0,1000000*SER_hh_emi!K30/SER_hh_num!K30)</f>
        <v>7632.3001787376788</v>
      </c>
      <c r="L30" s="133">
        <f>IF(SER_hh_emi!L30=0,0,1000000*SER_hh_emi!L30/SER_hh_num!L30)</f>
        <v>18264.031087851163</v>
      </c>
      <c r="M30" s="133">
        <f>IF(SER_hh_emi!M30=0,0,1000000*SER_hh_emi!M30/SER_hh_num!M30)</f>
        <v>12907.848991482711</v>
      </c>
      <c r="N30" s="133">
        <f>IF(SER_hh_emi!N30=0,0,1000000*SER_hh_emi!N30/SER_hh_num!N30)</f>
        <v>14925.123932481854</v>
      </c>
      <c r="O30" s="133">
        <f>IF(SER_hh_emi!O30=0,0,1000000*SER_hh_emi!O30/SER_hh_num!O30)</f>
        <v>15076.910243976521</v>
      </c>
      <c r="P30" s="133">
        <f>IF(SER_hh_emi!P30=0,0,1000000*SER_hh_emi!P30/SER_hh_num!P30)</f>
        <v>16326.691151764504</v>
      </c>
      <c r="Q30" s="133">
        <f>IF(SER_hh_emi!Q30=0,0,1000000*SER_hh_emi!Q30/SER_hh_num!Q30)</f>
        <v>18078.930647235829</v>
      </c>
      <c r="R30" s="133">
        <f>IF(SER_hh_emi!R30=0,0,1000000*SER_hh_emi!R30/SER_hh_num!R30)</f>
        <v>15932.257013782679</v>
      </c>
      <c r="S30" s="133">
        <f>IF(SER_hh_emi!S30=0,0,1000000*SER_hh_emi!S30/SER_hh_num!S30)</f>
        <v>15459.677289124367</v>
      </c>
      <c r="T30" s="133">
        <f>IF(SER_hh_emi!T30=0,0,1000000*SER_hh_emi!T30/SER_hh_num!T30)</f>
        <v>15879.318121038881</v>
      </c>
      <c r="U30" s="133">
        <f>IF(SER_hh_emi!U30=0,0,1000000*SER_hh_emi!U30/SER_hh_num!U30)</f>
        <v>15792.793540393715</v>
      </c>
      <c r="V30" s="133">
        <f>IF(SER_hh_emi!V30=0,0,1000000*SER_hh_emi!V30/SER_hh_num!V30)</f>
        <v>14534.116864578898</v>
      </c>
      <c r="W30" s="133">
        <f>IF(SER_hh_emi!W30=0,0,1000000*SER_hh_emi!W30/SER_hh_num!W30)</f>
        <v>14879.951640127858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10696.279469512276</v>
      </c>
      <c r="C31" s="133">
        <f>IF(SER_hh_emi!C31=0,0,1000000*SER_hh_emi!C31/SER_hh_num!C31)</f>
        <v>11350.355517967857</v>
      </c>
      <c r="D31" s="133">
        <f>IF(SER_hh_emi!D31=0,0,1000000*SER_hh_emi!D31/SER_hh_num!D31)</f>
        <v>6545.2299713294569</v>
      </c>
      <c r="E31" s="133">
        <f>IF(SER_hh_emi!E31=0,0,1000000*SER_hh_emi!E31/SER_hh_num!E31)</f>
        <v>10710.718734304568</v>
      </c>
      <c r="F31" s="133">
        <f>IF(SER_hh_emi!F31=0,0,1000000*SER_hh_emi!F31/SER_hh_num!F31)</f>
        <v>14259.902126272837</v>
      </c>
      <c r="G31" s="133">
        <f>IF(SER_hh_emi!G31=0,0,1000000*SER_hh_emi!G31/SER_hh_num!G31)</f>
        <v>11589.848451596266</v>
      </c>
      <c r="H31" s="133">
        <f>IF(SER_hh_emi!H31=0,0,1000000*SER_hh_emi!H31/SER_hh_num!H31)</f>
        <v>15881.611405695145</v>
      </c>
      <c r="I31" s="133">
        <f>IF(SER_hh_emi!I31=0,0,1000000*SER_hh_emi!I31/SER_hh_num!I31)</f>
        <v>12039.221075777628</v>
      </c>
      <c r="J31" s="133">
        <f>IF(SER_hh_emi!J31=0,0,1000000*SER_hh_emi!J31/SER_hh_num!J31)</f>
        <v>13114.13568360188</v>
      </c>
      <c r="K31" s="133">
        <f>IF(SER_hh_emi!K31=0,0,1000000*SER_hh_emi!K31/SER_hh_num!K31)</f>
        <v>13667.120975798969</v>
      </c>
      <c r="L31" s="133">
        <f>IF(SER_hh_emi!L31=0,0,1000000*SER_hh_emi!L31/SER_hh_num!L31)</f>
        <v>13677.704472242844</v>
      </c>
      <c r="M31" s="133">
        <f>IF(SER_hh_emi!M31=0,0,1000000*SER_hh_emi!M31/SER_hh_num!M31)</f>
        <v>13733.842506369447</v>
      </c>
      <c r="N31" s="133">
        <f>IF(SER_hh_emi!N31=0,0,1000000*SER_hh_emi!N31/SER_hh_num!N31)</f>
        <v>13688.198720952692</v>
      </c>
      <c r="O31" s="133">
        <f>IF(SER_hh_emi!O31=0,0,1000000*SER_hh_emi!O31/SER_hh_num!O31)</f>
        <v>14060.757241742851</v>
      </c>
      <c r="P31" s="133">
        <f>IF(SER_hh_emi!P31=0,0,1000000*SER_hh_emi!P31/SER_hh_num!P31)</f>
        <v>13852.676604731658</v>
      </c>
      <c r="Q31" s="133">
        <f>IF(SER_hh_emi!Q31=0,0,1000000*SER_hh_emi!Q31/SER_hh_num!Q31)</f>
        <v>14471.816594643014</v>
      </c>
      <c r="R31" s="133">
        <f>IF(SER_hh_emi!R31=0,0,1000000*SER_hh_emi!R31/SER_hh_num!R31)</f>
        <v>13699.321606068945</v>
      </c>
      <c r="S31" s="133">
        <f>IF(SER_hh_emi!S31=0,0,1000000*SER_hh_emi!S31/SER_hh_num!S31)</f>
        <v>14270.456896966891</v>
      </c>
      <c r="T31" s="133">
        <f>IF(SER_hh_emi!T31=0,0,1000000*SER_hh_emi!T31/SER_hh_num!T31)</f>
        <v>13675.624491065057</v>
      </c>
      <c r="U31" s="133">
        <f>IF(SER_hh_emi!U31=0,0,1000000*SER_hh_emi!U31/SER_hh_num!U31)</f>
        <v>13650.483989111279</v>
      </c>
      <c r="V31" s="133">
        <f>IF(SER_hh_emi!V31=0,0,1000000*SER_hh_emi!V31/SER_hh_num!V31)</f>
        <v>12837.824758711644</v>
      </c>
      <c r="W31" s="133">
        <f>IF(SER_hh_emi!W31=0,0,1000000*SER_hh_emi!W31/SER_hh_num!W31)</f>
        <v>13222.160903015949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418.80877691892516</v>
      </c>
      <c r="C3" s="126">
        <f>IF(SER_hh_fech!C3=0,0,SER_hh_fech!C3/SER_summary!C$26)</f>
        <v>527.36031057556102</v>
      </c>
      <c r="D3" s="126">
        <f>IF(SER_hh_fech!D3=0,0,SER_hh_fech!D3/SER_summary!D$26)</f>
        <v>237.09005025220878</v>
      </c>
      <c r="E3" s="126">
        <f>IF(SER_hh_fech!E3=0,0,SER_hh_fech!E3/SER_summary!E$26)</f>
        <v>401.31159436922644</v>
      </c>
      <c r="F3" s="126">
        <f>IF(SER_hh_fech!F3=0,0,SER_hh_fech!F3/SER_summary!F$26)</f>
        <v>440.03966331869691</v>
      </c>
      <c r="G3" s="126">
        <f>IF(SER_hh_fech!G3=0,0,SER_hh_fech!G3/SER_summary!G$26)</f>
        <v>528.54366234180668</v>
      </c>
      <c r="H3" s="126">
        <f>IF(SER_hh_fech!H3=0,0,SER_hh_fech!H3/SER_summary!H$26)</f>
        <v>652.05083000081174</v>
      </c>
      <c r="I3" s="126">
        <f>IF(SER_hh_fech!I3=0,0,SER_hh_fech!I3/SER_summary!I$26)</f>
        <v>547.68981195735853</v>
      </c>
      <c r="J3" s="126">
        <f>IF(SER_hh_fech!J3=0,0,SER_hh_fech!J3/SER_summary!J$26)</f>
        <v>437.13429899319715</v>
      </c>
      <c r="K3" s="126">
        <f>IF(SER_hh_fech!K3=0,0,SER_hh_fech!K3/SER_summary!K$26)</f>
        <v>401.43375974510286</v>
      </c>
      <c r="L3" s="126">
        <f>IF(SER_hh_fech!L3=0,0,SER_hh_fech!L3/SER_summary!L$26)</f>
        <v>411.02916786907684</v>
      </c>
      <c r="M3" s="126">
        <f>IF(SER_hh_fech!M3=0,0,SER_hh_fech!M3/SER_summary!M$26)</f>
        <v>371.21889644360249</v>
      </c>
      <c r="N3" s="126">
        <f>IF(SER_hh_fech!N3=0,0,SER_hh_fech!N3/SER_summary!N$26)</f>
        <v>352.39659857921112</v>
      </c>
      <c r="O3" s="126">
        <f>IF(SER_hh_fech!O3=0,0,SER_hh_fech!O3/SER_summary!O$26)</f>
        <v>327.60737495884337</v>
      </c>
      <c r="P3" s="126">
        <f>IF(SER_hh_fech!P3=0,0,SER_hh_fech!P3/SER_summary!P$26)</f>
        <v>305.43179693618089</v>
      </c>
      <c r="Q3" s="126">
        <f>IF(SER_hh_fech!Q3=0,0,SER_hh_fech!Q3/SER_summary!Q$26)</f>
        <v>297.96500178984599</v>
      </c>
      <c r="R3" s="126">
        <f>IF(SER_hh_fech!R3=0,0,SER_hh_fech!R3/SER_summary!R$26)</f>
        <v>294.66225620242119</v>
      </c>
      <c r="S3" s="126">
        <f>IF(SER_hh_fech!S3=0,0,SER_hh_fech!S3/SER_summary!S$26)</f>
        <v>297.08127231257379</v>
      </c>
      <c r="T3" s="126">
        <f>IF(SER_hh_fech!T3=0,0,SER_hh_fech!T3/SER_summary!T$26)</f>
        <v>291.46892922498171</v>
      </c>
      <c r="U3" s="126">
        <f>IF(SER_hh_fech!U3=0,0,SER_hh_fech!U3/SER_summary!U$26)</f>
        <v>281.09240161170072</v>
      </c>
      <c r="V3" s="126">
        <f>IF(SER_hh_fech!V3=0,0,SER_hh_fech!V3/SER_summary!V$26)</f>
        <v>253.31860549861275</v>
      </c>
      <c r="W3" s="126">
        <f>IF(SER_hh_fech!W3=0,0,SER_hh_fech!W3/SER_summary!W$26)</f>
        <v>276.67771084583416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324.58083403552382</v>
      </c>
      <c r="C4" s="131">
        <f>IF(SER_hh_fech!C4=0,0,SER_hh_fech!C4/SER_summary!C$26)</f>
        <v>431.20023425653363</v>
      </c>
      <c r="D4" s="131">
        <f>IF(SER_hh_fech!D4=0,0,SER_hh_fech!D4/SER_summary!D$26)</f>
        <v>173.03786553210688</v>
      </c>
      <c r="E4" s="131">
        <f>IF(SER_hh_fech!E4=0,0,SER_hh_fech!E4/SER_summary!E$26)</f>
        <v>297.19287928150118</v>
      </c>
      <c r="F4" s="131">
        <f>IF(SER_hh_fech!F4=0,0,SER_hh_fech!F4/SER_summary!F$26)</f>
        <v>318.57438920025362</v>
      </c>
      <c r="G4" s="131">
        <f>IF(SER_hh_fech!G4=0,0,SER_hh_fech!G4/SER_summary!G$26)</f>
        <v>407.01279878041117</v>
      </c>
      <c r="H4" s="131">
        <f>IF(SER_hh_fech!H4=0,0,SER_hh_fech!H4/SER_summary!H$26)</f>
        <v>529.6924376893752</v>
      </c>
      <c r="I4" s="131">
        <f>IF(SER_hh_fech!I4=0,0,SER_hh_fech!I4/SER_summary!I$26)</f>
        <v>422.64860805415731</v>
      </c>
      <c r="J4" s="131">
        <f>IF(SER_hh_fech!J4=0,0,SER_hh_fech!J4/SER_summary!J$26)</f>
        <v>316.56450290188809</v>
      </c>
      <c r="K4" s="131">
        <f>IF(SER_hh_fech!K4=0,0,SER_hh_fech!K4/SER_summary!K$26)</f>
        <v>281.6428571424189</v>
      </c>
      <c r="L4" s="131">
        <f>IF(SER_hh_fech!L4=0,0,SER_hh_fech!L4/SER_summary!L$26)</f>
        <v>292.87392792166025</v>
      </c>
      <c r="M4" s="131">
        <f>IF(SER_hh_fech!M4=0,0,SER_hh_fech!M4/SER_summary!M$26)</f>
        <v>253.54145098481283</v>
      </c>
      <c r="N4" s="131">
        <f>IF(SER_hh_fech!N4=0,0,SER_hh_fech!N4/SER_summary!N$26)</f>
        <v>234.40614440138833</v>
      </c>
      <c r="O4" s="131">
        <f>IF(SER_hh_fech!O4=0,0,SER_hh_fech!O4/SER_summary!O$26)</f>
        <v>207.83786530720195</v>
      </c>
      <c r="P4" s="131">
        <f>IF(SER_hh_fech!P4=0,0,SER_hh_fech!P4/SER_summary!P$26)</f>
        <v>185.08901036078763</v>
      </c>
      <c r="Q4" s="131">
        <f>IF(SER_hh_fech!Q4=0,0,SER_hh_fech!Q4/SER_summary!Q$26)</f>
        <v>176.18827939895235</v>
      </c>
      <c r="R4" s="131">
        <f>IF(SER_hh_fech!R4=0,0,SER_hh_fech!R4/SER_summary!R$26)</f>
        <v>176.61600573328465</v>
      </c>
      <c r="S4" s="131">
        <f>IF(SER_hh_fech!S4=0,0,SER_hh_fech!S4/SER_summary!S$26)</f>
        <v>181.15143372380294</v>
      </c>
      <c r="T4" s="131">
        <f>IF(SER_hh_fech!T4=0,0,SER_hh_fech!T4/SER_summary!T$26)</f>
        <v>177.66825180683108</v>
      </c>
      <c r="U4" s="131">
        <f>IF(SER_hh_fech!U4=0,0,SER_hh_fech!U4/SER_summary!U$26)</f>
        <v>170.3272852669956</v>
      </c>
      <c r="V4" s="131">
        <f>IF(SER_hh_fech!V4=0,0,SER_hh_fech!V4/SER_summary!V$26)</f>
        <v>151.85474201832216</v>
      </c>
      <c r="W4" s="131">
        <f>IF(SER_hh_fech!W4=0,0,SER_hh_fech!W4/SER_summary!W$26)</f>
        <v>168.14880120216858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218.81700793197999</v>
      </c>
      <c r="C5" s="133">
        <f>IF(SER_hh_fech!C5=0,0,SER_hh_fech!C5/SER_summary!C$26)</f>
        <v>456.76973957150386</v>
      </c>
      <c r="D5" s="133">
        <f>IF(SER_hh_fech!D5=0,0,SER_hh_fech!D5/SER_summary!D$26)</f>
        <v>291.03652817422108</v>
      </c>
      <c r="E5" s="133">
        <f>IF(SER_hh_fech!E5=0,0,SER_hh_fech!E5/SER_summary!E$26)</f>
        <v>257.99776524073667</v>
      </c>
      <c r="F5" s="133">
        <f>IF(SER_hh_fech!F5=0,0,SER_hh_fech!F5/SER_summary!F$26)</f>
        <v>181.34155068022784</v>
      </c>
      <c r="G5" s="133">
        <f>IF(SER_hh_fech!G5=0,0,SER_hh_fech!G5/SER_summary!G$26)</f>
        <v>114.72842997911494</v>
      </c>
      <c r="H5" s="133">
        <f>IF(SER_hh_fech!H5=0,0,SER_hh_fech!H5/SER_summary!H$26)</f>
        <v>898.10119298442373</v>
      </c>
      <c r="I5" s="133">
        <f>IF(SER_hh_fech!I5=0,0,SER_hh_fech!I5/SER_summary!I$26)</f>
        <v>535.08987881735493</v>
      </c>
      <c r="J5" s="133">
        <f>IF(SER_hh_fech!J5=0,0,SER_hh_fech!J5/SER_summary!J$26)</f>
        <v>212.52795714122183</v>
      </c>
      <c r="K5" s="133">
        <f>IF(SER_hh_fech!K5=0,0,SER_hh_fech!K5/SER_summary!K$26)</f>
        <v>138.93624034660832</v>
      </c>
      <c r="L5" s="133">
        <f>IF(SER_hh_fech!L5=0,0,SER_hh_fech!L5/SER_summary!L$26)</f>
        <v>342.73273615115539</v>
      </c>
      <c r="M5" s="133">
        <f>IF(SER_hh_fech!M5=0,0,SER_hh_fech!M5/SER_summary!M$26)</f>
        <v>360.64220588907591</v>
      </c>
      <c r="N5" s="133">
        <f>IF(SER_hh_fech!N5=0,0,SER_hh_fech!N5/SER_summary!N$26)</f>
        <v>191.8918955796959</v>
      </c>
      <c r="O5" s="133">
        <f>IF(SER_hh_fech!O5=0,0,SER_hh_fech!O5/SER_summary!O$26)</f>
        <v>248.79914121763667</v>
      </c>
      <c r="P5" s="133">
        <f>IF(SER_hh_fech!P5=0,0,SER_hh_fech!P5/SER_summary!P$26)</f>
        <v>156.07209529922795</v>
      </c>
      <c r="Q5" s="133">
        <f>IF(SER_hh_fech!Q5=0,0,SER_hh_fech!Q5/SER_summary!Q$26)</f>
        <v>163.3774149704854</v>
      </c>
      <c r="R5" s="133">
        <f>IF(SER_hh_fech!R5=0,0,SER_hh_fech!R5/SER_summary!R$26)</f>
        <v>286.95002566161719</v>
      </c>
      <c r="S5" s="133">
        <f>IF(SER_hh_fech!S5=0,0,SER_hh_fech!S5/SER_summary!S$26)</f>
        <v>0</v>
      </c>
      <c r="T5" s="133">
        <f>IF(SER_hh_fech!T5=0,0,SER_hh_fech!T5/SER_summary!T$26)</f>
        <v>252.36808781884329</v>
      </c>
      <c r="U5" s="133">
        <f>IF(SER_hh_fech!U5=0,0,SER_hh_fech!U5/SER_summary!U$26)</f>
        <v>209.12002442129071</v>
      </c>
      <c r="V5" s="133">
        <f>IF(SER_hh_fech!V5=0,0,SER_hh_fech!V5/SER_summary!V$26)</f>
        <v>71.400955809596525</v>
      </c>
      <c r="W5" s="133">
        <f>IF(SER_hh_fech!W5=0,0,SER_hh_fech!W5/SER_summary!W$26)</f>
        <v>188.84813863567322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422.40191937841234</v>
      </c>
      <c r="C7" s="133">
        <f>IF(SER_hh_fech!C7=0,0,SER_hh_fech!C7/SER_summary!C$26)</f>
        <v>280.39168563049589</v>
      </c>
      <c r="D7" s="133">
        <f>IF(SER_hh_fech!D7=0,0,SER_hh_fech!D7/SER_summary!D$26)</f>
        <v>291.91578290757224</v>
      </c>
      <c r="E7" s="133">
        <f>IF(SER_hh_fech!E7=0,0,SER_hh_fech!E7/SER_summary!E$26)</f>
        <v>261.86398979574039</v>
      </c>
      <c r="F7" s="133">
        <f>IF(SER_hh_fech!F7=0,0,SER_hh_fech!F7/SER_summary!F$26)</f>
        <v>449.08568929824719</v>
      </c>
      <c r="G7" s="133">
        <f>IF(SER_hh_fech!G7=0,0,SER_hh_fech!G7/SER_summary!G$26)</f>
        <v>500.8507555554213</v>
      </c>
      <c r="H7" s="133">
        <f>IF(SER_hh_fech!H7=0,0,SER_hh_fech!H7/SER_summary!H$26)</f>
        <v>359.39005322009973</v>
      </c>
      <c r="I7" s="133">
        <f>IF(SER_hh_fech!I7=0,0,SER_hh_fech!I7/SER_summary!I$26)</f>
        <v>572.94060964511414</v>
      </c>
      <c r="J7" s="133">
        <f>IF(SER_hh_fech!J7=0,0,SER_hh_fech!J7/SER_summary!J$26)</f>
        <v>479.2494041534685</v>
      </c>
      <c r="K7" s="133">
        <f>IF(SER_hh_fech!K7=0,0,SER_hh_fech!K7/SER_summary!K$26)</f>
        <v>224.79062510134744</v>
      </c>
      <c r="L7" s="133">
        <f>IF(SER_hh_fech!L7=0,0,SER_hh_fech!L7/SER_summary!L$26)</f>
        <v>230.54571498902007</v>
      </c>
      <c r="M7" s="133">
        <f>IF(SER_hh_fech!M7=0,0,SER_hh_fech!M7/SER_summary!M$26)</f>
        <v>388.48227331633791</v>
      </c>
      <c r="N7" s="133">
        <f>IF(SER_hh_fech!N7=0,0,SER_hh_fech!N7/SER_summary!N$26)</f>
        <v>302.9230876220534</v>
      </c>
      <c r="O7" s="133">
        <f>IF(SER_hh_fech!O7=0,0,SER_hh_fech!O7/SER_summary!O$26)</f>
        <v>228.22450825510708</v>
      </c>
      <c r="P7" s="133">
        <f>IF(SER_hh_fech!P7=0,0,SER_hh_fech!P7/SER_summary!P$26)</f>
        <v>206.54416618958578</v>
      </c>
      <c r="Q7" s="133">
        <f>IF(SER_hh_fech!Q7=0,0,SER_hh_fech!Q7/SER_summary!Q$26)</f>
        <v>196.72320072445774</v>
      </c>
      <c r="R7" s="133">
        <f>IF(SER_hh_fech!R7=0,0,SER_hh_fech!R7/SER_summary!R$26)</f>
        <v>175.94481957838477</v>
      </c>
      <c r="S7" s="133">
        <f>IF(SER_hh_fech!S7=0,0,SER_hh_fech!S7/SER_summary!S$26)</f>
        <v>196.97524534214946</v>
      </c>
      <c r="T7" s="133">
        <f>IF(SER_hh_fech!T7=0,0,SER_hh_fech!T7/SER_summary!T$26)</f>
        <v>188.27872562015241</v>
      </c>
      <c r="U7" s="133">
        <f>IF(SER_hh_fech!U7=0,0,SER_hh_fech!U7/SER_summary!U$26)</f>
        <v>169.0356035664492</v>
      </c>
      <c r="V7" s="133">
        <f>IF(SER_hh_fech!V7=0,0,SER_hh_fech!V7/SER_summary!V$26)</f>
        <v>140.03084287780206</v>
      </c>
      <c r="W7" s="133">
        <f>IF(SER_hh_fech!W7=0,0,SER_hh_fech!W7/SER_summary!W$26)</f>
        <v>189.31397729735536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315.45852515357774</v>
      </c>
      <c r="C9" s="133">
        <f>IF(SER_hh_fech!C9=0,0,SER_hh_fech!C9/SER_summary!C$26)</f>
        <v>736.59784127947751</v>
      </c>
      <c r="D9" s="133">
        <f>IF(SER_hh_fech!D9=0,0,SER_hh_fech!D9/SER_summary!D$26)</f>
        <v>65.795127457228176</v>
      </c>
      <c r="E9" s="133">
        <f>IF(SER_hh_fech!E9=0,0,SER_hh_fech!E9/SER_summary!E$26)</f>
        <v>348.66540920034254</v>
      </c>
      <c r="F9" s="133">
        <f>IF(SER_hh_fech!F9=0,0,SER_hh_fech!F9/SER_summary!F$26)</f>
        <v>343.85484591047299</v>
      </c>
      <c r="G9" s="133">
        <f>IF(SER_hh_fech!G9=0,0,SER_hh_fech!G9/SER_summary!G$26)</f>
        <v>343.42807827212641</v>
      </c>
      <c r="H9" s="133">
        <f>IF(SER_hh_fech!H9=0,0,SER_hh_fech!H9/SER_summary!H$26)</f>
        <v>642.33396071452091</v>
      </c>
      <c r="I9" s="133">
        <f>IF(SER_hh_fech!I9=0,0,SER_hh_fech!I9/SER_summary!I$26)</f>
        <v>418.3906839710682</v>
      </c>
      <c r="J9" s="133">
        <f>IF(SER_hh_fech!J9=0,0,SER_hh_fech!J9/SER_summary!J$26)</f>
        <v>284.31493677839217</v>
      </c>
      <c r="K9" s="133">
        <f>IF(SER_hh_fech!K9=0,0,SER_hh_fech!K9/SER_summary!K$26)</f>
        <v>317.60784395752341</v>
      </c>
      <c r="L9" s="133">
        <f>IF(SER_hh_fech!L9=0,0,SER_hh_fech!L9/SER_summary!L$26)</f>
        <v>315.07720930723463</v>
      </c>
      <c r="M9" s="133">
        <f>IF(SER_hh_fech!M9=0,0,SER_hh_fech!M9/SER_summary!M$26)</f>
        <v>237.18780406272478</v>
      </c>
      <c r="N9" s="133">
        <f>IF(SER_hh_fech!N9=0,0,SER_hh_fech!N9/SER_summary!N$26)</f>
        <v>234.96487403196554</v>
      </c>
      <c r="O9" s="133">
        <f>IF(SER_hh_fech!O9=0,0,SER_hh_fech!O9/SER_summary!O$26)</f>
        <v>219.40053887200904</v>
      </c>
      <c r="P9" s="133">
        <f>IF(SER_hh_fech!P9=0,0,SER_hh_fech!P9/SER_summary!P$26)</f>
        <v>199.03432766045586</v>
      </c>
      <c r="Q9" s="133">
        <f>IF(SER_hh_fech!Q9=0,0,SER_hh_fech!Q9/SER_summary!Q$26)</f>
        <v>175.11184894983677</v>
      </c>
      <c r="R9" s="133">
        <f>IF(SER_hh_fech!R9=0,0,SER_hh_fech!R9/SER_summary!R$26)</f>
        <v>173.11338545143147</v>
      </c>
      <c r="S9" s="133">
        <f>IF(SER_hh_fech!S9=0,0,SER_hh_fech!S9/SER_summary!S$26)</f>
        <v>180.63852936856679</v>
      </c>
      <c r="T9" s="133">
        <f>IF(SER_hh_fech!T9=0,0,SER_hh_fech!T9/SER_summary!T$26)</f>
        <v>176.08087869308699</v>
      </c>
      <c r="U9" s="133">
        <f>IF(SER_hh_fech!U9=0,0,SER_hh_fech!U9/SER_summary!U$26)</f>
        <v>170.28766693391552</v>
      </c>
      <c r="V9" s="133">
        <f>IF(SER_hh_fech!V9=0,0,SER_hh_fech!V9/SER_summary!V$26)</f>
        <v>156.21202516295855</v>
      </c>
      <c r="W9" s="133">
        <f>IF(SER_hh_fech!W9=0,0,SER_hh_fech!W9/SER_summary!W$26)</f>
        <v>155.69469201988971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372.65743924877313</v>
      </c>
      <c r="D10" s="133">
        <f>IF(SER_hh_fech!D10=0,0,SER_hh_fech!D10/SER_summary!D$26)</f>
        <v>284.19377846026714</v>
      </c>
      <c r="E10" s="133">
        <f>IF(SER_hh_fech!E10=0,0,SER_hh_fech!E10/SER_summary!E$26)</f>
        <v>287.28846975761172</v>
      </c>
      <c r="F10" s="133">
        <f>IF(SER_hh_fech!F10=0,0,SER_hh_fech!F10/SER_summary!F$26)</f>
        <v>267.54970235406034</v>
      </c>
      <c r="G10" s="133">
        <f>IF(SER_hh_fech!G10=0,0,SER_hh_fech!G10/SER_summary!G$26)</f>
        <v>488.86013670422324</v>
      </c>
      <c r="H10" s="133">
        <f>IF(SER_hh_fech!H10=0,0,SER_hh_fech!H10/SER_summary!H$26)</f>
        <v>503.12346766031663</v>
      </c>
      <c r="I10" s="133">
        <f>IF(SER_hh_fech!I10=0,0,SER_hh_fech!I10/SER_summary!I$26)</f>
        <v>419.11476568002706</v>
      </c>
      <c r="J10" s="133">
        <f>IF(SER_hh_fech!J10=0,0,SER_hh_fech!J10/SER_summary!J$26)</f>
        <v>371.20198273097441</v>
      </c>
      <c r="K10" s="133">
        <f>IF(SER_hh_fech!K10=0,0,SER_hh_fech!K10/SER_summary!K$26)</f>
        <v>333.79812026911543</v>
      </c>
      <c r="L10" s="133">
        <f>IF(SER_hh_fech!L10=0,0,SER_hh_fech!L10/SER_summary!L$26)</f>
        <v>383.0876096734321</v>
      </c>
      <c r="M10" s="133">
        <f>IF(SER_hh_fech!M10=0,0,SER_hh_fech!M10/SER_summary!M$26)</f>
        <v>228.27588120927345</v>
      </c>
      <c r="N10" s="133">
        <f>IF(SER_hh_fech!N10=0,0,SER_hh_fech!N10/SER_summary!N$26)</f>
        <v>261.96081958574575</v>
      </c>
      <c r="O10" s="133">
        <f>IF(SER_hh_fech!O10=0,0,SER_hh_fech!O10/SER_summary!O$26)</f>
        <v>194.83752730696895</v>
      </c>
      <c r="P10" s="133">
        <f>IF(SER_hh_fech!P10=0,0,SER_hh_fech!P10/SER_summary!P$26)</f>
        <v>152.65198051672496</v>
      </c>
      <c r="Q10" s="133">
        <f>IF(SER_hh_fech!Q10=0,0,SER_hh_fech!Q10/SER_summary!Q$26)</f>
        <v>244.0437514141106</v>
      </c>
      <c r="R10" s="133">
        <f>IF(SER_hh_fech!R10=0,0,SER_hh_fech!R10/SER_summary!R$26)</f>
        <v>249.74245207996481</v>
      </c>
      <c r="S10" s="133">
        <f>IF(SER_hh_fech!S10=0,0,SER_hh_fech!S10/SER_summary!S$26)</f>
        <v>210.60796238931943</v>
      </c>
      <c r="T10" s="133">
        <f>IF(SER_hh_fech!T10=0,0,SER_hh_fech!T10/SER_summary!T$26)</f>
        <v>207.98008015382544</v>
      </c>
      <c r="U10" s="133">
        <f>IF(SER_hh_fech!U10=0,0,SER_hh_fech!U10/SER_summary!U$26)</f>
        <v>219.11780098559325</v>
      </c>
      <c r="V10" s="133">
        <f>IF(SER_hh_fech!V10=0,0,SER_hh_fech!V10/SER_summary!V$26)</f>
        <v>186.73032000835352</v>
      </c>
      <c r="W10" s="133">
        <f>IF(SER_hh_fech!W10=0,0,SER_hh_fech!W10/SER_summary!W$26)</f>
        <v>213.42378068417375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346.33034125156047</v>
      </c>
      <c r="C11" s="133">
        <f>IF(SER_hh_fech!C11=0,0,SER_hh_fech!C11/SER_summary!C$26)</f>
        <v>110.28108142419725</v>
      </c>
      <c r="D11" s="133">
        <f>IF(SER_hh_fech!D11=0,0,SER_hh_fech!D11/SER_summary!D$26)</f>
        <v>204.0747124849473</v>
      </c>
      <c r="E11" s="133">
        <f>IF(SER_hh_fech!E11=0,0,SER_hh_fech!E11/SER_summary!E$26)</f>
        <v>248.33965691767841</v>
      </c>
      <c r="F11" s="133">
        <f>IF(SER_hh_fech!F11=0,0,SER_hh_fech!F11/SER_summary!F$26)</f>
        <v>168.97076638027136</v>
      </c>
      <c r="G11" s="133">
        <f>IF(SER_hh_fech!G11=0,0,SER_hh_fech!G11/SER_summary!G$26)</f>
        <v>378.72935695059977</v>
      </c>
      <c r="H11" s="133">
        <f>IF(SER_hh_fech!H11=0,0,SER_hh_fech!H11/SER_summary!H$26)</f>
        <v>250.52247417772958</v>
      </c>
      <c r="I11" s="133">
        <f>IF(SER_hh_fech!I11=0,0,SER_hh_fech!I11/SER_summary!I$26)</f>
        <v>216.60161433250121</v>
      </c>
      <c r="J11" s="133">
        <f>IF(SER_hh_fech!J11=0,0,SER_hh_fech!J11/SER_summary!J$26)</f>
        <v>334.51110556816582</v>
      </c>
      <c r="K11" s="133">
        <f>IF(SER_hh_fech!K11=0,0,SER_hh_fech!K11/SER_summary!K$26)</f>
        <v>286.46708687211611</v>
      </c>
      <c r="L11" s="133">
        <f>IF(SER_hh_fech!L11=0,0,SER_hh_fech!L11/SER_summary!L$26)</f>
        <v>110.30991724335784</v>
      </c>
      <c r="M11" s="133">
        <f>IF(SER_hh_fech!M11=0,0,SER_hh_fech!M11/SER_summary!M$26)</f>
        <v>192.34692960380073</v>
      </c>
      <c r="N11" s="133">
        <f>IF(SER_hh_fech!N11=0,0,SER_hh_fech!N11/SER_summary!N$26)</f>
        <v>160.14217634635474</v>
      </c>
      <c r="O11" s="133">
        <f>IF(SER_hh_fech!O11=0,0,SER_hh_fech!O11/SER_summary!O$26)</f>
        <v>172.65066003891539</v>
      </c>
      <c r="P11" s="133">
        <f>IF(SER_hh_fech!P11=0,0,SER_hh_fech!P11/SER_summary!P$26)</f>
        <v>158.1143243817817</v>
      </c>
      <c r="Q11" s="133">
        <f>IF(SER_hh_fech!Q11=0,0,SER_hh_fech!Q11/SER_summary!Q$26)</f>
        <v>134.25162028345503</v>
      </c>
      <c r="R11" s="133">
        <f>IF(SER_hh_fech!R11=0,0,SER_hh_fech!R11/SER_summary!R$26)</f>
        <v>144.56308279553417</v>
      </c>
      <c r="S11" s="133">
        <f>IF(SER_hh_fech!S11=0,0,SER_hh_fech!S11/SER_summary!S$26)</f>
        <v>154.84242454205838</v>
      </c>
      <c r="T11" s="133">
        <f>IF(SER_hh_fech!T11=0,0,SER_hh_fech!T11/SER_summary!T$26)</f>
        <v>157.06362477289298</v>
      </c>
      <c r="U11" s="133">
        <f>IF(SER_hh_fech!U11=0,0,SER_hh_fech!U11/SER_summary!U$26)</f>
        <v>181.41382639073277</v>
      </c>
      <c r="V11" s="133">
        <f>IF(SER_hh_fech!V11=0,0,SER_hh_fech!V11/SER_summary!V$26)</f>
        <v>82.863203089266449</v>
      </c>
      <c r="W11" s="133">
        <f>IF(SER_hh_fech!W11=0,0,SER_hh_fech!W11/SER_summary!W$26)</f>
        <v>134.67228421168608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322.82739497172048</v>
      </c>
      <c r="C12" s="133">
        <f>IF(SER_hh_fech!C12=0,0,SER_hh_fech!C12/SER_summary!C$26)</f>
        <v>280.73083360831305</v>
      </c>
      <c r="D12" s="133">
        <f>IF(SER_hh_fech!D12=0,0,SER_hh_fech!D12/SER_summary!D$26)</f>
        <v>131.61819105186322</v>
      </c>
      <c r="E12" s="133">
        <f>IF(SER_hh_fech!E12=0,0,SER_hh_fech!E12/SER_summary!E$26)</f>
        <v>192.6027743602078</v>
      </c>
      <c r="F12" s="133">
        <f>IF(SER_hh_fech!F12=0,0,SER_hh_fech!F12/SER_summary!F$26)</f>
        <v>147.59907575739217</v>
      </c>
      <c r="G12" s="133">
        <f>IF(SER_hh_fech!G12=0,0,SER_hh_fech!G12/SER_summary!G$26)</f>
        <v>433.31442670121862</v>
      </c>
      <c r="H12" s="133">
        <f>IF(SER_hh_fech!H12=0,0,SER_hh_fech!H12/SER_summary!H$26)</f>
        <v>353.39788266226282</v>
      </c>
      <c r="I12" s="133">
        <f>IF(SER_hh_fech!I12=0,0,SER_hh_fech!I12/SER_summary!I$26)</f>
        <v>292.16340152073377</v>
      </c>
      <c r="J12" s="133">
        <f>IF(SER_hh_fech!J12=0,0,SER_hh_fech!J12/SER_summary!J$26)</f>
        <v>282.94905548703508</v>
      </c>
      <c r="K12" s="133">
        <f>IF(SER_hh_fech!K12=0,0,SER_hh_fech!K12/SER_summary!K$26)</f>
        <v>213.50391384688311</v>
      </c>
      <c r="L12" s="133">
        <f>IF(SER_hh_fech!L12=0,0,SER_hh_fech!L12/SER_summary!L$26)</f>
        <v>218.33365380469047</v>
      </c>
      <c r="M12" s="133">
        <f>IF(SER_hh_fech!M12=0,0,SER_hh_fech!M12/SER_summary!M$26)</f>
        <v>204.52291611308223</v>
      </c>
      <c r="N12" s="133">
        <f>IF(SER_hh_fech!N12=0,0,SER_hh_fech!N12/SER_summary!N$26)</f>
        <v>194.40739053400091</v>
      </c>
      <c r="O12" s="133">
        <f>IF(SER_hh_fech!O12=0,0,SER_hh_fech!O12/SER_summary!O$26)</f>
        <v>174.97304968952412</v>
      </c>
      <c r="P12" s="133">
        <f>IF(SER_hh_fech!P12=0,0,SER_hh_fech!P12/SER_summary!P$26)</f>
        <v>143.13736675555944</v>
      </c>
      <c r="Q12" s="133">
        <f>IF(SER_hh_fech!Q12=0,0,SER_hh_fech!Q12/SER_summary!Q$26)</f>
        <v>141.41577036052323</v>
      </c>
      <c r="R12" s="133">
        <f>IF(SER_hh_fech!R12=0,0,SER_hh_fech!R12/SER_summary!R$26)</f>
        <v>151.04324180351315</v>
      </c>
      <c r="S12" s="133">
        <f>IF(SER_hh_fech!S12=0,0,SER_hh_fech!S12/SER_summary!S$26)</f>
        <v>148.08604321628172</v>
      </c>
      <c r="T12" s="133">
        <f>IF(SER_hh_fech!T12=0,0,SER_hh_fech!T12/SER_summary!T$26)</f>
        <v>148.7639597586724</v>
      </c>
      <c r="U12" s="133">
        <f>IF(SER_hh_fech!U12=0,0,SER_hh_fech!U12/SER_summary!U$26)</f>
        <v>136.83918747105534</v>
      </c>
      <c r="V12" s="133">
        <f>IF(SER_hh_fech!V12=0,0,SER_hh_fech!V12/SER_summary!V$26)</f>
        <v>135.2973428461774</v>
      </c>
      <c r="W12" s="133">
        <f>IF(SER_hh_fech!W12=0,0,SER_hh_fech!W12/SER_summary!W$26)</f>
        <v>138.96304172966717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0</v>
      </c>
      <c r="C13" s="133">
        <f>IF(SER_hh_fech!C13=0,0,SER_hh_fech!C13/SER_summary!C$26)</f>
        <v>0</v>
      </c>
      <c r="D13" s="133">
        <f>IF(SER_hh_fech!D13=0,0,SER_hh_fech!D13/SER_summary!D$26)</f>
        <v>0</v>
      </c>
      <c r="E13" s="133">
        <f>IF(SER_hh_fech!E13=0,0,SER_hh_fech!E13/SER_summary!E$26)</f>
        <v>0</v>
      </c>
      <c r="F13" s="133">
        <f>IF(SER_hh_fech!F13=0,0,SER_hh_fech!F13/SER_summary!F$26)</f>
        <v>0</v>
      </c>
      <c r="G13" s="133">
        <f>IF(SER_hh_fech!G13=0,0,SER_hh_fech!G13/SER_summary!G$26)</f>
        <v>0</v>
      </c>
      <c r="H13" s="133">
        <f>IF(SER_hh_fech!H13=0,0,SER_hh_fech!H13/SER_summary!H$26)</f>
        <v>0</v>
      </c>
      <c r="I13" s="133">
        <f>IF(SER_hh_fech!I13=0,0,SER_hh_fech!I13/SER_summary!I$26)</f>
        <v>0</v>
      </c>
      <c r="J13" s="133">
        <f>IF(SER_hh_fech!J13=0,0,SER_hh_fech!J13/SER_summary!J$26)</f>
        <v>0</v>
      </c>
      <c r="K13" s="133">
        <f>IF(SER_hh_fech!K13=0,0,SER_hh_fech!K13/SER_summary!K$26)</f>
        <v>0</v>
      </c>
      <c r="L13" s="133">
        <f>IF(SER_hh_fech!L13=0,0,SER_hh_fech!L13/SER_summary!L$26)</f>
        <v>0</v>
      </c>
      <c r="M13" s="133">
        <f>IF(SER_hh_fech!M13=0,0,SER_hh_fech!M13/SER_summary!M$26)</f>
        <v>0</v>
      </c>
      <c r="N13" s="133">
        <f>IF(SER_hh_fech!N13=0,0,SER_hh_fech!N13/SER_summary!N$26)</f>
        <v>0</v>
      </c>
      <c r="O13" s="133">
        <f>IF(SER_hh_fech!O13=0,0,SER_hh_fech!O13/SER_summary!O$26)</f>
        <v>0</v>
      </c>
      <c r="P13" s="133">
        <f>IF(SER_hh_fech!P13=0,0,SER_hh_fech!P13/SER_summary!P$26)</f>
        <v>0</v>
      </c>
      <c r="Q13" s="133">
        <f>IF(SER_hh_fech!Q13=0,0,SER_hh_fech!Q13/SER_summary!Q$26)</f>
        <v>0</v>
      </c>
      <c r="R13" s="133">
        <f>IF(SER_hh_fech!R13=0,0,SER_hh_fech!R13/SER_summary!R$26)</f>
        <v>0</v>
      </c>
      <c r="S13" s="133">
        <f>IF(SER_hh_fech!S13=0,0,SER_hh_fech!S13/SER_summary!S$26)</f>
        <v>0</v>
      </c>
      <c r="T13" s="133">
        <f>IF(SER_hh_fech!T13=0,0,SER_hh_fech!T13/SER_summary!T$26)</f>
        <v>0</v>
      </c>
      <c r="U13" s="133">
        <f>IF(SER_hh_fech!U13=0,0,SER_hh_fech!U13/SER_summary!U$26)</f>
        <v>0</v>
      </c>
      <c r="V13" s="133">
        <f>IF(SER_hh_fech!V13=0,0,SER_hh_fech!V13/SER_summary!V$26)</f>
        <v>0</v>
      </c>
      <c r="W13" s="133">
        <f>IF(SER_hh_fech!W13=0,0,SER_hh_fech!W13/SER_summary!W$26)</f>
        <v>0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297.81379785695793</v>
      </c>
      <c r="C14" s="65">
        <f>IF(SER_hh_fech!C14=0,0,SER_hh_fech!C14/SER_summary!C$26)</f>
        <v>530.93847616918833</v>
      </c>
      <c r="D14" s="65">
        <f>IF(SER_hh_fech!D14=0,0,SER_hh_fech!D14/SER_summary!D$26)</f>
        <v>5.0101015805347417</v>
      </c>
      <c r="E14" s="65">
        <f>IF(SER_hh_fech!E14=0,0,SER_hh_fech!E14/SER_summary!E$26)</f>
        <v>444.99103349960257</v>
      </c>
      <c r="F14" s="65">
        <f>IF(SER_hh_fech!F14=0,0,SER_hh_fech!F14/SER_summary!F$26)</f>
        <v>23.216425544731738</v>
      </c>
      <c r="G14" s="65">
        <f>IF(SER_hh_fech!G14=0,0,SER_hh_fech!G14/SER_summary!G$26)</f>
        <v>313.63130618437799</v>
      </c>
      <c r="H14" s="65">
        <f>IF(SER_hh_fech!H14=0,0,SER_hh_fech!H14/SER_summary!H$26)</f>
        <v>350.32900271860274</v>
      </c>
      <c r="I14" s="65">
        <f>IF(SER_hh_fech!I14=0,0,SER_hh_fech!I14/SER_summary!I$26)</f>
        <v>461.43665412518527</v>
      </c>
      <c r="J14" s="65">
        <f>IF(SER_hh_fech!J14=0,0,SER_hh_fech!J14/SER_summary!J$26)</f>
        <v>242.28704811587315</v>
      </c>
      <c r="K14" s="65">
        <f>IF(SER_hh_fech!K14=0,0,SER_hh_fech!K14/SER_summary!K$26)</f>
        <v>199.83162481297887</v>
      </c>
      <c r="L14" s="65">
        <f>IF(SER_hh_fech!L14=0,0,SER_hh_fech!L14/SER_summary!L$26)</f>
        <v>330.71832616274094</v>
      </c>
      <c r="M14" s="65">
        <f>IF(SER_hh_fech!M14=0,0,SER_hh_fech!M14/SER_summary!M$26)</f>
        <v>267.01067786434635</v>
      </c>
      <c r="N14" s="65">
        <f>IF(SER_hh_fech!N14=0,0,SER_hh_fech!N14/SER_summary!N$26)</f>
        <v>189.03453741160143</v>
      </c>
      <c r="O14" s="65">
        <f>IF(SER_hh_fech!O14=0,0,SER_hh_fech!O14/SER_summary!O$26)</f>
        <v>154.69906713125104</v>
      </c>
      <c r="P14" s="65">
        <f>IF(SER_hh_fech!P14=0,0,SER_hh_fech!P14/SER_summary!P$26)</f>
        <v>161.57534437794021</v>
      </c>
      <c r="Q14" s="65">
        <f>IF(SER_hh_fech!Q14=0,0,SER_hh_fech!Q14/SER_summary!Q$26)</f>
        <v>98.263560465971111</v>
      </c>
      <c r="R14" s="65">
        <f>IF(SER_hh_fech!R14=0,0,SER_hh_fech!R14/SER_summary!R$26)</f>
        <v>141.85559042868724</v>
      </c>
      <c r="S14" s="65">
        <f>IF(SER_hh_fech!S14=0,0,SER_hh_fech!S14/SER_summary!S$26)</f>
        <v>158.73794740112402</v>
      </c>
      <c r="T14" s="65">
        <f>IF(SER_hh_fech!T14=0,0,SER_hh_fech!T14/SER_summary!T$26)</f>
        <v>166.21285206749639</v>
      </c>
      <c r="U14" s="65">
        <f>IF(SER_hh_fech!U14=0,0,SER_hh_fech!U14/SER_summary!U$26)</f>
        <v>160.4692129469756</v>
      </c>
      <c r="V14" s="65">
        <f>IF(SER_hh_fech!V14=0,0,SER_hh_fech!V14/SER_summary!V$26)</f>
        <v>141.37128743925783</v>
      </c>
      <c r="W14" s="65">
        <f>IF(SER_hh_fech!W14=0,0,SER_hh_fech!W14/SER_summary!W$26)</f>
        <v>162.21815809766801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1.9413988470917996</v>
      </c>
      <c r="C15" s="135">
        <f>IF(SER_hh_fech!C15=0,0,SER_hh_fech!C15/SER_summary!C$26)</f>
        <v>3.0006720733919727</v>
      </c>
      <c r="D15" s="135">
        <f>IF(SER_hh_fech!D15=0,0,SER_hh_fech!D15/SER_summary!D$26)</f>
        <v>1.3075741726654651</v>
      </c>
      <c r="E15" s="135">
        <f>IF(SER_hh_fech!E15=0,0,SER_hh_fech!E15/SER_summary!E$26)</f>
        <v>2.2642292175120549</v>
      </c>
      <c r="F15" s="135">
        <f>IF(SER_hh_fech!F15=0,0,SER_hh_fech!F15/SER_summary!F$26)</f>
        <v>2.8336183523382683</v>
      </c>
      <c r="G15" s="135">
        <f>IF(SER_hh_fech!G15=0,0,SER_hh_fech!G15/SER_summary!G$26)</f>
        <v>3.1939387059362057</v>
      </c>
      <c r="H15" s="135">
        <f>IF(SER_hh_fech!H15=0,0,SER_hh_fech!H15/SER_summary!H$26)</f>
        <v>4.6767913103309429</v>
      </c>
      <c r="I15" s="135">
        <f>IF(SER_hh_fech!I15=0,0,SER_hh_fech!I15/SER_summary!I$26)</f>
        <v>3.5159768198794739</v>
      </c>
      <c r="J15" s="135">
        <f>IF(SER_hh_fech!J15=0,0,SER_hh_fech!J15/SER_summary!J$26)</f>
        <v>2.5294167851235785</v>
      </c>
      <c r="K15" s="135">
        <f>IF(SER_hh_fech!K15=0,0,SER_hh_fech!K15/SER_summary!K$26)</f>
        <v>2.3473490622433193</v>
      </c>
      <c r="L15" s="135">
        <f>IF(SER_hh_fech!L15=0,0,SER_hh_fech!L15/SER_summary!L$26)</f>
        <v>2.3346740788101421</v>
      </c>
      <c r="M15" s="135">
        <f>IF(SER_hh_fech!M15=0,0,SER_hh_fech!M15/SER_summary!M$26)</f>
        <v>2.0172246858670997</v>
      </c>
      <c r="N15" s="135">
        <f>IF(SER_hh_fech!N15=0,0,SER_hh_fech!N15/SER_summary!N$26)</f>
        <v>1.8975829250267324</v>
      </c>
      <c r="O15" s="135">
        <f>IF(SER_hh_fech!O15=0,0,SER_hh_fech!O15/SER_summary!O$26)</f>
        <v>1.7068167864152521</v>
      </c>
      <c r="P15" s="135">
        <f>IF(SER_hh_fech!P15=0,0,SER_hh_fech!P15/SER_summary!P$26)</f>
        <v>1.5382064383381795</v>
      </c>
      <c r="Q15" s="135">
        <f>IF(SER_hh_fech!Q15=0,0,SER_hh_fech!Q15/SER_summary!Q$26)</f>
        <v>1.4244993202064897</v>
      </c>
      <c r="R15" s="135">
        <f>IF(SER_hh_fech!R15=0,0,SER_hh_fech!R15/SER_summary!R$26)</f>
        <v>1.4181970226492069</v>
      </c>
      <c r="S15" s="135">
        <f>IF(SER_hh_fech!S15=0,0,SER_hh_fech!S15/SER_summary!S$26)</f>
        <v>1.5354316269015327</v>
      </c>
      <c r="T15" s="135">
        <f>IF(SER_hh_fech!T15=0,0,SER_hh_fech!T15/SER_summary!T$26)</f>
        <v>1.5489792214227107</v>
      </c>
      <c r="U15" s="135">
        <f>IF(SER_hh_fech!U15=0,0,SER_hh_fech!U15/SER_summary!U$26)</f>
        <v>1.5212523414066499</v>
      </c>
      <c r="V15" s="135">
        <f>IF(SER_hh_fech!V15=0,0,SER_hh_fech!V15/SER_summary!V$26)</f>
        <v>1.3886964656651988</v>
      </c>
      <c r="W15" s="135">
        <f>IF(SER_hh_fech!W15=0,0,SER_hh_fech!W15/SER_summary!W$26)</f>
        <v>1.5656664897458403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19.313856670555985</v>
      </c>
      <c r="C16" s="131">
        <f>IF(SER_hh_fech!C16=0,0,SER_hh_fech!C16/SER_summary!C$26)</f>
        <v>14.965448041843134</v>
      </c>
      <c r="D16" s="131">
        <f>IF(SER_hh_fech!D16=0,0,SER_hh_fech!D16/SER_summary!D$26)</f>
        <v>13.95811174157552</v>
      </c>
      <c r="E16" s="131">
        <f>IF(SER_hh_fech!E16=0,0,SER_hh_fech!E16/SER_summary!E$26)</f>
        <v>13.890495837149784</v>
      </c>
      <c r="F16" s="131">
        <f>IF(SER_hh_fech!F16=0,0,SER_hh_fech!F16/SER_summary!F$26)</f>
        <v>11.918064580853372</v>
      </c>
      <c r="G16" s="131">
        <f>IF(SER_hh_fech!G16=0,0,SER_hh_fech!G16/SER_summary!G$26)</f>
        <v>11.839275357104281</v>
      </c>
      <c r="H16" s="131">
        <f>IF(SER_hh_fech!H16=0,0,SER_hh_fech!H16/SER_summary!H$26)</f>
        <v>12.422014464273246</v>
      </c>
      <c r="I16" s="131">
        <f>IF(SER_hh_fech!I16=0,0,SER_hh_fech!I16/SER_summary!I$26)</f>
        <v>16.15653876320437</v>
      </c>
      <c r="J16" s="131">
        <f>IF(SER_hh_fech!J16=0,0,SER_hh_fech!J16/SER_summary!J$26)</f>
        <v>12.529308917742229</v>
      </c>
      <c r="K16" s="131">
        <f>IF(SER_hh_fech!K16=0,0,SER_hh_fech!K16/SER_summary!K$26)</f>
        <v>11.679775485650584</v>
      </c>
      <c r="L16" s="131">
        <f>IF(SER_hh_fech!L16=0,0,SER_hh_fech!L16/SER_summary!L$26)</f>
        <v>13.511366584827366</v>
      </c>
      <c r="M16" s="131">
        <f>IF(SER_hh_fech!M16=0,0,SER_hh_fech!M16/SER_summary!M$26)</f>
        <v>11.254345802966354</v>
      </c>
      <c r="N16" s="131">
        <f>IF(SER_hh_fech!N16=0,0,SER_hh_fech!N16/SER_summary!N$26)</f>
        <v>16.649262833500696</v>
      </c>
      <c r="O16" s="131">
        <f>IF(SER_hh_fech!O16=0,0,SER_hh_fech!O16/SER_summary!O$26)</f>
        <v>11.03857250530578</v>
      </c>
      <c r="P16" s="131">
        <f>IF(SER_hh_fech!P16=0,0,SER_hh_fech!P16/SER_summary!P$26)</f>
        <v>10.061190288190607</v>
      </c>
      <c r="Q16" s="131">
        <f>IF(SER_hh_fech!Q16=0,0,SER_hh_fech!Q16/SER_summary!Q$26)</f>
        <v>12.838683453765659</v>
      </c>
      <c r="R16" s="131">
        <f>IF(SER_hh_fech!R16=0,0,SER_hh_fech!R16/SER_summary!R$26)</f>
        <v>10.681632856499281</v>
      </c>
      <c r="S16" s="131">
        <f>IF(SER_hh_fech!S16=0,0,SER_hh_fech!S16/SER_summary!S$26)</f>
        <v>11.204826035468681</v>
      </c>
      <c r="T16" s="131">
        <f>IF(SER_hh_fech!T16=0,0,SER_hh_fech!T16/SER_summary!T$26)</f>
        <v>9.5681685563343297</v>
      </c>
      <c r="U16" s="131">
        <f>IF(SER_hh_fech!U16=0,0,SER_hh_fech!U16/SER_summary!U$26)</f>
        <v>10.476261602826369</v>
      </c>
      <c r="V16" s="131">
        <f>IF(SER_hh_fech!V16=0,0,SER_hh_fech!V16/SER_summary!V$26)</f>
        <v>9.4979473493686424</v>
      </c>
      <c r="W16" s="131">
        <f>IF(SER_hh_fech!W16=0,0,SER_hh_fech!W16/SER_summary!W$26)</f>
        <v>10.583703108725571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19.313856670555985</v>
      </c>
      <c r="C18" s="133">
        <f>IF(SER_hh_fech!C18=0,0,SER_hh_fech!C18/SER_summary!C$26)</f>
        <v>14.965448041843134</v>
      </c>
      <c r="D18" s="133">
        <f>IF(SER_hh_fech!D18=0,0,SER_hh_fech!D18/SER_summary!D$26)</f>
        <v>13.95811174157552</v>
      </c>
      <c r="E18" s="133">
        <f>IF(SER_hh_fech!E18=0,0,SER_hh_fech!E18/SER_summary!E$26)</f>
        <v>13.890495837149784</v>
      </c>
      <c r="F18" s="133">
        <f>IF(SER_hh_fech!F18=0,0,SER_hh_fech!F18/SER_summary!F$26)</f>
        <v>11.918064580853372</v>
      </c>
      <c r="G18" s="133">
        <f>IF(SER_hh_fech!G18=0,0,SER_hh_fech!G18/SER_summary!G$26)</f>
        <v>11.839275357104281</v>
      </c>
      <c r="H18" s="133">
        <f>IF(SER_hh_fech!H18=0,0,SER_hh_fech!H18/SER_summary!H$26)</f>
        <v>12.422014464273246</v>
      </c>
      <c r="I18" s="133">
        <f>IF(SER_hh_fech!I18=0,0,SER_hh_fech!I18/SER_summary!I$26)</f>
        <v>16.15653876320437</v>
      </c>
      <c r="J18" s="133">
        <f>IF(SER_hh_fech!J18=0,0,SER_hh_fech!J18/SER_summary!J$26)</f>
        <v>12.529308917742229</v>
      </c>
      <c r="K18" s="133">
        <f>IF(SER_hh_fech!K18=0,0,SER_hh_fech!K18/SER_summary!K$26)</f>
        <v>11.679775485650584</v>
      </c>
      <c r="L18" s="133">
        <f>IF(SER_hh_fech!L18=0,0,SER_hh_fech!L18/SER_summary!L$26)</f>
        <v>13.511366584827366</v>
      </c>
      <c r="M18" s="133">
        <f>IF(SER_hh_fech!M18=0,0,SER_hh_fech!M18/SER_summary!M$26)</f>
        <v>11.254345802966354</v>
      </c>
      <c r="N18" s="133">
        <f>IF(SER_hh_fech!N18=0,0,SER_hh_fech!N18/SER_summary!N$26)</f>
        <v>16.649262833500696</v>
      </c>
      <c r="O18" s="133">
        <f>IF(SER_hh_fech!O18=0,0,SER_hh_fech!O18/SER_summary!O$26)</f>
        <v>11.03857250530578</v>
      </c>
      <c r="P18" s="133">
        <f>IF(SER_hh_fech!P18=0,0,SER_hh_fech!P18/SER_summary!P$26)</f>
        <v>10.061190288190607</v>
      </c>
      <c r="Q18" s="133">
        <f>IF(SER_hh_fech!Q18=0,0,SER_hh_fech!Q18/SER_summary!Q$26)</f>
        <v>12.838683453765659</v>
      </c>
      <c r="R18" s="133">
        <f>IF(SER_hh_fech!R18=0,0,SER_hh_fech!R18/SER_summary!R$26)</f>
        <v>10.681632856499281</v>
      </c>
      <c r="S18" s="133">
        <f>IF(SER_hh_fech!S18=0,0,SER_hh_fech!S18/SER_summary!S$26)</f>
        <v>11.204826035468681</v>
      </c>
      <c r="T18" s="133">
        <f>IF(SER_hh_fech!T18=0,0,SER_hh_fech!T18/SER_summary!T$26)</f>
        <v>9.5681685563343297</v>
      </c>
      <c r="U18" s="133">
        <f>IF(SER_hh_fech!U18=0,0,SER_hh_fech!U18/SER_summary!U$26)</f>
        <v>10.476261602826369</v>
      </c>
      <c r="V18" s="133">
        <f>IF(SER_hh_fech!V18=0,0,SER_hh_fech!V18/SER_summary!V$26)</f>
        <v>9.4979473493686424</v>
      </c>
      <c r="W18" s="133">
        <f>IF(SER_hh_fech!W18=0,0,SER_hh_fech!W18/SER_summary!W$26)</f>
        <v>10.583703108725571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38.25799781200174</v>
      </c>
      <c r="C19" s="131">
        <f>IF(SER_hh_fech!C19=0,0,SER_hh_fech!C19/SER_summary!C$26)</f>
        <v>42.126276846730889</v>
      </c>
      <c r="D19" s="131">
        <f>IF(SER_hh_fech!D19=0,0,SER_hh_fech!D19/SER_summary!D$26)</f>
        <v>23.324499078134238</v>
      </c>
      <c r="E19" s="131">
        <f>IF(SER_hh_fech!E19=0,0,SER_hh_fech!E19/SER_summary!E$26)</f>
        <v>47.347554616744027</v>
      </c>
      <c r="F19" s="131">
        <f>IF(SER_hh_fech!F19=0,0,SER_hh_fech!F19/SER_summary!F$26)</f>
        <v>55.503823061747774</v>
      </c>
      <c r="G19" s="131">
        <f>IF(SER_hh_fech!G19=0,0,SER_hh_fech!G19/SER_summary!G$26)</f>
        <v>54.053267541543171</v>
      </c>
      <c r="H19" s="131">
        <f>IF(SER_hh_fech!H19=0,0,SER_hh_fech!H19/SER_summary!H$26)</f>
        <v>54.668300780659287</v>
      </c>
      <c r="I19" s="131">
        <f>IF(SER_hh_fech!I19=0,0,SER_hh_fech!I19/SER_summary!I$26)</f>
        <v>54.939904736097724</v>
      </c>
      <c r="J19" s="131">
        <f>IF(SER_hh_fech!J19=0,0,SER_hh_fech!J19/SER_summary!J$26)</f>
        <v>53.202905675328445</v>
      </c>
      <c r="K19" s="131">
        <f>IF(SER_hh_fech!K19=0,0,SER_hh_fech!K19/SER_summary!K$26)</f>
        <v>53.437153894846993</v>
      </c>
      <c r="L19" s="131">
        <f>IF(SER_hh_fech!L19=0,0,SER_hh_fech!L19/SER_summary!L$26)</f>
        <v>51.169371055099667</v>
      </c>
      <c r="M19" s="131">
        <f>IF(SER_hh_fech!M19=0,0,SER_hh_fech!M19/SER_summary!M$26)</f>
        <v>51.993383866587223</v>
      </c>
      <c r="N19" s="131">
        <f>IF(SER_hh_fech!N19=0,0,SER_hh_fech!N19/SER_summary!N$26)</f>
        <v>51.116118095166478</v>
      </c>
      <c r="O19" s="131">
        <f>IF(SER_hh_fech!O19=0,0,SER_hh_fech!O19/SER_summary!O$26)</f>
        <v>51.646316262086287</v>
      </c>
      <c r="P19" s="131">
        <f>IF(SER_hh_fech!P19=0,0,SER_hh_fech!P19/SER_summary!P$26)</f>
        <v>51.886260316898671</v>
      </c>
      <c r="Q19" s="131">
        <f>IF(SER_hh_fech!Q19=0,0,SER_hh_fech!Q19/SER_summary!Q$26)</f>
        <v>51.994410320858364</v>
      </c>
      <c r="R19" s="131">
        <f>IF(SER_hh_fech!R19=0,0,SER_hh_fech!R19/SER_summary!R$26)</f>
        <v>50.954881774786877</v>
      </c>
      <c r="S19" s="131">
        <f>IF(SER_hh_fech!S19=0,0,SER_hh_fech!S19/SER_summary!S$26)</f>
        <v>50.146563735210727</v>
      </c>
      <c r="T19" s="131">
        <f>IF(SER_hh_fech!T19=0,0,SER_hh_fech!T19/SER_summary!T$26)</f>
        <v>48.145296090980793</v>
      </c>
      <c r="U19" s="131">
        <f>IF(SER_hh_fech!U19=0,0,SER_hh_fech!U19/SER_summary!U$26)</f>
        <v>45.240088199773432</v>
      </c>
      <c r="V19" s="131">
        <f>IF(SER_hh_fech!V19=0,0,SER_hh_fech!V19/SER_summary!V$26)</f>
        <v>42.20646928374542</v>
      </c>
      <c r="W19" s="131">
        <f>IF(SER_hh_fech!W19=0,0,SER_hh_fech!W19/SER_summary!W$26)</f>
        <v>46.26322781386812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7.8902035018613255</v>
      </c>
      <c r="C22" s="133">
        <f>IF(SER_hh_fech!C22=0,0,SER_hh_fech!C22/SER_summary!C$26)</f>
        <v>12.663915703309529</v>
      </c>
      <c r="D22" s="133">
        <f>IF(SER_hh_fech!D22=0,0,SER_hh_fech!D22/SER_summary!D$26)</f>
        <v>38.67523622195548</v>
      </c>
      <c r="E22" s="133">
        <f>IF(SER_hh_fech!E22=0,0,SER_hh_fech!E22/SER_summary!E$26)</f>
        <v>53.943461401370399</v>
      </c>
      <c r="F22" s="133">
        <f>IF(SER_hh_fech!F22=0,0,SER_hh_fech!F22/SER_summary!F$26)</f>
        <v>61.986264700878905</v>
      </c>
      <c r="G22" s="133">
        <f>IF(SER_hh_fech!G22=0,0,SER_hh_fech!G22/SER_summary!G$26)</f>
        <v>72.736126119487892</v>
      </c>
      <c r="H22" s="133">
        <f>IF(SER_hh_fech!H22=0,0,SER_hh_fech!H22/SER_summary!H$26)</f>
        <v>51.142268473789507</v>
      </c>
      <c r="I22" s="133">
        <f>IF(SER_hh_fech!I22=0,0,SER_hh_fech!I22/SER_summary!I$26)</f>
        <v>58.956783637775871</v>
      </c>
      <c r="J22" s="133">
        <f>IF(SER_hh_fech!J22=0,0,SER_hh_fech!J22/SER_summary!J$26)</f>
        <v>64.916213340870044</v>
      </c>
      <c r="K22" s="133">
        <f>IF(SER_hh_fech!K22=0,0,SER_hh_fech!K22/SER_summary!K$26)</f>
        <v>61.807438333580606</v>
      </c>
      <c r="L22" s="133">
        <f>IF(SER_hh_fech!L22=0,0,SER_hh_fech!L22/SER_summary!L$26)</f>
        <v>59.854157562400921</v>
      </c>
      <c r="M22" s="133">
        <f>IF(SER_hh_fech!M22=0,0,SER_hh_fech!M22/SER_summary!M$26)</f>
        <v>54.70146628527857</v>
      </c>
      <c r="N22" s="133">
        <f>IF(SER_hh_fech!N22=0,0,SER_hh_fech!N22/SER_summary!N$26)</f>
        <v>58.119239803424058</v>
      </c>
      <c r="O22" s="133">
        <f>IF(SER_hh_fech!O22=0,0,SER_hh_fech!O22/SER_summary!O$26)</f>
        <v>66.0749388473549</v>
      </c>
      <c r="P22" s="133">
        <f>IF(SER_hh_fech!P22=0,0,SER_hh_fech!P22/SER_summary!P$26)</f>
        <v>61.946308859442425</v>
      </c>
      <c r="Q22" s="133">
        <f>IF(SER_hh_fech!Q22=0,0,SER_hh_fech!Q22/SER_summary!Q$26)</f>
        <v>60.250341021943385</v>
      </c>
      <c r="R22" s="133">
        <f>IF(SER_hh_fech!R22=0,0,SER_hh_fech!R22/SER_summary!R$26)</f>
        <v>49.491293545373871</v>
      </c>
      <c r="S22" s="133">
        <f>IF(SER_hh_fech!S22=0,0,SER_hh_fech!S22/SER_summary!S$26)</f>
        <v>55.698877333089257</v>
      </c>
      <c r="T22" s="133">
        <f>IF(SER_hh_fech!T22=0,0,SER_hh_fech!T22/SER_summary!T$26)</f>
        <v>54.158377593535022</v>
      </c>
      <c r="U22" s="133">
        <f>IF(SER_hh_fech!U22=0,0,SER_hh_fech!U22/SER_summary!U$26)</f>
        <v>45.768581839155885</v>
      </c>
      <c r="V22" s="133">
        <f>IF(SER_hh_fech!V22=0,0,SER_hh_fech!V22/SER_summary!V$26)</f>
        <v>41.275204599717995</v>
      </c>
      <c r="W22" s="133">
        <f>IF(SER_hh_fech!W22=0,0,SER_hh_fech!W22/SER_summary!W$26)</f>
        <v>53.94005532988929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49.255276904337677</v>
      </c>
      <c r="C23" s="133">
        <f>IF(SER_hh_fech!C23=0,0,SER_hh_fech!C23/SER_summary!C$26)</f>
        <v>38.875831466163831</v>
      </c>
      <c r="D23" s="133">
        <f>IF(SER_hh_fech!D23=0,0,SER_hh_fech!D23/SER_summary!D$26)</f>
        <v>22.370992169122292</v>
      </c>
      <c r="E23" s="133">
        <f>IF(SER_hh_fech!E23=0,0,SER_hh_fech!E23/SER_summary!E$26)</f>
        <v>43.439660019407221</v>
      </c>
      <c r="F23" s="133">
        <f>IF(SER_hh_fech!F23=0,0,SER_hh_fech!F23/SER_summary!F$26)</f>
        <v>65.4523936535481</v>
      </c>
      <c r="G23" s="133">
        <f>IF(SER_hh_fech!G23=0,0,SER_hh_fech!G23/SER_summary!G$26)</f>
        <v>55.54785628495123</v>
      </c>
      <c r="H23" s="133">
        <f>IF(SER_hh_fech!H23=0,0,SER_hh_fech!H23/SER_summary!H$26)</f>
        <v>63.874705582011011</v>
      </c>
      <c r="I23" s="133">
        <f>IF(SER_hh_fech!I23=0,0,SER_hh_fech!I23/SER_summary!I$26)</f>
        <v>56.692349934876461</v>
      </c>
      <c r="J23" s="133">
        <f>IF(SER_hh_fech!J23=0,0,SER_hh_fech!J23/SER_summary!J$26)</f>
        <v>47.280798701472321</v>
      </c>
      <c r="K23" s="133">
        <f>IF(SER_hh_fech!K23=0,0,SER_hh_fech!K23/SER_summary!K$26)</f>
        <v>63.364785832925492</v>
      </c>
      <c r="L23" s="133">
        <f>IF(SER_hh_fech!L23=0,0,SER_hh_fech!L23/SER_summary!L$26)</f>
        <v>59.145579559141595</v>
      </c>
      <c r="M23" s="133">
        <f>IF(SER_hh_fech!M23=0,0,SER_hh_fech!M23/SER_summary!M$26)</f>
        <v>53.458669075403016</v>
      </c>
      <c r="N23" s="133">
        <f>IF(SER_hh_fech!N23=0,0,SER_hh_fech!N23/SER_summary!N$26)</f>
        <v>53.822268670934747</v>
      </c>
      <c r="O23" s="133">
        <f>IF(SER_hh_fech!O23=0,0,SER_hh_fech!O23/SER_summary!O$26)</f>
        <v>53.746751094149893</v>
      </c>
      <c r="P23" s="133">
        <f>IF(SER_hh_fech!P23=0,0,SER_hh_fech!P23/SER_summary!P$26)</f>
        <v>53.992201480256256</v>
      </c>
      <c r="Q23" s="133">
        <f>IF(SER_hh_fech!Q23=0,0,SER_hh_fech!Q23/SER_summary!Q$26)</f>
        <v>52.894145606808245</v>
      </c>
      <c r="R23" s="133">
        <f>IF(SER_hh_fech!R23=0,0,SER_hh_fech!R23/SER_summary!R$26)</f>
        <v>52.697434392836506</v>
      </c>
      <c r="S23" s="133">
        <f>IF(SER_hh_fech!S23=0,0,SER_hh_fech!S23/SER_summary!S$26)</f>
        <v>51.969213267033453</v>
      </c>
      <c r="T23" s="133">
        <f>IF(SER_hh_fech!T23=0,0,SER_hh_fech!T23/SER_summary!T$26)</f>
        <v>48.00210266241568</v>
      </c>
      <c r="U23" s="133">
        <f>IF(SER_hh_fech!U23=0,0,SER_hh_fech!U23/SER_summary!U$26)</f>
        <v>46.865029783873091</v>
      </c>
      <c r="V23" s="133">
        <f>IF(SER_hh_fech!V23=0,0,SER_hh_fech!V23/SER_summary!V$26)</f>
        <v>44.095267272121383</v>
      </c>
      <c r="W23" s="133">
        <f>IF(SER_hh_fech!W23=0,0,SER_hh_fech!W23/SER_summary!W$26)</f>
        <v>44.029265182120554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47.399160146591242</v>
      </c>
      <c r="C24" s="133">
        <f>IF(SER_hh_fech!C24=0,0,SER_hh_fech!C24/SER_summary!C$26)</f>
        <v>28.66629482090968</v>
      </c>
      <c r="D24" s="133">
        <f>IF(SER_hh_fech!D24=0,0,SER_hh_fech!D24/SER_summary!D$26)</f>
        <v>46.739669754818806</v>
      </c>
      <c r="E24" s="133">
        <f>IF(SER_hh_fech!E24=0,0,SER_hh_fech!E24/SER_summary!E$26)</f>
        <v>49.258468902986884</v>
      </c>
      <c r="F24" s="133">
        <f>IF(SER_hh_fech!F24=0,0,SER_hh_fech!F24/SER_summary!F$26)</f>
        <v>49.753685004758346</v>
      </c>
      <c r="G24" s="133">
        <f>IF(SER_hh_fech!G24=0,0,SER_hh_fech!G24/SER_summary!G$26)</f>
        <v>56.486274937977598</v>
      </c>
      <c r="H24" s="133">
        <f>IF(SER_hh_fech!H24=0,0,SER_hh_fech!H24/SER_summary!H$26)</f>
        <v>61.140388337384472</v>
      </c>
      <c r="I24" s="133">
        <f>IF(SER_hh_fech!I24=0,0,SER_hh_fech!I24/SER_summary!I$26)</f>
        <v>61.464078081793666</v>
      </c>
      <c r="J24" s="133">
        <f>IF(SER_hh_fech!J24=0,0,SER_hh_fech!J24/SER_summary!J$26)</f>
        <v>61.320687384944144</v>
      </c>
      <c r="K24" s="133">
        <f>IF(SER_hh_fech!K24=0,0,SER_hh_fech!K24/SER_summary!K$26)</f>
        <v>60.187184003577983</v>
      </c>
      <c r="L24" s="133">
        <f>IF(SER_hh_fech!L24=0,0,SER_hh_fech!L24/SER_summary!L$26)</f>
        <v>57.515724270388333</v>
      </c>
      <c r="M24" s="133">
        <f>IF(SER_hh_fech!M24=0,0,SER_hh_fech!M24/SER_summary!M$26)</f>
        <v>55.722542542687897</v>
      </c>
      <c r="N24" s="133">
        <f>IF(SER_hh_fech!N24=0,0,SER_hh_fech!N24/SER_summary!N$26)</f>
        <v>53.393263179835749</v>
      </c>
      <c r="O24" s="133">
        <f>IF(SER_hh_fech!O24=0,0,SER_hh_fech!O24/SER_summary!O$26)</f>
        <v>51.072632450023704</v>
      </c>
      <c r="P24" s="133">
        <f>IF(SER_hh_fech!P24=0,0,SER_hh_fech!P24/SER_summary!P$26)</f>
        <v>52.178315057359811</v>
      </c>
      <c r="Q24" s="133">
        <f>IF(SER_hh_fech!Q24=0,0,SER_hh_fech!Q24/SER_summary!Q$26)</f>
        <v>55.925553162607351</v>
      </c>
      <c r="R24" s="133">
        <f>IF(SER_hh_fech!R24=0,0,SER_hh_fech!R24/SER_summary!R$26)</f>
        <v>51.066212461052984</v>
      </c>
      <c r="S24" s="133">
        <f>IF(SER_hh_fech!S24=0,0,SER_hh_fech!S24/SER_summary!S$26)</f>
        <v>47.438296096077089</v>
      </c>
      <c r="T24" s="133">
        <f>IF(SER_hh_fech!T24=0,0,SER_hh_fech!T24/SER_summary!T$26)</f>
        <v>52.396538442438796</v>
      </c>
      <c r="U24" s="133">
        <f>IF(SER_hh_fech!U24=0,0,SER_hh_fech!U24/SER_summary!U$26)</f>
        <v>43.599025436092369</v>
      </c>
      <c r="V24" s="133">
        <f>IF(SER_hh_fech!V24=0,0,SER_hh_fech!V24/SER_summary!V$26)</f>
        <v>43.93774613978551</v>
      </c>
      <c r="W24" s="133">
        <f>IF(SER_hh_fech!W24=0,0,SER_hh_fech!W24/SER_summary!W$26)</f>
        <v>46.898505541891588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40.374217101197914</v>
      </c>
      <c r="C25" s="133">
        <f>IF(SER_hh_fech!C25=0,0,SER_hh_fech!C25/SER_summary!C$26)</f>
        <v>26.654373148636395</v>
      </c>
      <c r="D25" s="133">
        <f>IF(SER_hh_fech!D25=0,0,SER_hh_fech!D25/SER_summary!D$26)</f>
        <v>15.90112670837877</v>
      </c>
      <c r="E25" s="133">
        <f>IF(SER_hh_fech!E25=0,0,SER_hh_fech!E25/SER_summary!E$26)</f>
        <v>34.161886603400312</v>
      </c>
      <c r="F25" s="133">
        <f>IF(SER_hh_fech!F25=0,0,SER_hh_fech!F25/SER_summary!F$26)</f>
        <v>28.967398747292176</v>
      </c>
      <c r="G25" s="133">
        <f>IF(SER_hh_fech!G25=0,0,SER_hh_fech!G25/SER_summary!G$26)</f>
        <v>46.250134361181793</v>
      </c>
      <c r="H25" s="133">
        <f>IF(SER_hh_fech!H25=0,0,SER_hh_fech!H25/SER_summary!H$26)</f>
        <v>42.272140466883933</v>
      </c>
      <c r="I25" s="133">
        <f>IF(SER_hh_fech!I25=0,0,SER_hh_fech!I25/SER_summary!I$26)</f>
        <v>39.901883994207132</v>
      </c>
      <c r="J25" s="133">
        <f>IF(SER_hh_fech!J25=0,0,SER_hh_fech!J25/SER_summary!J$26)</f>
        <v>45.859143757934042</v>
      </c>
      <c r="K25" s="133">
        <f>IF(SER_hh_fech!K25=0,0,SER_hh_fech!K25/SER_summary!K$26)</f>
        <v>42.055689363845062</v>
      </c>
      <c r="L25" s="133">
        <f>IF(SER_hh_fech!L25=0,0,SER_hh_fech!L25/SER_summary!L$26)</f>
        <v>39.761884226743398</v>
      </c>
      <c r="M25" s="133">
        <f>IF(SER_hh_fech!M25=0,0,SER_hh_fech!M25/SER_summary!M$26)</f>
        <v>41.305057750675147</v>
      </c>
      <c r="N25" s="133">
        <f>IF(SER_hh_fech!N25=0,0,SER_hh_fech!N25/SER_summary!N$26)</f>
        <v>42.140147220872876</v>
      </c>
      <c r="O25" s="133">
        <f>IF(SER_hh_fech!O25=0,0,SER_hh_fech!O25/SER_summary!O$26)</f>
        <v>42.868973611549059</v>
      </c>
      <c r="P25" s="133">
        <f>IF(SER_hh_fech!P25=0,0,SER_hh_fech!P25/SER_summary!P$26)</f>
        <v>40.466115956540641</v>
      </c>
      <c r="Q25" s="133">
        <f>IF(SER_hh_fech!Q25=0,0,SER_hh_fech!Q25/SER_summary!Q$26)</f>
        <v>42.515980321812151</v>
      </c>
      <c r="R25" s="133">
        <f>IF(SER_hh_fech!R25=0,0,SER_hh_fech!R25/SER_summary!R$26)</f>
        <v>43.787142128003225</v>
      </c>
      <c r="S25" s="133">
        <f>IF(SER_hh_fech!S25=0,0,SER_hh_fech!S25/SER_summary!S$26)</f>
        <v>42.660184763925571</v>
      </c>
      <c r="T25" s="133">
        <f>IF(SER_hh_fech!T25=0,0,SER_hh_fech!T25/SER_summary!T$26)</f>
        <v>41.957383911152107</v>
      </c>
      <c r="U25" s="133">
        <f>IF(SER_hh_fech!U25=0,0,SER_hh_fech!U25/SER_summary!U$26)</f>
        <v>39.640804902251979</v>
      </c>
      <c r="V25" s="133">
        <f>IF(SER_hh_fech!V25=0,0,SER_hh_fech!V25/SER_summary!V$26)</f>
        <v>39.803736959741926</v>
      </c>
      <c r="W25" s="133">
        <f>IF(SER_hh_fech!W25=0,0,SER_hh_fech!W25/SER_summary!W$26)</f>
        <v>41.374127323850082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44.147469947139918</v>
      </c>
      <c r="C26" s="65">
        <f>IF(SER_hh_fech!C26=0,0,SER_hh_fech!C26/SER_summary!C$26)</f>
        <v>87.557789661133143</v>
      </c>
      <c r="D26" s="65">
        <f>IF(SER_hh_fech!D26=0,0,SER_hh_fech!D26/SER_summary!D$26)</f>
        <v>8.025098377860628</v>
      </c>
      <c r="E26" s="65">
        <f>IF(SER_hh_fech!E26=0,0,SER_hh_fech!E26/SER_summary!E$26)</f>
        <v>51.765826439703766</v>
      </c>
      <c r="F26" s="65">
        <f>IF(SER_hh_fech!F26=0,0,SER_hh_fech!F26/SER_summary!F$26)</f>
        <v>51.830738075323588</v>
      </c>
      <c r="G26" s="65">
        <f>IF(SER_hh_fech!G26=0,0,SER_hh_fech!G26/SER_summary!G$26)</f>
        <v>47.289896999580691</v>
      </c>
      <c r="H26" s="65">
        <f>IF(SER_hh_fech!H26=0,0,SER_hh_fech!H26/SER_summary!H$26)</f>
        <v>47.958810579116609</v>
      </c>
      <c r="I26" s="65">
        <f>IF(SER_hh_fech!I26=0,0,SER_hh_fech!I26/SER_summary!I$26)</f>
        <v>56.616526060769786</v>
      </c>
      <c r="J26" s="65">
        <f>IF(SER_hh_fech!J26=0,0,SER_hh_fech!J26/SER_summary!J$26)</f>
        <v>59.499911709258434</v>
      </c>
      <c r="K26" s="65">
        <f>IF(SER_hh_fech!K26=0,0,SER_hh_fech!K26/SER_summary!K$26)</f>
        <v>43.581393970341487</v>
      </c>
      <c r="L26" s="65">
        <f>IF(SER_hh_fech!L26=0,0,SER_hh_fech!L26/SER_summary!L$26)</f>
        <v>43.246738629264904</v>
      </c>
      <c r="M26" s="65">
        <f>IF(SER_hh_fech!M26=0,0,SER_hh_fech!M26/SER_summary!M$26)</f>
        <v>54.911786777080408</v>
      </c>
      <c r="N26" s="65">
        <f>IF(SER_hh_fech!N26=0,0,SER_hh_fech!N26/SER_summary!N$26)</f>
        <v>50.601080727919509</v>
      </c>
      <c r="O26" s="65">
        <f>IF(SER_hh_fech!O26=0,0,SER_hh_fech!O26/SER_summary!O$26)</f>
        <v>49.23923230627279</v>
      </c>
      <c r="P26" s="65">
        <f>IF(SER_hh_fech!P26=0,0,SER_hh_fech!P26/SER_summary!P$26)</f>
        <v>51.725073532943796</v>
      </c>
      <c r="Q26" s="65">
        <f>IF(SER_hh_fech!Q26=0,0,SER_hh_fech!Q26/SER_summary!Q$26)</f>
        <v>52.053016811573805</v>
      </c>
      <c r="R26" s="65">
        <f>IF(SER_hh_fech!R26=0,0,SER_hh_fech!R26/SER_summary!R$26)</f>
        <v>52.808565796864741</v>
      </c>
      <c r="S26" s="65">
        <f>IF(SER_hh_fech!S26=0,0,SER_hh_fech!S26/SER_summary!S$26)</f>
        <v>47.411879601108794</v>
      </c>
      <c r="T26" s="65">
        <f>IF(SER_hh_fech!T26=0,0,SER_hh_fech!T26/SER_summary!T$26)</f>
        <v>46.937438508740279</v>
      </c>
      <c r="U26" s="65">
        <f>IF(SER_hh_fech!U26=0,0,SER_hh_fech!U26/SER_summary!U$26)</f>
        <v>44.200981375509762</v>
      </c>
      <c r="V26" s="65">
        <f>IF(SER_hh_fech!V26=0,0,SER_hh_fech!V26/SER_summary!V$26)</f>
        <v>39.520899879028327</v>
      </c>
      <c r="W26" s="65">
        <f>IF(SER_hh_fech!W26=0,0,SER_hh_fech!W26/SER_summary!W$26)</f>
        <v>45.167719433564784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6.1774122191167926E-3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1.6892459869436615E-2</v>
      </c>
      <c r="M27" s="146">
        <f>IF(SER_hh_fech!M27=0,0,SER_hh_fech!M27/SER_summary!M$26)</f>
        <v>1.0845630787104417E-2</v>
      </c>
      <c r="N27" s="146">
        <f>IF(SER_hh_fech!N27=0,0,SER_hh_fech!N27/SER_summary!N$26)</f>
        <v>2.1130326089793025E-2</v>
      </c>
      <c r="O27" s="146">
        <f>IF(SER_hh_fech!O27=0,0,SER_hh_fech!O27/SER_summary!O$26)</f>
        <v>1.0099236178666258E-2</v>
      </c>
      <c r="P27" s="146">
        <f>IF(SER_hh_fech!P27=0,0,SER_hh_fech!P27/SER_summary!P$26)</f>
        <v>9.6943030123064124E-3</v>
      </c>
      <c r="Q27" s="146">
        <f>IF(SER_hh_fech!Q27=0,0,SER_hh_fech!Q27/SER_summary!Q$26)</f>
        <v>4.610602024714831E-3</v>
      </c>
      <c r="R27" s="146">
        <f>IF(SER_hh_fech!R27=0,0,SER_hh_fech!R27/SER_summary!R$26)</f>
        <v>4.4371101061291352E-3</v>
      </c>
      <c r="S27" s="146">
        <f>IF(SER_hh_fech!S27=0,0,SER_hh_fech!S27/SER_summary!S$26)</f>
        <v>1.1082113575967679E-2</v>
      </c>
      <c r="T27" s="146">
        <f>IF(SER_hh_fech!T27=0,0,SER_hh_fech!T27/SER_summary!T$26)</f>
        <v>9.9276731550879092E-3</v>
      </c>
      <c r="U27" s="146">
        <f>IF(SER_hh_fech!U27=0,0,SER_hh_fech!U27/SER_summary!U$26)</f>
        <v>1.1357558711581922E-2</v>
      </c>
      <c r="V27" s="146">
        <f>IF(SER_hh_fech!V27=0,0,SER_hh_fech!V27/SER_summary!V$26)</f>
        <v>6.2584150913054994E-3</v>
      </c>
      <c r="W27" s="146">
        <f>IF(SER_hh_fech!W27=0,0,SER_hh_fech!W27/SER_summary!W$26)</f>
        <v>6.4879777259146468E-2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25.575672762811831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24.220175301145382</v>
      </c>
      <c r="M28" s="147">
        <f>IF(SER_hh_fech!M28=0,0,SER_hh_fech!M28/SER_summary!M$26)</f>
        <v>25.092027503956931</v>
      </c>
      <c r="N28" s="147">
        <f>IF(SER_hh_fech!N28=0,0,SER_hh_fech!N28/SER_summary!N$26)</f>
        <v>24.91889011157917</v>
      </c>
      <c r="O28" s="147">
        <f>IF(SER_hh_fech!O28=0,0,SER_hh_fech!O28/SER_summary!O$26)</f>
        <v>25.408724358900464</v>
      </c>
      <c r="P28" s="147">
        <f>IF(SER_hh_fech!P28=0,0,SER_hh_fech!P28/SER_summary!P$26)</f>
        <v>25.709284751996556</v>
      </c>
      <c r="Q28" s="147">
        <f>IF(SER_hh_fech!Q28=0,0,SER_hh_fech!Q28/SER_summary!Q$26)</f>
        <v>26.145519338825959</v>
      </c>
      <c r="R28" s="147">
        <f>IF(SER_hh_fech!R28=0,0,SER_hh_fech!R28/SER_summary!R$26)</f>
        <v>26.183708482044224</v>
      </c>
      <c r="S28" s="147">
        <f>IF(SER_hh_fech!S28=0,0,SER_hh_fech!S28/SER_summary!S$26)</f>
        <v>26.491384591679743</v>
      </c>
      <c r="T28" s="147">
        <f>IF(SER_hh_fech!T28=0,0,SER_hh_fech!T28/SER_summary!T$26)</f>
        <v>26.260935532705222</v>
      </c>
      <c r="U28" s="147">
        <f>IF(SER_hh_fech!U28=0,0,SER_hh_fech!U28/SER_summary!U$26)</f>
        <v>25.301315381066701</v>
      </c>
      <c r="V28" s="147">
        <f>IF(SER_hh_fech!V28=0,0,SER_hh_fech!V28/SER_summary!V$26)</f>
        <v>24.049084396465894</v>
      </c>
      <c r="W28" s="147">
        <f>IF(SER_hh_fech!W28=0,0,SER_hh_fech!W28/SER_summary!W$26)</f>
        <v>26.732964959661217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55.952006586598841</v>
      </c>
      <c r="C29" s="131">
        <f>IF(SER_hh_fech!C29=0,0,SER_hh_fech!C29/SER_summary!C$26)</f>
        <v>53.853364552138402</v>
      </c>
      <c r="D29" s="131">
        <f>IF(SER_hh_fech!D29=0,0,SER_hh_fech!D29/SER_summary!D$26)</f>
        <v>40.368056269733174</v>
      </c>
      <c r="E29" s="131">
        <f>IF(SER_hh_fech!E29=0,0,SER_hh_fech!E29/SER_summary!E$26)</f>
        <v>56.276045953896094</v>
      </c>
      <c r="F29" s="131">
        <f>IF(SER_hh_fech!F29=0,0,SER_hh_fech!F29/SER_summary!F$26)</f>
        <v>65.39708208456257</v>
      </c>
      <c r="G29" s="131">
        <f>IF(SER_hh_fech!G29=0,0,SER_hh_fech!G29/SER_summary!G$26)</f>
        <v>66.822778344281375</v>
      </c>
      <c r="H29" s="131">
        <f>IF(SER_hh_fech!H29=0,0,SER_hh_fech!H29/SER_summary!H$26)</f>
        <v>66.856915938821672</v>
      </c>
      <c r="I29" s="131">
        <f>IF(SER_hh_fech!I29=0,0,SER_hh_fech!I29/SER_summary!I$26)</f>
        <v>68.807078083606427</v>
      </c>
      <c r="J29" s="131">
        <f>IF(SER_hh_fech!J29=0,0,SER_hh_fech!J29/SER_summary!J$26)</f>
        <v>66.199933244276821</v>
      </c>
      <c r="K29" s="131">
        <f>IF(SER_hh_fech!K29=0,0,SER_hh_fech!K29/SER_summary!K$26)</f>
        <v>65.13780881957058</v>
      </c>
      <c r="L29" s="131">
        <f>IF(SER_hh_fech!L29=0,0,SER_hh_fech!L29/SER_summary!L$26)</f>
        <v>65.492032632870433</v>
      </c>
      <c r="M29" s="131">
        <f>IF(SER_hh_fech!M29=0,0,SER_hh_fech!M29/SER_summary!M$26)</f>
        <v>64.330843505454709</v>
      </c>
      <c r="N29" s="131">
        <f>IF(SER_hh_fech!N29=0,0,SER_hh_fech!N29/SER_summary!N$26)</f>
        <v>64.709622369231596</v>
      </c>
      <c r="O29" s="131">
        <f>IF(SER_hh_fech!O29=0,0,SER_hh_fech!O29/SER_summary!O$26)</f>
        <v>66.636295989797119</v>
      </c>
      <c r="P29" s="131">
        <f>IF(SER_hh_fech!P29=0,0,SER_hh_fech!P29/SER_summary!P$26)</f>
        <v>67.036453055541401</v>
      </c>
      <c r="Q29" s="131">
        <f>IF(SER_hh_fech!Q29=0,0,SER_hh_fech!Q29/SER_summary!Q$26)</f>
        <v>67.941794775329498</v>
      </c>
      <c r="R29" s="131">
        <f>IF(SER_hh_fech!R29=0,0,SER_hh_fech!R29/SER_summary!R$26)</f>
        <v>65.574789782058815</v>
      </c>
      <c r="S29" s="131">
        <f>IF(SER_hh_fech!S29=0,0,SER_hh_fech!S29/SER_summary!S$26)</f>
        <v>64.194490734088959</v>
      </c>
      <c r="T29" s="131">
        <f>IF(SER_hh_fech!T29=0,0,SER_hh_fech!T29/SER_summary!T$26)</f>
        <v>64.291667366971694</v>
      </c>
      <c r="U29" s="131">
        <f>IF(SER_hh_fech!U29=0,0,SER_hh_fech!U29/SER_summary!U$26)</f>
        <v>64.009822050974407</v>
      </c>
      <c r="V29" s="131">
        <f>IF(SER_hh_fech!V29=0,0,SER_hh_fech!V29/SER_summary!V$26)</f>
        <v>57.917241635280043</v>
      </c>
      <c r="W29" s="131">
        <f>IF(SER_hh_fech!W29=0,0,SER_hh_fech!W29/SER_summary!W$26)</f>
        <v>60.746275779054955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105.79293684889882</v>
      </c>
      <c r="C30" s="133">
        <f>IF(SER_hh_fech!C30=0,0,SER_hh_fech!C30/SER_summary!C$26)</f>
        <v>41.496057301024209</v>
      </c>
      <c r="D30" s="133">
        <f>IF(SER_hh_fech!D30=0,0,SER_hh_fech!D30/SER_summary!D$26)</f>
        <v>18.272210384597898</v>
      </c>
      <c r="E30" s="133">
        <f>IF(SER_hh_fech!E30=0,0,SER_hh_fech!E30/SER_summary!E$26)</f>
        <v>54.748272778828188</v>
      </c>
      <c r="F30" s="133">
        <f>IF(SER_hh_fech!F30=0,0,SER_hh_fech!F30/SER_summary!F$26)</f>
        <v>83.395595869281607</v>
      </c>
      <c r="G30" s="133">
        <f>IF(SER_hh_fech!G30=0,0,SER_hh_fech!G30/SER_summary!G$26)</f>
        <v>100.54996758067439</v>
      </c>
      <c r="H30" s="133">
        <f>IF(SER_hh_fech!H30=0,0,SER_hh_fech!H30/SER_summary!H$26)</f>
        <v>41.66733248667316</v>
      </c>
      <c r="I30" s="133">
        <f>IF(SER_hh_fech!I30=0,0,SER_hh_fech!I30/SER_summary!I$26)</f>
        <v>127.55120182072602</v>
      </c>
      <c r="J30" s="133">
        <f>IF(SER_hh_fech!J30=0,0,SER_hh_fech!J30/SER_summary!J$26)</f>
        <v>45.292738038964018</v>
      </c>
      <c r="K30" s="133">
        <f>IF(SER_hh_fech!K30=0,0,SER_hh_fech!K30/SER_summary!K$26)</f>
        <v>37.331984204660827</v>
      </c>
      <c r="L30" s="133">
        <f>IF(SER_hh_fech!L30=0,0,SER_hh_fech!L30/SER_summary!L$26)</f>
        <v>89.335128875639128</v>
      </c>
      <c r="M30" s="133">
        <f>IF(SER_hh_fech!M30=0,0,SER_hh_fech!M30/SER_summary!M$26)</f>
        <v>63.13635514606792</v>
      </c>
      <c r="N30" s="133">
        <f>IF(SER_hh_fech!N30=0,0,SER_hh_fech!N30/SER_summary!N$26)</f>
        <v>73.003482286014034</v>
      </c>
      <c r="O30" s="133">
        <f>IF(SER_hh_fech!O30=0,0,SER_hh_fech!O30/SER_summary!O$26)</f>
        <v>73.745916945356768</v>
      </c>
      <c r="P30" s="133">
        <f>IF(SER_hh_fech!P30=0,0,SER_hh_fech!P30/SER_summary!P$26)</f>
        <v>79.858989022737319</v>
      </c>
      <c r="Q30" s="133">
        <f>IF(SER_hh_fech!Q30=0,0,SER_hh_fech!Q30/SER_summary!Q$26)</f>
        <v>88.429744317445483</v>
      </c>
      <c r="R30" s="133">
        <f>IF(SER_hh_fech!R30=0,0,SER_hh_fech!R30/SER_summary!R$26)</f>
        <v>77.929687414561826</v>
      </c>
      <c r="S30" s="133">
        <f>IF(SER_hh_fech!S30=0,0,SER_hh_fech!S30/SER_summary!S$26)</f>
        <v>75.618151127567273</v>
      </c>
      <c r="T30" s="133">
        <f>IF(SER_hh_fech!T30=0,0,SER_hh_fech!T30/SER_summary!T$26)</f>
        <v>77.670746615400162</v>
      </c>
      <c r="U30" s="133">
        <f>IF(SER_hh_fech!U30=0,0,SER_hh_fech!U30/SER_summary!U$26)</f>
        <v>77.247527637855413</v>
      </c>
      <c r="V30" s="133">
        <f>IF(SER_hh_fech!V30=0,0,SER_hh_fech!V30/SER_summary!V$26)</f>
        <v>71.090943557056676</v>
      </c>
      <c r="W30" s="133">
        <f>IF(SER_hh_fech!W30=0,0,SER_hh_fech!W30/SER_summary!W$26)</f>
        <v>72.782530375691437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58.847073510223595</v>
      </c>
      <c r="C31" s="133">
        <f>IF(SER_hh_fech!C31=0,0,SER_hh_fech!C31/SER_summary!C$26)</f>
        <v>62.44556412693305</v>
      </c>
      <c r="D31" s="133">
        <f>IF(SER_hh_fech!D31=0,0,SER_hh_fech!D31/SER_summary!D$26)</f>
        <v>36.009495672022261</v>
      </c>
      <c r="E31" s="133">
        <f>IF(SER_hh_fech!E31=0,0,SER_hh_fech!E31/SER_summary!E$26)</f>
        <v>58.92651313959071</v>
      </c>
      <c r="F31" s="133">
        <f>IF(SER_hh_fech!F31=0,0,SER_hh_fech!F31/SER_summary!F$26)</f>
        <v>78.452840641011633</v>
      </c>
      <c r="G31" s="133">
        <f>IF(SER_hh_fech!G31=0,0,SER_hh_fech!G31/SER_summary!G$26)</f>
        <v>63.763167907815983</v>
      </c>
      <c r="H31" s="133">
        <f>IF(SER_hh_fech!H31=0,0,SER_hh_fech!H31/SER_summary!H$26)</f>
        <v>87.374900451657908</v>
      </c>
      <c r="I31" s="133">
        <f>IF(SER_hh_fech!I31=0,0,SER_hh_fech!I31/SER_summary!I$26)</f>
        <v>66.239025864721739</v>
      </c>
      <c r="J31" s="133">
        <f>IF(SER_hh_fech!J31=0,0,SER_hh_fech!J31/SER_summary!J$26)</f>
        <v>72.149246735337456</v>
      </c>
      <c r="K31" s="133">
        <f>IF(SER_hh_fech!K31=0,0,SER_hh_fech!K31/SER_summary!K$26)</f>
        <v>75.191572455486082</v>
      </c>
      <c r="L31" s="133">
        <f>IF(SER_hh_fech!L31=0,0,SER_hh_fech!L31/SER_summary!L$26)</f>
        <v>75.249799037448796</v>
      </c>
      <c r="M31" s="133">
        <f>IF(SER_hh_fech!M31=0,0,SER_hh_fech!M31/SER_summary!M$26)</f>
        <v>75.558650262810261</v>
      </c>
      <c r="N31" s="133">
        <f>IF(SER_hh_fech!N31=0,0,SER_hh_fech!N31/SER_summary!N$26)</f>
        <v>75.307534610553759</v>
      </c>
      <c r="O31" s="133">
        <f>IF(SER_hh_fech!O31=0,0,SER_hh_fech!O31/SER_summary!O$26)</f>
        <v>77.35721728033522</v>
      </c>
      <c r="P31" s="133">
        <f>IF(SER_hh_fech!P31=0,0,SER_hh_fech!P31/SER_summary!P$26)</f>
        <v>76.212432630948143</v>
      </c>
      <c r="Q31" s="133">
        <f>IF(SER_hh_fech!Q31=0,0,SER_hh_fech!Q31/SER_summary!Q$26)</f>
        <v>79.618717648395787</v>
      </c>
      <c r="R31" s="133">
        <f>IF(SER_hh_fech!R31=0,0,SER_hh_fech!R31/SER_summary!R$26)</f>
        <v>75.368728714536118</v>
      </c>
      <c r="S31" s="133">
        <f>IF(SER_hh_fech!S31=0,0,SER_hh_fech!S31/SER_summary!S$26)</f>
        <v>78.5109091842548</v>
      </c>
      <c r="T31" s="133">
        <f>IF(SER_hh_fech!T31=0,0,SER_hh_fech!T31/SER_summary!T$26)</f>
        <v>75.626372124277566</v>
      </c>
      <c r="U31" s="133">
        <f>IF(SER_hh_fech!U31=0,0,SER_hh_fech!U31/SER_summary!U$26)</f>
        <v>75.449216354830725</v>
      </c>
      <c r="V31" s="133">
        <f>IF(SER_hh_fech!V31=0,0,SER_hh_fech!V31/SER_summary!V$26)</f>
        <v>70.793315572744987</v>
      </c>
      <c r="W31" s="133">
        <f>IF(SER_hh_fech!W31=0,0,SER_hh_fech!W31/SER_summary!W$26)</f>
        <v>72.839361067718457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48.873556753556969</v>
      </c>
      <c r="C33" s="68">
        <f>IF(SER_hh_fech!C33=0,0,SER_hh_fech!C33/SER_summary!C$26)</f>
        <v>52.370832038998024</v>
      </c>
      <c r="D33" s="68">
        <f>IF(SER_hh_fech!D33=0,0,SER_hh_fech!D33/SER_summary!D$26)</f>
        <v>49.036568978293793</v>
      </c>
      <c r="E33" s="68">
        <f>IF(SER_hh_fech!E33=0,0,SER_hh_fech!E33/SER_summary!E$26)</f>
        <v>54.400566783666498</v>
      </c>
      <c r="F33" s="68">
        <f>IF(SER_hh_fech!F33=0,0,SER_hh_fech!F33/SER_summary!F$26)</f>
        <v>13.316973188688282</v>
      </c>
      <c r="G33" s="68">
        <f>IF(SER_hh_fech!G33=0,0,SER_hh_fech!G33/SER_summary!G$26)</f>
        <v>32.745565356812079</v>
      </c>
      <c r="H33" s="68">
        <f>IF(SER_hh_fech!H33=0,0,SER_hh_fech!H33/SER_summary!H$26)</f>
        <v>46.796470408131945</v>
      </c>
      <c r="I33" s="68">
        <f>IF(SER_hh_fech!I33=0,0,SER_hh_fech!I33/SER_summary!I$26)</f>
        <v>26.750842209447846</v>
      </c>
      <c r="J33" s="68">
        <f>IF(SER_hh_fech!J33=0,0,SER_hh_fech!J33/SER_summary!J$26)</f>
        <v>66.630643222419266</v>
      </c>
      <c r="K33" s="68">
        <f>IF(SER_hh_fech!K33=0,0,SER_hh_fech!K33/SER_summary!K$26)</f>
        <v>61.392410413216872</v>
      </c>
      <c r="L33" s="68">
        <f>IF(SER_hh_fech!L33=0,0,SER_hh_fech!L33/SER_summary!L$26)</f>
        <v>55.674573748405237</v>
      </c>
      <c r="M33" s="68">
        <f>IF(SER_hh_fech!M33=0,0,SER_hh_fech!M33/SER_summary!M$26)</f>
        <v>57.068747363568193</v>
      </c>
      <c r="N33" s="68">
        <f>IF(SER_hh_fech!N33=0,0,SER_hh_fech!N33/SER_summary!N$26)</f>
        <v>57.613990585831026</v>
      </c>
      <c r="O33" s="68">
        <f>IF(SER_hh_fech!O33=0,0,SER_hh_fech!O33/SER_summary!O$26)</f>
        <v>60.084746733468663</v>
      </c>
      <c r="P33" s="68">
        <f>IF(SER_hh_fech!P33=0,0,SER_hh_fech!P33/SER_summary!P$26)</f>
        <v>60.81597011025957</v>
      </c>
      <c r="Q33" s="68">
        <f>IF(SER_hh_fech!Q33=0,0,SER_hh_fech!Q33/SER_summary!Q$26)</f>
        <v>59.219426561738864</v>
      </c>
      <c r="R33" s="68">
        <f>IF(SER_hh_fech!R33=0,0,SER_hh_fech!R33/SER_summary!R$26)</f>
        <v>58.573998619113176</v>
      </c>
      <c r="S33" s="68">
        <f>IF(SER_hh_fech!S33=0,0,SER_hh_fech!S33/SER_summary!S$26)</f>
        <v>54.37330634604438</v>
      </c>
      <c r="T33" s="68">
        <f>IF(SER_hh_fech!T33=0,0,SER_hh_fech!T33/SER_summary!T$26)</f>
        <v>55.975556642768083</v>
      </c>
      <c r="U33" s="68">
        <f>IF(SER_hh_fech!U33=0,0,SER_hh_fech!U33/SER_summary!U$26)</f>
        <v>55.693848736660996</v>
      </c>
      <c r="V33" s="68">
        <f>IF(SER_hh_fech!V33=0,0,SER_hh_fech!V33/SER_summary!V$26)</f>
        <v>48.780680860154504</v>
      </c>
      <c r="W33" s="68">
        <f>IF(SER_hh_fech!W33=0,0,SER_hh_fech!W33/SER_summary!W$26)</f>
        <v>52.523801170083928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271.26895827206278</v>
      </c>
      <c r="C3" s="126">
        <f>IF(SER_hh_tesh!C3=0,0,SER_hh_tesh!C3/SER_summary!C$26)</f>
        <v>316.37311194407204</v>
      </c>
      <c r="D3" s="126">
        <f>IF(SER_hh_tesh!D3=0,0,SER_hh_tesh!D3/SER_summary!D$26)</f>
        <v>139.14470414357518</v>
      </c>
      <c r="E3" s="126">
        <f>IF(SER_hh_tesh!E3=0,0,SER_hh_tesh!E3/SER_summary!E$26)</f>
        <v>235.0375796532737</v>
      </c>
      <c r="F3" s="126">
        <f>IF(SER_hh_tesh!F3=0,0,SER_hh_tesh!F3/SER_summary!F$26)</f>
        <v>247.02039597132048</v>
      </c>
      <c r="G3" s="126">
        <f>IF(SER_hh_tesh!G3=0,0,SER_hh_tesh!G3/SER_summary!G$26)</f>
        <v>312.47967038323839</v>
      </c>
      <c r="H3" s="126">
        <f>IF(SER_hh_tesh!H3=0,0,SER_hh_tesh!H3/SER_summary!H$26)</f>
        <v>387.31017014541948</v>
      </c>
      <c r="I3" s="126">
        <f>IF(SER_hh_tesh!I3=0,0,SER_hh_tesh!I3/SER_summary!I$26)</f>
        <v>327.29939355692926</v>
      </c>
      <c r="J3" s="126">
        <f>IF(SER_hh_tesh!J3=0,0,SER_hh_tesh!J3/SER_summary!J$26)</f>
        <v>270.20651837249392</v>
      </c>
      <c r="K3" s="126">
        <f>IF(SER_hh_tesh!K3=0,0,SER_hh_tesh!K3/SER_summary!K$26)</f>
        <v>252.60825289320431</v>
      </c>
      <c r="L3" s="126">
        <f>IF(SER_hh_tesh!L3=0,0,SER_hh_tesh!L3/SER_summary!L$26)</f>
        <v>262.54230844639272</v>
      </c>
      <c r="M3" s="126">
        <f>IF(SER_hh_tesh!M3=0,0,SER_hh_tesh!M3/SER_summary!M$26)</f>
        <v>239.75928512069297</v>
      </c>
      <c r="N3" s="126">
        <f>IF(SER_hh_tesh!N3=0,0,SER_hh_tesh!N3/SER_summary!N$26)</f>
        <v>232.39625952137214</v>
      </c>
      <c r="O3" s="126">
        <f>IF(SER_hh_tesh!O3=0,0,SER_hh_tesh!O3/SER_summary!O$26)</f>
        <v>218.70394328768296</v>
      </c>
      <c r="P3" s="126">
        <f>IF(SER_hh_tesh!P3=0,0,SER_hh_tesh!P3/SER_summary!P$26)</f>
        <v>205.06059944440841</v>
      </c>
      <c r="Q3" s="126">
        <f>IF(SER_hh_tesh!Q3=0,0,SER_hh_tesh!Q3/SER_summary!Q$26)</f>
        <v>201.72889892787117</v>
      </c>
      <c r="R3" s="126">
        <f>IF(SER_hh_tesh!R3=0,0,SER_hh_tesh!R3/SER_summary!R$26)</f>
        <v>201.35300666210205</v>
      </c>
      <c r="S3" s="126">
        <f>IF(SER_hh_tesh!S3=0,0,SER_hh_tesh!S3/SER_summary!S$26)</f>
        <v>205.62639617702661</v>
      </c>
      <c r="T3" s="126">
        <f>IF(SER_hh_tesh!T3=0,0,SER_hh_tesh!T3/SER_summary!T$26)</f>
        <v>204.70110935277836</v>
      </c>
      <c r="U3" s="126">
        <f>IF(SER_hh_tesh!U3=0,0,SER_hh_tesh!U3/SER_summary!U$26)</f>
        <v>200.45540445239465</v>
      </c>
      <c r="V3" s="126">
        <f>IF(SER_hh_tesh!V3=0,0,SER_hh_tesh!V3/SER_summary!V$26)</f>
        <v>182.92553569406968</v>
      </c>
      <c r="W3" s="126">
        <f>IF(SER_hh_tesh!W3=0,0,SER_hh_tesh!W3/SER_summary!W$26)</f>
        <v>201.67268248134988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208.02776897586779</v>
      </c>
      <c r="C4" s="131">
        <f>IF(SER_hh_tesh!C4=0,0,SER_hh_tesh!C4/SER_summary!C$26)</f>
        <v>251.93372502668447</v>
      </c>
      <c r="D4" s="131">
        <f>IF(SER_hh_tesh!D4=0,0,SER_hh_tesh!D4/SER_summary!D$26)</f>
        <v>96.494194975251006</v>
      </c>
      <c r="E4" s="131">
        <f>IF(SER_hh_tesh!E4=0,0,SER_hh_tesh!E4/SER_summary!E$26)</f>
        <v>168.8545765442789</v>
      </c>
      <c r="F4" s="131">
        <f>IF(SER_hh_tesh!F4=0,0,SER_hh_tesh!F4/SER_summary!F$26)</f>
        <v>174.11250362661133</v>
      </c>
      <c r="G4" s="131">
        <f>IF(SER_hh_tesh!G4=0,0,SER_hh_tesh!G4/SER_summary!G$26)</f>
        <v>237.95213563141292</v>
      </c>
      <c r="H4" s="131">
        <f>IF(SER_hh_tesh!H4=0,0,SER_hh_tesh!H4/SER_summary!H$26)</f>
        <v>310.50946172629165</v>
      </c>
      <c r="I4" s="131">
        <f>IF(SER_hh_tesh!I4=0,0,SER_hh_tesh!I4/SER_summary!I$26)</f>
        <v>248.20518158549879</v>
      </c>
      <c r="J4" s="131">
        <f>IF(SER_hh_tesh!J4=0,0,SER_hh_tesh!J4/SER_summary!J$26)</f>
        <v>189.54093258455043</v>
      </c>
      <c r="K4" s="131">
        <f>IF(SER_hh_tesh!K4=0,0,SER_hh_tesh!K4/SER_summary!K$26)</f>
        <v>171.78418314291804</v>
      </c>
      <c r="L4" s="131">
        <f>IF(SER_hh_tesh!L4=0,0,SER_hh_tesh!L4/SER_summary!L$26)</f>
        <v>181.55515349426474</v>
      </c>
      <c r="M4" s="131">
        <f>IF(SER_hh_tesh!M4=0,0,SER_hh_tesh!M4/SER_summary!M$26)</f>
        <v>157.97438019483312</v>
      </c>
      <c r="N4" s="131">
        <f>IF(SER_hh_tesh!N4=0,0,SER_hh_tesh!N4/SER_summary!N$26)</f>
        <v>148.00826448955112</v>
      </c>
      <c r="O4" s="131">
        <f>IF(SER_hh_tesh!O4=0,0,SER_hh_tesh!O4/SER_summary!O$26)</f>
        <v>133.50194083185087</v>
      </c>
      <c r="P4" s="131">
        <f>IF(SER_hh_tesh!P4=0,0,SER_hh_tesh!P4/SER_summary!P$26)</f>
        <v>119.03923588689457</v>
      </c>
      <c r="Q4" s="131">
        <f>IF(SER_hh_tesh!Q4=0,0,SER_hh_tesh!Q4/SER_summary!Q$26)</f>
        <v>113.35400550326065</v>
      </c>
      <c r="R4" s="131">
        <f>IF(SER_hh_tesh!R4=0,0,SER_hh_tesh!R4/SER_summary!R$26)</f>
        <v>115.19960866093312</v>
      </c>
      <c r="S4" s="131">
        <f>IF(SER_hh_tesh!S4=0,0,SER_hh_tesh!S4/SER_summary!S$26)</f>
        <v>120.21589941416353</v>
      </c>
      <c r="T4" s="131">
        <f>IF(SER_hh_tesh!T4=0,0,SER_hh_tesh!T4/SER_summary!T$26)</f>
        <v>119.89396718867299</v>
      </c>
      <c r="U4" s="131">
        <f>IF(SER_hh_tesh!U4=0,0,SER_hh_tesh!U4/SER_summary!U$26)</f>
        <v>116.13792881979285</v>
      </c>
      <c r="V4" s="131">
        <f>IF(SER_hh_tesh!V4=0,0,SER_hh_tesh!V4/SER_summary!V$26)</f>
        <v>104.90413503078985</v>
      </c>
      <c r="W4" s="131">
        <f>IF(SER_hh_tesh!W4=0,0,SER_hh_tesh!W4/SER_summary!W$26)</f>
        <v>116.69783727318666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110.0560589221358</v>
      </c>
      <c r="C5" s="133">
        <f>IF(SER_hh_tesh!C5=0,0,SER_hh_tesh!C5/SER_summary!C$26)</f>
        <v>231.41776228315007</v>
      </c>
      <c r="D5" s="133">
        <f>IF(SER_hh_tesh!D5=0,0,SER_hh_tesh!D5/SER_summary!D$26)</f>
        <v>147.96344646835826</v>
      </c>
      <c r="E5" s="133">
        <f>IF(SER_hh_tesh!E5=0,0,SER_hh_tesh!E5/SER_summary!E$26)</f>
        <v>131.2966498847301</v>
      </c>
      <c r="F5" s="133">
        <f>IF(SER_hh_tesh!F5=0,0,SER_hh_tesh!F5/SER_summary!F$26)</f>
        <v>92.285830720275158</v>
      </c>
      <c r="G5" s="133">
        <f>IF(SER_hh_tesh!G5=0,0,SER_hh_tesh!G5/SER_summary!G$26)</f>
        <v>58.386003804090997</v>
      </c>
      <c r="H5" s="133">
        <f>IF(SER_hh_tesh!H5=0,0,SER_hh_tesh!H5/SER_summary!H$26)</f>
        <v>457.31060875707777</v>
      </c>
      <c r="I5" s="133">
        <f>IF(SER_hh_tesh!I5=0,0,SER_hh_tesh!I5/SER_summary!I$26)</f>
        <v>272.46622772868875</v>
      </c>
      <c r="J5" s="133">
        <f>IF(SER_hh_tesh!J5=0,0,SER_hh_tesh!J5/SER_summary!J$26)</f>
        <v>108.21862468626266</v>
      </c>
      <c r="K5" s="133">
        <f>IF(SER_hh_tesh!K5=0,0,SER_hh_tesh!K5/SER_summary!K$26)</f>
        <v>70.745934095621678</v>
      </c>
      <c r="L5" s="133">
        <f>IF(SER_hh_tesh!L5=0,0,SER_hh_tesh!L5/SER_summary!L$26)</f>
        <v>179.77347720107184</v>
      </c>
      <c r="M5" s="133">
        <f>IF(SER_hh_tesh!M5=0,0,SER_hh_tesh!M5/SER_summary!M$26)</f>
        <v>197.53217012588701</v>
      </c>
      <c r="N5" s="133">
        <f>IF(SER_hh_tesh!N5=0,0,SER_hh_tesh!N5/SER_summary!N$26)</f>
        <v>108.13440791439244</v>
      </c>
      <c r="O5" s="133">
        <f>IF(SER_hh_tesh!O5=0,0,SER_hh_tesh!O5/SER_summary!O$26)</f>
        <v>161.34131266184963</v>
      </c>
      <c r="P5" s="133">
        <f>IF(SER_hh_tesh!P5=0,0,SER_hh_tesh!P5/SER_summary!P$26)</f>
        <v>101.35233512206297</v>
      </c>
      <c r="Q5" s="133">
        <f>IF(SER_hh_tesh!Q5=0,0,SER_hh_tesh!Q5/SER_summary!Q$26)</f>
        <v>106.23174843198738</v>
      </c>
      <c r="R5" s="133">
        <f>IF(SER_hh_tesh!R5=0,0,SER_hh_tesh!R5/SER_summary!R$26)</f>
        <v>187.55397979018184</v>
      </c>
      <c r="S5" s="133">
        <f>IF(SER_hh_tesh!S5=0,0,SER_hh_tesh!S5/SER_summary!S$26)</f>
        <v>0</v>
      </c>
      <c r="T5" s="133">
        <f>IF(SER_hh_tesh!T5=0,0,SER_hh_tesh!T5/SER_summary!T$26)</f>
        <v>176.99329277321652</v>
      </c>
      <c r="U5" s="133">
        <f>IF(SER_hh_tesh!U5=0,0,SER_hh_tesh!U5/SER_summary!U$26)</f>
        <v>146.66213159925553</v>
      </c>
      <c r="V5" s="133">
        <f>IF(SER_hh_tesh!V5=0,0,SER_hh_tesh!V5/SER_summary!V$26)</f>
        <v>50.075627172667481</v>
      </c>
      <c r="W5" s="133">
        <f>IF(SER_hh_tesh!W5=0,0,SER_hh_tesh!W5/SER_summary!W$26)</f>
        <v>132.44485140773406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183.88567373978492</v>
      </c>
      <c r="C7" s="133">
        <f>IF(SER_hh_tesh!C7=0,0,SER_hh_tesh!C7/SER_summary!C$26)</f>
        <v>131.65577433142906</v>
      </c>
      <c r="D7" s="133">
        <f>IF(SER_hh_tesh!D7=0,0,SER_hh_tesh!D7/SER_summary!D$26)</f>
        <v>141.3055524377537</v>
      </c>
      <c r="E7" s="133">
        <f>IF(SER_hh_tesh!E7=0,0,SER_hh_tesh!E7/SER_summary!E$26)</f>
        <v>127.54082752514464</v>
      </c>
      <c r="F7" s="133">
        <f>IF(SER_hh_tesh!F7=0,0,SER_hh_tesh!F7/SER_summary!F$26)</f>
        <v>220.511623775841</v>
      </c>
      <c r="G7" s="133">
        <f>IF(SER_hh_tesh!G7=0,0,SER_hh_tesh!G7/SER_summary!G$26)</f>
        <v>246.47354088468811</v>
      </c>
      <c r="H7" s="133">
        <f>IF(SER_hh_tesh!H7=0,0,SER_hh_tesh!H7/SER_summary!H$26)</f>
        <v>176.85934980304265</v>
      </c>
      <c r="I7" s="133">
        <f>IF(SER_hh_tesh!I7=0,0,SER_hh_tesh!I7/SER_summary!I$26)</f>
        <v>281.94966107071633</v>
      </c>
      <c r="J7" s="133">
        <f>IF(SER_hh_tesh!J7=0,0,SER_hh_tesh!J7/SER_summary!J$26)</f>
        <v>236.29210244174033</v>
      </c>
      <c r="K7" s="133">
        <f>IF(SER_hh_tesh!K7=0,0,SER_hh_tesh!K7/SER_summary!K$26)</f>
        <v>111.10769251350308</v>
      </c>
      <c r="L7" s="133">
        <f>IF(SER_hh_tesh!L7=0,0,SER_hh_tesh!L7/SER_summary!L$26)</f>
        <v>114.82530036968548</v>
      </c>
      <c r="M7" s="133">
        <f>IF(SER_hh_tesh!M7=0,0,SER_hh_tesh!M7/SER_summary!M$26)</f>
        <v>199.79117267378817</v>
      </c>
      <c r="N7" s="133">
        <f>IF(SER_hh_tesh!N7=0,0,SER_hh_tesh!N7/SER_summary!N$26)</f>
        <v>158.28085684771818</v>
      </c>
      <c r="O7" s="133">
        <f>IF(SER_hh_tesh!O7=0,0,SER_hh_tesh!O7/SER_summary!O$26)</f>
        <v>120.11127778951557</v>
      </c>
      <c r="P7" s="133">
        <f>IF(SER_hh_tesh!P7=0,0,SER_hh_tesh!P7/SER_summary!P$26)</f>
        <v>109.74993380275561</v>
      </c>
      <c r="Q7" s="133">
        <f>IF(SER_hh_tesh!Q7=0,0,SER_hh_tesh!Q7/SER_summary!Q$26)</f>
        <v>109.06069860106403</v>
      </c>
      <c r="R7" s="133">
        <f>IF(SER_hh_tesh!R7=0,0,SER_hh_tesh!R7/SER_summary!R$26)</f>
        <v>103.22776136841891</v>
      </c>
      <c r="S7" s="133">
        <f>IF(SER_hh_tesh!S7=0,0,SER_hh_tesh!S7/SER_summary!S$26)</f>
        <v>123.12055799383829</v>
      </c>
      <c r="T7" s="133">
        <f>IF(SER_hh_tesh!T7=0,0,SER_hh_tesh!T7/SER_summary!T$26)</f>
        <v>122.2826508721481</v>
      </c>
      <c r="U7" s="133">
        <f>IF(SER_hh_tesh!U7=0,0,SER_hh_tesh!U7/SER_summary!U$26)</f>
        <v>111.71038681811164</v>
      </c>
      <c r="V7" s="133">
        <f>IF(SER_hh_tesh!V7=0,0,SER_hh_tesh!V7/SER_summary!V$26)</f>
        <v>93.687781787933218</v>
      </c>
      <c r="W7" s="133">
        <f>IF(SER_hh_tesh!W7=0,0,SER_hh_tesh!W7/SER_summary!W$26)</f>
        <v>127.87361834599351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150.95443552952452</v>
      </c>
      <c r="C9" s="133">
        <f>IF(SER_hh_tesh!C9=0,0,SER_hh_tesh!C9/SER_summary!C$26)</f>
        <v>359.99021169000531</v>
      </c>
      <c r="D9" s="133">
        <f>IF(SER_hh_tesh!D9=0,0,SER_hh_tesh!D9/SER_summary!D$26)</f>
        <v>33.084436734387573</v>
      </c>
      <c r="E9" s="133">
        <f>IF(SER_hh_tesh!E9=0,0,SER_hh_tesh!E9/SER_summary!E$26)</f>
        <v>184.72360658473755</v>
      </c>
      <c r="F9" s="133">
        <f>IF(SER_hh_tesh!F9=0,0,SER_hh_tesh!F9/SER_summary!F$26)</f>
        <v>188.33955420836159</v>
      </c>
      <c r="G9" s="133">
        <f>IF(SER_hh_tesh!G9=0,0,SER_hh_tesh!G9/SER_summary!G$26)</f>
        <v>192.38246660090897</v>
      </c>
      <c r="H9" s="133">
        <f>IF(SER_hh_tesh!H9=0,0,SER_hh_tesh!H9/SER_summary!H$26)</f>
        <v>366.56767526152447</v>
      </c>
      <c r="I9" s="133">
        <f>IF(SER_hh_tesh!I9=0,0,SER_hh_tesh!I9/SER_summary!I$26)</f>
        <v>240.27517485846244</v>
      </c>
      <c r="J9" s="133">
        <f>IF(SER_hh_tesh!J9=0,0,SER_hh_tesh!J9/SER_summary!J$26)</f>
        <v>164.56343778810773</v>
      </c>
      <c r="K9" s="133">
        <f>IF(SER_hh_tesh!K9=0,0,SER_hh_tesh!K9/SER_summary!K$26)</f>
        <v>185.47919232876473</v>
      </c>
      <c r="L9" s="133">
        <f>IF(SER_hh_tesh!L9=0,0,SER_hh_tesh!L9/SER_summary!L$26)</f>
        <v>185.73365842221369</v>
      </c>
      <c r="M9" s="133">
        <f>IF(SER_hh_tesh!M9=0,0,SER_hh_tesh!M9/SER_summary!M$26)</f>
        <v>141.18932583888341</v>
      </c>
      <c r="N9" s="133">
        <f>IF(SER_hh_tesh!N9=0,0,SER_hh_tesh!N9/SER_summary!N$26)</f>
        <v>141.77951789837576</v>
      </c>
      <c r="O9" s="133">
        <f>IF(SER_hh_tesh!O9=0,0,SER_hh_tesh!O9/SER_summary!O$26)</f>
        <v>134.92569699154734</v>
      </c>
      <c r="P9" s="133">
        <f>IF(SER_hh_tesh!P9=0,0,SER_hh_tesh!P9/SER_summary!P$26)</f>
        <v>124.00536089740251</v>
      </c>
      <c r="Q9" s="133">
        <f>IF(SER_hh_tesh!Q9=0,0,SER_hh_tesh!Q9/SER_summary!Q$26)</f>
        <v>110.47758941722488</v>
      </c>
      <c r="R9" s="133">
        <f>IF(SER_hh_tesh!R9=0,0,SER_hh_tesh!R9/SER_summary!R$26)</f>
        <v>110.66061378464026</v>
      </c>
      <c r="S9" s="133">
        <f>IF(SER_hh_tesh!S9=0,0,SER_hh_tesh!S9/SER_summary!S$26)</f>
        <v>117.64798411382661</v>
      </c>
      <c r="T9" s="133">
        <f>IF(SER_hh_tesh!T9=0,0,SER_hh_tesh!T9/SER_summary!T$26)</f>
        <v>116.93580318487113</v>
      </c>
      <c r="U9" s="133">
        <f>IF(SER_hh_tesh!U9=0,0,SER_hh_tesh!U9/SER_summary!U$26)</f>
        <v>115.35180617671985</v>
      </c>
      <c r="V9" s="133">
        <f>IF(SER_hh_tesh!V9=0,0,SER_hh_tesh!V9/SER_summary!V$26)</f>
        <v>107.64834103160597</v>
      </c>
      <c r="W9" s="133">
        <f>IF(SER_hh_tesh!W9=0,0,SER_hh_tesh!W9/SER_summary!W$26)</f>
        <v>108.55254571076482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201.33894305271275</v>
      </c>
      <c r="D10" s="133">
        <f>IF(SER_hh_tesh!D10=0,0,SER_hh_tesh!D10/SER_summary!D$26)</f>
        <v>153.56903876324253</v>
      </c>
      <c r="E10" s="133">
        <f>IF(SER_hh_tesh!E10=0,0,SER_hh_tesh!E10/SER_summary!E$26)</f>
        <v>155.24133400783424</v>
      </c>
      <c r="F10" s="133">
        <f>IF(SER_hh_tesh!F10=0,0,SER_hh_tesh!F10/SER_summary!F$26)</f>
        <v>144.57514686157313</v>
      </c>
      <c r="G10" s="133">
        <f>IF(SER_hh_tesh!G10=0,0,SER_hh_tesh!G10/SER_summary!G$26)</f>
        <v>264.16409899515321</v>
      </c>
      <c r="H10" s="133">
        <f>IF(SER_hh_tesh!H10=0,0,SER_hh_tesh!H10/SER_summary!H$26)</f>
        <v>271.87153858326963</v>
      </c>
      <c r="I10" s="133">
        <f>IF(SER_hh_tesh!I10=0,0,SER_hh_tesh!I10/SER_summary!I$26)</f>
        <v>226.47597163033862</v>
      </c>
      <c r="J10" s="133">
        <f>IF(SER_hh_tesh!J10=0,0,SER_hh_tesh!J10/SER_summary!J$26)</f>
        <v>200.60834821304326</v>
      </c>
      <c r="K10" s="133">
        <f>IF(SER_hh_tesh!K10=0,0,SER_hh_tesh!K10/SER_summary!K$26)</f>
        <v>180.39420815673881</v>
      </c>
      <c r="L10" s="133">
        <f>IF(SER_hh_tesh!L10=0,0,SER_hh_tesh!L10/SER_summary!L$26)</f>
        <v>207.03168114302503</v>
      </c>
      <c r="M10" s="133">
        <f>IF(SER_hh_tesh!M10=0,0,SER_hh_tesh!M10/SER_summary!M$26)</f>
        <v>123.36692249443678</v>
      </c>
      <c r="N10" s="133">
        <f>IF(SER_hh_tesh!N10=0,0,SER_hh_tesh!N10/SER_summary!N$26)</f>
        <v>141.57124245984943</v>
      </c>
      <c r="O10" s="133">
        <f>IF(SER_hh_tesh!O10=0,0,SER_hh_tesh!O10/SER_summary!O$26)</f>
        <v>105.32169970109656</v>
      </c>
      <c r="P10" s="133">
        <f>IF(SER_hh_tesh!P10=0,0,SER_hh_tesh!P10/SER_summary!P$26)</f>
        <v>82.622407047257809</v>
      </c>
      <c r="Q10" s="133">
        <f>IF(SER_hh_tesh!Q10=0,0,SER_hh_tesh!Q10/SER_summary!Q$26)</f>
        <v>132.30990183223881</v>
      </c>
      <c r="R10" s="133">
        <f>IF(SER_hh_tesh!R10=0,0,SER_hh_tesh!R10/SER_summary!R$26)</f>
        <v>135.59434113704154</v>
      </c>
      <c r="S10" s="133">
        <f>IF(SER_hh_tesh!S10=0,0,SER_hh_tesh!S10/SER_summary!S$26)</f>
        <v>114.50637669492674</v>
      </c>
      <c r="T10" s="133">
        <f>IF(SER_hh_tesh!T10=0,0,SER_hh_tesh!T10/SER_summary!T$26)</f>
        <v>113.12773841593402</v>
      </c>
      <c r="U10" s="133">
        <f>IF(SER_hh_tesh!U10=0,0,SER_hh_tesh!U10/SER_summary!U$26)</f>
        <v>119.18618270914567</v>
      </c>
      <c r="V10" s="133">
        <f>IF(SER_hh_tesh!V10=0,0,SER_hh_tesh!V10/SER_summary!V$26)</f>
        <v>101.5696369197873</v>
      </c>
      <c r="W10" s="133">
        <f>IF(SER_hh_tesh!W10=0,0,SER_hh_tesh!W10/SER_summary!W$26)</f>
        <v>116.09042889535901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248.0151885241998</v>
      </c>
      <c r="C11" s="133">
        <f>IF(SER_hh_tesh!C11=0,0,SER_hh_tesh!C11/SER_summary!C$26)</f>
        <v>81.605312298692098</v>
      </c>
      <c r="D11" s="133">
        <f>IF(SER_hh_tesh!D11=0,0,SER_hh_tesh!D11/SER_summary!D$26)</f>
        <v>153.67676923163293</v>
      </c>
      <c r="E11" s="133">
        <f>IF(SER_hh_tesh!E11=0,0,SER_hh_tesh!E11/SER_summary!E$26)</f>
        <v>187.33926231549287</v>
      </c>
      <c r="F11" s="133">
        <f>IF(SER_hh_tesh!F11=0,0,SER_hh_tesh!F11/SER_summary!F$26)</f>
        <v>127.63818797630924</v>
      </c>
      <c r="G11" s="133">
        <f>IF(SER_hh_tesh!G11=0,0,SER_hh_tesh!G11/SER_summary!G$26)</f>
        <v>286.08693616158831</v>
      </c>
      <c r="H11" s="133">
        <f>IF(SER_hh_tesh!H11=0,0,SER_hh_tesh!H11/SER_summary!H$26)</f>
        <v>189.2412240080873</v>
      </c>
      <c r="I11" s="133">
        <f>IF(SER_hh_tesh!I11=0,0,SER_hh_tesh!I11/SER_summary!I$26)</f>
        <v>165.14562763244254</v>
      </c>
      <c r="J11" s="133">
        <f>IF(SER_hh_tesh!J11=0,0,SER_hh_tesh!J11/SER_summary!J$26)</f>
        <v>257.95864954448382</v>
      </c>
      <c r="K11" s="133">
        <f>IF(SER_hh_tesh!K11=0,0,SER_hh_tesh!K11/SER_summary!K$26)</f>
        <v>221.79420935161372</v>
      </c>
      <c r="L11" s="133">
        <f>IF(SER_hh_tesh!L11=0,0,SER_hh_tesh!L11/SER_summary!L$26)</f>
        <v>85.566248175277011</v>
      </c>
      <c r="M11" s="133">
        <f>IF(SER_hh_tesh!M11=0,0,SER_hh_tesh!M11/SER_summary!M$26)</f>
        <v>150.17188424794844</v>
      </c>
      <c r="N11" s="133">
        <f>IF(SER_hh_tesh!N11=0,0,SER_hh_tesh!N11/SER_summary!N$26)</f>
        <v>126.29243189463229</v>
      </c>
      <c r="O11" s="133">
        <f>IF(SER_hh_tesh!O11=0,0,SER_hh_tesh!O11/SER_summary!O$26)</f>
        <v>137.53086714369002</v>
      </c>
      <c r="P11" s="133">
        <f>IF(SER_hh_tesh!P11=0,0,SER_hh_tesh!P11/SER_summary!P$26)</f>
        <v>126.728289508947</v>
      </c>
      <c r="Q11" s="133">
        <f>IF(SER_hh_tesh!Q11=0,0,SER_hh_tesh!Q11/SER_summary!Q$26)</f>
        <v>108.22868336895722</v>
      </c>
      <c r="R11" s="133">
        <f>IF(SER_hh_tesh!R11=0,0,SER_hh_tesh!R11/SER_summary!R$26)</f>
        <v>117.19210676290247</v>
      </c>
      <c r="S11" s="133">
        <f>IF(SER_hh_tesh!S11=0,0,SER_hh_tesh!S11/SER_summary!S$26)</f>
        <v>126.1706061482965</v>
      </c>
      <c r="T11" s="133">
        <f>IF(SER_hh_tesh!T11=0,0,SER_hh_tesh!T11/SER_summary!T$26)</f>
        <v>128.23442456234176</v>
      </c>
      <c r="U11" s="133">
        <f>IF(SER_hh_tesh!U11=0,0,SER_hh_tesh!U11/SER_summary!U$26)</f>
        <v>148.19349677674967</v>
      </c>
      <c r="V11" s="133">
        <f>IF(SER_hh_tesh!V11=0,0,SER_hh_tesh!V11/SER_summary!V$26)</f>
        <v>67.700556426883594</v>
      </c>
      <c r="W11" s="133">
        <f>IF(SER_hh_tesh!W11=0,0,SER_hh_tesh!W11/SER_summary!W$26)</f>
        <v>110.02940070502254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240.22764903335903</v>
      </c>
      <c r="C12" s="133">
        <f>IF(SER_hh_tesh!C12=0,0,SER_hh_tesh!C12/SER_summary!C$26)</f>
        <v>208.90206103731623</v>
      </c>
      <c r="D12" s="133">
        <f>IF(SER_hh_tesh!D12=0,0,SER_hh_tesh!D12/SER_summary!D$26)</f>
        <v>97.941900529173964</v>
      </c>
      <c r="E12" s="133">
        <f>IF(SER_hh_tesh!E12=0,0,SER_hh_tesh!E12/SER_summary!E$26)</f>
        <v>143.32275513950216</v>
      </c>
      <c r="F12" s="133">
        <f>IF(SER_hh_tesh!F12=0,0,SER_hh_tesh!F12/SER_summary!F$26)</f>
        <v>109.8338602019851</v>
      </c>
      <c r="G12" s="133">
        <f>IF(SER_hh_tesh!G12=0,0,SER_hh_tesh!G12/SER_summary!G$26)</f>
        <v>324.76506444535471</v>
      </c>
      <c r="H12" s="133">
        <f>IF(SER_hh_tesh!H12=0,0,SER_hh_tesh!H12/SER_summary!H$26)</f>
        <v>264.86797680671629</v>
      </c>
      <c r="I12" s="133">
        <f>IF(SER_hh_tesh!I12=0,0,SER_hh_tesh!I12/SER_summary!I$26)</f>
        <v>219.74692157050174</v>
      </c>
      <c r="J12" s="133">
        <f>IF(SER_hh_tesh!J12=0,0,SER_hh_tesh!J12/SER_summary!J$26)</f>
        <v>214.52515301389374</v>
      </c>
      <c r="K12" s="133">
        <f>IF(SER_hh_tesh!K12=0,0,SER_hh_tesh!K12/SER_summary!K$26)</f>
        <v>163.52710512929909</v>
      </c>
      <c r="L12" s="133">
        <f>IF(SER_hh_tesh!L12=0,0,SER_hh_tesh!L12/SER_summary!L$26)</f>
        <v>169.01665757154791</v>
      </c>
      <c r="M12" s="133">
        <f>IF(SER_hh_tesh!M12=0,0,SER_hh_tesh!M12/SER_summary!M$26)</f>
        <v>160.07790649348368</v>
      </c>
      <c r="N12" s="133">
        <f>IF(SER_hh_tesh!N12=0,0,SER_hh_tesh!N12/SER_summary!N$26)</f>
        <v>153.78174568238344</v>
      </c>
      <c r="O12" s="133">
        <f>IF(SER_hh_tesh!O12=0,0,SER_hh_tesh!O12/SER_summary!O$26)</f>
        <v>139.58173379184711</v>
      </c>
      <c r="P12" s="133">
        <f>IF(SER_hh_tesh!P12=0,0,SER_hh_tesh!P12/SER_summary!P$26)</f>
        <v>114.21994557068005</v>
      </c>
      <c r="Q12" s="133">
        <f>IF(SER_hh_tesh!Q12=0,0,SER_hh_tesh!Q12/SER_summary!Q$26)</f>
        <v>112.92840870309254</v>
      </c>
      <c r="R12" s="133">
        <f>IF(SER_hh_tesh!R12=0,0,SER_hh_tesh!R12/SER_summary!R$26)</f>
        <v>120.71655561664313</v>
      </c>
      <c r="S12" s="133">
        <f>IF(SER_hh_tesh!S12=0,0,SER_hh_tesh!S12/SER_summary!S$26)</f>
        <v>118.40063404909816</v>
      </c>
      <c r="T12" s="133">
        <f>IF(SER_hh_tesh!T12=0,0,SER_hh_tesh!T12/SER_summary!T$26)</f>
        <v>119.00191600056809</v>
      </c>
      <c r="U12" s="133">
        <f>IF(SER_hh_tesh!U12=0,0,SER_hh_tesh!U12/SER_summary!U$26)</f>
        <v>109.53609931414334</v>
      </c>
      <c r="V12" s="133">
        <f>IF(SER_hh_tesh!V12=0,0,SER_hh_tesh!V12/SER_summary!V$26)</f>
        <v>108.97027970306803</v>
      </c>
      <c r="W12" s="133">
        <f>IF(SER_hh_tesh!W12=0,0,SER_hh_tesh!W12/SER_summary!W$26)</f>
        <v>112.82932973995985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0</v>
      </c>
      <c r="C13" s="133">
        <f>IF(SER_hh_tesh!C13=0,0,SER_hh_tesh!C13/SER_summary!C$26)</f>
        <v>0</v>
      </c>
      <c r="D13" s="133">
        <f>IF(SER_hh_tesh!D13=0,0,SER_hh_tesh!D13/SER_summary!D$26)</f>
        <v>0</v>
      </c>
      <c r="E13" s="133">
        <f>IF(SER_hh_tesh!E13=0,0,SER_hh_tesh!E13/SER_summary!E$26)</f>
        <v>0</v>
      </c>
      <c r="F13" s="133">
        <f>IF(SER_hh_tesh!F13=0,0,SER_hh_tesh!F13/SER_summary!F$26)</f>
        <v>0</v>
      </c>
      <c r="G13" s="133">
        <f>IF(SER_hh_tesh!G13=0,0,SER_hh_tesh!G13/SER_summary!G$26)</f>
        <v>0</v>
      </c>
      <c r="H13" s="133">
        <f>IF(SER_hh_tesh!H13=0,0,SER_hh_tesh!H13/SER_summary!H$26)</f>
        <v>0</v>
      </c>
      <c r="I13" s="133">
        <f>IF(SER_hh_tesh!I13=0,0,SER_hh_tesh!I13/SER_summary!I$26)</f>
        <v>0</v>
      </c>
      <c r="J13" s="133">
        <f>IF(SER_hh_tesh!J13=0,0,SER_hh_tesh!J13/SER_summary!J$26)</f>
        <v>0</v>
      </c>
      <c r="K13" s="133">
        <f>IF(SER_hh_tesh!K13=0,0,SER_hh_tesh!K13/SER_summary!K$26)</f>
        <v>0</v>
      </c>
      <c r="L13" s="133">
        <f>IF(SER_hh_tesh!L13=0,0,SER_hh_tesh!L13/SER_summary!L$26)</f>
        <v>0</v>
      </c>
      <c r="M13" s="133">
        <f>IF(SER_hh_tesh!M13=0,0,SER_hh_tesh!M13/SER_summary!M$26)</f>
        <v>0</v>
      </c>
      <c r="N13" s="133">
        <f>IF(SER_hh_tesh!N13=0,0,SER_hh_tesh!N13/SER_summary!N$26)</f>
        <v>0</v>
      </c>
      <c r="O13" s="133">
        <f>IF(SER_hh_tesh!O13=0,0,SER_hh_tesh!O13/SER_summary!O$26)</f>
        <v>0</v>
      </c>
      <c r="P13" s="133">
        <f>IF(SER_hh_tesh!P13=0,0,SER_hh_tesh!P13/SER_summary!P$26)</f>
        <v>0</v>
      </c>
      <c r="Q13" s="133">
        <f>IF(SER_hh_tesh!Q13=0,0,SER_hh_tesh!Q13/SER_summary!Q$26)</f>
        <v>0</v>
      </c>
      <c r="R13" s="133">
        <f>IF(SER_hh_tesh!R13=0,0,SER_hh_tesh!R13/SER_summary!R$26)</f>
        <v>0</v>
      </c>
      <c r="S13" s="133">
        <f>IF(SER_hh_tesh!S13=0,0,SER_hh_tesh!S13/SER_summary!S$26)</f>
        <v>0</v>
      </c>
      <c r="T13" s="133">
        <f>IF(SER_hh_tesh!T13=0,0,SER_hh_tesh!T13/SER_summary!T$26)</f>
        <v>0</v>
      </c>
      <c r="U13" s="133">
        <f>IF(SER_hh_tesh!U13=0,0,SER_hh_tesh!U13/SER_summary!U$26)</f>
        <v>0</v>
      </c>
      <c r="V13" s="133">
        <f>IF(SER_hh_tesh!V13=0,0,SER_hh_tesh!V13/SER_summary!V$26)</f>
        <v>0</v>
      </c>
      <c r="W13" s="133">
        <f>IF(SER_hh_tesh!W13=0,0,SER_hh_tesh!W13/SER_summary!W$26)</f>
        <v>0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196.90189906939656</v>
      </c>
      <c r="C14" s="65">
        <f>IF(SER_hh_tesh!C14=0,0,SER_hh_tesh!C14/SER_summary!C$26)</f>
        <v>351.03408572405152</v>
      </c>
      <c r="D14" s="65">
        <f>IF(SER_hh_tesh!D14=0,0,SER_hh_tesh!D14/SER_summary!D$26)</f>
        <v>3.3124674640215899</v>
      </c>
      <c r="E14" s="65">
        <f>IF(SER_hh_tesh!E14=0,0,SER_hh_tesh!E14/SER_summary!E$26)</f>
        <v>294.20926832614214</v>
      </c>
      <c r="F14" s="65">
        <f>IF(SER_hh_tesh!F14=0,0,SER_hh_tesh!F14/SER_summary!F$26)</f>
        <v>15.349719563888657</v>
      </c>
      <c r="G14" s="65">
        <f>IF(SER_hh_tesh!G14=0,0,SER_hh_tesh!G14/SER_summary!G$26)</f>
        <v>209.16774984923177</v>
      </c>
      <c r="H14" s="65">
        <f>IF(SER_hh_tesh!H14=0,0,SER_hh_tesh!H14/SER_summary!H$26)</f>
        <v>233.9788220491242</v>
      </c>
      <c r="I14" s="65">
        <f>IF(SER_hh_tesh!I14=0,0,SER_hh_tesh!I14/SER_summary!I$26)</f>
        <v>314.93301917693333</v>
      </c>
      <c r="J14" s="65">
        <f>IF(SER_hh_tesh!J14=0,0,SER_hh_tesh!J14/SER_summary!J$26)</f>
        <v>166.89893179869017</v>
      </c>
      <c r="K14" s="65">
        <f>IF(SER_hh_tesh!K14=0,0,SER_hh_tesh!K14/SER_summary!K$26)</f>
        <v>139.10092871780435</v>
      </c>
      <c r="L14" s="65">
        <f>IF(SER_hh_tesh!L14=0,0,SER_hh_tesh!L14/SER_summary!L$26)</f>
        <v>233.05648627799792</v>
      </c>
      <c r="M14" s="65">
        <f>IF(SER_hh_tesh!M14=0,0,SER_hh_tesh!M14/SER_summary!M$26)</f>
        <v>190.13239522121219</v>
      </c>
      <c r="N14" s="65">
        <f>IF(SER_hh_tesh!N14=0,0,SER_hh_tesh!N14/SER_summary!N$26)</f>
        <v>135.93730504292654</v>
      </c>
      <c r="O14" s="65">
        <f>IF(SER_hh_tesh!O14=0,0,SER_hh_tesh!O14/SER_summary!O$26)</f>
        <v>112.37070197541587</v>
      </c>
      <c r="P14" s="65">
        <f>IF(SER_hh_tesh!P14=0,0,SER_hh_tesh!P14/SER_summary!P$26)</f>
        <v>117.36550973681278</v>
      </c>
      <c r="Q14" s="65">
        <f>IF(SER_hh_tesh!Q14=0,0,SER_hh_tesh!Q14/SER_summary!Q$26)</f>
        <v>71.376935058028508</v>
      </c>
      <c r="R14" s="65">
        <f>IF(SER_hh_tesh!R14=0,0,SER_hh_tesh!R14/SER_summary!R$26)</f>
        <v>103.04142469123217</v>
      </c>
      <c r="S14" s="65">
        <f>IF(SER_hh_tesh!S14=0,0,SER_hh_tesh!S14/SER_summary!S$26)</f>
        <v>115.30447410175466</v>
      </c>
      <c r="T14" s="65">
        <f>IF(SER_hh_tesh!T14=0,0,SER_hh_tesh!T14/SER_summary!T$26)</f>
        <v>120.73411437131713</v>
      </c>
      <c r="U14" s="65">
        <f>IF(SER_hh_tesh!U14=0,0,SER_hh_tesh!U14/SER_summary!U$26)</f>
        <v>116.56203517371742</v>
      </c>
      <c r="V14" s="65">
        <f>IF(SER_hh_tesh!V14=0,0,SER_hh_tesh!V14/SER_summary!V$26)</f>
        <v>102.68963545358406</v>
      </c>
      <c r="W14" s="65">
        <f>IF(SER_hh_tesh!W14=0,0,SER_hh_tesh!W14/SER_summary!W$26)</f>
        <v>119.04319544462049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1.9413988470917996</v>
      </c>
      <c r="C15" s="135">
        <f>IF(SER_hh_tesh!C15=0,0,SER_hh_tesh!C15/SER_summary!C$26)</f>
        <v>3.0006720733919727</v>
      </c>
      <c r="D15" s="135">
        <f>IF(SER_hh_tesh!D15=0,0,SER_hh_tesh!D15/SER_summary!D$26)</f>
        <v>1.3075741726654651</v>
      </c>
      <c r="E15" s="135">
        <f>IF(SER_hh_tesh!E15=0,0,SER_hh_tesh!E15/SER_summary!E$26)</f>
        <v>2.2642292175120549</v>
      </c>
      <c r="F15" s="135">
        <f>IF(SER_hh_tesh!F15=0,0,SER_hh_tesh!F15/SER_summary!F$26)</f>
        <v>2.8336183523382683</v>
      </c>
      <c r="G15" s="135">
        <f>IF(SER_hh_tesh!G15=0,0,SER_hh_tesh!G15/SER_summary!G$26)</f>
        <v>3.1939387059362057</v>
      </c>
      <c r="H15" s="135">
        <f>IF(SER_hh_tesh!H15=0,0,SER_hh_tesh!H15/SER_summary!H$26)</f>
        <v>4.6767913103309429</v>
      </c>
      <c r="I15" s="135">
        <f>IF(SER_hh_tesh!I15=0,0,SER_hh_tesh!I15/SER_summary!I$26)</f>
        <v>3.5159768198794739</v>
      </c>
      <c r="J15" s="135">
        <f>IF(SER_hh_tesh!J15=0,0,SER_hh_tesh!J15/SER_summary!J$26)</f>
        <v>2.5294167851235785</v>
      </c>
      <c r="K15" s="135">
        <f>IF(SER_hh_tesh!K15=0,0,SER_hh_tesh!K15/SER_summary!K$26)</f>
        <v>2.3473490622433193</v>
      </c>
      <c r="L15" s="135">
        <f>IF(SER_hh_tesh!L15=0,0,SER_hh_tesh!L15/SER_summary!L$26)</f>
        <v>2.3346740788101421</v>
      </c>
      <c r="M15" s="135">
        <f>IF(SER_hh_tesh!M15=0,0,SER_hh_tesh!M15/SER_summary!M$26)</f>
        <v>2.0172246858670997</v>
      </c>
      <c r="N15" s="135">
        <f>IF(SER_hh_tesh!N15=0,0,SER_hh_tesh!N15/SER_summary!N$26)</f>
        <v>1.8975829250267324</v>
      </c>
      <c r="O15" s="135">
        <f>IF(SER_hh_tesh!O15=0,0,SER_hh_tesh!O15/SER_summary!O$26)</f>
        <v>1.7068167864152521</v>
      </c>
      <c r="P15" s="135">
        <f>IF(SER_hh_tesh!P15=0,0,SER_hh_tesh!P15/SER_summary!P$26)</f>
        <v>1.5382064383381795</v>
      </c>
      <c r="Q15" s="135">
        <f>IF(SER_hh_tesh!Q15=0,0,SER_hh_tesh!Q15/SER_summary!Q$26)</f>
        <v>1.4244993202064897</v>
      </c>
      <c r="R15" s="135">
        <f>IF(SER_hh_tesh!R15=0,0,SER_hh_tesh!R15/SER_summary!R$26)</f>
        <v>1.4181970226492069</v>
      </c>
      <c r="S15" s="135">
        <f>IF(SER_hh_tesh!S15=0,0,SER_hh_tesh!S15/SER_summary!S$26)</f>
        <v>1.5354316269015327</v>
      </c>
      <c r="T15" s="135">
        <f>IF(SER_hh_tesh!T15=0,0,SER_hh_tesh!T15/SER_summary!T$26)</f>
        <v>1.5489792214227107</v>
      </c>
      <c r="U15" s="135">
        <f>IF(SER_hh_tesh!U15=0,0,SER_hh_tesh!U15/SER_summary!U$26)</f>
        <v>1.5212523414066499</v>
      </c>
      <c r="V15" s="135">
        <f>IF(SER_hh_tesh!V15=0,0,SER_hh_tesh!V15/SER_summary!V$26)</f>
        <v>1.3886964656651988</v>
      </c>
      <c r="W15" s="135">
        <f>IF(SER_hh_tesh!W15=0,0,SER_hh_tesh!W15/SER_summary!W$26)</f>
        <v>1.5656664897458403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31.989104764751243</v>
      </c>
      <c r="C16" s="131">
        <f>IF(SER_hh_tesh!C16=0,0,SER_hh_tesh!C16/SER_summary!C$26)</f>
        <v>30.871029781438089</v>
      </c>
      <c r="D16" s="131">
        <f>IF(SER_hh_tesh!D16=0,0,SER_hh_tesh!D16/SER_summary!D$26)</f>
        <v>29.562883739356987</v>
      </c>
      <c r="E16" s="131">
        <f>IF(SER_hh_tesh!E16=0,0,SER_hh_tesh!E16/SER_summary!E$26)</f>
        <v>29.916178266104428</v>
      </c>
      <c r="F16" s="131">
        <f>IF(SER_hh_tesh!F16=0,0,SER_hh_tesh!F16/SER_summary!F$26)</f>
        <v>26.14982812873437</v>
      </c>
      <c r="G16" s="131">
        <f>IF(SER_hh_tesh!G16=0,0,SER_hh_tesh!G16/SER_summary!G$26)</f>
        <v>26.38495852498923</v>
      </c>
      <c r="H16" s="131">
        <f>IF(SER_hh_tesh!H16=0,0,SER_hh_tesh!H16/SER_summary!H$26)</f>
        <v>28.239269686153484</v>
      </c>
      <c r="I16" s="131">
        <f>IF(SER_hh_tesh!I16=0,0,SER_hh_tesh!I16/SER_summary!I$26)</f>
        <v>37.449866192844894</v>
      </c>
      <c r="J16" s="131">
        <f>IF(SER_hh_tesh!J16=0,0,SER_hh_tesh!J16/SER_summary!J$26)</f>
        <v>29.647863180007427</v>
      </c>
      <c r="K16" s="131">
        <f>IF(SER_hh_tesh!K16=0,0,SER_hh_tesh!K16/SER_summary!K$26)</f>
        <v>28.191930649483876</v>
      </c>
      <c r="L16" s="131">
        <f>IF(SER_hh_tesh!L16=0,0,SER_hh_tesh!L16/SER_summary!L$26)</f>
        <v>33.317692311295588</v>
      </c>
      <c r="M16" s="131">
        <f>IF(SER_hh_tesh!M16=0,0,SER_hh_tesh!M16/SER_summary!M$26)</f>
        <v>28.578028535928258</v>
      </c>
      <c r="N16" s="131">
        <f>IF(SER_hh_tesh!N16=0,0,SER_hh_tesh!N16/SER_summary!N$26)</f>
        <v>43.515626759643794</v>
      </c>
      <c r="O16" s="131">
        <f>IF(SER_hh_tesh!O16=0,0,SER_hh_tesh!O16/SER_summary!O$26)</f>
        <v>29.66716322824346</v>
      </c>
      <c r="P16" s="131">
        <f>IF(SER_hh_tesh!P16=0,0,SER_hh_tesh!P16/SER_summary!P$26)</f>
        <v>27.908482956642356</v>
      </c>
      <c r="Q16" s="131">
        <f>IF(SER_hh_tesh!Q16=0,0,SER_hh_tesh!Q16/SER_summary!Q$26)</f>
        <v>36.700759530870691</v>
      </c>
      <c r="R16" s="131">
        <f>IF(SER_hh_tesh!R16=0,0,SER_hh_tesh!R16/SER_summary!R$26)</f>
        <v>31.382037036328001</v>
      </c>
      <c r="S16" s="131">
        <f>IF(SER_hh_tesh!S16=0,0,SER_hh_tesh!S16/SER_summary!S$26)</f>
        <v>33.866462551952516</v>
      </c>
      <c r="T16" s="131">
        <f>IF(SER_hh_tesh!T16=0,0,SER_hh_tesh!T16/SER_summary!T$26)</f>
        <v>29.706384886515121</v>
      </c>
      <c r="U16" s="131">
        <f>IF(SER_hh_tesh!U16=0,0,SER_hh_tesh!U16/SER_summary!U$26)</f>
        <v>33.367150830162778</v>
      </c>
      <c r="V16" s="131">
        <f>IF(SER_hh_tesh!V16=0,0,SER_hh_tesh!V16/SER_summary!V$26)</f>
        <v>30.91572168997282</v>
      </c>
      <c r="W16" s="131">
        <f>IF(SER_hh_tesh!W16=0,0,SER_hh_tesh!W16/SER_summary!W$26)</f>
        <v>35.274631097910422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31.989104764751243</v>
      </c>
      <c r="C18" s="133">
        <f>IF(SER_hh_tesh!C18=0,0,SER_hh_tesh!C18/SER_summary!C$26)</f>
        <v>30.871029781438089</v>
      </c>
      <c r="D18" s="133">
        <f>IF(SER_hh_tesh!D18=0,0,SER_hh_tesh!D18/SER_summary!D$26)</f>
        <v>29.562883739356987</v>
      </c>
      <c r="E18" s="133">
        <f>IF(SER_hh_tesh!E18=0,0,SER_hh_tesh!E18/SER_summary!E$26)</f>
        <v>29.916178266104428</v>
      </c>
      <c r="F18" s="133">
        <f>IF(SER_hh_tesh!F18=0,0,SER_hh_tesh!F18/SER_summary!F$26)</f>
        <v>26.14982812873437</v>
      </c>
      <c r="G18" s="133">
        <f>IF(SER_hh_tesh!G18=0,0,SER_hh_tesh!G18/SER_summary!G$26)</f>
        <v>26.38495852498923</v>
      </c>
      <c r="H18" s="133">
        <f>IF(SER_hh_tesh!H18=0,0,SER_hh_tesh!H18/SER_summary!H$26)</f>
        <v>28.239269686153484</v>
      </c>
      <c r="I18" s="133">
        <f>IF(SER_hh_tesh!I18=0,0,SER_hh_tesh!I18/SER_summary!I$26)</f>
        <v>37.449866192844894</v>
      </c>
      <c r="J18" s="133">
        <f>IF(SER_hh_tesh!J18=0,0,SER_hh_tesh!J18/SER_summary!J$26)</f>
        <v>29.647863180007427</v>
      </c>
      <c r="K18" s="133">
        <f>IF(SER_hh_tesh!K18=0,0,SER_hh_tesh!K18/SER_summary!K$26)</f>
        <v>28.191930649483876</v>
      </c>
      <c r="L18" s="133">
        <f>IF(SER_hh_tesh!L18=0,0,SER_hh_tesh!L18/SER_summary!L$26)</f>
        <v>33.317692311295588</v>
      </c>
      <c r="M18" s="133">
        <f>IF(SER_hh_tesh!M18=0,0,SER_hh_tesh!M18/SER_summary!M$26)</f>
        <v>28.578028535928258</v>
      </c>
      <c r="N18" s="133">
        <f>IF(SER_hh_tesh!N18=0,0,SER_hh_tesh!N18/SER_summary!N$26)</f>
        <v>43.515626759643794</v>
      </c>
      <c r="O18" s="133">
        <f>IF(SER_hh_tesh!O18=0,0,SER_hh_tesh!O18/SER_summary!O$26)</f>
        <v>29.66716322824346</v>
      </c>
      <c r="P18" s="133">
        <f>IF(SER_hh_tesh!P18=0,0,SER_hh_tesh!P18/SER_summary!P$26)</f>
        <v>27.908482956642356</v>
      </c>
      <c r="Q18" s="133">
        <f>IF(SER_hh_tesh!Q18=0,0,SER_hh_tesh!Q18/SER_summary!Q$26)</f>
        <v>36.700759530870691</v>
      </c>
      <c r="R18" s="133">
        <f>IF(SER_hh_tesh!R18=0,0,SER_hh_tesh!R18/SER_summary!R$26)</f>
        <v>31.382037036328001</v>
      </c>
      <c r="S18" s="133">
        <f>IF(SER_hh_tesh!S18=0,0,SER_hh_tesh!S18/SER_summary!S$26)</f>
        <v>33.866462551952516</v>
      </c>
      <c r="T18" s="133">
        <f>IF(SER_hh_tesh!T18=0,0,SER_hh_tesh!T18/SER_summary!T$26)</f>
        <v>29.706384886515121</v>
      </c>
      <c r="U18" s="133">
        <f>IF(SER_hh_tesh!U18=0,0,SER_hh_tesh!U18/SER_summary!U$26)</f>
        <v>33.367150830162778</v>
      </c>
      <c r="V18" s="133">
        <f>IF(SER_hh_tesh!V18=0,0,SER_hh_tesh!V18/SER_summary!V$26)</f>
        <v>30.91572168997282</v>
      </c>
      <c r="W18" s="133">
        <f>IF(SER_hh_tesh!W18=0,0,SER_hh_tesh!W18/SER_summary!W$26)</f>
        <v>35.274631097910422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23.245732967147696</v>
      </c>
      <c r="C19" s="131">
        <f>IF(SER_hh_tesh!C19=0,0,SER_hh_tesh!C19/SER_summary!C$26)</f>
        <v>25.385519805582458</v>
      </c>
      <c r="D19" s="131">
        <f>IF(SER_hh_tesh!D19=0,0,SER_hh_tesh!D19/SER_summary!D$26)</f>
        <v>12.530706032645378</v>
      </c>
      <c r="E19" s="131">
        <f>IF(SER_hh_tesh!E19=0,0,SER_hh_tesh!E19/SER_summary!E$26)</f>
        <v>26.901572536409994</v>
      </c>
      <c r="F19" s="131">
        <f>IF(SER_hh_tesh!F19=0,0,SER_hh_tesh!F19/SER_summary!F$26)</f>
        <v>31.257098631848805</v>
      </c>
      <c r="G19" s="131">
        <f>IF(SER_hh_tesh!G19=0,0,SER_hh_tesh!G19/SER_summary!G$26)</f>
        <v>31.097854825001374</v>
      </c>
      <c r="H19" s="131">
        <f>IF(SER_hh_tesh!H19=0,0,SER_hh_tesh!H19/SER_summary!H$26)</f>
        <v>31.956422521403439</v>
      </c>
      <c r="I19" s="131">
        <f>IF(SER_hh_tesh!I19=0,0,SER_hh_tesh!I19/SER_summary!I$26)</f>
        <v>32.658115931922119</v>
      </c>
      <c r="J19" s="131">
        <f>IF(SER_hh_tesh!J19=0,0,SER_hh_tesh!J19/SER_summary!J$26)</f>
        <v>32.183460909879244</v>
      </c>
      <c r="K19" s="131">
        <f>IF(SER_hh_tesh!K19=0,0,SER_hh_tesh!K19/SER_summary!K$26)</f>
        <v>32.070040756880083</v>
      </c>
      <c r="L19" s="131">
        <f>IF(SER_hh_tesh!L19=0,0,SER_hh_tesh!L19/SER_summary!L$26)</f>
        <v>31.06275715704923</v>
      </c>
      <c r="M19" s="131">
        <f>IF(SER_hh_tesh!M19=0,0,SER_hh_tesh!M19/SER_summary!M$26)</f>
        <v>32.227944180766904</v>
      </c>
      <c r="N19" s="131">
        <f>IF(SER_hh_tesh!N19=0,0,SER_hh_tesh!N19/SER_summary!N$26)</f>
        <v>32.054807647800963</v>
      </c>
      <c r="O19" s="131">
        <f>IF(SER_hh_tesh!O19=0,0,SER_hh_tesh!O19/SER_summary!O$26)</f>
        <v>32.757010747945436</v>
      </c>
      <c r="P19" s="131">
        <f>IF(SER_hh_tesh!P19=0,0,SER_hh_tesh!P19/SER_summary!P$26)</f>
        <v>33.188413839498899</v>
      </c>
      <c r="Q19" s="131">
        <f>IF(SER_hh_tesh!Q19=0,0,SER_hh_tesh!Q19/SER_summary!Q$26)</f>
        <v>33.856662262952455</v>
      </c>
      <c r="R19" s="131">
        <f>IF(SER_hh_tesh!R19=0,0,SER_hh_tesh!R19/SER_summary!R$26)</f>
        <v>33.927719695088875</v>
      </c>
      <c r="S19" s="131">
        <f>IF(SER_hh_tesh!S19=0,0,SER_hh_tesh!S19/SER_summary!S$26)</f>
        <v>34.096049460458389</v>
      </c>
      <c r="T19" s="131">
        <f>IF(SER_hh_tesh!T19=0,0,SER_hh_tesh!T19/SER_summary!T$26)</f>
        <v>33.481693473784425</v>
      </c>
      <c r="U19" s="131">
        <f>IF(SER_hh_tesh!U19=0,0,SER_hh_tesh!U19/SER_summary!U$26)</f>
        <v>32.178825203540477</v>
      </c>
      <c r="V19" s="131">
        <f>IF(SER_hh_tesh!V19=0,0,SER_hh_tesh!V19/SER_summary!V$26)</f>
        <v>30.640440557260085</v>
      </c>
      <c r="W19" s="131">
        <f>IF(SER_hh_tesh!W19=0,0,SER_hh_tesh!W19/SER_summary!W$26)</f>
        <v>34.044693871135671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3.8018428331249567</v>
      </c>
      <c r="C22" s="133">
        <f>IF(SER_hh_tesh!C22=0,0,SER_hh_tesh!C22/SER_summary!C$26)</f>
        <v>6.157732709997517</v>
      </c>
      <c r="D22" s="133">
        <f>IF(SER_hh_tesh!D22=0,0,SER_hh_tesh!D22/SER_summary!D$26)</f>
        <v>18.933941899538766</v>
      </c>
      <c r="E22" s="133">
        <f>IF(SER_hh_tesh!E22=0,0,SER_hh_tesh!E22/SER_summary!E$26)</f>
        <v>26.458337458591398</v>
      </c>
      <c r="F22" s="133">
        <f>IF(SER_hh_tesh!F22=0,0,SER_hh_tesh!F22/SER_summary!F$26)</f>
        <v>30.445292695685222</v>
      </c>
      <c r="G22" s="133">
        <f>IF(SER_hh_tesh!G22=0,0,SER_hh_tesh!G22/SER_summary!G$26)</f>
        <v>35.764378820581719</v>
      </c>
      <c r="H22" s="133">
        <f>IF(SER_hh_tesh!H22=0,0,SER_hh_tesh!H22/SER_summary!H$26)</f>
        <v>25.149951006844251</v>
      </c>
      <c r="I22" s="133">
        <f>IF(SER_hh_tesh!I22=0,0,SER_hh_tesh!I22/SER_summary!I$26)</f>
        <v>28.992851984481227</v>
      </c>
      <c r="J22" s="133">
        <f>IF(SER_hh_tesh!J22=0,0,SER_hh_tesh!J22/SER_summary!J$26)</f>
        <v>31.923487827088874</v>
      </c>
      <c r="K22" s="133">
        <f>IF(SER_hh_tesh!K22=0,0,SER_hh_tesh!K22/SER_summary!K$26)</f>
        <v>30.396266840943984</v>
      </c>
      <c r="L22" s="133">
        <f>IF(SER_hh_tesh!L22=0,0,SER_hh_tesh!L22/SER_summary!L$26)</f>
        <v>29.861159514808559</v>
      </c>
      <c r="M22" s="133">
        <f>IF(SER_hh_tesh!M22=0,0,SER_hh_tesh!M22/SER_summary!M$26)</f>
        <v>27.92911140734234</v>
      </c>
      <c r="N22" s="133">
        <f>IF(SER_hh_tesh!N22=0,0,SER_hh_tesh!N22/SER_summary!N$26)</f>
        <v>30.675243139779873</v>
      </c>
      <c r="O22" s="133">
        <f>IF(SER_hh_tesh!O22=0,0,SER_hh_tesh!O22/SER_summary!O$26)</f>
        <v>36.117268518809233</v>
      </c>
      <c r="P22" s="133">
        <f>IF(SER_hh_tesh!P22=0,0,SER_hh_tesh!P22/SER_summary!P$26)</f>
        <v>34.451115132719458</v>
      </c>
      <c r="Q22" s="133">
        <f>IF(SER_hh_tesh!Q22=0,0,SER_hh_tesh!Q22/SER_summary!Q$26)</f>
        <v>34.466378994883279</v>
      </c>
      <c r="R22" s="133">
        <f>IF(SER_hh_tesh!R22=0,0,SER_hh_tesh!R22/SER_summary!R$26)</f>
        <v>29.424592193216224</v>
      </c>
      <c r="S22" s="133">
        <f>IF(SER_hh_tesh!S22=0,0,SER_hh_tesh!S22/SER_summary!S$26)</f>
        <v>34.923297355815734</v>
      </c>
      <c r="T22" s="133">
        <f>IF(SER_hh_tesh!T22=0,0,SER_hh_tesh!T22/SER_summary!T$26)</f>
        <v>35.182747839515926</v>
      </c>
      <c r="U22" s="133">
        <f>IF(SER_hh_tesh!U22=0,0,SER_hh_tesh!U22/SER_summary!U$26)</f>
        <v>30.398592472078317</v>
      </c>
      <c r="V22" s="133">
        <f>IF(SER_hh_tesh!V22=0,0,SER_hh_tesh!V22/SER_summary!V$26)</f>
        <v>27.937049813664249</v>
      </c>
      <c r="W22" s="133">
        <f>IF(SER_hh_tesh!W22=0,0,SER_hh_tesh!W22/SER_summary!W$26)</f>
        <v>37.390554155254819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24.246543681902018</v>
      </c>
      <c r="C23" s="133">
        <f>IF(SER_hh_tesh!C23=0,0,SER_hh_tesh!C23/SER_summary!C$26)</f>
        <v>19.554397445790048</v>
      </c>
      <c r="D23" s="133">
        <f>IF(SER_hh_tesh!D23=0,0,SER_hh_tesh!D23/SER_summary!D$26)</f>
        <v>11.688500431286284</v>
      </c>
      <c r="E23" s="133">
        <f>IF(SER_hh_tesh!E23=0,0,SER_hh_tesh!E23/SER_summary!E$26)</f>
        <v>23.143627523472105</v>
      </c>
      <c r="F23" s="133">
        <f>IF(SER_hh_tesh!F23=0,0,SER_hh_tesh!F23/SER_summary!F$26)</f>
        <v>35.578607880901394</v>
      </c>
      <c r="G23" s="133">
        <f>IF(SER_hh_tesh!G23=0,0,SER_hh_tesh!G23/SER_summary!G$26)</f>
        <v>30.567521206506534</v>
      </c>
      <c r="H23" s="133">
        <f>IF(SER_hh_tesh!H23=0,0,SER_hh_tesh!H23/SER_summary!H$26)</f>
        <v>35.464263896576739</v>
      </c>
      <c r="I23" s="133">
        <f>IF(SER_hh_tesh!I23=0,0,SER_hh_tesh!I23/SER_summary!I$26)</f>
        <v>31.555548956917146</v>
      </c>
      <c r="J23" s="133">
        <f>IF(SER_hh_tesh!J23=0,0,SER_hh_tesh!J23/SER_summary!J$26)</f>
        <v>26.474848709911342</v>
      </c>
      <c r="K23" s="133">
        <f>IF(SER_hh_tesh!K23=0,0,SER_hh_tesh!K23/SER_summary!K$26)</f>
        <v>35.876910511196535</v>
      </c>
      <c r="L23" s="133">
        <f>IF(SER_hh_tesh!L23=0,0,SER_hh_tesh!L23/SER_summary!L$26)</f>
        <v>33.81965285701245</v>
      </c>
      <c r="M23" s="133">
        <f>IF(SER_hh_tesh!M23=0,0,SER_hh_tesh!M23/SER_summary!M$26)</f>
        <v>30.769962310082406</v>
      </c>
      <c r="N23" s="133">
        <f>IF(SER_hh_tesh!N23=0,0,SER_hh_tesh!N23/SER_summary!N$26)</f>
        <v>31.147410402982032</v>
      </c>
      <c r="O23" s="133">
        <f>IF(SER_hh_tesh!O23=0,0,SER_hh_tesh!O23/SER_summary!O$26)</f>
        <v>31.672461731520755</v>
      </c>
      <c r="P23" s="133">
        <f>IF(SER_hh_tesh!P23=0,0,SER_hh_tesh!P23/SER_summary!P$26)</f>
        <v>32.590839877065548</v>
      </c>
      <c r="Q23" s="133">
        <f>IF(SER_hh_tesh!Q23=0,0,SER_hh_tesh!Q23/SER_summary!Q$26)</f>
        <v>33.02607376445804</v>
      </c>
      <c r="R23" s="133">
        <f>IF(SER_hh_tesh!R23=0,0,SER_hh_tesh!R23/SER_summary!R$26)</f>
        <v>33.990737231521777</v>
      </c>
      <c r="S23" s="133">
        <f>IF(SER_hh_tesh!S23=0,0,SER_hh_tesh!S23/SER_summary!S$26)</f>
        <v>34.706138197904046</v>
      </c>
      <c r="T23" s="133">
        <f>IF(SER_hh_tesh!T23=0,0,SER_hh_tesh!T23/SER_summary!T$26)</f>
        <v>33.029840482161759</v>
      </c>
      <c r="U23" s="133">
        <f>IF(SER_hh_tesh!U23=0,0,SER_hh_tesh!U23/SER_summary!U$26)</f>
        <v>33.10489773894119</v>
      </c>
      <c r="V23" s="133">
        <f>IF(SER_hh_tesh!V23=0,0,SER_hh_tesh!V23/SER_summary!V$26)</f>
        <v>31.889064452525538</v>
      </c>
      <c r="W23" s="133">
        <f>IF(SER_hh_tesh!W23=0,0,SER_hh_tesh!W23/SER_summary!W$26)</f>
        <v>32.354336687087127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21.275698708687671</v>
      </c>
      <c r="C24" s="133">
        <f>IF(SER_hh_tesh!C24=0,0,SER_hh_tesh!C24/SER_summary!C$26)</f>
        <v>13.045618521827015</v>
      </c>
      <c r="D24" s="133">
        <f>IF(SER_hh_tesh!D24=0,0,SER_hh_tesh!D24/SER_summary!D$26)</f>
        <v>21.295875897715632</v>
      </c>
      <c r="E24" s="133">
        <f>IF(SER_hh_tesh!E24=0,0,SER_hh_tesh!E24/SER_summary!E$26)</f>
        <v>22.663232367783877</v>
      </c>
      <c r="F24" s="133">
        <f>IF(SER_hh_tesh!F24=0,0,SER_hh_tesh!F24/SER_summary!F$26)</f>
        <v>22.946626625100336</v>
      </c>
      <c r="G24" s="133">
        <f>IF(SER_hh_tesh!G24=0,0,SER_hh_tesh!G24/SER_summary!G$26)</f>
        <v>26.05172783323631</v>
      </c>
      <c r="H24" s="133">
        <f>IF(SER_hh_tesh!H24=0,0,SER_hh_tesh!H24/SER_summary!H$26)</f>
        <v>28.198226176763075</v>
      </c>
      <c r="I24" s="133">
        <f>IF(SER_hh_tesh!I24=0,0,SER_hh_tesh!I24/SER_summary!I$26)</f>
        <v>28.347513364367806</v>
      </c>
      <c r="J24" s="133">
        <f>IF(SER_hh_tesh!J24=0,0,SER_hh_tesh!J24/SER_summary!J$26)</f>
        <v>28.299045083557999</v>
      </c>
      <c r="K24" s="133">
        <f>IF(SER_hh_tesh!K24=0,0,SER_hh_tesh!K24/SER_summary!K$26)</f>
        <v>29.647296397952129</v>
      </c>
      <c r="L24" s="133">
        <f>IF(SER_hh_tesh!L24=0,0,SER_hh_tesh!L24/SER_summary!L$26)</f>
        <v>30.824142173108793</v>
      </c>
      <c r="M24" s="133">
        <f>IF(SER_hh_tesh!M24=0,0,SER_hh_tesh!M24/SER_summary!M$26)</f>
        <v>32.45930195905396</v>
      </c>
      <c r="N24" s="133">
        <f>IF(SER_hh_tesh!N24=0,0,SER_hh_tesh!N24/SER_summary!N$26)</f>
        <v>33.741839458524659</v>
      </c>
      <c r="O24" s="133">
        <f>IF(SER_hh_tesh!O24=0,0,SER_hh_tesh!O24/SER_summary!O$26)</f>
        <v>34.400454329281281</v>
      </c>
      <c r="P24" s="133">
        <f>IF(SER_hh_tesh!P24=0,0,SER_hh_tesh!P24/SER_summary!P$26)</f>
        <v>35.246868056090129</v>
      </c>
      <c r="Q24" s="133">
        <f>IF(SER_hh_tesh!Q24=0,0,SER_hh_tesh!Q24/SER_summary!Q$26)</f>
        <v>37.90563201752817</v>
      </c>
      <c r="R24" s="133">
        <f>IF(SER_hh_tesh!R24=0,0,SER_hh_tesh!R24/SER_summary!R$26)</f>
        <v>34.756917212309276</v>
      </c>
      <c r="S24" s="133">
        <f>IF(SER_hh_tesh!S24=0,0,SER_hh_tesh!S24/SER_summary!S$26)</f>
        <v>32.46946198037314</v>
      </c>
      <c r="T24" s="133">
        <f>IF(SER_hh_tesh!T24=0,0,SER_hh_tesh!T24/SER_summary!T$26)</f>
        <v>35.918659728207096</v>
      </c>
      <c r="U24" s="133">
        <f>IF(SER_hh_tesh!U24=0,0,SER_hh_tesh!U24/SER_summary!U$26)</f>
        <v>29.95456159538865</v>
      </c>
      <c r="V24" s="133">
        <f>IF(SER_hh_tesh!V24=0,0,SER_hh_tesh!V24/SER_summary!V$26)</f>
        <v>30.192261835495227</v>
      </c>
      <c r="W24" s="133">
        <f>IF(SER_hh_tesh!W24=0,0,SER_hh_tesh!W24/SER_summary!W$26)</f>
        <v>32.237270097641122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29.750217850438535</v>
      </c>
      <c r="C25" s="133">
        <f>IF(SER_hh_tesh!C25=0,0,SER_hh_tesh!C25/SER_summary!C$26)</f>
        <v>19.640589088111</v>
      </c>
      <c r="D25" s="133">
        <f>IF(SER_hh_tesh!D25=0,0,SER_hh_tesh!D25/SER_summary!D$26)</f>
        <v>11.716932676513972</v>
      </c>
      <c r="E25" s="133">
        <f>IF(SER_hh_tesh!E25=0,0,SER_hh_tesh!E25/SER_summary!E$26)</f>
        <v>25.172588884775735</v>
      </c>
      <c r="F25" s="133">
        <f>IF(SER_hh_tesh!F25=0,0,SER_hh_tesh!F25/SER_summary!F$26)</f>
        <v>21.344969269184745</v>
      </c>
      <c r="G25" s="133">
        <f>IF(SER_hh_tesh!G25=0,0,SER_hh_tesh!G25/SER_summary!G$26)</f>
        <v>34.16826750560886</v>
      </c>
      <c r="H25" s="133">
        <f>IF(SER_hh_tesh!H25=0,0,SER_hh_tesh!H25/SER_summary!H$26)</f>
        <v>31.374290030355361</v>
      </c>
      <c r="I25" s="133">
        <f>IF(SER_hh_tesh!I25=0,0,SER_hh_tesh!I25/SER_summary!I$26)</f>
        <v>29.804249949022523</v>
      </c>
      <c r="J25" s="133">
        <f>IF(SER_hh_tesh!J25=0,0,SER_hh_tesh!J25/SER_summary!J$26)</f>
        <v>34.49556699159033</v>
      </c>
      <c r="K25" s="133">
        <f>IF(SER_hh_tesh!K25=0,0,SER_hh_tesh!K25/SER_summary!K$26)</f>
        <v>32.020835926276654</v>
      </c>
      <c r="L25" s="133">
        <f>IF(SER_hh_tesh!L25=0,0,SER_hh_tesh!L25/SER_summary!L$26)</f>
        <v>30.608013697779171</v>
      </c>
      <c r="M25" s="133">
        <f>IF(SER_hh_tesh!M25=0,0,SER_hh_tesh!M25/SER_summary!M$26)</f>
        <v>32.12174658268701</v>
      </c>
      <c r="N25" s="133">
        <f>IF(SER_hh_tesh!N25=0,0,SER_hh_tesh!N25/SER_summary!N$26)</f>
        <v>33.099336891600871</v>
      </c>
      <c r="O25" s="133">
        <f>IF(SER_hh_tesh!O25=0,0,SER_hh_tesh!O25/SER_summary!O$26)</f>
        <v>33.946351484190437</v>
      </c>
      <c r="P25" s="133">
        <f>IF(SER_hh_tesh!P25=0,0,SER_hh_tesh!P25/SER_summary!P$26)</f>
        <v>32.05278638374029</v>
      </c>
      <c r="Q25" s="133">
        <f>IF(SER_hh_tesh!Q25=0,0,SER_hh_tesh!Q25/SER_summary!Q$26)</f>
        <v>33.696926948402535</v>
      </c>
      <c r="R25" s="133">
        <f>IF(SER_hh_tesh!R25=0,0,SER_hh_tesh!R25/SER_summary!R$26)</f>
        <v>34.720485362833458</v>
      </c>
      <c r="S25" s="133">
        <f>IF(SER_hh_tesh!S25=0,0,SER_hh_tesh!S25/SER_summary!S$26)</f>
        <v>33.838297407459272</v>
      </c>
      <c r="T25" s="133">
        <f>IF(SER_hh_tesh!T25=0,0,SER_hh_tesh!T25/SER_summary!T$26)</f>
        <v>33.295112429565371</v>
      </c>
      <c r="U25" s="133">
        <f>IF(SER_hh_tesh!U25=0,0,SER_hh_tesh!U25/SER_summary!U$26)</f>
        <v>31.4995193129539</v>
      </c>
      <c r="V25" s="133">
        <f>IF(SER_hh_tesh!V25=0,0,SER_hh_tesh!V25/SER_summary!V$26)</f>
        <v>31.822116731720563</v>
      </c>
      <c r="W25" s="133">
        <f>IF(SER_hh_tesh!W25=0,0,SER_hh_tesh!W25/SER_summary!W$26)</f>
        <v>33.358307144970482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26.804979653463597</v>
      </c>
      <c r="C26" s="65">
        <f>IF(SER_hh_tesh!C26=0,0,SER_hh_tesh!C26/SER_summary!C$26)</f>
        <v>53.813707525995241</v>
      </c>
      <c r="D26" s="65">
        <f>IF(SER_hh_tesh!D26=0,0,SER_hh_tesh!D26/SER_summary!D$26)</f>
        <v>4.9437591917368948</v>
      </c>
      <c r="E26" s="65">
        <f>IF(SER_hh_tesh!E26=0,0,SER_hh_tesh!E26/SER_summary!E$26)</f>
        <v>32.22613011951502</v>
      </c>
      <c r="F26" s="65">
        <f>IF(SER_hh_tesh!F26=0,0,SER_hh_tesh!F26/SER_summary!F$26)</f>
        <v>32.372763919862592</v>
      </c>
      <c r="G26" s="65">
        <f>IF(SER_hh_tesh!G26=0,0,SER_hh_tesh!G26/SER_summary!G$26)</f>
        <v>29.699513783374258</v>
      </c>
      <c r="H26" s="65">
        <f>IF(SER_hh_tesh!H26=0,0,SER_hh_tesh!H26/SER_summary!H$26)</f>
        <v>30.262076017258099</v>
      </c>
      <c r="I26" s="65">
        <f>IF(SER_hh_tesh!I26=0,0,SER_hh_tesh!I26/SER_summary!I$26)</f>
        <v>35.895232349048548</v>
      </c>
      <c r="J26" s="65">
        <f>IF(SER_hh_tesh!J26=0,0,SER_hh_tesh!J26/SER_summary!J$26)</f>
        <v>37.827176517752761</v>
      </c>
      <c r="K26" s="65">
        <f>IF(SER_hh_tesh!K26=0,0,SER_hh_tesh!K26/SER_summary!K$26)</f>
        <v>27.746486762648281</v>
      </c>
      <c r="L26" s="65">
        <f>IF(SER_hh_tesh!L26=0,0,SER_hh_tesh!L26/SER_summary!L$26)</f>
        <v>27.568297061578672</v>
      </c>
      <c r="M26" s="65">
        <f>IF(SER_hh_tesh!M26=0,0,SER_hh_tesh!M26/SER_summary!M$26)</f>
        <v>35.213315103704517</v>
      </c>
      <c r="N26" s="65">
        <f>IF(SER_hh_tesh!N26=0,0,SER_hh_tesh!N26/SER_summary!N$26)</f>
        <v>32.697199662718042</v>
      </c>
      <c r="O26" s="65">
        <f>IF(SER_hh_tesh!O26=0,0,SER_hh_tesh!O26/SER_summary!O$26)</f>
        <v>32.090196447963997</v>
      </c>
      <c r="P26" s="65">
        <f>IF(SER_hh_tesh!P26=0,0,SER_hh_tesh!P26/SER_summary!P$26)</f>
        <v>33.957806268688451</v>
      </c>
      <c r="Q26" s="65">
        <f>IF(SER_hh_tesh!Q26=0,0,SER_hh_tesh!Q26/SER_summary!Q$26)</f>
        <v>34.504045405979831</v>
      </c>
      <c r="R26" s="65">
        <f>IF(SER_hh_tesh!R26=0,0,SER_hh_tesh!R26/SER_summary!R$26)</f>
        <v>35.515647331367738</v>
      </c>
      <c r="S26" s="65">
        <f>IF(SER_hh_tesh!S26=0,0,SER_hh_tesh!S26/SER_summary!S$26)</f>
        <v>32.487215835885308</v>
      </c>
      <c r="T26" s="65">
        <f>IF(SER_hh_tesh!T26=0,0,SER_hh_tesh!T26/SER_summary!T$26)</f>
        <v>32.946569981423245</v>
      </c>
      <c r="U26" s="65">
        <f>IF(SER_hh_tesh!U26=0,0,SER_hh_tesh!U26/SER_summary!U$26)</f>
        <v>32.102559478256353</v>
      </c>
      <c r="V26" s="65">
        <f>IF(SER_hh_tesh!V26=0,0,SER_hh_tesh!V26/SER_summary!V$26)</f>
        <v>29.514695032503877</v>
      </c>
      <c r="W26" s="65">
        <f>IF(SER_hh_tesh!W26=0,0,SER_hh_tesh!W26/SER_summary!W$26)</f>
        <v>34.603717678398588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6.1774122191167926E-3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1.6892459869436615E-2</v>
      </c>
      <c r="M27" s="146">
        <f>IF(SER_hh_tesh!M27=0,0,SER_hh_tesh!M27/SER_summary!M$26)</f>
        <v>1.0845630787104417E-2</v>
      </c>
      <c r="N27" s="146">
        <f>IF(SER_hh_tesh!N27=0,0,SER_hh_tesh!N27/SER_summary!N$26)</f>
        <v>2.1130326089793025E-2</v>
      </c>
      <c r="O27" s="146">
        <f>IF(SER_hh_tesh!O27=0,0,SER_hh_tesh!O27/SER_summary!O$26)</f>
        <v>1.0099236178666258E-2</v>
      </c>
      <c r="P27" s="146">
        <f>IF(SER_hh_tesh!P27=0,0,SER_hh_tesh!P27/SER_summary!P$26)</f>
        <v>9.6943030123064124E-3</v>
      </c>
      <c r="Q27" s="146">
        <f>IF(SER_hh_tesh!Q27=0,0,SER_hh_tesh!Q27/SER_summary!Q$26)</f>
        <v>4.610602024714831E-3</v>
      </c>
      <c r="R27" s="146">
        <f>IF(SER_hh_tesh!R27=0,0,SER_hh_tesh!R27/SER_summary!R$26)</f>
        <v>4.4371101061291352E-3</v>
      </c>
      <c r="S27" s="146">
        <f>IF(SER_hh_tesh!S27=0,0,SER_hh_tesh!S27/SER_summary!S$26)</f>
        <v>1.1082113575967679E-2</v>
      </c>
      <c r="T27" s="146">
        <f>IF(SER_hh_tesh!T27=0,0,SER_hh_tesh!T27/SER_summary!T$26)</f>
        <v>9.9276731550879092E-3</v>
      </c>
      <c r="U27" s="146">
        <f>IF(SER_hh_tesh!U27=0,0,SER_hh_tesh!U27/SER_summary!U$26)</f>
        <v>1.1357558711581922E-2</v>
      </c>
      <c r="V27" s="146">
        <f>IF(SER_hh_tesh!V27=0,0,SER_hh_tesh!V27/SER_summary!V$26)</f>
        <v>6.2584150913054994E-3</v>
      </c>
      <c r="W27" s="146">
        <f>IF(SER_hh_tesh!W27=0,0,SER_hh_tesh!W27/SER_summary!W$26)</f>
        <v>6.4879777259146468E-2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25.575672762811831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24.220175301145382</v>
      </c>
      <c r="M28" s="147">
        <f>IF(SER_hh_tesh!M28=0,0,SER_hh_tesh!M28/SER_summary!M$26)</f>
        <v>25.092027503956931</v>
      </c>
      <c r="N28" s="147">
        <f>IF(SER_hh_tesh!N28=0,0,SER_hh_tesh!N28/SER_summary!N$26)</f>
        <v>24.91889011157917</v>
      </c>
      <c r="O28" s="147">
        <f>IF(SER_hh_tesh!O28=0,0,SER_hh_tesh!O28/SER_summary!O$26)</f>
        <v>25.408724358900464</v>
      </c>
      <c r="P28" s="147">
        <f>IF(SER_hh_tesh!P28=0,0,SER_hh_tesh!P28/SER_summary!P$26)</f>
        <v>25.709284751996556</v>
      </c>
      <c r="Q28" s="147">
        <f>IF(SER_hh_tesh!Q28=0,0,SER_hh_tesh!Q28/SER_summary!Q$26)</f>
        <v>26.145519338825959</v>
      </c>
      <c r="R28" s="147">
        <f>IF(SER_hh_tesh!R28=0,0,SER_hh_tesh!R28/SER_summary!R$26)</f>
        <v>26.183708482044224</v>
      </c>
      <c r="S28" s="147">
        <f>IF(SER_hh_tesh!S28=0,0,SER_hh_tesh!S28/SER_summary!S$26)</f>
        <v>26.491384591679743</v>
      </c>
      <c r="T28" s="147">
        <f>IF(SER_hh_tesh!T28=0,0,SER_hh_tesh!T28/SER_summary!T$26)</f>
        <v>26.260935532705222</v>
      </c>
      <c r="U28" s="147">
        <f>IF(SER_hh_tesh!U28=0,0,SER_hh_tesh!U28/SER_summary!U$26)</f>
        <v>25.301315381066701</v>
      </c>
      <c r="V28" s="147">
        <f>IF(SER_hh_tesh!V28=0,0,SER_hh_tesh!V28/SER_summary!V$26)</f>
        <v>24.049084396465894</v>
      </c>
      <c r="W28" s="147">
        <f>IF(SER_hh_tesh!W28=0,0,SER_hh_tesh!W28/SER_summary!W$26)</f>
        <v>26.732964959661217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39.965745221659503</v>
      </c>
      <c r="C29" s="131">
        <f>IF(SER_hh_tesh!C29=0,0,SER_hh_tesh!C29/SER_summary!C$26)</f>
        <v>38.681662298541802</v>
      </c>
      <c r="D29" s="131">
        <f>IF(SER_hh_tesh!D29=0,0,SER_hh_tesh!D29/SER_summary!D$26)</f>
        <v>29.358118352130361</v>
      </c>
      <c r="E29" s="131">
        <f>IF(SER_hh_tesh!E29=0,0,SER_hh_tesh!E29/SER_summary!E$26)</f>
        <v>38.215094688761283</v>
      </c>
      <c r="F29" s="131">
        <f>IF(SER_hh_tesh!F29=0,0,SER_hh_tesh!F29/SER_summary!F$26)</f>
        <v>40.412492684841517</v>
      </c>
      <c r="G29" s="131">
        <f>IF(SER_hh_tesh!G29=0,0,SER_hh_tesh!G29/SER_summary!G$26)</f>
        <v>41.970356050130547</v>
      </c>
      <c r="H29" s="131">
        <f>IF(SER_hh_tesh!H29=0,0,SER_hh_tesh!H29/SER_summary!H$26)</f>
        <v>42.950207420773232</v>
      </c>
      <c r="I29" s="131">
        <f>IF(SER_hh_tesh!I29=0,0,SER_hh_tesh!I29/SER_summary!I$26)</f>
        <v>43.43617092489751</v>
      </c>
      <c r="J29" s="131">
        <f>IF(SER_hh_tesh!J29=0,0,SER_hh_tesh!J29/SER_summary!J$26)</f>
        <v>45.720776523518559</v>
      </c>
      <c r="K29" s="131">
        <f>IF(SER_hh_tesh!K29=0,0,SER_hh_tesh!K29/SER_summary!K$26)</f>
        <v>45.819067354283703</v>
      </c>
      <c r="L29" s="131">
        <f>IF(SER_hh_tesh!L29=0,0,SER_hh_tesh!L29/SER_summary!L$26)</f>
        <v>46.240745475883784</v>
      </c>
      <c r="M29" s="131">
        <f>IF(SER_hh_tesh!M29=0,0,SER_hh_tesh!M29/SER_summary!M$26)</f>
        <v>46.120749900370413</v>
      </c>
      <c r="N29" s="131">
        <f>IF(SER_hh_tesh!N29=0,0,SER_hh_tesh!N29/SER_summary!N$26)</f>
        <v>46.675346857571405</v>
      </c>
      <c r="O29" s="131">
        <f>IF(SER_hh_tesh!O29=0,0,SER_hh_tesh!O29/SER_summary!O$26)</f>
        <v>48.448820297039063</v>
      </c>
      <c r="P29" s="131">
        <f>IF(SER_hh_tesh!P29=0,0,SER_hh_tesh!P29/SER_summary!P$26)</f>
        <v>48.893844339168965</v>
      </c>
      <c r="Q29" s="131">
        <f>IF(SER_hh_tesh!Q29=0,0,SER_hh_tesh!Q29/SER_summary!Q$26)</f>
        <v>49.256914229228151</v>
      </c>
      <c r="R29" s="131">
        <f>IF(SER_hh_tesh!R29=0,0,SER_hh_tesh!R29/SER_summary!R$26)</f>
        <v>47.770054691843157</v>
      </c>
      <c r="S29" s="131">
        <f>IF(SER_hh_tesh!S29=0,0,SER_hh_tesh!S29/SER_summary!S$26)</f>
        <v>46.512364903723892</v>
      </c>
      <c r="T29" s="131">
        <f>IF(SER_hh_tesh!T29=0,0,SER_hh_tesh!T29/SER_summary!T$26)</f>
        <v>47.09151285001407</v>
      </c>
      <c r="U29" s="131">
        <f>IF(SER_hh_tesh!U29=0,0,SER_hh_tesh!U29/SER_summary!U$26)</f>
        <v>47.312681758881176</v>
      </c>
      <c r="V29" s="131">
        <f>IF(SER_hh_tesh!V29=0,0,SER_hh_tesh!V29/SER_summary!V$26)</f>
        <v>43.018777196158581</v>
      </c>
      <c r="W29" s="131">
        <f>IF(SER_hh_tesh!W29=0,0,SER_hh_tesh!W29/SER_summary!W$26)</f>
        <v>45.866093192417473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63.612551515634081</v>
      </c>
      <c r="C30" s="133">
        <f>IF(SER_hh_tesh!C30=0,0,SER_hh_tesh!C30/SER_summary!C$26)</f>
        <v>25.04972627413165</v>
      </c>
      <c r="D30" s="133">
        <f>IF(SER_hh_tesh!D30=0,0,SER_hh_tesh!D30/SER_summary!D$26)</f>
        <v>11.063813261081229</v>
      </c>
      <c r="E30" s="133">
        <f>IF(SER_hh_tesh!E30=0,0,SER_hh_tesh!E30/SER_summary!E$26)</f>
        <v>33.222461562599349</v>
      </c>
      <c r="F30" s="133">
        <f>IF(SER_hh_tesh!F30=0,0,SER_hh_tesh!F30/SER_summary!F$26)</f>
        <v>50.690510188550576</v>
      </c>
      <c r="G30" s="133">
        <f>IF(SER_hh_tesh!G30=0,0,SER_hh_tesh!G30/SER_summary!G$26)</f>
        <v>61.145858936411884</v>
      </c>
      <c r="H30" s="133">
        <f>IF(SER_hh_tesh!H30=0,0,SER_hh_tesh!H30/SER_summary!H$26)</f>
        <v>25.347001813807449</v>
      </c>
      <c r="I30" s="133">
        <f>IF(SER_hh_tesh!I30=0,0,SER_hh_tesh!I30/SER_summary!I$26)</f>
        <v>77.620416543080182</v>
      </c>
      <c r="J30" s="133">
        <f>IF(SER_hh_tesh!J30=0,0,SER_hh_tesh!J30/SER_summary!J$26)</f>
        <v>27.571546123732617</v>
      </c>
      <c r="K30" s="133">
        <f>IF(SER_hh_tesh!K30=0,0,SER_hh_tesh!K30/SER_summary!K$26)</f>
        <v>22.73136707423717</v>
      </c>
      <c r="L30" s="133">
        <f>IF(SER_hh_tesh!L30=0,0,SER_hh_tesh!L30/SER_summary!L$26)</f>
        <v>54.413185211869099</v>
      </c>
      <c r="M30" s="133">
        <f>IF(SER_hh_tesh!M30=0,0,SER_hh_tesh!M30/SER_summary!M$26)</f>
        <v>38.455758998766676</v>
      </c>
      <c r="N30" s="133">
        <f>IF(SER_hh_tesh!N30=0,0,SER_hh_tesh!N30/SER_summary!N$26)</f>
        <v>44.485679141386804</v>
      </c>
      <c r="O30" s="133">
        <f>IF(SER_hh_tesh!O30=0,0,SER_hh_tesh!O30/SER_summary!O$26)</f>
        <v>45.001913270731436</v>
      </c>
      <c r="P30" s="133">
        <f>IF(SER_hh_tesh!P30=0,0,SER_hh_tesh!P30/SER_summary!P$26)</f>
        <v>48.810736388381414</v>
      </c>
      <c r="Q30" s="133">
        <f>IF(SER_hh_tesh!Q30=0,0,SER_hh_tesh!Q30/SER_summary!Q$26)</f>
        <v>54.12104644888403</v>
      </c>
      <c r="R30" s="133">
        <f>IF(SER_hh_tesh!R30=0,0,SER_hh_tesh!R30/SER_summary!R$26)</f>
        <v>47.770584239918954</v>
      </c>
      <c r="S30" s="133">
        <f>IF(SER_hh_tesh!S30=0,0,SER_hh_tesh!S30/SER_summary!S$26)</f>
        <v>46.378529665629387</v>
      </c>
      <c r="T30" s="133">
        <f>IF(SER_hh_tesh!T30=0,0,SER_hh_tesh!T30/SER_summary!T$26)</f>
        <v>47.652780816718113</v>
      </c>
      <c r="U30" s="133">
        <f>IF(SER_hh_tesh!U30=0,0,SER_hh_tesh!U30/SER_summary!U$26)</f>
        <v>47.412030333966655</v>
      </c>
      <c r="V30" s="133">
        <f>IF(SER_hh_tesh!V30=0,0,SER_hh_tesh!V30/SER_summary!V$26)</f>
        <v>43.654092165694571</v>
      </c>
      <c r="W30" s="133">
        <f>IF(SER_hh_tesh!W30=0,0,SER_hh_tesh!W30/SER_summary!W$26)</f>
        <v>44.729829354488601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35.570954637542492</v>
      </c>
      <c r="C31" s="133">
        <f>IF(SER_hh_tesh!C31=0,0,SER_hh_tesh!C31/SER_summary!C$26)</f>
        <v>37.865225758945151</v>
      </c>
      <c r="D31" s="133">
        <f>IF(SER_hh_tesh!D31=0,0,SER_hh_tesh!D31/SER_summary!D$26)</f>
        <v>21.889790754115811</v>
      </c>
      <c r="E31" s="133">
        <f>IF(SER_hh_tesh!E31=0,0,SER_hh_tesh!E31/SER_summary!E$26)</f>
        <v>35.92193222123727</v>
      </c>
      <c r="F31" s="133">
        <f>IF(SER_hh_tesh!F31=0,0,SER_hh_tesh!F31/SER_summary!F$26)</f>
        <v>47.929987722084483</v>
      </c>
      <c r="G31" s="133">
        <f>IF(SER_hh_tesh!G31=0,0,SER_hh_tesh!G31/SER_summary!G$26)</f>
        <v>39.000182075086549</v>
      </c>
      <c r="H31" s="133">
        <f>IF(SER_hh_tesh!H31=0,0,SER_hh_tesh!H31/SER_summary!H$26)</f>
        <v>53.478125414837379</v>
      </c>
      <c r="I31" s="133">
        <f>IF(SER_hh_tesh!I31=0,0,SER_hh_tesh!I31/SER_summary!I$26)</f>
        <v>40.564121865702781</v>
      </c>
      <c r="J31" s="133">
        <f>IF(SER_hh_tesh!J31=0,0,SER_hh_tesh!J31/SER_summary!J$26)</f>
        <v>44.206783422784724</v>
      </c>
      <c r="K31" s="133">
        <f>IF(SER_hh_tesh!K31=0,0,SER_hh_tesh!K31/SER_summary!K$26)</f>
        <v>46.101541790135812</v>
      </c>
      <c r="L31" s="133">
        <f>IF(SER_hh_tesh!L31=0,0,SER_hh_tesh!L31/SER_summary!L$26)</f>
        <v>46.174184750966532</v>
      </c>
      <c r="M31" s="133">
        <f>IF(SER_hh_tesh!M31=0,0,SER_hh_tesh!M31/SER_summary!M$26)</f>
        <v>46.390969248606496</v>
      </c>
      <c r="N31" s="133">
        <f>IF(SER_hh_tesh!N31=0,0,SER_hh_tesh!N31/SER_summary!N$26)</f>
        <v>46.275146780688758</v>
      </c>
      <c r="O31" s="133">
        <f>IF(SER_hh_tesh!O31=0,0,SER_hh_tesh!O31/SER_summary!O$26)</f>
        <v>47.592733127234951</v>
      </c>
      <c r="P31" s="133">
        <f>IF(SER_hh_tesh!P31=0,0,SER_hh_tesh!P31/SER_summary!P$26)</f>
        <v>46.946637094095578</v>
      </c>
      <c r="Q31" s="133">
        <f>IF(SER_hh_tesh!Q31=0,0,SER_hh_tesh!Q31/SER_summary!Q$26)</f>
        <v>49.103699577045447</v>
      </c>
      <c r="R31" s="133">
        <f>IF(SER_hh_tesh!R31=0,0,SER_hh_tesh!R31/SER_summary!R$26)</f>
        <v>46.547780031457677</v>
      </c>
      <c r="S31" s="133">
        <f>IF(SER_hh_tesh!S31=0,0,SER_hh_tesh!S31/SER_summary!S$26)</f>
        <v>48.562065871345453</v>
      </c>
      <c r="T31" s="133">
        <f>IF(SER_hh_tesh!T31=0,0,SER_hh_tesh!T31/SER_summary!T$26)</f>
        <v>46.837434100650881</v>
      </c>
      <c r="U31" s="133">
        <f>IF(SER_hh_tesh!U31=0,0,SER_hh_tesh!U31/SER_summary!U$26)</f>
        <v>46.798380546209707</v>
      </c>
      <c r="V31" s="133">
        <f>IF(SER_hh_tesh!V31=0,0,SER_hh_tesh!V31/SER_summary!V$26)</f>
        <v>44.001174225363478</v>
      </c>
      <c r="W31" s="133">
        <f>IF(SER_hh_tesh!W31=0,0,SER_hh_tesh!W31/SER_summary!W$26)</f>
        <v>45.376345503242931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38.542424944727017</v>
      </c>
      <c r="C33" s="68">
        <f>IF(SER_hh_tesh!C33=0,0,SER_hh_tesh!C33/SER_summary!C$26)</f>
        <v>41.378631017476167</v>
      </c>
      <c r="D33" s="68">
        <f>IF(SER_hh_tesh!D33=0,0,SER_hh_tesh!D33/SER_summary!D$26)</f>
        <v>38.752737481890023</v>
      </c>
      <c r="E33" s="68">
        <f>IF(SER_hh_tesh!E33=0,0,SER_hh_tesh!E33/SER_summary!E$26)</f>
        <v>43.003481561209369</v>
      </c>
      <c r="F33" s="68">
        <f>IF(SER_hh_tesh!F33=0,0,SER_hh_tesh!F33/SER_summary!F$26)</f>
        <v>10.528369607878444</v>
      </c>
      <c r="G33" s="68">
        <f>IF(SER_hh_tesh!G33=0,0,SER_hh_tesh!G33/SER_summary!G$26)</f>
        <v>25.888571690472556</v>
      </c>
      <c r="H33" s="68">
        <f>IF(SER_hh_tesh!H33=0,0,SER_hh_tesh!H33/SER_summary!H$26)</f>
        <v>37.199491134070641</v>
      </c>
      <c r="I33" s="68">
        <f>IF(SER_hh_tesh!I33=0,0,SER_hh_tesh!I33/SER_summary!I$26)</f>
        <v>21.436406418546142</v>
      </c>
      <c r="J33" s="68">
        <f>IF(SER_hh_tesh!J33=0,0,SER_hh_tesh!J33/SER_summary!J$26)</f>
        <v>53.89908819614547</v>
      </c>
      <c r="K33" s="68">
        <f>IF(SER_hh_tesh!K33=0,0,SER_hh_tesh!K33/SER_summary!K$26)</f>
        <v>49.930525460778838</v>
      </c>
      <c r="L33" s="68">
        <f>IF(SER_hh_tesh!L33=0,0,SER_hh_tesh!L33/SER_summary!L$26)</f>
        <v>45.417517406207345</v>
      </c>
      <c r="M33" s="68">
        <f>IF(SER_hh_tesh!M33=0,0,SER_hh_tesh!M33/SER_summary!M$26)</f>
        <v>46.605550712002646</v>
      </c>
      <c r="N33" s="68">
        <f>IF(SER_hh_tesh!N33=0,0,SER_hh_tesh!N33/SER_summary!N$26)</f>
        <v>47.108872866200869</v>
      </c>
      <c r="O33" s="68">
        <f>IF(SER_hh_tesh!O33=0,0,SER_hh_tesh!O33/SER_summary!O$26)</f>
        <v>49.236674537858363</v>
      </c>
      <c r="P33" s="68">
        <f>IF(SER_hh_tesh!P33=0,0,SER_hh_tesh!P33/SER_summary!P$26)</f>
        <v>49.936674757267404</v>
      </c>
      <c r="Q33" s="68">
        <f>IF(SER_hh_tesh!Q33=0,0,SER_hh_tesh!Q33/SER_summary!Q$26)</f>
        <v>48.773400828533802</v>
      </c>
      <c r="R33" s="68">
        <f>IF(SER_hh_tesh!R33=0,0,SER_hh_tesh!R33/SER_summary!R$26)</f>
        <v>48.458863898111105</v>
      </c>
      <c r="S33" s="68">
        <f>IF(SER_hh_tesh!S33=0,0,SER_hh_tesh!S33/SER_summary!S$26)</f>
        <v>45.317481251452541</v>
      </c>
      <c r="T33" s="68">
        <f>IF(SER_hh_tesh!T33=0,0,SER_hh_tesh!T33/SER_summary!T$26)</f>
        <v>47.177860157188363</v>
      </c>
      <c r="U33" s="68">
        <f>IF(SER_hh_tesh!U33=0,0,SER_hh_tesh!U33/SER_summary!U$26)</f>
        <v>47.609016775052275</v>
      </c>
      <c r="V33" s="68">
        <f>IF(SER_hh_tesh!V33=0,0,SER_hh_tesh!V33/SER_summary!V$26)</f>
        <v>42.361206749563252</v>
      </c>
      <c r="W33" s="68">
        <f>IF(SER_hh_tesh!W33=0,0,SER_hh_tesh!W33/SER_summary!W$26)</f>
        <v>46.263899877653728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29.41974545299502</v>
      </c>
      <c r="C3" s="126">
        <f>IF(SER_hh_emih!C3=0,0,SER_hh_emih!C3/SER_summary!C$26)</f>
        <v>51.172730780619858</v>
      </c>
      <c r="D3" s="126">
        <f>IF(SER_hh_emih!D3=0,0,SER_hh_emih!D3/SER_summary!D$26)</f>
        <v>28.617368903147995</v>
      </c>
      <c r="E3" s="126">
        <f>IF(SER_hh_emih!E3=0,0,SER_hh_emih!E3/SER_summary!E$26)</f>
        <v>52.562802004856735</v>
      </c>
      <c r="F3" s="126">
        <f>IF(SER_hh_emih!F3=0,0,SER_hh_emih!F3/SER_summary!F$26)</f>
        <v>79.312416654996952</v>
      </c>
      <c r="G3" s="126">
        <f>IF(SER_hh_emih!G3=0,0,SER_hh_emih!G3/SER_summary!G$26)</f>
        <v>78.964748068120329</v>
      </c>
      <c r="H3" s="126">
        <f>IF(SER_hh_emih!H3=0,0,SER_hh_emih!H3/SER_summary!H$26)</f>
        <v>103.90935423313387</v>
      </c>
      <c r="I3" s="126">
        <f>IF(SER_hh_emih!I3=0,0,SER_hh_emih!I3/SER_summary!I$26)</f>
        <v>85.740657705044882</v>
      </c>
      <c r="J3" s="126">
        <f>IF(SER_hh_emih!J3=0,0,SER_hh_emih!J3/SER_summary!J$26)</f>
        <v>59.625375312787689</v>
      </c>
      <c r="K3" s="126">
        <f>IF(SER_hh_emih!K3=0,0,SER_hh_emih!K3/SER_summary!K$26)</f>
        <v>54.357216304065794</v>
      </c>
      <c r="L3" s="126">
        <f>IF(SER_hh_emih!L3=0,0,SER_hh_emih!L3/SER_summary!L$26)</f>
        <v>53.360753307386297</v>
      </c>
      <c r="M3" s="126">
        <f>IF(SER_hh_emih!M3=0,0,SER_hh_emih!M3/SER_summary!M$26)</f>
        <v>49.952049920756771</v>
      </c>
      <c r="N3" s="126">
        <f>IF(SER_hh_emih!N3=0,0,SER_hh_emih!N3/SER_summary!N$26)</f>
        <v>47.439842890318417</v>
      </c>
      <c r="O3" s="126">
        <f>IF(SER_hh_emih!O3=0,0,SER_hh_emih!O3/SER_summary!O$26)</f>
        <v>44.214532996909789</v>
      </c>
      <c r="P3" s="126">
        <f>IF(SER_hh_emih!P3=0,0,SER_hh_emih!P3/SER_summary!P$26)</f>
        <v>42.269881131401164</v>
      </c>
      <c r="Q3" s="126">
        <f>IF(SER_hh_emih!Q3=0,0,SER_hh_emih!Q3/SER_summary!Q$26)</f>
        <v>40.077680125762875</v>
      </c>
      <c r="R3" s="126">
        <f>IF(SER_hh_emih!R3=0,0,SER_hh_emih!R3/SER_summary!R$26)</f>
        <v>39.026217951952582</v>
      </c>
      <c r="S3" s="126">
        <f>IF(SER_hh_emih!S3=0,0,SER_hh_emih!S3/SER_summary!S$26)</f>
        <v>42.686541707927155</v>
      </c>
      <c r="T3" s="126">
        <f>IF(SER_hh_emih!T3=0,0,SER_hh_emih!T3/SER_summary!T$26)</f>
        <v>42.31137937551329</v>
      </c>
      <c r="U3" s="126">
        <f>IF(SER_hh_emih!U3=0,0,SER_hh_emih!U3/SER_summary!U$26)</f>
        <v>41.312295958041886</v>
      </c>
      <c r="V3" s="126">
        <f>IF(SER_hh_emih!V3=0,0,SER_hh_emih!V3/SER_summary!V$26)</f>
        <v>37.995982511183492</v>
      </c>
      <c r="W3" s="126">
        <f>IF(SER_hh_emih!W3=0,0,SER_hh_emih!W3/SER_summary!W$26)</f>
        <v>43.1868410333187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23.080644003333461</v>
      </c>
      <c r="C4" s="131">
        <f>IF(SER_hh_emih!C4=0,0,SER_hh_emih!C4/SER_summary!C$26)</f>
        <v>45.158628220897612</v>
      </c>
      <c r="D4" s="131">
        <f>IF(SER_hh_emih!D4=0,0,SER_hh_emih!D4/SER_summary!D$26)</f>
        <v>22.718856465159309</v>
      </c>
      <c r="E4" s="131">
        <f>IF(SER_hh_emih!E4=0,0,SER_hh_emih!E4/SER_summary!E$26)</f>
        <v>40.432630200544075</v>
      </c>
      <c r="F4" s="131">
        <f>IF(SER_hh_emih!F4=0,0,SER_hh_emih!F4/SER_summary!F$26)</f>
        <v>58.946467162990473</v>
      </c>
      <c r="G4" s="131">
        <f>IF(SER_hh_emih!G4=0,0,SER_hh_emih!G4/SER_summary!G$26)</f>
        <v>59.403818357054234</v>
      </c>
      <c r="H4" s="131">
        <f>IF(SER_hh_emih!H4=0,0,SER_hh_emih!H4/SER_summary!H$26)</f>
        <v>85.950541056888966</v>
      </c>
      <c r="I4" s="131">
        <f>IF(SER_hh_emih!I4=0,0,SER_hh_emih!I4/SER_summary!I$26)</f>
        <v>67.028449848418617</v>
      </c>
      <c r="J4" s="131">
        <f>IF(SER_hh_emih!J4=0,0,SER_hh_emih!J4/SER_summary!J$26)</f>
        <v>46.603473270379546</v>
      </c>
      <c r="K4" s="131">
        <f>IF(SER_hh_emih!K4=0,0,SER_hh_emih!K4/SER_summary!K$26)</f>
        <v>40.657211126328235</v>
      </c>
      <c r="L4" s="131">
        <f>IF(SER_hh_emih!L4=0,0,SER_hh_emih!L4/SER_summary!L$26)</f>
        <v>39.917891780301872</v>
      </c>
      <c r="M4" s="131">
        <f>IF(SER_hh_emih!M4=0,0,SER_hh_emih!M4/SER_summary!M$26)</f>
        <v>37.99768307565099</v>
      </c>
      <c r="N4" s="131">
        <f>IF(SER_hh_emih!N4=0,0,SER_hh_emih!N4/SER_summary!N$26)</f>
        <v>35.594691982957677</v>
      </c>
      <c r="O4" s="131">
        <f>IF(SER_hh_emih!O4=0,0,SER_hh_emih!O4/SER_summary!O$26)</f>
        <v>32.018825888667919</v>
      </c>
      <c r="P4" s="131">
        <f>IF(SER_hh_emih!P4=0,0,SER_hh_emih!P4/SER_summary!P$26)</f>
        <v>29.762293959953723</v>
      </c>
      <c r="Q4" s="131">
        <f>IF(SER_hh_emih!Q4=0,0,SER_hh_emih!Q4/SER_summary!Q$26)</f>
        <v>26.858445049484228</v>
      </c>
      <c r="R4" s="131">
        <f>IF(SER_hh_emih!R4=0,0,SER_hh_emih!R4/SER_summary!R$26)</f>
        <v>26.127165162262582</v>
      </c>
      <c r="S4" s="131">
        <f>IF(SER_hh_emih!S4=0,0,SER_hh_emih!S4/SER_summary!S$26)</f>
        <v>28.851124290642613</v>
      </c>
      <c r="T4" s="131">
        <f>IF(SER_hh_emih!T4=0,0,SER_hh_emih!T4/SER_summary!T$26)</f>
        <v>28.837161817427564</v>
      </c>
      <c r="U4" s="131">
        <f>IF(SER_hh_emih!U4=0,0,SER_hh_emih!U4/SER_summary!U$26)</f>
        <v>28.134442499971023</v>
      </c>
      <c r="V4" s="131">
        <f>IF(SER_hh_emih!V4=0,0,SER_hh_emih!V4/SER_summary!V$26)</f>
        <v>25.57269437155303</v>
      </c>
      <c r="W4" s="131">
        <f>IF(SER_hh_emih!W4=0,0,SER_hh_emih!W4/SER_summary!W$26)</f>
        <v>29.799652292483156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79.780089072488636</v>
      </c>
      <c r="C5" s="133">
        <f>IF(SER_hh_emih!C5=0,0,SER_hh_emih!C5/SER_summary!C$26)</f>
        <v>167.35402703920539</v>
      </c>
      <c r="D5" s="133">
        <f>IF(SER_hh_emih!D5=0,0,SER_hh_emih!D5/SER_summary!D$26)</f>
        <v>105.24838365663703</v>
      </c>
      <c r="E5" s="133">
        <f>IF(SER_hh_emih!E5=0,0,SER_hh_emih!E5/SER_summary!E$26)</f>
        <v>93.300480008327739</v>
      </c>
      <c r="F5" s="133">
        <f>IF(SER_hh_emih!F5=0,0,SER_hh_emih!F5/SER_summary!F$26)</f>
        <v>63.189187281654078</v>
      </c>
      <c r="G5" s="133">
        <f>IF(SER_hh_emih!G5=0,0,SER_hh_emih!G5/SER_summary!G$26)</f>
        <v>41.489574832809808</v>
      </c>
      <c r="H5" s="133">
        <f>IF(SER_hh_emih!H5=0,0,SER_hh_emih!H5/SER_summary!H$26)</f>
        <v>324.7829388107736</v>
      </c>
      <c r="I5" s="133">
        <f>IF(SER_hh_emih!I5=0,0,SER_hh_emih!I5/SER_summary!I$26)</f>
        <v>199.28206554603179</v>
      </c>
      <c r="J5" s="133">
        <f>IF(SER_hh_emih!J5=0,0,SER_hh_emih!J5/SER_summary!J$26)</f>
        <v>77.040318876501246</v>
      </c>
      <c r="K5" s="133">
        <f>IF(SER_hh_emih!K5=0,0,SER_hh_emih!K5/SER_summary!K$26)</f>
        <v>49.175033753119408</v>
      </c>
      <c r="L5" s="133">
        <f>IF(SER_hh_emih!L5=0,0,SER_hh_emih!L5/SER_summary!L$26)</f>
        <v>121.70383787927211</v>
      </c>
      <c r="M5" s="133">
        <f>IF(SER_hh_emih!M5=0,0,SER_hh_emih!M5/SER_summary!M$26)</f>
        <v>120.97657417710722</v>
      </c>
      <c r="N5" s="133">
        <f>IF(SER_hh_emih!N5=0,0,SER_hh_emih!N5/SER_summary!N$26)</f>
        <v>67.931209899640237</v>
      </c>
      <c r="O5" s="133">
        <f>IF(SER_hh_emih!O5=0,0,SER_hh_emih!O5/SER_summary!O$26)</f>
        <v>88.286622050461673</v>
      </c>
      <c r="P5" s="133">
        <f>IF(SER_hh_emih!P5=0,0,SER_hh_emih!P5/SER_summary!P$26)</f>
        <v>55.183870972531594</v>
      </c>
      <c r="Q5" s="133">
        <f>IF(SER_hh_emih!Q5=0,0,SER_hh_emih!Q5/SER_summary!Q$26)</f>
        <v>57.679932869303819</v>
      </c>
      <c r="R5" s="133">
        <f>IF(SER_hh_emih!R5=0,0,SER_hh_emih!R5/SER_summary!R$26)</f>
        <v>101.29514016538906</v>
      </c>
      <c r="S5" s="133">
        <f>IF(SER_hh_emih!S5=0,0,SER_hh_emih!S5/SER_summary!S$26)</f>
        <v>0</v>
      </c>
      <c r="T5" s="133">
        <f>IF(SER_hh_emih!T5=0,0,SER_hh_emih!T5/SER_summary!T$26)</f>
        <v>88.944144537195214</v>
      </c>
      <c r="U5" s="133">
        <f>IF(SER_hh_emih!U5=0,0,SER_hh_emih!U5/SER_summary!U$26)</f>
        <v>72.898908850011665</v>
      </c>
      <c r="V5" s="133">
        <f>IF(SER_hh_emih!V5=0,0,SER_hh_emih!V5/SER_summary!V$26)</f>
        <v>24.804389308894141</v>
      </c>
      <c r="W5" s="133">
        <f>IF(SER_hh_emih!W5=0,0,SER_hh_emih!W5/SER_summary!W$26)</f>
        <v>65.112539892639305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108.80044980045747</v>
      </c>
      <c r="C7" s="133">
        <f>IF(SER_hh_emih!C7=0,0,SER_hh_emih!C7/SER_summary!C$26)</f>
        <v>71.607562480190865</v>
      </c>
      <c r="D7" s="133">
        <f>IF(SER_hh_emih!D7=0,0,SER_hh_emih!D7/SER_summary!D$26)</f>
        <v>77.153056937484649</v>
      </c>
      <c r="E7" s="133">
        <f>IF(SER_hh_emih!E7=0,0,SER_hh_emih!E7/SER_summary!E$26)</f>
        <v>68.78808033424788</v>
      </c>
      <c r="F7" s="133">
        <f>IF(SER_hh_emih!F7=0,0,SER_hh_emih!F7/SER_summary!F$26)</f>
        <v>118.68571800898189</v>
      </c>
      <c r="G7" s="133">
        <f>IF(SER_hh_emih!G7=0,0,SER_hh_emih!G7/SER_summary!G$26)</f>
        <v>132.84949375172732</v>
      </c>
      <c r="H7" s="133">
        <f>IF(SER_hh_emih!H7=0,0,SER_hh_emih!H7/SER_summary!H$26)</f>
        <v>93.862206798630083</v>
      </c>
      <c r="I7" s="133">
        <f>IF(SER_hh_emih!I7=0,0,SER_hh_emih!I7/SER_summary!I$26)</f>
        <v>149.90352073036516</v>
      </c>
      <c r="J7" s="133">
        <f>IF(SER_hh_emih!J7=0,0,SER_hh_emih!J7/SER_summary!J$26)</f>
        <v>126.21120584400818</v>
      </c>
      <c r="K7" s="133">
        <f>IF(SER_hh_emih!K7=0,0,SER_hh_emih!K7/SER_summary!K$26)</f>
        <v>59.804594422212062</v>
      </c>
      <c r="L7" s="133">
        <f>IF(SER_hh_emih!L7=0,0,SER_hh_emih!L7/SER_summary!L$26)</f>
        <v>60.932343220810118</v>
      </c>
      <c r="M7" s="133">
        <f>IF(SER_hh_emih!M7=0,0,SER_hh_emih!M7/SER_summary!M$26)</f>
        <v>102.75407740134648</v>
      </c>
      <c r="N7" s="133">
        <f>IF(SER_hh_emih!N7=0,0,SER_hh_emih!N7/SER_summary!N$26)</f>
        <v>80.284979844623649</v>
      </c>
      <c r="O7" s="133">
        <f>IF(SER_hh_emih!O7=0,0,SER_hh_emih!O7/SER_summary!O$26)</f>
        <v>60.276724102693088</v>
      </c>
      <c r="P7" s="133">
        <f>IF(SER_hh_emih!P7=0,0,SER_hh_emih!P7/SER_summary!P$26)</f>
        <v>54.509572654278031</v>
      </c>
      <c r="Q7" s="133">
        <f>IF(SER_hh_emih!Q7=0,0,SER_hh_emih!Q7/SER_summary!Q$26)</f>
        <v>51.935958242558044</v>
      </c>
      <c r="R7" s="133">
        <f>IF(SER_hh_emih!R7=0,0,SER_hh_emih!R7/SER_summary!R$26)</f>
        <v>46.272837784234838</v>
      </c>
      <c r="S7" s="133">
        <f>IF(SER_hh_emih!S7=0,0,SER_hh_emih!S7/SER_summary!S$26)</f>
        <v>51.994404220859124</v>
      </c>
      <c r="T7" s="133">
        <f>IF(SER_hh_emih!T7=0,0,SER_hh_emih!T7/SER_summary!T$26)</f>
        <v>49.575502917700817</v>
      </c>
      <c r="U7" s="133">
        <f>IF(SER_hh_emih!U7=0,0,SER_hh_emih!U7/SER_summary!U$26)</f>
        <v>44.484972315205965</v>
      </c>
      <c r="V7" s="133">
        <f>IF(SER_hh_emih!V7=0,0,SER_hh_emih!V7/SER_summary!V$26)</f>
        <v>36.958934382824083</v>
      </c>
      <c r="W7" s="133">
        <f>IF(SER_hh_emih!W7=0,0,SER_hh_emih!W7/SER_summary!W$26)</f>
        <v>50.116556627012145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63.710003740016553</v>
      </c>
      <c r="C9" s="133">
        <f>IF(SER_hh_emih!C9=0,0,SER_hh_emih!C9/SER_summary!C$26)</f>
        <v>148.76330002480327</v>
      </c>
      <c r="D9" s="133">
        <f>IF(SER_hh_emih!D9=0,0,SER_hh_emih!D9/SER_summary!D$26)</f>
        <v>13.287983941261803</v>
      </c>
      <c r="E9" s="133">
        <f>IF(SER_hh_emih!E9=0,0,SER_hh_emih!E9/SER_summary!E$26)</f>
        <v>70.416466042101177</v>
      </c>
      <c r="F9" s="133">
        <f>IF(SER_hh_emih!F9=0,0,SER_hh_emih!F9/SER_summary!F$26)</f>
        <v>69.444924680079126</v>
      </c>
      <c r="G9" s="133">
        <f>IF(SER_hh_emih!G9=0,0,SER_hh_emih!G9/SER_summary!G$26)</f>
        <v>69.358734687838677</v>
      </c>
      <c r="H9" s="133">
        <f>IF(SER_hh_emih!H9=0,0,SER_hh_emih!H9/SER_summary!H$26)</f>
        <v>129.72576670590468</v>
      </c>
      <c r="I9" s="133">
        <f>IF(SER_hh_emih!I9=0,0,SER_hh_emih!I9/SER_summary!I$26)</f>
        <v>84.493626170379386</v>
      </c>
      <c r="J9" s="133">
        <f>IF(SER_hh_emih!J9=0,0,SER_hh_emih!J9/SER_summary!J$26)</f>
        <v>57.420244631764078</v>
      </c>
      <c r="K9" s="133">
        <f>IF(SER_hh_emih!K9=0,0,SER_hh_emih!K9/SER_summary!K$26)</f>
        <v>64.144080165661435</v>
      </c>
      <c r="L9" s="133">
        <f>IF(SER_hh_emih!L9=0,0,SER_hh_emih!L9/SER_summary!L$26)</f>
        <v>63.63299319168911</v>
      </c>
      <c r="M9" s="133">
        <f>IF(SER_hh_emih!M9=0,0,SER_hh_emih!M9/SER_summary!M$26)</f>
        <v>47.902448908507907</v>
      </c>
      <c r="N9" s="133">
        <f>IF(SER_hh_emih!N9=0,0,SER_hh_emih!N9/SER_summary!N$26)</f>
        <v>47.453505959495764</v>
      </c>
      <c r="O9" s="133">
        <f>IF(SER_hh_emih!O9=0,0,SER_hh_emih!O9/SER_summary!O$26)</f>
        <v>44.310132830590959</v>
      </c>
      <c r="P9" s="133">
        <f>IF(SER_hh_emih!P9=0,0,SER_hh_emih!P9/SER_summary!P$26)</f>
        <v>40.196972814305674</v>
      </c>
      <c r="Q9" s="133">
        <f>IF(SER_hh_emih!Q9=0,0,SER_hh_emih!Q9/SER_summary!Q$26)</f>
        <v>35.365589013909037</v>
      </c>
      <c r="R9" s="133">
        <f>IF(SER_hh_emih!R9=0,0,SER_hh_emih!R9/SER_summary!R$26)</f>
        <v>34.961979325771104</v>
      </c>
      <c r="S9" s="133">
        <f>IF(SER_hh_emih!S9=0,0,SER_hh_emih!S9/SER_summary!S$26)</f>
        <v>36.481757391275757</v>
      </c>
      <c r="T9" s="133">
        <f>IF(SER_hh_emih!T9=0,0,SER_hh_emih!T9/SER_summary!T$26)</f>
        <v>35.378839850356236</v>
      </c>
      <c r="U9" s="133">
        <f>IF(SER_hh_emih!U9=0,0,SER_hh_emih!U9/SER_summary!U$26)</f>
        <v>34.232136282864843</v>
      </c>
      <c r="V9" s="133">
        <f>IF(SER_hh_emih!V9=0,0,SER_hh_emih!V9/SER_summary!V$26)</f>
        <v>31.475391709276494</v>
      </c>
      <c r="W9" s="133">
        <f>IF(SER_hh_emih!W9=0,0,SER_hh_emih!W9/SER_summary!W$26)</f>
        <v>31.402744637211633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0.28719463676512225</v>
      </c>
      <c r="F10" s="133">
        <f>IF(SER_hh_emih!F10=0,0,SER_hh_emih!F10/SER_summary!F$26)</f>
        <v>0.24339514542763571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5.9197518604849689E-2</v>
      </c>
      <c r="P10" s="133">
        <f>IF(SER_hh_emih!P10=0,0,SER_hh_emih!P10/SER_summary!P$26)</f>
        <v>7.1325017984926191</v>
      </c>
      <c r="Q10" s="133">
        <f>IF(SER_hh_emih!Q10=0,0,SER_hh_emih!Q10/SER_summary!Q$26)</f>
        <v>5.310111224684313</v>
      </c>
      <c r="R10" s="133">
        <f>IF(SER_hh_emih!R10=0,0,SER_hh_emih!R10/SER_summary!R$26)</f>
        <v>4.1619303306509599</v>
      </c>
      <c r="S10" s="133">
        <f>IF(SER_hh_emih!S10=0,0,SER_hh_emih!S10/SER_summary!S$26)</f>
        <v>2.7383913493492944</v>
      </c>
      <c r="T10" s="133">
        <f>IF(SER_hh_emih!T10=0,0,SER_hh_emih!T10/SER_summary!T$26)</f>
        <v>2.1936744545213496</v>
      </c>
      <c r="U10" s="133">
        <f>IF(SER_hh_emih!U10=0,0,SER_hh_emih!U10/SER_summary!U$26)</f>
        <v>2.3430726777235229</v>
      </c>
      <c r="V10" s="133">
        <f>IF(SER_hh_emih!V10=0,0,SER_hh_emih!V10/SER_summary!V$26)</f>
        <v>1.7543339842625889</v>
      </c>
      <c r="W10" s="133">
        <f>IF(SER_hh_emih!W10=0,0,SER_hh_emih!W10/SER_summary!W$26)</f>
        <v>1.8501630139126226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1.5849111526103221</v>
      </c>
      <c r="C19" s="131">
        <f>IF(SER_hh_emih!C19=0,0,SER_hh_emih!C19/SER_summary!C$26)</f>
        <v>1.6621854643662415</v>
      </c>
      <c r="D19" s="131">
        <f>IF(SER_hh_emih!D19=0,0,SER_hh_emih!D19/SER_summary!D$26)</f>
        <v>3.0195146371306754</v>
      </c>
      <c r="E19" s="131">
        <f>IF(SER_hh_emih!E19=0,0,SER_hh_emih!E19/SER_summary!E$26)</f>
        <v>4.8860831040780601</v>
      </c>
      <c r="F19" s="131">
        <f>IF(SER_hh_emih!F19=0,0,SER_hh_emih!F19/SER_summary!F$26)</f>
        <v>7.1902167311140728</v>
      </c>
      <c r="G19" s="131">
        <f>IF(SER_hh_emih!G19=0,0,SER_hh_emih!G19/SER_summary!G$26)</f>
        <v>6.7629690076759017</v>
      </c>
      <c r="H19" s="131">
        <f>IF(SER_hh_emih!H19=0,0,SER_hh_emih!H19/SER_summary!H$26)</f>
        <v>6.4926324633866557</v>
      </c>
      <c r="I19" s="131">
        <f>IF(SER_hh_emih!I19=0,0,SER_hh_emih!I19/SER_summary!I$26)</f>
        <v>5.6099518471764442</v>
      </c>
      <c r="J19" s="131">
        <f>IF(SER_hh_emih!J19=0,0,SER_hh_emih!J19/SER_summary!J$26)</f>
        <v>4.8286574925953518</v>
      </c>
      <c r="K19" s="131">
        <f>IF(SER_hh_emih!K19=0,0,SER_hh_emih!K19/SER_summary!K$26)</f>
        <v>6.4078764161559754</v>
      </c>
      <c r="L19" s="131">
        <f>IF(SER_hh_emih!L19=0,0,SER_hh_emih!L19/SER_summary!L$26)</f>
        <v>6.1577202085656122</v>
      </c>
      <c r="M19" s="131">
        <f>IF(SER_hh_emih!M19=0,0,SER_hh_emih!M19/SER_summary!M$26)</f>
        <v>5.4981777462688122</v>
      </c>
      <c r="N19" s="131">
        <f>IF(SER_hh_emih!N19=0,0,SER_hh_emih!N19/SER_summary!N$26)</f>
        <v>5.5705485754693793</v>
      </c>
      <c r="O19" s="131">
        <f>IF(SER_hh_emih!O19=0,0,SER_hh_emih!O19/SER_summary!O$26)</f>
        <v>6.0236935505560147</v>
      </c>
      <c r="P19" s="131">
        <f>IF(SER_hh_emih!P19=0,0,SER_hh_emih!P19/SER_summary!P$26)</f>
        <v>6.3465447103602282</v>
      </c>
      <c r="Q19" s="131">
        <f>IF(SER_hh_emih!Q19=0,0,SER_hh_emih!Q19/SER_summary!Q$26)</f>
        <v>6.550059858761629</v>
      </c>
      <c r="R19" s="131">
        <f>IF(SER_hh_emih!R19=0,0,SER_hh_emih!R19/SER_summary!R$26)</f>
        <v>6.5426761328679701</v>
      </c>
      <c r="S19" s="131">
        <f>IF(SER_hh_emih!S19=0,0,SER_hh_emih!S19/SER_summary!S$26)</f>
        <v>7.1589584382028679</v>
      </c>
      <c r="T19" s="131">
        <f>IF(SER_hh_emih!T19=0,0,SER_hh_emih!T19/SER_summary!T$26)</f>
        <v>6.9848539690547273</v>
      </c>
      <c r="U19" s="131">
        <f>IF(SER_hh_emih!U19=0,0,SER_hh_emih!U19/SER_summary!U$26)</f>
        <v>6.7279613480372378</v>
      </c>
      <c r="V19" s="131">
        <f>IF(SER_hh_emih!V19=0,0,SER_hh_emih!V19/SER_summary!V$26)</f>
        <v>6.3968630970088505</v>
      </c>
      <c r="W19" s="131">
        <f>IF(SER_hh_emih!W19=0,0,SER_hh_emih!W19/SER_summary!W$26)</f>
        <v>7.329128130769031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2.0323243116009619</v>
      </c>
      <c r="C22" s="133">
        <f>IF(SER_hh_emih!C22=0,0,SER_hh_emih!C22/SER_summary!C$26)</f>
        <v>3.2341620006651821</v>
      </c>
      <c r="D22" s="133">
        <f>IF(SER_hh_emih!D22=0,0,SER_hh_emih!D22/SER_summary!D$26)</f>
        <v>10.22182724271534</v>
      </c>
      <c r="E22" s="133">
        <f>IF(SER_hh_emih!E22=0,0,SER_hh_emih!E22/SER_summary!E$26)</f>
        <v>14.170207821546095</v>
      </c>
      <c r="F22" s="133">
        <f>IF(SER_hh_emih!F22=0,0,SER_hh_emih!F22/SER_summary!F$26)</f>
        <v>16.381916654290809</v>
      </c>
      <c r="G22" s="133">
        <f>IF(SER_hh_emih!G22=0,0,SER_hh_emih!G22/SER_summary!G$26)</f>
        <v>19.293087661852411</v>
      </c>
      <c r="H22" s="133">
        <f>IF(SER_hh_emih!H22=0,0,SER_hh_emih!H22/SER_summary!H$26)</f>
        <v>13.356869887264374</v>
      </c>
      <c r="I22" s="133">
        <f>IF(SER_hh_emih!I22=0,0,SER_hh_emih!I22/SER_summary!I$26)</f>
        <v>15.425384916798341</v>
      </c>
      <c r="J22" s="133">
        <f>IF(SER_hh_emih!J22=0,0,SER_hh_emih!J22/SER_summary!J$26)</f>
        <v>17.095803340747462</v>
      </c>
      <c r="K22" s="133">
        <f>IF(SER_hh_emih!K22=0,0,SER_hh_emih!K22/SER_summary!K$26)</f>
        <v>16.443607379752393</v>
      </c>
      <c r="L22" s="133">
        <f>IF(SER_hh_emih!L22=0,0,SER_hh_emih!L22/SER_summary!L$26)</f>
        <v>15.819222976919585</v>
      </c>
      <c r="M22" s="133">
        <f>IF(SER_hh_emih!M22=0,0,SER_hh_emih!M22/SER_summary!M$26)</f>
        <v>14.468610504829103</v>
      </c>
      <c r="N22" s="133">
        <f>IF(SER_hh_emih!N22=0,0,SER_hh_emih!N22/SER_summary!N$26)</f>
        <v>15.403586543474304</v>
      </c>
      <c r="O22" s="133">
        <f>IF(SER_hh_emih!O22=0,0,SER_hh_emih!O22/SER_summary!O$26)</f>
        <v>17.45115320635248</v>
      </c>
      <c r="P22" s="133">
        <f>IF(SER_hh_emih!P22=0,0,SER_hh_emih!P22/SER_summary!P$26)</f>
        <v>16.348400856496234</v>
      </c>
      <c r="Q22" s="133">
        <f>IF(SER_hh_emih!Q22=0,0,SER_hh_emih!Q22/SER_summary!Q$26)</f>
        <v>15.906406483282169</v>
      </c>
      <c r="R22" s="133">
        <f>IF(SER_hh_emih!R22=0,0,SER_hh_emih!R22/SER_summary!R$26)</f>
        <v>13.016027430900149</v>
      </c>
      <c r="S22" s="133">
        <f>IF(SER_hh_emih!S22=0,0,SER_hh_emih!S22/SER_summary!S$26)</f>
        <v>14.702507097651973</v>
      </c>
      <c r="T22" s="133">
        <f>IF(SER_hh_emih!T22=0,0,SER_hh_emih!T22/SER_summary!T$26)</f>
        <v>14.260393985367278</v>
      </c>
      <c r="U22" s="133">
        <f>IF(SER_hh_emih!U22=0,0,SER_hh_emih!U22/SER_summary!U$26)</f>
        <v>12.044883166999284</v>
      </c>
      <c r="V22" s="133">
        <f>IF(SER_hh_emih!V22=0,0,SER_hh_emih!V22/SER_summary!V$26)</f>
        <v>10.893939842737597</v>
      </c>
      <c r="W22" s="133">
        <f>IF(SER_hh_emih!W22=0,0,SER_hh_emih!W22/SER_summary!W$26)</f>
        <v>14.279399101940101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9.9475957236000347</v>
      </c>
      <c r="C23" s="133">
        <f>IF(SER_hh_emih!C23=0,0,SER_hh_emih!C23/SER_summary!C$26)</f>
        <v>7.8513629229064481</v>
      </c>
      <c r="D23" s="133">
        <f>IF(SER_hh_emih!D23=0,0,SER_hh_emih!D23/SER_summary!D$26)</f>
        <v>4.5180455784759381</v>
      </c>
      <c r="E23" s="133">
        <f>IF(SER_hh_emih!E23=0,0,SER_hh_emih!E23/SER_summary!E$26)</f>
        <v>8.7730737375194838</v>
      </c>
      <c r="F23" s="133">
        <f>IF(SER_hh_emih!F23=0,0,SER_hh_emih!F23/SER_summary!F$26)</f>
        <v>13.218765422270575</v>
      </c>
      <c r="G23" s="133">
        <f>IF(SER_hh_emih!G23=0,0,SER_hh_emih!G23/SER_summary!G$26)</f>
        <v>11.21844505530875</v>
      </c>
      <c r="H23" s="133">
        <f>IF(SER_hh_emih!H23=0,0,SER_hh_emih!H23/SER_summary!H$26)</f>
        <v>12.900135539342944</v>
      </c>
      <c r="I23" s="133">
        <f>IF(SER_hh_emih!I23=0,0,SER_hh_emih!I23/SER_summary!I$26)</f>
        <v>11.448969600979506</v>
      </c>
      <c r="J23" s="133">
        <f>IF(SER_hh_emih!J23=0,0,SER_hh_emih!J23/SER_summary!J$26)</f>
        <v>9.5488301057493494</v>
      </c>
      <c r="K23" s="133">
        <f>IF(SER_hh_emih!K23=0,0,SER_hh_emih!K23/SER_summary!K$26)</f>
        <v>12.797152146817634</v>
      </c>
      <c r="L23" s="133">
        <f>IF(SER_hh_emih!L23=0,0,SER_hh_emih!L23/SER_summary!L$26)</f>
        <v>11.945041247764237</v>
      </c>
      <c r="M23" s="133">
        <f>IF(SER_hh_emih!M23=0,0,SER_hh_emih!M23/SER_summary!M$26)</f>
        <v>10.796512806468394</v>
      </c>
      <c r="N23" s="133">
        <f>IF(SER_hh_emih!N23=0,0,SER_hh_emih!N23/SER_summary!N$26)</f>
        <v>10.869945380781985</v>
      </c>
      <c r="O23" s="133">
        <f>IF(SER_hh_emih!O23=0,0,SER_hh_emih!O23/SER_summary!O$26)</f>
        <v>10.854693850974515</v>
      </c>
      <c r="P23" s="133">
        <f>IF(SER_hh_emih!P23=0,0,SER_hh_emih!P23/SER_summary!P$26)</f>
        <v>10.904265010952557</v>
      </c>
      <c r="Q23" s="133">
        <f>IF(SER_hh_emih!Q23=0,0,SER_hh_emih!Q23/SER_summary!Q$26)</f>
        <v>10.682501646750991</v>
      </c>
      <c r="R23" s="133">
        <f>IF(SER_hh_emih!R23=0,0,SER_hh_emih!R23/SER_summary!R$26)</f>
        <v>10.64277384997726</v>
      </c>
      <c r="S23" s="133">
        <f>IF(SER_hh_emih!S23=0,0,SER_hh_emih!S23/SER_summary!S$26)</f>
        <v>10.495702311410076</v>
      </c>
      <c r="T23" s="133">
        <f>IF(SER_hh_emih!T23=0,0,SER_hh_emih!T23/SER_summary!T$26)</f>
        <v>9.6447650374011769</v>
      </c>
      <c r="U23" s="133">
        <f>IF(SER_hh_emih!U23=0,0,SER_hh_emih!U23/SER_summary!U$26)</f>
        <v>9.4210585848512967</v>
      </c>
      <c r="V23" s="133">
        <f>IF(SER_hh_emih!V23=0,0,SER_hh_emih!V23/SER_summary!V$26)</f>
        <v>8.8848205409756584</v>
      </c>
      <c r="W23" s="133">
        <f>IF(SER_hh_emih!W23=0,0,SER_hh_emih!W23/SER_summary!W$26)</f>
        <v>8.8804554165634286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4.9242380302053766E-2</v>
      </c>
      <c r="F24" s="133">
        <f>IF(SER_hh_emih!F24=0,0,SER_hh_emih!F24/SER_summary!F$26)</f>
        <v>4.526189074682091E-2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1.551740648450935E-2</v>
      </c>
      <c r="P24" s="133">
        <f>IF(SER_hh_emih!P24=0,0,SER_hh_emih!P24/SER_summary!P$26)</f>
        <v>2.4379764004971975</v>
      </c>
      <c r="Q24" s="133">
        <f>IF(SER_hh_emih!Q24=0,0,SER_hh_emih!Q24/SER_summary!Q$26)</f>
        <v>1.2168756867350374</v>
      </c>
      <c r="R24" s="133">
        <f>IF(SER_hh_emih!R24=0,0,SER_hh_emih!R24/SER_summary!R$26)</f>
        <v>0.85101278033848804</v>
      </c>
      <c r="S24" s="133">
        <f>IF(SER_hh_emih!S24=0,0,SER_hh_emih!S24/SER_summary!S$26)</f>
        <v>0.61680773216557061</v>
      </c>
      <c r="T24" s="133">
        <f>IF(SER_hh_emih!T24=0,0,SER_hh_emih!T24/SER_summary!T$26)</f>
        <v>0.55265363779796417</v>
      </c>
      <c r="U24" s="133">
        <f>IF(SER_hh_emih!U24=0,0,SER_hh_emih!U24/SER_summary!U$26)</f>
        <v>0.46621353817528283</v>
      </c>
      <c r="V24" s="133">
        <f>IF(SER_hh_emih!V24=0,0,SER_hh_emih!V24/SER_summary!V$26)</f>
        <v>0.4127957433023185</v>
      </c>
      <c r="W24" s="133">
        <f>IF(SER_hh_emih!W24=0,0,SER_hh_emih!W24/SER_summary!W$26)</f>
        <v>0.40656144354310148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4.7541902970512373</v>
      </c>
      <c r="C29" s="131">
        <f>IF(SER_hh_emih!C29=0,0,SER_hh_emih!C29/SER_summary!C$26)</f>
        <v>4.3519170953560051</v>
      </c>
      <c r="D29" s="131">
        <f>IF(SER_hh_emih!D29=0,0,SER_hh_emih!D29/SER_summary!D$26)</f>
        <v>2.8789978008580053</v>
      </c>
      <c r="E29" s="131">
        <f>IF(SER_hh_emih!E29=0,0,SER_hh_emih!E29/SER_summary!E$26)</f>
        <v>7.2440887002346068</v>
      </c>
      <c r="F29" s="131">
        <f>IF(SER_hh_emih!F29=0,0,SER_hh_emih!F29/SER_summary!F$26)</f>
        <v>13.175732760892416</v>
      </c>
      <c r="G29" s="131">
        <f>IF(SER_hh_emih!G29=0,0,SER_hh_emih!G29/SER_summary!G$26)</f>
        <v>12.797960703390196</v>
      </c>
      <c r="H29" s="131">
        <f>IF(SER_hh_emih!H29=0,0,SER_hh_emih!H29/SER_summary!H$26)</f>
        <v>11.466180712858236</v>
      </c>
      <c r="I29" s="131">
        <f>IF(SER_hh_emih!I29=0,0,SER_hh_emih!I29/SER_summary!I$26)</f>
        <v>13.102256009449823</v>
      </c>
      <c r="J29" s="131">
        <f>IF(SER_hh_emih!J29=0,0,SER_hh_emih!J29/SER_summary!J$26)</f>
        <v>8.1932445498127926</v>
      </c>
      <c r="K29" s="131">
        <f>IF(SER_hh_emih!K29=0,0,SER_hh_emih!K29/SER_summary!K$26)</f>
        <v>7.2921287615815924</v>
      </c>
      <c r="L29" s="131">
        <f>IF(SER_hh_emih!L29=0,0,SER_hh_emih!L29/SER_summary!L$26)</f>
        <v>7.2851413185188196</v>
      </c>
      <c r="M29" s="131">
        <f>IF(SER_hh_emih!M29=0,0,SER_hh_emih!M29/SER_summary!M$26)</f>
        <v>6.4561890988369646</v>
      </c>
      <c r="N29" s="131">
        <f>IF(SER_hh_emih!N29=0,0,SER_hh_emih!N29/SER_summary!N$26)</f>
        <v>6.2746023318913497</v>
      </c>
      <c r="O29" s="131">
        <f>IF(SER_hh_emih!O29=0,0,SER_hh_emih!O29/SER_summary!O$26)</f>
        <v>6.1720135576858635</v>
      </c>
      <c r="P29" s="131">
        <f>IF(SER_hh_emih!P29=0,0,SER_hh_emih!P29/SER_summary!P$26)</f>
        <v>6.1610424610872094</v>
      </c>
      <c r="Q29" s="131">
        <f>IF(SER_hh_emih!Q29=0,0,SER_hh_emih!Q29/SER_summary!Q$26)</f>
        <v>6.6691752175170134</v>
      </c>
      <c r="R29" s="131">
        <f>IF(SER_hh_emih!R29=0,0,SER_hh_emih!R29/SER_summary!R$26)</f>
        <v>6.3563766568220306</v>
      </c>
      <c r="S29" s="131">
        <f>IF(SER_hh_emih!S29=0,0,SER_hh_emih!S29/SER_summary!S$26)</f>
        <v>6.6764589790816764</v>
      </c>
      <c r="T29" s="131">
        <f>IF(SER_hh_emih!T29=0,0,SER_hh_emih!T29/SER_summary!T$26)</f>
        <v>6.4893635890309938</v>
      </c>
      <c r="U29" s="131">
        <f>IF(SER_hh_emih!U29=0,0,SER_hh_emih!U29/SER_summary!U$26)</f>
        <v>6.4498921100336162</v>
      </c>
      <c r="V29" s="131">
        <f>IF(SER_hh_emih!V29=0,0,SER_hh_emih!V29/SER_summary!V$26)</f>
        <v>6.0264250426216099</v>
      </c>
      <c r="W29" s="131">
        <f>IF(SER_hh_emih!W29=0,0,SER_hh_emih!W29/SER_summary!W$26)</f>
        <v>6.0580606100665255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24.031923534595858</v>
      </c>
      <c r="C30" s="133">
        <f>IF(SER_hh_emih!C30=0,0,SER_hh_emih!C30/SER_summary!C$26)</f>
        <v>9.4262443765006587</v>
      </c>
      <c r="D30" s="133">
        <f>IF(SER_hh_emih!D30=0,0,SER_hh_emih!D30/SER_summary!D$26)</f>
        <v>4.1507153109652597</v>
      </c>
      <c r="E30" s="133">
        <f>IF(SER_hh_emih!E30=0,0,SER_hh_emih!E30/SER_summary!E$26)</f>
        <v>12.436617644438613</v>
      </c>
      <c r="F30" s="133">
        <f>IF(SER_hh_emih!F30=0,0,SER_hh_emih!F30/SER_summary!F$26)</f>
        <v>18.944143557666013</v>
      </c>
      <c r="G30" s="133">
        <f>IF(SER_hh_emih!G30=0,0,SER_hh_emih!G30/SER_summary!G$26)</f>
        <v>22.840930635625998</v>
      </c>
      <c r="H30" s="133">
        <f>IF(SER_hh_emih!H30=0,0,SER_hh_emih!H30/SER_summary!H$26)</f>
        <v>9.4651512476726776</v>
      </c>
      <c r="I30" s="133">
        <f>IF(SER_hh_emih!I30=0,0,SER_hh_emih!I30/SER_summary!I$26)</f>
        <v>28.974531005596127</v>
      </c>
      <c r="J30" s="133">
        <f>IF(SER_hh_emih!J30=0,0,SER_hh_emih!J30/SER_summary!J$26)</f>
        <v>10.288698372931067</v>
      </c>
      <c r="K30" s="133">
        <f>IF(SER_hh_emih!K30=0,0,SER_hh_emih!K30/SER_summary!K$26)</f>
        <v>8.4803335319307553</v>
      </c>
      <c r="L30" s="133">
        <f>IF(SER_hh_emih!L30=0,0,SER_hh_emih!L30/SER_summary!L$26)</f>
        <v>20.293367875390182</v>
      </c>
      <c r="M30" s="133">
        <f>IF(SER_hh_emih!M30=0,0,SER_hh_emih!M30/SER_summary!M$26)</f>
        <v>14.34205443498079</v>
      </c>
      <c r="N30" s="133">
        <f>IF(SER_hh_emih!N30=0,0,SER_hh_emih!N30/SER_summary!N$26)</f>
        <v>16.583471036090952</v>
      </c>
      <c r="O30" s="133">
        <f>IF(SER_hh_emih!O30=0,0,SER_hh_emih!O30/SER_summary!O$26)</f>
        <v>16.752122493307244</v>
      </c>
      <c r="P30" s="133">
        <f>IF(SER_hh_emih!P30=0,0,SER_hh_emih!P30/SER_summary!P$26)</f>
        <v>18.140767946405006</v>
      </c>
      <c r="Q30" s="133">
        <f>IF(SER_hh_emih!Q30=0,0,SER_hh_emih!Q30/SER_summary!Q$26)</f>
        <v>20.08770071915092</v>
      </c>
      <c r="R30" s="133">
        <f>IF(SER_hh_emih!R30=0,0,SER_hh_emih!R30/SER_summary!R$26)</f>
        <v>17.702507793091865</v>
      </c>
      <c r="S30" s="133">
        <f>IF(SER_hh_emih!S30=0,0,SER_hh_emih!S30/SER_summary!S$26)</f>
        <v>17.177419210138186</v>
      </c>
      <c r="T30" s="133">
        <f>IF(SER_hh_emih!T30=0,0,SER_hh_emih!T30/SER_summary!T$26)</f>
        <v>17.64368680115431</v>
      </c>
      <c r="U30" s="133">
        <f>IF(SER_hh_emih!U30=0,0,SER_hh_emih!U30/SER_summary!U$26)</f>
        <v>17.547548378215239</v>
      </c>
      <c r="V30" s="133">
        <f>IF(SER_hh_emih!V30=0,0,SER_hh_emih!V30/SER_summary!V$26)</f>
        <v>16.149018738420995</v>
      </c>
      <c r="W30" s="133">
        <f>IF(SER_hh_emih!W30=0,0,SER_hh_emih!W30/SER_summary!W$26)</f>
        <v>16.533279600142066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11.884754966124754</v>
      </c>
      <c r="C31" s="133">
        <f>IF(SER_hh_emih!C31=0,0,SER_hh_emih!C31/SER_summary!C$26)</f>
        <v>12.611506131075398</v>
      </c>
      <c r="D31" s="133">
        <f>IF(SER_hh_emih!D31=0,0,SER_hh_emih!D31/SER_summary!D$26)</f>
        <v>7.272477745921619</v>
      </c>
      <c r="E31" s="133">
        <f>IF(SER_hh_emih!E31=0,0,SER_hh_emih!E31/SER_summary!E$26)</f>
        <v>11.900798593671743</v>
      </c>
      <c r="F31" s="133">
        <f>IF(SER_hh_emih!F31=0,0,SER_hh_emih!F31/SER_summary!F$26)</f>
        <v>15.844335695858708</v>
      </c>
      <c r="G31" s="133">
        <f>IF(SER_hh_emih!G31=0,0,SER_hh_emih!G31/SER_summary!G$26)</f>
        <v>12.877609390662517</v>
      </c>
      <c r="H31" s="133">
        <f>IF(SER_hh_emih!H31=0,0,SER_hh_emih!H31/SER_summary!H$26)</f>
        <v>17.646234895216828</v>
      </c>
      <c r="I31" s="133">
        <f>IF(SER_hh_emih!I31=0,0,SER_hh_emih!I31/SER_summary!I$26)</f>
        <v>13.376912306419587</v>
      </c>
      <c r="J31" s="133">
        <f>IF(SER_hh_emih!J31=0,0,SER_hh_emih!J31/SER_summary!J$26)</f>
        <v>14.571261870668755</v>
      </c>
      <c r="K31" s="133">
        <f>IF(SER_hh_emih!K31=0,0,SER_hh_emih!K31/SER_summary!K$26)</f>
        <v>15.185689973109968</v>
      </c>
      <c r="L31" s="133">
        <f>IF(SER_hh_emih!L31=0,0,SER_hh_emih!L31/SER_summary!L$26)</f>
        <v>15.197449413603159</v>
      </c>
      <c r="M31" s="133">
        <f>IF(SER_hh_emih!M31=0,0,SER_hh_emih!M31/SER_summary!M$26)</f>
        <v>15.259825007077163</v>
      </c>
      <c r="N31" s="133">
        <f>IF(SER_hh_emih!N31=0,0,SER_hh_emih!N31/SER_summary!N$26)</f>
        <v>15.209109689947438</v>
      </c>
      <c r="O31" s="133">
        <f>IF(SER_hh_emih!O31=0,0,SER_hh_emih!O31/SER_summary!O$26)</f>
        <v>15.623063601936501</v>
      </c>
      <c r="P31" s="133">
        <f>IF(SER_hh_emih!P31=0,0,SER_hh_emih!P31/SER_summary!P$26)</f>
        <v>15.391862894146289</v>
      </c>
      <c r="Q31" s="133">
        <f>IF(SER_hh_emih!Q31=0,0,SER_hh_emih!Q31/SER_summary!Q$26)</f>
        <v>16.079796216270015</v>
      </c>
      <c r="R31" s="133">
        <f>IF(SER_hh_emih!R31=0,0,SER_hh_emih!R31/SER_summary!R$26)</f>
        <v>15.221468451187716</v>
      </c>
      <c r="S31" s="133">
        <f>IF(SER_hh_emih!S31=0,0,SER_hh_emih!S31/SER_summary!S$26)</f>
        <v>15.856063218852102</v>
      </c>
      <c r="T31" s="133">
        <f>IF(SER_hh_emih!T31=0,0,SER_hh_emih!T31/SER_summary!T$26)</f>
        <v>15.195138323405617</v>
      </c>
      <c r="U31" s="133">
        <f>IF(SER_hh_emih!U31=0,0,SER_hh_emih!U31/SER_summary!U$26)</f>
        <v>15.167204432345866</v>
      </c>
      <c r="V31" s="133">
        <f>IF(SER_hh_emih!V31=0,0,SER_hh_emih!V31/SER_summary!V$26)</f>
        <v>14.264249731901824</v>
      </c>
      <c r="W31" s="133">
        <f>IF(SER_hh_emih!W31=0,0,SER_hh_emih!W31/SER_summary!W$26)</f>
        <v>14.691289892239945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3012.7952558790007</v>
      </c>
      <c r="D3" s="125">
        <f t="shared" si="0"/>
        <v>1580.0216535063544</v>
      </c>
      <c r="E3" s="125">
        <f t="shared" si="0"/>
        <v>2848.9897091515095</v>
      </c>
      <c r="F3" s="125">
        <f t="shared" si="0"/>
        <v>2868.5527531546541</v>
      </c>
      <c r="G3" s="125">
        <f t="shared" si="0"/>
        <v>3514.8213404302205</v>
      </c>
      <c r="H3" s="125">
        <f t="shared" si="0"/>
        <v>2933.9888469175412</v>
      </c>
      <c r="I3" s="125">
        <f t="shared" si="0"/>
        <v>1536.1168954026157</v>
      </c>
      <c r="J3" s="125">
        <f t="shared" si="0"/>
        <v>1729.2652532888617</v>
      </c>
      <c r="K3" s="125">
        <f t="shared" si="0"/>
        <v>1339.4424324635145</v>
      </c>
      <c r="L3" s="125">
        <f t="shared" si="0"/>
        <v>2336.158058205915</v>
      </c>
      <c r="M3" s="125">
        <f t="shared" si="0"/>
        <v>2389.1171577067157</v>
      </c>
      <c r="N3" s="125">
        <f t="shared" si="0"/>
        <v>1687.4782761568554</v>
      </c>
      <c r="O3" s="125">
        <f t="shared" si="0"/>
        <v>2983.8798145346218</v>
      </c>
      <c r="P3" s="125">
        <f t="shared" si="0"/>
        <v>2799.7224122475077</v>
      </c>
      <c r="Q3" s="125">
        <f t="shared" si="0"/>
        <v>3524.3989215161296</v>
      </c>
      <c r="R3" s="125">
        <f t="shared" si="0"/>
        <v>2968.466019671202</v>
      </c>
      <c r="S3" s="125">
        <f t="shared" si="0"/>
        <v>3337.1395491436615</v>
      </c>
      <c r="T3" s="125">
        <f t="shared" si="0"/>
        <v>2439.6661903796462</v>
      </c>
      <c r="U3" s="125">
        <f t="shared" si="0"/>
        <v>2143.0775265536927</v>
      </c>
      <c r="V3" s="125">
        <f t="shared" si="0"/>
        <v>1932.1413170118958</v>
      </c>
      <c r="W3" s="125">
        <f t="shared" si="0"/>
        <v>1775.5110727904323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3012.7952558790007</v>
      </c>
      <c r="D4" s="140">
        <f t="shared" si="1"/>
        <v>1580.0216535063544</v>
      </c>
      <c r="E4" s="140">
        <f t="shared" si="1"/>
        <v>2848.9897091515095</v>
      </c>
      <c r="F4" s="140">
        <f t="shared" si="1"/>
        <v>2868.5527531546541</v>
      </c>
      <c r="G4" s="140">
        <f t="shared" si="1"/>
        <v>3514.8213404302205</v>
      </c>
      <c r="H4" s="140">
        <f t="shared" si="1"/>
        <v>2933.9888469175412</v>
      </c>
      <c r="I4" s="140">
        <f t="shared" si="1"/>
        <v>1536.1168954026157</v>
      </c>
      <c r="J4" s="140">
        <f t="shared" si="1"/>
        <v>1729.2652532888617</v>
      </c>
      <c r="K4" s="140">
        <f t="shared" si="1"/>
        <v>1339.4424324635145</v>
      </c>
      <c r="L4" s="140">
        <f t="shared" si="1"/>
        <v>2336.158058205915</v>
      </c>
      <c r="M4" s="140">
        <f t="shared" si="1"/>
        <v>2389.1171577067157</v>
      </c>
      <c r="N4" s="140">
        <f t="shared" si="1"/>
        <v>1687.4782761568554</v>
      </c>
      <c r="O4" s="140">
        <f t="shared" si="1"/>
        <v>2983.8798145346218</v>
      </c>
      <c r="P4" s="140">
        <f t="shared" si="1"/>
        <v>2799.7224122475077</v>
      </c>
      <c r="Q4" s="140">
        <f t="shared" si="1"/>
        <v>3524.3989215161296</v>
      </c>
      <c r="R4" s="140">
        <f t="shared" ref="R4:W4" si="2">SUM(R5:R14)</f>
        <v>2968.466019671202</v>
      </c>
      <c r="S4" s="140">
        <f t="shared" si="2"/>
        <v>3337.1395491436615</v>
      </c>
      <c r="T4" s="140">
        <f t="shared" si="2"/>
        <v>2439.6661903796462</v>
      </c>
      <c r="U4" s="140">
        <f t="shared" si="2"/>
        <v>2143.0775265536927</v>
      </c>
      <c r="V4" s="140">
        <f t="shared" si="2"/>
        <v>1932.1413170118958</v>
      </c>
      <c r="W4" s="140">
        <f t="shared" si="2"/>
        <v>1775.5110727904323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4.1506155339901571</v>
      </c>
      <c r="D5" s="141">
        <v>0.85438529532645557</v>
      </c>
      <c r="E5" s="141">
        <v>0</v>
      </c>
      <c r="F5" s="141">
        <v>0</v>
      </c>
      <c r="G5" s="141">
        <v>0</v>
      </c>
      <c r="H5" s="141">
        <v>8.0691202548596741E-2</v>
      </c>
      <c r="I5" s="141">
        <v>0</v>
      </c>
      <c r="J5" s="141">
        <v>0</v>
      </c>
      <c r="K5" s="141">
        <v>0</v>
      </c>
      <c r="L5" s="141">
        <v>1.4130973407448455</v>
      </c>
      <c r="M5" s="141">
        <v>2.4222977250947579</v>
      </c>
      <c r="N5" s="141">
        <v>0.97297213608527533</v>
      </c>
      <c r="O5" s="141">
        <v>7.2118339266204092</v>
      </c>
      <c r="P5" s="141">
        <v>1.0991013110941057</v>
      </c>
      <c r="Q5" s="141">
        <v>0.72627255558775794</v>
      </c>
      <c r="R5" s="141">
        <v>1.9269740418300341</v>
      </c>
      <c r="S5" s="141">
        <v>0</v>
      </c>
      <c r="T5" s="141">
        <v>10.776494320412732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1109.4236230223</v>
      </c>
      <c r="D7" s="141">
        <v>795.73569600057851</v>
      </c>
      <c r="E7" s="141">
        <v>418.94788776128041</v>
      </c>
      <c r="F7" s="141">
        <v>561.13711389062996</v>
      </c>
      <c r="G7" s="141">
        <v>0</v>
      </c>
      <c r="H7" s="141">
        <v>0</v>
      </c>
      <c r="I7" s="141">
        <v>0</v>
      </c>
      <c r="J7" s="141">
        <v>0</v>
      </c>
      <c r="K7" s="141">
        <v>0</v>
      </c>
      <c r="L7" s="141">
        <v>129.79160584453234</v>
      </c>
      <c r="M7" s="141">
        <v>667.35380610264951</v>
      </c>
      <c r="N7" s="141">
        <v>217.92252853299348</v>
      </c>
      <c r="O7" s="141">
        <v>87.204398893782255</v>
      </c>
      <c r="P7" s="141">
        <v>195.62966789203185</v>
      </c>
      <c r="Q7" s="141">
        <v>864.50140549578248</v>
      </c>
      <c r="R7" s="141">
        <v>1036.7288637668817</v>
      </c>
      <c r="S7" s="141">
        <v>1333.6629999213233</v>
      </c>
      <c r="T7" s="141">
        <v>955.52729138994414</v>
      </c>
      <c r="U7" s="141">
        <v>787.96184017486996</v>
      </c>
      <c r="V7" s="141">
        <v>637.1363124575272</v>
      </c>
      <c r="W7" s="141">
        <v>995.59041224429461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374.02282497337347</v>
      </c>
      <c r="D9" s="141">
        <v>325.35279027733668</v>
      </c>
      <c r="E9" s="141">
        <v>2425.2295651689083</v>
      </c>
      <c r="F9" s="141">
        <v>2307.4156392640243</v>
      </c>
      <c r="G9" s="141">
        <v>2691.1532585969735</v>
      </c>
      <c r="H9" s="141">
        <v>2912.1253774703664</v>
      </c>
      <c r="I9" s="141">
        <v>517.50105528349991</v>
      </c>
      <c r="J9" s="141">
        <v>627.04248402016367</v>
      </c>
      <c r="K9" s="141">
        <v>508.0677409942196</v>
      </c>
      <c r="L9" s="141">
        <v>773.99950892901268</v>
      </c>
      <c r="M9" s="141">
        <v>619.81015173894662</v>
      </c>
      <c r="N9" s="141">
        <v>744.49984985147341</v>
      </c>
      <c r="O9" s="141">
        <v>1996.6700799212108</v>
      </c>
      <c r="P9" s="141">
        <v>1952.8135781044921</v>
      </c>
      <c r="Q9" s="141">
        <v>1534.1571360516575</v>
      </c>
      <c r="R9" s="141">
        <v>1110.7730388234152</v>
      </c>
      <c r="S9" s="141">
        <v>1551.9143169249194</v>
      </c>
      <c r="T9" s="141">
        <v>1444.5726706424609</v>
      </c>
      <c r="U9" s="141">
        <v>1355.1156863788226</v>
      </c>
      <c r="V9" s="141">
        <v>1059.0921685198748</v>
      </c>
      <c r="W9" s="141">
        <v>479.95159006506475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1470.4687487116978</v>
      </c>
      <c r="D10" s="141">
        <v>412.10344654360421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71.141551249288383</v>
      </c>
      <c r="K10" s="141">
        <v>0</v>
      </c>
      <c r="L10" s="141">
        <v>0</v>
      </c>
      <c r="M10" s="141">
        <v>0</v>
      </c>
      <c r="N10" s="141">
        <v>0</v>
      </c>
      <c r="O10" s="141">
        <v>58.184976170906609</v>
      </c>
      <c r="P10" s="141">
        <v>480.06711152616685</v>
      </c>
      <c r="Q10" s="141">
        <v>916.6785508839389</v>
      </c>
      <c r="R10" s="141">
        <v>658.36090851583265</v>
      </c>
      <c r="S10" s="141">
        <v>369.90344897912712</v>
      </c>
      <c r="T10" s="141">
        <v>26.880577666143267</v>
      </c>
      <c r="U10" s="141">
        <v>0</v>
      </c>
      <c r="V10" s="141">
        <v>0</v>
      </c>
      <c r="W10" s="141">
        <v>0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54.729443637639093</v>
      </c>
      <c r="D11" s="141">
        <v>45.975335389508672</v>
      </c>
      <c r="E11" s="141">
        <v>4.81225622132082</v>
      </c>
      <c r="F11" s="141">
        <v>0</v>
      </c>
      <c r="G11" s="141">
        <v>0</v>
      </c>
      <c r="H11" s="141">
        <v>0</v>
      </c>
      <c r="I11" s="141">
        <v>59.310006286506251</v>
      </c>
      <c r="J11" s="141">
        <v>67.124284032636069</v>
      </c>
      <c r="K11" s="141">
        <v>12.459663104048879</v>
      </c>
      <c r="L11" s="141">
        <v>0</v>
      </c>
      <c r="M11" s="141">
        <v>31.027250402542176</v>
      </c>
      <c r="N11" s="141">
        <v>47.503124733904187</v>
      </c>
      <c r="O11" s="141">
        <v>125.22788619748241</v>
      </c>
      <c r="P11" s="141">
        <v>140.43612641500857</v>
      </c>
      <c r="Q11" s="141">
        <v>124.34587066563786</v>
      </c>
      <c r="R11" s="141">
        <v>101.83041020688825</v>
      </c>
      <c r="S11" s="141">
        <v>81.65878331829164</v>
      </c>
      <c r="T11" s="141">
        <v>1.9091563606848487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0</v>
      </c>
      <c r="G12" s="141">
        <v>700.9390064633792</v>
      </c>
      <c r="H12" s="141">
        <v>0</v>
      </c>
      <c r="I12" s="141">
        <v>439.27093910969171</v>
      </c>
      <c r="J12" s="141">
        <v>714.44270298823619</v>
      </c>
      <c r="K12" s="141">
        <v>576.12943103656437</v>
      </c>
      <c r="L12" s="141">
        <v>970.93025400687486</v>
      </c>
      <c r="M12" s="141">
        <v>951.23142355694358</v>
      </c>
      <c r="N12" s="141">
        <v>676.57980090239903</v>
      </c>
      <c r="O12" s="141">
        <v>709.38063942461918</v>
      </c>
      <c r="P12" s="141">
        <v>29.676826998714681</v>
      </c>
      <c r="Q12" s="141">
        <v>83.989685863525224</v>
      </c>
      <c r="R12" s="141">
        <v>58.845824316354054</v>
      </c>
      <c r="S12" s="141">
        <v>0</v>
      </c>
      <c r="T12" s="141">
        <v>0</v>
      </c>
      <c r="U12" s="141">
        <v>0</v>
      </c>
      <c r="V12" s="141">
        <v>235.91283603449384</v>
      </c>
      <c r="W12" s="141">
        <v>290.18288536278163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0</v>
      </c>
      <c r="D14" s="142">
        <v>0</v>
      </c>
      <c r="E14" s="142">
        <v>0</v>
      </c>
      <c r="F14" s="142">
        <v>0</v>
      </c>
      <c r="G14" s="142">
        <v>122.72907536986811</v>
      </c>
      <c r="H14" s="142">
        <v>21.782778244625909</v>
      </c>
      <c r="I14" s="142">
        <v>520.0348947229179</v>
      </c>
      <c r="J14" s="142">
        <v>249.51423099853733</v>
      </c>
      <c r="K14" s="142">
        <v>242.78559732868169</v>
      </c>
      <c r="L14" s="142">
        <v>460.02359208475042</v>
      </c>
      <c r="M14" s="142">
        <v>117.27222818053912</v>
      </c>
      <c r="N14" s="142">
        <v>0</v>
      </c>
      <c r="O14" s="142">
        <v>0</v>
      </c>
      <c r="P14" s="142">
        <v>0</v>
      </c>
      <c r="Q14" s="142">
        <v>0</v>
      </c>
      <c r="R14" s="142">
        <v>0</v>
      </c>
      <c r="S14" s="142">
        <v>0</v>
      </c>
      <c r="T14" s="142">
        <v>0</v>
      </c>
      <c r="U14" s="142">
        <v>0</v>
      </c>
      <c r="V14" s="142">
        <v>0</v>
      </c>
      <c r="W14" s="142">
        <v>9.7861851182913622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3012.7952558790007</v>
      </c>
      <c r="D15" s="144">
        <f t="shared" si="3"/>
        <v>1580.0216535063544</v>
      </c>
      <c r="E15" s="144">
        <f t="shared" si="3"/>
        <v>2848.9897091515095</v>
      </c>
      <c r="F15" s="144">
        <f t="shared" si="3"/>
        <v>2868.5527531546541</v>
      </c>
      <c r="G15" s="144">
        <f t="shared" si="3"/>
        <v>3392.0922650603525</v>
      </c>
      <c r="H15" s="144">
        <f t="shared" si="3"/>
        <v>2912.2060686729151</v>
      </c>
      <c r="I15" s="144">
        <f t="shared" si="3"/>
        <v>1016.0820006796978</v>
      </c>
      <c r="J15" s="144">
        <f t="shared" si="3"/>
        <v>1479.7510222903243</v>
      </c>
      <c r="K15" s="144">
        <f t="shared" si="3"/>
        <v>1096.6568351348328</v>
      </c>
      <c r="L15" s="144">
        <f t="shared" si="3"/>
        <v>1876.1344661211647</v>
      </c>
      <c r="M15" s="144">
        <f t="shared" si="3"/>
        <v>2271.8449295261767</v>
      </c>
      <c r="N15" s="144">
        <f t="shared" si="3"/>
        <v>1687.4782761568554</v>
      </c>
      <c r="O15" s="144">
        <f t="shared" si="3"/>
        <v>2983.8798145346218</v>
      </c>
      <c r="P15" s="144">
        <f t="shared" si="3"/>
        <v>2799.7224122475077</v>
      </c>
      <c r="Q15" s="144">
        <f t="shared" si="3"/>
        <v>3524.3989215161296</v>
      </c>
      <c r="R15" s="144">
        <f t="shared" ref="R15:W15" si="4">SUM(R5:R12)</f>
        <v>2968.466019671202</v>
      </c>
      <c r="S15" s="144">
        <f t="shared" si="4"/>
        <v>3337.1395491436615</v>
      </c>
      <c r="T15" s="144">
        <f t="shared" si="4"/>
        <v>2439.6661903796462</v>
      </c>
      <c r="U15" s="144">
        <f t="shared" si="4"/>
        <v>2143.0775265536927</v>
      </c>
      <c r="V15" s="144">
        <f t="shared" si="4"/>
        <v>1932.1413170118958</v>
      </c>
      <c r="W15" s="144">
        <f t="shared" si="4"/>
        <v>1765.724887672141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403.97950299577224</v>
      </c>
      <c r="D16" s="140">
        <f t="shared" si="5"/>
        <v>530.8973003656929</v>
      </c>
      <c r="E16" s="140">
        <f t="shared" si="5"/>
        <v>470.50676327789012</v>
      </c>
      <c r="F16" s="140">
        <f t="shared" si="5"/>
        <v>610.69582080533235</v>
      </c>
      <c r="G16" s="140">
        <f t="shared" si="5"/>
        <v>556.34408422438582</v>
      </c>
      <c r="H16" s="140">
        <f t="shared" si="5"/>
        <v>786.41891941310723</v>
      </c>
      <c r="I16" s="140">
        <f t="shared" si="5"/>
        <v>848.29704329876017</v>
      </c>
      <c r="J16" s="140">
        <f t="shared" si="5"/>
        <v>965.76578177035128</v>
      </c>
      <c r="K16" s="140">
        <f t="shared" si="5"/>
        <v>941.40821257501091</v>
      </c>
      <c r="L16" s="140">
        <f t="shared" si="5"/>
        <v>954.52400893229333</v>
      </c>
      <c r="M16" s="140">
        <f t="shared" si="5"/>
        <v>1328.8254052170485</v>
      </c>
      <c r="N16" s="140">
        <f t="shared" si="5"/>
        <v>1351.563908967142</v>
      </c>
      <c r="O16" s="140">
        <f t="shared" si="5"/>
        <v>1297.6096237983618</v>
      </c>
      <c r="P16" s="140">
        <f t="shared" si="5"/>
        <v>1498.2903284552904</v>
      </c>
      <c r="Q16" s="140">
        <f t="shared" si="5"/>
        <v>1426.5211842496335</v>
      </c>
      <c r="R16" s="140">
        <f t="shared" ref="R16:W16" si="6">SUM(R17:R18)</f>
        <v>1214.1320313460008</v>
      </c>
      <c r="S16" s="140">
        <f t="shared" si="6"/>
        <v>1419.6972857024884</v>
      </c>
      <c r="T16" s="140">
        <f t="shared" si="6"/>
        <v>1437.6194511414583</v>
      </c>
      <c r="U16" s="140">
        <f t="shared" si="6"/>
        <v>1566.131463009734</v>
      </c>
      <c r="V16" s="140">
        <f t="shared" si="6"/>
        <v>1193.653231412675</v>
      </c>
      <c r="W16" s="140">
        <f t="shared" si="6"/>
        <v>1747.3393779690766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403.97950299577224</v>
      </c>
      <c r="D18" s="141">
        <v>530.8973003656929</v>
      </c>
      <c r="E18" s="141">
        <v>470.50676327789012</v>
      </c>
      <c r="F18" s="141">
        <v>610.69582080533235</v>
      </c>
      <c r="G18" s="141">
        <v>556.34408422438582</v>
      </c>
      <c r="H18" s="141">
        <v>786.41891941310723</v>
      </c>
      <c r="I18" s="141">
        <v>848.29704329876017</v>
      </c>
      <c r="J18" s="141">
        <v>965.76578177035128</v>
      </c>
      <c r="K18" s="141">
        <v>941.40821257501091</v>
      </c>
      <c r="L18" s="141">
        <v>954.52400893229333</v>
      </c>
      <c r="M18" s="141">
        <v>1328.8254052170485</v>
      </c>
      <c r="N18" s="141">
        <v>1351.563908967142</v>
      </c>
      <c r="O18" s="141">
        <v>1297.6096237983618</v>
      </c>
      <c r="P18" s="141">
        <v>1498.2903284552904</v>
      </c>
      <c r="Q18" s="141">
        <v>1426.5211842496335</v>
      </c>
      <c r="R18" s="141">
        <v>1214.1320313460008</v>
      </c>
      <c r="S18" s="141">
        <v>1419.6972857024884</v>
      </c>
      <c r="T18" s="141">
        <v>1437.6194511414583</v>
      </c>
      <c r="U18" s="141">
        <v>1566.131463009734</v>
      </c>
      <c r="V18" s="141">
        <v>1193.653231412675</v>
      </c>
      <c r="W18" s="141">
        <v>1747.3393779690766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3012.7952558790012</v>
      </c>
      <c r="D19" s="140">
        <f t="shared" si="7"/>
        <v>1580.0216535063546</v>
      </c>
      <c r="E19" s="140">
        <f t="shared" si="7"/>
        <v>2848.9897091515095</v>
      </c>
      <c r="F19" s="140">
        <f t="shared" si="7"/>
        <v>2868.5527531546536</v>
      </c>
      <c r="G19" s="140">
        <f t="shared" si="7"/>
        <v>3514.8213404302205</v>
      </c>
      <c r="H19" s="140">
        <f t="shared" si="7"/>
        <v>2933.9888469175412</v>
      </c>
      <c r="I19" s="140">
        <f t="shared" si="7"/>
        <v>1536.1168954026157</v>
      </c>
      <c r="J19" s="140">
        <f t="shared" si="7"/>
        <v>1729.2652532888615</v>
      </c>
      <c r="K19" s="140">
        <f t="shared" si="7"/>
        <v>1339.4424324635143</v>
      </c>
      <c r="L19" s="140">
        <f t="shared" si="7"/>
        <v>2336.1580582059146</v>
      </c>
      <c r="M19" s="140">
        <f t="shared" si="7"/>
        <v>2389.1171577067162</v>
      </c>
      <c r="N19" s="140">
        <f t="shared" si="7"/>
        <v>1687.4782761568554</v>
      </c>
      <c r="O19" s="140">
        <f t="shared" si="7"/>
        <v>2983.8798145346218</v>
      </c>
      <c r="P19" s="140">
        <f t="shared" si="7"/>
        <v>2799.7224122475091</v>
      </c>
      <c r="Q19" s="140">
        <f t="shared" si="7"/>
        <v>3524.39892151613</v>
      </c>
      <c r="R19" s="140">
        <f t="shared" ref="R19:W19" si="8">SUM(R20:R26)</f>
        <v>2968.4660196712016</v>
      </c>
      <c r="S19" s="140">
        <f t="shared" si="8"/>
        <v>3337.1395491436615</v>
      </c>
      <c r="T19" s="140">
        <f t="shared" si="8"/>
        <v>2439.6661903796457</v>
      </c>
      <c r="U19" s="140">
        <f t="shared" si="8"/>
        <v>2143.0775265536927</v>
      </c>
      <c r="V19" s="140">
        <f t="shared" si="8"/>
        <v>1932.1413170118958</v>
      </c>
      <c r="W19" s="140">
        <f t="shared" si="8"/>
        <v>1775.5110727904323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817.01289403823466</v>
      </c>
      <c r="D22" s="141">
        <v>467.97322868560855</v>
      </c>
      <c r="E22" s="141">
        <v>106.41278505482857</v>
      </c>
      <c r="F22" s="141">
        <v>45.093969734576667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244.153070042933</v>
      </c>
      <c r="M22" s="141">
        <v>376.32199180470451</v>
      </c>
      <c r="N22" s="141">
        <v>420.13108864037326</v>
      </c>
      <c r="O22" s="141">
        <v>662.09965578037134</v>
      </c>
      <c r="P22" s="141">
        <v>436.99139633279424</v>
      </c>
      <c r="Q22" s="141">
        <v>544.02739332049202</v>
      </c>
      <c r="R22" s="141">
        <v>575.78720405104548</v>
      </c>
      <c r="S22" s="141">
        <v>921.81755069029714</v>
      </c>
      <c r="T22" s="141">
        <v>674.53072653365132</v>
      </c>
      <c r="U22" s="141">
        <v>529.42625332004559</v>
      </c>
      <c r="V22" s="141">
        <v>501.52701968920246</v>
      </c>
      <c r="W22" s="141">
        <v>798.89538179868555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536.04866572855644</v>
      </c>
      <c r="D23" s="141">
        <v>958.86107988558967</v>
      </c>
      <c r="E23" s="141">
        <v>1100.4812614132404</v>
      </c>
      <c r="F23" s="141">
        <v>2237.1598286661033</v>
      </c>
      <c r="G23" s="141">
        <v>1980.1396211140643</v>
      </c>
      <c r="H23" s="141">
        <v>1446.7092911125635</v>
      </c>
      <c r="I23" s="141">
        <v>57.574041755517747</v>
      </c>
      <c r="J23" s="141">
        <v>630.16753019965654</v>
      </c>
      <c r="K23" s="141">
        <v>739.7634775345864</v>
      </c>
      <c r="L23" s="141">
        <v>1032.1643878009472</v>
      </c>
      <c r="M23" s="141">
        <v>427.72766844563512</v>
      </c>
      <c r="N23" s="141">
        <v>131.53850096343396</v>
      </c>
      <c r="O23" s="141">
        <v>1101.4266237534139</v>
      </c>
      <c r="P23" s="141">
        <v>1835.9799999253335</v>
      </c>
      <c r="Q23" s="141">
        <v>2493.5295829468614</v>
      </c>
      <c r="R23" s="141">
        <v>1945.372957046932</v>
      </c>
      <c r="S23" s="141">
        <v>2008.7501623346116</v>
      </c>
      <c r="T23" s="141">
        <v>1315.0730768639012</v>
      </c>
      <c r="U23" s="141">
        <v>1030.4392962820075</v>
      </c>
      <c r="V23" s="141">
        <v>846.42667335720591</v>
      </c>
      <c r="W23" s="141">
        <v>473.56376338083851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145.64177865162586</v>
      </c>
      <c r="D24" s="141">
        <v>0</v>
      </c>
      <c r="E24" s="141">
        <v>57.636444883444881</v>
      </c>
      <c r="F24" s="141">
        <v>0</v>
      </c>
      <c r="G24" s="141">
        <v>0</v>
      </c>
      <c r="H24" s="141">
        <v>0</v>
      </c>
      <c r="I24" s="141">
        <v>0</v>
      </c>
      <c r="J24" s="141">
        <v>2.192461155217523</v>
      </c>
      <c r="K24" s="141">
        <v>105.62997047630103</v>
      </c>
      <c r="L24" s="141">
        <v>230.94632219026394</v>
      </c>
      <c r="M24" s="141">
        <v>221.8821524824927</v>
      </c>
      <c r="N24" s="141">
        <v>161.88986158668445</v>
      </c>
      <c r="O24" s="141">
        <v>178.12628808626573</v>
      </c>
      <c r="P24" s="141">
        <v>42.570892101442539</v>
      </c>
      <c r="Q24" s="141">
        <v>9.1895002466996214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0</v>
      </c>
      <c r="F25" s="141">
        <v>0</v>
      </c>
      <c r="G25" s="141">
        <v>147.98769335318619</v>
      </c>
      <c r="H25" s="141">
        <v>275.47484674969593</v>
      </c>
      <c r="I25" s="141">
        <v>376.48210297900545</v>
      </c>
      <c r="J25" s="141">
        <v>588.88493618789994</v>
      </c>
      <c r="K25" s="141">
        <v>494.048984452627</v>
      </c>
      <c r="L25" s="141">
        <v>828.89427817177045</v>
      </c>
      <c r="M25" s="141">
        <v>762.30217083531466</v>
      </c>
      <c r="N25" s="141">
        <v>524.04190074876794</v>
      </c>
      <c r="O25" s="141">
        <v>516.50717490715999</v>
      </c>
      <c r="P25" s="141">
        <v>23.21312255862119</v>
      </c>
      <c r="Q25" s="141">
        <v>49.410062447645167</v>
      </c>
      <c r="R25" s="141">
        <v>16.159132099879518</v>
      </c>
      <c r="S25" s="141">
        <v>0</v>
      </c>
      <c r="T25" s="141">
        <v>0</v>
      </c>
      <c r="U25" s="141">
        <v>27.907048047444025</v>
      </c>
      <c r="V25" s="141">
        <v>162.89992711423488</v>
      </c>
      <c r="W25" s="141">
        <v>199.46887288948955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1514.0919174605842</v>
      </c>
      <c r="D26" s="142">
        <v>153.18734493515637</v>
      </c>
      <c r="E26" s="142">
        <v>1584.4592177999955</v>
      </c>
      <c r="F26" s="142">
        <v>586.2989547539737</v>
      </c>
      <c r="G26" s="142">
        <v>1386.69402596297</v>
      </c>
      <c r="H26" s="142">
        <v>1211.8047090552816</v>
      </c>
      <c r="I26" s="142">
        <v>1102.0607506680926</v>
      </c>
      <c r="J26" s="142">
        <v>508.02032574608768</v>
      </c>
      <c r="K26" s="142">
        <v>0</v>
      </c>
      <c r="L26" s="142">
        <v>0</v>
      </c>
      <c r="M26" s="142">
        <v>600.88317413856907</v>
      </c>
      <c r="N26" s="142">
        <v>449.87692421759573</v>
      </c>
      <c r="O26" s="142">
        <v>525.72007200741075</v>
      </c>
      <c r="P26" s="142">
        <v>460.96700132931738</v>
      </c>
      <c r="Q26" s="142">
        <v>428.24238255443186</v>
      </c>
      <c r="R26" s="142">
        <v>431.14672647334464</v>
      </c>
      <c r="S26" s="142">
        <v>406.5718361187528</v>
      </c>
      <c r="T26" s="142">
        <v>450.0623869820933</v>
      </c>
      <c r="U26" s="142">
        <v>555.30492890419555</v>
      </c>
      <c r="V26" s="142">
        <v>421.28769685125246</v>
      </c>
      <c r="W26" s="142">
        <v>303.58305472141865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11.668520857213137</v>
      </c>
      <c r="J27" s="151">
        <v>0</v>
      </c>
      <c r="K27" s="151">
        <v>0</v>
      </c>
      <c r="L27" s="151">
        <v>21.462899465439897</v>
      </c>
      <c r="M27" s="151">
        <v>0</v>
      </c>
      <c r="N27" s="151">
        <v>23.850623349957974</v>
      </c>
      <c r="O27" s="151">
        <v>0</v>
      </c>
      <c r="P27" s="151">
        <v>0</v>
      </c>
      <c r="Q27" s="151">
        <v>1.7023678071906852E-15</v>
      </c>
      <c r="R27" s="151">
        <v>2.764966327268989E-6</v>
      </c>
      <c r="S27" s="151">
        <v>17.987684780509916</v>
      </c>
      <c r="T27" s="151">
        <v>0</v>
      </c>
      <c r="U27" s="151">
        <v>5.798580803280422</v>
      </c>
      <c r="V27" s="151">
        <v>0</v>
      </c>
      <c r="W27" s="151">
        <v>162.84117946828258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3012.7952558790007</v>
      </c>
      <c r="D29" s="140">
        <f t="shared" si="9"/>
        <v>1580.0216535063544</v>
      </c>
      <c r="E29" s="140">
        <f t="shared" si="9"/>
        <v>2848.9897091515095</v>
      </c>
      <c r="F29" s="140">
        <f t="shared" si="9"/>
        <v>2868.5527531546541</v>
      </c>
      <c r="G29" s="140">
        <f t="shared" si="9"/>
        <v>3514.8213404302201</v>
      </c>
      <c r="H29" s="140">
        <f t="shared" si="9"/>
        <v>2933.9888469175412</v>
      </c>
      <c r="I29" s="140">
        <f t="shared" si="9"/>
        <v>1536.1168954026157</v>
      </c>
      <c r="J29" s="140">
        <f t="shared" si="9"/>
        <v>1729.2652532888617</v>
      </c>
      <c r="K29" s="140">
        <f t="shared" si="9"/>
        <v>1339.4424324635143</v>
      </c>
      <c r="L29" s="140">
        <f t="shared" si="9"/>
        <v>2336.158058205915</v>
      </c>
      <c r="M29" s="140">
        <f t="shared" si="9"/>
        <v>2389.1171577067162</v>
      </c>
      <c r="N29" s="140">
        <f t="shared" si="9"/>
        <v>1687.4782761568554</v>
      </c>
      <c r="O29" s="140">
        <f t="shared" si="9"/>
        <v>2983.8798145346213</v>
      </c>
      <c r="P29" s="140">
        <f t="shared" si="9"/>
        <v>2799.7224122475091</v>
      </c>
      <c r="Q29" s="140">
        <f t="shared" si="9"/>
        <v>3524.3989215161296</v>
      </c>
      <c r="R29" s="140">
        <f t="shared" ref="R29:W29" si="10">SUM(R30:R33)</f>
        <v>2968.466019671202</v>
      </c>
      <c r="S29" s="140">
        <f t="shared" si="10"/>
        <v>3337.1395491436615</v>
      </c>
      <c r="T29" s="140">
        <f t="shared" si="10"/>
        <v>2439.6661903796457</v>
      </c>
      <c r="U29" s="140">
        <f t="shared" si="10"/>
        <v>2143.0775265536922</v>
      </c>
      <c r="V29" s="140">
        <f t="shared" si="10"/>
        <v>1932.1413170118958</v>
      </c>
      <c r="W29" s="140">
        <f t="shared" si="10"/>
        <v>1775.5110727904323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668.10082279611288</v>
      </c>
      <c r="D30" s="141">
        <v>650.64663237821082</v>
      </c>
      <c r="E30" s="141">
        <v>976.01094953942936</v>
      </c>
      <c r="F30" s="141">
        <v>1016.890737697969</v>
      </c>
      <c r="G30" s="141">
        <v>485.91333727210548</v>
      </c>
      <c r="H30" s="141">
        <v>113.7604590973385</v>
      </c>
      <c r="I30" s="141">
        <v>56.697674781560657</v>
      </c>
      <c r="J30" s="141">
        <v>0</v>
      </c>
      <c r="K30" s="141">
        <v>0</v>
      </c>
      <c r="L30" s="141">
        <v>0</v>
      </c>
      <c r="M30" s="141">
        <v>0</v>
      </c>
      <c r="N30" s="141">
        <v>74.896322491684458</v>
      </c>
      <c r="O30" s="141">
        <v>272.43360349248201</v>
      </c>
      <c r="P30" s="141">
        <v>423.94123088850972</v>
      </c>
      <c r="Q30" s="141">
        <v>508.81573659682556</v>
      </c>
      <c r="R30" s="141">
        <v>365.6765883547738</v>
      </c>
      <c r="S30" s="141">
        <v>117.74008362395671</v>
      </c>
      <c r="T30" s="141">
        <v>37.621659927173162</v>
      </c>
      <c r="U30" s="141">
        <v>27.17553933336514</v>
      </c>
      <c r="V30" s="141">
        <v>22.570070578902595</v>
      </c>
      <c r="W30" s="141">
        <v>30.848785612964694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1274.0716550441794</v>
      </c>
      <c r="D31" s="141">
        <v>929.37502112814354</v>
      </c>
      <c r="E31" s="141">
        <v>1872.97875961208</v>
      </c>
      <c r="F31" s="141">
        <v>1851.6620154566849</v>
      </c>
      <c r="G31" s="141">
        <v>3028.9080031581148</v>
      </c>
      <c r="H31" s="141">
        <v>1119.6413451206533</v>
      </c>
      <c r="I31" s="141">
        <v>223.720749040046</v>
      </c>
      <c r="J31" s="141">
        <v>71.8170928172337</v>
      </c>
      <c r="K31" s="141">
        <v>105.5863449020172</v>
      </c>
      <c r="L31" s="141">
        <v>458.6463893078195</v>
      </c>
      <c r="M31" s="141">
        <v>679.50313856729076</v>
      </c>
      <c r="N31" s="141">
        <v>662.92627898846058</v>
      </c>
      <c r="O31" s="141">
        <v>1173.0704291302425</v>
      </c>
      <c r="P31" s="141">
        <v>1286.9108511481943</v>
      </c>
      <c r="Q31" s="141">
        <v>1739.5115043152709</v>
      </c>
      <c r="R31" s="141">
        <v>1385.2497598663197</v>
      </c>
      <c r="S31" s="141">
        <v>1365.9663790415259</v>
      </c>
      <c r="T31" s="141">
        <v>637.75793681786149</v>
      </c>
      <c r="U31" s="141">
        <v>486.51834758012245</v>
      </c>
      <c r="V31" s="141">
        <v>472.89587962960405</v>
      </c>
      <c r="W31" s="141">
        <v>412.86860898327797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1070.6227780387085</v>
      </c>
      <c r="D33" s="153">
        <v>0</v>
      </c>
      <c r="E33" s="153">
        <v>0</v>
      </c>
      <c r="F33" s="153">
        <v>0</v>
      </c>
      <c r="G33" s="153">
        <v>0</v>
      </c>
      <c r="H33" s="153">
        <v>1700.5870426995493</v>
      </c>
      <c r="I33" s="153">
        <v>1255.698471581009</v>
      </c>
      <c r="J33" s="153">
        <v>1657.4481604716279</v>
      </c>
      <c r="K33" s="153">
        <v>1233.8560875614971</v>
      </c>
      <c r="L33" s="153">
        <v>1877.5116688980954</v>
      </c>
      <c r="M33" s="153">
        <v>1709.6140191394252</v>
      </c>
      <c r="N33" s="153">
        <v>949.65567467671019</v>
      </c>
      <c r="O33" s="153">
        <v>1538.3757819118969</v>
      </c>
      <c r="P33" s="153">
        <v>1088.8703302108049</v>
      </c>
      <c r="Q33" s="153">
        <v>1276.0716806040332</v>
      </c>
      <c r="R33" s="153">
        <v>1217.5396714501082</v>
      </c>
      <c r="S33" s="153">
        <v>1853.4330864781791</v>
      </c>
      <c r="T33" s="153">
        <v>1764.2865936346113</v>
      </c>
      <c r="U33" s="153">
        <v>1629.3836396402046</v>
      </c>
      <c r="V33" s="153">
        <v>1436.6753668033891</v>
      </c>
      <c r="W33" s="153">
        <v>1331.7936781941896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109.56428675712871</v>
      </c>
      <c r="D3" s="126">
        <f t="shared" si="0"/>
        <v>35.327153762797124</v>
      </c>
      <c r="E3" s="126">
        <f t="shared" si="0"/>
        <v>89.965364590921524</v>
      </c>
      <c r="F3" s="126">
        <f t="shared" si="0"/>
        <v>105.09299331330605</v>
      </c>
      <c r="G3" s="126">
        <f t="shared" si="0"/>
        <v>121.29290514123872</v>
      </c>
      <c r="H3" s="126">
        <f t="shared" si="0"/>
        <v>157.26225048677063</v>
      </c>
      <c r="I3" s="126">
        <f t="shared" si="0"/>
        <v>51.768154743279425</v>
      </c>
      <c r="J3" s="126">
        <f t="shared" si="0"/>
        <v>48.862522414974478</v>
      </c>
      <c r="K3" s="126">
        <f t="shared" si="0"/>
        <v>34.440217082912383</v>
      </c>
      <c r="L3" s="126">
        <f t="shared" si="0"/>
        <v>61.184076141309141</v>
      </c>
      <c r="M3" s="126">
        <f t="shared" si="0"/>
        <v>60.331891843354413</v>
      </c>
      <c r="N3" s="126">
        <f t="shared" si="0"/>
        <v>38.816524994368336</v>
      </c>
      <c r="O3" s="126">
        <f t="shared" si="0"/>
        <v>63.345550892733542</v>
      </c>
      <c r="P3" s="126">
        <f t="shared" si="0"/>
        <v>55.301562997891295</v>
      </c>
      <c r="Q3" s="126">
        <f t="shared" si="0"/>
        <v>70.344319689963115</v>
      </c>
      <c r="R3" s="126">
        <f t="shared" ref="R3:W3" si="1">SUM(R4,R16,R19,R29)</f>
        <v>55.759662965440221</v>
      </c>
      <c r="S3" s="126">
        <f t="shared" si="1"/>
        <v>60.520158504598676</v>
      </c>
      <c r="T3" s="126">
        <f t="shared" si="1"/>
        <v>40.991728402668855</v>
      </c>
      <c r="U3" s="126">
        <f t="shared" si="1"/>
        <v>33.428326903229781</v>
      </c>
      <c r="V3" s="126">
        <f t="shared" si="1"/>
        <v>25.791242115241957</v>
      </c>
      <c r="W3" s="126">
        <f t="shared" si="1"/>
        <v>25.268181529321783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84.096175820286902</v>
      </c>
      <c r="D4" s="131">
        <f t="shared" si="2"/>
        <v>28.258838428204932</v>
      </c>
      <c r="E4" s="131">
        <f t="shared" si="2"/>
        <v>66.579215191826904</v>
      </c>
      <c r="F4" s="131">
        <f t="shared" si="2"/>
        <v>73.521375210144484</v>
      </c>
      <c r="G4" s="131">
        <f t="shared" si="2"/>
        <v>88.652395347135425</v>
      </c>
      <c r="H4" s="131">
        <f t="shared" si="2"/>
        <v>130.68770443870264</v>
      </c>
      <c r="I4" s="131">
        <f t="shared" si="2"/>
        <v>40.591429164777892</v>
      </c>
      <c r="J4" s="131">
        <f t="shared" si="2"/>
        <v>32.8171163630793</v>
      </c>
      <c r="K4" s="131">
        <f t="shared" si="2"/>
        <v>22.051627715124955</v>
      </c>
      <c r="L4" s="131">
        <f t="shared" si="2"/>
        <v>41.094315152629783</v>
      </c>
      <c r="M4" s="131">
        <f t="shared" si="2"/>
        <v>39.400142719276403</v>
      </c>
      <c r="N4" s="131">
        <f t="shared" si="2"/>
        <v>22.920594121356885</v>
      </c>
      <c r="O4" s="131">
        <f t="shared" si="2"/>
        <v>35.982938427541846</v>
      </c>
      <c r="P4" s="131">
        <f t="shared" si="2"/>
        <v>29.345305285306917</v>
      </c>
      <c r="Q4" s="131">
        <f t="shared" si="2"/>
        <v>37.425587880839053</v>
      </c>
      <c r="R4" s="131">
        <f t="shared" ref="R4:W4" si="3">SUM(R5:R15)</f>
        <v>29.698395132911436</v>
      </c>
      <c r="S4" s="131">
        <f t="shared" si="3"/>
        <v>32.115639524453861</v>
      </c>
      <c r="T4" s="131">
        <f t="shared" si="3"/>
        <v>21.364256901450087</v>
      </c>
      <c r="U4" s="131">
        <f t="shared" si="3"/>
        <v>16.651580734386073</v>
      </c>
      <c r="V4" s="131">
        <f t="shared" si="3"/>
        <v>12.182003770305272</v>
      </c>
      <c r="W4" s="131">
        <f t="shared" si="3"/>
        <v>11.226300680858763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0.12760757997614283</v>
      </c>
      <c r="D5" s="133">
        <v>1.6404474709623942E-2</v>
      </c>
      <c r="E5" s="133">
        <v>0</v>
      </c>
      <c r="F5" s="133">
        <v>0</v>
      </c>
      <c r="G5" s="133">
        <v>0</v>
      </c>
      <c r="H5" s="133">
        <v>4.2983988346724077E-3</v>
      </c>
      <c r="I5" s="133">
        <v>0</v>
      </c>
      <c r="J5" s="133">
        <v>0</v>
      </c>
      <c r="K5" s="133">
        <v>0</v>
      </c>
      <c r="L5" s="133">
        <v>2.6105001232479389E-2</v>
      </c>
      <c r="M5" s="133">
        <v>4.7961514427459669E-2</v>
      </c>
      <c r="N5" s="133">
        <v>1.0194791760350356E-2</v>
      </c>
      <c r="O5" s="133">
        <v>0.11462924294671729</v>
      </c>
      <c r="P5" s="133">
        <v>1.0500842117199332E-2</v>
      </c>
      <c r="Q5" s="133">
        <v>6.9058066757667191E-3</v>
      </c>
      <c r="R5" s="133">
        <v>3.0541936229485301E-2</v>
      </c>
      <c r="S5" s="133">
        <v>0</v>
      </c>
      <c r="T5" s="133">
        <v>0.14684914668702209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22.569985475199417</v>
      </c>
      <c r="D7" s="133">
        <v>16.995980672260565</v>
      </c>
      <c r="E7" s="133">
        <v>7.8891715720868971</v>
      </c>
      <c r="F7" s="133">
        <v>17.836881234983696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1.7602684318614237</v>
      </c>
      <c r="M7" s="133">
        <v>15.177173445815059</v>
      </c>
      <c r="N7" s="133">
        <v>3.6960178819692686</v>
      </c>
      <c r="O7" s="133">
        <v>1.0398916485688949</v>
      </c>
      <c r="P7" s="133">
        <v>1.9671438764978895</v>
      </c>
      <c r="Q7" s="133">
        <v>8.1821563564402364</v>
      </c>
      <c r="R7" s="133">
        <v>8.9222439314187696</v>
      </c>
      <c r="S7" s="133">
        <v>13.145845036943307</v>
      </c>
      <c r="T7" s="133">
        <v>8.8398944116371627</v>
      </c>
      <c r="U7" s="133">
        <v>6.2063196235382732</v>
      </c>
      <c r="V7" s="133">
        <v>3.8721248174228049</v>
      </c>
      <c r="W7" s="133">
        <v>7.0204520981394181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18.174380713307976</v>
      </c>
      <c r="D9" s="133">
        <v>1.4188061502579297</v>
      </c>
      <c r="E9" s="133">
        <v>57.891326035054092</v>
      </c>
      <c r="F9" s="133">
        <v>54.915213458849585</v>
      </c>
      <c r="G9" s="133">
        <v>63.967555856678096</v>
      </c>
      <c r="H9" s="133">
        <v>128.77836948958924</v>
      </c>
      <c r="I9" s="133">
        <v>14.55745298164889</v>
      </c>
      <c r="J9" s="133">
        <v>11.704114246689352</v>
      </c>
      <c r="K9" s="133">
        <v>10.326009634933174</v>
      </c>
      <c r="L9" s="133">
        <v>15.20411308478892</v>
      </c>
      <c r="M9" s="133">
        <v>8.8766303734596619</v>
      </c>
      <c r="N9" s="133">
        <v>10.20312127855432</v>
      </c>
      <c r="O9" s="133">
        <v>24.81814632534293</v>
      </c>
      <c r="P9" s="133">
        <v>21.151110728665003</v>
      </c>
      <c r="Q9" s="133">
        <v>14.003325999197219</v>
      </c>
      <c r="R9" s="133">
        <v>9.6268955098944868</v>
      </c>
      <c r="S9" s="133">
        <v>13.554310020528167</v>
      </c>
      <c r="T9" s="133">
        <v>11.825357931326824</v>
      </c>
      <c r="U9" s="133">
        <v>10.256619098270907</v>
      </c>
      <c r="V9" s="133">
        <v>6.9247739940085369</v>
      </c>
      <c r="W9" s="133">
        <v>2.6822826550441796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42.129659476753623</v>
      </c>
      <c r="D10" s="133">
        <v>8.9014894382681931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1.8101548830692724</v>
      </c>
      <c r="K10" s="133">
        <v>0</v>
      </c>
      <c r="L10" s="133">
        <v>0</v>
      </c>
      <c r="M10" s="133">
        <v>0</v>
      </c>
      <c r="N10" s="133">
        <v>0</v>
      </c>
      <c r="O10" s="133">
        <v>0.67188299152497022</v>
      </c>
      <c r="P10" s="133">
        <v>4.3369500419996116</v>
      </c>
      <c r="Q10" s="133">
        <v>13.273233321538187</v>
      </c>
      <c r="R10" s="133">
        <v>9.5592318578493618</v>
      </c>
      <c r="S10" s="133">
        <v>4.4057599081550469</v>
      </c>
      <c r="T10" s="133">
        <v>0.29928789887311996</v>
      </c>
      <c r="U10" s="133">
        <v>0</v>
      </c>
      <c r="V10" s="133">
        <v>0</v>
      </c>
      <c r="W10" s="133">
        <v>0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0.44790864356251553</v>
      </c>
      <c r="D11" s="133">
        <v>0.69761250886977899</v>
      </c>
      <c r="E11" s="133">
        <v>8.7444863050482394E-2</v>
      </c>
      <c r="F11" s="133">
        <v>0</v>
      </c>
      <c r="G11" s="133">
        <v>0</v>
      </c>
      <c r="H11" s="133">
        <v>0</v>
      </c>
      <c r="I11" s="133">
        <v>0.88095068778706864</v>
      </c>
      <c r="J11" s="133">
        <v>1.5325196107487253</v>
      </c>
      <c r="K11" s="133">
        <v>0.23800527460800891</v>
      </c>
      <c r="L11" s="133">
        <v>0</v>
      </c>
      <c r="M11" s="133">
        <v>0.37842229120575915</v>
      </c>
      <c r="N11" s="133">
        <v>0.47326655924314653</v>
      </c>
      <c r="O11" s="133">
        <v>1.3326595092682181</v>
      </c>
      <c r="P11" s="133">
        <v>1.3454728599456443</v>
      </c>
      <c r="Q11" s="133">
        <v>0.9847734241043391</v>
      </c>
      <c r="R11" s="133">
        <v>0.83624831414114886</v>
      </c>
      <c r="S11" s="133">
        <v>0.68629444462713729</v>
      </c>
      <c r="T11" s="133">
        <v>1.5294292698516851E-2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21.284820590891801</v>
      </c>
      <c r="H12" s="133">
        <v>0</v>
      </c>
      <c r="I12" s="133">
        <v>8.6707772856448955</v>
      </c>
      <c r="J12" s="133">
        <v>13.530315696699706</v>
      </c>
      <c r="K12" s="133">
        <v>8.1468422485415015</v>
      </c>
      <c r="L12" s="133">
        <v>13.938351848983499</v>
      </c>
      <c r="M12" s="133">
        <v>12.630846453258927</v>
      </c>
      <c r="N12" s="133">
        <v>8.3607022874944228</v>
      </c>
      <c r="O12" s="133">
        <v>7.6859736895920392</v>
      </c>
      <c r="P12" s="133">
        <v>0.24990178209961572</v>
      </c>
      <c r="Q12" s="133">
        <v>0.66214809928971907</v>
      </c>
      <c r="R12" s="133">
        <v>0.46816342098600033</v>
      </c>
      <c r="S12" s="133">
        <v>0</v>
      </c>
      <c r="T12" s="133">
        <v>0</v>
      </c>
      <c r="U12" s="133">
        <v>0</v>
      </c>
      <c r="V12" s="133">
        <v>1.2565111176356676</v>
      </c>
      <c r="W12" s="133">
        <v>1.3610010840373759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2.6293090913529804</v>
      </c>
      <c r="H14" s="65">
        <v>0.51055458386699348</v>
      </c>
      <c r="I14" s="65">
        <v>16.291929888470879</v>
      </c>
      <c r="J14" s="65">
        <v>4.0536017647858325</v>
      </c>
      <c r="K14" s="65">
        <v>3.2010115174188836</v>
      </c>
      <c r="L14" s="65">
        <v>9.9378300179523276</v>
      </c>
      <c r="M14" s="65">
        <v>2.0041443319071073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4.77069644328579E-2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0.64663393148722692</v>
      </c>
      <c r="D15" s="135">
        <v>0.22854518383884279</v>
      </c>
      <c r="E15" s="135">
        <v>0.71127272163544042</v>
      </c>
      <c r="F15" s="135">
        <v>0.76928051631119421</v>
      </c>
      <c r="G15" s="135">
        <v>0.77070980821253898</v>
      </c>
      <c r="H15" s="135">
        <v>1.3944819664117483</v>
      </c>
      <c r="I15" s="135">
        <v>0.19031832122616038</v>
      </c>
      <c r="J15" s="135">
        <v>0.1864101610864114</v>
      </c>
      <c r="K15" s="135">
        <v>0.13975903962338954</v>
      </c>
      <c r="L15" s="135">
        <v>0.22764676781113016</v>
      </c>
      <c r="M15" s="135">
        <v>0.2849643092024326</v>
      </c>
      <c r="N15" s="135">
        <v>0.17729132233537759</v>
      </c>
      <c r="O15" s="135">
        <v>0.31975502029807823</v>
      </c>
      <c r="P15" s="135">
        <v>0.28422515398195503</v>
      </c>
      <c r="Q15" s="135">
        <v>0.31304487359359107</v>
      </c>
      <c r="R15" s="135">
        <v>0.25507016239218733</v>
      </c>
      <c r="S15" s="135">
        <v>0.32343011420020584</v>
      </c>
      <c r="T15" s="135">
        <v>0.23757322022743921</v>
      </c>
      <c r="U15" s="135">
        <v>0.18864201257689045</v>
      </c>
      <c r="V15" s="135">
        <v>0.12859384123826234</v>
      </c>
      <c r="W15" s="135">
        <v>0.11485787920492949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0.45997821611418638</v>
      </c>
      <c r="D16" s="131">
        <f t="shared" si="4"/>
        <v>0.55968749744445312</v>
      </c>
      <c r="E16" s="131">
        <f t="shared" si="4"/>
        <v>0.4847938830899447</v>
      </c>
      <c r="F16" s="131">
        <f t="shared" si="4"/>
        <v>0.53186880631934941</v>
      </c>
      <c r="G16" s="131">
        <f t="shared" si="4"/>
        <v>0.47225873446745287</v>
      </c>
      <c r="H16" s="131">
        <f t="shared" si="4"/>
        <v>0.69139682309872907</v>
      </c>
      <c r="I16" s="131">
        <f t="shared" si="4"/>
        <v>0.95677170763392771</v>
      </c>
      <c r="J16" s="131">
        <f t="shared" si="4"/>
        <v>0.83429572749277392</v>
      </c>
      <c r="K16" s="131">
        <f t="shared" si="4"/>
        <v>0.74730508360487913</v>
      </c>
      <c r="L16" s="131">
        <f t="shared" si="4"/>
        <v>0.86514860008380301</v>
      </c>
      <c r="M16" s="131">
        <f t="shared" si="4"/>
        <v>0.99729014127745075</v>
      </c>
      <c r="N16" s="131">
        <f t="shared" si="4"/>
        <v>1.4806652262742086</v>
      </c>
      <c r="O16" s="131">
        <f t="shared" si="4"/>
        <v>0.92171078658145966</v>
      </c>
      <c r="P16" s="131">
        <f t="shared" si="4"/>
        <v>0.95097357726678056</v>
      </c>
      <c r="Q16" s="131">
        <f t="shared" si="4"/>
        <v>1.1363575751937214</v>
      </c>
      <c r="R16" s="131">
        <f t="shared" ref="R16:W16" si="5">SUM(R17:R18)</f>
        <v>0.79763606851159474</v>
      </c>
      <c r="S16" s="131">
        <f t="shared" si="5"/>
        <v>0.97608155072030933</v>
      </c>
      <c r="T16" s="131">
        <f t="shared" si="5"/>
        <v>0.84175427874331843</v>
      </c>
      <c r="U16" s="131">
        <f t="shared" si="5"/>
        <v>1.000533027617132</v>
      </c>
      <c r="V16" s="131">
        <f t="shared" si="5"/>
        <v>0.68086100565021113</v>
      </c>
      <c r="W16" s="131">
        <f t="shared" si="5"/>
        <v>1.0610628049796256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0.45997821611418638</v>
      </c>
      <c r="D18" s="133">
        <v>0.55968749744445312</v>
      </c>
      <c r="E18" s="133">
        <v>0.4847938830899447</v>
      </c>
      <c r="F18" s="133">
        <v>0.53186880631934941</v>
      </c>
      <c r="G18" s="133">
        <v>0.47225873446745287</v>
      </c>
      <c r="H18" s="133">
        <v>0.69139682309872907</v>
      </c>
      <c r="I18" s="133">
        <v>0.95677170763392771</v>
      </c>
      <c r="J18" s="133">
        <v>0.83429572749277392</v>
      </c>
      <c r="K18" s="133">
        <v>0.74730508360487913</v>
      </c>
      <c r="L18" s="133">
        <v>0.86514860008380301</v>
      </c>
      <c r="M18" s="133">
        <v>0.99729014127745075</v>
      </c>
      <c r="N18" s="133">
        <v>1.4806652262742086</v>
      </c>
      <c r="O18" s="133">
        <v>0.92171078658145966</v>
      </c>
      <c r="P18" s="133">
        <v>0.95097357726678056</v>
      </c>
      <c r="Q18" s="133">
        <v>1.1363575751937214</v>
      </c>
      <c r="R18" s="133">
        <v>0.79763606851159474</v>
      </c>
      <c r="S18" s="133">
        <v>0.97608155072030933</v>
      </c>
      <c r="T18" s="133">
        <v>0.84175427874331843</v>
      </c>
      <c r="U18" s="133">
        <v>1.000533027617132</v>
      </c>
      <c r="V18" s="133">
        <v>0.68086100565021113</v>
      </c>
      <c r="W18" s="133">
        <v>1.0610628049796256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12.505215718460182</v>
      </c>
      <c r="D19" s="131">
        <f t="shared" si="6"/>
        <v>3.020511015740551</v>
      </c>
      <c r="E19" s="131">
        <f t="shared" si="6"/>
        <v>10.28256472039439</v>
      </c>
      <c r="F19" s="131">
        <f t="shared" si="6"/>
        <v>13.297677491381478</v>
      </c>
      <c r="G19" s="131">
        <f t="shared" si="6"/>
        <v>13.511617936241379</v>
      </c>
      <c r="H19" s="131">
        <f t="shared" si="6"/>
        <v>11.949972094244025</v>
      </c>
      <c r="I19" s="131">
        <f t="shared" si="6"/>
        <v>5.9612360051240358</v>
      </c>
      <c r="J19" s="131">
        <f t="shared" si="6"/>
        <v>6.3349561072994405</v>
      </c>
      <c r="K19" s="131">
        <f t="shared" si="6"/>
        <v>5.198564851299543</v>
      </c>
      <c r="L19" s="131">
        <f t="shared" si="6"/>
        <v>8.5185898240158657</v>
      </c>
      <c r="M19" s="131">
        <f t="shared" si="6"/>
        <v>8.4883544465508773</v>
      </c>
      <c r="N19" s="131">
        <f t="shared" si="6"/>
        <v>5.961215336366517</v>
      </c>
      <c r="O19" s="131">
        <f t="shared" si="6"/>
        <v>10.848759556254906</v>
      </c>
      <c r="P19" s="131">
        <f t="shared" si="6"/>
        <v>9.803172181630611</v>
      </c>
      <c r="Q19" s="131">
        <f t="shared" si="6"/>
        <v>11.917244233852582</v>
      </c>
      <c r="R19" s="131">
        <f t="shared" ref="R19:W19" si="7">SUM(R20:R27)</f>
        <v>9.6967582850517289</v>
      </c>
      <c r="S19" s="131">
        <f t="shared" si="7"/>
        <v>11.069021336939789</v>
      </c>
      <c r="T19" s="131">
        <f t="shared" si="7"/>
        <v>7.6412695103376844</v>
      </c>
      <c r="U19" s="131">
        <f t="shared" si="7"/>
        <v>6.1970429507594078</v>
      </c>
      <c r="V19" s="131">
        <f t="shared" si="7"/>
        <v>5.1430532831904427</v>
      </c>
      <c r="W19" s="131">
        <f t="shared" si="7"/>
        <v>5.4027730385754822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0.77866252283028714</v>
      </c>
      <c r="D22" s="133">
        <v>1.3625870205653476</v>
      </c>
      <c r="E22" s="133">
        <v>0.42972597244078076</v>
      </c>
      <c r="F22" s="133">
        <v>0.20789838029340338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1.0239897878581119</v>
      </c>
      <c r="M22" s="133">
        <v>1.4471551104938662</v>
      </c>
      <c r="N22" s="133">
        <v>1.7014636858090564</v>
      </c>
      <c r="O22" s="133">
        <v>2.9822879411036403</v>
      </c>
      <c r="P22" s="133">
        <v>1.755925794908916</v>
      </c>
      <c r="Q22" s="133">
        <v>2.0644407584372115</v>
      </c>
      <c r="R22" s="133">
        <v>1.7939127263960992</v>
      </c>
      <c r="S22" s="133">
        <v>3.2841216116448142</v>
      </c>
      <c r="T22" s="133">
        <v>2.3393828348735632</v>
      </c>
      <c r="U22" s="133">
        <v>1.5364047578976034</v>
      </c>
      <c r="V22" s="133">
        <v>1.3054809568835848</v>
      </c>
      <c r="W22" s="133">
        <v>2.6816687272557926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1.4846846395764803</v>
      </c>
      <c r="D23" s="133">
        <v>1.5657396108580113</v>
      </c>
      <c r="E23" s="133">
        <v>3.5077157592302468</v>
      </c>
      <c r="F23" s="133">
        <v>10.810676359969854</v>
      </c>
      <c r="G23" s="133">
        <v>8.1016490408334594</v>
      </c>
      <c r="H23" s="133">
        <v>6.7626116773854683</v>
      </c>
      <c r="I23" s="133">
        <v>0.23267983994167563</v>
      </c>
      <c r="J23" s="133">
        <v>2.1259278693022274</v>
      </c>
      <c r="K23" s="133">
        <v>3.3203949941749369</v>
      </c>
      <c r="L23" s="133">
        <v>4.2514809350269118</v>
      </c>
      <c r="M23" s="133">
        <v>1.5720083811472254</v>
      </c>
      <c r="N23" s="133">
        <v>0.4714428021775377</v>
      </c>
      <c r="O23" s="133">
        <v>3.8342636890962405</v>
      </c>
      <c r="P23" s="133">
        <v>6.2588921963992341</v>
      </c>
      <c r="Q23" s="133">
        <v>8.2566747371156968</v>
      </c>
      <c r="R23" s="133">
        <v>6.4365372340937066</v>
      </c>
      <c r="S23" s="133">
        <v>6.597584788986576</v>
      </c>
      <c r="T23" s="133">
        <v>4.0109002233327589</v>
      </c>
      <c r="U23" s="133">
        <v>3.0759446214157848</v>
      </c>
      <c r="V23" s="133">
        <v>2.3889355531662178</v>
      </c>
      <c r="W23" s="133">
        <v>1.267413544836701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0.25856551598590932</v>
      </c>
      <c r="D24" s="133">
        <v>0</v>
      </c>
      <c r="E24" s="133">
        <v>0.16989919638137682</v>
      </c>
      <c r="F24" s="133">
        <v>0</v>
      </c>
      <c r="G24" s="133">
        <v>0</v>
      </c>
      <c r="H24" s="133">
        <v>0</v>
      </c>
      <c r="I24" s="133">
        <v>0</v>
      </c>
      <c r="J24" s="133">
        <v>7.2017379325508947E-3</v>
      </c>
      <c r="K24" s="133">
        <v>0.3559392525115343</v>
      </c>
      <c r="L24" s="133">
        <v>0.79017667418943549</v>
      </c>
      <c r="M24" s="133">
        <v>0.78925622937239281</v>
      </c>
      <c r="N24" s="133">
        <v>0.58832130007647054</v>
      </c>
      <c r="O24" s="133">
        <v>0.65045432843384243</v>
      </c>
      <c r="P24" s="133">
        <v>0.1568125577470926</v>
      </c>
      <c r="Q24" s="133">
        <v>3.574577450960835E-2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0.49961260361487958</v>
      </c>
      <c r="H25" s="133">
        <v>0.84849847670059741</v>
      </c>
      <c r="I25" s="133">
        <v>1.0937913483662767</v>
      </c>
      <c r="J25" s="133">
        <v>1.9685406789804261</v>
      </c>
      <c r="K25" s="133">
        <v>1.522230604613072</v>
      </c>
      <c r="L25" s="133">
        <v>2.4131065381232624</v>
      </c>
      <c r="M25" s="133">
        <v>2.3207674315234978</v>
      </c>
      <c r="N25" s="133">
        <v>1.6233227032409463</v>
      </c>
      <c r="O25" s="133">
        <v>1.6164039143102451</v>
      </c>
      <c r="P25" s="133">
        <v>6.7310960042980802E-2</v>
      </c>
      <c r="Q25" s="133">
        <v>0.14786497763551365</v>
      </c>
      <c r="R25" s="133">
        <v>4.9028359035322426E-2</v>
      </c>
      <c r="S25" s="133">
        <v>0</v>
      </c>
      <c r="T25" s="133">
        <v>0</v>
      </c>
      <c r="U25" s="133">
        <v>7.308821638133603E-2</v>
      </c>
      <c r="V25" s="133">
        <v>0.42430923808586479</v>
      </c>
      <c r="W25" s="133">
        <v>0.52025609514277116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9.9833030400675042</v>
      </c>
      <c r="D26" s="65">
        <v>9.2184384317191781E-2</v>
      </c>
      <c r="E26" s="65">
        <v>6.1752237923419866</v>
      </c>
      <c r="F26" s="65">
        <v>2.2791027511182191</v>
      </c>
      <c r="G26" s="65">
        <v>4.9103562917930388</v>
      </c>
      <c r="H26" s="65">
        <v>4.3388619401579591</v>
      </c>
      <c r="I26" s="65">
        <v>4.6116769013734302</v>
      </c>
      <c r="J26" s="65">
        <v>2.2332858210842357</v>
      </c>
      <c r="K26" s="65">
        <v>0</v>
      </c>
      <c r="L26" s="65">
        <v>0</v>
      </c>
      <c r="M26" s="65">
        <v>2.3591672940138952</v>
      </c>
      <c r="N26" s="65">
        <v>1.5149977404814319</v>
      </c>
      <c r="O26" s="65">
        <v>1.7653496833109397</v>
      </c>
      <c r="P26" s="65">
        <v>1.5642306725323876</v>
      </c>
      <c r="Q26" s="65">
        <v>1.4125179861545516</v>
      </c>
      <c r="R26" s="65">
        <v>1.4172799589783602</v>
      </c>
      <c r="S26" s="65">
        <v>1.1511791320879547</v>
      </c>
      <c r="T26" s="65">
        <v>1.2909864521313617</v>
      </c>
      <c r="U26" s="65">
        <v>1.5005685825001966</v>
      </c>
      <c r="V26" s="65">
        <v>1.0243275350547749</v>
      </c>
      <c r="W26" s="65">
        <v>0.60184242032131396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2.3087915442653449E-2</v>
      </c>
      <c r="J27" s="148">
        <v>0</v>
      </c>
      <c r="K27" s="148">
        <v>0</v>
      </c>
      <c r="L27" s="148">
        <v>3.9835888818144753E-2</v>
      </c>
      <c r="M27" s="148">
        <v>0</v>
      </c>
      <c r="N27" s="148">
        <v>6.1667104581073946E-2</v>
      </c>
      <c r="O27" s="148">
        <v>0</v>
      </c>
      <c r="P27" s="148">
        <v>0</v>
      </c>
      <c r="Q27" s="148">
        <v>4.2108192301145054E-18</v>
      </c>
      <c r="R27" s="148">
        <v>6.5482406299295592E-9</v>
      </c>
      <c r="S27" s="148">
        <v>3.6135804220444531E-2</v>
      </c>
      <c r="T27" s="148">
        <v>0</v>
      </c>
      <c r="U27" s="148">
        <v>1.1036772564487001E-2</v>
      </c>
      <c r="V27" s="148">
        <v>0</v>
      </c>
      <c r="W27" s="148">
        <v>0.33159225101890294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12.502917002267459</v>
      </c>
      <c r="D29" s="131">
        <f t="shared" si="8"/>
        <v>3.4881168214071883</v>
      </c>
      <c r="E29" s="131">
        <f t="shared" si="8"/>
        <v>12.618790795610277</v>
      </c>
      <c r="F29" s="131">
        <f t="shared" si="8"/>
        <v>17.742071805460736</v>
      </c>
      <c r="G29" s="131">
        <f t="shared" si="8"/>
        <v>18.65663312339446</v>
      </c>
      <c r="H29" s="131">
        <f t="shared" si="8"/>
        <v>13.933177130725234</v>
      </c>
      <c r="I29" s="131">
        <f t="shared" si="8"/>
        <v>4.25871786574357</v>
      </c>
      <c r="J29" s="131">
        <f t="shared" si="8"/>
        <v>8.8761542171029628</v>
      </c>
      <c r="K29" s="131">
        <f t="shared" si="8"/>
        <v>6.4427194328830071</v>
      </c>
      <c r="L29" s="131">
        <f t="shared" si="8"/>
        <v>10.706022564579689</v>
      </c>
      <c r="M29" s="131">
        <f t="shared" si="8"/>
        <v>11.446104536249676</v>
      </c>
      <c r="N29" s="131">
        <f t="shared" si="8"/>
        <v>8.4540503103707252</v>
      </c>
      <c r="O29" s="131">
        <f t="shared" si="8"/>
        <v>15.592142122355337</v>
      </c>
      <c r="P29" s="131">
        <f t="shared" si="8"/>
        <v>15.202111953686991</v>
      </c>
      <c r="Q29" s="131">
        <f t="shared" si="8"/>
        <v>19.865130000077755</v>
      </c>
      <c r="R29" s="131">
        <f t="shared" ref="R29:W29" si="9">SUM(R30:R33)</f>
        <v>15.566873478965462</v>
      </c>
      <c r="S29" s="131">
        <f t="shared" si="9"/>
        <v>16.359416092484715</v>
      </c>
      <c r="T29" s="131">
        <f t="shared" si="9"/>
        <v>11.144447712137758</v>
      </c>
      <c r="U29" s="131">
        <f t="shared" si="9"/>
        <v>9.5791701904671687</v>
      </c>
      <c r="V29" s="131">
        <f t="shared" si="9"/>
        <v>7.7853240560960284</v>
      </c>
      <c r="W29" s="131">
        <f t="shared" si="9"/>
        <v>7.57804500490791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2.1304426993610361</v>
      </c>
      <c r="D30" s="133">
        <v>0.91556304316235437</v>
      </c>
      <c r="E30" s="133">
        <v>4.1204427242394388</v>
      </c>
      <c r="F30" s="133">
        <v>6.544531570813084</v>
      </c>
      <c r="G30" s="133">
        <v>3.7690252766497472</v>
      </c>
      <c r="H30" s="133">
        <v>0.36546978894004689</v>
      </c>
      <c r="I30" s="133">
        <v>0.55732814871240088</v>
      </c>
      <c r="J30" s="133">
        <v>0</v>
      </c>
      <c r="K30" s="133">
        <v>0</v>
      </c>
      <c r="L30" s="133">
        <v>0</v>
      </c>
      <c r="M30" s="133">
        <v>0</v>
      </c>
      <c r="N30" s="133">
        <v>0.42078158714180636</v>
      </c>
      <c r="O30" s="133">
        <v>1.5483447350772301</v>
      </c>
      <c r="P30" s="133">
        <v>2.6133466721039356</v>
      </c>
      <c r="Q30" s="133">
        <v>3.4777849871038424</v>
      </c>
      <c r="R30" s="133">
        <v>2.2005449829012771</v>
      </c>
      <c r="S30" s="133">
        <v>0.68503925388572906</v>
      </c>
      <c r="T30" s="133">
        <v>0.22382653994050658</v>
      </c>
      <c r="U30" s="133">
        <v>0.16006606941065227</v>
      </c>
      <c r="V30" s="133">
        <v>0.12184160975323249</v>
      </c>
      <c r="W30" s="133">
        <v>0.16991595322166764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6.1075033890314376</v>
      </c>
      <c r="D31" s="133">
        <v>2.572553778244834</v>
      </c>
      <c r="E31" s="133">
        <v>8.4983480713708381</v>
      </c>
      <c r="F31" s="133">
        <v>11.197540234647651</v>
      </c>
      <c r="G31" s="133">
        <v>14.887607846744714</v>
      </c>
      <c r="H31" s="133">
        <v>7.5379318085383789</v>
      </c>
      <c r="I31" s="133">
        <v>1.1412425688347165</v>
      </c>
      <c r="J31" s="133">
        <v>0.3988338263534798</v>
      </c>
      <c r="K31" s="133">
        <v>0.61088834678925752</v>
      </c>
      <c r="L31" s="133">
        <v>2.6552058264704077</v>
      </c>
      <c r="M31" s="133">
        <v>3.9502201657379259</v>
      </c>
      <c r="N31" s="133">
        <v>3.8442305745326664</v>
      </c>
      <c r="O31" s="133">
        <v>6.9961823653244286</v>
      </c>
      <c r="P31" s="133">
        <v>7.5709318917882884</v>
      </c>
      <c r="Q31" s="133">
        <v>10.703798076305711</v>
      </c>
      <c r="R31" s="133">
        <v>8.0539186522525092</v>
      </c>
      <c r="S31" s="133">
        <v>8.2415980827733364</v>
      </c>
      <c r="T31" s="133">
        <v>3.6884880884326727</v>
      </c>
      <c r="U31" s="133">
        <v>2.7936779808036003</v>
      </c>
      <c r="V31" s="133">
        <v>2.5382151821463341</v>
      </c>
      <c r="W31" s="133">
        <v>2.2729732888998475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4.2649709138749872</v>
      </c>
      <c r="D33" s="68">
        <v>0</v>
      </c>
      <c r="E33" s="68">
        <v>0</v>
      </c>
      <c r="F33" s="68">
        <v>0</v>
      </c>
      <c r="G33" s="68">
        <v>0</v>
      </c>
      <c r="H33" s="68">
        <v>6.0297755332468075</v>
      </c>
      <c r="I33" s="68">
        <v>2.5601471481964526</v>
      </c>
      <c r="J33" s="68">
        <v>8.4773203907494832</v>
      </c>
      <c r="K33" s="68">
        <v>5.8318310860937492</v>
      </c>
      <c r="L33" s="68">
        <v>8.0508167381092814</v>
      </c>
      <c r="M33" s="68">
        <v>7.4958843705117495</v>
      </c>
      <c r="N33" s="68">
        <v>4.1890381486962536</v>
      </c>
      <c r="O33" s="68">
        <v>7.0476150219536784</v>
      </c>
      <c r="P33" s="68">
        <v>5.0178333897947667</v>
      </c>
      <c r="Q33" s="68">
        <v>5.6835469366682041</v>
      </c>
      <c r="R33" s="68">
        <v>5.3124098438116762</v>
      </c>
      <c r="S33" s="68">
        <v>7.4327787558256464</v>
      </c>
      <c r="T33" s="68">
        <v>7.2321330837645785</v>
      </c>
      <c r="U33" s="68">
        <v>6.625426140252916</v>
      </c>
      <c r="V33" s="68">
        <v>5.1252672641964621</v>
      </c>
      <c r="W33" s="68">
        <v>5.1351557627863951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62.419508347942255</v>
      </c>
      <c r="D3" s="126">
        <f t="shared" si="0"/>
        <v>19.892409878547749</v>
      </c>
      <c r="E3" s="126">
        <f t="shared" si="0"/>
        <v>53.533329445547665</v>
      </c>
      <c r="F3" s="126">
        <f t="shared" si="0"/>
        <v>62.114630997704424</v>
      </c>
      <c r="G3" s="126">
        <f t="shared" si="0"/>
        <v>78.215443242300665</v>
      </c>
      <c r="H3" s="126">
        <f t="shared" si="0"/>
        <v>98.483188586758445</v>
      </c>
      <c r="I3" s="126">
        <f t="shared" si="0"/>
        <v>37.850536657931173</v>
      </c>
      <c r="J3" s="126">
        <f t="shared" si="0"/>
        <v>36.812985305720893</v>
      </c>
      <c r="K3" s="126">
        <f t="shared" si="0"/>
        <v>26.141194076521181</v>
      </c>
      <c r="L3" s="126">
        <f t="shared" si="0"/>
        <v>45.459538103380929</v>
      </c>
      <c r="M3" s="126">
        <f t="shared" si="0"/>
        <v>43.704787619185396</v>
      </c>
      <c r="N3" s="126">
        <f t="shared" si="0"/>
        <v>30.649720562850437</v>
      </c>
      <c r="O3" s="126">
        <f t="shared" si="0"/>
        <v>46.791047620198739</v>
      </c>
      <c r="P3" s="126">
        <f t="shared" si="0"/>
        <v>40.214356537174694</v>
      </c>
      <c r="Q3" s="126">
        <f t="shared" si="0"/>
        <v>50.2324686591747</v>
      </c>
      <c r="R3" s="126">
        <f t="shared" ref="R3:W3" si="1">SUM(R4,R16,R19,R29)</f>
        <v>40.354212364459791</v>
      </c>
      <c r="S3" s="126">
        <f t="shared" si="1"/>
        <v>45.921829258095627</v>
      </c>
      <c r="T3" s="126">
        <f t="shared" si="1"/>
        <v>33.007298489694776</v>
      </c>
      <c r="U3" s="126">
        <f t="shared" si="1"/>
        <v>28.355614986836855</v>
      </c>
      <c r="V3" s="126">
        <f t="shared" si="1"/>
        <v>22.026251828394194</v>
      </c>
      <c r="W3" s="126">
        <f t="shared" si="1"/>
        <v>22.811918022437553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45.358295864758084</v>
      </c>
      <c r="D4" s="131">
        <f t="shared" si="2"/>
        <v>14.945905708648791</v>
      </c>
      <c r="E4" s="131">
        <f t="shared" si="2"/>
        <v>38.532361607112904</v>
      </c>
      <c r="F4" s="131">
        <f t="shared" si="2"/>
        <v>42.361865723559006</v>
      </c>
      <c r="G4" s="131">
        <f t="shared" si="2"/>
        <v>57.4799922643409</v>
      </c>
      <c r="H4" s="131">
        <f t="shared" si="2"/>
        <v>79.671810563327014</v>
      </c>
      <c r="I4" s="131">
        <f t="shared" si="2"/>
        <v>28.336954530771163</v>
      </c>
      <c r="J4" s="131">
        <f t="shared" si="2"/>
        <v>23.249942975533422</v>
      </c>
      <c r="K4" s="131">
        <f t="shared" si="2"/>
        <v>15.594552833166967</v>
      </c>
      <c r="L4" s="131">
        <f t="shared" si="2"/>
        <v>29.253669383538547</v>
      </c>
      <c r="M4" s="131">
        <f t="shared" si="2"/>
        <v>26.576313875795488</v>
      </c>
      <c r="N4" s="131">
        <f t="shared" si="2"/>
        <v>16.203083117234911</v>
      </c>
      <c r="O4" s="131">
        <f t="shared" si="2"/>
        <v>25.487552574228829</v>
      </c>
      <c r="P4" s="131">
        <f t="shared" si="2"/>
        <v>19.864941325141011</v>
      </c>
      <c r="Q4" s="131">
        <f t="shared" si="2"/>
        <v>24.266998612030573</v>
      </c>
      <c r="R4" s="131">
        <f t="shared" ref="R4:W4" si="3">SUM(R5:R15)</f>
        <v>19.517624904158588</v>
      </c>
      <c r="S4" s="131">
        <f t="shared" si="3"/>
        <v>22.131808009329667</v>
      </c>
      <c r="T4" s="131">
        <f t="shared" si="3"/>
        <v>15.262961629857903</v>
      </c>
      <c r="U4" s="131">
        <f t="shared" si="3"/>
        <v>12.04035104122754</v>
      </c>
      <c r="V4" s="131">
        <f t="shared" si="3"/>
        <v>9.0400935976226133</v>
      </c>
      <c r="W4" s="131">
        <f t="shared" si="3"/>
        <v>8.2823437223154635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7.3602716421956579E-2</v>
      </c>
      <c r="D5" s="133">
        <v>9.5783887382368676E-3</v>
      </c>
      <c r="E5" s="133">
        <v>0</v>
      </c>
      <c r="F5" s="133">
        <v>0</v>
      </c>
      <c r="G5" s="133">
        <v>0</v>
      </c>
      <c r="H5" s="133">
        <v>2.6314061676558109E-3</v>
      </c>
      <c r="I5" s="133">
        <v>0</v>
      </c>
      <c r="J5" s="133">
        <v>0</v>
      </c>
      <c r="K5" s="133">
        <v>0</v>
      </c>
      <c r="L5" s="133">
        <v>1.6711457344896992E-2</v>
      </c>
      <c r="M5" s="133">
        <v>3.1018123886517535E-2</v>
      </c>
      <c r="N5" s="133">
        <v>6.655226495544282E-3</v>
      </c>
      <c r="O5" s="133">
        <v>7.5472253447181947E-2</v>
      </c>
      <c r="P5" s="133">
        <v>6.9716846270850789E-3</v>
      </c>
      <c r="Q5" s="133">
        <v>4.6303693815950434E-3</v>
      </c>
      <c r="R5" s="133">
        <v>2.0757718021015257E-2</v>
      </c>
      <c r="S5" s="133">
        <v>0</v>
      </c>
      <c r="T5" s="133">
        <v>0.1029897014226711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11.213296012284765</v>
      </c>
      <c r="D7" s="133">
        <v>8.5430805001653987</v>
      </c>
      <c r="E7" s="133">
        <v>4.0131392114534803</v>
      </c>
      <c r="F7" s="133">
        <v>9.1805956667436082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0.97889017865078276</v>
      </c>
      <c r="M7" s="133">
        <v>8.6352161671063818</v>
      </c>
      <c r="N7" s="133">
        <v>2.1728844461961203</v>
      </c>
      <c r="O7" s="133">
        <v>0.63809877868649112</v>
      </c>
      <c r="P7" s="133">
        <v>1.2650835782173655</v>
      </c>
      <c r="Q7" s="133">
        <v>5.4616694956074072</v>
      </c>
      <c r="R7" s="133">
        <v>6.0621829756455083</v>
      </c>
      <c r="S7" s="133">
        <v>9.0441601563201584</v>
      </c>
      <c r="T7" s="133">
        <v>6.1370320376858922</v>
      </c>
      <c r="U7" s="133">
        <v>4.3389386172563746</v>
      </c>
      <c r="V7" s="133">
        <v>2.7234376371008193</v>
      </c>
      <c r="W7" s="133">
        <v>4.956980204098465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10.320227708233112</v>
      </c>
      <c r="D9" s="133">
        <v>0.81628454996121902</v>
      </c>
      <c r="E9" s="133">
        <v>33.740314341816052</v>
      </c>
      <c r="F9" s="133">
        <v>32.411989540504209</v>
      </c>
      <c r="G9" s="133">
        <v>38.227715797648763</v>
      </c>
      <c r="H9" s="133">
        <v>77.909435315911665</v>
      </c>
      <c r="I9" s="133">
        <v>8.9146023326191273</v>
      </c>
      <c r="J9" s="133">
        <v>7.2548738885129724</v>
      </c>
      <c r="K9" s="133">
        <v>6.4797261938970534</v>
      </c>
      <c r="L9" s="133">
        <v>9.6602594400230384</v>
      </c>
      <c r="M9" s="133">
        <v>5.729100463356998</v>
      </c>
      <c r="N9" s="133">
        <v>6.7167198465257458</v>
      </c>
      <c r="O9" s="133">
        <v>16.737650519607936</v>
      </c>
      <c r="P9" s="133">
        <v>14.643024022504276</v>
      </c>
      <c r="Q9" s="133">
        <v>9.9070413831895134</v>
      </c>
      <c r="R9" s="133">
        <v>6.8938330356255513</v>
      </c>
      <c r="S9" s="133">
        <v>9.7964903670730319</v>
      </c>
      <c r="T9" s="133">
        <v>8.6096076233557923</v>
      </c>
      <c r="U9" s="133">
        <v>7.5127704113942739</v>
      </c>
      <c r="V9" s="133">
        <v>5.0988133012946495</v>
      </c>
      <c r="W9" s="133">
        <v>1.9821200729903803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22.761765140981826</v>
      </c>
      <c r="D10" s="133">
        <v>4.8116982835663533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0.98150008281576473</v>
      </c>
      <c r="K10" s="133">
        <v>0</v>
      </c>
      <c r="L10" s="133">
        <v>0</v>
      </c>
      <c r="M10" s="133">
        <v>0</v>
      </c>
      <c r="N10" s="133">
        <v>0</v>
      </c>
      <c r="O10" s="133">
        <v>0.36513095110624977</v>
      </c>
      <c r="P10" s="133">
        <v>2.3575937025076112</v>
      </c>
      <c r="Q10" s="133">
        <v>7.2179761766418737</v>
      </c>
      <c r="R10" s="133">
        <v>5.2010249080649533</v>
      </c>
      <c r="S10" s="133">
        <v>2.3985086439629182</v>
      </c>
      <c r="T10" s="133">
        <v>0.1630291357721044</v>
      </c>
      <c r="U10" s="133">
        <v>0</v>
      </c>
      <c r="V10" s="133">
        <v>0</v>
      </c>
      <c r="W10" s="133">
        <v>0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0.34277035534919298</v>
      </c>
      <c r="D11" s="133">
        <v>0.53671880237874037</v>
      </c>
      <c r="E11" s="133">
        <v>6.7635332207932761E-2</v>
      </c>
      <c r="F11" s="133">
        <v>0</v>
      </c>
      <c r="G11" s="133">
        <v>0</v>
      </c>
      <c r="H11" s="133">
        <v>0</v>
      </c>
      <c r="I11" s="133">
        <v>0.695824101357715</v>
      </c>
      <c r="J11" s="133">
        <v>1.2167534963692521</v>
      </c>
      <c r="K11" s="133">
        <v>0.18994203978760249</v>
      </c>
      <c r="L11" s="133">
        <v>0</v>
      </c>
      <c r="M11" s="133">
        <v>0.30512531483920347</v>
      </c>
      <c r="N11" s="133">
        <v>0.38359014798794422</v>
      </c>
      <c r="O11" s="133">
        <v>1.0858024018493009</v>
      </c>
      <c r="P11" s="133">
        <v>1.1018921414519738</v>
      </c>
      <c r="Q11" s="133">
        <v>0.81033718190124437</v>
      </c>
      <c r="R11" s="133">
        <v>0.69096899168627102</v>
      </c>
      <c r="S11" s="133">
        <v>0.56921872777335392</v>
      </c>
      <c r="T11" s="133">
        <v>1.272991139400449E-2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16.610614111699583</v>
      </c>
      <c r="H12" s="133">
        <v>0</v>
      </c>
      <c r="I12" s="133">
        <v>6.8164269622247575</v>
      </c>
      <c r="J12" s="133">
        <v>10.677759370875812</v>
      </c>
      <c r="K12" s="133">
        <v>6.4554299894341343</v>
      </c>
      <c r="L12" s="133">
        <v>11.091928030605327</v>
      </c>
      <c r="M12" s="133">
        <v>10.110905601977485</v>
      </c>
      <c r="N12" s="133">
        <v>6.74594212769418</v>
      </c>
      <c r="O12" s="133">
        <v>6.2656426492335955</v>
      </c>
      <c r="P12" s="133">
        <v>0.20615104185074445</v>
      </c>
      <c r="Q12" s="133">
        <v>0.5522991317153495</v>
      </c>
      <c r="R12" s="133">
        <v>0.39378711272310091</v>
      </c>
      <c r="S12" s="133">
        <v>0</v>
      </c>
      <c r="T12" s="133">
        <v>0</v>
      </c>
      <c r="U12" s="133">
        <v>0</v>
      </c>
      <c r="V12" s="133">
        <v>1.0892488179888835</v>
      </c>
      <c r="W12" s="133">
        <v>1.1873413415533023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1.870952546780015</v>
      </c>
      <c r="H14" s="65">
        <v>0.36526187483595784</v>
      </c>
      <c r="I14" s="65">
        <v>11.719782813343402</v>
      </c>
      <c r="J14" s="65">
        <v>2.9326459758732106</v>
      </c>
      <c r="K14" s="65">
        <v>2.3296955704247875</v>
      </c>
      <c r="L14" s="65">
        <v>7.2782335091033703</v>
      </c>
      <c r="M14" s="65">
        <v>1.4799838954264686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4.1044224468386972E-2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0.64663393148722692</v>
      </c>
      <c r="D15" s="135">
        <v>0.22854518383884279</v>
      </c>
      <c r="E15" s="135">
        <v>0.71127272163544042</v>
      </c>
      <c r="F15" s="135">
        <v>0.76928051631119421</v>
      </c>
      <c r="G15" s="135">
        <v>0.77070980821253898</v>
      </c>
      <c r="H15" s="135">
        <v>1.3944819664117483</v>
      </c>
      <c r="I15" s="135">
        <v>0.19031832122616038</v>
      </c>
      <c r="J15" s="135">
        <v>0.1864101610864114</v>
      </c>
      <c r="K15" s="135">
        <v>0.13975903962338954</v>
      </c>
      <c r="L15" s="135">
        <v>0.22764676781113016</v>
      </c>
      <c r="M15" s="135">
        <v>0.2849643092024326</v>
      </c>
      <c r="N15" s="135">
        <v>0.17729132233537759</v>
      </c>
      <c r="O15" s="135">
        <v>0.31975502029807823</v>
      </c>
      <c r="P15" s="135">
        <v>0.28422515398195503</v>
      </c>
      <c r="Q15" s="135">
        <v>0.31304487359359107</v>
      </c>
      <c r="R15" s="135">
        <v>0.25507016239218733</v>
      </c>
      <c r="S15" s="135">
        <v>0.32343011420020584</v>
      </c>
      <c r="T15" s="135">
        <v>0.23757322022743921</v>
      </c>
      <c r="U15" s="135">
        <v>0.18864201257689045</v>
      </c>
      <c r="V15" s="135">
        <v>0.12859384123826234</v>
      </c>
      <c r="W15" s="135">
        <v>0.11485787920492949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0.96461999953041</v>
      </c>
      <c r="D16" s="131">
        <f t="shared" si="4"/>
        <v>1.2094128035084253</v>
      </c>
      <c r="E16" s="131">
        <f t="shared" si="4"/>
        <v>1.0788201593937805</v>
      </c>
      <c r="F16" s="131">
        <f t="shared" si="4"/>
        <v>1.2178902175732982</v>
      </c>
      <c r="G16" s="131">
        <f t="shared" si="4"/>
        <v>1.1121503746174046</v>
      </c>
      <c r="H16" s="131">
        <f t="shared" si="4"/>
        <v>1.6736163870809087</v>
      </c>
      <c r="I16" s="131">
        <f t="shared" si="4"/>
        <v>2.3794671585070333</v>
      </c>
      <c r="J16" s="131">
        <f t="shared" si="4"/>
        <v>2.1312370877620017</v>
      </c>
      <c r="K16" s="131">
        <f t="shared" si="4"/>
        <v>1.9607529652914004</v>
      </c>
      <c r="L16" s="131">
        <f t="shared" si="4"/>
        <v>2.3313848628147023</v>
      </c>
      <c r="M16" s="131">
        <f t="shared" si="4"/>
        <v>2.7720676200252412</v>
      </c>
      <c r="N16" s="131">
        <f t="shared" si="4"/>
        <v>4.2675142386491736</v>
      </c>
      <c r="O16" s="131">
        <f t="shared" si="4"/>
        <v>2.7694046586228498</v>
      </c>
      <c r="P16" s="131">
        <f t="shared" si="4"/>
        <v>2.9836384912901783</v>
      </c>
      <c r="Q16" s="131">
        <f t="shared" si="4"/>
        <v>3.6949819589430479</v>
      </c>
      <c r="R16" s="131">
        <f t="shared" ref="R16:W16" si="5">SUM(R17:R18)</f>
        <v>2.6507130198871613</v>
      </c>
      <c r="S16" s="131">
        <f t="shared" si="5"/>
        <v>3.2993594608072563</v>
      </c>
      <c r="T16" s="131">
        <f t="shared" si="5"/>
        <v>2.8853927503810515</v>
      </c>
      <c r="U16" s="131">
        <f t="shared" si="5"/>
        <v>3.4730381695917361</v>
      </c>
      <c r="V16" s="131">
        <f t="shared" si="5"/>
        <v>2.3934943140971399</v>
      </c>
      <c r="W16" s="131">
        <f t="shared" si="5"/>
        <v>3.7759737037847896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0.96461999953041</v>
      </c>
      <c r="D18" s="133">
        <v>1.2094128035084253</v>
      </c>
      <c r="E18" s="133">
        <v>1.0788201593937805</v>
      </c>
      <c r="F18" s="133">
        <v>1.2178902175732982</v>
      </c>
      <c r="G18" s="133">
        <v>1.1121503746174046</v>
      </c>
      <c r="H18" s="133">
        <v>1.6736163870809087</v>
      </c>
      <c r="I18" s="133">
        <v>2.3794671585070333</v>
      </c>
      <c r="J18" s="133">
        <v>2.1312370877620017</v>
      </c>
      <c r="K18" s="133">
        <v>1.9607529652914004</v>
      </c>
      <c r="L18" s="133">
        <v>2.3313848628147023</v>
      </c>
      <c r="M18" s="133">
        <v>2.7720676200252412</v>
      </c>
      <c r="N18" s="133">
        <v>4.2675142386491736</v>
      </c>
      <c r="O18" s="133">
        <v>2.7694046586228498</v>
      </c>
      <c r="P18" s="133">
        <v>2.9836384912901783</v>
      </c>
      <c r="Q18" s="133">
        <v>3.6949819589430479</v>
      </c>
      <c r="R18" s="133">
        <v>2.6507130198871613</v>
      </c>
      <c r="S18" s="133">
        <v>3.2993594608072563</v>
      </c>
      <c r="T18" s="133">
        <v>2.8853927503810515</v>
      </c>
      <c r="U18" s="133">
        <v>3.4730381695917361</v>
      </c>
      <c r="V18" s="133">
        <v>2.3934943140971399</v>
      </c>
      <c r="W18" s="133">
        <v>3.7759737037847896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7.6398691277183346</v>
      </c>
      <c r="D19" s="131">
        <f t="shared" si="6"/>
        <v>1.6056888018365503</v>
      </c>
      <c r="E19" s="131">
        <f t="shared" si="6"/>
        <v>6.2062532612149441</v>
      </c>
      <c r="F19" s="131">
        <f t="shared" si="6"/>
        <v>7.6778532879057737</v>
      </c>
      <c r="G19" s="131">
        <f t="shared" si="6"/>
        <v>8.1825786094289334</v>
      </c>
      <c r="H19" s="131">
        <f t="shared" si="6"/>
        <v>7.3855087120833645</v>
      </c>
      <c r="I19" s="131">
        <f t="shared" si="6"/>
        <v>4.0082133286077575</v>
      </c>
      <c r="J19" s="131">
        <f t="shared" si="6"/>
        <v>4.2728394191217411</v>
      </c>
      <c r="K19" s="131">
        <f t="shared" si="6"/>
        <v>3.4416665688448522</v>
      </c>
      <c r="L19" s="131">
        <f t="shared" si="6"/>
        <v>5.636772092967524</v>
      </c>
      <c r="M19" s="131">
        <f t="shared" si="6"/>
        <v>5.7510509328828183</v>
      </c>
      <c r="N19" s="131">
        <f t="shared" si="6"/>
        <v>4.0852771387727342</v>
      </c>
      <c r="O19" s="131">
        <f t="shared" si="6"/>
        <v>7.4033292468199106</v>
      </c>
      <c r="P19" s="131">
        <f t="shared" si="6"/>
        <v>6.8812345445566194</v>
      </c>
      <c r="Q19" s="131">
        <f t="shared" si="6"/>
        <v>8.7130331099268297</v>
      </c>
      <c r="R19" s="131">
        <f t="shared" ref="R19:W19" si="7">SUM(R20:R27)</f>
        <v>7.2783484603688162</v>
      </c>
      <c r="S19" s="131">
        <f t="shared" si="7"/>
        <v>8.4348653694730924</v>
      </c>
      <c r="T19" s="131">
        <f t="shared" si="7"/>
        <v>5.9673629039840899</v>
      </c>
      <c r="U19" s="131">
        <f t="shared" si="7"/>
        <v>4.9774739126858112</v>
      </c>
      <c r="V19" s="131">
        <f t="shared" si="7"/>
        <v>4.1965076863394914</v>
      </c>
      <c r="W19" s="131">
        <f t="shared" si="7"/>
        <v>4.428968691303937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0.38864688838238365</v>
      </c>
      <c r="D22" s="133">
        <v>0.68310585617213704</v>
      </c>
      <c r="E22" s="133">
        <v>0.21654095737697313</v>
      </c>
      <c r="F22" s="133">
        <v>0.10530661743199377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0.54483551300462318</v>
      </c>
      <c r="M22" s="133">
        <v>0.78879842634154951</v>
      </c>
      <c r="N22" s="133">
        <v>0.96428354143709205</v>
      </c>
      <c r="O22" s="133">
        <v>1.7852794464781248</v>
      </c>
      <c r="P22" s="133">
        <v>1.1193741393884347</v>
      </c>
      <c r="Q22" s="133">
        <v>1.3888801308059413</v>
      </c>
      <c r="R22" s="133">
        <v>1.2495908341064301</v>
      </c>
      <c r="S22" s="133">
        <v>2.3629795361179795</v>
      </c>
      <c r="T22" s="133">
        <v>1.7318348201520588</v>
      </c>
      <c r="U22" s="133">
        <v>1.1639979988338822</v>
      </c>
      <c r="V22" s="133">
        <v>1.005436554944571</v>
      </c>
      <c r="W22" s="133">
        <v>2.0811650833002435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0.80972207685733033</v>
      </c>
      <c r="D23" s="133">
        <v>0.86420251437462259</v>
      </c>
      <c r="E23" s="133">
        <v>1.960079907307813</v>
      </c>
      <c r="F23" s="133">
        <v>6.1155136687827989</v>
      </c>
      <c r="G23" s="133">
        <v>4.6410466400927133</v>
      </c>
      <c r="H23" s="133">
        <v>3.9239617785480982</v>
      </c>
      <c r="I23" s="133">
        <v>0.13679571252588749</v>
      </c>
      <c r="J23" s="133">
        <v>1.2671888595985588</v>
      </c>
      <c r="K23" s="133">
        <v>2.0083772010927095</v>
      </c>
      <c r="L23" s="133">
        <v>2.6118718595744346</v>
      </c>
      <c r="M23" s="133">
        <v>0.98829788648616856</v>
      </c>
      <c r="N23" s="133">
        <v>0.30604539156473337</v>
      </c>
      <c r="O23" s="133">
        <v>2.5948009215200147</v>
      </c>
      <c r="P23" s="133">
        <v>4.4364632238926571</v>
      </c>
      <c r="Q23" s="133">
        <v>6.0879554135567435</v>
      </c>
      <c r="R23" s="133">
        <v>4.8665671571858393</v>
      </c>
      <c r="S23" s="133">
        <v>5.1011886807827009</v>
      </c>
      <c r="T23" s="133">
        <v>3.161432911646533</v>
      </c>
      <c r="U23" s="133">
        <v>2.4627547277661495</v>
      </c>
      <c r="V23" s="133">
        <v>1.9349569009854743</v>
      </c>
      <c r="W23" s="133">
        <v>1.0326560963443916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0.14674794917942452</v>
      </c>
      <c r="D24" s="133">
        <v>0</v>
      </c>
      <c r="E24" s="133">
        <v>0.10042048438769992</v>
      </c>
      <c r="F24" s="133">
        <v>0</v>
      </c>
      <c r="G24" s="133">
        <v>0</v>
      </c>
      <c r="H24" s="133">
        <v>0</v>
      </c>
      <c r="I24" s="133">
        <v>0</v>
      </c>
      <c r="J24" s="133">
        <v>4.6907262089410616E-3</v>
      </c>
      <c r="K24" s="133">
        <v>0.23614925300723735</v>
      </c>
      <c r="L24" s="133">
        <v>0.53376372380205084</v>
      </c>
      <c r="M24" s="133">
        <v>0.54189745334507544</v>
      </c>
      <c r="N24" s="133">
        <v>0.40962663240029734</v>
      </c>
      <c r="O24" s="133">
        <v>0.45808734457989214</v>
      </c>
      <c r="P24" s="133">
        <v>0.11153442912279969</v>
      </c>
      <c r="Q24" s="133">
        <v>2.5722503220759516E-2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0.3865601071154981</v>
      </c>
      <c r="H25" s="133">
        <v>0.65905152234294684</v>
      </c>
      <c r="I25" s="133">
        <v>0.8529501399682059</v>
      </c>
      <c r="J25" s="133">
        <v>1.5414280379813792</v>
      </c>
      <c r="K25" s="133">
        <v>1.1971401147449052</v>
      </c>
      <c r="L25" s="133">
        <v>1.9064651077682715</v>
      </c>
      <c r="M25" s="133">
        <v>1.8451065485922076</v>
      </c>
      <c r="N25" s="133">
        <v>1.3015803628912908</v>
      </c>
      <c r="O25" s="133">
        <v>1.3103390002626807</v>
      </c>
      <c r="P25" s="133">
        <v>5.5260100798174519E-2</v>
      </c>
      <c r="Q25" s="133">
        <v>0.12283156417308079</v>
      </c>
      <c r="R25" s="133">
        <v>4.1093576138987661E-2</v>
      </c>
      <c r="S25" s="133">
        <v>0</v>
      </c>
      <c r="T25" s="133">
        <v>0</v>
      </c>
      <c r="U25" s="133">
        <v>6.279191614857528E-2</v>
      </c>
      <c r="V25" s="133">
        <v>0.36723205393742792</v>
      </c>
      <c r="W25" s="133">
        <v>0.45331901048604978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6.294752213299196</v>
      </c>
      <c r="D26" s="65">
        <v>5.8380431289790626E-2</v>
      </c>
      <c r="E26" s="65">
        <v>3.929211912142458</v>
      </c>
      <c r="F26" s="65">
        <v>1.4570330016909809</v>
      </c>
      <c r="G26" s="65">
        <v>3.1549718622207221</v>
      </c>
      <c r="H26" s="65">
        <v>2.8024954111923202</v>
      </c>
      <c r="I26" s="65">
        <v>2.9953795606710103</v>
      </c>
      <c r="J26" s="65">
        <v>1.4595317953328621</v>
      </c>
      <c r="K26" s="65">
        <v>0</v>
      </c>
      <c r="L26" s="65">
        <v>0</v>
      </c>
      <c r="M26" s="65">
        <v>1.5869506181178172</v>
      </c>
      <c r="N26" s="65">
        <v>1.0420741058982463</v>
      </c>
      <c r="O26" s="65">
        <v>1.2548225339791974</v>
      </c>
      <c r="P26" s="65">
        <v>1.1586026513545538</v>
      </c>
      <c r="Q26" s="65">
        <v>1.0876434981703058</v>
      </c>
      <c r="R26" s="65">
        <v>1.1210968863893189</v>
      </c>
      <c r="S26" s="65">
        <v>0.93456134835196691</v>
      </c>
      <c r="T26" s="65">
        <v>1.0740951721854988</v>
      </c>
      <c r="U26" s="65">
        <v>1.2768924973727174</v>
      </c>
      <c r="V26" s="65">
        <v>0.8888821764720185</v>
      </c>
      <c r="W26" s="65">
        <v>0.53023625015434894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2.3087915442653449E-2</v>
      </c>
      <c r="J27" s="148">
        <v>0</v>
      </c>
      <c r="K27" s="148">
        <v>0</v>
      </c>
      <c r="L27" s="148">
        <v>3.9835888818144753E-2</v>
      </c>
      <c r="M27" s="148">
        <v>0</v>
      </c>
      <c r="N27" s="148">
        <v>6.1667104581073946E-2</v>
      </c>
      <c r="O27" s="148">
        <v>0</v>
      </c>
      <c r="P27" s="148">
        <v>0</v>
      </c>
      <c r="Q27" s="148">
        <v>4.2108192301145054E-18</v>
      </c>
      <c r="R27" s="148">
        <v>6.5482406299295592E-9</v>
      </c>
      <c r="S27" s="148">
        <v>3.6135804220444531E-2</v>
      </c>
      <c r="T27" s="148">
        <v>0</v>
      </c>
      <c r="U27" s="148">
        <v>1.1036772564487001E-2</v>
      </c>
      <c r="V27" s="148">
        <v>0</v>
      </c>
      <c r="W27" s="148">
        <v>0.33159225101890294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8.4567233559354271</v>
      </c>
      <c r="D29" s="131">
        <f t="shared" si="8"/>
        <v>2.1314025645539831</v>
      </c>
      <c r="E29" s="131">
        <f t="shared" si="8"/>
        <v>7.7158944178260338</v>
      </c>
      <c r="F29" s="131">
        <f t="shared" si="8"/>
        <v>10.857021768666346</v>
      </c>
      <c r="G29" s="131">
        <f t="shared" si="8"/>
        <v>11.44072199391343</v>
      </c>
      <c r="H29" s="131">
        <f t="shared" si="8"/>
        <v>9.7522529242671467</v>
      </c>
      <c r="I29" s="131">
        <f t="shared" si="8"/>
        <v>3.1259016400452246</v>
      </c>
      <c r="J29" s="131">
        <f t="shared" si="8"/>
        <v>7.1589658233037268</v>
      </c>
      <c r="K29" s="131">
        <f t="shared" si="8"/>
        <v>5.1442217092179634</v>
      </c>
      <c r="L29" s="131">
        <f t="shared" si="8"/>
        <v>8.23771176406016</v>
      </c>
      <c r="M29" s="131">
        <f t="shared" si="8"/>
        <v>8.6053551904818502</v>
      </c>
      <c r="N29" s="131">
        <f t="shared" si="8"/>
        <v>6.0938460681936171</v>
      </c>
      <c r="O29" s="131">
        <f t="shared" si="8"/>
        <v>11.130761140527149</v>
      </c>
      <c r="P29" s="131">
        <f t="shared" si="8"/>
        <v>10.484542176186885</v>
      </c>
      <c r="Q29" s="131">
        <f t="shared" si="8"/>
        <v>13.557454978274247</v>
      </c>
      <c r="R29" s="131">
        <f t="shared" ref="R29:W29" si="9">SUM(R30:R33)</f>
        <v>10.907525980045229</v>
      </c>
      <c r="S29" s="131">
        <f t="shared" si="9"/>
        <v>12.055796418485615</v>
      </c>
      <c r="T29" s="131">
        <f t="shared" si="9"/>
        <v>8.8915812054717307</v>
      </c>
      <c r="U29" s="131">
        <f t="shared" si="9"/>
        <v>7.864751863331767</v>
      </c>
      <c r="V29" s="131">
        <f t="shared" si="9"/>
        <v>6.396156230334948</v>
      </c>
      <c r="W29" s="131">
        <f t="shared" si="9"/>
        <v>6.3246319050333639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1.2951133672492079</v>
      </c>
      <c r="D30" s="133">
        <v>0.55707390848026705</v>
      </c>
      <c r="E30" s="133">
        <v>2.5092809656212212</v>
      </c>
      <c r="F30" s="133">
        <v>3.9889973576895477</v>
      </c>
      <c r="G30" s="133">
        <v>2.2992630729617516</v>
      </c>
      <c r="H30" s="133">
        <v>0.22314169447737123</v>
      </c>
      <c r="I30" s="133">
        <v>0.34056813587377033</v>
      </c>
      <c r="J30" s="133">
        <v>0</v>
      </c>
      <c r="K30" s="133">
        <v>0</v>
      </c>
      <c r="L30" s="133">
        <v>0</v>
      </c>
      <c r="M30" s="133">
        <v>0</v>
      </c>
      <c r="N30" s="133">
        <v>0.25783597541800651</v>
      </c>
      <c r="O30" s="133">
        <v>0.94875580883588639</v>
      </c>
      <c r="P30" s="133">
        <v>1.6013409543042554</v>
      </c>
      <c r="Q30" s="133">
        <v>2.1310297594885603</v>
      </c>
      <c r="R30" s="133">
        <v>1.3518250938702578</v>
      </c>
      <c r="S30" s="133">
        <v>0.42257530224149831</v>
      </c>
      <c r="T30" s="133">
        <v>0.13873594522989011</v>
      </c>
      <c r="U30" s="133">
        <v>9.9707888709705178E-2</v>
      </c>
      <c r="V30" s="133">
        <v>7.6246633457771371E-2</v>
      </c>
      <c r="W30" s="133">
        <v>0.10678201415606199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3.7333370392251641</v>
      </c>
      <c r="D31" s="133">
        <v>1.574328656073716</v>
      </c>
      <c r="E31" s="133">
        <v>5.2066134522048131</v>
      </c>
      <c r="F31" s="133">
        <v>6.8680244109767985</v>
      </c>
      <c r="G31" s="133">
        <v>9.1414589209516777</v>
      </c>
      <c r="H31" s="133">
        <v>4.6335931424419208</v>
      </c>
      <c r="I31" s="133">
        <v>0.70228135469923092</v>
      </c>
      <c r="J31" s="133">
        <v>0.24568550313008872</v>
      </c>
      <c r="K31" s="133">
        <v>0.37669165630019219</v>
      </c>
      <c r="L31" s="133">
        <v>1.6388530355749518</v>
      </c>
      <c r="M31" s="133">
        <v>2.439426335773526</v>
      </c>
      <c r="N31" s="133">
        <v>2.3739733257497972</v>
      </c>
      <c r="O31" s="133">
        <v>4.3204355189803882</v>
      </c>
      <c r="P31" s="133">
        <v>4.6753674145466162</v>
      </c>
      <c r="Q31" s="133">
        <v>6.610043446847838</v>
      </c>
      <c r="R31" s="133">
        <v>4.9898771280995975</v>
      </c>
      <c r="S31" s="133">
        <v>5.1333391529967374</v>
      </c>
      <c r="T31" s="133">
        <v>2.3115950820366549</v>
      </c>
      <c r="U31" s="133">
        <v>1.7619470073508976</v>
      </c>
      <c r="V31" s="133">
        <v>1.6102473423073815</v>
      </c>
      <c r="W31" s="133">
        <v>1.4497869117628264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3.4282729494610558</v>
      </c>
      <c r="D33" s="68">
        <v>0</v>
      </c>
      <c r="E33" s="68">
        <v>0</v>
      </c>
      <c r="F33" s="68">
        <v>0</v>
      </c>
      <c r="G33" s="68">
        <v>0</v>
      </c>
      <c r="H33" s="68">
        <v>4.8955180873478543</v>
      </c>
      <c r="I33" s="68">
        <v>2.0830521494722234</v>
      </c>
      <c r="J33" s="68">
        <v>6.9132803201736381</v>
      </c>
      <c r="K33" s="68">
        <v>4.7675300529177713</v>
      </c>
      <c r="L33" s="68">
        <v>6.598858728485208</v>
      </c>
      <c r="M33" s="68">
        <v>6.1659288547083246</v>
      </c>
      <c r="N33" s="68">
        <v>3.462036767025813</v>
      </c>
      <c r="O33" s="68">
        <v>5.861569812710874</v>
      </c>
      <c r="P33" s="68">
        <v>4.2078338073360122</v>
      </c>
      <c r="Q33" s="68">
        <v>4.8163817719378477</v>
      </c>
      <c r="R33" s="68">
        <v>4.5658237580753722</v>
      </c>
      <c r="S33" s="68">
        <v>6.499881963247379</v>
      </c>
      <c r="T33" s="68">
        <v>6.441250178205185</v>
      </c>
      <c r="U33" s="68">
        <v>6.0030969672711647</v>
      </c>
      <c r="V33" s="68">
        <v>4.7096622545697953</v>
      </c>
      <c r="W33" s="68">
        <v>4.7680629791144753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0.56970670092808307</v>
      </c>
      <c r="D3" s="127">
        <f>IF(SER_hh_tes_in!D3=0,"",SER_hh_tes_in!D3/SER_hh_fec_in!D3)</f>
        <v>0.56309121340809409</v>
      </c>
      <c r="E3" s="127">
        <f>IF(SER_hh_tes_in!E3=0,"",SER_hh_tes_in!E3/SER_hh_fec_in!E3)</f>
        <v>0.59504376699819161</v>
      </c>
      <c r="F3" s="127">
        <f>IF(SER_hh_tes_in!F3=0,"",SER_hh_tes_in!F3/SER_hh_fec_in!F3)</f>
        <v>0.59104445538558992</v>
      </c>
      <c r="G3" s="127">
        <f>IF(SER_hh_tes_in!G3=0,"",SER_hh_tes_in!G3/SER_hh_fec_in!G3)</f>
        <v>0.64484763681126456</v>
      </c>
      <c r="H3" s="127">
        <f>IF(SER_hh_tes_in!H3=0,"",SER_hh_tes_in!H3/SER_hh_fec_in!H3)</f>
        <v>0.62623540157873514</v>
      </c>
      <c r="I3" s="127">
        <f>IF(SER_hh_tes_in!I3=0,"",SER_hh_tes_in!I3/SER_hh_fec_in!I3)</f>
        <v>0.73115483535454684</v>
      </c>
      <c r="J3" s="127">
        <f>IF(SER_hh_tes_in!J3=0,"",SER_hh_tes_in!J3/SER_hh_fec_in!J3)</f>
        <v>0.753399200169804</v>
      </c>
      <c r="K3" s="127">
        <f>IF(SER_hh_tes_in!K3=0,"",SER_hh_tes_in!K3/SER_hh_fec_in!K3)</f>
        <v>0.75903104831157442</v>
      </c>
      <c r="L3" s="127">
        <f>IF(SER_hh_tes_in!L3=0,"",SER_hh_tes_in!L3/SER_hh_fec_in!L3)</f>
        <v>0.7429962331765666</v>
      </c>
      <c r="M3" s="127">
        <f>IF(SER_hh_tes_in!M3=0,"",SER_hh_tes_in!M3/SER_hh_fec_in!M3)</f>
        <v>0.72440605265056845</v>
      </c>
      <c r="N3" s="127">
        <f>IF(SER_hh_tes_in!N3=0,"",SER_hh_tes_in!N3/SER_hh_fec_in!N3)</f>
        <v>0.78960495735507563</v>
      </c>
      <c r="O3" s="127">
        <f>IF(SER_hh_tes_in!O3=0,"",SER_hh_tes_in!O3/SER_hh_fec_in!O3)</f>
        <v>0.73866352033835114</v>
      </c>
      <c r="P3" s="127">
        <f>IF(SER_hh_tes_in!P3=0,"",SER_hh_tes_in!P3/SER_hh_fec_in!P3)</f>
        <v>0.72718300093449639</v>
      </c>
      <c r="Q3" s="127">
        <f>IF(SER_hh_tes_in!Q3=0,"",SER_hh_tes_in!Q3/SER_hh_fec_in!Q3)</f>
        <v>0.71409417107977202</v>
      </c>
      <c r="R3" s="127">
        <f>IF(SER_hh_tes_in!R3=0,"",SER_hh_tes_in!R3/SER_hh_fec_in!R3)</f>
        <v>0.72371693475750187</v>
      </c>
      <c r="S3" s="127">
        <f>IF(SER_hh_tes_in!S3=0,"",SER_hh_tes_in!S3/SER_hh_fec_in!S3)</f>
        <v>0.75878567394376895</v>
      </c>
      <c r="T3" s="127">
        <f>IF(SER_hh_tes_in!T3=0,"",SER_hh_tes_in!T3/SER_hh_fec_in!T3)</f>
        <v>0.80521851056043214</v>
      </c>
      <c r="U3" s="127">
        <f>IF(SER_hh_tes_in!U3=0,"",SER_hh_tes_in!U3/SER_hh_fec_in!U3)</f>
        <v>0.84825109760719697</v>
      </c>
      <c r="V3" s="127">
        <f>IF(SER_hh_tes_in!V3=0,"",SER_hh_tes_in!V3/SER_hh_fec_in!V3)</f>
        <v>0.85402059078718229</v>
      </c>
      <c r="W3" s="127">
        <f>IF(SER_hh_tes_in!W3=0,"",SER_hh_tes_in!W3/SER_hh_fec_in!W3)</f>
        <v>0.90279223283108345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0.53936216982908392</v>
      </c>
      <c r="D4" s="136">
        <f>IF(SER_hh_tes_in!D4=0,"",SER_hh_tes_in!D4/SER_hh_fec_in!D4)</f>
        <v>0.52889313715497221</v>
      </c>
      <c r="E4" s="136">
        <f>IF(SER_hh_tes_in!E4=0,"",SER_hh_tes_in!E4/SER_hh_fec_in!E4)</f>
        <v>0.57874460514582693</v>
      </c>
      <c r="F4" s="136">
        <f>IF(SER_hh_tes_in!F4=0,"",SER_hh_tes_in!F4/SER_hh_fec_in!F4)</f>
        <v>0.57618434914304917</v>
      </c>
      <c r="G4" s="136">
        <f>IF(SER_hh_tes_in!G4=0,"",SER_hh_tes_in!G4/SER_hh_fec_in!G4)</f>
        <v>0.64837494846323085</v>
      </c>
      <c r="H4" s="136">
        <f>IF(SER_hh_tes_in!H4=0,"",SER_hh_tes_in!H4/SER_hh_fec_in!H4)</f>
        <v>0.60963509081067402</v>
      </c>
      <c r="I4" s="136">
        <f>IF(SER_hh_tes_in!I4=0,"",SER_hh_tes_in!I4/SER_hh_fec_in!I4)</f>
        <v>0.69810191742053229</v>
      </c>
      <c r="J4" s="136">
        <f>IF(SER_hh_tes_in!J4=0,"",SER_hh_tes_in!J4/SER_hh_fec_in!J4)</f>
        <v>0.70847001663103559</v>
      </c>
      <c r="K4" s="136">
        <f>IF(SER_hh_tes_in!K4=0,"",SER_hh_tes_in!K4/SER_hh_fec_in!K4)</f>
        <v>0.70718375235723963</v>
      </c>
      <c r="L4" s="136">
        <f>IF(SER_hh_tes_in!L4=0,"",SER_hh_tes_in!L4/SER_hh_fec_in!L4)</f>
        <v>0.71186657509406126</v>
      </c>
      <c r="M4" s="136">
        <f>IF(SER_hh_tes_in!M4=0,"",SER_hh_tes_in!M4/SER_hh_fec_in!M4)</f>
        <v>0.67452328955126106</v>
      </c>
      <c r="N4" s="136">
        <f>IF(SER_hh_tes_in!N4=0,"",SER_hh_tes_in!N4/SER_hh_fec_in!N4)</f>
        <v>0.70692247467255875</v>
      </c>
      <c r="O4" s="136">
        <f>IF(SER_hh_tes_in!O4=0,"",SER_hh_tes_in!O4/SER_hh_fec_in!O4)</f>
        <v>0.70832326897239439</v>
      </c>
      <c r="P4" s="136">
        <f>IF(SER_hh_tes_in!P4=0,"",SER_hh_tes_in!P4/SER_hh_fec_in!P4)</f>
        <v>0.67693762705843485</v>
      </c>
      <c r="Q4" s="136">
        <f>IF(SER_hh_tes_in!Q4=0,"",SER_hh_tes_in!Q4/SER_hh_fec_in!Q4)</f>
        <v>0.6484066112547201</v>
      </c>
      <c r="R4" s="136">
        <f>IF(SER_hh_tes_in!R4=0,"",SER_hh_tes_in!R4/SER_hh_fec_in!R4)</f>
        <v>0.65719459980278094</v>
      </c>
      <c r="S4" s="136">
        <f>IF(SER_hh_tes_in!S4=0,"",SER_hh_tes_in!S4/SER_hh_fec_in!S4)</f>
        <v>0.68912867179486836</v>
      </c>
      <c r="T4" s="136">
        <f>IF(SER_hh_tes_in!T4=0,"",SER_hh_tes_in!T4/SER_hh_fec_in!T4)</f>
        <v>0.71441575058114648</v>
      </c>
      <c r="U4" s="136">
        <f>IF(SER_hh_tes_in!U4=0,"",SER_hh_tes_in!U4/SER_hh_fec_in!U4)</f>
        <v>0.72307555860830741</v>
      </c>
      <c r="V4" s="136">
        <f>IF(SER_hh_tes_in!V4=0,"",SER_hh_tes_in!V4/SER_hh_fec_in!V4)</f>
        <v>0.74208593003875545</v>
      </c>
      <c r="W4" s="136">
        <f>IF(SER_hh_tes_in!W4=0,"",SER_hh_tes_in!W4/SER_hh_fec_in!W4)</f>
        <v>0.73776250590162351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0.57678953268855304</v>
      </c>
      <c r="D5" s="137">
        <f>IF(SER_hh_tes_in!D5=0,"",SER_hh_tes_in!D5/SER_hh_fec_in!D5)</f>
        <v>0.58388878082256157</v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>
        <f>IF(SER_hh_tes_in!H5=0,"",SER_hh_tes_in!H5/SER_hh_fec_in!H5)</f>
        <v>0.61218287759385115</v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>
        <f>IF(SER_hh_tes_in!L5=0,"",SER_hh_tes_in!L5/SER_hh_fec_in!L5)</f>
        <v>0.64016305519667571</v>
      </c>
      <c r="M5" s="137">
        <f>IF(SER_hh_tes_in!M5=0,"",SER_hh_tes_in!M5/SER_hh_fec_in!M5)</f>
        <v>0.64672945082731914</v>
      </c>
      <c r="N5" s="137">
        <f>IF(SER_hh_tes_in!N5=0,"",SER_hh_tes_in!N5/SER_hh_fec_in!N5)</f>
        <v>0.65280651650265464</v>
      </c>
      <c r="O5" s="137">
        <f>IF(SER_hh_tes_in!O5=0,"",SER_hh_tes_in!O5/SER_hh_fec_in!O5)</f>
        <v>0.65840313960952745</v>
      </c>
      <c r="P5" s="137">
        <f>IF(SER_hh_tes_in!P5=0,"",SER_hh_tes_in!P5/SER_hh_fec_in!P5)</f>
        <v>0.66391671727605117</v>
      </c>
      <c r="Q5" s="137">
        <f>IF(SER_hh_tes_in!Q5=0,"",SER_hh_tes_in!Q5/SER_hh_fec_in!Q5)</f>
        <v>0.67050376574304482</v>
      </c>
      <c r="R5" s="137">
        <f>IF(SER_hh_tes_in!R5=0,"",SER_hh_tes_in!R5/SER_hh_fec_in!R5)</f>
        <v>0.6796464331876797</v>
      </c>
      <c r="S5" s="137" t="str">
        <f>IF(SER_hh_tes_in!S5=0,"",SER_hh_tes_in!S5/SER_hh_fec_in!S5)</f>
        <v/>
      </c>
      <c r="T5" s="137">
        <f>IF(SER_hh_tes_in!T5=0,"",SER_hh_tes_in!T5/SER_hh_fec_in!T5)</f>
        <v>0.70132992765815572</v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0.49682335970513913</v>
      </c>
      <c r="D7" s="137">
        <f>IF(SER_hh_tes_in!D7=0,"",SER_hh_tes_in!D7/SER_hh_fec_in!D7)</f>
        <v>0.50265298983945705</v>
      </c>
      <c r="E7" s="137">
        <f>IF(SER_hh_tes_in!E7=0,"",SER_hh_tes_in!E7/SER_hh_fec_in!E7)</f>
        <v>0.50868955945293226</v>
      </c>
      <c r="F7" s="137">
        <f>IF(SER_hh_tes_in!F7=0,"",SER_hh_tes_in!F7/SER_hh_fec_in!F7)</f>
        <v>0.5146973591289935</v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>
        <f>IF(SER_hh_tes_in!L7=0,"",SER_hh_tes_in!L7/SER_hh_fec_in!L7)</f>
        <v>0.55610278576412342</v>
      </c>
      <c r="M7" s="137">
        <f>IF(SER_hh_tes_in!M7=0,"",SER_hh_tes_in!M7/SER_hh_fec_in!M7)</f>
        <v>0.5689607618925544</v>
      </c>
      <c r="N7" s="137">
        <f>IF(SER_hh_tes_in!N7=0,"",SER_hh_tes_in!N7/SER_hh_fec_in!N7)</f>
        <v>0.58789879150649282</v>
      </c>
      <c r="O7" s="137">
        <f>IF(SER_hh_tes_in!O7=0,"",SER_hh_tes_in!O7/SER_hh_fec_in!O7)</f>
        <v>0.61362044744242961</v>
      </c>
      <c r="P7" s="137">
        <f>IF(SER_hh_tes_in!P7=0,"",SER_hh_tes_in!P7/SER_hh_fec_in!P7)</f>
        <v>0.64310678712001312</v>
      </c>
      <c r="Q7" s="137">
        <f>IF(SER_hh_tes_in!Q7=0,"",SER_hh_tes_in!Q7/SER_hh_fec_in!Q7)</f>
        <v>0.66750979297877711</v>
      </c>
      <c r="R7" s="137">
        <f>IF(SER_hh_tes_in!R7=0,"",SER_hh_tes_in!R7/SER_hh_fec_in!R7)</f>
        <v>0.6794460028489191</v>
      </c>
      <c r="S7" s="137">
        <f>IF(SER_hh_tes_in!S7=0,"",SER_hh_tes_in!S7/SER_hh_fec_in!S7)</f>
        <v>0.68798621396370285</v>
      </c>
      <c r="T7" s="137">
        <f>IF(SER_hh_tes_in!T7=0,"",SER_hh_tes_in!T7/SER_hh_fec_in!T7)</f>
        <v>0.69424268570525882</v>
      </c>
      <c r="U7" s="137">
        <f>IF(SER_hh_tes_in!U7=0,"",SER_hh_tes_in!U7/SER_hh_fec_in!U7)</f>
        <v>0.69911620419940768</v>
      </c>
      <c r="V7" s="137">
        <f>IF(SER_hh_tes_in!V7=0,"",SER_hh_tes_in!V7/SER_hh_fec_in!V7)</f>
        <v>0.70334448539638639</v>
      </c>
      <c r="W7" s="137">
        <f>IF(SER_hh_tes_in!W7=0,"",SER_hh_tes_in!W7/SER_hh_fec_in!W7)</f>
        <v>0.70607706381362234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0.56784480698570639</v>
      </c>
      <c r="D9" s="137">
        <f>IF(SER_hh_tes_in!D9=0,"",SER_hh_tes_in!D9/SER_hh_fec_in!D9)</f>
        <v>0.57533197879979858</v>
      </c>
      <c r="E9" s="137">
        <f>IF(SER_hh_tes_in!E9=0,"",SER_hh_tes_in!E9/SER_hh_fec_in!E9)</f>
        <v>0.58282158403809525</v>
      </c>
      <c r="F9" s="137">
        <f>IF(SER_hh_tes_in!F9=0,"",SER_hh_tes_in!F9/SER_hh_fec_in!F9)</f>
        <v>0.59021876633133652</v>
      </c>
      <c r="G9" s="137">
        <f>IF(SER_hh_tes_in!G9=0,"",SER_hh_tes_in!G9/SER_hh_fec_in!G9)</f>
        <v>0.59761101210900591</v>
      </c>
      <c r="H9" s="137">
        <f>IF(SER_hh_tes_in!H9=0,"",SER_hh_tes_in!H9/SER_hh_fec_in!H9)</f>
        <v>0.60498852116783519</v>
      </c>
      <c r="I9" s="137">
        <f>IF(SER_hh_tes_in!I9=0,"",SER_hh_tes_in!I9/SER_hh_fec_in!I9)</f>
        <v>0.61237376784639908</v>
      </c>
      <c r="J9" s="137">
        <f>IF(SER_hh_tes_in!J9=0,"",SER_hh_tes_in!J9/SER_hh_fec_in!J9)</f>
        <v>0.61985672179892637</v>
      </c>
      <c r="K9" s="137">
        <f>IF(SER_hh_tes_in!K9=0,"",SER_hh_tes_in!K9/SER_hh_fec_in!K9)</f>
        <v>0.6275150249691771</v>
      </c>
      <c r="L9" s="137">
        <f>IF(SER_hh_tes_in!L9=0,"",SER_hh_tes_in!L9/SER_hh_fec_in!L9)</f>
        <v>0.63537145416839369</v>
      </c>
      <c r="M9" s="137">
        <f>IF(SER_hh_tes_in!M9=0,"",SER_hh_tes_in!M9/SER_hh_fec_in!M9)</f>
        <v>0.64541388143033429</v>
      </c>
      <c r="N9" s="137">
        <f>IF(SER_hh_tes_in!N9=0,"",SER_hh_tes_in!N9/SER_hh_fec_in!N9)</f>
        <v>0.65830050071476143</v>
      </c>
      <c r="O9" s="137">
        <f>IF(SER_hh_tes_in!O9=0,"",SER_hh_tes_in!O9/SER_hh_fec_in!O9)</f>
        <v>0.67441179128339512</v>
      </c>
      <c r="P9" s="137">
        <f>IF(SER_hh_tes_in!P9=0,"",SER_hh_tes_in!P9/SER_hh_fec_in!P9)</f>
        <v>0.69230520374796889</v>
      </c>
      <c r="Q9" s="137">
        <f>IF(SER_hh_tes_in!Q9=0,"",SER_hh_tes_in!Q9/SER_hh_fec_in!Q9)</f>
        <v>0.70747773662895963</v>
      </c>
      <c r="R9" s="137">
        <f>IF(SER_hh_tes_in!R9=0,"",SER_hh_tes_in!R9/SER_hh_fec_in!R9)</f>
        <v>0.71610136710636318</v>
      </c>
      <c r="S9" s="137">
        <f>IF(SER_hh_tes_in!S9=0,"",SER_hh_tes_in!S9/SER_hh_fec_in!S9)</f>
        <v>0.72275832205668367</v>
      </c>
      <c r="T9" s="137">
        <f>IF(SER_hh_tes_in!T9=0,"",SER_hh_tes_in!T9/SER_hh_fec_in!T9)</f>
        <v>0.72806317350850625</v>
      </c>
      <c r="U9" s="137">
        <f>IF(SER_hh_tes_in!U9=0,"",SER_hh_tes_in!U9/SER_hh_fec_in!U9)</f>
        <v>0.7324802002894697</v>
      </c>
      <c r="V9" s="137">
        <f>IF(SER_hh_tes_in!V9=0,"",SER_hh_tes_in!V9/SER_hh_fec_in!V9)</f>
        <v>0.7363147599771851</v>
      </c>
      <c r="W9" s="137">
        <f>IF(SER_hh_tes_in!W9=0,"",SER_hh_tes_in!W9/SER_hh_fec_in!W9)</f>
        <v>0.73896763611504357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0.54027887772369376</v>
      </c>
      <c r="D10" s="137">
        <f>IF(SER_hh_tes_in!D10=0,"",SER_hh_tes_in!D10/SER_hh_fec_in!D10)</f>
        <v>0.54054979415922122</v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 t="str">
        <f>IF(SER_hh_tes_in!I10=0,"",SER_hh_tes_in!I10/SER_hh_fec_in!I10)</f>
        <v/>
      </c>
      <c r="J10" s="137">
        <f>IF(SER_hh_tes_in!J10=0,"",SER_hh_tes_in!J10/SER_hh_fec_in!J10)</f>
        <v>0.54221884104831264</v>
      </c>
      <c r="K10" s="137" t="str">
        <f>IF(SER_hh_tes_in!K10=0,"",SER_hh_tes_in!K10/SER_hh_fec_in!K10)</f>
        <v/>
      </c>
      <c r="L10" s="137" t="str">
        <f>IF(SER_hh_tes_in!L10=0,"",SER_hh_tes_in!L10/SER_hh_fec_in!L10)</f>
        <v/>
      </c>
      <c r="M10" s="137" t="str">
        <f>IF(SER_hh_tes_in!M10=0,"",SER_hh_tes_in!M10/SER_hh_fec_in!M10)</f>
        <v/>
      </c>
      <c r="N10" s="137" t="str">
        <f>IF(SER_hh_tes_in!N10=0,"",SER_hh_tes_in!N10/SER_hh_fec_in!N10)</f>
        <v/>
      </c>
      <c r="O10" s="137">
        <f>IF(SER_hh_tes_in!O10=0,"",SER_hh_tes_in!O10/SER_hh_fec_in!O10)</f>
        <v>0.54344425400249152</v>
      </c>
      <c r="P10" s="137">
        <f>IF(SER_hh_tes_in!P10=0,"",SER_hh_tes_in!P10/SER_hh_fec_in!P10)</f>
        <v>0.5436063776793264</v>
      </c>
      <c r="Q10" s="137">
        <f>IF(SER_hh_tes_in!Q10=0,"",SER_hh_tes_in!Q10/SER_hh_fec_in!Q10)</f>
        <v>0.5437993894772738</v>
      </c>
      <c r="R10" s="137">
        <f>IF(SER_hh_tes_in!R10=0,"",SER_hh_tes_in!R10/SER_hh_fec_in!R10)</f>
        <v>0.54408397927854857</v>
      </c>
      <c r="S10" s="137">
        <f>IF(SER_hh_tes_in!S10=0,"",SER_hh_tes_in!S10/SER_hh_fec_in!S10)</f>
        <v>0.5444029393256965</v>
      </c>
      <c r="T10" s="137">
        <f>IF(SER_hh_tes_in!T10=0,"",SER_hh_tes_in!T10/SER_hh_fec_in!T10)</f>
        <v>0.54472344650733417</v>
      </c>
      <c r="U10" s="137" t="str">
        <f>IF(SER_hh_tes_in!U10=0,"",SER_hh_tes_in!U10/SER_hh_fec_in!U10)</f>
        <v/>
      </c>
      <c r="V10" s="137" t="str">
        <f>IF(SER_hh_tes_in!V10=0,"",SER_hh_tes_in!V10/SER_hh_fec_in!V10)</f>
        <v/>
      </c>
      <c r="W10" s="137" t="str">
        <f>IF(SER_hh_tes_in!W10=0,"",SER_hh_tes_in!W10/SER_hh_fec_in!W10)</f>
        <v/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0.76526845435022695</v>
      </c>
      <c r="D11" s="137">
        <f>IF(SER_hh_tes_in!D11=0,"",SER_hh_tes_in!D11/SER_hh_fec_in!D11)</f>
        <v>0.7693652214583897</v>
      </c>
      <c r="E11" s="137">
        <f>IF(SER_hh_tes_in!E11=0,"",SER_hh_tes_in!E11/SER_hh_fec_in!E11)</f>
        <v>0.77346261230790103</v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>
        <f>IF(SER_hh_tes_in!I11=0,"",SER_hh_tes_in!I11/SER_hh_fec_in!I11)</f>
        <v>0.78985590340545841</v>
      </c>
      <c r="J11" s="137">
        <f>IF(SER_hh_tes_in!J11=0,"",SER_hh_tes_in!J11/SER_hh_fec_in!J11)</f>
        <v>0.79395623249140479</v>
      </c>
      <c r="K11" s="137">
        <f>IF(SER_hh_tes_in!K11=0,"",SER_hh_tes_in!K11/SER_hh_fec_in!K11)</f>
        <v>0.79805811068865662</v>
      </c>
      <c r="L11" s="137" t="str">
        <f>IF(SER_hh_tes_in!L11=0,"",SER_hh_tes_in!L11/SER_hh_fec_in!L11)</f>
        <v/>
      </c>
      <c r="M11" s="137">
        <f>IF(SER_hh_tes_in!M11=0,"",SER_hh_tes_in!M11/SER_hh_fec_in!M11)</f>
        <v>0.8063090413278482</v>
      </c>
      <c r="N11" s="137">
        <f>IF(SER_hh_tes_in!N11=0,"",SER_hh_tes_in!N11/SER_hh_fec_in!N11)</f>
        <v>0.81051606224066641</v>
      </c>
      <c r="O11" s="137">
        <f>IF(SER_hh_tes_in!O11=0,"",SER_hh_tes_in!O11/SER_hh_fec_in!O11)</f>
        <v>0.81476355685596702</v>
      </c>
      <c r="P11" s="137">
        <f>IF(SER_hh_tes_in!P11=0,"",SER_hh_tes_in!P11/SER_hh_fec_in!P11)</f>
        <v>0.81896274109645673</v>
      </c>
      <c r="Q11" s="137">
        <f>IF(SER_hh_tes_in!Q11=0,"",SER_hh_tes_in!Q11/SER_hh_fec_in!Q11)</f>
        <v>0.82286662298818003</v>
      </c>
      <c r="R11" s="137">
        <f>IF(SER_hh_tes_in!R11=0,"",SER_hh_tes_in!R11/SER_hh_fec_in!R11)</f>
        <v>0.82627250782073758</v>
      </c>
      <c r="S11" s="137">
        <f>IF(SER_hh_tes_in!S11=0,"",SER_hh_tes_in!S11/SER_hh_fec_in!S11)</f>
        <v>0.82940891075201628</v>
      </c>
      <c r="T11" s="137">
        <f>IF(SER_hh_tes_in!T11=0,"",SER_hh_tes_in!T11/SER_hh_fec_in!T11)</f>
        <v>0.83233083379128481</v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 t="str">
        <f>IF(SER_hh_tes_in!F12=0,"",SER_hh_tes_in!F12/SER_hh_fec_in!F12)</f>
        <v/>
      </c>
      <c r="G12" s="137">
        <f>IF(SER_hh_tes_in!G12=0,"",SER_hh_tes_in!G12/SER_hh_fec_in!G12)</f>
        <v>0.78039718684815207</v>
      </c>
      <c r="H12" s="137" t="str">
        <f>IF(SER_hh_tes_in!H12=0,"",SER_hh_tes_in!H12/SER_hh_fec_in!H12)</f>
        <v/>
      </c>
      <c r="I12" s="137">
        <f>IF(SER_hh_tes_in!I12=0,"",SER_hh_tes_in!I12/SER_hh_fec_in!I12)</f>
        <v>0.78613793638891516</v>
      </c>
      <c r="J12" s="137">
        <f>IF(SER_hh_tes_in!J12=0,"",SER_hh_tes_in!J12/SER_hh_fec_in!J12)</f>
        <v>0.78917296611787968</v>
      </c>
      <c r="K12" s="137">
        <f>IF(SER_hh_tes_in!K12=0,"",SER_hh_tes_in!K12/SER_hh_fec_in!K12)</f>
        <v>0.79238431192034253</v>
      </c>
      <c r="L12" s="137">
        <f>IF(SER_hh_tes_in!L12=0,"",SER_hh_tes_in!L12/SER_hh_fec_in!L12)</f>
        <v>0.79578476356329342</v>
      </c>
      <c r="M12" s="137">
        <f>IF(SER_hh_tes_in!M12=0,"",SER_hh_tes_in!M12/SER_hh_fec_in!M12)</f>
        <v>0.800493113378695</v>
      </c>
      <c r="N12" s="137">
        <f>IF(SER_hh_tes_in!N12=0,"",SER_hh_tes_in!N12/SER_hh_fec_in!N12)</f>
        <v>0.80686309543451495</v>
      </c>
      <c r="O12" s="137">
        <f>IF(SER_hh_tes_in!O12=0,"",SER_hh_tes_in!O12/SER_hh_fec_in!O12)</f>
        <v>0.81520480062509393</v>
      </c>
      <c r="P12" s="137">
        <f>IF(SER_hh_tes_in!P12=0,"",SER_hh_tes_in!P12/SER_hh_fec_in!P12)</f>
        <v>0.82492825828896499</v>
      </c>
      <c r="Q12" s="137">
        <f>IF(SER_hh_tes_in!Q12=0,"",SER_hh_tes_in!Q12/SER_hh_fec_in!Q12)</f>
        <v>0.8341021174987836</v>
      </c>
      <c r="R12" s="137">
        <f>IF(SER_hh_tes_in!R12=0,"",SER_hh_tes_in!R12/SER_hh_fec_in!R12)</f>
        <v>0.84113173962575871</v>
      </c>
      <c r="S12" s="137" t="str">
        <f>IF(SER_hh_tes_in!S12=0,"",SER_hh_tes_in!S12/SER_hh_fec_in!S12)</f>
        <v/>
      </c>
      <c r="T12" s="137" t="str">
        <f>IF(SER_hh_tes_in!T12=0,"",SER_hh_tes_in!T12/SER_hh_fec_in!T12)</f>
        <v/>
      </c>
      <c r="U12" s="137" t="str">
        <f>IF(SER_hh_tes_in!U12=0,"",SER_hh_tes_in!U12/SER_hh_fec_in!U12)</f>
        <v/>
      </c>
      <c r="V12" s="137">
        <f>IF(SER_hh_tes_in!V12=0,"",SER_hh_tes_in!V12/SER_hh_fec_in!V12)</f>
        <v>0.8668835497758941</v>
      </c>
      <c r="W12" s="137">
        <f>IF(SER_hh_tes_in!W12=0,"",SER_hh_tes_in!W12/SER_hh_fec_in!W12)</f>
        <v>0.87240293595585072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 t="str">
        <f>IF(SER_hh_tes_in!C13=0,"",SER_hh_tes_in!C13/SER_hh_fec_in!C13)</f>
        <v/>
      </c>
      <c r="D13" s="137" t="str">
        <f>IF(SER_hh_tes_in!D13=0,"",SER_hh_tes_in!D13/SER_hh_fec_in!D13)</f>
        <v/>
      </c>
      <c r="E13" s="137" t="str">
        <f>IF(SER_hh_tes_in!E13=0,"",SER_hh_tes_in!E13/SER_hh_fec_in!E13)</f>
        <v/>
      </c>
      <c r="F13" s="137" t="str">
        <f>IF(SER_hh_tes_in!F13=0,"",SER_hh_tes_in!F13/SER_hh_fec_in!F13)</f>
        <v/>
      </c>
      <c r="G13" s="137" t="str">
        <f>IF(SER_hh_tes_in!G13=0,"",SER_hh_tes_in!G13/SER_hh_fec_in!G13)</f>
        <v/>
      </c>
      <c r="H13" s="137" t="str">
        <f>IF(SER_hh_tes_in!H13=0,"",SER_hh_tes_in!H13/SER_hh_fec_in!H13)</f>
        <v/>
      </c>
      <c r="I13" s="137" t="str">
        <f>IF(SER_hh_tes_in!I13=0,"",SER_hh_tes_in!I13/SER_hh_fec_in!I13)</f>
        <v/>
      </c>
      <c r="J13" s="137" t="str">
        <f>IF(SER_hh_tes_in!J13=0,"",SER_hh_tes_in!J13/SER_hh_fec_in!J13)</f>
        <v/>
      </c>
      <c r="K13" s="137" t="str">
        <f>IF(SER_hh_tes_in!K13=0,"",SER_hh_tes_in!K13/SER_hh_fec_in!K13)</f>
        <v/>
      </c>
      <c r="L13" s="137" t="str">
        <f>IF(SER_hh_tes_in!L13=0,"",SER_hh_tes_in!L13/SER_hh_fec_in!L13)</f>
        <v/>
      </c>
      <c r="M13" s="137" t="str">
        <f>IF(SER_hh_tes_in!M13=0,"",SER_hh_tes_in!M13/SER_hh_fec_in!M13)</f>
        <v/>
      </c>
      <c r="N13" s="137" t="str">
        <f>IF(SER_hh_tes_in!N13=0,"",SER_hh_tes_in!N13/SER_hh_fec_in!N13)</f>
        <v/>
      </c>
      <c r="O13" s="137" t="str">
        <f>IF(SER_hh_tes_in!O13=0,"",SER_hh_tes_in!O13/SER_hh_fec_in!O13)</f>
        <v/>
      </c>
      <c r="P13" s="137" t="str">
        <f>IF(SER_hh_tes_in!P13=0,"",SER_hh_tes_in!P13/SER_hh_fec_in!P13)</f>
        <v/>
      </c>
      <c r="Q13" s="137" t="str">
        <f>IF(SER_hh_tes_in!Q13=0,"",SER_hh_tes_in!Q13/SER_hh_fec_in!Q13)</f>
        <v/>
      </c>
      <c r="R13" s="137" t="str">
        <f>IF(SER_hh_tes_in!R13=0,"",SER_hh_tes_in!R13/SER_hh_fec_in!R13)</f>
        <v/>
      </c>
      <c r="S13" s="137" t="str">
        <f>IF(SER_hh_tes_in!S13=0,"",SER_hh_tes_in!S13/SER_hh_fec_in!S13)</f>
        <v/>
      </c>
      <c r="T13" s="137" t="str">
        <f>IF(SER_hh_tes_in!T13=0,"",SER_hh_tes_in!T13/SER_hh_fec_in!T13)</f>
        <v/>
      </c>
      <c r="U13" s="137" t="str">
        <f>IF(SER_hh_tes_in!U13=0,"",SER_hh_tes_in!U13/SER_hh_fec_in!U13)</f>
        <v/>
      </c>
      <c r="V13" s="137" t="str">
        <f>IF(SER_hh_tes_in!V13=0,"",SER_hh_tes_in!V13/SER_hh_fec_in!V13)</f>
        <v/>
      </c>
      <c r="W13" s="137" t="str">
        <f>IF(SER_hh_tes_in!W13=0,"",SER_hh_tes_in!W13/SER_hh_fec_in!W13)</f>
        <v/>
      </c>
      <c r="DA13" s="164" t="s">
        <v>671</v>
      </c>
    </row>
    <row r="14" spans="1:105" ht="12" customHeight="1" x14ac:dyDescent="0.25">
      <c r="A14" s="60" t="s">
        <v>76</v>
      </c>
      <c r="B14" s="138"/>
      <c r="C14" s="138" t="str">
        <f>IF(SER_hh_tes_in!C14=0,"",SER_hh_tes_in!C14/SER_hh_fec_in!C14)</f>
        <v/>
      </c>
      <c r="D14" s="138" t="str">
        <f>IF(SER_hh_tes_in!D14=0,"",SER_hh_tes_in!D14/SER_hh_fec_in!D14)</f>
        <v/>
      </c>
      <c r="E14" s="138" t="str">
        <f>IF(SER_hh_tes_in!E14=0,"",SER_hh_tes_in!E14/SER_hh_fec_in!E14)</f>
        <v/>
      </c>
      <c r="F14" s="138" t="str">
        <f>IF(SER_hh_tes_in!F14=0,"",SER_hh_tes_in!F14/SER_hh_fec_in!F14)</f>
        <v/>
      </c>
      <c r="G14" s="138">
        <f>IF(SER_hh_tes_in!G14=0,"",SER_hh_tes_in!G14/SER_hh_fec_in!G14)</f>
        <v>0.71157573407136665</v>
      </c>
      <c r="H14" s="138">
        <f>IF(SER_hh_tes_in!H14=0,"",SER_hh_tes_in!H14/SER_hh_fec_in!H14)</f>
        <v>0.7154217910833871</v>
      </c>
      <c r="I14" s="138">
        <f>IF(SER_hh_tes_in!I14=0,"",SER_hh_tes_in!I14/SER_hh_fec_in!I14)</f>
        <v>0.71936123550574604</v>
      </c>
      <c r="J14" s="138">
        <f>IF(SER_hh_tes_in!J14=0,"",SER_hh_tes_in!J14/SER_hh_fec_in!J14)</f>
        <v>0.72346672071970386</v>
      </c>
      <c r="K14" s="138">
        <f>IF(SER_hh_tes_in!K14=0,"",SER_hh_tes_in!K14/SER_hh_fec_in!K14)</f>
        <v>0.727799808825219</v>
      </c>
      <c r="L14" s="138">
        <f>IF(SER_hh_tes_in!L14=0,"",SER_hh_tes_in!L14/SER_hh_fec_in!L14)</f>
        <v>0.73237653451060314</v>
      </c>
      <c r="M14" s="138">
        <f>IF(SER_hh_tes_in!M14=0,"",SER_hh_tes_in!M14/SER_hh_fec_in!M14)</f>
        <v>0.73846173245324243</v>
      </c>
      <c r="N14" s="138" t="str">
        <f>IF(SER_hh_tes_in!N14=0,"",SER_hh_tes_in!N14/SER_hh_fec_in!N14)</f>
        <v/>
      </c>
      <c r="O14" s="138" t="str">
        <f>IF(SER_hh_tes_in!O14=0,"",SER_hh_tes_in!O14/SER_hh_fec_in!O14)</f>
        <v/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 t="str">
        <f>IF(SER_hh_tes_in!R14=0,"",SER_hh_tes_in!R14/SER_hh_fec_in!R14)</f>
        <v/>
      </c>
      <c r="S14" s="138" t="str">
        <f>IF(SER_hh_tes_in!S14=0,"",SER_hh_tes_in!S14/SER_hh_fec_in!S14)</f>
        <v/>
      </c>
      <c r="T14" s="138" t="str">
        <f>IF(SER_hh_tes_in!T14=0,"",SER_hh_tes_in!T14/SER_hh_fec_in!T14)</f>
        <v/>
      </c>
      <c r="U14" s="138" t="str">
        <f>IF(SER_hh_tes_in!U14=0,"",SER_hh_tes_in!U14/SER_hh_fec_in!U14)</f>
        <v/>
      </c>
      <c r="V14" s="138" t="str">
        <f>IF(SER_hh_tes_in!V14=0,"",SER_hh_tes_in!V14/SER_hh_fec_in!V14)</f>
        <v/>
      </c>
      <c r="W14" s="138">
        <f>IF(SER_hh_tes_in!W14=0,"",SER_hh_tes_in!W14/SER_hh_fec_in!W14)</f>
        <v>0.86034030788422988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2.0970993097876396</v>
      </c>
      <c r="D16" s="136">
        <f>IF(SER_hh_tes_in!D16=0,"",SER_hh_tes_in!D16/SER_hh_fec_in!D16)</f>
        <v>2.1608715739240805</v>
      </c>
      <c r="E16" s="136">
        <f>IF(SER_hh_tes_in!E16=0,"",SER_hh_tes_in!E16/SER_hh_fec_in!E16)</f>
        <v>2.225317185352409</v>
      </c>
      <c r="F16" s="136">
        <f>IF(SER_hh_tes_in!F16=0,"",SER_hh_tes_in!F16/SER_hh_fec_in!F16)</f>
        <v>2.28983200951635</v>
      </c>
      <c r="G16" s="136">
        <f>IF(SER_hh_tes_in!G16=0,"",SER_hh_tes_in!G16/SER_hh_fec_in!G16)</f>
        <v>2.3549598841650474</v>
      </c>
      <c r="H16" s="136">
        <f>IF(SER_hh_tes_in!H16=0,"",SER_hh_tes_in!H16/SER_hh_fec_in!H16)</f>
        <v>2.4206307162072713</v>
      </c>
      <c r="I16" s="136">
        <f>IF(SER_hh_tes_in!I16=0,"",SER_hh_tes_in!I16/SER_hh_fec_in!I16)</f>
        <v>2.486974833726423</v>
      </c>
      <c r="J16" s="136">
        <f>IF(SER_hh_tes_in!J16=0,"",SER_hh_tes_in!J16/SER_hh_fec_in!J16)</f>
        <v>2.5545343425967153</v>
      </c>
      <c r="K16" s="136">
        <f>IF(SER_hh_tes_in!K16=0,"",SER_hh_tes_in!K16/SER_hh_fec_in!K16)</f>
        <v>2.6237650570139901</v>
      </c>
      <c r="L16" s="136">
        <f>IF(SER_hh_tes_in!L16=0,"",SER_hh_tes_in!L16/SER_hh_fec_in!L16)</f>
        <v>2.6947796743690873</v>
      </c>
      <c r="M16" s="136">
        <f>IF(SER_hh_tes_in!M16=0,"",SER_hh_tes_in!M16/SER_hh_fec_in!M16)</f>
        <v>2.7795999431764553</v>
      </c>
      <c r="N16" s="136">
        <f>IF(SER_hh_tes_in!N16=0,"",SER_hh_tes_in!N16/SER_hh_fec_in!N16)</f>
        <v>2.8821601013670732</v>
      </c>
      <c r="O16" s="136">
        <f>IF(SER_hh_tes_in!O16=0,"",SER_hh_tes_in!O16/SER_hh_fec_in!O16)</f>
        <v>3.0046351837698637</v>
      </c>
      <c r="P16" s="136">
        <f>IF(SER_hh_tes_in!P16=0,"",SER_hh_tes_in!P16/SER_hh_fec_in!P16)</f>
        <v>3.1374567733685472</v>
      </c>
      <c r="Q16" s="136">
        <f>IF(SER_hh_tes_in!Q16=0,"",SER_hh_tes_in!Q16/SER_hh_fec_in!Q16)</f>
        <v>3.2516014673577929</v>
      </c>
      <c r="R16" s="136">
        <f>IF(SER_hh_tes_in!R16=0,"",SER_hh_tes_in!R16/SER_hh_fec_in!R16)</f>
        <v>3.323211078999281</v>
      </c>
      <c r="S16" s="136">
        <f>IF(SER_hh_tes_in!S16=0,"",SER_hh_tes_in!S16/SER_hh_fec_in!S16)</f>
        <v>3.3802088138767301</v>
      </c>
      <c r="T16" s="136">
        <f>IF(SER_hh_tes_in!T16=0,"",SER_hh_tes_in!T16/SER_hh_fec_in!T16)</f>
        <v>3.4278325911081149</v>
      </c>
      <c r="U16" s="136">
        <f>IF(SER_hh_tes_in!U16=0,"",SER_hh_tes_in!U16/SER_hh_fec_in!U16)</f>
        <v>3.4711879305604918</v>
      </c>
      <c r="V16" s="136">
        <f>IF(SER_hh_tes_in!V16=0,"",SER_hh_tes_in!V16/SER_hh_fec_in!V16)</f>
        <v>3.5153934418837687</v>
      </c>
      <c r="W16" s="136">
        <f>IF(SER_hh_tes_in!W16=0,"",SER_hh_tes_in!W16/SER_hh_fec_in!W16)</f>
        <v>3.5586712549567654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2.0970993097876396</v>
      </c>
      <c r="D18" s="137">
        <f>IF(SER_hh_tes_in!D18=0,"",SER_hh_tes_in!D18/SER_hh_fec_in!D18)</f>
        <v>2.1608715739240805</v>
      </c>
      <c r="E18" s="137">
        <f>IF(SER_hh_tes_in!E18=0,"",SER_hh_tes_in!E18/SER_hh_fec_in!E18)</f>
        <v>2.225317185352409</v>
      </c>
      <c r="F18" s="137">
        <f>IF(SER_hh_tes_in!F18=0,"",SER_hh_tes_in!F18/SER_hh_fec_in!F18)</f>
        <v>2.28983200951635</v>
      </c>
      <c r="G18" s="137">
        <f>IF(SER_hh_tes_in!G18=0,"",SER_hh_tes_in!G18/SER_hh_fec_in!G18)</f>
        <v>2.3549598841650474</v>
      </c>
      <c r="H18" s="137">
        <f>IF(SER_hh_tes_in!H18=0,"",SER_hh_tes_in!H18/SER_hh_fec_in!H18)</f>
        <v>2.4206307162072713</v>
      </c>
      <c r="I18" s="137">
        <f>IF(SER_hh_tes_in!I18=0,"",SER_hh_tes_in!I18/SER_hh_fec_in!I18)</f>
        <v>2.486974833726423</v>
      </c>
      <c r="J18" s="137">
        <f>IF(SER_hh_tes_in!J18=0,"",SER_hh_tes_in!J18/SER_hh_fec_in!J18)</f>
        <v>2.5545343425967153</v>
      </c>
      <c r="K18" s="137">
        <f>IF(SER_hh_tes_in!K18=0,"",SER_hh_tes_in!K18/SER_hh_fec_in!K18)</f>
        <v>2.6237650570139901</v>
      </c>
      <c r="L18" s="137">
        <f>IF(SER_hh_tes_in!L18=0,"",SER_hh_tes_in!L18/SER_hh_fec_in!L18)</f>
        <v>2.6947796743690873</v>
      </c>
      <c r="M18" s="137">
        <f>IF(SER_hh_tes_in!M18=0,"",SER_hh_tes_in!M18/SER_hh_fec_in!M18)</f>
        <v>2.7795999431764553</v>
      </c>
      <c r="N18" s="137">
        <f>IF(SER_hh_tes_in!N18=0,"",SER_hh_tes_in!N18/SER_hh_fec_in!N18)</f>
        <v>2.8821601013670732</v>
      </c>
      <c r="O18" s="137">
        <f>IF(SER_hh_tes_in!O18=0,"",SER_hh_tes_in!O18/SER_hh_fec_in!O18)</f>
        <v>3.0046351837698637</v>
      </c>
      <c r="P18" s="137">
        <f>IF(SER_hh_tes_in!P18=0,"",SER_hh_tes_in!P18/SER_hh_fec_in!P18)</f>
        <v>3.1374567733685472</v>
      </c>
      <c r="Q18" s="137">
        <f>IF(SER_hh_tes_in!Q18=0,"",SER_hh_tes_in!Q18/SER_hh_fec_in!Q18)</f>
        <v>3.2516014673577929</v>
      </c>
      <c r="R18" s="137">
        <f>IF(SER_hh_tes_in!R18=0,"",SER_hh_tes_in!R18/SER_hh_fec_in!R18)</f>
        <v>3.323211078999281</v>
      </c>
      <c r="S18" s="137">
        <f>IF(SER_hh_tes_in!S18=0,"",SER_hh_tes_in!S18/SER_hh_fec_in!S18)</f>
        <v>3.3802088138767301</v>
      </c>
      <c r="T18" s="137">
        <f>IF(SER_hh_tes_in!T18=0,"",SER_hh_tes_in!T18/SER_hh_fec_in!T18)</f>
        <v>3.4278325911081149</v>
      </c>
      <c r="U18" s="137">
        <f>IF(SER_hh_tes_in!U18=0,"",SER_hh_tes_in!U18/SER_hh_fec_in!U18)</f>
        <v>3.4711879305604918</v>
      </c>
      <c r="V18" s="137">
        <f>IF(SER_hh_tes_in!V18=0,"",SER_hh_tes_in!V18/SER_hh_fec_in!V18)</f>
        <v>3.5153934418837687</v>
      </c>
      <c r="W18" s="137">
        <f>IF(SER_hh_tes_in!W18=0,"",SER_hh_tes_in!W18/SER_hh_fec_in!W18)</f>
        <v>3.5586712549567654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0.61093461318227171</v>
      </c>
      <c r="D19" s="136">
        <f>IF(SER_hh_tes_in!D19=0,"",SER_hh_tes_in!D19/SER_hh_fec_in!D19)</f>
        <v>0.53159508224566998</v>
      </c>
      <c r="E19" s="136">
        <f>IF(SER_hh_tes_in!E19=0,"",SER_hh_tes_in!E19/SER_hh_fec_in!E19)</f>
        <v>0.60357055170345686</v>
      </c>
      <c r="F19" s="136">
        <f>IF(SER_hh_tes_in!F19=0,"",SER_hh_tes_in!F19/SER_hh_fec_in!F19)</f>
        <v>0.57738302744084158</v>
      </c>
      <c r="G19" s="136">
        <f>IF(SER_hh_tes_in!G19=0,"",SER_hh_tes_in!G19/SER_hh_fec_in!G19)</f>
        <v>0.60559576566188333</v>
      </c>
      <c r="H19" s="136">
        <f>IF(SER_hh_tes_in!H19=0,"",SER_hh_tes_in!H19/SER_hh_fec_in!H19)</f>
        <v>0.61803564509081677</v>
      </c>
      <c r="I19" s="136">
        <f>IF(SER_hh_tes_in!I19=0,"",SER_hh_tes_in!I19/SER_hh_fec_in!I19)</f>
        <v>0.67237957449805053</v>
      </c>
      <c r="J19" s="136">
        <f>IF(SER_hh_tes_in!J19=0,"",SER_hh_tes_in!J19/SER_hh_fec_in!J19)</f>
        <v>0.67448603380193439</v>
      </c>
      <c r="K19" s="136">
        <f>IF(SER_hh_tes_in!K19=0,"",SER_hh_tes_in!K19/SER_hh_fec_in!K19)</f>
        <v>0.66204167251746426</v>
      </c>
      <c r="L19" s="136">
        <f>IF(SER_hh_tes_in!L19=0,"",SER_hh_tes_in!L19/SER_hh_fec_in!L19)</f>
        <v>0.66170248942802312</v>
      </c>
      <c r="M19" s="136">
        <f>IF(SER_hh_tes_in!M19=0,"",SER_hh_tes_in!M19/SER_hh_fec_in!M19)</f>
        <v>0.67752247730650272</v>
      </c>
      <c r="N19" s="136">
        <f>IF(SER_hh_tes_in!N19=0,"",SER_hh_tes_in!N19/SER_hh_fec_in!N19)</f>
        <v>0.68530943914245424</v>
      </c>
      <c r="O19" s="136">
        <f>IF(SER_hh_tes_in!O19=0,"",SER_hh_tes_in!O19/SER_hh_fec_in!O19)</f>
        <v>0.68241251070510489</v>
      </c>
      <c r="P19" s="136">
        <f>IF(SER_hh_tes_in!P19=0,"",SER_hh_tes_in!P19/SER_hh_fec_in!P19)</f>
        <v>0.70193957803279439</v>
      </c>
      <c r="Q19" s="136">
        <f>IF(SER_hh_tes_in!Q19=0,"",SER_hh_tes_in!Q19/SER_hh_fec_in!Q19)</f>
        <v>0.73112818189764484</v>
      </c>
      <c r="R19" s="136">
        <f>IF(SER_hh_tes_in!R19=0,"",SER_hh_tes_in!R19/SER_hh_fec_in!R19)</f>
        <v>0.75059604936104574</v>
      </c>
      <c r="S19" s="136">
        <f>IF(SER_hh_tes_in!S19=0,"",SER_hh_tes_in!S19/SER_hh_fec_in!S19)</f>
        <v>0.76202449274571982</v>
      </c>
      <c r="T19" s="136">
        <f>IF(SER_hh_tes_in!T19=0,"",SER_hh_tes_in!T19/SER_hh_fec_in!T19)</f>
        <v>0.78093867725918997</v>
      </c>
      <c r="U19" s="136">
        <f>IF(SER_hh_tes_in!U19=0,"",SER_hh_tes_in!U19/SER_hh_fec_in!U19)</f>
        <v>0.80320145466731896</v>
      </c>
      <c r="V19" s="136">
        <f>IF(SER_hh_tes_in!V19=0,"",SER_hh_tes_in!V19/SER_hh_fec_in!V19)</f>
        <v>0.8159564864037786</v>
      </c>
      <c r="W19" s="136">
        <f>IF(SER_hh_tes_in!W19=0,"",SER_hh_tes_in!W19/SER_hh_fec_in!W19)</f>
        <v>0.81975842029294232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0.49912109159912776</v>
      </c>
      <c r="D22" s="137">
        <f>IF(SER_hh_tes_in!D22=0,"",SER_hh_tes_in!D22/SER_hh_fec_in!D22)</f>
        <v>0.5013300771709327</v>
      </c>
      <c r="E22" s="137">
        <f>IF(SER_hh_tes_in!E22=0,"",SER_hh_tes_in!E22/SER_hh_fec_in!E22)</f>
        <v>0.50390474689498543</v>
      </c>
      <c r="F22" s="137">
        <f>IF(SER_hh_tes_in!F22=0,"",SER_hh_tes_in!F22/SER_hh_fec_in!F22)</f>
        <v>0.50652928263979913</v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 t="str">
        <f>IF(SER_hh_tes_in!J22=0,"",SER_hh_tes_in!J22/SER_hh_fec_in!J22)</f>
        <v/>
      </c>
      <c r="K22" s="137" t="str">
        <f>IF(SER_hh_tes_in!K22=0,"",SER_hh_tes_in!K22/SER_hh_fec_in!K22)</f>
        <v/>
      </c>
      <c r="L22" s="137">
        <f>IF(SER_hh_tes_in!L22=0,"",SER_hh_tes_in!L22/SER_hh_fec_in!L22)</f>
        <v>0.53207123690584868</v>
      </c>
      <c r="M22" s="137">
        <f>IF(SER_hh_tes_in!M22=0,"",SER_hh_tes_in!M22/SER_hh_fec_in!M22)</f>
        <v>0.54506833484653805</v>
      </c>
      <c r="N22" s="137">
        <f>IF(SER_hh_tes_in!N22=0,"",SER_hh_tes_in!N22/SER_hh_fec_in!N22)</f>
        <v>0.56673765621895678</v>
      </c>
      <c r="O22" s="137">
        <f>IF(SER_hh_tes_in!O22=0,"",SER_hh_tes_in!O22/SER_hh_fec_in!O22)</f>
        <v>0.59862745708499743</v>
      </c>
      <c r="P22" s="137">
        <f>IF(SER_hh_tes_in!P22=0,"",SER_hh_tes_in!P22/SER_hh_fec_in!P22)</f>
        <v>0.63748373799958857</v>
      </c>
      <c r="Q22" s="137">
        <f>IF(SER_hh_tes_in!Q22=0,"",SER_hh_tes_in!Q22/SER_hh_fec_in!Q22)</f>
        <v>0.67276337435680555</v>
      </c>
      <c r="R22" s="137">
        <f>IF(SER_hh_tes_in!R22=0,"",SER_hh_tes_in!R22/SER_hh_fec_in!R22)</f>
        <v>0.6965728130023412</v>
      </c>
      <c r="S22" s="137">
        <f>IF(SER_hh_tes_in!S22=0,"",SER_hh_tes_in!S22/SER_hh_fec_in!S22)</f>
        <v>0.71951645387897456</v>
      </c>
      <c r="T22" s="137">
        <f>IF(SER_hh_tes_in!T22=0,"",SER_hh_tes_in!T22/SER_hh_fec_in!T22)</f>
        <v>0.74029560033326458</v>
      </c>
      <c r="U22" s="137">
        <f>IF(SER_hh_tes_in!U22=0,"",SER_hh_tes_in!U22/SER_hh_fec_in!U22)</f>
        <v>0.75761155571184391</v>
      </c>
      <c r="V22" s="137">
        <f>IF(SER_hh_tes_in!V22=0,"",SER_hh_tes_in!V22/SER_hh_fec_in!V22)</f>
        <v>0.77016562336131411</v>
      </c>
      <c r="W22" s="137">
        <f>IF(SER_hh_tes_in!W22=0,"",SER_hh_tes_in!W22/SER_hh_fec_in!W22)</f>
        <v>0.77607090769557618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0.54538321154067493</v>
      </c>
      <c r="D23" s="137">
        <f>IF(SER_hh_tes_in!D23=0,"",SER_hh_tes_in!D23/SER_hh_fec_in!D23)</f>
        <v>0.55194523302699572</v>
      </c>
      <c r="E23" s="137">
        <f>IF(SER_hh_tes_in!E23=0,"",SER_hh_tes_in!E23/SER_hh_fec_in!E23)</f>
        <v>0.5587909744824775</v>
      </c>
      <c r="F23" s="137">
        <f>IF(SER_hh_tes_in!F23=0,"",SER_hh_tes_in!F23/SER_hh_fec_in!F23)</f>
        <v>0.56569204970630094</v>
      </c>
      <c r="G23" s="137">
        <f>IF(SER_hh_tes_in!G23=0,"",SER_hh_tes_in!G23/SER_hh_fec_in!G23)</f>
        <v>0.57285209673995752</v>
      </c>
      <c r="H23" s="137">
        <f>IF(SER_hh_tes_in!H23=0,"",SER_hh_tes_in!H23/SER_hh_fec_in!H23)</f>
        <v>0.58024354579903414</v>
      </c>
      <c r="I23" s="137">
        <f>IF(SER_hh_tes_in!I23=0,"",SER_hh_tes_in!I23/SER_hh_fec_in!I23)</f>
        <v>0.58791390160908308</v>
      </c>
      <c r="J23" s="137">
        <f>IF(SER_hh_tes_in!J23=0,"",SER_hh_tes_in!J23/SER_hh_fec_in!J23)</f>
        <v>0.59606390127171893</v>
      </c>
      <c r="K23" s="137">
        <f>IF(SER_hh_tes_in!K23=0,"",SER_hh_tes_in!K23/SER_hh_fec_in!K23)</f>
        <v>0.60486092908104683</v>
      </c>
      <c r="L23" s="137">
        <f>IF(SER_hh_tes_in!L23=0,"",SER_hh_tes_in!L23/SER_hh_fec_in!L23)</f>
        <v>0.61434401317805776</v>
      </c>
      <c r="M23" s="137">
        <f>IF(SER_hh_tes_in!M23=0,"",SER_hh_tes_in!M23/SER_hh_fec_in!M23)</f>
        <v>0.62868487111049964</v>
      </c>
      <c r="N23" s="137">
        <f>IF(SER_hh_tes_in!N23=0,"",SER_hh_tes_in!N23/SER_hh_fec_in!N23)</f>
        <v>0.64916759817128711</v>
      </c>
      <c r="O23" s="137">
        <f>IF(SER_hh_tes_in!O23=0,"",SER_hh_tes_in!O23/SER_hh_fec_in!O23)</f>
        <v>0.67674034232414126</v>
      </c>
      <c r="P23" s="137">
        <f>IF(SER_hh_tes_in!P23=0,"",SER_hh_tes_in!P23/SER_hh_fec_in!P23)</f>
        <v>0.70882563314398872</v>
      </c>
      <c r="Q23" s="137">
        <f>IF(SER_hh_tes_in!Q23=0,"",SER_hh_tes_in!Q23/SER_hh_fec_in!Q23)</f>
        <v>0.73733743999747869</v>
      </c>
      <c r="R23" s="137">
        <f>IF(SER_hh_tes_in!R23=0,"",SER_hh_tes_in!R23/SER_hh_fec_in!R23)</f>
        <v>0.75608467413318303</v>
      </c>
      <c r="S23" s="137">
        <f>IF(SER_hh_tes_in!S23=0,"",SER_hh_tes_in!S23/SER_hh_fec_in!S23)</f>
        <v>0.77319031796274507</v>
      </c>
      <c r="T23" s="137">
        <f>IF(SER_hh_tes_in!T23=0,"",SER_hh_tes_in!T23/SER_hh_fec_in!T23)</f>
        <v>0.78821031080639004</v>
      </c>
      <c r="U23" s="137">
        <f>IF(SER_hh_tes_in!U23=0,"",SER_hh_tes_in!U23/SER_hh_fec_in!U23)</f>
        <v>0.80064989162015587</v>
      </c>
      <c r="V23" s="137">
        <f>IF(SER_hh_tes_in!V23=0,"",SER_hh_tes_in!V23/SER_hh_fec_in!V23)</f>
        <v>0.80996613676787776</v>
      </c>
      <c r="W23" s="137">
        <f>IF(SER_hh_tes_in!W23=0,"",SER_hh_tes_in!W23/SER_hh_fec_in!W23)</f>
        <v>0.81477438879465613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0.56754648283192421</v>
      </c>
      <c r="D24" s="137" t="str">
        <f>IF(SER_hh_tes_in!D24=0,"",SER_hh_tes_in!D24/SER_hh_fec_in!D24)</f>
        <v/>
      </c>
      <c r="E24" s="137">
        <f>IF(SER_hh_tes_in!E24=0,"",SER_hh_tes_in!E24/SER_hh_fec_in!E24)</f>
        <v>0.59105920761557718</v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>
        <f>IF(SER_hh_tes_in!J24=0,"",SER_hh_tes_in!J24/SER_hh_fec_in!J24)</f>
        <v>0.65133253290703685</v>
      </c>
      <c r="K24" s="137">
        <f>IF(SER_hh_tes_in!K24=0,"",SER_hh_tes_in!K24/SER_hh_fec_in!K24)</f>
        <v>0.66345380943784749</v>
      </c>
      <c r="L24" s="137">
        <f>IF(SER_hh_tes_in!L24=0,"",SER_hh_tes_in!L24/SER_hh_fec_in!L24)</f>
        <v>0.67549921585522188</v>
      </c>
      <c r="M24" s="137">
        <f>IF(SER_hh_tes_in!M24=0,"",SER_hh_tes_in!M24/SER_hh_fec_in!M24)</f>
        <v>0.68659255787690887</v>
      </c>
      <c r="N24" s="137">
        <f>IF(SER_hh_tes_in!N24=0,"",SER_hh_tes_in!N24/SER_hh_fec_in!N24)</f>
        <v>0.69626347430741276</v>
      </c>
      <c r="O24" s="137">
        <f>IF(SER_hh_tes_in!O24=0,"",SER_hh_tes_in!O24/SER_hh_fec_in!O24)</f>
        <v>0.70425750826021927</v>
      </c>
      <c r="P24" s="137">
        <f>IF(SER_hh_tes_in!P24=0,"",SER_hh_tes_in!P24/SER_hh_fec_in!P24)</f>
        <v>0.71125954914071676</v>
      </c>
      <c r="Q24" s="137">
        <f>IF(SER_hh_tes_in!Q24=0,"",SER_hh_tes_in!Q24/SER_hh_fec_in!Q24)</f>
        <v>0.71959563259275272</v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 t="str">
        <f>IF(SER_hh_tes_in!E25=0,"",SER_hh_tes_in!E25/SER_hh_fec_in!E25)</f>
        <v/>
      </c>
      <c r="F25" s="137" t="str">
        <f>IF(SER_hh_tes_in!F25=0,"",SER_hh_tes_in!F25/SER_hh_fec_in!F25)</f>
        <v/>
      </c>
      <c r="G25" s="137">
        <f>IF(SER_hh_tes_in!G25=0,"",SER_hh_tes_in!G25/SER_hh_fec_in!G25)</f>
        <v>0.77371968665040591</v>
      </c>
      <c r="H25" s="137">
        <f>IF(SER_hh_tes_in!H25=0,"",SER_hh_tes_in!H25/SER_hh_fec_in!H25)</f>
        <v>0.77672681853912251</v>
      </c>
      <c r="I25" s="137">
        <f>IF(SER_hh_tes_in!I25=0,"",SER_hh_tes_in!I25/SER_hh_fec_in!I25)</f>
        <v>0.77981064783717735</v>
      </c>
      <c r="J25" s="137">
        <f>IF(SER_hh_tes_in!J25=0,"",SER_hh_tes_in!J25/SER_hh_fec_in!J25)</f>
        <v>0.78303082808516666</v>
      </c>
      <c r="K25" s="137">
        <f>IF(SER_hh_tes_in!K25=0,"",SER_hh_tes_in!K25/SER_hh_fec_in!K25)</f>
        <v>0.7864380804833444</v>
      </c>
      <c r="L25" s="137">
        <f>IF(SER_hh_tes_in!L25=0,"",SER_hh_tes_in!L25/SER_hh_fec_in!L25)</f>
        <v>0.79004597503224228</v>
      </c>
      <c r="M25" s="137">
        <f>IF(SER_hh_tes_in!M25=0,"",SER_hh_tes_in!M25/SER_hh_fec_in!M25)</f>
        <v>0.79504155544830424</v>
      </c>
      <c r="N25" s="137">
        <f>IF(SER_hh_tes_in!N25=0,"",SER_hh_tes_in!N25/SER_hh_fec_in!N25)</f>
        <v>0.80180013517503301</v>
      </c>
      <c r="O25" s="137">
        <f>IF(SER_hh_tes_in!O25=0,"",SER_hh_tes_in!O25/SER_hh_fec_in!O25)</f>
        <v>0.81065072205162969</v>
      </c>
      <c r="P25" s="137">
        <f>IF(SER_hh_tes_in!P25=0,"",SER_hh_tes_in!P25/SER_hh_fec_in!P25)</f>
        <v>0.82096735454209369</v>
      </c>
      <c r="Q25" s="137">
        <f>IF(SER_hh_tes_in!Q25=0,"",SER_hh_tes_in!Q25/SER_hh_fec_in!Q25)</f>
        <v>0.83070086059093662</v>
      </c>
      <c r="R25" s="137">
        <f>IF(SER_hh_tes_in!R25=0,"",SER_hh_tes_in!R25/SER_hh_fec_in!R25)</f>
        <v>0.83815932141195748</v>
      </c>
      <c r="S25" s="137" t="str">
        <f>IF(SER_hh_tes_in!S25=0,"",SER_hh_tes_in!S25/SER_hh_fec_in!S25)</f>
        <v/>
      </c>
      <c r="T25" s="137" t="str">
        <f>IF(SER_hh_tes_in!T25=0,"",SER_hh_tes_in!T25/SER_hh_fec_in!T25)</f>
        <v/>
      </c>
      <c r="U25" s="137">
        <f>IF(SER_hh_tes_in!U25=0,"",SER_hh_tes_in!U25/SER_hh_fec_in!U25)</f>
        <v>0.85912503078416846</v>
      </c>
      <c r="V25" s="137">
        <f>IF(SER_hh_tes_in!V25=0,"",SER_hh_tes_in!V25/SER_hh_fec_in!V25)</f>
        <v>0.86548210827102823</v>
      </c>
      <c r="W25" s="137">
        <f>IF(SER_hh_tes_in!W25=0,"",SER_hh_tes_in!W25/SER_hh_fec_in!W25)</f>
        <v>0.87133820193235378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0.63052801142422621</v>
      </c>
      <c r="D26" s="138">
        <f>IF(SER_hh_tes_in!D26=0,"",SER_hh_tes_in!D26/SER_hh_fec_in!D26)</f>
        <v>0.63330065848151529</v>
      </c>
      <c r="E26" s="138">
        <f>IF(SER_hh_tes_in!E26=0,"",SER_hh_tes_in!E26/SER_hh_fec_in!E26)</f>
        <v>0.63628656130894379</v>
      </c>
      <c r="F26" s="138">
        <f>IF(SER_hh_tes_in!F26=0,"",SER_hh_tes_in!F26/SER_hh_fec_in!F26)</f>
        <v>0.63930114646042269</v>
      </c>
      <c r="G26" s="138">
        <f>IF(SER_hh_tes_in!G26=0,"",SER_hh_tes_in!G26/SER_hh_fec_in!G26)</f>
        <v>0.64251383702926168</v>
      </c>
      <c r="H26" s="138">
        <f>IF(SER_hh_tes_in!H26=0,"",SER_hh_tes_in!H26/SER_hh_fec_in!H26)</f>
        <v>0.64590564296459119</v>
      </c>
      <c r="I26" s="138">
        <f>IF(SER_hh_tes_in!I26=0,"",SER_hh_tes_in!I26/SER_hh_fec_in!I26)</f>
        <v>0.64952068948692809</v>
      </c>
      <c r="J26" s="138">
        <f>IF(SER_hh_tes_in!J26=0,"",SER_hh_tes_in!J26/SER_hh_fec_in!J26)</f>
        <v>0.65353560281158973</v>
      </c>
      <c r="K26" s="138" t="str">
        <f>IF(SER_hh_tes_in!K26=0,"",SER_hh_tes_in!K26/SER_hh_fec_in!K26)</f>
        <v/>
      </c>
      <c r="L26" s="138" t="str">
        <f>IF(SER_hh_tes_in!L26=0,"",SER_hh_tes_in!L26/SER_hh_fec_in!L26)</f>
        <v/>
      </c>
      <c r="M26" s="138">
        <f>IF(SER_hh_tes_in!M26=0,"",SER_hh_tes_in!M26/SER_hh_fec_in!M26)</f>
        <v>0.67267404992622382</v>
      </c>
      <c r="N26" s="138">
        <f>IF(SER_hh_tes_in!N26=0,"",SER_hh_tes_in!N26/SER_hh_fec_in!N26)</f>
        <v>0.68783871952647191</v>
      </c>
      <c r="O26" s="138">
        <f>IF(SER_hh_tes_in!O26=0,"",SER_hh_tes_in!O26/SER_hh_fec_in!O26)</f>
        <v>0.7108067856707907</v>
      </c>
      <c r="P26" s="138">
        <f>IF(SER_hh_tes_in!P26=0,"",SER_hh_tes_in!P26/SER_hh_fec_in!P26)</f>
        <v>0.74068529130607796</v>
      </c>
      <c r="Q26" s="138">
        <f>IF(SER_hh_tes_in!Q26=0,"",SER_hh_tes_in!Q26/SER_hh_fec_in!Q26)</f>
        <v>0.77000329116609245</v>
      </c>
      <c r="R26" s="138">
        <f>IF(SER_hh_tes_in!R26=0,"",SER_hh_tes_in!R26/SER_hh_fec_in!R26)</f>
        <v>0.79102006578675987</v>
      </c>
      <c r="S26" s="138">
        <f>IF(SER_hh_tes_in!S26=0,"",SER_hh_tes_in!S26/SER_hh_fec_in!S26)</f>
        <v>0.81182964692636783</v>
      </c>
      <c r="T26" s="138">
        <f>IF(SER_hh_tes_in!T26=0,"",SER_hh_tes_in!T26/SER_hh_fec_in!T26)</f>
        <v>0.83199569632370274</v>
      </c>
      <c r="U26" s="138">
        <f>IF(SER_hh_tes_in!U26=0,"",SER_hh_tes_in!U26/SER_hh_fec_in!U26)</f>
        <v>0.85093911218986218</v>
      </c>
      <c r="V26" s="138">
        <f>IF(SER_hh_tes_in!V26=0,"",SER_hh_tes_in!V26/SER_hh_fec_in!V26)</f>
        <v>0.8677714364326703</v>
      </c>
      <c r="W26" s="138">
        <f>IF(SER_hh_tes_in!W26=0,"",SER_hh_tes_in!W26/SER_hh_fec_in!W26)</f>
        <v>0.88102172969340442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>
        <f>IF(SER_hh_tes_in!I27=0,"",SER_hh_tes_in!I27/SER_hh_fec_in!I27)</f>
        <v>1</v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>
        <f>IF(SER_hh_tes_in!L27=0,"",SER_hh_tes_in!L27/SER_hh_fec_in!L27)</f>
        <v>1</v>
      </c>
      <c r="M27" s="149" t="str">
        <f>IF(SER_hh_tes_in!M27=0,"",SER_hh_tes_in!M27/SER_hh_fec_in!M27)</f>
        <v/>
      </c>
      <c r="N27" s="149">
        <f>IF(SER_hh_tes_in!N27=0,"",SER_hh_tes_in!N27/SER_hh_fec_in!N27)</f>
        <v>1</v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 t="str">
        <f>IF(SER_hh_tes_in!T27=0,"",SER_hh_tes_in!T27/SER_hh_fec_in!T27)</f>
        <v/>
      </c>
      <c r="U27" s="149">
        <f>IF(SER_hh_tes_in!U27=0,"",SER_hh_tes_in!U27/SER_hh_fec_in!U27)</f>
        <v>1</v>
      </c>
      <c r="V27" s="149" t="str">
        <f>IF(SER_hh_tes_in!V27=0,"",SER_hh_tes_in!V27/SER_hh_fec_in!V27)</f>
        <v/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0.67638002830873489</v>
      </c>
      <c r="D29" s="136">
        <f>IF(SER_hh_tes_in!D29=0,"",SER_hh_tes_in!D29/SER_hh_fec_in!D29)</f>
        <v>0.61104678360345888</v>
      </c>
      <c r="E29" s="136">
        <f>IF(SER_hh_tes_in!E29=0,"",SER_hh_tes_in!E29/SER_hh_fec_in!E29)</f>
        <v>0.61146068136022802</v>
      </c>
      <c r="F29" s="136">
        <f>IF(SER_hh_tes_in!F29=0,"",SER_hh_tes_in!F29/SER_hh_fec_in!F29)</f>
        <v>0.61193652509763385</v>
      </c>
      <c r="G29" s="136">
        <f>IF(SER_hh_tes_in!G29=0,"",SER_hh_tes_in!G29/SER_hh_fec_in!G29)</f>
        <v>0.61322543667149421</v>
      </c>
      <c r="H29" s="136">
        <f>IF(SER_hh_tes_in!H29=0,"",SER_hh_tes_in!H29/SER_hh_fec_in!H29)</f>
        <v>0.69993030539758405</v>
      </c>
      <c r="I29" s="136">
        <f>IF(SER_hh_tes_in!I29=0,"",SER_hh_tes_in!I29/SER_hh_fec_in!I29)</f>
        <v>0.73400064023716294</v>
      </c>
      <c r="J29" s="136">
        <f>IF(SER_hh_tes_in!J29=0,"",SER_hh_tes_in!J29/SER_hh_fec_in!J29)</f>
        <v>0.80653914389066361</v>
      </c>
      <c r="K29" s="136">
        <f>IF(SER_hh_tes_in!K29=0,"",SER_hh_tes_in!K29/SER_hh_fec_in!K29)</f>
        <v>0.79845502552266379</v>
      </c>
      <c r="L29" s="136">
        <f>IF(SER_hh_tes_in!L29=0,"",SER_hh_tes_in!L29/SER_hh_fec_in!L29)</f>
        <v>0.76944651614262383</v>
      </c>
      <c r="M29" s="136">
        <f>IF(SER_hh_tes_in!M29=0,"",SER_hh_tes_in!M29/SER_hh_fec_in!M29)</f>
        <v>0.75181518421649862</v>
      </c>
      <c r="N29" s="136">
        <f>IF(SER_hh_tes_in!N29=0,"",SER_hh_tes_in!N29/SER_hh_fec_in!N29)</f>
        <v>0.72081970706019982</v>
      </c>
      <c r="O29" s="136">
        <f>IF(SER_hh_tes_in!O29=0,"",SER_hh_tes_in!O29/SER_hh_fec_in!O29)</f>
        <v>0.7138699130101146</v>
      </c>
      <c r="P29" s="136">
        <f>IF(SER_hh_tes_in!P29=0,"",SER_hh_tes_in!P29/SER_hh_fec_in!P29)</f>
        <v>0.68967668493219147</v>
      </c>
      <c r="Q29" s="136">
        <f>IF(SER_hh_tes_in!Q29=0,"",SER_hh_tes_in!Q29/SER_hh_fec_in!Q29)</f>
        <v>0.68247501920305487</v>
      </c>
      <c r="R29" s="136">
        <f>IF(SER_hh_tes_in!R29=0,"",SER_hh_tes_in!R29/SER_hh_fec_in!R29)</f>
        <v>0.70068829137616384</v>
      </c>
      <c r="S29" s="136">
        <f>IF(SER_hh_tes_in!S29=0,"",SER_hh_tes_in!S29/SER_hh_fec_in!S29)</f>
        <v>0.73693317355158405</v>
      </c>
      <c r="T29" s="136">
        <f>IF(SER_hh_tes_in!T29=0,"",SER_hh_tes_in!T29/SER_hh_fec_in!T29)</f>
        <v>0.79784852826646924</v>
      </c>
      <c r="U29" s="136">
        <f>IF(SER_hh_tes_in!U29=0,"",SER_hh_tes_in!U29/SER_hh_fec_in!U29)</f>
        <v>0.82102642577104157</v>
      </c>
      <c r="V29" s="136">
        <f>IF(SER_hh_tes_in!V29=0,"",SER_hh_tes_in!V29/SER_hh_fec_in!V29)</f>
        <v>0.8215658313319224</v>
      </c>
      <c r="W29" s="136">
        <f>IF(SER_hh_tes_in!W29=0,"",SER_hh_tes_in!W29/SER_hh_fec_in!W29)</f>
        <v>0.83459941197726129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0.60790809705308624</v>
      </c>
      <c r="D30" s="137">
        <f>IF(SER_hh_tes_in!D30=0,"",SER_hh_tes_in!D30/SER_hh_fec_in!D30)</f>
        <v>0.60844953566073834</v>
      </c>
      <c r="E30" s="137">
        <f>IF(SER_hh_tes_in!E30=0,"",SER_hh_tes_in!E30/SER_hh_fec_in!E30)</f>
        <v>0.60898333833396268</v>
      </c>
      <c r="F30" s="137">
        <f>IF(SER_hh_tes_in!F30=0,"",SER_hh_tes_in!F30/SER_hh_fec_in!F30)</f>
        <v>0.60951609974340148</v>
      </c>
      <c r="G30" s="137">
        <f>IF(SER_hh_tes_in!G30=0,"",SER_hh_tes_in!G30/SER_hh_fec_in!G30)</f>
        <v>0.61004182890637071</v>
      </c>
      <c r="H30" s="137">
        <f>IF(SER_hh_tes_in!H30=0,"",SER_hh_tes_in!H30/SER_hh_fec_in!H30)</f>
        <v>0.61056125904288161</v>
      </c>
      <c r="I30" s="137">
        <f>IF(SER_hh_tes_in!I30=0,"",SER_hh_tes_in!I30/SER_hh_fec_in!I30)</f>
        <v>0.61107291397462571</v>
      </c>
      <c r="J30" s="137" t="str">
        <f>IF(SER_hh_tes_in!J30=0,"",SER_hh_tes_in!J30/SER_hh_fec_in!J30)</f>
        <v/>
      </c>
      <c r="K30" s="137" t="str">
        <f>IF(SER_hh_tes_in!K30=0,"",SER_hh_tes_in!K30/SER_hh_fec_in!K30)</f>
        <v/>
      </c>
      <c r="L30" s="137" t="str">
        <f>IF(SER_hh_tes_in!L30=0,"",SER_hh_tes_in!L30/SER_hh_fec_in!L30)</f>
        <v/>
      </c>
      <c r="M30" s="137" t="str">
        <f>IF(SER_hh_tes_in!M30=0,"",SER_hh_tes_in!M30/SER_hh_fec_in!M30)</f>
        <v/>
      </c>
      <c r="N30" s="137">
        <f>IF(SER_hh_tes_in!N30=0,"",SER_hh_tes_in!N30/SER_hh_fec_in!N30)</f>
        <v>0.61275489065331645</v>
      </c>
      <c r="O30" s="137">
        <f>IF(SER_hh_tes_in!O30=0,"",SER_hh_tes_in!O30/SER_hh_fec_in!O30)</f>
        <v>0.61275489065331645</v>
      </c>
      <c r="P30" s="137">
        <f>IF(SER_hh_tes_in!P30=0,"",SER_hh_tes_in!P30/SER_hh_fec_in!P30)</f>
        <v>0.61275489065331645</v>
      </c>
      <c r="Q30" s="137">
        <f>IF(SER_hh_tes_in!Q30=0,"",SER_hh_tes_in!Q30/SER_hh_fec_in!Q30)</f>
        <v>0.61275489065331634</v>
      </c>
      <c r="R30" s="137">
        <f>IF(SER_hh_tes_in!R30=0,"",SER_hh_tes_in!R30/SER_hh_fec_in!R30)</f>
        <v>0.61431377425784928</v>
      </c>
      <c r="S30" s="137">
        <f>IF(SER_hh_tes_in!S30=0,"",SER_hh_tes_in!S30/SER_hh_fec_in!S30)</f>
        <v>0.61686290215419948</v>
      </c>
      <c r="T30" s="137">
        <f>IF(SER_hh_tes_in!T30=0,"",SER_hh_tes_in!T30/SER_hh_fec_in!T30)</f>
        <v>0.61983688469993914</v>
      </c>
      <c r="U30" s="137">
        <f>IF(SER_hh_tes_in!U30=0,"",SER_hh_tes_in!U30/SER_hh_fec_in!U30)</f>
        <v>0.62291708090802722</v>
      </c>
      <c r="V30" s="137">
        <f>IF(SER_hh_tes_in!V30=0,"",SER_hh_tes_in!V30/SER_hh_fec_in!V30)</f>
        <v>0.62578484979141968</v>
      </c>
      <c r="W30" s="137">
        <f>IF(SER_hh_tes_in!W30=0,"",SER_hh_tes_in!W30/SER_hh_fec_in!W30)</f>
        <v>0.62844019135011497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0.61127056366926025</v>
      </c>
      <c r="D31" s="137">
        <f>IF(SER_hh_tes_in!D31=0,"",SER_hh_tes_in!D31/SER_hh_fec_in!D31)</f>
        <v>0.6119711352148397</v>
      </c>
      <c r="E31" s="137">
        <f>IF(SER_hh_tes_in!E31=0,"",SER_hh_tes_in!E31/SER_hh_fec_in!E31)</f>
        <v>0.61266182656660151</v>
      </c>
      <c r="F31" s="137">
        <f>IF(SER_hh_tes_in!F31=0,"",SER_hh_tes_in!F31/SER_hh_fec_in!F31)</f>
        <v>0.6133511706192063</v>
      </c>
      <c r="G31" s="137">
        <f>IF(SER_hh_tes_in!G31=0,"",SER_hh_tes_in!G31/SER_hh_fec_in!G31)</f>
        <v>0.61403141559444863</v>
      </c>
      <c r="H31" s="137">
        <f>IF(SER_hh_tes_in!H31=0,"",SER_hh_tes_in!H31/SER_hh_fec_in!H31)</f>
        <v>0.61470351021129555</v>
      </c>
      <c r="I31" s="137">
        <f>IF(SER_hh_tes_in!I31=0,"",SER_hh_tes_in!I31/SER_hh_fec_in!I31)</f>
        <v>0.61536554443137026</v>
      </c>
      <c r="J31" s="137">
        <f>IF(SER_hh_tes_in!J31=0,"",SER_hh_tes_in!J31/SER_hh_fec_in!J31)</f>
        <v>0.61600969350162826</v>
      </c>
      <c r="K31" s="137">
        <f>IF(SER_hh_tes_in!K31=0,"",SER_hh_tes_in!K31/SER_hh_fec_in!K31)</f>
        <v>0.61662930432382623</v>
      </c>
      <c r="L31" s="137">
        <f>IF(SER_hh_tes_in!L31=0,"",SER_hh_tes_in!L31/SER_hh_fec_in!L31)</f>
        <v>0.61722259692142056</v>
      </c>
      <c r="M31" s="137">
        <f>IF(SER_hh_tes_in!M31=0,"",SER_hh_tes_in!M31/SER_hh_fec_in!M31)</f>
        <v>0.61754186688929169</v>
      </c>
      <c r="N31" s="137">
        <f>IF(SER_hh_tes_in!N31=0,"",SER_hh_tes_in!N31/SER_hh_fec_in!N31)</f>
        <v>0.61754186688929169</v>
      </c>
      <c r="O31" s="137">
        <f>IF(SER_hh_tes_in!O31=0,"",SER_hh_tes_in!O31/SER_hh_fec_in!O31)</f>
        <v>0.61754186688929169</v>
      </c>
      <c r="P31" s="137">
        <f>IF(SER_hh_tes_in!P31=0,"",SER_hh_tes_in!P31/SER_hh_fec_in!P31)</f>
        <v>0.61754186688929169</v>
      </c>
      <c r="Q31" s="137">
        <f>IF(SER_hh_tes_in!Q31=0,"",SER_hh_tes_in!Q31/SER_hh_fec_in!Q31)</f>
        <v>0.61754186688929169</v>
      </c>
      <c r="R31" s="137">
        <f>IF(SER_hh_tes_in!R31=0,"",SER_hh_tes_in!R31/SER_hh_fec_in!R31)</f>
        <v>0.61955891827936893</v>
      </c>
      <c r="S31" s="137">
        <f>IF(SER_hh_tes_in!S31=0,"",SER_hh_tes_in!S31/SER_hh_fec_in!S31)</f>
        <v>0.62285725431412264</v>
      </c>
      <c r="T31" s="137">
        <f>IF(SER_hh_tes_in!T31=0,"",SER_hh_tes_in!T31/SER_hh_fec_in!T31)</f>
        <v>0.62670531302133259</v>
      </c>
      <c r="U31" s="137">
        <f>IF(SER_hh_tes_in!U31=0,"",SER_hh_tes_in!U31/SER_hh_fec_in!U31)</f>
        <v>0.63069080239665787</v>
      </c>
      <c r="V31" s="137">
        <f>IF(SER_hh_tes_in!V31=0,"",SER_hh_tes_in!V31/SER_hh_fec_in!V31)</f>
        <v>0.6344014304357537</v>
      </c>
      <c r="W31" s="137">
        <f>IF(SER_hh_tes_in!W31=0,"",SER_hh_tes_in!W31/SER_hh_fec_in!W31)</f>
        <v>0.63783719713861864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0.80382094478254251</v>
      </c>
      <c r="D33" s="150" t="str">
        <f>IF(SER_hh_tes_in!D33=0,"",SER_hh_tes_in!D33/SER_hh_fec_in!D33)</f>
        <v/>
      </c>
      <c r="E33" s="150" t="str">
        <f>IF(SER_hh_tes_in!E33=0,"",SER_hh_tes_in!E33/SER_hh_fec_in!E33)</f>
        <v/>
      </c>
      <c r="F33" s="150" t="str">
        <f>IF(SER_hh_tes_in!F33=0,"",SER_hh_tes_in!F33/SER_hh_fec_in!F33)</f>
        <v/>
      </c>
      <c r="G33" s="150" t="str">
        <f>IF(SER_hh_tes_in!G33=0,"",SER_hh_tes_in!G33/SER_hh_fec_in!G33)</f>
        <v/>
      </c>
      <c r="H33" s="150">
        <f>IF(SER_hh_tes_in!H33=0,"",SER_hh_tes_in!H33/SER_hh_fec_in!H33)</f>
        <v>0.81189060195609009</v>
      </c>
      <c r="I33" s="150">
        <f>IF(SER_hh_tes_in!I33=0,"",SER_hh_tes_in!I33/SER_hh_fec_in!I33)</f>
        <v>0.81364547773735252</v>
      </c>
      <c r="J33" s="150">
        <f>IF(SER_hh_tes_in!J33=0,"",SER_hh_tes_in!J33/SER_hh_fec_in!J33)</f>
        <v>0.81550301292345428</v>
      </c>
      <c r="K33" s="150">
        <f>IF(SER_hh_tes_in!K33=0,"",SER_hh_tes_in!K33/SER_hh_fec_in!K33)</f>
        <v>0.81750139579422165</v>
      </c>
      <c r="L33" s="150">
        <f>IF(SER_hh_tes_in!L33=0,"",SER_hh_tes_in!L33/SER_hh_fec_in!L33)</f>
        <v>0.81965084328014859</v>
      </c>
      <c r="M33" s="150">
        <f>IF(SER_hh_tes_in!M33=0,"",SER_hh_tes_in!M33/SER_hh_fec_in!M33)</f>
        <v>0.82257523594742588</v>
      </c>
      <c r="N33" s="150">
        <f>IF(SER_hh_tes_in!N33=0,"",SER_hh_tes_in!N33/SER_hh_fec_in!N33)</f>
        <v>0.82645147743600667</v>
      </c>
      <c r="O33" s="150">
        <f>IF(SER_hh_tes_in!O33=0,"",SER_hh_tes_in!O33/SER_hh_fec_in!O33)</f>
        <v>0.83170970526224641</v>
      </c>
      <c r="P33" s="150">
        <f>IF(SER_hh_tes_in!P33=0,"",SER_hh_tes_in!P33/SER_hh_fec_in!P33)</f>
        <v>0.83857583153196646</v>
      </c>
      <c r="Q33" s="150">
        <f>IF(SER_hh_tes_in!Q33=0,"",SER_hh_tes_in!Q33/SER_hh_fec_in!Q33)</f>
        <v>0.84742535349963977</v>
      </c>
      <c r="R33" s="150">
        <f>IF(SER_hh_tes_in!R33=0,"",SER_hh_tes_in!R33/SER_hh_fec_in!R33)</f>
        <v>0.85946376358631515</v>
      </c>
      <c r="S33" s="150">
        <f>IF(SER_hh_tes_in!S33=0,"",SER_hh_tes_in!S33/SER_hh_fec_in!S33)</f>
        <v>0.87448882534717132</v>
      </c>
      <c r="T33" s="150">
        <f>IF(SER_hh_tes_in!T33=0,"",SER_hh_tes_in!T33/SER_hh_fec_in!T33)</f>
        <v>0.89064320354739501</v>
      </c>
      <c r="U33" s="150">
        <f>IF(SER_hh_tes_in!U33=0,"",SER_hh_tes_in!U33/SER_hh_fec_in!U33)</f>
        <v>0.90606956295221863</v>
      </c>
      <c r="V33" s="150">
        <f>IF(SER_hh_tes_in!V33=0,"",SER_hh_tes_in!V33/SER_hh_fec_in!V33)</f>
        <v>0.9189105683268548</v>
      </c>
      <c r="W33" s="150">
        <f>IF(SER_hh_tes_in!W33=0,"",SER_hh_tes_in!W33/SER_hh_fec_in!W33)</f>
        <v>0.92851379770557707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136.04068470502014</v>
      </c>
      <c r="D3" s="126">
        <f t="shared" si="0"/>
        <v>71.970802082510176</v>
      </c>
      <c r="E3" s="126">
        <f t="shared" si="0"/>
        <v>200.47685625651212</v>
      </c>
      <c r="F3" s="126">
        <f t="shared" si="0"/>
        <v>253.4297999511106</v>
      </c>
      <c r="G3" s="126">
        <f t="shared" si="0"/>
        <v>214.20098742112577</v>
      </c>
      <c r="H3" s="126">
        <f t="shared" si="0"/>
        <v>337.04660891574491</v>
      </c>
      <c r="I3" s="126">
        <f t="shared" si="0"/>
        <v>38.889902876337047</v>
      </c>
      <c r="J3" s="126">
        <f t="shared" si="0"/>
        <v>33.420709823225181</v>
      </c>
      <c r="K3" s="126">
        <f t="shared" si="0"/>
        <v>33.487455603864262</v>
      </c>
      <c r="L3" s="126">
        <f t="shared" si="0"/>
        <v>60.599693058915435</v>
      </c>
      <c r="M3" s="126">
        <f t="shared" si="0"/>
        <v>85.146010884601225</v>
      </c>
      <c r="N3" s="126">
        <f t="shared" si="0"/>
        <v>51.892208539639434</v>
      </c>
      <c r="O3" s="126">
        <f t="shared" si="0"/>
        <v>100.65408865799741</v>
      </c>
      <c r="P3" s="126">
        <f t="shared" si="0"/>
        <v>102.97947432774909</v>
      </c>
      <c r="Q3" s="126">
        <f t="shared" si="0"/>
        <v>121.47027989297874</v>
      </c>
      <c r="R3" s="126">
        <f t="shared" ref="R3:W3" si="1">SUM(R4,R16,R19,R29)</f>
        <v>97.215294984971933</v>
      </c>
      <c r="S3" s="126">
        <f t="shared" si="1"/>
        <v>119.60490513493082</v>
      </c>
      <c r="T3" s="126">
        <f t="shared" si="1"/>
        <v>81.08840954390277</v>
      </c>
      <c r="U3" s="126">
        <f t="shared" si="1"/>
        <v>61.822646756668689</v>
      </c>
      <c r="V3" s="126">
        <f t="shared" si="1"/>
        <v>43.987995687403775</v>
      </c>
      <c r="W3" s="126">
        <f t="shared" si="1"/>
        <v>44.916115244576119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110.26712023369872</v>
      </c>
      <c r="D4" s="131">
        <f t="shared" si="2"/>
        <v>55.643684016424508</v>
      </c>
      <c r="E4" s="131">
        <f t="shared" si="2"/>
        <v>160.07659265505669</v>
      </c>
      <c r="F4" s="131">
        <f t="shared" si="2"/>
        <v>183.80820956518977</v>
      </c>
      <c r="G4" s="131">
        <f t="shared" si="2"/>
        <v>150.24666256487507</v>
      </c>
      <c r="H4" s="131">
        <f t="shared" si="2"/>
        <v>302.49204277515025</v>
      </c>
      <c r="I4" s="131">
        <f t="shared" si="2"/>
        <v>34.190626116565234</v>
      </c>
      <c r="J4" s="131">
        <f t="shared" si="2"/>
        <v>27.490562681229871</v>
      </c>
      <c r="K4" s="131">
        <f t="shared" si="2"/>
        <v>24.253677735280938</v>
      </c>
      <c r="L4" s="131">
        <f t="shared" si="2"/>
        <v>41.229800017330888</v>
      </c>
      <c r="M4" s="131">
        <f t="shared" si="2"/>
        <v>67.723762343788053</v>
      </c>
      <c r="N4" s="131">
        <f t="shared" si="2"/>
        <v>35.399423900699595</v>
      </c>
      <c r="O4" s="131">
        <f t="shared" si="2"/>
        <v>61.962321504713024</v>
      </c>
      <c r="P4" s="131">
        <f t="shared" si="2"/>
        <v>58.117253541477979</v>
      </c>
      <c r="Q4" s="131">
        <f t="shared" si="2"/>
        <v>61.400495820745611</v>
      </c>
      <c r="R4" s="131">
        <f t="shared" ref="R4:W4" si="3">SUM(R5:R15)</f>
        <v>51.879686145873229</v>
      </c>
      <c r="S4" s="131">
        <f t="shared" si="3"/>
        <v>72.858989171578514</v>
      </c>
      <c r="T4" s="131">
        <f t="shared" si="3"/>
        <v>55.341733849110184</v>
      </c>
      <c r="U4" s="131">
        <f t="shared" si="3"/>
        <v>42.974627120138649</v>
      </c>
      <c r="V4" s="131">
        <f t="shared" si="3"/>
        <v>28.112841614513602</v>
      </c>
      <c r="W4" s="131">
        <f t="shared" si="3"/>
        <v>27.906253331077579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0.54374469119957514</v>
      </c>
      <c r="D5" s="133">
        <v>6.8993785953002817E-2</v>
      </c>
      <c r="E5" s="133">
        <v>0</v>
      </c>
      <c r="F5" s="133">
        <v>0</v>
      </c>
      <c r="G5" s="133">
        <v>0</v>
      </c>
      <c r="H5" s="133">
        <v>1.8078165524315241E-2</v>
      </c>
      <c r="I5" s="133">
        <v>0</v>
      </c>
      <c r="J5" s="133">
        <v>0</v>
      </c>
      <c r="K5" s="133">
        <v>0</v>
      </c>
      <c r="L5" s="133">
        <v>0.10780828029142615</v>
      </c>
      <c r="M5" s="133">
        <v>0.18711014434687684</v>
      </c>
      <c r="N5" s="133">
        <v>4.1973075328276092E-2</v>
      </c>
      <c r="O5" s="133">
        <v>0.47306537554687239</v>
      </c>
      <c r="P5" s="133">
        <v>4.3180805972753221E-2</v>
      </c>
      <c r="Q5" s="133">
        <v>2.8354817550599685E-2</v>
      </c>
      <c r="R5" s="133">
        <v>0.1253887643303781</v>
      </c>
      <c r="S5" s="133">
        <v>0</v>
      </c>
      <c r="T5" s="133">
        <v>0.60191347690036412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67.035484629861074</v>
      </c>
      <c r="D7" s="133">
        <v>52.242205722537662</v>
      </c>
      <c r="E7" s="133">
        <v>24.10174709881699</v>
      </c>
      <c r="F7" s="133">
        <v>54.823641752153826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5.4106499848752838</v>
      </c>
      <c r="M7" s="133">
        <v>46.687268936737063</v>
      </c>
      <c r="N7" s="133">
        <v>11.392412622533575</v>
      </c>
      <c r="O7" s="133">
        <v>3.1941489658764661</v>
      </c>
      <c r="P7" s="133">
        <v>6.0377577543519418</v>
      </c>
      <c r="Q7" s="133">
        <v>25.122338106165721</v>
      </c>
      <c r="R7" s="133">
        <v>27.289995083482321</v>
      </c>
      <c r="S7" s="133">
        <v>40.356470750673985</v>
      </c>
      <c r="T7" s="133">
        <v>27.070275196653792</v>
      </c>
      <c r="U7" s="133">
        <v>18.995423850885999</v>
      </c>
      <c r="V7" s="133">
        <v>11.88570100542065</v>
      </c>
      <c r="W7" s="133">
        <v>21.61440772838796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42.687890912638068</v>
      </c>
      <c r="D9" s="133">
        <v>3.3324845079338443</v>
      </c>
      <c r="E9" s="133">
        <v>135.9748455562397</v>
      </c>
      <c r="F9" s="133">
        <v>128.98456781303594</v>
      </c>
      <c r="G9" s="133">
        <v>150.24666256487507</v>
      </c>
      <c r="H9" s="133">
        <v>302.47396460962591</v>
      </c>
      <c r="I9" s="133">
        <v>34.190626116565234</v>
      </c>
      <c r="J9" s="133">
        <v>27.490562681229871</v>
      </c>
      <c r="K9" s="133">
        <v>24.253677735280938</v>
      </c>
      <c r="L9" s="133">
        <v>35.711341752164181</v>
      </c>
      <c r="M9" s="133">
        <v>20.849383262704116</v>
      </c>
      <c r="N9" s="133">
        <v>23.965038202837743</v>
      </c>
      <c r="O9" s="133">
        <v>58.292733034604588</v>
      </c>
      <c r="P9" s="133">
        <v>49.679618893712579</v>
      </c>
      <c r="Q9" s="133">
        <v>32.89093928961924</v>
      </c>
      <c r="R9" s="133">
        <v>22.611602113783523</v>
      </c>
      <c r="S9" s="133">
        <v>31.836292893804455</v>
      </c>
      <c r="T9" s="133">
        <v>27.632832223367316</v>
      </c>
      <c r="U9" s="133">
        <v>23.979203269252647</v>
      </c>
      <c r="V9" s="133">
        <v>16.227140609092952</v>
      </c>
      <c r="W9" s="133">
        <v>6.2918456026896212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2.3741286850992201E-3</v>
      </c>
      <c r="P10" s="133">
        <v>2.3566960874407066</v>
      </c>
      <c r="Q10" s="133">
        <v>3.358863607410048</v>
      </c>
      <c r="R10" s="133">
        <v>1.8527001842770066</v>
      </c>
      <c r="S10" s="133">
        <v>0.66622552710006044</v>
      </c>
      <c r="T10" s="133">
        <v>3.6712952188707813E-2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5.7999379116668948</v>
      </c>
      <c r="D19" s="131">
        <f t="shared" si="6"/>
        <v>7.8659178597340729</v>
      </c>
      <c r="E19" s="131">
        <f t="shared" si="6"/>
        <v>9.5537105265889668</v>
      </c>
      <c r="F19" s="131">
        <f t="shared" si="6"/>
        <v>26.031059253380423</v>
      </c>
      <c r="G19" s="131">
        <f t="shared" si="6"/>
        <v>19.029111138534621</v>
      </c>
      <c r="H19" s="131">
        <f t="shared" si="6"/>
        <v>15.883987142262267</v>
      </c>
      <c r="I19" s="131">
        <f t="shared" si="6"/>
        <v>0.54648772847398031</v>
      </c>
      <c r="J19" s="131">
        <f t="shared" si="6"/>
        <v>4.9933683245921516</v>
      </c>
      <c r="K19" s="131">
        <f t="shared" si="6"/>
        <v>7.7989264962641229</v>
      </c>
      <c r="L19" s="131">
        <f t="shared" si="6"/>
        <v>13.133359403441144</v>
      </c>
      <c r="M19" s="131">
        <f t="shared" si="6"/>
        <v>8.1439919566727959</v>
      </c>
      <c r="N19" s="131">
        <f t="shared" si="6"/>
        <v>6.3518252672289055</v>
      </c>
      <c r="O19" s="131">
        <f t="shared" si="6"/>
        <v>18.168643649824389</v>
      </c>
      <c r="P19" s="131">
        <f t="shared" si="6"/>
        <v>20.175531064376052</v>
      </c>
      <c r="Q19" s="131">
        <f t="shared" si="6"/>
        <v>25.740900204248238</v>
      </c>
      <c r="R19" s="131">
        <f t="shared" ref="R19:W19" si="7">SUM(R20:R27)</f>
        <v>20.605051054651614</v>
      </c>
      <c r="S19" s="131">
        <f t="shared" si="7"/>
        <v>25.578308041149818</v>
      </c>
      <c r="T19" s="131">
        <f t="shared" si="7"/>
        <v>16.536303099571715</v>
      </c>
      <c r="U19" s="131">
        <f t="shared" si="7"/>
        <v>11.893736968134686</v>
      </c>
      <c r="V19" s="131">
        <f t="shared" si="7"/>
        <v>9.6053481921113928</v>
      </c>
      <c r="W19" s="131">
        <f t="shared" si="7"/>
        <v>11.229239611941393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2.3127183505897833</v>
      </c>
      <c r="D22" s="133">
        <v>4.1883168035967522</v>
      </c>
      <c r="E22" s="133">
        <v>1.3128307091464555</v>
      </c>
      <c r="F22" s="133">
        <v>0.63899883460030238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3.1475030909507939</v>
      </c>
      <c r="M22" s="133">
        <v>4.4516668454777752</v>
      </c>
      <c r="N22" s="133">
        <v>5.2445028649768766</v>
      </c>
      <c r="O22" s="133">
        <v>9.160446625503349</v>
      </c>
      <c r="P22" s="133">
        <v>5.3894657685905569</v>
      </c>
      <c r="Q22" s="133">
        <v>6.338619854506522</v>
      </c>
      <c r="R22" s="133">
        <v>5.4869458692059316</v>
      </c>
      <c r="S22" s="133">
        <v>10.081935196219051</v>
      </c>
      <c r="T22" s="133">
        <v>7.1638567364547345</v>
      </c>
      <c r="U22" s="133">
        <v>4.7024100196348666</v>
      </c>
      <c r="V22" s="133">
        <v>4.007245905909663</v>
      </c>
      <c r="W22" s="133">
        <v>8.2562604876593859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3.4872195610771115</v>
      </c>
      <c r="D23" s="133">
        <v>3.6776010561373207</v>
      </c>
      <c r="E23" s="133">
        <v>8.2389045351580563</v>
      </c>
      <c r="F23" s="133">
        <v>25.392060418780122</v>
      </c>
      <c r="G23" s="133">
        <v>19.029111138534621</v>
      </c>
      <c r="H23" s="133">
        <v>15.883987142262267</v>
      </c>
      <c r="I23" s="133">
        <v>0.54648772847398031</v>
      </c>
      <c r="J23" s="133">
        <v>4.9933683245921516</v>
      </c>
      <c r="K23" s="133">
        <v>7.7989264962641229</v>
      </c>
      <c r="L23" s="133">
        <v>9.9858563124903501</v>
      </c>
      <c r="M23" s="133">
        <v>3.6923251111950215</v>
      </c>
      <c r="N23" s="133">
        <v>1.1073224022520294</v>
      </c>
      <c r="O23" s="133">
        <v>9.0058986147780669</v>
      </c>
      <c r="P23" s="133">
        <v>14.700853444663101</v>
      </c>
      <c r="Q23" s="133">
        <v>19.393234687828716</v>
      </c>
      <c r="R23" s="133">
        <v>15.118105185445682</v>
      </c>
      <c r="S23" s="133">
        <v>15.496372844930768</v>
      </c>
      <c r="T23" s="133">
        <v>9.3724463631169801</v>
      </c>
      <c r="U23" s="133">
        <v>7.1913269484998192</v>
      </c>
      <c r="V23" s="133">
        <v>5.5981022862017289</v>
      </c>
      <c r="W23" s="133">
        <v>2.9729791242820069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1.9752822844550017E-3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2.2984095429722496E-3</v>
      </c>
      <c r="P24" s="133">
        <v>8.5211851122396695E-2</v>
      </c>
      <c r="Q24" s="133">
        <v>9.0456619130006612E-3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19.973626559654519</v>
      </c>
      <c r="D29" s="131">
        <f t="shared" si="8"/>
        <v>8.4612002063515845</v>
      </c>
      <c r="E29" s="131">
        <f t="shared" si="8"/>
        <v>30.846553074866485</v>
      </c>
      <c r="F29" s="131">
        <f t="shared" si="8"/>
        <v>43.590531132540406</v>
      </c>
      <c r="G29" s="131">
        <f t="shared" si="8"/>
        <v>44.925213717716076</v>
      </c>
      <c r="H29" s="131">
        <f t="shared" si="8"/>
        <v>18.670578998332417</v>
      </c>
      <c r="I29" s="131">
        <f t="shared" si="8"/>
        <v>4.1527890312978339</v>
      </c>
      <c r="J29" s="131">
        <f t="shared" si="8"/>
        <v>0.93677881740315649</v>
      </c>
      <c r="K29" s="131">
        <f t="shared" si="8"/>
        <v>1.4348513723192049</v>
      </c>
      <c r="L29" s="131">
        <f t="shared" si="8"/>
        <v>6.2365336381433965</v>
      </c>
      <c r="M29" s="131">
        <f t="shared" si="8"/>
        <v>9.2782565841403795</v>
      </c>
      <c r="N29" s="131">
        <f t="shared" si="8"/>
        <v>10.140959371710935</v>
      </c>
      <c r="O29" s="131">
        <f t="shared" si="8"/>
        <v>20.523123503459988</v>
      </c>
      <c r="P29" s="131">
        <f t="shared" si="8"/>
        <v>24.686689721895061</v>
      </c>
      <c r="Q29" s="131">
        <f t="shared" si="8"/>
        <v>34.328883867984878</v>
      </c>
      <c r="R29" s="131">
        <f t="shared" ref="R29:W29" si="9">SUM(R30:R33)</f>
        <v>24.730557784447086</v>
      </c>
      <c r="S29" s="131">
        <f t="shared" si="9"/>
        <v>21.167607922202482</v>
      </c>
      <c r="T29" s="131">
        <f t="shared" si="9"/>
        <v>9.2103725952208677</v>
      </c>
      <c r="U29" s="131">
        <f t="shared" si="9"/>
        <v>6.954282668395348</v>
      </c>
      <c r="V29" s="131">
        <f t="shared" si="9"/>
        <v>6.2698058807787813</v>
      </c>
      <c r="W29" s="131">
        <f t="shared" si="9"/>
        <v>5.7806223015571465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5.6283543585151001</v>
      </c>
      <c r="D30" s="133">
        <v>2.4187992692897642</v>
      </c>
      <c r="E30" s="133">
        <v>10.885677316240628</v>
      </c>
      <c r="F30" s="133">
        <v>17.289806856609221</v>
      </c>
      <c r="G30" s="133">
        <v>9.9572778228428902</v>
      </c>
      <c r="H30" s="133">
        <v>0.96552396368287297</v>
      </c>
      <c r="I30" s="133">
        <v>1.4723889621013497</v>
      </c>
      <c r="J30" s="133">
        <v>0</v>
      </c>
      <c r="K30" s="133">
        <v>0</v>
      </c>
      <c r="L30" s="133">
        <v>0</v>
      </c>
      <c r="M30" s="133">
        <v>0</v>
      </c>
      <c r="N30" s="133">
        <v>1.1116505882475938</v>
      </c>
      <c r="O30" s="133">
        <v>4.0905267439342703</v>
      </c>
      <c r="P30" s="133">
        <v>6.9041242633085629</v>
      </c>
      <c r="Q30" s="133">
        <v>9.1878586061080192</v>
      </c>
      <c r="R30" s="133">
        <v>5.8135555344133838</v>
      </c>
      <c r="S30" s="133">
        <v>1.8097852016944944</v>
      </c>
      <c r="T30" s="133">
        <v>0.59132080013385813</v>
      </c>
      <c r="U30" s="133">
        <v>0.42287387484677552</v>
      </c>
      <c r="V30" s="133">
        <v>0.32188979103206017</v>
      </c>
      <c r="W30" s="133">
        <v>0.44889599527048973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14.345272201139419</v>
      </c>
      <c r="D31" s="133">
        <v>6.0424009370618199</v>
      </c>
      <c r="E31" s="133">
        <v>19.960875758625857</v>
      </c>
      <c r="F31" s="133">
        <v>26.300724275931184</v>
      </c>
      <c r="G31" s="133">
        <v>34.967935894873186</v>
      </c>
      <c r="H31" s="133">
        <v>17.705055034649543</v>
      </c>
      <c r="I31" s="133">
        <v>2.6804000691964847</v>
      </c>
      <c r="J31" s="133">
        <v>0.93677881740315649</v>
      </c>
      <c r="K31" s="133">
        <v>1.4348513723192049</v>
      </c>
      <c r="L31" s="133">
        <v>6.2365336381433965</v>
      </c>
      <c r="M31" s="133">
        <v>9.2782565841403795</v>
      </c>
      <c r="N31" s="133">
        <v>9.0293087834633408</v>
      </c>
      <c r="O31" s="133">
        <v>16.432596759525719</v>
      </c>
      <c r="P31" s="133">
        <v>17.782565458586497</v>
      </c>
      <c r="Q31" s="133">
        <v>25.141025261876859</v>
      </c>
      <c r="R31" s="133">
        <v>18.917002250033704</v>
      </c>
      <c r="S31" s="133">
        <v>19.357822720507986</v>
      </c>
      <c r="T31" s="133">
        <v>8.6190517950870102</v>
      </c>
      <c r="U31" s="133">
        <v>6.5314087935485725</v>
      </c>
      <c r="V31" s="133">
        <v>5.9479160897467214</v>
      </c>
      <c r="W31" s="133">
        <v>5.3317263062866571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422940.34169727942</v>
      </c>
      <c r="D3" s="126">
        <f>IF(SER_hh_fec_in!D3=0,0,11630*1000*SER_hh_fec_in!D3/SER_hh_num_in!D3)</f>
        <v>260031.11878218208</v>
      </c>
      <c r="E3" s="126">
        <f>IF(SER_hh_fec_in!E3=0,0,11630*1000*SER_hh_fec_in!E3/SER_hh_num_in!E3)</f>
        <v>367252.0075560495</v>
      </c>
      <c r="F3" s="126">
        <f>IF(SER_hh_fec_in!F3=0,0,11630*1000*SER_hh_fec_in!F3/SER_hh_num_in!F3)</f>
        <v>426079.49632078962</v>
      </c>
      <c r="G3" s="126">
        <f>IF(SER_hh_fec_in!G3=0,0,11630*1000*SER_hh_fec_in!G3/SER_hh_num_in!G3)</f>
        <v>401339.45659381419</v>
      </c>
      <c r="H3" s="126">
        <f>IF(SER_hh_fec_in!H3=0,0,11630*1000*SER_hh_fec_in!H3/SER_hh_num_in!H3)</f>
        <v>623369.77697875502</v>
      </c>
      <c r="I3" s="126">
        <f>IF(SER_hh_fec_in!I3=0,0,11630*1000*SER_hh_fec_in!I3/SER_hh_num_in!I3)</f>
        <v>391938.68739171635</v>
      </c>
      <c r="J3" s="126">
        <f>IF(SER_hh_fec_in!J3=0,0,11630*1000*SER_hh_fec_in!J3/SER_hh_num_in!J3)</f>
        <v>328619.99314759113</v>
      </c>
      <c r="K3" s="126">
        <f>IF(SER_hh_fec_in!K3=0,0,11630*1000*SER_hh_fec_in!K3/SER_hh_num_in!K3)</f>
        <v>299034.66917767777</v>
      </c>
      <c r="L3" s="126">
        <f>IF(SER_hh_fec_in!L3=0,0,11630*1000*SER_hh_fec_in!L3/SER_hh_num_in!L3)</f>
        <v>304590.18088437303</v>
      </c>
      <c r="M3" s="126">
        <f>IF(SER_hh_fec_in!M3=0,0,11630*1000*SER_hh_fec_in!M3/SER_hh_num_in!M3)</f>
        <v>293690.03519765713</v>
      </c>
      <c r="N3" s="126">
        <f>IF(SER_hh_fec_in!N3=0,0,11630*1000*SER_hh_fec_in!N3/SER_hh_num_in!N3)</f>
        <v>267521.18356902723</v>
      </c>
      <c r="O3" s="126">
        <f>IF(SER_hh_fec_in!O3=0,0,11630*1000*SER_hh_fec_in!O3/SER_hh_num_in!O3)</f>
        <v>246896.25677748394</v>
      </c>
      <c r="P3" s="126">
        <f>IF(SER_hh_fec_in!P3=0,0,11630*1000*SER_hh_fec_in!P3/SER_hh_num_in!P3)</f>
        <v>229721.76629081392</v>
      </c>
      <c r="Q3" s="126">
        <f>IF(SER_hh_fec_in!Q3=0,0,11630*1000*SER_hh_fec_in!Q3/SER_hh_num_in!Q3)</f>
        <v>232125.94720757037</v>
      </c>
      <c r="R3" s="126">
        <f>IF(SER_hh_fec_in!R3=0,0,11630*1000*SER_hh_fec_in!R3/SER_hh_num_in!R3)</f>
        <v>218457.9092335031</v>
      </c>
      <c r="S3" s="126">
        <f>IF(SER_hh_fec_in!S3=0,0,11630*1000*SER_hh_fec_in!S3/SER_hh_num_in!S3)</f>
        <v>210913.99776467134</v>
      </c>
      <c r="T3" s="126">
        <f>IF(SER_hh_fec_in!T3=0,0,11630*1000*SER_hh_fec_in!T3/SER_hh_num_in!T3)</f>
        <v>195409.4388826417</v>
      </c>
      <c r="U3" s="126">
        <f>IF(SER_hh_fec_in!U3=0,0,11630*1000*SER_hh_fec_in!U3/SER_hh_num_in!U3)</f>
        <v>181408.01584054224</v>
      </c>
      <c r="V3" s="126">
        <f>IF(SER_hh_fec_in!V3=0,0,11630*1000*SER_hh_fec_in!V3/SER_hh_num_in!V3)</f>
        <v>155243.37850408754</v>
      </c>
      <c r="W3" s="126">
        <f>IF(SER_hh_fec_in!W3=0,0,11630*1000*SER_hh_fec_in!W3/SER_hh_num_in!W3)</f>
        <v>165512.31681375066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324628.27431815915</v>
      </c>
      <c r="D4" s="131">
        <f>IF(SER_hh_fec_in!D4=0,0,11630*1000*SER_hh_fec_in!D4/SER_hh_num_in!D4)</f>
        <v>208003.66260214779</v>
      </c>
      <c r="E4" s="131">
        <f>IF(SER_hh_fec_in!E4=0,0,11630*1000*SER_hh_fec_in!E4/SER_hh_num_in!E4)</f>
        <v>271786.26521313586</v>
      </c>
      <c r="F4" s="131">
        <f>IF(SER_hh_fec_in!F4=0,0,11630*1000*SER_hh_fec_in!F4/SER_hh_num_in!F4)</f>
        <v>298078.39258094388</v>
      </c>
      <c r="G4" s="131">
        <f>IF(SER_hh_fec_in!G4=0,0,11630*1000*SER_hh_fec_in!G4/SER_hh_num_in!G4)</f>
        <v>293337.05984640046</v>
      </c>
      <c r="H4" s="131">
        <f>IF(SER_hh_fec_in!H4=0,0,11630*1000*SER_hh_fec_in!H4/SER_hh_num_in!H4)</f>
        <v>518031.28161817038</v>
      </c>
      <c r="I4" s="131">
        <f>IF(SER_hh_fec_in!I4=0,0,11630*1000*SER_hh_fec_in!I4/SER_hh_num_in!I4)</f>
        <v>307319.26886503998</v>
      </c>
      <c r="J4" s="131">
        <f>IF(SER_hh_fec_in!J4=0,0,11630*1000*SER_hh_fec_in!J4/SER_hh_num_in!J4)</f>
        <v>220708.22424537441</v>
      </c>
      <c r="K4" s="131">
        <f>IF(SER_hh_fec_in!K4=0,0,11630*1000*SER_hh_fec_in!K4/SER_hh_num_in!K4)</f>
        <v>191468.04977293345</v>
      </c>
      <c r="L4" s="131">
        <f>IF(SER_hh_fec_in!L4=0,0,11630*1000*SER_hh_fec_in!L4/SER_hh_num_in!L4)</f>
        <v>204578.14639139397</v>
      </c>
      <c r="M4" s="131">
        <f>IF(SER_hh_fec_in!M4=0,0,11630*1000*SER_hh_fec_in!M4/SER_hh_num_in!M4)</f>
        <v>191796.22830427781</v>
      </c>
      <c r="N4" s="131">
        <f>IF(SER_hh_fec_in!N4=0,0,11630*1000*SER_hh_fec_in!N4/SER_hh_num_in!N4)</f>
        <v>157967.37261618089</v>
      </c>
      <c r="O4" s="131">
        <f>IF(SER_hh_fec_in!O4=0,0,11630*1000*SER_hh_fec_in!O4/SER_hh_num_in!O4)</f>
        <v>140247.46300902197</v>
      </c>
      <c r="P4" s="131">
        <f>IF(SER_hh_fec_in!P4=0,0,11630*1000*SER_hh_fec_in!P4/SER_hh_num_in!P4)</f>
        <v>121899.90656757592</v>
      </c>
      <c r="Q4" s="131">
        <f>IF(SER_hh_fec_in!Q4=0,0,11630*1000*SER_hh_fec_in!Q4/SER_hh_num_in!Q4)</f>
        <v>123498.95592038083</v>
      </c>
      <c r="R4" s="131">
        <f>IF(SER_hh_fec_in!R4=0,0,11630*1000*SER_hh_fec_in!R4/SER_hh_num_in!R4)</f>
        <v>116353.81139852728</v>
      </c>
      <c r="S4" s="131">
        <f>IF(SER_hh_fec_in!S4=0,0,11630*1000*SER_hh_fec_in!S4/SER_hh_num_in!S4)</f>
        <v>111923.66461427811</v>
      </c>
      <c r="T4" s="131">
        <f>IF(SER_hh_fec_in!T4=0,0,11630*1000*SER_hh_fec_in!T4/SER_hh_num_in!T4)</f>
        <v>101844.38704919696</v>
      </c>
      <c r="U4" s="131">
        <f>IF(SER_hh_fec_in!U4=0,0,11630*1000*SER_hh_fec_in!U4/SER_hh_num_in!U4)</f>
        <v>90364.385581670242</v>
      </c>
      <c r="V4" s="131">
        <f>IF(SER_hh_fec_in!V4=0,0,11630*1000*SER_hh_fec_in!V4/SER_hh_num_in!V4)</f>
        <v>73326.263768199322</v>
      </c>
      <c r="W4" s="131">
        <f>IF(SER_hh_fec_in!W4=0,0,11630*1000*SER_hh_fec_in!W4/SER_hh_num_in!W4)</f>
        <v>73534.814239819694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357555.67890332587</v>
      </c>
      <c r="D5" s="133">
        <f>IF(SER_hh_fec_in!D5=0,0,11630*1000*SER_hh_fec_in!D5/SER_hh_num_in!D5)</f>
        <v>223299.7710945259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619526.99759472674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214848.01901453352</v>
      </c>
      <c r="M5" s="133">
        <f>IF(SER_hh_fec_in!M5=0,0,11630*1000*SER_hh_fec_in!M5/SER_hh_num_in!M5)</f>
        <v>230274.09348268106</v>
      </c>
      <c r="N5" s="133">
        <f>IF(SER_hh_fec_in!N5=0,0,11630*1000*SER_hh_fec_in!N5/SER_hh_num_in!N5)</f>
        <v>121859.01710394208</v>
      </c>
      <c r="O5" s="133">
        <f>IF(SER_hh_fec_in!O5=0,0,11630*1000*SER_hh_fec_in!O5/SER_hh_num_in!O5)</f>
        <v>184854.24221284775</v>
      </c>
      <c r="P5" s="133">
        <f>IF(SER_hh_fec_in!P5=0,0,11630*1000*SER_hh_fec_in!P5/SER_hh_num_in!P5)</f>
        <v>111113.31829952828</v>
      </c>
      <c r="Q5" s="133">
        <f>IF(SER_hh_fec_in!Q5=0,0,11630*1000*SER_hh_fec_in!Q5/SER_hh_num_in!Q5)</f>
        <v>110584.56088041217</v>
      </c>
      <c r="R5" s="133">
        <f>IF(SER_hh_fec_in!R5=0,0,11630*1000*SER_hh_fec_in!R5/SER_hh_num_in!R5)</f>
        <v>184331.86469475244</v>
      </c>
      <c r="S5" s="133">
        <f>IF(SER_hh_fec_in!S5=0,0,11630*1000*SER_hh_fec_in!S5/SER_hh_num_in!S5)</f>
        <v>0</v>
      </c>
      <c r="T5" s="133">
        <f>IF(SER_hh_fec_in!T5=0,0,11630*1000*SER_hh_fec_in!T5/SER_hh_num_in!T5)</f>
        <v>158479.69898105576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236599.37072684188</v>
      </c>
      <c r="D7" s="133">
        <f>IF(SER_hh_fec_in!D7=0,0,11630*1000*SER_hh_fec_in!D7/SER_hh_num_in!D7)</f>
        <v>248403.15221732453</v>
      </c>
      <c r="E7" s="133">
        <f>IF(SER_hh_fec_in!E7=0,0,11630*1000*SER_hh_fec_in!E7/SER_hh_num_in!E7)</f>
        <v>219003.52779830946</v>
      </c>
      <c r="F7" s="133">
        <f>IF(SER_hh_fec_in!F7=0,0,11630*1000*SER_hh_fec_in!F7/SER_hh_num_in!F7)</f>
        <v>369683.13737895555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157729.16691600336</v>
      </c>
      <c r="M7" s="133">
        <f>IF(SER_hh_fec_in!M7=0,0,11630*1000*SER_hh_fec_in!M7/SER_hh_num_in!M7)</f>
        <v>264493.17522537516</v>
      </c>
      <c r="N7" s="133">
        <f>IF(SER_hh_fec_in!N7=0,0,11630*1000*SER_hh_fec_in!N7/SER_hh_num_in!N7)</f>
        <v>197247.56433704239</v>
      </c>
      <c r="O7" s="133">
        <f>IF(SER_hh_fec_in!O7=0,0,11630*1000*SER_hh_fec_in!O7/SER_hh_num_in!O7)</f>
        <v>138684.97491264236</v>
      </c>
      <c r="P7" s="133">
        <f>IF(SER_hh_fec_in!P7=0,0,11630*1000*SER_hh_fec_in!P7/SER_hh_num_in!P7)</f>
        <v>116944.85570714549</v>
      </c>
      <c r="Q7" s="133">
        <f>IF(SER_hh_fec_in!Q7=0,0,11630*1000*SER_hh_fec_in!Q7/SER_hh_num_in!Q7)</f>
        <v>110073.24895073775</v>
      </c>
      <c r="R7" s="133">
        <f>IF(SER_hh_fec_in!R7=0,0,11630*1000*SER_hh_fec_in!R7/SER_hh_num_in!R7)</f>
        <v>100089.52248650134</v>
      </c>
      <c r="S7" s="133">
        <f>IF(SER_hh_fec_in!S7=0,0,11630*1000*SER_hh_fec_in!S7/SER_hh_num_in!S7)</f>
        <v>114636.28951891884</v>
      </c>
      <c r="T7" s="133">
        <f>IF(SER_hh_fec_in!T7=0,0,11630*1000*SER_hh_fec_in!T7/SER_hh_num_in!T7)</f>
        <v>107592.92061432599</v>
      </c>
      <c r="U7" s="133">
        <f>IF(SER_hh_fec_in!U7=0,0,11630*1000*SER_hh_fec_in!U7/SER_hh_num_in!U7)</f>
        <v>91602.782700405311</v>
      </c>
      <c r="V7" s="133">
        <f>IF(SER_hh_fec_in!V7=0,0,11630*1000*SER_hh_fec_in!V7/SER_hh_num_in!V7)</f>
        <v>70680.026779401625</v>
      </c>
      <c r="W7" s="133">
        <f>IF(SER_hh_fec_in!W7=0,0,11630*1000*SER_hh_fec_in!W7/SER_hh_num_in!W7)</f>
        <v>82009.485926353984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565120.71879789408</v>
      </c>
      <c r="D9" s="133">
        <f>IF(SER_hh_fec_in!D9=0,0,11630*1000*SER_hh_fec_in!D9/SER_hh_num_in!D9)</f>
        <v>50716.37932914056</v>
      </c>
      <c r="E9" s="133">
        <f>IF(SER_hh_fec_in!E9=0,0,11630*1000*SER_hh_fec_in!E9/SER_hh_num_in!E9)</f>
        <v>277613.35729089542</v>
      </c>
      <c r="F9" s="133">
        <f>IF(SER_hh_fec_in!F9=0,0,11630*1000*SER_hh_fec_in!F9/SER_hh_num_in!F9)</f>
        <v>276787.55472513381</v>
      </c>
      <c r="G9" s="133">
        <f>IF(SER_hh_fec_in!G9=0,0,11630*1000*SER_hh_fec_in!G9/SER_hh_num_in!G9)</f>
        <v>276440.09951370029</v>
      </c>
      <c r="H9" s="133">
        <f>IF(SER_hh_fec_in!H9=0,0,11630*1000*SER_hh_fec_in!H9/SER_hh_num_in!H9)</f>
        <v>514295.31460108404</v>
      </c>
      <c r="I9" s="133">
        <f>IF(SER_hh_fec_in!I9=0,0,11630*1000*SER_hh_fec_in!I9/SER_hh_num_in!I9)</f>
        <v>327155.23272474896</v>
      </c>
      <c r="J9" s="133">
        <f>IF(SER_hh_fec_in!J9=0,0,11630*1000*SER_hh_fec_in!J9/SER_hh_num_in!J9)</f>
        <v>217080.74358263105</v>
      </c>
      <c r="K9" s="133">
        <f>IF(SER_hh_fec_in!K9=0,0,11630*1000*SER_hh_fec_in!K9/SER_hh_num_in!K9)</f>
        <v>236369.05547136307</v>
      </c>
      <c r="L9" s="133">
        <f>IF(SER_hh_fec_in!L9=0,0,11630*1000*SER_hh_fec_in!L9/SER_hh_num_in!L9)</f>
        <v>228454.71235604174</v>
      </c>
      <c r="M9" s="133">
        <f>IF(SER_hh_fec_in!M9=0,0,11630*1000*SER_hh_fec_in!M9/SER_hh_num_in!M9)</f>
        <v>166559.40686627664</v>
      </c>
      <c r="N9" s="133">
        <f>IF(SER_hh_fec_in!N9=0,0,11630*1000*SER_hh_fec_in!N9/SER_hh_num_in!N9)</f>
        <v>159385.25775829196</v>
      </c>
      <c r="O9" s="133">
        <f>IF(SER_hh_fec_in!O9=0,0,11630*1000*SER_hh_fec_in!O9/SER_hh_num_in!O9)</f>
        <v>144558.20451575451</v>
      </c>
      <c r="P9" s="133">
        <f>IF(SER_hh_fec_in!P9=0,0,11630*1000*SER_hh_fec_in!P9/SER_hh_num_in!P9)</f>
        <v>125965.64287162671</v>
      </c>
      <c r="Q9" s="133">
        <f>IF(SER_hh_fec_in!Q9=0,0,11630*1000*SER_hh_fec_in!Q9/SER_hh_num_in!Q9)</f>
        <v>106155.15030605051</v>
      </c>
      <c r="R9" s="133">
        <f>IF(SER_hh_fec_in!R9=0,0,11630*1000*SER_hh_fec_in!R9/SER_hh_num_in!R9)</f>
        <v>100795.38381546171</v>
      </c>
      <c r="S9" s="133">
        <f>IF(SER_hh_fec_in!S9=0,0,11630*1000*SER_hh_fec_in!S9/SER_hh_num_in!S9)</f>
        <v>101575.598484777</v>
      </c>
      <c r="T9" s="133">
        <f>IF(SER_hh_fec_in!T9=0,0,11630*1000*SER_hh_fec_in!T9/SER_hh_num_in!T9)</f>
        <v>95203.872768938774</v>
      </c>
      <c r="U9" s="133">
        <f>IF(SER_hh_fec_in!U9=0,0,11630*1000*SER_hh_fec_in!U9/SER_hh_num_in!U9)</f>
        <v>88025.311279250192</v>
      </c>
      <c r="V9" s="133">
        <f>IF(SER_hh_fec_in!V9=0,0,11630*1000*SER_hh_fec_in!V9/SER_hh_num_in!V9)</f>
        <v>76041.655244104448</v>
      </c>
      <c r="W9" s="133">
        <f>IF(SER_hh_fec_in!W9=0,0,11630*1000*SER_hh_fec_in!W9/SER_hh_num_in!W9)</f>
        <v>64996.028607666158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333205.27222622972</v>
      </c>
      <c r="D10" s="133">
        <f>IF(SER_hh_fec_in!D10=0,0,11630*1000*SER_hh_fec_in!D10/SER_hh_num_in!D10)</f>
        <v>251209.55195919549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0</v>
      </c>
      <c r="J10" s="133">
        <f>IF(SER_hh_fec_in!J10=0,0,11630*1000*SER_hh_fec_in!J10/SER_hh_num_in!J10)</f>
        <v>295918.50220311608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0</v>
      </c>
      <c r="M10" s="133">
        <f>IF(SER_hh_fec_in!M10=0,0,11630*1000*SER_hh_fec_in!M10/SER_hh_num_in!M10)</f>
        <v>0</v>
      </c>
      <c r="N10" s="133">
        <f>IF(SER_hh_fec_in!N10=0,0,11630*1000*SER_hh_fec_in!N10/SER_hh_num_in!N10)</f>
        <v>0</v>
      </c>
      <c r="O10" s="133">
        <f>IF(SER_hh_fec_in!O10=0,0,11630*1000*SER_hh_fec_in!O10/SER_hh_num_in!O10)</f>
        <v>134295.82180257942</v>
      </c>
      <c r="P10" s="133">
        <f>IF(SER_hh_fec_in!P10=0,0,11630*1000*SER_hh_fec_in!P10/SER_hh_num_in!P10)</f>
        <v>105065.99551905824</v>
      </c>
      <c r="Q10" s="133">
        <f>IF(SER_hh_fec_in!Q10=0,0,11630*1000*SER_hh_fec_in!Q10/SER_hh_num_in!Q10)</f>
        <v>168398.94789796788</v>
      </c>
      <c r="R10" s="133">
        <f>IF(SER_hh_fec_in!R10=0,0,11630*1000*SER_hh_fec_in!R10/SER_hh_num_in!R10)</f>
        <v>168864.62283644913</v>
      </c>
      <c r="S10" s="133">
        <f>IF(SER_hh_fec_in!S10=0,0,11630*1000*SER_hh_fec_in!S10/SER_hh_num_in!S10)</f>
        <v>138519.89721440664</v>
      </c>
      <c r="T10" s="133">
        <f>IF(SER_hh_fec_in!T10=0,0,11630*1000*SER_hh_fec_in!T10/SER_hh_num_in!T10)</f>
        <v>129488.224067388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0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95180.531326460376</v>
      </c>
      <c r="D11" s="133">
        <f>IF(SER_hh_fec_in!D11=0,0,11630*1000*SER_hh_fec_in!D11/SER_hh_num_in!D11)</f>
        <v>176469.26138589796</v>
      </c>
      <c r="E11" s="133">
        <f>IF(SER_hh_fec_in!E11=0,0,11630*1000*SER_hh_fec_in!E11/SER_hh_num_in!E11)</f>
        <v>211332.00530165841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172744.14791782908</v>
      </c>
      <c r="J11" s="133">
        <f>IF(SER_hh_fec_in!J11=0,0,11630*1000*SER_hh_fec_in!J11/SER_hh_num_in!J11)</f>
        <v>265525.41051077686</v>
      </c>
      <c r="K11" s="133">
        <f>IF(SER_hh_fec_in!K11=0,0,11630*1000*SER_hh_fec_in!K11/SER_hh_num_in!K11)</f>
        <v>222156.99739037541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141844.70714048139</v>
      </c>
      <c r="N11" s="133">
        <f>IF(SER_hh_fec_in!N11=0,0,11630*1000*SER_hh_fec_in!N11/SER_hh_num_in!N11)</f>
        <v>115867.95847283254</v>
      </c>
      <c r="O11" s="133">
        <f>IF(SER_hh_fec_in!O11=0,0,11630*1000*SER_hh_fec_in!O11/SER_hh_num_in!O11)</f>
        <v>123765.00604943506</v>
      </c>
      <c r="P11" s="133">
        <f>IF(SER_hh_fec_in!P11=0,0,11630*1000*SER_hh_fec_in!P11/SER_hh_num_in!P11)</f>
        <v>111423.24813863236</v>
      </c>
      <c r="Q11" s="133">
        <f>IF(SER_hh_fec_in!Q11=0,0,11630*1000*SER_hh_fec_in!Q11/SER_hh_num_in!Q11)</f>
        <v>92105.309657849371</v>
      </c>
      <c r="R11" s="133">
        <f>IF(SER_hh_fec_in!R11=0,0,11630*1000*SER_hh_fec_in!R11/SER_hh_num_in!R11)</f>
        <v>95507.49990795659</v>
      </c>
      <c r="S11" s="133">
        <f>IF(SER_hh_fec_in!S11=0,0,11630*1000*SER_hh_fec_in!S11/SER_hh_num_in!S11)</f>
        <v>97743.36656355398</v>
      </c>
      <c r="T11" s="133">
        <f>IF(SER_hh_fec_in!T11=0,0,11630*1000*SER_hh_fec_in!T11/SER_hh_num_in!T11)</f>
        <v>93168.18032648979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353158.35071165295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229564.7875919895</v>
      </c>
      <c r="J12" s="133">
        <f>IF(SER_hh_fec_in!J12=0,0,11630*1000*SER_hh_fec_in!J12/SER_hh_num_in!J12)</f>
        <v>220252.1922254255</v>
      </c>
      <c r="K12" s="133">
        <f>IF(SER_hh_fec_in!K12=0,0,11630*1000*SER_hh_fec_in!K12/SER_hh_num_in!K12)</f>
        <v>164455.71124542053</v>
      </c>
      <c r="L12" s="133">
        <f>IF(SER_hh_fec_in!L12=0,0,11630*1000*SER_hh_fec_in!L12/SER_hh_num_in!L12)</f>
        <v>166956.41250718542</v>
      </c>
      <c r="M12" s="133">
        <f>IF(SER_hh_fec_in!M12=0,0,11630*1000*SER_hh_fec_in!M12/SER_hh_num_in!M12)</f>
        <v>154427.97684511906</v>
      </c>
      <c r="N12" s="133">
        <f>IF(SER_hh_fec_in!N12=0,0,11630*1000*SER_hh_fec_in!N12/SER_hh_num_in!N12)</f>
        <v>143715.44564864552</v>
      </c>
      <c r="O12" s="133">
        <f>IF(SER_hh_fec_in!O12=0,0,11630*1000*SER_hh_fec_in!O12/SER_hh_num_in!O12)</f>
        <v>126008.33606406034</v>
      </c>
      <c r="P12" s="133">
        <f>IF(SER_hh_fec_in!P12=0,0,11630*1000*SER_hh_fec_in!P12/SER_hh_num_in!P12)</f>
        <v>97933.573759229941</v>
      </c>
      <c r="Q12" s="133">
        <f>IF(SER_hh_fec_in!Q12=0,0,11630*1000*SER_hh_fec_in!Q12/SER_hh_num_in!Q12)</f>
        <v>91687.238921841286</v>
      </c>
      <c r="R12" s="133">
        <f>IF(SER_hh_fec_in!R12=0,0,11630*1000*SER_hh_fec_in!R12/SER_hh_num_in!R12)</f>
        <v>92525.521552665494</v>
      </c>
      <c r="S12" s="133">
        <f>IF(SER_hh_fec_in!S12=0,0,11630*1000*SER_hh_fec_in!S12/SER_hh_num_in!S12)</f>
        <v>0</v>
      </c>
      <c r="T12" s="133">
        <f>IF(SER_hh_fec_in!T12=0,0,11630*1000*SER_hh_fec_in!T12/SER_hh_num_in!T12)</f>
        <v>0</v>
      </c>
      <c r="U12" s="133">
        <f>IF(SER_hh_fec_in!U12=0,0,11630*1000*SER_hh_fec_in!U12/SER_hh_num_in!U12)</f>
        <v>0</v>
      </c>
      <c r="V12" s="133">
        <f>IF(SER_hh_fec_in!V12=0,0,11630*1000*SER_hh_fec_in!V12/SER_hh_num_in!V12)</f>
        <v>61943.320014881057</v>
      </c>
      <c r="W12" s="133">
        <f>IF(SER_hh_fec_in!W12=0,0,11630*1000*SER_hh_fec_in!W12/SER_hh_num_in!W12)</f>
        <v>54546.437456386295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0</v>
      </c>
      <c r="D13" s="133">
        <f>IF(SER_hh_fec_in!D13=0,0,11630*1000*SER_hh_fec_in!D13/SER_hh_num_in!D13)</f>
        <v>0</v>
      </c>
      <c r="E13" s="133">
        <f>IF(SER_hh_fec_in!E13=0,0,11630*1000*SER_hh_fec_in!E13/SER_hh_num_in!E13)</f>
        <v>0</v>
      </c>
      <c r="F13" s="133">
        <f>IF(SER_hh_fec_in!F13=0,0,11630*1000*SER_hh_fec_in!F13/SER_hh_num_in!F13)</f>
        <v>0</v>
      </c>
      <c r="G13" s="133">
        <f>IF(SER_hh_fec_in!G13=0,0,11630*1000*SER_hh_fec_in!G13/SER_hh_num_in!G13)</f>
        <v>0</v>
      </c>
      <c r="H13" s="133">
        <f>IF(SER_hh_fec_in!H13=0,0,11630*1000*SER_hh_fec_in!H13/SER_hh_num_in!H13)</f>
        <v>0</v>
      </c>
      <c r="I13" s="133">
        <f>IF(SER_hh_fec_in!I13=0,0,11630*1000*SER_hh_fec_in!I13/SER_hh_num_in!I13)</f>
        <v>0</v>
      </c>
      <c r="J13" s="133">
        <f>IF(SER_hh_fec_in!J13=0,0,11630*1000*SER_hh_fec_in!J13/SER_hh_num_in!J13)</f>
        <v>0</v>
      </c>
      <c r="K13" s="133">
        <f>IF(SER_hh_fec_in!K13=0,0,11630*1000*SER_hh_fec_in!K13/SER_hh_num_in!K13)</f>
        <v>0</v>
      </c>
      <c r="L13" s="133">
        <f>IF(SER_hh_fec_in!L13=0,0,11630*1000*SER_hh_fec_in!L13/SER_hh_num_in!L13)</f>
        <v>0</v>
      </c>
      <c r="M13" s="133">
        <f>IF(SER_hh_fec_in!M13=0,0,11630*1000*SER_hh_fec_in!M13/SER_hh_num_in!M13)</f>
        <v>0</v>
      </c>
      <c r="N13" s="133">
        <f>IF(SER_hh_fec_in!N13=0,0,11630*1000*SER_hh_fec_in!N13/SER_hh_num_in!N13)</f>
        <v>0</v>
      </c>
      <c r="O13" s="133">
        <f>IF(SER_hh_fec_in!O13=0,0,11630*1000*SER_hh_fec_in!O13/SER_hh_num_in!O13)</f>
        <v>0</v>
      </c>
      <c r="P13" s="133">
        <f>IF(SER_hh_fec_in!P13=0,0,11630*1000*SER_hh_fec_in!P13/SER_hh_num_in!P13)</f>
        <v>0</v>
      </c>
      <c r="Q13" s="133">
        <f>IF(SER_hh_fec_in!Q13=0,0,11630*1000*SER_hh_fec_in!Q13/SER_hh_num_in!Q13)</f>
        <v>0</v>
      </c>
      <c r="R13" s="133">
        <f>IF(SER_hh_fec_in!R13=0,0,11630*1000*SER_hh_fec_in!R13/SER_hh_num_in!R13)</f>
        <v>0</v>
      </c>
      <c r="S13" s="133">
        <f>IF(SER_hh_fec_in!S13=0,0,11630*1000*SER_hh_fec_in!S13/SER_hh_num_in!S13)</f>
        <v>0</v>
      </c>
      <c r="T13" s="133">
        <f>IF(SER_hh_fec_in!T13=0,0,11630*1000*SER_hh_fec_in!T13/SER_hh_num_in!T13)</f>
        <v>0</v>
      </c>
      <c r="U13" s="133">
        <f>IF(SER_hh_fec_in!U13=0,0,11630*1000*SER_hh_fec_in!U13/SER_hh_num_in!U13)</f>
        <v>0</v>
      </c>
      <c r="V13" s="133">
        <f>IF(SER_hh_fec_in!V13=0,0,11630*1000*SER_hh_fec_in!V13/SER_hh_num_in!V13)</f>
        <v>0</v>
      </c>
      <c r="W13" s="133">
        <f>IF(SER_hh_fec_in!W13=0,0,11630*1000*SER_hh_fec_in!W13/SER_hh_num_in!W13)</f>
        <v>0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0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0</v>
      </c>
      <c r="F14" s="65">
        <f>IF(SER_hh_fec_in!F14=0,0,11630*1000*SER_hh_fec_in!F14/SER_hh_num_in!F14)</f>
        <v>0</v>
      </c>
      <c r="G14" s="65">
        <f>IF(SER_hh_fec_in!G14=0,0,11630*1000*SER_hh_fec_in!G14/SER_hh_num_in!G14)</f>
        <v>249157.46036772267</v>
      </c>
      <c r="H14" s="65">
        <f>IF(SER_hh_fec_in!H14=0,0,11630*1000*SER_hh_fec_in!H14/SER_hh_num_in!H14)</f>
        <v>272589.18691136438</v>
      </c>
      <c r="I14" s="65">
        <f>IF(SER_hh_fec_in!I14=0,0,11630*1000*SER_hh_fec_in!I14/SER_hh_num_in!I14)</f>
        <v>364350.82823407731</v>
      </c>
      <c r="J14" s="65">
        <f>IF(SER_hh_fec_in!J14=0,0,11630*1000*SER_hh_fec_in!J14/SER_hh_num_in!J14)</f>
        <v>188940.68020006275</v>
      </c>
      <c r="K14" s="65">
        <f>IF(SER_hh_fec_in!K14=0,0,11630*1000*SER_hh_fec_in!K14/SER_hh_num_in!K14)</f>
        <v>153335.9653834115</v>
      </c>
      <c r="L14" s="65">
        <f>IF(SER_hh_fec_in!L14=0,0,11630*1000*SER_hh_fec_in!L14/SER_hh_num_in!L14)</f>
        <v>251241.38217566189</v>
      </c>
      <c r="M14" s="65">
        <f>IF(SER_hh_fec_in!M14=0,0,11630*1000*SER_hh_fec_in!M14/SER_hh_num_in!M14)</f>
        <v>198752.92677305473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0</v>
      </c>
      <c r="T14" s="65">
        <f>IF(SER_hh_fec_in!T14=0,0,11630*1000*SER_hh_fec_in!T14/SER_hh_num_in!T14)</f>
        <v>0</v>
      </c>
      <c r="U14" s="65">
        <f>IF(SER_hh_fec_in!U14=0,0,11630*1000*SER_hh_fec_in!U14/SER_hh_num_in!U14)</f>
        <v>0</v>
      </c>
      <c r="V14" s="65">
        <f>IF(SER_hh_fec_in!V14=0,0,11630*1000*SER_hh_fec_in!V14/SER_hh_num_in!V14)</f>
        <v>0</v>
      </c>
      <c r="W14" s="65">
        <f>IF(SER_hh_fec_in!W14=0,0,11630*1000*SER_hh_fec_in!W14/SER_hh_num_in!W14)</f>
        <v>56695.432351581083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2496.1379664023475</v>
      </c>
      <c r="D15" s="135">
        <f>IF(SER_hh_fec_in!D15=0,0,11630*1000*SER_hh_fec_in!D15/SER_hh_num_in!D15)</f>
        <v>1682.2430769522693</v>
      </c>
      <c r="E15" s="135">
        <f>IF(SER_hh_fec_in!E15=0,0,11630*1000*SER_hh_fec_in!E15/SER_hh_num_in!E15)</f>
        <v>2903.5211064640112</v>
      </c>
      <c r="F15" s="135">
        <f>IF(SER_hh_fec_in!F15=0,0,11630*1000*SER_hh_fec_in!F15/SER_hh_num_in!F15)</f>
        <v>3118.9011235230496</v>
      </c>
      <c r="G15" s="135">
        <f>IF(SER_hh_fec_in!G15=0,0,11630*1000*SER_hh_fec_in!G15/SER_hh_num_in!G15)</f>
        <v>2642.4266703583758</v>
      </c>
      <c r="H15" s="135">
        <f>IF(SER_hh_fec_in!H15=0,0,11630*1000*SER_hh_fec_in!H15/SER_hh_num_in!H15)</f>
        <v>5568.9140421162074</v>
      </c>
      <c r="I15" s="135">
        <f>IF(SER_hh_fec_in!I15=0,0,11630*1000*SER_hh_fec_in!I15/SER_hh_num_in!I15)</f>
        <v>2178.3695355095479</v>
      </c>
      <c r="J15" s="135">
        <f>IF(SER_hh_fec_in!J15=0,0,11630*1000*SER_hh_fec_in!J15/SER_hh_num_in!J15)</f>
        <v>1465.0776656193564</v>
      </c>
      <c r="K15" s="135">
        <f>IF(SER_hh_fec_in!K15=0,0,11630*1000*SER_hh_fec_in!K15/SER_hh_num_in!K15)</f>
        <v>1482.1387864875519</v>
      </c>
      <c r="L15" s="135">
        <f>IF(SER_hh_fec_in!L15=0,0,11630*1000*SER_hh_fec_in!L15/SER_hh_num_in!L15)</f>
        <v>1411.1631961631799</v>
      </c>
      <c r="M15" s="135">
        <f>IF(SER_hh_fec_in!M15=0,0,11630*1000*SER_hh_fec_in!M15/SER_hh_num_in!M15)</f>
        <v>1458.7857088976129</v>
      </c>
      <c r="N15" s="135">
        <f>IF(SER_hh_fec_in!N15=0,0,11630*1000*SER_hh_fec_in!N15/SER_hh_num_in!N15)</f>
        <v>1221.8812579065063</v>
      </c>
      <c r="O15" s="135">
        <f>IF(SER_hh_fec_in!O15=0,0,11630*1000*SER_hh_fec_in!O15/SER_hh_num_in!O15)</f>
        <v>1246.2803856751991</v>
      </c>
      <c r="P15" s="135">
        <f>IF(SER_hh_fec_in!P15=0,0,11630*1000*SER_hh_fec_in!P15/SER_hh_num_in!P15)</f>
        <v>1180.6665283493517</v>
      </c>
      <c r="Q15" s="135">
        <f>IF(SER_hh_fec_in!Q15=0,0,11630*1000*SER_hh_fec_in!Q15/SER_hh_num_in!Q15)</f>
        <v>1033.0022114316444</v>
      </c>
      <c r="R15" s="135">
        <f>IF(SER_hh_fec_in!R15=0,0,11630*1000*SER_hh_fec_in!R15/SER_hh_num_in!R15)</f>
        <v>999.32624088104433</v>
      </c>
      <c r="S15" s="135">
        <f>IF(SER_hh_fec_in!S15=0,0,11630*1000*SER_hh_fec_in!S15/SER_hh_num_in!S15)</f>
        <v>1127.1606034915815</v>
      </c>
      <c r="T15" s="135">
        <f>IF(SER_hh_fec_in!T15=0,0,11630*1000*SER_hh_fec_in!T15/SER_hh_num_in!T15)</f>
        <v>1132.5223762744199</v>
      </c>
      <c r="U15" s="135">
        <f>IF(SER_hh_fec_in!U15=0,0,11630*1000*SER_hh_fec_in!U15/SER_hh_num_in!U15)</f>
        <v>1023.7177979264623</v>
      </c>
      <c r="V15" s="135">
        <f>IF(SER_hh_fec_in!V15=0,0,11630*1000*SER_hh_fec_in!V15/SER_hh_num_in!V15)</f>
        <v>774.03570868920201</v>
      </c>
      <c r="W15" s="135">
        <f>IF(SER_hh_fec_in!W15=0,0,11630*1000*SER_hh_fec_in!W15/SER_hh_num_in!W15)</f>
        <v>756.5148707363976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13242.123953660024</v>
      </c>
      <c r="D16" s="131">
        <f>IF(SER_hh_fec_in!D16=0,0,11630*1000*SER_hh_fec_in!D16/SER_hh_num_in!D16)</f>
        <v>12260.686936617201</v>
      </c>
      <c r="E16" s="131">
        <f>IF(SER_hh_fec_in!E16=0,0,11630*1000*SER_hh_fec_in!E16/SER_hh_num_in!E16)</f>
        <v>11983.149447324859</v>
      </c>
      <c r="F16" s="131">
        <f>IF(SER_hh_fec_in!F16=0,0,11630*1000*SER_hh_fec_in!F16/SER_hh_num_in!F16)</f>
        <v>10128.830109459335</v>
      </c>
      <c r="G16" s="131">
        <f>IF(SER_hh_fec_in!G16=0,0,11630*1000*SER_hh_fec_in!G16/SER_hh_num_in!G16)</f>
        <v>9872.2521504179131</v>
      </c>
      <c r="H16" s="131">
        <f>IF(SER_hh_fec_in!H16=0,0,11630*1000*SER_hh_fec_in!H16/SER_hh_num_in!H16)</f>
        <v>10224.760435111424</v>
      </c>
      <c r="I16" s="131">
        <f>IF(SER_hh_fec_in!I16=0,0,11630*1000*SER_hh_fec_in!I16/SER_hh_num_in!I16)</f>
        <v>13117.168151986229</v>
      </c>
      <c r="J16" s="131">
        <f>IF(SER_hh_fec_in!J16=0,0,11630*1000*SER_hh_fec_in!J16/SER_hh_num_in!J16)</f>
        <v>10046.803783992626</v>
      </c>
      <c r="K16" s="131">
        <f>IF(SER_hh_fec_in!K16=0,0,11630*1000*SER_hh_fec_in!K16/SER_hh_num_in!K16)</f>
        <v>9232.0823275505863</v>
      </c>
      <c r="L16" s="131">
        <f>IF(SER_hh_fec_in!L16=0,0,11630*1000*SER_hh_fec_in!L16/SER_hh_num_in!L16)</f>
        <v>10541.042577053007</v>
      </c>
      <c r="M16" s="131">
        <f>IF(SER_hh_fec_in!M16=0,0,11630*1000*SER_hh_fec_in!M16/SER_hh_num_in!M16)</f>
        <v>8728.3734172453387</v>
      </c>
      <c r="N16" s="131">
        <f>IF(SER_hh_fec_in!N16=0,0,11630*1000*SER_hh_fec_in!N16/SER_hh_num_in!N16)</f>
        <v>12740.897021087656</v>
      </c>
      <c r="O16" s="131">
        <f>IF(SER_hh_fec_in!O16=0,0,11630*1000*SER_hh_fec_in!O16/SER_hh_num_in!O16)</f>
        <v>8260.9563395224177</v>
      </c>
      <c r="P16" s="131">
        <f>IF(SER_hh_fec_in!P16=0,0,11630*1000*SER_hh_fec_in!P16/SER_hh_num_in!P16)</f>
        <v>7381.6285759617294</v>
      </c>
      <c r="Q16" s="131">
        <f>IF(SER_hh_fec_in!Q16=0,0,11630*1000*SER_hh_fec_in!Q16/SER_hh_num_in!Q16)</f>
        <v>9264.3829936915099</v>
      </c>
      <c r="R16" s="131">
        <f>IF(SER_hh_fec_in!R16=0,0,11630*1000*SER_hh_fec_in!R16/SER_hh_num_in!R16)</f>
        <v>7640.4437386482623</v>
      </c>
      <c r="S16" s="131">
        <f>IF(SER_hh_fec_in!S16=0,0,11630*1000*SER_hh_fec_in!S16/SER_hh_num_in!S16)</f>
        <v>7995.9499459493127</v>
      </c>
      <c r="T16" s="131">
        <f>IF(SER_hh_fec_in!T16=0,0,11630*1000*SER_hh_fec_in!T16/SER_hh_num_in!T16)</f>
        <v>6809.5922422390213</v>
      </c>
      <c r="U16" s="131">
        <f>IF(SER_hh_fec_in!U16=0,0,11630*1000*SER_hh_fec_in!U16/SER_hh_num_in!U16)</f>
        <v>7429.8993322215911</v>
      </c>
      <c r="V16" s="131">
        <f>IF(SER_hh_fec_in!V16=0,0,11630*1000*SER_hh_fec_in!V16/SER_hh_num_in!V16)</f>
        <v>6633.7637157322506</v>
      </c>
      <c r="W16" s="131">
        <f>IF(SER_hh_fec_in!W16=0,0,11630*1000*SER_hh_fec_in!W16/SER_hh_num_in!W16)</f>
        <v>7062.2573825675172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13242.123953660024</v>
      </c>
      <c r="D18" s="133">
        <f>IF(SER_hh_fec_in!D18=0,0,11630*1000*SER_hh_fec_in!D18/SER_hh_num_in!D18)</f>
        <v>12260.686936617201</v>
      </c>
      <c r="E18" s="133">
        <f>IF(SER_hh_fec_in!E18=0,0,11630*1000*SER_hh_fec_in!E18/SER_hh_num_in!E18)</f>
        <v>11983.149447324859</v>
      </c>
      <c r="F18" s="133">
        <f>IF(SER_hh_fec_in!F18=0,0,11630*1000*SER_hh_fec_in!F18/SER_hh_num_in!F18)</f>
        <v>10128.830109459335</v>
      </c>
      <c r="G18" s="133">
        <f>IF(SER_hh_fec_in!G18=0,0,11630*1000*SER_hh_fec_in!G18/SER_hh_num_in!G18)</f>
        <v>9872.2521504179131</v>
      </c>
      <c r="H18" s="133">
        <f>IF(SER_hh_fec_in!H18=0,0,11630*1000*SER_hh_fec_in!H18/SER_hh_num_in!H18)</f>
        <v>10224.760435111424</v>
      </c>
      <c r="I18" s="133">
        <f>IF(SER_hh_fec_in!I18=0,0,11630*1000*SER_hh_fec_in!I18/SER_hh_num_in!I18)</f>
        <v>13117.168151986229</v>
      </c>
      <c r="J18" s="133">
        <f>IF(SER_hh_fec_in!J18=0,0,11630*1000*SER_hh_fec_in!J18/SER_hh_num_in!J18)</f>
        <v>10046.803783992626</v>
      </c>
      <c r="K18" s="133">
        <f>IF(SER_hh_fec_in!K18=0,0,11630*1000*SER_hh_fec_in!K18/SER_hh_num_in!K18)</f>
        <v>9232.0823275505863</v>
      </c>
      <c r="L18" s="133">
        <f>IF(SER_hh_fec_in!L18=0,0,11630*1000*SER_hh_fec_in!L18/SER_hh_num_in!L18)</f>
        <v>10541.042577053007</v>
      </c>
      <c r="M18" s="133">
        <f>IF(SER_hh_fec_in!M18=0,0,11630*1000*SER_hh_fec_in!M18/SER_hh_num_in!M18)</f>
        <v>8728.3734172453387</v>
      </c>
      <c r="N18" s="133">
        <f>IF(SER_hh_fec_in!N18=0,0,11630*1000*SER_hh_fec_in!N18/SER_hh_num_in!N18)</f>
        <v>12740.897021087656</v>
      </c>
      <c r="O18" s="133">
        <f>IF(SER_hh_fec_in!O18=0,0,11630*1000*SER_hh_fec_in!O18/SER_hh_num_in!O18)</f>
        <v>8260.9563395224177</v>
      </c>
      <c r="P18" s="133">
        <f>IF(SER_hh_fec_in!P18=0,0,11630*1000*SER_hh_fec_in!P18/SER_hh_num_in!P18)</f>
        <v>7381.6285759617294</v>
      </c>
      <c r="Q18" s="133">
        <f>IF(SER_hh_fec_in!Q18=0,0,11630*1000*SER_hh_fec_in!Q18/SER_hh_num_in!Q18)</f>
        <v>9264.3829936915099</v>
      </c>
      <c r="R18" s="133">
        <f>IF(SER_hh_fec_in!R18=0,0,11630*1000*SER_hh_fec_in!R18/SER_hh_num_in!R18)</f>
        <v>7640.4437386482623</v>
      </c>
      <c r="S18" s="133">
        <f>IF(SER_hh_fec_in!S18=0,0,11630*1000*SER_hh_fec_in!S18/SER_hh_num_in!S18)</f>
        <v>7995.9499459493127</v>
      </c>
      <c r="T18" s="133">
        <f>IF(SER_hh_fec_in!T18=0,0,11630*1000*SER_hh_fec_in!T18/SER_hh_num_in!T18)</f>
        <v>6809.5922422390213</v>
      </c>
      <c r="U18" s="133">
        <f>IF(SER_hh_fec_in!U18=0,0,11630*1000*SER_hh_fec_in!U18/SER_hh_num_in!U18)</f>
        <v>7429.8993322215911</v>
      </c>
      <c r="V18" s="133">
        <f>IF(SER_hh_fec_in!V18=0,0,11630*1000*SER_hh_fec_in!V18/SER_hh_num_in!V18)</f>
        <v>6633.7637157322506</v>
      </c>
      <c r="W18" s="133">
        <f>IF(SER_hh_fec_in!W18=0,0,11630*1000*SER_hh_fec_in!W18/SER_hh_num_in!W18)</f>
        <v>7062.2573825675172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48272.665897855775</v>
      </c>
      <c r="D19" s="131">
        <f>IF(SER_hh_fec_in!D19=0,0,11630*1000*SER_hh_fec_in!D19/SER_hh_num_in!D19)</f>
        <v>22232.950437803178</v>
      </c>
      <c r="E19" s="131">
        <f>IF(SER_hh_fec_in!E19=0,0,11630*1000*SER_hh_fec_in!E19/SER_hh_num_in!E19)</f>
        <v>41974.959514263079</v>
      </c>
      <c r="F19" s="131">
        <f>IF(SER_hh_fec_in!F19=0,0,11630*1000*SER_hh_fec_in!F19/SER_hh_num_in!F19)</f>
        <v>53912.897036559662</v>
      </c>
      <c r="G19" s="131">
        <f>IF(SER_hh_fec_in!G19=0,0,11630*1000*SER_hh_fec_in!G19/SER_hh_num_in!G19)</f>
        <v>44707.85322455479</v>
      </c>
      <c r="H19" s="131">
        <f>IF(SER_hh_fec_in!H19=0,0,11630*1000*SER_hh_fec_in!H19/SER_hh_num_in!H19)</f>
        <v>47368.338022848635</v>
      </c>
      <c r="I19" s="131">
        <f>IF(SER_hh_fec_in!I19=0,0,11630*1000*SER_hh_fec_in!I19/SER_hh_num_in!I19)</f>
        <v>45132.746698565141</v>
      </c>
      <c r="J19" s="131">
        <f>IF(SER_hh_fec_in!J19=0,0,11630*1000*SER_hh_fec_in!J19/SER_hh_num_in!J19)</f>
        <v>42605.111846068838</v>
      </c>
      <c r="K19" s="131">
        <f>IF(SER_hh_fec_in!K19=0,0,11630*1000*SER_hh_fec_in!K19/SER_hh_num_in!K19)</f>
        <v>45137.669044436945</v>
      </c>
      <c r="L19" s="131">
        <f>IF(SER_hh_fec_in!L19=0,0,11630*1000*SER_hh_fec_in!L19/SER_hh_num_in!L19)</f>
        <v>42407.746901075538</v>
      </c>
      <c r="M19" s="131">
        <f>IF(SER_hh_fec_in!M19=0,0,11630*1000*SER_hh_fec_in!M19/SER_hh_num_in!M19)</f>
        <v>41320.519546285614</v>
      </c>
      <c r="N19" s="131">
        <f>IF(SER_hh_fec_in!N19=0,0,11630*1000*SER_hh_fec_in!N19/SER_hh_num_in!N19)</f>
        <v>41084.341849920376</v>
      </c>
      <c r="O19" s="131">
        <f>IF(SER_hh_fec_in!O19=0,0,11630*1000*SER_hh_fec_in!O19/SER_hh_num_in!O19)</f>
        <v>42284.234446930204</v>
      </c>
      <c r="P19" s="131">
        <f>IF(SER_hh_fec_in!P19=0,0,11630*1000*SER_hh_fec_in!P19/SER_hh_num_in!P19)</f>
        <v>40722.213021411815</v>
      </c>
      <c r="Q19" s="131">
        <f>IF(SER_hh_fec_in!Q19=0,0,11630*1000*SER_hh_fec_in!Q19/SER_hh_num_in!Q19)</f>
        <v>39325.159701298362</v>
      </c>
      <c r="R19" s="131">
        <f>IF(SER_hh_fec_in!R19=0,0,11630*1000*SER_hh_fec_in!R19/SER_hh_num_in!R19)</f>
        <v>37990.429436562255</v>
      </c>
      <c r="S19" s="131">
        <f>IF(SER_hh_fec_in!S19=0,0,11630*1000*SER_hh_fec_in!S19/SER_hh_num_in!S19)</f>
        <v>38575.767136152172</v>
      </c>
      <c r="T19" s="131">
        <f>IF(SER_hh_fec_in!T19=0,0,11630*1000*SER_hh_fec_in!T19/SER_hh_num_in!T19)</f>
        <v>36426.280265579364</v>
      </c>
      <c r="U19" s="131">
        <f>IF(SER_hh_fec_in!U19=0,0,11630*1000*SER_hh_fec_in!U19/SER_hh_num_in!U19)</f>
        <v>33629.959077229971</v>
      </c>
      <c r="V19" s="131">
        <f>IF(SER_hh_fec_in!V19=0,0,11630*1000*SER_hh_fec_in!V19/SER_hh_num_in!V19)</f>
        <v>30957.212682563109</v>
      </c>
      <c r="W19" s="131">
        <f>IF(SER_hh_fec_in!W19=0,0,11630*1000*SER_hh_fec_in!W19/SER_hh_num_in!W19)</f>
        <v>35389.388104395861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11084.090846787105</v>
      </c>
      <c r="D22" s="133">
        <f>IF(SER_hh_fec_in!D22=0,0,11630*1000*SER_hh_fec_in!D22/SER_hh_num_in!D22)</f>
        <v>33862.806839792902</v>
      </c>
      <c r="E22" s="133">
        <f>IF(SER_hh_fec_in!E22=0,0,11630*1000*SER_hh_fec_in!E22/SER_hh_num_in!E22)</f>
        <v>46965.344031840134</v>
      </c>
      <c r="F22" s="133">
        <f>IF(SER_hh_fec_in!F22=0,0,11630*1000*SER_hh_fec_in!F22/SER_hh_num_in!F22)</f>
        <v>53618.214964080711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0</v>
      </c>
      <c r="K22" s="133">
        <f>IF(SER_hh_fec_in!K22=0,0,11630*1000*SER_hh_fec_in!K22/SER_hh_num_in!K22)</f>
        <v>0</v>
      </c>
      <c r="L22" s="133">
        <f>IF(SER_hh_fec_in!L22=0,0,11630*1000*SER_hh_fec_in!L22/SER_hh_num_in!L22)</f>
        <v>48776.782658091121</v>
      </c>
      <c r="M22" s="133">
        <f>IF(SER_hh_fec_in!M22=0,0,11630*1000*SER_hh_fec_in!M22/SER_hh_num_in!M22)</f>
        <v>44723.439771167956</v>
      </c>
      <c r="N22" s="133">
        <f>IF(SER_hh_fec_in!N22=0,0,11630*1000*SER_hh_fec_in!N22/SER_hh_num_in!N22)</f>
        <v>47099.639138815583</v>
      </c>
      <c r="O22" s="133">
        <f>IF(SER_hh_fec_in!O22=0,0,11630*1000*SER_hh_fec_in!O22/SER_hh_num_in!O22)</f>
        <v>52384.876585014499</v>
      </c>
      <c r="P22" s="133">
        <f>IF(SER_hh_fec_in!P22=0,0,11630*1000*SER_hh_fec_in!P22/SER_hh_num_in!P22)</f>
        <v>46731.851396082413</v>
      </c>
      <c r="Q22" s="133">
        <f>IF(SER_hh_fec_in!Q22=0,0,11630*1000*SER_hh_fec_in!Q22/SER_hh_num_in!Q22)</f>
        <v>44132.78874448251</v>
      </c>
      <c r="R22" s="133">
        <f>IF(SER_hh_fec_in!R22=0,0,11630*1000*SER_hh_fec_in!R22/SER_hh_num_in!R22)</f>
        <v>36234.228307263736</v>
      </c>
      <c r="S22" s="133">
        <f>IF(SER_hh_fec_in!S22=0,0,11630*1000*SER_hh_fec_in!S22/SER_hh_num_in!S22)</f>
        <v>41433.72440113296</v>
      </c>
      <c r="T22" s="133">
        <f>IF(SER_hh_fec_in!T22=0,0,11630*1000*SER_hh_fec_in!T22/SER_hh_num_in!T22)</f>
        <v>40334.741323636677</v>
      </c>
      <c r="U22" s="133">
        <f>IF(SER_hh_fec_in!U22=0,0,11630*1000*SER_hh_fec_in!U22/SER_hh_num_in!U22)</f>
        <v>33750.474636072569</v>
      </c>
      <c r="V22" s="133">
        <f>IF(SER_hh_fec_in!V22=0,0,11630*1000*SER_hh_fec_in!V22/SER_hh_num_in!V22)</f>
        <v>30273.032025203498</v>
      </c>
      <c r="W22" s="133">
        <f>IF(SER_hh_fec_in!W22=0,0,11630*1000*SER_hh_fec_in!W22/SER_hh_num_in!W22)</f>
        <v>39038.662644120675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32211.408146696231</v>
      </c>
      <c r="D23" s="133">
        <f>IF(SER_hh_fec_in!D23=0,0,11630*1000*SER_hh_fec_in!D23/SER_hh_num_in!D23)</f>
        <v>18990.813222340214</v>
      </c>
      <c r="E23" s="133">
        <f>IF(SER_hh_fec_in!E23=0,0,11630*1000*SER_hh_fec_in!E23/SER_hh_num_in!E23)</f>
        <v>37069.903605136431</v>
      </c>
      <c r="F23" s="133">
        <f>IF(SER_hh_fec_in!F23=0,0,11630*1000*SER_hh_fec_in!F23/SER_hh_num_in!F23)</f>
        <v>56199.903312859977</v>
      </c>
      <c r="G23" s="133">
        <f>IF(SER_hh_fec_in!G23=0,0,11630*1000*SER_hh_fec_in!G23/SER_hh_num_in!G23)</f>
        <v>47583.603368272554</v>
      </c>
      <c r="H23" s="133">
        <f>IF(SER_hh_fec_in!H23=0,0,11630*1000*SER_hh_fec_in!H23/SER_hh_num_in!H23)</f>
        <v>54364.18656543595</v>
      </c>
      <c r="I23" s="133">
        <f>IF(SER_hh_fec_in!I23=0,0,11630*1000*SER_hh_fec_in!I23/SER_hh_num_in!I23)</f>
        <v>47001.503733448502</v>
      </c>
      <c r="J23" s="133">
        <f>IF(SER_hh_fec_in!J23=0,0,11630*1000*SER_hh_fec_in!J23/SER_hh_num_in!J23)</f>
        <v>39234.869991082225</v>
      </c>
      <c r="K23" s="133">
        <f>IF(SER_hh_fec_in!K23=0,0,11630*1000*SER_hh_fec_in!K23/SER_hh_num_in!K23)</f>
        <v>52200.730307680111</v>
      </c>
      <c r="L23" s="133">
        <f>IF(SER_hh_fec_in!L23=0,0,11630*1000*SER_hh_fec_in!L23/SER_hh_num_in!L23)</f>
        <v>47903.922920365658</v>
      </c>
      <c r="M23" s="133">
        <f>IF(SER_hh_fec_in!M23=0,0,11630*1000*SER_hh_fec_in!M23/SER_hh_num_in!M23)</f>
        <v>42743.219159005515</v>
      </c>
      <c r="N23" s="133">
        <f>IF(SER_hh_fec_in!N23=0,0,11630*1000*SER_hh_fec_in!N23/SER_hh_num_in!N23)</f>
        <v>41682.699355445249</v>
      </c>
      <c r="O23" s="133">
        <f>IF(SER_hh_fec_in!O23=0,0,11630*1000*SER_hh_fec_in!O23/SER_hh_num_in!O23)</f>
        <v>40486.116589617312</v>
      </c>
      <c r="P23" s="133">
        <f>IF(SER_hh_fec_in!P23=0,0,11630*1000*SER_hh_fec_in!P23/SER_hh_num_in!P23)</f>
        <v>39646.900427609988</v>
      </c>
      <c r="Q23" s="133">
        <f>IF(SER_hh_fec_in!Q23=0,0,11630*1000*SER_hh_fec_in!Q23/SER_hh_num_in!Q23)</f>
        <v>38509.720457847041</v>
      </c>
      <c r="R23" s="133">
        <f>IF(SER_hh_fec_in!R23=0,0,11630*1000*SER_hh_fec_in!R23/SER_hh_num_in!R23)</f>
        <v>38479.473954517343</v>
      </c>
      <c r="S23" s="133">
        <f>IF(SER_hh_fec_in!S23=0,0,11630*1000*SER_hh_fec_in!S23/SER_hh_num_in!S23)</f>
        <v>38197.836911055558</v>
      </c>
      <c r="T23" s="133">
        <f>IF(SER_hh_fec_in!T23=0,0,11630*1000*SER_hh_fec_in!T23/SER_hh_num_in!T23)</f>
        <v>35470.857413186575</v>
      </c>
      <c r="U23" s="133">
        <f>IF(SER_hh_fec_in!U23=0,0,11630*1000*SER_hh_fec_in!U23/SER_hh_num_in!U23)</f>
        <v>34716.490409615806</v>
      </c>
      <c r="V23" s="133">
        <f>IF(SER_hh_fec_in!V23=0,0,11630*1000*SER_hh_fec_in!V23/SER_hh_num_in!V23)</f>
        <v>32824.249705087088</v>
      </c>
      <c r="W23" s="133">
        <f>IF(SER_hh_fec_in!W23=0,0,11630*1000*SER_hh_fec_in!W23/SER_hh_num_in!W23)</f>
        <v>31125.733567998857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20647.351184230789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34282.608129478249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38201.913842919195</v>
      </c>
      <c r="K24" s="133">
        <f>IF(SER_hh_fec_in!K24=0,0,11630*1000*SER_hh_fec_in!K24/SER_hh_num_in!K24)</f>
        <v>39189.384301095612</v>
      </c>
      <c r="L24" s="133">
        <f>IF(SER_hh_fec_in!L24=0,0,11630*1000*SER_hh_fec_in!L24/SER_hh_num_in!L24)</f>
        <v>39791.734432783924</v>
      </c>
      <c r="M24" s="133">
        <f>IF(SER_hh_fec_in!M24=0,0,11630*1000*SER_hh_fec_in!M24/SER_hh_num_in!M24)</f>
        <v>41369.032366518026</v>
      </c>
      <c r="N24" s="133">
        <f>IF(SER_hh_fec_in!N24=0,0,11630*1000*SER_hh_fec_in!N24/SER_hh_num_in!N24)</f>
        <v>42264.392920156315</v>
      </c>
      <c r="O24" s="133">
        <f>IF(SER_hh_fec_in!O24=0,0,11630*1000*SER_hh_fec_in!O24/SER_hh_num_in!O24)</f>
        <v>42468.65480081187</v>
      </c>
      <c r="P24" s="133">
        <f>IF(SER_hh_fec_in!P24=0,0,11630*1000*SER_hh_fec_in!P24/SER_hh_num_in!P24)</f>
        <v>42839.836248977481</v>
      </c>
      <c r="Q24" s="133">
        <f>IF(SER_hh_fec_in!Q24=0,0,11630*1000*SER_hh_fec_in!Q24/SER_hh_num_in!Q24)</f>
        <v>45238.951671615738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0</v>
      </c>
      <c r="F25" s="133">
        <f>IF(SER_hh_fec_in!F25=0,0,11630*1000*SER_hh_fec_in!F25/SER_hh_num_in!F25)</f>
        <v>0</v>
      </c>
      <c r="G25" s="133">
        <f>IF(SER_hh_fec_in!G25=0,0,11630*1000*SER_hh_fec_in!G25/SER_hh_num_in!G25)</f>
        <v>39263.363380992581</v>
      </c>
      <c r="H25" s="133">
        <f>IF(SER_hh_fec_in!H25=0,0,11630*1000*SER_hh_fec_in!H25/SER_hh_num_in!H25)</f>
        <v>35821.917683084583</v>
      </c>
      <c r="I25" s="133">
        <f>IF(SER_hh_fec_in!I25=0,0,11630*1000*SER_hh_fec_in!I25/SER_hh_num_in!I25)</f>
        <v>33788.573961002265</v>
      </c>
      <c r="J25" s="133">
        <f>IF(SER_hh_fec_in!J25=0,0,11630*1000*SER_hh_fec_in!J25/SER_hh_num_in!J25)</f>
        <v>38877.082244191341</v>
      </c>
      <c r="K25" s="133">
        <f>IF(SER_hh_fec_in!K25=0,0,11630*1000*SER_hh_fec_in!K25/SER_hh_num_in!K25)</f>
        <v>35833.576201486096</v>
      </c>
      <c r="L25" s="133">
        <f>IF(SER_hh_fec_in!L25=0,0,11630*1000*SER_hh_fec_in!L25/SER_hh_num_in!L25)</f>
        <v>33857.6701244375</v>
      </c>
      <c r="M25" s="133">
        <f>IF(SER_hh_fec_in!M25=0,0,11630*1000*SER_hh_fec_in!M25/SER_hh_num_in!M25)</f>
        <v>35406.596309495784</v>
      </c>
      <c r="N25" s="133">
        <f>IF(SER_hh_fec_in!N25=0,0,11630*1000*SER_hh_fec_in!N25/SER_hh_num_in!N25)</f>
        <v>36026.208995343572</v>
      </c>
      <c r="O25" s="133">
        <f>IF(SER_hh_fec_in!O25=0,0,11630*1000*SER_hh_fec_in!O25/SER_hh_num_in!O25)</f>
        <v>36395.965896905793</v>
      </c>
      <c r="P25" s="133">
        <f>IF(SER_hh_fec_in!P25=0,0,11630*1000*SER_hh_fec_in!P25/SER_hh_num_in!P25)</f>
        <v>33723.445147155806</v>
      </c>
      <c r="Q25" s="133">
        <f>IF(SER_hh_fec_in!Q25=0,0,11630*1000*SER_hh_fec_in!Q25/SER_hh_num_in!Q25)</f>
        <v>34804.037977551299</v>
      </c>
      <c r="R25" s="133">
        <f>IF(SER_hh_fec_in!R25=0,0,11630*1000*SER_hh_fec_in!R25/SER_hh_num_in!R25)</f>
        <v>35286.537176402635</v>
      </c>
      <c r="S25" s="133">
        <f>IF(SER_hh_fec_in!S25=0,0,11630*1000*SER_hh_fec_in!S25/SER_hh_num_in!S25)</f>
        <v>0</v>
      </c>
      <c r="T25" s="133">
        <f>IF(SER_hh_fec_in!T25=0,0,11630*1000*SER_hh_fec_in!T25/SER_hh_num_in!T25)</f>
        <v>0</v>
      </c>
      <c r="U25" s="133">
        <f>IF(SER_hh_fec_in!U25=0,0,11630*1000*SER_hh_fec_in!U25/SER_hh_num_in!U25)</f>
        <v>30458.827285130577</v>
      </c>
      <c r="V25" s="133">
        <f>IF(SER_hh_fec_in!V25=0,0,11630*1000*SER_hh_fec_in!V25/SER_hh_num_in!V25)</f>
        <v>30292.932147711141</v>
      </c>
      <c r="W25" s="133">
        <f>IF(SER_hh_fec_in!W25=0,0,11630*1000*SER_hh_fec_in!W25/SER_hh_num_in!W25)</f>
        <v>30333.446511539631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76683.464865670947</v>
      </c>
      <c r="D26" s="65">
        <f>IF(SER_hh_fec_in!D26=0,0,11630*1000*SER_hh_fec_in!D26/SER_hh_num_in!D26)</f>
        <v>6998.6485506538293</v>
      </c>
      <c r="E26" s="65">
        <f>IF(SER_hh_fec_in!E26=0,0,11630*1000*SER_hh_fec_in!E26/SER_hh_num_in!E26)</f>
        <v>45326.412884678488</v>
      </c>
      <c r="F26" s="65">
        <f>IF(SER_hh_fec_in!F26=0,0,11630*1000*SER_hh_fec_in!F26/SER_hh_num_in!F26)</f>
        <v>45208.958297780831</v>
      </c>
      <c r="G26" s="65">
        <f>IF(SER_hh_fec_in!G26=0,0,11630*1000*SER_hh_fec_in!G26/SER_hh_num_in!G26)</f>
        <v>41182.440108873758</v>
      </c>
      <c r="H26" s="65">
        <f>IF(SER_hh_fec_in!H26=0,0,11630*1000*SER_hh_fec_in!H26/SER_hh_num_in!H26)</f>
        <v>41641.168735328851</v>
      </c>
      <c r="I26" s="65">
        <f>IF(SER_hh_fec_in!I26=0,0,11630*1000*SER_hh_fec_in!I26/SER_hh_num_in!I26)</f>
        <v>48666.82923827842</v>
      </c>
      <c r="J26" s="65">
        <f>IF(SER_hh_fec_in!J26=0,0,11630*1000*SER_hh_fec_in!J26/SER_hh_num_in!J26)</f>
        <v>51126.131737081749</v>
      </c>
      <c r="K26" s="65">
        <f>IF(SER_hh_fec_in!K26=0,0,11630*1000*SER_hh_fec_in!K26/SER_hh_num_in!K26)</f>
        <v>0</v>
      </c>
      <c r="L26" s="65">
        <f>IF(SER_hh_fec_in!L26=0,0,11630*1000*SER_hh_fec_in!L26/SER_hh_num_in!L26)</f>
        <v>0</v>
      </c>
      <c r="M26" s="65">
        <f>IF(SER_hh_fec_in!M26=0,0,11630*1000*SER_hh_fec_in!M26/SER_hh_num_in!M26)</f>
        <v>45661.314562045554</v>
      </c>
      <c r="N26" s="65">
        <f>IF(SER_hh_fec_in!N26=0,0,11630*1000*SER_hh_fec_in!N26/SER_hh_num_in!N26)</f>
        <v>39164.986629269566</v>
      </c>
      <c r="O26" s="65">
        <f>IF(SER_hh_fec_in!O26=0,0,11630*1000*SER_hh_fec_in!O26/SER_hh_num_in!O26)</f>
        <v>39053.134757648775</v>
      </c>
      <c r="P26" s="65">
        <f>IF(SER_hh_fec_in!P26=0,0,11630*1000*SER_hh_fec_in!P26/SER_hh_num_in!P26)</f>
        <v>39464.869869405687</v>
      </c>
      <c r="Q26" s="65">
        <f>IF(SER_hh_fec_in!Q26=0,0,11630*1000*SER_hh_fec_in!Q26/SER_hh_num_in!Q26)</f>
        <v>38360.481933124407</v>
      </c>
      <c r="R26" s="65">
        <f>IF(SER_hh_fec_in!R26=0,0,11630*1000*SER_hh_fec_in!R26/SER_hh_num_in!R26)</f>
        <v>38230.525505189886</v>
      </c>
      <c r="S26" s="65">
        <f>IF(SER_hh_fec_in!S26=0,0,11630*1000*SER_hh_fec_in!S26/SER_hh_num_in!S26)</f>
        <v>32929.514828155588</v>
      </c>
      <c r="T26" s="65">
        <f>IF(SER_hh_fec_in!T26=0,0,11630*1000*SER_hh_fec_in!T26/SER_hh_num_in!T26)</f>
        <v>33360.202657604241</v>
      </c>
      <c r="U26" s="65">
        <f>IF(SER_hh_fec_in!U26=0,0,11630*1000*SER_hh_fec_in!U26/SER_hh_num_in!U26)</f>
        <v>31427.080341093355</v>
      </c>
      <c r="V26" s="65">
        <f>IF(SER_hh_fec_in!V26=0,0,11630*1000*SER_hh_fec_in!V26/SER_hh_num_in!V26)</f>
        <v>28277.420208863179</v>
      </c>
      <c r="W26" s="65">
        <f>IF(SER_hh_fec_in!W26=0,0,11630*1000*SER_hh_fec_in!W26/SER_hh_num_in!W26)</f>
        <v>23056.054148871608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174.79949436249291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198.31337410055832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425.00602017304163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1.3895086435097689E-14</v>
      </c>
      <c r="R27" s="146">
        <f>IF(SER_hh_fec_in!R27=0,0,11630*1000*SER_hh_fec_in!R27/SER_hh_num_in!R19)</f>
        <v>2.5655014415329605E-5</v>
      </c>
      <c r="S27" s="146">
        <f>IF(SER_hh_fec_in!S27=0,0,11630*1000*SER_hh_fec_in!S27/SER_hh_num_in!S19)</f>
        <v>125.93402130624476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59.89408378118604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2172.0044095748781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23011.696159592764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21585.684995684154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30070.007636892798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28766.890115859835</v>
      </c>
      <c r="R28" s="147">
        <f>IF(SER_hh_fec_in!R27=0,0,11630*1000*SER_hh_fec_in!R27/SER_hh_num_in!R27)</f>
        <v>27543.206503097481</v>
      </c>
      <c r="S28" s="147">
        <f>IF(SER_hh_fec_in!S27=0,0,11630*1000*SER_hh_fec_in!S27/SER_hh_num_in!S27)</f>
        <v>23363.729585651341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22136.048333131486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23682.080244947967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48263.792387693022</v>
      </c>
      <c r="D29" s="131">
        <f>IF(SER_hh_fec_in!D29=0,0,11630*1000*SER_hh_fec_in!D29/SER_hh_num_in!D29)</f>
        <v>25674.83714095976</v>
      </c>
      <c r="E29" s="131">
        <f>IF(SER_hh_fec_in!E29=0,0,11630*1000*SER_hh_fec_in!E29/SER_hh_num_in!E29)</f>
        <v>51511.782047347158</v>
      </c>
      <c r="F29" s="131">
        <f>IF(SER_hh_fec_in!F29=0,0,11630*1000*SER_hh_fec_in!F29/SER_hh_num_in!F29)</f>
        <v>71931.846074850197</v>
      </c>
      <c r="G29" s="131">
        <f>IF(SER_hh_fec_in!G29=0,0,11630*1000*SER_hh_fec_in!G29/SER_hh_num_in!G29)</f>
        <v>61731.912438690058</v>
      </c>
      <c r="H29" s="131">
        <f>IF(SER_hh_fec_in!H29=0,0,11630*1000*SER_hh_fec_in!H29/SER_hh_num_in!H29)</f>
        <v>55229.538517359142</v>
      </c>
      <c r="I29" s="131">
        <f>IF(SER_hh_fec_in!I29=0,0,11630*1000*SER_hh_fec_in!I29/SER_hh_num_in!I29)</f>
        <v>32242.916490815769</v>
      </c>
      <c r="J29" s="131">
        <f>IF(SER_hh_fec_in!J29=0,0,11630*1000*SER_hh_fec_in!J29/SER_hh_num_in!J29)</f>
        <v>59695.684828326135</v>
      </c>
      <c r="K29" s="131">
        <f>IF(SER_hh_fec_in!K29=0,0,11630*1000*SER_hh_fec_in!K29/SER_hh_num_in!K29)</f>
        <v>55940.311571748265</v>
      </c>
      <c r="L29" s="131">
        <f>IF(SER_hh_fec_in!L29=0,0,11630*1000*SER_hh_fec_in!L29/SER_hh_num_in!L29)</f>
        <v>53297.353742272797</v>
      </c>
      <c r="M29" s="131">
        <f>IF(SER_hh_fec_in!M29=0,0,11630*1000*SER_hh_fec_in!M29/SER_hh_num_in!M29)</f>
        <v>55718.571744033783</v>
      </c>
      <c r="N29" s="131">
        <f>IF(SER_hh_fec_in!N29=0,0,11630*1000*SER_hh_fec_in!N29/SER_hh_num_in!N29)</f>
        <v>58264.812352744266</v>
      </c>
      <c r="O29" s="131">
        <f>IF(SER_hh_fec_in!O29=0,0,11630*1000*SER_hh_fec_in!O29/SER_hh_num_in!O29)</f>
        <v>60772.090082078124</v>
      </c>
      <c r="P29" s="131">
        <f>IF(SER_hh_fec_in!P29=0,0,11630*1000*SER_hh_fec_in!P29/SER_hh_num_in!P29)</f>
        <v>63149.31839240843</v>
      </c>
      <c r="Q29" s="131">
        <f>IF(SER_hh_fec_in!Q29=0,0,11630*1000*SER_hh_fec_in!Q29/SER_hh_num_in!Q29)</f>
        <v>65552.018101719019</v>
      </c>
      <c r="R29" s="131">
        <f>IF(SER_hh_fec_in!R29=0,0,11630*1000*SER_hh_fec_in!R29/SER_hh_num_in!R29)</f>
        <v>60988.651162131639</v>
      </c>
      <c r="S29" s="131">
        <f>IF(SER_hh_fec_in!S29=0,0,11630*1000*SER_hh_fec_in!S29/SER_hh_num_in!S29)</f>
        <v>57012.901724298456</v>
      </c>
      <c r="T29" s="131">
        <f>IF(SER_hh_fec_in!T29=0,0,11630*1000*SER_hh_fec_in!T29/SER_hh_num_in!T29)</f>
        <v>53126.090529619971</v>
      </c>
      <c r="U29" s="131">
        <f>IF(SER_hh_fec_in!U29=0,0,11630*1000*SER_hh_fec_in!U29/SER_hh_num_in!U29)</f>
        <v>51984.003347879836</v>
      </c>
      <c r="V29" s="131">
        <f>IF(SER_hh_fec_in!V29=0,0,11630*1000*SER_hh_fec_in!V29/SER_hh_num_in!V29)</f>
        <v>46861.644112255868</v>
      </c>
      <c r="W29" s="131">
        <f>IF(SER_hh_fec_in!W29=0,0,11630*1000*SER_hh_fec_in!W29/SER_hh_num_in!W29)</f>
        <v>49637.912574979193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37085.792665054338</v>
      </c>
      <c r="D30" s="133">
        <f>IF(SER_hh_fec_in!D30=0,0,11630*1000*SER_hh_fec_in!D30/SER_hh_num_in!D30)</f>
        <v>16365.255212430984</v>
      </c>
      <c r="E30" s="133">
        <f>IF(SER_hh_fec_in!E30=0,0,11630*1000*SER_hh_fec_in!E30/SER_hh_num_in!E30)</f>
        <v>49098.577127150093</v>
      </c>
      <c r="F30" s="133">
        <f>IF(SER_hh_fec_in!F30=0,0,11630*1000*SER_hh_fec_in!F30/SER_hh_num_in!F30)</f>
        <v>74848.653200303597</v>
      </c>
      <c r="G30" s="133">
        <f>IF(SER_hh_fec_in!G30=0,0,11630*1000*SER_hh_fec_in!G30/SER_hh_num_in!G30)</f>
        <v>90209.015898837519</v>
      </c>
      <c r="H30" s="133">
        <f>IF(SER_hh_fec_in!H30=0,0,11630*1000*SER_hh_fec_in!H30/SER_hh_num_in!H30)</f>
        <v>37362.83836316011</v>
      </c>
      <c r="I30" s="133">
        <f>IF(SER_hh_fec_in!I30=0,0,11630*1000*SER_hh_fec_in!I30/SER_hh_num_in!I30)</f>
        <v>114320.8499201668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0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65339.521296289837</v>
      </c>
      <c r="O30" s="133">
        <f>IF(SER_hh_fec_in!O30=0,0,11630*1000*SER_hh_fec_in!O30/SER_hh_num_in!O30)</f>
        <v>66097.753867742344</v>
      </c>
      <c r="P30" s="133">
        <f>IF(SER_hh_fec_in!P30=0,0,11630*1000*SER_hh_fec_in!P30/SER_hh_num_in!P30)</f>
        <v>71692.063857223024</v>
      </c>
      <c r="Q30" s="133">
        <f>IF(SER_hh_fec_in!Q30=0,0,11630*1000*SER_hh_fec_in!Q30/SER_hh_num_in!Q30)</f>
        <v>79491.722623482288</v>
      </c>
      <c r="R30" s="133">
        <f>IF(SER_hh_fec_in!R30=0,0,11630*1000*SER_hh_fec_in!R30/SER_hh_num_in!R30)</f>
        <v>69986.263726330115</v>
      </c>
      <c r="S30" s="133">
        <f>IF(SER_hh_fec_in!S30=0,0,11630*1000*SER_hh_fec_in!S30/SER_hh_num_in!S30)</f>
        <v>67666.051165178331</v>
      </c>
      <c r="T30" s="133">
        <f>IF(SER_hh_fec_in!T30=0,0,11630*1000*SER_hh_fec_in!T30/SER_hh_num_in!T30)</f>
        <v>69191.595069093077</v>
      </c>
      <c r="U30" s="133">
        <f>IF(SER_hh_fec_in!U30=0,0,11630*1000*SER_hh_fec_in!U30/SER_hh_num_in!U30)</f>
        <v>68501.617002328261</v>
      </c>
      <c r="V30" s="133">
        <f>IF(SER_hh_fec_in!V30=0,0,11630*1000*SER_hh_fec_in!V30/SER_hh_num_in!V30)</f>
        <v>62783.052293804234</v>
      </c>
      <c r="W30" s="133">
        <f>IF(SER_hh_fec_in!W30=0,0,11630*1000*SER_hh_fec_in!W30/SER_hh_num_in!W30)</f>
        <v>64058.357458891274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55750.604083545521</v>
      </c>
      <c r="D31" s="133">
        <f>IF(SER_hh_fec_in!D31=0,0,11630*1000*SER_hh_fec_in!D31/SER_hh_num_in!D31)</f>
        <v>32192.387099741271</v>
      </c>
      <c r="E31" s="133">
        <f>IF(SER_hh_fec_in!E31=0,0,11630*1000*SER_hh_fec_in!E31/SER_hh_num_in!E31)</f>
        <v>52769.305344665583</v>
      </c>
      <c r="F31" s="133">
        <f>IF(SER_hh_fec_in!F31=0,0,11630*1000*SER_hh_fec_in!F31/SER_hh_num_in!F31)</f>
        <v>70330.001826404332</v>
      </c>
      <c r="G31" s="133">
        <f>IF(SER_hh_fec_in!G31=0,0,11630*1000*SER_hh_fec_in!G31/SER_hh_num_in!G31)</f>
        <v>57163.4658685943</v>
      </c>
      <c r="H31" s="133">
        <f>IF(SER_hh_fec_in!H31=0,0,11630*1000*SER_hh_fec_in!H31/SER_hh_num_in!H31)</f>
        <v>78298.418788611612</v>
      </c>
      <c r="I31" s="133">
        <f>IF(SER_hh_fec_in!I31=0,0,11630*1000*SER_hh_fec_in!I31/SER_hh_num_in!I31)</f>
        <v>59326.866785932085</v>
      </c>
      <c r="J31" s="133">
        <f>IF(SER_hh_fec_in!J31=0,0,11630*1000*SER_hh_fec_in!J31/SER_hh_num_in!J31)</f>
        <v>64586.816571582254</v>
      </c>
      <c r="K31" s="133">
        <f>IF(SER_hh_fec_in!K31=0,0,11630*1000*SER_hh_fec_in!K31/SER_hh_num_in!K31)</f>
        <v>67287.408042697876</v>
      </c>
      <c r="L31" s="133">
        <f>IF(SER_hh_fec_in!L31=0,0,11630*1000*SER_hh_fec_in!L31/SER_hh_num_in!L31)</f>
        <v>67328.653362897763</v>
      </c>
      <c r="M31" s="133">
        <f>IF(SER_hh_fec_in!M31=0,0,11630*1000*SER_hh_fec_in!M31/SER_hh_num_in!M31)</f>
        <v>67609.784149632105</v>
      </c>
      <c r="N31" s="133">
        <f>IF(SER_hh_fec_in!N31=0,0,11630*1000*SER_hh_fec_in!N31/SER_hh_num_in!N31)</f>
        <v>67440.985519587673</v>
      </c>
      <c r="O31" s="133">
        <f>IF(SER_hh_fec_in!O31=0,0,11630*1000*SER_hh_fec_in!O31/SER_hh_num_in!O31)</f>
        <v>69361.224090398857</v>
      </c>
      <c r="P31" s="133">
        <f>IF(SER_hh_fec_in!P31=0,0,11630*1000*SER_hh_fec_in!P31/SER_hh_num_in!P31)</f>
        <v>68419.609503594431</v>
      </c>
      <c r="Q31" s="133">
        <f>IF(SER_hh_fec_in!Q31=0,0,11630*1000*SER_hh_fec_in!Q31/SER_hh_num_in!Q31)</f>
        <v>71563.293096148205</v>
      </c>
      <c r="R31" s="133">
        <f>IF(SER_hh_fec_in!R31=0,0,11630*1000*SER_hh_fec_in!R31/SER_hh_num_in!R31)</f>
        <v>67617.46266950143</v>
      </c>
      <c r="S31" s="133">
        <f>IF(SER_hh_fec_in!S31=0,0,11630*1000*SER_hh_fec_in!S31/SER_hh_num_in!S31)</f>
        <v>70169.945009854477</v>
      </c>
      <c r="T31" s="133">
        <f>IF(SER_hh_fec_in!T31=0,0,11630*1000*SER_hh_fec_in!T31/SER_hh_num_in!T31)</f>
        <v>67262.37964596755</v>
      </c>
      <c r="U31" s="133">
        <f>IF(SER_hh_fec_in!U31=0,0,11630*1000*SER_hh_fec_in!U31/SER_hh_num_in!U31)</f>
        <v>66781.602540478008</v>
      </c>
      <c r="V31" s="133">
        <f>IF(SER_hh_fec_in!V31=0,0,11630*1000*SER_hh_fec_in!V31/SER_hh_num_in!V31)</f>
        <v>62422.710452632797</v>
      </c>
      <c r="W31" s="133">
        <f>IF(SER_hh_fec_in!W31=0,0,11630*1000*SER_hh_fec_in!W31/SER_hh_num_in!W31)</f>
        <v>64026.856909762995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46329.680953764226</v>
      </c>
      <c r="D33" s="68">
        <f>IF(SER_hh_fec_in!D33=0,0,11630*1000*SER_hh_fec_in!D33/SER_hh_num_in!D33)</f>
        <v>0</v>
      </c>
      <c r="E33" s="68">
        <f>IF(SER_hh_fec_in!E33=0,0,11630*1000*SER_hh_fec_in!E33/SER_hh_num_in!E33)</f>
        <v>0</v>
      </c>
      <c r="F33" s="68">
        <f>IF(SER_hh_fec_in!F33=0,0,11630*1000*SER_hh_fec_in!F33/SER_hh_num_in!F33)</f>
        <v>0</v>
      </c>
      <c r="G33" s="68">
        <f>IF(SER_hh_fec_in!G33=0,0,11630*1000*SER_hh_fec_in!G33/SER_hh_num_in!G33)</f>
        <v>0</v>
      </c>
      <c r="H33" s="68">
        <f>IF(SER_hh_fec_in!H33=0,0,11630*1000*SER_hh_fec_in!H33/SER_hh_num_in!H33)</f>
        <v>41236.518737870865</v>
      </c>
      <c r="I33" s="68">
        <f>IF(SER_hh_fec_in!I33=0,0,11630*1000*SER_hh_fec_in!I33/SER_hh_num_in!I33)</f>
        <v>23711.513557897884</v>
      </c>
      <c r="J33" s="68">
        <f>IF(SER_hh_fec_in!J33=0,0,11630*1000*SER_hh_fec_in!J33/SER_hh_num_in!J33)</f>
        <v>59483.752491156221</v>
      </c>
      <c r="K33" s="68">
        <f>IF(SER_hh_fec_in!K33=0,0,11630*1000*SER_hh_fec_in!K33/SER_hh_num_in!K33)</f>
        <v>54969.291974166197</v>
      </c>
      <c r="L33" s="68">
        <f>IF(SER_hh_fec_in!L33=0,0,11630*1000*SER_hh_fec_in!L33/SER_hh_num_in!L33)</f>
        <v>49869.729288640119</v>
      </c>
      <c r="M33" s="68">
        <f>IF(SER_hh_fec_in!M33=0,0,11630*1000*SER_hh_fec_in!M33/SER_hh_num_in!M33)</f>
        <v>50992.290805461649</v>
      </c>
      <c r="N33" s="68">
        <f>IF(SER_hh_fec_in!N33=0,0,11630*1000*SER_hh_fec_in!N33/SER_hh_num_in!N33)</f>
        <v>51301.239984610838</v>
      </c>
      <c r="O33" s="68">
        <f>IF(SER_hh_fec_in!O33=0,0,11630*1000*SER_hh_fec_in!O33/SER_hh_num_in!O33)</f>
        <v>53279.41564671314</v>
      </c>
      <c r="P33" s="68">
        <f>IF(SER_hh_fec_in!P33=0,0,11630*1000*SER_hh_fec_in!P33/SER_hh_num_in!P33)</f>
        <v>53594.446192702453</v>
      </c>
      <c r="Q33" s="68">
        <f>IF(SER_hh_fec_in!Q33=0,0,11630*1000*SER_hh_fec_in!Q33/SER_hh_num_in!Q33)</f>
        <v>51799.324346860121</v>
      </c>
      <c r="R33" s="68">
        <f>IF(SER_hh_fec_in!R33=0,0,11630*1000*SER_hh_fec_in!R33/SER_hh_num_in!R33)</f>
        <v>50744.405239744599</v>
      </c>
      <c r="S33" s="68">
        <f>IF(SER_hh_fec_in!S33=0,0,11630*1000*SER_hh_fec_in!S33/SER_hh_num_in!S33)</f>
        <v>46639.513215180741</v>
      </c>
      <c r="T33" s="68">
        <f>IF(SER_hh_fec_in!T33=0,0,11630*1000*SER_hh_fec_in!T33/SER_hh_num_in!T33)</f>
        <v>47673.494809540789</v>
      </c>
      <c r="U33" s="68">
        <f>IF(SER_hh_fec_in!U33=0,0,11630*1000*SER_hh_fec_in!U33/SER_hh_num_in!U33)</f>
        <v>47290.094325579565</v>
      </c>
      <c r="V33" s="68">
        <f>IF(SER_hh_fec_in!V33=0,0,11630*1000*SER_hh_fec_in!V33/SER_hh_num_in!V33)</f>
        <v>41489.441289183131</v>
      </c>
      <c r="W33" s="68">
        <f>IF(SER_hh_fec_in!W33=0,0,11630*1000*SER_hh_fec_in!W33/SER_hh_num_in!W33)</f>
        <v>44843.178413479218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240951.94675775323</v>
      </c>
      <c r="D3" s="126">
        <f>IF(SER_hh_tes_in!D3=0,0,11630*1000*SER_hh_tes_in!D3/SER_hh_num_in!D3)</f>
        <v>146421.23819892315</v>
      </c>
      <c r="E3" s="126">
        <f>IF(SER_hh_tes_in!E3=0,0,11630*1000*SER_hh_tes_in!E3/SER_hh_num_in!E3)</f>
        <v>218531.01801379997</v>
      </c>
      <c r="F3" s="126">
        <f>IF(SER_hh_tes_in!F3=0,0,11630*1000*SER_hh_tes_in!F3/SER_hh_num_in!F3)</f>
        <v>251831.92385388759</v>
      </c>
      <c r="G3" s="126">
        <f>IF(SER_hh_tes_in!G3=0,0,11630*1000*SER_hh_tes_in!G3/SER_hh_num_in!G3)</f>
        <v>258802.80014363816</v>
      </c>
      <c r="H3" s="126">
        <f>IF(SER_hh_tes_in!H3=0,0,11630*1000*SER_hh_tes_in!H3/SER_hh_num_in!H3)</f>
        <v>390376.22261833725</v>
      </c>
      <c r="I3" s="126">
        <f>IF(SER_hh_tes_in!I3=0,0,11630*1000*SER_hh_tes_in!I3/SER_hh_num_in!I3)</f>
        <v>286567.8664489676</v>
      </c>
      <c r="J3" s="126">
        <f>IF(SER_hh_tes_in!J3=0,0,11630*1000*SER_hh_tes_in!J3/SER_hh_num_in!J3)</f>
        <v>247582.03999720167</v>
      </c>
      <c r="K3" s="126">
        <f>IF(SER_hh_tes_in!K3=0,0,11630*1000*SER_hh_tes_in!K3/SER_hh_num_in!K3)</f>
        <v>226976.59842743762</v>
      </c>
      <c r="L3" s="126">
        <f>IF(SER_hh_tes_in!L3=0,0,11630*1000*SER_hh_tes_in!L3/SER_hh_num_in!L3)</f>
        <v>226309.35705965821</v>
      </c>
      <c r="M3" s="126">
        <f>IF(SER_hh_tes_in!M3=0,0,11630*1000*SER_hh_tes_in!M3/SER_hh_num_in!M3)</f>
        <v>212750.83910034128</v>
      </c>
      <c r="N3" s="126">
        <f>IF(SER_hh_tes_in!N3=0,0,11630*1000*SER_hh_tes_in!N3/SER_hh_num_in!N3)</f>
        <v>211236.05274360109</v>
      </c>
      <c r="O3" s="126">
        <f>IF(SER_hh_tes_in!O3=0,0,11630*1000*SER_hh_tes_in!O3/SER_hh_num_in!O3)</f>
        <v>182373.25818961777</v>
      </c>
      <c r="P3" s="126">
        <f>IF(SER_hh_tes_in!P3=0,0,11630*1000*SER_hh_tes_in!P3/SER_hh_num_in!P3)</f>
        <v>167049.76339132711</v>
      </c>
      <c r="Q3" s="126">
        <f>IF(SER_hh_tes_in!Q3=0,0,11630*1000*SER_hh_tes_in!Q3/SER_hh_num_in!Q3)</f>
        <v>165759.7858572969</v>
      </c>
      <c r="R3" s="126">
        <f>IF(SER_hh_tes_in!R3=0,0,11630*1000*SER_hh_tes_in!R3/SER_hh_num_in!R3)</f>
        <v>158101.68844400343</v>
      </c>
      <c r="S3" s="126">
        <f>IF(SER_hh_tes_in!S3=0,0,11630*1000*SER_hh_tes_in!S3/SER_hh_num_in!S3)</f>
        <v>160038.51993804073</v>
      </c>
      <c r="T3" s="126">
        <f>IF(SER_hh_tes_in!T3=0,0,11630*1000*SER_hh_tes_in!T3/SER_hh_num_in!T3)</f>
        <v>157347.29732653053</v>
      </c>
      <c r="U3" s="126">
        <f>IF(SER_hh_tes_in!U3=0,0,11630*1000*SER_hh_tes_in!U3/SER_hh_num_in!U3)</f>
        <v>153879.54855148372</v>
      </c>
      <c r="V3" s="126">
        <f>IF(SER_hh_tes_in!V3=0,0,11630*1000*SER_hh_tes_in!V3/SER_hh_num_in!V3)</f>
        <v>132581.04182585902</v>
      </c>
      <c r="W3" s="126">
        <f>IF(SER_hh_tes_in!W3=0,0,11630*1000*SER_hh_tes_in!W3/SER_hh_num_in!W3)</f>
        <v>149423.23405733163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175092.21042411338</v>
      </c>
      <c r="D4" s="131">
        <f>IF(SER_hh_tes_in!D4=0,0,11630*1000*SER_hh_tes_in!D4/SER_hh_num_in!D4)</f>
        <v>110011.7096533743</v>
      </c>
      <c r="E4" s="131">
        <f>IF(SER_hh_tes_in!E4=0,0,11630*1000*SER_hh_tes_in!E4/SER_hh_num_in!E4)</f>
        <v>157294.8347448353</v>
      </c>
      <c r="F4" s="131">
        <f>IF(SER_hh_tes_in!F4=0,0,11630*1000*SER_hh_tes_in!F4/SER_hh_num_in!F4)</f>
        <v>171748.10462285744</v>
      </c>
      <c r="G4" s="131">
        <f>IF(SER_hh_tes_in!G4=0,0,11630*1000*SER_hh_tes_in!G4/SER_hh_num_in!G4)</f>
        <v>190192.40106026558</v>
      </c>
      <c r="H4" s="131">
        <f>IF(SER_hh_tes_in!H4=0,0,11630*1000*SER_hh_tes_in!H4/SER_hh_num_in!H4)</f>
        <v>315810.04741206311</v>
      </c>
      <c r="I4" s="131">
        <f>IF(SER_hh_tes_in!I4=0,0,11630*1000*SER_hh_tes_in!I4/SER_hh_num_in!I4)</f>
        <v>214540.17085496051</v>
      </c>
      <c r="J4" s="131">
        <f>IF(SER_hh_tes_in!J4=0,0,11630*1000*SER_hh_tes_in!J4/SER_hh_num_in!J4)</f>
        <v>156365.15930172676</v>
      </c>
      <c r="K4" s="131">
        <f>IF(SER_hh_tes_in!K4=0,0,11630*1000*SER_hh_tes_in!K4/SER_hh_num_in!K4)</f>
        <v>135403.09389494578</v>
      </c>
      <c r="L4" s="131">
        <f>IF(SER_hh_tes_in!L4=0,0,11630*1000*SER_hh_tes_in!L4/SER_hh_num_in!L4)</f>
        <v>145632.34441073312</v>
      </c>
      <c r="M4" s="131">
        <f>IF(SER_hh_tes_in!M4=0,0,11630*1000*SER_hh_tes_in!M4/SER_hh_num_in!M4)</f>
        <v>129371.02283932616</v>
      </c>
      <c r="N4" s="131">
        <f>IF(SER_hh_tes_in!N4=0,0,11630*1000*SER_hh_tes_in!N4/SER_hh_num_in!N4)</f>
        <v>111670.68596735279</v>
      </c>
      <c r="O4" s="131">
        <f>IF(SER_hh_tes_in!O4=0,0,11630*1000*SER_hh_tes_in!O4/SER_hh_num_in!O4)</f>
        <v>99340.541463635396</v>
      </c>
      <c r="P4" s="131">
        <f>IF(SER_hh_tes_in!P4=0,0,11630*1000*SER_hh_tes_in!P4/SER_hh_num_in!P4)</f>
        <v>82518.633490499764</v>
      </c>
      <c r="Q4" s="131">
        <f>IF(SER_hh_tes_in!Q4=0,0,11630*1000*SER_hh_tes_in!Q4/SER_hh_num_in!Q4)</f>
        <v>80077.539501830193</v>
      </c>
      <c r="R4" s="131">
        <f>IF(SER_hh_tes_in!R4=0,0,11630*1000*SER_hh_tes_in!R4/SER_hh_num_in!R4)</f>
        <v>76467.096517583384</v>
      </c>
      <c r="S4" s="131">
        <f>IF(SER_hh_tes_in!S4=0,0,11630*1000*SER_hh_tes_in!S4/SER_hh_num_in!S4)</f>
        <v>77129.806338051771</v>
      </c>
      <c r="T4" s="131">
        <f>IF(SER_hh_tes_in!T4=0,0,11630*1000*SER_hh_tes_in!T4/SER_hh_num_in!T4)</f>
        <v>72759.234216228841</v>
      </c>
      <c r="U4" s="131">
        <f>IF(SER_hh_tes_in!U4=0,0,11630*1000*SER_hh_tes_in!U4/SER_hh_num_in!U4)</f>
        <v>65340.278582762694</v>
      </c>
      <c r="V4" s="131">
        <f>IF(SER_hh_tes_in!V4=0,0,11630*1000*SER_hh_tes_in!V4/SER_hh_num_in!V4)</f>
        <v>54414.388644691295</v>
      </c>
      <c r="W4" s="131">
        <f>IF(SER_hh_tes_in!W4=0,0,11630*1000*SER_hh_tes_in!W4/SER_hh_num_in!W4)</f>
        <v>54251.228824579761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206234.37294478767</v>
      </c>
      <c r="D5" s="133">
        <f>IF(SER_hh_tes_in!D5=0,0,11630*1000*SER_hh_tes_in!D5/SER_hh_num_in!D5)</f>
        <v>130382.23110233981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379263.82013461873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137537.76425529725</v>
      </c>
      <c r="M5" s="133">
        <f>IF(SER_hh_tes_in!M5=0,0,11630*1000*SER_hh_tes_in!M5/SER_hh_num_in!M5)</f>
        <v>148925.03801781306</v>
      </c>
      <c r="N5" s="133">
        <f>IF(SER_hh_tes_in!N5=0,0,11630*1000*SER_hh_tes_in!N5/SER_hh_num_in!N5)</f>
        <v>79550.360460061856</v>
      </c>
      <c r="O5" s="133">
        <f>IF(SER_hh_tes_in!O5=0,0,11630*1000*SER_hh_tes_in!O5/SER_hh_num_in!O5)</f>
        <v>121708.61344307901</v>
      </c>
      <c r="P5" s="133">
        <f>IF(SER_hh_tes_in!P5=0,0,11630*1000*SER_hh_tes_in!P5/SER_hh_num_in!P5)</f>
        <v>73769.989531071798</v>
      </c>
      <c r="Q5" s="133">
        <f>IF(SER_hh_tes_in!Q5=0,0,11630*1000*SER_hh_tes_in!Q5/SER_hh_num_in!Q5)</f>
        <v>74147.364503357356</v>
      </c>
      <c r="R5" s="133">
        <f>IF(SER_hh_tes_in!R5=0,0,11630*1000*SER_hh_tes_in!R5/SER_hh_num_in!R5)</f>
        <v>125280.49436262247</v>
      </c>
      <c r="S5" s="133">
        <f>IF(SER_hh_tes_in!S5=0,0,11630*1000*SER_hh_tes_in!S5/SER_hh_num_in!S5)</f>
        <v>0</v>
      </c>
      <c r="T5" s="133">
        <f>IF(SER_hh_tes_in!T5=0,0,11630*1000*SER_hh_tes_in!T5/SER_hh_num_in!T5)</f>
        <v>111146.55582167013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117548.09426863132</v>
      </c>
      <c r="D7" s="133">
        <f>IF(SER_hh_tes_in!D7=0,0,11630*1000*SER_hh_tes_in!D7/SER_hh_num_in!D7)</f>
        <v>124860.58714758392</v>
      </c>
      <c r="E7" s="133">
        <f>IF(SER_hh_tes_in!E7=0,0,11630*1000*SER_hh_tes_in!E7/SER_hh_num_in!E7)</f>
        <v>111404.80807436003</v>
      </c>
      <c r="F7" s="133">
        <f>IF(SER_hh_tes_in!F7=0,0,11630*1000*SER_hh_tes_in!F7/SER_hh_num_in!F7)</f>
        <v>190274.93452346933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87713.629118243873</v>
      </c>
      <c r="M7" s="133">
        <f>IF(SER_hh_tes_in!M7=0,0,11630*1000*SER_hh_tes_in!M7/SER_hh_num_in!M7)</f>
        <v>150486.23849161036</v>
      </c>
      <c r="N7" s="133">
        <f>IF(SER_hh_tes_in!N7=0,0,11630*1000*SER_hh_tes_in!N7/SER_hh_num_in!N7)</f>
        <v>115961.60470134644</v>
      </c>
      <c r="O7" s="133">
        <f>IF(SER_hh_tes_in!O7=0,0,11630*1000*SER_hh_tes_in!O7/SER_hh_num_in!O7)</f>
        <v>85099.936359437736</v>
      </c>
      <c r="P7" s="133">
        <f>IF(SER_hh_tes_in!P7=0,0,11630*1000*SER_hh_tes_in!P7/SER_hh_num_in!P7)</f>
        <v>75208.030424035853</v>
      </c>
      <c r="Q7" s="133">
        <f>IF(SER_hh_tes_in!Q7=0,0,11630*1000*SER_hh_tes_in!Q7/SER_hh_num_in!Q7)</f>
        <v>73474.971619608346</v>
      </c>
      <c r="R7" s="133">
        <f>IF(SER_hh_tes_in!R7=0,0,11630*1000*SER_hh_tes_in!R7/SER_hh_num_in!R7)</f>
        <v>68005.425980510336</v>
      </c>
      <c r="S7" s="133">
        <f>IF(SER_hh_tes_in!S7=0,0,11630*1000*SER_hh_tes_in!S7/SER_hh_num_in!S7)</f>
        <v>78868.18680896789</v>
      </c>
      <c r="T7" s="133">
        <f>IF(SER_hh_tes_in!T7=0,0,11630*1000*SER_hh_tes_in!T7/SER_hh_num_in!T7)</f>
        <v>74695.598170162382</v>
      </c>
      <c r="U7" s="133">
        <f>IF(SER_hh_tes_in!U7=0,0,11630*1000*SER_hh_tes_in!U7/SER_hh_num_in!U7)</f>
        <v>64040.989735610536</v>
      </c>
      <c r="V7" s="133">
        <f>IF(SER_hh_tes_in!V7=0,0,11630*1000*SER_hh_tes_in!V7/SER_hh_num_in!V7)</f>
        <v>49712.407062961043</v>
      </c>
      <c r="W7" s="133">
        <f>IF(SER_hh_tes_in!W7=0,0,11630*1000*SER_hh_tes_in!W7/SER_hh_num_in!W7)</f>
        <v>57905.017027744601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320900.86548941385</v>
      </c>
      <c r="D9" s="133">
        <f>IF(SER_hh_tes_in!D9=0,0,11630*1000*SER_hh_tes_in!D9/SER_hh_num_in!D9)</f>
        <v>29178.754876995641</v>
      </c>
      <c r="E9" s="133">
        <f>IF(SER_hh_tes_in!E9=0,0,11630*1000*SER_hh_tes_in!E9/SER_hh_num_in!E9)</f>
        <v>161799.05664641337</v>
      </c>
      <c r="F9" s="133">
        <f>IF(SER_hh_tes_in!F9=0,0,11630*1000*SER_hh_tes_in!F9/SER_hh_num_in!F9)</f>
        <v>163365.20908573575</v>
      </c>
      <c r="G9" s="133">
        <f>IF(SER_hh_tes_in!G9=0,0,11630*1000*SER_hh_tes_in!G9/SER_hh_num_in!G9)</f>
        <v>165203.64765789677</v>
      </c>
      <c r="H9" s="133">
        <f>IF(SER_hh_tes_in!H9=0,0,11630*1000*SER_hh_tes_in!H9/SER_hh_num_in!H9)</f>
        <v>311142.76182405645</v>
      </c>
      <c r="I9" s="133">
        <f>IF(SER_hh_tes_in!I9=0,0,11630*1000*SER_hh_tes_in!I9/SER_hh_num_in!I9)</f>
        <v>200341.28253432008</v>
      </c>
      <c r="J9" s="133">
        <f>IF(SER_hh_tes_in!J9=0,0,11630*1000*SER_hh_tes_in!J9/SER_hh_num_in!J9)</f>
        <v>134558.958082803</v>
      </c>
      <c r="K9" s="133">
        <f>IF(SER_hh_tes_in!K9=0,0,11630*1000*SER_hh_tes_in!K9/SER_hh_num_in!K9)</f>
        <v>148325.13374605318</v>
      </c>
      <c r="L9" s="133">
        <f>IF(SER_hh_tes_in!L9=0,0,11630*1000*SER_hh_tes_in!L9/SER_hh_num_in!L9)</f>
        <v>145153.60280128033</v>
      </c>
      <c r="M9" s="133">
        <f>IF(SER_hh_tes_in!M9=0,0,11630*1000*SER_hh_tes_in!M9/SER_hh_num_in!M9)</f>
        <v>107499.75327429788</v>
      </c>
      <c r="N9" s="133">
        <f>IF(SER_hh_tes_in!N9=0,0,11630*1000*SER_hh_tes_in!N9/SER_hh_num_in!N9)</f>
        <v>104923.3949888349</v>
      </c>
      <c r="O9" s="133">
        <f>IF(SER_hh_tes_in!O9=0,0,11630*1000*SER_hh_tes_in!O9/SER_hh_num_in!O9)</f>
        <v>97491.757652181375</v>
      </c>
      <c r="P9" s="133">
        <f>IF(SER_hh_tes_in!P9=0,0,11630*1000*SER_hh_tes_in!P9/SER_hh_num_in!P9)</f>
        <v>87206.670053485432</v>
      </c>
      <c r="Q9" s="133">
        <f>IF(SER_hh_tes_in!Q9=0,0,11630*1000*SER_hh_tes_in!Q9/SER_hh_num_in!Q9)</f>
        <v>75102.405470031619</v>
      </c>
      <c r="R9" s="133">
        <f>IF(SER_hh_tes_in!R9=0,0,11630*1000*SER_hh_tes_in!R9/SER_hh_num_in!R9)</f>
        <v>72179.712148262712</v>
      </c>
      <c r="S9" s="133">
        <f>IF(SER_hh_tes_in!S9=0,0,11630*1000*SER_hh_tes_in!S9/SER_hh_num_in!S9)</f>
        <v>73414.609122760856</v>
      </c>
      <c r="T9" s="133">
        <f>IF(SER_hh_tes_in!T9=0,0,11630*1000*SER_hh_tes_in!T9/SER_hh_num_in!T9)</f>
        <v>69314.433738453634</v>
      </c>
      <c r="U9" s="133">
        <f>IF(SER_hh_tes_in!U9=0,0,11630*1000*SER_hh_tes_in!U9/SER_hh_num_in!U9)</f>
        <v>64476.797636368101</v>
      </c>
      <c r="V9" s="133">
        <f>IF(SER_hh_tes_in!V9=0,0,11630*1000*SER_hh_tes_in!V9/SER_hh_num_in!V9)</f>
        <v>55990.59312933062</v>
      </c>
      <c r="W9" s="133">
        <f>IF(SER_hh_tes_in!W9=0,0,11630*1000*SER_hh_tes_in!W9/SER_hh_num_in!W9)</f>
        <v>48029.961617072811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180023.77053000525</v>
      </c>
      <c r="D10" s="133">
        <f>IF(SER_hh_tes_in!D10=0,0,11630*1000*SER_hh_tes_in!D10/SER_hh_num_in!D10)</f>
        <v>135791.27160237331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0</v>
      </c>
      <c r="J10" s="133">
        <f>IF(SER_hh_tes_in!J10=0,0,11630*1000*SER_hh_tes_in!J10/SER_hh_num_in!J10)</f>
        <v>160452.58730932613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0</v>
      </c>
      <c r="M10" s="133">
        <f>IF(SER_hh_tes_in!M10=0,0,11630*1000*SER_hh_tes_in!M10/SER_hh_num_in!M10)</f>
        <v>0</v>
      </c>
      <c r="N10" s="133">
        <f>IF(SER_hh_tes_in!N10=0,0,11630*1000*SER_hh_tes_in!N10/SER_hh_num_in!N10)</f>
        <v>0</v>
      </c>
      <c r="O10" s="133">
        <f>IF(SER_hh_tes_in!O10=0,0,11630*1000*SER_hh_tes_in!O10/SER_hh_num_in!O10)</f>
        <v>72982.292695154305</v>
      </c>
      <c r="P10" s="133">
        <f>IF(SER_hh_tes_in!P10=0,0,11630*1000*SER_hh_tes_in!P10/SER_hh_num_in!P10)</f>
        <v>57114.54524138759</v>
      </c>
      <c r="Q10" s="133">
        <f>IF(SER_hh_tes_in!Q10=0,0,11630*1000*SER_hh_tes_in!Q10/SER_hh_num_in!Q10)</f>
        <v>91575.245055530177</v>
      </c>
      <c r="R10" s="133">
        <f>IF(SER_hh_tes_in!R10=0,0,11630*1000*SER_hh_tes_in!R10/SER_hh_num_in!R10)</f>
        <v>91876.535952226506</v>
      </c>
      <c r="S10" s="133">
        <f>IF(SER_hh_tes_in!S10=0,0,11630*1000*SER_hh_tes_in!S10/SER_hh_num_in!S10)</f>
        <v>75410.639198616336</v>
      </c>
      <c r="T10" s="133">
        <f>IF(SER_hh_tes_in!T10=0,0,11630*1000*SER_hh_tes_in!T10/SER_hh_num_in!T10)</f>
        <v>70535.271696101525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0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72838.658092433689</v>
      </c>
      <c r="D11" s="133">
        <f>IF(SER_hh_tes_in!D11=0,0,11630*1000*SER_hh_tes_in!D11/SER_hh_num_in!D11)</f>
        <v>135769.31236675981</v>
      </c>
      <c r="E11" s="133">
        <f>IF(SER_hh_tes_in!E11=0,0,11630*1000*SER_hh_tes_in!E11/SER_hh_num_in!E11)</f>
        <v>163457.40488488792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136442.98501164303</v>
      </c>
      <c r="J11" s="133">
        <f>IF(SER_hh_tes_in!J11=0,0,11630*1000*SER_hh_tes_in!J11/SER_hh_num_in!J11)</f>
        <v>210815.55455987004</v>
      </c>
      <c r="K11" s="133">
        <f>IF(SER_hh_tes_in!K11=0,0,11630*1000*SER_hh_tes_in!K11/SER_hh_num_in!K11)</f>
        <v>177294.19361362781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114370.66983187095</v>
      </c>
      <c r="N11" s="133">
        <f>IF(SER_hh_tes_in!N11=0,0,11630*1000*SER_hh_tes_in!N11/SER_hh_num_in!N11)</f>
        <v>93912.841441265293</v>
      </c>
      <c r="O11" s="133">
        <f>IF(SER_hh_tes_in!O11=0,0,11630*1000*SER_hh_tes_in!O11/SER_hh_num_in!O11)</f>
        <v>100839.216543138</v>
      </c>
      <c r="P11" s="133">
        <f>IF(SER_hh_tes_in!P11=0,0,11630*1000*SER_hh_tes_in!P11/SER_hh_num_in!P11)</f>
        <v>91251.488717485016</v>
      </c>
      <c r="Q11" s="133">
        <f>IF(SER_hh_tes_in!Q11=0,0,11630*1000*SER_hh_tes_in!Q11/SER_hh_num_in!Q11)</f>
        <v>75790.385117435115</v>
      </c>
      <c r="R11" s="133">
        <f>IF(SER_hh_tes_in!R11=0,0,11630*1000*SER_hh_tes_in!R11/SER_hh_num_in!R11)</f>
        <v>78915.221464636154</v>
      </c>
      <c r="S11" s="133">
        <f>IF(SER_hh_tes_in!S11=0,0,11630*1000*SER_hh_tes_in!S11/SER_hh_num_in!S11)</f>
        <v>81069.21919471235</v>
      </c>
      <c r="T11" s="133">
        <f>IF(SER_hh_tes_in!T11=0,0,11630*1000*SER_hh_tes_in!T11/SER_hh_num_in!T11)</f>
        <v>77546.749213964024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275603.78340730706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180469.58838512626</v>
      </c>
      <c r="J12" s="133">
        <f>IF(SER_hh_tes_in!J12=0,0,11630*1000*SER_hh_tes_in!J12/SER_hh_num_in!J12)</f>
        <v>173817.07583250443</v>
      </c>
      <c r="K12" s="133">
        <f>IF(SER_hh_tes_in!K12=0,0,11630*1000*SER_hh_tes_in!K12/SER_hh_num_in!K12)</f>
        <v>130312.12559657311</v>
      </c>
      <c r="L12" s="133">
        <f>IF(SER_hh_tes_in!L12=0,0,11630*1000*SER_hh_tes_in!L12/SER_hh_num_in!L12)</f>
        <v>132861.36925240621</v>
      </c>
      <c r="M12" s="133">
        <f>IF(SER_hh_tes_in!M12=0,0,11630*1000*SER_hh_tes_in!M12/SER_hh_num_in!M12)</f>
        <v>123618.53197752238</v>
      </c>
      <c r="N12" s="133">
        <f>IF(SER_hh_tes_in!N12=0,0,11630*1000*SER_hh_tes_in!N12/SER_hh_num_in!N12)</f>
        <v>115958.68933781693</v>
      </c>
      <c r="O12" s="133">
        <f>IF(SER_hh_tes_in!O12=0,0,11630*1000*SER_hh_tes_in!O12/SER_hh_num_in!O12)</f>
        <v>102722.60047820212</v>
      </c>
      <c r="P12" s="133">
        <f>IF(SER_hh_tes_in!P12=0,0,11630*1000*SER_hh_tes_in!P12/SER_hh_num_in!P12)</f>
        <v>80788.172429215454</v>
      </c>
      <c r="Q12" s="133">
        <f>IF(SER_hh_tes_in!Q12=0,0,11630*1000*SER_hh_tes_in!Q12/SER_hh_num_in!Q12)</f>
        <v>76476.520132324702</v>
      </c>
      <c r="R12" s="133">
        <f>IF(SER_hh_tes_in!R12=0,0,11630*1000*SER_hh_tes_in!R12/SER_hh_num_in!R12)</f>
        <v>77826.152903374154</v>
      </c>
      <c r="S12" s="133">
        <f>IF(SER_hh_tes_in!S12=0,0,11630*1000*SER_hh_tes_in!S12/SER_hh_num_in!S12)</f>
        <v>0</v>
      </c>
      <c r="T12" s="133">
        <f>IF(SER_hh_tes_in!T12=0,0,11630*1000*SER_hh_tes_in!T12/SER_hh_num_in!T12)</f>
        <v>0</v>
      </c>
      <c r="U12" s="133">
        <f>IF(SER_hh_tes_in!U12=0,0,11630*1000*SER_hh_tes_in!U12/SER_hh_num_in!U12)</f>
        <v>0</v>
      </c>
      <c r="V12" s="133">
        <f>IF(SER_hh_tes_in!V12=0,0,11630*1000*SER_hh_tes_in!V12/SER_hh_num_in!V12)</f>
        <v>53697.645139404274</v>
      </c>
      <c r="W12" s="133">
        <f>IF(SER_hh_tes_in!W12=0,0,11630*1000*SER_hh_tes_in!W12/SER_hh_num_in!W12)</f>
        <v>47586.47218288359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0</v>
      </c>
      <c r="D13" s="133">
        <f>IF(SER_hh_tes_in!D13=0,0,11630*1000*SER_hh_tes_in!D13/SER_hh_num_in!D13)</f>
        <v>0</v>
      </c>
      <c r="E13" s="133">
        <f>IF(SER_hh_tes_in!E13=0,0,11630*1000*SER_hh_tes_in!E13/SER_hh_num_in!E13)</f>
        <v>0</v>
      </c>
      <c r="F13" s="133">
        <f>IF(SER_hh_tes_in!F13=0,0,11630*1000*SER_hh_tes_in!F13/SER_hh_num_in!F13)</f>
        <v>0</v>
      </c>
      <c r="G13" s="133">
        <f>IF(SER_hh_tes_in!G13=0,0,11630*1000*SER_hh_tes_in!G13/SER_hh_num_in!G13)</f>
        <v>0</v>
      </c>
      <c r="H13" s="133">
        <f>IF(SER_hh_tes_in!H13=0,0,11630*1000*SER_hh_tes_in!H13/SER_hh_num_in!H13)</f>
        <v>0</v>
      </c>
      <c r="I13" s="133">
        <f>IF(SER_hh_tes_in!I13=0,0,11630*1000*SER_hh_tes_in!I13/SER_hh_num_in!I13)</f>
        <v>0</v>
      </c>
      <c r="J13" s="133">
        <f>IF(SER_hh_tes_in!J13=0,0,11630*1000*SER_hh_tes_in!J13/SER_hh_num_in!J13)</f>
        <v>0</v>
      </c>
      <c r="K13" s="133">
        <f>IF(SER_hh_tes_in!K13=0,0,11630*1000*SER_hh_tes_in!K13/SER_hh_num_in!K13)</f>
        <v>0</v>
      </c>
      <c r="L13" s="133">
        <f>IF(SER_hh_tes_in!L13=0,0,11630*1000*SER_hh_tes_in!L13/SER_hh_num_in!L13)</f>
        <v>0</v>
      </c>
      <c r="M13" s="133">
        <f>IF(SER_hh_tes_in!M13=0,0,11630*1000*SER_hh_tes_in!M13/SER_hh_num_in!M13)</f>
        <v>0</v>
      </c>
      <c r="N13" s="133">
        <f>IF(SER_hh_tes_in!N13=0,0,11630*1000*SER_hh_tes_in!N13/SER_hh_num_in!N13)</f>
        <v>0</v>
      </c>
      <c r="O13" s="133">
        <f>IF(SER_hh_tes_in!O13=0,0,11630*1000*SER_hh_tes_in!O13/SER_hh_num_in!O13)</f>
        <v>0</v>
      </c>
      <c r="P13" s="133">
        <f>IF(SER_hh_tes_in!P13=0,0,11630*1000*SER_hh_tes_in!P13/SER_hh_num_in!P13)</f>
        <v>0</v>
      </c>
      <c r="Q13" s="133">
        <f>IF(SER_hh_tes_in!Q13=0,0,11630*1000*SER_hh_tes_in!Q13/SER_hh_num_in!Q13)</f>
        <v>0</v>
      </c>
      <c r="R13" s="133">
        <f>IF(SER_hh_tes_in!R13=0,0,11630*1000*SER_hh_tes_in!R13/SER_hh_num_in!R13)</f>
        <v>0</v>
      </c>
      <c r="S13" s="133">
        <f>IF(SER_hh_tes_in!S13=0,0,11630*1000*SER_hh_tes_in!S13/SER_hh_num_in!S13)</f>
        <v>0</v>
      </c>
      <c r="T13" s="133">
        <f>IF(SER_hh_tes_in!T13=0,0,11630*1000*SER_hh_tes_in!T13/SER_hh_num_in!T13)</f>
        <v>0</v>
      </c>
      <c r="U13" s="133">
        <f>IF(SER_hh_tes_in!U13=0,0,11630*1000*SER_hh_tes_in!U13/SER_hh_num_in!U13)</f>
        <v>0</v>
      </c>
      <c r="V13" s="133">
        <f>IF(SER_hh_tes_in!V13=0,0,11630*1000*SER_hh_tes_in!V13/SER_hh_num_in!V13)</f>
        <v>0</v>
      </c>
      <c r="W13" s="133">
        <f>IF(SER_hh_tes_in!W13=0,0,11630*1000*SER_hh_tes_in!W13/SER_hh_num_in!W13)</f>
        <v>0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0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0</v>
      </c>
      <c r="F14" s="65">
        <f>IF(SER_hh_tes_in!F14=0,0,11630*1000*SER_hh_tes_in!F14/SER_hh_num_in!F14)</f>
        <v>0</v>
      </c>
      <c r="G14" s="65">
        <f>IF(SER_hh_tes_in!G14=0,0,11630*1000*SER_hh_tes_in!G14/SER_hh_num_in!G14)</f>
        <v>177294.4027605197</v>
      </c>
      <c r="H14" s="65">
        <f>IF(SER_hh_tes_in!H14=0,0,11630*1000*SER_hh_tes_in!H14/SER_hh_num_in!H14)</f>
        <v>195016.24433009251</v>
      </c>
      <c r="I14" s="65">
        <f>IF(SER_hh_tes_in!I14=0,0,11630*1000*SER_hh_tes_in!I14/SER_hh_num_in!I14)</f>
        <v>262099.86195600769</v>
      </c>
      <c r="J14" s="65">
        <f>IF(SER_hh_tes_in!J14=0,0,11630*1000*SER_hh_tes_in!J14/SER_hh_num_in!J14)</f>
        <v>136692.2943148897</v>
      </c>
      <c r="K14" s="65">
        <f>IF(SER_hh_tes_in!K14=0,0,11630*1000*SER_hh_tes_in!K14/SER_hh_num_in!K14)</f>
        <v>111597.88629207727</v>
      </c>
      <c r="L14" s="65">
        <f>IF(SER_hh_tes_in!L14=0,0,11630*1000*SER_hh_tes_in!L14/SER_hh_num_in!L14)</f>
        <v>184003.29280346527</v>
      </c>
      <c r="M14" s="65">
        <f>IF(SER_hh_tes_in!M14=0,0,11630*1000*SER_hh_tes_in!M14/SER_hh_num_in!M14)</f>
        <v>146771.43063498245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0</v>
      </c>
      <c r="T14" s="65">
        <f>IF(SER_hh_tes_in!T14=0,0,11630*1000*SER_hh_tes_in!T14/SER_hh_num_in!T14)</f>
        <v>0</v>
      </c>
      <c r="U14" s="65">
        <f>IF(SER_hh_tes_in!U14=0,0,11630*1000*SER_hh_tes_in!U14/SER_hh_num_in!U14)</f>
        <v>0</v>
      </c>
      <c r="V14" s="65">
        <f>IF(SER_hh_tes_in!V14=0,0,11630*1000*SER_hh_tes_in!V14/SER_hh_num_in!V14)</f>
        <v>0</v>
      </c>
      <c r="W14" s="65">
        <f>IF(SER_hh_tes_in!W14=0,0,11630*1000*SER_hh_tes_in!W14/SER_hh_num_in!W14)</f>
        <v>48777.365724988791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2496.1379664023475</v>
      </c>
      <c r="D15" s="135">
        <f>IF(SER_hh_tes_in!D15=0,0,11630*1000*SER_hh_tes_in!D15/SER_hh_num_in!D15)</f>
        <v>1682.2430769522693</v>
      </c>
      <c r="E15" s="135">
        <f>IF(SER_hh_tes_in!E15=0,0,11630*1000*SER_hh_tes_in!E15/SER_hh_num_in!E15)</f>
        <v>2903.5211064640112</v>
      </c>
      <c r="F15" s="135">
        <f>IF(SER_hh_tes_in!F15=0,0,11630*1000*SER_hh_tes_in!F15/SER_hh_num_in!F15)</f>
        <v>3118.9011235230496</v>
      </c>
      <c r="G15" s="135">
        <f>IF(SER_hh_tes_in!G15=0,0,11630*1000*SER_hh_tes_in!G15/SER_hh_num_in!G15)</f>
        <v>2642.4266703583758</v>
      </c>
      <c r="H15" s="135">
        <f>IF(SER_hh_tes_in!H15=0,0,11630*1000*SER_hh_tes_in!H15/SER_hh_num_in!H15)</f>
        <v>5568.9140421162074</v>
      </c>
      <c r="I15" s="135">
        <f>IF(SER_hh_tes_in!I15=0,0,11630*1000*SER_hh_tes_in!I15/SER_hh_num_in!I15)</f>
        <v>2178.3695355095479</v>
      </c>
      <c r="J15" s="135">
        <f>IF(SER_hh_tes_in!J15=0,0,11630*1000*SER_hh_tes_in!J15/SER_hh_num_in!J15)</f>
        <v>1465.0776656193564</v>
      </c>
      <c r="K15" s="135">
        <f>IF(SER_hh_tes_in!K15=0,0,11630*1000*SER_hh_tes_in!K15/SER_hh_num_in!K15)</f>
        <v>1482.1387864875519</v>
      </c>
      <c r="L15" s="135">
        <f>IF(SER_hh_tes_in!L15=0,0,11630*1000*SER_hh_tes_in!L15/SER_hh_num_in!L15)</f>
        <v>1411.1631961631799</v>
      </c>
      <c r="M15" s="135">
        <f>IF(SER_hh_tes_in!M15=0,0,11630*1000*SER_hh_tes_in!M15/SER_hh_num_in!M15)</f>
        <v>1458.7857088976129</v>
      </c>
      <c r="N15" s="135">
        <f>IF(SER_hh_tes_in!N15=0,0,11630*1000*SER_hh_tes_in!N15/SER_hh_num_in!N15)</f>
        <v>1221.8812579065063</v>
      </c>
      <c r="O15" s="135">
        <f>IF(SER_hh_tes_in!O15=0,0,11630*1000*SER_hh_tes_in!O15/SER_hh_num_in!O15)</f>
        <v>1246.2803856751991</v>
      </c>
      <c r="P15" s="135">
        <f>IF(SER_hh_tes_in!P15=0,0,11630*1000*SER_hh_tes_in!P15/SER_hh_num_in!P15)</f>
        <v>1180.6665283493517</v>
      </c>
      <c r="Q15" s="135">
        <f>IF(SER_hh_tes_in!Q15=0,0,11630*1000*SER_hh_tes_in!Q15/SER_hh_num_in!Q15)</f>
        <v>1033.0022114316444</v>
      </c>
      <c r="R15" s="135">
        <f>IF(SER_hh_tes_in!R15=0,0,11630*1000*SER_hh_tes_in!R15/SER_hh_num_in!R15)</f>
        <v>999.32624088104433</v>
      </c>
      <c r="S15" s="135">
        <f>IF(SER_hh_tes_in!S15=0,0,11630*1000*SER_hh_tes_in!S15/SER_hh_num_in!S15)</f>
        <v>1127.1606034915815</v>
      </c>
      <c r="T15" s="135">
        <f>IF(SER_hh_tes_in!T15=0,0,11630*1000*SER_hh_tes_in!T15/SER_hh_num_in!T15)</f>
        <v>1132.5223762744199</v>
      </c>
      <c r="U15" s="135">
        <f>IF(SER_hh_tes_in!U15=0,0,11630*1000*SER_hh_tes_in!U15/SER_hh_num_in!U15)</f>
        <v>1023.7177979264623</v>
      </c>
      <c r="V15" s="135">
        <f>IF(SER_hh_tes_in!V15=0,0,11630*1000*SER_hh_tes_in!V15/SER_hh_num_in!V15)</f>
        <v>774.03570868920201</v>
      </c>
      <c r="W15" s="135">
        <f>IF(SER_hh_tes_in!W15=0,0,11630*1000*SER_hh_tes_in!W15/SER_hh_num_in!W15)</f>
        <v>756.5148707363976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27770.04900334281</v>
      </c>
      <c r="D16" s="131">
        <f>IF(SER_hh_tes_in!D16=0,0,11630*1000*SER_hh_tes_in!D16/SER_hh_num_in!D16)</f>
        <v>26493.769878118426</v>
      </c>
      <c r="E16" s="131">
        <f>IF(SER_hh_tes_in!E16=0,0,11630*1000*SER_hh_tes_in!E16/SER_hh_num_in!E16)</f>
        <v>26666.308399778231</v>
      </c>
      <c r="F16" s="131">
        <f>IF(SER_hh_tes_in!F16=0,0,11630*1000*SER_hh_tes_in!F16/SER_hh_num_in!F16)</f>
        <v>23193.319403592985</v>
      </c>
      <c r="G16" s="131">
        <f>IF(SER_hh_tes_in!G16=0,0,11630*1000*SER_hh_tes_in!G16/SER_hh_num_in!G16)</f>
        <v>23248.757780596305</v>
      </c>
      <c r="H16" s="131">
        <f>IF(SER_hh_tes_in!H16=0,0,11630*1000*SER_hh_tes_in!H16/SER_hh_num_in!H16)</f>
        <v>24750.369175091539</v>
      </c>
      <c r="I16" s="131">
        <f>IF(SER_hh_tes_in!I16=0,0,11630*1000*SER_hh_tes_in!I16/SER_hh_num_in!I16)</f>
        <v>32622.067083747483</v>
      </c>
      <c r="J16" s="131">
        <f>IF(SER_hh_tes_in!J16=0,0,11630*1000*SER_hh_tes_in!J16/SER_hh_num_in!J16)</f>
        <v>25664.905299539794</v>
      </c>
      <c r="K16" s="131">
        <f>IF(SER_hh_tes_in!K16=0,0,11630*1000*SER_hh_tes_in!K16/SER_hh_num_in!K16)</f>
        <v>24222.81501450362</v>
      </c>
      <c r="L16" s="131">
        <f>IF(SER_hh_tes_in!L16=0,0,11630*1000*SER_hh_tes_in!L16/SER_hh_num_in!L16)</f>
        <v>28405.787283301586</v>
      </c>
      <c r="M16" s="131">
        <f>IF(SER_hh_tes_in!M16=0,0,11630*1000*SER_hh_tes_in!M16/SER_hh_num_in!M16)</f>
        <v>24261.386254598026</v>
      </c>
      <c r="N16" s="131">
        <f>IF(SER_hh_tes_in!N16=0,0,11630*1000*SER_hh_tes_in!N16/SER_hh_num_in!N16)</f>
        <v>36721.305049805436</v>
      </c>
      <c r="O16" s="131">
        <f>IF(SER_hh_tes_in!O16=0,0,11630*1000*SER_hh_tes_in!O16/SER_hh_num_in!O16)</f>
        <v>24821.16006931576</v>
      </c>
      <c r="P16" s="131">
        <f>IF(SER_hh_tes_in!P16=0,0,11630*1000*SER_hh_tes_in!P16/SER_hh_num_in!P16)</f>
        <v>23159.540574141956</v>
      </c>
      <c r="Q16" s="131">
        <f>IF(SER_hh_tes_in!Q16=0,0,11630*1000*SER_hh_tes_in!Q16/SER_hh_num_in!Q16)</f>
        <v>30124.081336451902</v>
      </c>
      <c r="R16" s="131">
        <f>IF(SER_hh_tes_in!R16=0,0,11630*1000*SER_hh_tes_in!R16/SER_hh_num_in!R16)</f>
        <v>25390.807280746591</v>
      </c>
      <c r="S16" s="131">
        <f>IF(SER_hh_tes_in!S16=0,0,11630*1000*SER_hh_tes_in!S16/SER_hh_num_in!S16)</f>
        <v>27027.980482615028</v>
      </c>
      <c r="T16" s="131">
        <f>IF(SER_hh_tes_in!T16=0,0,11630*1000*SER_hh_tes_in!T16/SER_hh_num_in!T16)</f>
        <v>23342.142220103899</v>
      </c>
      <c r="U16" s="131">
        <f>IF(SER_hh_tes_in!U16=0,0,11630*1000*SER_hh_tes_in!U16/SER_hh_num_in!U16)</f>
        <v>25790.576887287043</v>
      </c>
      <c r="V16" s="131">
        <f>IF(SER_hh_tes_in!V16=0,0,11630*1000*SER_hh_tes_in!V16/SER_hh_num_in!V16)</f>
        <v>23320.289461291657</v>
      </c>
      <c r="W16" s="131">
        <f>IF(SER_hh_tes_in!W16=0,0,11630*1000*SER_hh_tes_in!W16/SER_hh_num_in!W16)</f>
        <v>25132.252342449228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27770.04900334281</v>
      </c>
      <c r="D18" s="133">
        <f>IF(SER_hh_tes_in!D18=0,0,11630*1000*SER_hh_tes_in!D18/SER_hh_num_in!D18)</f>
        <v>26493.769878118426</v>
      </c>
      <c r="E18" s="133">
        <f>IF(SER_hh_tes_in!E18=0,0,11630*1000*SER_hh_tes_in!E18/SER_hh_num_in!E18)</f>
        <v>26666.308399778231</v>
      </c>
      <c r="F18" s="133">
        <f>IF(SER_hh_tes_in!F18=0,0,11630*1000*SER_hh_tes_in!F18/SER_hh_num_in!F18)</f>
        <v>23193.319403592985</v>
      </c>
      <c r="G18" s="133">
        <f>IF(SER_hh_tes_in!G18=0,0,11630*1000*SER_hh_tes_in!G18/SER_hh_num_in!G18)</f>
        <v>23248.757780596305</v>
      </c>
      <c r="H18" s="133">
        <f>IF(SER_hh_tes_in!H18=0,0,11630*1000*SER_hh_tes_in!H18/SER_hh_num_in!H18)</f>
        <v>24750.369175091539</v>
      </c>
      <c r="I18" s="133">
        <f>IF(SER_hh_tes_in!I18=0,0,11630*1000*SER_hh_tes_in!I18/SER_hh_num_in!I18)</f>
        <v>32622.067083747483</v>
      </c>
      <c r="J18" s="133">
        <f>IF(SER_hh_tes_in!J18=0,0,11630*1000*SER_hh_tes_in!J18/SER_hh_num_in!J18)</f>
        <v>25664.905299539794</v>
      </c>
      <c r="K18" s="133">
        <f>IF(SER_hh_tes_in!K18=0,0,11630*1000*SER_hh_tes_in!K18/SER_hh_num_in!K18)</f>
        <v>24222.81501450362</v>
      </c>
      <c r="L18" s="133">
        <f>IF(SER_hh_tes_in!L18=0,0,11630*1000*SER_hh_tes_in!L18/SER_hh_num_in!L18)</f>
        <v>28405.787283301586</v>
      </c>
      <c r="M18" s="133">
        <f>IF(SER_hh_tes_in!M18=0,0,11630*1000*SER_hh_tes_in!M18/SER_hh_num_in!M18)</f>
        <v>24261.386254598026</v>
      </c>
      <c r="N18" s="133">
        <f>IF(SER_hh_tes_in!N18=0,0,11630*1000*SER_hh_tes_in!N18/SER_hh_num_in!N18)</f>
        <v>36721.305049805436</v>
      </c>
      <c r="O18" s="133">
        <f>IF(SER_hh_tes_in!O18=0,0,11630*1000*SER_hh_tes_in!O18/SER_hh_num_in!O18)</f>
        <v>24821.16006931576</v>
      </c>
      <c r="P18" s="133">
        <f>IF(SER_hh_tes_in!P18=0,0,11630*1000*SER_hh_tes_in!P18/SER_hh_num_in!P18)</f>
        <v>23159.540574141956</v>
      </c>
      <c r="Q18" s="133">
        <f>IF(SER_hh_tes_in!Q18=0,0,11630*1000*SER_hh_tes_in!Q18/SER_hh_num_in!Q18)</f>
        <v>30124.081336451902</v>
      </c>
      <c r="R18" s="133">
        <f>IF(SER_hh_tes_in!R18=0,0,11630*1000*SER_hh_tes_in!R18/SER_hh_num_in!R18)</f>
        <v>25390.807280746591</v>
      </c>
      <c r="S18" s="133">
        <f>IF(SER_hh_tes_in!S18=0,0,11630*1000*SER_hh_tes_in!S18/SER_hh_num_in!S18)</f>
        <v>27027.980482615028</v>
      </c>
      <c r="T18" s="133">
        <f>IF(SER_hh_tes_in!T18=0,0,11630*1000*SER_hh_tes_in!T18/SER_hh_num_in!T18)</f>
        <v>23342.142220103899</v>
      </c>
      <c r="U18" s="133">
        <f>IF(SER_hh_tes_in!U18=0,0,11630*1000*SER_hh_tes_in!U18/SER_hh_num_in!U18)</f>
        <v>25790.576887287043</v>
      </c>
      <c r="V18" s="133">
        <f>IF(SER_hh_tes_in!V18=0,0,11630*1000*SER_hh_tes_in!V18/SER_hh_num_in!V18)</f>
        <v>23320.289461291657</v>
      </c>
      <c r="W18" s="133">
        <f>IF(SER_hh_tes_in!W18=0,0,11630*1000*SER_hh_tes_in!W18/SER_hh_num_in!W18)</f>
        <v>25132.252342449228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29491.442467583551</v>
      </c>
      <c r="D19" s="131">
        <f>IF(SER_hh_tes_in!D19=0,0,11630*1000*SER_hh_tes_in!D19/SER_hh_num_in!D19)</f>
        <v>11818.927116547886</v>
      </c>
      <c r="E19" s="131">
        <f>IF(SER_hh_tes_in!E19=0,0,11630*1000*SER_hh_tes_in!E19/SER_hh_num_in!E19)</f>
        <v>25334.849471754034</v>
      </c>
      <c r="F19" s="131">
        <f>IF(SER_hh_tes_in!F19=0,0,11630*1000*SER_hh_tes_in!F19/SER_hh_num_in!F19)</f>
        <v>31128.391709075197</v>
      </c>
      <c r="G19" s="131">
        <f>IF(SER_hh_tes_in!G19=0,0,11630*1000*SER_hh_tes_in!G19/SER_hh_num_in!G19)</f>
        <v>27074.88660462336</v>
      </c>
      <c r="H19" s="131">
        <f>IF(SER_hh_tes_in!H19=0,0,11630*1000*SER_hh_tes_in!H19/SER_hh_num_in!H19)</f>
        <v>29275.321346831122</v>
      </c>
      <c r="I19" s="131">
        <f>IF(SER_hh_tes_in!I19=0,0,11630*1000*SER_hh_tes_in!I19/SER_hh_num_in!I19)</f>
        <v>30346.337021109524</v>
      </c>
      <c r="J19" s="131">
        <f>IF(SER_hh_tes_in!J19=0,0,11630*1000*SER_hh_tes_in!J19/SER_hh_num_in!J19)</f>
        <v>28736.552908742779</v>
      </c>
      <c r="K19" s="131">
        <f>IF(SER_hh_tes_in!K19=0,0,11630*1000*SER_hh_tes_in!K19/SER_hh_num_in!K19)</f>
        <v>29883.0179077188</v>
      </c>
      <c r="L19" s="131">
        <f>IF(SER_hh_tes_in!L19=0,0,11630*1000*SER_hh_tes_in!L19/SER_hh_num_in!L19)</f>
        <v>28061.311695475219</v>
      </c>
      <c r="M19" s="131">
        <f>IF(SER_hh_tes_in!M19=0,0,11630*1000*SER_hh_tes_in!M19/SER_hh_num_in!M19)</f>
        <v>27995.5807665912</v>
      </c>
      <c r="N19" s="131">
        <f>IF(SER_hh_tes_in!N19=0,0,11630*1000*SER_hh_tes_in!N19/SER_hh_num_in!N19)</f>
        <v>28155.487270705795</v>
      </c>
      <c r="O19" s="131">
        <f>IF(SER_hh_tes_in!O19=0,0,11630*1000*SER_hh_tes_in!O19/SER_hh_num_in!O19)</f>
        <v>28855.290592172925</v>
      </c>
      <c r="P19" s="131">
        <f>IF(SER_hh_tes_in!P19=0,0,11630*1000*SER_hh_tes_in!P19/SER_hh_num_in!P19)</f>
        <v>28584.533024811371</v>
      </c>
      <c r="Q19" s="131">
        <f>IF(SER_hh_tes_in!Q19=0,0,11630*1000*SER_hh_tes_in!Q19/SER_hh_num_in!Q19)</f>
        <v>28751.732515244803</v>
      </c>
      <c r="R19" s="131">
        <f>IF(SER_hh_tes_in!R19=0,0,11630*1000*SER_hh_tes_in!R19/SER_hh_num_in!R19)</f>
        <v>28515.466248613204</v>
      </c>
      <c r="S19" s="131">
        <f>IF(SER_hh_tes_in!S19=0,0,11630*1000*SER_hh_tes_in!S19/SER_hh_num_in!S19)</f>
        <v>29395.679384203373</v>
      </c>
      <c r="T19" s="131">
        <f>IF(SER_hh_tes_in!T19=0,0,11630*1000*SER_hh_tes_in!T19/SER_hh_num_in!T19)</f>
        <v>28446.691128074082</v>
      </c>
      <c r="U19" s="131">
        <f>IF(SER_hh_tes_in!U19=0,0,11630*1000*SER_hh_tes_in!U19/SER_hh_num_in!U19)</f>
        <v>27011.632051233522</v>
      </c>
      <c r="V19" s="131">
        <f>IF(SER_hh_tes_in!V19=0,0,11630*1000*SER_hh_tes_in!V19/SER_hh_num_in!V19)</f>
        <v>25259.73848931869</v>
      </c>
      <c r="W19" s="131">
        <f>IF(SER_hh_tes_in!W19=0,0,11630*1000*SER_hh_tes_in!W19/SER_hh_num_in!W19)</f>
        <v>29010.748887593396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5532.3035228322797</v>
      </c>
      <c r="D22" s="133">
        <f>IF(SER_hh_tes_in!D22=0,0,11630*1000*SER_hh_tes_in!D22/SER_hh_num_in!D22)</f>
        <v>16976.443566217764</v>
      </c>
      <c r="E22" s="133">
        <f>IF(SER_hh_tes_in!E22=0,0,11630*1000*SER_hh_tes_in!E22/SER_hh_num_in!E22)</f>
        <v>23666.05979720032</v>
      </c>
      <c r="F22" s="133">
        <f>IF(SER_hh_tes_in!F22=0,0,11630*1000*SER_hh_tes_in!F22/SER_hh_num_in!F22)</f>
        <v>27159.195962182344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0</v>
      </c>
      <c r="K22" s="133">
        <f>IF(SER_hh_tes_in!K22=0,0,11630*1000*SER_hh_tes_in!K22/SER_hh_num_in!K22)</f>
        <v>0</v>
      </c>
      <c r="L22" s="133">
        <f>IF(SER_hh_tes_in!L22=0,0,11630*1000*SER_hh_tes_in!L22/SER_hh_num_in!L22)</f>
        <v>25952.723081178294</v>
      </c>
      <c r="M22" s="133">
        <f>IF(SER_hh_tes_in!M22=0,0,11630*1000*SER_hh_tes_in!M22/SER_hh_num_in!M22)</f>
        <v>24377.330844679956</v>
      </c>
      <c r="N22" s="133">
        <f>IF(SER_hh_tes_in!N22=0,0,11630*1000*SER_hh_tes_in!N22/SER_hh_num_in!N22)</f>
        <v>26693.139094290989</v>
      </c>
      <c r="O22" s="133">
        <f>IF(SER_hh_tes_in!O22=0,0,11630*1000*SER_hh_tes_in!O22/SER_hh_num_in!O22)</f>
        <v>31359.025459798653</v>
      </c>
      <c r="P22" s="133">
        <f>IF(SER_hh_tes_in!P22=0,0,11630*1000*SER_hh_tes_in!P22/SER_hh_num_in!P22)</f>
        <v>29790.795311615904</v>
      </c>
      <c r="Q22" s="133">
        <f>IF(SER_hh_tes_in!Q22=0,0,11630*1000*SER_hh_tes_in!Q22/SER_hh_num_in!Q22)</f>
        <v>29690.923875514101</v>
      </c>
      <c r="R22" s="133">
        <f>IF(SER_hh_tes_in!R22=0,0,11630*1000*SER_hh_tes_in!R22/SER_hh_num_in!R22)</f>
        <v>25239.778338959761</v>
      </c>
      <c r="S22" s="133">
        <f>IF(SER_hh_tes_in!S22=0,0,11630*1000*SER_hh_tes_in!S22/SER_hh_num_in!S22)</f>
        <v>29812.246452101928</v>
      </c>
      <c r="T22" s="133">
        <f>IF(SER_hh_tes_in!T22=0,0,11630*1000*SER_hh_tes_in!T22/SER_hh_num_in!T22)</f>
        <v>29859.631542468549</v>
      </c>
      <c r="U22" s="133">
        <f>IF(SER_hh_tes_in!U22=0,0,11630*1000*SER_hh_tes_in!U22/SER_hh_num_in!U22)</f>
        <v>25569.749595048066</v>
      </c>
      <c r="V22" s="133">
        <f>IF(SER_hh_tes_in!V22=0,0,11630*1000*SER_hh_tes_in!V22/SER_hh_num_in!V22)</f>
        <v>23315.248580727879</v>
      </c>
      <c r="W22" s="133">
        <f>IF(SER_hh_tes_in!W22=0,0,11630*1000*SER_hh_tes_in!W22/SER_hh_num_in!W22)</f>
        <v>30296.770353444113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17567.561223292651</v>
      </c>
      <c r="D23" s="133">
        <f>IF(SER_hh_tes_in!D23=0,0,11630*1000*SER_hh_tes_in!D23/SER_hh_num_in!D23)</f>
        <v>10481.88882937672</v>
      </c>
      <c r="E23" s="133">
        <f>IF(SER_hh_tes_in!E23=0,0,11630*1000*SER_hh_tes_in!E23/SER_hh_num_in!E23)</f>
        <v>20714.327559485693</v>
      </c>
      <c r="F23" s="133">
        <f>IF(SER_hh_tes_in!F23=0,0,11630*1000*SER_hh_tes_in!F23/SER_hh_num_in!F23)</f>
        <v>31791.838498347694</v>
      </c>
      <c r="G23" s="133">
        <f>IF(SER_hh_tes_in!G23=0,0,11630*1000*SER_hh_tes_in!G23/SER_hh_num_in!G23)</f>
        <v>27258.366959957439</v>
      </c>
      <c r="H23" s="133">
        <f>IF(SER_hh_tes_in!H23=0,0,11630*1000*SER_hh_tes_in!H23/SER_hh_num_in!H23)</f>
        <v>31544.468377208777</v>
      </c>
      <c r="I23" s="133">
        <f>IF(SER_hh_tes_in!I23=0,0,11630*1000*SER_hh_tes_in!I23/SER_hh_num_in!I23)</f>
        <v>27632.837441425596</v>
      </c>
      <c r="J23" s="133">
        <f>IF(SER_hh_tes_in!J23=0,0,11630*1000*SER_hh_tes_in!J23/SER_hh_num_in!J23)</f>
        <v>23386.489672773165</v>
      </c>
      <c r="K23" s="133">
        <f>IF(SER_hh_tes_in!K23=0,0,11630*1000*SER_hh_tes_in!K23/SER_hh_num_in!K23)</f>
        <v>31574.182232612551</v>
      </c>
      <c r="L23" s="133">
        <f>IF(SER_hh_tes_in!L23=0,0,11630*1000*SER_hh_tes_in!L23/SER_hh_num_in!L23)</f>
        <v>29429.488253869786</v>
      </c>
      <c r="M23" s="133">
        <f>IF(SER_hh_tes_in!M23=0,0,11630*1000*SER_hh_tes_in!M23/SER_hh_num_in!M23)</f>
        <v>26872.015227827225</v>
      </c>
      <c r="N23" s="133">
        <f>IF(SER_hh_tes_in!N23=0,0,11630*1000*SER_hh_tes_in!N23/SER_hh_num_in!N23)</f>
        <v>27059.057825870248</v>
      </c>
      <c r="O23" s="133">
        <f>IF(SER_hh_tes_in!O23=0,0,11630*1000*SER_hh_tes_in!O23/SER_hh_num_in!O23)</f>
        <v>27398.588400232718</v>
      </c>
      <c r="P23" s="133">
        <f>IF(SER_hh_tes_in!P23=0,0,11630*1000*SER_hh_tes_in!P23/SER_hh_num_in!P23)</f>
        <v>28102.739297797329</v>
      </c>
      <c r="Q23" s="133">
        <f>IF(SER_hh_tes_in!Q23=0,0,11630*1000*SER_hh_tes_in!Q23/SER_hh_num_in!Q23)</f>
        <v>28394.658697407471</v>
      </c>
      <c r="R23" s="133">
        <f>IF(SER_hh_tes_in!R23=0,0,11630*1000*SER_hh_tes_in!R23/SER_hh_num_in!R23)</f>
        <v>29093.740525717549</v>
      </c>
      <c r="S23" s="133">
        <f>IF(SER_hh_tes_in!S23=0,0,11630*1000*SER_hh_tes_in!S23/SER_hh_num_in!S23)</f>
        <v>29534.197666748129</v>
      </c>
      <c r="T23" s="133">
        <f>IF(SER_hh_tes_in!T23=0,0,11630*1000*SER_hh_tes_in!T23/SER_hh_num_in!T23)</f>
        <v>27958.495546216931</v>
      </c>
      <c r="U23" s="133">
        <f>IF(SER_hh_tes_in!U23=0,0,11630*1000*SER_hh_tes_in!U23/SER_hh_num_in!U23)</f>
        <v>27795.754283891078</v>
      </c>
      <c r="V23" s="133">
        <f>IF(SER_hh_tes_in!V23=0,0,11630*1000*SER_hh_tes_in!V23/SER_hh_num_in!V23)</f>
        <v>26586.530725933539</v>
      </c>
      <c r="W23" s="133">
        <f>IF(SER_hh_tes_in!W23=0,0,11630*1000*SER_hh_tes_in!W23/SER_hh_num_in!W23)</f>
        <v>25360.450543651579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11718.33154440575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20263.051196004755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24882.149305204955</v>
      </c>
      <c r="K24" s="133">
        <f>IF(SER_hh_tes_in!K24=0,0,11630*1000*SER_hh_tes_in!K24/SER_hh_num_in!K24)</f>
        <v>26000.346304085655</v>
      </c>
      <c r="L24" s="133">
        <f>IF(SER_hh_tes_in!L24=0,0,11630*1000*SER_hh_tes_in!L24/SER_hh_num_in!L24)</f>
        <v>26879.285406864768</v>
      </c>
      <c r="M24" s="133">
        <f>IF(SER_hh_tes_in!M24=0,0,11630*1000*SER_hh_tes_in!M24/SER_hh_num_in!M24)</f>
        <v>28403.669749420242</v>
      </c>
      <c r="N24" s="133">
        <f>IF(SER_hh_tes_in!N24=0,0,11630*1000*SER_hh_tes_in!N24/SER_hh_num_in!N24)</f>
        <v>29427.153054081657</v>
      </c>
      <c r="O24" s="133">
        <f>IF(SER_hh_tes_in!O24=0,0,11630*1000*SER_hh_tes_in!O24/SER_hh_num_in!O24)</f>
        <v>29908.869009183167</v>
      </c>
      <c r="P24" s="133">
        <f>IF(SER_hh_tes_in!P24=0,0,11630*1000*SER_hh_tes_in!P24/SER_hh_num_in!P24)</f>
        <v>30470.242615709849</v>
      </c>
      <c r="Q24" s="133">
        <f>IF(SER_hh_tes_in!Q24=0,0,11630*1000*SER_hh_tes_in!Q24/SER_hh_num_in!Q24)</f>
        <v>32553.752045969297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0</v>
      </c>
      <c r="F25" s="133">
        <f>IF(SER_hh_tes_in!F25=0,0,11630*1000*SER_hh_tes_in!F25/SER_hh_num_in!F25)</f>
        <v>0</v>
      </c>
      <c r="G25" s="133">
        <f>IF(SER_hh_tes_in!G25=0,0,11630*1000*SER_hh_tes_in!G25/SER_hh_num_in!G25)</f>
        <v>30378.837211982598</v>
      </c>
      <c r="H25" s="133">
        <f>IF(SER_hh_tes_in!H25=0,0,11630*1000*SER_hh_tes_in!H25/SER_hh_num_in!H25)</f>
        <v>27823.844155952625</v>
      </c>
      <c r="I25" s="133">
        <f>IF(SER_hh_tes_in!I25=0,0,11630*1000*SER_hh_tes_in!I25/SER_hh_num_in!I25)</f>
        <v>26348.689750023561</v>
      </c>
      <c r="J25" s="133">
        <f>IF(SER_hh_tes_in!J25=0,0,11630*1000*SER_hh_tes_in!J25/SER_hh_num_in!J25)</f>
        <v>30441.953903204274</v>
      </c>
      <c r="K25" s="133">
        <f>IF(SER_hh_tes_in!K25=0,0,11630*1000*SER_hh_tes_in!K25/SER_hh_num_in!K25)</f>
        <v>28180.888884750377</v>
      </c>
      <c r="L25" s="133">
        <f>IF(SER_hh_tes_in!L25=0,0,11630*1000*SER_hh_tes_in!L25/SER_hh_num_in!L25)</f>
        <v>26749.116005781245</v>
      </c>
      <c r="M25" s="133">
        <f>IF(SER_hh_tes_in!M25=0,0,11630*1000*SER_hh_tes_in!M25/SER_hh_num_in!M25)</f>
        <v>28149.715403031722</v>
      </c>
      <c r="N25" s="133">
        <f>IF(SER_hh_tes_in!N25=0,0,11630*1000*SER_hh_tes_in!N25/SER_hh_num_in!N25)</f>
        <v>28885.819242310467</v>
      </c>
      <c r="O25" s="133">
        <f>IF(SER_hh_tes_in!O25=0,0,11630*1000*SER_hh_tes_in!O25/SER_hh_num_in!O25)</f>
        <v>29504.41603409317</v>
      </c>
      <c r="P25" s="133">
        <f>IF(SER_hh_tes_in!P25=0,0,11630*1000*SER_hh_tes_in!P25/SER_hh_num_in!P25)</f>
        <v>27685.847548505906</v>
      </c>
      <c r="Q25" s="133">
        <f>IF(SER_hh_tes_in!Q25=0,0,11630*1000*SER_hh_tes_in!Q25/SER_hh_num_in!Q25)</f>
        <v>28911.744299991507</v>
      </c>
      <c r="R25" s="133">
        <f>IF(SER_hh_tes_in!R25=0,0,11630*1000*SER_hh_tes_in!R25/SER_hh_num_in!R25)</f>
        <v>29575.740054751448</v>
      </c>
      <c r="S25" s="133">
        <f>IF(SER_hh_tes_in!S25=0,0,11630*1000*SER_hh_tes_in!S25/SER_hh_num_in!S25)</f>
        <v>0</v>
      </c>
      <c r="T25" s="133">
        <f>IF(SER_hh_tes_in!T25=0,0,11630*1000*SER_hh_tes_in!T25/SER_hh_num_in!T25)</f>
        <v>0</v>
      </c>
      <c r="U25" s="133">
        <f>IF(SER_hh_tes_in!U25=0,0,11630*1000*SER_hh_tes_in!U25/SER_hh_num_in!U25)</f>
        <v>26167.940928987475</v>
      </c>
      <c r="V25" s="133">
        <f>IF(SER_hh_tes_in!V25=0,0,11630*1000*SER_hh_tes_in!V25/SER_hh_num_in!V25)</f>
        <v>26217.990780912245</v>
      </c>
      <c r="W25" s="133">
        <f>IF(SER_hh_tes_in!W25=0,0,11630*1000*SER_hh_tes_in!W25/SER_hh_num_in!W25)</f>
        <v>26430.690741776169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48351.07261087103</v>
      </c>
      <c r="D26" s="65">
        <f>IF(SER_hh_tes_in!D26=0,0,11630*1000*SER_hh_tes_in!D26/SER_hh_num_in!D26)</f>
        <v>4432.2487356097727</v>
      </c>
      <c r="E26" s="65">
        <f>IF(SER_hh_tes_in!E26=0,0,11630*1000*SER_hh_tes_in!E26/SER_hh_num_in!E26)</f>
        <v>28840.587390861474</v>
      </c>
      <c r="F26" s="65">
        <f>IF(SER_hh_tes_in!F26=0,0,11630*1000*SER_hh_tes_in!F26/SER_hh_num_in!F26)</f>
        <v>28902.138870052728</v>
      </c>
      <c r="G26" s="65">
        <f>IF(SER_hh_tes_in!G26=0,0,11630*1000*SER_hh_tes_in!G26/SER_hh_num_in!G26)</f>
        <v>26460.28761258024</v>
      </c>
      <c r="H26" s="65">
        <f>IF(SER_hh_tes_in!H26=0,0,11630*1000*SER_hh_tes_in!H26/SER_hh_num_in!H26)</f>
        <v>26896.265865789614</v>
      </c>
      <c r="I26" s="65">
        <f>IF(SER_hh_tes_in!I26=0,0,11630*1000*SER_hh_tes_in!I26/SER_hh_num_in!I26)</f>
        <v>31610.112481989185</v>
      </c>
      <c r="J26" s="65">
        <f>IF(SER_hh_tes_in!J26=0,0,11630*1000*SER_hh_tes_in!J26/SER_hh_num_in!J26)</f>
        <v>33412.747324218471</v>
      </c>
      <c r="K26" s="65">
        <f>IF(SER_hh_tes_in!K26=0,0,11630*1000*SER_hh_tes_in!K26/SER_hh_num_in!K26)</f>
        <v>0</v>
      </c>
      <c r="L26" s="65">
        <f>IF(SER_hh_tes_in!L26=0,0,11630*1000*SER_hh_tes_in!L26/SER_hh_num_in!L26)</f>
        <v>0</v>
      </c>
      <c r="M26" s="65">
        <f>IF(SER_hh_tes_in!M26=0,0,11630*1000*SER_hh_tes_in!M26/SER_hh_num_in!M26)</f>
        <v>30715.181391406441</v>
      </c>
      <c r="N26" s="65">
        <f>IF(SER_hh_tes_in!N26=0,0,11630*1000*SER_hh_tes_in!N26/SER_hh_num_in!N26)</f>
        <v>26939.194253348171</v>
      </c>
      <c r="O26" s="65">
        <f>IF(SER_hh_tes_in!O26=0,0,11630*1000*SER_hh_tes_in!O26/SER_hh_num_in!O26)</f>
        <v>27759.233187452559</v>
      </c>
      <c r="P26" s="65">
        <f>IF(SER_hh_tes_in!P26=0,0,11630*1000*SER_hh_tes_in!P26/SER_hh_num_in!P26)</f>
        <v>29231.048635577208</v>
      </c>
      <c r="Q26" s="65">
        <f>IF(SER_hh_tes_in!Q26=0,0,11630*1000*SER_hh_tes_in!Q26/SER_hh_num_in!Q26)</f>
        <v>29537.697339223225</v>
      </c>
      <c r="R26" s="65">
        <f>IF(SER_hh_tes_in!R26=0,0,11630*1000*SER_hh_tes_in!R26/SER_hh_num_in!R26)</f>
        <v>30241.112800177707</v>
      </c>
      <c r="S26" s="65">
        <f>IF(SER_hh_tes_in!S26=0,0,11630*1000*SER_hh_tes_in!S26/SER_hh_num_in!S26)</f>
        <v>26733.156396398146</v>
      </c>
      <c r="T26" s="65">
        <f>IF(SER_hh_tes_in!T26=0,0,11630*1000*SER_hh_tes_in!T26/SER_hh_num_in!T26)</f>
        <v>27755.54503961328</v>
      </c>
      <c r="U26" s="65">
        <f>IF(SER_hh_tes_in!U26=0,0,11630*1000*SER_hh_tes_in!U26/SER_hh_num_in!U26)</f>
        <v>26742.531844169454</v>
      </c>
      <c r="V26" s="65">
        <f>IF(SER_hh_tes_in!V26=0,0,11630*1000*SER_hh_tes_in!V26/SER_hh_num_in!V26)</f>
        <v>24538.337553255427</v>
      </c>
      <c r="W26" s="65">
        <f>IF(SER_hh_tes_in!W26=0,0,11630*1000*SER_hh_tes_in!W26/SER_hh_num_in!W26)</f>
        <v>20312.884706143657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174.79949436249291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198.31337410055832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425.00602017304163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1.3895086435097689E-14</v>
      </c>
      <c r="R27" s="146">
        <f>IF(SER_hh_tes_in!R27=0,0,11630*1000*SER_hh_tes_in!R27/SER_hh_num_in!R19)</f>
        <v>2.5655014415329605E-5</v>
      </c>
      <c r="S27" s="146">
        <f>IF(SER_hh_tes_in!S27=0,0,11630*1000*SER_hh_tes_in!S27/SER_hh_num_in!S19)</f>
        <v>125.93402130624476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59.89408378118604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2172.0044095748781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23011.696159592764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21585.684995684154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30070.007636892798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28766.890115859835</v>
      </c>
      <c r="R28" s="147">
        <f>IF(SER_hh_tes_in!R27=0,0,11630*1000*SER_hh_tes_in!R27/SER_hh_num_in!R27)</f>
        <v>27543.206503097481</v>
      </c>
      <c r="S28" s="147">
        <f>IF(SER_hh_tes_in!S27=0,0,11630*1000*SER_hh_tes_in!S27/SER_hh_num_in!S27)</f>
        <v>23363.729585651341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22136.048333131486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23682.080244947967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32644.665261474707</v>
      </c>
      <c r="D29" s="131">
        <f>IF(SER_hh_tes_in!D29=0,0,11630*1000*SER_hh_tes_in!D29/SER_hh_num_in!D29)</f>
        <v>15688.526654526087</v>
      </c>
      <c r="E29" s="131">
        <f>IF(SER_hh_tes_in!E29=0,0,11630*1000*SER_hh_tes_in!E29/SER_hh_num_in!E29)</f>
        <v>31497.429348750455</v>
      </c>
      <c r="F29" s="131">
        <f>IF(SER_hh_tes_in!F29=0,0,11630*1000*SER_hh_tes_in!F29/SER_hh_num_in!F29)</f>
        <v>44017.72393090171</v>
      </c>
      <c r="G29" s="131">
        <f>IF(SER_hh_tes_in!G29=0,0,11630*1000*SER_hh_tes_in!G29/SER_hh_num_in!G29)</f>
        <v>37855.57896178215</v>
      </c>
      <c r="H29" s="131">
        <f>IF(SER_hh_tes_in!H29=0,0,11630*1000*SER_hh_tes_in!H29/SER_hh_num_in!H29)</f>
        <v>38656.827761422814</v>
      </c>
      <c r="I29" s="131">
        <f>IF(SER_hh_tes_in!I29=0,0,11630*1000*SER_hh_tes_in!I29/SER_hh_num_in!I29)</f>
        <v>23666.321347372155</v>
      </c>
      <c r="J29" s="131">
        <f>IF(SER_hh_tes_in!J29=0,0,11630*1000*SER_hh_tes_in!J29/SER_hh_num_in!J29)</f>
        <v>48146.90653540504</v>
      </c>
      <c r="K29" s="131">
        <f>IF(SER_hh_tes_in!K29=0,0,11630*1000*SER_hh_tes_in!K29/SER_hh_num_in!K29)</f>
        <v>44665.822903766028</v>
      </c>
      <c r="L29" s="131">
        <f>IF(SER_hh_tes_in!L29=0,0,11630*1000*SER_hh_tes_in!L29/SER_hh_num_in!L29)</f>
        <v>41009.463156612837</v>
      </c>
      <c r="M29" s="131">
        <f>IF(SER_hh_tes_in!M29=0,0,11630*1000*SER_hh_tes_in!M29/SER_hh_num_in!M29)</f>
        <v>41890.068280020947</v>
      </c>
      <c r="N29" s="131">
        <f>IF(SER_hh_tes_in!N29=0,0,11630*1000*SER_hh_tes_in!N29/SER_hh_num_in!N29)</f>
        <v>41998.424972022622</v>
      </c>
      <c r="O29" s="131">
        <f>IF(SER_hh_tes_in!O29=0,0,11630*1000*SER_hh_tes_in!O29/SER_hh_num_in!O29)</f>
        <v>43383.36666033596</v>
      </c>
      <c r="P29" s="131">
        <f>IF(SER_hh_tes_in!P29=0,0,11630*1000*SER_hh_tes_in!P29/SER_hh_num_in!P29)</f>
        <v>43552.612564603711</v>
      </c>
      <c r="Q29" s="131">
        <f>IF(SER_hh_tes_in!Q29=0,0,11630*1000*SER_hh_tes_in!Q29/SER_hh_num_in!Q29)</f>
        <v>44737.614812769687</v>
      </c>
      <c r="R29" s="131">
        <f>IF(SER_hh_tes_in!R29=0,0,11630*1000*SER_hh_tes_in!R29/SER_hh_num_in!R29)</f>
        <v>42734.033776130898</v>
      </c>
      <c r="S29" s="131">
        <f>IF(SER_hh_tes_in!S29=0,0,11630*1000*SER_hh_tes_in!S29/SER_hh_num_in!S29)</f>
        <v>42014.698601071839</v>
      </c>
      <c r="T29" s="131">
        <f>IF(SER_hh_tes_in!T29=0,0,11630*1000*SER_hh_tes_in!T29/SER_hh_num_in!T29)</f>
        <v>42386.573141608504</v>
      </c>
      <c r="U29" s="131">
        <f>IF(SER_hh_tes_in!U29=0,0,11630*1000*SER_hh_tes_in!U29/SER_hh_num_in!U29)</f>
        <v>42680.240465979645</v>
      </c>
      <c r="V29" s="131">
        <f>IF(SER_hh_tes_in!V29=0,0,11630*1000*SER_hh_tes_in!V29/SER_hh_num_in!V29)</f>
        <v>38499.925602666182</v>
      </c>
      <c r="W29" s="131">
        <f>IF(SER_hh_tes_in!W29=0,0,11630*1000*SER_hh_tes_in!W29/SER_hh_num_in!W29)</f>
        <v>41427.772646856341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22544.753646718487</v>
      </c>
      <c r="D30" s="133">
        <f>IF(SER_hh_tes_in!D30=0,0,11630*1000*SER_hh_tes_in!D30/SER_hh_num_in!D30)</f>
        <v>9957.4319349731104</v>
      </c>
      <c r="E30" s="133">
        <f>IF(SER_hh_tes_in!E30=0,0,11630*1000*SER_hh_tes_in!E30/SER_hh_num_in!E30)</f>
        <v>29900.215406339408</v>
      </c>
      <c r="F30" s="133">
        <f>IF(SER_hh_tes_in!F30=0,0,11630*1000*SER_hh_tes_in!F30/SER_hh_num_in!F30)</f>
        <v>45621.45916969551</v>
      </c>
      <c r="G30" s="133">
        <f>IF(SER_hh_tes_in!G30=0,0,11630*1000*SER_hh_tes_in!G30/SER_hh_num_in!G30)</f>
        <v>55031.273042770714</v>
      </c>
      <c r="H30" s="133">
        <f>IF(SER_hh_tes_in!H30=0,0,11630*1000*SER_hh_tes_in!H30/SER_hh_num_in!H30)</f>
        <v>22812.301632426716</v>
      </c>
      <c r="I30" s="133">
        <f>IF(SER_hh_tes_in!I30=0,0,11630*1000*SER_hh_tes_in!I30/SER_hh_num_in!I30)</f>
        <v>69858.374888772189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0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40037.111227248119</v>
      </c>
      <c r="O30" s="133">
        <f>IF(SER_hh_tes_in!O30=0,0,11630*1000*SER_hh_tes_in!O30/SER_hh_num_in!O30)</f>
        <v>40501.721943658282</v>
      </c>
      <c r="P30" s="133">
        <f>IF(SER_hh_tes_in!P30=0,0,11630*1000*SER_hh_tes_in!P30/SER_hh_num_in!P30)</f>
        <v>43929.662749543269</v>
      </c>
      <c r="Q30" s="133">
        <f>IF(SER_hh_tes_in!Q30=0,0,11630*1000*SER_hh_tes_in!Q30/SER_hh_num_in!Q30)</f>
        <v>48708.941803995651</v>
      </c>
      <c r="R30" s="133">
        <f>IF(SER_hh_tes_in!R30=0,0,11630*1000*SER_hh_tes_in!R30/SER_hh_num_in!R30)</f>
        <v>42993.525815927052</v>
      </c>
      <c r="S30" s="133">
        <f>IF(SER_hh_tes_in!S30=0,0,11630*1000*SER_hh_tes_in!S30/SER_hh_num_in!S30)</f>
        <v>41740.676699066447</v>
      </c>
      <c r="T30" s="133">
        <f>IF(SER_hh_tes_in!T30=0,0,11630*1000*SER_hh_tes_in!T30/SER_hh_num_in!T30)</f>
        <v>42887.502735046328</v>
      </c>
      <c r="U30" s="133">
        <f>IF(SER_hh_tes_in!U30=0,0,11630*1000*SER_hh_tes_in!U30/SER_hh_num_in!U30)</f>
        <v>42670.82730057001</v>
      </c>
      <c r="V30" s="133">
        <f>IF(SER_hh_tes_in!V30=0,0,11630*1000*SER_hh_tes_in!V30/SER_hh_num_in!V30)</f>
        <v>39288.682949125126</v>
      </c>
      <c r="W30" s="133">
        <f>IF(SER_hh_tes_in!W30=0,0,11630*1000*SER_hh_tes_in!W30/SER_hh_num_in!W30)</f>
        <v>40256.846419039692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34078.703183050631</v>
      </c>
      <c r="D31" s="133">
        <f>IF(SER_hh_tes_in!D31=0,0,11630*1000*SER_hh_tes_in!D31/SER_hh_num_in!D31)</f>
        <v>19700.811678704227</v>
      </c>
      <c r="E31" s="133">
        <f>IF(SER_hh_tes_in!E31=0,0,11630*1000*SER_hh_tes_in!E31/SER_hh_num_in!E31)</f>
        <v>32329.738999113546</v>
      </c>
      <c r="F31" s="133">
        <f>IF(SER_hh_tes_in!F31=0,0,11630*1000*SER_hh_tes_in!F31/SER_hh_num_in!F31)</f>
        <v>43136.988949876017</v>
      </c>
      <c r="G31" s="133">
        <f>IF(SER_hh_tes_in!G31=0,0,11630*1000*SER_hh_tes_in!G31/SER_hh_num_in!G31)</f>
        <v>35100.163867577903</v>
      </c>
      <c r="H31" s="133">
        <f>IF(SER_hh_tes_in!H31=0,0,11630*1000*SER_hh_tes_in!H31/SER_hh_num_in!H31)</f>
        <v>48130.312873353614</v>
      </c>
      <c r="I31" s="133">
        <f>IF(SER_hh_tes_in!I31=0,0,11630*1000*SER_hh_tes_in!I31/SER_hh_num_in!I31)</f>
        <v>36507.70967913248</v>
      </c>
      <c r="J31" s="133">
        <f>IF(SER_hh_tes_in!J31=0,0,11630*1000*SER_hh_tes_in!J31/SER_hh_num_in!J31)</f>
        <v>39786.105080506262</v>
      </c>
      <c r="K31" s="133">
        <f>IF(SER_hh_tes_in!K31=0,0,11630*1000*SER_hh_tes_in!K31/SER_hh_num_in!K31)</f>
        <v>41491.387611122227</v>
      </c>
      <c r="L31" s="133">
        <f>IF(SER_hh_tes_in!L31=0,0,11630*1000*SER_hh_tes_in!L31/SER_hh_num_in!L31)</f>
        <v>41556.766275869901</v>
      </c>
      <c r="M31" s="133">
        <f>IF(SER_hh_tes_in!M31=0,0,11630*1000*SER_hh_tes_in!M31/SER_hh_num_in!M31)</f>
        <v>41751.872323745847</v>
      </c>
      <c r="N31" s="133">
        <f>IF(SER_hh_tes_in!N31=0,0,11630*1000*SER_hh_tes_in!N31/SER_hh_num_in!N31)</f>
        <v>41647.632102619864</v>
      </c>
      <c r="O31" s="133">
        <f>IF(SER_hh_tes_in!O31=0,0,11630*1000*SER_hh_tes_in!O31/SER_hh_num_in!O31)</f>
        <v>42833.459814511429</v>
      </c>
      <c r="P31" s="133">
        <f>IF(SER_hh_tes_in!P31=0,0,11630*1000*SER_hh_tes_in!P31/SER_hh_num_in!P31)</f>
        <v>42251.973384686025</v>
      </c>
      <c r="Q31" s="133">
        <f>IF(SER_hh_tes_in!Q31=0,0,11630*1000*SER_hh_tes_in!Q31/SER_hh_num_in!Q31)</f>
        <v>44193.329619340926</v>
      </c>
      <c r="R31" s="133">
        <f>IF(SER_hh_tes_in!R31=0,0,11630*1000*SER_hh_tes_in!R31/SER_hh_num_in!R31)</f>
        <v>41893.002028311916</v>
      </c>
      <c r="S31" s="133">
        <f>IF(SER_hh_tes_in!S31=0,0,11630*1000*SER_hh_tes_in!S31/SER_hh_num_in!S31)</f>
        <v>43705.859284210928</v>
      </c>
      <c r="T31" s="133">
        <f>IF(SER_hh_tes_in!T31=0,0,11630*1000*SER_hh_tes_in!T31/SER_hh_num_in!T31)</f>
        <v>42153.690690585805</v>
      </c>
      <c r="U31" s="133">
        <f>IF(SER_hh_tes_in!U31=0,0,11630*1000*SER_hh_tes_in!U31/SER_hh_num_in!U31)</f>
        <v>42118.542491588763</v>
      </c>
      <c r="V31" s="133">
        <f>IF(SER_hh_tes_in!V31=0,0,11630*1000*SER_hh_tes_in!V31/SER_hh_num_in!V31)</f>
        <v>39601.056802827123</v>
      </c>
      <c r="W31" s="133">
        <f>IF(SER_hh_tes_in!W31=0,0,11630*1000*SER_hh_tes_in!W31/SER_hh_num_in!W31)</f>
        <v>40838.710952918627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37240.767915728531</v>
      </c>
      <c r="D33" s="68">
        <f>IF(SER_hh_tes_in!D33=0,0,11630*1000*SER_hh_tes_in!D33/SER_hh_num_in!D33)</f>
        <v>0</v>
      </c>
      <c r="E33" s="68">
        <f>IF(SER_hh_tes_in!E33=0,0,11630*1000*SER_hh_tes_in!E33/SER_hh_num_in!E33)</f>
        <v>0</v>
      </c>
      <c r="F33" s="68">
        <f>IF(SER_hh_tes_in!F33=0,0,11630*1000*SER_hh_tes_in!F33/SER_hh_num_in!F33)</f>
        <v>0</v>
      </c>
      <c r="G33" s="68">
        <f>IF(SER_hh_tes_in!G33=0,0,11630*1000*SER_hh_tes_in!G33/SER_hh_num_in!G33)</f>
        <v>0</v>
      </c>
      <c r="H33" s="68">
        <f>IF(SER_hh_tes_in!H33=0,0,11630*1000*SER_hh_tes_in!H33/SER_hh_num_in!H33)</f>
        <v>33479.542020663568</v>
      </c>
      <c r="I33" s="68">
        <f>IF(SER_hh_tes_in!I33=0,0,11630*1000*SER_hh_tes_in!I33/SER_hh_num_in!I33)</f>
        <v>19292.765776691533</v>
      </c>
      <c r="J33" s="68">
        <f>IF(SER_hh_tes_in!J33=0,0,11630*1000*SER_hh_tes_in!J33/SER_hh_num_in!J33)</f>
        <v>48509.179376530919</v>
      </c>
      <c r="K33" s="68">
        <f>IF(SER_hh_tes_in!K33=0,0,11630*1000*SER_hh_tes_in!K33/SER_hh_num_in!K33)</f>
        <v>44937.472914700971</v>
      </c>
      <c r="L33" s="68">
        <f>IF(SER_hh_tes_in!L33=0,0,11630*1000*SER_hh_tes_in!L33/SER_hh_num_in!L33)</f>
        <v>40875.765665586601</v>
      </c>
      <c r="M33" s="68">
        <f>IF(SER_hh_tes_in!M33=0,0,11630*1000*SER_hh_tes_in!M33/SER_hh_num_in!M33)</f>
        <v>41944.995640802379</v>
      </c>
      <c r="N33" s="68">
        <f>IF(SER_hh_tes_in!N33=0,0,11630*1000*SER_hh_tes_in!N33/SER_hh_num_in!N33)</f>
        <v>42397.985579580767</v>
      </c>
      <c r="O33" s="68">
        <f>IF(SER_hh_tes_in!O33=0,0,11630*1000*SER_hh_tes_in!O33/SER_hh_num_in!O33)</f>
        <v>44313.007084072502</v>
      </c>
      <c r="P33" s="68">
        <f>IF(SER_hh_tes_in!P33=0,0,11630*1000*SER_hh_tes_in!P33/SER_hh_num_in!P33)</f>
        <v>44943.007281540697</v>
      </c>
      <c r="Q33" s="68">
        <f>IF(SER_hh_tes_in!Q33=0,0,11630*1000*SER_hh_tes_in!Q33/SER_hh_num_in!Q33)</f>
        <v>43896.060745680436</v>
      </c>
      <c r="R33" s="68">
        <f>IF(SER_hh_tes_in!R33=0,0,11630*1000*SER_hh_tes_in!R33/SER_hh_num_in!R33)</f>
        <v>43612.977508300028</v>
      </c>
      <c r="S33" s="68">
        <f>IF(SER_hh_tes_in!S33=0,0,11630*1000*SER_hh_tes_in!S33/SER_hh_num_in!S33)</f>
        <v>40785.733126307277</v>
      </c>
      <c r="T33" s="68">
        <f>IF(SER_hh_tes_in!T33=0,0,11630*1000*SER_hh_tes_in!T33/SER_hh_num_in!T33)</f>
        <v>42460.074141469522</v>
      </c>
      <c r="U33" s="68">
        <f>IF(SER_hh_tes_in!U33=0,0,11630*1000*SER_hh_tes_in!U33/SER_hh_num_in!U33)</f>
        <v>42848.115097547074</v>
      </c>
      <c r="V33" s="68">
        <f>IF(SER_hh_tes_in!V33=0,0,11630*1000*SER_hh_tes_in!V33/SER_hh_num_in!V33)</f>
        <v>38125.086074606952</v>
      </c>
      <c r="W33" s="68">
        <f>IF(SER_hh_tes_in!W33=0,0,11630*1000*SER_hh_tes_in!W33/SER_hh_num_in!W33)</f>
        <v>41637.509889888344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45154.30792701825</v>
      </c>
      <c r="D3" s="126">
        <f>IF(SER_hh_emi_in!D3=0,0,1000000*SER_hh_emi_in!D3/SER_hh_num_in!D3)</f>
        <v>45550.516300073432</v>
      </c>
      <c r="E3" s="126">
        <f>IF(SER_hh_emi_in!E3=0,0,1000000*SER_hh_emi_in!E3/SER_hh_num_in!E3)</f>
        <v>70367.701088052883</v>
      </c>
      <c r="F3" s="126">
        <f>IF(SER_hh_emi_in!F3=0,0,1000000*SER_hh_emi_in!F3/SER_hh_num_in!F3)</f>
        <v>88347.616989927905</v>
      </c>
      <c r="G3" s="126">
        <f>IF(SER_hh_emi_in!G3=0,0,1000000*SER_hh_emi_in!G3/SER_hh_num_in!G3)</f>
        <v>60942.212042819556</v>
      </c>
      <c r="H3" s="126">
        <f>IF(SER_hh_emi_in!H3=0,0,1000000*SER_hh_emi_in!H3/SER_hh_num_in!H3)</f>
        <v>114876.58150774745</v>
      </c>
      <c r="I3" s="126">
        <f>IF(SER_hh_emi_in!I3=0,0,1000000*SER_hh_emi_in!I3/SER_hh_num_in!I3)</f>
        <v>25317.020464216701</v>
      </c>
      <c r="J3" s="126">
        <f>IF(SER_hh_emi_in!J3=0,0,1000000*SER_hh_emi_in!J3/SER_hh_num_in!J3)</f>
        <v>19326.53753359288</v>
      </c>
      <c r="K3" s="126">
        <f>IF(SER_hh_emi_in!K3=0,0,1000000*SER_hh_emi_in!K3/SER_hh_num_in!K3)</f>
        <v>25001.041323048004</v>
      </c>
      <c r="L3" s="126">
        <f>IF(SER_hh_emi_in!L3=0,0,1000000*SER_hh_emi_in!L3/SER_hh_num_in!L3)</f>
        <v>25939.894283289123</v>
      </c>
      <c r="M3" s="126">
        <f>IF(SER_hh_emi_in!M3=0,0,1000000*SER_hh_emi_in!M3/SER_hh_num_in!M3)</f>
        <v>35639.110710808272</v>
      </c>
      <c r="N3" s="126">
        <f>IF(SER_hh_emi_in!N3=0,0,1000000*SER_hh_emi_in!N3/SER_hh_num_in!N3)</f>
        <v>30751.334267734255</v>
      </c>
      <c r="O3" s="126">
        <f>IF(SER_hh_emi_in!O3=0,0,1000000*SER_hh_emi_in!O3/SER_hh_num_in!O3)</f>
        <v>33732.621591428215</v>
      </c>
      <c r="P3" s="126">
        <f>IF(SER_hh_emi_in!P3=0,0,1000000*SER_hh_emi_in!P3/SER_hh_num_in!P3)</f>
        <v>36782.030203159033</v>
      </c>
      <c r="Q3" s="126">
        <f>IF(SER_hh_emi_in!Q3=0,0,1000000*SER_hh_emi_in!Q3/SER_hh_num_in!Q3)</f>
        <v>34465.530888519432</v>
      </c>
      <c r="R3" s="126">
        <f>IF(SER_hh_emi_in!R3=0,0,1000000*SER_hh_emi_in!R3/SER_hh_num_in!R3)</f>
        <v>32749.337314543307</v>
      </c>
      <c r="S3" s="126">
        <f>IF(SER_hh_emi_in!S3=0,0,1000000*SER_hh_emi_in!S3/SER_hh_num_in!S3)</f>
        <v>35840.546484075698</v>
      </c>
      <c r="T3" s="126">
        <f>IF(SER_hh_emi_in!T3=0,0,1000000*SER_hh_emi_in!T3/SER_hh_num_in!T3)</f>
        <v>33237.501861385506</v>
      </c>
      <c r="U3" s="126">
        <f>IF(SER_hh_emi_in!U3=0,0,1000000*SER_hh_emi_in!U3/SER_hh_num_in!U3)</f>
        <v>28847.601633939201</v>
      </c>
      <c r="V3" s="126">
        <f>IF(SER_hh_emi_in!V3=0,0,1000000*SER_hh_emi_in!V3/SER_hh_num_in!V3)</f>
        <v>22766.448447690305</v>
      </c>
      <c r="W3" s="126">
        <f>IF(SER_hh_emi_in!W3=0,0,1000000*SER_hh_emi_in!W3/SER_hh_num_in!W3)</f>
        <v>25297.569771831928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36599.606301997992</v>
      </c>
      <c r="D4" s="131">
        <f>IF(SER_hh_emi_in!D4=0,0,1000000*SER_hh_emi_in!D4/SER_hh_num_in!D4)</f>
        <v>35217.038888638701</v>
      </c>
      <c r="E4" s="131">
        <f>IF(SER_hh_emi_in!E4=0,0,1000000*SER_hh_emi_in!E4/SER_hh_num_in!E4)</f>
        <v>56187.143161963526</v>
      </c>
      <c r="F4" s="131">
        <f>IF(SER_hh_emi_in!F4=0,0,1000000*SER_hh_emi_in!F4/SER_hh_num_in!F4)</f>
        <v>64076.984243378152</v>
      </c>
      <c r="G4" s="131">
        <f>IF(SER_hh_emi_in!G4=0,0,1000000*SER_hh_emi_in!G4/SER_hh_num_in!G4)</f>
        <v>42746.600186080752</v>
      </c>
      <c r="H4" s="131">
        <f>IF(SER_hh_emi_in!H4=0,0,1000000*SER_hh_emi_in!H4/SER_hh_num_in!H4)</f>
        <v>103099.24766515367</v>
      </c>
      <c r="I4" s="131">
        <f>IF(SER_hh_emi_in!I4=0,0,1000000*SER_hh_emi_in!I4/SER_hh_num_in!I4)</f>
        <v>22257.828306486979</v>
      </c>
      <c r="J4" s="131">
        <f>IF(SER_hh_emi_in!J4=0,0,1000000*SER_hh_emi_in!J4/SER_hh_num_in!J4)</f>
        <v>15897.250366273198</v>
      </c>
      <c r="K4" s="131">
        <f>IF(SER_hh_emi_in!K4=0,0,1000000*SER_hh_emi_in!K4/SER_hh_num_in!K4)</f>
        <v>18107.293861575938</v>
      </c>
      <c r="L4" s="131">
        <f>IF(SER_hh_emi_in!L4=0,0,1000000*SER_hh_emi_in!L4/SER_hh_num_in!L4)</f>
        <v>17648.549023688014</v>
      </c>
      <c r="M4" s="131">
        <f>IF(SER_hh_emi_in!M4=0,0,1000000*SER_hh_emi_in!M4/SER_hh_num_in!M4)</f>
        <v>28346.773252758885</v>
      </c>
      <c r="N4" s="131">
        <f>IF(SER_hh_emi_in!N4=0,0,1000000*SER_hh_emi_in!N4/SER_hh_num_in!N4)</f>
        <v>20977.706439765228</v>
      </c>
      <c r="O4" s="131">
        <f>IF(SER_hh_emi_in!O4=0,0,1000000*SER_hh_emi_in!O4/SER_hh_num_in!O4)</f>
        <v>20765.689423177027</v>
      </c>
      <c r="P4" s="131">
        <f>IF(SER_hh_emi_in!P4=0,0,1000000*SER_hh_emi_in!P4/SER_hh_num_in!P4)</f>
        <v>20758.219917532366</v>
      </c>
      <c r="Q4" s="131">
        <f>IF(SER_hh_emi_in!Q4=0,0,1000000*SER_hh_emi_in!Q4/SER_hh_num_in!Q4)</f>
        <v>17421.551075248961</v>
      </c>
      <c r="R4" s="131">
        <f>IF(SER_hh_emi_in!R4=0,0,1000000*SER_hh_emi_in!R4/SER_hh_num_in!R4)</f>
        <v>17476.934484707224</v>
      </c>
      <c r="S4" s="131">
        <f>IF(SER_hh_emi_in!S4=0,0,1000000*SER_hh_emi_in!S4/SER_hh_num_in!S4)</f>
        <v>21832.766684951712</v>
      </c>
      <c r="T4" s="131">
        <f>IF(SER_hh_emi_in!T4=0,0,1000000*SER_hh_emi_in!T4/SER_hh_num_in!T4)</f>
        <v>22684.141817163207</v>
      </c>
      <c r="U4" s="131">
        <f>IF(SER_hh_emi_in!U4=0,0,1000000*SER_hh_emi_in!U4/SER_hh_num_in!U4)</f>
        <v>20052.763648381231</v>
      </c>
      <c r="V4" s="131">
        <f>IF(SER_hh_emi_in!V4=0,0,1000000*SER_hh_emi_in!V4/SER_hh_num_in!V4)</f>
        <v>14550.095982622433</v>
      </c>
      <c r="W4" s="131">
        <f>IF(SER_hh_emi_in!W4=0,0,1000000*SER_hh_emi_in!W4/SER_hh_num_in!W4)</f>
        <v>15717.307404464393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131003.38654513996</v>
      </c>
      <c r="D5" s="133">
        <f>IF(SER_hh_emi_in!D5=0,0,1000000*SER_hh_emi_in!D5/SER_hh_num_in!D5)</f>
        <v>80752.543764977483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224041.34469835871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76292.182557360327</v>
      </c>
      <c r="M5" s="133">
        <f>IF(SER_hh_emi_in!M5=0,0,1000000*SER_hh_emi_in!M5/SER_hh_num_in!M5)</f>
        <v>77244.89950530637</v>
      </c>
      <c r="N5" s="133">
        <f>IF(SER_hh_emi_in!N5=0,0,1000000*SER_hh_emi_in!N5/SER_hh_num_in!N5)</f>
        <v>43139.031192767266</v>
      </c>
      <c r="O5" s="133">
        <f>IF(SER_hh_emi_in!O5=0,0,1000000*SER_hh_emi_in!O5/SER_hh_num_in!O5)</f>
        <v>65595.711210249545</v>
      </c>
      <c r="P5" s="133">
        <f>IF(SER_hh_emi_in!P5=0,0,1000000*SER_hh_emi_in!P5/SER_hh_num_in!P5)</f>
        <v>39287.375546635172</v>
      </c>
      <c r="Q5" s="133">
        <f>IF(SER_hh_emi_in!Q5=0,0,1000000*SER_hh_emi_in!Q5/SER_hh_num_in!Q5)</f>
        <v>39041.565501057237</v>
      </c>
      <c r="R5" s="133">
        <f>IF(SER_hh_emi_in!R5=0,0,1000000*SER_hh_emi_in!R5/SER_hh_num_in!R5)</f>
        <v>65070.292390289411</v>
      </c>
      <c r="S5" s="133">
        <f>IF(SER_hh_emi_in!S5=0,0,1000000*SER_hh_emi_in!S5/SER_hh_num_in!S5)</f>
        <v>0</v>
      </c>
      <c r="T5" s="133">
        <f>IF(SER_hh_emi_in!T5=0,0,1000000*SER_hh_emi_in!T5/SER_hh_num_in!T5)</f>
        <v>55854.293521059575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60423.704019608405</v>
      </c>
      <c r="D7" s="133">
        <f>IF(SER_hh_emi_in!D7=0,0,1000000*SER_hh_emi_in!D7/SER_hh_num_in!D7)</f>
        <v>65652.711051056933</v>
      </c>
      <c r="E7" s="133">
        <f>IF(SER_hh_emi_in!E7=0,0,1000000*SER_hh_emi_in!E7/SER_hh_num_in!E7)</f>
        <v>57529.224523863319</v>
      </c>
      <c r="F7" s="133">
        <f>IF(SER_hh_emi_in!F7=0,0,1000000*SER_hh_emi_in!F7/SER_hh_num_in!F7)</f>
        <v>97700.972534209155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41687.210429897117</v>
      </c>
      <c r="M7" s="133">
        <f>IF(SER_hh_emi_in!M7=0,0,1000000*SER_hh_emi_in!M7/SER_hh_num_in!M7)</f>
        <v>69958.79623342678</v>
      </c>
      <c r="N7" s="133">
        <f>IF(SER_hh_emi_in!N7=0,0,1000000*SER_hh_emi_in!N7/SER_hh_num_in!N7)</f>
        <v>52277.351493784467</v>
      </c>
      <c r="O7" s="133">
        <f>IF(SER_hh_emi_in!O7=0,0,1000000*SER_hh_emi_in!O7/SER_hh_num_in!O7)</f>
        <v>36628.300938890039</v>
      </c>
      <c r="P7" s="133">
        <f>IF(SER_hh_emi_in!P7=0,0,1000000*SER_hh_emi_in!P7/SER_hh_num_in!P7)</f>
        <v>30863.200962362134</v>
      </c>
      <c r="Q7" s="133">
        <f>IF(SER_hh_emi_in!Q7=0,0,1000000*SER_hh_emi_in!Q7/SER_hh_num_in!Q7)</f>
        <v>29059.915861858346</v>
      </c>
      <c r="R7" s="133">
        <f>IF(SER_hh_emi_in!R7=0,0,1000000*SER_hh_emi_in!R7/SER_hh_num_in!R7)</f>
        <v>26323.174782966915</v>
      </c>
      <c r="S7" s="133">
        <f>IF(SER_hh_emi_in!S7=0,0,1000000*SER_hh_emi_in!S7/SER_hh_num_in!S7)</f>
        <v>30259.871311609255</v>
      </c>
      <c r="T7" s="133">
        <f>IF(SER_hh_emi_in!T7=0,0,1000000*SER_hh_emi_in!T7/SER_hh_num_in!T7)</f>
        <v>28330.19573650942</v>
      </c>
      <c r="U7" s="133">
        <f>IF(SER_hh_emi_in!U7=0,0,1000000*SER_hh_emi_in!U7/SER_hh_num_in!U7)</f>
        <v>24107.035242557435</v>
      </c>
      <c r="V7" s="133">
        <f>IF(SER_hh_emi_in!V7=0,0,1000000*SER_hh_emi_in!V7/SER_hh_num_in!V7)</f>
        <v>18654.879298239612</v>
      </c>
      <c r="W7" s="133">
        <f>IF(SER_hh_emi_in!W7=0,0,1000000*SER_hh_emi_in!W7/SER_hh_num_in!W7)</f>
        <v>21710.140498103039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114131.78036842271</v>
      </c>
      <c r="D9" s="133">
        <f>IF(SER_hh_emi_in!D9=0,0,1000000*SER_hh_emi_in!D9/SER_hh_num_in!D9)</f>
        <v>10242.679969313229</v>
      </c>
      <c r="E9" s="133">
        <f>IF(SER_hh_emi_in!E9=0,0,1000000*SER_hh_emi_in!E9/SER_hh_num_in!E9)</f>
        <v>56066.793638469251</v>
      </c>
      <c r="F9" s="133">
        <f>IF(SER_hh_emi_in!F9=0,0,1000000*SER_hh_emi_in!F9/SER_hh_num_in!F9)</f>
        <v>55900.014552288027</v>
      </c>
      <c r="G9" s="133">
        <f>IF(SER_hh_emi_in!G9=0,0,1000000*SER_hh_emi_in!G9/SER_hh_num_in!G9)</f>
        <v>55829.842497786922</v>
      </c>
      <c r="H9" s="133">
        <f>IF(SER_hh_emi_in!H9=0,0,1000000*SER_hh_emi_in!H9/SER_hh_num_in!H9)</f>
        <v>103867.08173683497</v>
      </c>
      <c r="I9" s="133">
        <f>IF(SER_hh_emi_in!I9=0,0,1000000*SER_hh_emi_in!I9/SER_hh_num_in!I9)</f>
        <v>66068.708010333939</v>
      </c>
      <c r="J9" s="133">
        <f>IF(SER_hh_emi_in!J9=0,0,1000000*SER_hh_emi_in!J9/SER_hh_num_in!J9)</f>
        <v>43841.626973948165</v>
      </c>
      <c r="K9" s="133">
        <f>IF(SER_hh_emi_in!K9=0,0,1000000*SER_hh_emi_in!K9/SER_hh_num_in!K9)</f>
        <v>47737.094442996487</v>
      </c>
      <c r="L9" s="133">
        <f>IF(SER_hh_emi_in!L9=0,0,1000000*SER_hh_emi_in!L9/SER_hh_num_in!L9)</f>
        <v>46138.713707426192</v>
      </c>
      <c r="M9" s="133">
        <f>IF(SER_hh_emi_in!M9=0,0,1000000*SER_hh_emi_in!M9/SER_hh_num_in!M9)</f>
        <v>33638.337810713238</v>
      </c>
      <c r="N9" s="133">
        <f>IF(SER_hh_emi_in!N9=0,0,1000000*SER_hh_emi_in!N9/SER_hh_num_in!N9)</f>
        <v>32189.446656864646</v>
      </c>
      <c r="O9" s="133">
        <f>IF(SER_hh_emi_in!O9=0,0,1000000*SER_hh_emi_in!O9/SER_hh_num_in!O9)</f>
        <v>29194.974984001783</v>
      </c>
      <c r="P9" s="133">
        <f>IF(SER_hh_emi_in!P9=0,0,1000000*SER_hh_emi_in!P9/SER_hh_num_in!P9)</f>
        <v>25440.021234353739</v>
      </c>
      <c r="Q9" s="133">
        <f>IF(SER_hh_emi_in!Q9=0,0,1000000*SER_hh_emi_in!Q9/SER_hh_num_in!Q9)</f>
        <v>21439.094155809962</v>
      </c>
      <c r="R9" s="133">
        <f>IF(SER_hh_emi_in!R9=0,0,1000000*SER_hh_emi_in!R9/SER_hh_num_in!R9)</f>
        <v>20356.635715370652</v>
      </c>
      <c r="S9" s="133">
        <f>IF(SER_hh_emi_in!S9=0,0,1000000*SER_hh_emi_in!S9/SER_hh_num_in!S9)</f>
        <v>20514.207869985567</v>
      </c>
      <c r="T9" s="133">
        <f>IF(SER_hh_emi_in!T9=0,0,1000000*SER_hh_emi_in!T9/SER_hh_num_in!T9)</f>
        <v>19128.724213699723</v>
      </c>
      <c r="U9" s="133">
        <f>IF(SER_hh_emi_in!U9=0,0,1000000*SER_hh_emi_in!U9/SER_hh_num_in!U9)</f>
        <v>17695.318200714311</v>
      </c>
      <c r="V9" s="133">
        <f>IF(SER_hh_emi_in!V9=0,0,1000000*SER_hh_emi_in!V9/SER_hh_num_in!V9)</f>
        <v>15321.745445225088</v>
      </c>
      <c r="W9" s="133">
        <f>IF(SER_hh_emi_in!W9=0,0,1000000*SER_hh_emi_in!W9/SER_hh_num_in!W9)</f>
        <v>13109.333801429151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40.803122065835289</v>
      </c>
      <c r="P10" s="133">
        <f>IF(SER_hh_emi_in!P10=0,0,1000000*SER_hh_emi_in!P10/SER_hh_num_in!P10)</f>
        <v>4909.0971467480986</v>
      </c>
      <c r="Q10" s="133">
        <f>IF(SER_hh_emi_in!Q10=0,0,1000000*SER_hh_emi_in!Q10/SER_hh_num_in!Q10)</f>
        <v>3664.1673399810088</v>
      </c>
      <c r="R10" s="133">
        <f>IF(SER_hh_emi_in!R10=0,0,1000000*SER_hh_emi_in!R10/SER_hh_num_in!R10)</f>
        <v>2814.110255199716</v>
      </c>
      <c r="S10" s="133">
        <f>IF(SER_hh_emi_in!S10=0,0,1000000*SER_hh_emi_in!S10/SER_hh_num_in!S10)</f>
        <v>1801.0795220718642</v>
      </c>
      <c r="T10" s="133">
        <f>IF(SER_hh_emi_in!T10=0,0,1000000*SER_hh_emi_in!T10/SER_hh_num_in!T10)</f>
        <v>1365.7798818419242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1925.1019133640821</v>
      </c>
      <c r="D19" s="131">
        <f>IF(SER_hh_emi_in!D19=0,0,1000000*SER_hh_emi_in!D19/SER_hh_num_in!D19)</f>
        <v>4978.3607979537337</v>
      </c>
      <c r="E19" s="131">
        <f>IF(SER_hh_emi_in!E19=0,0,1000000*SER_hh_emi_in!E19/SER_hh_num_in!E19)</f>
        <v>3353.3678608597952</v>
      </c>
      <c r="F19" s="131">
        <f>IF(SER_hh_emi_in!F19=0,0,1000000*SER_hh_emi_in!F19/SER_hh_num_in!F19)</f>
        <v>9074.6315279553783</v>
      </c>
      <c r="G19" s="131">
        <f>IF(SER_hh_emi_in!G19=0,0,1000000*SER_hh_emi_in!G19/SER_hh_num_in!G19)</f>
        <v>5413.9625589633588</v>
      </c>
      <c r="H19" s="131">
        <f>IF(SER_hh_emi_in!H19=0,0,1000000*SER_hh_emi_in!H19/SER_hh_num_in!H19)</f>
        <v>5413.7857950448715</v>
      </c>
      <c r="I19" s="131">
        <f>IF(SER_hh_emi_in!I19=0,0,1000000*SER_hh_emi_in!I19/SER_hh_num_in!I19)</f>
        <v>355.75920693896546</v>
      </c>
      <c r="J19" s="131">
        <f>IF(SER_hh_emi_in!J19=0,0,1000000*SER_hh_emi_in!J19/SER_hh_num_in!J19)</f>
        <v>2887.5664477126024</v>
      </c>
      <c r="K19" s="131">
        <f>IF(SER_hh_emi_in!K19=0,0,1000000*SER_hh_emi_in!K19/SER_hh_num_in!K19)</f>
        <v>5822.5171214863403</v>
      </c>
      <c r="L19" s="131">
        <f>IF(SER_hh_emi_in!L19=0,0,1000000*SER_hh_emi_in!L19/SER_hh_num_in!L19)</f>
        <v>5621.7768987459231</v>
      </c>
      <c r="M19" s="131">
        <f>IF(SER_hh_emi_in!M19=0,0,1000000*SER_hh_emi_in!M19/SER_hh_num_in!M19)</f>
        <v>3408.787187519139</v>
      </c>
      <c r="N19" s="131">
        <f>IF(SER_hh_emi_in!N19=0,0,1000000*SER_hh_emi_in!N19/SER_hh_num_in!N19)</f>
        <v>3764.0930594347319</v>
      </c>
      <c r="O19" s="131">
        <f>IF(SER_hh_emi_in!O19=0,0,1000000*SER_hh_emi_in!O19/SER_hh_num_in!O19)</f>
        <v>6088.9327919053758</v>
      </c>
      <c r="P19" s="131">
        <f>IF(SER_hh_emi_in!P19=0,0,1000000*SER_hh_emi_in!P19/SER_hh_num_in!P19)</f>
        <v>7206.2612265120652</v>
      </c>
      <c r="Q19" s="131">
        <f>IF(SER_hh_emi_in!Q19=0,0,1000000*SER_hh_emi_in!Q19/SER_hh_num_in!Q19)</f>
        <v>7303.6284420309003</v>
      </c>
      <c r="R19" s="131">
        <f>IF(SER_hh_emi_in!R19=0,0,1000000*SER_hh_emi_in!R19/SER_hh_num_in!R19)</f>
        <v>6941.3127582083307</v>
      </c>
      <c r="S19" s="131">
        <f>IF(SER_hh_emi_in!S19=0,0,1000000*SER_hh_emi_in!S19/SER_hh_num_in!S19)</f>
        <v>7664.7403156135406</v>
      </c>
      <c r="T19" s="131">
        <f>IF(SER_hh_emi_in!T19=0,0,1000000*SER_hh_emi_in!T19/SER_hh_num_in!T19)</f>
        <v>6778.1006945865975</v>
      </c>
      <c r="U19" s="131">
        <f>IF(SER_hh_emi_in!U19=0,0,1000000*SER_hh_emi_in!U19/SER_hh_num_in!U19)</f>
        <v>5549.8398078305363</v>
      </c>
      <c r="V19" s="131">
        <f>IF(SER_hh_emi_in!V19=0,0,1000000*SER_hh_emi_in!V19/SER_hh_num_in!V19)</f>
        <v>4971.3486832144872</v>
      </c>
      <c r="W19" s="131">
        <f>IF(SER_hh_emi_in!W19=0,0,1000000*SER_hh_emi_in!W19/SER_hh_num_in!W19)</f>
        <v>6324.5111697857637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2830.6999405587749</v>
      </c>
      <c r="D22" s="133">
        <f>IF(SER_hh_emi_in!D22=0,0,1000000*SER_hh_emi_in!D22/SER_hh_num_in!D22)</f>
        <v>8949.9068469374488</v>
      </c>
      <c r="E22" s="133">
        <f>IF(SER_hh_emi_in!E22=0,0,1000000*SER_hh_emi_in!E22/SER_hh_num_in!E22)</f>
        <v>12337.152048694403</v>
      </c>
      <c r="F22" s="133">
        <f>IF(SER_hh_emi_in!F22=0,0,1000000*SER_hh_emi_in!F22/SER_hh_num_in!F22)</f>
        <v>14170.383276554554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0</v>
      </c>
      <c r="K22" s="133">
        <f>IF(SER_hh_emi_in!K22=0,0,1000000*SER_hh_emi_in!K22/SER_hh_num_in!K22)</f>
        <v>0</v>
      </c>
      <c r="L22" s="133">
        <f>IF(SER_hh_emi_in!L22=0,0,1000000*SER_hh_emi_in!L22/SER_hh_num_in!L22)</f>
        <v>12891.515516873586</v>
      </c>
      <c r="M22" s="133">
        <f>IF(SER_hh_emi_in!M22=0,0,1000000*SER_hh_emi_in!M22/SER_hh_num_in!M22)</f>
        <v>11829.409235769579</v>
      </c>
      <c r="N22" s="133">
        <f>IF(SER_hh_emi_in!N22=0,0,1000000*SER_hh_emi_in!N22/SER_hh_num_in!N22)</f>
        <v>12483.015436798829</v>
      </c>
      <c r="O22" s="133">
        <f>IF(SER_hh_emi_in!O22=0,0,1000000*SER_hh_emi_in!O22/SER_hh_num_in!O22)</f>
        <v>13835.449913814802</v>
      </c>
      <c r="P22" s="133">
        <f>IF(SER_hh_emi_in!P22=0,0,1000000*SER_hh_emi_in!P22/SER_hh_num_in!P22)</f>
        <v>12333.116427047838</v>
      </c>
      <c r="Q22" s="133">
        <f>IF(SER_hh_emi_in!Q22=0,0,1000000*SER_hh_emi_in!Q22/SER_hh_num_in!Q22)</f>
        <v>11651.288027646022</v>
      </c>
      <c r="R22" s="133">
        <f>IF(SER_hh_emi_in!R22=0,0,1000000*SER_hh_emi_in!R22/SER_hh_num_in!R22)</f>
        <v>9529.4682316689596</v>
      </c>
      <c r="S22" s="133">
        <f>IF(SER_hh_emi_in!S22=0,0,1000000*SER_hh_emi_in!S22/SER_hh_num_in!S22)</f>
        <v>10937.018055980014</v>
      </c>
      <c r="T22" s="133">
        <f>IF(SER_hh_emi_in!T22=0,0,1000000*SER_hh_emi_in!T22/SER_hh_num_in!T22)</f>
        <v>10620.504677776662</v>
      </c>
      <c r="U22" s="133">
        <f>IF(SER_hh_emi_in!U22=0,0,1000000*SER_hh_emi_in!U22/SER_hh_num_in!U22)</f>
        <v>8882.086957618616</v>
      </c>
      <c r="V22" s="133">
        <f>IF(SER_hh_emi_in!V22=0,0,1000000*SER_hh_emi_in!V22/SER_hh_num_in!V22)</f>
        <v>7990.089763045994</v>
      </c>
      <c r="W22" s="133">
        <f>IF(SER_hh_emi_in!W22=0,0,1000000*SER_hh_emi_in!W22/SER_hh_num_in!W22)</f>
        <v>10334.595337215116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6505.4159893067708</v>
      </c>
      <c r="D23" s="133">
        <f>IF(SER_hh_emi_in!D23=0,0,1000000*SER_hh_emi_in!D23/SER_hh_num_in!D23)</f>
        <v>3835.3846383838295</v>
      </c>
      <c r="E23" s="133">
        <f>IF(SER_hh_emi_in!E23=0,0,1000000*SER_hh_emi_in!E23/SER_hh_num_in!E23)</f>
        <v>7486.6377320933552</v>
      </c>
      <c r="F23" s="133">
        <f>IF(SER_hh_emi_in!F23=0,0,1000000*SER_hh_emi_in!F23/SER_hh_num_in!F23)</f>
        <v>11350.132473065201</v>
      </c>
      <c r="G23" s="133">
        <f>IF(SER_hh_emi_in!G23=0,0,1000000*SER_hh_emi_in!G23/SER_hh_num_in!G23)</f>
        <v>9609.9845362563265</v>
      </c>
      <c r="H23" s="133">
        <f>IF(SER_hh_emi_in!H23=0,0,1000000*SER_hh_emi_in!H23/SER_hh_num_in!H23)</f>
        <v>10979.391118755446</v>
      </c>
      <c r="I23" s="133">
        <f>IF(SER_hh_emi_in!I23=0,0,1000000*SER_hh_emi_in!I23/SER_hh_num_in!I23)</f>
        <v>9491.9118375358175</v>
      </c>
      <c r="J23" s="133">
        <f>IF(SER_hh_emi_in!J23=0,0,1000000*SER_hh_emi_in!J23/SER_hh_num_in!J23)</f>
        <v>7923.8743433989666</v>
      </c>
      <c r="K23" s="133">
        <f>IF(SER_hh_emi_in!K23=0,0,1000000*SER_hh_emi_in!K23/SER_hh_num_in!K23)</f>
        <v>10542.459492939077</v>
      </c>
      <c r="L23" s="133">
        <f>IF(SER_hh_emi_in!L23=0,0,1000000*SER_hh_emi_in!L23/SER_hh_num_in!L23)</f>
        <v>9674.6762729970505</v>
      </c>
      <c r="M23" s="133">
        <f>IF(SER_hh_emi_in!M23=0,0,1000000*SER_hh_emi_in!M23/SER_hh_num_in!M23)</f>
        <v>8632.4205413527561</v>
      </c>
      <c r="N23" s="133">
        <f>IF(SER_hh_emi_in!N23=0,0,1000000*SER_hh_emi_in!N23/SER_hh_num_in!N23)</f>
        <v>8418.2379618257237</v>
      </c>
      <c r="O23" s="133">
        <f>IF(SER_hh_emi_in!O23=0,0,1000000*SER_hh_emi_in!O23/SER_hh_num_in!O23)</f>
        <v>8176.5761064391127</v>
      </c>
      <c r="P23" s="133">
        <f>IF(SER_hh_emi_in!P23=0,0,1000000*SER_hh_emi_in!P23/SER_hh_num_in!P23)</f>
        <v>8007.0880103601148</v>
      </c>
      <c r="Q23" s="133">
        <f>IF(SER_hh_emi_in!Q23=0,0,1000000*SER_hh_emi_in!Q23/SER_hh_num_in!Q23)</f>
        <v>7777.4231436667887</v>
      </c>
      <c r="R23" s="133">
        <f>IF(SER_hh_emi_in!R23=0,0,1000000*SER_hh_emi_in!R23/SER_hh_num_in!R23)</f>
        <v>7771.3145598543233</v>
      </c>
      <c r="S23" s="133">
        <f>IF(SER_hh_emi_in!S23=0,0,1000000*SER_hh_emi_in!S23/SER_hh_num_in!S23)</f>
        <v>7714.435142556782</v>
      </c>
      <c r="T23" s="133">
        <f>IF(SER_hh_emi_in!T23=0,0,1000000*SER_hh_emi_in!T23/SER_hh_num_in!T23)</f>
        <v>7126.9395807781011</v>
      </c>
      <c r="U23" s="133">
        <f>IF(SER_hh_emi_in!U23=0,0,1000000*SER_hh_emi_in!U23/SER_hh_num_in!U23)</f>
        <v>6978.8943166737681</v>
      </c>
      <c r="V23" s="133">
        <f>IF(SER_hh_emi_in!V23=0,0,1000000*SER_hh_emi_in!V23/SER_hh_num_in!V23)</f>
        <v>6613.8065616455797</v>
      </c>
      <c r="W23" s="133">
        <f>IF(SER_hh_emi_in!W23=0,0,1000000*SER_hh_emi_in!W23/SER_hh_num_in!W23)</f>
        <v>6277.8855862143882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34.271410883331022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12.903258512068362</v>
      </c>
      <c r="P24" s="133">
        <f>IF(SER_hh_emi_in!P24=0,0,1000000*SER_hh_emi_in!P24/SER_hh_num_in!P24)</f>
        <v>2001.6458879777442</v>
      </c>
      <c r="Q24" s="133">
        <f>IF(SER_hh_emi_in!Q24=0,0,1000000*SER_hh_emi_in!Q24/SER_hh_num_in!Q24)</f>
        <v>984.34753470400983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6629.5997116561766</v>
      </c>
      <c r="D29" s="131">
        <f>IF(SER_hh_emi_in!D29=0,0,1000000*SER_hh_emi_in!D29/SER_hh_num_in!D29)</f>
        <v>5355.116613480991</v>
      </c>
      <c r="E29" s="131">
        <f>IF(SER_hh_emi_in!E29=0,0,1000000*SER_hh_emi_in!E29/SER_hh_num_in!E29)</f>
        <v>10827.190065229563</v>
      </c>
      <c r="F29" s="131">
        <f>IF(SER_hh_emi_in!F29=0,0,1000000*SER_hh_emi_in!F29/SER_hh_num_in!F29)</f>
        <v>15196.001218594387</v>
      </c>
      <c r="G29" s="131">
        <f>IF(SER_hh_emi_in!G29=0,0,1000000*SER_hh_emi_in!G29/SER_hh_num_in!G29)</f>
        <v>12781.649297775446</v>
      </c>
      <c r="H29" s="131">
        <f>IF(SER_hh_emi_in!H29=0,0,1000000*SER_hh_emi_in!H29/SER_hh_num_in!H29)</f>
        <v>6363.5480475489157</v>
      </c>
      <c r="I29" s="131">
        <f>IF(SER_hh_emi_in!I29=0,0,1000000*SER_hh_emi_in!I29/SER_hh_num_in!I29)</f>
        <v>2703.4329507907596</v>
      </c>
      <c r="J29" s="131">
        <f>IF(SER_hh_emi_in!J29=0,0,1000000*SER_hh_emi_in!J29/SER_hh_num_in!J29)</f>
        <v>541.72071960707706</v>
      </c>
      <c r="K29" s="131">
        <f>IF(SER_hh_emi_in!K29=0,0,1000000*SER_hh_emi_in!K29/SER_hh_num_in!K29)</f>
        <v>1071.230339985731</v>
      </c>
      <c r="L29" s="131">
        <f>IF(SER_hh_emi_in!L29=0,0,1000000*SER_hh_emi_in!L29/SER_hh_num_in!L29)</f>
        <v>2669.5683608551849</v>
      </c>
      <c r="M29" s="131">
        <f>IF(SER_hh_emi_in!M29=0,0,1000000*SER_hh_emi_in!M29/SER_hh_num_in!M29)</f>
        <v>3883.5502705302497</v>
      </c>
      <c r="N29" s="131">
        <f>IF(SER_hh_emi_in!N29=0,0,1000000*SER_hh_emi_in!N29/SER_hh_num_in!N29)</f>
        <v>6009.5347685342922</v>
      </c>
      <c r="O29" s="131">
        <f>IF(SER_hh_emi_in!O29=0,0,1000000*SER_hh_emi_in!O29/SER_hh_num_in!O29)</f>
        <v>6877.9993763458142</v>
      </c>
      <c r="P29" s="131">
        <f>IF(SER_hh_emi_in!P29=0,0,1000000*SER_hh_emi_in!P29/SER_hh_num_in!P29)</f>
        <v>8817.5490591145935</v>
      </c>
      <c r="Q29" s="131">
        <f>IF(SER_hh_emi_in!Q29=0,0,1000000*SER_hh_emi_in!Q29/SER_hh_num_in!Q29)</f>
        <v>9740.3513712395652</v>
      </c>
      <c r="R29" s="131">
        <f>IF(SER_hh_emi_in!R29=0,0,1000000*SER_hh_emi_in!R29/SER_hh_num_in!R29)</f>
        <v>8331.0900716277465</v>
      </c>
      <c r="S29" s="131">
        <f>IF(SER_hh_emi_in!S29=0,0,1000000*SER_hh_emi_in!S29/SER_hh_num_in!S29)</f>
        <v>6343.0394835104426</v>
      </c>
      <c r="T29" s="131">
        <f>IF(SER_hh_emi_in!T29=0,0,1000000*SER_hh_emi_in!T29/SER_hh_num_in!T29)</f>
        <v>3775.2593496357003</v>
      </c>
      <c r="U29" s="131">
        <f>IF(SER_hh_emi_in!U29=0,0,1000000*SER_hh_emi_in!U29/SER_hh_num_in!U29)</f>
        <v>3244.9981777274338</v>
      </c>
      <c r="V29" s="131">
        <f>IF(SER_hh_emi_in!V29=0,0,1000000*SER_hh_emi_in!V29/SER_hh_num_in!V29)</f>
        <v>3245.0037818533847</v>
      </c>
      <c r="W29" s="131">
        <f>IF(SER_hh_emi_in!W29=0,0,1000000*SER_hh_emi_in!W29/SER_hh_num_in!W29)</f>
        <v>3255.751197581772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8424.4086617937446</v>
      </c>
      <c r="D30" s="133">
        <f>IF(SER_hh_emi_in!D30=0,0,1000000*SER_hh_emi_in!D30/SER_hh_num_in!D30)</f>
        <v>3717.5313740558231</v>
      </c>
      <c r="E30" s="133">
        <f>IF(SER_hh_emi_in!E30=0,0,1000000*SER_hh_emi_in!E30/SER_hh_num_in!E30)</f>
        <v>11153.232780203418</v>
      </c>
      <c r="F30" s="133">
        <f>IF(SER_hh_emi_in!F30=0,0,1000000*SER_hh_emi_in!F30/SER_hh_num_in!F30)</f>
        <v>17002.620060980968</v>
      </c>
      <c r="G30" s="133">
        <f>IF(SER_hh_emi_in!G30=0,0,1000000*SER_hh_emi_in!G30/SER_hh_num_in!G30)</f>
        <v>20491.880051579934</v>
      </c>
      <c r="H30" s="133">
        <f>IF(SER_hh_emi_in!H30=0,0,1000000*SER_hh_emi_in!H30/SER_hh_num_in!H30)</f>
        <v>8487.3423625754513</v>
      </c>
      <c r="I30" s="133">
        <f>IF(SER_hh_emi_in!I30=0,0,1000000*SER_hh_emi_in!I30/SER_hh_num_in!I30)</f>
        <v>25969.1242678651</v>
      </c>
      <c r="J30" s="133">
        <f>IF(SER_hh_emi_in!J30=0,0,1000000*SER_hh_emi_in!J30/SER_hh_num_in!J30)</f>
        <v>0</v>
      </c>
      <c r="K30" s="133">
        <f>IF(SER_hh_emi_in!K30=0,0,1000000*SER_hh_emi_in!K30/SER_hh_num_in!K30)</f>
        <v>0</v>
      </c>
      <c r="L30" s="133">
        <f>IF(SER_hh_emi_in!L30=0,0,1000000*SER_hh_emi_in!L30/SER_hh_num_in!L30)</f>
        <v>0</v>
      </c>
      <c r="M30" s="133">
        <f>IF(SER_hh_emi_in!M30=0,0,1000000*SER_hh_emi_in!M30/SER_hh_num_in!M30)</f>
        <v>0</v>
      </c>
      <c r="N30" s="133">
        <f>IF(SER_hh_emi_in!N30=0,0,1000000*SER_hh_emi_in!N30/SER_hh_num_in!N30)</f>
        <v>14842.525657665199</v>
      </c>
      <c r="O30" s="133">
        <f>IF(SER_hh_emi_in!O30=0,0,1000000*SER_hh_emi_in!O30/SER_hh_num_in!O30)</f>
        <v>15014.765768596351</v>
      </c>
      <c r="P30" s="133">
        <f>IF(SER_hh_emi_in!P30=0,0,1000000*SER_hh_emi_in!P30/SER_hh_num_in!P30)</f>
        <v>16285.569225806787</v>
      </c>
      <c r="Q30" s="133">
        <f>IF(SER_hh_emi_in!Q30=0,0,1000000*SER_hh_emi_in!Q30/SER_hh_num_in!Q30)</f>
        <v>18057.339711150242</v>
      </c>
      <c r="R30" s="133">
        <f>IF(SER_hh_emi_in!R30=0,0,1000000*SER_hh_emi_in!R30/SER_hh_num_in!R30)</f>
        <v>15898.079668073147</v>
      </c>
      <c r="S30" s="133">
        <f>IF(SER_hh_emi_in!S30=0,0,1000000*SER_hh_emi_in!S30/SER_hh_num_in!S30)</f>
        <v>15371.02018268191</v>
      </c>
      <c r="T30" s="133">
        <f>IF(SER_hh_emi_in!T30=0,0,1000000*SER_hh_emi_in!T30/SER_hh_num_in!T30)</f>
        <v>15717.562735895186</v>
      </c>
      <c r="U30" s="133">
        <f>IF(SER_hh_emi_in!U30=0,0,1000000*SER_hh_emi_in!U30/SER_hh_num_in!U30)</f>
        <v>15560.827318248892</v>
      </c>
      <c r="V30" s="133">
        <f>IF(SER_hh_emi_in!V30=0,0,1000000*SER_hh_emi_in!V30/SER_hh_num_in!V30)</f>
        <v>14261.79815906057</v>
      </c>
      <c r="W30" s="133">
        <f>IF(SER_hh_emi_in!W30=0,0,1000000*SER_hh_emi_in!W30/SER_hh_num_in!W30)</f>
        <v>14551.496480361742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11259.392000712854</v>
      </c>
      <c r="D31" s="133">
        <f>IF(SER_hh_emi_in!D31=0,0,1000000*SER_hh_emi_in!D31/SER_hh_num_in!D31)</f>
        <v>6501.5744986637483</v>
      </c>
      <c r="E31" s="133">
        <f>IF(SER_hh_emi_in!E31=0,0,1000000*SER_hh_emi_in!E31/SER_hh_num_in!E31)</f>
        <v>10657.288907408663</v>
      </c>
      <c r="F31" s="133">
        <f>IF(SER_hh_emi_in!F31=0,0,1000000*SER_hh_emi_in!F31/SER_hh_num_in!F31)</f>
        <v>14203.847168860621</v>
      </c>
      <c r="G31" s="133">
        <f>IF(SER_hh_emi_in!G31=0,0,1000000*SER_hh_emi_in!G31/SER_hh_num_in!G31)</f>
        <v>11544.733566821307</v>
      </c>
      <c r="H31" s="133">
        <f>IF(SER_hh_emi_in!H31=0,0,1000000*SER_hh_emi_in!H31/SER_hh_num_in!H31)</f>
        <v>15813.148658548005</v>
      </c>
      <c r="I31" s="133">
        <f>IF(SER_hh_emi_in!I31=0,0,1000000*SER_hh_emi_in!I31/SER_hh_num_in!I31)</f>
        <v>11981.007933764307</v>
      </c>
      <c r="J31" s="133">
        <f>IF(SER_hh_emi_in!J31=0,0,1000000*SER_hh_emi_in!J31/SER_hh_num_in!J31)</f>
        <v>13043.953474796754</v>
      </c>
      <c r="K31" s="133">
        <f>IF(SER_hh_emi_in!K31=0,0,1000000*SER_hh_emi_in!K31/SER_hh_num_in!K31)</f>
        <v>13589.364928303266</v>
      </c>
      <c r="L31" s="133">
        <f>IF(SER_hh_emi_in!L31=0,0,1000000*SER_hh_emi_in!L31/SER_hh_num_in!L31)</f>
        <v>13597.694833170834</v>
      </c>
      <c r="M31" s="133">
        <f>IF(SER_hh_emi_in!M31=0,0,1000000*SER_hh_emi_in!M31/SER_hh_num_in!M31)</f>
        <v>13654.4720068597</v>
      </c>
      <c r="N31" s="133">
        <f>IF(SER_hh_emi_in!N31=0,0,1000000*SER_hh_emi_in!N31/SER_hh_num_in!N31)</f>
        <v>13620.381435535928</v>
      </c>
      <c r="O31" s="133">
        <f>IF(SER_hh_emi_in!O31=0,0,1000000*SER_hh_emi_in!O31/SER_hh_num_in!O31)</f>
        <v>14008.192817296955</v>
      </c>
      <c r="P31" s="133">
        <f>IF(SER_hh_emi_in!P31=0,0,1000000*SER_hh_emi_in!P31/SER_hh_num_in!P31)</f>
        <v>13818.024335345932</v>
      </c>
      <c r="Q31" s="133">
        <f>IF(SER_hh_emi_in!Q31=0,0,1000000*SER_hh_emi_in!Q31/SER_hh_num_in!Q31)</f>
        <v>14452.922673698095</v>
      </c>
      <c r="R31" s="133">
        <f>IF(SER_hh_emi_in!R31=0,0,1000000*SER_hh_emi_in!R31/SER_hh_num_in!R31)</f>
        <v>13656.022760732509</v>
      </c>
      <c r="S31" s="133">
        <f>IF(SER_hh_emi_in!S31=0,0,1000000*SER_hh_emi_in!S31/SER_hh_num_in!S31)</f>
        <v>14171.522094190213</v>
      </c>
      <c r="T31" s="133">
        <f>IF(SER_hh_emi_in!T31=0,0,1000000*SER_hh_emi_in!T31/SER_hh_num_in!T31)</f>
        <v>13514.613143181534</v>
      </c>
      <c r="U31" s="133">
        <f>IF(SER_hh_emi_in!U31=0,0,1000000*SER_hh_emi_in!U31/SER_hh_num_in!U31)</f>
        <v>13424.794411217854</v>
      </c>
      <c r="V31" s="133">
        <f>IF(SER_hh_emi_in!V31=0,0,1000000*SER_hh_emi_in!V31/SER_hh_num_in!V31)</f>
        <v>12577.644141043118</v>
      </c>
      <c r="W31" s="133">
        <f>IF(SER_hh_emi_in!W31=0,0,1000000*SER_hh_emi_in!W31/SER_hh_num_in!W31)</f>
        <v>12913.85731508254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469.93371299697714</v>
      </c>
      <c r="D3" s="126">
        <f>IF(SER_hh_fech_in!D3=0,0,SER_hh_fech_in!D3/SER_summary!D$27)</f>
        <v>288.92346531353564</v>
      </c>
      <c r="E3" s="126">
        <f>IF(SER_hh_fech_in!E3=0,0,SER_hh_fech_in!E3/SER_summary!E$27)</f>
        <v>408.05778617338831</v>
      </c>
      <c r="F3" s="126">
        <f>IF(SER_hh_fech_in!F3=0,0,SER_hh_fech_in!F3/SER_summary!F$27)</f>
        <v>473.42166257865512</v>
      </c>
      <c r="G3" s="126">
        <f>IF(SER_hh_fech_in!G3=0,0,SER_hh_fech_in!G3/SER_summary!G$27)</f>
        <v>445.93272954868246</v>
      </c>
      <c r="H3" s="126">
        <f>IF(SER_hh_fech_in!H3=0,0,SER_hh_fech_in!H3/SER_summary!H$27)</f>
        <v>692.63308553195009</v>
      </c>
      <c r="I3" s="126">
        <f>IF(SER_hh_fech_in!I3=0,0,SER_hh_fech_in!I3/SER_summary!I$27)</f>
        <v>435.48743043524036</v>
      </c>
      <c r="J3" s="126">
        <f>IF(SER_hh_fech_in!J3=0,0,SER_hh_fech_in!J3/SER_summary!J$27)</f>
        <v>365.13332571954572</v>
      </c>
      <c r="K3" s="126">
        <f>IF(SER_hh_fech_in!K3=0,0,SER_hh_fech_in!K3/SER_summary!K$27)</f>
        <v>332.26074353075302</v>
      </c>
      <c r="L3" s="126">
        <f>IF(SER_hh_fech_in!L3=0,0,SER_hh_fech_in!L3/SER_summary!L$27)</f>
        <v>338.43353431597006</v>
      </c>
      <c r="M3" s="126">
        <f>IF(SER_hh_fech_in!M3=0,0,SER_hh_fech_in!M3/SER_summary!M$27)</f>
        <v>326.3222613307301</v>
      </c>
      <c r="N3" s="126">
        <f>IF(SER_hh_fech_in!N3=0,0,SER_hh_fech_in!N3/SER_summary!N$27)</f>
        <v>297.24575952114134</v>
      </c>
      <c r="O3" s="126">
        <f>IF(SER_hh_fech_in!O3=0,0,SER_hh_fech_in!O3/SER_summary!O$27)</f>
        <v>274.3291741972044</v>
      </c>
      <c r="P3" s="126">
        <f>IF(SER_hh_fech_in!P3=0,0,SER_hh_fech_in!P3/SER_summary!P$27)</f>
        <v>255.24640698979323</v>
      </c>
      <c r="Q3" s="126">
        <f>IF(SER_hh_fech_in!Q3=0,0,SER_hh_fech_in!Q3/SER_summary!Q$27)</f>
        <v>257.91771911952259</v>
      </c>
      <c r="R3" s="126">
        <f>IF(SER_hh_fech_in!R3=0,0,SER_hh_fech_in!R3/SER_summary!R$27)</f>
        <v>242.73101025944791</v>
      </c>
      <c r="S3" s="126">
        <f>IF(SER_hh_fech_in!S3=0,0,SER_hh_fech_in!S3/SER_summary!S$27)</f>
        <v>234.3488864051904</v>
      </c>
      <c r="T3" s="126">
        <f>IF(SER_hh_fech_in!T3=0,0,SER_hh_fech_in!T3/SER_summary!T$27)</f>
        <v>217.12159875849076</v>
      </c>
      <c r="U3" s="126">
        <f>IF(SER_hh_fech_in!U3=0,0,SER_hh_fech_in!U3/SER_summary!U$27)</f>
        <v>201.56446204504692</v>
      </c>
      <c r="V3" s="126">
        <f>IF(SER_hh_fech_in!V3=0,0,SER_hh_fech_in!V3/SER_summary!V$27)</f>
        <v>172.49264278231948</v>
      </c>
      <c r="W3" s="126">
        <f>IF(SER_hh_fech_in!W3=0,0,SER_hh_fech_in!W3/SER_summary!W$27)</f>
        <v>183.90257423750074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360.69808257573237</v>
      </c>
      <c r="D4" s="131">
        <f>IF(SER_hh_fech_in!D4=0,0,SER_hh_fech_in!D4/SER_summary!D$27)</f>
        <v>231.1151806690531</v>
      </c>
      <c r="E4" s="131">
        <f>IF(SER_hh_fech_in!E4=0,0,SER_hh_fech_in!E4/SER_summary!E$27)</f>
        <v>301.98473912570654</v>
      </c>
      <c r="F4" s="131">
        <f>IF(SER_hh_fech_in!F4=0,0,SER_hh_fech_in!F4/SER_summary!F$27)</f>
        <v>331.19821397882652</v>
      </c>
      <c r="G4" s="131">
        <f>IF(SER_hh_fech_in!G4=0,0,SER_hh_fech_in!G4/SER_summary!G$27)</f>
        <v>325.93006649600051</v>
      </c>
      <c r="H4" s="131">
        <f>IF(SER_hh_fech_in!H4=0,0,SER_hh_fech_in!H4/SER_summary!H$27)</f>
        <v>575.59031290907831</v>
      </c>
      <c r="I4" s="131">
        <f>IF(SER_hh_fech_in!I4=0,0,SER_hh_fech_in!I4/SER_summary!I$27)</f>
        <v>341.46585429448885</v>
      </c>
      <c r="J4" s="131">
        <f>IF(SER_hh_fech_in!J4=0,0,SER_hh_fech_in!J4/SER_summary!J$27)</f>
        <v>245.23136027263823</v>
      </c>
      <c r="K4" s="131">
        <f>IF(SER_hh_fech_in!K4=0,0,SER_hh_fech_in!K4/SER_summary!K$27)</f>
        <v>212.74227752548157</v>
      </c>
      <c r="L4" s="131">
        <f>IF(SER_hh_fech_in!L4=0,0,SER_hh_fech_in!L4/SER_summary!L$27)</f>
        <v>227.30905154599333</v>
      </c>
      <c r="M4" s="131">
        <f>IF(SER_hh_fech_in!M4=0,0,SER_hh_fech_in!M4/SER_summary!M$27)</f>
        <v>213.10692033808644</v>
      </c>
      <c r="N4" s="131">
        <f>IF(SER_hh_fech_in!N4=0,0,SER_hh_fech_in!N4/SER_summary!N$27)</f>
        <v>175.51930290686767</v>
      </c>
      <c r="O4" s="131">
        <f>IF(SER_hh_fech_in!O4=0,0,SER_hh_fech_in!O4/SER_summary!O$27)</f>
        <v>155.83051445446887</v>
      </c>
      <c r="P4" s="131">
        <f>IF(SER_hh_fech_in!P4=0,0,SER_hh_fech_in!P4/SER_summary!P$27)</f>
        <v>135.44434063063991</v>
      </c>
      <c r="Q4" s="131">
        <f>IF(SER_hh_fech_in!Q4=0,0,SER_hh_fech_in!Q4/SER_summary!Q$27)</f>
        <v>137.22106213375645</v>
      </c>
      <c r="R4" s="131">
        <f>IF(SER_hh_fech_in!R4=0,0,SER_hh_fech_in!R4/SER_summary!R$27)</f>
        <v>129.28201266503032</v>
      </c>
      <c r="S4" s="131">
        <f>IF(SER_hh_fech_in!S4=0,0,SER_hh_fech_in!S4/SER_summary!S$27)</f>
        <v>124.35962734919792</v>
      </c>
      <c r="T4" s="131">
        <f>IF(SER_hh_fech_in!T4=0,0,SER_hh_fech_in!T4/SER_summary!T$27)</f>
        <v>113.16043005466328</v>
      </c>
      <c r="U4" s="131">
        <f>IF(SER_hh_fech_in!U4=0,0,SER_hh_fech_in!U4/SER_summary!U$27)</f>
        <v>100.40487286852249</v>
      </c>
      <c r="V4" s="131">
        <f>IF(SER_hh_fech_in!V4=0,0,SER_hh_fech_in!V4/SER_summary!V$27)</f>
        <v>81.473626409110352</v>
      </c>
      <c r="W4" s="131">
        <f>IF(SER_hh_fech_in!W4=0,0,SER_hh_fech_in!W4/SER_summary!W$27)</f>
        <v>81.705349155355222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397.28408767036206</v>
      </c>
      <c r="D5" s="133">
        <f>IF(SER_hh_fech_in!D5=0,0,SER_hh_fech_in!D5/SER_summary!D$27)</f>
        <v>248.11085677169544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688.36333066080761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238.72002112725949</v>
      </c>
      <c r="M5" s="133">
        <f>IF(SER_hh_fech_in!M5=0,0,SER_hh_fech_in!M5/SER_summary!M$27)</f>
        <v>255.8601038696456</v>
      </c>
      <c r="N5" s="133">
        <f>IF(SER_hh_fech_in!N5=0,0,SER_hh_fech_in!N5/SER_summary!N$27)</f>
        <v>135.39890789326898</v>
      </c>
      <c r="O5" s="133">
        <f>IF(SER_hh_fech_in!O5=0,0,SER_hh_fech_in!O5/SER_summary!O$27)</f>
        <v>205.39360245871973</v>
      </c>
      <c r="P5" s="133">
        <f>IF(SER_hh_fech_in!P5=0,0,SER_hh_fech_in!P5/SER_summary!P$27)</f>
        <v>123.45924255503142</v>
      </c>
      <c r="Q5" s="133">
        <f>IF(SER_hh_fech_in!Q5=0,0,SER_hh_fech_in!Q5/SER_summary!Q$27)</f>
        <v>122.87173431156906</v>
      </c>
      <c r="R5" s="133">
        <f>IF(SER_hh_fech_in!R5=0,0,SER_hh_fech_in!R5/SER_summary!R$27)</f>
        <v>204.81318299416941</v>
      </c>
      <c r="S5" s="133">
        <f>IF(SER_hh_fech_in!S5=0,0,SER_hh_fech_in!S5/SER_summary!S$27)</f>
        <v>0</v>
      </c>
      <c r="T5" s="133">
        <f>IF(SER_hh_fech_in!T5=0,0,SER_hh_fech_in!T5/SER_summary!T$27)</f>
        <v>176.08855442339529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262.888189696491</v>
      </c>
      <c r="D7" s="133">
        <f>IF(SER_hh_fech_in!D7=0,0,SER_hh_fech_in!D7/SER_summary!D$27)</f>
        <v>276.00350246369391</v>
      </c>
      <c r="E7" s="133">
        <f>IF(SER_hh_fech_in!E7=0,0,SER_hh_fech_in!E7/SER_summary!E$27)</f>
        <v>243.33725310923273</v>
      </c>
      <c r="F7" s="133">
        <f>IF(SER_hh_fech_in!F7=0,0,SER_hh_fech_in!F7/SER_summary!F$27)</f>
        <v>410.75904153217283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175.25462990667043</v>
      </c>
      <c r="M7" s="133">
        <f>IF(SER_hh_fech_in!M7=0,0,SER_hh_fech_in!M7/SER_summary!M$27)</f>
        <v>293.88130580597237</v>
      </c>
      <c r="N7" s="133">
        <f>IF(SER_hh_fech_in!N7=0,0,SER_hh_fech_in!N7/SER_summary!N$27)</f>
        <v>219.16396037449155</v>
      </c>
      <c r="O7" s="133">
        <f>IF(SER_hh_fech_in!O7=0,0,SER_hh_fech_in!O7/SER_summary!O$27)</f>
        <v>154.09441656960263</v>
      </c>
      <c r="P7" s="133">
        <f>IF(SER_hh_fech_in!P7=0,0,SER_hh_fech_in!P7/SER_summary!P$27)</f>
        <v>129.93872856349498</v>
      </c>
      <c r="Q7" s="133">
        <f>IF(SER_hh_fech_in!Q7=0,0,SER_hh_fech_in!Q7/SER_summary!Q$27)</f>
        <v>122.30360994526413</v>
      </c>
      <c r="R7" s="133">
        <f>IF(SER_hh_fech_in!R7=0,0,SER_hh_fech_in!R7/SER_summary!R$27)</f>
        <v>111.21058054055706</v>
      </c>
      <c r="S7" s="133">
        <f>IF(SER_hh_fech_in!S7=0,0,SER_hh_fech_in!S7/SER_summary!S$27)</f>
        <v>127.37365502102095</v>
      </c>
      <c r="T7" s="133">
        <f>IF(SER_hh_fech_in!T7=0,0,SER_hh_fech_in!T7/SER_summary!T$27)</f>
        <v>119.54768957147333</v>
      </c>
      <c r="U7" s="133">
        <f>IF(SER_hh_fech_in!U7=0,0,SER_hh_fech_in!U7/SER_summary!U$27)</f>
        <v>101.78086966711702</v>
      </c>
      <c r="V7" s="133">
        <f>IF(SER_hh_fech_in!V7=0,0,SER_hh_fech_in!V7/SER_summary!V$27)</f>
        <v>78.533363088224021</v>
      </c>
      <c r="W7" s="133">
        <f>IF(SER_hh_fech_in!W7=0,0,SER_hh_fech_in!W7/SER_summary!W$27)</f>
        <v>91.121651029282205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627.91190977543783</v>
      </c>
      <c r="D9" s="133">
        <f>IF(SER_hh_fech_in!D9=0,0,SER_hh_fech_in!D9/SER_summary!D$27)</f>
        <v>56.351532587933953</v>
      </c>
      <c r="E9" s="133">
        <f>IF(SER_hh_fech_in!E9=0,0,SER_hh_fech_in!E9/SER_summary!E$27)</f>
        <v>308.45928587877268</v>
      </c>
      <c r="F9" s="133">
        <f>IF(SER_hh_fech_in!F9=0,0,SER_hh_fech_in!F9/SER_summary!F$27)</f>
        <v>307.54172747237089</v>
      </c>
      <c r="G9" s="133">
        <f>IF(SER_hh_fech_in!G9=0,0,SER_hh_fech_in!G9/SER_summary!G$27)</f>
        <v>307.15566612633364</v>
      </c>
      <c r="H9" s="133">
        <f>IF(SER_hh_fech_in!H9=0,0,SER_hh_fech_in!H9/SER_summary!H$27)</f>
        <v>571.43923844564904</v>
      </c>
      <c r="I9" s="133">
        <f>IF(SER_hh_fech_in!I9=0,0,SER_hh_fech_in!I9/SER_summary!I$27)</f>
        <v>363.50581413860994</v>
      </c>
      <c r="J9" s="133">
        <f>IF(SER_hh_fech_in!J9=0,0,SER_hh_fech_in!J9/SER_summary!J$27)</f>
        <v>241.20082620292339</v>
      </c>
      <c r="K9" s="133">
        <f>IF(SER_hh_fech_in!K9=0,0,SER_hh_fech_in!K9/SER_summary!K$27)</f>
        <v>262.63228385707004</v>
      </c>
      <c r="L9" s="133">
        <f>IF(SER_hh_fech_in!L9=0,0,SER_hh_fech_in!L9/SER_summary!L$27)</f>
        <v>253.83856928449086</v>
      </c>
      <c r="M9" s="133">
        <f>IF(SER_hh_fech_in!M9=0,0,SER_hh_fech_in!M9/SER_summary!M$27)</f>
        <v>185.06600762919624</v>
      </c>
      <c r="N9" s="133">
        <f>IF(SER_hh_fech_in!N9=0,0,SER_hh_fech_in!N9/SER_summary!N$27)</f>
        <v>177.09473084254662</v>
      </c>
      <c r="O9" s="133">
        <f>IF(SER_hh_fech_in!O9=0,0,SER_hh_fech_in!O9/SER_summary!O$27)</f>
        <v>160.62022723972723</v>
      </c>
      <c r="P9" s="133">
        <f>IF(SER_hh_fech_in!P9=0,0,SER_hh_fech_in!P9/SER_summary!P$27)</f>
        <v>139.96182541291856</v>
      </c>
      <c r="Q9" s="133">
        <f>IF(SER_hh_fech_in!Q9=0,0,SER_hh_fech_in!Q9/SER_summary!Q$27)</f>
        <v>117.95016700672275</v>
      </c>
      <c r="R9" s="133">
        <f>IF(SER_hh_fech_in!R9=0,0,SER_hh_fech_in!R9/SER_summary!R$27)</f>
        <v>111.99487090606858</v>
      </c>
      <c r="S9" s="133">
        <f>IF(SER_hh_fech_in!S9=0,0,SER_hh_fech_in!S9/SER_summary!S$27)</f>
        <v>112.86177609419668</v>
      </c>
      <c r="T9" s="133">
        <f>IF(SER_hh_fech_in!T9=0,0,SER_hh_fech_in!T9/SER_summary!T$27)</f>
        <v>105.78208085437642</v>
      </c>
      <c r="U9" s="133">
        <f>IF(SER_hh_fech_in!U9=0,0,SER_hh_fech_in!U9/SER_summary!U$27)</f>
        <v>97.805901421389109</v>
      </c>
      <c r="V9" s="133">
        <f>IF(SER_hh_fech_in!V9=0,0,SER_hh_fech_in!V9/SER_summary!V$27)</f>
        <v>84.490728049004943</v>
      </c>
      <c r="W9" s="133">
        <f>IF(SER_hh_fech_in!W9=0,0,SER_hh_fech_in!W9/SER_summary!W$27)</f>
        <v>72.217809564073505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370.22808025136635</v>
      </c>
      <c r="D10" s="133">
        <f>IF(SER_hh_fech_in!D10=0,0,SER_hh_fech_in!D10/SER_summary!D$27)</f>
        <v>279.12172439910609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0</v>
      </c>
      <c r="J10" s="133">
        <f>IF(SER_hh_fech_in!J10=0,0,SER_hh_fech_in!J10/SER_summary!J$27)</f>
        <v>328.7983357812401</v>
      </c>
      <c r="K10" s="133">
        <f>IF(SER_hh_fech_in!K10=0,0,SER_hh_fech_in!K10/SER_summary!K$27)</f>
        <v>0</v>
      </c>
      <c r="L10" s="133">
        <f>IF(SER_hh_fech_in!L10=0,0,SER_hh_fech_in!L10/SER_summary!L$27)</f>
        <v>0</v>
      </c>
      <c r="M10" s="133">
        <f>IF(SER_hh_fech_in!M10=0,0,SER_hh_fech_in!M10/SER_summary!M$27)</f>
        <v>0</v>
      </c>
      <c r="N10" s="133">
        <f>IF(SER_hh_fech_in!N10=0,0,SER_hh_fech_in!N10/SER_summary!N$27)</f>
        <v>0</v>
      </c>
      <c r="O10" s="133">
        <f>IF(SER_hh_fech_in!O10=0,0,SER_hh_fech_in!O10/SER_summary!O$27)</f>
        <v>149.2175797806438</v>
      </c>
      <c r="P10" s="133">
        <f>IF(SER_hh_fech_in!P10=0,0,SER_hh_fech_in!P10/SER_summary!P$27)</f>
        <v>116.73999502117583</v>
      </c>
      <c r="Q10" s="133">
        <f>IF(SER_hh_fech_in!Q10=0,0,SER_hh_fech_in!Q10/SER_summary!Q$27)</f>
        <v>187.10994210885315</v>
      </c>
      <c r="R10" s="133">
        <f>IF(SER_hh_fech_in!R10=0,0,SER_hh_fech_in!R10/SER_summary!R$27)</f>
        <v>187.62735870716571</v>
      </c>
      <c r="S10" s="133">
        <f>IF(SER_hh_fech_in!S10=0,0,SER_hh_fech_in!S10/SER_summary!S$27)</f>
        <v>153.91099690489628</v>
      </c>
      <c r="T10" s="133">
        <f>IF(SER_hh_fech_in!T10=0,0,SER_hh_fech_in!T10/SER_summary!T$27)</f>
        <v>143.87580451932001</v>
      </c>
      <c r="U10" s="133">
        <f>IF(SER_hh_fech_in!U10=0,0,SER_hh_fech_in!U10/SER_summary!U$27)</f>
        <v>0</v>
      </c>
      <c r="V10" s="133">
        <f>IF(SER_hh_fech_in!V10=0,0,SER_hh_fech_in!V10/SER_summary!V$27)</f>
        <v>0</v>
      </c>
      <c r="W10" s="133">
        <f>IF(SER_hh_fech_in!W10=0,0,SER_hh_fech_in!W10/SER_summary!W$27)</f>
        <v>0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105.75614591828931</v>
      </c>
      <c r="D11" s="133">
        <f>IF(SER_hh_fech_in!D11=0,0,SER_hh_fech_in!D11/SER_summary!D$27)</f>
        <v>196.07695709544217</v>
      </c>
      <c r="E11" s="133">
        <f>IF(SER_hh_fech_in!E11=0,0,SER_hh_fech_in!E11/SER_summary!E$27)</f>
        <v>234.81333922406489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191.93794213092116</v>
      </c>
      <c r="J11" s="133">
        <f>IF(SER_hh_fech_in!J11=0,0,SER_hh_fech_in!J11/SER_summary!J$27)</f>
        <v>295.0282339008632</v>
      </c>
      <c r="K11" s="133">
        <f>IF(SER_hh_fech_in!K11=0,0,SER_hh_fech_in!K11/SER_summary!K$27)</f>
        <v>246.84110821152819</v>
      </c>
      <c r="L11" s="133">
        <f>IF(SER_hh_fech_in!L11=0,0,SER_hh_fech_in!L11/SER_summary!L$27)</f>
        <v>0</v>
      </c>
      <c r="M11" s="133">
        <f>IF(SER_hh_fech_in!M11=0,0,SER_hh_fech_in!M11/SER_summary!M$27)</f>
        <v>157.60523015609041</v>
      </c>
      <c r="N11" s="133">
        <f>IF(SER_hh_fech_in!N11=0,0,SER_hh_fech_in!N11/SER_summary!N$27)</f>
        <v>128.74217608092505</v>
      </c>
      <c r="O11" s="133">
        <f>IF(SER_hh_fech_in!O11=0,0,SER_hh_fech_in!O11/SER_summary!O$27)</f>
        <v>137.51667338826118</v>
      </c>
      <c r="P11" s="133">
        <f>IF(SER_hh_fech_in!P11=0,0,SER_hh_fech_in!P11/SER_summary!P$27)</f>
        <v>123.80360904292485</v>
      </c>
      <c r="Q11" s="133">
        <f>IF(SER_hh_fech_in!Q11=0,0,SER_hh_fech_in!Q11/SER_summary!Q$27)</f>
        <v>102.33923295316595</v>
      </c>
      <c r="R11" s="133">
        <f>IF(SER_hh_fech_in!R11=0,0,SER_hh_fech_in!R11/SER_summary!R$27)</f>
        <v>106.11944434217401</v>
      </c>
      <c r="S11" s="133">
        <f>IF(SER_hh_fech_in!S11=0,0,SER_hh_fech_in!S11/SER_summary!S$27)</f>
        <v>108.6037406261711</v>
      </c>
      <c r="T11" s="133">
        <f>IF(SER_hh_fech_in!T11=0,0,SER_hh_fech_in!T11/SER_summary!T$27)</f>
        <v>103.52020036276643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0</v>
      </c>
      <c r="G12" s="133">
        <f>IF(SER_hh_fech_in!G12=0,0,SER_hh_fech_in!G12/SER_summary!G$27)</f>
        <v>392.39816745739216</v>
      </c>
      <c r="H12" s="133">
        <f>IF(SER_hh_fech_in!H12=0,0,SER_hh_fech_in!H12/SER_summary!H$27)</f>
        <v>0</v>
      </c>
      <c r="I12" s="133">
        <f>IF(SER_hh_fech_in!I12=0,0,SER_hh_fech_in!I12/SER_summary!I$27)</f>
        <v>255.07198621332162</v>
      </c>
      <c r="J12" s="133">
        <f>IF(SER_hh_fech_in!J12=0,0,SER_hh_fech_in!J12/SER_summary!J$27)</f>
        <v>244.72465802825056</v>
      </c>
      <c r="K12" s="133">
        <f>IF(SER_hh_fech_in!K12=0,0,SER_hh_fech_in!K12/SER_summary!K$27)</f>
        <v>182.72856805046723</v>
      </c>
      <c r="L12" s="133">
        <f>IF(SER_hh_fech_in!L12=0,0,SER_hh_fech_in!L12/SER_summary!L$27)</f>
        <v>185.50712500798383</v>
      </c>
      <c r="M12" s="133">
        <f>IF(SER_hh_fech_in!M12=0,0,SER_hh_fech_in!M12/SER_summary!M$27)</f>
        <v>171.58664093902115</v>
      </c>
      <c r="N12" s="133">
        <f>IF(SER_hh_fech_in!N12=0,0,SER_hh_fech_in!N12/SER_summary!N$27)</f>
        <v>159.68382849849502</v>
      </c>
      <c r="O12" s="133">
        <f>IF(SER_hh_fech_in!O12=0,0,SER_hh_fech_in!O12/SER_summary!O$27)</f>
        <v>140.00926229340038</v>
      </c>
      <c r="P12" s="133">
        <f>IF(SER_hh_fech_in!P12=0,0,SER_hh_fech_in!P12/SER_summary!P$27)</f>
        <v>108.81508195469993</v>
      </c>
      <c r="Q12" s="133">
        <f>IF(SER_hh_fech_in!Q12=0,0,SER_hh_fech_in!Q12/SER_summary!Q$27)</f>
        <v>101.87470991315696</v>
      </c>
      <c r="R12" s="133">
        <f>IF(SER_hh_fech_in!R12=0,0,SER_hh_fech_in!R12/SER_summary!R$27)</f>
        <v>102.80613505851723</v>
      </c>
      <c r="S12" s="133">
        <f>IF(SER_hh_fech_in!S12=0,0,SER_hh_fech_in!S12/SER_summary!S$27)</f>
        <v>0</v>
      </c>
      <c r="T12" s="133">
        <f>IF(SER_hh_fech_in!T12=0,0,SER_hh_fech_in!T12/SER_summary!T$27)</f>
        <v>0</v>
      </c>
      <c r="U12" s="133">
        <f>IF(SER_hh_fech_in!U12=0,0,SER_hh_fech_in!U12/SER_summary!U$27)</f>
        <v>0</v>
      </c>
      <c r="V12" s="133">
        <f>IF(SER_hh_fech_in!V12=0,0,SER_hh_fech_in!V12/SER_summary!V$27)</f>
        <v>68.825911127645625</v>
      </c>
      <c r="W12" s="133">
        <f>IF(SER_hh_fech_in!W12=0,0,SER_hh_fech_in!W12/SER_summary!W$27)</f>
        <v>60.607152729318102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0</v>
      </c>
      <c r="D13" s="133">
        <f>IF(SER_hh_fech_in!D13=0,0,SER_hh_fech_in!D13/SER_summary!D$27)</f>
        <v>0</v>
      </c>
      <c r="E13" s="133">
        <f>IF(SER_hh_fech_in!E13=0,0,SER_hh_fech_in!E13/SER_summary!E$27)</f>
        <v>0</v>
      </c>
      <c r="F13" s="133">
        <f>IF(SER_hh_fech_in!F13=0,0,SER_hh_fech_in!F13/SER_summary!F$27)</f>
        <v>0</v>
      </c>
      <c r="G13" s="133">
        <f>IF(SER_hh_fech_in!G13=0,0,SER_hh_fech_in!G13/SER_summary!G$27)</f>
        <v>0</v>
      </c>
      <c r="H13" s="133">
        <f>IF(SER_hh_fech_in!H13=0,0,SER_hh_fech_in!H13/SER_summary!H$27)</f>
        <v>0</v>
      </c>
      <c r="I13" s="133">
        <f>IF(SER_hh_fech_in!I13=0,0,SER_hh_fech_in!I13/SER_summary!I$27)</f>
        <v>0</v>
      </c>
      <c r="J13" s="133">
        <f>IF(SER_hh_fech_in!J13=0,0,SER_hh_fech_in!J13/SER_summary!J$27)</f>
        <v>0</v>
      </c>
      <c r="K13" s="133">
        <f>IF(SER_hh_fech_in!K13=0,0,SER_hh_fech_in!K13/SER_summary!K$27)</f>
        <v>0</v>
      </c>
      <c r="L13" s="133">
        <f>IF(SER_hh_fech_in!L13=0,0,SER_hh_fech_in!L13/SER_summary!L$27)</f>
        <v>0</v>
      </c>
      <c r="M13" s="133">
        <f>IF(SER_hh_fech_in!M13=0,0,SER_hh_fech_in!M13/SER_summary!M$27)</f>
        <v>0</v>
      </c>
      <c r="N13" s="133">
        <f>IF(SER_hh_fech_in!N13=0,0,SER_hh_fech_in!N13/SER_summary!N$27)</f>
        <v>0</v>
      </c>
      <c r="O13" s="133">
        <f>IF(SER_hh_fech_in!O13=0,0,SER_hh_fech_in!O13/SER_summary!O$27)</f>
        <v>0</v>
      </c>
      <c r="P13" s="133">
        <f>IF(SER_hh_fech_in!P13=0,0,SER_hh_fech_in!P13/SER_summary!P$27)</f>
        <v>0</v>
      </c>
      <c r="Q13" s="133">
        <f>IF(SER_hh_fech_in!Q13=0,0,SER_hh_fech_in!Q13/SER_summary!Q$27)</f>
        <v>0</v>
      </c>
      <c r="R13" s="133">
        <f>IF(SER_hh_fech_in!R13=0,0,SER_hh_fech_in!R13/SER_summary!R$27)</f>
        <v>0</v>
      </c>
      <c r="S13" s="133">
        <f>IF(SER_hh_fech_in!S13=0,0,SER_hh_fech_in!S13/SER_summary!S$27)</f>
        <v>0</v>
      </c>
      <c r="T13" s="133">
        <f>IF(SER_hh_fech_in!T13=0,0,SER_hh_fech_in!T13/SER_summary!T$27)</f>
        <v>0</v>
      </c>
      <c r="U13" s="133">
        <f>IF(SER_hh_fech_in!U13=0,0,SER_hh_fech_in!U13/SER_summary!U$27)</f>
        <v>0</v>
      </c>
      <c r="V13" s="133">
        <f>IF(SER_hh_fech_in!V13=0,0,SER_hh_fech_in!V13/SER_summary!V$27)</f>
        <v>0</v>
      </c>
      <c r="W13" s="133">
        <f>IF(SER_hh_fech_in!W13=0,0,SER_hh_fech_in!W13/SER_summary!W$27)</f>
        <v>0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0</v>
      </c>
      <c r="D14" s="65">
        <f>IF(SER_hh_fech_in!D14=0,0,SER_hh_fech_in!D14/SER_summary!D$27)</f>
        <v>0</v>
      </c>
      <c r="E14" s="65">
        <f>IF(SER_hh_fech_in!E14=0,0,SER_hh_fech_in!E14/SER_summary!E$27)</f>
        <v>0</v>
      </c>
      <c r="F14" s="65">
        <f>IF(SER_hh_fech_in!F14=0,0,SER_hh_fech_in!F14/SER_summary!F$27)</f>
        <v>0</v>
      </c>
      <c r="G14" s="65">
        <f>IF(SER_hh_fech_in!G14=0,0,SER_hh_fech_in!G14/SER_summary!G$27)</f>
        <v>276.84162263080299</v>
      </c>
      <c r="H14" s="65">
        <f>IF(SER_hh_fech_in!H14=0,0,SER_hh_fech_in!H14/SER_summary!H$27)</f>
        <v>302.87687434596046</v>
      </c>
      <c r="I14" s="65">
        <f>IF(SER_hh_fech_in!I14=0,0,SER_hh_fech_in!I14/SER_summary!I$27)</f>
        <v>404.83425359341919</v>
      </c>
      <c r="J14" s="65">
        <f>IF(SER_hh_fech_in!J14=0,0,SER_hh_fech_in!J14/SER_summary!J$27)</f>
        <v>209.93408911118084</v>
      </c>
      <c r="K14" s="65">
        <f>IF(SER_hh_fech_in!K14=0,0,SER_hh_fech_in!K14/SER_summary!K$27)</f>
        <v>170.37329487045722</v>
      </c>
      <c r="L14" s="65">
        <f>IF(SER_hh_fech_in!L14=0,0,SER_hh_fech_in!L14/SER_summary!L$27)</f>
        <v>279.15709130629102</v>
      </c>
      <c r="M14" s="65">
        <f>IF(SER_hh_fech_in!M14=0,0,SER_hh_fech_in!M14/SER_summary!M$27)</f>
        <v>220.83658530339412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0</v>
      </c>
      <c r="T14" s="65">
        <f>IF(SER_hh_fech_in!T14=0,0,SER_hh_fech_in!T14/SER_summary!T$27)</f>
        <v>0</v>
      </c>
      <c r="U14" s="65">
        <f>IF(SER_hh_fech_in!U14=0,0,SER_hh_fech_in!U14/SER_summary!U$27)</f>
        <v>0</v>
      </c>
      <c r="V14" s="65">
        <f>IF(SER_hh_fech_in!V14=0,0,SER_hh_fech_in!V14/SER_summary!V$27)</f>
        <v>0</v>
      </c>
      <c r="W14" s="65">
        <f>IF(SER_hh_fech_in!W14=0,0,SER_hh_fech_in!W14/SER_summary!W$27)</f>
        <v>62.994924835090089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2.7734866293359417</v>
      </c>
      <c r="D15" s="135">
        <f>IF(SER_hh_fech_in!D15=0,0,SER_hh_fech_in!D15/SER_summary!D$27)</f>
        <v>1.8691589743914103</v>
      </c>
      <c r="E15" s="135">
        <f>IF(SER_hh_fech_in!E15=0,0,SER_hh_fech_in!E15/SER_summary!E$27)</f>
        <v>3.2261345627377902</v>
      </c>
      <c r="F15" s="135">
        <f>IF(SER_hh_fech_in!F15=0,0,SER_hh_fech_in!F15/SER_summary!F$27)</f>
        <v>3.4654456928033883</v>
      </c>
      <c r="G15" s="135">
        <f>IF(SER_hh_fech_in!G15=0,0,SER_hh_fech_in!G15/SER_summary!G$27)</f>
        <v>2.9360296337315286</v>
      </c>
      <c r="H15" s="135">
        <f>IF(SER_hh_fech_in!H15=0,0,SER_hh_fech_in!H15/SER_summary!H$27)</f>
        <v>6.1876822690180093</v>
      </c>
      <c r="I15" s="135">
        <f>IF(SER_hh_fech_in!I15=0,0,SER_hh_fech_in!I15/SER_summary!I$27)</f>
        <v>2.4204105950106083</v>
      </c>
      <c r="J15" s="135">
        <f>IF(SER_hh_fech_in!J15=0,0,SER_hh_fech_in!J15/SER_summary!J$27)</f>
        <v>1.6278640729103959</v>
      </c>
      <c r="K15" s="135">
        <f>IF(SER_hh_fech_in!K15=0,0,SER_hh_fech_in!K15/SER_summary!K$27)</f>
        <v>1.6468208738750574</v>
      </c>
      <c r="L15" s="135">
        <f>IF(SER_hh_fech_in!L15=0,0,SER_hh_fech_in!L15/SER_summary!L$27)</f>
        <v>1.5679591068479779</v>
      </c>
      <c r="M15" s="135">
        <f>IF(SER_hh_fech_in!M15=0,0,SER_hh_fech_in!M15/SER_summary!M$27)</f>
        <v>1.6208730098862365</v>
      </c>
      <c r="N15" s="135">
        <f>IF(SER_hh_fech_in!N15=0,0,SER_hh_fech_in!N15/SER_summary!N$27)</f>
        <v>1.3576458421183404</v>
      </c>
      <c r="O15" s="135">
        <f>IF(SER_hh_fech_in!O15=0,0,SER_hh_fech_in!O15/SER_summary!O$27)</f>
        <v>1.3847559840835546</v>
      </c>
      <c r="P15" s="135">
        <f>IF(SER_hh_fech_in!P15=0,0,SER_hh_fech_in!P15/SER_summary!P$27)</f>
        <v>1.3118516981659463</v>
      </c>
      <c r="Q15" s="135">
        <f>IF(SER_hh_fech_in!Q15=0,0,SER_hh_fech_in!Q15/SER_summary!Q$27)</f>
        <v>1.1477802349240489</v>
      </c>
      <c r="R15" s="135">
        <f>IF(SER_hh_fech_in!R15=0,0,SER_hh_fech_in!R15/SER_summary!R$27)</f>
        <v>1.1103624898678273</v>
      </c>
      <c r="S15" s="135">
        <f>IF(SER_hh_fech_in!S15=0,0,SER_hh_fech_in!S15/SER_summary!S$27)</f>
        <v>1.2524006705462019</v>
      </c>
      <c r="T15" s="135">
        <f>IF(SER_hh_fech_in!T15=0,0,SER_hh_fech_in!T15/SER_summary!T$27)</f>
        <v>1.2583581958604666</v>
      </c>
      <c r="U15" s="135">
        <f>IF(SER_hh_fech_in!U15=0,0,SER_hh_fech_in!U15/SER_summary!U$27)</f>
        <v>1.1374642199182914</v>
      </c>
      <c r="V15" s="135">
        <f>IF(SER_hh_fech_in!V15=0,0,SER_hh_fech_in!V15/SER_summary!V$27)</f>
        <v>0.8600396763213356</v>
      </c>
      <c r="W15" s="135">
        <f>IF(SER_hh_fech_in!W15=0,0,SER_hh_fech_in!W15/SER_summary!W$27)</f>
        <v>0.84057207859599736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14.713471059622249</v>
      </c>
      <c r="D16" s="131">
        <f>IF(SER_hh_fech_in!D16=0,0,SER_hh_fech_in!D16/SER_summary!D$27)</f>
        <v>13.622985485130224</v>
      </c>
      <c r="E16" s="131">
        <f>IF(SER_hh_fech_in!E16=0,0,SER_hh_fech_in!E16/SER_summary!E$27)</f>
        <v>13.314610497027621</v>
      </c>
      <c r="F16" s="131">
        <f>IF(SER_hh_fech_in!F16=0,0,SER_hh_fech_in!F16/SER_summary!F$27)</f>
        <v>11.254255677177039</v>
      </c>
      <c r="G16" s="131">
        <f>IF(SER_hh_fech_in!G16=0,0,SER_hh_fech_in!G16/SER_summary!G$27)</f>
        <v>10.969169056019904</v>
      </c>
      <c r="H16" s="131">
        <f>IF(SER_hh_fech_in!H16=0,0,SER_hh_fech_in!H16/SER_summary!H$27)</f>
        <v>11.360844927901583</v>
      </c>
      <c r="I16" s="131">
        <f>IF(SER_hh_fech_in!I16=0,0,SER_hh_fech_in!I16/SER_summary!I$27)</f>
        <v>14.574631279984697</v>
      </c>
      <c r="J16" s="131">
        <f>IF(SER_hh_fech_in!J16=0,0,SER_hh_fech_in!J16/SER_summary!J$27)</f>
        <v>11.163115315547362</v>
      </c>
      <c r="K16" s="131">
        <f>IF(SER_hh_fech_in!K16=0,0,SER_hh_fech_in!K16/SER_summary!K$27)</f>
        <v>10.257869252833984</v>
      </c>
      <c r="L16" s="131">
        <f>IF(SER_hh_fech_in!L16=0,0,SER_hh_fech_in!L16/SER_summary!L$27)</f>
        <v>11.712269530058899</v>
      </c>
      <c r="M16" s="131">
        <f>IF(SER_hh_fech_in!M16=0,0,SER_hh_fech_in!M16/SER_summary!M$27)</f>
        <v>9.6981926858281522</v>
      </c>
      <c r="N16" s="131">
        <f>IF(SER_hh_fech_in!N16=0,0,SER_hh_fech_in!N16/SER_summary!N$27)</f>
        <v>14.156552245652952</v>
      </c>
      <c r="O16" s="131">
        <f>IF(SER_hh_fech_in!O16=0,0,SER_hh_fech_in!O16/SER_summary!O$27)</f>
        <v>9.1788403772471305</v>
      </c>
      <c r="P16" s="131">
        <f>IF(SER_hh_fech_in!P16=0,0,SER_hh_fech_in!P16/SER_summary!P$27)</f>
        <v>8.2018095288463666</v>
      </c>
      <c r="Q16" s="131">
        <f>IF(SER_hh_fech_in!Q16=0,0,SER_hh_fech_in!Q16/SER_summary!Q$27)</f>
        <v>10.293758881879453</v>
      </c>
      <c r="R16" s="131">
        <f>IF(SER_hh_fech_in!R16=0,0,SER_hh_fech_in!R16/SER_summary!R$27)</f>
        <v>8.489381931831403</v>
      </c>
      <c r="S16" s="131">
        <f>IF(SER_hh_fech_in!S16=0,0,SER_hh_fech_in!S16/SER_summary!S$27)</f>
        <v>8.8843888288325701</v>
      </c>
      <c r="T16" s="131">
        <f>IF(SER_hh_fech_in!T16=0,0,SER_hh_fech_in!T16/SER_summary!T$27)</f>
        <v>7.5662136024878013</v>
      </c>
      <c r="U16" s="131">
        <f>IF(SER_hh_fech_in!U16=0,0,SER_hh_fech_in!U16/SER_summary!U$27)</f>
        <v>8.2554437024684351</v>
      </c>
      <c r="V16" s="131">
        <f>IF(SER_hh_fech_in!V16=0,0,SER_hh_fech_in!V16/SER_summary!V$27)</f>
        <v>7.3708485730358344</v>
      </c>
      <c r="W16" s="131">
        <f>IF(SER_hh_fech_in!W16=0,0,SER_hh_fech_in!W16/SER_summary!W$27)</f>
        <v>7.8469526472972415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14.713471059622249</v>
      </c>
      <c r="D18" s="133">
        <f>IF(SER_hh_fech_in!D18=0,0,SER_hh_fech_in!D18/SER_summary!D$27)</f>
        <v>13.622985485130224</v>
      </c>
      <c r="E18" s="133">
        <f>IF(SER_hh_fech_in!E18=0,0,SER_hh_fech_in!E18/SER_summary!E$27)</f>
        <v>13.314610497027621</v>
      </c>
      <c r="F18" s="133">
        <f>IF(SER_hh_fech_in!F18=0,0,SER_hh_fech_in!F18/SER_summary!F$27)</f>
        <v>11.254255677177039</v>
      </c>
      <c r="G18" s="133">
        <f>IF(SER_hh_fech_in!G18=0,0,SER_hh_fech_in!G18/SER_summary!G$27)</f>
        <v>10.969169056019904</v>
      </c>
      <c r="H18" s="133">
        <f>IF(SER_hh_fech_in!H18=0,0,SER_hh_fech_in!H18/SER_summary!H$27)</f>
        <v>11.360844927901583</v>
      </c>
      <c r="I18" s="133">
        <f>IF(SER_hh_fech_in!I18=0,0,SER_hh_fech_in!I18/SER_summary!I$27)</f>
        <v>14.574631279984697</v>
      </c>
      <c r="J18" s="133">
        <f>IF(SER_hh_fech_in!J18=0,0,SER_hh_fech_in!J18/SER_summary!J$27)</f>
        <v>11.163115315547362</v>
      </c>
      <c r="K18" s="133">
        <f>IF(SER_hh_fech_in!K18=0,0,SER_hh_fech_in!K18/SER_summary!K$27)</f>
        <v>10.257869252833984</v>
      </c>
      <c r="L18" s="133">
        <f>IF(SER_hh_fech_in!L18=0,0,SER_hh_fech_in!L18/SER_summary!L$27)</f>
        <v>11.712269530058899</v>
      </c>
      <c r="M18" s="133">
        <f>IF(SER_hh_fech_in!M18=0,0,SER_hh_fech_in!M18/SER_summary!M$27)</f>
        <v>9.6981926858281522</v>
      </c>
      <c r="N18" s="133">
        <f>IF(SER_hh_fech_in!N18=0,0,SER_hh_fech_in!N18/SER_summary!N$27)</f>
        <v>14.156552245652952</v>
      </c>
      <c r="O18" s="133">
        <f>IF(SER_hh_fech_in!O18=0,0,SER_hh_fech_in!O18/SER_summary!O$27)</f>
        <v>9.1788403772471305</v>
      </c>
      <c r="P18" s="133">
        <f>IF(SER_hh_fech_in!P18=0,0,SER_hh_fech_in!P18/SER_summary!P$27)</f>
        <v>8.2018095288463666</v>
      </c>
      <c r="Q18" s="133">
        <f>IF(SER_hh_fech_in!Q18=0,0,SER_hh_fech_in!Q18/SER_summary!Q$27)</f>
        <v>10.293758881879453</v>
      </c>
      <c r="R18" s="133">
        <f>IF(SER_hh_fech_in!R18=0,0,SER_hh_fech_in!R18/SER_summary!R$27)</f>
        <v>8.489381931831403</v>
      </c>
      <c r="S18" s="133">
        <f>IF(SER_hh_fech_in!S18=0,0,SER_hh_fech_in!S18/SER_summary!S$27)</f>
        <v>8.8843888288325701</v>
      </c>
      <c r="T18" s="133">
        <f>IF(SER_hh_fech_in!T18=0,0,SER_hh_fech_in!T18/SER_summary!T$27)</f>
        <v>7.5662136024878013</v>
      </c>
      <c r="U18" s="133">
        <f>IF(SER_hh_fech_in!U18=0,0,SER_hh_fech_in!U18/SER_summary!U$27)</f>
        <v>8.2554437024684351</v>
      </c>
      <c r="V18" s="133">
        <f>IF(SER_hh_fech_in!V18=0,0,SER_hh_fech_in!V18/SER_summary!V$27)</f>
        <v>7.3708485730358344</v>
      </c>
      <c r="W18" s="133">
        <f>IF(SER_hh_fech_in!W18=0,0,SER_hh_fech_in!W18/SER_summary!W$27)</f>
        <v>7.8469526472972415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53.636295442061972</v>
      </c>
      <c r="D19" s="131">
        <f>IF(SER_hh_fech_in!D19=0,0,SER_hh_fech_in!D19/SER_summary!D$27)</f>
        <v>24.703278264225752</v>
      </c>
      <c r="E19" s="131">
        <f>IF(SER_hh_fech_in!E19=0,0,SER_hh_fech_in!E19/SER_summary!E$27)</f>
        <v>46.638843904736753</v>
      </c>
      <c r="F19" s="131">
        <f>IF(SER_hh_fech_in!F19=0,0,SER_hh_fech_in!F19/SER_summary!F$27)</f>
        <v>59.903218929510736</v>
      </c>
      <c r="G19" s="131">
        <f>IF(SER_hh_fech_in!G19=0,0,SER_hh_fech_in!G19/SER_summary!G$27)</f>
        <v>49.675392471727548</v>
      </c>
      <c r="H19" s="131">
        <f>IF(SER_hh_fech_in!H19=0,0,SER_hh_fech_in!H19/SER_summary!H$27)</f>
        <v>52.631486692054047</v>
      </c>
      <c r="I19" s="131">
        <f>IF(SER_hh_fech_in!I19=0,0,SER_hh_fech_in!I19/SER_summary!I$27)</f>
        <v>50.147496331739042</v>
      </c>
      <c r="J19" s="131">
        <f>IF(SER_hh_fech_in!J19=0,0,SER_hh_fech_in!J19/SER_summary!J$27)</f>
        <v>47.339013162298706</v>
      </c>
      <c r="K19" s="131">
        <f>IF(SER_hh_fech_in!K19=0,0,SER_hh_fech_in!K19/SER_summary!K$27)</f>
        <v>50.152965604929932</v>
      </c>
      <c r="L19" s="131">
        <f>IF(SER_hh_fech_in!L19=0,0,SER_hh_fech_in!L19/SER_summary!L$27)</f>
        <v>47.119718778972825</v>
      </c>
      <c r="M19" s="131">
        <f>IF(SER_hh_fech_in!M19=0,0,SER_hh_fech_in!M19/SER_summary!M$27)</f>
        <v>45.911688384761788</v>
      </c>
      <c r="N19" s="131">
        <f>IF(SER_hh_fech_in!N19=0,0,SER_hh_fech_in!N19/SER_summary!N$27)</f>
        <v>45.649268722133755</v>
      </c>
      <c r="O19" s="131">
        <f>IF(SER_hh_fech_in!O19=0,0,SER_hh_fech_in!O19/SER_summary!O$27)</f>
        <v>46.98248271881134</v>
      </c>
      <c r="P19" s="131">
        <f>IF(SER_hh_fech_in!P19=0,0,SER_hh_fech_in!P19/SER_summary!P$27)</f>
        <v>45.246903357124239</v>
      </c>
      <c r="Q19" s="131">
        <f>IF(SER_hh_fech_in!Q19=0,0,SER_hh_fech_in!Q19/SER_summary!Q$27)</f>
        <v>43.694621890331504</v>
      </c>
      <c r="R19" s="131">
        <f>IF(SER_hh_fech_in!R19=0,0,SER_hh_fech_in!R19/SER_summary!R$27)</f>
        <v>42.211588262846959</v>
      </c>
      <c r="S19" s="131">
        <f>IF(SER_hh_fech_in!S19=0,0,SER_hh_fech_in!S19/SER_summary!S$27)</f>
        <v>42.861963484613533</v>
      </c>
      <c r="T19" s="131">
        <f>IF(SER_hh_fech_in!T19=0,0,SER_hh_fech_in!T19/SER_summary!T$27)</f>
        <v>40.473644739532624</v>
      </c>
      <c r="U19" s="131">
        <f>IF(SER_hh_fech_in!U19=0,0,SER_hh_fech_in!U19/SER_summary!U$27)</f>
        <v>37.366621196922189</v>
      </c>
      <c r="V19" s="131">
        <f>IF(SER_hh_fech_in!V19=0,0,SER_hh_fech_in!V19/SER_summary!V$27)</f>
        <v>34.396902980625676</v>
      </c>
      <c r="W19" s="131">
        <f>IF(SER_hh_fech_in!W19=0,0,SER_hh_fech_in!W19/SER_summary!W$27)</f>
        <v>39.321542338217625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12.315656496430117</v>
      </c>
      <c r="D22" s="133">
        <f>IF(SER_hh_fech_in!D22=0,0,SER_hh_fech_in!D22/SER_summary!D$27)</f>
        <v>37.625340933103224</v>
      </c>
      <c r="E22" s="133">
        <f>IF(SER_hh_fech_in!E22=0,0,SER_hh_fech_in!E22/SER_summary!E$27)</f>
        <v>52.183715590933481</v>
      </c>
      <c r="F22" s="133">
        <f>IF(SER_hh_fech_in!F22=0,0,SER_hh_fech_in!F22/SER_summary!F$27)</f>
        <v>59.575794404534122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0</v>
      </c>
      <c r="K22" s="133">
        <f>IF(SER_hh_fech_in!K22=0,0,SER_hh_fech_in!K22/SER_summary!K$27)</f>
        <v>0</v>
      </c>
      <c r="L22" s="133">
        <f>IF(SER_hh_fech_in!L22=0,0,SER_hh_fech_in!L22/SER_summary!L$27)</f>
        <v>54.196425175656806</v>
      </c>
      <c r="M22" s="133">
        <f>IF(SER_hh_fech_in!M22=0,0,SER_hh_fech_in!M22/SER_summary!M$27)</f>
        <v>49.692710856853274</v>
      </c>
      <c r="N22" s="133">
        <f>IF(SER_hh_fech_in!N22=0,0,SER_hh_fech_in!N22/SER_summary!N$27)</f>
        <v>52.332932376461756</v>
      </c>
      <c r="O22" s="133">
        <f>IF(SER_hh_fech_in!O22=0,0,SER_hh_fech_in!O22/SER_summary!O$27)</f>
        <v>58.205418427793887</v>
      </c>
      <c r="P22" s="133">
        <f>IF(SER_hh_fech_in!P22=0,0,SER_hh_fech_in!P22/SER_summary!P$27)</f>
        <v>51.924279328980461</v>
      </c>
      <c r="Q22" s="133">
        <f>IF(SER_hh_fech_in!Q22=0,0,SER_hh_fech_in!Q22/SER_summary!Q$27)</f>
        <v>49.036431938313889</v>
      </c>
      <c r="R22" s="133">
        <f>IF(SER_hh_fech_in!R22=0,0,SER_hh_fech_in!R22/SER_summary!R$27)</f>
        <v>40.260253674737491</v>
      </c>
      <c r="S22" s="133">
        <f>IF(SER_hh_fech_in!S22=0,0,SER_hh_fech_in!S22/SER_summary!S$27)</f>
        <v>46.03747155681441</v>
      </c>
      <c r="T22" s="133">
        <f>IF(SER_hh_fech_in!T22=0,0,SER_hh_fech_in!T22/SER_summary!T$27)</f>
        <v>44.816379248485198</v>
      </c>
      <c r="U22" s="133">
        <f>IF(SER_hh_fech_in!U22=0,0,SER_hh_fech_in!U22/SER_summary!U$27)</f>
        <v>37.500527373413966</v>
      </c>
      <c r="V22" s="133">
        <f>IF(SER_hh_fech_in!V22=0,0,SER_hh_fech_in!V22/SER_summary!V$27)</f>
        <v>33.636702250226108</v>
      </c>
      <c r="W22" s="133">
        <f>IF(SER_hh_fech_in!W22=0,0,SER_hh_fech_in!W22/SER_summary!W$27)</f>
        <v>43.376291826800752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35.790453496329143</v>
      </c>
      <c r="D23" s="133">
        <f>IF(SER_hh_fech_in!D23=0,0,SER_hh_fech_in!D23/SER_summary!D$27)</f>
        <v>21.100903580378016</v>
      </c>
      <c r="E23" s="133">
        <f>IF(SER_hh_fech_in!E23=0,0,SER_hh_fech_in!E23/SER_summary!E$27)</f>
        <v>41.18878178348492</v>
      </c>
      <c r="F23" s="133">
        <f>IF(SER_hh_fech_in!F23=0,0,SER_hh_fech_in!F23/SER_summary!F$27)</f>
        <v>62.444337014288863</v>
      </c>
      <c r="G23" s="133">
        <f>IF(SER_hh_fech_in!G23=0,0,SER_hh_fech_in!G23/SER_summary!G$27)</f>
        <v>52.870670409191725</v>
      </c>
      <c r="H23" s="133">
        <f>IF(SER_hh_fech_in!H23=0,0,SER_hh_fech_in!H23/SER_summary!H$27)</f>
        <v>60.404651739373286</v>
      </c>
      <c r="I23" s="133">
        <f>IF(SER_hh_fech_in!I23=0,0,SER_hh_fech_in!I23/SER_summary!I$27)</f>
        <v>52.223893037164999</v>
      </c>
      <c r="J23" s="133">
        <f>IF(SER_hh_fech_in!J23=0,0,SER_hh_fech_in!J23/SER_summary!J$27)</f>
        <v>43.594299990091365</v>
      </c>
      <c r="K23" s="133">
        <f>IF(SER_hh_fech_in!K23=0,0,SER_hh_fech_in!K23/SER_summary!K$27)</f>
        <v>58.000811452977892</v>
      </c>
      <c r="L23" s="133">
        <f>IF(SER_hh_fech_in!L23=0,0,SER_hh_fech_in!L23/SER_summary!L$27)</f>
        <v>53.226581022628515</v>
      </c>
      <c r="M23" s="133">
        <f>IF(SER_hh_fech_in!M23=0,0,SER_hh_fech_in!M23/SER_summary!M$27)</f>
        <v>47.492465732228347</v>
      </c>
      <c r="N23" s="133">
        <f>IF(SER_hh_fech_in!N23=0,0,SER_hh_fech_in!N23/SER_summary!N$27)</f>
        <v>46.314110394939163</v>
      </c>
      <c r="O23" s="133">
        <f>IF(SER_hh_fech_in!O23=0,0,SER_hh_fech_in!O23/SER_summary!O$27)</f>
        <v>44.98457398846368</v>
      </c>
      <c r="P23" s="133">
        <f>IF(SER_hh_fech_in!P23=0,0,SER_hh_fech_in!P23/SER_summary!P$27)</f>
        <v>44.052111586233316</v>
      </c>
      <c r="Q23" s="133">
        <f>IF(SER_hh_fech_in!Q23=0,0,SER_hh_fech_in!Q23/SER_summary!Q$27)</f>
        <v>42.788578286496701</v>
      </c>
      <c r="R23" s="133">
        <f>IF(SER_hh_fech_in!R23=0,0,SER_hh_fech_in!R23/SER_summary!R$27)</f>
        <v>42.754971060574832</v>
      </c>
      <c r="S23" s="133">
        <f>IF(SER_hh_fech_in!S23=0,0,SER_hh_fech_in!S23/SER_summary!S$27)</f>
        <v>42.442041012283958</v>
      </c>
      <c r="T23" s="133">
        <f>IF(SER_hh_fech_in!T23=0,0,SER_hh_fech_in!T23/SER_summary!T$27)</f>
        <v>39.412063792429528</v>
      </c>
      <c r="U23" s="133">
        <f>IF(SER_hh_fech_in!U23=0,0,SER_hh_fech_in!U23/SER_summary!U$27)</f>
        <v>38.573878232906452</v>
      </c>
      <c r="V23" s="133">
        <f>IF(SER_hh_fech_in!V23=0,0,SER_hh_fech_in!V23/SER_summary!V$27)</f>
        <v>36.471388561207874</v>
      </c>
      <c r="W23" s="133">
        <f>IF(SER_hh_fech_in!W23=0,0,SER_hh_fech_in!W23/SER_summary!W$27)</f>
        <v>34.584148408887621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22.941501315811987</v>
      </c>
      <c r="D24" s="133">
        <f>IF(SER_hh_fech_in!D24=0,0,SER_hh_fech_in!D24/SER_summary!D$27)</f>
        <v>0</v>
      </c>
      <c r="E24" s="133">
        <f>IF(SER_hh_fech_in!E24=0,0,SER_hh_fech_in!E24/SER_summary!E$27)</f>
        <v>38.091786810531389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42.446570936576883</v>
      </c>
      <c r="K24" s="133">
        <f>IF(SER_hh_fech_in!K24=0,0,SER_hh_fech_in!K24/SER_summary!K$27)</f>
        <v>43.543760334550676</v>
      </c>
      <c r="L24" s="133">
        <f>IF(SER_hh_fech_in!L24=0,0,SER_hh_fech_in!L24/SER_summary!L$27)</f>
        <v>44.213038258648808</v>
      </c>
      <c r="M24" s="133">
        <f>IF(SER_hh_fech_in!M24=0,0,SER_hh_fech_in!M24/SER_summary!M$27)</f>
        <v>45.965591518353357</v>
      </c>
      <c r="N24" s="133">
        <f>IF(SER_hh_fech_in!N24=0,0,SER_hh_fech_in!N24/SER_summary!N$27)</f>
        <v>46.960436577951462</v>
      </c>
      <c r="O24" s="133">
        <f>IF(SER_hh_fech_in!O24=0,0,SER_hh_fech_in!O24/SER_summary!O$27)</f>
        <v>47.187394223124301</v>
      </c>
      <c r="P24" s="133">
        <f>IF(SER_hh_fech_in!P24=0,0,SER_hh_fech_in!P24/SER_summary!P$27)</f>
        <v>47.599818054419423</v>
      </c>
      <c r="Q24" s="133">
        <f>IF(SER_hh_fech_in!Q24=0,0,SER_hh_fech_in!Q24/SER_summary!Q$27)</f>
        <v>50.265501857350806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0</v>
      </c>
      <c r="F25" s="133">
        <f>IF(SER_hh_fech_in!F25=0,0,SER_hh_fech_in!F25/SER_summary!F$27)</f>
        <v>0</v>
      </c>
      <c r="G25" s="133">
        <f>IF(SER_hh_fech_in!G25=0,0,SER_hh_fech_in!G25/SER_summary!G$27)</f>
        <v>43.625959312213979</v>
      </c>
      <c r="H25" s="133">
        <f>IF(SER_hh_fech_in!H25=0,0,SER_hh_fech_in!H25/SER_summary!H$27)</f>
        <v>39.802130758982877</v>
      </c>
      <c r="I25" s="133">
        <f>IF(SER_hh_fech_in!I25=0,0,SER_hh_fech_in!I25/SER_summary!I$27)</f>
        <v>37.542859956669176</v>
      </c>
      <c r="J25" s="133">
        <f>IF(SER_hh_fech_in!J25=0,0,SER_hh_fech_in!J25/SER_summary!J$27)</f>
        <v>43.19675804910149</v>
      </c>
      <c r="K25" s="133">
        <f>IF(SER_hh_fech_in!K25=0,0,SER_hh_fech_in!K25/SER_summary!K$27)</f>
        <v>39.81508466831788</v>
      </c>
      <c r="L25" s="133">
        <f>IF(SER_hh_fech_in!L25=0,0,SER_hh_fech_in!L25/SER_summary!L$27)</f>
        <v>37.619633471597226</v>
      </c>
      <c r="M25" s="133">
        <f>IF(SER_hh_fech_in!M25=0,0,SER_hh_fech_in!M25/SER_summary!M$27)</f>
        <v>39.340662566106424</v>
      </c>
      <c r="N25" s="133">
        <f>IF(SER_hh_fech_in!N25=0,0,SER_hh_fech_in!N25/SER_summary!N$27)</f>
        <v>40.0291211059373</v>
      </c>
      <c r="O25" s="133">
        <f>IF(SER_hh_fech_in!O25=0,0,SER_hh_fech_in!O25/SER_summary!O$27)</f>
        <v>40.439962107673104</v>
      </c>
      <c r="P25" s="133">
        <f>IF(SER_hh_fech_in!P25=0,0,SER_hh_fech_in!P25/SER_summary!P$27)</f>
        <v>37.470494607950897</v>
      </c>
      <c r="Q25" s="133">
        <f>IF(SER_hh_fech_in!Q25=0,0,SER_hh_fech_in!Q25/SER_summary!Q$27)</f>
        <v>38.671153308390323</v>
      </c>
      <c r="R25" s="133">
        <f>IF(SER_hh_fech_in!R25=0,0,SER_hh_fech_in!R25/SER_summary!R$27)</f>
        <v>39.207263529336267</v>
      </c>
      <c r="S25" s="133">
        <f>IF(SER_hh_fech_in!S25=0,0,SER_hh_fech_in!S25/SER_summary!S$27)</f>
        <v>0</v>
      </c>
      <c r="T25" s="133">
        <f>IF(SER_hh_fech_in!T25=0,0,SER_hh_fech_in!T25/SER_summary!T$27)</f>
        <v>0</v>
      </c>
      <c r="U25" s="133">
        <f>IF(SER_hh_fech_in!U25=0,0,SER_hh_fech_in!U25/SER_summary!U$27)</f>
        <v>33.843141427922866</v>
      </c>
      <c r="V25" s="133">
        <f>IF(SER_hh_fech_in!V25=0,0,SER_hh_fech_in!V25/SER_summary!V$27)</f>
        <v>33.658813497456826</v>
      </c>
      <c r="W25" s="133">
        <f>IF(SER_hh_fech_in!W25=0,0,SER_hh_fech_in!W25/SER_summary!W$27)</f>
        <v>33.703829457266259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85.203849850745499</v>
      </c>
      <c r="D26" s="65">
        <f>IF(SER_hh_fech_in!D26=0,0,SER_hh_fech_in!D26/SER_summary!D$27)</f>
        <v>7.776276167393144</v>
      </c>
      <c r="E26" s="65">
        <f>IF(SER_hh_fech_in!E26=0,0,SER_hh_fech_in!E26/SER_summary!E$27)</f>
        <v>50.362680982976094</v>
      </c>
      <c r="F26" s="65">
        <f>IF(SER_hh_fech_in!F26=0,0,SER_hh_fech_in!F26/SER_summary!F$27)</f>
        <v>50.232175886423143</v>
      </c>
      <c r="G26" s="65">
        <f>IF(SER_hh_fech_in!G26=0,0,SER_hh_fech_in!G26/SER_summary!G$27)</f>
        <v>45.75826678763751</v>
      </c>
      <c r="H26" s="65">
        <f>IF(SER_hh_fech_in!H26=0,0,SER_hh_fech_in!H26/SER_summary!H$27)</f>
        <v>46.267965261476505</v>
      </c>
      <c r="I26" s="65">
        <f>IF(SER_hh_fech_in!I26=0,0,SER_hh_fech_in!I26/SER_summary!I$27)</f>
        <v>54.074254709198236</v>
      </c>
      <c r="J26" s="65">
        <f>IF(SER_hh_fech_in!J26=0,0,SER_hh_fech_in!J26/SER_summary!J$27)</f>
        <v>56.806813041201941</v>
      </c>
      <c r="K26" s="65">
        <f>IF(SER_hh_fech_in!K26=0,0,SER_hh_fech_in!K26/SER_summary!K$27)</f>
        <v>0</v>
      </c>
      <c r="L26" s="65">
        <f>IF(SER_hh_fech_in!L26=0,0,SER_hh_fech_in!L26/SER_summary!L$27)</f>
        <v>0</v>
      </c>
      <c r="M26" s="65">
        <f>IF(SER_hh_fech_in!M26=0,0,SER_hh_fech_in!M26/SER_summary!M$27)</f>
        <v>50.734793957828387</v>
      </c>
      <c r="N26" s="65">
        <f>IF(SER_hh_fech_in!N26=0,0,SER_hh_fech_in!N26/SER_summary!N$27)</f>
        <v>43.516651810299521</v>
      </c>
      <c r="O26" s="65">
        <f>IF(SER_hh_fech_in!O26=0,0,SER_hh_fech_in!O26/SER_summary!O$27)</f>
        <v>43.392371952943087</v>
      </c>
      <c r="P26" s="65">
        <f>IF(SER_hh_fech_in!P26=0,0,SER_hh_fech_in!P26/SER_summary!P$27)</f>
        <v>43.849855410450765</v>
      </c>
      <c r="Q26" s="65">
        <f>IF(SER_hh_fech_in!Q26=0,0,SER_hh_fech_in!Q26/SER_summary!Q$27)</f>
        <v>42.622757703471549</v>
      </c>
      <c r="R26" s="65">
        <f>IF(SER_hh_fech_in!R26=0,0,SER_hh_fech_in!R26/SER_summary!R$27)</f>
        <v>42.478361672433209</v>
      </c>
      <c r="S26" s="65">
        <f>IF(SER_hh_fech_in!S26=0,0,SER_hh_fech_in!S26/SER_summary!S$27)</f>
        <v>36.588349809061768</v>
      </c>
      <c r="T26" s="65">
        <f>IF(SER_hh_fech_in!T26=0,0,SER_hh_fech_in!T26/SER_summary!T$27)</f>
        <v>37.066891841782493</v>
      </c>
      <c r="U26" s="65">
        <f>IF(SER_hh_fech_in!U26=0,0,SER_hh_fech_in!U26/SER_summary!U$27)</f>
        <v>34.918978156770393</v>
      </c>
      <c r="V26" s="65">
        <f>IF(SER_hh_fech_in!V26=0,0,SER_hh_fech_in!V26/SER_summary!V$27)</f>
        <v>31.419355787625754</v>
      </c>
      <c r="W26" s="65">
        <f>IF(SER_hh_fech_in!W26=0,0,SER_hh_fech_in!W26/SER_summary!W$27)</f>
        <v>25.617837943190676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0.19422166040276986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0.22034819344506482</v>
      </c>
      <c r="M27" s="146">
        <f>IF(SER_hh_fech_in!M27=0,0,SER_hh_fech_in!M27/SER_summary!M$27)</f>
        <v>0</v>
      </c>
      <c r="N27" s="146">
        <f>IF(SER_hh_fech_in!N27=0,0,SER_hh_fech_in!N27/SER_summary!N$27)</f>
        <v>0.47222891130337957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1.5438984927886316E-17</v>
      </c>
      <c r="R27" s="146">
        <f>IF(SER_hh_fech_in!R27=0,0,SER_hh_fech_in!R27/SER_summary!R$27)</f>
        <v>2.8505571572588452E-8</v>
      </c>
      <c r="S27" s="146">
        <f>IF(SER_hh_fech_in!S27=0,0,SER_hh_fech_in!S27/SER_summary!S$27)</f>
        <v>0.13992669034027197</v>
      </c>
      <c r="T27" s="146">
        <f>IF(SER_hh_fech_in!T27=0,0,SER_hh_fech_in!T27/SER_summary!T$27)</f>
        <v>0</v>
      </c>
      <c r="U27" s="146">
        <f>IF(SER_hh_fech_in!U27=0,0,SER_hh_fech_in!U27/SER_summary!U$27)</f>
        <v>6.6548981979095603E-2</v>
      </c>
      <c r="V27" s="146">
        <f>IF(SER_hh_fech_in!V27=0,0,SER_hh_fech_in!V27/SER_summary!V$27)</f>
        <v>0</v>
      </c>
      <c r="W27" s="146">
        <f>IF(SER_hh_fech_in!W27=0,0,SER_hh_fech_in!W27/SER_summary!W$27)</f>
        <v>2.4133382328609758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25.568551288436403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23.984094439649063</v>
      </c>
      <c r="M28" s="147">
        <f>IF(SER_hh_fech_in!M28=0,0,SER_hh_fech_in!M28/SER_summary!M$27)</f>
        <v>0</v>
      </c>
      <c r="N28" s="147">
        <f>IF(SER_hh_fech_in!N28=0,0,SER_hh_fech_in!N28/SER_summary!N$27)</f>
        <v>33.411119596547557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31.963211239844252</v>
      </c>
      <c r="R28" s="147">
        <f>IF(SER_hh_fech_in!R28=0,0,SER_hh_fech_in!R28/SER_summary!R$27)</f>
        <v>30.603562781219427</v>
      </c>
      <c r="S28" s="147">
        <f>IF(SER_hh_fech_in!S28=0,0,SER_hh_fech_in!S28/SER_summary!S$27)</f>
        <v>25.959699539612604</v>
      </c>
      <c r="T28" s="147">
        <f>IF(SER_hh_fech_in!T28=0,0,SER_hh_fech_in!T28/SER_summary!T$27)</f>
        <v>0</v>
      </c>
      <c r="U28" s="147">
        <f>IF(SER_hh_fech_in!U28=0,0,SER_hh_fech_in!U28/SER_summary!U$27)</f>
        <v>24.595609259034983</v>
      </c>
      <c r="V28" s="147">
        <f>IF(SER_hh_fech_in!V28=0,0,SER_hh_fech_in!V28/SER_summary!V$27)</f>
        <v>0</v>
      </c>
      <c r="W28" s="147">
        <f>IF(SER_hh_fech_in!W28=0,0,SER_hh_fech_in!W28/SER_summary!W$27)</f>
        <v>26.313422494386629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53.626435986325582</v>
      </c>
      <c r="D29" s="131">
        <f>IF(SER_hh_fech_in!D29=0,0,SER_hh_fech_in!D29/SER_summary!D$27)</f>
        <v>28.527596823288622</v>
      </c>
      <c r="E29" s="131">
        <f>IF(SER_hh_fech_in!E29=0,0,SER_hh_fech_in!E29/SER_summary!E$27)</f>
        <v>57.235313385941289</v>
      </c>
      <c r="F29" s="131">
        <f>IF(SER_hh_fech_in!F29=0,0,SER_hh_fech_in!F29/SER_summary!F$27)</f>
        <v>79.924273416500213</v>
      </c>
      <c r="G29" s="131">
        <f>IF(SER_hh_fech_in!G29=0,0,SER_hh_fech_in!G29/SER_summary!G$27)</f>
        <v>68.591013820766733</v>
      </c>
      <c r="H29" s="131">
        <f>IF(SER_hh_fech_in!H29=0,0,SER_hh_fech_in!H29/SER_summary!H$27)</f>
        <v>61.366153908176834</v>
      </c>
      <c r="I29" s="131">
        <f>IF(SER_hh_fech_in!I29=0,0,SER_hh_fech_in!I29/SER_summary!I$27)</f>
        <v>35.825462767573072</v>
      </c>
      <c r="J29" s="131">
        <f>IF(SER_hh_fech_in!J29=0,0,SER_hh_fech_in!J29/SER_summary!J$27)</f>
        <v>66.32853869814015</v>
      </c>
      <c r="K29" s="131">
        <f>IF(SER_hh_fech_in!K29=0,0,SER_hh_fech_in!K29/SER_summary!K$27)</f>
        <v>62.155901746386952</v>
      </c>
      <c r="L29" s="131">
        <f>IF(SER_hh_fech_in!L29=0,0,SER_hh_fech_in!L29/SER_summary!L$27)</f>
        <v>59.219281935858668</v>
      </c>
      <c r="M29" s="131">
        <f>IF(SER_hh_fech_in!M29=0,0,SER_hh_fech_in!M29/SER_summary!M$27)</f>
        <v>61.909524160037527</v>
      </c>
      <c r="N29" s="131">
        <f>IF(SER_hh_fech_in!N29=0,0,SER_hh_fech_in!N29/SER_summary!N$27)</f>
        <v>64.738680391938075</v>
      </c>
      <c r="O29" s="131">
        <f>IF(SER_hh_fech_in!O29=0,0,SER_hh_fech_in!O29/SER_summary!O$27)</f>
        <v>67.524544535642363</v>
      </c>
      <c r="P29" s="131">
        <f>IF(SER_hh_fech_in!P29=0,0,SER_hh_fech_in!P29/SER_summary!P$27)</f>
        <v>70.165909324898251</v>
      </c>
      <c r="Q29" s="131">
        <f>IF(SER_hh_fech_in!Q29=0,0,SER_hh_fech_in!Q29/SER_summary!Q$27)</f>
        <v>72.835575668576666</v>
      </c>
      <c r="R29" s="131">
        <f>IF(SER_hh_fech_in!R29=0,0,SER_hh_fech_in!R29/SER_summary!R$27)</f>
        <v>67.765167957924049</v>
      </c>
      <c r="S29" s="131">
        <f>IF(SER_hh_fech_in!S29=0,0,SER_hh_fech_in!S29/SER_summary!S$27)</f>
        <v>63.347668582553844</v>
      </c>
      <c r="T29" s="131">
        <f>IF(SER_hh_fech_in!T29=0,0,SER_hh_fech_in!T29/SER_summary!T$27)</f>
        <v>59.028989477355523</v>
      </c>
      <c r="U29" s="131">
        <f>IF(SER_hh_fech_in!U29=0,0,SER_hh_fech_in!U29/SER_summary!U$27)</f>
        <v>57.760003719866482</v>
      </c>
      <c r="V29" s="131">
        <f>IF(SER_hh_fech_in!V29=0,0,SER_hh_fech_in!V29/SER_summary!V$27)</f>
        <v>52.068493458062079</v>
      </c>
      <c r="W29" s="131">
        <f>IF(SER_hh_fech_in!W29=0,0,SER_hh_fech_in!W29/SER_summary!W$27)</f>
        <v>55.153236194421325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41.206436294504819</v>
      </c>
      <c r="D30" s="133">
        <f>IF(SER_hh_fech_in!D30=0,0,SER_hh_fech_in!D30/SER_summary!D$27)</f>
        <v>18.183616902701093</v>
      </c>
      <c r="E30" s="133">
        <f>IF(SER_hh_fech_in!E30=0,0,SER_hh_fech_in!E30/SER_summary!E$27)</f>
        <v>54.553974585722322</v>
      </c>
      <c r="F30" s="133">
        <f>IF(SER_hh_fech_in!F30=0,0,SER_hh_fech_in!F30/SER_summary!F$27)</f>
        <v>83.165170222559553</v>
      </c>
      <c r="G30" s="133">
        <f>IF(SER_hh_fech_in!G30=0,0,SER_hh_fech_in!G30/SER_summary!G$27)</f>
        <v>100.23223988759725</v>
      </c>
      <c r="H30" s="133">
        <f>IF(SER_hh_fech_in!H30=0,0,SER_hh_fech_in!H30/SER_summary!H$27)</f>
        <v>41.51426484795568</v>
      </c>
      <c r="I30" s="133">
        <f>IF(SER_hh_fech_in!I30=0,0,SER_hh_fech_in!I30/SER_summary!I$27)</f>
        <v>127.0231665779631</v>
      </c>
      <c r="J30" s="133">
        <f>IF(SER_hh_fech_in!J30=0,0,SER_hh_fech_in!J30/SER_summary!J$27)</f>
        <v>0</v>
      </c>
      <c r="K30" s="133">
        <f>IF(SER_hh_fech_in!K30=0,0,SER_hh_fech_in!K30/SER_summary!K$27)</f>
        <v>0</v>
      </c>
      <c r="L30" s="133">
        <f>IF(SER_hh_fech_in!L30=0,0,SER_hh_fech_in!L30/SER_summary!L$27)</f>
        <v>0</v>
      </c>
      <c r="M30" s="133">
        <f>IF(SER_hh_fech_in!M30=0,0,SER_hh_fech_in!M30/SER_summary!M$27)</f>
        <v>0</v>
      </c>
      <c r="N30" s="133">
        <f>IF(SER_hh_fech_in!N30=0,0,SER_hh_fech_in!N30/SER_summary!N$27)</f>
        <v>72.599468106988709</v>
      </c>
      <c r="O30" s="133">
        <f>IF(SER_hh_fech_in!O30=0,0,SER_hh_fech_in!O30/SER_summary!O$27)</f>
        <v>73.441948741935931</v>
      </c>
      <c r="P30" s="133">
        <f>IF(SER_hh_fech_in!P30=0,0,SER_hh_fech_in!P30/SER_summary!P$27)</f>
        <v>79.657848730247807</v>
      </c>
      <c r="Q30" s="133">
        <f>IF(SER_hh_fech_in!Q30=0,0,SER_hh_fech_in!Q30/SER_summary!Q$27)</f>
        <v>88.324136248313636</v>
      </c>
      <c r="R30" s="133">
        <f>IF(SER_hh_fech_in!R30=0,0,SER_hh_fech_in!R30/SER_summary!R$27)</f>
        <v>77.762515251477922</v>
      </c>
      <c r="S30" s="133">
        <f>IF(SER_hh_fech_in!S30=0,0,SER_hh_fech_in!S30/SER_summary!S$27)</f>
        <v>75.184501294642601</v>
      </c>
      <c r="T30" s="133">
        <f>IF(SER_hh_fech_in!T30=0,0,SER_hh_fech_in!T30/SER_summary!T$27)</f>
        <v>76.879550076770087</v>
      </c>
      <c r="U30" s="133">
        <f>IF(SER_hh_fech_in!U30=0,0,SER_hh_fech_in!U30/SER_summary!U$27)</f>
        <v>76.112907780364736</v>
      </c>
      <c r="V30" s="133">
        <f>IF(SER_hh_fech_in!V30=0,0,SER_hh_fech_in!V30/SER_summary!V$27)</f>
        <v>69.758946993115813</v>
      </c>
      <c r="W30" s="133">
        <f>IF(SER_hh_fech_in!W30=0,0,SER_hh_fech_in!W30/SER_summary!W$27)</f>
        <v>71.175952732101422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61.945115648383911</v>
      </c>
      <c r="D31" s="133">
        <f>IF(SER_hh_fech_in!D31=0,0,SER_hh_fech_in!D31/SER_summary!D$27)</f>
        <v>35.769318999712524</v>
      </c>
      <c r="E31" s="133">
        <f>IF(SER_hh_fech_in!E31=0,0,SER_hh_fech_in!E31/SER_summary!E$27)</f>
        <v>58.632561494072867</v>
      </c>
      <c r="F31" s="133">
        <f>IF(SER_hh_fech_in!F31=0,0,SER_hh_fech_in!F31/SER_summary!F$27)</f>
        <v>78.144446473782594</v>
      </c>
      <c r="G31" s="133">
        <f>IF(SER_hh_fech_in!G31=0,0,SER_hh_fech_in!G31/SER_summary!G$27)</f>
        <v>63.514962076215888</v>
      </c>
      <c r="H31" s="133">
        <f>IF(SER_hh_fech_in!H31=0,0,SER_hh_fech_in!H31/SER_summary!H$27)</f>
        <v>86.998243098457351</v>
      </c>
      <c r="I31" s="133">
        <f>IF(SER_hh_fech_in!I31=0,0,SER_hh_fech_in!I31/SER_summary!I$27)</f>
        <v>65.91874087325786</v>
      </c>
      <c r="J31" s="133">
        <f>IF(SER_hh_fech_in!J31=0,0,SER_hh_fech_in!J31/SER_summary!J$27)</f>
        <v>71.763129523980282</v>
      </c>
      <c r="K31" s="133">
        <f>IF(SER_hh_fech_in!K31=0,0,SER_hh_fech_in!K31/SER_summary!K$27)</f>
        <v>74.763786714108747</v>
      </c>
      <c r="L31" s="133">
        <f>IF(SER_hh_fech_in!L31=0,0,SER_hh_fech_in!L31/SER_summary!L$27)</f>
        <v>74.809614847664193</v>
      </c>
      <c r="M31" s="133">
        <f>IF(SER_hh_fech_in!M31=0,0,SER_hh_fech_in!M31/SER_summary!M$27)</f>
        <v>75.121982388480106</v>
      </c>
      <c r="N31" s="133">
        <f>IF(SER_hh_fech_in!N31=0,0,SER_hh_fech_in!N31/SER_summary!N$27)</f>
        <v>74.93442835509741</v>
      </c>
      <c r="O31" s="133">
        <f>IF(SER_hh_fech_in!O31=0,0,SER_hh_fech_in!O31/SER_summary!O$27)</f>
        <v>77.068026767109842</v>
      </c>
      <c r="P31" s="133">
        <f>IF(SER_hh_fech_in!P31=0,0,SER_hh_fech_in!P31/SER_summary!P$27)</f>
        <v>76.021788337327152</v>
      </c>
      <c r="Q31" s="133">
        <f>IF(SER_hh_fech_in!Q31=0,0,SER_hh_fech_in!Q31/SER_summary!Q$27)</f>
        <v>79.514770106831321</v>
      </c>
      <c r="R31" s="133">
        <f>IF(SER_hh_fech_in!R31=0,0,SER_hh_fech_in!R31/SER_summary!R$27)</f>
        <v>75.130514077223822</v>
      </c>
      <c r="S31" s="133">
        <f>IF(SER_hh_fech_in!S31=0,0,SER_hh_fech_in!S31/SER_summary!S$27)</f>
        <v>77.966605566504981</v>
      </c>
      <c r="T31" s="133">
        <f>IF(SER_hh_fech_in!T31=0,0,SER_hh_fech_in!T31/SER_summary!T$27)</f>
        <v>74.735977384408386</v>
      </c>
      <c r="U31" s="133">
        <f>IF(SER_hh_fech_in!U31=0,0,SER_hh_fech_in!U31/SER_summary!U$27)</f>
        <v>74.201780600531123</v>
      </c>
      <c r="V31" s="133">
        <f>IF(SER_hh_fech_in!V31=0,0,SER_hh_fech_in!V31/SER_summary!V$27)</f>
        <v>69.358567169591993</v>
      </c>
      <c r="W31" s="133">
        <f>IF(SER_hh_fech_in!W31=0,0,SER_hh_fech_in!W31/SER_summary!W$27)</f>
        <v>71.14095212195889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51.477423281960249</v>
      </c>
      <c r="D33" s="68">
        <f>IF(SER_hh_fech_in!D33=0,0,SER_hh_fech_in!D33/SER_summary!D$27)</f>
        <v>0</v>
      </c>
      <c r="E33" s="68">
        <f>IF(SER_hh_fech_in!E33=0,0,SER_hh_fech_in!E33/SER_summary!E$27)</f>
        <v>0</v>
      </c>
      <c r="F33" s="68">
        <f>IF(SER_hh_fech_in!F33=0,0,SER_hh_fech_in!F33/SER_summary!F$27)</f>
        <v>0</v>
      </c>
      <c r="G33" s="68">
        <f>IF(SER_hh_fech_in!G33=0,0,SER_hh_fech_in!G33/SER_summary!G$27)</f>
        <v>0</v>
      </c>
      <c r="H33" s="68">
        <f>IF(SER_hh_fech_in!H33=0,0,SER_hh_fech_in!H33/SER_summary!H$27)</f>
        <v>45.818354153189858</v>
      </c>
      <c r="I33" s="68">
        <f>IF(SER_hh_fech_in!I33=0,0,SER_hh_fech_in!I33/SER_summary!I$27)</f>
        <v>26.346126175442091</v>
      </c>
      <c r="J33" s="68">
        <f>IF(SER_hh_fech_in!J33=0,0,SER_hh_fech_in!J33/SER_summary!J$27)</f>
        <v>66.093058323506909</v>
      </c>
      <c r="K33" s="68">
        <f>IF(SER_hh_fech_in!K33=0,0,SER_hh_fech_in!K33/SER_summary!K$27)</f>
        <v>61.076991082406877</v>
      </c>
      <c r="L33" s="68">
        <f>IF(SER_hh_fech_in!L33=0,0,SER_hh_fech_in!L33/SER_summary!L$27)</f>
        <v>55.410810320711249</v>
      </c>
      <c r="M33" s="68">
        <f>IF(SER_hh_fech_in!M33=0,0,SER_hh_fech_in!M33/SER_summary!M$27)</f>
        <v>56.658100894957379</v>
      </c>
      <c r="N33" s="68">
        <f>IF(SER_hh_fech_in!N33=0,0,SER_hh_fech_in!N33/SER_summary!N$27)</f>
        <v>57.001377760678707</v>
      </c>
      <c r="O33" s="68">
        <f>IF(SER_hh_fech_in!O33=0,0,SER_hh_fech_in!O33/SER_summary!O$27)</f>
        <v>59.199350718570152</v>
      </c>
      <c r="P33" s="68">
        <f>IF(SER_hh_fech_in!P33=0,0,SER_hh_fech_in!P33/SER_summary!P$27)</f>
        <v>59.549384658558282</v>
      </c>
      <c r="Q33" s="68">
        <f>IF(SER_hh_fech_in!Q33=0,0,SER_hh_fech_in!Q33/SER_summary!Q$27)</f>
        <v>57.554804829844564</v>
      </c>
      <c r="R33" s="68">
        <f>IF(SER_hh_fech_in!R33=0,0,SER_hh_fech_in!R33/SER_summary!R$27)</f>
        <v>56.382672488605117</v>
      </c>
      <c r="S33" s="68">
        <f>IF(SER_hh_fech_in!S33=0,0,SER_hh_fech_in!S33/SER_summary!S$27)</f>
        <v>51.821681350200826</v>
      </c>
      <c r="T33" s="68">
        <f>IF(SER_hh_fech_in!T33=0,0,SER_hh_fech_in!T33/SER_summary!T$27)</f>
        <v>52.970549788378655</v>
      </c>
      <c r="U33" s="68">
        <f>IF(SER_hh_fech_in!U33=0,0,SER_hh_fech_in!U33/SER_summary!U$27)</f>
        <v>52.544549250643961</v>
      </c>
      <c r="V33" s="68">
        <f>IF(SER_hh_fech_in!V33=0,0,SER_hh_fech_in!V33/SER_summary!V$27)</f>
        <v>46.09937921020348</v>
      </c>
      <c r="W33" s="68">
        <f>IF(SER_hh_fech_in!W33=0,0,SER_hh_fech_in!W33/SER_summary!W$27)</f>
        <v>49.825753792754689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267.72438528639248</v>
      </c>
      <c r="D3" s="126">
        <f>IF(SER_hh_tesh_in!D3=0,0,SER_hh_tesh_in!D3/SER_summary!D$27)</f>
        <v>162.69026466547018</v>
      </c>
      <c r="E3" s="126">
        <f>IF(SER_hh_tesh_in!E3=0,0,SER_hh_tesh_in!E3/SER_summary!E$27)</f>
        <v>242.81224223755552</v>
      </c>
      <c r="F3" s="126">
        <f>IF(SER_hh_tesh_in!F3=0,0,SER_hh_tesh_in!F3/SER_summary!F$27)</f>
        <v>279.81324872654176</v>
      </c>
      <c r="G3" s="126">
        <f>IF(SER_hh_tesh_in!G3=0,0,SER_hh_tesh_in!G3/SER_summary!G$27)</f>
        <v>287.55866682626464</v>
      </c>
      <c r="H3" s="126">
        <f>IF(SER_hh_tesh_in!H3=0,0,SER_hh_tesh_in!H3/SER_summary!H$27)</f>
        <v>433.75135846481925</v>
      </c>
      <c r="I3" s="126">
        <f>IF(SER_hh_tesh_in!I3=0,0,SER_hh_tesh_in!I3/SER_summary!I$27)</f>
        <v>318.40874049885286</v>
      </c>
      <c r="J3" s="126">
        <f>IF(SER_hh_tesh_in!J3=0,0,SER_hh_tesh_in!J3/SER_summary!J$27)</f>
        <v>275.09115555244631</v>
      </c>
      <c r="K3" s="126">
        <f>IF(SER_hh_tesh_in!K3=0,0,SER_hh_tesh_in!K3/SER_summary!K$27)</f>
        <v>252.19622047493067</v>
      </c>
      <c r="L3" s="126">
        <f>IF(SER_hh_tesh_in!L3=0,0,SER_hh_tesh_in!L3/SER_summary!L$27)</f>
        <v>251.45484117739804</v>
      </c>
      <c r="M3" s="126">
        <f>IF(SER_hh_tesh_in!M3=0,0,SER_hh_tesh_in!M3/SER_summary!M$27)</f>
        <v>236.3898212226014</v>
      </c>
      <c r="N3" s="126">
        <f>IF(SER_hh_tesh_in!N3=0,0,SER_hh_tesh_in!N3/SER_summary!N$27)</f>
        <v>234.70672527066787</v>
      </c>
      <c r="O3" s="126">
        <f>IF(SER_hh_tesh_in!O3=0,0,SER_hh_tesh_in!O3/SER_summary!O$27)</f>
        <v>202.63695354401975</v>
      </c>
      <c r="P3" s="126">
        <f>IF(SER_hh_tesh_in!P3=0,0,SER_hh_tesh_in!P3/SER_summary!P$27)</f>
        <v>185.61084821258569</v>
      </c>
      <c r="Q3" s="126">
        <f>IF(SER_hh_tesh_in!Q3=0,0,SER_hh_tesh_in!Q3/SER_summary!Q$27)</f>
        <v>184.17753984144096</v>
      </c>
      <c r="R3" s="126">
        <f>IF(SER_hh_tesh_in!R3=0,0,SER_hh_tesh_in!R3/SER_summary!R$27)</f>
        <v>175.6685427155594</v>
      </c>
      <c r="S3" s="126">
        <f>IF(SER_hh_tesh_in!S3=0,0,SER_hh_tesh_in!S3/SER_summary!S$27)</f>
        <v>177.82057770893417</v>
      </c>
      <c r="T3" s="126">
        <f>IF(SER_hh_tesh_in!T3=0,0,SER_hh_tesh_in!T3/SER_summary!T$27)</f>
        <v>174.83033036281171</v>
      </c>
      <c r="U3" s="126">
        <f>IF(SER_hh_tesh_in!U3=0,0,SER_hh_tesh_in!U3/SER_summary!U$27)</f>
        <v>170.97727616831526</v>
      </c>
      <c r="V3" s="126">
        <f>IF(SER_hh_tesh_in!V3=0,0,SER_hh_tesh_in!V3/SER_summary!V$27)</f>
        <v>147.3122686953989</v>
      </c>
      <c r="W3" s="126">
        <f>IF(SER_hh_tesh_in!W3=0,0,SER_hh_tesh_in!W3/SER_summary!W$27)</f>
        <v>166.02581561925737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194.54690047123708</v>
      </c>
      <c r="D4" s="131">
        <f>IF(SER_hh_tesh_in!D4=0,0,SER_hh_tesh_in!D4/SER_summary!D$27)</f>
        <v>122.23523294819367</v>
      </c>
      <c r="E4" s="131">
        <f>IF(SER_hh_tesh_in!E4=0,0,SER_hh_tesh_in!E4/SER_summary!E$27)</f>
        <v>174.77203860537256</v>
      </c>
      <c r="F4" s="131">
        <f>IF(SER_hh_tesh_in!F4=0,0,SER_hh_tesh_in!F4/SER_summary!F$27)</f>
        <v>190.8312273587305</v>
      </c>
      <c r="G4" s="131">
        <f>IF(SER_hh_tesh_in!G4=0,0,SER_hh_tesh_in!G4/SER_summary!G$27)</f>
        <v>211.32489006696176</v>
      </c>
      <c r="H4" s="131">
        <f>IF(SER_hh_tesh_in!H4=0,0,SER_hh_tesh_in!H4/SER_summary!H$27)</f>
        <v>350.90005268007019</v>
      </c>
      <c r="I4" s="131">
        <f>IF(SER_hh_tesh_in!I4=0,0,SER_hh_tesh_in!I4/SER_summary!I$27)</f>
        <v>238.37796761662275</v>
      </c>
      <c r="J4" s="131">
        <f>IF(SER_hh_tesh_in!J4=0,0,SER_hh_tesh_in!J4/SER_summary!J$27)</f>
        <v>173.73906589080752</v>
      </c>
      <c r="K4" s="131">
        <f>IF(SER_hh_tesh_in!K4=0,0,SER_hh_tesh_in!K4/SER_summary!K$27)</f>
        <v>150.4478821054953</v>
      </c>
      <c r="L4" s="131">
        <f>IF(SER_hh_tesh_in!L4=0,0,SER_hh_tesh_in!L4/SER_summary!L$27)</f>
        <v>161.81371601192569</v>
      </c>
      <c r="M4" s="131">
        <f>IF(SER_hh_tesh_in!M4=0,0,SER_hh_tesh_in!M4/SER_summary!M$27)</f>
        <v>143.7455809325846</v>
      </c>
      <c r="N4" s="131">
        <f>IF(SER_hh_tesh_in!N4=0,0,SER_hh_tesh_in!N4/SER_summary!N$27)</f>
        <v>124.07853996372533</v>
      </c>
      <c r="O4" s="131">
        <f>IF(SER_hh_tesh_in!O4=0,0,SER_hh_tesh_in!O4/SER_summary!O$27)</f>
        <v>110.37837940403934</v>
      </c>
      <c r="P4" s="131">
        <f>IF(SER_hh_tesh_in!P4=0,0,SER_hh_tesh_in!P4/SER_summary!P$27)</f>
        <v>91.687370544999737</v>
      </c>
      <c r="Q4" s="131">
        <f>IF(SER_hh_tesh_in!Q4=0,0,SER_hh_tesh_in!Q4/SER_summary!Q$27)</f>
        <v>88.975043890922421</v>
      </c>
      <c r="R4" s="131">
        <f>IF(SER_hh_tesh_in!R4=0,0,SER_hh_tesh_in!R4/SER_summary!R$27)</f>
        <v>84.963440575092662</v>
      </c>
      <c r="S4" s="131">
        <f>IF(SER_hh_tesh_in!S4=0,0,SER_hh_tesh_in!S4/SER_summary!S$27)</f>
        <v>85.699784820057531</v>
      </c>
      <c r="T4" s="131">
        <f>IF(SER_hh_tesh_in!T4=0,0,SER_hh_tesh_in!T4/SER_summary!T$27)</f>
        <v>80.843593573587597</v>
      </c>
      <c r="U4" s="131">
        <f>IF(SER_hh_tesh_in!U4=0,0,SER_hh_tesh_in!U4/SER_summary!U$27)</f>
        <v>72.600309536402989</v>
      </c>
      <c r="V4" s="131">
        <f>IF(SER_hh_tesh_in!V4=0,0,SER_hh_tesh_in!V4/SER_summary!V$27)</f>
        <v>60.460431827434775</v>
      </c>
      <c r="W4" s="131">
        <f>IF(SER_hh_tesh_in!W4=0,0,SER_hh_tesh_in!W4/SER_summary!W$27)</f>
        <v>60.279143138421958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229.1493032719863</v>
      </c>
      <c r="D5" s="133">
        <f>IF(SER_hh_tesh_in!D5=0,0,SER_hh_tesh_in!D5/SER_summary!D$27)</f>
        <v>144.86914566926646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421.40424459402084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152.8197380614414</v>
      </c>
      <c r="M5" s="133">
        <f>IF(SER_hh_tesh_in!M5=0,0,SER_hh_tesh_in!M5/SER_summary!M$27)</f>
        <v>165.4722644642367</v>
      </c>
      <c r="N5" s="133">
        <f>IF(SER_hh_tesh_in!N5=0,0,SER_hh_tesh_in!N5/SER_summary!N$27)</f>
        <v>88.389289400068733</v>
      </c>
      <c r="O5" s="133">
        <f>IF(SER_hh_tesh_in!O5=0,0,SER_hh_tesh_in!O5/SER_summary!O$27)</f>
        <v>135.23179271453225</v>
      </c>
      <c r="P5" s="133">
        <f>IF(SER_hh_tesh_in!P5=0,0,SER_hh_tesh_in!P5/SER_summary!P$27)</f>
        <v>81.966655034524223</v>
      </c>
      <c r="Q5" s="133">
        <f>IF(SER_hh_tesh_in!Q5=0,0,SER_hh_tesh_in!Q5/SER_summary!Q$27)</f>
        <v>82.385960559285934</v>
      </c>
      <c r="R5" s="133">
        <f>IF(SER_hh_tesh_in!R5=0,0,SER_hh_tesh_in!R5/SER_summary!R$27)</f>
        <v>139.20054929180276</v>
      </c>
      <c r="S5" s="133">
        <f>IF(SER_hh_tesh_in!S5=0,0,SER_hh_tesh_in!S5/SER_summary!S$27)</f>
        <v>0</v>
      </c>
      <c r="T5" s="133">
        <f>IF(SER_hh_tesh_in!T5=0,0,SER_hh_tesh_in!T5/SER_summary!T$27)</f>
        <v>123.49617313518904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130.60899363181258</v>
      </c>
      <c r="D7" s="133">
        <f>IF(SER_hh_tesh_in!D7=0,0,SER_hh_tesh_in!D7/SER_summary!D$27)</f>
        <v>138.73398571953769</v>
      </c>
      <c r="E7" s="133">
        <f>IF(SER_hh_tesh_in!E7=0,0,SER_hh_tesh_in!E7/SER_summary!E$27)</f>
        <v>123.78312008262226</v>
      </c>
      <c r="F7" s="133">
        <f>IF(SER_hh_tesh_in!F7=0,0,SER_hh_tesh_in!F7/SER_summary!F$27)</f>
        <v>211.41659391496592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97.459587909159865</v>
      </c>
      <c r="M7" s="133">
        <f>IF(SER_hh_tesh_in!M7=0,0,SER_hh_tesh_in!M7/SER_summary!M$27)</f>
        <v>167.20693165734482</v>
      </c>
      <c r="N7" s="133">
        <f>IF(SER_hh_tesh_in!N7=0,0,SER_hh_tesh_in!N7/SER_summary!N$27)</f>
        <v>128.84622744594049</v>
      </c>
      <c r="O7" s="133">
        <f>IF(SER_hh_tesh_in!O7=0,0,SER_hh_tesh_in!O7/SER_summary!O$27)</f>
        <v>94.555484843819713</v>
      </c>
      <c r="P7" s="133">
        <f>IF(SER_hh_tesh_in!P7=0,0,SER_hh_tesh_in!P7/SER_summary!P$27)</f>
        <v>83.564478248928722</v>
      </c>
      <c r="Q7" s="133">
        <f>IF(SER_hh_tesh_in!Q7=0,0,SER_hh_tesh_in!Q7/SER_summary!Q$27)</f>
        <v>81.638857355120365</v>
      </c>
      <c r="R7" s="133">
        <f>IF(SER_hh_tesh_in!R7=0,0,SER_hh_tesh_in!R7/SER_summary!R$27)</f>
        <v>75.561584422789267</v>
      </c>
      <c r="S7" s="133">
        <f>IF(SER_hh_tesh_in!S7=0,0,SER_hh_tesh_in!S7/SER_summary!S$27)</f>
        <v>87.631318676630997</v>
      </c>
      <c r="T7" s="133">
        <f>IF(SER_hh_tesh_in!T7=0,0,SER_hh_tesh_in!T7/SER_summary!T$27)</f>
        <v>82.995109077958205</v>
      </c>
      <c r="U7" s="133">
        <f>IF(SER_hh_tesh_in!U7=0,0,SER_hh_tesh_in!U7/SER_summary!U$27)</f>
        <v>71.156655261789481</v>
      </c>
      <c r="V7" s="133">
        <f>IF(SER_hh_tesh_in!V7=0,0,SER_hh_tesh_in!V7/SER_summary!V$27)</f>
        <v>55.236007847734491</v>
      </c>
      <c r="W7" s="133">
        <f>IF(SER_hh_tesh_in!W7=0,0,SER_hh_tesh_in!W7/SER_summary!W$27)</f>
        <v>64.338907808605114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356.55651721045984</v>
      </c>
      <c r="D9" s="133">
        <f>IF(SER_hh_tesh_in!D9=0,0,SER_hh_tesh_in!D9/SER_summary!D$27)</f>
        <v>32.420838752217378</v>
      </c>
      <c r="E9" s="133">
        <f>IF(SER_hh_tesh_in!E9=0,0,SER_hh_tesh_in!E9/SER_summary!E$27)</f>
        <v>179.77672960712596</v>
      </c>
      <c r="F9" s="133">
        <f>IF(SER_hh_tesh_in!F9=0,0,SER_hh_tesh_in!F9/SER_summary!F$27)</f>
        <v>181.51689898415083</v>
      </c>
      <c r="G9" s="133">
        <f>IF(SER_hh_tesh_in!G9=0,0,SER_hh_tesh_in!G9/SER_summary!G$27)</f>
        <v>183.55960850877418</v>
      </c>
      <c r="H9" s="133">
        <f>IF(SER_hh_tesh_in!H9=0,0,SER_hh_tesh_in!H9/SER_summary!H$27)</f>
        <v>345.71417980450718</v>
      </c>
      <c r="I9" s="133">
        <f>IF(SER_hh_tesh_in!I9=0,0,SER_hh_tesh_in!I9/SER_summary!I$27)</f>
        <v>222.60142503813339</v>
      </c>
      <c r="J9" s="133">
        <f>IF(SER_hh_tesh_in!J9=0,0,SER_hh_tesh_in!J9/SER_summary!J$27)</f>
        <v>149.50995342533668</v>
      </c>
      <c r="K9" s="133">
        <f>IF(SER_hh_tesh_in!K9=0,0,SER_hh_tesh_in!K9/SER_summary!K$27)</f>
        <v>164.8057041622813</v>
      </c>
      <c r="L9" s="133">
        <f>IF(SER_hh_tesh_in!L9=0,0,SER_hh_tesh_in!L9/SER_summary!L$27)</f>
        <v>161.2817808903115</v>
      </c>
      <c r="M9" s="133">
        <f>IF(SER_hh_tesh_in!M9=0,0,SER_hh_tesh_in!M9/SER_summary!M$27)</f>
        <v>119.44417030477541</v>
      </c>
      <c r="N9" s="133">
        <f>IF(SER_hh_tesh_in!N9=0,0,SER_hh_tesh_in!N9/SER_summary!N$27)</f>
        <v>116.58154998759433</v>
      </c>
      <c r="O9" s="133">
        <f>IF(SER_hh_tesh_in!O9=0,0,SER_hh_tesh_in!O9/SER_summary!O$27)</f>
        <v>108.32417516909042</v>
      </c>
      <c r="P9" s="133">
        <f>IF(SER_hh_tesh_in!P9=0,0,SER_hh_tesh_in!P9/SER_summary!P$27)</f>
        <v>96.896300059428256</v>
      </c>
      <c r="Q9" s="133">
        <f>IF(SER_hh_tesh_in!Q9=0,0,SER_hh_tesh_in!Q9/SER_summary!Q$27)</f>
        <v>83.447117188923997</v>
      </c>
      <c r="R9" s="133">
        <f>IF(SER_hh_tesh_in!R9=0,0,SER_hh_tesh_in!R9/SER_summary!R$27)</f>
        <v>80.19968016473635</v>
      </c>
      <c r="S9" s="133">
        <f>IF(SER_hh_tesh_in!S9=0,0,SER_hh_tesh_in!S9/SER_summary!S$27)</f>
        <v>81.571787914178742</v>
      </c>
      <c r="T9" s="133">
        <f>IF(SER_hh_tesh_in!T9=0,0,SER_hh_tesh_in!T9/SER_summary!T$27)</f>
        <v>77.016037487170706</v>
      </c>
      <c r="U9" s="133">
        <f>IF(SER_hh_tesh_in!U9=0,0,SER_hh_tesh_in!U9/SER_summary!U$27)</f>
        <v>71.640886262631227</v>
      </c>
      <c r="V9" s="133">
        <f>IF(SER_hh_tesh_in!V9=0,0,SER_hh_tesh_in!V9/SER_summary!V$27)</f>
        <v>62.21177014370069</v>
      </c>
      <c r="W9" s="133">
        <f>IF(SER_hh_tesh_in!W9=0,0,SER_hh_tesh_in!W9/SER_summary!W$27)</f>
        <v>53.366624018969787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200.02641170000584</v>
      </c>
      <c r="D10" s="133">
        <f>IF(SER_hh_tesh_in!D10=0,0,SER_hh_tesh_in!D10/SER_summary!D$27)</f>
        <v>150.87919066930368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0</v>
      </c>
      <c r="J10" s="133">
        <f>IF(SER_hh_tesh_in!J10=0,0,SER_hh_tesh_in!J10/SER_summary!J$27)</f>
        <v>178.28065256591793</v>
      </c>
      <c r="K10" s="133">
        <f>IF(SER_hh_tesh_in!K10=0,0,SER_hh_tesh_in!K10/SER_summary!K$27)</f>
        <v>0</v>
      </c>
      <c r="L10" s="133">
        <f>IF(SER_hh_tesh_in!L10=0,0,SER_hh_tesh_in!L10/SER_summary!L$27)</f>
        <v>0</v>
      </c>
      <c r="M10" s="133">
        <f>IF(SER_hh_tesh_in!M10=0,0,SER_hh_tesh_in!M10/SER_summary!M$27)</f>
        <v>0</v>
      </c>
      <c r="N10" s="133">
        <f>IF(SER_hh_tesh_in!N10=0,0,SER_hh_tesh_in!N10/SER_summary!N$27)</f>
        <v>0</v>
      </c>
      <c r="O10" s="133">
        <f>IF(SER_hh_tesh_in!O10=0,0,SER_hh_tesh_in!O10/SER_summary!O$27)</f>
        <v>81.091436327949225</v>
      </c>
      <c r="P10" s="133">
        <f>IF(SER_hh_tesh_in!P10=0,0,SER_hh_tesh_in!P10/SER_summary!P$27)</f>
        <v>63.460605823763991</v>
      </c>
      <c r="Q10" s="133">
        <f>IF(SER_hh_tesh_in!Q10=0,0,SER_hh_tesh_in!Q10/SER_summary!Q$27)</f>
        <v>101.7502722839224</v>
      </c>
      <c r="R10" s="133">
        <f>IF(SER_hh_tesh_in!R10=0,0,SER_hh_tesh_in!R10/SER_summary!R$27)</f>
        <v>102.08503994691836</v>
      </c>
      <c r="S10" s="133">
        <f>IF(SER_hh_tesh_in!S10=0,0,SER_hh_tesh_in!S10/SER_summary!S$27)</f>
        <v>83.789599109573714</v>
      </c>
      <c r="T10" s="133">
        <f>IF(SER_hh_tesh_in!T10=0,0,SER_hh_tesh_in!T10/SER_summary!T$27)</f>
        <v>78.372524106779466</v>
      </c>
      <c r="U10" s="133">
        <f>IF(SER_hh_tesh_in!U10=0,0,SER_hh_tesh_in!U10/SER_summary!U$27)</f>
        <v>0</v>
      </c>
      <c r="V10" s="133">
        <f>IF(SER_hh_tesh_in!V10=0,0,SER_hh_tesh_in!V10/SER_summary!V$27)</f>
        <v>0</v>
      </c>
      <c r="W10" s="133">
        <f>IF(SER_hh_tesh_in!W10=0,0,SER_hh_tesh_in!W10/SER_summary!W$27)</f>
        <v>0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80.931842324926322</v>
      </c>
      <c r="D11" s="133">
        <f>IF(SER_hh_tesh_in!D11=0,0,SER_hh_tesh_in!D11/SER_summary!D$27)</f>
        <v>150.85479151862202</v>
      </c>
      <c r="E11" s="133">
        <f>IF(SER_hh_tesh_in!E11=0,0,SER_hh_tesh_in!E11/SER_summary!E$27)</f>
        <v>181.61933876098658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151.60331667960335</v>
      </c>
      <c r="J11" s="133">
        <f>IF(SER_hh_tesh_in!J11=0,0,SER_hh_tesh_in!J11/SER_summary!J$27)</f>
        <v>234.23950506652227</v>
      </c>
      <c r="K11" s="133">
        <f>IF(SER_hh_tesh_in!K11=0,0,SER_hh_tesh_in!K11/SER_summary!K$27)</f>
        <v>196.99354845958644</v>
      </c>
      <c r="L11" s="133">
        <f>IF(SER_hh_tesh_in!L11=0,0,SER_hh_tesh_in!L11/SER_summary!L$27)</f>
        <v>0</v>
      </c>
      <c r="M11" s="133">
        <f>IF(SER_hh_tesh_in!M11=0,0,SER_hh_tesh_in!M11/SER_summary!M$27)</f>
        <v>127.07852203541215</v>
      </c>
      <c r="N11" s="133">
        <f>IF(SER_hh_tesh_in!N11=0,0,SER_hh_tesh_in!N11/SER_summary!N$27)</f>
        <v>104.34760160140588</v>
      </c>
      <c r="O11" s="133">
        <f>IF(SER_hh_tesh_in!O11=0,0,SER_hh_tesh_in!O11/SER_summary!O$27)</f>
        <v>112.04357393682</v>
      </c>
      <c r="P11" s="133">
        <f>IF(SER_hh_tesh_in!P11=0,0,SER_hh_tesh_in!P11/SER_summary!P$27)</f>
        <v>101.3905430194278</v>
      </c>
      <c r="Q11" s="133">
        <f>IF(SER_hh_tesh_in!Q11=0,0,SER_hh_tesh_in!Q11/SER_summary!Q$27)</f>
        <v>84.211539019372324</v>
      </c>
      <c r="R11" s="133">
        <f>IF(SER_hh_tesh_in!R11=0,0,SER_hh_tesh_in!R11/SER_summary!R$27)</f>
        <v>87.683579405151292</v>
      </c>
      <c r="S11" s="133">
        <f>IF(SER_hh_tesh_in!S11=0,0,SER_hh_tesh_in!S11/SER_summary!S$27)</f>
        <v>90.076910216347073</v>
      </c>
      <c r="T11" s="133">
        <f>IF(SER_hh_tesh_in!T11=0,0,SER_hh_tesh_in!T11/SER_summary!T$27)</f>
        <v>86.163054682182249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0</v>
      </c>
      <c r="G12" s="133">
        <f>IF(SER_hh_tesh_in!G12=0,0,SER_hh_tesh_in!G12/SER_summary!G$27)</f>
        <v>306.22642600811895</v>
      </c>
      <c r="H12" s="133">
        <f>IF(SER_hh_tesh_in!H12=0,0,SER_hh_tesh_in!H12/SER_summary!H$27)</f>
        <v>0</v>
      </c>
      <c r="I12" s="133">
        <f>IF(SER_hh_tesh_in!I12=0,0,SER_hh_tesh_in!I12/SER_summary!I$27)</f>
        <v>200.5217648723625</v>
      </c>
      <c r="J12" s="133">
        <f>IF(SER_hh_tesh_in!J12=0,0,SER_hh_tesh_in!J12/SER_summary!J$27)</f>
        <v>193.13008425833826</v>
      </c>
      <c r="K12" s="133">
        <f>IF(SER_hh_tesh_in!K12=0,0,SER_hh_tesh_in!K12/SER_summary!K$27)</f>
        <v>144.791250662859</v>
      </c>
      <c r="L12" s="133">
        <f>IF(SER_hh_tesh_in!L12=0,0,SER_hh_tesh_in!L12/SER_summary!L$27)</f>
        <v>147.62374361378468</v>
      </c>
      <c r="M12" s="133">
        <f>IF(SER_hh_tesh_in!M12=0,0,SER_hh_tesh_in!M12/SER_summary!M$27)</f>
        <v>137.35392441946928</v>
      </c>
      <c r="N12" s="133">
        <f>IF(SER_hh_tesh_in!N12=0,0,SER_hh_tesh_in!N12/SER_summary!N$27)</f>
        <v>128.84298815312994</v>
      </c>
      <c r="O12" s="133">
        <f>IF(SER_hh_tesh_in!O12=0,0,SER_hh_tesh_in!O12/SER_summary!O$27)</f>
        <v>114.13622275355792</v>
      </c>
      <c r="P12" s="133">
        <f>IF(SER_hh_tesh_in!P12=0,0,SER_hh_tesh_in!P12/SER_summary!P$27)</f>
        <v>89.76463603246161</v>
      </c>
      <c r="Q12" s="133">
        <f>IF(SER_hh_tesh_in!Q12=0,0,SER_hh_tesh_in!Q12/SER_summary!Q$27)</f>
        <v>84.973911258138543</v>
      </c>
      <c r="R12" s="133">
        <f>IF(SER_hh_tesh_in!R12=0,0,SER_hh_tesh_in!R12/SER_summary!R$27)</f>
        <v>86.473503225971299</v>
      </c>
      <c r="S12" s="133">
        <f>IF(SER_hh_tesh_in!S12=0,0,SER_hh_tesh_in!S12/SER_summary!S$27)</f>
        <v>0</v>
      </c>
      <c r="T12" s="133">
        <f>IF(SER_hh_tesh_in!T12=0,0,SER_hh_tesh_in!T12/SER_summary!T$27)</f>
        <v>0</v>
      </c>
      <c r="U12" s="133">
        <f>IF(SER_hh_tesh_in!U12=0,0,SER_hh_tesh_in!U12/SER_summary!U$27)</f>
        <v>0</v>
      </c>
      <c r="V12" s="133">
        <f>IF(SER_hh_tesh_in!V12=0,0,SER_hh_tesh_in!V12/SER_summary!V$27)</f>
        <v>59.664050154893637</v>
      </c>
      <c r="W12" s="133">
        <f>IF(SER_hh_tesh_in!W12=0,0,SER_hh_tesh_in!W12/SER_summary!W$27)</f>
        <v>52.873857980981768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0</v>
      </c>
      <c r="D13" s="133">
        <f>IF(SER_hh_tesh_in!D13=0,0,SER_hh_tesh_in!D13/SER_summary!D$27)</f>
        <v>0</v>
      </c>
      <c r="E13" s="133">
        <f>IF(SER_hh_tesh_in!E13=0,0,SER_hh_tesh_in!E13/SER_summary!E$27)</f>
        <v>0</v>
      </c>
      <c r="F13" s="133">
        <f>IF(SER_hh_tesh_in!F13=0,0,SER_hh_tesh_in!F13/SER_summary!F$27)</f>
        <v>0</v>
      </c>
      <c r="G13" s="133">
        <f>IF(SER_hh_tesh_in!G13=0,0,SER_hh_tesh_in!G13/SER_summary!G$27)</f>
        <v>0</v>
      </c>
      <c r="H13" s="133">
        <f>IF(SER_hh_tesh_in!H13=0,0,SER_hh_tesh_in!H13/SER_summary!H$27)</f>
        <v>0</v>
      </c>
      <c r="I13" s="133">
        <f>IF(SER_hh_tesh_in!I13=0,0,SER_hh_tesh_in!I13/SER_summary!I$27)</f>
        <v>0</v>
      </c>
      <c r="J13" s="133">
        <f>IF(SER_hh_tesh_in!J13=0,0,SER_hh_tesh_in!J13/SER_summary!J$27)</f>
        <v>0</v>
      </c>
      <c r="K13" s="133">
        <f>IF(SER_hh_tesh_in!K13=0,0,SER_hh_tesh_in!K13/SER_summary!K$27)</f>
        <v>0</v>
      </c>
      <c r="L13" s="133">
        <f>IF(SER_hh_tesh_in!L13=0,0,SER_hh_tesh_in!L13/SER_summary!L$27)</f>
        <v>0</v>
      </c>
      <c r="M13" s="133">
        <f>IF(SER_hh_tesh_in!M13=0,0,SER_hh_tesh_in!M13/SER_summary!M$27)</f>
        <v>0</v>
      </c>
      <c r="N13" s="133">
        <f>IF(SER_hh_tesh_in!N13=0,0,SER_hh_tesh_in!N13/SER_summary!N$27)</f>
        <v>0</v>
      </c>
      <c r="O13" s="133">
        <f>IF(SER_hh_tesh_in!O13=0,0,SER_hh_tesh_in!O13/SER_summary!O$27)</f>
        <v>0</v>
      </c>
      <c r="P13" s="133">
        <f>IF(SER_hh_tesh_in!P13=0,0,SER_hh_tesh_in!P13/SER_summary!P$27)</f>
        <v>0</v>
      </c>
      <c r="Q13" s="133">
        <f>IF(SER_hh_tesh_in!Q13=0,0,SER_hh_tesh_in!Q13/SER_summary!Q$27)</f>
        <v>0</v>
      </c>
      <c r="R13" s="133">
        <f>IF(SER_hh_tesh_in!R13=0,0,SER_hh_tesh_in!R13/SER_summary!R$27)</f>
        <v>0</v>
      </c>
      <c r="S13" s="133">
        <f>IF(SER_hh_tesh_in!S13=0,0,SER_hh_tesh_in!S13/SER_summary!S$27)</f>
        <v>0</v>
      </c>
      <c r="T13" s="133">
        <f>IF(SER_hh_tesh_in!T13=0,0,SER_hh_tesh_in!T13/SER_summary!T$27)</f>
        <v>0</v>
      </c>
      <c r="U13" s="133">
        <f>IF(SER_hh_tesh_in!U13=0,0,SER_hh_tesh_in!U13/SER_summary!U$27)</f>
        <v>0</v>
      </c>
      <c r="V13" s="133">
        <f>IF(SER_hh_tesh_in!V13=0,0,SER_hh_tesh_in!V13/SER_summary!V$27)</f>
        <v>0</v>
      </c>
      <c r="W13" s="133">
        <f>IF(SER_hh_tesh_in!W13=0,0,SER_hh_tesh_in!W13/SER_summary!W$27)</f>
        <v>0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0</v>
      </c>
      <c r="D14" s="65">
        <f>IF(SER_hh_tesh_in!D14=0,0,SER_hh_tesh_in!D14/SER_summary!D$27)</f>
        <v>0</v>
      </c>
      <c r="E14" s="65">
        <f>IF(SER_hh_tesh_in!E14=0,0,SER_hh_tesh_in!E14/SER_summary!E$27)</f>
        <v>0</v>
      </c>
      <c r="F14" s="65">
        <f>IF(SER_hh_tesh_in!F14=0,0,SER_hh_tesh_in!F14/SER_summary!F$27)</f>
        <v>0</v>
      </c>
      <c r="G14" s="65">
        <f>IF(SER_hh_tesh_in!G14=0,0,SER_hh_tesh_in!G14/SER_summary!G$27)</f>
        <v>196.99378084502189</v>
      </c>
      <c r="H14" s="65">
        <f>IF(SER_hh_tesh_in!H14=0,0,SER_hh_tesh_in!H14/SER_summary!H$27)</f>
        <v>216.68471592232504</v>
      </c>
      <c r="I14" s="65">
        <f>IF(SER_hh_tesh_in!I14=0,0,SER_hh_tesh_in!I14/SER_summary!I$27)</f>
        <v>291.22206884000849</v>
      </c>
      <c r="J14" s="65">
        <f>IF(SER_hh_tesh_in!J14=0,0,SER_hh_tesh_in!J14/SER_summary!J$27)</f>
        <v>151.8803270165441</v>
      </c>
      <c r="K14" s="65">
        <f>IF(SER_hh_tesh_in!K14=0,0,SER_hh_tesh_in!K14/SER_summary!K$27)</f>
        <v>123.99765143564139</v>
      </c>
      <c r="L14" s="65">
        <f>IF(SER_hh_tesh_in!L14=0,0,SER_hh_tesh_in!L14/SER_summary!L$27)</f>
        <v>204.44810311496144</v>
      </c>
      <c r="M14" s="65">
        <f>IF(SER_hh_tesh_in!M14=0,0,SER_hh_tesh_in!M14/SER_summary!M$27)</f>
        <v>163.07936737220271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0</v>
      </c>
      <c r="T14" s="65">
        <f>IF(SER_hh_tesh_in!T14=0,0,SER_hh_tesh_in!T14/SER_summary!T$27)</f>
        <v>0</v>
      </c>
      <c r="U14" s="65">
        <f>IF(SER_hh_tesh_in!U14=0,0,SER_hh_tesh_in!U14/SER_summary!U$27)</f>
        <v>0</v>
      </c>
      <c r="V14" s="65">
        <f>IF(SER_hh_tesh_in!V14=0,0,SER_hh_tesh_in!V14/SER_summary!V$27)</f>
        <v>0</v>
      </c>
      <c r="W14" s="65">
        <f>IF(SER_hh_tesh_in!W14=0,0,SER_hh_tesh_in!W14/SER_summary!W$27)</f>
        <v>54.19707302776532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2.7734866293359417</v>
      </c>
      <c r="D15" s="135">
        <f>IF(SER_hh_tesh_in!D15=0,0,SER_hh_tesh_in!D15/SER_summary!D$27)</f>
        <v>1.8691589743914103</v>
      </c>
      <c r="E15" s="135">
        <f>IF(SER_hh_tesh_in!E15=0,0,SER_hh_tesh_in!E15/SER_summary!E$27)</f>
        <v>3.2261345627377902</v>
      </c>
      <c r="F15" s="135">
        <f>IF(SER_hh_tesh_in!F15=0,0,SER_hh_tesh_in!F15/SER_summary!F$27)</f>
        <v>3.4654456928033883</v>
      </c>
      <c r="G15" s="135">
        <f>IF(SER_hh_tesh_in!G15=0,0,SER_hh_tesh_in!G15/SER_summary!G$27)</f>
        <v>2.9360296337315286</v>
      </c>
      <c r="H15" s="135">
        <f>IF(SER_hh_tesh_in!H15=0,0,SER_hh_tesh_in!H15/SER_summary!H$27)</f>
        <v>6.1876822690180093</v>
      </c>
      <c r="I15" s="135">
        <f>IF(SER_hh_tesh_in!I15=0,0,SER_hh_tesh_in!I15/SER_summary!I$27)</f>
        <v>2.4204105950106083</v>
      </c>
      <c r="J15" s="135">
        <f>IF(SER_hh_tesh_in!J15=0,0,SER_hh_tesh_in!J15/SER_summary!J$27)</f>
        <v>1.6278640729103959</v>
      </c>
      <c r="K15" s="135">
        <f>IF(SER_hh_tesh_in!K15=0,0,SER_hh_tesh_in!K15/SER_summary!K$27)</f>
        <v>1.6468208738750574</v>
      </c>
      <c r="L15" s="135">
        <f>IF(SER_hh_tesh_in!L15=0,0,SER_hh_tesh_in!L15/SER_summary!L$27)</f>
        <v>1.5679591068479779</v>
      </c>
      <c r="M15" s="135">
        <f>IF(SER_hh_tesh_in!M15=0,0,SER_hh_tesh_in!M15/SER_summary!M$27)</f>
        <v>1.6208730098862365</v>
      </c>
      <c r="N15" s="135">
        <f>IF(SER_hh_tesh_in!N15=0,0,SER_hh_tesh_in!N15/SER_summary!N$27)</f>
        <v>1.3576458421183404</v>
      </c>
      <c r="O15" s="135">
        <f>IF(SER_hh_tesh_in!O15=0,0,SER_hh_tesh_in!O15/SER_summary!O$27)</f>
        <v>1.3847559840835546</v>
      </c>
      <c r="P15" s="135">
        <f>IF(SER_hh_tesh_in!P15=0,0,SER_hh_tesh_in!P15/SER_summary!P$27)</f>
        <v>1.3118516981659463</v>
      </c>
      <c r="Q15" s="135">
        <f>IF(SER_hh_tesh_in!Q15=0,0,SER_hh_tesh_in!Q15/SER_summary!Q$27)</f>
        <v>1.1477802349240489</v>
      </c>
      <c r="R15" s="135">
        <f>IF(SER_hh_tesh_in!R15=0,0,SER_hh_tesh_in!R15/SER_summary!R$27)</f>
        <v>1.1103624898678273</v>
      </c>
      <c r="S15" s="135">
        <f>IF(SER_hh_tesh_in!S15=0,0,SER_hh_tesh_in!S15/SER_summary!S$27)</f>
        <v>1.2524006705462019</v>
      </c>
      <c r="T15" s="135">
        <f>IF(SER_hh_tesh_in!T15=0,0,SER_hh_tesh_in!T15/SER_summary!T$27)</f>
        <v>1.2583581958604666</v>
      </c>
      <c r="U15" s="135">
        <f>IF(SER_hh_tesh_in!U15=0,0,SER_hh_tesh_in!U15/SER_summary!U$27)</f>
        <v>1.1374642199182914</v>
      </c>
      <c r="V15" s="135">
        <f>IF(SER_hh_tesh_in!V15=0,0,SER_hh_tesh_in!V15/SER_summary!V$27)</f>
        <v>0.8600396763213356</v>
      </c>
      <c r="W15" s="135">
        <f>IF(SER_hh_tesh_in!W15=0,0,SER_hh_tesh_in!W15/SER_summary!W$27)</f>
        <v>0.84057207859599736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30.855610003714233</v>
      </c>
      <c r="D16" s="131">
        <f>IF(SER_hh_tesh_in!D16=0,0,SER_hh_tesh_in!D16/SER_summary!D$27)</f>
        <v>29.43752208679825</v>
      </c>
      <c r="E16" s="131">
        <f>IF(SER_hh_tesh_in!E16=0,0,SER_hh_tesh_in!E16/SER_summary!E$27)</f>
        <v>29.629231555309143</v>
      </c>
      <c r="F16" s="131">
        <f>IF(SER_hh_tesh_in!F16=0,0,SER_hh_tesh_in!F16/SER_summary!F$27)</f>
        <v>25.770354892881095</v>
      </c>
      <c r="G16" s="131">
        <f>IF(SER_hh_tesh_in!G16=0,0,SER_hh_tesh_in!G16/SER_summary!G$27)</f>
        <v>25.831953089551451</v>
      </c>
      <c r="H16" s="131">
        <f>IF(SER_hh_tesh_in!H16=0,0,SER_hh_tesh_in!H16/SER_summary!H$27)</f>
        <v>27.500410194546159</v>
      </c>
      <c r="I16" s="131">
        <f>IF(SER_hh_tesh_in!I16=0,0,SER_hh_tesh_in!I16/SER_summary!I$27)</f>
        <v>36.246741204163868</v>
      </c>
      <c r="J16" s="131">
        <f>IF(SER_hh_tesh_in!J16=0,0,SER_hh_tesh_in!J16/SER_summary!J$27)</f>
        <v>28.516561443933103</v>
      </c>
      <c r="K16" s="131">
        <f>IF(SER_hh_tesh_in!K16=0,0,SER_hh_tesh_in!K16/SER_summary!K$27)</f>
        <v>26.914238905004019</v>
      </c>
      <c r="L16" s="131">
        <f>IF(SER_hh_tesh_in!L16=0,0,SER_hh_tesh_in!L16/SER_summary!L$27)</f>
        <v>31.5619858703351</v>
      </c>
      <c r="M16" s="131">
        <f>IF(SER_hh_tesh_in!M16=0,0,SER_hh_tesh_in!M16/SER_summary!M$27)</f>
        <v>26.95709583844225</v>
      </c>
      <c r="N16" s="131">
        <f>IF(SER_hh_tesh_in!N16=0,0,SER_hh_tesh_in!N16/SER_summary!N$27)</f>
        <v>40.801450055339373</v>
      </c>
      <c r="O16" s="131">
        <f>IF(SER_hh_tesh_in!O16=0,0,SER_hh_tesh_in!O16/SER_summary!O$27)</f>
        <v>27.579066743684177</v>
      </c>
      <c r="P16" s="131">
        <f>IF(SER_hh_tesh_in!P16=0,0,SER_hh_tesh_in!P16/SER_summary!P$27)</f>
        <v>25.732822860157729</v>
      </c>
      <c r="Q16" s="131">
        <f>IF(SER_hh_tesh_in!Q16=0,0,SER_hh_tesh_in!Q16/SER_summary!Q$27)</f>
        <v>33.471201484946548</v>
      </c>
      <c r="R16" s="131">
        <f>IF(SER_hh_tesh_in!R16=0,0,SER_hh_tesh_in!R16/SER_summary!R$27)</f>
        <v>28.212008089718438</v>
      </c>
      <c r="S16" s="131">
        <f>IF(SER_hh_tesh_in!S16=0,0,SER_hh_tesh_in!S16/SER_summary!S$27)</f>
        <v>30.031089425127814</v>
      </c>
      <c r="T16" s="131">
        <f>IF(SER_hh_tesh_in!T16=0,0,SER_hh_tesh_in!T16/SER_summary!T$27)</f>
        <v>25.935713577893221</v>
      </c>
      <c r="U16" s="131">
        <f>IF(SER_hh_tesh_in!U16=0,0,SER_hh_tesh_in!U16/SER_summary!U$27)</f>
        <v>28.656196541430049</v>
      </c>
      <c r="V16" s="131">
        <f>IF(SER_hh_tesh_in!V16=0,0,SER_hh_tesh_in!V16/SER_summary!V$27)</f>
        <v>25.911432734768507</v>
      </c>
      <c r="W16" s="131">
        <f>IF(SER_hh_tesh_in!W16=0,0,SER_hh_tesh_in!W16/SER_summary!W$27)</f>
        <v>27.924724824943588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30.855610003714233</v>
      </c>
      <c r="D18" s="133">
        <f>IF(SER_hh_tesh_in!D18=0,0,SER_hh_tesh_in!D18/SER_summary!D$27)</f>
        <v>29.43752208679825</v>
      </c>
      <c r="E18" s="133">
        <f>IF(SER_hh_tesh_in!E18=0,0,SER_hh_tesh_in!E18/SER_summary!E$27)</f>
        <v>29.629231555309143</v>
      </c>
      <c r="F18" s="133">
        <f>IF(SER_hh_tesh_in!F18=0,0,SER_hh_tesh_in!F18/SER_summary!F$27)</f>
        <v>25.770354892881095</v>
      </c>
      <c r="G18" s="133">
        <f>IF(SER_hh_tesh_in!G18=0,0,SER_hh_tesh_in!G18/SER_summary!G$27)</f>
        <v>25.831953089551451</v>
      </c>
      <c r="H18" s="133">
        <f>IF(SER_hh_tesh_in!H18=0,0,SER_hh_tesh_in!H18/SER_summary!H$27)</f>
        <v>27.500410194546159</v>
      </c>
      <c r="I18" s="133">
        <f>IF(SER_hh_tesh_in!I18=0,0,SER_hh_tesh_in!I18/SER_summary!I$27)</f>
        <v>36.246741204163868</v>
      </c>
      <c r="J18" s="133">
        <f>IF(SER_hh_tesh_in!J18=0,0,SER_hh_tesh_in!J18/SER_summary!J$27)</f>
        <v>28.516561443933103</v>
      </c>
      <c r="K18" s="133">
        <f>IF(SER_hh_tesh_in!K18=0,0,SER_hh_tesh_in!K18/SER_summary!K$27)</f>
        <v>26.914238905004019</v>
      </c>
      <c r="L18" s="133">
        <f>IF(SER_hh_tesh_in!L18=0,0,SER_hh_tesh_in!L18/SER_summary!L$27)</f>
        <v>31.5619858703351</v>
      </c>
      <c r="M18" s="133">
        <f>IF(SER_hh_tesh_in!M18=0,0,SER_hh_tesh_in!M18/SER_summary!M$27)</f>
        <v>26.95709583844225</v>
      </c>
      <c r="N18" s="133">
        <f>IF(SER_hh_tesh_in!N18=0,0,SER_hh_tesh_in!N18/SER_summary!N$27)</f>
        <v>40.801450055339373</v>
      </c>
      <c r="O18" s="133">
        <f>IF(SER_hh_tesh_in!O18=0,0,SER_hh_tesh_in!O18/SER_summary!O$27)</f>
        <v>27.579066743684177</v>
      </c>
      <c r="P18" s="133">
        <f>IF(SER_hh_tesh_in!P18=0,0,SER_hh_tesh_in!P18/SER_summary!P$27)</f>
        <v>25.732822860157729</v>
      </c>
      <c r="Q18" s="133">
        <f>IF(SER_hh_tesh_in!Q18=0,0,SER_hh_tesh_in!Q18/SER_summary!Q$27)</f>
        <v>33.471201484946548</v>
      </c>
      <c r="R18" s="133">
        <f>IF(SER_hh_tesh_in!R18=0,0,SER_hh_tesh_in!R18/SER_summary!R$27)</f>
        <v>28.212008089718438</v>
      </c>
      <c r="S18" s="133">
        <f>IF(SER_hh_tesh_in!S18=0,0,SER_hh_tesh_in!S18/SER_summary!S$27)</f>
        <v>30.031089425127814</v>
      </c>
      <c r="T18" s="133">
        <f>IF(SER_hh_tesh_in!T18=0,0,SER_hh_tesh_in!T18/SER_summary!T$27)</f>
        <v>25.935713577893221</v>
      </c>
      <c r="U18" s="133">
        <f>IF(SER_hh_tesh_in!U18=0,0,SER_hh_tesh_in!U18/SER_summary!U$27)</f>
        <v>28.656196541430049</v>
      </c>
      <c r="V18" s="133">
        <f>IF(SER_hh_tesh_in!V18=0,0,SER_hh_tesh_in!V18/SER_summary!V$27)</f>
        <v>25.911432734768507</v>
      </c>
      <c r="W18" s="133">
        <f>IF(SER_hh_tesh_in!W18=0,0,SER_hh_tesh_in!W18/SER_summary!W$27)</f>
        <v>27.924724824943588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32.768269408426164</v>
      </c>
      <c r="D19" s="131">
        <f>IF(SER_hh_tesh_in!D19=0,0,SER_hh_tesh_in!D19/SER_summary!D$27)</f>
        <v>13.132141240608762</v>
      </c>
      <c r="E19" s="131">
        <f>IF(SER_hh_tesh_in!E19=0,0,SER_hh_tesh_in!E19/SER_summary!E$27)</f>
        <v>28.149832746393372</v>
      </c>
      <c r="F19" s="131">
        <f>IF(SER_hh_tesh_in!F19=0,0,SER_hh_tesh_in!F19/SER_summary!F$27)</f>
        <v>34.587101898972442</v>
      </c>
      <c r="G19" s="131">
        <f>IF(SER_hh_tesh_in!G19=0,0,SER_hh_tesh_in!G19/SER_summary!G$27)</f>
        <v>30.083207338470398</v>
      </c>
      <c r="H19" s="131">
        <f>IF(SER_hh_tesh_in!H19=0,0,SER_hh_tesh_in!H19/SER_summary!H$27)</f>
        <v>32.528134829812359</v>
      </c>
      <c r="I19" s="131">
        <f>IF(SER_hh_tesh_in!I19=0,0,SER_hh_tesh_in!I19/SER_summary!I$27)</f>
        <v>33.718152245677246</v>
      </c>
      <c r="J19" s="131">
        <f>IF(SER_hh_tesh_in!J19=0,0,SER_hh_tesh_in!J19/SER_summary!J$27)</f>
        <v>31.929503231936419</v>
      </c>
      <c r="K19" s="131">
        <f>IF(SER_hh_tesh_in!K19=0,0,SER_hh_tesh_in!K19/SER_summary!K$27)</f>
        <v>33.203353230798662</v>
      </c>
      <c r="L19" s="131">
        <f>IF(SER_hh_tesh_in!L19=0,0,SER_hh_tesh_in!L19/SER_summary!L$27)</f>
        <v>31.179235217194691</v>
      </c>
      <c r="M19" s="131">
        <f>IF(SER_hh_tesh_in!M19=0,0,SER_hh_tesh_in!M19/SER_summary!M$27)</f>
        <v>31.106200851767994</v>
      </c>
      <c r="N19" s="131">
        <f>IF(SER_hh_tesh_in!N19=0,0,SER_hh_tesh_in!N19/SER_summary!N$27)</f>
        <v>31.283874745228662</v>
      </c>
      <c r="O19" s="131">
        <f>IF(SER_hh_tesh_in!O19=0,0,SER_hh_tesh_in!O19/SER_summary!O$27)</f>
        <v>32.061433991303254</v>
      </c>
      <c r="P19" s="131">
        <f>IF(SER_hh_tesh_in!P19=0,0,SER_hh_tesh_in!P19/SER_summary!P$27)</f>
        <v>31.760592249790413</v>
      </c>
      <c r="Q19" s="131">
        <f>IF(SER_hh_tesh_in!Q19=0,0,SER_hh_tesh_in!Q19/SER_summary!Q$27)</f>
        <v>31.946369461383107</v>
      </c>
      <c r="R19" s="131">
        <f>IF(SER_hh_tesh_in!R19=0,0,SER_hh_tesh_in!R19/SER_summary!R$27)</f>
        <v>31.683851387348007</v>
      </c>
      <c r="S19" s="131">
        <f>IF(SER_hh_tesh_in!S19=0,0,SER_hh_tesh_in!S19/SER_summary!S$27)</f>
        <v>32.661865982448198</v>
      </c>
      <c r="T19" s="131">
        <f>IF(SER_hh_tesh_in!T19=0,0,SER_hh_tesh_in!T19/SER_summary!T$27)</f>
        <v>31.60743458674898</v>
      </c>
      <c r="U19" s="131">
        <f>IF(SER_hh_tesh_in!U19=0,0,SER_hh_tesh_in!U19/SER_summary!U$27)</f>
        <v>30.012924501370581</v>
      </c>
      <c r="V19" s="131">
        <f>IF(SER_hh_tesh_in!V19=0,0,SER_hh_tesh_in!V19/SER_summary!V$27)</f>
        <v>28.066376099242987</v>
      </c>
      <c r="W19" s="131">
        <f>IF(SER_hh_tesh_in!W19=0,0,SER_hh_tesh_in!W19/SER_summary!W$27)</f>
        <v>32.234165430659331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6.1470039142580886</v>
      </c>
      <c r="D22" s="133">
        <f>IF(SER_hh_tesh_in!D22=0,0,SER_hh_tesh_in!D22/SER_summary!D$27)</f>
        <v>18.862715073575295</v>
      </c>
      <c r="E22" s="133">
        <f>IF(SER_hh_tesh_in!E22=0,0,SER_hh_tesh_in!E22/SER_summary!E$27)</f>
        <v>26.295621996889246</v>
      </c>
      <c r="F22" s="133">
        <f>IF(SER_hh_tesh_in!F22=0,0,SER_hh_tesh_in!F22/SER_summary!F$27)</f>
        <v>30.176884402424829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0</v>
      </c>
      <c r="K22" s="133">
        <f>IF(SER_hh_tesh_in!K22=0,0,SER_hh_tesh_in!K22/SER_summary!K$27)</f>
        <v>0</v>
      </c>
      <c r="L22" s="133">
        <f>IF(SER_hh_tesh_in!L22=0,0,SER_hh_tesh_in!L22/SER_summary!L$27)</f>
        <v>28.836358979086995</v>
      </c>
      <c r="M22" s="133">
        <f>IF(SER_hh_tesh_in!M22=0,0,SER_hh_tesh_in!M22/SER_summary!M$27)</f>
        <v>27.085923160755502</v>
      </c>
      <c r="N22" s="133">
        <f>IF(SER_hh_tesh_in!N22=0,0,SER_hh_tesh_in!N22/SER_summary!N$27)</f>
        <v>29.659043438101101</v>
      </c>
      <c r="O22" s="133">
        <f>IF(SER_hh_tesh_in!O22=0,0,SER_hh_tesh_in!O22/SER_summary!O$27)</f>
        <v>34.843361621998504</v>
      </c>
      <c r="P22" s="133">
        <f>IF(SER_hh_tesh_in!P22=0,0,SER_hh_tesh_in!P22/SER_summary!P$27)</f>
        <v>33.100883679573229</v>
      </c>
      <c r="Q22" s="133">
        <f>IF(SER_hh_tesh_in!Q22=0,0,SER_hh_tesh_in!Q22/SER_summary!Q$27)</f>
        <v>32.989915417237881</v>
      </c>
      <c r="R22" s="133">
        <f>IF(SER_hh_tesh_in!R22=0,0,SER_hh_tesh_in!R22/SER_summary!R$27)</f>
        <v>28.044198154399737</v>
      </c>
      <c r="S22" s="133">
        <f>IF(SER_hh_tesh_in!S22=0,0,SER_hh_tesh_in!S22/SER_summary!S$27)</f>
        <v>33.124718280113257</v>
      </c>
      <c r="T22" s="133">
        <f>IF(SER_hh_tesh_in!T22=0,0,SER_hh_tesh_in!T22/SER_summary!T$27)</f>
        <v>33.177368380520612</v>
      </c>
      <c r="U22" s="133">
        <f>IF(SER_hh_tesh_in!U22=0,0,SER_hh_tesh_in!U22/SER_summary!U$27)</f>
        <v>28.410832883386739</v>
      </c>
      <c r="V22" s="133">
        <f>IF(SER_hh_tesh_in!V22=0,0,SER_hh_tesh_in!V22/SER_summary!V$27)</f>
        <v>25.905831756364311</v>
      </c>
      <c r="W22" s="133">
        <f>IF(SER_hh_tesh_in!W22=0,0,SER_hh_tesh_in!W22/SER_summary!W$27)</f>
        <v>33.663078170493456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19.519512470325168</v>
      </c>
      <c r="D23" s="133">
        <f>IF(SER_hh_tesh_in!D23=0,0,SER_hh_tesh_in!D23/SER_summary!D$27)</f>
        <v>11.646543143751911</v>
      </c>
      <c r="E23" s="133">
        <f>IF(SER_hh_tesh_in!E23=0,0,SER_hh_tesh_in!E23/SER_summary!E$27)</f>
        <v>23.015919510539661</v>
      </c>
      <c r="F23" s="133">
        <f>IF(SER_hh_tesh_in!F23=0,0,SER_hh_tesh_in!F23/SER_summary!F$27)</f>
        <v>35.324264998164104</v>
      </c>
      <c r="G23" s="133">
        <f>IF(SER_hh_tesh_in!G23=0,0,SER_hh_tesh_in!G23/SER_summary!G$27)</f>
        <v>30.287074399952708</v>
      </c>
      <c r="H23" s="133">
        <f>IF(SER_hh_tesh_in!H23=0,0,SER_hh_tesh_in!H23/SER_summary!H$27)</f>
        <v>35.049409308009757</v>
      </c>
      <c r="I23" s="133">
        <f>IF(SER_hh_tesh_in!I23=0,0,SER_hh_tesh_in!I23/SER_summary!I$27)</f>
        <v>30.703152712695104</v>
      </c>
      <c r="J23" s="133">
        <f>IF(SER_hh_tesh_in!J23=0,0,SER_hh_tesh_in!J23/SER_summary!J$27)</f>
        <v>25.984988525303518</v>
      </c>
      <c r="K23" s="133">
        <f>IF(SER_hh_tesh_in!K23=0,0,SER_hh_tesh_in!K23/SER_summary!K$27)</f>
        <v>35.082424702902827</v>
      </c>
      <c r="L23" s="133">
        <f>IF(SER_hh_tesh_in!L23=0,0,SER_hh_tesh_in!L23/SER_summary!L$27)</f>
        <v>32.699431393188654</v>
      </c>
      <c r="M23" s="133">
        <f>IF(SER_hh_tesh_in!M23=0,0,SER_hh_tesh_in!M23/SER_summary!M$27)</f>
        <v>29.857794697585803</v>
      </c>
      <c r="N23" s="133">
        <f>IF(SER_hh_tesh_in!N23=0,0,SER_hh_tesh_in!N23/SER_summary!N$27)</f>
        <v>30.065619806522498</v>
      </c>
      <c r="O23" s="133">
        <f>IF(SER_hh_tesh_in!O23=0,0,SER_hh_tesh_in!O23/SER_summary!O$27)</f>
        <v>30.442876000258575</v>
      </c>
      <c r="P23" s="133">
        <f>IF(SER_hh_tesh_in!P23=0,0,SER_hh_tesh_in!P23/SER_summary!P$27)</f>
        <v>31.225265886441477</v>
      </c>
      <c r="Q23" s="133">
        <f>IF(SER_hh_tesh_in!Q23=0,0,SER_hh_tesh_in!Q23/SER_summary!Q$27)</f>
        <v>31.549620774897182</v>
      </c>
      <c r="R23" s="133">
        <f>IF(SER_hh_tesh_in!R23=0,0,SER_hh_tesh_in!R23/SER_summary!R$27)</f>
        <v>32.32637836190839</v>
      </c>
      <c r="S23" s="133">
        <f>IF(SER_hh_tesh_in!S23=0,0,SER_hh_tesh_in!S23/SER_summary!S$27)</f>
        <v>32.815775185275704</v>
      </c>
      <c r="T23" s="133">
        <f>IF(SER_hh_tesh_in!T23=0,0,SER_hh_tesh_in!T23/SER_summary!T$27)</f>
        <v>31.064995051352145</v>
      </c>
      <c r="U23" s="133">
        <f>IF(SER_hh_tesh_in!U23=0,0,SER_hh_tesh_in!U23/SER_summary!U$27)</f>
        <v>30.884171426545642</v>
      </c>
      <c r="V23" s="133">
        <f>IF(SER_hh_tesh_in!V23=0,0,SER_hh_tesh_in!V23/SER_summary!V$27)</f>
        <v>29.54058969548171</v>
      </c>
      <c r="W23" s="133">
        <f>IF(SER_hh_tesh_in!W23=0,0,SER_hh_tesh_in!W23/SER_summary!W$27)</f>
        <v>28.178278381835089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13.020368382673055</v>
      </c>
      <c r="D24" s="133">
        <f>IF(SER_hh_tesh_in!D24=0,0,SER_hh_tesh_in!D24/SER_summary!D$27)</f>
        <v>0</v>
      </c>
      <c r="E24" s="133">
        <f>IF(SER_hh_tesh_in!E24=0,0,SER_hh_tesh_in!E24/SER_summary!E$27)</f>
        <v>22.514501328894173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27.64683256133884</v>
      </c>
      <c r="K24" s="133">
        <f>IF(SER_hh_tesh_in!K24=0,0,SER_hh_tesh_in!K24/SER_summary!K$27)</f>
        <v>28.889273671206279</v>
      </c>
      <c r="L24" s="133">
        <f>IF(SER_hh_tesh_in!L24=0,0,SER_hh_tesh_in!L24/SER_summary!L$27)</f>
        <v>29.865872674294192</v>
      </c>
      <c r="M24" s="133">
        <f>IF(SER_hh_tesh_in!M24=0,0,SER_hh_tesh_in!M24/SER_summary!M$27)</f>
        <v>31.559633054911377</v>
      </c>
      <c r="N24" s="133">
        <f>IF(SER_hh_tesh_in!N24=0,0,SER_hh_tesh_in!N24/SER_summary!N$27)</f>
        <v>32.696836726757397</v>
      </c>
      <c r="O24" s="133">
        <f>IF(SER_hh_tesh_in!O24=0,0,SER_hh_tesh_in!O24/SER_summary!O$27)</f>
        <v>33.232076676870186</v>
      </c>
      <c r="P24" s="133">
        <f>IF(SER_hh_tesh_in!P24=0,0,SER_hh_tesh_in!P24/SER_summary!P$27)</f>
        <v>33.855825128566501</v>
      </c>
      <c r="Q24" s="133">
        <f>IF(SER_hh_tesh_in!Q24=0,0,SER_hh_tesh_in!Q24/SER_summary!Q$27)</f>
        <v>36.170835606632544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0</v>
      </c>
      <c r="F25" s="133">
        <f>IF(SER_hh_tesh_in!F25=0,0,SER_hh_tesh_in!F25/SER_summary!F$27)</f>
        <v>0</v>
      </c>
      <c r="G25" s="133">
        <f>IF(SER_hh_tesh_in!G25=0,0,SER_hh_tesh_in!G25/SER_summary!G$27)</f>
        <v>33.754263568869554</v>
      </c>
      <c r="H25" s="133">
        <f>IF(SER_hh_tesh_in!H25=0,0,SER_hh_tesh_in!H25/SER_summary!H$27)</f>
        <v>30.91538239550292</v>
      </c>
      <c r="I25" s="133">
        <f>IF(SER_hh_tesh_in!I25=0,0,SER_hh_tesh_in!I25/SER_summary!I$27)</f>
        <v>29.27632194447062</v>
      </c>
      <c r="J25" s="133">
        <f>IF(SER_hh_tesh_in!J25=0,0,SER_hh_tesh_in!J25/SER_summary!J$27)</f>
        <v>33.824393225782529</v>
      </c>
      <c r="K25" s="133">
        <f>IF(SER_hh_tesh_in!K25=0,0,SER_hh_tesh_in!K25/SER_summary!K$27)</f>
        <v>31.312098760833749</v>
      </c>
      <c r="L25" s="133">
        <f>IF(SER_hh_tesh_in!L25=0,0,SER_hh_tesh_in!L25/SER_summary!L$27)</f>
        <v>29.72124000642361</v>
      </c>
      <c r="M25" s="133">
        <f>IF(SER_hh_tesh_in!M25=0,0,SER_hh_tesh_in!M25/SER_summary!M$27)</f>
        <v>31.277461558924131</v>
      </c>
      <c r="N25" s="133">
        <f>IF(SER_hh_tesh_in!N25=0,0,SER_hh_tesh_in!N25/SER_summary!N$27)</f>
        <v>32.095354713678297</v>
      </c>
      <c r="O25" s="133">
        <f>IF(SER_hh_tesh_in!O25=0,0,SER_hh_tesh_in!O25/SER_summary!O$27)</f>
        <v>32.782684482325742</v>
      </c>
      <c r="P25" s="133">
        <f>IF(SER_hh_tesh_in!P25=0,0,SER_hh_tesh_in!P25/SER_summary!P$27)</f>
        <v>30.76205283167323</v>
      </c>
      <c r="Q25" s="133">
        <f>IF(SER_hh_tesh_in!Q25=0,0,SER_hh_tesh_in!Q25/SER_summary!Q$27)</f>
        <v>32.124160333323886</v>
      </c>
      <c r="R25" s="133">
        <f>IF(SER_hh_tesh_in!R25=0,0,SER_hh_tesh_in!R25/SER_summary!R$27)</f>
        <v>32.861933394168283</v>
      </c>
      <c r="S25" s="133">
        <f>IF(SER_hh_tesh_in!S25=0,0,SER_hh_tesh_in!S25/SER_summary!S$27)</f>
        <v>0</v>
      </c>
      <c r="T25" s="133">
        <f>IF(SER_hh_tesh_in!T25=0,0,SER_hh_tesh_in!T25/SER_summary!T$27)</f>
        <v>0</v>
      </c>
      <c r="U25" s="133">
        <f>IF(SER_hh_tesh_in!U25=0,0,SER_hh_tesh_in!U25/SER_summary!U$27)</f>
        <v>29.075489921097194</v>
      </c>
      <c r="V25" s="133">
        <f>IF(SER_hh_tesh_in!V25=0,0,SER_hh_tesh_in!V25/SER_summary!V$27)</f>
        <v>29.131100867680271</v>
      </c>
      <c r="W25" s="133">
        <f>IF(SER_hh_tesh_in!W25=0,0,SER_hh_tesh_in!W25/SER_summary!W$27)</f>
        <v>29.367434157529075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53.723414012078919</v>
      </c>
      <c r="D26" s="65">
        <f>IF(SER_hh_tesh_in!D26=0,0,SER_hh_tesh_in!D26/SER_summary!D$27)</f>
        <v>4.9247208173441921</v>
      </c>
      <c r="E26" s="65">
        <f>IF(SER_hh_tesh_in!E26=0,0,SER_hh_tesh_in!E26/SER_summary!E$27)</f>
        <v>32.045097100957193</v>
      </c>
      <c r="F26" s="65">
        <f>IF(SER_hh_tesh_in!F26=0,0,SER_hh_tesh_in!F26/SER_summary!F$27)</f>
        <v>32.113487633391919</v>
      </c>
      <c r="G26" s="65">
        <f>IF(SER_hh_tesh_in!G26=0,0,SER_hh_tesh_in!G26/SER_summary!G$27)</f>
        <v>29.4003195695336</v>
      </c>
      <c r="H26" s="65">
        <f>IF(SER_hh_tesh_in!H26=0,0,SER_hh_tesh_in!H26/SER_summary!H$27)</f>
        <v>29.884739850877352</v>
      </c>
      <c r="I26" s="65">
        <f>IF(SER_hh_tesh_in!I26=0,0,SER_hh_tesh_in!I26/SER_summary!I$27)</f>
        <v>35.1223472022102</v>
      </c>
      <c r="J26" s="65">
        <f>IF(SER_hh_tesh_in!J26=0,0,SER_hh_tesh_in!J26/SER_summary!J$27)</f>
        <v>37.125274804687187</v>
      </c>
      <c r="K26" s="65">
        <f>IF(SER_hh_tesh_in!K26=0,0,SER_hh_tesh_in!K26/SER_summary!K$27)</f>
        <v>0</v>
      </c>
      <c r="L26" s="65">
        <f>IF(SER_hh_tesh_in!L26=0,0,SER_hh_tesh_in!L26/SER_summary!L$27)</f>
        <v>0</v>
      </c>
      <c r="M26" s="65">
        <f>IF(SER_hh_tesh_in!M26=0,0,SER_hh_tesh_in!M26/SER_summary!M$27)</f>
        <v>34.127979323784928</v>
      </c>
      <c r="N26" s="65">
        <f>IF(SER_hh_tesh_in!N26=0,0,SER_hh_tesh_in!N26/SER_summary!N$27)</f>
        <v>29.932438059275746</v>
      </c>
      <c r="O26" s="65">
        <f>IF(SER_hh_tesh_in!O26=0,0,SER_hh_tesh_in!O26/SER_summary!O$27)</f>
        <v>30.843592430502841</v>
      </c>
      <c r="P26" s="65">
        <f>IF(SER_hh_tesh_in!P26=0,0,SER_hh_tesh_in!P26/SER_summary!P$27)</f>
        <v>32.478942928419123</v>
      </c>
      <c r="Q26" s="65">
        <f>IF(SER_hh_tesh_in!Q26=0,0,SER_hh_tesh_in!Q26/SER_summary!Q$27)</f>
        <v>32.819663710248022</v>
      </c>
      <c r="R26" s="65">
        <f>IF(SER_hh_tesh_in!R26=0,0,SER_hh_tesh_in!R26/SER_summary!R$27)</f>
        <v>33.601236444641899</v>
      </c>
      <c r="S26" s="65">
        <f>IF(SER_hh_tesh_in!S26=0,0,SER_hh_tesh_in!S26/SER_summary!S$27)</f>
        <v>29.703507107109054</v>
      </c>
      <c r="T26" s="65">
        <f>IF(SER_hh_tesh_in!T26=0,0,SER_hh_tesh_in!T26/SER_summary!T$27)</f>
        <v>30.839494488459199</v>
      </c>
      <c r="U26" s="65">
        <f>IF(SER_hh_tesh_in!U26=0,0,SER_hh_tesh_in!U26/SER_summary!U$27)</f>
        <v>29.713924271299394</v>
      </c>
      <c r="V26" s="65">
        <f>IF(SER_hh_tesh_in!V26=0,0,SER_hh_tesh_in!V26/SER_summary!V$27)</f>
        <v>27.26481950361714</v>
      </c>
      <c r="W26" s="65">
        <f>IF(SER_hh_tesh_in!W26=0,0,SER_hh_tesh_in!W26/SER_summary!W$27)</f>
        <v>22.569871895715174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0.19422166040276986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0.22034819344506482</v>
      </c>
      <c r="M27" s="146">
        <f>IF(SER_hh_tesh_in!M27=0,0,SER_hh_tesh_in!M27/SER_summary!M$27)</f>
        <v>0</v>
      </c>
      <c r="N27" s="146">
        <f>IF(SER_hh_tesh_in!N27=0,0,SER_hh_tesh_in!N27/SER_summary!N$27)</f>
        <v>0.47222891130337957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1.5438984927886316E-17</v>
      </c>
      <c r="R27" s="146">
        <f>IF(SER_hh_tesh_in!R27=0,0,SER_hh_tesh_in!R27/SER_summary!R$27)</f>
        <v>2.8505571572588452E-8</v>
      </c>
      <c r="S27" s="146">
        <f>IF(SER_hh_tesh_in!S27=0,0,SER_hh_tesh_in!S27/SER_summary!S$27)</f>
        <v>0.13992669034027197</v>
      </c>
      <c r="T27" s="146">
        <f>IF(SER_hh_tesh_in!T27=0,0,SER_hh_tesh_in!T27/SER_summary!T$27)</f>
        <v>0</v>
      </c>
      <c r="U27" s="146">
        <f>IF(SER_hh_tesh_in!U27=0,0,SER_hh_tesh_in!U27/SER_summary!U$27)</f>
        <v>6.6548981979095603E-2</v>
      </c>
      <c r="V27" s="146">
        <f>IF(SER_hh_tesh_in!V27=0,0,SER_hh_tesh_in!V27/SER_summary!V$27)</f>
        <v>0</v>
      </c>
      <c r="W27" s="146">
        <f>IF(SER_hh_tesh_in!W27=0,0,SER_hh_tesh_in!W27/SER_summary!W$27)</f>
        <v>2.4133382328609758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25.568551288436403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23.984094439649063</v>
      </c>
      <c r="M28" s="147">
        <f>IF(SER_hh_tesh_in!M28=0,0,SER_hh_tesh_in!M28/SER_summary!M$27)</f>
        <v>0</v>
      </c>
      <c r="N28" s="147">
        <f>IF(SER_hh_tesh_in!N28=0,0,SER_hh_tesh_in!N28/SER_summary!N$27)</f>
        <v>33.411119596547557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31.963211239844252</v>
      </c>
      <c r="R28" s="147">
        <f>IF(SER_hh_tesh_in!R28=0,0,SER_hh_tesh_in!R28/SER_summary!R$27)</f>
        <v>30.603562781219427</v>
      </c>
      <c r="S28" s="147">
        <f>IF(SER_hh_tesh_in!S28=0,0,SER_hh_tesh_in!S28/SER_summary!S$27)</f>
        <v>25.959699539612604</v>
      </c>
      <c r="T28" s="147">
        <f>IF(SER_hh_tesh_in!T28=0,0,SER_hh_tesh_in!T28/SER_summary!T$27)</f>
        <v>0</v>
      </c>
      <c r="U28" s="147">
        <f>IF(SER_hh_tesh_in!U28=0,0,SER_hh_tesh_in!U28/SER_summary!U$27)</f>
        <v>24.595609259034983</v>
      </c>
      <c r="V28" s="147">
        <f>IF(SER_hh_tesh_in!V28=0,0,SER_hh_tesh_in!V28/SER_summary!V$27)</f>
        <v>0</v>
      </c>
      <c r="W28" s="147">
        <f>IF(SER_hh_tesh_in!W28=0,0,SER_hh_tesh_in!W28/SER_summary!W$27)</f>
        <v>26.313422494386629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36.271850290527453</v>
      </c>
      <c r="D29" s="131">
        <f>IF(SER_hh_tesh_in!D29=0,0,SER_hh_tesh_in!D29/SER_summary!D$27)</f>
        <v>17.431696282806765</v>
      </c>
      <c r="E29" s="131">
        <f>IF(SER_hh_tesh_in!E29=0,0,SER_hh_tesh_in!E29/SER_summary!E$27)</f>
        <v>34.99714372083384</v>
      </c>
      <c r="F29" s="131">
        <f>IF(SER_hh_tesh_in!F29=0,0,SER_hh_tesh_in!F29/SER_summary!F$27)</f>
        <v>48.908582145446346</v>
      </c>
      <c r="G29" s="131">
        <f>IF(SER_hh_tesh_in!G29=0,0,SER_hh_tesh_in!G29/SER_summary!G$27)</f>
        <v>42.061754401980167</v>
      </c>
      <c r="H29" s="131">
        <f>IF(SER_hh_tesh_in!H29=0,0,SER_hh_tesh_in!H29/SER_summary!H$27)</f>
        <v>42.952030846025352</v>
      </c>
      <c r="I29" s="131">
        <f>IF(SER_hh_tesh_in!I29=0,0,SER_hh_tesh_in!I29/SER_summary!I$27)</f>
        <v>26.29591260819128</v>
      </c>
      <c r="J29" s="131">
        <f>IF(SER_hh_tesh_in!J29=0,0,SER_hh_tesh_in!J29/SER_summary!J$27)</f>
        <v>53.496562817116711</v>
      </c>
      <c r="K29" s="131">
        <f>IF(SER_hh_tesh_in!K29=0,0,SER_hh_tesh_in!K29/SER_summary!K$27)</f>
        <v>49.628692115295578</v>
      </c>
      <c r="L29" s="131">
        <f>IF(SER_hh_tesh_in!L29=0,0,SER_hh_tesh_in!L29/SER_summary!L$27)</f>
        <v>45.566070174014271</v>
      </c>
      <c r="M29" s="131">
        <f>IF(SER_hh_tesh_in!M29=0,0,SER_hh_tesh_in!M29/SER_summary!M$27)</f>
        <v>46.544520311134377</v>
      </c>
      <c r="N29" s="131">
        <f>IF(SER_hh_tesh_in!N29=0,0,SER_hh_tesh_in!N29/SER_summary!N$27)</f>
        <v>46.664916635580688</v>
      </c>
      <c r="O29" s="131">
        <f>IF(SER_hh_tesh_in!O29=0,0,SER_hh_tesh_in!O29/SER_summary!O$27)</f>
        <v>48.203740733706624</v>
      </c>
      <c r="P29" s="131">
        <f>IF(SER_hh_tesh_in!P29=0,0,SER_hh_tesh_in!P29/SER_summary!P$27)</f>
        <v>48.391791738448568</v>
      </c>
      <c r="Q29" s="131">
        <f>IF(SER_hh_tesh_in!Q29=0,0,SER_hh_tesh_in!Q29/SER_summary!Q$27)</f>
        <v>49.708460903077416</v>
      </c>
      <c r="R29" s="131">
        <f>IF(SER_hh_tesh_in!R29=0,0,SER_hh_tesh_in!R29/SER_summary!R$27)</f>
        <v>47.482259751256557</v>
      </c>
      <c r="S29" s="131">
        <f>IF(SER_hh_tesh_in!S29=0,0,SER_hh_tesh_in!S29/SER_summary!S$27)</f>
        <v>46.682998445635384</v>
      </c>
      <c r="T29" s="131">
        <f>IF(SER_hh_tesh_in!T29=0,0,SER_hh_tesh_in!T29/SER_summary!T$27)</f>
        <v>47.096192379565004</v>
      </c>
      <c r="U29" s="131">
        <f>IF(SER_hh_tesh_in!U29=0,0,SER_hh_tesh_in!U29/SER_summary!U$27)</f>
        <v>47.422489406644047</v>
      </c>
      <c r="V29" s="131">
        <f>IF(SER_hh_tesh_in!V29=0,0,SER_hh_tesh_in!V29/SER_summary!V$27)</f>
        <v>42.777695114073538</v>
      </c>
      <c r="W29" s="131">
        <f>IF(SER_hh_tesh_in!W29=0,0,SER_hh_tesh_in!W29/SER_summary!W$27)</f>
        <v>46.030858496507044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25.049726274131654</v>
      </c>
      <c r="D30" s="133">
        <f>IF(SER_hh_tesh_in!D30=0,0,SER_hh_tesh_in!D30/SER_summary!D$27)</f>
        <v>11.063813261081235</v>
      </c>
      <c r="E30" s="133">
        <f>IF(SER_hh_tesh_in!E30=0,0,SER_hh_tesh_in!E30/SER_summary!E$27)</f>
        <v>33.222461562599342</v>
      </c>
      <c r="F30" s="133">
        <f>IF(SER_hh_tesh_in!F30=0,0,SER_hh_tesh_in!F30/SER_summary!F$27)</f>
        <v>50.690510188550569</v>
      </c>
      <c r="G30" s="133">
        <f>IF(SER_hh_tesh_in!G30=0,0,SER_hh_tesh_in!G30/SER_summary!G$27)</f>
        <v>61.145858936411905</v>
      </c>
      <c r="H30" s="133">
        <f>IF(SER_hh_tesh_in!H30=0,0,SER_hh_tesh_in!H30/SER_summary!H$27)</f>
        <v>25.347001813807466</v>
      </c>
      <c r="I30" s="133">
        <f>IF(SER_hh_tesh_in!I30=0,0,SER_hh_tesh_in!I30/SER_summary!I$27)</f>
        <v>77.620416543080196</v>
      </c>
      <c r="J30" s="133">
        <f>IF(SER_hh_tesh_in!J30=0,0,SER_hh_tesh_in!J30/SER_summary!J$27)</f>
        <v>0</v>
      </c>
      <c r="K30" s="133">
        <f>IF(SER_hh_tesh_in!K30=0,0,SER_hh_tesh_in!K30/SER_summary!K$27)</f>
        <v>0</v>
      </c>
      <c r="L30" s="133">
        <f>IF(SER_hh_tesh_in!L30=0,0,SER_hh_tesh_in!L30/SER_summary!L$27)</f>
        <v>0</v>
      </c>
      <c r="M30" s="133">
        <f>IF(SER_hh_tesh_in!M30=0,0,SER_hh_tesh_in!M30/SER_summary!M$27)</f>
        <v>0</v>
      </c>
      <c r="N30" s="133">
        <f>IF(SER_hh_tesh_in!N30=0,0,SER_hh_tesh_in!N30/SER_summary!N$27)</f>
        <v>44.485679141386797</v>
      </c>
      <c r="O30" s="133">
        <f>IF(SER_hh_tesh_in!O30=0,0,SER_hh_tesh_in!O30/SER_summary!O$27)</f>
        <v>45.001913270731421</v>
      </c>
      <c r="P30" s="133">
        <f>IF(SER_hh_tesh_in!P30=0,0,SER_hh_tesh_in!P30/SER_summary!P$27)</f>
        <v>48.810736388381407</v>
      </c>
      <c r="Q30" s="133">
        <f>IF(SER_hh_tesh_in!Q30=0,0,SER_hh_tesh_in!Q30/SER_summary!Q$27)</f>
        <v>54.121046448884044</v>
      </c>
      <c r="R30" s="133">
        <f>IF(SER_hh_tesh_in!R30=0,0,SER_hh_tesh_in!R30/SER_summary!R$27)</f>
        <v>47.770584239918954</v>
      </c>
      <c r="S30" s="133">
        <f>IF(SER_hh_tesh_in!S30=0,0,SER_hh_tesh_in!S30/SER_summary!S$27)</f>
        <v>46.378529665629394</v>
      </c>
      <c r="T30" s="133">
        <f>IF(SER_hh_tesh_in!T30=0,0,SER_hh_tesh_in!T30/SER_summary!T$27)</f>
        <v>47.652780816718142</v>
      </c>
      <c r="U30" s="133">
        <f>IF(SER_hh_tesh_in!U30=0,0,SER_hh_tesh_in!U30/SER_summary!U$27)</f>
        <v>47.412030333966676</v>
      </c>
      <c r="V30" s="133">
        <f>IF(SER_hh_tesh_in!V30=0,0,SER_hh_tesh_in!V30/SER_summary!V$27)</f>
        <v>43.654092165694586</v>
      </c>
      <c r="W30" s="133">
        <f>IF(SER_hh_tesh_in!W30=0,0,SER_hh_tesh_in!W30/SER_summary!W$27)</f>
        <v>44.729829354488544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37.865225758945144</v>
      </c>
      <c r="D31" s="133">
        <f>IF(SER_hh_tesh_in!D31=0,0,SER_hh_tesh_in!D31/SER_summary!D$27)</f>
        <v>21.889790754115808</v>
      </c>
      <c r="E31" s="133">
        <f>IF(SER_hh_tesh_in!E31=0,0,SER_hh_tesh_in!E31/SER_summary!E$27)</f>
        <v>35.92193222123727</v>
      </c>
      <c r="F31" s="133">
        <f>IF(SER_hh_tesh_in!F31=0,0,SER_hh_tesh_in!F31/SER_summary!F$27)</f>
        <v>47.929987722084462</v>
      </c>
      <c r="G31" s="133">
        <f>IF(SER_hh_tesh_in!G31=0,0,SER_hh_tesh_in!G31/SER_summary!G$27)</f>
        <v>39.000182075086556</v>
      </c>
      <c r="H31" s="133">
        <f>IF(SER_hh_tesh_in!H31=0,0,SER_hh_tesh_in!H31/SER_summary!H$27)</f>
        <v>53.478125414837358</v>
      </c>
      <c r="I31" s="133">
        <f>IF(SER_hh_tesh_in!I31=0,0,SER_hh_tesh_in!I31/SER_summary!I$27)</f>
        <v>40.564121865702752</v>
      </c>
      <c r="J31" s="133">
        <f>IF(SER_hh_tesh_in!J31=0,0,SER_hh_tesh_in!J31/SER_summary!J$27)</f>
        <v>44.206783422784738</v>
      </c>
      <c r="K31" s="133">
        <f>IF(SER_hh_tesh_in!K31=0,0,SER_hh_tesh_in!K31/SER_summary!K$27)</f>
        <v>46.101541790135805</v>
      </c>
      <c r="L31" s="133">
        <f>IF(SER_hh_tesh_in!L31=0,0,SER_hh_tesh_in!L31/SER_summary!L$27)</f>
        <v>46.17418475096656</v>
      </c>
      <c r="M31" s="133">
        <f>IF(SER_hh_tesh_in!M31=0,0,SER_hh_tesh_in!M31/SER_summary!M$27)</f>
        <v>46.390969248606488</v>
      </c>
      <c r="N31" s="133">
        <f>IF(SER_hh_tesh_in!N31=0,0,SER_hh_tesh_in!N31/SER_summary!N$27)</f>
        <v>46.275146780688736</v>
      </c>
      <c r="O31" s="133">
        <f>IF(SER_hh_tesh_in!O31=0,0,SER_hh_tesh_in!O31/SER_summary!O$27)</f>
        <v>47.592733127234922</v>
      </c>
      <c r="P31" s="133">
        <f>IF(SER_hh_tesh_in!P31=0,0,SER_hh_tesh_in!P31/SER_summary!P$27)</f>
        <v>46.946637094095585</v>
      </c>
      <c r="Q31" s="133">
        <f>IF(SER_hh_tesh_in!Q31=0,0,SER_hh_tesh_in!Q31/SER_summary!Q$27)</f>
        <v>49.103699577045461</v>
      </c>
      <c r="R31" s="133">
        <f>IF(SER_hh_tesh_in!R31=0,0,SER_hh_tesh_in!R31/SER_summary!R$27)</f>
        <v>46.547780031457691</v>
      </c>
      <c r="S31" s="133">
        <f>IF(SER_hh_tesh_in!S31=0,0,SER_hh_tesh_in!S31/SER_summary!S$27)</f>
        <v>48.562065871345482</v>
      </c>
      <c r="T31" s="133">
        <f>IF(SER_hh_tesh_in!T31=0,0,SER_hh_tesh_in!T31/SER_summary!T$27)</f>
        <v>46.837434100650896</v>
      </c>
      <c r="U31" s="133">
        <f>IF(SER_hh_tesh_in!U31=0,0,SER_hh_tesh_in!U31/SER_summary!U$27)</f>
        <v>46.798380546209735</v>
      </c>
      <c r="V31" s="133">
        <f>IF(SER_hh_tesh_in!V31=0,0,SER_hh_tesh_in!V31/SER_summary!V$27)</f>
        <v>44.001174225363471</v>
      </c>
      <c r="W31" s="133">
        <f>IF(SER_hh_tesh_in!W31=0,0,SER_hh_tesh_in!W31/SER_summary!W$27)</f>
        <v>45.376345503242916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41.378631017476145</v>
      </c>
      <c r="D33" s="68">
        <f>IF(SER_hh_tesh_in!D33=0,0,SER_hh_tesh_in!D33/SER_summary!D$27)</f>
        <v>0</v>
      </c>
      <c r="E33" s="68">
        <f>IF(SER_hh_tesh_in!E33=0,0,SER_hh_tesh_in!E33/SER_summary!E$27)</f>
        <v>0</v>
      </c>
      <c r="F33" s="68">
        <f>IF(SER_hh_tesh_in!F33=0,0,SER_hh_tesh_in!F33/SER_summary!F$27)</f>
        <v>0</v>
      </c>
      <c r="G33" s="68">
        <f>IF(SER_hh_tesh_in!G33=0,0,SER_hh_tesh_in!G33/SER_summary!G$27)</f>
        <v>0</v>
      </c>
      <c r="H33" s="68">
        <f>IF(SER_hh_tesh_in!H33=0,0,SER_hh_tesh_in!H33/SER_summary!H$27)</f>
        <v>37.199491134070634</v>
      </c>
      <c r="I33" s="68">
        <f>IF(SER_hh_tesh_in!I33=0,0,SER_hh_tesh_in!I33/SER_summary!I$27)</f>
        <v>21.436406418546145</v>
      </c>
      <c r="J33" s="68">
        <f>IF(SER_hh_tesh_in!J33=0,0,SER_hh_tesh_in!J33/SER_summary!J$27)</f>
        <v>53.899088196145463</v>
      </c>
      <c r="K33" s="68">
        <f>IF(SER_hh_tesh_in!K33=0,0,SER_hh_tesh_in!K33/SER_summary!K$27)</f>
        <v>49.930525460778853</v>
      </c>
      <c r="L33" s="68">
        <f>IF(SER_hh_tesh_in!L33=0,0,SER_hh_tesh_in!L33/SER_summary!L$27)</f>
        <v>45.417517406207338</v>
      </c>
      <c r="M33" s="68">
        <f>IF(SER_hh_tesh_in!M33=0,0,SER_hh_tesh_in!M33/SER_summary!M$27)</f>
        <v>46.605550712002639</v>
      </c>
      <c r="N33" s="68">
        <f>IF(SER_hh_tesh_in!N33=0,0,SER_hh_tesh_in!N33/SER_summary!N$27)</f>
        <v>47.108872866200855</v>
      </c>
      <c r="O33" s="68">
        <f>IF(SER_hh_tesh_in!O33=0,0,SER_hh_tesh_in!O33/SER_summary!O$27)</f>
        <v>49.236674537858335</v>
      </c>
      <c r="P33" s="68">
        <f>IF(SER_hh_tesh_in!P33=0,0,SER_hh_tesh_in!P33/SER_summary!P$27)</f>
        <v>49.93667475726744</v>
      </c>
      <c r="Q33" s="68">
        <f>IF(SER_hh_tesh_in!Q33=0,0,SER_hh_tesh_in!Q33/SER_summary!Q$27)</f>
        <v>48.773400828533802</v>
      </c>
      <c r="R33" s="68">
        <f>IF(SER_hh_tesh_in!R33=0,0,SER_hh_tesh_in!R33/SER_summary!R$27)</f>
        <v>48.458863898111147</v>
      </c>
      <c r="S33" s="68">
        <f>IF(SER_hh_tesh_in!S33=0,0,SER_hh_tesh_in!S33/SER_summary!S$27)</f>
        <v>45.317481251452534</v>
      </c>
      <c r="T33" s="68">
        <f>IF(SER_hh_tesh_in!T33=0,0,SER_hh_tesh_in!T33/SER_summary!T$27)</f>
        <v>47.177860157188356</v>
      </c>
      <c r="U33" s="68">
        <f>IF(SER_hh_tesh_in!U33=0,0,SER_hh_tesh_in!U33/SER_summary!U$27)</f>
        <v>47.609016775052304</v>
      </c>
      <c r="V33" s="68">
        <f>IF(SER_hh_tesh_in!V33=0,0,SER_hh_tesh_in!V33/SER_summary!V$27)</f>
        <v>42.36120674956328</v>
      </c>
      <c r="W33" s="68">
        <f>IF(SER_hh_tesh_in!W33=0,0,SER_hh_tesh_in!W33/SER_summary!W$27)</f>
        <v>46.263899877653714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50.1714532522425</v>
      </c>
      <c r="D3" s="126">
        <f>IF(SER_hh_emih_in!D3=0,0,SER_hh_emih_in!D3/SER_summary!D$27)</f>
        <v>50.611684777859367</v>
      </c>
      <c r="E3" s="126">
        <f>IF(SER_hh_emih_in!E3=0,0,SER_hh_emih_in!E3/SER_summary!E$27)</f>
        <v>78.186334542280974</v>
      </c>
      <c r="F3" s="126">
        <f>IF(SER_hh_emih_in!F3=0,0,SER_hh_emih_in!F3/SER_summary!F$27)</f>
        <v>98.164018877697671</v>
      </c>
      <c r="G3" s="126">
        <f>IF(SER_hh_emih_in!G3=0,0,SER_hh_emih_in!G3/SER_summary!G$27)</f>
        <v>67.713568936466174</v>
      </c>
      <c r="H3" s="126">
        <f>IF(SER_hh_emih_in!H3=0,0,SER_hh_emih_in!H3/SER_summary!H$27)</f>
        <v>127.64064611971941</v>
      </c>
      <c r="I3" s="126">
        <f>IF(SER_hh_emih_in!I3=0,0,SER_hh_emih_in!I3/SER_summary!I$27)</f>
        <v>28.130022738018553</v>
      </c>
      <c r="J3" s="126">
        <f>IF(SER_hh_emih_in!J3=0,0,SER_hh_emih_in!J3/SER_summary!J$27)</f>
        <v>21.473930592880979</v>
      </c>
      <c r="K3" s="126">
        <f>IF(SER_hh_emih_in!K3=0,0,SER_hh_emih_in!K3/SER_summary!K$27)</f>
        <v>27.778934803386669</v>
      </c>
      <c r="L3" s="126">
        <f>IF(SER_hh_emih_in!L3=0,0,SER_hh_emih_in!L3/SER_summary!L$27)</f>
        <v>28.822104759210141</v>
      </c>
      <c r="M3" s="126">
        <f>IF(SER_hh_emih_in!M3=0,0,SER_hh_emih_in!M3/SER_summary!M$27)</f>
        <v>39.599011900898077</v>
      </c>
      <c r="N3" s="126">
        <f>IF(SER_hh_emih_in!N3=0,0,SER_hh_emih_in!N3/SER_summary!N$27)</f>
        <v>34.168149186371394</v>
      </c>
      <c r="O3" s="126">
        <f>IF(SER_hh_emih_in!O3=0,0,SER_hh_emih_in!O3/SER_summary!O$27)</f>
        <v>37.480690657142461</v>
      </c>
      <c r="P3" s="126">
        <f>IF(SER_hh_emih_in!P3=0,0,SER_hh_emih_in!P3/SER_summary!P$27)</f>
        <v>40.868922447954482</v>
      </c>
      <c r="Q3" s="126">
        <f>IF(SER_hh_emih_in!Q3=0,0,SER_hh_emih_in!Q3/SER_summary!Q$27)</f>
        <v>38.295034320577138</v>
      </c>
      <c r="R3" s="126">
        <f>IF(SER_hh_emih_in!R3=0,0,SER_hh_emih_in!R3/SER_summary!R$27)</f>
        <v>36.388152571714791</v>
      </c>
      <c r="S3" s="126">
        <f>IF(SER_hh_emih_in!S3=0,0,SER_hh_emih_in!S3/SER_summary!S$27)</f>
        <v>39.822829426750779</v>
      </c>
      <c r="T3" s="126">
        <f>IF(SER_hh_emih_in!T3=0,0,SER_hh_emih_in!T3/SER_summary!T$27)</f>
        <v>36.930557623761672</v>
      </c>
      <c r="U3" s="126">
        <f>IF(SER_hh_emih_in!U3=0,0,SER_hh_emih_in!U3/SER_summary!U$27)</f>
        <v>32.052890704376892</v>
      </c>
      <c r="V3" s="126">
        <f>IF(SER_hh_emih_in!V3=0,0,SER_hh_emih_in!V3/SER_summary!V$27)</f>
        <v>25.296053830767004</v>
      </c>
      <c r="W3" s="126">
        <f>IF(SER_hh_emih_in!W3=0,0,SER_hh_emih_in!W3/SER_summary!W$27)</f>
        <v>28.108410857591032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40.666229224442212</v>
      </c>
      <c r="D4" s="131">
        <f>IF(SER_hh_emih_in!D4=0,0,SER_hh_emih_in!D4/SER_summary!D$27)</f>
        <v>39.130043209598554</v>
      </c>
      <c r="E4" s="131">
        <f>IF(SER_hh_emih_in!E4=0,0,SER_hh_emih_in!E4/SER_summary!E$27)</f>
        <v>62.430159068848361</v>
      </c>
      <c r="F4" s="131">
        <f>IF(SER_hh_emih_in!F4=0,0,SER_hh_emih_in!F4/SER_summary!F$27)</f>
        <v>71.196649159309061</v>
      </c>
      <c r="G4" s="131">
        <f>IF(SER_hh_emih_in!G4=0,0,SER_hh_emih_in!G4/SER_summary!G$27)</f>
        <v>47.496222428978612</v>
      </c>
      <c r="H4" s="131">
        <f>IF(SER_hh_emih_in!H4=0,0,SER_hh_emih_in!H4/SER_summary!H$27)</f>
        <v>114.55471962794854</v>
      </c>
      <c r="I4" s="131">
        <f>IF(SER_hh_emih_in!I4=0,0,SER_hh_emih_in!I4/SER_summary!I$27)</f>
        <v>24.730920340541086</v>
      </c>
      <c r="J4" s="131">
        <f>IF(SER_hh_emih_in!J4=0,0,SER_hh_emih_in!J4/SER_summary!J$27)</f>
        <v>17.663611518081332</v>
      </c>
      <c r="K4" s="131">
        <f>IF(SER_hh_emih_in!K4=0,0,SER_hh_emih_in!K4/SER_summary!K$27)</f>
        <v>20.119215401751038</v>
      </c>
      <c r="L4" s="131">
        <f>IF(SER_hh_emih_in!L4=0,0,SER_hh_emih_in!L4/SER_summary!L$27)</f>
        <v>19.609498915208906</v>
      </c>
      <c r="M4" s="131">
        <f>IF(SER_hh_emih_in!M4=0,0,SER_hh_emih_in!M4/SER_summary!M$27)</f>
        <v>31.496414725287647</v>
      </c>
      <c r="N4" s="131">
        <f>IF(SER_hh_emih_in!N4=0,0,SER_hh_emih_in!N4/SER_summary!N$27)</f>
        <v>23.308562710850254</v>
      </c>
      <c r="O4" s="131">
        <f>IF(SER_hh_emih_in!O4=0,0,SER_hh_emih_in!O4/SER_summary!O$27)</f>
        <v>23.072988247974475</v>
      </c>
      <c r="P4" s="131">
        <f>IF(SER_hh_emih_in!P4=0,0,SER_hh_emih_in!P4/SER_summary!P$27)</f>
        <v>23.064688797258185</v>
      </c>
      <c r="Q4" s="131">
        <f>IF(SER_hh_emih_in!Q4=0,0,SER_hh_emih_in!Q4/SER_summary!Q$27)</f>
        <v>19.35727897249884</v>
      </c>
      <c r="R4" s="131">
        <f>IF(SER_hh_emih_in!R4=0,0,SER_hh_emih_in!R4/SER_summary!R$27)</f>
        <v>19.418816094119141</v>
      </c>
      <c r="S4" s="131">
        <f>IF(SER_hh_emih_in!S4=0,0,SER_hh_emih_in!S4/SER_summary!S$27)</f>
        <v>24.25862964994635</v>
      </c>
      <c r="T4" s="131">
        <f>IF(SER_hh_emih_in!T4=0,0,SER_hh_emih_in!T4/SER_summary!T$27)</f>
        <v>25.204602019070229</v>
      </c>
      <c r="U4" s="131">
        <f>IF(SER_hh_emih_in!U4=0,0,SER_hh_emih_in!U4/SER_summary!U$27)</f>
        <v>22.280848498201369</v>
      </c>
      <c r="V4" s="131">
        <f>IF(SER_hh_emih_in!V4=0,0,SER_hh_emih_in!V4/SER_summary!V$27)</f>
        <v>16.166773314024926</v>
      </c>
      <c r="W4" s="131">
        <f>IF(SER_hh_emih_in!W4=0,0,SER_hh_emih_in!W4/SER_summary!W$27)</f>
        <v>17.463674893849326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145.55931838348886</v>
      </c>
      <c r="D5" s="133">
        <f>IF(SER_hh_emih_in!D5=0,0,SER_hh_emih_in!D5/SER_summary!D$27)</f>
        <v>89.725048627752756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248.93482744262081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84.769091730400376</v>
      </c>
      <c r="M5" s="133">
        <f>IF(SER_hh_emih_in!M5=0,0,SER_hh_emih_in!M5/SER_summary!M$27)</f>
        <v>85.82766611700707</v>
      </c>
      <c r="N5" s="133">
        <f>IF(SER_hh_emih_in!N5=0,0,SER_hh_emih_in!N5/SER_summary!N$27)</f>
        <v>47.93225688085252</v>
      </c>
      <c r="O5" s="133">
        <f>IF(SER_hh_emih_in!O5=0,0,SER_hh_emih_in!O5/SER_summary!O$27)</f>
        <v>72.884123566943941</v>
      </c>
      <c r="P5" s="133">
        <f>IF(SER_hh_emih_in!P5=0,0,SER_hh_emih_in!P5/SER_summary!P$27)</f>
        <v>43.652639496261301</v>
      </c>
      <c r="Q5" s="133">
        <f>IF(SER_hh_emih_in!Q5=0,0,SER_hh_emih_in!Q5/SER_summary!Q$27)</f>
        <v>43.379517223396917</v>
      </c>
      <c r="R5" s="133">
        <f>IF(SER_hh_emih_in!R5=0,0,SER_hh_emih_in!R5/SER_summary!R$27)</f>
        <v>72.30032487809936</v>
      </c>
      <c r="S5" s="133">
        <f>IF(SER_hh_emih_in!S5=0,0,SER_hh_emih_in!S5/SER_summary!S$27)</f>
        <v>0</v>
      </c>
      <c r="T5" s="133">
        <f>IF(SER_hh_emih_in!T5=0,0,SER_hh_emih_in!T5/SER_summary!T$27)</f>
        <v>62.060326134510639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67.137448910676</v>
      </c>
      <c r="D7" s="133">
        <f>IF(SER_hh_emih_in!D7=0,0,SER_hh_emih_in!D7/SER_summary!D$27)</f>
        <v>72.947456723396598</v>
      </c>
      <c r="E7" s="133">
        <f>IF(SER_hh_emih_in!E7=0,0,SER_hh_emih_in!E7/SER_summary!E$27)</f>
        <v>63.921360582070356</v>
      </c>
      <c r="F7" s="133">
        <f>IF(SER_hh_emih_in!F7=0,0,SER_hh_emih_in!F7/SER_summary!F$27)</f>
        <v>108.55663614912129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46.319122699885689</v>
      </c>
      <c r="M7" s="133">
        <f>IF(SER_hh_emih_in!M7=0,0,SER_hh_emih_in!M7/SER_summary!M$27)</f>
        <v>77.731995814918633</v>
      </c>
      <c r="N7" s="133">
        <f>IF(SER_hh_emih_in!N7=0,0,SER_hh_emih_in!N7/SER_summary!N$27)</f>
        <v>58.085946104204965</v>
      </c>
      <c r="O7" s="133">
        <f>IF(SER_hh_emih_in!O7=0,0,SER_hh_emih_in!O7/SER_summary!O$27)</f>
        <v>40.698112154322267</v>
      </c>
      <c r="P7" s="133">
        <f>IF(SER_hh_emih_in!P7=0,0,SER_hh_emih_in!P7/SER_summary!P$27)</f>
        <v>34.292445513735707</v>
      </c>
      <c r="Q7" s="133">
        <f>IF(SER_hh_emih_in!Q7=0,0,SER_hh_emih_in!Q7/SER_summary!Q$27)</f>
        <v>32.288795402064821</v>
      </c>
      <c r="R7" s="133">
        <f>IF(SER_hh_emih_in!R7=0,0,SER_hh_emih_in!R7/SER_summary!R$27)</f>
        <v>29.247971981074354</v>
      </c>
      <c r="S7" s="133">
        <f>IF(SER_hh_emih_in!S7=0,0,SER_hh_emih_in!S7/SER_summary!S$27)</f>
        <v>33.622079235121397</v>
      </c>
      <c r="T7" s="133">
        <f>IF(SER_hh_emih_in!T7=0,0,SER_hh_emih_in!T7/SER_summary!T$27)</f>
        <v>31.477995262788244</v>
      </c>
      <c r="U7" s="133">
        <f>IF(SER_hh_emih_in!U7=0,0,SER_hh_emih_in!U7/SER_summary!U$27)</f>
        <v>26.785594713952705</v>
      </c>
      <c r="V7" s="133">
        <f>IF(SER_hh_emih_in!V7=0,0,SER_hh_emih_in!V7/SER_summary!V$27)</f>
        <v>20.72764366471068</v>
      </c>
      <c r="W7" s="133">
        <f>IF(SER_hh_emih_in!W7=0,0,SER_hh_emih_in!W7/SER_summary!W$27)</f>
        <v>24.122378331225597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126.81308929824746</v>
      </c>
      <c r="D9" s="133">
        <f>IF(SER_hh_emih_in!D9=0,0,SER_hh_emih_in!D9/SER_summary!D$27)</f>
        <v>11.380755521459143</v>
      </c>
      <c r="E9" s="133">
        <f>IF(SER_hh_emih_in!E9=0,0,SER_hh_emih_in!E9/SER_summary!E$27)</f>
        <v>62.296437376076945</v>
      </c>
      <c r="F9" s="133">
        <f>IF(SER_hh_emih_in!F9=0,0,SER_hh_emih_in!F9/SER_summary!F$27)</f>
        <v>62.111127280320027</v>
      </c>
      <c r="G9" s="133">
        <f>IF(SER_hh_emih_in!G9=0,0,SER_hh_emih_in!G9/SER_summary!G$27)</f>
        <v>62.033158330874357</v>
      </c>
      <c r="H9" s="133">
        <f>IF(SER_hh_emih_in!H9=0,0,SER_hh_emih_in!H9/SER_summary!H$27)</f>
        <v>115.40786859648331</v>
      </c>
      <c r="I9" s="133">
        <f>IF(SER_hh_emih_in!I9=0,0,SER_hh_emih_in!I9/SER_summary!I$27)</f>
        <v>73.409675567037695</v>
      </c>
      <c r="J9" s="133">
        <f>IF(SER_hh_emih_in!J9=0,0,SER_hh_emih_in!J9/SER_summary!J$27)</f>
        <v>48.712918859942405</v>
      </c>
      <c r="K9" s="133">
        <f>IF(SER_hh_emih_in!K9=0,0,SER_hh_emih_in!K9/SER_summary!K$27)</f>
        <v>53.041216047773865</v>
      </c>
      <c r="L9" s="133">
        <f>IF(SER_hh_emih_in!L9=0,0,SER_hh_emih_in!L9/SER_summary!L$27)</f>
        <v>51.265237452695779</v>
      </c>
      <c r="M9" s="133">
        <f>IF(SER_hh_emih_in!M9=0,0,SER_hh_emih_in!M9/SER_summary!M$27)</f>
        <v>37.375930900792483</v>
      </c>
      <c r="N9" s="133">
        <f>IF(SER_hh_emih_in!N9=0,0,SER_hh_emih_in!N9/SER_summary!N$27)</f>
        <v>35.766051840960721</v>
      </c>
      <c r="O9" s="133">
        <f>IF(SER_hh_emih_in!O9=0,0,SER_hh_emih_in!O9/SER_summary!O$27)</f>
        <v>32.438861093335312</v>
      </c>
      <c r="P9" s="133">
        <f>IF(SER_hh_emih_in!P9=0,0,SER_hh_emih_in!P9/SER_summary!P$27)</f>
        <v>28.266690260393045</v>
      </c>
      <c r="Q9" s="133">
        <f>IF(SER_hh_emih_in!Q9=0,0,SER_hh_emih_in!Q9/SER_summary!Q$27)</f>
        <v>23.821215728677728</v>
      </c>
      <c r="R9" s="133">
        <f>IF(SER_hh_emih_in!R9=0,0,SER_hh_emih_in!R9/SER_summary!R$27)</f>
        <v>22.618484128189618</v>
      </c>
      <c r="S9" s="133">
        <f>IF(SER_hh_emih_in!S9=0,0,SER_hh_emih_in!S9/SER_summary!S$27)</f>
        <v>22.793564299983966</v>
      </c>
      <c r="T9" s="133">
        <f>IF(SER_hh_emih_in!T9=0,0,SER_hh_emih_in!T9/SER_summary!T$27)</f>
        <v>21.254138015221915</v>
      </c>
      <c r="U9" s="133">
        <f>IF(SER_hh_emih_in!U9=0,0,SER_hh_emih_in!U9/SER_summary!U$27)</f>
        <v>19.661464667460347</v>
      </c>
      <c r="V9" s="133">
        <f>IF(SER_hh_emih_in!V9=0,0,SER_hh_emih_in!V9/SER_summary!V$27)</f>
        <v>17.024161605805652</v>
      </c>
      <c r="W9" s="133">
        <f>IF(SER_hh_emih_in!W9=0,0,SER_hh_emih_in!W9/SER_summary!W$27)</f>
        <v>14.565926446032391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4.5336802295372541E-2</v>
      </c>
      <c r="P10" s="133">
        <f>IF(SER_hh_emih_in!P10=0,0,SER_hh_emih_in!P10/SER_summary!P$27)</f>
        <v>5.4545523852756652</v>
      </c>
      <c r="Q10" s="133">
        <f>IF(SER_hh_emih_in!Q10=0,0,SER_hh_emih_in!Q10/SER_summary!Q$27)</f>
        <v>4.0712970444233418</v>
      </c>
      <c r="R10" s="133">
        <f>IF(SER_hh_emih_in!R10=0,0,SER_hh_emih_in!R10/SER_summary!R$27)</f>
        <v>3.1267891724441292</v>
      </c>
      <c r="S10" s="133">
        <f>IF(SER_hh_emih_in!S10=0,0,SER_hh_emih_in!S10/SER_summary!S$27)</f>
        <v>2.0011994689687382</v>
      </c>
      <c r="T10" s="133">
        <f>IF(SER_hh_emih_in!T10=0,0,SER_hh_emih_in!T10/SER_summary!T$27)</f>
        <v>1.5175332020465824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2.1390021259600913</v>
      </c>
      <c r="D19" s="131">
        <f>IF(SER_hh_emih_in!D19=0,0,SER_hh_emih_in!D19/SER_summary!D$27)</f>
        <v>5.5315119977263709</v>
      </c>
      <c r="E19" s="131">
        <f>IF(SER_hh_emih_in!E19=0,0,SER_hh_emih_in!E19/SER_summary!E$27)</f>
        <v>3.7259642898442169</v>
      </c>
      <c r="F19" s="131">
        <f>IF(SER_hh_emih_in!F19=0,0,SER_hh_emih_in!F19/SER_summary!F$27)</f>
        <v>10.082923919950421</v>
      </c>
      <c r="G19" s="131">
        <f>IF(SER_hh_emih_in!G19=0,0,SER_hh_emih_in!G19/SER_summary!G$27)</f>
        <v>6.0155139544037324</v>
      </c>
      <c r="H19" s="131">
        <f>IF(SER_hh_emih_in!H19=0,0,SER_hh_emih_in!H19/SER_summary!H$27)</f>
        <v>6.0153175500498577</v>
      </c>
      <c r="I19" s="131">
        <f>IF(SER_hh_emih_in!I19=0,0,SER_hh_emih_in!I19/SER_summary!I$27)</f>
        <v>0.39528800770996159</v>
      </c>
      <c r="J19" s="131">
        <f>IF(SER_hh_emih_in!J19=0,0,SER_hh_emih_in!J19/SER_summary!J$27)</f>
        <v>3.2084071641251137</v>
      </c>
      <c r="K19" s="131">
        <f>IF(SER_hh_emih_in!K19=0,0,SER_hh_emih_in!K19/SER_summary!K$27)</f>
        <v>6.4694634683181551</v>
      </c>
      <c r="L19" s="131">
        <f>IF(SER_hh_emih_in!L19=0,0,SER_hh_emih_in!L19/SER_summary!L$27)</f>
        <v>6.2464187763843597</v>
      </c>
      <c r="M19" s="131">
        <f>IF(SER_hh_emih_in!M19=0,0,SER_hh_emih_in!M19/SER_summary!M$27)</f>
        <v>3.7875413194657095</v>
      </c>
      <c r="N19" s="131">
        <f>IF(SER_hh_emih_in!N19=0,0,SER_hh_emih_in!N19/SER_summary!N$27)</f>
        <v>4.1823256215941464</v>
      </c>
      <c r="O19" s="131">
        <f>IF(SER_hh_emih_in!O19=0,0,SER_hh_emih_in!O19/SER_summary!O$27)</f>
        <v>6.765480879894862</v>
      </c>
      <c r="P19" s="131">
        <f>IF(SER_hh_emih_in!P19=0,0,SER_hh_emih_in!P19/SER_summary!P$27)</f>
        <v>8.0069569183467397</v>
      </c>
      <c r="Q19" s="131">
        <f>IF(SER_hh_emih_in!Q19=0,0,SER_hh_emih_in!Q19/SER_summary!Q$27)</f>
        <v>8.1151427133676641</v>
      </c>
      <c r="R19" s="131">
        <f>IF(SER_hh_emih_in!R19=0,0,SER_hh_emih_in!R19/SER_summary!R$27)</f>
        <v>7.7125697313425903</v>
      </c>
      <c r="S19" s="131">
        <f>IF(SER_hh_emih_in!S19=0,0,SER_hh_emih_in!S19/SER_summary!S$27)</f>
        <v>8.5163781284594915</v>
      </c>
      <c r="T19" s="131">
        <f>IF(SER_hh_emih_in!T19=0,0,SER_hh_emih_in!T19/SER_summary!T$27)</f>
        <v>7.5312229939851081</v>
      </c>
      <c r="U19" s="131">
        <f>IF(SER_hh_emih_in!U19=0,0,SER_hh_emih_in!U19/SER_summary!U$27)</f>
        <v>6.1664886753672628</v>
      </c>
      <c r="V19" s="131">
        <f>IF(SER_hh_emih_in!V19=0,0,SER_hh_emih_in!V19/SER_summary!V$27)</f>
        <v>5.5237207591272082</v>
      </c>
      <c r="W19" s="131">
        <f>IF(SER_hh_emih_in!W19=0,0,SER_hh_emih_in!W19/SER_summary!W$27)</f>
        <v>7.0272346330952926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3.1452221561764167</v>
      </c>
      <c r="D22" s="133">
        <f>IF(SER_hh_emih_in!D22=0,0,SER_hh_emih_in!D22/SER_summary!D$27)</f>
        <v>9.9443409410416095</v>
      </c>
      <c r="E22" s="133">
        <f>IF(SER_hh_emih_in!E22=0,0,SER_hh_emih_in!E22/SER_summary!E$27)</f>
        <v>13.70794672077156</v>
      </c>
      <c r="F22" s="133">
        <f>IF(SER_hh_emih_in!F22=0,0,SER_hh_emih_in!F22/SER_summary!F$27)</f>
        <v>15.744870307282838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0</v>
      </c>
      <c r="K22" s="133">
        <f>IF(SER_hh_emih_in!K22=0,0,SER_hh_emih_in!K22/SER_summary!K$27)</f>
        <v>0</v>
      </c>
      <c r="L22" s="133">
        <f>IF(SER_hh_emih_in!L22=0,0,SER_hh_emih_in!L22/SER_summary!L$27)</f>
        <v>14.323906129859541</v>
      </c>
      <c r="M22" s="133">
        <f>IF(SER_hh_emih_in!M22=0,0,SER_hh_emih_in!M22/SER_summary!M$27)</f>
        <v>13.143788039743976</v>
      </c>
      <c r="N22" s="133">
        <f>IF(SER_hh_emih_in!N22=0,0,SER_hh_emih_in!N22/SER_summary!N$27)</f>
        <v>13.870017151998699</v>
      </c>
      <c r="O22" s="133">
        <f>IF(SER_hh_emih_in!O22=0,0,SER_hh_emih_in!O22/SER_summary!O$27)</f>
        <v>15.372722126460891</v>
      </c>
      <c r="P22" s="133">
        <f>IF(SER_hh_emih_in!P22=0,0,SER_hh_emih_in!P22/SER_summary!P$27)</f>
        <v>13.70346269671982</v>
      </c>
      <c r="Q22" s="133">
        <f>IF(SER_hh_emih_in!Q22=0,0,SER_hh_emih_in!Q22/SER_summary!Q$27)</f>
        <v>12.945875586273354</v>
      </c>
      <c r="R22" s="133">
        <f>IF(SER_hh_emih_in!R22=0,0,SER_hh_emih_in!R22/SER_summary!R$27)</f>
        <v>10.588298035187734</v>
      </c>
      <c r="S22" s="133">
        <f>IF(SER_hh_emih_in!S22=0,0,SER_hh_emih_in!S22/SER_summary!S$27)</f>
        <v>12.15224228442224</v>
      </c>
      <c r="T22" s="133">
        <f>IF(SER_hh_emih_in!T22=0,0,SER_hh_emih_in!T22/SER_summary!T$27)</f>
        <v>11.800560753085181</v>
      </c>
      <c r="U22" s="133">
        <f>IF(SER_hh_emih_in!U22=0,0,SER_hh_emih_in!U22/SER_summary!U$27)</f>
        <v>9.8689855084651281</v>
      </c>
      <c r="V22" s="133">
        <f>IF(SER_hh_emih_in!V22=0,0,SER_hh_emih_in!V22/SER_summary!V$27)</f>
        <v>8.8778775144955482</v>
      </c>
      <c r="W22" s="133">
        <f>IF(SER_hh_emih_in!W22=0,0,SER_hh_emih_in!W22/SER_summary!W$27)</f>
        <v>11.482883708016796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7.2282399881186343</v>
      </c>
      <c r="D23" s="133">
        <f>IF(SER_hh_emih_in!D23=0,0,SER_hh_emih_in!D23/SER_summary!D$27)</f>
        <v>4.2615384870931443</v>
      </c>
      <c r="E23" s="133">
        <f>IF(SER_hh_emih_in!E23=0,0,SER_hh_emih_in!E23/SER_summary!E$27)</f>
        <v>8.3184863689926161</v>
      </c>
      <c r="F23" s="133">
        <f>IF(SER_hh_emih_in!F23=0,0,SER_hh_emih_in!F23/SER_summary!F$27)</f>
        <v>12.61125830340578</v>
      </c>
      <c r="G23" s="133">
        <f>IF(SER_hh_emih_in!G23=0,0,SER_hh_emih_in!G23/SER_summary!G$27)</f>
        <v>10.677760595840363</v>
      </c>
      <c r="H23" s="133">
        <f>IF(SER_hh_emih_in!H23=0,0,SER_hh_emih_in!H23/SER_summary!H$27)</f>
        <v>12.199323465283831</v>
      </c>
      <c r="I23" s="133">
        <f>IF(SER_hh_emih_in!I23=0,0,SER_hh_emih_in!I23/SER_summary!I$27)</f>
        <v>10.54656870837313</v>
      </c>
      <c r="J23" s="133">
        <f>IF(SER_hh_emih_in!J23=0,0,SER_hh_emih_in!J23/SER_summary!J$27)</f>
        <v>8.8043048259988517</v>
      </c>
      <c r="K23" s="133">
        <f>IF(SER_hh_emih_in!K23=0,0,SER_hh_emih_in!K23/SER_summary!K$27)</f>
        <v>11.713843881043417</v>
      </c>
      <c r="L23" s="133">
        <f>IF(SER_hh_emih_in!L23=0,0,SER_hh_emih_in!L23/SER_summary!L$27)</f>
        <v>10.749640303330057</v>
      </c>
      <c r="M23" s="133">
        <f>IF(SER_hh_emih_in!M23=0,0,SER_hh_emih_in!M23/SER_summary!M$27)</f>
        <v>9.5915783792808398</v>
      </c>
      <c r="N23" s="133">
        <f>IF(SER_hh_emih_in!N23=0,0,SER_hh_emih_in!N23/SER_summary!N$27)</f>
        <v>9.353597735361916</v>
      </c>
      <c r="O23" s="133">
        <f>IF(SER_hh_emih_in!O23=0,0,SER_hh_emih_in!O23/SER_summary!O$27)</f>
        <v>9.0850845627101258</v>
      </c>
      <c r="P23" s="133">
        <f>IF(SER_hh_emih_in!P23=0,0,SER_hh_emih_in!P23/SER_summary!P$27)</f>
        <v>8.8967644559556831</v>
      </c>
      <c r="Q23" s="133">
        <f>IF(SER_hh_emih_in!Q23=0,0,SER_hh_emih_in!Q23/SER_summary!Q$27)</f>
        <v>8.6415812707408737</v>
      </c>
      <c r="R23" s="133">
        <f>IF(SER_hh_emih_in!R23=0,0,SER_hh_emih_in!R23/SER_summary!R$27)</f>
        <v>8.6347939553936932</v>
      </c>
      <c r="S23" s="133">
        <f>IF(SER_hh_emih_in!S23=0,0,SER_hh_emih_in!S23/SER_summary!S$27)</f>
        <v>8.5715946028408698</v>
      </c>
      <c r="T23" s="133">
        <f>IF(SER_hh_emih_in!T23=0,0,SER_hh_emih_in!T23/SER_summary!T$27)</f>
        <v>7.9188217564201127</v>
      </c>
      <c r="U23" s="133">
        <f>IF(SER_hh_emih_in!U23=0,0,SER_hh_emih_in!U23/SER_summary!U$27)</f>
        <v>7.7543270185264088</v>
      </c>
      <c r="V23" s="133">
        <f>IF(SER_hh_emih_in!V23=0,0,SER_hh_emih_in!V23/SER_summary!V$27)</f>
        <v>7.3486739573839772</v>
      </c>
      <c r="W23" s="133">
        <f>IF(SER_hh_emih_in!W23=0,0,SER_hh_emih_in!W23/SER_summary!W$27)</f>
        <v>6.9754284291270983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3.807934542592336E-2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1.433695390229818E-2</v>
      </c>
      <c r="P24" s="133">
        <f>IF(SER_hh_emih_in!P24=0,0,SER_hh_emih_in!P24/SER_summary!P$27)</f>
        <v>2.224050986641938</v>
      </c>
      <c r="Q24" s="133">
        <f>IF(SER_hh_emih_in!Q24=0,0,SER_hh_emih_in!Q24/SER_summary!Q$27)</f>
        <v>1.093719483004455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7.3662219018401967</v>
      </c>
      <c r="D29" s="131">
        <f>IF(SER_hh_emih_in!D29=0,0,SER_hh_emih_in!D29/SER_summary!D$27)</f>
        <v>5.9501295705344344</v>
      </c>
      <c r="E29" s="131">
        <f>IF(SER_hh_emih_in!E29=0,0,SER_hh_emih_in!E29/SER_summary!E$27)</f>
        <v>12.030211183588403</v>
      </c>
      <c r="F29" s="131">
        <f>IF(SER_hh_emih_in!F29=0,0,SER_hh_emih_in!F29/SER_summary!F$27)</f>
        <v>16.884445798438207</v>
      </c>
      <c r="G29" s="131">
        <f>IF(SER_hh_emih_in!G29=0,0,SER_hh_emih_in!G29/SER_summary!G$27)</f>
        <v>14.201832553083829</v>
      </c>
      <c r="H29" s="131">
        <f>IF(SER_hh_emih_in!H29=0,0,SER_hh_emih_in!H29/SER_summary!H$27)</f>
        <v>7.0706089417210185</v>
      </c>
      <c r="I29" s="131">
        <f>IF(SER_hh_emih_in!I29=0,0,SER_hh_emih_in!I29/SER_summary!I$27)</f>
        <v>3.0038143897675105</v>
      </c>
      <c r="J29" s="131">
        <f>IF(SER_hh_emih_in!J29=0,0,SER_hh_emih_in!J29/SER_summary!J$27)</f>
        <v>0.60191191067453009</v>
      </c>
      <c r="K29" s="131">
        <f>IF(SER_hh_emih_in!K29=0,0,SER_hh_emih_in!K29/SER_summary!K$27)</f>
        <v>1.1902559333174787</v>
      </c>
      <c r="L29" s="131">
        <f>IF(SER_hh_emih_in!L29=0,0,SER_hh_emih_in!L29/SER_summary!L$27)</f>
        <v>2.9661870676168727</v>
      </c>
      <c r="M29" s="131">
        <f>IF(SER_hh_emih_in!M29=0,0,SER_hh_emih_in!M29/SER_summary!M$27)</f>
        <v>4.3150558561447214</v>
      </c>
      <c r="N29" s="131">
        <f>IF(SER_hh_emih_in!N29=0,0,SER_hh_emih_in!N29/SER_summary!N$27)</f>
        <v>6.6772608539269918</v>
      </c>
      <c r="O29" s="131">
        <f>IF(SER_hh_emih_in!O29=0,0,SER_hh_emih_in!O29/SER_summary!O$27)</f>
        <v>7.6422215292731268</v>
      </c>
      <c r="P29" s="131">
        <f>IF(SER_hh_emih_in!P29=0,0,SER_hh_emih_in!P29/SER_summary!P$27)</f>
        <v>9.7972767323495482</v>
      </c>
      <c r="Q29" s="131">
        <f>IF(SER_hh_emih_in!Q29=0,0,SER_hh_emih_in!Q29/SER_summary!Q$27)</f>
        <v>10.822612634710625</v>
      </c>
      <c r="R29" s="131">
        <f>IF(SER_hh_emih_in!R29=0,0,SER_hh_emih_in!R29/SER_summary!R$27)</f>
        <v>9.256766746253053</v>
      </c>
      <c r="S29" s="131">
        <f>IF(SER_hh_emih_in!S29=0,0,SER_hh_emih_in!S29/SER_summary!S$27)</f>
        <v>7.0478216483449367</v>
      </c>
      <c r="T29" s="131">
        <f>IF(SER_hh_emih_in!T29=0,0,SER_hh_emih_in!T29/SER_summary!T$27)</f>
        <v>4.1947326107063336</v>
      </c>
      <c r="U29" s="131">
        <f>IF(SER_hh_emih_in!U29=0,0,SER_hh_emih_in!U29/SER_summary!U$27)</f>
        <v>3.6055535308082596</v>
      </c>
      <c r="V29" s="131">
        <f>IF(SER_hh_emih_in!V29=0,0,SER_hh_emih_in!V29/SER_summary!V$27)</f>
        <v>3.6055597576148717</v>
      </c>
      <c r="W29" s="131">
        <f>IF(SER_hh_emih_in!W29=0,0,SER_hh_emih_in!W29/SER_summary!W$27)</f>
        <v>3.6175013306464132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9.3604540686597169</v>
      </c>
      <c r="D30" s="133">
        <f>IF(SER_hh_emih_in!D30=0,0,SER_hh_emih_in!D30/SER_summary!D$27)</f>
        <v>4.130590415617581</v>
      </c>
      <c r="E30" s="133">
        <f>IF(SER_hh_emih_in!E30=0,0,SER_hh_emih_in!E30/SER_summary!E$27)</f>
        <v>12.392480866892686</v>
      </c>
      <c r="F30" s="133">
        <f>IF(SER_hh_emih_in!F30=0,0,SER_hh_emih_in!F30/SER_summary!F$27)</f>
        <v>18.89180006775663</v>
      </c>
      <c r="G30" s="133">
        <f>IF(SER_hh_emih_in!G30=0,0,SER_hh_emih_in!G30/SER_summary!G$27)</f>
        <v>22.768755612866592</v>
      </c>
      <c r="H30" s="133">
        <f>IF(SER_hh_emih_in!H30=0,0,SER_hh_emih_in!H30/SER_summary!H$27)</f>
        <v>9.4303804028616138</v>
      </c>
      <c r="I30" s="133">
        <f>IF(SER_hh_emih_in!I30=0,0,SER_hh_emih_in!I30/SER_summary!I$27)</f>
        <v>28.854582519850108</v>
      </c>
      <c r="J30" s="133">
        <f>IF(SER_hh_emih_in!J30=0,0,SER_hh_emih_in!J30/SER_summary!J$27)</f>
        <v>0</v>
      </c>
      <c r="K30" s="133">
        <f>IF(SER_hh_emih_in!K30=0,0,SER_hh_emih_in!K30/SER_summary!K$27)</f>
        <v>0</v>
      </c>
      <c r="L30" s="133">
        <f>IF(SER_hh_emih_in!L30=0,0,SER_hh_emih_in!L30/SER_summary!L$27)</f>
        <v>0</v>
      </c>
      <c r="M30" s="133">
        <f>IF(SER_hh_emih_in!M30=0,0,SER_hh_emih_in!M30/SER_summary!M$27)</f>
        <v>0</v>
      </c>
      <c r="N30" s="133">
        <f>IF(SER_hh_emih_in!N30=0,0,SER_hh_emih_in!N30/SER_summary!N$27)</f>
        <v>16.491695175183555</v>
      </c>
      <c r="O30" s="133">
        <f>IF(SER_hh_emih_in!O30=0,0,SER_hh_emih_in!O30/SER_summary!O$27)</f>
        <v>16.683073076218168</v>
      </c>
      <c r="P30" s="133">
        <f>IF(SER_hh_emih_in!P30=0,0,SER_hh_emih_in!P30/SER_summary!P$27)</f>
        <v>18.095076917563095</v>
      </c>
      <c r="Q30" s="133">
        <f>IF(SER_hh_emih_in!Q30=0,0,SER_hh_emih_in!Q30/SER_summary!Q$27)</f>
        <v>20.06371079016693</v>
      </c>
      <c r="R30" s="133">
        <f>IF(SER_hh_emih_in!R30=0,0,SER_hh_emih_in!R30/SER_summary!R$27)</f>
        <v>17.664532964525723</v>
      </c>
      <c r="S30" s="133">
        <f>IF(SER_hh_emih_in!S30=0,0,SER_hh_emih_in!S30/SER_summary!S$27)</f>
        <v>17.078911314091012</v>
      </c>
      <c r="T30" s="133">
        <f>IF(SER_hh_emih_in!T30=0,0,SER_hh_emih_in!T30/SER_summary!T$27)</f>
        <v>17.463958595439095</v>
      </c>
      <c r="U30" s="133">
        <f>IF(SER_hh_emih_in!U30=0,0,SER_hh_emih_in!U30/SER_summary!U$27)</f>
        <v>17.289808131387659</v>
      </c>
      <c r="V30" s="133">
        <f>IF(SER_hh_emih_in!V30=0,0,SER_hh_emih_in!V30/SER_summary!V$27)</f>
        <v>15.846442398956189</v>
      </c>
      <c r="W30" s="133">
        <f>IF(SER_hh_emih_in!W30=0,0,SER_hh_emih_in!W30/SER_summary!W$27)</f>
        <v>16.168329422624158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12.510435556347616</v>
      </c>
      <c r="D31" s="133">
        <f>IF(SER_hh_emih_in!D31=0,0,SER_hh_emih_in!D31/SER_summary!D$27)</f>
        <v>7.2239716651819421</v>
      </c>
      <c r="E31" s="133">
        <f>IF(SER_hh_emih_in!E31=0,0,SER_hh_emih_in!E31/SER_summary!E$27)</f>
        <v>11.84143211934296</v>
      </c>
      <c r="F31" s="133">
        <f>IF(SER_hh_emih_in!F31=0,0,SER_hh_emih_in!F31/SER_summary!F$27)</f>
        <v>15.782052409845134</v>
      </c>
      <c r="G31" s="133">
        <f>IF(SER_hh_emih_in!G31=0,0,SER_hh_emih_in!G31/SER_summary!G$27)</f>
        <v>12.827481740912564</v>
      </c>
      <c r="H31" s="133">
        <f>IF(SER_hh_emih_in!H31=0,0,SER_hh_emih_in!H31/SER_summary!H$27)</f>
        <v>17.570165176164451</v>
      </c>
      <c r="I31" s="133">
        <f>IF(SER_hh_emih_in!I31=0,0,SER_hh_emih_in!I31/SER_summary!I$27)</f>
        <v>13.312231037515895</v>
      </c>
      <c r="J31" s="133">
        <f>IF(SER_hh_emih_in!J31=0,0,SER_hh_emih_in!J31/SER_summary!J$27)</f>
        <v>14.49328163866306</v>
      </c>
      <c r="K31" s="133">
        <f>IF(SER_hh_emih_in!K31=0,0,SER_hh_emih_in!K31/SER_summary!K$27)</f>
        <v>15.099294364781406</v>
      </c>
      <c r="L31" s="133">
        <f>IF(SER_hh_emih_in!L31=0,0,SER_hh_emih_in!L31/SER_summary!L$27)</f>
        <v>15.108549814634262</v>
      </c>
      <c r="M31" s="133">
        <f>IF(SER_hh_emih_in!M31=0,0,SER_hh_emih_in!M31/SER_summary!M$27)</f>
        <v>15.171635563177443</v>
      </c>
      <c r="N31" s="133">
        <f>IF(SER_hh_emih_in!N31=0,0,SER_hh_emih_in!N31/SER_summary!N$27)</f>
        <v>15.133757150595475</v>
      </c>
      <c r="O31" s="133">
        <f>IF(SER_hh_emih_in!O31=0,0,SER_hh_emih_in!O31/SER_summary!O$27)</f>
        <v>15.564658685885504</v>
      </c>
      <c r="P31" s="133">
        <f>IF(SER_hh_emih_in!P31=0,0,SER_hh_emih_in!P31/SER_summary!P$27)</f>
        <v>15.353360372606591</v>
      </c>
      <c r="Q31" s="133">
        <f>IF(SER_hh_emih_in!Q31=0,0,SER_hh_emih_in!Q31/SER_summary!Q$27)</f>
        <v>16.058802970775655</v>
      </c>
      <c r="R31" s="133">
        <f>IF(SER_hh_emih_in!R31=0,0,SER_hh_emih_in!R31/SER_summary!R$27)</f>
        <v>15.173358623036123</v>
      </c>
      <c r="S31" s="133">
        <f>IF(SER_hh_emih_in!S31=0,0,SER_hh_emih_in!S31/SER_summary!S$27)</f>
        <v>15.746135660211351</v>
      </c>
      <c r="T31" s="133">
        <f>IF(SER_hh_emih_in!T31=0,0,SER_hh_emih_in!T31/SER_summary!T$27)</f>
        <v>15.016236825757259</v>
      </c>
      <c r="U31" s="133">
        <f>IF(SER_hh_emih_in!U31=0,0,SER_hh_emih_in!U31/SER_summary!U$27)</f>
        <v>14.916438234686504</v>
      </c>
      <c r="V31" s="133">
        <f>IF(SER_hh_emih_in!V31=0,0,SER_hh_emih_in!V31/SER_summary!V$27)</f>
        <v>13.975160156714576</v>
      </c>
      <c r="W31" s="133">
        <f>IF(SER_hh_emih_in!W31=0,0,SER_hh_emih_in!W31/SER_summary!W$27)</f>
        <v>14.34873035009171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172.10518487670274</v>
      </c>
      <c r="C3" s="180">
        <f t="shared" ref="C3:W3" si="1">SUM(C4:C9)</f>
        <v>185.63128349175116</v>
      </c>
      <c r="D3" s="180">
        <f t="shared" si="1"/>
        <v>191.76905813724105</v>
      </c>
      <c r="E3" s="180">
        <f t="shared" si="1"/>
        <v>212.99946278798834</v>
      </c>
      <c r="F3" s="180">
        <f t="shared" si="1"/>
        <v>231.26513664401568</v>
      </c>
      <c r="G3" s="180">
        <f t="shared" si="1"/>
        <v>257.43072067583961</v>
      </c>
      <c r="H3" s="180">
        <f t="shared" si="1"/>
        <v>284.29109935528822</v>
      </c>
      <c r="I3" s="180">
        <f t="shared" si="1"/>
        <v>310.94145441318568</v>
      </c>
      <c r="J3" s="180">
        <f t="shared" si="1"/>
        <v>334.43940056537815</v>
      </c>
      <c r="K3" s="180">
        <f t="shared" si="1"/>
        <v>352.57602131583064</v>
      </c>
      <c r="L3" s="180">
        <f t="shared" si="1"/>
        <v>368.2806334416465</v>
      </c>
      <c r="M3" s="180">
        <f t="shared" si="1"/>
        <v>379.50271760589357</v>
      </c>
      <c r="N3" s="180">
        <f t="shared" si="1"/>
        <v>391.32066853744493</v>
      </c>
      <c r="O3" s="180">
        <f t="shared" si="1"/>
        <v>405.64439371476232</v>
      </c>
      <c r="P3" s="180">
        <f t="shared" si="1"/>
        <v>425.62286533783788</v>
      </c>
      <c r="Q3" s="180">
        <f t="shared" si="1"/>
        <v>450.30431559183535</v>
      </c>
      <c r="R3" s="180">
        <f t="shared" si="1"/>
        <v>464.63207740034971</v>
      </c>
      <c r="S3" s="180">
        <f t="shared" si="1"/>
        <v>479.46727020710915</v>
      </c>
      <c r="T3" s="180">
        <f t="shared" si="1"/>
        <v>488.85885055243489</v>
      </c>
      <c r="U3" s="180">
        <f t="shared" si="1"/>
        <v>492.90752536352556</v>
      </c>
      <c r="V3" s="180">
        <f t="shared" si="1"/>
        <v>493.31445592941441</v>
      </c>
      <c r="W3" s="180">
        <f t="shared" si="1"/>
        <v>500.98242701796761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3.2088571126454233</v>
      </c>
      <c r="C4" s="181">
        <f t="shared" ref="C4:R9" si="3">C12*C44/11630</f>
        <v>3.5374226276327803</v>
      </c>
      <c r="D4" s="181">
        <f t="shared" si="3"/>
        <v>3.8053249561098235</v>
      </c>
      <c r="E4" s="181">
        <f t="shared" si="3"/>
        <v>4.2849657684612179</v>
      </c>
      <c r="F4" s="181">
        <f t="shared" si="3"/>
        <v>4.7966119732112169</v>
      </c>
      <c r="G4" s="181">
        <f t="shared" si="3"/>
        <v>5.4512726820788853</v>
      </c>
      <c r="H4" s="181">
        <f t="shared" si="3"/>
        <v>6.0508128425423919</v>
      </c>
      <c r="I4" s="181">
        <f t="shared" si="3"/>
        <v>6.6038143812012793</v>
      </c>
      <c r="J4" s="181">
        <f t="shared" si="3"/>
        <v>7.1571625636304024</v>
      </c>
      <c r="K4" s="181">
        <f t="shared" si="3"/>
        <v>7.6790128694027731</v>
      </c>
      <c r="L4" s="181">
        <f t="shared" si="3"/>
        <v>8.4346561185150879</v>
      </c>
      <c r="M4" s="181">
        <f t="shared" si="3"/>
        <v>9.1896533393893556</v>
      </c>
      <c r="N4" s="181">
        <f t="shared" si="3"/>
        <v>9.791777730600522</v>
      </c>
      <c r="O4" s="181">
        <f t="shared" si="3"/>
        <v>10.610406204348331</v>
      </c>
      <c r="P4" s="181">
        <f t="shared" si="3"/>
        <v>11.417619685178241</v>
      </c>
      <c r="Q4" s="181">
        <f t="shared" si="3"/>
        <v>12.378660126412937</v>
      </c>
      <c r="R4" s="181">
        <f t="shared" si="3"/>
        <v>13.027435560900045</v>
      </c>
      <c r="S4" s="181">
        <f t="shared" ref="D4:W9" si="4">S12*S44/11630</f>
        <v>13.747881930002475</v>
      </c>
      <c r="T4" s="181">
        <f t="shared" si="4"/>
        <v>14.335647859854131</v>
      </c>
      <c r="U4" s="181">
        <f t="shared" si="4"/>
        <v>14.812673072190657</v>
      </c>
      <c r="V4" s="181">
        <f t="shared" si="4"/>
        <v>15.28133571915353</v>
      </c>
      <c r="W4" s="181">
        <f t="shared" si="4"/>
        <v>15.66070287071126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40.382704426288328</v>
      </c>
      <c r="C5" s="181">
        <f t="shared" si="3"/>
        <v>41.727671707903355</v>
      </c>
      <c r="D5" s="181">
        <f t="shared" si="4"/>
        <v>44.612799499250706</v>
      </c>
      <c r="E5" s="181">
        <f t="shared" si="4"/>
        <v>48.413694809985074</v>
      </c>
      <c r="F5" s="181">
        <f t="shared" si="4"/>
        <v>53.152418005569807</v>
      </c>
      <c r="G5" s="181">
        <f t="shared" si="4"/>
        <v>60.155122049801513</v>
      </c>
      <c r="H5" s="181">
        <f t="shared" si="4"/>
        <v>69.059983541608403</v>
      </c>
      <c r="I5" s="181">
        <f t="shared" si="4"/>
        <v>75.474133591298553</v>
      </c>
      <c r="J5" s="181">
        <f t="shared" si="4"/>
        <v>81.641425489418921</v>
      </c>
      <c r="K5" s="181">
        <f t="shared" si="4"/>
        <v>85.433867305792319</v>
      </c>
      <c r="L5" s="181">
        <f t="shared" si="4"/>
        <v>88.237991109522426</v>
      </c>
      <c r="M5" s="181">
        <f t="shared" si="4"/>
        <v>90.325010200004229</v>
      </c>
      <c r="N5" s="181">
        <f t="shared" si="4"/>
        <v>91.998542930029984</v>
      </c>
      <c r="O5" s="181">
        <f t="shared" si="4"/>
        <v>93.414136945580182</v>
      </c>
      <c r="P5" s="181">
        <f t="shared" si="4"/>
        <v>95.994715588223386</v>
      </c>
      <c r="Q5" s="181">
        <f t="shared" si="4"/>
        <v>98.781371811096278</v>
      </c>
      <c r="R5" s="181">
        <f t="shared" si="4"/>
        <v>99.666081607700747</v>
      </c>
      <c r="S5" s="181">
        <f t="shared" si="4"/>
        <v>100.65613167684552</v>
      </c>
      <c r="T5" s="181">
        <f t="shared" si="4"/>
        <v>100.86243593557396</v>
      </c>
      <c r="U5" s="181">
        <f t="shared" si="4"/>
        <v>98.846698378774306</v>
      </c>
      <c r="V5" s="181">
        <f t="shared" si="4"/>
        <v>95.964282038146592</v>
      </c>
      <c r="W5" s="181">
        <f t="shared" si="4"/>
        <v>93.844092022630818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28.484192684212182</v>
      </c>
      <c r="C6" s="181">
        <f t="shared" si="3"/>
        <v>31.175172094781157</v>
      </c>
      <c r="D6" s="181">
        <f t="shared" si="4"/>
        <v>32.914850693254706</v>
      </c>
      <c r="E6" s="181">
        <f t="shared" si="4"/>
        <v>36.097717260242575</v>
      </c>
      <c r="F6" s="181">
        <f t="shared" si="4"/>
        <v>39.29148180682121</v>
      </c>
      <c r="G6" s="181">
        <f t="shared" si="4"/>
        <v>42.634331333605729</v>
      </c>
      <c r="H6" s="181">
        <f t="shared" si="4"/>
        <v>45.448586607523801</v>
      </c>
      <c r="I6" s="181">
        <f t="shared" si="4"/>
        <v>47.87673469409043</v>
      </c>
      <c r="J6" s="181">
        <f t="shared" si="4"/>
        <v>51.608711825688005</v>
      </c>
      <c r="K6" s="181">
        <f t="shared" si="4"/>
        <v>54.552279770287662</v>
      </c>
      <c r="L6" s="181">
        <f t="shared" si="4"/>
        <v>57.497959086538373</v>
      </c>
      <c r="M6" s="181">
        <f t="shared" si="4"/>
        <v>59.743562175414539</v>
      </c>
      <c r="N6" s="181">
        <f t="shared" si="4"/>
        <v>63.245861357628719</v>
      </c>
      <c r="O6" s="181">
        <f t="shared" si="4"/>
        <v>68.054798767230821</v>
      </c>
      <c r="P6" s="181">
        <f t="shared" si="4"/>
        <v>72.514698728821642</v>
      </c>
      <c r="Q6" s="181">
        <f t="shared" si="4"/>
        <v>77.315481940978842</v>
      </c>
      <c r="R6" s="181">
        <f t="shared" si="4"/>
        <v>77.864043150005514</v>
      </c>
      <c r="S6" s="181">
        <f t="shared" si="4"/>
        <v>79.843456138128914</v>
      </c>
      <c r="T6" s="181">
        <f t="shared" si="4"/>
        <v>79.112892608387114</v>
      </c>
      <c r="U6" s="181">
        <f t="shared" si="4"/>
        <v>74.776986549455543</v>
      </c>
      <c r="V6" s="181">
        <f t="shared" si="4"/>
        <v>68.63535604224856</v>
      </c>
      <c r="W6" s="181">
        <f t="shared" si="4"/>
        <v>65.959230552891185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79.306547753852286</v>
      </c>
      <c r="C7" s="181">
        <f t="shared" si="3"/>
        <v>83.715961319591486</v>
      </c>
      <c r="D7" s="181">
        <f t="shared" si="4"/>
        <v>86.769904082625587</v>
      </c>
      <c r="E7" s="181">
        <f t="shared" si="4"/>
        <v>93.305937404187929</v>
      </c>
      <c r="F7" s="181">
        <f t="shared" si="4"/>
        <v>99.498830539179963</v>
      </c>
      <c r="G7" s="181">
        <f t="shared" si="4"/>
        <v>108.35782654764655</v>
      </c>
      <c r="H7" s="181">
        <f t="shared" si="4"/>
        <v>115.83017875176797</v>
      </c>
      <c r="I7" s="181">
        <f t="shared" si="4"/>
        <v>125.02351296949975</v>
      </c>
      <c r="J7" s="181">
        <f t="shared" si="4"/>
        <v>133.16253416382497</v>
      </c>
      <c r="K7" s="181">
        <f t="shared" si="4"/>
        <v>137.33005051304855</v>
      </c>
      <c r="L7" s="181">
        <f t="shared" si="4"/>
        <v>140.26064156217265</v>
      </c>
      <c r="M7" s="181">
        <f t="shared" si="4"/>
        <v>140.45486385339447</v>
      </c>
      <c r="N7" s="181">
        <f t="shared" si="4"/>
        <v>140.86983137902095</v>
      </c>
      <c r="O7" s="181">
        <f t="shared" si="4"/>
        <v>141.92644475291425</v>
      </c>
      <c r="P7" s="181">
        <f t="shared" si="4"/>
        <v>143.36274490817809</v>
      </c>
      <c r="Q7" s="181">
        <f t="shared" si="4"/>
        <v>145.82368116661232</v>
      </c>
      <c r="R7" s="181">
        <f t="shared" si="4"/>
        <v>150.74840729905878</v>
      </c>
      <c r="S7" s="181">
        <f t="shared" si="4"/>
        <v>152.29301678376024</v>
      </c>
      <c r="T7" s="181">
        <f t="shared" si="4"/>
        <v>153.96941990561155</v>
      </c>
      <c r="U7" s="181">
        <f t="shared" si="4"/>
        <v>158.21857678413582</v>
      </c>
      <c r="V7" s="181">
        <f t="shared" si="4"/>
        <v>166.39588860904658</v>
      </c>
      <c r="W7" s="181">
        <f t="shared" si="4"/>
        <v>170.52756015959162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6.6917028131736602</v>
      </c>
      <c r="C8" s="55">
        <f t="shared" si="3"/>
        <v>7.586816934017822</v>
      </c>
      <c r="D8" s="55">
        <f t="shared" si="4"/>
        <v>8.3293091301790732</v>
      </c>
      <c r="E8" s="55">
        <f t="shared" si="4"/>
        <v>9.5653599601461519</v>
      </c>
      <c r="F8" s="55">
        <f t="shared" si="4"/>
        <v>11.012269569873103</v>
      </c>
      <c r="G8" s="55">
        <f t="shared" si="4"/>
        <v>12.783501038283266</v>
      </c>
      <c r="H8" s="55">
        <f t="shared" si="4"/>
        <v>14.815437623167588</v>
      </c>
      <c r="I8" s="55">
        <f t="shared" si="4"/>
        <v>16.436797451795925</v>
      </c>
      <c r="J8" s="55">
        <f t="shared" si="4"/>
        <v>18.109711904743111</v>
      </c>
      <c r="K8" s="55">
        <f t="shared" si="4"/>
        <v>19.348276363774811</v>
      </c>
      <c r="L8" s="55">
        <f t="shared" si="4"/>
        <v>20.950884109754821</v>
      </c>
      <c r="M8" s="55">
        <f t="shared" si="4"/>
        <v>22.44321988917098</v>
      </c>
      <c r="N8" s="55">
        <f t="shared" si="4"/>
        <v>23.841056656989362</v>
      </c>
      <c r="O8" s="55">
        <f t="shared" si="4"/>
        <v>25.394739866020483</v>
      </c>
      <c r="P8" s="55">
        <f t="shared" si="4"/>
        <v>27.042629318324462</v>
      </c>
      <c r="Q8" s="55">
        <f t="shared" si="4"/>
        <v>28.715679763799486</v>
      </c>
      <c r="R8" s="55">
        <f t="shared" si="4"/>
        <v>30.657047190483596</v>
      </c>
      <c r="S8" s="55">
        <f t="shared" si="4"/>
        <v>33.145250128604594</v>
      </c>
      <c r="T8" s="55">
        <f t="shared" si="4"/>
        <v>35.127436068372802</v>
      </c>
      <c r="U8" s="55">
        <f t="shared" si="4"/>
        <v>36.509305416886669</v>
      </c>
      <c r="V8" s="55">
        <f t="shared" si="4"/>
        <v>36.757996735949199</v>
      </c>
      <c r="W8" s="55">
        <f t="shared" si="4"/>
        <v>39.367122247731047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14.03118008653083</v>
      </c>
      <c r="C9" s="63">
        <f t="shared" si="3"/>
        <v>17.88823880782455</v>
      </c>
      <c r="D9" s="63">
        <f t="shared" si="4"/>
        <v>15.336869775821146</v>
      </c>
      <c r="E9" s="63">
        <f t="shared" si="4"/>
        <v>21.331787584965408</v>
      </c>
      <c r="F9" s="63">
        <f t="shared" si="4"/>
        <v>23.5135247493604</v>
      </c>
      <c r="G9" s="63">
        <f t="shared" si="4"/>
        <v>28.048667024423658</v>
      </c>
      <c r="H9" s="63">
        <f t="shared" si="4"/>
        <v>33.086099988678065</v>
      </c>
      <c r="I9" s="63">
        <f t="shared" si="4"/>
        <v>39.526461325299742</v>
      </c>
      <c r="J9" s="63">
        <f t="shared" si="4"/>
        <v>42.759854618072701</v>
      </c>
      <c r="K9" s="63">
        <f t="shared" si="4"/>
        <v>48.232534493524525</v>
      </c>
      <c r="L9" s="63">
        <f t="shared" si="4"/>
        <v>52.898501455143112</v>
      </c>
      <c r="M9" s="63">
        <f t="shared" si="4"/>
        <v>57.34640814852002</v>
      </c>
      <c r="N9" s="63">
        <f t="shared" si="4"/>
        <v>61.573598483175452</v>
      </c>
      <c r="O9" s="63">
        <f t="shared" si="4"/>
        <v>66.243867178668268</v>
      </c>
      <c r="P9" s="63">
        <f t="shared" si="4"/>
        <v>75.290457109112083</v>
      </c>
      <c r="Q9" s="63">
        <f t="shared" si="4"/>
        <v>87.289440782935429</v>
      </c>
      <c r="R9" s="63">
        <f t="shared" si="4"/>
        <v>92.669062592201044</v>
      </c>
      <c r="S9" s="63">
        <f t="shared" si="4"/>
        <v>99.781533549767474</v>
      </c>
      <c r="T9" s="63">
        <f t="shared" si="4"/>
        <v>105.45101817463535</v>
      </c>
      <c r="U9" s="63">
        <f t="shared" si="4"/>
        <v>109.74328516208263</v>
      </c>
      <c r="V9" s="63">
        <f t="shared" si="4"/>
        <v>110.27959678486994</v>
      </c>
      <c r="W9" s="63">
        <f t="shared" si="4"/>
        <v>115.62371916441168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618.03695796974864</v>
      </c>
      <c r="C11" s="180">
        <f t="shared" ref="C11:W11" si="6">SUM(C12:C17)</f>
        <v>681.38928273090721</v>
      </c>
      <c r="D11" s="180">
        <f t="shared" si="6"/>
        <v>693.90587878932104</v>
      </c>
      <c r="E11" s="180">
        <f t="shared" si="6"/>
        <v>789.50883590342175</v>
      </c>
      <c r="F11" s="180">
        <f t="shared" si="6"/>
        <v>862.3038511715954</v>
      </c>
      <c r="G11" s="180">
        <f t="shared" si="6"/>
        <v>967.9892918741067</v>
      </c>
      <c r="H11" s="180">
        <f t="shared" si="6"/>
        <v>1081.3040181043418</v>
      </c>
      <c r="I11" s="180">
        <f t="shared" si="6"/>
        <v>1187.4872454384363</v>
      </c>
      <c r="J11" s="180">
        <f t="shared" si="6"/>
        <v>1278.2513371486414</v>
      </c>
      <c r="K11" s="180">
        <f t="shared" si="6"/>
        <v>1360.4170868138115</v>
      </c>
      <c r="L11" s="180">
        <f t="shared" si="6"/>
        <v>1435.1249958645808</v>
      </c>
      <c r="M11" s="180">
        <f t="shared" si="6"/>
        <v>1495.221434932218</v>
      </c>
      <c r="N11" s="180">
        <f t="shared" si="6"/>
        <v>1558.7501766771206</v>
      </c>
      <c r="O11" s="180">
        <f t="shared" si="6"/>
        <v>1632.8890008933131</v>
      </c>
      <c r="P11" s="180">
        <f t="shared" si="6"/>
        <v>1736.2967061186939</v>
      </c>
      <c r="Q11" s="180">
        <f t="shared" si="6"/>
        <v>1858.7399583503961</v>
      </c>
      <c r="R11" s="180">
        <f t="shared" si="6"/>
        <v>1930.9508563295431</v>
      </c>
      <c r="S11" s="180">
        <f t="shared" si="6"/>
        <v>2006.7550298190295</v>
      </c>
      <c r="T11" s="180">
        <f t="shared" si="6"/>
        <v>2057.2283571716748</v>
      </c>
      <c r="U11" s="180">
        <f t="shared" si="6"/>
        <v>2090.2371765090484</v>
      </c>
      <c r="V11" s="180">
        <f t="shared" si="6"/>
        <v>2108.0681360331541</v>
      </c>
      <c r="W11" s="180">
        <f t="shared" si="6"/>
        <v>2114.6861259610278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4.2601607557153285</v>
      </c>
      <c r="C12" s="181">
        <f t="shared" ref="C12:W12" si="7">C20*C52</f>
        <v>4.6963727350878122</v>
      </c>
      <c r="D12" s="181">
        <f t="shared" si="7"/>
        <v>5.0520467168444334</v>
      </c>
      <c r="E12" s="181">
        <f t="shared" si="7"/>
        <v>5.6888301241100416</v>
      </c>
      <c r="F12" s="181">
        <f t="shared" si="7"/>
        <v>6.368104708726765</v>
      </c>
      <c r="G12" s="181">
        <f t="shared" si="7"/>
        <v>7.2372490060019912</v>
      </c>
      <c r="H12" s="181">
        <f t="shared" si="7"/>
        <v>8.0332138537406426</v>
      </c>
      <c r="I12" s="181">
        <f t="shared" si="7"/>
        <v>8.7673928371427952</v>
      </c>
      <c r="J12" s="181">
        <f t="shared" si="7"/>
        <v>9.5020320336782653</v>
      </c>
      <c r="K12" s="181">
        <f t="shared" si="7"/>
        <v>10.194853843739073</v>
      </c>
      <c r="L12" s="181">
        <f t="shared" si="7"/>
        <v>11.198065143645033</v>
      </c>
      <c r="M12" s="181">
        <f t="shared" si="7"/>
        <v>12.200418759942716</v>
      </c>
      <c r="N12" s="181">
        <f t="shared" si="7"/>
        <v>12.999814498502749</v>
      </c>
      <c r="O12" s="181">
        <f t="shared" si="7"/>
        <v>14.086646593215878</v>
      </c>
      <c r="P12" s="181">
        <f t="shared" si="7"/>
        <v>15.158323851440977</v>
      </c>
      <c r="Q12" s="181">
        <f t="shared" si="7"/>
        <v>16.434225715774261</v>
      </c>
      <c r="R12" s="181">
        <f t="shared" si="7"/>
        <v>17.295556572290817</v>
      </c>
      <c r="S12" s="181">
        <f t="shared" si="7"/>
        <v>18.252039594284103</v>
      </c>
      <c r="T12" s="181">
        <f t="shared" si="7"/>
        <v>19.032372672386252</v>
      </c>
      <c r="U12" s="181">
        <f t="shared" si="7"/>
        <v>19.665683542189196</v>
      </c>
      <c r="V12" s="181">
        <f t="shared" si="7"/>
        <v>20.287892056364793</v>
      </c>
      <c r="W12" s="181">
        <f t="shared" si="7"/>
        <v>20.791549587485385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154.77895317608025</v>
      </c>
      <c r="C13" s="181">
        <f t="shared" ref="C13:W13" si="8">C21*C53/1000</f>
        <v>159.39126171227602</v>
      </c>
      <c r="D13" s="181">
        <f t="shared" si="8"/>
        <v>170.07788194810354</v>
      </c>
      <c r="E13" s="181">
        <f t="shared" si="8"/>
        <v>183.90245861265836</v>
      </c>
      <c r="F13" s="181">
        <f t="shared" si="8"/>
        <v>201.10340336483586</v>
      </c>
      <c r="G13" s="181">
        <f t="shared" si="8"/>
        <v>226.11705359799163</v>
      </c>
      <c r="H13" s="181">
        <f t="shared" si="8"/>
        <v>258.26514628837856</v>
      </c>
      <c r="I13" s="181">
        <f t="shared" si="8"/>
        <v>279.80541519779649</v>
      </c>
      <c r="J13" s="181">
        <f t="shared" si="8"/>
        <v>301.00381762650613</v>
      </c>
      <c r="K13" s="181">
        <f t="shared" si="8"/>
        <v>313.17146906220489</v>
      </c>
      <c r="L13" s="181">
        <f t="shared" si="8"/>
        <v>321.63602956577523</v>
      </c>
      <c r="M13" s="181">
        <f t="shared" si="8"/>
        <v>326.89902811639513</v>
      </c>
      <c r="N13" s="181">
        <f t="shared" si="8"/>
        <v>330.77679296576605</v>
      </c>
      <c r="O13" s="181">
        <f t="shared" si="8"/>
        <v>332.83620790269163</v>
      </c>
      <c r="P13" s="181">
        <f t="shared" si="8"/>
        <v>339.1598921315811</v>
      </c>
      <c r="Q13" s="181">
        <f t="shared" si="8"/>
        <v>344.28592015727185</v>
      </c>
      <c r="R13" s="181">
        <f t="shared" si="8"/>
        <v>348.46630581013108</v>
      </c>
      <c r="S13" s="181">
        <f t="shared" si="8"/>
        <v>350.08629879385836</v>
      </c>
      <c r="T13" s="181">
        <f t="shared" si="8"/>
        <v>350.08351186393372</v>
      </c>
      <c r="U13" s="181">
        <f t="shared" si="8"/>
        <v>346.00107296905998</v>
      </c>
      <c r="V13" s="181">
        <f t="shared" si="8"/>
        <v>337.90547508099309</v>
      </c>
      <c r="W13" s="181">
        <f t="shared" si="8"/>
        <v>331.23587291026581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163.24292334270078</v>
      </c>
      <c r="C14" s="181">
        <f t="shared" ref="C14:W14" si="9">C22*C54</f>
        <v>177.49755645776469</v>
      </c>
      <c r="D14" s="181">
        <f t="shared" si="9"/>
        <v>186.30939907079824</v>
      </c>
      <c r="E14" s="181">
        <f t="shared" si="9"/>
        <v>203.08607933742198</v>
      </c>
      <c r="F14" s="181">
        <f t="shared" si="9"/>
        <v>219.12632032384246</v>
      </c>
      <c r="G14" s="181">
        <f t="shared" si="9"/>
        <v>236.76939920358993</v>
      </c>
      <c r="H14" s="181">
        <f t="shared" si="9"/>
        <v>250.53208943173047</v>
      </c>
      <c r="I14" s="181">
        <f t="shared" si="9"/>
        <v>262.91198956935455</v>
      </c>
      <c r="J14" s="181">
        <f t="shared" si="9"/>
        <v>282.18084558774916</v>
      </c>
      <c r="K14" s="181">
        <f t="shared" si="9"/>
        <v>297.67406850239911</v>
      </c>
      <c r="L14" s="181">
        <f t="shared" si="9"/>
        <v>313.52809074430985</v>
      </c>
      <c r="M14" s="181">
        <f t="shared" si="9"/>
        <v>324.69635301316492</v>
      </c>
      <c r="N14" s="181">
        <f t="shared" si="9"/>
        <v>342.60721706181192</v>
      </c>
      <c r="O14" s="181">
        <f t="shared" si="9"/>
        <v>367.34167183690499</v>
      </c>
      <c r="P14" s="181">
        <f t="shared" si="9"/>
        <v>389.62625000806185</v>
      </c>
      <c r="Q14" s="181">
        <f t="shared" si="9"/>
        <v>413.78982184873962</v>
      </c>
      <c r="R14" s="181">
        <f t="shared" si="9"/>
        <v>418.08232782875729</v>
      </c>
      <c r="S14" s="181">
        <f t="shared" si="9"/>
        <v>424.17689407364327</v>
      </c>
      <c r="T14" s="181">
        <f t="shared" si="9"/>
        <v>420.1098422556168</v>
      </c>
      <c r="U14" s="181">
        <f t="shared" si="9"/>
        <v>403.83038154805928</v>
      </c>
      <c r="V14" s="181">
        <f t="shared" si="9"/>
        <v>383.1982513024459</v>
      </c>
      <c r="W14" s="181">
        <f t="shared" si="9"/>
        <v>355.88556666440542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105.28940072800248</v>
      </c>
      <c r="C15" s="181">
        <f t="shared" ref="C15:W15" si="10">C23*C55/1000</f>
        <v>111.14345093000561</v>
      </c>
      <c r="D15" s="181">
        <f t="shared" si="10"/>
        <v>115.19794343389677</v>
      </c>
      <c r="E15" s="181">
        <f t="shared" si="10"/>
        <v>123.87534840304862</v>
      </c>
      <c r="F15" s="181">
        <f t="shared" si="10"/>
        <v>132.09719168614873</v>
      </c>
      <c r="G15" s="181">
        <f t="shared" si="10"/>
        <v>143.8586213183938</v>
      </c>
      <c r="H15" s="181">
        <f t="shared" si="10"/>
        <v>153.77910717843176</v>
      </c>
      <c r="I15" s="181">
        <f t="shared" si="10"/>
        <v>165.98441276658482</v>
      </c>
      <c r="J15" s="181">
        <f t="shared" si="10"/>
        <v>176.7899854252608</v>
      </c>
      <c r="K15" s="181">
        <f t="shared" si="10"/>
        <v>182.32288669711818</v>
      </c>
      <c r="L15" s="181">
        <f t="shared" si="10"/>
        <v>186.21361431142336</v>
      </c>
      <c r="M15" s="181">
        <f t="shared" si="10"/>
        <v>186.47146879166417</v>
      </c>
      <c r="N15" s="181">
        <f t="shared" si="10"/>
        <v>187.02239028972767</v>
      </c>
      <c r="O15" s="181">
        <f t="shared" si="10"/>
        <v>188.42517722333247</v>
      </c>
      <c r="P15" s="181">
        <f t="shared" si="10"/>
        <v>190.33204603677063</v>
      </c>
      <c r="Q15" s="181">
        <f t="shared" si="10"/>
        <v>193.59924794151837</v>
      </c>
      <c r="R15" s="181">
        <f t="shared" si="10"/>
        <v>200.13744028402431</v>
      </c>
      <c r="S15" s="181">
        <f t="shared" si="10"/>
        <v>202.1881033327775</v>
      </c>
      <c r="T15" s="181">
        <f t="shared" si="10"/>
        <v>204.41373898427645</v>
      </c>
      <c r="U15" s="181">
        <f t="shared" si="10"/>
        <v>210.05502831044515</v>
      </c>
      <c r="V15" s="181">
        <f t="shared" si="10"/>
        <v>220.91143658940766</v>
      </c>
      <c r="W15" s="181">
        <f t="shared" si="10"/>
        <v>226.39674938996006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87.527037096402282</v>
      </c>
      <c r="C16" s="55">
        <f t="shared" ref="C16:W16" si="11">C24*C56</f>
        <v>98.76329092047213</v>
      </c>
      <c r="D16" s="55">
        <f t="shared" si="11"/>
        <v>107.95816656848665</v>
      </c>
      <c r="E16" s="55">
        <f t="shared" si="11"/>
        <v>123.48372798307032</v>
      </c>
      <c r="F16" s="55">
        <f t="shared" si="11"/>
        <v>141.63677003649335</v>
      </c>
      <c r="G16" s="55">
        <f t="shared" si="11"/>
        <v>163.85165418751856</v>
      </c>
      <c r="H16" s="55">
        <f t="shared" si="11"/>
        <v>189.28407074554616</v>
      </c>
      <c r="I16" s="55">
        <f t="shared" si="11"/>
        <v>209.36319607782741</v>
      </c>
      <c r="J16" s="55">
        <f t="shared" si="11"/>
        <v>230.01359102713809</v>
      </c>
      <c r="K16" s="55">
        <f t="shared" si="11"/>
        <v>245.08130497768906</v>
      </c>
      <c r="L16" s="55">
        <f t="shared" si="11"/>
        <v>264.70152105306772</v>
      </c>
      <c r="M16" s="55">
        <f t="shared" si="11"/>
        <v>283.09548101940715</v>
      </c>
      <c r="N16" s="55">
        <f t="shared" si="11"/>
        <v>300.261621775187</v>
      </c>
      <c r="O16" s="55">
        <f t="shared" si="11"/>
        <v>319.35563925759459</v>
      </c>
      <c r="P16" s="55">
        <f t="shared" si="11"/>
        <v>339.59682611715726</v>
      </c>
      <c r="Q16" s="55">
        <f t="shared" si="11"/>
        <v>360.11635860020169</v>
      </c>
      <c r="R16" s="55">
        <f t="shared" si="11"/>
        <v>386.37394238709101</v>
      </c>
      <c r="S16" s="55">
        <f t="shared" si="11"/>
        <v>415.78502725199286</v>
      </c>
      <c r="T16" s="55">
        <f t="shared" si="11"/>
        <v>439.42802666807682</v>
      </c>
      <c r="U16" s="55">
        <f t="shared" si="11"/>
        <v>460.83057635717438</v>
      </c>
      <c r="V16" s="55">
        <f t="shared" si="11"/>
        <v>479.66071340808196</v>
      </c>
      <c r="W16" s="55">
        <f t="shared" si="11"/>
        <v>496.44958241230125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102.93848287084759</v>
      </c>
      <c r="C17" s="63">
        <f t="shared" ref="C17:W17" si="12">C25*C57/1000</f>
        <v>129.89734997530093</v>
      </c>
      <c r="D17" s="63">
        <f t="shared" si="12"/>
        <v>109.31044105119142</v>
      </c>
      <c r="E17" s="63">
        <f t="shared" si="12"/>
        <v>149.47239144311243</v>
      </c>
      <c r="F17" s="63">
        <f t="shared" si="12"/>
        <v>161.97206105154822</v>
      </c>
      <c r="G17" s="63">
        <f t="shared" si="12"/>
        <v>190.15531456061083</v>
      </c>
      <c r="H17" s="63">
        <f t="shared" si="12"/>
        <v>221.41039060651426</v>
      </c>
      <c r="I17" s="63">
        <f t="shared" si="12"/>
        <v>260.65483898973031</v>
      </c>
      <c r="J17" s="63">
        <f t="shared" si="12"/>
        <v>278.7610654483089</v>
      </c>
      <c r="K17" s="63">
        <f t="shared" si="12"/>
        <v>311.97250373066123</v>
      </c>
      <c r="L17" s="63">
        <f t="shared" si="12"/>
        <v>337.84767504635965</v>
      </c>
      <c r="M17" s="63">
        <f t="shared" si="12"/>
        <v>361.85868523164379</v>
      </c>
      <c r="N17" s="63">
        <f t="shared" si="12"/>
        <v>385.08234008612521</v>
      </c>
      <c r="O17" s="63">
        <f t="shared" si="12"/>
        <v>410.84365807957369</v>
      </c>
      <c r="P17" s="63">
        <f t="shared" si="12"/>
        <v>462.42336797368222</v>
      </c>
      <c r="Q17" s="63">
        <f t="shared" si="12"/>
        <v>530.51438408689035</v>
      </c>
      <c r="R17" s="63">
        <f t="shared" si="12"/>
        <v>560.59528344724879</v>
      </c>
      <c r="S17" s="63">
        <f t="shared" si="12"/>
        <v>596.26666677247329</v>
      </c>
      <c r="T17" s="63">
        <f t="shared" si="12"/>
        <v>624.16086472738471</v>
      </c>
      <c r="U17" s="63">
        <f t="shared" si="12"/>
        <v>649.85443378212062</v>
      </c>
      <c r="V17" s="63">
        <f t="shared" si="12"/>
        <v>666.10436759586094</v>
      </c>
      <c r="W17" s="63">
        <f t="shared" si="12"/>
        <v>683.92680499660969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4.7818042582377718</v>
      </c>
      <c r="C20" s="182">
        <v>5.3565843840102847</v>
      </c>
      <c r="D20" s="182">
        <v>5.8452805525435112</v>
      </c>
      <c r="E20" s="182">
        <v>6.7191330578119324</v>
      </c>
      <c r="F20" s="182">
        <v>7.680012930655395</v>
      </c>
      <c r="G20" s="182">
        <v>8.9368805622015124</v>
      </c>
      <c r="H20" s="182">
        <v>10.133571117660185</v>
      </c>
      <c r="I20" s="182">
        <v>11.279757730641899</v>
      </c>
      <c r="J20" s="182">
        <v>12.463382800752138</v>
      </c>
      <c r="K20" s="182">
        <v>13.620515961050495</v>
      </c>
      <c r="L20" s="182">
        <v>15.312108110198853</v>
      </c>
      <c r="M20" s="182">
        <v>17.059923364818573</v>
      </c>
      <c r="N20" s="182">
        <v>18.538727022857632</v>
      </c>
      <c r="O20" s="182">
        <v>20.57826202681828</v>
      </c>
      <c r="P20" s="182">
        <v>22.683798787531543</v>
      </c>
      <c r="Q20" s="182">
        <v>25.273387016351752</v>
      </c>
      <c r="R20" s="182">
        <v>27.107253253306631</v>
      </c>
      <c r="S20" s="182">
        <v>29.148201940713665</v>
      </c>
      <c r="T20" s="182">
        <v>30.879902331950198</v>
      </c>
      <c r="U20" s="182">
        <v>32.523722372077103</v>
      </c>
      <c r="V20" s="182">
        <v>34.100634893390037</v>
      </c>
      <c r="W20" s="182">
        <v>35.621807743061595</v>
      </c>
      <c r="DA20" s="191" t="s">
        <v>921</v>
      </c>
    </row>
    <row r="21" spans="1:105" ht="12" customHeight="1" x14ac:dyDescent="0.25">
      <c r="A21" s="132" t="s">
        <v>163</v>
      </c>
      <c r="B21" s="182">
        <v>749.05822186436683</v>
      </c>
      <c r="C21" s="182">
        <v>781.01849800897287</v>
      </c>
      <c r="D21" s="182">
        <v>847.08863803846407</v>
      </c>
      <c r="E21" s="182">
        <v>932.01183938290853</v>
      </c>
      <c r="F21" s="182">
        <v>1037.7123130196164</v>
      </c>
      <c r="G21" s="182">
        <v>1189.5029811356562</v>
      </c>
      <c r="H21" s="182">
        <v>1385.9816495966347</v>
      </c>
      <c r="I21" s="182">
        <v>1527.3792684544323</v>
      </c>
      <c r="J21" s="182">
        <v>1659.7796054721362</v>
      </c>
      <c r="K21" s="182">
        <v>1745.6001241128099</v>
      </c>
      <c r="L21" s="182">
        <v>1814.3346921000555</v>
      </c>
      <c r="M21" s="182">
        <v>1869.8063156783398</v>
      </c>
      <c r="N21" s="182">
        <v>1926.2318631608243</v>
      </c>
      <c r="O21" s="182">
        <v>1982.0271950179563</v>
      </c>
      <c r="P21" s="182">
        <v>2065.6972512933653</v>
      </c>
      <c r="Q21" s="182">
        <v>2153.1566901585038</v>
      </c>
      <c r="R21" s="182">
        <v>2249.1531651068021</v>
      </c>
      <c r="S21" s="182">
        <v>2339.1083814612502</v>
      </c>
      <c r="T21" s="182">
        <v>2431.3031458305395</v>
      </c>
      <c r="U21" s="182">
        <v>2520.658002592977</v>
      </c>
      <c r="V21" s="182">
        <v>2606.254923716514</v>
      </c>
      <c r="W21" s="182">
        <v>2687.7415113932507</v>
      </c>
      <c r="DA21" s="191" t="s">
        <v>922</v>
      </c>
    </row>
    <row r="22" spans="1:105" ht="12" customHeight="1" x14ac:dyDescent="0.25">
      <c r="A22" s="132" t="s">
        <v>167</v>
      </c>
      <c r="B22" s="182">
        <v>3.5111995060388921</v>
      </c>
      <c r="C22" s="182">
        <v>3.8598382890311482</v>
      </c>
      <c r="D22" s="182">
        <v>4.1075247760555671</v>
      </c>
      <c r="E22" s="182">
        <v>4.5594743940752283</v>
      </c>
      <c r="F22" s="182">
        <v>5.0137977592719043</v>
      </c>
      <c r="G22" s="182">
        <v>5.5276876875959129</v>
      </c>
      <c r="H22" s="182">
        <v>5.971591743800003</v>
      </c>
      <c r="I22" s="182">
        <v>6.4073859592622187</v>
      </c>
      <c r="J22" s="182">
        <v>7.024829919341065</v>
      </c>
      <c r="K22" s="182">
        <v>7.6109227244911573</v>
      </c>
      <c r="L22" s="182">
        <v>8.2573599128967654</v>
      </c>
      <c r="M22" s="182">
        <v>8.8456738788237423</v>
      </c>
      <c r="N22" s="182">
        <v>9.6854288337613195</v>
      </c>
      <c r="O22" s="182">
        <v>10.888333351690155</v>
      </c>
      <c r="P22" s="182">
        <v>12.131169953674005</v>
      </c>
      <c r="Q22" s="182">
        <v>13.628044948037584</v>
      </c>
      <c r="R22" s="182">
        <v>14.639757747196732</v>
      </c>
      <c r="S22" s="182">
        <v>15.772611887694259</v>
      </c>
      <c r="T22" s="182">
        <v>16.714950481835029</v>
      </c>
      <c r="U22" s="182">
        <v>17.563504977884556</v>
      </c>
      <c r="V22" s="182">
        <v>18.287515256864225</v>
      </c>
      <c r="W22" s="182">
        <v>18.802788093397975</v>
      </c>
      <c r="DA22" s="191" t="s">
        <v>923</v>
      </c>
    </row>
    <row r="23" spans="1:105" ht="12" customHeight="1" x14ac:dyDescent="0.25">
      <c r="A23" s="132" t="s">
        <v>180</v>
      </c>
      <c r="B23" s="182">
        <v>135.38714402504428</v>
      </c>
      <c r="C23" s="182">
        <v>145.07340177120321</v>
      </c>
      <c r="D23" s="182">
        <v>152.834824595458</v>
      </c>
      <c r="E23" s="182">
        <v>168.04665070410385</v>
      </c>
      <c r="F23" s="182">
        <v>183.32869229644507</v>
      </c>
      <c r="G23" s="182">
        <v>204.70329042485184</v>
      </c>
      <c r="H23" s="182">
        <v>223.82134098262756</v>
      </c>
      <c r="I23" s="182">
        <v>247.37140258502933</v>
      </c>
      <c r="J23" s="182">
        <v>269.45833603793886</v>
      </c>
      <c r="K23" s="182">
        <v>283.61448479320558</v>
      </c>
      <c r="L23" s="182">
        <v>295.54368669165433</v>
      </c>
      <c r="M23" s="182">
        <v>301.74803558390079</v>
      </c>
      <c r="N23" s="182">
        <v>307.63354379383668</v>
      </c>
      <c r="O23" s="182">
        <v>317.21534433301139</v>
      </c>
      <c r="P23" s="182">
        <v>328.36308023678043</v>
      </c>
      <c r="Q23" s="182">
        <v>344.3090693166684</v>
      </c>
      <c r="R23" s="182">
        <v>366.29167271190056</v>
      </c>
      <c r="S23" s="182">
        <v>380.43660132270645</v>
      </c>
      <c r="T23" s="182">
        <v>394.55794042458211</v>
      </c>
      <c r="U23" s="182">
        <v>413.72243909689729</v>
      </c>
      <c r="V23" s="182">
        <v>443.89120904471906</v>
      </c>
      <c r="W23" s="182">
        <v>462.56076975135443</v>
      </c>
      <c r="DA23" s="191" t="s">
        <v>924</v>
      </c>
    </row>
    <row r="24" spans="1:105" ht="12" customHeight="1" x14ac:dyDescent="0.25">
      <c r="A24" s="60" t="s">
        <v>166</v>
      </c>
      <c r="B24" s="36">
        <v>1.6027404037139894</v>
      </c>
      <c r="C24" s="36">
        <v>1.8250165468949331</v>
      </c>
      <c r="D24" s="36">
        <v>2.0101454531834992</v>
      </c>
      <c r="E24" s="36">
        <v>2.3239117828822038</v>
      </c>
      <c r="F24" s="36">
        <v>2.6957278291485842</v>
      </c>
      <c r="G24" s="36">
        <v>3.1594364358778031</v>
      </c>
      <c r="H24" s="36">
        <v>3.7008730683337423</v>
      </c>
      <c r="I24" s="36">
        <v>4.1427479600430415</v>
      </c>
      <c r="J24" s="36">
        <v>4.6078714781667314</v>
      </c>
      <c r="K24" s="36">
        <v>4.9651413281956689</v>
      </c>
      <c r="L24" s="36">
        <v>5.4390381208458241</v>
      </c>
      <c r="M24" s="36">
        <v>5.905675375283999</v>
      </c>
      <c r="N24" s="36">
        <v>6.366519042795681</v>
      </c>
      <c r="O24" s="36">
        <v>6.9014074047667409</v>
      </c>
      <c r="P24" s="36">
        <v>7.4953305341572127</v>
      </c>
      <c r="Q24" s="36">
        <v>8.1350230528703715</v>
      </c>
      <c r="R24" s="36">
        <v>8.9464390029182628</v>
      </c>
      <c r="S24" s="36">
        <v>9.844316775656802</v>
      </c>
      <c r="T24" s="36">
        <v>10.648894206773116</v>
      </c>
      <c r="U24" s="36">
        <v>11.427058340497339</v>
      </c>
      <c r="V24" s="36">
        <v>12.177787818666786</v>
      </c>
      <c r="W24" s="36">
        <v>12.898243205899075</v>
      </c>
      <c r="DA24" s="89" t="s">
        <v>925</v>
      </c>
    </row>
    <row r="25" spans="1:105" ht="12" customHeight="1" x14ac:dyDescent="0.25">
      <c r="A25" s="62" t="s">
        <v>164</v>
      </c>
      <c r="B25" s="38">
        <v>251.82406455616652</v>
      </c>
      <c r="C25" s="38">
        <v>326.94126444621133</v>
      </c>
      <c r="D25" s="38">
        <v>276.57859338730901</v>
      </c>
      <c r="E25" s="38">
        <v>397.58426556427298</v>
      </c>
      <c r="F25" s="38">
        <v>444.52107981375434</v>
      </c>
      <c r="G25" s="38">
        <v>545.12735618561987</v>
      </c>
      <c r="H25" s="38">
        <v>679.08558007229578</v>
      </c>
      <c r="I25" s="38">
        <v>815.08734860391189</v>
      </c>
      <c r="J25" s="38">
        <v>939.31405635505837</v>
      </c>
      <c r="K25" s="38">
        <v>1107.223261583719</v>
      </c>
      <c r="L25" s="38">
        <v>1278.804317885646</v>
      </c>
      <c r="M25" s="38">
        <v>1485.3166014461794</v>
      </c>
      <c r="N25" s="38">
        <v>1640.9521749012204</v>
      </c>
      <c r="O25" s="38">
        <v>1835.0477111364723</v>
      </c>
      <c r="P25" s="38">
        <v>2125.0960887793281</v>
      </c>
      <c r="Q25" s="38">
        <v>2476.6727400721288</v>
      </c>
      <c r="R25" s="38">
        <v>2652.1683010353049</v>
      </c>
      <c r="S25" s="38">
        <v>2846.4218666744723</v>
      </c>
      <c r="T25" s="38">
        <v>3029.7799971281252</v>
      </c>
      <c r="U25" s="38">
        <v>3222.7849506919829</v>
      </c>
      <c r="V25" s="38">
        <v>3399.193507379377</v>
      </c>
      <c r="W25" s="38">
        <v>3578.8035793335102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0.78218288621436916</v>
      </c>
      <c r="D28" s="183">
        <v>0.70196543931320399</v>
      </c>
      <c r="E28" s="183">
        <v>1.093154224117888</v>
      </c>
      <c r="F28" s="183">
        <v>1.186384671141135</v>
      </c>
      <c r="G28" s="183">
        <v>1.4887509670806649</v>
      </c>
      <c r="H28" s="183">
        <v>1.4351328489465924</v>
      </c>
      <c r="I28" s="183">
        <v>1.3913733884466897</v>
      </c>
      <c r="J28" s="183">
        <v>1.4357470992332253</v>
      </c>
      <c r="K28" s="183">
        <v>1.4163866108506777</v>
      </c>
      <c r="L28" s="183">
        <v>1.9581787376233297</v>
      </c>
      <c r="M28" s="183">
        <v>2.0219424031815532</v>
      </c>
      <c r="N28" s="183">
        <v>1.7606846559111489</v>
      </c>
      <c r="O28" s="183">
        <v>2.3293891733788321</v>
      </c>
      <c r="P28" s="183">
        <v>2.4035896275731616</v>
      </c>
      <c r="Q28" s="183">
        <v>2.8960716981514274</v>
      </c>
      <c r="R28" s="183">
        <v>2.1490187733586126</v>
      </c>
      <c r="S28" s="183">
        <v>2.3650155005974334</v>
      </c>
      <c r="T28" s="183">
        <v>2.0649336268302463</v>
      </c>
      <c r="U28" s="183">
        <v>2.4260029263412726</v>
      </c>
      <c r="V28" s="183">
        <v>2.27887796062614</v>
      </c>
      <c r="W28" s="183">
        <v>2.6143270737894468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125.92545749214321</v>
      </c>
      <c r="D29" s="183">
        <v>164.08004147425811</v>
      </c>
      <c r="E29" s="183">
        <v>187.15192738377016</v>
      </c>
      <c r="F29" s="183">
        <v>212.32962307537935</v>
      </c>
      <c r="G29" s="183">
        <v>263.00965665787839</v>
      </c>
      <c r="H29" s="183">
        <v>312.4850651863328</v>
      </c>
      <c r="I29" s="183">
        <v>262.39749718467033</v>
      </c>
      <c r="J29" s="183">
        <v>258.32579450984713</v>
      </c>
      <c r="K29" s="183">
        <v>249.90056011493175</v>
      </c>
      <c r="L29" s="183">
        <v>255.8864953710156</v>
      </c>
      <c r="M29" s="183">
        <v>267.80124665366361</v>
      </c>
      <c r="N29" s="183">
        <v>319.43520414036288</v>
      </c>
      <c r="O29" s="183">
        <v>368.28039704346475</v>
      </c>
      <c r="P29" s="183">
        <v>346.06755346007935</v>
      </c>
      <c r="Q29" s="183">
        <v>345.78523337498564</v>
      </c>
      <c r="R29" s="183">
        <v>345.89703506323008</v>
      </c>
      <c r="S29" s="183">
        <v>345.84171172546371</v>
      </c>
      <c r="T29" s="183">
        <v>359.9960110229531</v>
      </c>
      <c r="U29" s="183">
        <v>408.79006090280018</v>
      </c>
      <c r="V29" s="183">
        <v>453.8773181670017</v>
      </c>
      <c r="W29" s="183">
        <v>427.55414113681627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0.8969691064851566</v>
      </c>
      <c r="D30" s="183">
        <v>0.81026152871998436</v>
      </c>
      <c r="E30" s="183">
        <v>1.0291394322227143</v>
      </c>
      <c r="F30" s="183">
        <v>1.0465076196130609</v>
      </c>
      <c r="G30" s="183">
        <v>1.1214581538009067</v>
      </c>
      <c r="H30" s="183">
        <v>1.0672559029581796</v>
      </c>
      <c r="I30" s="183">
        <v>1.3327633219473727</v>
      </c>
      <c r="J30" s="183">
        <v>1.4277054887988312</v>
      </c>
      <c r="K30" s="183">
        <v>1.6152322373728065</v>
      </c>
      <c r="L30" s="183">
        <v>1.6929448080186695</v>
      </c>
      <c r="M30" s="183">
        <v>1.7097721197278837</v>
      </c>
      <c r="N30" s="183">
        <v>1.9070108578957568</v>
      </c>
      <c r="O30" s="183">
        <v>2.5356678398762096</v>
      </c>
      <c r="P30" s="183">
        <v>2.6705420907826802</v>
      </c>
      <c r="Q30" s="183">
        <v>3.1121072317363847</v>
      </c>
      <c r="R30" s="183">
        <v>2.7046576071778183</v>
      </c>
      <c r="S30" s="183">
        <v>2.8426262602254102</v>
      </c>
      <c r="T30" s="183">
        <v>2.8493494520365275</v>
      </c>
      <c r="U30" s="183">
        <v>3.3842223359257364</v>
      </c>
      <c r="V30" s="183">
        <v>3.3945523697623496</v>
      </c>
      <c r="W30" s="183">
        <v>3.6273800682701349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21.990661417624054</v>
      </c>
      <c r="D31" s="183">
        <v>20.325008733354309</v>
      </c>
      <c r="E31" s="183">
        <v>28.040053718032198</v>
      </c>
      <c r="F31" s="183">
        <v>28.380485363799238</v>
      </c>
      <c r="G31" s="183">
        <v>34.74894994521668</v>
      </c>
      <c r="H31" s="183">
        <v>32.774122198101253</v>
      </c>
      <c r="I31" s="183">
        <v>37.493787264778234</v>
      </c>
      <c r="J31" s="183">
        <v>36.324372334929109</v>
      </c>
      <c r="K31" s="183">
        <v>28.693487686581818</v>
      </c>
      <c r="L31" s="183">
        <v>26.772758029237366</v>
      </c>
      <c r="M31" s="183">
        <v>28.195010309870497</v>
      </c>
      <c r="N31" s="183">
        <v>26.210516943290202</v>
      </c>
      <c r="O31" s="183">
        <v>37.621854257206905</v>
      </c>
      <c r="P31" s="183">
        <v>39.528221267568256</v>
      </c>
      <c r="Q31" s="183">
        <v>50.694939025104645</v>
      </c>
      <c r="R31" s="183">
        <v>54.756725593333385</v>
      </c>
      <c r="S31" s="183">
        <v>51.638715875584126</v>
      </c>
      <c r="T31" s="183">
        <v>50.445711436804743</v>
      </c>
      <c r="U31" s="183">
        <v>47.857986358896994</v>
      </c>
      <c r="V31" s="183">
        <v>56.941527977059138</v>
      </c>
      <c r="W31" s="183">
        <v>46.864571016505863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0.26792612387717574</v>
      </c>
      <c r="D32" s="41">
        <v>0.23591594669632121</v>
      </c>
      <c r="E32" s="41">
        <v>0.37026851073011624</v>
      </c>
      <c r="F32" s="41">
        <v>0.43467650113192757</v>
      </c>
      <c r="G32" s="41">
        <v>0.53364284136888296</v>
      </c>
      <c r="H32" s="41">
        <v>0.61924066974928271</v>
      </c>
      <c r="I32" s="41">
        <v>0.52843433216552871</v>
      </c>
      <c r="J32" s="41">
        <v>0.56142362018454506</v>
      </c>
      <c r="K32" s="41">
        <v>0.46440674472294319</v>
      </c>
      <c r="L32" s="41">
        <v>0.59308996024847094</v>
      </c>
      <c r="M32" s="41">
        <v>0.59924340512694485</v>
      </c>
      <c r="N32" s="41">
        <v>0.6083721840769325</v>
      </c>
      <c r="O32" s="41">
        <v>0.69901848027172253</v>
      </c>
      <c r="P32" s="41">
        <v>0.77652305217539919</v>
      </c>
      <c r="Q32" s="41">
        <v>0.84284068034417903</v>
      </c>
      <c r="R32" s="41">
        <v>1.0793420739250674</v>
      </c>
      <c r="S32" s="41">
        <v>1.1337937194348608</v>
      </c>
      <c r="T32" s="41">
        <v>1.1748459418464297</v>
      </c>
      <c r="U32" s="41">
        <v>1.2128406348561498</v>
      </c>
      <c r="V32" s="41">
        <v>1.2843723195383294</v>
      </c>
      <c r="W32" s="41">
        <v>1.3396960569815715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125.48201280127813</v>
      </c>
      <c r="D33" s="42">
        <v>2.1418523309648663E-3</v>
      </c>
      <c r="E33" s="42">
        <v>171.37048508819728</v>
      </c>
      <c r="F33" s="42">
        <v>97.301627160714645</v>
      </c>
      <c r="G33" s="42">
        <v>150.97108928309882</v>
      </c>
      <c r="H33" s="42">
        <v>259.44023668795404</v>
      </c>
      <c r="I33" s="42">
        <v>136.00391038394707</v>
      </c>
      <c r="J33" s="42">
        <v>295.59719283934373</v>
      </c>
      <c r="K33" s="42">
        <v>265.21083238937535</v>
      </c>
      <c r="L33" s="42">
        <v>322.55214558502576</v>
      </c>
      <c r="M33" s="42">
        <v>465.95252024848742</v>
      </c>
      <c r="N33" s="42">
        <v>291.6394838389881</v>
      </c>
      <c r="O33" s="42">
        <v>489.69272907459572</v>
      </c>
      <c r="P33" s="42">
        <v>555.25921003223107</v>
      </c>
      <c r="Q33" s="42">
        <v>674.12879687782652</v>
      </c>
      <c r="R33" s="42">
        <v>641.44808121166352</v>
      </c>
      <c r="S33" s="42">
        <v>485.89304947815572</v>
      </c>
      <c r="T33" s="42">
        <v>673.05085952824857</v>
      </c>
      <c r="U33" s="42">
        <v>748.26416359608902</v>
      </c>
      <c r="V33" s="42">
        <v>850.53735356522066</v>
      </c>
      <c r="W33" s="42">
        <v>821.05815316579674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0.20740276044185624</v>
      </c>
      <c r="D36" s="183">
        <v>0.21326927077997748</v>
      </c>
      <c r="E36" s="183">
        <v>0.21930171884946681</v>
      </c>
      <c r="F36" s="183">
        <v>0.22550479829767234</v>
      </c>
      <c r="G36" s="183">
        <v>0.23188333553454754</v>
      </c>
      <c r="H36" s="183">
        <v>0.23844229348791934</v>
      </c>
      <c r="I36" s="183">
        <v>0.24518677546497614</v>
      </c>
      <c r="J36" s="183">
        <v>0.25212202912298665</v>
      </c>
      <c r="K36" s="183">
        <v>0.25925345055232007</v>
      </c>
      <c r="L36" s="183">
        <v>0.26658658847497207</v>
      </c>
      <c r="M36" s="183">
        <v>0.27412714856183129</v>
      </c>
      <c r="N36" s="183">
        <v>0.28188099787208998</v>
      </c>
      <c r="O36" s="183">
        <v>0.28985416941818443</v>
      </c>
      <c r="P36" s="183">
        <v>0.29805286685989785</v>
      </c>
      <c r="Q36" s="183">
        <v>0.30648346933121928</v>
      </c>
      <c r="R36" s="183">
        <v>0.31515253640373331</v>
      </c>
      <c r="S36" s="183">
        <v>0.32406681319039876</v>
      </c>
      <c r="T36" s="183">
        <v>0.33323323559371332</v>
      </c>
      <c r="U36" s="183">
        <v>0.78218288621437182</v>
      </c>
      <c r="V36" s="183">
        <v>0.70196543931320576</v>
      </c>
      <c r="W36" s="183">
        <v>1.0931542241178889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93.965181347537168</v>
      </c>
      <c r="D37" s="183">
        <v>98.009901444766911</v>
      </c>
      <c r="E37" s="183">
        <v>102.22872603932581</v>
      </c>
      <c r="F37" s="183">
        <v>106.62914943867145</v>
      </c>
      <c r="G37" s="183">
        <v>111.2189885418386</v>
      </c>
      <c r="H37" s="183">
        <v>116.00639672535431</v>
      </c>
      <c r="I37" s="183">
        <v>120.9998783268727</v>
      </c>
      <c r="J37" s="183">
        <v>125.92545749214332</v>
      </c>
      <c r="K37" s="183">
        <v>164.080041474258</v>
      </c>
      <c r="L37" s="183">
        <v>187.15192738377004</v>
      </c>
      <c r="M37" s="183">
        <v>212.32962307537923</v>
      </c>
      <c r="N37" s="183">
        <v>263.00965665787839</v>
      </c>
      <c r="O37" s="183">
        <v>312.48506518633303</v>
      </c>
      <c r="P37" s="183">
        <v>262.3974971846701</v>
      </c>
      <c r="Q37" s="183">
        <v>258.32579450984713</v>
      </c>
      <c r="R37" s="183">
        <v>249.90056011493152</v>
      </c>
      <c r="S37" s="183">
        <v>255.88649537101537</v>
      </c>
      <c r="T37" s="183">
        <v>267.80124665366384</v>
      </c>
      <c r="U37" s="183">
        <v>319.43520414036266</v>
      </c>
      <c r="V37" s="183">
        <v>368.28039704346475</v>
      </c>
      <c r="W37" s="183">
        <v>346.06755346007958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0.5483303234929009</v>
      </c>
      <c r="D38" s="183">
        <v>0.56257504169556594</v>
      </c>
      <c r="E38" s="183">
        <v>0.57718981420305315</v>
      </c>
      <c r="F38" s="183">
        <v>0.59218425441638445</v>
      </c>
      <c r="G38" s="183">
        <v>0.60756822547689815</v>
      </c>
      <c r="H38" s="183">
        <v>0.6233518467540895</v>
      </c>
      <c r="I38" s="183">
        <v>0.89696910648515704</v>
      </c>
      <c r="J38" s="183">
        <v>0.8102615287199848</v>
      </c>
      <c r="K38" s="183">
        <v>1.0291394322227134</v>
      </c>
      <c r="L38" s="183">
        <v>1.0465076196130614</v>
      </c>
      <c r="M38" s="183">
        <v>1.1214581538009067</v>
      </c>
      <c r="N38" s="183">
        <v>1.0672559029581787</v>
      </c>
      <c r="O38" s="183">
        <v>1.3327633219473736</v>
      </c>
      <c r="P38" s="183">
        <v>1.4277054887988303</v>
      </c>
      <c r="Q38" s="183">
        <v>1.6152322373728065</v>
      </c>
      <c r="R38" s="183">
        <v>1.6929448080186695</v>
      </c>
      <c r="S38" s="183">
        <v>1.7097721197278819</v>
      </c>
      <c r="T38" s="183">
        <v>1.9070108578957594</v>
      </c>
      <c r="U38" s="183">
        <v>2.5356678398762114</v>
      </c>
      <c r="V38" s="183">
        <v>2.670542090782682</v>
      </c>
      <c r="W38" s="183">
        <v>3.1121072317363847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12.30440367146511</v>
      </c>
      <c r="D39" s="183">
        <v>12.563585909099515</v>
      </c>
      <c r="E39" s="183">
        <v>12.828227609386346</v>
      </c>
      <c r="F39" s="183">
        <v>13.098443771458022</v>
      </c>
      <c r="G39" s="183">
        <v>13.374351816809906</v>
      </c>
      <c r="H39" s="183">
        <v>13.656071640325536</v>
      </c>
      <c r="I39" s="183">
        <v>13.943725662376494</v>
      </c>
      <c r="J39" s="183">
        <v>14.237438882019603</v>
      </c>
      <c r="K39" s="183">
        <v>14.537338931315105</v>
      </c>
      <c r="L39" s="183">
        <v>14.843556130788613</v>
      </c>
      <c r="M39" s="183">
        <v>21.99066141762404</v>
      </c>
      <c r="N39" s="183">
        <v>20.325008733354309</v>
      </c>
      <c r="O39" s="183">
        <v>28.040053718032198</v>
      </c>
      <c r="P39" s="183">
        <v>28.38048536379921</v>
      </c>
      <c r="Q39" s="183">
        <v>34.74894994521668</v>
      </c>
      <c r="R39" s="183">
        <v>32.774122198101225</v>
      </c>
      <c r="S39" s="183">
        <v>37.493787264778234</v>
      </c>
      <c r="T39" s="183">
        <v>36.32437233492908</v>
      </c>
      <c r="U39" s="183">
        <v>28.693487686581818</v>
      </c>
      <c r="V39" s="183">
        <v>26.772758029237366</v>
      </c>
      <c r="W39" s="183">
        <v>28.195010309870497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4.5649980696232051E-2</v>
      </c>
      <c r="D40" s="41">
        <v>5.0787040407755057E-2</v>
      </c>
      <c r="E40" s="41">
        <v>5.6502181031411691E-2</v>
      </c>
      <c r="F40" s="41">
        <v>6.2860454865547144E-2</v>
      </c>
      <c r="G40" s="41">
        <v>6.9934234639664083E-2</v>
      </c>
      <c r="H40" s="41">
        <v>7.7804037293343509E-2</v>
      </c>
      <c r="I40" s="41">
        <v>8.6559440456229986E-2</v>
      </c>
      <c r="J40" s="41">
        <v>9.6300102060855153E-2</v>
      </c>
      <c r="K40" s="41">
        <v>0.10713689469400567</v>
      </c>
      <c r="L40" s="41">
        <v>0.11919316759831577</v>
      </c>
      <c r="M40" s="41">
        <v>0.13260615068876991</v>
      </c>
      <c r="N40" s="41">
        <v>0.14752851656525046</v>
      </c>
      <c r="O40" s="41">
        <v>0.16413011830066271</v>
      </c>
      <c r="P40" s="41">
        <v>0.18259992278492732</v>
      </c>
      <c r="Q40" s="41">
        <v>0.20314816163102023</v>
      </c>
      <c r="R40" s="41">
        <v>0.26792612387717618</v>
      </c>
      <c r="S40" s="41">
        <v>0.23591594669632165</v>
      </c>
      <c r="T40" s="41">
        <v>0.37026851073011535</v>
      </c>
      <c r="U40" s="41">
        <v>0.43467650113192668</v>
      </c>
      <c r="V40" s="41">
        <v>0.53364284136888251</v>
      </c>
      <c r="W40" s="41">
        <v>0.61924066974928316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50.364812911233344</v>
      </c>
      <c r="D41" s="42">
        <v>50.364812911233287</v>
      </c>
      <c r="E41" s="42">
        <v>50.364812911233344</v>
      </c>
      <c r="F41" s="42">
        <v>50.364812911233287</v>
      </c>
      <c r="G41" s="42">
        <v>50.36481291123323</v>
      </c>
      <c r="H41" s="42">
        <v>125.48201280127807</v>
      </c>
      <c r="I41" s="42">
        <v>2.1418523309648663E-3</v>
      </c>
      <c r="J41" s="42">
        <v>171.37048508819714</v>
      </c>
      <c r="K41" s="42">
        <v>97.301627160714588</v>
      </c>
      <c r="L41" s="42">
        <v>150.97108928309876</v>
      </c>
      <c r="M41" s="42">
        <v>259.44023668795398</v>
      </c>
      <c r="N41" s="42">
        <v>136.00391038394719</v>
      </c>
      <c r="O41" s="42">
        <v>295.59719283934396</v>
      </c>
      <c r="P41" s="42">
        <v>265.21083238937535</v>
      </c>
      <c r="Q41" s="42">
        <v>322.55214558502576</v>
      </c>
      <c r="R41" s="42">
        <v>465.95252024848742</v>
      </c>
      <c r="S41" s="42">
        <v>291.63948383898833</v>
      </c>
      <c r="T41" s="42">
        <v>489.69272907459572</v>
      </c>
      <c r="U41" s="42">
        <v>555.25921003223129</v>
      </c>
      <c r="V41" s="42">
        <v>674.12879687782652</v>
      </c>
      <c r="W41" s="42">
        <v>641.44808121166352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</v>
      </c>
      <c r="D44" s="185">
        <v>8760.0000000000018</v>
      </c>
      <c r="E44" s="185">
        <v>8760</v>
      </c>
      <c r="F44" s="185">
        <v>8759.9999999999982</v>
      </c>
      <c r="G44" s="185">
        <v>8759.9999999999982</v>
      </c>
      <c r="H44" s="185">
        <v>8759.9999999999982</v>
      </c>
      <c r="I44" s="185">
        <v>8760</v>
      </c>
      <c r="J44" s="185">
        <v>8759.9999999999982</v>
      </c>
      <c r="K44" s="185">
        <v>8759.9999999999964</v>
      </c>
      <c r="L44" s="185">
        <v>8759.9999999999982</v>
      </c>
      <c r="M44" s="185">
        <v>8760.0000000000018</v>
      </c>
      <c r="N44" s="185">
        <v>8760</v>
      </c>
      <c r="O44" s="185">
        <v>8760</v>
      </c>
      <c r="P44" s="185">
        <v>8759.9999999999982</v>
      </c>
      <c r="Q44" s="185">
        <v>8759.9999999999964</v>
      </c>
      <c r="R44" s="185">
        <v>8759.9999999999982</v>
      </c>
      <c r="S44" s="185">
        <v>8760.0000000000018</v>
      </c>
      <c r="T44" s="185">
        <v>8759.9999999999982</v>
      </c>
      <c r="U44" s="185">
        <v>8760</v>
      </c>
      <c r="V44" s="185">
        <v>8759.9999999999982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3034.3327877624752</v>
      </c>
      <c r="C45" s="185">
        <v>3044.6639091102675</v>
      </c>
      <c r="D45" s="185">
        <v>3050.6427539743427</v>
      </c>
      <c r="E45" s="185">
        <v>3061.6843020355927</v>
      </c>
      <c r="F45" s="185">
        <v>3073.8545994834531</v>
      </c>
      <c r="G45" s="185">
        <v>3093.990737571708</v>
      </c>
      <c r="H45" s="185">
        <v>3109.8567504423909</v>
      </c>
      <c r="I45" s="185">
        <v>3137.0521297677683</v>
      </c>
      <c r="J45" s="185">
        <v>3154.4110833175387</v>
      </c>
      <c r="K45" s="185">
        <v>3172.6896442440861</v>
      </c>
      <c r="L45" s="185">
        <v>3190.58731694076</v>
      </c>
      <c r="M45" s="185">
        <v>3213.4689254934619</v>
      </c>
      <c r="N45" s="185">
        <v>3234.6376076842344</v>
      </c>
      <c r="O45" s="185">
        <v>3264.0872203264635</v>
      </c>
      <c r="P45" s="185">
        <v>3291.7174707023146</v>
      </c>
      <c r="Q45" s="185">
        <v>3336.840942081682</v>
      </c>
      <c r="R45" s="185">
        <v>3326.3374672704449</v>
      </c>
      <c r="S45" s="185">
        <v>3343.8349785034493</v>
      </c>
      <c r="T45" s="185">
        <v>3350.7151584638023</v>
      </c>
      <c r="U45" s="185">
        <v>3322.4957722831782</v>
      </c>
      <c r="V45" s="185">
        <v>3302.8899571281986</v>
      </c>
      <c r="W45" s="185">
        <v>3294.9534741934986</v>
      </c>
      <c r="DA45" s="194" t="s">
        <v>940</v>
      </c>
    </row>
    <row r="46" spans="1:105" ht="12" customHeight="1" x14ac:dyDescent="0.25">
      <c r="A46" s="132" t="s">
        <v>5</v>
      </c>
      <c r="B46" s="185">
        <v>2029.3140684692357</v>
      </c>
      <c r="C46" s="185">
        <v>2042.6605227581106</v>
      </c>
      <c r="D46" s="185">
        <v>2054.6452056188909</v>
      </c>
      <c r="E46" s="185">
        <v>2067.184777540107</v>
      </c>
      <c r="F46" s="185">
        <v>2085.3721850391985</v>
      </c>
      <c r="G46" s="185">
        <v>2094.1780275561755</v>
      </c>
      <c r="H46" s="185">
        <v>2109.777886914304</v>
      </c>
      <c r="I46" s="185">
        <v>2117.8434098966404</v>
      </c>
      <c r="J46" s="185">
        <v>2127.0377770772743</v>
      </c>
      <c r="K46" s="185">
        <v>2131.3345059592662</v>
      </c>
      <c r="L46" s="185">
        <v>2132.8272774186098</v>
      </c>
      <c r="M46" s="185">
        <v>2139.8996990640653</v>
      </c>
      <c r="N46" s="185">
        <v>2146.9173180216953</v>
      </c>
      <c r="O46" s="185">
        <v>2154.6080130388809</v>
      </c>
      <c r="P46" s="185">
        <v>2164.4998153967958</v>
      </c>
      <c r="Q46" s="185">
        <v>2173.0332828299429</v>
      </c>
      <c r="R46" s="185">
        <v>2165.9820603693943</v>
      </c>
      <c r="S46" s="185">
        <v>2189.1324300310057</v>
      </c>
      <c r="T46" s="185">
        <v>2190.100893841272</v>
      </c>
      <c r="U46" s="185">
        <v>2153.5188864106585</v>
      </c>
      <c r="V46" s="185">
        <v>2083.0710684567671</v>
      </c>
      <c r="W46" s="185">
        <v>2155.4845803946118</v>
      </c>
      <c r="DA46" s="194" t="s">
        <v>941</v>
      </c>
    </row>
    <row r="47" spans="1:105" ht="12" customHeight="1" x14ac:dyDescent="0.25">
      <c r="A47" s="132" t="s">
        <v>179</v>
      </c>
      <c r="B47" s="185">
        <v>8760.0000000000036</v>
      </c>
      <c r="C47" s="185">
        <v>8759.9999999999982</v>
      </c>
      <c r="D47" s="185">
        <v>8759.9999999999982</v>
      </c>
      <c r="E47" s="185">
        <v>8759.9999999999982</v>
      </c>
      <c r="F47" s="185">
        <v>8760</v>
      </c>
      <c r="G47" s="185">
        <v>8759.9999999999982</v>
      </c>
      <c r="H47" s="185">
        <v>8759.9999999999964</v>
      </c>
      <c r="I47" s="185">
        <v>8759.9999999999945</v>
      </c>
      <c r="J47" s="185">
        <v>8759.9999999999982</v>
      </c>
      <c r="K47" s="185">
        <v>8759.9999999999964</v>
      </c>
      <c r="L47" s="185">
        <v>8759.9999999999964</v>
      </c>
      <c r="M47" s="185">
        <v>8759.9999999999982</v>
      </c>
      <c r="N47" s="185">
        <v>8759.9999999999964</v>
      </c>
      <c r="O47" s="185">
        <v>8760.0000000000018</v>
      </c>
      <c r="P47" s="185">
        <v>8760.0000000000018</v>
      </c>
      <c r="Q47" s="185">
        <v>8760.0000000000018</v>
      </c>
      <c r="R47" s="185">
        <v>8760.0000000000036</v>
      </c>
      <c r="S47" s="185">
        <v>8760.0000000000036</v>
      </c>
      <c r="T47" s="185">
        <v>8760.0000000000018</v>
      </c>
      <c r="U47" s="185">
        <v>8760</v>
      </c>
      <c r="V47" s="185">
        <v>8760.0000000000018</v>
      </c>
      <c r="W47" s="185">
        <v>8760.0000000000018</v>
      </c>
      <c r="DA47" s="194" t="s">
        <v>942</v>
      </c>
    </row>
    <row r="48" spans="1:105" ht="12" customHeight="1" x14ac:dyDescent="0.25">
      <c r="A48" s="60" t="s">
        <v>4</v>
      </c>
      <c r="B48" s="44">
        <v>889.14815694599315</v>
      </c>
      <c r="C48" s="44">
        <v>893.39551284978052</v>
      </c>
      <c r="D48" s="44">
        <v>897.29075866187657</v>
      </c>
      <c r="E48" s="44">
        <v>900.88903334495615</v>
      </c>
      <c r="F48" s="44">
        <v>904.23337855435204</v>
      </c>
      <c r="G48" s="44">
        <v>907.35804781737454</v>
      </c>
      <c r="H48" s="44">
        <v>910.29075441359259</v>
      </c>
      <c r="I48" s="44">
        <v>913.05424231929464</v>
      </c>
      <c r="J48" s="44">
        <v>915.66741126750594</v>
      </c>
      <c r="K48" s="44">
        <v>918.14613983382276</v>
      </c>
      <c r="L48" s="44">
        <v>920.50389898439425</v>
      </c>
      <c r="M48" s="44">
        <v>922.0021682125157</v>
      </c>
      <c r="N48" s="44">
        <v>923.43299580385951</v>
      </c>
      <c r="O48" s="44">
        <v>924.80228415066188</v>
      </c>
      <c r="P48" s="44">
        <v>926.11518949712558</v>
      </c>
      <c r="Q48" s="44">
        <v>927.3762429208374</v>
      </c>
      <c r="R48" s="44">
        <v>922.78857270380058</v>
      </c>
      <c r="S48" s="44">
        <v>927.11192979550424</v>
      </c>
      <c r="T48" s="44">
        <v>929.69054471293782</v>
      </c>
      <c r="U48" s="44">
        <v>921.38682583704303</v>
      </c>
      <c r="V48" s="44">
        <v>891.24560358852636</v>
      </c>
      <c r="W48" s="44">
        <v>922.22785144952809</v>
      </c>
      <c r="DA48" s="95" t="s">
        <v>943</v>
      </c>
    </row>
    <row r="49" spans="1:105" ht="12" customHeight="1" x14ac:dyDescent="0.25">
      <c r="A49" s="62" t="s">
        <v>3</v>
      </c>
      <c r="B49" s="186">
        <v>1585.2441172179663</v>
      </c>
      <c r="C49" s="186">
        <v>1601.5739918832596</v>
      </c>
      <c r="D49" s="186">
        <v>1631.7544214213544</v>
      </c>
      <c r="E49" s="186">
        <v>1659.7626305294484</v>
      </c>
      <c r="F49" s="186">
        <v>1688.3300185211019</v>
      </c>
      <c r="G49" s="186">
        <v>1715.471367433546</v>
      </c>
      <c r="H49" s="186">
        <v>1737.9100493624471</v>
      </c>
      <c r="I49" s="186">
        <v>1763.6071787309029</v>
      </c>
      <c r="J49" s="186">
        <v>1783.9546868154732</v>
      </c>
      <c r="K49" s="186">
        <v>1798.0571026348423</v>
      </c>
      <c r="L49" s="186">
        <v>1820.9673097170046</v>
      </c>
      <c r="M49" s="186">
        <v>1843.0916653011855</v>
      </c>
      <c r="N49" s="186">
        <v>1859.6047541395214</v>
      </c>
      <c r="O49" s="186">
        <v>1875.2052274315377</v>
      </c>
      <c r="P49" s="186">
        <v>1893.5635108924855</v>
      </c>
      <c r="Q49" s="186">
        <v>1913.5695972746109</v>
      </c>
      <c r="R49" s="186">
        <v>1922.4942302760421</v>
      </c>
      <c r="S49" s="186">
        <v>1946.2084665326599</v>
      </c>
      <c r="T49" s="186">
        <v>1964.8706137746444</v>
      </c>
      <c r="U49" s="186">
        <v>1964.0004593135332</v>
      </c>
      <c r="V49" s="186">
        <v>1925.4515853680568</v>
      </c>
      <c r="W49" s="186">
        <v>1966.1517052088254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0.89091073696214329</v>
      </c>
      <c r="C52" s="181">
        <v>0.87674764335025834</v>
      </c>
      <c r="D52" s="181">
        <v>0.86429499344494076</v>
      </c>
      <c r="E52" s="181">
        <v>0.84666132894867752</v>
      </c>
      <c r="F52" s="181">
        <v>0.82917890454428245</v>
      </c>
      <c r="G52" s="181">
        <v>0.80981825320704148</v>
      </c>
      <c r="H52" s="181">
        <v>0.79273276522832459</v>
      </c>
      <c r="I52" s="181">
        <v>0.77726783203205085</v>
      </c>
      <c r="J52" s="181">
        <v>0.76239590692061865</v>
      </c>
      <c r="K52" s="181">
        <v>0.74849248537224911</v>
      </c>
      <c r="L52" s="181">
        <v>0.73132093001527321</v>
      </c>
      <c r="M52" s="181">
        <v>0.71515085379004362</v>
      </c>
      <c r="N52" s="181">
        <v>0.70122476491910213</v>
      </c>
      <c r="O52" s="181">
        <v>0.68454015090573195</v>
      </c>
      <c r="P52" s="181">
        <v>0.66824450319903894</v>
      </c>
      <c r="Q52" s="181">
        <v>0.65025814328492659</v>
      </c>
      <c r="R52" s="181">
        <v>0.63804164924681361</v>
      </c>
      <c r="S52" s="181">
        <v>0.62618063479208963</v>
      </c>
      <c r="T52" s="181">
        <v>0.61633526129045491</v>
      </c>
      <c r="U52" s="181">
        <v>0.60465660471486993</v>
      </c>
      <c r="V52" s="181">
        <v>0.59494176926005959</v>
      </c>
      <c r="W52" s="181">
        <v>0.58367474602787828</v>
      </c>
      <c r="DA52" s="190" t="s">
        <v>945</v>
      </c>
    </row>
    <row r="53" spans="1:105" ht="12" customHeight="1" x14ac:dyDescent="0.25">
      <c r="A53" s="132" t="s">
        <v>100</v>
      </c>
      <c r="B53" s="181">
        <v>206.63140548787183</v>
      </c>
      <c r="C53" s="181">
        <v>204.08128887933822</v>
      </c>
      <c r="D53" s="181">
        <v>200.77932144378585</v>
      </c>
      <c r="E53" s="181">
        <v>197.31772799626822</v>
      </c>
      <c r="F53" s="181">
        <v>193.79494763789538</v>
      </c>
      <c r="G53" s="181">
        <v>190.09372585355817</v>
      </c>
      <c r="H53" s="181">
        <v>186.3409565080043</v>
      </c>
      <c r="I53" s="181">
        <v>183.19314722723314</v>
      </c>
      <c r="J53" s="181">
        <v>181.35167864102263</v>
      </c>
      <c r="K53" s="181">
        <v>179.40619087740515</v>
      </c>
      <c r="L53" s="181">
        <v>177.27491568465138</v>
      </c>
      <c r="M53" s="181">
        <v>174.83042247496135</v>
      </c>
      <c r="N53" s="181">
        <v>171.72221023432886</v>
      </c>
      <c r="O53" s="181">
        <v>167.92716504562202</v>
      </c>
      <c r="P53" s="181">
        <v>164.18664057340823</v>
      </c>
      <c r="Q53" s="181">
        <v>159.89821908034355</v>
      </c>
      <c r="R53" s="181">
        <v>154.93222569997093</v>
      </c>
      <c r="S53" s="181">
        <v>149.66655738079058</v>
      </c>
      <c r="T53" s="181">
        <v>143.99007070109485</v>
      </c>
      <c r="U53" s="181">
        <v>137.266171219234</v>
      </c>
      <c r="V53" s="181">
        <v>129.65173590891123</v>
      </c>
      <c r="W53" s="181">
        <v>123.23948248228764</v>
      </c>
      <c r="DA53" s="190" t="s">
        <v>946</v>
      </c>
    </row>
    <row r="54" spans="1:105" ht="12" customHeight="1" x14ac:dyDescent="0.25">
      <c r="A54" s="132" t="s">
        <v>140</v>
      </c>
      <c r="B54" s="181">
        <v>46.492067187278934</v>
      </c>
      <c r="C54" s="181">
        <v>45.985749445041662</v>
      </c>
      <c r="D54" s="181">
        <v>45.358070669925475</v>
      </c>
      <c r="E54" s="181">
        <v>44.541554965484735</v>
      </c>
      <c r="F54" s="181">
        <v>43.704658792552422</v>
      </c>
      <c r="G54" s="181">
        <v>42.833353218362639</v>
      </c>
      <c r="H54" s="181">
        <v>41.953988179423867</v>
      </c>
      <c r="I54" s="181">
        <v>41.032644395223485</v>
      </c>
      <c r="J54" s="181">
        <v>40.169064422590026</v>
      </c>
      <c r="K54" s="181">
        <v>39.111429622654683</v>
      </c>
      <c r="L54" s="181">
        <v>37.969531914749858</v>
      </c>
      <c r="M54" s="181">
        <v>36.706796730374329</v>
      </c>
      <c r="N54" s="181">
        <v>35.373469047395915</v>
      </c>
      <c r="O54" s="181">
        <v>33.737180886355205</v>
      </c>
      <c r="P54" s="181">
        <v>32.117780189046066</v>
      </c>
      <c r="Q54" s="181">
        <v>30.363109560210592</v>
      </c>
      <c r="R54" s="181">
        <v>28.558008612458977</v>
      </c>
      <c r="S54" s="181">
        <v>26.893256303642691</v>
      </c>
      <c r="T54" s="181">
        <v>25.133777256006301</v>
      </c>
      <c r="U54" s="181">
        <v>22.992585025400711</v>
      </c>
      <c r="V54" s="181">
        <v>20.954090586943586</v>
      </c>
      <c r="W54" s="181">
        <v>18.927276364368737</v>
      </c>
      <c r="DA54" s="190" t="s">
        <v>947</v>
      </c>
    </row>
    <row r="55" spans="1:105" ht="12" customHeight="1" x14ac:dyDescent="0.25">
      <c r="A55" s="132" t="s">
        <v>181</v>
      </c>
      <c r="B55" s="181">
        <v>777.69127553592364</v>
      </c>
      <c r="C55" s="181">
        <v>766.11873419285439</v>
      </c>
      <c r="D55" s="181">
        <v>753.74145741205803</v>
      </c>
      <c r="E55" s="181">
        <v>737.14857085231665</v>
      </c>
      <c r="F55" s="181">
        <v>720.54837696952382</v>
      </c>
      <c r="G55" s="181">
        <v>702.76653110862139</v>
      </c>
      <c r="H55" s="181">
        <v>687.06186149768314</v>
      </c>
      <c r="I55" s="181">
        <v>670.99273008944829</v>
      </c>
      <c r="J55" s="181">
        <v>656.09395509801311</v>
      </c>
      <c r="K55" s="181">
        <v>642.85463709675093</v>
      </c>
      <c r="L55" s="181">
        <v>630.07136574601623</v>
      </c>
      <c r="M55" s="181">
        <v>617.97077959705871</v>
      </c>
      <c r="N55" s="181">
        <v>607.93887423103104</v>
      </c>
      <c r="O55" s="181">
        <v>593.99767567840115</v>
      </c>
      <c r="P55" s="181">
        <v>579.63899564933865</v>
      </c>
      <c r="Q55" s="181">
        <v>562.28332389194497</v>
      </c>
      <c r="R55" s="181">
        <v>546.38817967734269</v>
      </c>
      <c r="S55" s="181">
        <v>531.46333089352481</v>
      </c>
      <c r="T55" s="181">
        <v>518.08294306359085</v>
      </c>
      <c r="U55" s="181">
        <v>507.71968948304612</v>
      </c>
      <c r="V55" s="181">
        <v>497.67022209072923</v>
      </c>
      <c r="W55" s="181">
        <v>489.44217537440039</v>
      </c>
      <c r="DA55" s="190" t="s">
        <v>948</v>
      </c>
    </row>
    <row r="56" spans="1:105" ht="12" customHeight="1" x14ac:dyDescent="0.25">
      <c r="A56" s="60" t="s">
        <v>99</v>
      </c>
      <c r="B56" s="55">
        <v>54.610863302365196</v>
      </c>
      <c r="C56" s="55">
        <v>54.116381075287848</v>
      </c>
      <c r="D56" s="55">
        <v>53.706644162247855</v>
      </c>
      <c r="E56" s="55">
        <v>53.136151248358104</v>
      </c>
      <c r="F56" s="55">
        <v>52.541198152495888</v>
      </c>
      <c r="G56" s="55">
        <v>51.861038356986214</v>
      </c>
      <c r="H56" s="55">
        <v>51.145788372247047</v>
      </c>
      <c r="I56" s="55">
        <v>50.537275764092634</v>
      </c>
      <c r="J56" s="55">
        <v>49.917536137238436</v>
      </c>
      <c r="K56" s="55">
        <v>49.360388512193978</v>
      </c>
      <c r="L56" s="55">
        <v>48.666972941146447</v>
      </c>
      <c r="M56" s="55">
        <v>47.93617377009879</v>
      </c>
      <c r="N56" s="55">
        <v>47.162604832692907</v>
      </c>
      <c r="O56" s="55">
        <v>46.273987395240354</v>
      </c>
      <c r="P56" s="55">
        <v>45.307785236364111</v>
      </c>
      <c r="Q56" s="55">
        <v>44.267404807554641</v>
      </c>
      <c r="R56" s="55">
        <v>43.187456177933889</v>
      </c>
      <c r="S56" s="55">
        <v>42.236047125195455</v>
      </c>
      <c r="T56" s="55">
        <v>41.265132147578598</v>
      </c>
      <c r="U56" s="55">
        <v>40.328014667081646</v>
      </c>
      <c r="V56" s="55">
        <v>39.388164792363312</v>
      </c>
      <c r="W56" s="55">
        <v>38.489705496113423</v>
      </c>
      <c r="DA56" s="101" t="s">
        <v>949</v>
      </c>
    </row>
    <row r="57" spans="1:105" ht="12" customHeight="1" x14ac:dyDescent="0.25">
      <c r="A57" s="62" t="s">
        <v>98</v>
      </c>
      <c r="B57" s="63">
        <v>408.77142957832103</v>
      </c>
      <c r="C57" s="63">
        <v>397.31096714061846</v>
      </c>
      <c r="D57" s="63">
        <v>395.22379412103555</v>
      </c>
      <c r="E57" s="63">
        <v>375.95147592416208</v>
      </c>
      <c r="F57" s="63">
        <v>364.37430845666836</v>
      </c>
      <c r="G57" s="63">
        <v>348.82731971327001</v>
      </c>
      <c r="H57" s="63">
        <v>326.04195568832841</v>
      </c>
      <c r="I57" s="63">
        <v>319.78761470924803</v>
      </c>
      <c r="J57" s="63">
        <v>296.77088675753606</v>
      </c>
      <c r="K57" s="63">
        <v>281.76115382947313</v>
      </c>
      <c r="L57" s="63">
        <v>264.19028331476972</v>
      </c>
      <c r="M57" s="63">
        <v>243.6239417773422</v>
      </c>
      <c r="N57" s="63">
        <v>234.6700567975455</v>
      </c>
      <c r="O57" s="63">
        <v>223.88718047288924</v>
      </c>
      <c r="P57" s="63">
        <v>217.60115715017002</v>
      </c>
      <c r="Q57" s="63">
        <v>214.20447502137083</v>
      </c>
      <c r="R57" s="63">
        <v>211.37243938418757</v>
      </c>
      <c r="S57" s="63">
        <v>209.47937259528669</v>
      </c>
      <c r="T57" s="63">
        <v>206.00864264699607</v>
      </c>
      <c r="U57" s="63">
        <v>201.64374717046712</v>
      </c>
      <c r="V57" s="63">
        <v>195.95953162119241</v>
      </c>
      <c r="W57" s="63">
        <v>191.10487341246571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0.79391832328524081</v>
      </c>
      <c r="D60" s="181">
        <v>0.77735716660420795</v>
      </c>
      <c r="E60" s="181">
        <v>0.76124817968329905</v>
      </c>
      <c r="F60" s="181">
        <v>0.74190037351881244</v>
      </c>
      <c r="G60" s="181">
        <v>0.72257326739809624</v>
      </c>
      <c r="H60" s="181">
        <v>0.70264968702590347</v>
      </c>
      <c r="I60" s="181">
        <v>0.68466058222409809</v>
      </c>
      <c r="J60" s="181">
        <v>0.66812422592956866</v>
      </c>
      <c r="K60" s="181">
        <v>0.65221845905301734</v>
      </c>
      <c r="L60" s="181">
        <v>0.63360720350497557</v>
      </c>
      <c r="M60" s="181">
        <v>0.61652420676411557</v>
      </c>
      <c r="N60" s="181">
        <v>0.59665797766962336</v>
      </c>
      <c r="O60" s="181">
        <v>0.57743304629942283</v>
      </c>
      <c r="P60" s="181">
        <v>0.5563411250210295</v>
      </c>
      <c r="Q60" s="181">
        <v>0.53484562514477108</v>
      </c>
      <c r="R60" s="181">
        <v>0.53145354016361024</v>
      </c>
      <c r="S60" s="181">
        <v>0.52650717301563976</v>
      </c>
      <c r="T60" s="181">
        <v>0.52167010678149162</v>
      </c>
      <c r="U60" s="181">
        <v>0.51702336452673325</v>
      </c>
      <c r="V60" s="181">
        <v>0.51248307250876324</v>
      </c>
      <c r="W60" s="181">
        <v>0.51096100703542968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190.81499883738212</v>
      </c>
      <c r="D61" s="181">
        <v>188.55763105070474</v>
      </c>
      <c r="E61" s="181">
        <v>186.73728075282452</v>
      </c>
      <c r="F61" s="181">
        <v>184.77815388358698</v>
      </c>
      <c r="G61" s="181">
        <v>182.48374132865777</v>
      </c>
      <c r="H61" s="181">
        <v>179.58828674857602</v>
      </c>
      <c r="I61" s="181">
        <v>177.37457228566967</v>
      </c>
      <c r="J61" s="181">
        <v>175.0768580407707</v>
      </c>
      <c r="K61" s="181">
        <v>172.49339232757731</v>
      </c>
      <c r="L61" s="181">
        <v>169.65648166746934</v>
      </c>
      <c r="M61" s="181">
        <v>166.15633748274618</v>
      </c>
      <c r="N61" s="181">
        <v>162.38896129642896</v>
      </c>
      <c r="O61" s="181">
        <v>157.97222142505183</v>
      </c>
      <c r="P61" s="181">
        <v>152.76303002774569</v>
      </c>
      <c r="Q61" s="181">
        <v>145.61899011099638</v>
      </c>
      <c r="R61" s="181">
        <v>136.70710129967267</v>
      </c>
      <c r="S61" s="181">
        <v>130.21215766576179</v>
      </c>
      <c r="T61" s="181">
        <v>123.59605669220774</v>
      </c>
      <c r="U61" s="181">
        <v>116.90673692371385</v>
      </c>
      <c r="V61" s="181">
        <v>110.34363810566468</v>
      </c>
      <c r="W61" s="181">
        <v>108.04883275669292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44.313280210365832</v>
      </c>
      <c r="D62" s="181">
        <v>43.155349242200266</v>
      </c>
      <c r="E62" s="181">
        <v>42.376597886424491</v>
      </c>
      <c r="F62" s="181">
        <v>41.635732328548336</v>
      </c>
      <c r="G62" s="181">
        <v>40.920101640834133</v>
      </c>
      <c r="H62" s="181">
        <v>40.050006798061283</v>
      </c>
      <c r="I62" s="181">
        <v>39.112378495812607</v>
      </c>
      <c r="J62" s="181">
        <v>37.98820953854765</v>
      </c>
      <c r="K62" s="181">
        <v>36.592045054245304</v>
      </c>
      <c r="L62" s="181">
        <v>35.102227249484585</v>
      </c>
      <c r="M62" s="181">
        <v>33.371958315363955</v>
      </c>
      <c r="N62" s="181">
        <v>31.806043456050773</v>
      </c>
      <c r="O62" s="181">
        <v>30.312329185903018</v>
      </c>
      <c r="P62" s="181">
        <v>28.653565769695412</v>
      </c>
      <c r="Q62" s="181">
        <v>26.756218999958389</v>
      </c>
      <c r="R62" s="181">
        <v>23.558856094325183</v>
      </c>
      <c r="S62" s="181">
        <v>22.216430994417291</v>
      </c>
      <c r="T62" s="181">
        <v>19.859767765207472</v>
      </c>
      <c r="U62" s="181">
        <v>17.90146495924763</v>
      </c>
      <c r="V62" s="181">
        <v>16.464151117892687</v>
      </c>
      <c r="W62" s="181">
        <v>15.425882304176966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701.34668962767807</v>
      </c>
      <c r="D63" s="181">
        <v>680.20062555526988</v>
      </c>
      <c r="E63" s="181">
        <v>665.25570347123312</v>
      </c>
      <c r="F63" s="181">
        <v>648.6283969879438</v>
      </c>
      <c r="G63" s="181">
        <v>637.79039053169697</v>
      </c>
      <c r="H63" s="181">
        <v>626.73512683743832</v>
      </c>
      <c r="I63" s="181">
        <v>614.74769730456444</v>
      </c>
      <c r="J63" s="181">
        <v>602.29271029030235</v>
      </c>
      <c r="K63" s="181">
        <v>586.83918498078322</v>
      </c>
      <c r="L63" s="181">
        <v>576.49763607813748</v>
      </c>
      <c r="M63" s="181">
        <v>556.15982742609526</v>
      </c>
      <c r="N63" s="181">
        <v>548.48232043693463</v>
      </c>
      <c r="O63" s="181">
        <v>533.11015608230912</v>
      </c>
      <c r="P63" s="181">
        <v>513.94312441190357</v>
      </c>
      <c r="Q63" s="181">
        <v>501.62301700926872</v>
      </c>
      <c r="R63" s="181">
        <v>494.53077556952059</v>
      </c>
      <c r="S63" s="181">
        <v>486.06713020279852</v>
      </c>
      <c r="T63" s="181">
        <v>477.81148542017945</v>
      </c>
      <c r="U63" s="181">
        <v>469.71788753998567</v>
      </c>
      <c r="V63" s="181">
        <v>461.71644717194795</v>
      </c>
      <c r="W63" s="181">
        <v>451.64704188398849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51.242627933964386</v>
      </c>
      <c r="D64" s="55">
        <v>50.73162682241329</v>
      </c>
      <c r="E64" s="55">
        <v>50.264048278037428</v>
      </c>
      <c r="F64" s="55">
        <v>49.659702571909861</v>
      </c>
      <c r="G64" s="55">
        <v>48.785537930773572</v>
      </c>
      <c r="H64" s="55">
        <v>47.931868258982178</v>
      </c>
      <c r="I64" s="55">
        <v>46.942845293396282</v>
      </c>
      <c r="J64" s="55">
        <v>46.149513001329048</v>
      </c>
      <c r="K64" s="55">
        <v>45.043601323673279</v>
      </c>
      <c r="L64" s="55">
        <v>44.056483179582834</v>
      </c>
      <c r="M64" s="55">
        <v>42.78010590575618</v>
      </c>
      <c r="N64" s="55">
        <v>41.459489876900562</v>
      </c>
      <c r="O64" s="55">
        <v>40.138144739491921</v>
      </c>
      <c r="P64" s="55">
        <v>38.908215534814985</v>
      </c>
      <c r="Q64" s="55">
        <v>37.50842799269401</v>
      </c>
      <c r="R64" s="55">
        <v>37.047404555539131</v>
      </c>
      <c r="S64" s="55">
        <v>36.496484258866396</v>
      </c>
      <c r="T64" s="55">
        <v>35.965731514424171</v>
      </c>
      <c r="U64" s="55">
        <v>35.444438630147111</v>
      </c>
      <c r="V64" s="55">
        <v>34.930829205445377</v>
      </c>
      <c r="W64" s="55">
        <v>34.687144867729437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378.91138831125397</v>
      </c>
      <c r="D65" s="63">
        <v>367.74246694274444</v>
      </c>
      <c r="E65" s="63">
        <v>354.49305599400736</v>
      </c>
      <c r="F65" s="63">
        <v>340.04946420838752</v>
      </c>
      <c r="G65" s="63">
        <v>323.04827576475623</v>
      </c>
      <c r="H65" s="63">
        <v>303.73715631205755</v>
      </c>
      <c r="I65" s="63">
        <v>288.55961510580414</v>
      </c>
      <c r="J65" s="63">
        <v>266.76800502475339</v>
      </c>
      <c r="K65" s="63">
        <v>249.98528102207976</v>
      </c>
      <c r="L65" s="63">
        <v>231.42342229205107</v>
      </c>
      <c r="M65" s="63">
        <v>220.65048570824672</v>
      </c>
      <c r="N65" s="63">
        <v>214.19901744938647</v>
      </c>
      <c r="O65" s="63">
        <v>213.63844142799394</v>
      </c>
      <c r="P65" s="63">
        <v>212.29456842728251</v>
      </c>
      <c r="Q65" s="63">
        <v>211.73570714263252</v>
      </c>
      <c r="R65" s="63">
        <v>207.17740556513843</v>
      </c>
      <c r="S65" s="63">
        <v>201.97916870468453</v>
      </c>
      <c r="T65" s="63">
        <v>196.88168805832623</v>
      </c>
      <c r="U65" s="63">
        <v>191.87352595346536</v>
      </c>
      <c r="V65" s="63">
        <v>186.92544267391509</v>
      </c>
      <c r="W65" s="63">
        <v>183.56310827655005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145.61609556485311</v>
      </c>
      <c r="C68" s="188">
        <f>1000000*C20/SER_summary!C$8</f>
        <v>149.9606322773337</v>
      </c>
      <c r="D68" s="188">
        <f>1000000*D20/SER_summary!D$8</f>
        <v>157.31281641600464</v>
      </c>
      <c r="E68" s="188">
        <f>1000000*E20/SER_summary!E$8</f>
        <v>168.57915653230123</v>
      </c>
      <c r="F68" s="188">
        <f>1000000*F20/SER_summary!F$8</f>
        <v>180.42326525258156</v>
      </c>
      <c r="G68" s="188">
        <f>1000000*G20/SER_summary!G$8</f>
        <v>194.65594731487343</v>
      </c>
      <c r="H68" s="188">
        <f>1000000*H20/SER_summary!H$8</f>
        <v>208.24627720820652</v>
      </c>
      <c r="I68" s="188">
        <f>1000000*I20/SER_summary!I$8</f>
        <v>225.58180543363289</v>
      </c>
      <c r="J68" s="188">
        <f>1000000*J20/SER_summary!J$8</f>
        <v>241.85663203540855</v>
      </c>
      <c r="K68" s="188">
        <f>1000000*K20/SER_summary!K$8</f>
        <v>258.62301079586297</v>
      </c>
      <c r="L68" s="188">
        <f>1000000*L20/SER_summary!L$8</f>
        <v>279.46369098584421</v>
      </c>
      <c r="M68" s="188">
        <f>1000000*M20/SER_summary!M$8</f>
        <v>299.50191917986785</v>
      </c>
      <c r="N68" s="188">
        <f>1000000*N20/SER_summary!N$8</f>
        <v>317.33250454939292</v>
      </c>
      <c r="O68" s="188">
        <f>1000000*O20/SER_summary!O$8</f>
        <v>336.40693438810348</v>
      </c>
      <c r="P68" s="188">
        <f>1000000*P20/SER_summary!P$8</f>
        <v>355.95909536846693</v>
      </c>
      <c r="Q68" s="188">
        <f>1000000*Q20/SER_summary!Q$8</f>
        <v>377.24092235285491</v>
      </c>
      <c r="R68" s="188">
        <f>1000000*R20/SER_summary!R$8</f>
        <v>389.38877922188425</v>
      </c>
      <c r="S68" s="188">
        <f>1000000*S20/SER_summary!S$8</f>
        <v>401.54877900277279</v>
      </c>
      <c r="T68" s="188">
        <f>1000000*T20/SER_summary!T$8</f>
        <v>413.65670115648373</v>
      </c>
      <c r="U68" s="188">
        <f>1000000*U20/SER_summary!U$8</f>
        <v>425.67359503719661</v>
      </c>
      <c r="V68" s="188">
        <f>1000000*V20/SER_summary!V$8</f>
        <v>437.52695953508442</v>
      </c>
      <c r="W68" s="188">
        <f>1000000*W20/SER_summary!W$8</f>
        <v>449.151685757758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3.3357472433321607E-2</v>
      </c>
      <c r="C69" s="188">
        <f>1000*C21/SER_summary!C$3</f>
        <v>3.4819553520865527E-2</v>
      </c>
      <c r="D69" s="188">
        <f>1000*D21/SER_summary!D$3</f>
        <v>3.8797686930594814E-2</v>
      </c>
      <c r="E69" s="188">
        <f>1000*E21/SER_summary!E$3</f>
        <v>4.309381350311349E-2</v>
      </c>
      <c r="F69" s="188">
        <f>1000*F21/SER_summary!F$3</f>
        <v>4.8218273594385297E-2</v>
      </c>
      <c r="G69" s="188">
        <f>1000*G21/SER_summary!G$3</f>
        <v>5.5630122910492276E-2</v>
      </c>
      <c r="H69" s="188">
        <f>1000*H21/SER_summary!H$3</f>
        <v>6.5201138748572932E-2</v>
      </c>
      <c r="I69" s="188">
        <f>1000*I21/SER_summary!I$3</f>
        <v>7.2283147658833882E-2</v>
      </c>
      <c r="J69" s="188">
        <f>1000*J21/SER_summary!J$3</f>
        <v>8.0433370783696417E-2</v>
      </c>
      <c r="K69" s="188">
        <f>1000*K21/SER_summary!K$3</f>
        <v>8.5399968596962667E-2</v>
      </c>
      <c r="L69" s="188">
        <f>1000*L21/SER_summary!L$3</f>
        <v>8.9399508831946556E-2</v>
      </c>
      <c r="M69" s="188">
        <f>1000*M21/SER_summary!M$3</f>
        <v>9.2568981341078313E-2</v>
      </c>
      <c r="N69" s="188">
        <f>1000*N21/SER_summary!N$3</f>
        <v>9.5851525008306349E-2</v>
      </c>
      <c r="O69" s="188">
        <f>1000*O21/SER_summary!O$3</f>
        <v>9.9001991452077359E-2</v>
      </c>
      <c r="P69" s="188">
        <f>1000*P21/SER_summary!P$3</f>
        <v>0.10355768009499453</v>
      </c>
      <c r="Q69" s="188">
        <f>1000*Q21/SER_summary!Q$3</f>
        <v>0.10835866039784732</v>
      </c>
      <c r="R69" s="188">
        <f>1000*R21/SER_summary!R$3</f>
        <v>0.11382017106815422</v>
      </c>
      <c r="S69" s="188">
        <f>1000*S21/SER_summary!S$3</f>
        <v>0.11907526238544247</v>
      </c>
      <c r="T69" s="188">
        <f>1000*T21/SER_summary!T$3</f>
        <v>0.12446850337789457</v>
      </c>
      <c r="U69" s="188">
        <f>1000*U21/SER_summary!U$3</f>
        <v>0.12983406503508763</v>
      </c>
      <c r="V69" s="188">
        <f>1000*V21/SER_summary!V$3</f>
        <v>0.13483764123412456</v>
      </c>
      <c r="W69" s="188">
        <f>1000*W21/SER_summary!W$3</f>
        <v>0.13997442051595591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106.92348226881371</v>
      </c>
      <c r="C70" s="188">
        <f>1000000*C22/SER_summary!C$8</f>
        <v>108.05837242836974</v>
      </c>
      <c r="D70" s="188">
        <f>1000000*D22/SER_summary!D$8</f>
        <v>110.54495763058758</v>
      </c>
      <c r="E70" s="188">
        <f>1000000*E22/SER_summary!E$8</f>
        <v>114.39457158690799</v>
      </c>
      <c r="F70" s="188">
        <f>1000000*F22/SER_summary!F$8</f>
        <v>117.78701041415003</v>
      </c>
      <c r="G70" s="188">
        <f>1000000*G22/SER_summary!G$8</f>
        <v>120.39964904987868</v>
      </c>
      <c r="H70" s="188">
        <f>1000000*H22/SER_summary!H$8</f>
        <v>122.71702988163841</v>
      </c>
      <c r="I70" s="188">
        <f>1000000*I22/SER_summary!I$8</f>
        <v>128.1401362791706</v>
      </c>
      <c r="J70" s="188">
        <f>1000000*J22/SER_summary!J$8</f>
        <v>136.31946736088935</v>
      </c>
      <c r="K70" s="188">
        <f>1000000*K22/SER_summary!K$8</f>
        <v>144.51433084997049</v>
      </c>
      <c r="L70" s="188">
        <f>1000000*L22/SER_summary!L$8</f>
        <v>150.70637318186428</v>
      </c>
      <c r="M70" s="188">
        <f>1000000*M22/SER_summary!M$8</f>
        <v>155.29356413232114</v>
      </c>
      <c r="N70" s="188">
        <f>1000000*N22/SER_summary!N$8</f>
        <v>165.78815717297419</v>
      </c>
      <c r="O70" s="188">
        <f>1000000*O22/SER_summary!O$8</f>
        <v>177.9990379490844</v>
      </c>
      <c r="P70" s="188">
        <f>1000000*P22/SER_summary!P$8</f>
        <v>190.36495266588608</v>
      </c>
      <c r="Q70" s="188">
        <f>1000000*Q22/SER_summary!Q$8</f>
        <v>203.4177786593315</v>
      </c>
      <c r="R70" s="188">
        <f>1000000*R22/SER_summary!R$8</f>
        <v>210.29638613752522</v>
      </c>
      <c r="S70" s="188">
        <f>1000000*S22/SER_summary!S$8</f>
        <v>217.28520538146029</v>
      </c>
      <c r="T70" s="188">
        <f>1000000*T22/SER_summary!T$8</f>
        <v>223.90780909808635</v>
      </c>
      <c r="U70" s="188">
        <f>1000000*U22/SER_summary!U$8</f>
        <v>229.87283619812635</v>
      </c>
      <c r="V70" s="188">
        <f>1000000*V22/SER_summary!V$8</f>
        <v>234.6373014110132</v>
      </c>
      <c r="W70" s="188">
        <f>1000000*W22/SER_summary!W$8</f>
        <v>237.08240833848683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6.0291347091832696E-3</v>
      </c>
      <c r="C71" s="188">
        <f>1000*C23/SER_summary!C$3</f>
        <v>6.4676971035945996E-3</v>
      </c>
      <c r="D71" s="188">
        <f>1000*D23/SER_summary!D$3</f>
        <v>7.0000203172099476E-3</v>
      </c>
      <c r="E71" s="188">
        <f>1000*E23/SER_summary!E$3</f>
        <v>7.7700418806485689E-3</v>
      </c>
      <c r="F71" s="188">
        <f>1000*F23/SER_summary!F$3</f>
        <v>8.5185392251231409E-3</v>
      </c>
      <c r="G71" s="188">
        <f>1000*G23/SER_summary!G$3</f>
        <v>9.5734684041266851E-3</v>
      </c>
      <c r="H71" s="188">
        <f>1000*H23/SER_summary!H$3</f>
        <v>1.0529292586627754E-2</v>
      </c>
      <c r="I71" s="188">
        <f>1000*I23/SER_summary!I$3</f>
        <v>1.1706839282767161E-2</v>
      </c>
      <c r="J71" s="188">
        <f>1000*J23/SER_summary!J$3</f>
        <v>1.3058024199021436E-2</v>
      </c>
      <c r="K71" s="188">
        <f>1000*K23/SER_summary!K$3</f>
        <v>1.3875267170534545E-2</v>
      </c>
      <c r="L71" s="188">
        <f>1000*L23/SER_summary!L$3</f>
        <v>1.4562616557827207E-2</v>
      </c>
      <c r="M71" s="188">
        <f>1000*M23/SER_summary!M$3</f>
        <v>1.4938717471140651E-2</v>
      </c>
      <c r="N71" s="188">
        <f>1000*N23/SER_summary!N$3</f>
        <v>1.5308200887074056E-2</v>
      </c>
      <c r="O71" s="188">
        <f>1000*O23/SER_summary!O$3</f>
        <v>1.5844863726927852E-2</v>
      </c>
      <c r="P71" s="188">
        <f>1000*P23/SER_summary!P$3</f>
        <v>1.6461521066011377E-2</v>
      </c>
      <c r="Q71" s="188">
        <f>1000*Q23/SER_summary!Q$3</f>
        <v>1.7327521812282629E-2</v>
      </c>
      <c r="R71" s="188">
        <f>1000*R23/SER_summary!R$3</f>
        <v>1.8536479193905473E-2</v>
      </c>
      <c r="S71" s="188">
        <f>1000*S23/SER_summary!S$3</f>
        <v>1.9366605020340179E-2</v>
      </c>
      <c r="T71" s="188">
        <f>1000*T23/SER_summary!T$3</f>
        <v>2.0199059267755812E-2</v>
      </c>
      <c r="U71" s="188">
        <f>1000*U23/SER_summary!U$3</f>
        <v>2.1310017467234849E-2</v>
      </c>
      <c r="V71" s="188">
        <f>1000*V23/SER_summary!V$3</f>
        <v>2.2965229934914819E-2</v>
      </c>
      <c r="W71" s="188">
        <f>1000*W23/SER_summary!W$3</f>
        <v>2.4089621500021946E-2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48.806849295599633</v>
      </c>
      <c r="C72" s="188">
        <f>1000000*C24/SER_summary!C$8</f>
        <v>51.092378215101576</v>
      </c>
      <c r="D72" s="188">
        <f>1000000*D24/SER_summary!D$8</f>
        <v>54.098625344599036</v>
      </c>
      <c r="E72" s="188">
        <f>1000000*E24/SER_summary!E$8</f>
        <v>58.305600565281082</v>
      </c>
      <c r="F72" s="188">
        <f>1000000*F24/SER_summary!F$8</f>
        <v>63.329583108623098</v>
      </c>
      <c r="G72" s="188">
        <f>1000000*G24/SER_summary!G$8</f>
        <v>68.816304316303984</v>
      </c>
      <c r="H72" s="188">
        <f>1000000*H24/SER_summary!H$8</f>
        <v>76.053449465361368</v>
      </c>
      <c r="I72" s="188">
        <f>1000000*I24/SER_summary!I$8</f>
        <v>82.850056410726438</v>
      </c>
      <c r="J72" s="188">
        <f>1000000*J24/SER_summary!J$8</f>
        <v>89.417479538072996</v>
      </c>
      <c r="K72" s="188">
        <f>1000000*K24/SER_summary!K$8</f>
        <v>94.276883709616556</v>
      </c>
      <c r="L72" s="188">
        <f>1000000*L24/SER_summary!L$8</f>
        <v>99.268739335236077</v>
      </c>
      <c r="M72" s="188">
        <f>1000000*M24/SER_summary!M$8</f>
        <v>103.67931151428444</v>
      </c>
      <c r="N72" s="188">
        <f>1000000*N24/SER_summary!N$8</f>
        <v>108.97746272550378</v>
      </c>
      <c r="O72" s="188">
        <f>1000000*O24/SER_summary!O$8</f>
        <v>112.82203059593876</v>
      </c>
      <c r="P72" s="188">
        <f>1000000*P24/SER_summary!P$8</f>
        <v>117.61835402511016</v>
      </c>
      <c r="Q72" s="188">
        <f>1000000*Q24/SER_summary!Q$8</f>
        <v>121.4266848302136</v>
      </c>
      <c r="R72" s="188">
        <f>1000000*R24/SER_summary!R$8</f>
        <v>128.51331446886627</v>
      </c>
      <c r="S72" s="188">
        <f>1000000*S24/SER_summary!S$8</f>
        <v>135.61637144622847</v>
      </c>
      <c r="T72" s="188">
        <f>1000000*T24/SER_summary!T$8</f>
        <v>142.64897606170518</v>
      </c>
      <c r="U72" s="188">
        <f>1000000*U24/SER_summary!U$8</f>
        <v>149.55843457437052</v>
      </c>
      <c r="V72" s="188">
        <f>1000000*V24/SER_summary!V$8</f>
        <v>156.24666504955459</v>
      </c>
      <c r="W72" s="188">
        <f>1000000*W24/SER_summary!W$8</f>
        <v>162.63261317420168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1.1214367650316462E-2</v>
      </c>
      <c r="C73" s="52">
        <f>1000*C25/SER_summary!C$3</f>
        <v>1.4575773665521452E-2</v>
      </c>
      <c r="D73" s="52">
        <f>1000*D25/SER_summary!D$3</f>
        <v>1.2667634998378819E-2</v>
      </c>
      <c r="E73" s="52">
        <f>1000*E25/SER_summary!E$3</f>
        <v>1.8383266679684332E-2</v>
      </c>
      <c r="F73" s="52">
        <f>1000*F25/SER_summary!F$3</f>
        <v>2.0655087904431574E-2</v>
      </c>
      <c r="G73" s="52">
        <f>1000*G25/SER_summary!G$3</f>
        <v>2.5494262988332333E-2</v>
      </c>
      <c r="H73" s="52">
        <f>1000*H25/SER_summary!H$3</f>
        <v>3.1946420893332148E-2</v>
      </c>
      <c r="I73" s="52">
        <f>1000*I25/SER_summary!I$3</f>
        <v>3.857396809739512E-2</v>
      </c>
      <c r="J73" s="52">
        <f>1000*J25/SER_summary!J$3</f>
        <v>4.5519414462050198E-2</v>
      </c>
      <c r="K73" s="52">
        <f>1000*K25/SER_summary!K$3</f>
        <v>5.4168666960386518E-2</v>
      </c>
      <c r="L73" s="52">
        <f>1000*L25/SER_summary!L$3</f>
        <v>6.3011790718073599E-2</v>
      </c>
      <c r="M73" s="52">
        <f>1000*M25/SER_summary!M$3</f>
        <v>7.3533950341259924E-2</v>
      </c>
      <c r="N73" s="52">
        <f>1000*N25/SER_summary!N$3</f>
        <v>8.1655677822647862E-2</v>
      </c>
      <c r="O73" s="52">
        <f>1000*O25/SER_summary!O$3</f>
        <v>9.1660386027367952E-2</v>
      </c>
      <c r="P73" s="52">
        <f>1000*P25/SER_summary!P$3</f>
        <v>0.10653546679947627</v>
      </c>
      <c r="Q73" s="52">
        <f>1000*Q25/SER_summary!Q$3</f>
        <v>0.12463976336916099</v>
      </c>
      <c r="R73" s="52">
        <f>1000*R25/SER_summary!R$3</f>
        <v>0.13421507010219105</v>
      </c>
      <c r="S73" s="52">
        <f>1000*S25/SER_summary!S$3</f>
        <v>0.14490069520514801</v>
      </c>
      <c r="T73" s="52">
        <f>1000*T25/SER_summary!T$3</f>
        <v>0.1551070184125464</v>
      </c>
      <c r="U73" s="52">
        <f>1000*U25/SER_summary!U$3</f>
        <v>0.16599922339794307</v>
      </c>
      <c r="V73" s="52">
        <f>1000*V25/SER_summary!V$3</f>
        <v>0.17586124460142802</v>
      </c>
      <c r="W73" s="52">
        <f>1000*W25/SER_summary!W$3</f>
        <v>0.18637988624805032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3.2088571126454233</v>
      </c>
      <c r="C3" s="199">
        <f>'SER_se-appl'!C4</f>
        <v>3.5374226276327803</v>
      </c>
      <c r="D3" s="199">
        <f>'SER_se-appl'!D4</f>
        <v>3.8053249561098235</v>
      </c>
      <c r="E3" s="199">
        <f>'SER_se-appl'!E4</f>
        <v>4.2849657684612179</v>
      </c>
      <c r="F3" s="199">
        <f>'SER_se-appl'!F4</f>
        <v>4.7966119732112169</v>
      </c>
      <c r="G3" s="199">
        <f>'SER_se-appl'!G4</f>
        <v>5.4512726820788853</v>
      </c>
      <c r="H3" s="199">
        <f>'SER_se-appl'!H4</f>
        <v>6.0508128425423919</v>
      </c>
      <c r="I3" s="199">
        <f>'SER_se-appl'!I4</f>
        <v>6.6038143812012793</v>
      </c>
      <c r="J3" s="199">
        <f>'SER_se-appl'!J4</f>
        <v>7.1571625636304024</v>
      </c>
      <c r="K3" s="199">
        <f>'SER_se-appl'!K4</f>
        <v>7.6790128694027731</v>
      </c>
      <c r="L3" s="199">
        <f>'SER_se-appl'!L4</f>
        <v>8.4346561185150879</v>
      </c>
      <c r="M3" s="199">
        <f>'SER_se-appl'!M4</f>
        <v>9.1896533393893556</v>
      </c>
      <c r="N3" s="199">
        <f>'SER_se-appl'!N4</f>
        <v>9.791777730600522</v>
      </c>
      <c r="O3" s="199">
        <f>'SER_se-appl'!O4</f>
        <v>10.610406204348331</v>
      </c>
      <c r="P3" s="199">
        <f>'SER_se-appl'!P4</f>
        <v>11.417619685178241</v>
      </c>
      <c r="Q3" s="199">
        <f>'SER_se-appl'!Q4</f>
        <v>12.378660126412937</v>
      </c>
      <c r="R3" s="199">
        <f>'SER_se-appl'!R4</f>
        <v>13.027435560900045</v>
      </c>
      <c r="S3" s="199">
        <f>'SER_se-appl'!S4</f>
        <v>13.747881930002475</v>
      </c>
      <c r="T3" s="199">
        <f>'SER_se-appl'!T4</f>
        <v>14.335647859854131</v>
      </c>
      <c r="U3" s="199">
        <f>'SER_se-appl'!U4</f>
        <v>14.812673072190657</v>
      </c>
      <c r="V3" s="199">
        <f>'SER_se-appl'!V4</f>
        <v>15.28133571915353</v>
      </c>
      <c r="W3" s="199">
        <f>'SER_se-appl'!W4</f>
        <v>15.66070287071126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4.2601607557153285</v>
      </c>
      <c r="C5" s="59">
        <f>'SER_se-appl'!C12</f>
        <v>4.6963727350878122</v>
      </c>
      <c r="D5" s="59">
        <f>'SER_se-appl'!D12</f>
        <v>5.0520467168444334</v>
      </c>
      <c r="E5" s="59">
        <f>'SER_se-appl'!E12</f>
        <v>5.6888301241100416</v>
      </c>
      <c r="F5" s="59">
        <f>'SER_se-appl'!F12</f>
        <v>6.368104708726765</v>
      </c>
      <c r="G5" s="59">
        <f>'SER_se-appl'!G12</f>
        <v>7.2372490060019912</v>
      </c>
      <c r="H5" s="59">
        <f>'SER_se-appl'!H12</f>
        <v>8.0332138537406426</v>
      </c>
      <c r="I5" s="59">
        <f>'SER_se-appl'!I12</f>
        <v>8.7673928371427952</v>
      </c>
      <c r="J5" s="59">
        <f>'SER_se-appl'!J12</f>
        <v>9.5020320336782653</v>
      </c>
      <c r="K5" s="59">
        <f>'SER_se-appl'!K12</f>
        <v>10.194853843739073</v>
      </c>
      <c r="L5" s="59">
        <f>'SER_se-appl'!L12</f>
        <v>11.198065143645033</v>
      </c>
      <c r="M5" s="59">
        <f>'SER_se-appl'!M12</f>
        <v>12.200418759942716</v>
      </c>
      <c r="N5" s="59">
        <f>'SER_se-appl'!N12</f>
        <v>12.999814498502749</v>
      </c>
      <c r="O5" s="59">
        <f>'SER_se-appl'!O12</f>
        <v>14.086646593215878</v>
      </c>
      <c r="P5" s="59">
        <f>'SER_se-appl'!P12</f>
        <v>15.158323851440977</v>
      </c>
      <c r="Q5" s="59">
        <f>'SER_se-appl'!Q12</f>
        <v>16.434225715774261</v>
      </c>
      <c r="R5" s="59">
        <f>'SER_se-appl'!R12</f>
        <v>17.295556572290817</v>
      </c>
      <c r="S5" s="59">
        <f>'SER_se-appl'!S12</f>
        <v>18.252039594284103</v>
      </c>
      <c r="T5" s="59">
        <f>'SER_se-appl'!T12</f>
        <v>19.032372672386252</v>
      </c>
      <c r="U5" s="59">
        <f>'SER_se-appl'!U12</f>
        <v>19.665683542189196</v>
      </c>
      <c r="V5" s="59">
        <f>'SER_se-appl'!V12</f>
        <v>20.287892056364793</v>
      </c>
      <c r="W5" s="59">
        <f>'SER_se-appl'!W12</f>
        <v>20.791549587485385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145.61609556485311</v>
      </c>
      <c r="C6" s="202">
        <f>'SER_se-appl'!C68</f>
        <v>149.9606322773337</v>
      </c>
      <c r="D6" s="202">
        <f>'SER_se-appl'!D68</f>
        <v>157.31281641600464</v>
      </c>
      <c r="E6" s="202">
        <f>'SER_se-appl'!E68</f>
        <v>168.57915653230123</v>
      </c>
      <c r="F6" s="202">
        <f>'SER_se-appl'!F68</f>
        <v>180.42326525258156</v>
      </c>
      <c r="G6" s="202">
        <f>'SER_se-appl'!G68</f>
        <v>194.65594731487343</v>
      </c>
      <c r="H6" s="202">
        <f>'SER_se-appl'!H68</f>
        <v>208.24627720820652</v>
      </c>
      <c r="I6" s="202">
        <f>'SER_se-appl'!I68</f>
        <v>225.58180543363289</v>
      </c>
      <c r="J6" s="202">
        <f>'SER_se-appl'!J68</f>
        <v>241.85663203540855</v>
      </c>
      <c r="K6" s="202">
        <f>'SER_se-appl'!K68</f>
        <v>258.62301079586297</v>
      </c>
      <c r="L6" s="202">
        <f>'SER_se-appl'!L68</f>
        <v>279.46369098584421</v>
      </c>
      <c r="M6" s="202">
        <f>'SER_se-appl'!M68</f>
        <v>299.50191917986785</v>
      </c>
      <c r="N6" s="202">
        <f>'SER_se-appl'!N68</f>
        <v>317.33250454939292</v>
      </c>
      <c r="O6" s="202">
        <f>'SER_se-appl'!O68</f>
        <v>336.40693438810348</v>
      </c>
      <c r="P6" s="202">
        <f>'SER_se-appl'!P68</f>
        <v>355.95909536846693</v>
      </c>
      <c r="Q6" s="202">
        <f>'SER_se-appl'!Q68</f>
        <v>377.24092235285491</v>
      </c>
      <c r="R6" s="202">
        <f>'SER_se-appl'!R68</f>
        <v>389.38877922188425</v>
      </c>
      <c r="S6" s="202">
        <f>'SER_se-appl'!S68</f>
        <v>401.54877900277279</v>
      </c>
      <c r="T6" s="202">
        <f>'SER_se-appl'!T68</f>
        <v>413.65670115648373</v>
      </c>
      <c r="U6" s="202">
        <f>'SER_se-appl'!U68</f>
        <v>425.67359503719661</v>
      </c>
      <c r="V6" s="202">
        <f>'SER_se-appl'!V68</f>
        <v>437.52695953508442</v>
      </c>
      <c r="W6" s="202">
        <f>'SER_se-appl'!W68</f>
        <v>449.151685757758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4.7818042582377718</v>
      </c>
      <c r="C8" s="34">
        <f>'SER_se-appl'!C20</f>
        <v>5.3565843840102847</v>
      </c>
      <c r="D8" s="34">
        <f>'SER_se-appl'!D20</f>
        <v>5.8452805525435112</v>
      </c>
      <c r="E8" s="34">
        <f>'SER_se-appl'!E20</f>
        <v>6.7191330578119324</v>
      </c>
      <c r="F8" s="34">
        <f>'SER_se-appl'!F20</f>
        <v>7.680012930655395</v>
      </c>
      <c r="G8" s="34">
        <f>'SER_se-appl'!G20</f>
        <v>8.9368805622015124</v>
      </c>
      <c r="H8" s="34">
        <f>'SER_se-appl'!H20</f>
        <v>10.133571117660185</v>
      </c>
      <c r="I8" s="34">
        <f>'SER_se-appl'!I20</f>
        <v>11.279757730641899</v>
      </c>
      <c r="J8" s="34">
        <f>'SER_se-appl'!J20</f>
        <v>12.463382800752138</v>
      </c>
      <c r="K8" s="34">
        <f>'SER_se-appl'!K20</f>
        <v>13.620515961050495</v>
      </c>
      <c r="L8" s="34">
        <f>'SER_se-appl'!L20</f>
        <v>15.312108110198853</v>
      </c>
      <c r="M8" s="34">
        <f>'SER_se-appl'!M20</f>
        <v>17.059923364818573</v>
      </c>
      <c r="N8" s="34">
        <f>'SER_se-appl'!N20</f>
        <v>18.538727022857632</v>
      </c>
      <c r="O8" s="34">
        <f>'SER_se-appl'!O20</f>
        <v>20.57826202681828</v>
      </c>
      <c r="P8" s="34">
        <f>'SER_se-appl'!P20</f>
        <v>22.683798787531543</v>
      </c>
      <c r="Q8" s="34">
        <f>'SER_se-appl'!Q20</f>
        <v>25.273387016351752</v>
      </c>
      <c r="R8" s="34">
        <f>'SER_se-appl'!R20</f>
        <v>27.107253253306631</v>
      </c>
      <c r="S8" s="34">
        <f>'SER_se-appl'!S20</f>
        <v>29.148201940713665</v>
      </c>
      <c r="T8" s="34">
        <f>'SER_se-appl'!T20</f>
        <v>30.879902331950198</v>
      </c>
      <c r="U8" s="34">
        <f>'SER_se-appl'!U20</f>
        <v>32.523722372077103</v>
      </c>
      <c r="V8" s="34">
        <f>'SER_se-appl'!V20</f>
        <v>34.100634893390037</v>
      </c>
      <c r="W8" s="34">
        <f>'SER_se-appl'!W20</f>
        <v>35.621807743061595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0.78218288621436916</v>
      </c>
      <c r="D9" s="36">
        <f>'SER_se-appl'!D28</f>
        <v>0.70196543931320399</v>
      </c>
      <c r="E9" s="36">
        <f>'SER_se-appl'!E28</f>
        <v>1.093154224117888</v>
      </c>
      <c r="F9" s="36">
        <f>'SER_se-appl'!F28</f>
        <v>1.186384671141135</v>
      </c>
      <c r="G9" s="36">
        <f>'SER_se-appl'!G28</f>
        <v>1.4887509670806649</v>
      </c>
      <c r="H9" s="36">
        <f>'SER_se-appl'!H28</f>
        <v>1.4351328489465924</v>
      </c>
      <c r="I9" s="36">
        <f>'SER_se-appl'!I28</f>
        <v>1.3913733884466897</v>
      </c>
      <c r="J9" s="36">
        <f>'SER_se-appl'!J28</f>
        <v>1.4357470992332253</v>
      </c>
      <c r="K9" s="36">
        <f>'SER_se-appl'!K28</f>
        <v>1.4163866108506777</v>
      </c>
      <c r="L9" s="36">
        <f>'SER_se-appl'!L28</f>
        <v>1.9581787376233297</v>
      </c>
      <c r="M9" s="36">
        <f>'SER_se-appl'!M28</f>
        <v>2.0219424031815532</v>
      </c>
      <c r="N9" s="36">
        <f>'SER_se-appl'!N28</f>
        <v>1.7606846559111489</v>
      </c>
      <c r="O9" s="36">
        <f>'SER_se-appl'!O28</f>
        <v>2.3293891733788321</v>
      </c>
      <c r="P9" s="36">
        <f>'SER_se-appl'!P28</f>
        <v>2.4035896275731616</v>
      </c>
      <c r="Q9" s="36">
        <f>'SER_se-appl'!Q28</f>
        <v>2.8960716981514274</v>
      </c>
      <c r="R9" s="36">
        <f>'SER_se-appl'!R28</f>
        <v>2.1490187733586126</v>
      </c>
      <c r="S9" s="36">
        <f>'SER_se-appl'!S28</f>
        <v>2.3650155005974334</v>
      </c>
      <c r="T9" s="36">
        <f>'SER_se-appl'!T28</f>
        <v>2.0649336268302463</v>
      </c>
      <c r="U9" s="36">
        <f>'SER_se-appl'!U28</f>
        <v>2.4260029263412726</v>
      </c>
      <c r="V9" s="36">
        <f>'SER_se-appl'!V28</f>
        <v>2.27887796062614</v>
      </c>
      <c r="W9" s="36">
        <f>'SER_se-appl'!W28</f>
        <v>2.6143270737894468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0.20740276044185624</v>
      </c>
      <c r="D10" s="38">
        <f>'SER_se-appl'!D36</f>
        <v>0.21326927077997748</v>
      </c>
      <c r="E10" s="38">
        <f>'SER_se-appl'!E36</f>
        <v>0.21930171884946681</v>
      </c>
      <c r="F10" s="38">
        <f>'SER_se-appl'!F36</f>
        <v>0.22550479829767234</v>
      </c>
      <c r="G10" s="38">
        <f>'SER_se-appl'!G36</f>
        <v>0.23188333553454754</v>
      </c>
      <c r="H10" s="38">
        <f>'SER_se-appl'!H36</f>
        <v>0.23844229348791934</v>
      </c>
      <c r="I10" s="38">
        <f>'SER_se-appl'!I36</f>
        <v>0.24518677546497614</v>
      </c>
      <c r="J10" s="38">
        <f>'SER_se-appl'!J36</f>
        <v>0.25212202912298665</v>
      </c>
      <c r="K10" s="38">
        <f>'SER_se-appl'!K36</f>
        <v>0.25925345055232007</v>
      </c>
      <c r="L10" s="38">
        <f>'SER_se-appl'!L36</f>
        <v>0.26658658847497207</v>
      </c>
      <c r="M10" s="38">
        <f>'SER_se-appl'!M36</f>
        <v>0.27412714856183129</v>
      </c>
      <c r="N10" s="38">
        <f>'SER_se-appl'!N36</f>
        <v>0.28188099787208998</v>
      </c>
      <c r="O10" s="38">
        <f>'SER_se-appl'!O36</f>
        <v>0.28985416941818443</v>
      </c>
      <c r="P10" s="38">
        <f>'SER_se-appl'!P36</f>
        <v>0.29805286685989785</v>
      </c>
      <c r="Q10" s="38">
        <f>'SER_se-appl'!Q36</f>
        <v>0.30648346933121928</v>
      </c>
      <c r="R10" s="38">
        <f>'SER_se-appl'!R36</f>
        <v>0.31515253640373331</v>
      </c>
      <c r="S10" s="38">
        <f>'SER_se-appl'!S36</f>
        <v>0.32406681319039876</v>
      </c>
      <c r="T10" s="38">
        <f>'SER_se-appl'!T36</f>
        <v>0.33323323559371332</v>
      </c>
      <c r="U10" s="38">
        <f>'SER_se-appl'!U36</f>
        <v>0.78218288621437182</v>
      </c>
      <c r="V10" s="38">
        <f>'SER_se-appl'!V36</f>
        <v>0.70196543931320576</v>
      </c>
      <c r="W10" s="38">
        <f>'SER_se-appl'!W36</f>
        <v>1.0931542241178889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</v>
      </c>
      <c r="D12" s="205">
        <f>'SER_se-appl'!D44</f>
        <v>8760.0000000000018</v>
      </c>
      <c r="E12" s="205">
        <f>'SER_se-appl'!E44</f>
        <v>8760</v>
      </c>
      <c r="F12" s="205">
        <f>'SER_se-appl'!F44</f>
        <v>8759.9999999999982</v>
      </c>
      <c r="G12" s="205">
        <f>'SER_se-appl'!G44</f>
        <v>8759.9999999999982</v>
      </c>
      <c r="H12" s="205">
        <f>'SER_se-appl'!H44</f>
        <v>8759.9999999999982</v>
      </c>
      <c r="I12" s="205">
        <f>'SER_se-appl'!I44</f>
        <v>8760</v>
      </c>
      <c r="J12" s="205">
        <f>'SER_se-appl'!J44</f>
        <v>8759.9999999999982</v>
      </c>
      <c r="K12" s="205">
        <f>'SER_se-appl'!K44</f>
        <v>8759.9999999999964</v>
      </c>
      <c r="L12" s="205">
        <f>'SER_se-appl'!L44</f>
        <v>8759.9999999999982</v>
      </c>
      <c r="M12" s="205">
        <f>'SER_se-appl'!M44</f>
        <v>8760.0000000000018</v>
      </c>
      <c r="N12" s="205">
        <f>'SER_se-appl'!N44</f>
        <v>8760</v>
      </c>
      <c r="O12" s="205">
        <f>'SER_se-appl'!O44</f>
        <v>8760</v>
      </c>
      <c r="P12" s="205">
        <f>'SER_se-appl'!P44</f>
        <v>8759.9999999999982</v>
      </c>
      <c r="Q12" s="205">
        <f>'SER_se-appl'!Q44</f>
        <v>8759.9999999999964</v>
      </c>
      <c r="R12" s="205">
        <f>'SER_se-appl'!R44</f>
        <v>8759.9999999999982</v>
      </c>
      <c r="S12" s="205">
        <f>'SER_se-appl'!S44</f>
        <v>8760.0000000000018</v>
      </c>
      <c r="T12" s="205">
        <f>'SER_se-appl'!T44</f>
        <v>8759.9999999999982</v>
      </c>
      <c r="U12" s="205">
        <f>'SER_se-appl'!U44</f>
        <v>8760</v>
      </c>
      <c r="V12" s="205">
        <f>'SER_se-appl'!V44</f>
        <v>8759.9999999999982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0.89091073696214329</v>
      </c>
      <c r="C14" s="59">
        <f>'SER_se-appl'!C52</f>
        <v>0.87674764335025834</v>
      </c>
      <c r="D14" s="59">
        <f>'SER_se-appl'!D52</f>
        <v>0.86429499344494076</v>
      </c>
      <c r="E14" s="59">
        <f>'SER_se-appl'!E52</f>
        <v>0.84666132894867752</v>
      </c>
      <c r="F14" s="59">
        <f>'SER_se-appl'!F52</f>
        <v>0.82917890454428245</v>
      </c>
      <c r="G14" s="59">
        <f>'SER_se-appl'!G52</f>
        <v>0.80981825320704148</v>
      </c>
      <c r="H14" s="59">
        <f>'SER_se-appl'!H52</f>
        <v>0.79273276522832459</v>
      </c>
      <c r="I14" s="59">
        <f>'SER_se-appl'!I52</f>
        <v>0.77726783203205085</v>
      </c>
      <c r="J14" s="59">
        <f>'SER_se-appl'!J52</f>
        <v>0.76239590692061865</v>
      </c>
      <c r="K14" s="59">
        <f>'SER_se-appl'!K52</f>
        <v>0.74849248537224911</v>
      </c>
      <c r="L14" s="59">
        <f>'SER_se-appl'!L52</f>
        <v>0.73132093001527321</v>
      </c>
      <c r="M14" s="59">
        <f>'SER_se-appl'!M52</f>
        <v>0.71515085379004362</v>
      </c>
      <c r="N14" s="59">
        <f>'SER_se-appl'!N52</f>
        <v>0.70122476491910213</v>
      </c>
      <c r="O14" s="59">
        <f>'SER_se-appl'!O52</f>
        <v>0.68454015090573195</v>
      </c>
      <c r="P14" s="59">
        <f>'SER_se-appl'!P52</f>
        <v>0.66824450319903894</v>
      </c>
      <c r="Q14" s="59">
        <f>'SER_se-appl'!Q52</f>
        <v>0.65025814328492659</v>
      </c>
      <c r="R14" s="59">
        <f>'SER_se-appl'!R52</f>
        <v>0.63804164924681361</v>
      </c>
      <c r="S14" s="59">
        <f>'SER_se-appl'!S52</f>
        <v>0.62618063479208963</v>
      </c>
      <c r="T14" s="59">
        <f>'SER_se-appl'!T52</f>
        <v>0.61633526129045491</v>
      </c>
      <c r="U14" s="59">
        <f>'SER_se-appl'!U52</f>
        <v>0.60465660471486993</v>
      </c>
      <c r="V14" s="59">
        <f>'SER_se-appl'!V52</f>
        <v>0.59494176926005959</v>
      </c>
      <c r="W14" s="59">
        <f>'SER_se-appl'!W52</f>
        <v>0.58367474602787828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0.79391832328524081</v>
      </c>
      <c r="D15" s="63">
        <f>'SER_se-appl'!D60</f>
        <v>0.77735716660420795</v>
      </c>
      <c r="E15" s="63">
        <f>'SER_se-appl'!E60</f>
        <v>0.76124817968329905</v>
      </c>
      <c r="F15" s="63">
        <f>'SER_se-appl'!F60</f>
        <v>0.74190037351881244</v>
      </c>
      <c r="G15" s="63">
        <f>'SER_se-appl'!G60</f>
        <v>0.72257326739809624</v>
      </c>
      <c r="H15" s="63">
        <f>'SER_se-appl'!H60</f>
        <v>0.70264968702590347</v>
      </c>
      <c r="I15" s="63">
        <f>'SER_se-appl'!I60</f>
        <v>0.68466058222409809</v>
      </c>
      <c r="J15" s="63">
        <f>'SER_se-appl'!J60</f>
        <v>0.66812422592956866</v>
      </c>
      <c r="K15" s="63">
        <f>'SER_se-appl'!K60</f>
        <v>0.65221845905301734</v>
      </c>
      <c r="L15" s="63">
        <f>'SER_se-appl'!L60</f>
        <v>0.63360720350497557</v>
      </c>
      <c r="M15" s="63">
        <f>'SER_se-appl'!M60</f>
        <v>0.61652420676411557</v>
      </c>
      <c r="N15" s="63">
        <f>'SER_se-appl'!N60</f>
        <v>0.59665797766962336</v>
      </c>
      <c r="O15" s="63">
        <f>'SER_se-appl'!O60</f>
        <v>0.57743304629942283</v>
      </c>
      <c r="P15" s="63">
        <f>'SER_se-appl'!P60</f>
        <v>0.5563411250210295</v>
      </c>
      <c r="Q15" s="63">
        <f>'SER_se-appl'!Q60</f>
        <v>0.53484562514477108</v>
      </c>
      <c r="R15" s="63">
        <f>'SER_se-appl'!R60</f>
        <v>0.53145354016361024</v>
      </c>
      <c r="S15" s="63">
        <f>'SER_se-appl'!S60</f>
        <v>0.52650717301563976</v>
      </c>
      <c r="T15" s="63">
        <f>'SER_se-appl'!T60</f>
        <v>0.52167010678149162</v>
      </c>
      <c r="U15" s="63">
        <f>'SER_se-appl'!U60</f>
        <v>0.51702336452673325</v>
      </c>
      <c r="V15" s="63">
        <f>'SER_se-appl'!V60</f>
        <v>0.51248307250876324</v>
      </c>
      <c r="W15" s="63">
        <f>'SER_se-appl'!W60</f>
        <v>0.51096100703542968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40.382704426288328</v>
      </c>
      <c r="C3" s="199">
        <f>'SER_se-appl'!C5</f>
        <v>41.727671707903355</v>
      </c>
      <c r="D3" s="199">
        <f>'SER_se-appl'!D5</f>
        <v>44.612799499250706</v>
      </c>
      <c r="E3" s="199">
        <f>'SER_se-appl'!E5</f>
        <v>48.413694809985074</v>
      </c>
      <c r="F3" s="199">
        <f>'SER_se-appl'!F5</f>
        <v>53.152418005569807</v>
      </c>
      <c r="G3" s="199">
        <f>'SER_se-appl'!G5</f>
        <v>60.155122049801513</v>
      </c>
      <c r="H3" s="199">
        <f>'SER_se-appl'!H5</f>
        <v>69.059983541608403</v>
      </c>
      <c r="I3" s="199">
        <f>'SER_se-appl'!I5</f>
        <v>75.474133591298553</v>
      </c>
      <c r="J3" s="199">
        <f>'SER_se-appl'!J5</f>
        <v>81.641425489418921</v>
      </c>
      <c r="K3" s="199">
        <f>'SER_se-appl'!K5</f>
        <v>85.433867305792319</v>
      </c>
      <c r="L3" s="199">
        <f>'SER_se-appl'!L5</f>
        <v>88.237991109522426</v>
      </c>
      <c r="M3" s="199">
        <f>'SER_se-appl'!M5</f>
        <v>90.325010200004229</v>
      </c>
      <c r="N3" s="199">
        <f>'SER_se-appl'!N5</f>
        <v>91.998542930029984</v>
      </c>
      <c r="O3" s="199">
        <f>'SER_se-appl'!O5</f>
        <v>93.414136945580182</v>
      </c>
      <c r="P3" s="199">
        <f>'SER_se-appl'!P5</f>
        <v>95.994715588223386</v>
      </c>
      <c r="Q3" s="199">
        <f>'SER_se-appl'!Q5</f>
        <v>98.781371811096278</v>
      </c>
      <c r="R3" s="199">
        <f>'SER_se-appl'!R5</f>
        <v>99.666081607700747</v>
      </c>
      <c r="S3" s="199">
        <f>'SER_se-appl'!S5</f>
        <v>100.65613167684552</v>
      </c>
      <c r="T3" s="199">
        <f>'SER_se-appl'!T5</f>
        <v>100.86243593557396</v>
      </c>
      <c r="U3" s="199">
        <f>'SER_se-appl'!U5</f>
        <v>98.846698378774306</v>
      </c>
      <c r="V3" s="199">
        <f>'SER_se-appl'!V5</f>
        <v>95.964282038146592</v>
      </c>
      <c r="W3" s="199">
        <f>'SER_se-appl'!W5</f>
        <v>93.844092022630818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154.77895317608025</v>
      </c>
      <c r="C5" s="59">
        <f>'SER_se-appl'!C13</f>
        <v>159.39126171227602</v>
      </c>
      <c r="D5" s="59">
        <f>'SER_se-appl'!D13</f>
        <v>170.07788194810354</v>
      </c>
      <c r="E5" s="59">
        <f>'SER_se-appl'!E13</f>
        <v>183.90245861265836</v>
      </c>
      <c r="F5" s="59">
        <f>'SER_se-appl'!F13</f>
        <v>201.10340336483586</v>
      </c>
      <c r="G5" s="59">
        <f>'SER_se-appl'!G13</f>
        <v>226.11705359799163</v>
      </c>
      <c r="H5" s="59">
        <f>'SER_se-appl'!H13</f>
        <v>258.26514628837856</v>
      </c>
      <c r="I5" s="59">
        <f>'SER_se-appl'!I13</f>
        <v>279.80541519779649</v>
      </c>
      <c r="J5" s="59">
        <f>'SER_se-appl'!J13</f>
        <v>301.00381762650613</v>
      </c>
      <c r="K5" s="59">
        <f>'SER_se-appl'!K13</f>
        <v>313.17146906220489</v>
      </c>
      <c r="L5" s="59">
        <f>'SER_se-appl'!L13</f>
        <v>321.63602956577523</v>
      </c>
      <c r="M5" s="59">
        <f>'SER_se-appl'!M13</f>
        <v>326.89902811639513</v>
      </c>
      <c r="N5" s="59">
        <f>'SER_se-appl'!N13</f>
        <v>330.77679296576605</v>
      </c>
      <c r="O5" s="59">
        <f>'SER_se-appl'!O13</f>
        <v>332.83620790269163</v>
      </c>
      <c r="P5" s="59">
        <f>'SER_se-appl'!P13</f>
        <v>339.1598921315811</v>
      </c>
      <c r="Q5" s="59">
        <f>'SER_se-appl'!Q13</f>
        <v>344.28592015727185</v>
      </c>
      <c r="R5" s="59">
        <f>'SER_se-appl'!R13</f>
        <v>348.46630581013108</v>
      </c>
      <c r="S5" s="59">
        <f>'SER_se-appl'!S13</f>
        <v>350.08629879385836</v>
      </c>
      <c r="T5" s="59">
        <f>'SER_se-appl'!T13</f>
        <v>350.08351186393372</v>
      </c>
      <c r="U5" s="59">
        <f>'SER_se-appl'!U13</f>
        <v>346.00107296905998</v>
      </c>
      <c r="V5" s="59">
        <f>'SER_se-appl'!V13</f>
        <v>337.90547508099309</v>
      </c>
      <c r="W5" s="59">
        <f>'SER_se-appl'!W13</f>
        <v>331.23587291026581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3.3357472433321607E-2</v>
      </c>
      <c r="C6" s="202">
        <f>'SER_se-appl'!C69</f>
        <v>3.4819553520865527E-2</v>
      </c>
      <c r="D6" s="202">
        <f>'SER_se-appl'!D69</f>
        <v>3.8797686930594814E-2</v>
      </c>
      <c r="E6" s="202">
        <f>'SER_se-appl'!E69</f>
        <v>4.309381350311349E-2</v>
      </c>
      <c r="F6" s="202">
        <f>'SER_se-appl'!F69</f>
        <v>4.8218273594385297E-2</v>
      </c>
      <c r="G6" s="202">
        <f>'SER_se-appl'!G69</f>
        <v>5.5630122910492276E-2</v>
      </c>
      <c r="H6" s="202">
        <f>'SER_se-appl'!H69</f>
        <v>6.5201138748572932E-2</v>
      </c>
      <c r="I6" s="202">
        <f>'SER_se-appl'!I69</f>
        <v>7.2283147658833882E-2</v>
      </c>
      <c r="J6" s="202">
        <f>'SER_se-appl'!J69</f>
        <v>8.0433370783696417E-2</v>
      </c>
      <c r="K6" s="202">
        <f>'SER_se-appl'!K69</f>
        <v>8.5399968596962667E-2</v>
      </c>
      <c r="L6" s="202">
        <f>'SER_se-appl'!L69</f>
        <v>8.9399508831946556E-2</v>
      </c>
      <c r="M6" s="202">
        <f>'SER_se-appl'!M69</f>
        <v>9.2568981341078313E-2</v>
      </c>
      <c r="N6" s="202">
        <f>'SER_se-appl'!N69</f>
        <v>9.5851525008306349E-2</v>
      </c>
      <c r="O6" s="202">
        <f>'SER_se-appl'!O69</f>
        <v>9.9001991452077359E-2</v>
      </c>
      <c r="P6" s="202">
        <f>'SER_se-appl'!P69</f>
        <v>0.10355768009499453</v>
      </c>
      <c r="Q6" s="202">
        <f>'SER_se-appl'!Q69</f>
        <v>0.10835866039784732</v>
      </c>
      <c r="R6" s="202">
        <f>'SER_se-appl'!R69</f>
        <v>0.11382017106815422</v>
      </c>
      <c r="S6" s="202">
        <f>'SER_se-appl'!S69</f>
        <v>0.11907526238544247</v>
      </c>
      <c r="T6" s="202">
        <f>'SER_se-appl'!T69</f>
        <v>0.12446850337789457</v>
      </c>
      <c r="U6" s="202">
        <f>'SER_se-appl'!U69</f>
        <v>0.12983406503508763</v>
      </c>
      <c r="V6" s="202">
        <f>'SER_se-appl'!V69</f>
        <v>0.13483764123412456</v>
      </c>
      <c r="W6" s="202">
        <f>'SER_se-appl'!W69</f>
        <v>0.13997442051595591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749.05822186436683</v>
      </c>
      <c r="C8" s="34">
        <f>'SER_se-appl'!C21</f>
        <v>781.01849800897287</v>
      </c>
      <c r="D8" s="34">
        <f>'SER_se-appl'!D21</f>
        <v>847.08863803846407</v>
      </c>
      <c r="E8" s="34">
        <f>'SER_se-appl'!E21</f>
        <v>932.01183938290853</v>
      </c>
      <c r="F8" s="34">
        <f>'SER_se-appl'!F21</f>
        <v>1037.7123130196164</v>
      </c>
      <c r="G8" s="34">
        <f>'SER_se-appl'!G21</f>
        <v>1189.5029811356562</v>
      </c>
      <c r="H8" s="34">
        <f>'SER_se-appl'!H21</f>
        <v>1385.9816495966347</v>
      </c>
      <c r="I8" s="34">
        <f>'SER_se-appl'!I21</f>
        <v>1527.3792684544323</v>
      </c>
      <c r="J8" s="34">
        <f>'SER_se-appl'!J21</f>
        <v>1659.7796054721362</v>
      </c>
      <c r="K8" s="34">
        <f>'SER_se-appl'!K21</f>
        <v>1745.6001241128099</v>
      </c>
      <c r="L8" s="34">
        <f>'SER_se-appl'!L21</f>
        <v>1814.3346921000555</v>
      </c>
      <c r="M8" s="34">
        <f>'SER_se-appl'!M21</f>
        <v>1869.8063156783398</v>
      </c>
      <c r="N8" s="34">
        <f>'SER_se-appl'!N21</f>
        <v>1926.2318631608243</v>
      </c>
      <c r="O8" s="34">
        <f>'SER_se-appl'!O21</f>
        <v>1982.0271950179563</v>
      </c>
      <c r="P8" s="34">
        <f>'SER_se-appl'!P21</f>
        <v>2065.6972512933653</v>
      </c>
      <c r="Q8" s="34">
        <f>'SER_se-appl'!Q21</f>
        <v>2153.1566901585038</v>
      </c>
      <c r="R8" s="34">
        <f>'SER_se-appl'!R21</f>
        <v>2249.1531651068021</v>
      </c>
      <c r="S8" s="34">
        <f>'SER_se-appl'!S21</f>
        <v>2339.1083814612502</v>
      </c>
      <c r="T8" s="34">
        <f>'SER_se-appl'!T21</f>
        <v>2431.3031458305395</v>
      </c>
      <c r="U8" s="34">
        <f>'SER_se-appl'!U21</f>
        <v>2520.658002592977</v>
      </c>
      <c r="V8" s="34">
        <f>'SER_se-appl'!V21</f>
        <v>2606.254923716514</v>
      </c>
      <c r="W8" s="34">
        <f>'SER_se-appl'!W21</f>
        <v>2687.7415113932507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125.92545749214321</v>
      </c>
      <c r="D9" s="36">
        <f>'SER_se-appl'!D29</f>
        <v>164.08004147425811</v>
      </c>
      <c r="E9" s="36">
        <f>'SER_se-appl'!E29</f>
        <v>187.15192738377016</v>
      </c>
      <c r="F9" s="36">
        <f>'SER_se-appl'!F29</f>
        <v>212.32962307537935</v>
      </c>
      <c r="G9" s="36">
        <f>'SER_se-appl'!G29</f>
        <v>263.00965665787839</v>
      </c>
      <c r="H9" s="36">
        <f>'SER_se-appl'!H29</f>
        <v>312.4850651863328</v>
      </c>
      <c r="I9" s="36">
        <f>'SER_se-appl'!I29</f>
        <v>262.39749718467033</v>
      </c>
      <c r="J9" s="36">
        <f>'SER_se-appl'!J29</f>
        <v>258.32579450984713</v>
      </c>
      <c r="K9" s="36">
        <f>'SER_se-appl'!K29</f>
        <v>249.90056011493175</v>
      </c>
      <c r="L9" s="36">
        <f>'SER_se-appl'!L29</f>
        <v>255.8864953710156</v>
      </c>
      <c r="M9" s="36">
        <f>'SER_se-appl'!M29</f>
        <v>267.80124665366361</v>
      </c>
      <c r="N9" s="36">
        <f>'SER_se-appl'!N29</f>
        <v>319.43520414036288</v>
      </c>
      <c r="O9" s="36">
        <f>'SER_se-appl'!O29</f>
        <v>368.28039704346475</v>
      </c>
      <c r="P9" s="36">
        <f>'SER_se-appl'!P29</f>
        <v>346.06755346007935</v>
      </c>
      <c r="Q9" s="36">
        <f>'SER_se-appl'!Q29</f>
        <v>345.78523337498564</v>
      </c>
      <c r="R9" s="36">
        <f>'SER_se-appl'!R29</f>
        <v>345.89703506323008</v>
      </c>
      <c r="S9" s="36">
        <f>'SER_se-appl'!S29</f>
        <v>345.84171172546371</v>
      </c>
      <c r="T9" s="36">
        <f>'SER_se-appl'!T29</f>
        <v>359.9960110229531</v>
      </c>
      <c r="U9" s="36">
        <f>'SER_se-appl'!U29</f>
        <v>408.79006090280018</v>
      </c>
      <c r="V9" s="36">
        <f>'SER_se-appl'!V29</f>
        <v>453.8773181670017</v>
      </c>
      <c r="W9" s="36">
        <f>'SER_se-appl'!W29</f>
        <v>427.55414113681627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93.965181347537168</v>
      </c>
      <c r="D10" s="38">
        <f>'SER_se-appl'!D37</f>
        <v>98.009901444766911</v>
      </c>
      <c r="E10" s="38">
        <f>'SER_se-appl'!E37</f>
        <v>102.22872603932581</v>
      </c>
      <c r="F10" s="38">
        <f>'SER_se-appl'!F37</f>
        <v>106.62914943867145</v>
      </c>
      <c r="G10" s="38">
        <f>'SER_se-appl'!G37</f>
        <v>111.2189885418386</v>
      </c>
      <c r="H10" s="38">
        <f>'SER_se-appl'!H37</f>
        <v>116.00639672535431</v>
      </c>
      <c r="I10" s="38">
        <f>'SER_se-appl'!I37</f>
        <v>120.9998783268727</v>
      </c>
      <c r="J10" s="38">
        <f>'SER_se-appl'!J37</f>
        <v>125.92545749214332</v>
      </c>
      <c r="K10" s="38">
        <f>'SER_se-appl'!K37</f>
        <v>164.080041474258</v>
      </c>
      <c r="L10" s="38">
        <f>'SER_se-appl'!L37</f>
        <v>187.15192738377004</v>
      </c>
      <c r="M10" s="38">
        <f>'SER_se-appl'!M37</f>
        <v>212.32962307537923</v>
      </c>
      <c r="N10" s="38">
        <f>'SER_se-appl'!N37</f>
        <v>263.00965665787839</v>
      </c>
      <c r="O10" s="38">
        <f>'SER_se-appl'!O37</f>
        <v>312.48506518633303</v>
      </c>
      <c r="P10" s="38">
        <f>'SER_se-appl'!P37</f>
        <v>262.3974971846701</v>
      </c>
      <c r="Q10" s="38">
        <f>'SER_se-appl'!Q37</f>
        <v>258.32579450984713</v>
      </c>
      <c r="R10" s="38">
        <f>'SER_se-appl'!R37</f>
        <v>249.90056011493152</v>
      </c>
      <c r="S10" s="38">
        <f>'SER_se-appl'!S37</f>
        <v>255.88649537101537</v>
      </c>
      <c r="T10" s="38">
        <f>'SER_se-appl'!T37</f>
        <v>267.80124665366384</v>
      </c>
      <c r="U10" s="38">
        <f>'SER_se-appl'!U37</f>
        <v>319.43520414036266</v>
      </c>
      <c r="V10" s="38">
        <f>'SER_se-appl'!V37</f>
        <v>368.28039704346475</v>
      </c>
      <c r="W10" s="38">
        <f>'SER_se-appl'!W37</f>
        <v>346.06755346007958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3034.3327877624752</v>
      </c>
      <c r="C12" s="205">
        <f>'SER_se-appl'!C45</f>
        <v>3044.6639091102675</v>
      </c>
      <c r="D12" s="205">
        <f>'SER_se-appl'!D45</f>
        <v>3050.6427539743427</v>
      </c>
      <c r="E12" s="205">
        <f>'SER_se-appl'!E45</f>
        <v>3061.6843020355927</v>
      </c>
      <c r="F12" s="205">
        <f>'SER_se-appl'!F45</f>
        <v>3073.8545994834531</v>
      </c>
      <c r="G12" s="205">
        <f>'SER_se-appl'!G45</f>
        <v>3093.990737571708</v>
      </c>
      <c r="H12" s="205">
        <f>'SER_se-appl'!H45</f>
        <v>3109.8567504423909</v>
      </c>
      <c r="I12" s="205">
        <f>'SER_se-appl'!I45</f>
        <v>3137.0521297677683</v>
      </c>
      <c r="J12" s="205">
        <f>'SER_se-appl'!J45</f>
        <v>3154.4110833175387</v>
      </c>
      <c r="K12" s="205">
        <f>'SER_se-appl'!K45</f>
        <v>3172.6896442440861</v>
      </c>
      <c r="L12" s="205">
        <f>'SER_se-appl'!L45</f>
        <v>3190.58731694076</v>
      </c>
      <c r="M12" s="205">
        <f>'SER_se-appl'!M45</f>
        <v>3213.4689254934619</v>
      </c>
      <c r="N12" s="205">
        <f>'SER_se-appl'!N45</f>
        <v>3234.6376076842344</v>
      </c>
      <c r="O12" s="205">
        <f>'SER_se-appl'!O45</f>
        <v>3264.0872203264635</v>
      </c>
      <c r="P12" s="205">
        <f>'SER_se-appl'!P45</f>
        <v>3291.7174707023146</v>
      </c>
      <c r="Q12" s="205">
        <f>'SER_se-appl'!Q45</f>
        <v>3336.840942081682</v>
      </c>
      <c r="R12" s="205">
        <f>'SER_se-appl'!R45</f>
        <v>3326.3374672704449</v>
      </c>
      <c r="S12" s="205">
        <f>'SER_se-appl'!S45</f>
        <v>3343.8349785034493</v>
      </c>
      <c r="T12" s="205">
        <f>'SER_se-appl'!T45</f>
        <v>3350.7151584638023</v>
      </c>
      <c r="U12" s="205">
        <f>'SER_se-appl'!U45</f>
        <v>3322.4957722831782</v>
      </c>
      <c r="V12" s="205">
        <f>'SER_se-appl'!V45</f>
        <v>3302.8899571281986</v>
      </c>
      <c r="W12" s="205">
        <f>'SER_se-appl'!W45</f>
        <v>3294.9534741934986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206.63140548787183</v>
      </c>
      <c r="C14" s="59">
        <f>'SER_se-appl'!C53</f>
        <v>204.08128887933822</v>
      </c>
      <c r="D14" s="59">
        <f>'SER_se-appl'!D53</f>
        <v>200.77932144378585</v>
      </c>
      <c r="E14" s="59">
        <f>'SER_se-appl'!E53</f>
        <v>197.31772799626822</v>
      </c>
      <c r="F14" s="59">
        <f>'SER_se-appl'!F53</f>
        <v>193.79494763789538</v>
      </c>
      <c r="G14" s="59">
        <f>'SER_se-appl'!G53</f>
        <v>190.09372585355817</v>
      </c>
      <c r="H14" s="59">
        <f>'SER_se-appl'!H53</f>
        <v>186.3409565080043</v>
      </c>
      <c r="I14" s="59">
        <f>'SER_se-appl'!I53</f>
        <v>183.19314722723314</v>
      </c>
      <c r="J14" s="59">
        <f>'SER_se-appl'!J53</f>
        <v>181.35167864102263</v>
      </c>
      <c r="K14" s="59">
        <f>'SER_se-appl'!K53</f>
        <v>179.40619087740515</v>
      </c>
      <c r="L14" s="59">
        <f>'SER_se-appl'!L53</f>
        <v>177.27491568465138</v>
      </c>
      <c r="M14" s="59">
        <f>'SER_se-appl'!M53</f>
        <v>174.83042247496135</v>
      </c>
      <c r="N14" s="59">
        <f>'SER_se-appl'!N53</f>
        <v>171.72221023432886</v>
      </c>
      <c r="O14" s="59">
        <f>'SER_se-appl'!O53</f>
        <v>167.92716504562202</v>
      </c>
      <c r="P14" s="59">
        <f>'SER_se-appl'!P53</f>
        <v>164.18664057340823</v>
      </c>
      <c r="Q14" s="59">
        <f>'SER_se-appl'!Q53</f>
        <v>159.89821908034355</v>
      </c>
      <c r="R14" s="59">
        <f>'SER_se-appl'!R53</f>
        <v>154.93222569997093</v>
      </c>
      <c r="S14" s="59">
        <f>'SER_se-appl'!S53</f>
        <v>149.66655738079058</v>
      </c>
      <c r="T14" s="59">
        <f>'SER_se-appl'!T53</f>
        <v>143.99007070109485</v>
      </c>
      <c r="U14" s="59">
        <f>'SER_se-appl'!U53</f>
        <v>137.266171219234</v>
      </c>
      <c r="V14" s="59">
        <f>'SER_se-appl'!V53</f>
        <v>129.65173590891123</v>
      </c>
      <c r="W14" s="59">
        <f>'SER_se-appl'!W53</f>
        <v>123.23948248228764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190.81499883738212</v>
      </c>
      <c r="D15" s="63">
        <f>'SER_se-appl'!D61</f>
        <v>188.55763105070474</v>
      </c>
      <c r="E15" s="63">
        <f>'SER_se-appl'!E61</f>
        <v>186.73728075282452</v>
      </c>
      <c r="F15" s="63">
        <f>'SER_se-appl'!F61</f>
        <v>184.77815388358698</v>
      </c>
      <c r="G15" s="63">
        <f>'SER_se-appl'!G61</f>
        <v>182.48374132865777</v>
      </c>
      <c r="H15" s="63">
        <f>'SER_se-appl'!H61</f>
        <v>179.58828674857602</v>
      </c>
      <c r="I15" s="63">
        <f>'SER_se-appl'!I61</f>
        <v>177.37457228566967</v>
      </c>
      <c r="J15" s="63">
        <f>'SER_se-appl'!J61</f>
        <v>175.0768580407707</v>
      </c>
      <c r="K15" s="63">
        <f>'SER_se-appl'!K61</f>
        <v>172.49339232757731</v>
      </c>
      <c r="L15" s="63">
        <f>'SER_se-appl'!L61</f>
        <v>169.65648166746934</v>
      </c>
      <c r="M15" s="63">
        <f>'SER_se-appl'!M61</f>
        <v>166.15633748274618</v>
      </c>
      <c r="N15" s="63">
        <f>'SER_se-appl'!N61</f>
        <v>162.38896129642896</v>
      </c>
      <c r="O15" s="63">
        <f>'SER_se-appl'!O61</f>
        <v>157.97222142505183</v>
      </c>
      <c r="P15" s="63">
        <f>'SER_se-appl'!P61</f>
        <v>152.76303002774569</v>
      </c>
      <c r="Q15" s="63">
        <f>'SER_se-appl'!Q61</f>
        <v>145.61899011099638</v>
      </c>
      <c r="R15" s="63">
        <f>'SER_se-appl'!R61</f>
        <v>136.70710129967267</v>
      </c>
      <c r="S15" s="63">
        <f>'SER_se-appl'!S61</f>
        <v>130.21215766576179</v>
      </c>
      <c r="T15" s="63">
        <f>'SER_se-appl'!T61</f>
        <v>123.59605669220774</v>
      </c>
      <c r="U15" s="63">
        <f>'SER_se-appl'!U61</f>
        <v>116.90673692371385</v>
      </c>
      <c r="V15" s="63">
        <f>'SER_se-appl'!V61</f>
        <v>110.34363810566468</v>
      </c>
      <c r="W15" s="63">
        <f>'SER_se-appl'!W61</f>
        <v>108.04883275669292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28.484192684212182</v>
      </c>
      <c r="C3" s="199">
        <f>'SER_se-appl'!C6</f>
        <v>31.175172094781157</v>
      </c>
      <c r="D3" s="199">
        <f>'SER_se-appl'!D6</f>
        <v>32.914850693254706</v>
      </c>
      <c r="E3" s="199">
        <f>'SER_se-appl'!E6</f>
        <v>36.097717260242575</v>
      </c>
      <c r="F3" s="199">
        <f>'SER_se-appl'!F6</f>
        <v>39.29148180682121</v>
      </c>
      <c r="G3" s="199">
        <f>'SER_se-appl'!G6</f>
        <v>42.634331333605729</v>
      </c>
      <c r="H3" s="199">
        <f>'SER_se-appl'!H6</f>
        <v>45.448586607523801</v>
      </c>
      <c r="I3" s="199">
        <f>'SER_se-appl'!I6</f>
        <v>47.87673469409043</v>
      </c>
      <c r="J3" s="199">
        <f>'SER_se-appl'!J6</f>
        <v>51.608711825688005</v>
      </c>
      <c r="K3" s="199">
        <f>'SER_se-appl'!K6</f>
        <v>54.552279770287662</v>
      </c>
      <c r="L3" s="199">
        <f>'SER_se-appl'!L6</f>
        <v>57.497959086538373</v>
      </c>
      <c r="M3" s="199">
        <f>'SER_se-appl'!M6</f>
        <v>59.743562175414539</v>
      </c>
      <c r="N3" s="199">
        <f>'SER_se-appl'!N6</f>
        <v>63.245861357628719</v>
      </c>
      <c r="O3" s="199">
        <f>'SER_se-appl'!O6</f>
        <v>68.054798767230821</v>
      </c>
      <c r="P3" s="199">
        <f>'SER_se-appl'!P6</f>
        <v>72.514698728821642</v>
      </c>
      <c r="Q3" s="199">
        <f>'SER_se-appl'!Q6</f>
        <v>77.315481940978842</v>
      </c>
      <c r="R3" s="199">
        <f>'SER_se-appl'!R6</f>
        <v>77.864043150005514</v>
      </c>
      <c r="S3" s="199">
        <f>'SER_se-appl'!S6</f>
        <v>79.843456138128914</v>
      </c>
      <c r="T3" s="199">
        <f>'SER_se-appl'!T6</f>
        <v>79.112892608387114</v>
      </c>
      <c r="U3" s="199">
        <f>'SER_se-appl'!U6</f>
        <v>74.776986549455543</v>
      </c>
      <c r="V3" s="199">
        <f>'SER_se-appl'!V6</f>
        <v>68.63535604224856</v>
      </c>
      <c r="W3" s="199">
        <f>'SER_se-appl'!W6</f>
        <v>65.959230552891185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163.24292334270078</v>
      </c>
      <c r="C5" s="59">
        <f>'SER_se-appl'!C14</f>
        <v>177.49755645776469</v>
      </c>
      <c r="D5" s="59">
        <f>'SER_se-appl'!D14</f>
        <v>186.30939907079824</v>
      </c>
      <c r="E5" s="59">
        <f>'SER_se-appl'!E14</f>
        <v>203.08607933742198</v>
      </c>
      <c r="F5" s="59">
        <f>'SER_se-appl'!F14</f>
        <v>219.12632032384246</v>
      </c>
      <c r="G5" s="59">
        <f>'SER_se-appl'!G14</f>
        <v>236.76939920358993</v>
      </c>
      <c r="H5" s="59">
        <f>'SER_se-appl'!H14</f>
        <v>250.53208943173047</v>
      </c>
      <c r="I5" s="59">
        <f>'SER_se-appl'!I14</f>
        <v>262.91198956935455</v>
      </c>
      <c r="J5" s="59">
        <f>'SER_se-appl'!J14</f>
        <v>282.18084558774916</v>
      </c>
      <c r="K5" s="59">
        <f>'SER_se-appl'!K14</f>
        <v>297.67406850239911</v>
      </c>
      <c r="L5" s="59">
        <f>'SER_se-appl'!L14</f>
        <v>313.52809074430985</v>
      </c>
      <c r="M5" s="59">
        <f>'SER_se-appl'!M14</f>
        <v>324.69635301316492</v>
      </c>
      <c r="N5" s="59">
        <f>'SER_se-appl'!N14</f>
        <v>342.60721706181192</v>
      </c>
      <c r="O5" s="59">
        <f>'SER_se-appl'!O14</f>
        <v>367.34167183690499</v>
      </c>
      <c r="P5" s="59">
        <f>'SER_se-appl'!P14</f>
        <v>389.62625000806185</v>
      </c>
      <c r="Q5" s="59">
        <f>'SER_se-appl'!Q14</f>
        <v>413.78982184873962</v>
      </c>
      <c r="R5" s="59">
        <f>'SER_se-appl'!R14</f>
        <v>418.08232782875729</v>
      </c>
      <c r="S5" s="59">
        <f>'SER_se-appl'!S14</f>
        <v>424.17689407364327</v>
      </c>
      <c r="T5" s="59">
        <f>'SER_se-appl'!T14</f>
        <v>420.1098422556168</v>
      </c>
      <c r="U5" s="59">
        <f>'SER_se-appl'!U14</f>
        <v>403.83038154805928</v>
      </c>
      <c r="V5" s="59">
        <f>'SER_se-appl'!V14</f>
        <v>383.1982513024459</v>
      </c>
      <c r="W5" s="59">
        <f>'SER_se-appl'!W14</f>
        <v>355.88556666440542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106.92348226881371</v>
      </c>
      <c r="C6" s="202">
        <f>'SER_se-appl'!C70</f>
        <v>108.05837242836974</v>
      </c>
      <c r="D6" s="202">
        <f>'SER_se-appl'!D70</f>
        <v>110.54495763058758</v>
      </c>
      <c r="E6" s="202">
        <f>'SER_se-appl'!E70</f>
        <v>114.39457158690799</v>
      </c>
      <c r="F6" s="202">
        <f>'SER_se-appl'!F70</f>
        <v>117.78701041415003</v>
      </c>
      <c r="G6" s="202">
        <f>'SER_se-appl'!G70</f>
        <v>120.39964904987868</v>
      </c>
      <c r="H6" s="202">
        <f>'SER_se-appl'!H70</f>
        <v>122.71702988163841</v>
      </c>
      <c r="I6" s="202">
        <f>'SER_se-appl'!I70</f>
        <v>128.1401362791706</v>
      </c>
      <c r="J6" s="202">
        <f>'SER_se-appl'!J70</f>
        <v>136.31946736088935</v>
      </c>
      <c r="K6" s="202">
        <f>'SER_se-appl'!K70</f>
        <v>144.51433084997049</v>
      </c>
      <c r="L6" s="202">
        <f>'SER_se-appl'!L70</f>
        <v>150.70637318186428</v>
      </c>
      <c r="M6" s="202">
        <f>'SER_se-appl'!M70</f>
        <v>155.29356413232114</v>
      </c>
      <c r="N6" s="202">
        <f>'SER_se-appl'!N70</f>
        <v>165.78815717297419</v>
      </c>
      <c r="O6" s="202">
        <f>'SER_se-appl'!O70</f>
        <v>177.9990379490844</v>
      </c>
      <c r="P6" s="202">
        <f>'SER_se-appl'!P70</f>
        <v>190.36495266588608</v>
      </c>
      <c r="Q6" s="202">
        <f>'SER_se-appl'!Q70</f>
        <v>203.4177786593315</v>
      </c>
      <c r="R6" s="202">
        <f>'SER_se-appl'!R70</f>
        <v>210.29638613752522</v>
      </c>
      <c r="S6" s="202">
        <f>'SER_se-appl'!S70</f>
        <v>217.28520538146029</v>
      </c>
      <c r="T6" s="202">
        <f>'SER_se-appl'!T70</f>
        <v>223.90780909808635</v>
      </c>
      <c r="U6" s="202">
        <f>'SER_se-appl'!U70</f>
        <v>229.87283619812635</v>
      </c>
      <c r="V6" s="202">
        <f>'SER_se-appl'!V70</f>
        <v>234.6373014110132</v>
      </c>
      <c r="W6" s="202">
        <f>'SER_se-appl'!W70</f>
        <v>237.08240833848683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3.5111995060388921</v>
      </c>
      <c r="C8" s="34">
        <f>'SER_se-appl'!C22</f>
        <v>3.8598382890311482</v>
      </c>
      <c r="D8" s="34">
        <f>'SER_se-appl'!D22</f>
        <v>4.1075247760555671</v>
      </c>
      <c r="E8" s="34">
        <f>'SER_se-appl'!E22</f>
        <v>4.5594743940752283</v>
      </c>
      <c r="F8" s="34">
        <f>'SER_se-appl'!F22</f>
        <v>5.0137977592719043</v>
      </c>
      <c r="G8" s="34">
        <f>'SER_se-appl'!G22</f>
        <v>5.5276876875959129</v>
      </c>
      <c r="H8" s="34">
        <f>'SER_se-appl'!H22</f>
        <v>5.971591743800003</v>
      </c>
      <c r="I8" s="34">
        <f>'SER_se-appl'!I22</f>
        <v>6.4073859592622187</v>
      </c>
      <c r="J8" s="34">
        <f>'SER_se-appl'!J22</f>
        <v>7.024829919341065</v>
      </c>
      <c r="K8" s="34">
        <f>'SER_se-appl'!K22</f>
        <v>7.6109227244911573</v>
      </c>
      <c r="L8" s="34">
        <f>'SER_se-appl'!L22</f>
        <v>8.2573599128967654</v>
      </c>
      <c r="M8" s="34">
        <f>'SER_se-appl'!M22</f>
        <v>8.8456738788237423</v>
      </c>
      <c r="N8" s="34">
        <f>'SER_se-appl'!N22</f>
        <v>9.6854288337613195</v>
      </c>
      <c r="O8" s="34">
        <f>'SER_se-appl'!O22</f>
        <v>10.888333351690155</v>
      </c>
      <c r="P8" s="34">
        <f>'SER_se-appl'!P22</f>
        <v>12.131169953674005</v>
      </c>
      <c r="Q8" s="34">
        <f>'SER_se-appl'!Q22</f>
        <v>13.628044948037584</v>
      </c>
      <c r="R8" s="34">
        <f>'SER_se-appl'!R22</f>
        <v>14.639757747196732</v>
      </c>
      <c r="S8" s="34">
        <f>'SER_se-appl'!S22</f>
        <v>15.772611887694259</v>
      </c>
      <c r="T8" s="34">
        <f>'SER_se-appl'!T22</f>
        <v>16.714950481835029</v>
      </c>
      <c r="U8" s="34">
        <f>'SER_se-appl'!U22</f>
        <v>17.563504977884556</v>
      </c>
      <c r="V8" s="34">
        <f>'SER_se-appl'!V22</f>
        <v>18.287515256864225</v>
      </c>
      <c r="W8" s="34">
        <f>'SER_se-appl'!W22</f>
        <v>18.802788093397975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0.8969691064851566</v>
      </c>
      <c r="D9" s="36">
        <f>'SER_se-appl'!D30</f>
        <v>0.81026152871998436</v>
      </c>
      <c r="E9" s="36">
        <f>'SER_se-appl'!E30</f>
        <v>1.0291394322227143</v>
      </c>
      <c r="F9" s="36">
        <f>'SER_se-appl'!F30</f>
        <v>1.0465076196130609</v>
      </c>
      <c r="G9" s="36">
        <f>'SER_se-appl'!G30</f>
        <v>1.1214581538009067</v>
      </c>
      <c r="H9" s="36">
        <f>'SER_se-appl'!H30</f>
        <v>1.0672559029581796</v>
      </c>
      <c r="I9" s="36">
        <f>'SER_se-appl'!I30</f>
        <v>1.3327633219473727</v>
      </c>
      <c r="J9" s="36">
        <f>'SER_se-appl'!J30</f>
        <v>1.4277054887988312</v>
      </c>
      <c r="K9" s="36">
        <f>'SER_se-appl'!K30</f>
        <v>1.6152322373728065</v>
      </c>
      <c r="L9" s="36">
        <f>'SER_se-appl'!L30</f>
        <v>1.6929448080186695</v>
      </c>
      <c r="M9" s="36">
        <f>'SER_se-appl'!M30</f>
        <v>1.7097721197278837</v>
      </c>
      <c r="N9" s="36">
        <f>'SER_se-appl'!N30</f>
        <v>1.9070108578957568</v>
      </c>
      <c r="O9" s="36">
        <f>'SER_se-appl'!O30</f>
        <v>2.5356678398762096</v>
      </c>
      <c r="P9" s="36">
        <f>'SER_se-appl'!P30</f>
        <v>2.6705420907826802</v>
      </c>
      <c r="Q9" s="36">
        <f>'SER_se-appl'!Q30</f>
        <v>3.1121072317363847</v>
      </c>
      <c r="R9" s="36">
        <f>'SER_se-appl'!R30</f>
        <v>2.7046576071778183</v>
      </c>
      <c r="S9" s="36">
        <f>'SER_se-appl'!S30</f>
        <v>2.8426262602254102</v>
      </c>
      <c r="T9" s="36">
        <f>'SER_se-appl'!T30</f>
        <v>2.8493494520365275</v>
      </c>
      <c r="U9" s="36">
        <f>'SER_se-appl'!U30</f>
        <v>3.3842223359257364</v>
      </c>
      <c r="V9" s="36">
        <f>'SER_se-appl'!V30</f>
        <v>3.3945523697623496</v>
      </c>
      <c r="W9" s="36">
        <f>'SER_se-appl'!W30</f>
        <v>3.6273800682701349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0.5483303234929009</v>
      </c>
      <c r="D10" s="38">
        <f>'SER_se-appl'!D38</f>
        <v>0.56257504169556594</v>
      </c>
      <c r="E10" s="38">
        <f>'SER_se-appl'!E38</f>
        <v>0.57718981420305315</v>
      </c>
      <c r="F10" s="38">
        <f>'SER_se-appl'!F38</f>
        <v>0.59218425441638445</v>
      </c>
      <c r="G10" s="38">
        <f>'SER_se-appl'!G38</f>
        <v>0.60756822547689815</v>
      </c>
      <c r="H10" s="38">
        <f>'SER_se-appl'!H38</f>
        <v>0.6233518467540895</v>
      </c>
      <c r="I10" s="38">
        <f>'SER_se-appl'!I38</f>
        <v>0.89696910648515704</v>
      </c>
      <c r="J10" s="38">
        <f>'SER_se-appl'!J38</f>
        <v>0.8102615287199848</v>
      </c>
      <c r="K10" s="38">
        <f>'SER_se-appl'!K38</f>
        <v>1.0291394322227134</v>
      </c>
      <c r="L10" s="38">
        <f>'SER_se-appl'!L38</f>
        <v>1.0465076196130614</v>
      </c>
      <c r="M10" s="38">
        <f>'SER_se-appl'!M38</f>
        <v>1.1214581538009067</v>
      </c>
      <c r="N10" s="38">
        <f>'SER_se-appl'!N38</f>
        <v>1.0672559029581787</v>
      </c>
      <c r="O10" s="38">
        <f>'SER_se-appl'!O38</f>
        <v>1.3327633219473736</v>
      </c>
      <c r="P10" s="38">
        <f>'SER_se-appl'!P38</f>
        <v>1.4277054887988303</v>
      </c>
      <c r="Q10" s="38">
        <f>'SER_se-appl'!Q38</f>
        <v>1.6152322373728065</v>
      </c>
      <c r="R10" s="38">
        <f>'SER_se-appl'!R38</f>
        <v>1.6929448080186695</v>
      </c>
      <c r="S10" s="38">
        <f>'SER_se-appl'!S38</f>
        <v>1.7097721197278819</v>
      </c>
      <c r="T10" s="38">
        <f>'SER_se-appl'!T38</f>
        <v>1.9070108578957594</v>
      </c>
      <c r="U10" s="38">
        <f>'SER_se-appl'!U38</f>
        <v>2.5356678398762114</v>
      </c>
      <c r="V10" s="38">
        <f>'SER_se-appl'!V38</f>
        <v>2.670542090782682</v>
      </c>
      <c r="W10" s="38">
        <f>'SER_se-appl'!W38</f>
        <v>3.1121072317363847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2029.3140684692357</v>
      </c>
      <c r="C12" s="205">
        <f>'SER_se-appl'!C46</f>
        <v>2042.6605227581106</v>
      </c>
      <c r="D12" s="205">
        <f>'SER_se-appl'!D46</f>
        <v>2054.6452056188909</v>
      </c>
      <c r="E12" s="205">
        <f>'SER_se-appl'!E46</f>
        <v>2067.184777540107</v>
      </c>
      <c r="F12" s="205">
        <f>'SER_se-appl'!F46</f>
        <v>2085.3721850391985</v>
      </c>
      <c r="G12" s="205">
        <f>'SER_se-appl'!G46</f>
        <v>2094.1780275561755</v>
      </c>
      <c r="H12" s="205">
        <f>'SER_se-appl'!H46</f>
        <v>2109.777886914304</v>
      </c>
      <c r="I12" s="205">
        <f>'SER_se-appl'!I46</f>
        <v>2117.8434098966404</v>
      </c>
      <c r="J12" s="205">
        <f>'SER_se-appl'!J46</f>
        <v>2127.0377770772743</v>
      </c>
      <c r="K12" s="205">
        <f>'SER_se-appl'!K46</f>
        <v>2131.3345059592662</v>
      </c>
      <c r="L12" s="205">
        <f>'SER_se-appl'!L46</f>
        <v>2132.8272774186098</v>
      </c>
      <c r="M12" s="205">
        <f>'SER_se-appl'!M46</f>
        <v>2139.8996990640653</v>
      </c>
      <c r="N12" s="205">
        <f>'SER_se-appl'!N46</f>
        <v>2146.9173180216953</v>
      </c>
      <c r="O12" s="205">
        <f>'SER_se-appl'!O46</f>
        <v>2154.6080130388809</v>
      </c>
      <c r="P12" s="205">
        <f>'SER_se-appl'!P46</f>
        <v>2164.4998153967958</v>
      </c>
      <c r="Q12" s="205">
        <f>'SER_se-appl'!Q46</f>
        <v>2173.0332828299429</v>
      </c>
      <c r="R12" s="205">
        <f>'SER_se-appl'!R46</f>
        <v>2165.9820603693943</v>
      </c>
      <c r="S12" s="205">
        <f>'SER_se-appl'!S46</f>
        <v>2189.1324300310057</v>
      </c>
      <c r="T12" s="205">
        <f>'SER_se-appl'!T46</f>
        <v>2190.100893841272</v>
      </c>
      <c r="U12" s="205">
        <f>'SER_se-appl'!U46</f>
        <v>2153.5188864106585</v>
      </c>
      <c r="V12" s="205">
        <f>'SER_se-appl'!V46</f>
        <v>2083.0710684567671</v>
      </c>
      <c r="W12" s="205">
        <f>'SER_se-appl'!W46</f>
        <v>2155.4845803946118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46.492067187278934</v>
      </c>
      <c r="C14" s="59">
        <f>'SER_se-appl'!C54</f>
        <v>45.985749445041662</v>
      </c>
      <c r="D14" s="59">
        <f>'SER_se-appl'!D54</f>
        <v>45.358070669925475</v>
      </c>
      <c r="E14" s="59">
        <f>'SER_se-appl'!E54</f>
        <v>44.541554965484735</v>
      </c>
      <c r="F14" s="59">
        <f>'SER_se-appl'!F54</f>
        <v>43.704658792552422</v>
      </c>
      <c r="G14" s="59">
        <f>'SER_se-appl'!G54</f>
        <v>42.833353218362639</v>
      </c>
      <c r="H14" s="59">
        <f>'SER_se-appl'!H54</f>
        <v>41.953988179423867</v>
      </c>
      <c r="I14" s="59">
        <f>'SER_se-appl'!I54</f>
        <v>41.032644395223485</v>
      </c>
      <c r="J14" s="59">
        <f>'SER_se-appl'!J54</f>
        <v>40.169064422590026</v>
      </c>
      <c r="K14" s="59">
        <f>'SER_se-appl'!K54</f>
        <v>39.111429622654683</v>
      </c>
      <c r="L14" s="59">
        <f>'SER_se-appl'!L54</f>
        <v>37.969531914749858</v>
      </c>
      <c r="M14" s="59">
        <f>'SER_se-appl'!M54</f>
        <v>36.706796730374329</v>
      </c>
      <c r="N14" s="59">
        <f>'SER_se-appl'!N54</f>
        <v>35.373469047395915</v>
      </c>
      <c r="O14" s="59">
        <f>'SER_se-appl'!O54</f>
        <v>33.737180886355205</v>
      </c>
      <c r="P14" s="59">
        <f>'SER_se-appl'!P54</f>
        <v>32.117780189046066</v>
      </c>
      <c r="Q14" s="59">
        <f>'SER_se-appl'!Q54</f>
        <v>30.363109560210592</v>
      </c>
      <c r="R14" s="59">
        <f>'SER_se-appl'!R54</f>
        <v>28.558008612458977</v>
      </c>
      <c r="S14" s="59">
        <f>'SER_se-appl'!S54</f>
        <v>26.893256303642691</v>
      </c>
      <c r="T14" s="59">
        <f>'SER_se-appl'!T54</f>
        <v>25.133777256006301</v>
      </c>
      <c r="U14" s="59">
        <f>'SER_se-appl'!U54</f>
        <v>22.992585025400711</v>
      </c>
      <c r="V14" s="59">
        <f>'SER_se-appl'!V54</f>
        <v>20.954090586943586</v>
      </c>
      <c r="W14" s="59">
        <f>'SER_se-appl'!W54</f>
        <v>18.927276364368737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44.313280210365832</v>
      </c>
      <c r="D15" s="63">
        <f>'SER_se-appl'!D62</f>
        <v>43.155349242200266</v>
      </c>
      <c r="E15" s="63">
        <f>'SER_se-appl'!E62</f>
        <v>42.376597886424491</v>
      </c>
      <c r="F15" s="63">
        <f>'SER_se-appl'!F62</f>
        <v>41.635732328548336</v>
      </c>
      <c r="G15" s="63">
        <f>'SER_se-appl'!G62</f>
        <v>40.920101640834133</v>
      </c>
      <c r="H15" s="63">
        <f>'SER_se-appl'!H62</f>
        <v>40.050006798061283</v>
      </c>
      <c r="I15" s="63">
        <f>'SER_se-appl'!I62</f>
        <v>39.112378495812607</v>
      </c>
      <c r="J15" s="63">
        <f>'SER_se-appl'!J62</f>
        <v>37.98820953854765</v>
      </c>
      <c r="K15" s="63">
        <f>'SER_se-appl'!K62</f>
        <v>36.592045054245304</v>
      </c>
      <c r="L15" s="63">
        <f>'SER_se-appl'!L62</f>
        <v>35.102227249484585</v>
      </c>
      <c r="M15" s="63">
        <f>'SER_se-appl'!M62</f>
        <v>33.371958315363955</v>
      </c>
      <c r="N15" s="63">
        <f>'SER_se-appl'!N62</f>
        <v>31.806043456050773</v>
      </c>
      <c r="O15" s="63">
        <f>'SER_se-appl'!O62</f>
        <v>30.312329185903018</v>
      </c>
      <c r="P15" s="63">
        <f>'SER_se-appl'!P62</f>
        <v>28.653565769695412</v>
      </c>
      <c r="Q15" s="63">
        <f>'SER_se-appl'!Q62</f>
        <v>26.756218999958389</v>
      </c>
      <c r="R15" s="63">
        <f>'SER_se-appl'!R62</f>
        <v>23.558856094325183</v>
      </c>
      <c r="S15" s="63">
        <f>'SER_se-appl'!S62</f>
        <v>22.216430994417291</v>
      </c>
      <c r="T15" s="63">
        <f>'SER_se-appl'!T62</f>
        <v>19.859767765207472</v>
      </c>
      <c r="U15" s="63">
        <f>'SER_se-appl'!U62</f>
        <v>17.90146495924763</v>
      </c>
      <c r="V15" s="63">
        <f>'SER_se-appl'!V62</f>
        <v>16.464151117892687</v>
      </c>
      <c r="W15" s="63">
        <f>'SER_se-appl'!W62</f>
        <v>15.425882304176966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79.306547753852286</v>
      </c>
      <c r="C3" s="199">
        <f>'SER_se-appl'!C7</f>
        <v>83.715961319591486</v>
      </c>
      <c r="D3" s="199">
        <f>'SER_se-appl'!D7</f>
        <v>86.769904082625587</v>
      </c>
      <c r="E3" s="199">
        <f>'SER_se-appl'!E7</f>
        <v>93.305937404187929</v>
      </c>
      <c r="F3" s="199">
        <f>'SER_se-appl'!F7</f>
        <v>99.498830539179963</v>
      </c>
      <c r="G3" s="199">
        <f>'SER_se-appl'!G7</f>
        <v>108.35782654764655</v>
      </c>
      <c r="H3" s="199">
        <f>'SER_se-appl'!H7</f>
        <v>115.83017875176797</v>
      </c>
      <c r="I3" s="199">
        <f>'SER_se-appl'!I7</f>
        <v>125.02351296949975</v>
      </c>
      <c r="J3" s="199">
        <f>'SER_se-appl'!J7</f>
        <v>133.16253416382497</v>
      </c>
      <c r="K3" s="199">
        <f>'SER_se-appl'!K7</f>
        <v>137.33005051304855</v>
      </c>
      <c r="L3" s="199">
        <f>'SER_se-appl'!L7</f>
        <v>140.26064156217265</v>
      </c>
      <c r="M3" s="199">
        <f>'SER_se-appl'!M7</f>
        <v>140.45486385339447</v>
      </c>
      <c r="N3" s="199">
        <f>'SER_se-appl'!N7</f>
        <v>140.86983137902095</v>
      </c>
      <c r="O3" s="199">
        <f>'SER_se-appl'!O7</f>
        <v>141.92644475291425</v>
      </c>
      <c r="P3" s="199">
        <f>'SER_se-appl'!P7</f>
        <v>143.36274490817809</v>
      </c>
      <c r="Q3" s="199">
        <f>'SER_se-appl'!Q7</f>
        <v>145.82368116661232</v>
      </c>
      <c r="R3" s="199">
        <f>'SER_se-appl'!R7</f>
        <v>150.74840729905878</v>
      </c>
      <c r="S3" s="199">
        <f>'SER_se-appl'!S7</f>
        <v>152.29301678376024</v>
      </c>
      <c r="T3" s="199">
        <f>'SER_se-appl'!T7</f>
        <v>153.96941990561155</v>
      </c>
      <c r="U3" s="199">
        <f>'SER_se-appl'!U7</f>
        <v>158.21857678413582</v>
      </c>
      <c r="V3" s="199">
        <f>'SER_se-appl'!V7</f>
        <v>166.39588860904658</v>
      </c>
      <c r="W3" s="199">
        <f>'SER_se-appl'!W7</f>
        <v>170.52756015959162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105.28940072800248</v>
      </c>
      <c r="C5" s="59">
        <f>'SER_se-appl'!C15</f>
        <v>111.14345093000561</v>
      </c>
      <c r="D5" s="59">
        <f>'SER_se-appl'!D15</f>
        <v>115.19794343389677</v>
      </c>
      <c r="E5" s="59">
        <f>'SER_se-appl'!E15</f>
        <v>123.87534840304862</v>
      </c>
      <c r="F5" s="59">
        <f>'SER_se-appl'!F15</f>
        <v>132.09719168614873</v>
      </c>
      <c r="G5" s="59">
        <f>'SER_se-appl'!G15</f>
        <v>143.8586213183938</v>
      </c>
      <c r="H5" s="59">
        <f>'SER_se-appl'!H15</f>
        <v>153.77910717843176</v>
      </c>
      <c r="I5" s="59">
        <f>'SER_se-appl'!I15</f>
        <v>165.98441276658482</v>
      </c>
      <c r="J5" s="59">
        <f>'SER_se-appl'!J15</f>
        <v>176.7899854252608</v>
      </c>
      <c r="K5" s="59">
        <f>'SER_se-appl'!K15</f>
        <v>182.32288669711818</v>
      </c>
      <c r="L5" s="59">
        <f>'SER_se-appl'!L15</f>
        <v>186.21361431142336</v>
      </c>
      <c r="M5" s="59">
        <f>'SER_se-appl'!M15</f>
        <v>186.47146879166417</v>
      </c>
      <c r="N5" s="59">
        <f>'SER_se-appl'!N15</f>
        <v>187.02239028972767</v>
      </c>
      <c r="O5" s="59">
        <f>'SER_se-appl'!O15</f>
        <v>188.42517722333247</v>
      </c>
      <c r="P5" s="59">
        <f>'SER_se-appl'!P15</f>
        <v>190.33204603677063</v>
      </c>
      <c r="Q5" s="59">
        <f>'SER_se-appl'!Q15</f>
        <v>193.59924794151837</v>
      </c>
      <c r="R5" s="59">
        <f>'SER_se-appl'!R15</f>
        <v>200.13744028402431</v>
      </c>
      <c r="S5" s="59">
        <f>'SER_se-appl'!S15</f>
        <v>202.1881033327775</v>
      </c>
      <c r="T5" s="59">
        <f>'SER_se-appl'!T15</f>
        <v>204.41373898427645</v>
      </c>
      <c r="U5" s="59">
        <f>'SER_se-appl'!U15</f>
        <v>210.05502831044515</v>
      </c>
      <c r="V5" s="59">
        <f>'SER_se-appl'!V15</f>
        <v>220.91143658940766</v>
      </c>
      <c r="W5" s="59">
        <f>'SER_se-appl'!W15</f>
        <v>226.39674938996006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6.0291347091832696E-3</v>
      </c>
      <c r="C6" s="202">
        <f>'SER_se-appl'!C71</f>
        <v>6.4676971035945996E-3</v>
      </c>
      <c r="D6" s="202">
        <f>'SER_se-appl'!D71</f>
        <v>7.0000203172099476E-3</v>
      </c>
      <c r="E6" s="202">
        <f>'SER_se-appl'!E71</f>
        <v>7.7700418806485689E-3</v>
      </c>
      <c r="F6" s="202">
        <f>'SER_se-appl'!F71</f>
        <v>8.5185392251231409E-3</v>
      </c>
      <c r="G6" s="202">
        <f>'SER_se-appl'!G71</f>
        <v>9.5734684041266851E-3</v>
      </c>
      <c r="H6" s="202">
        <f>'SER_se-appl'!H71</f>
        <v>1.0529292586627754E-2</v>
      </c>
      <c r="I6" s="202">
        <f>'SER_se-appl'!I71</f>
        <v>1.1706839282767161E-2</v>
      </c>
      <c r="J6" s="202">
        <f>'SER_se-appl'!J71</f>
        <v>1.3058024199021436E-2</v>
      </c>
      <c r="K6" s="202">
        <f>'SER_se-appl'!K71</f>
        <v>1.3875267170534545E-2</v>
      </c>
      <c r="L6" s="202">
        <f>'SER_se-appl'!L71</f>
        <v>1.4562616557827207E-2</v>
      </c>
      <c r="M6" s="202">
        <f>'SER_se-appl'!M71</f>
        <v>1.4938717471140651E-2</v>
      </c>
      <c r="N6" s="202">
        <f>'SER_se-appl'!N71</f>
        <v>1.5308200887074056E-2</v>
      </c>
      <c r="O6" s="202">
        <f>'SER_se-appl'!O71</f>
        <v>1.5844863726927852E-2</v>
      </c>
      <c r="P6" s="202">
        <f>'SER_se-appl'!P71</f>
        <v>1.6461521066011377E-2</v>
      </c>
      <c r="Q6" s="202">
        <f>'SER_se-appl'!Q71</f>
        <v>1.7327521812282629E-2</v>
      </c>
      <c r="R6" s="202">
        <f>'SER_se-appl'!R71</f>
        <v>1.8536479193905473E-2</v>
      </c>
      <c r="S6" s="202">
        <f>'SER_se-appl'!S71</f>
        <v>1.9366605020340179E-2</v>
      </c>
      <c r="T6" s="202">
        <f>'SER_se-appl'!T71</f>
        <v>2.0199059267755812E-2</v>
      </c>
      <c r="U6" s="202">
        <f>'SER_se-appl'!U71</f>
        <v>2.1310017467234849E-2</v>
      </c>
      <c r="V6" s="202">
        <f>'SER_se-appl'!V71</f>
        <v>2.2965229934914819E-2</v>
      </c>
      <c r="W6" s="202">
        <f>'SER_se-appl'!W71</f>
        <v>2.4089621500021946E-2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135.38714402504428</v>
      </c>
      <c r="C8" s="34">
        <f>'SER_se-appl'!C23</f>
        <v>145.07340177120321</v>
      </c>
      <c r="D8" s="34">
        <f>'SER_se-appl'!D23</f>
        <v>152.834824595458</v>
      </c>
      <c r="E8" s="34">
        <f>'SER_se-appl'!E23</f>
        <v>168.04665070410385</v>
      </c>
      <c r="F8" s="34">
        <f>'SER_se-appl'!F23</f>
        <v>183.32869229644507</v>
      </c>
      <c r="G8" s="34">
        <f>'SER_se-appl'!G23</f>
        <v>204.70329042485184</v>
      </c>
      <c r="H8" s="34">
        <f>'SER_se-appl'!H23</f>
        <v>223.82134098262756</v>
      </c>
      <c r="I8" s="34">
        <f>'SER_se-appl'!I23</f>
        <v>247.37140258502933</v>
      </c>
      <c r="J8" s="34">
        <f>'SER_se-appl'!J23</f>
        <v>269.45833603793886</v>
      </c>
      <c r="K8" s="34">
        <f>'SER_se-appl'!K23</f>
        <v>283.61448479320558</v>
      </c>
      <c r="L8" s="34">
        <f>'SER_se-appl'!L23</f>
        <v>295.54368669165433</v>
      </c>
      <c r="M8" s="34">
        <f>'SER_se-appl'!M23</f>
        <v>301.74803558390079</v>
      </c>
      <c r="N8" s="34">
        <f>'SER_se-appl'!N23</f>
        <v>307.63354379383668</v>
      </c>
      <c r="O8" s="34">
        <f>'SER_se-appl'!O23</f>
        <v>317.21534433301139</v>
      </c>
      <c r="P8" s="34">
        <f>'SER_se-appl'!P23</f>
        <v>328.36308023678043</v>
      </c>
      <c r="Q8" s="34">
        <f>'SER_se-appl'!Q23</f>
        <v>344.3090693166684</v>
      </c>
      <c r="R8" s="34">
        <f>'SER_se-appl'!R23</f>
        <v>366.29167271190056</v>
      </c>
      <c r="S8" s="34">
        <f>'SER_se-appl'!S23</f>
        <v>380.43660132270645</v>
      </c>
      <c r="T8" s="34">
        <f>'SER_se-appl'!T23</f>
        <v>394.55794042458211</v>
      </c>
      <c r="U8" s="34">
        <f>'SER_se-appl'!U23</f>
        <v>413.72243909689729</v>
      </c>
      <c r="V8" s="34">
        <f>'SER_se-appl'!V23</f>
        <v>443.89120904471906</v>
      </c>
      <c r="W8" s="34">
        <f>'SER_se-appl'!W23</f>
        <v>462.56076975135443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21.990661417624054</v>
      </c>
      <c r="D9" s="36">
        <f>'SER_se-appl'!D31</f>
        <v>20.325008733354309</v>
      </c>
      <c r="E9" s="36">
        <f>'SER_se-appl'!E31</f>
        <v>28.040053718032198</v>
      </c>
      <c r="F9" s="36">
        <f>'SER_se-appl'!F31</f>
        <v>28.380485363799238</v>
      </c>
      <c r="G9" s="36">
        <f>'SER_se-appl'!G31</f>
        <v>34.74894994521668</v>
      </c>
      <c r="H9" s="36">
        <f>'SER_se-appl'!H31</f>
        <v>32.774122198101253</v>
      </c>
      <c r="I9" s="36">
        <f>'SER_se-appl'!I31</f>
        <v>37.493787264778234</v>
      </c>
      <c r="J9" s="36">
        <f>'SER_se-appl'!J31</f>
        <v>36.324372334929109</v>
      </c>
      <c r="K9" s="36">
        <f>'SER_se-appl'!K31</f>
        <v>28.693487686581818</v>
      </c>
      <c r="L9" s="36">
        <f>'SER_se-appl'!L31</f>
        <v>26.772758029237366</v>
      </c>
      <c r="M9" s="36">
        <f>'SER_se-appl'!M31</f>
        <v>28.195010309870497</v>
      </c>
      <c r="N9" s="36">
        <f>'SER_se-appl'!N31</f>
        <v>26.210516943290202</v>
      </c>
      <c r="O9" s="36">
        <f>'SER_se-appl'!O31</f>
        <v>37.621854257206905</v>
      </c>
      <c r="P9" s="36">
        <f>'SER_se-appl'!P31</f>
        <v>39.528221267568256</v>
      </c>
      <c r="Q9" s="36">
        <f>'SER_se-appl'!Q31</f>
        <v>50.694939025104645</v>
      </c>
      <c r="R9" s="36">
        <f>'SER_se-appl'!R31</f>
        <v>54.756725593333385</v>
      </c>
      <c r="S9" s="36">
        <f>'SER_se-appl'!S31</f>
        <v>51.638715875584126</v>
      </c>
      <c r="T9" s="36">
        <f>'SER_se-appl'!T31</f>
        <v>50.445711436804743</v>
      </c>
      <c r="U9" s="36">
        <f>'SER_se-appl'!U31</f>
        <v>47.857986358896994</v>
      </c>
      <c r="V9" s="36">
        <f>'SER_se-appl'!V31</f>
        <v>56.941527977059138</v>
      </c>
      <c r="W9" s="36">
        <f>'SER_se-appl'!W31</f>
        <v>46.864571016505863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12.30440367146511</v>
      </c>
      <c r="D10" s="38">
        <f>'SER_se-appl'!D39</f>
        <v>12.563585909099515</v>
      </c>
      <c r="E10" s="38">
        <f>'SER_se-appl'!E39</f>
        <v>12.828227609386346</v>
      </c>
      <c r="F10" s="38">
        <f>'SER_se-appl'!F39</f>
        <v>13.098443771458022</v>
      </c>
      <c r="G10" s="38">
        <f>'SER_se-appl'!G39</f>
        <v>13.374351816809906</v>
      </c>
      <c r="H10" s="38">
        <f>'SER_se-appl'!H39</f>
        <v>13.656071640325536</v>
      </c>
      <c r="I10" s="38">
        <f>'SER_se-appl'!I39</f>
        <v>13.943725662376494</v>
      </c>
      <c r="J10" s="38">
        <f>'SER_se-appl'!J39</f>
        <v>14.237438882019603</v>
      </c>
      <c r="K10" s="38">
        <f>'SER_se-appl'!K39</f>
        <v>14.537338931315105</v>
      </c>
      <c r="L10" s="38">
        <f>'SER_se-appl'!L39</f>
        <v>14.843556130788613</v>
      </c>
      <c r="M10" s="38">
        <f>'SER_se-appl'!M39</f>
        <v>21.99066141762404</v>
      </c>
      <c r="N10" s="38">
        <f>'SER_se-appl'!N39</f>
        <v>20.325008733354309</v>
      </c>
      <c r="O10" s="38">
        <f>'SER_se-appl'!O39</f>
        <v>28.040053718032198</v>
      </c>
      <c r="P10" s="38">
        <f>'SER_se-appl'!P39</f>
        <v>28.38048536379921</v>
      </c>
      <c r="Q10" s="38">
        <f>'SER_se-appl'!Q39</f>
        <v>34.74894994521668</v>
      </c>
      <c r="R10" s="38">
        <f>'SER_se-appl'!R39</f>
        <v>32.774122198101225</v>
      </c>
      <c r="S10" s="38">
        <f>'SER_se-appl'!S39</f>
        <v>37.493787264778234</v>
      </c>
      <c r="T10" s="38">
        <f>'SER_se-appl'!T39</f>
        <v>36.32437233492908</v>
      </c>
      <c r="U10" s="38">
        <f>'SER_se-appl'!U39</f>
        <v>28.693487686581818</v>
      </c>
      <c r="V10" s="38">
        <f>'SER_se-appl'!V39</f>
        <v>26.772758029237366</v>
      </c>
      <c r="W10" s="38">
        <f>'SER_se-appl'!W39</f>
        <v>28.195010309870497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8760.0000000000036</v>
      </c>
      <c r="C12" s="205">
        <f>'SER_se-appl'!C47</f>
        <v>8759.9999999999982</v>
      </c>
      <c r="D12" s="205">
        <f>'SER_se-appl'!D47</f>
        <v>8759.9999999999982</v>
      </c>
      <c r="E12" s="205">
        <f>'SER_se-appl'!E47</f>
        <v>8759.9999999999982</v>
      </c>
      <c r="F12" s="205">
        <f>'SER_se-appl'!F47</f>
        <v>8760</v>
      </c>
      <c r="G12" s="205">
        <f>'SER_se-appl'!G47</f>
        <v>8759.9999999999982</v>
      </c>
      <c r="H12" s="205">
        <f>'SER_se-appl'!H47</f>
        <v>8759.9999999999964</v>
      </c>
      <c r="I12" s="205">
        <f>'SER_se-appl'!I47</f>
        <v>8759.9999999999945</v>
      </c>
      <c r="J12" s="205">
        <f>'SER_se-appl'!J47</f>
        <v>8759.9999999999982</v>
      </c>
      <c r="K12" s="205">
        <f>'SER_se-appl'!K47</f>
        <v>8759.9999999999964</v>
      </c>
      <c r="L12" s="205">
        <f>'SER_se-appl'!L47</f>
        <v>8759.9999999999964</v>
      </c>
      <c r="M12" s="205">
        <f>'SER_se-appl'!M47</f>
        <v>8759.9999999999982</v>
      </c>
      <c r="N12" s="205">
        <f>'SER_se-appl'!N47</f>
        <v>8759.9999999999964</v>
      </c>
      <c r="O12" s="205">
        <f>'SER_se-appl'!O47</f>
        <v>8760.0000000000018</v>
      </c>
      <c r="P12" s="205">
        <f>'SER_se-appl'!P47</f>
        <v>8760.0000000000018</v>
      </c>
      <c r="Q12" s="205">
        <f>'SER_se-appl'!Q47</f>
        <v>8760.0000000000018</v>
      </c>
      <c r="R12" s="205">
        <f>'SER_se-appl'!R47</f>
        <v>8760.0000000000036</v>
      </c>
      <c r="S12" s="205">
        <f>'SER_se-appl'!S47</f>
        <v>8760.0000000000036</v>
      </c>
      <c r="T12" s="205">
        <f>'SER_se-appl'!T47</f>
        <v>8760.0000000000018</v>
      </c>
      <c r="U12" s="205">
        <f>'SER_se-appl'!U47</f>
        <v>8760</v>
      </c>
      <c r="V12" s="205">
        <f>'SER_se-appl'!V47</f>
        <v>8760.0000000000018</v>
      </c>
      <c r="W12" s="205">
        <f>'SER_se-appl'!W47</f>
        <v>8760.0000000000018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777.69127553592364</v>
      </c>
      <c r="C14" s="59">
        <f>'SER_se-appl'!C55</f>
        <v>766.11873419285439</v>
      </c>
      <c r="D14" s="59">
        <f>'SER_se-appl'!D55</f>
        <v>753.74145741205803</v>
      </c>
      <c r="E14" s="59">
        <f>'SER_se-appl'!E55</f>
        <v>737.14857085231665</v>
      </c>
      <c r="F14" s="59">
        <f>'SER_se-appl'!F55</f>
        <v>720.54837696952382</v>
      </c>
      <c r="G14" s="59">
        <f>'SER_se-appl'!G55</f>
        <v>702.76653110862139</v>
      </c>
      <c r="H14" s="59">
        <f>'SER_se-appl'!H55</f>
        <v>687.06186149768314</v>
      </c>
      <c r="I14" s="59">
        <f>'SER_se-appl'!I55</f>
        <v>670.99273008944829</v>
      </c>
      <c r="J14" s="59">
        <f>'SER_se-appl'!J55</f>
        <v>656.09395509801311</v>
      </c>
      <c r="K14" s="59">
        <f>'SER_se-appl'!K55</f>
        <v>642.85463709675093</v>
      </c>
      <c r="L14" s="59">
        <f>'SER_se-appl'!L55</f>
        <v>630.07136574601623</v>
      </c>
      <c r="M14" s="59">
        <f>'SER_se-appl'!M55</f>
        <v>617.97077959705871</v>
      </c>
      <c r="N14" s="59">
        <f>'SER_se-appl'!N55</f>
        <v>607.93887423103104</v>
      </c>
      <c r="O14" s="59">
        <f>'SER_se-appl'!O55</f>
        <v>593.99767567840115</v>
      </c>
      <c r="P14" s="59">
        <f>'SER_se-appl'!P55</f>
        <v>579.63899564933865</v>
      </c>
      <c r="Q14" s="59">
        <f>'SER_se-appl'!Q55</f>
        <v>562.28332389194497</v>
      </c>
      <c r="R14" s="59">
        <f>'SER_se-appl'!R55</f>
        <v>546.38817967734269</v>
      </c>
      <c r="S14" s="59">
        <f>'SER_se-appl'!S55</f>
        <v>531.46333089352481</v>
      </c>
      <c r="T14" s="59">
        <f>'SER_se-appl'!T55</f>
        <v>518.08294306359085</v>
      </c>
      <c r="U14" s="59">
        <f>'SER_se-appl'!U55</f>
        <v>507.71968948304612</v>
      </c>
      <c r="V14" s="59">
        <f>'SER_se-appl'!V55</f>
        <v>497.67022209072923</v>
      </c>
      <c r="W14" s="59">
        <f>'SER_se-appl'!W55</f>
        <v>489.44217537440039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701.34668962767807</v>
      </c>
      <c r="D15" s="63">
        <f>'SER_se-appl'!D63</f>
        <v>680.20062555526988</v>
      </c>
      <c r="E15" s="63">
        <f>'SER_se-appl'!E63</f>
        <v>665.25570347123312</v>
      </c>
      <c r="F15" s="63">
        <f>'SER_se-appl'!F63</f>
        <v>648.6283969879438</v>
      </c>
      <c r="G15" s="63">
        <f>'SER_se-appl'!G63</f>
        <v>637.79039053169697</v>
      </c>
      <c r="H15" s="63">
        <f>'SER_se-appl'!H63</f>
        <v>626.73512683743832</v>
      </c>
      <c r="I15" s="63">
        <f>'SER_se-appl'!I63</f>
        <v>614.74769730456444</v>
      </c>
      <c r="J15" s="63">
        <f>'SER_se-appl'!J63</f>
        <v>602.29271029030235</v>
      </c>
      <c r="K15" s="63">
        <f>'SER_se-appl'!K63</f>
        <v>586.83918498078322</v>
      </c>
      <c r="L15" s="63">
        <f>'SER_se-appl'!L63</f>
        <v>576.49763607813748</v>
      </c>
      <c r="M15" s="63">
        <f>'SER_se-appl'!M63</f>
        <v>556.15982742609526</v>
      </c>
      <c r="N15" s="63">
        <f>'SER_se-appl'!N63</f>
        <v>548.48232043693463</v>
      </c>
      <c r="O15" s="63">
        <f>'SER_se-appl'!O63</f>
        <v>533.11015608230912</v>
      </c>
      <c r="P15" s="63">
        <f>'SER_se-appl'!P63</f>
        <v>513.94312441190357</v>
      </c>
      <c r="Q15" s="63">
        <f>'SER_se-appl'!Q63</f>
        <v>501.62301700926872</v>
      </c>
      <c r="R15" s="63">
        <f>'SER_se-appl'!R63</f>
        <v>494.53077556952059</v>
      </c>
      <c r="S15" s="63">
        <f>'SER_se-appl'!S63</f>
        <v>486.06713020279852</v>
      </c>
      <c r="T15" s="63">
        <f>'SER_se-appl'!T63</f>
        <v>477.81148542017945</v>
      </c>
      <c r="U15" s="63">
        <f>'SER_se-appl'!U63</f>
        <v>469.71788753998567</v>
      </c>
      <c r="V15" s="63">
        <f>'SER_se-appl'!V63</f>
        <v>461.71644717194795</v>
      </c>
      <c r="W15" s="63">
        <f>'SER_se-appl'!W63</f>
        <v>451.64704188398849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6.6917028131736602</v>
      </c>
      <c r="C3" s="199">
        <f>'SER_se-appl'!C8</f>
        <v>7.586816934017822</v>
      </c>
      <c r="D3" s="199">
        <f>'SER_se-appl'!D8</f>
        <v>8.3293091301790732</v>
      </c>
      <c r="E3" s="199">
        <f>'SER_se-appl'!E8</f>
        <v>9.5653599601461519</v>
      </c>
      <c r="F3" s="199">
        <f>'SER_se-appl'!F8</f>
        <v>11.012269569873103</v>
      </c>
      <c r="G3" s="199">
        <f>'SER_se-appl'!G8</f>
        <v>12.783501038283266</v>
      </c>
      <c r="H3" s="199">
        <f>'SER_se-appl'!H8</f>
        <v>14.815437623167588</v>
      </c>
      <c r="I3" s="199">
        <f>'SER_se-appl'!I8</f>
        <v>16.436797451795925</v>
      </c>
      <c r="J3" s="199">
        <f>'SER_se-appl'!J8</f>
        <v>18.109711904743111</v>
      </c>
      <c r="K3" s="199">
        <f>'SER_se-appl'!K8</f>
        <v>19.348276363774811</v>
      </c>
      <c r="L3" s="199">
        <f>'SER_se-appl'!L8</f>
        <v>20.950884109754821</v>
      </c>
      <c r="M3" s="199">
        <f>'SER_se-appl'!M8</f>
        <v>22.44321988917098</v>
      </c>
      <c r="N3" s="199">
        <f>'SER_se-appl'!N8</f>
        <v>23.841056656989362</v>
      </c>
      <c r="O3" s="199">
        <f>'SER_se-appl'!O8</f>
        <v>25.394739866020483</v>
      </c>
      <c r="P3" s="199">
        <f>'SER_se-appl'!P8</f>
        <v>27.042629318324462</v>
      </c>
      <c r="Q3" s="199">
        <f>'SER_se-appl'!Q8</f>
        <v>28.715679763799486</v>
      </c>
      <c r="R3" s="199">
        <f>'SER_se-appl'!R8</f>
        <v>30.657047190483596</v>
      </c>
      <c r="S3" s="199">
        <f>'SER_se-appl'!S8</f>
        <v>33.145250128604594</v>
      </c>
      <c r="T3" s="199">
        <f>'SER_se-appl'!T8</f>
        <v>35.127436068372802</v>
      </c>
      <c r="U3" s="199">
        <f>'SER_se-appl'!U8</f>
        <v>36.509305416886669</v>
      </c>
      <c r="V3" s="199">
        <f>'SER_se-appl'!V8</f>
        <v>36.757996735949199</v>
      </c>
      <c r="W3" s="199">
        <f>'SER_se-appl'!W8</f>
        <v>39.367122247731047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87.527037096402282</v>
      </c>
      <c r="C5" s="59">
        <f>'SER_se-appl'!C16</f>
        <v>98.76329092047213</v>
      </c>
      <c r="D5" s="59">
        <f>'SER_se-appl'!D16</f>
        <v>107.95816656848665</v>
      </c>
      <c r="E5" s="59">
        <f>'SER_se-appl'!E16</f>
        <v>123.48372798307032</v>
      </c>
      <c r="F5" s="59">
        <f>'SER_se-appl'!F16</f>
        <v>141.63677003649335</v>
      </c>
      <c r="G5" s="59">
        <f>'SER_se-appl'!G16</f>
        <v>163.85165418751856</v>
      </c>
      <c r="H5" s="59">
        <f>'SER_se-appl'!H16</f>
        <v>189.28407074554616</v>
      </c>
      <c r="I5" s="59">
        <f>'SER_se-appl'!I16</f>
        <v>209.36319607782741</v>
      </c>
      <c r="J5" s="59">
        <f>'SER_se-appl'!J16</f>
        <v>230.01359102713809</v>
      </c>
      <c r="K5" s="59">
        <f>'SER_se-appl'!K16</f>
        <v>245.08130497768906</v>
      </c>
      <c r="L5" s="59">
        <f>'SER_se-appl'!L16</f>
        <v>264.70152105306772</v>
      </c>
      <c r="M5" s="59">
        <f>'SER_se-appl'!M16</f>
        <v>283.09548101940715</v>
      </c>
      <c r="N5" s="59">
        <f>'SER_se-appl'!N16</f>
        <v>300.261621775187</v>
      </c>
      <c r="O5" s="59">
        <f>'SER_se-appl'!O16</f>
        <v>319.35563925759459</v>
      </c>
      <c r="P5" s="59">
        <f>'SER_se-appl'!P16</f>
        <v>339.59682611715726</v>
      </c>
      <c r="Q5" s="59">
        <f>'SER_se-appl'!Q16</f>
        <v>360.11635860020169</v>
      </c>
      <c r="R5" s="59">
        <f>'SER_se-appl'!R16</f>
        <v>386.37394238709101</v>
      </c>
      <c r="S5" s="59">
        <f>'SER_se-appl'!S16</f>
        <v>415.78502725199286</v>
      </c>
      <c r="T5" s="59">
        <f>'SER_se-appl'!T16</f>
        <v>439.42802666807682</v>
      </c>
      <c r="U5" s="59">
        <f>'SER_se-appl'!U16</f>
        <v>460.83057635717438</v>
      </c>
      <c r="V5" s="59">
        <f>'SER_se-appl'!V16</f>
        <v>479.66071340808196</v>
      </c>
      <c r="W5" s="59">
        <f>'SER_se-appl'!W16</f>
        <v>496.44958241230125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48.806849295599633</v>
      </c>
      <c r="C6" s="202">
        <f>'SER_se-appl'!C72</f>
        <v>51.092378215101576</v>
      </c>
      <c r="D6" s="202">
        <f>'SER_se-appl'!D72</f>
        <v>54.098625344599036</v>
      </c>
      <c r="E6" s="202">
        <f>'SER_se-appl'!E72</f>
        <v>58.305600565281082</v>
      </c>
      <c r="F6" s="202">
        <f>'SER_se-appl'!F72</f>
        <v>63.329583108623098</v>
      </c>
      <c r="G6" s="202">
        <f>'SER_se-appl'!G72</f>
        <v>68.816304316303984</v>
      </c>
      <c r="H6" s="202">
        <f>'SER_se-appl'!H72</f>
        <v>76.053449465361368</v>
      </c>
      <c r="I6" s="202">
        <f>'SER_se-appl'!I72</f>
        <v>82.850056410726438</v>
      </c>
      <c r="J6" s="202">
        <f>'SER_se-appl'!J72</f>
        <v>89.417479538072996</v>
      </c>
      <c r="K6" s="202">
        <f>'SER_se-appl'!K72</f>
        <v>94.276883709616556</v>
      </c>
      <c r="L6" s="202">
        <f>'SER_se-appl'!L72</f>
        <v>99.268739335236077</v>
      </c>
      <c r="M6" s="202">
        <f>'SER_se-appl'!M72</f>
        <v>103.67931151428444</v>
      </c>
      <c r="N6" s="202">
        <f>'SER_se-appl'!N72</f>
        <v>108.97746272550378</v>
      </c>
      <c r="O6" s="202">
        <f>'SER_se-appl'!O72</f>
        <v>112.82203059593876</v>
      </c>
      <c r="P6" s="202">
        <f>'SER_se-appl'!P72</f>
        <v>117.61835402511016</v>
      </c>
      <c r="Q6" s="202">
        <f>'SER_se-appl'!Q72</f>
        <v>121.4266848302136</v>
      </c>
      <c r="R6" s="202">
        <f>'SER_se-appl'!R72</f>
        <v>128.51331446886627</v>
      </c>
      <c r="S6" s="202">
        <f>'SER_se-appl'!S72</f>
        <v>135.61637144622847</v>
      </c>
      <c r="T6" s="202">
        <f>'SER_se-appl'!T72</f>
        <v>142.64897606170518</v>
      </c>
      <c r="U6" s="202">
        <f>'SER_se-appl'!U72</f>
        <v>149.55843457437052</v>
      </c>
      <c r="V6" s="202">
        <f>'SER_se-appl'!V72</f>
        <v>156.24666504955459</v>
      </c>
      <c r="W6" s="202">
        <f>'SER_se-appl'!W72</f>
        <v>162.63261317420168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1.6027404037139894</v>
      </c>
      <c r="C8" s="34">
        <f>'SER_se-appl'!C24</f>
        <v>1.8250165468949331</v>
      </c>
      <c r="D8" s="34">
        <f>'SER_se-appl'!D24</f>
        <v>2.0101454531834992</v>
      </c>
      <c r="E8" s="34">
        <f>'SER_se-appl'!E24</f>
        <v>2.3239117828822038</v>
      </c>
      <c r="F8" s="34">
        <f>'SER_se-appl'!F24</f>
        <v>2.6957278291485842</v>
      </c>
      <c r="G8" s="34">
        <f>'SER_se-appl'!G24</f>
        <v>3.1594364358778031</v>
      </c>
      <c r="H8" s="34">
        <f>'SER_se-appl'!H24</f>
        <v>3.7008730683337423</v>
      </c>
      <c r="I8" s="34">
        <f>'SER_se-appl'!I24</f>
        <v>4.1427479600430415</v>
      </c>
      <c r="J8" s="34">
        <f>'SER_se-appl'!J24</f>
        <v>4.6078714781667314</v>
      </c>
      <c r="K8" s="34">
        <f>'SER_se-appl'!K24</f>
        <v>4.9651413281956689</v>
      </c>
      <c r="L8" s="34">
        <f>'SER_se-appl'!L24</f>
        <v>5.4390381208458241</v>
      </c>
      <c r="M8" s="34">
        <f>'SER_se-appl'!M24</f>
        <v>5.905675375283999</v>
      </c>
      <c r="N8" s="34">
        <f>'SER_se-appl'!N24</f>
        <v>6.366519042795681</v>
      </c>
      <c r="O8" s="34">
        <f>'SER_se-appl'!O24</f>
        <v>6.9014074047667409</v>
      </c>
      <c r="P8" s="34">
        <f>'SER_se-appl'!P24</f>
        <v>7.4953305341572127</v>
      </c>
      <c r="Q8" s="34">
        <f>'SER_se-appl'!Q24</f>
        <v>8.1350230528703715</v>
      </c>
      <c r="R8" s="34">
        <f>'SER_se-appl'!R24</f>
        <v>8.9464390029182628</v>
      </c>
      <c r="S8" s="34">
        <f>'SER_se-appl'!S24</f>
        <v>9.844316775656802</v>
      </c>
      <c r="T8" s="34">
        <f>'SER_se-appl'!T24</f>
        <v>10.648894206773116</v>
      </c>
      <c r="U8" s="34">
        <f>'SER_se-appl'!U24</f>
        <v>11.427058340497339</v>
      </c>
      <c r="V8" s="34">
        <f>'SER_se-appl'!V24</f>
        <v>12.177787818666786</v>
      </c>
      <c r="W8" s="34">
        <f>'SER_se-appl'!W24</f>
        <v>12.898243205899075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0.26792612387717574</v>
      </c>
      <c r="D9" s="36">
        <f>'SER_se-appl'!D32</f>
        <v>0.23591594669632121</v>
      </c>
      <c r="E9" s="36">
        <f>'SER_se-appl'!E32</f>
        <v>0.37026851073011624</v>
      </c>
      <c r="F9" s="36">
        <f>'SER_se-appl'!F32</f>
        <v>0.43467650113192757</v>
      </c>
      <c r="G9" s="36">
        <f>'SER_se-appl'!G32</f>
        <v>0.53364284136888296</v>
      </c>
      <c r="H9" s="36">
        <f>'SER_se-appl'!H32</f>
        <v>0.61924066974928271</v>
      </c>
      <c r="I9" s="36">
        <f>'SER_se-appl'!I32</f>
        <v>0.52843433216552871</v>
      </c>
      <c r="J9" s="36">
        <f>'SER_se-appl'!J32</f>
        <v>0.56142362018454506</v>
      </c>
      <c r="K9" s="36">
        <f>'SER_se-appl'!K32</f>
        <v>0.46440674472294319</v>
      </c>
      <c r="L9" s="36">
        <f>'SER_se-appl'!L32</f>
        <v>0.59308996024847094</v>
      </c>
      <c r="M9" s="36">
        <f>'SER_se-appl'!M32</f>
        <v>0.59924340512694485</v>
      </c>
      <c r="N9" s="36">
        <f>'SER_se-appl'!N32</f>
        <v>0.6083721840769325</v>
      </c>
      <c r="O9" s="36">
        <f>'SER_se-appl'!O32</f>
        <v>0.69901848027172253</v>
      </c>
      <c r="P9" s="36">
        <f>'SER_se-appl'!P32</f>
        <v>0.77652305217539919</v>
      </c>
      <c r="Q9" s="36">
        <f>'SER_se-appl'!Q32</f>
        <v>0.84284068034417903</v>
      </c>
      <c r="R9" s="36">
        <f>'SER_se-appl'!R32</f>
        <v>1.0793420739250674</v>
      </c>
      <c r="S9" s="36">
        <f>'SER_se-appl'!S32</f>
        <v>1.1337937194348608</v>
      </c>
      <c r="T9" s="36">
        <f>'SER_se-appl'!T32</f>
        <v>1.1748459418464297</v>
      </c>
      <c r="U9" s="36">
        <f>'SER_se-appl'!U32</f>
        <v>1.2128406348561498</v>
      </c>
      <c r="V9" s="36">
        <f>'SER_se-appl'!V32</f>
        <v>1.2843723195383294</v>
      </c>
      <c r="W9" s="36">
        <f>'SER_se-appl'!W32</f>
        <v>1.3396960569815715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4.5649980696232051E-2</v>
      </c>
      <c r="D10" s="38">
        <f>'SER_se-appl'!D40</f>
        <v>5.0787040407755057E-2</v>
      </c>
      <c r="E10" s="38">
        <f>'SER_se-appl'!E40</f>
        <v>5.6502181031411691E-2</v>
      </c>
      <c r="F10" s="38">
        <f>'SER_se-appl'!F40</f>
        <v>6.2860454865547144E-2</v>
      </c>
      <c r="G10" s="38">
        <f>'SER_se-appl'!G40</f>
        <v>6.9934234639664083E-2</v>
      </c>
      <c r="H10" s="38">
        <f>'SER_se-appl'!H40</f>
        <v>7.7804037293343509E-2</v>
      </c>
      <c r="I10" s="38">
        <f>'SER_se-appl'!I40</f>
        <v>8.6559440456229986E-2</v>
      </c>
      <c r="J10" s="38">
        <f>'SER_se-appl'!J40</f>
        <v>9.6300102060855153E-2</v>
      </c>
      <c r="K10" s="38">
        <f>'SER_se-appl'!K40</f>
        <v>0.10713689469400567</v>
      </c>
      <c r="L10" s="38">
        <f>'SER_se-appl'!L40</f>
        <v>0.11919316759831577</v>
      </c>
      <c r="M10" s="38">
        <f>'SER_se-appl'!M40</f>
        <v>0.13260615068876991</v>
      </c>
      <c r="N10" s="38">
        <f>'SER_se-appl'!N40</f>
        <v>0.14752851656525046</v>
      </c>
      <c r="O10" s="38">
        <f>'SER_se-appl'!O40</f>
        <v>0.16413011830066271</v>
      </c>
      <c r="P10" s="38">
        <f>'SER_se-appl'!P40</f>
        <v>0.18259992278492732</v>
      </c>
      <c r="Q10" s="38">
        <f>'SER_se-appl'!Q40</f>
        <v>0.20314816163102023</v>
      </c>
      <c r="R10" s="38">
        <f>'SER_se-appl'!R40</f>
        <v>0.26792612387717618</v>
      </c>
      <c r="S10" s="38">
        <f>'SER_se-appl'!S40</f>
        <v>0.23591594669632165</v>
      </c>
      <c r="T10" s="38">
        <f>'SER_se-appl'!T40</f>
        <v>0.37026851073011535</v>
      </c>
      <c r="U10" s="38">
        <f>'SER_se-appl'!U40</f>
        <v>0.43467650113192668</v>
      </c>
      <c r="V10" s="38">
        <f>'SER_se-appl'!V40</f>
        <v>0.53364284136888251</v>
      </c>
      <c r="W10" s="38">
        <f>'SER_se-appl'!W40</f>
        <v>0.61924066974928316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889.14815694599315</v>
      </c>
      <c r="C12" s="205">
        <f>'SER_se-appl'!C48</f>
        <v>893.39551284978052</v>
      </c>
      <c r="D12" s="205">
        <f>'SER_se-appl'!D48</f>
        <v>897.29075866187657</v>
      </c>
      <c r="E12" s="205">
        <f>'SER_se-appl'!E48</f>
        <v>900.88903334495615</v>
      </c>
      <c r="F12" s="205">
        <f>'SER_se-appl'!F48</f>
        <v>904.23337855435204</v>
      </c>
      <c r="G12" s="205">
        <f>'SER_se-appl'!G48</f>
        <v>907.35804781737454</v>
      </c>
      <c r="H12" s="205">
        <f>'SER_se-appl'!H48</f>
        <v>910.29075441359259</v>
      </c>
      <c r="I12" s="205">
        <f>'SER_se-appl'!I48</f>
        <v>913.05424231929464</v>
      </c>
      <c r="J12" s="205">
        <f>'SER_se-appl'!J48</f>
        <v>915.66741126750594</v>
      </c>
      <c r="K12" s="205">
        <f>'SER_se-appl'!K48</f>
        <v>918.14613983382276</v>
      </c>
      <c r="L12" s="205">
        <f>'SER_se-appl'!L48</f>
        <v>920.50389898439425</v>
      </c>
      <c r="M12" s="205">
        <f>'SER_se-appl'!M48</f>
        <v>922.0021682125157</v>
      </c>
      <c r="N12" s="205">
        <f>'SER_se-appl'!N48</f>
        <v>923.43299580385951</v>
      </c>
      <c r="O12" s="205">
        <f>'SER_se-appl'!O48</f>
        <v>924.80228415066188</v>
      </c>
      <c r="P12" s="205">
        <f>'SER_se-appl'!P48</f>
        <v>926.11518949712558</v>
      </c>
      <c r="Q12" s="205">
        <f>'SER_se-appl'!Q48</f>
        <v>927.3762429208374</v>
      </c>
      <c r="R12" s="205">
        <f>'SER_se-appl'!R48</f>
        <v>922.78857270380058</v>
      </c>
      <c r="S12" s="205">
        <f>'SER_se-appl'!S48</f>
        <v>927.11192979550424</v>
      </c>
      <c r="T12" s="205">
        <f>'SER_se-appl'!T48</f>
        <v>929.69054471293782</v>
      </c>
      <c r="U12" s="205">
        <f>'SER_se-appl'!U48</f>
        <v>921.38682583704303</v>
      </c>
      <c r="V12" s="205">
        <f>'SER_se-appl'!V48</f>
        <v>891.24560358852636</v>
      </c>
      <c r="W12" s="205">
        <f>'SER_se-appl'!W48</f>
        <v>922.22785144952809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54.610863302365196</v>
      </c>
      <c r="C14" s="59">
        <f>'SER_se-appl'!C56</f>
        <v>54.116381075287848</v>
      </c>
      <c r="D14" s="59">
        <f>'SER_se-appl'!D56</f>
        <v>53.706644162247855</v>
      </c>
      <c r="E14" s="59">
        <f>'SER_se-appl'!E56</f>
        <v>53.136151248358104</v>
      </c>
      <c r="F14" s="59">
        <f>'SER_se-appl'!F56</f>
        <v>52.541198152495888</v>
      </c>
      <c r="G14" s="59">
        <f>'SER_se-appl'!G56</f>
        <v>51.861038356986214</v>
      </c>
      <c r="H14" s="59">
        <f>'SER_se-appl'!H56</f>
        <v>51.145788372247047</v>
      </c>
      <c r="I14" s="59">
        <f>'SER_se-appl'!I56</f>
        <v>50.537275764092634</v>
      </c>
      <c r="J14" s="59">
        <f>'SER_se-appl'!J56</f>
        <v>49.917536137238436</v>
      </c>
      <c r="K14" s="59">
        <f>'SER_se-appl'!K56</f>
        <v>49.360388512193978</v>
      </c>
      <c r="L14" s="59">
        <f>'SER_se-appl'!L56</f>
        <v>48.666972941146447</v>
      </c>
      <c r="M14" s="59">
        <f>'SER_se-appl'!M56</f>
        <v>47.93617377009879</v>
      </c>
      <c r="N14" s="59">
        <f>'SER_se-appl'!N56</f>
        <v>47.162604832692907</v>
      </c>
      <c r="O14" s="59">
        <f>'SER_se-appl'!O56</f>
        <v>46.273987395240354</v>
      </c>
      <c r="P14" s="59">
        <f>'SER_se-appl'!P56</f>
        <v>45.307785236364111</v>
      </c>
      <c r="Q14" s="59">
        <f>'SER_se-appl'!Q56</f>
        <v>44.267404807554641</v>
      </c>
      <c r="R14" s="59">
        <f>'SER_se-appl'!R56</f>
        <v>43.187456177933889</v>
      </c>
      <c r="S14" s="59">
        <f>'SER_se-appl'!S56</f>
        <v>42.236047125195455</v>
      </c>
      <c r="T14" s="59">
        <f>'SER_se-appl'!T56</f>
        <v>41.265132147578598</v>
      </c>
      <c r="U14" s="59">
        <f>'SER_se-appl'!U56</f>
        <v>40.328014667081646</v>
      </c>
      <c r="V14" s="59">
        <f>'SER_se-appl'!V56</f>
        <v>39.388164792363312</v>
      </c>
      <c r="W14" s="59">
        <f>'SER_se-appl'!W56</f>
        <v>38.489705496113423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51.242627933964386</v>
      </c>
      <c r="D15" s="63">
        <f>'SER_se-appl'!D64</f>
        <v>50.73162682241329</v>
      </c>
      <c r="E15" s="63">
        <f>'SER_se-appl'!E64</f>
        <v>50.264048278037428</v>
      </c>
      <c r="F15" s="63">
        <f>'SER_se-appl'!F64</f>
        <v>49.659702571909861</v>
      </c>
      <c r="G15" s="63">
        <f>'SER_se-appl'!G64</f>
        <v>48.785537930773572</v>
      </c>
      <c r="H15" s="63">
        <f>'SER_se-appl'!H64</f>
        <v>47.931868258982178</v>
      </c>
      <c r="I15" s="63">
        <f>'SER_se-appl'!I64</f>
        <v>46.942845293396282</v>
      </c>
      <c r="J15" s="63">
        <f>'SER_se-appl'!J64</f>
        <v>46.149513001329048</v>
      </c>
      <c r="K15" s="63">
        <f>'SER_se-appl'!K64</f>
        <v>45.043601323673279</v>
      </c>
      <c r="L15" s="63">
        <f>'SER_se-appl'!L64</f>
        <v>44.056483179582834</v>
      </c>
      <c r="M15" s="63">
        <f>'SER_se-appl'!M64</f>
        <v>42.78010590575618</v>
      </c>
      <c r="N15" s="63">
        <f>'SER_se-appl'!N64</f>
        <v>41.459489876900562</v>
      </c>
      <c r="O15" s="63">
        <f>'SER_se-appl'!O64</f>
        <v>40.138144739491921</v>
      </c>
      <c r="P15" s="63">
        <f>'SER_se-appl'!P64</f>
        <v>38.908215534814985</v>
      </c>
      <c r="Q15" s="63">
        <f>'SER_se-appl'!Q64</f>
        <v>37.50842799269401</v>
      </c>
      <c r="R15" s="63">
        <f>'SER_se-appl'!R64</f>
        <v>37.047404555539131</v>
      </c>
      <c r="S15" s="63">
        <f>'SER_se-appl'!S64</f>
        <v>36.496484258866396</v>
      </c>
      <c r="T15" s="63">
        <f>'SER_se-appl'!T64</f>
        <v>35.965731514424171</v>
      </c>
      <c r="U15" s="63">
        <f>'SER_se-appl'!U64</f>
        <v>35.444438630147111</v>
      </c>
      <c r="V15" s="63">
        <f>'SER_se-appl'!V64</f>
        <v>34.930829205445377</v>
      </c>
      <c r="W15" s="63">
        <f>'SER_se-appl'!W64</f>
        <v>34.687144867729437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14.03118008653083</v>
      </c>
      <c r="C3" s="199">
        <f>'SER_se-appl'!C9</f>
        <v>17.88823880782455</v>
      </c>
      <c r="D3" s="199">
        <f>'SER_se-appl'!D9</f>
        <v>15.336869775821146</v>
      </c>
      <c r="E3" s="199">
        <f>'SER_se-appl'!E9</f>
        <v>21.331787584965408</v>
      </c>
      <c r="F3" s="199">
        <f>'SER_se-appl'!F9</f>
        <v>23.5135247493604</v>
      </c>
      <c r="G3" s="199">
        <f>'SER_se-appl'!G9</f>
        <v>28.048667024423658</v>
      </c>
      <c r="H3" s="199">
        <f>'SER_se-appl'!H9</f>
        <v>33.086099988678065</v>
      </c>
      <c r="I3" s="199">
        <f>'SER_se-appl'!I9</f>
        <v>39.526461325299742</v>
      </c>
      <c r="J3" s="199">
        <f>'SER_se-appl'!J9</f>
        <v>42.759854618072701</v>
      </c>
      <c r="K3" s="199">
        <f>'SER_se-appl'!K9</f>
        <v>48.232534493524525</v>
      </c>
      <c r="L3" s="199">
        <f>'SER_se-appl'!L9</f>
        <v>52.898501455143112</v>
      </c>
      <c r="M3" s="199">
        <f>'SER_se-appl'!M9</f>
        <v>57.34640814852002</v>
      </c>
      <c r="N3" s="199">
        <f>'SER_se-appl'!N9</f>
        <v>61.573598483175452</v>
      </c>
      <c r="O3" s="199">
        <f>'SER_se-appl'!O9</f>
        <v>66.243867178668268</v>
      </c>
      <c r="P3" s="199">
        <f>'SER_se-appl'!P9</f>
        <v>75.290457109112083</v>
      </c>
      <c r="Q3" s="199">
        <f>'SER_se-appl'!Q9</f>
        <v>87.289440782935429</v>
      </c>
      <c r="R3" s="199">
        <f>'SER_se-appl'!R9</f>
        <v>92.669062592201044</v>
      </c>
      <c r="S3" s="199">
        <f>'SER_se-appl'!S9</f>
        <v>99.781533549767474</v>
      </c>
      <c r="T3" s="199">
        <f>'SER_se-appl'!T9</f>
        <v>105.45101817463535</v>
      </c>
      <c r="U3" s="199">
        <f>'SER_se-appl'!U9</f>
        <v>109.74328516208263</v>
      </c>
      <c r="V3" s="199">
        <f>'SER_se-appl'!V9</f>
        <v>110.27959678486994</v>
      </c>
      <c r="W3" s="199">
        <f>'SER_se-appl'!W9</f>
        <v>115.62371916441168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102.93848287084759</v>
      </c>
      <c r="C5" s="59">
        <f>'SER_se-appl'!C17</f>
        <v>129.89734997530093</v>
      </c>
      <c r="D5" s="59">
        <f>'SER_se-appl'!D17</f>
        <v>109.31044105119142</v>
      </c>
      <c r="E5" s="59">
        <f>'SER_se-appl'!E17</f>
        <v>149.47239144311243</v>
      </c>
      <c r="F5" s="59">
        <f>'SER_se-appl'!F17</f>
        <v>161.97206105154822</v>
      </c>
      <c r="G5" s="59">
        <f>'SER_se-appl'!G17</f>
        <v>190.15531456061083</v>
      </c>
      <c r="H5" s="59">
        <f>'SER_se-appl'!H17</f>
        <v>221.41039060651426</v>
      </c>
      <c r="I5" s="59">
        <f>'SER_se-appl'!I17</f>
        <v>260.65483898973031</v>
      </c>
      <c r="J5" s="59">
        <f>'SER_se-appl'!J17</f>
        <v>278.7610654483089</v>
      </c>
      <c r="K5" s="59">
        <f>'SER_se-appl'!K17</f>
        <v>311.97250373066123</v>
      </c>
      <c r="L5" s="59">
        <f>'SER_se-appl'!L17</f>
        <v>337.84767504635965</v>
      </c>
      <c r="M5" s="59">
        <f>'SER_se-appl'!M17</f>
        <v>361.85868523164379</v>
      </c>
      <c r="N5" s="59">
        <f>'SER_se-appl'!N17</f>
        <v>385.08234008612521</v>
      </c>
      <c r="O5" s="59">
        <f>'SER_se-appl'!O17</f>
        <v>410.84365807957369</v>
      </c>
      <c r="P5" s="59">
        <f>'SER_se-appl'!P17</f>
        <v>462.42336797368222</v>
      </c>
      <c r="Q5" s="59">
        <f>'SER_se-appl'!Q17</f>
        <v>530.51438408689035</v>
      </c>
      <c r="R5" s="59">
        <f>'SER_se-appl'!R17</f>
        <v>560.59528344724879</v>
      </c>
      <c r="S5" s="59">
        <f>'SER_se-appl'!S17</f>
        <v>596.26666677247329</v>
      </c>
      <c r="T5" s="59">
        <f>'SER_se-appl'!T17</f>
        <v>624.16086472738471</v>
      </c>
      <c r="U5" s="59">
        <f>'SER_se-appl'!U17</f>
        <v>649.85443378212062</v>
      </c>
      <c r="V5" s="59">
        <f>'SER_se-appl'!V17</f>
        <v>666.10436759586094</v>
      </c>
      <c r="W5" s="59">
        <f>'SER_se-appl'!W17</f>
        <v>683.92680499660969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1.1214367650316462E-2</v>
      </c>
      <c r="C6" s="202">
        <f>'SER_se-appl'!C73</f>
        <v>1.4575773665521452E-2</v>
      </c>
      <c r="D6" s="202">
        <f>'SER_se-appl'!D73</f>
        <v>1.2667634998378819E-2</v>
      </c>
      <c r="E6" s="202">
        <f>'SER_se-appl'!E73</f>
        <v>1.8383266679684332E-2</v>
      </c>
      <c r="F6" s="202">
        <f>'SER_se-appl'!F73</f>
        <v>2.0655087904431574E-2</v>
      </c>
      <c r="G6" s="202">
        <f>'SER_se-appl'!G73</f>
        <v>2.5494262988332333E-2</v>
      </c>
      <c r="H6" s="202">
        <f>'SER_se-appl'!H73</f>
        <v>3.1946420893332148E-2</v>
      </c>
      <c r="I6" s="202">
        <f>'SER_se-appl'!I73</f>
        <v>3.857396809739512E-2</v>
      </c>
      <c r="J6" s="202">
        <f>'SER_se-appl'!J73</f>
        <v>4.5519414462050198E-2</v>
      </c>
      <c r="K6" s="202">
        <f>'SER_se-appl'!K73</f>
        <v>5.4168666960386518E-2</v>
      </c>
      <c r="L6" s="202">
        <f>'SER_se-appl'!L73</f>
        <v>6.3011790718073599E-2</v>
      </c>
      <c r="M6" s="202">
        <f>'SER_se-appl'!M73</f>
        <v>7.3533950341259924E-2</v>
      </c>
      <c r="N6" s="202">
        <f>'SER_se-appl'!N73</f>
        <v>8.1655677822647862E-2</v>
      </c>
      <c r="O6" s="202">
        <f>'SER_se-appl'!O73</f>
        <v>9.1660386027367952E-2</v>
      </c>
      <c r="P6" s="202">
        <f>'SER_se-appl'!P73</f>
        <v>0.10653546679947627</v>
      </c>
      <c r="Q6" s="202">
        <f>'SER_se-appl'!Q73</f>
        <v>0.12463976336916099</v>
      </c>
      <c r="R6" s="202">
        <f>'SER_se-appl'!R73</f>
        <v>0.13421507010219105</v>
      </c>
      <c r="S6" s="202">
        <f>'SER_se-appl'!S73</f>
        <v>0.14490069520514801</v>
      </c>
      <c r="T6" s="202">
        <f>'SER_se-appl'!T73</f>
        <v>0.1551070184125464</v>
      </c>
      <c r="U6" s="202">
        <f>'SER_se-appl'!U73</f>
        <v>0.16599922339794307</v>
      </c>
      <c r="V6" s="202">
        <f>'SER_se-appl'!V73</f>
        <v>0.17586124460142802</v>
      </c>
      <c r="W6" s="202">
        <f>'SER_se-appl'!W73</f>
        <v>0.18637988624805032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251.82406455616652</v>
      </c>
      <c r="C8" s="34">
        <f>'SER_se-appl'!C25</f>
        <v>326.94126444621133</v>
      </c>
      <c r="D8" s="34">
        <f>'SER_se-appl'!D25</f>
        <v>276.57859338730901</v>
      </c>
      <c r="E8" s="34">
        <f>'SER_se-appl'!E25</f>
        <v>397.58426556427298</v>
      </c>
      <c r="F8" s="34">
        <f>'SER_se-appl'!F25</f>
        <v>444.52107981375434</v>
      </c>
      <c r="G8" s="34">
        <f>'SER_se-appl'!G25</f>
        <v>545.12735618561987</v>
      </c>
      <c r="H8" s="34">
        <f>'SER_se-appl'!H25</f>
        <v>679.08558007229578</v>
      </c>
      <c r="I8" s="34">
        <f>'SER_se-appl'!I25</f>
        <v>815.08734860391189</v>
      </c>
      <c r="J8" s="34">
        <f>'SER_se-appl'!J25</f>
        <v>939.31405635505837</v>
      </c>
      <c r="K8" s="34">
        <f>'SER_se-appl'!K25</f>
        <v>1107.223261583719</v>
      </c>
      <c r="L8" s="34">
        <f>'SER_se-appl'!L25</f>
        <v>1278.804317885646</v>
      </c>
      <c r="M8" s="34">
        <f>'SER_se-appl'!M25</f>
        <v>1485.3166014461794</v>
      </c>
      <c r="N8" s="34">
        <f>'SER_se-appl'!N25</f>
        <v>1640.9521749012204</v>
      </c>
      <c r="O8" s="34">
        <f>'SER_se-appl'!O25</f>
        <v>1835.0477111364723</v>
      </c>
      <c r="P8" s="34">
        <f>'SER_se-appl'!P25</f>
        <v>2125.0960887793281</v>
      </c>
      <c r="Q8" s="34">
        <f>'SER_se-appl'!Q25</f>
        <v>2476.6727400721288</v>
      </c>
      <c r="R8" s="34">
        <f>'SER_se-appl'!R25</f>
        <v>2652.1683010353049</v>
      </c>
      <c r="S8" s="34">
        <f>'SER_se-appl'!S25</f>
        <v>2846.4218666744723</v>
      </c>
      <c r="T8" s="34">
        <f>'SER_se-appl'!T25</f>
        <v>3029.7799971281252</v>
      </c>
      <c r="U8" s="34">
        <f>'SER_se-appl'!U25</f>
        <v>3222.7849506919829</v>
      </c>
      <c r="V8" s="34">
        <f>'SER_se-appl'!V25</f>
        <v>3399.193507379377</v>
      </c>
      <c r="W8" s="34">
        <f>'SER_se-appl'!W25</f>
        <v>3578.8035793335102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125.48201280127813</v>
      </c>
      <c r="D9" s="36">
        <f>'SER_se-appl'!D33</f>
        <v>2.1418523309648663E-3</v>
      </c>
      <c r="E9" s="36">
        <f>'SER_se-appl'!E33</f>
        <v>171.37048508819728</v>
      </c>
      <c r="F9" s="36">
        <f>'SER_se-appl'!F33</f>
        <v>97.301627160714645</v>
      </c>
      <c r="G9" s="36">
        <f>'SER_se-appl'!G33</f>
        <v>150.97108928309882</v>
      </c>
      <c r="H9" s="36">
        <f>'SER_se-appl'!H33</f>
        <v>259.44023668795404</v>
      </c>
      <c r="I9" s="36">
        <f>'SER_se-appl'!I33</f>
        <v>136.00391038394707</v>
      </c>
      <c r="J9" s="36">
        <f>'SER_se-appl'!J33</f>
        <v>295.59719283934373</v>
      </c>
      <c r="K9" s="36">
        <f>'SER_se-appl'!K33</f>
        <v>265.21083238937535</v>
      </c>
      <c r="L9" s="36">
        <f>'SER_se-appl'!L33</f>
        <v>322.55214558502576</v>
      </c>
      <c r="M9" s="36">
        <f>'SER_se-appl'!M33</f>
        <v>465.95252024848742</v>
      </c>
      <c r="N9" s="36">
        <f>'SER_se-appl'!N33</f>
        <v>291.6394838389881</v>
      </c>
      <c r="O9" s="36">
        <f>'SER_se-appl'!O33</f>
        <v>489.69272907459572</v>
      </c>
      <c r="P9" s="36">
        <f>'SER_se-appl'!P33</f>
        <v>555.25921003223107</v>
      </c>
      <c r="Q9" s="36">
        <f>'SER_se-appl'!Q33</f>
        <v>674.12879687782652</v>
      </c>
      <c r="R9" s="36">
        <f>'SER_se-appl'!R33</f>
        <v>641.44808121166352</v>
      </c>
      <c r="S9" s="36">
        <f>'SER_se-appl'!S33</f>
        <v>485.89304947815572</v>
      </c>
      <c r="T9" s="36">
        <f>'SER_se-appl'!T33</f>
        <v>673.05085952824857</v>
      </c>
      <c r="U9" s="36">
        <f>'SER_se-appl'!U33</f>
        <v>748.26416359608902</v>
      </c>
      <c r="V9" s="36">
        <f>'SER_se-appl'!V33</f>
        <v>850.53735356522066</v>
      </c>
      <c r="W9" s="36">
        <f>'SER_se-appl'!W33</f>
        <v>821.05815316579674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50.364812911233344</v>
      </c>
      <c r="D10" s="38">
        <f>'SER_se-appl'!D41</f>
        <v>50.364812911233287</v>
      </c>
      <c r="E10" s="38">
        <f>'SER_se-appl'!E41</f>
        <v>50.364812911233344</v>
      </c>
      <c r="F10" s="38">
        <f>'SER_se-appl'!F41</f>
        <v>50.364812911233287</v>
      </c>
      <c r="G10" s="38">
        <f>'SER_se-appl'!G41</f>
        <v>50.36481291123323</v>
      </c>
      <c r="H10" s="38">
        <f>'SER_se-appl'!H41</f>
        <v>125.48201280127807</v>
      </c>
      <c r="I10" s="38">
        <f>'SER_se-appl'!I41</f>
        <v>2.1418523309648663E-3</v>
      </c>
      <c r="J10" s="38">
        <f>'SER_se-appl'!J41</f>
        <v>171.37048508819714</v>
      </c>
      <c r="K10" s="38">
        <f>'SER_se-appl'!K41</f>
        <v>97.301627160714588</v>
      </c>
      <c r="L10" s="38">
        <f>'SER_se-appl'!L41</f>
        <v>150.97108928309876</v>
      </c>
      <c r="M10" s="38">
        <f>'SER_se-appl'!M41</f>
        <v>259.44023668795398</v>
      </c>
      <c r="N10" s="38">
        <f>'SER_se-appl'!N41</f>
        <v>136.00391038394719</v>
      </c>
      <c r="O10" s="38">
        <f>'SER_se-appl'!O41</f>
        <v>295.59719283934396</v>
      </c>
      <c r="P10" s="38">
        <f>'SER_se-appl'!P41</f>
        <v>265.21083238937535</v>
      </c>
      <c r="Q10" s="38">
        <f>'SER_se-appl'!Q41</f>
        <v>322.55214558502576</v>
      </c>
      <c r="R10" s="38">
        <f>'SER_se-appl'!R41</f>
        <v>465.95252024848742</v>
      </c>
      <c r="S10" s="38">
        <f>'SER_se-appl'!S41</f>
        <v>291.63948383898833</v>
      </c>
      <c r="T10" s="38">
        <f>'SER_se-appl'!T41</f>
        <v>489.69272907459572</v>
      </c>
      <c r="U10" s="38">
        <f>'SER_se-appl'!U41</f>
        <v>555.25921003223129</v>
      </c>
      <c r="V10" s="38">
        <f>'SER_se-appl'!V41</f>
        <v>674.12879687782652</v>
      </c>
      <c r="W10" s="38">
        <f>'SER_se-appl'!W41</f>
        <v>641.44808121166352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1585.2441172179663</v>
      </c>
      <c r="C12" s="205">
        <f>'SER_se-appl'!C49</f>
        <v>1601.5739918832596</v>
      </c>
      <c r="D12" s="205">
        <f>'SER_se-appl'!D49</f>
        <v>1631.7544214213544</v>
      </c>
      <c r="E12" s="205">
        <f>'SER_se-appl'!E49</f>
        <v>1659.7626305294484</v>
      </c>
      <c r="F12" s="205">
        <f>'SER_se-appl'!F49</f>
        <v>1688.3300185211019</v>
      </c>
      <c r="G12" s="205">
        <f>'SER_se-appl'!G49</f>
        <v>1715.471367433546</v>
      </c>
      <c r="H12" s="205">
        <f>'SER_se-appl'!H49</f>
        <v>1737.9100493624471</v>
      </c>
      <c r="I12" s="205">
        <f>'SER_se-appl'!I49</f>
        <v>1763.6071787309029</v>
      </c>
      <c r="J12" s="205">
        <f>'SER_se-appl'!J49</f>
        <v>1783.9546868154732</v>
      </c>
      <c r="K12" s="205">
        <f>'SER_se-appl'!K49</f>
        <v>1798.0571026348423</v>
      </c>
      <c r="L12" s="205">
        <f>'SER_se-appl'!L49</f>
        <v>1820.9673097170046</v>
      </c>
      <c r="M12" s="205">
        <f>'SER_se-appl'!M49</f>
        <v>1843.0916653011855</v>
      </c>
      <c r="N12" s="205">
        <f>'SER_se-appl'!N49</f>
        <v>1859.6047541395214</v>
      </c>
      <c r="O12" s="205">
        <f>'SER_se-appl'!O49</f>
        <v>1875.2052274315377</v>
      </c>
      <c r="P12" s="205">
        <f>'SER_se-appl'!P49</f>
        <v>1893.5635108924855</v>
      </c>
      <c r="Q12" s="205">
        <f>'SER_se-appl'!Q49</f>
        <v>1913.5695972746109</v>
      </c>
      <c r="R12" s="205">
        <f>'SER_se-appl'!R49</f>
        <v>1922.4942302760421</v>
      </c>
      <c r="S12" s="205">
        <f>'SER_se-appl'!S49</f>
        <v>1946.2084665326599</v>
      </c>
      <c r="T12" s="205">
        <f>'SER_se-appl'!T49</f>
        <v>1964.8706137746444</v>
      </c>
      <c r="U12" s="205">
        <f>'SER_se-appl'!U49</f>
        <v>1964.0004593135332</v>
      </c>
      <c r="V12" s="205">
        <f>'SER_se-appl'!V49</f>
        <v>1925.4515853680568</v>
      </c>
      <c r="W12" s="205">
        <f>'SER_se-appl'!W49</f>
        <v>1966.1517052088254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408.77142957832103</v>
      </c>
      <c r="C14" s="59">
        <f>'SER_se-appl'!C57</f>
        <v>397.31096714061846</v>
      </c>
      <c r="D14" s="59">
        <f>'SER_se-appl'!D57</f>
        <v>395.22379412103555</v>
      </c>
      <c r="E14" s="59">
        <f>'SER_se-appl'!E57</f>
        <v>375.95147592416208</v>
      </c>
      <c r="F14" s="59">
        <f>'SER_se-appl'!F57</f>
        <v>364.37430845666836</v>
      </c>
      <c r="G14" s="59">
        <f>'SER_se-appl'!G57</f>
        <v>348.82731971327001</v>
      </c>
      <c r="H14" s="59">
        <f>'SER_se-appl'!H57</f>
        <v>326.04195568832841</v>
      </c>
      <c r="I14" s="59">
        <f>'SER_se-appl'!I57</f>
        <v>319.78761470924803</v>
      </c>
      <c r="J14" s="59">
        <f>'SER_se-appl'!J57</f>
        <v>296.77088675753606</v>
      </c>
      <c r="K14" s="59">
        <f>'SER_se-appl'!K57</f>
        <v>281.76115382947313</v>
      </c>
      <c r="L14" s="59">
        <f>'SER_se-appl'!L57</f>
        <v>264.19028331476972</v>
      </c>
      <c r="M14" s="59">
        <f>'SER_se-appl'!M57</f>
        <v>243.6239417773422</v>
      </c>
      <c r="N14" s="59">
        <f>'SER_se-appl'!N57</f>
        <v>234.6700567975455</v>
      </c>
      <c r="O14" s="59">
        <f>'SER_se-appl'!O57</f>
        <v>223.88718047288924</v>
      </c>
      <c r="P14" s="59">
        <f>'SER_se-appl'!P57</f>
        <v>217.60115715017002</v>
      </c>
      <c r="Q14" s="59">
        <f>'SER_se-appl'!Q57</f>
        <v>214.20447502137083</v>
      </c>
      <c r="R14" s="59">
        <f>'SER_se-appl'!R57</f>
        <v>211.37243938418757</v>
      </c>
      <c r="S14" s="59">
        <f>'SER_se-appl'!S57</f>
        <v>209.47937259528669</v>
      </c>
      <c r="T14" s="59">
        <f>'SER_se-appl'!T57</f>
        <v>206.00864264699607</v>
      </c>
      <c r="U14" s="59">
        <f>'SER_se-appl'!U57</f>
        <v>201.64374717046712</v>
      </c>
      <c r="V14" s="59">
        <f>'SER_se-appl'!V57</f>
        <v>195.95953162119241</v>
      </c>
      <c r="W14" s="59">
        <f>'SER_se-appl'!W57</f>
        <v>191.10487341246571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378.91138831125397</v>
      </c>
      <c r="D15" s="63">
        <f>'SER_se-appl'!D65</f>
        <v>367.74246694274444</v>
      </c>
      <c r="E15" s="63">
        <f>'SER_se-appl'!E65</f>
        <v>354.49305599400736</v>
      </c>
      <c r="F15" s="63">
        <f>'SER_se-appl'!F65</f>
        <v>340.04946420838752</v>
      </c>
      <c r="G15" s="63">
        <f>'SER_se-appl'!G65</f>
        <v>323.04827576475623</v>
      </c>
      <c r="H15" s="63">
        <f>'SER_se-appl'!H65</f>
        <v>303.73715631205755</v>
      </c>
      <c r="I15" s="63">
        <f>'SER_se-appl'!I65</f>
        <v>288.55961510580414</v>
      </c>
      <c r="J15" s="63">
        <f>'SER_se-appl'!J65</f>
        <v>266.76800502475339</v>
      </c>
      <c r="K15" s="63">
        <f>'SER_se-appl'!K65</f>
        <v>249.98528102207976</v>
      </c>
      <c r="L15" s="63">
        <f>'SER_se-appl'!L65</f>
        <v>231.42342229205107</v>
      </c>
      <c r="M15" s="63">
        <f>'SER_se-appl'!M65</f>
        <v>220.65048570824672</v>
      </c>
      <c r="N15" s="63">
        <f>'SER_se-appl'!N65</f>
        <v>214.19901744938647</v>
      </c>
      <c r="O15" s="63">
        <f>'SER_se-appl'!O65</f>
        <v>213.63844142799394</v>
      </c>
      <c r="P15" s="63">
        <f>'SER_se-appl'!P65</f>
        <v>212.29456842728251</v>
      </c>
      <c r="Q15" s="63">
        <f>'SER_se-appl'!Q65</f>
        <v>211.73570714263252</v>
      </c>
      <c r="R15" s="63">
        <f>'SER_se-appl'!R65</f>
        <v>207.17740556513843</v>
      </c>
      <c r="S15" s="63">
        <f>'SER_se-appl'!S65</f>
        <v>201.97916870468453</v>
      </c>
      <c r="T15" s="63">
        <f>'SER_se-appl'!T65</f>
        <v>196.88168805832623</v>
      </c>
      <c r="U15" s="63">
        <f>'SER_se-appl'!U65</f>
        <v>191.87352595346536</v>
      </c>
      <c r="V15" s="63">
        <f>'SER_se-appl'!V65</f>
        <v>186.92544267391509</v>
      </c>
      <c r="W15" s="63">
        <f>'SER_se-appl'!W65</f>
        <v>183.56310827655005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9831.9721515597812</v>
      </c>
      <c r="C3" s="220">
        <v>12538.97173756918</v>
      </c>
      <c r="D3" s="220">
        <v>11412.955883872301</v>
      </c>
      <c r="E3" s="220">
        <v>12413.209662623591</v>
      </c>
      <c r="F3" s="220">
        <v>14563.25787046701</v>
      </c>
      <c r="G3" s="220">
        <v>10234.122876453759</v>
      </c>
      <c r="H3" s="220">
        <v>10190.18643363579</v>
      </c>
      <c r="I3" s="220">
        <v>7664.8582562848633</v>
      </c>
      <c r="J3" s="220">
        <v>9551.9733644908138</v>
      </c>
      <c r="K3" s="220">
        <v>8740.2994613347946</v>
      </c>
      <c r="L3" s="220">
        <v>7130.0381044383612</v>
      </c>
      <c r="M3" s="220">
        <v>8642.7350785779454</v>
      </c>
      <c r="N3" s="220">
        <v>6734.4114296664566</v>
      </c>
      <c r="O3" s="220">
        <v>8229.774071519636</v>
      </c>
      <c r="P3" s="220">
        <v>7673.5345626867211</v>
      </c>
      <c r="Q3" s="220">
        <v>7094.3</v>
      </c>
      <c r="R3" s="220">
        <v>6940.4836607616926</v>
      </c>
      <c r="S3" s="220">
        <v>7700.4690641054294</v>
      </c>
      <c r="T3" s="220">
        <v>8366.6589578923013</v>
      </c>
      <c r="U3" s="220">
        <v>8397.4440461359845</v>
      </c>
      <c r="V3" s="220">
        <v>7649.7986632902976</v>
      </c>
      <c r="W3" s="220">
        <v>9209.9470950288542</v>
      </c>
      <c r="DA3" s="211" t="s">
        <v>972</v>
      </c>
    </row>
    <row r="5" spans="1:105" x14ac:dyDescent="0.25">
      <c r="A5" s="219" t="s">
        <v>120</v>
      </c>
      <c r="B5" s="220">
        <v>3297.1819682877272</v>
      </c>
      <c r="C5" s="220">
        <v>2491.2923951969619</v>
      </c>
      <c r="D5" s="220">
        <v>2226.6603664229301</v>
      </c>
      <c r="E5" s="220">
        <v>1825.7313723889581</v>
      </c>
      <c r="F5" s="220">
        <v>1882.021339548849</v>
      </c>
      <c r="G5" s="220">
        <v>1748.0253226687571</v>
      </c>
      <c r="H5" s="220">
        <v>1881.7130738468591</v>
      </c>
      <c r="I5" s="220">
        <v>1929.221277907543</v>
      </c>
      <c r="J5" s="220">
        <v>2109.5731074355108</v>
      </c>
      <c r="K5" s="220">
        <v>2435.53161605381</v>
      </c>
      <c r="L5" s="220">
        <v>2719.720943953223</v>
      </c>
      <c r="M5" s="220">
        <v>3325.7697905983168</v>
      </c>
      <c r="N5" s="220">
        <v>3691.9862895023311</v>
      </c>
      <c r="O5" s="220">
        <v>3566.6402904403899</v>
      </c>
      <c r="P5" s="220">
        <v>3235.1549209665359</v>
      </c>
      <c r="Q5" s="220">
        <v>3459.357280764465</v>
      </c>
      <c r="R5" s="220">
        <v>3364.3285639973201</v>
      </c>
      <c r="S5" s="220">
        <v>3984.0919882394792</v>
      </c>
      <c r="T5" s="220">
        <v>4006.3837808783301</v>
      </c>
      <c r="U5" s="220">
        <v>3924.7635202341971</v>
      </c>
      <c r="V5" s="220">
        <v>3572.1994588220182</v>
      </c>
      <c r="W5" s="220">
        <v>3977.0625414967499</v>
      </c>
      <c r="DA5" s="211" t="s">
        <v>973</v>
      </c>
    </row>
    <row r="6" spans="1:105" x14ac:dyDescent="0.25">
      <c r="A6" s="221" t="s">
        <v>119</v>
      </c>
      <c r="B6" s="222">
        <v>4121.4774603596579</v>
      </c>
      <c r="C6" s="222">
        <v>3915.4035873416751</v>
      </c>
      <c r="D6" s="222">
        <v>3915.4035873416751</v>
      </c>
      <c r="E6" s="222">
        <v>3709.3297143236919</v>
      </c>
      <c r="F6" s="222">
        <v>3503.25584130571</v>
      </c>
      <c r="G6" s="222">
        <v>3503.25584130571</v>
      </c>
      <c r="H6" s="222">
        <v>3297.1819682877272</v>
      </c>
      <c r="I6" s="222">
        <v>3091.1080952697439</v>
      </c>
      <c r="J6" s="222">
        <v>2885.0342222517611</v>
      </c>
      <c r="K6" s="222">
        <v>2885.0342222517611</v>
      </c>
      <c r="L6" s="222">
        <v>2885.0342222517611</v>
      </c>
      <c r="M6" s="222">
        <v>3503.25584130571</v>
      </c>
      <c r="N6" s="222">
        <v>3915.403587341676</v>
      </c>
      <c r="O6" s="222">
        <v>3915.403587341676</v>
      </c>
      <c r="P6" s="222">
        <v>3915.403587341676</v>
      </c>
      <c r="Q6" s="222">
        <v>3709.3297143236932</v>
      </c>
      <c r="R6" s="222">
        <v>3709.3297143236932</v>
      </c>
      <c r="S6" s="222">
        <v>4327.5513333776416</v>
      </c>
      <c r="T6" s="222">
        <v>4327.5513333776416</v>
      </c>
      <c r="U6" s="222">
        <v>4327.5513333776416</v>
      </c>
      <c r="V6" s="222">
        <v>4121.4774603596588</v>
      </c>
      <c r="W6" s="222">
        <v>4327.5513333776416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206.07387301798289</v>
      </c>
      <c r="M7" s="226">
        <v>824.29549207193168</v>
      </c>
      <c r="N7" s="226">
        <v>412.14774603596607</v>
      </c>
      <c r="O7" s="226">
        <v>206.07387301798289</v>
      </c>
      <c r="P7" s="226">
        <v>0</v>
      </c>
      <c r="Q7" s="226">
        <v>0</v>
      </c>
      <c r="R7" s="226">
        <v>206.07387301798289</v>
      </c>
      <c r="S7" s="226">
        <v>618.22161905394876</v>
      </c>
      <c r="T7" s="226">
        <v>206.07387301798289</v>
      </c>
      <c r="U7" s="226">
        <v>206.07387301798289</v>
      </c>
      <c r="V7" s="226">
        <v>0</v>
      </c>
      <c r="W7" s="226">
        <v>206.07387301798289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206.07387301798281</v>
      </c>
      <c r="D8" s="228">
        <f t="shared" ref="D8" si="1">IF(C6=0,0,C6+D7-D6)</f>
        <v>0</v>
      </c>
      <c r="E8" s="228">
        <f t="shared" ref="E8" si="2">IF(D6=0,0,D6+E7-E6)</f>
        <v>206.07387301798326</v>
      </c>
      <c r="F8" s="228">
        <f t="shared" ref="F8" si="3">IF(E6=0,0,E6+F7-F6)</f>
        <v>206.0738730179819</v>
      </c>
      <c r="G8" s="228">
        <f t="shared" ref="G8" si="4">IF(F6=0,0,F6+G7-G6)</f>
        <v>0</v>
      </c>
      <c r="H8" s="228">
        <f t="shared" ref="H8" si="5">IF(G6=0,0,G6+H7-H6)</f>
        <v>206.07387301798281</v>
      </c>
      <c r="I8" s="228">
        <f t="shared" ref="I8" si="6">IF(H6=0,0,H6+I7-I6)</f>
        <v>206.07387301798326</v>
      </c>
      <c r="J8" s="228">
        <f t="shared" ref="J8" si="7">IF(I6=0,0,I6+J7-J6)</f>
        <v>206.07387301798281</v>
      </c>
      <c r="K8" s="228">
        <f t="shared" ref="K8" si="8">IF(J6=0,0,J6+K7-K6)</f>
        <v>0</v>
      </c>
      <c r="L8" s="228">
        <f t="shared" ref="L8" si="9">IF(K6=0,0,K6+L7-L6)</f>
        <v>206.07387301798281</v>
      </c>
      <c r="M8" s="228">
        <f t="shared" ref="M8" si="10">IF(L6=0,0,L6+M7-M6)</f>
        <v>206.07387301798281</v>
      </c>
      <c r="N8" s="228">
        <f t="shared" ref="N8" si="11">IF(M6=0,0,M6+N7-N6)</f>
        <v>0</v>
      </c>
      <c r="O8" s="228">
        <f t="shared" ref="O8" si="12">IF(N6=0,0,N6+O7-O6)</f>
        <v>206.07387301798281</v>
      </c>
      <c r="P8" s="228">
        <f t="shared" ref="P8" si="13">IF(O6=0,0,O6+P7-P6)</f>
        <v>0</v>
      </c>
      <c r="Q8" s="228">
        <f t="shared" ref="Q8" si="14">IF(P6=0,0,P6+Q7-Q6)</f>
        <v>206.07387301798281</v>
      </c>
      <c r="R8" s="228">
        <f t="shared" ref="R8" si="15">IF(Q6=0,0,Q6+R7-R6)</f>
        <v>206.07387301798281</v>
      </c>
      <c r="S8" s="228">
        <f t="shared" ref="S8" si="16">IF(R6=0,0,R6+S7-S6)</f>
        <v>0</v>
      </c>
      <c r="T8" s="228">
        <f t="shared" ref="T8" si="17">IF(S6=0,0,S6+T7-T6)</f>
        <v>206.07387301798281</v>
      </c>
      <c r="U8" s="228">
        <f t="shared" ref="U8" si="18">IF(T6=0,0,T6+U7-U6)</f>
        <v>206.07387301798281</v>
      </c>
      <c r="V8" s="228">
        <f t="shared" ref="V8" si="19">IF(U6=0,0,U6+V7-V6)</f>
        <v>206.07387301798281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824.29549207193077</v>
      </c>
      <c r="C9" s="224">
        <f t="shared" ref="C9:W9" si="21">C6-C5</f>
        <v>1424.1111921447132</v>
      </c>
      <c r="D9" s="224">
        <f t="shared" si="21"/>
        <v>1688.743220918745</v>
      </c>
      <c r="E9" s="224">
        <f t="shared" si="21"/>
        <v>1883.5983419347338</v>
      </c>
      <c r="F9" s="224">
        <f t="shared" si="21"/>
        <v>1621.2345017568609</v>
      </c>
      <c r="G9" s="224">
        <f t="shared" si="21"/>
        <v>1755.2305186369529</v>
      </c>
      <c r="H9" s="224">
        <f t="shared" si="21"/>
        <v>1415.4688944408681</v>
      </c>
      <c r="I9" s="224">
        <f t="shared" si="21"/>
        <v>1161.8868173622009</v>
      </c>
      <c r="J9" s="224">
        <f t="shared" si="21"/>
        <v>775.4611148162503</v>
      </c>
      <c r="K9" s="224">
        <f t="shared" si="21"/>
        <v>449.50260619795108</v>
      </c>
      <c r="L9" s="224">
        <f t="shared" si="21"/>
        <v>165.31327829853808</v>
      </c>
      <c r="M9" s="224">
        <f t="shared" si="21"/>
        <v>177.48605070739313</v>
      </c>
      <c r="N9" s="224">
        <f t="shared" si="21"/>
        <v>223.41729783934488</v>
      </c>
      <c r="O9" s="224">
        <f t="shared" si="21"/>
        <v>348.76329690128614</v>
      </c>
      <c r="P9" s="224">
        <f t="shared" si="21"/>
        <v>680.24866637514015</v>
      </c>
      <c r="Q9" s="224">
        <f t="shared" si="21"/>
        <v>249.97243355922819</v>
      </c>
      <c r="R9" s="224">
        <f t="shared" si="21"/>
        <v>345.00115032637314</v>
      </c>
      <c r="S9" s="224">
        <f t="shared" si="21"/>
        <v>343.45934513816246</v>
      </c>
      <c r="T9" s="224">
        <f t="shared" si="21"/>
        <v>321.16755249931157</v>
      </c>
      <c r="U9" s="224">
        <f t="shared" si="21"/>
        <v>402.78781314344451</v>
      </c>
      <c r="V9" s="224">
        <f t="shared" si="21"/>
        <v>549.27800153764065</v>
      </c>
      <c r="W9" s="224">
        <f t="shared" si="21"/>
        <v>350.48879188089177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416.95795356835765</v>
      </c>
      <c r="C12" s="230">
        <f t="shared" ref="C12:W12" si="22">SUM(C13,C14,C18,C19,C26,C27)</f>
        <v>304.80472914875315</v>
      </c>
      <c r="D12" s="230">
        <f t="shared" si="22"/>
        <v>284.59071367153905</v>
      </c>
      <c r="E12" s="230">
        <f t="shared" si="22"/>
        <v>247.26405846947549</v>
      </c>
      <c r="F12" s="230">
        <f t="shared" si="22"/>
        <v>253.77858985382628</v>
      </c>
      <c r="G12" s="230">
        <f t="shared" si="22"/>
        <v>269.94153052450554</v>
      </c>
      <c r="H12" s="230">
        <f t="shared" si="22"/>
        <v>276.48048151332762</v>
      </c>
      <c r="I12" s="230">
        <f t="shared" si="22"/>
        <v>264.76345657781599</v>
      </c>
      <c r="J12" s="230">
        <f t="shared" si="22"/>
        <v>293.9209802235597</v>
      </c>
      <c r="K12" s="230">
        <f t="shared" si="22"/>
        <v>380.8202923473774</v>
      </c>
      <c r="L12" s="230">
        <f t="shared" si="22"/>
        <v>393.23319002579535</v>
      </c>
      <c r="M12" s="230">
        <f t="shared" si="22"/>
        <v>441.66311263972472</v>
      </c>
      <c r="N12" s="230">
        <f t="shared" si="22"/>
        <v>498.57695614789321</v>
      </c>
      <c r="O12" s="230">
        <f t="shared" si="22"/>
        <v>474.18555460017194</v>
      </c>
      <c r="P12" s="230">
        <f t="shared" si="22"/>
        <v>421.08581255374025</v>
      </c>
      <c r="Q12" s="230">
        <f t="shared" si="22"/>
        <v>459.81143594153048</v>
      </c>
      <c r="R12" s="230">
        <f t="shared" si="22"/>
        <v>455.48099742046423</v>
      </c>
      <c r="S12" s="230">
        <f t="shared" si="22"/>
        <v>497.62149613069647</v>
      </c>
      <c r="T12" s="230">
        <f t="shared" si="22"/>
        <v>566.02132416165091</v>
      </c>
      <c r="U12" s="230">
        <f t="shared" si="22"/>
        <v>557.3634565778159</v>
      </c>
      <c r="V12" s="230">
        <f t="shared" si="22"/>
        <v>530.92175408426476</v>
      </c>
      <c r="W12" s="230">
        <f t="shared" si="22"/>
        <v>566.89105760963025</v>
      </c>
      <c r="DA12" s="211" t="s">
        <v>978</v>
      </c>
    </row>
    <row r="13" spans="1:105" x14ac:dyDescent="0.25">
      <c r="A13" s="58" t="s">
        <v>29</v>
      </c>
      <c r="B13" s="59">
        <v>0.20997420464316419</v>
      </c>
      <c r="C13" s="59">
        <v>0.17110920034393809</v>
      </c>
      <c r="D13" s="59">
        <v>3.1298366294067064</v>
      </c>
      <c r="E13" s="59">
        <v>4.3602751504729147</v>
      </c>
      <c r="F13" s="59">
        <v>18.916595012897677</v>
      </c>
      <c r="G13" s="59">
        <v>13.302579535683575</v>
      </c>
      <c r="H13" s="59">
        <v>6.2435941530524506</v>
      </c>
      <c r="I13" s="59">
        <v>5.0386930352536554</v>
      </c>
      <c r="J13" s="59">
        <v>8.3978503869303527</v>
      </c>
      <c r="K13" s="59">
        <v>8.8177128116938945</v>
      </c>
      <c r="L13" s="59">
        <v>7.9779019776440236</v>
      </c>
      <c r="M13" s="59">
        <v>7.9779019776440236</v>
      </c>
      <c r="N13" s="59">
        <v>0.41986242476354252</v>
      </c>
      <c r="O13" s="59">
        <v>7.9779019776440236</v>
      </c>
      <c r="P13" s="59">
        <v>6.9282029234737754</v>
      </c>
      <c r="Q13" s="59">
        <v>8.1878761822871873</v>
      </c>
      <c r="R13" s="59">
        <v>9.4475494411006018</v>
      </c>
      <c r="S13" s="59">
        <v>11.835941530524508</v>
      </c>
      <c r="T13" s="59">
        <v>14.926655202063634</v>
      </c>
      <c r="U13" s="59">
        <v>14.678761822871879</v>
      </c>
      <c r="V13" s="59">
        <v>16.340670679277732</v>
      </c>
      <c r="W13" s="59">
        <v>17.648065348237317</v>
      </c>
      <c r="DA13" s="9" t="s">
        <v>979</v>
      </c>
    </row>
    <row r="14" spans="1:105" x14ac:dyDescent="0.25">
      <c r="A14" s="60" t="s">
        <v>28</v>
      </c>
      <c r="B14" s="55">
        <f>SUM(B15:B17)</f>
        <v>262.36990541702488</v>
      </c>
      <c r="C14" s="55">
        <f t="shared" ref="C14:W14" si="23">SUM(C15:C17)</f>
        <v>175.8503009458297</v>
      </c>
      <c r="D14" s="55">
        <f t="shared" si="23"/>
        <v>155.17583834909712</v>
      </c>
      <c r="E14" s="55">
        <f t="shared" si="23"/>
        <v>128.44170249355116</v>
      </c>
      <c r="F14" s="55">
        <f t="shared" si="23"/>
        <v>133.74178847807391</v>
      </c>
      <c r="G14" s="55">
        <f t="shared" si="23"/>
        <v>161.38950988822009</v>
      </c>
      <c r="H14" s="55">
        <f t="shared" si="23"/>
        <v>174.21848667239902</v>
      </c>
      <c r="I14" s="55">
        <f t="shared" si="23"/>
        <v>129.99570077386068</v>
      </c>
      <c r="J14" s="55">
        <f t="shared" si="23"/>
        <v>162.28822012037827</v>
      </c>
      <c r="K14" s="55">
        <f t="shared" si="23"/>
        <v>235.05073086844362</v>
      </c>
      <c r="L14" s="55">
        <f t="shared" si="23"/>
        <v>228.81840068787616</v>
      </c>
      <c r="M14" s="55">
        <f t="shared" si="23"/>
        <v>276.266638005159</v>
      </c>
      <c r="N14" s="55">
        <f t="shared" si="23"/>
        <v>316.14935511607894</v>
      </c>
      <c r="O14" s="55">
        <f t="shared" si="23"/>
        <v>261.69819432502152</v>
      </c>
      <c r="P14" s="55">
        <f t="shared" si="23"/>
        <v>253.13000859845224</v>
      </c>
      <c r="Q14" s="55">
        <f t="shared" si="23"/>
        <v>279.0311263972485</v>
      </c>
      <c r="R14" s="55">
        <f t="shared" si="23"/>
        <v>293.26517626827166</v>
      </c>
      <c r="S14" s="55">
        <f t="shared" si="23"/>
        <v>296.26036113499572</v>
      </c>
      <c r="T14" s="55">
        <f t="shared" si="23"/>
        <v>363.43955288048153</v>
      </c>
      <c r="U14" s="55">
        <f t="shared" si="23"/>
        <v>355.80326741186576</v>
      </c>
      <c r="V14" s="55">
        <f t="shared" si="23"/>
        <v>347.21152192605331</v>
      </c>
      <c r="W14" s="55">
        <f t="shared" si="23"/>
        <v>379.80791057609628</v>
      </c>
      <c r="DA14" s="10"/>
    </row>
    <row r="15" spans="1:105" x14ac:dyDescent="0.25">
      <c r="A15" s="61" t="s">
        <v>52</v>
      </c>
      <c r="B15" s="55">
        <v>1.129750644883921</v>
      </c>
      <c r="C15" s="55">
        <v>1.129750644883921</v>
      </c>
      <c r="D15" s="55">
        <v>0</v>
      </c>
      <c r="E15" s="55">
        <v>0</v>
      </c>
      <c r="F15" s="55">
        <v>1.129750644883921</v>
      </c>
      <c r="G15" s="55">
        <v>1.149699054170249</v>
      </c>
      <c r="H15" s="55">
        <v>4.5992261392949274</v>
      </c>
      <c r="I15" s="55">
        <v>4.5987962166809977</v>
      </c>
      <c r="J15" s="55">
        <v>37.940412725709372</v>
      </c>
      <c r="K15" s="55">
        <v>36.796044711951843</v>
      </c>
      <c r="L15" s="55">
        <v>26.44333619948409</v>
      </c>
      <c r="M15" s="55">
        <v>19.54505588993981</v>
      </c>
      <c r="N15" s="55">
        <v>5.7485812553740319</v>
      </c>
      <c r="O15" s="55">
        <v>9.197678417884779</v>
      </c>
      <c r="P15" s="55">
        <v>5.7485812553740319</v>
      </c>
      <c r="Q15" s="55">
        <v>9.197678417884779</v>
      </c>
      <c r="R15" s="55">
        <v>11.49707652622528</v>
      </c>
      <c r="S15" s="55">
        <v>12.461306964746351</v>
      </c>
      <c r="T15" s="55">
        <v>12.62106620808254</v>
      </c>
      <c r="U15" s="55">
        <v>8.2347377472055019</v>
      </c>
      <c r="V15" s="55">
        <v>8.5830610490111781</v>
      </c>
      <c r="W15" s="55">
        <v>7.4919174548581253</v>
      </c>
      <c r="DA15" s="10" t="s">
        <v>980</v>
      </c>
    </row>
    <row r="16" spans="1:105" x14ac:dyDescent="0.25">
      <c r="A16" s="61" t="s">
        <v>172</v>
      </c>
      <c r="B16" s="55">
        <v>248.54307824591569</v>
      </c>
      <c r="C16" s="55">
        <v>170.48822012037829</v>
      </c>
      <c r="D16" s="55">
        <v>152.00154772141011</v>
      </c>
      <c r="E16" s="55">
        <v>123.24445399828031</v>
      </c>
      <c r="F16" s="55">
        <v>128.3797076526225</v>
      </c>
      <c r="G16" s="55">
        <v>112.9741186586414</v>
      </c>
      <c r="H16" s="55">
        <v>142.75821152192611</v>
      </c>
      <c r="I16" s="55">
        <v>119.13637145313839</v>
      </c>
      <c r="J16" s="55">
        <v>112.9741186586414</v>
      </c>
      <c r="K16" s="55">
        <v>194.11006018916589</v>
      </c>
      <c r="L16" s="55">
        <v>198.2182287188306</v>
      </c>
      <c r="M16" s="55">
        <v>253.67824591573509</v>
      </c>
      <c r="N16" s="55">
        <v>300.00859845227848</v>
      </c>
      <c r="O16" s="55">
        <v>247.3043852106621</v>
      </c>
      <c r="P16" s="55">
        <v>244.26380051590709</v>
      </c>
      <c r="Q16" s="55">
        <v>260.48048151332762</v>
      </c>
      <c r="R16" s="55">
        <v>277.71066208082539</v>
      </c>
      <c r="S16" s="55">
        <v>279.66474634565776</v>
      </c>
      <c r="T16" s="55">
        <v>345.79845227858988</v>
      </c>
      <c r="U16" s="55">
        <v>340.43104041272562</v>
      </c>
      <c r="V16" s="55">
        <v>333.24582975064487</v>
      </c>
      <c r="W16" s="55">
        <v>364.98753224419602</v>
      </c>
      <c r="DA16" s="10" t="s">
        <v>981</v>
      </c>
    </row>
    <row r="17" spans="1:105" x14ac:dyDescent="0.25">
      <c r="A17" s="61" t="s">
        <v>113</v>
      </c>
      <c r="B17" s="55">
        <v>12.697076526225279</v>
      </c>
      <c r="C17" s="55">
        <v>4.232330180567498</v>
      </c>
      <c r="D17" s="55">
        <v>3.1742906276870162</v>
      </c>
      <c r="E17" s="55">
        <v>5.1972484952708511</v>
      </c>
      <c r="F17" s="55">
        <v>4.232330180567498</v>
      </c>
      <c r="G17" s="55">
        <v>47.265692175408425</v>
      </c>
      <c r="H17" s="55">
        <v>26.861049011177979</v>
      </c>
      <c r="I17" s="55">
        <v>6.2605331040412722</v>
      </c>
      <c r="J17" s="55">
        <v>11.373688736027514</v>
      </c>
      <c r="K17" s="55">
        <v>4.1446259673258812</v>
      </c>
      <c r="L17" s="55">
        <v>4.1568357695614786</v>
      </c>
      <c r="M17" s="55">
        <v>3.0433361994840924</v>
      </c>
      <c r="N17" s="55">
        <v>10.39217540842648</v>
      </c>
      <c r="O17" s="55">
        <v>5.1961306964746337</v>
      </c>
      <c r="P17" s="55">
        <v>3.1176268271711089</v>
      </c>
      <c r="Q17" s="55">
        <v>9.3529664660361131</v>
      </c>
      <c r="R17" s="55">
        <v>4.0574376612209804</v>
      </c>
      <c r="S17" s="55">
        <v>4.1343078245915725</v>
      </c>
      <c r="T17" s="55">
        <v>5.0200343938091141</v>
      </c>
      <c r="U17" s="55">
        <v>7.1374892519346513</v>
      </c>
      <c r="V17" s="55">
        <v>5.3826311263972482</v>
      </c>
      <c r="W17" s="55">
        <v>7.3284608770421329</v>
      </c>
      <c r="DA17" s="10" t="s">
        <v>982</v>
      </c>
    </row>
    <row r="18" spans="1:105" x14ac:dyDescent="0.25">
      <c r="A18" s="60" t="s">
        <v>153</v>
      </c>
      <c r="B18" s="55">
        <v>21.302665520206361</v>
      </c>
      <c r="C18" s="55">
        <v>15.15477214101462</v>
      </c>
      <c r="D18" s="55">
        <v>32.738607050730863</v>
      </c>
      <c r="E18" s="55">
        <v>22.678417884780739</v>
      </c>
      <c r="F18" s="55">
        <v>34.41530524505589</v>
      </c>
      <c r="G18" s="55">
        <v>36.263972484952703</v>
      </c>
      <c r="H18" s="55">
        <v>29.686156491831468</v>
      </c>
      <c r="I18" s="55">
        <v>25.12897678417885</v>
      </c>
      <c r="J18" s="55">
        <v>47.592433361994843</v>
      </c>
      <c r="K18" s="55">
        <v>62.446259673258808</v>
      </c>
      <c r="L18" s="55">
        <v>73.495270851246772</v>
      </c>
      <c r="M18" s="55">
        <v>56.276870163370589</v>
      </c>
      <c r="N18" s="55">
        <v>74.871023215821154</v>
      </c>
      <c r="O18" s="55">
        <v>62.725709372312984</v>
      </c>
      <c r="P18" s="55">
        <v>60.210662080825443</v>
      </c>
      <c r="Q18" s="55">
        <v>67.390369733447983</v>
      </c>
      <c r="R18" s="55">
        <v>68.422184006878766</v>
      </c>
      <c r="S18" s="55">
        <v>107.99974204643168</v>
      </c>
      <c r="T18" s="55">
        <v>112.7897678417885</v>
      </c>
      <c r="U18" s="55">
        <v>104.93078245915738</v>
      </c>
      <c r="V18" s="55">
        <v>102.21410146173686</v>
      </c>
      <c r="W18" s="55">
        <v>108.28779019776439</v>
      </c>
      <c r="DA18" s="10" t="s">
        <v>983</v>
      </c>
    </row>
    <row r="19" spans="1:105" x14ac:dyDescent="0.25">
      <c r="A19" s="60" t="s">
        <v>51</v>
      </c>
      <c r="B19" s="55">
        <f>SUM(B20:B25)</f>
        <v>22.164918314703353</v>
      </c>
      <c r="C19" s="55">
        <f t="shared" ref="C19:W19" si="24">SUM(C20:C25)</f>
        <v>20.421324161650901</v>
      </c>
      <c r="D19" s="55">
        <f t="shared" si="24"/>
        <v>9.6971625107480648</v>
      </c>
      <c r="E19" s="55">
        <f t="shared" si="24"/>
        <v>6.8548581255374028</v>
      </c>
      <c r="F19" s="55">
        <f t="shared" si="24"/>
        <v>6.3772141014617372</v>
      </c>
      <c r="G19" s="55">
        <f t="shared" si="24"/>
        <v>3.964918314703354</v>
      </c>
      <c r="H19" s="55">
        <f t="shared" si="24"/>
        <v>7.8341358555460019</v>
      </c>
      <c r="I19" s="55">
        <f t="shared" si="24"/>
        <v>37.737575236457431</v>
      </c>
      <c r="J19" s="55">
        <f t="shared" si="24"/>
        <v>13.757523645743769</v>
      </c>
      <c r="K19" s="55">
        <f t="shared" si="24"/>
        <v>10.342046431642304</v>
      </c>
      <c r="L19" s="55">
        <f t="shared" si="24"/>
        <v>7.2131556319862424</v>
      </c>
      <c r="M19" s="55">
        <f t="shared" si="24"/>
        <v>11.727343078245916</v>
      </c>
      <c r="N19" s="55">
        <f t="shared" si="24"/>
        <v>6.2099742046431636</v>
      </c>
      <c r="O19" s="55">
        <f t="shared" si="24"/>
        <v>44.114875322441961</v>
      </c>
      <c r="P19" s="55">
        <f t="shared" si="24"/>
        <v>6.4250214961306957</v>
      </c>
      <c r="Q19" s="55">
        <f t="shared" si="24"/>
        <v>8.7895098882201204</v>
      </c>
      <c r="R19" s="55">
        <f t="shared" si="24"/>
        <v>7.2131556319862424</v>
      </c>
      <c r="S19" s="55">
        <f t="shared" si="24"/>
        <v>8.1484092863284605</v>
      </c>
      <c r="T19" s="55">
        <f t="shared" si="24"/>
        <v>5.4061049011177982</v>
      </c>
      <c r="U19" s="55">
        <f t="shared" si="24"/>
        <v>9.1291487532244187</v>
      </c>
      <c r="V19" s="55">
        <f t="shared" si="24"/>
        <v>9.9377472055030101</v>
      </c>
      <c r="W19" s="55">
        <f t="shared" si="24"/>
        <v>7.5265692175408425</v>
      </c>
      <c r="DA19" s="10"/>
    </row>
    <row r="20" spans="1:105" x14ac:dyDescent="0.25">
      <c r="A20" s="61" t="s">
        <v>171</v>
      </c>
      <c r="B20" s="55">
        <v>22.164918314703353</v>
      </c>
      <c r="C20" s="55">
        <v>20.421324161650901</v>
      </c>
      <c r="D20" s="55">
        <v>9.6971625107480648</v>
      </c>
      <c r="E20" s="55">
        <v>6.8548581255374028</v>
      </c>
      <c r="F20" s="55">
        <v>6.3772141014617372</v>
      </c>
      <c r="G20" s="55">
        <v>3.964918314703354</v>
      </c>
      <c r="H20" s="55">
        <v>7.8341358555460019</v>
      </c>
      <c r="I20" s="55">
        <v>37.355460017196897</v>
      </c>
      <c r="J20" s="55">
        <v>13.39922613929493</v>
      </c>
      <c r="K20" s="55">
        <v>9.9837489251934652</v>
      </c>
      <c r="L20" s="55">
        <v>6.8071367153912297</v>
      </c>
      <c r="M20" s="55">
        <v>4.7530524505588989</v>
      </c>
      <c r="N20" s="55">
        <v>5.3979363714531381</v>
      </c>
      <c r="O20" s="55">
        <v>38.287016337059327</v>
      </c>
      <c r="P20" s="55">
        <v>6.1622527944969896</v>
      </c>
      <c r="Q20" s="55">
        <v>7.5236457437661217</v>
      </c>
      <c r="R20" s="55">
        <v>5.1112639724849522</v>
      </c>
      <c r="S20" s="55">
        <v>6.0687876182287184</v>
      </c>
      <c r="T20" s="55">
        <v>5.2185726569217534</v>
      </c>
      <c r="U20" s="55">
        <v>8.9541702493551156</v>
      </c>
      <c r="V20" s="55">
        <v>9.9353396388650044</v>
      </c>
      <c r="W20" s="55">
        <v>7.3368873602751501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0.3821152192605331</v>
      </c>
      <c r="J21" s="55">
        <v>0.35829750644883918</v>
      </c>
      <c r="K21" s="55">
        <v>0.35829750644883918</v>
      </c>
      <c r="L21" s="55">
        <v>0.40601891659501288</v>
      </c>
      <c r="M21" s="55">
        <v>6.974290627687016</v>
      </c>
      <c r="N21" s="55">
        <v>0.81203783319002576</v>
      </c>
      <c r="O21" s="55">
        <v>4.6575236457437663</v>
      </c>
      <c r="P21" s="55">
        <v>0</v>
      </c>
      <c r="Q21" s="55">
        <v>1.026999140154772</v>
      </c>
      <c r="R21" s="55">
        <v>1.982459157351677</v>
      </c>
      <c r="S21" s="55">
        <v>1.743680137575236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1.1703353396388649</v>
      </c>
      <c r="P24" s="55">
        <v>0.26276870163370591</v>
      </c>
      <c r="Q24" s="55">
        <v>0.23886500429922611</v>
      </c>
      <c r="R24" s="55">
        <v>0.1194325021496131</v>
      </c>
      <c r="S24" s="55">
        <v>0.33594153052450559</v>
      </c>
      <c r="T24" s="55">
        <v>0.1875322441960447</v>
      </c>
      <c r="U24" s="55">
        <v>0.1749785038693035</v>
      </c>
      <c r="V24" s="55">
        <v>2.407566638005159E-3</v>
      </c>
      <c r="W24" s="55">
        <v>0.1896818572656922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58.373946689595869</v>
      </c>
      <c r="C26" s="55">
        <v>52.020636285468612</v>
      </c>
      <c r="D26" s="55">
        <v>47.649785038693032</v>
      </c>
      <c r="E26" s="55">
        <v>55.43611349957007</v>
      </c>
      <c r="F26" s="55">
        <v>28.255460017196899</v>
      </c>
      <c r="G26" s="55">
        <v>26.559673258813412</v>
      </c>
      <c r="H26" s="55">
        <v>20.49294926913155</v>
      </c>
      <c r="I26" s="55">
        <v>18.367239896818571</v>
      </c>
      <c r="J26" s="55">
        <v>14.16354256233878</v>
      </c>
      <c r="K26" s="55">
        <v>21.6871883061049</v>
      </c>
      <c r="L26" s="55">
        <v>18.032846087704211</v>
      </c>
      <c r="M26" s="55">
        <v>23.980137575236451</v>
      </c>
      <c r="N26" s="55">
        <v>30.333447979363719</v>
      </c>
      <c r="O26" s="55">
        <v>26.98959587274291</v>
      </c>
      <c r="P26" s="55">
        <v>20.875150472914871</v>
      </c>
      <c r="Q26" s="55">
        <v>17.220808254514189</v>
      </c>
      <c r="R26" s="55">
        <v>13.160447119518491</v>
      </c>
      <c r="S26" s="55">
        <v>9.6141014617368867</v>
      </c>
      <c r="T26" s="55">
        <v>4.730094582975064</v>
      </c>
      <c r="U26" s="55">
        <v>8.0549441100601893</v>
      </c>
      <c r="V26" s="55">
        <v>9.0731728288907991</v>
      </c>
      <c r="W26" s="55">
        <v>7.0933791917454849</v>
      </c>
      <c r="DA26" s="10" t="s">
        <v>990</v>
      </c>
    </row>
    <row r="27" spans="1:105" x14ac:dyDescent="0.25">
      <c r="A27" s="62" t="s">
        <v>24</v>
      </c>
      <c r="B27" s="63">
        <v>52.536543422184003</v>
      </c>
      <c r="C27" s="63">
        <v>41.186586414445387</v>
      </c>
      <c r="D27" s="63">
        <v>36.19948409286328</v>
      </c>
      <c r="E27" s="63">
        <v>29.492691315563199</v>
      </c>
      <c r="F27" s="63">
        <v>32.072226999140163</v>
      </c>
      <c r="G27" s="63">
        <v>28.46087704213241</v>
      </c>
      <c r="H27" s="63">
        <v>38.005159071367153</v>
      </c>
      <c r="I27" s="63">
        <v>48.495270851246772</v>
      </c>
      <c r="J27" s="63">
        <v>47.721410146173689</v>
      </c>
      <c r="K27" s="63">
        <v>42.476354256233883</v>
      </c>
      <c r="L27" s="63">
        <v>57.695614789337917</v>
      </c>
      <c r="M27" s="63">
        <v>65.434221840068787</v>
      </c>
      <c r="N27" s="63">
        <v>70.5932932072227</v>
      </c>
      <c r="O27" s="63">
        <v>70.679277730008593</v>
      </c>
      <c r="P27" s="63">
        <v>73.516766981943249</v>
      </c>
      <c r="Q27" s="63">
        <v>79.191745485812547</v>
      </c>
      <c r="R27" s="63">
        <v>63.972484952708513</v>
      </c>
      <c r="S27" s="63">
        <v>63.762940670679264</v>
      </c>
      <c r="T27" s="63">
        <v>64.729148753224422</v>
      </c>
      <c r="U27" s="63">
        <v>64.766552020636269</v>
      </c>
      <c r="V27" s="63">
        <v>46.144539982803089</v>
      </c>
      <c r="W27" s="63">
        <v>46.527343078245906</v>
      </c>
      <c r="DA27" s="11" t="s">
        <v>991</v>
      </c>
    </row>
    <row r="29" spans="1:105" x14ac:dyDescent="0.25">
      <c r="A29" s="219" t="s">
        <v>84</v>
      </c>
      <c r="B29" s="220">
        <v>974.98938671999986</v>
      </c>
      <c r="C29" s="220">
        <v>678.31751855077482</v>
      </c>
      <c r="D29" s="220">
        <v>605.22043544767268</v>
      </c>
      <c r="E29" s="220">
        <v>501.03370034171127</v>
      </c>
      <c r="F29" s="220">
        <v>601.60759658171116</v>
      </c>
      <c r="G29" s="220">
        <v>643.91799580955524</v>
      </c>
      <c r="H29" s="220">
        <v>642.35987825291966</v>
      </c>
      <c r="I29" s="220">
        <v>481.30252079999991</v>
      </c>
      <c r="J29" s="220">
        <v>633.44047259999991</v>
      </c>
      <c r="K29" s="220">
        <v>897.35260703999984</v>
      </c>
      <c r="L29" s="220">
        <v>904.89686700000004</v>
      </c>
      <c r="M29" s="220">
        <v>1015.3866791999998</v>
      </c>
      <c r="N29" s="220">
        <v>1153.8111640799998</v>
      </c>
      <c r="O29" s="220">
        <v>989.34185676000004</v>
      </c>
      <c r="P29" s="220">
        <v>954.20150267999975</v>
      </c>
      <c r="Q29" s="220">
        <v>1054.1683909200001</v>
      </c>
      <c r="R29" s="220">
        <v>1106.6645358000001</v>
      </c>
      <c r="S29" s="220">
        <v>1218.9522215810325</v>
      </c>
      <c r="T29" s="220">
        <v>1452.0725386367417</v>
      </c>
      <c r="U29" s="220">
        <v>1410.6604508595467</v>
      </c>
      <c r="V29" s="220">
        <v>1385.2420185087208</v>
      </c>
      <c r="W29" s="220">
        <v>1506.5709716509887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42.40837414314786</v>
      </c>
      <c r="C31" s="59">
        <f t="shared" si="25"/>
        <v>24.308590491156412</v>
      </c>
      <c r="D31" s="59">
        <f t="shared" si="25"/>
        <v>24.93575867349978</v>
      </c>
      <c r="E31" s="59">
        <f t="shared" si="25"/>
        <v>19.919429800174267</v>
      </c>
      <c r="F31" s="59">
        <f t="shared" si="25"/>
        <v>17.425949063805749</v>
      </c>
      <c r="G31" s="59">
        <f t="shared" si="25"/>
        <v>26.37661612853757</v>
      </c>
      <c r="H31" s="59">
        <f t="shared" si="25"/>
        <v>27.132033679062065</v>
      </c>
      <c r="I31" s="59">
        <f t="shared" si="25"/>
        <v>34.542511775833695</v>
      </c>
      <c r="J31" s="59">
        <f t="shared" si="25"/>
        <v>30.770707686037159</v>
      </c>
      <c r="K31" s="59">
        <f t="shared" si="25"/>
        <v>43.570622955431276</v>
      </c>
      <c r="L31" s="59">
        <f t="shared" si="25"/>
        <v>55.15162531614137</v>
      </c>
      <c r="M31" s="59">
        <f t="shared" si="25"/>
        <v>51.102238888987777</v>
      </c>
      <c r="N31" s="59">
        <f t="shared" si="25"/>
        <v>74.034228730302999</v>
      </c>
      <c r="O31" s="59">
        <f t="shared" si="25"/>
        <v>57.618295530270025</v>
      </c>
      <c r="P31" s="59">
        <f t="shared" si="25"/>
        <v>54.875078637334788</v>
      </c>
      <c r="Q31" s="59">
        <f t="shared" si="25"/>
        <v>64.81420801792008</v>
      </c>
      <c r="R31" s="59">
        <f t="shared" si="25"/>
        <v>65.626694000526882</v>
      </c>
      <c r="S31" s="59">
        <f t="shared" si="25"/>
        <v>64.62223170927129</v>
      </c>
      <c r="T31" s="59">
        <f t="shared" si="25"/>
        <v>67.652013427381405</v>
      </c>
      <c r="U31" s="59">
        <f t="shared" si="25"/>
        <v>66.372988437390333</v>
      </c>
      <c r="V31" s="59">
        <f t="shared" si="25"/>
        <v>69.403363075690038</v>
      </c>
      <c r="W31" s="59">
        <f t="shared" si="25"/>
        <v>61.55204278161537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122.34803499436495</v>
      </c>
      <c r="D32" s="55">
        <f t="shared" si="26"/>
        <v>127.8105623843866</v>
      </c>
      <c r="E32" s="55">
        <f t="shared" si="26"/>
        <v>135.43288032890183</v>
      </c>
      <c r="F32" s="55">
        <f t="shared" si="26"/>
        <v>134.84363036747561</v>
      </c>
      <c r="G32" s="55">
        <f t="shared" si="26"/>
        <v>154.4265560823676</v>
      </c>
      <c r="H32" s="55">
        <f t="shared" si="26"/>
        <v>146.93020171673029</v>
      </c>
      <c r="I32" s="55">
        <f t="shared" si="26"/>
        <v>137.2385115226293</v>
      </c>
      <c r="J32" s="55">
        <f t="shared" si="26"/>
        <v>139.32723127138405</v>
      </c>
      <c r="K32" s="55">
        <f t="shared" si="26"/>
        <v>156.36023356757102</v>
      </c>
      <c r="L32" s="55">
        <f t="shared" si="26"/>
        <v>144.5858594059342</v>
      </c>
      <c r="M32" s="55">
        <f t="shared" si="26"/>
        <v>132.8002659379103</v>
      </c>
      <c r="N32" s="55">
        <f t="shared" si="26"/>
        <v>135.04301399101348</v>
      </c>
      <c r="O32" s="55">
        <f t="shared" si="26"/>
        <v>132.95020410976795</v>
      </c>
      <c r="P32" s="55">
        <f t="shared" si="26"/>
        <v>130.15939664117741</v>
      </c>
      <c r="Q32" s="55">
        <f t="shared" si="26"/>
        <v>132.91816907674803</v>
      </c>
      <c r="R32" s="55">
        <f t="shared" si="26"/>
        <v>135.38540863538174</v>
      </c>
      <c r="S32" s="55">
        <f t="shared" si="26"/>
        <v>124.90211009173743</v>
      </c>
      <c r="T32" s="55">
        <f t="shared" si="26"/>
        <v>141.27985612939969</v>
      </c>
      <c r="U32" s="55">
        <f t="shared" si="26"/>
        <v>142.01198459584057</v>
      </c>
      <c r="V32" s="55">
        <f t="shared" si="26"/>
        <v>148.6260104466125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51.981913968253579</v>
      </c>
      <c r="C33" s="55">
        <f>IF(AGR_ued!C$5=0,"",AGR_ued!C$5/C$5*1000)</f>
        <v>51.404700975261377</v>
      </c>
      <c r="D33" s="55">
        <f>IF(AGR_ued!D$5=0,"",AGR_ued!D$5/D$5*1000)</f>
        <v>53.929390634105708</v>
      </c>
      <c r="E33" s="55">
        <f>IF(AGR_ued!E$5=0,"",AGR_ued!E$5/E$5*1000)</f>
        <v>58.718871445700501</v>
      </c>
      <c r="F33" s="55">
        <f>IF(AGR_ued!F$5=0,"",AGR_ued!F$5/F$5*1000)</f>
        <v>54.83025159105734</v>
      </c>
      <c r="G33" s="55">
        <f>IF(AGR_ued!G$5=0,"",AGR_ued!G$5/G$5*1000)</f>
        <v>60.823153873060157</v>
      </c>
      <c r="H33" s="55">
        <f>IF(AGR_ued!H$5=0,"",AGR_ued!H$5/H$5*1000)</f>
        <v>58.517519797614085</v>
      </c>
      <c r="I33" s="55">
        <f>IF(AGR_ued!I$5=0,"",AGR_ued!I$5/I$5*1000)</f>
        <v>55.365111361772428</v>
      </c>
      <c r="J33" s="55">
        <f>IF(AGR_ued!J$5=0,"",AGR_ued!J$5/J$5*1000)</f>
        <v>55.828061957961772</v>
      </c>
      <c r="K33" s="55">
        <f>IF(AGR_ued!K$5=0,"",AGR_ued!K$5/K$5*1000)</f>
        <v>61.856373549657263</v>
      </c>
      <c r="L33" s="55">
        <f>IF(AGR_ued!L$5=0,"",AGR_ued!L$5/L$5*1000)</f>
        <v>58.204597421927524</v>
      </c>
      <c r="M33" s="55">
        <f>IF(AGR_ued!M$5=0,"",AGR_ued!M$5/M$5*1000)</f>
        <v>53.561831007479576</v>
      </c>
      <c r="N33" s="55">
        <f>IF(AGR_ued!N$5=0,"",AGR_ued!N$5/N$5*1000)</f>
        <v>54.598256598478635</v>
      </c>
      <c r="O33" s="55">
        <f>IF(AGR_ued!O$5=0,"",AGR_ued!O$5/O$5*1000)</f>
        <v>53.174817819379072</v>
      </c>
      <c r="P33" s="55">
        <f>IF(AGR_ued!P$5=0,"",AGR_ued!P$5/P$5*1000)</f>
        <v>53.132842889723754</v>
      </c>
      <c r="Q33" s="55">
        <f>IF(AGR_ued!Q$5=0,"",AGR_ued!Q$5/Q$5*1000)</f>
        <v>53.810599270743793</v>
      </c>
      <c r="R33" s="55">
        <f>IF(AGR_ued!R$5=0,"",AGR_ued!R$5/R$5*1000)</f>
        <v>53.802038802532344</v>
      </c>
      <c r="S33" s="55">
        <f>IF(AGR_ued!S$5=0,"",AGR_ued!S$5/S$5*1000)</f>
        <v>49.484058051740902</v>
      </c>
      <c r="T33" s="55">
        <f>IF(AGR_ued!T$5=0,"",AGR_ued!T$5/T$5*1000)</f>
        <v>55.205771491470337</v>
      </c>
      <c r="U33" s="55">
        <f>IF(AGR_ued!U$5=0,"",AGR_ued!U$5/U$5*1000)</f>
        <v>55.549792698476836</v>
      </c>
      <c r="V33" s="55">
        <f>IF(AGR_ued!V$5=0,"",AGR_ued!V$5/V$5*1000)</f>
        <v>57.469459650826408</v>
      </c>
      <c r="W33" s="55">
        <f>IF(AGR_ued!W$5=0,"",AGR_ued!W$5/W$5*1000)</f>
        <v>54.91914875972855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2.3383398214999067</v>
      </c>
      <c r="C34" s="218">
        <f t="shared" si="27"/>
        <v>2.2254166477178807</v>
      </c>
      <c r="D34" s="218">
        <f t="shared" si="27"/>
        <v>2.1266345188838067</v>
      </c>
      <c r="E34" s="218">
        <f t="shared" si="27"/>
        <v>2.0263102670199169</v>
      </c>
      <c r="F34" s="218">
        <f t="shared" si="27"/>
        <v>2.3706002816401126</v>
      </c>
      <c r="G34" s="218">
        <f t="shared" si="27"/>
        <v>2.3853980325235646</v>
      </c>
      <c r="H34" s="218">
        <f t="shared" si="27"/>
        <v>2.323346207793533</v>
      </c>
      <c r="I34" s="218">
        <f t="shared" si="27"/>
        <v>1.8178585784497849</v>
      </c>
      <c r="J34" s="218">
        <f t="shared" si="27"/>
        <v>2.1551386774710597</v>
      </c>
      <c r="K34" s="218">
        <f t="shared" si="27"/>
        <v>2.3563676229244921</v>
      </c>
      <c r="L34" s="218">
        <f t="shared" si="27"/>
        <v>2.3011711370056034</v>
      </c>
      <c r="M34" s="218">
        <f t="shared" si="27"/>
        <v>2.2990072073967274</v>
      </c>
      <c r="N34" s="218">
        <f t="shared" si="27"/>
        <v>2.31420876928324</v>
      </c>
      <c r="O34" s="218">
        <f t="shared" si="27"/>
        <v>2.0864023527545084</v>
      </c>
      <c r="P34" s="218">
        <f t="shared" si="27"/>
        <v>2.2660499932142018</v>
      </c>
      <c r="Q34" s="218">
        <f t="shared" si="27"/>
        <v>2.2926102060977187</v>
      </c>
      <c r="R34" s="218">
        <f t="shared" si="27"/>
        <v>2.4296612637352561</v>
      </c>
      <c r="S34" s="218">
        <f t="shared" si="27"/>
        <v>2.4495570047900102</v>
      </c>
      <c r="T34" s="218">
        <f t="shared" si="27"/>
        <v>2.565402532824085</v>
      </c>
      <c r="U34" s="218">
        <f t="shared" si="27"/>
        <v>2.530952530546104</v>
      </c>
      <c r="V34" s="218">
        <f t="shared" si="27"/>
        <v>2.6091265009436087</v>
      </c>
      <c r="W34" s="218">
        <f t="shared" si="27"/>
        <v>2.657602287825179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416.95795356835742</v>
      </c>
      <c r="C5" s="80">
        <f t="shared" ref="C5:W5" si="1">SUM(C6:C9,C16:C17,C25:C27)</f>
        <v>304.80472914875298</v>
      </c>
      <c r="D5" s="80">
        <f t="shared" si="1"/>
        <v>284.59071367153911</v>
      </c>
      <c r="E5" s="80">
        <f t="shared" si="1"/>
        <v>247.2640584694754</v>
      </c>
      <c r="F5" s="80">
        <f t="shared" si="1"/>
        <v>253.77858985382619</v>
      </c>
      <c r="G5" s="80">
        <f t="shared" si="1"/>
        <v>269.94153052450542</v>
      </c>
      <c r="H5" s="80">
        <f t="shared" si="1"/>
        <v>276.48048151332762</v>
      </c>
      <c r="I5" s="80">
        <f t="shared" si="1"/>
        <v>264.76345657781582</v>
      </c>
      <c r="J5" s="80">
        <f t="shared" si="1"/>
        <v>293.92098022355975</v>
      </c>
      <c r="K5" s="80">
        <f t="shared" si="1"/>
        <v>380.82029234737718</v>
      </c>
      <c r="L5" s="80">
        <f t="shared" si="1"/>
        <v>393.23319002579535</v>
      </c>
      <c r="M5" s="80">
        <f t="shared" si="1"/>
        <v>441.66311263972472</v>
      </c>
      <c r="N5" s="80">
        <f t="shared" si="1"/>
        <v>498.57695614789316</v>
      </c>
      <c r="O5" s="80">
        <f t="shared" si="1"/>
        <v>474.18555460017194</v>
      </c>
      <c r="P5" s="80">
        <f t="shared" si="1"/>
        <v>421.08581255374014</v>
      </c>
      <c r="Q5" s="80">
        <f t="shared" si="1"/>
        <v>459.81143594153053</v>
      </c>
      <c r="R5" s="80">
        <f t="shared" si="1"/>
        <v>455.48099742046412</v>
      </c>
      <c r="S5" s="80">
        <f t="shared" si="1"/>
        <v>497.62149613069664</v>
      </c>
      <c r="T5" s="80">
        <f t="shared" si="1"/>
        <v>566.02132416165068</v>
      </c>
      <c r="U5" s="80">
        <f t="shared" si="1"/>
        <v>557.36345657781601</v>
      </c>
      <c r="V5" s="80">
        <f t="shared" si="1"/>
        <v>530.92175408426465</v>
      </c>
      <c r="W5" s="80">
        <f t="shared" si="1"/>
        <v>566.89105760963002</v>
      </c>
      <c r="DA5" s="103"/>
    </row>
    <row r="6" spans="1:105" x14ac:dyDescent="0.25">
      <c r="A6" s="239" t="s">
        <v>125</v>
      </c>
      <c r="B6" s="240">
        <v>9.4472913804961678</v>
      </c>
      <c r="C6" s="240">
        <v>7.3520530174723957</v>
      </c>
      <c r="D6" s="240">
        <v>6.5589892543567174</v>
      </c>
      <c r="E6" s="240">
        <v>5.4406237951143792</v>
      </c>
      <c r="F6" s="240">
        <v>5.7166750519203999</v>
      </c>
      <c r="G6" s="240">
        <v>5.1461945920433836</v>
      </c>
      <c r="H6" s="240">
        <v>6.5450902614510484</v>
      </c>
      <c r="I6" s="240">
        <v>7.5909054241597236</v>
      </c>
      <c r="J6" s="240">
        <v>7.6666201455348988</v>
      </c>
      <c r="K6" s="240">
        <v>7.650081550981044</v>
      </c>
      <c r="L6" s="240">
        <v>9.8242546932649031</v>
      </c>
      <c r="M6" s="240">
        <v>11.189475219624571</v>
      </c>
      <c r="N6" s="240">
        <v>12.29618140084113</v>
      </c>
      <c r="O6" s="240">
        <v>11.97053988889264</v>
      </c>
      <c r="P6" s="240">
        <v>12.054135588779531</v>
      </c>
      <c r="Q6" s="240">
        <v>12.939470425837291</v>
      </c>
      <c r="R6" s="240">
        <v>11.055715381729611</v>
      </c>
      <c r="S6" s="240">
        <v>11.248863686941579</v>
      </c>
      <c r="T6" s="240">
        <v>11.66253592485805</v>
      </c>
      <c r="U6" s="240">
        <v>11.63712286862147</v>
      </c>
      <c r="V6" s="240">
        <v>8.6668611095014274</v>
      </c>
      <c r="W6" s="240">
        <v>8.795999323357977</v>
      </c>
      <c r="DA6" s="268" t="s">
        <v>993</v>
      </c>
    </row>
    <row r="7" spans="1:105" x14ac:dyDescent="0.25">
      <c r="A7" s="241" t="s">
        <v>124</v>
      </c>
      <c r="B7" s="242">
        <v>6.1407393973225064</v>
      </c>
      <c r="C7" s="242">
        <v>4.7788344613570573</v>
      </c>
      <c r="D7" s="242">
        <v>4.2633430153318654</v>
      </c>
      <c r="E7" s="242">
        <v>3.5364054668243439</v>
      </c>
      <c r="F7" s="242">
        <v>3.7158387837482589</v>
      </c>
      <c r="G7" s="242">
        <v>3.3450264848281992</v>
      </c>
      <c r="H7" s="242">
        <v>4.2543086699431791</v>
      </c>
      <c r="I7" s="242">
        <v>4.9340885257038183</v>
      </c>
      <c r="J7" s="242">
        <v>4.9833030945976828</v>
      </c>
      <c r="K7" s="242">
        <v>4.9725530081376776</v>
      </c>
      <c r="L7" s="242">
        <v>6.3857655506221844</v>
      </c>
      <c r="M7" s="242">
        <v>7.2731588927559656</v>
      </c>
      <c r="N7" s="242">
        <v>7.9925179105467317</v>
      </c>
      <c r="O7" s="242">
        <v>7.78085092778021</v>
      </c>
      <c r="P7" s="242">
        <v>7.8351881327066906</v>
      </c>
      <c r="Q7" s="242">
        <v>8.410655776794238</v>
      </c>
      <c r="R7" s="242">
        <v>7.1862149981242496</v>
      </c>
      <c r="S7" s="242">
        <v>7.3117613965120238</v>
      </c>
      <c r="T7" s="242">
        <v>7.5806483511577314</v>
      </c>
      <c r="U7" s="242">
        <v>7.564129864603955</v>
      </c>
      <c r="V7" s="242">
        <v>5.6334597211759254</v>
      </c>
      <c r="W7" s="242">
        <v>5.7173995601826846</v>
      </c>
      <c r="DA7" s="269" t="s">
        <v>994</v>
      </c>
    </row>
    <row r="8" spans="1:105" x14ac:dyDescent="0.25">
      <c r="A8" s="241" t="s">
        <v>123</v>
      </c>
      <c r="B8" s="242">
        <v>8.502562242446551</v>
      </c>
      <c r="C8" s="242">
        <v>6.6168477157251546</v>
      </c>
      <c r="D8" s="242">
        <v>5.9030903289210439</v>
      </c>
      <c r="E8" s="242">
        <v>4.8965614156029389</v>
      </c>
      <c r="F8" s="242">
        <v>5.1450075467283609</v>
      </c>
      <c r="G8" s="242">
        <v>4.6315751328390444</v>
      </c>
      <c r="H8" s="242">
        <v>5.8905812353059401</v>
      </c>
      <c r="I8" s="242">
        <v>6.8318148817437532</v>
      </c>
      <c r="J8" s="242">
        <v>6.8999581309814104</v>
      </c>
      <c r="K8" s="242">
        <v>6.88507339588294</v>
      </c>
      <c r="L8" s="242">
        <v>8.841829223938408</v>
      </c>
      <c r="M8" s="242">
        <v>10.07052769766211</v>
      </c>
      <c r="N8" s="242">
        <v>11.06656326075702</v>
      </c>
      <c r="O8" s="242">
        <v>10.77348590000337</v>
      </c>
      <c r="P8" s="242">
        <v>10.84872202990157</v>
      </c>
      <c r="Q8" s="242">
        <v>11.645523383253559</v>
      </c>
      <c r="R8" s="242">
        <v>9.9501438435566563</v>
      </c>
      <c r="S8" s="242">
        <v>10.12397731824742</v>
      </c>
      <c r="T8" s="242">
        <v>10.496282332372241</v>
      </c>
      <c r="U8" s="242">
        <v>10.473410581759319</v>
      </c>
      <c r="V8" s="242">
        <v>7.8001749985512818</v>
      </c>
      <c r="W8" s="242">
        <v>7.9163993910221793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104.12000060999486</v>
      </c>
      <c r="C9" s="244">
        <f t="shared" ref="C9:W9" si="3">SUM(C10:C15)</f>
        <v>80.825270101787254</v>
      </c>
      <c r="D9" s="244">
        <f t="shared" si="3"/>
        <v>76.3162771279015</v>
      </c>
      <c r="E9" s="244">
        <f t="shared" si="3"/>
        <v>74.01375237465615</v>
      </c>
      <c r="F9" s="244">
        <f t="shared" si="3"/>
        <v>60.336190594631965</v>
      </c>
      <c r="G9" s="244">
        <f t="shared" si="3"/>
        <v>60.573251612275726</v>
      </c>
      <c r="H9" s="244">
        <f t="shared" si="3"/>
        <v>59.834016825118411</v>
      </c>
      <c r="I9" s="244">
        <f t="shared" si="3"/>
        <v>56.16586744333204</v>
      </c>
      <c r="J9" s="244">
        <f t="shared" si="3"/>
        <v>60.087965553349548</v>
      </c>
      <c r="K9" s="244">
        <f t="shared" si="3"/>
        <v>82.09801014179277</v>
      </c>
      <c r="L9" s="244">
        <f t="shared" si="3"/>
        <v>83.664227651550448</v>
      </c>
      <c r="M9" s="244">
        <f t="shared" si="3"/>
        <v>95.235083447775637</v>
      </c>
      <c r="N9" s="244">
        <f t="shared" si="3"/>
        <v>110.12579837820098</v>
      </c>
      <c r="O9" s="244">
        <f t="shared" si="3"/>
        <v>101.37075863830748</v>
      </c>
      <c r="P9" s="244">
        <f t="shared" si="3"/>
        <v>90.541035276778331</v>
      </c>
      <c r="Q9" s="244">
        <f t="shared" si="3"/>
        <v>96.32766992279484</v>
      </c>
      <c r="R9" s="244">
        <f t="shared" si="3"/>
        <v>94.749172802909428</v>
      </c>
      <c r="S9" s="244">
        <f t="shared" si="3"/>
        <v>103.83428857091678</v>
      </c>
      <c r="T9" s="244">
        <f t="shared" si="3"/>
        <v>116.39937088700444</v>
      </c>
      <c r="U9" s="244">
        <f t="shared" si="3"/>
        <v>115.21584550365586</v>
      </c>
      <c r="V9" s="244">
        <f t="shared" si="3"/>
        <v>112.63959193023972</v>
      </c>
      <c r="W9" s="244">
        <f t="shared" si="3"/>
        <v>120.14269849503113</v>
      </c>
      <c r="DA9" s="270"/>
    </row>
    <row r="10" spans="1:105" x14ac:dyDescent="0.25">
      <c r="A10" s="254" t="s">
        <v>173</v>
      </c>
      <c r="B10" s="255">
        <v>34.775728698362528</v>
      </c>
      <c r="C10" s="255">
        <v>20.780174581790948</v>
      </c>
      <c r="D10" s="255">
        <v>17.58045528723736</v>
      </c>
      <c r="E10" s="255">
        <v>11.780677507260471</v>
      </c>
      <c r="F10" s="255">
        <v>18.104227602954271</v>
      </c>
      <c r="G10" s="255">
        <v>17.197977885571241</v>
      </c>
      <c r="H10" s="255">
        <v>23.612231247118491</v>
      </c>
      <c r="I10" s="255">
        <v>18.242766311034369</v>
      </c>
      <c r="J10" s="255">
        <v>17.02981743634901</v>
      </c>
      <c r="K10" s="255">
        <v>32.846460156591263</v>
      </c>
      <c r="L10" s="255">
        <v>31.436601408023812</v>
      </c>
      <c r="M10" s="255">
        <v>41.33758226559334</v>
      </c>
      <c r="N10" s="255">
        <v>47.5538022799091</v>
      </c>
      <c r="O10" s="255">
        <v>40.057488003856193</v>
      </c>
      <c r="P10" s="255">
        <v>38.070382623825168</v>
      </c>
      <c r="Q10" s="255">
        <v>42.411823351049257</v>
      </c>
      <c r="R10" s="255">
        <v>48.961851960183388</v>
      </c>
      <c r="S10" s="255">
        <v>47.91479308716184</v>
      </c>
      <c r="T10" s="255">
        <v>64.199500042525315</v>
      </c>
      <c r="U10" s="255">
        <v>62.750617946816178</v>
      </c>
      <c r="V10" s="255">
        <v>63.10337796091116</v>
      </c>
      <c r="W10" s="255">
        <v>70.35502004139218</v>
      </c>
      <c r="DA10" s="271" t="s">
        <v>996</v>
      </c>
    </row>
    <row r="11" spans="1:105" x14ac:dyDescent="0.25">
      <c r="A11" s="254" t="s">
        <v>176</v>
      </c>
      <c r="B11" s="256">
        <v>5.6702387016666824</v>
      </c>
      <c r="C11" s="256">
        <v>3.598137906894852</v>
      </c>
      <c r="D11" s="256">
        <v>7.6814989804274143</v>
      </c>
      <c r="E11" s="256">
        <v>4.5073890271450114</v>
      </c>
      <c r="F11" s="256">
        <v>10.487651234160991</v>
      </c>
      <c r="G11" s="256">
        <v>14.085696385071399</v>
      </c>
      <c r="H11" s="256">
        <v>10.44912854395344</v>
      </c>
      <c r="I11" s="256">
        <v>9.0151175044427561</v>
      </c>
      <c r="J11" s="256">
        <v>19.50629613514203</v>
      </c>
      <c r="K11" s="256">
        <v>23.338415177321941</v>
      </c>
      <c r="L11" s="256">
        <v>25.620438832190619</v>
      </c>
      <c r="M11" s="256">
        <v>20.43051786432704</v>
      </c>
      <c r="N11" s="256">
        <v>23.126161915332691</v>
      </c>
      <c r="O11" s="256">
        <v>23.09595787628265</v>
      </c>
      <c r="P11" s="256">
        <v>18.269681408957091</v>
      </c>
      <c r="Q11" s="256">
        <v>22.123405693309</v>
      </c>
      <c r="R11" s="256">
        <v>23.892435208049601</v>
      </c>
      <c r="S11" s="256">
        <v>38.668401847327722</v>
      </c>
      <c r="T11" s="256">
        <v>40.985162302732803</v>
      </c>
      <c r="U11" s="256">
        <v>37.766368037839527</v>
      </c>
      <c r="V11" s="256">
        <v>37.651919845425397</v>
      </c>
      <c r="W11" s="256">
        <v>40.076752522734118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0.40113859924442807</v>
      </c>
      <c r="P12" s="256">
        <v>7.9731733503424301E-2</v>
      </c>
      <c r="Q12" s="256">
        <v>7.7239266622611685E-2</v>
      </c>
      <c r="R12" s="256">
        <v>4.0530470592522391E-2</v>
      </c>
      <c r="S12" s="256">
        <v>0.118369938179502</v>
      </c>
      <c r="T12" s="256">
        <v>6.8144829202520477E-2</v>
      </c>
      <c r="U12" s="256">
        <v>6.2977730852343733E-2</v>
      </c>
      <c r="V12" s="256">
        <v>8.8685910046007259E-4</v>
      </c>
      <c r="W12" s="256">
        <v>7.0200276853065402E-2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58.37394668956906</v>
      </c>
      <c r="C14" s="255">
        <v>52.020636285463361</v>
      </c>
      <c r="D14" s="255">
        <v>47.64978503866822</v>
      </c>
      <c r="E14" s="255">
        <v>55.436113499522968</v>
      </c>
      <c r="F14" s="255">
        <v>28.255460017172179</v>
      </c>
      <c r="G14" s="255">
        <v>26.559673258786479</v>
      </c>
      <c r="H14" s="255">
        <v>20.492949269129198</v>
      </c>
      <c r="I14" s="255">
        <v>18.367239896854329</v>
      </c>
      <c r="J14" s="255">
        <v>14.1635425623677</v>
      </c>
      <c r="K14" s="255">
        <v>21.6871883060927</v>
      </c>
      <c r="L14" s="255">
        <v>18.032846087700481</v>
      </c>
      <c r="M14" s="255">
        <v>23.980137575230369</v>
      </c>
      <c r="N14" s="255">
        <v>30.333447979352549</v>
      </c>
      <c r="O14" s="255">
        <v>26.989595872741909</v>
      </c>
      <c r="P14" s="255">
        <v>20.87515047291237</v>
      </c>
      <c r="Q14" s="255">
        <v>17.220808254516822</v>
      </c>
      <c r="R14" s="255">
        <v>13.16044711951371</v>
      </c>
      <c r="S14" s="255">
        <v>9.6141014617319307</v>
      </c>
      <c r="T14" s="255">
        <v>4.7300945829718364</v>
      </c>
      <c r="U14" s="255">
        <v>8.0549441100554642</v>
      </c>
      <c r="V14" s="255">
        <v>9.0731728288822762</v>
      </c>
      <c r="W14" s="255">
        <v>7.0933791917365454</v>
      </c>
      <c r="DA14" s="271" t="s">
        <v>1000</v>
      </c>
    </row>
    <row r="15" spans="1:105" x14ac:dyDescent="0.25">
      <c r="A15" s="254" t="s">
        <v>24</v>
      </c>
      <c r="B15" s="256">
        <v>5.3000865203965919</v>
      </c>
      <c r="C15" s="256">
        <v>4.426321327638095</v>
      </c>
      <c r="D15" s="256">
        <v>3.4045378215685149</v>
      </c>
      <c r="E15" s="256">
        <v>2.2895723407277031</v>
      </c>
      <c r="F15" s="256">
        <v>3.4888517403445189</v>
      </c>
      <c r="G15" s="256">
        <v>2.7299040828466001</v>
      </c>
      <c r="H15" s="256">
        <v>5.2797077649172843</v>
      </c>
      <c r="I15" s="256">
        <v>10.54074373100058</v>
      </c>
      <c r="J15" s="256">
        <v>9.3883094194908043</v>
      </c>
      <c r="K15" s="256">
        <v>4.2259465017868649</v>
      </c>
      <c r="L15" s="256">
        <v>8.5743413236355366</v>
      </c>
      <c r="M15" s="256">
        <v>9.4868457426248796</v>
      </c>
      <c r="N15" s="256">
        <v>9.1123862036066345</v>
      </c>
      <c r="O15" s="256">
        <v>10.826578286182301</v>
      </c>
      <c r="P15" s="256">
        <v>13.24608903758028</v>
      </c>
      <c r="Q15" s="256">
        <v>14.49439335729714</v>
      </c>
      <c r="R15" s="256">
        <v>8.6939080445702075</v>
      </c>
      <c r="S15" s="256">
        <v>7.5186222365157862</v>
      </c>
      <c r="T15" s="256">
        <v>6.4164691295719578</v>
      </c>
      <c r="U15" s="256">
        <v>6.5809376780923561</v>
      </c>
      <c r="V15" s="256">
        <v>2.8102344359204179</v>
      </c>
      <c r="W15" s="256">
        <v>2.5473464623152049</v>
      </c>
      <c r="DA15" s="272" t="s">
        <v>1001</v>
      </c>
    </row>
    <row r="16" spans="1:105" x14ac:dyDescent="0.25">
      <c r="A16" s="257" t="s">
        <v>175</v>
      </c>
      <c r="B16" s="258">
        <v>98.890596932057448</v>
      </c>
      <c r="C16" s="258">
        <v>69.592686944145626</v>
      </c>
      <c r="D16" s="258">
        <v>64.650400418170435</v>
      </c>
      <c r="E16" s="258">
        <v>53.660077087990032</v>
      </c>
      <c r="F16" s="258">
        <v>57.853515475474808</v>
      </c>
      <c r="G16" s="258">
        <v>57.62447722324697</v>
      </c>
      <c r="H16" s="258">
        <v>63.477684517287877</v>
      </c>
      <c r="I16" s="258">
        <v>56.630702319812997</v>
      </c>
      <c r="J16" s="258">
        <v>59.649050484058421</v>
      </c>
      <c r="K16" s="258">
        <v>88.678652557281083</v>
      </c>
      <c r="L16" s="258">
        <v>90.206486471912967</v>
      </c>
      <c r="M16" s="258">
        <v>105.43949815817621</v>
      </c>
      <c r="N16" s="258">
        <v>121.1107889871019</v>
      </c>
      <c r="O16" s="258">
        <v>109.4110694265536</v>
      </c>
      <c r="P16" s="258">
        <v>99.648471128153787</v>
      </c>
      <c r="Q16" s="258">
        <v>108.47594796540641</v>
      </c>
      <c r="R16" s="258">
        <v>111.925673661381</v>
      </c>
      <c r="S16" s="258">
        <v>120.5204581456324</v>
      </c>
      <c r="T16" s="258">
        <v>141.86338718016239</v>
      </c>
      <c r="U16" s="258">
        <v>139.31333329154549</v>
      </c>
      <c r="V16" s="258">
        <v>135.83628663022429</v>
      </c>
      <c r="W16" s="258">
        <v>146.69826345426549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147.70824679626901</v>
      </c>
      <c r="C17" s="258">
        <f t="shared" ref="C17:W17" si="5">SUM(C18:C24)</f>
        <v>104.25369225281104</v>
      </c>
      <c r="D17" s="258">
        <f t="shared" si="5"/>
        <v>98.405976634660405</v>
      </c>
      <c r="E17" s="258">
        <f t="shared" si="5"/>
        <v>82.075879030462957</v>
      </c>
      <c r="F17" s="258">
        <f t="shared" si="5"/>
        <v>95.888473390204652</v>
      </c>
      <c r="G17" s="258">
        <f t="shared" si="5"/>
        <v>114.93980520376049</v>
      </c>
      <c r="H17" s="258">
        <f t="shared" si="5"/>
        <v>108.24556277808962</v>
      </c>
      <c r="I17" s="258">
        <f t="shared" si="5"/>
        <v>103.13029829840863</v>
      </c>
      <c r="J17" s="258">
        <f t="shared" si="5"/>
        <v>124.38880130916982</v>
      </c>
      <c r="K17" s="258">
        <f t="shared" si="5"/>
        <v>154.75287978099431</v>
      </c>
      <c r="L17" s="258">
        <f t="shared" si="5"/>
        <v>152.90727430435905</v>
      </c>
      <c r="M17" s="258">
        <f t="shared" si="5"/>
        <v>164.78007666075271</v>
      </c>
      <c r="N17" s="258">
        <f t="shared" si="5"/>
        <v>182.58701437047785</v>
      </c>
      <c r="O17" s="258">
        <f t="shared" si="5"/>
        <v>182.5267782987481</v>
      </c>
      <c r="P17" s="258">
        <f t="shared" si="5"/>
        <v>151.47734403465978</v>
      </c>
      <c r="Q17" s="258">
        <f t="shared" si="5"/>
        <v>169.46590851384801</v>
      </c>
      <c r="R17" s="258">
        <f t="shared" si="5"/>
        <v>172.02012309568318</v>
      </c>
      <c r="S17" s="258">
        <f t="shared" si="5"/>
        <v>193.86342056237609</v>
      </c>
      <c r="T17" s="258">
        <f t="shared" si="5"/>
        <v>222.18565437303963</v>
      </c>
      <c r="U17" s="258">
        <f t="shared" si="5"/>
        <v>217.87844544849935</v>
      </c>
      <c r="V17" s="258">
        <f t="shared" si="5"/>
        <v>213.00949547800977</v>
      </c>
      <c r="W17" s="258">
        <f t="shared" si="5"/>
        <v>227.88080517779036</v>
      </c>
      <c r="DA17" s="273"/>
    </row>
    <row r="18" spans="1:105" x14ac:dyDescent="0.25">
      <c r="A18" s="61" t="s">
        <v>29</v>
      </c>
      <c r="B18" s="55">
        <v>0.20997420464264629</v>
      </c>
      <c r="C18" s="55">
        <v>0.17110920034343269</v>
      </c>
      <c r="D18" s="55">
        <v>3.129836629398711</v>
      </c>
      <c r="E18" s="55">
        <v>4.3602751504527841</v>
      </c>
      <c r="F18" s="55">
        <v>18.916595012810639</v>
      </c>
      <c r="G18" s="55">
        <v>13.302579535618539</v>
      </c>
      <c r="H18" s="55">
        <v>6.2435941530245751</v>
      </c>
      <c r="I18" s="55">
        <v>5.0386930352333881</v>
      </c>
      <c r="J18" s="55">
        <v>8.3978503868811956</v>
      </c>
      <c r="K18" s="55">
        <v>8.8177128116797618</v>
      </c>
      <c r="L18" s="55">
        <v>7.9779019776256073</v>
      </c>
      <c r="M18" s="55">
        <v>7.9779019776260514</v>
      </c>
      <c r="N18" s="55">
        <v>0.41986242476284141</v>
      </c>
      <c r="O18" s="55">
        <v>7.9779019776277584</v>
      </c>
      <c r="P18" s="55">
        <v>6.9282029234857676</v>
      </c>
      <c r="Q18" s="55">
        <v>8.1878761822686208</v>
      </c>
      <c r="R18" s="55">
        <v>9.4475494410858971</v>
      </c>
      <c r="S18" s="55">
        <v>11.835941530507441</v>
      </c>
      <c r="T18" s="55">
        <v>14.926655202042349</v>
      </c>
      <c r="U18" s="55">
        <v>14.67876182285293</v>
      </c>
      <c r="V18" s="55">
        <v>16.340670679255091</v>
      </c>
      <c r="W18" s="55">
        <v>17.648065348206259</v>
      </c>
      <c r="DA18" s="101" t="s">
        <v>1003</v>
      </c>
    </row>
    <row r="19" spans="1:105" x14ac:dyDescent="0.25">
      <c r="A19" s="61" t="s">
        <v>27</v>
      </c>
      <c r="B19" s="55">
        <v>1.129750644881135</v>
      </c>
      <c r="C19" s="55">
        <v>1.1297506448805841</v>
      </c>
      <c r="D19" s="55">
        <v>0</v>
      </c>
      <c r="E19" s="55">
        <v>0</v>
      </c>
      <c r="F19" s="55">
        <v>1.1297506448787229</v>
      </c>
      <c r="G19" s="55">
        <v>1.1496990541646279</v>
      </c>
      <c r="H19" s="55">
        <v>4.5992261392743927</v>
      </c>
      <c r="I19" s="55">
        <v>4.5987962166624996</v>
      </c>
      <c r="J19" s="55">
        <v>37.940412725487292</v>
      </c>
      <c r="K19" s="55">
        <v>36.796044711892868</v>
      </c>
      <c r="L19" s="55">
        <v>26.443336199423051</v>
      </c>
      <c r="M19" s="55">
        <v>19.545055889895782</v>
      </c>
      <c r="N19" s="55">
        <v>5.7485812553644324</v>
      </c>
      <c r="O19" s="55">
        <v>9.197678417866026</v>
      </c>
      <c r="P19" s="55">
        <v>5.7485812553839839</v>
      </c>
      <c r="Q19" s="55">
        <v>9.197678417863921</v>
      </c>
      <c r="R19" s="55">
        <v>11.49707652620738</v>
      </c>
      <c r="S19" s="55">
        <v>12.461306964728379</v>
      </c>
      <c r="T19" s="55">
        <v>12.621066208064541</v>
      </c>
      <c r="U19" s="55">
        <v>8.2347377471948704</v>
      </c>
      <c r="V19" s="55">
        <v>8.5830610489992871</v>
      </c>
      <c r="W19" s="55">
        <v>7.4919174548449421</v>
      </c>
      <c r="DA19" s="101" t="s">
        <v>1004</v>
      </c>
    </row>
    <row r="20" spans="1:105" x14ac:dyDescent="0.25">
      <c r="A20" s="61" t="s">
        <v>173</v>
      </c>
      <c r="B20" s="55">
        <v>95.874100287404048</v>
      </c>
      <c r="C20" s="55">
        <v>66.742543831356187</v>
      </c>
      <c r="D20" s="55">
        <v>57.347578796624063</v>
      </c>
      <c r="E20" s="55">
        <v>47.492468401709552</v>
      </c>
      <c r="F20" s="55">
        <v>41.304929439759249</v>
      </c>
      <c r="G20" s="55">
        <v>27.07864002435743</v>
      </c>
      <c r="H20" s="55">
        <v>43.470529671430647</v>
      </c>
      <c r="I20" s="55">
        <v>33.380841426502172</v>
      </c>
      <c r="J20" s="55">
        <v>24.83318858844893</v>
      </c>
      <c r="K20" s="55">
        <v>55.544605362615613</v>
      </c>
      <c r="L20" s="55">
        <v>59.241212706848593</v>
      </c>
      <c r="M20" s="55">
        <v>86.640087216576546</v>
      </c>
      <c r="N20" s="55">
        <v>108.07155977691509</v>
      </c>
      <c r="O20" s="55">
        <v>76.811578987733185</v>
      </c>
      <c r="P20" s="55">
        <v>87.396662594036528</v>
      </c>
      <c r="Q20" s="55">
        <v>88.748152786083111</v>
      </c>
      <c r="R20" s="55">
        <v>95.315685507041508</v>
      </c>
      <c r="S20" s="55">
        <v>88.070484695433279</v>
      </c>
      <c r="T20" s="55">
        <v>112.4753329582978</v>
      </c>
      <c r="U20" s="55">
        <v>111.5968711829568</v>
      </c>
      <c r="V20" s="55">
        <v>108.2040906607902</v>
      </c>
      <c r="W20" s="55">
        <v>119.74495488217561</v>
      </c>
      <c r="DA20" s="101" t="s">
        <v>1005</v>
      </c>
    </row>
    <row r="21" spans="1:105" x14ac:dyDescent="0.25">
      <c r="A21" s="61" t="s">
        <v>129</v>
      </c>
      <c r="B21" s="55">
        <v>12.697076526193969</v>
      </c>
      <c r="C21" s="55">
        <v>4.2323301805549978</v>
      </c>
      <c r="D21" s="55">
        <v>3.1742906276789071</v>
      </c>
      <c r="E21" s="55">
        <v>5.1972484952468569</v>
      </c>
      <c r="F21" s="55">
        <v>4.2323301805480247</v>
      </c>
      <c r="G21" s="55">
        <v>47.265692175177342</v>
      </c>
      <c r="H21" s="55">
        <v>26.86104901105805</v>
      </c>
      <c r="I21" s="55">
        <v>6.2605331040160914</v>
      </c>
      <c r="J21" s="55">
        <v>11.37368873596094</v>
      </c>
      <c r="K21" s="55">
        <v>4.1446259673192403</v>
      </c>
      <c r="L21" s="55">
        <v>4.1568357695518827</v>
      </c>
      <c r="M21" s="55">
        <v>3.0433361994772361</v>
      </c>
      <c r="N21" s="55">
        <v>10.39217540840913</v>
      </c>
      <c r="O21" s="55">
        <v>5.1961306964640386</v>
      </c>
      <c r="P21" s="55">
        <v>3.117626827176506</v>
      </c>
      <c r="Q21" s="55">
        <v>9.3529664660149034</v>
      </c>
      <c r="R21" s="55">
        <v>4.0574376612146654</v>
      </c>
      <c r="S21" s="55">
        <v>4.1343078245856111</v>
      </c>
      <c r="T21" s="55">
        <v>5.0200343938019554</v>
      </c>
      <c r="U21" s="55">
        <v>7.1374892519254356</v>
      </c>
      <c r="V21" s="55">
        <v>5.3826311263897892</v>
      </c>
      <c r="W21" s="55">
        <v>7.3284608770292357</v>
      </c>
      <c r="DA21" s="101" t="s">
        <v>1006</v>
      </c>
    </row>
    <row r="22" spans="1:105" x14ac:dyDescent="0.25">
      <c r="A22" s="61" t="s">
        <v>176</v>
      </c>
      <c r="B22" s="55">
        <v>15.63242681849853</v>
      </c>
      <c r="C22" s="55">
        <v>11.556634234085269</v>
      </c>
      <c r="D22" s="55">
        <v>25.057108070235429</v>
      </c>
      <c r="E22" s="55">
        <v>18.171028857548009</v>
      </c>
      <c r="F22" s="55">
        <v>23.92765401077563</v>
      </c>
      <c r="G22" s="55">
        <v>22.17827609975858</v>
      </c>
      <c r="H22" s="55">
        <v>19.237027947790938</v>
      </c>
      <c r="I22" s="55">
        <v>16.495974498947842</v>
      </c>
      <c r="J22" s="55">
        <v>28.44443473317498</v>
      </c>
      <c r="K22" s="55">
        <v>39.466142002309333</v>
      </c>
      <c r="L22" s="55">
        <v>48.280850935534403</v>
      </c>
      <c r="M22" s="55">
        <v>42.820642926628913</v>
      </c>
      <c r="N22" s="55">
        <v>52.556899133582213</v>
      </c>
      <c r="O22" s="55">
        <v>44.287275141682947</v>
      </c>
      <c r="P22" s="55">
        <v>41.94098067193876</v>
      </c>
      <c r="Q22" s="55">
        <v>46.293963180192151</v>
      </c>
      <c r="R22" s="55">
        <v>46.512207956099779</v>
      </c>
      <c r="S22" s="55">
        <v>71.075020336556804</v>
      </c>
      <c r="T22" s="55">
        <v>71.804605538925358</v>
      </c>
      <c r="U22" s="55">
        <v>67.164414421208988</v>
      </c>
      <c r="V22" s="55">
        <v>64.562181616186635</v>
      </c>
      <c r="W22" s="55">
        <v>68.211037674859739</v>
      </c>
      <c r="DA22" s="101" t="s">
        <v>1007</v>
      </c>
    </row>
    <row r="23" spans="1:105" x14ac:dyDescent="0.25">
      <c r="A23" s="61" t="s">
        <v>171</v>
      </c>
      <c r="B23" s="55">
        <v>22.164918314648691</v>
      </c>
      <c r="C23" s="55">
        <v>20.421324161590579</v>
      </c>
      <c r="D23" s="55">
        <v>9.6971625107232899</v>
      </c>
      <c r="E23" s="55">
        <v>6.854858125505757</v>
      </c>
      <c r="F23" s="55">
        <v>6.3772141014323944</v>
      </c>
      <c r="G23" s="55">
        <v>3.964918314683969</v>
      </c>
      <c r="H23" s="55">
        <v>7.8341358555110228</v>
      </c>
      <c r="I23" s="55">
        <v>37.355460017046639</v>
      </c>
      <c r="J23" s="55">
        <v>13.3992261392165</v>
      </c>
      <c r="K23" s="55">
        <v>9.9837489251774674</v>
      </c>
      <c r="L23" s="55">
        <v>6.8071367153755178</v>
      </c>
      <c r="M23" s="55">
        <v>4.7530524505481901</v>
      </c>
      <c r="N23" s="55">
        <v>5.3979363714441231</v>
      </c>
      <c r="O23" s="55">
        <v>38.287016336981267</v>
      </c>
      <c r="P23" s="55">
        <v>6.1622527945076584</v>
      </c>
      <c r="Q23" s="55">
        <v>7.5236457437490607</v>
      </c>
      <c r="R23" s="55">
        <v>5.1112639724769959</v>
      </c>
      <c r="S23" s="55">
        <v>6.0687876182199672</v>
      </c>
      <c r="T23" s="55">
        <v>5.2185726569143114</v>
      </c>
      <c r="U23" s="55">
        <v>8.9541702493435551</v>
      </c>
      <c r="V23" s="55">
        <v>9.9353396388512376</v>
      </c>
      <c r="W23" s="55">
        <v>7.3368873602622404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0.76919674039285379</v>
      </c>
      <c r="P24" s="55">
        <v>0.1830369681305889</v>
      </c>
      <c r="Q24" s="55">
        <v>0.16162573767625971</v>
      </c>
      <c r="R24" s="55">
        <v>7.8902031556953162E-2</v>
      </c>
      <c r="S24" s="55">
        <v>0.21757159234462889</v>
      </c>
      <c r="T24" s="55">
        <v>0.1193874149933075</v>
      </c>
      <c r="U24" s="55">
        <v>0.1120007730167782</v>
      </c>
      <c r="V24" s="55">
        <v>1.520707537542146E-3</v>
      </c>
      <c r="W24" s="55">
        <v>0.11948158041232811</v>
      </c>
      <c r="DA24" s="101" t="s">
        <v>1009</v>
      </c>
    </row>
    <row r="25" spans="1:105" x14ac:dyDescent="0.25">
      <c r="A25" s="257" t="s">
        <v>174</v>
      </c>
      <c r="B25" s="258">
        <v>19.002652327555339</v>
      </c>
      <c r="C25" s="258">
        <v>13.372814762647071</v>
      </c>
      <c r="D25" s="258">
        <v>12.423113219023129</v>
      </c>
      <c r="E25" s="258">
        <v>10.31123100079439</v>
      </c>
      <c r="F25" s="258">
        <v>11.11703513391279</v>
      </c>
      <c r="G25" s="258">
        <v>11.07302352500535</v>
      </c>
      <c r="H25" s="258">
        <v>12.19776608557649</v>
      </c>
      <c r="I25" s="258">
        <v>10.88206139546355</v>
      </c>
      <c r="J25" s="258">
        <v>11.46206214930749</v>
      </c>
      <c r="K25" s="258">
        <v>17.040342112403799</v>
      </c>
      <c r="L25" s="258">
        <v>17.333928131648321</v>
      </c>
      <c r="M25" s="258">
        <v>20.261078274897319</v>
      </c>
      <c r="N25" s="258">
        <v>23.272447407906789</v>
      </c>
      <c r="O25" s="258">
        <v>21.024248792099598</v>
      </c>
      <c r="P25" s="258">
        <v>19.148284170250552</v>
      </c>
      <c r="Q25" s="258">
        <v>20.844557410294879</v>
      </c>
      <c r="R25" s="258">
        <v>21.507450951842401</v>
      </c>
      <c r="S25" s="258">
        <v>23.159010417063399</v>
      </c>
      <c r="T25" s="258">
        <v>27.260232097154049</v>
      </c>
      <c r="U25" s="258">
        <v>26.770217991007961</v>
      </c>
      <c r="V25" s="258">
        <v>26.102074498283681</v>
      </c>
      <c r="W25" s="258">
        <v>28.18929386575326</v>
      </c>
      <c r="DA25" s="273" t="s">
        <v>1010</v>
      </c>
    </row>
    <row r="26" spans="1:105" x14ac:dyDescent="0.25">
      <c r="A26" s="257" t="s">
        <v>177</v>
      </c>
      <c r="B26" s="258">
        <v>9.4472913804961678</v>
      </c>
      <c r="C26" s="258">
        <v>7.3520530174723957</v>
      </c>
      <c r="D26" s="258">
        <v>6.5589892543567174</v>
      </c>
      <c r="E26" s="258">
        <v>5.4406237951143792</v>
      </c>
      <c r="F26" s="258">
        <v>5.7166750519203999</v>
      </c>
      <c r="G26" s="258">
        <v>5.1461945920433836</v>
      </c>
      <c r="H26" s="258">
        <v>6.5450902614510484</v>
      </c>
      <c r="I26" s="258">
        <v>7.5909054241597236</v>
      </c>
      <c r="J26" s="258">
        <v>7.6666201455348988</v>
      </c>
      <c r="K26" s="258">
        <v>7.650081550981044</v>
      </c>
      <c r="L26" s="258">
        <v>9.8242546932649031</v>
      </c>
      <c r="M26" s="258">
        <v>11.189475219624571</v>
      </c>
      <c r="N26" s="258">
        <v>12.29618140084113</v>
      </c>
      <c r="O26" s="258">
        <v>11.97053988889264</v>
      </c>
      <c r="P26" s="258">
        <v>12.054135588779531</v>
      </c>
      <c r="Q26" s="258">
        <v>12.939470425837291</v>
      </c>
      <c r="R26" s="258">
        <v>11.055715381729611</v>
      </c>
      <c r="S26" s="258">
        <v>11.248863686941579</v>
      </c>
      <c r="T26" s="258">
        <v>11.66253592485805</v>
      </c>
      <c r="U26" s="258">
        <v>11.63712286862147</v>
      </c>
      <c r="V26" s="258">
        <v>8.6668611095014274</v>
      </c>
      <c r="W26" s="258">
        <v>8.795999323357977</v>
      </c>
      <c r="DA26" s="273" t="s">
        <v>1011</v>
      </c>
    </row>
    <row r="27" spans="1:105" x14ac:dyDescent="0.25">
      <c r="A27" s="129" t="s">
        <v>33</v>
      </c>
      <c r="B27" s="259">
        <v>13.69857250171944</v>
      </c>
      <c r="C27" s="259">
        <v>10.660476875334981</v>
      </c>
      <c r="D27" s="259">
        <v>9.5105344188172403</v>
      </c>
      <c r="E27" s="259">
        <v>7.8889045029158487</v>
      </c>
      <c r="F27" s="259">
        <v>8.2891788252845835</v>
      </c>
      <c r="G27" s="259">
        <v>7.4619821584629067</v>
      </c>
      <c r="H27" s="259">
        <v>9.4903808791040181</v>
      </c>
      <c r="I27" s="259">
        <v>11.0068128650316</v>
      </c>
      <c r="J27" s="259">
        <v>11.1165992110256</v>
      </c>
      <c r="K27" s="259">
        <v>11.09261824892252</v>
      </c>
      <c r="L27" s="259">
        <v>14.245169305234111</v>
      </c>
      <c r="M27" s="259">
        <v>16.224739068455619</v>
      </c>
      <c r="N27" s="259">
        <v>17.829463031219639</v>
      </c>
      <c r="O27" s="259">
        <v>17.357282838894321</v>
      </c>
      <c r="P27" s="259">
        <v>17.478496603730321</v>
      </c>
      <c r="Q27" s="259">
        <v>18.76223211746408</v>
      </c>
      <c r="R27" s="259">
        <v>16.030787303507939</v>
      </c>
      <c r="S27" s="259">
        <v>16.310852346065289</v>
      </c>
      <c r="T27" s="259">
        <v>16.910677091044171</v>
      </c>
      <c r="U27" s="259">
        <v>16.87382815950113</v>
      </c>
      <c r="V27" s="259">
        <v>12.56694860877707</v>
      </c>
      <c r="W27" s="259">
        <v>12.75419901886907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0.99999999999999989</v>
      </c>
      <c r="E31" s="236">
        <f t="shared" si="6"/>
        <v>1</v>
      </c>
      <c r="F31" s="236">
        <f t="shared" si="6"/>
        <v>1.0000000000000002</v>
      </c>
      <c r="G31" s="236">
        <f t="shared" si="6"/>
        <v>1</v>
      </c>
      <c r="H31" s="236">
        <f t="shared" si="6"/>
        <v>1</v>
      </c>
      <c r="I31" s="236">
        <f t="shared" si="6"/>
        <v>1.0000000000000002</v>
      </c>
      <c r="J31" s="236">
        <f t="shared" si="6"/>
        <v>1</v>
      </c>
      <c r="K31" s="236">
        <f t="shared" si="6"/>
        <v>0.99999999999999989</v>
      </c>
      <c r="L31" s="236">
        <f t="shared" si="6"/>
        <v>1</v>
      </c>
      <c r="M31" s="236">
        <f t="shared" si="6"/>
        <v>1</v>
      </c>
      <c r="N31" s="236">
        <f t="shared" si="6"/>
        <v>1.0000000000000002</v>
      </c>
      <c r="O31" s="236">
        <f t="shared" si="6"/>
        <v>1</v>
      </c>
      <c r="P31" s="236">
        <f t="shared" si="6"/>
        <v>0.99999999999999989</v>
      </c>
      <c r="Q31" s="236">
        <f t="shared" si="6"/>
        <v>1</v>
      </c>
      <c r="R31" s="236">
        <f t="shared" ref="R31:W31" si="7">SUM(R32:R40)</f>
        <v>0.99999999999999978</v>
      </c>
      <c r="S31" s="236">
        <f t="shared" si="7"/>
        <v>0.99999999999999978</v>
      </c>
      <c r="T31" s="236">
        <f t="shared" si="7"/>
        <v>1</v>
      </c>
      <c r="U31" s="236">
        <f t="shared" si="7"/>
        <v>0.99999999999999989</v>
      </c>
      <c r="V31" s="236">
        <f t="shared" si="7"/>
        <v>0.99999999999999978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2.2657659602474397E-2</v>
      </c>
      <c r="C32" s="245">
        <f t="shared" si="8"/>
        <v>2.4120534605893185E-2</v>
      </c>
      <c r="D32" s="245">
        <f t="shared" si="8"/>
        <v>2.3047095141434541E-2</v>
      </c>
      <c r="E32" s="245">
        <f t="shared" si="8"/>
        <v>2.2003294084837734E-2</v>
      </c>
      <c r="F32" s="245">
        <f t="shared" si="8"/>
        <v>2.2526230661196221E-2</v>
      </c>
      <c r="G32" s="245">
        <f t="shared" si="8"/>
        <v>1.9064108372076557E-2</v>
      </c>
      <c r="H32" s="245">
        <f t="shared" si="8"/>
        <v>2.3672883617773741E-2</v>
      </c>
      <c r="I32" s="245">
        <f t="shared" si="8"/>
        <v>2.8670517911631447E-2</v>
      </c>
      <c r="J32" s="245">
        <f t="shared" si="8"/>
        <v>2.6083949977655823E-2</v>
      </c>
      <c r="K32" s="245">
        <f t="shared" si="8"/>
        <v>2.0088429384437272E-2</v>
      </c>
      <c r="L32" s="245">
        <f t="shared" si="8"/>
        <v>2.4983279495356052E-2</v>
      </c>
      <c r="M32" s="245">
        <f t="shared" si="8"/>
        <v>2.53348647405655E-2</v>
      </c>
      <c r="N32" s="245">
        <f t="shared" si="8"/>
        <v>2.4662554595069788E-2</v>
      </c>
      <c r="O32" s="245">
        <f t="shared" si="8"/>
        <v>2.5244421245573512E-2</v>
      </c>
      <c r="P32" s="245">
        <f t="shared" si="8"/>
        <v>2.8626316131800684E-2</v>
      </c>
      <c r="Q32" s="245">
        <f t="shared" si="8"/>
        <v>2.8140819071500147E-2</v>
      </c>
      <c r="R32" s="245">
        <f t="shared" si="8"/>
        <v>2.4272616079137648E-2</v>
      </c>
      <c r="S32" s="245">
        <f t="shared" si="8"/>
        <v>2.2605260774319822E-2</v>
      </c>
      <c r="T32" s="245">
        <f t="shared" si="8"/>
        <v>2.0604410871148261E-2</v>
      </c>
      <c r="U32" s="245">
        <f t="shared" si="8"/>
        <v>2.0878876667072555E-2</v>
      </c>
      <c r="V32" s="245">
        <f t="shared" si="8"/>
        <v>1.6324177796123752E-2</v>
      </c>
      <c r="W32" s="245">
        <f t="shared" si="8"/>
        <v>1.5516207576897497E-2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1.4727478741608352E-2</v>
      </c>
      <c r="C33" s="246">
        <f t="shared" si="9"/>
        <v>1.5678347493830572E-2</v>
      </c>
      <c r="D33" s="246">
        <f t="shared" si="9"/>
        <v>1.4980611841932449E-2</v>
      </c>
      <c r="E33" s="246">
        <f t="shared" si="9"/>
        <v>1.4302141155144514E-2</v>
      </c>
      <c r="F33" s="246">
        <f t="shared" si="9"/>
        <v>1.464204992977754E-2</v>
      </c>
      <c r="G33" s="246">
        <f t="shared" si="9"/>
        <v>1.2391670441849762E-2</v>
      </c>
      <c r="H33" s="246">
        <f t="shared" si="9"/>
        <v>1.5387374351552921E-2</v>
      </c>
      <c r="I33" s="246">
        <f t="shared" si="9"/>
        <v>1.8635836642560435E-2</v>
      </c>
      <c r="J33" s="246">
        <f t="shared" si="9"/>
        <v>1.6954567485476281E-2</v>
      </c>
      <c r="K33" s="246">
        <f t="shared" si="9"/>
        <v>1.3057479099884224E-2</v>
      </c>
      <c r="L33" s="246">
        <f t="shared" si="9"/>
        <v>1.6239131671981426E-2</v>
      </c>
      <c r="M33" s="246">
        <f t="shared" si="9"/>
        <v>1.6467662081367563E-2</v>
      </c>
      <c r="N33" s="246">
        <f t="shared" si="9"/>
        <v>1.6030660486795356E-2</v>
      </c>
      <c r="O33" s="246">
        <f t="shared" si="9"/>
        <v>1.6408873809622773E-2</v>
      </c>
      <c r="P33" s="246">
        <f t="shared" si="9"/>
        <v>1.8607105485670433E-2</v>
      </c>
      <c r="Q33" s="246">
        <f t="shared" si="9"/>
        <v>1.8291532396475095E-2</v>
      </c>
      <c r="R33" s="246">
        <f t="shared" si="9"/>
        <v>1.5777200451439478E-2</v>
      </c>
      <c r="S33" s="246">
        <f t="shared" si="9"/>
        <v>1.4693419503307877E-2</v>
      </c>
      <c r="T33" s="246">
        <f t="shared" si="9"/>
        <v>1.3392867066246369E-2</v>
      </c>
      <c r="U33" s="246">
        <f t="shared" si="9"/>
        <v>1.357126983359716E-2</v>
      </c>
      <c r="V33" s="246">
        <f t="shared" si="9"/>
        <v>1.0610715567480434E-2</v>
      </c>
      <c r="W33" s="246">
        <f t="shared" si="9"/>
        <v>1.0085534924983373E-2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2.0391893642226957E-2</v>
      </c>
      <c r="C34" s="246">
        <f t="shared" si="10"/>
        <v>2.1708481145303861E-2</v>
      </c>
      <c r="D34" s="246">
        <f t="shared" si="10"/>
        <v>2.0742385627291079E-2</v>
      </c>
      <c r="E34" s="246">
        <f t="shared" si="10"/>
        <v>1.9802964676353948E-2</v>
      </c>
      <c r="F34" s="246">
        <f t="shared" si="10"/>
        <v>2.0273607595076605E-2</v>
      </c>
      <c r="G34" s="246">
        <f t="shared" si="10"/>
        <v>1.7157697534868899E-2</v>
      </c>
      <c r="H34" s="246">
        <f t="shared" si="10"/>
        <v>2.1305595255996353E-2</v>
      </c>
      <c r="I34" s="246">
        <f t="shared" si="10"/>
        <v>2.580346612046831E-2</v>
      </c>
      <c r="J34" s="246">
        <f t="shared" si="10"/>
        <v>2.3475554979890245E-2</v>
      </c>
      <c r="K34" s="246">
        <f t="shared" si="10"/>
        <v>1.8079586445993546E-2</v>
      </c>
      <c r="L34" s="246">
        <f t="shared" si="10"/>
        <v>2.2484951545820434E-2</v>
      </c>
      <c r="M34" s="246">
        <f t="shared" si="10"/>
        <v>2.2801378266508941E-2</v>
      </c>
      <c r="N34" s="246">
        <f t="shared" si="10"/>
        <v>2.2196299135562814E-2</v>
      </c>
      <c r="O34" s="246">
        <f t="shared" si="10"/>
        <v>2.271997912101615E-2</v>
      </c>
      <c r="P34" s="246">
        <f t="shared" si="10"/>
        <v>2.5763684518620596E-2</v>
      </c>
      <c r="Q34" s="246">
        <f t="shared" si="10"/>
        <v>2.5326737164350129E-2</v>
      </c>
      <c r="R34" s="246">
        <f t="shared" si="10"/>
        <v>2.1845354471223898E-2</v>
      </c>
      <c r="S34" s="246">
        <f t="shared" si="10"/>
        <v>2.0344734696887835E-2</v>
      </c>
      <c r="T34" s="246">
        <f t="shared" si="10"/>
        <v>1.8543969784033429E-2</v>
      </c>
      <c r="U34" s="246">
        <f t="shared" si="10"/>
        <v>1.8790989000365292E-2</v>
      </c>
      <c r="V34" s="246">
        <f t="shared" si="10"/>
        <v>1.469176001651137E-2</v>
      </c>
      <c r="W34" s="246">
        <f t="shared" si="10"/>
        <v>1.3964586819207748E-2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0.24971342966102</v>
      </c>
      <c r="C35" s="247">
        <f t="shared" si="11"/>
        <v>0.26517065639864901</v>
      </c>
      <c r="D35" s="247">
        <f t="shared" si="11"/>
        <v>0.26816151568452817</v>
      </c>
      <c r="E35" s="247">
        <f t="shared" si="11"/>
        <v>0.29933081594142441</v>
      </c>
      <c r="F35" s="247">
        <f t="shared" si="11"/>
        <v>0.23775130372260708</v>
      </c>
      <c r="G35" s="247">
        <f t="shared" si="11"/>
        <v>0.22439396966661584</v>
      </c>
      <c r="H35" s="247">
        <f t="shared" si="11"/>
        <v>0.21641316774918209</v>
      </c>
      <c r="I35" s="247">
        <f t="shared" si="11"/>
        <v>0.21213602575408477</v>
      </c>
      <c r="J35" s="247">
        <f t="shared" si="11"/>
        <v>0.20443578239173649</v>
      </c>
      <c r="K35" s="247">
        <f t="shared" si="11"/>
        <v>0.21558202593601419</v>
      </c>
      <c r="L35" s="247">
        <f t="shared" si="11"/>
        <v>0.21275983252090758</v>
      </c>
      <c r="M35" s="247">
        <f t="shared" si="11"/>
        <v>0.21562833916234522</v>
      </c>
      <c r="N35" s="247">
        <f t="shared" si="11"/>
        <v>0.22088024129525616</v>
      </c>
      <c r="O35" s="247">
        <f t="shared" si="11"/>
        <v>0.21377867304241732</v>
      </c>
      <c r="P35" s="247">
        <f t="shared" si="11"/>
        <v>0.21501801432747922</v>
      </c>
      <c r="Q35" s="247">
        <f t="shared" si="11"/>
        <v>0.20949385420471325</v>
      </c>
      <c r="R35" s="247">
        <f t="shared" si="11"/>
        <v>0.2080200345118777</v>
      </c>
      <c r="S35" s="247">
        <f t="shared" si="11"/>
        <v>0.20866117998979181</v>
      </c>
      <c r="T35" s="247">
        <f t="shared" si="11"/>
        <v>0.20564485102996191</v>
      </c>
      <c r="U35" s="247">
        <f t="shared" si="11"/>
        <v>0.20671582276146239</v>
      </c>
      <c r="V35" s="247">
        <f t="shared" si="11"/>
        <v>0.21215855455861063</v>
      </c>
      <c r="W35" s="247">
        <f t="shared" si="11"/>
        <v>0.21193260483174398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0.23717162866362018</v>
      </c>
      <c r="C36" s="260">
        <f t="shared" si="12"/>
        <v>0.22831892122704731</v>
      </c>
      <c r="D36" s="260">
        <f t="shared" si="12"/>
        <v>0.22716974698193004</v>
      </c>
      <c r="E36" s="260">
        <f t="shared" si="12"/>
        <v>0.21701527274176946</v>
      </c>
      <c r="F36" s="260">
        <f t="shared" si="12"/>
        <v>0.22796846459269013</v>
      </c>
      <c r="G36" s="260">
        <f t="shared" si="12"/>
        <v>0.21347021746257674</v>
      </c>
      <c r="H36" s="260">
        <f t="shared" si="12"/>
        <v>0.22959191972554477</v>
      </c>
      <c r="I36" s="260">
        <f t="shared" si="12"/>
        <v>0.21389168675990919</v>
      </c>
      <c r="J36" s="260">
        <f t="shared" si="12"/>
        <v>0.2029424726288292</v>
      </c>
      <c r="K36" s="260">
        <f t="shared" si="12"/>
        <v>0.2328622038774921</v>
      </c>
      <c r="L36" s="260">
        <f t="shared" si="12"/>
        <v>0.22939692976067355</v>
      </c>
      <c r="M36" s="260">
        <f t="shared" si="12"/>
        <v>0.23873286027440049</v>
      </c>
      <c r="N36" s="260">
        <f t="shared" si="12"/>
        <v>0.24291292947597992</v>
      </c>
      <c r="O36" s="260">
        <f t="shared" si="12"/>
        <v>0.23073471632599143</v>
      </c>
      <c r="P36" s="260">
        <f t="shared" si="12"/>
        <v>0.23664647004804126</v>
      </c>
      <c r="Q36" s="260">
        <f t="shared" si="12"/>
        <v>0.23591398448645842</v>
      </c>
      <c r="R36" s="260">
        <f t="shared" si="12"/>
        <v>0.24573072048066155</v>
      </c>
      <c r="S36" s="260">
        <f t="shared" si="12"/>
        <v>0.24219303041116735</v>
      </c>
      <c r="T36" s="260">
        <f t="shared" si="12"/>
        <v>0.25063258418802514</v>
      </c>
      <c r="U36" s="260">
        <f t="shared" si="12"/>
        <v>0.24995060520638085</v>
      </c>
      <c r="V36" s="260">
        <f t="shared" si="12"/>
        <v>0.25584991683852759</v>
      </c>
      <c r="W36" s="260">
        <f t="shared" si="12"/>
        <v>0.25877681696521693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0.35425213869209293</v>
      </c>
      <c r="C37" s="260">
        <f t="shared" si="13"/>
        <v>0.34203436588391123</v>
      </c>
      <c r="D37" s="260">
        <f t="shared" si="13"/>
        <v>0.34578070157354412</v>
      </c>
      <c r="E37" s="260">
        <f t="shared" si="13"/>
        <v>0.33193614768963753</v>
      </c>
      <c r="F37" s="260">
        <f t="shared" si="13"/>
        <v>0.3778430380806963</v>
      </c>
      <c r="G37" s="260">
        <f t="shared" si="13"/>
        <v>0.42579518972285813</v>
      </c>
      <c r="H37" s="260">
        <f t="shared" si="13"/>
        <v>0.39151249370517205</v>
      </c>
      <c r="I37" s="260">
        <f t="shared" si="13"/>
        <v>0.38951862780239055</v>
      </c>
      <c r="J37" s="260">
        <f t="shared" si="13"/>
        <v>0.42320490770872576</v>
      </c>
      <c r="K37" s="260">
        <f t="shared" si="13"/>
        <v>0.40636721017962879</v>
      </c>
      <c r="L37" s="260">
        <f t="shared" si="13"/>
        <v>0.38884630845714885</v>
      </c>
      <c r="M37" s="260">
        <f t="shared" si="13"/>
        <v>0.37308996822464502</v>
      </c>
      <c r="N37" s="260">
        <f t="shared" si="13"/>
        <v>0.36621631248500175</v>
      </c>
      <c r="O37" s="260">
        <f t="shared" si="13"/>
        <v>0.38492690578196265</v>
      </c>
      <c r="P37" s="260">
        <f t="shared" si="13"/>
        <v>0.35973034359909201</v>
      </c>
      <c r="Q37" s="260">
        <f t="shared" si="13"/>
        <v>0.36855522778993527</v>
      </c>
      <c r="R37" s="260">
        <f t="shared" si="13"/>
        <v>0.3776669588191135</v>
      </c>
      <c r="S37" s="260">
        <f t="shared" si="13"/>
        <v>0.38958007656377303</v>
      </c>
      <c r="T37" s="260">
        <f t="shared" si="13"/>
        <v>0.39253937067145789</v>
      </c>
      <c r="U37" s="260">
        <f t="shared" si="13"/>
        <v>0.39090909688672848</v>
      </c>
      <c r="V37" s="260">
        <f t="shared" si="13"/>
        <v>0.40120694591881839</v>
      </c>
      <c r="W37" s="260">
        <f t="shared" si="13"/>
        <v>0.40198341836380247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4.5574504970895061E-2</v>
      </c>
      <c r="C38" s="260">
        <f t="shared" si="14"/>
        <v>4.3873383460926466E-2</v>
      </c>
      <c r="D38" s="260">
        <f t="shared" si="14"/>
        <v>4.36525600528248E-2</v>
      </c>
      <c r="E38" s="260">
        <f t="shared" si="14"/>
        <v>4.1701293202980022E-2</v>
      </c>
      <c r="F38" s="260">
        <f t="shared" si="14"/>
        <v>4.3806040298025477E-2</v>
      </c>
      <c r="G38" s="260">
        <f t="shared" si="14"/>
        <v>4.1020081287566589E-2</v>
      </c>
      <c r="H38" s="260">
        <f t="shared" si="14"/>
        <v>4.4118000731232454E-2</v>
      </c>
      <c r="I38" s="260">
        <f t="shared" si="14"/>
        <v>4.1101070125458335E-2</v>
      </c>
      <c r="J38" s="260">
        <f t="shared" si="14"/>
        <v>3.8997087382429491E-2</v>
      </c>
      <c r="K38" s="260">
        <f t="shared" si="14"/>
        <v>4.4746413084678575E-2</v>
      </c>
      <c r="L38" s="260">
        <f t="shared" si="14"/>
        <v>4.4080531784489625E-2</v>
      </c>
      <c r="M38" s="260">
        <f t="shared" si="14"/>
        <v>4.5874508635781797E-2</v>
      </c>
      <c r="N38" s="260">
        <f t="shared" si="14"/>
        <v>4.6677743768413299E-2</v>
      </c>
      <c r="O38" s="260">
        <f t="shared" si="14"/>
        <v>4.4337598621761086E-2</v>
      </c>
      <c r="P38" s="260">
        <f t="shared" si="14"/>
        <v>4.5473591366384007E-2</v>
      </c>
      <c r="Q38" s="260">
        <f t="shared" si="14"/>
        <v>4.5332838161392455E-2</v>
      </c>
      <c r="R38" s="260">
        <f t="shared" si="14"/>
        <v>4.7219205792658828E-2</v>
      </c>
      <c r="S38" s="260">
        <f t="shared" si="14"/>
        <v>4.6539409163668555E-2</v>
      </c>
      <c r="T38" s="260">
        <f t="shared" si="14"/>
        <v>4.8161139754813842E-2</v>
      </c>
      <c r="U38" s="260">
        <f t="shared" si="14"/>
        <v>4.8030091810065505E-2</v>
      </c>
      <c r="V38" s="260">
        <f t="shared" si="14"/>
        <v>4.9163693703424556E-2</v>
      </c>
      <c r="W38" s="260">
        <f t="shared" si="14"/>
        <v>4.9726121954749278E-2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2.2657659602474397E-2</v>
      </c>
      <c r="C39" s="260">
        <f t="shared" si="15"/>
        <v>2.4120534605893185E-2</v>
      </c>
      <c r="D39" s="260">
        <f t="shared" si="15"/>
        <v>2.3047095141434541E-2</v>
      </c>
      <c r="E39" s="260">
        <f t="shared" si="15"/>
        <v>2.2003294084837734E-2</v>
      </c>
      <c r="F39" s="260">
        <f t="shared" si="15"/>
        <v>2.2526230661196221E-2</v>
      </c>
      <c r="G39" s="260">
        <f t="shared" si="15"/>
        <v>1.9064108372076557E-2</v>
      </c>
      <c r="H39" s="260">
        <f t="shared" si="15"/>
        <v>2.3672883617773741E-2</v>
      </c>
      <c r="I39" s="260">
        <f t="shared" si="15"/>
        <v>2.8670517911631447E-2</v>
      </c>
      <c r="J39" s="260">
        <f t="shared" si="15"/>
        <v>2.6083949977655823E-2</v>
      </c>
      <c r="K39" s="260">
        <f t="shared" si="15"/>
        <v>2.0088429384437272E-2</v>
      </c>
      <c r="L39" s="260">
        <f t="shared" si="15"/>
        <v>2.4983279495356052E-2</v>
      </c>
      <c r="M39" s="260">
        <f t="shared" si="15"/>
        <v>2.53348647405655E-2</v>
      </c>
      <c r="N39" s="260">
        <f t="shared" si="15"/>
        <v>2.4662554595069788E-2</v>
      </c>
      <c r="O39" s="260">
        <f t="shared" si="15"/>
        <v>2.5244421245573512E-2</v>
      </c>
      <c r="P39" s="260">
        <f t="shared" si="15"/>
        <v>2.8626316131800684E-2</v>
      </c>
      <c r="Q39" s="260">
        <f t="shared" si="15"/>
        <v>2.8140819071500147E-2</v>
      </c>
      <c r="R39" s="260">
        <f t="shared" si="15"/>
        <v>2.4272616079137648E-2</v>
      </c>
      <c r="S39" s="260">
        <f t="shared" si="15"/>
        <v>2.2605260774319822E-2</v>
      </c>
      <c r="T39" s="260">
        <f t="shared" si="15"/>
        <v>2.0604410871148261E-2</v>
      </c>
      <c r="U39" s="260">
        <f t="shared" si="15"/>
        <v>2.0878876667072555E-2</v>
      </c>
      <c r="V39" s="260">
        <f t="shared" si="15"/>
        <v>1.6324177796123752E-2</v>
      </c>
      <c r="W39" s="260">
        <f t="shared" si="15"/>
        <v>1.5516207576897497E-2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3.2853606423587867E-2</v>
      </c>
      <c r="C40" s="262">
        <f t="shared" si="16"/>
        <v>3.4974775178545144E-2</v>
      </c>
      <c r="D40" s="262">
        <f t="shared" si="16"/>
        <v>3.3418287955080082E-2</v>
      </c>
      <c r="E40" s="262">
        <f t="shared" si="16"/>
        <v>3.1904776423014709E-2</v>
      </c>
      <c r="F40" s="262">
        <f t="shared" si="16"/>
        <v>3.2663034458734537E-2</v>
      </c>
      <c r="G40" s="262">
        <f t="shared" si="16"/>
        <v>2.764295713951101E-2</v>
      </c>
      <c r="H40" s="262">
        <f t="shared" si="16"/>
        <v>3.4325681245771913E-2</v>
      </c>
      <c r="I40" s="262">
        <f t="shared" si="16"/>
        <v>4.1572250971865607E-2</v>
      </c>
      <c r="J40" s="262">
        <f t="shared" si="16"/>
        <v>3.782172746760093E-2</v>
      </c>
      <c r="K40" s="262">
        <f t="shared" si="16"/>
        <v>2.912822260743406E-2</v>
      </c>
      <c r="L40" s="262">
        <f t="shared" si="16"/>
        <v>3.6225755268266276E-2</v>
      </c>
      <c r="M40" s="262">
        <f t="shared" si="16"/>
        <v>3.6735553873819958E-2</v>
      </c>
      <c r="N40" s="262">
        <f t="shared" si="16"/>
        <v>3.5760704162851195E-2</v>
      </c>
      <c r="O40" s="262">
        <f t="shared" si="16"/>
        <v>3.660441080608158E-2</v>
      </c>
      <c r="P40" s="262">
        <f t="shared" si="16"/>
        <v>4.1508158391110994E-2</v>
      </c>
      <c r="Q40" s="262">
        <f t="shared" si="16"/>
        <v>4.0804187653675231E-2</v>
      </c>
      <c r="R40" s="262">
        <f t="shared" si="16"/>
        <v>3.5195293314749597E-2</v>
      </c>
      <c r="S40" s="262">
        <f t="shared" si="16"/>
        <v>3.277762812276374E-2</v>
      </c>
      <c r="T40" s="262">
        <f t="shared" si="16"/>
        <v>2.9876395763164979E-2</v>
      </c>
      <c r="U40" s="262">
        <f t="shared" si="16"/>
        <v>3.0274371167255204E-2</v>
      </c>
      <c r="V40" s="262">
        <f t="shared" si="16"/>
        <v>2.3670057804379439E-2</v>
      </c>
      <c r="W40" s="262">
        <f t="shared" si="16"/>
        <v>2.2498500986501375E-2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126.45888445910967</v>
      </c>
      <c r="C44" s="237">
        <f t="shared" si="17"/>
        <v>122.34803499436487</v>
      </c>
      <c r="D44" s="237">
        <f t="shared" si="17"/>
        <v>127.81056238438661</v>
      </c>
      <c r="E44" s="237">
        <f t="shared" si="17"/>
        <v>135.4328803289018</v>
      </c>
      <c r="F44" s="237">
        <f t="shared" si="17"/>
        <v>134.84363036747555</v>
      </c>
      <c r="G44" s="237">
        <f t="shared" si="17"/>
        <v>154.42655608236754</v>
      </c>
      <c r="H44" s="237">
        <f t="shared" si="17"/>
        <v>146.93020171673032</v>
      </c>
      <c r="I44" s="237">
        <f t="shared" si="17"/>
        <v>137.23851152262924</v>
      </c>
      <c r="J44" s="237">
        <f t="shared" si="17"/>
        <v>139.32723127138408</v>
      </c>
      <c r="K44" s="237">
        <f t="shared" si="17"/>
        <v>156.36023356757093</v>
      </c>
      <c r="L44" s="237">
        <f t="shared" si="17"/>
        <v>144.58585940593417</v>
      </c>
      <c r="M44" s="237">
        <f t="shared" si="17"/>
        <v>132.8002659379103</v>
      </c>
      <c r="N44" s="237">
        <f t="shared" si="17"/>
        <v>135.04301399101345</v>
      </c>
      <c r="O44" s="237">
        <f t="shared" si="17"/>
        <v>132.95020410976795</v>
      </c>
      <c r="P44" s="237">
        <f t="shared" si="17"/>
        <v>130.15939664117732</v>
      </c>
      <c r="Q44" s="237">
        <f t="shared" si="17"/>
        <v>132.91816907674806</v>
      </c>
      <c r="R44" s="237">
        <f t="shared" si="17"/>
        <v>135.38540863538168</v>
      </c>
      <c r="S44" s="237">
        <f t="shared" si="17"/>
        <v>124.90211009173746</v>
      </c>
      <c r="T44" s="237">
        <f t="shared" si="17"/>
        <v>141.27985612939966</v>
      </c>
      <c r="U44" s="237">
        <f t="shared" si="17"/>
        <v>142.0119845958406</v>
      </c>
      <c r="V44" s="237">
        <f t="shared" si="17"/>
        <v>148.62601044661247</v>
      </c>
      <c r="W44" s="237">
        <f t="shared" si="17"/>
        <v>142.54014154785787</v>
      </c>
      <c r="DA44" s="281"/>
    </row>
    <row r="45" spans="1:105" x14ac:dyDescent="0.25">
      <c r="A45" s="239" t="s">
        <v>125</v>
      </c>
      <c r="B45" s="248">
        <f>IF(B$6=0,0,B$6/AGR!B$5*1000)</f>
        <v>2.8652623577831462</v>
      </c>
      <c r="C45" s="248">
        <f>IF(C$6=0,0,C$6/AGR!C$5*1000)</f>
        <v>2.9511000120446083</v>
      </c>
      <c r="D45" s="248">
        <f>IF(D$6=0,0,D$6/AGR!D$5*1000)</f>
        <v>2.9456621913532137</v>
      </c>
      <c r="E45" s="248">
        <f>IF(E$6=0,0,E$6/AGR!E$5*1000)</f>
        <v>2.9799694946334614</v>
      </c>
      <c r="F45" s="248">
        <f>IF(F$6=0,0,F$6/AGR!F$5*1000)</f>
        <v>3.0375187208508376</v>
      </c>
      <c r="G45" s="248">
        <f>IF(G$6=0,0,G$6/AGR!G$5*1000)</f>
        <v>2.9440046006808127</v>
      </c>
      <c r="H45" s="248">
        <f>IF(H$6=0,0,H$6/AGR!H$5*1000)</f>
        <v>3.4782615651761755</v>
      </c>
      <c r="I45" s="248">
        <f>IF(I$6=0,0,I$6/AGR!I$5*1000)</f>
        <v>3.9346992027751804</v>
      </c>
      <c r="J45" s="248">
        <f>IF(J$6=0,0,J$6/AGR!J$5*1000)</f>
        <v>3.634204531008066</v>
      </c>
      <c r="K45" s="248">
        <f>IF(K$6=0,0,K$6/AGR!K$5*1000)</f>
        <v>3.1410315105562669</v>
      </c>
      <c r="L45" s="248">
        <f>IF(L$6=0,0,L$6/AGR!L$5*1000)</f>
        <v>3.6122289366147089</v>
      </c>
      <c r="M45" s="248">
        <f>IF(M$6=0,0,M$6/AGR!M$5*1000)</f>
        <v>3.3644767750480851</v>
      </c>
      <c r="N45" s="248">
        <f>IF(N$6=0,0,N$6/AGR!N$5*1000)</f>
        <v>3.330505705236142</v>
      </c>
      <c r="O45" s="248">
        <f>IF(O$6=0,0,O$6/AGR!O$5*1000)</f>
        <v>3.3562509572319614</v>
      </c>
      <c r="P45" s="248">
        <f>IF(P$6=0,0,P$6/AGR!P$5*1000)</f>
        <v>3.7259840357747791</v>
      </c>
      <c r="Q45" s="248">
        <f>IF(Q$6=0,0,Q$6/AGR!Q$5*1000)</f>
        <v>3.7404261473038325</v>
      </c>
      <c r="R45" s="248">
        <f>IF(R$6=0,0,R$6/AGR!R$5*1000)</f>
        <v>3.286158046523787</v>
      </c>
      <c r="S45" s="248">
        <f>IF(S$6=0,0,S$6/AGR!S$5*1000)</f>
        <v>2.8234447698865286</v>
      </c>
      <c r="T45" s="248">
        <f>IF(T$6=0,0,T$6/AGR!T$5*1000)</f>
        <v>2.9109882035068648</v>
      </c>
      <c r="U45" s="248">
        <f>IF(U$6=0,0,U$6/AGR!U$5*1000)</f>
        <v>2.9650507116227636</v>
      </c>
      <c r="V45" s="248">
        <f>IF(V$6=0,0,V$6/AGR!V$5*1000)</f>
        <v>2.4261974196590477</v>
      </c>
      <c r="W45" s="248">
        <f>IF(W$6=0,0,W$6/AGR!W$5*1000)</f>
        <v>2.2116824242969142</v>
      </c>
      <c r="DA45" s="282"/>
    </row>
    <row r="46" spans="1:105" x14ac:dyDescent="0.25">
      <c r="A46" s="241" t="s">
        <v>124</v>
      </c>
      <c r="B46" s="249">
        <f>IF(B$7=0,0,B$7/AGR!B$5*1000)</f>
        <v>1.8624205325590442</v>
      </c>
      <c r="C46" s="249">
        <f>IF(C$7=0,0,C$7/AGR!C$5*1000)</f>
        <v>1.9182150078289955</v>
      </c>
      <c r="D46" s="249">
        <f>IF(D$7=0,0,D$7/AGR!D$5*1000)</f>
        <v>1.9146804243795883</v>
      </c>
      <c r="E46" s="249">
        <f>IF(E$7=0,0,E$7/AGR!E$5*1000)</f>
        <v>1.9369801715117485</v>
      </c>
      <c r="F46" s="249">
        <f>IF(F$7=0,0,F$7/AGR!F$5*1000)</f>
        <v>1.9743871685530441</v>
      </c>
      <c r="G46" s="249">
        <f>IF(G$7=0,0,G$7/AGR!G$5*1000)</f>
        <v>1.9136029904425285</v>
      </c>
      <c r="H46" s="249">
        <f>IF(H$7=0,0,H$7/AGR!H$5*1000)</f>
        <v>2.2608700173645131</v>
      </c>
      <c r="I46" s="249">
        <f>IF(I$7=0,0,I$7/AGR!I$5*1000)</f>
        <v>2.5575544818038658</v>
      </c>
      <c r="J46" s="249">
        <f>IF(J$7=0,0,J$7/AGR!J$5*1000)</f>
        <v>2.3622329451552422</v>
      </c>
      <c r="K46" s="249">
        <f>IF(K$7=0,0,K$7/AGR!K$5*1000)</f>
        <v>2.0416704818615732</v>
      </c>
      <c r="L46" s="249">
        <f>IF(L$7=0,0,L$7/AGR!L$5*1000)</f>
        <v>2.3479488087995599</v>
      </c>
      <c r="M46" s="249">
        <f>IF(M$7=0,0,M$7/AGR!M$5*1000)</f>
        <v>2.1869099037812538</v>
      </c>
      <c r="N46" s="249">
        <f>IF(N$7=0,0,N$7/AGR!N$5*1000)</f>
        <v>2.1648287084034918</v>
      </c>
      <c r="O46" s="249">
        <f>IF(O$7=0,0,O$7/AGR!O$5*1000)</f>
        <v>2.1815631222007736</v>
      </c>
      <c r="P46" s="249">
        <f>IF(P$7=0,0,P$7/AGR!P$5*1000)</f>
        <v>2.4218896232536054</v>
      </c>
      <c r="Q46" s="249">
        <f>IF(Q$7=0,0,Q$7/AGR!Q$5*1000)</f>
        <v>2.4312769957474911</v>
      </c>
      <c r="R46" s="249">
        <f>IF(R$7=0,0,R$7/AGR!R$5*1000)</f>
        <v>2.1360027302404623</v>
      </c>
      <c r="S46" s="249">
        <f>IF(S$7=0,0,S$7/AGR!S$5*1000)</f>
        <v>1.8352391004262432</v>
      </c>
      <c r="T46" s="249">
        <f>IF(T$7=0,0,T$7/AGR!T$5*1000)</f>
        <v>1.8921423322794617</v>
      </c>
      <c r="U46" s="249">
        <f>IF(U$7=0,0,U$7/AGR!U$5*1000)</f>
        <v>1.9272829625547963</v>
      </c>
      <c r="V46" s="249">
        <f>IF(V$7=0,0,V$7/AGR!V$5*1000)</f>
        <v>1.5770283227783806</v>
      </c>
      <c r="W46" s="249">
        <f>IF(W$7=0,0,W$7/AGR!W$5*1000)</f>
        <v>1.4375935757929938</v>
      </c>
      <c r="DA46" s="283"/>
    </row>
    <row r="47" spans="1:105" x14ac:dyDescent="0.25">
      <c r="A47" s="241" t="s">
        <v>123</v>
      </c>
      <c r="B47" s="249">
        <f>IF(B$8=0,0,B$8/AGR!B$5*1000)</f>
        <v>2.5787361220048313</v>
      </c>
      <c r="C47" s="249">
        <f>IF(C$8=0,0,C$8/AGR!C$5*1000)</f>
        <v>2.6559900108401471</v>
      </c>
      <c r="D47" s="249">
        <f>IF(D$8=0,0,D$8/AGR!D$5*1000)</f>
        <v>2.6510959722178913</v>
      </c>
      <c r="E47" s="249">
        <f>IF(E$8=0,0,E$8/AGR!E$5*1000)</f>
        <v>2.681972545170114</v>
      </c>
      <c r="F47" s="249">
        <f>IF(F$8=0,0,F$8/AGR!F$5*1000)</f>
        <v>2.7337668487657547</v>
      </c>
      <c r="G47" s="249">
        <f>IF(G$8=0,0,G$8/AGR!G$5*1000)</f>
        <v>2.6496041406127313</v>
      </c>
      <c r="H47" s="249">
        <f>IF(H$8=0,0,H$8/AGR!H$5*1000)</f>
        <v>3.1304354086585562</v>
      </c>
      <c r="I47" s="249">
        <f>IF(I$8=0,0,I$8/AGR!I$5*1000)</f>
        <v>3.541229282497663</v>
      </c>
      <c r="J47" s="249">
        <f>IF(J$8=0,0,J$8/AGR!J$5*1000)</f>
        <v>3.2707840779072601</v>
      </c>
      <c r="K47" s="249">
        <f>IF(K$8=0,0,K$8/AGR!K$5*1000)</f>
        <v>2.82692835950064</v>
      </c>
      <c r="L47" s="249">
        <f>IF(L$8=0,0,L$8/AGR!L$5*1000)</f>
        <v>3.2510060429532364</v>
      </c>
      <c r="M47" s="249">
        <f>IF(M$8=0,0,M$8/AGR!M$5*1000)</f>
        <v>3.0280290975432753</v>
      </c>
      <c r="N47" s="249">
        <f>IF(N$8=0,0,N$8/AGR!N$5*1000)</f>
        <v>2.9974551347125287</v>
      </c>
      <c r="O47" s="249">
        <f>IF(O$8=0,0,O$8/AGR!O$5*1000)</f>
        <v>3.0206258615087638</v>
      </c>
      <c r="P47" s="249">
        <f>IF(P$8=0,0,P$8/AGR!P$5*1000)</f>
        <v>3.3533856321972988</v>
      </c>
      <c r="Q47" s="249">
        <f>IF(Q$8=0,0,Q$8/AGR!Q$5*1000)</f>
        <v>3.3663835325734488</v>
      </c>
      <c r="R47" s="249">
        <f>IF(R$8=0,0,R$8/AGR!R$5*1000)</f>
        <v>2.9575422418714101</v>
      </c>
      <c r="S47" s="249">
        <f>IF(S$8=0,0,S$8/AGR!S$5*1000)</f>
        <v>2.5411002928978754</v>
      </c>
      <c r="T47" s="249">
        <f>IF(T$8=0,0,T$8/AGR!T$5*1000)</f>
        <v>2.6198893831561771</v>
      </c>
      <c r="U47" s="249">
        <f>IF(U$8=0,0,U$8/AGR!U$5*1000)</f>
        <v>2.6685456404604864</v>
      </c>
      <c r="V47" s="249">
        <f>IF(V$8=0,0,V$8/AGR!V$5*1000)</f>
        <v>2.1835776776931426</v>
      </c>
      <c r="W47" s="249">
        <f>IF(W$8=0,0,W$8/AGR!W$5*1000)</f>
        <v>1.9905141818672223</v>
      </c>
      <c r="DA47" s="283"/>
    </row>
    <row r="48" spans="1:105" x14ac:dyDescent="0.25">
      <c r="A48" s="243" t="s">
        <v>122</v>
      </c>
      <c r="B48" s="250">
        <f>IF(B$9=0,0,B$9/AGR!B$5*1000)</f>
        <v>31.578481749390932</v>
      </c>
      <c r="C48" s="250">
        <f>IF(C$9=0,0,C$9/AGR!C$5*1000)</f>
        <v>32.44310874854061</v>
      </c>
      <c r="D48" s="250">
        <f>IF(D$9=0,0,D$9/AGR!D$5*1000)</f>
        <v>34.273874129489059</v>
      </c>
      <c r="E48" s="250">
        <f>IF(E$9=0,0,E$9/AGR!E$5*1000)</f>
        <v>40.539234574147464</v>
      </c>
      <c r="F48" s="250">
        <f>IF(F$9=0,0,F$9/AGR!F$5*1000)</f>
        <v>32.059248918556648</v>
      </c>
      <c r="G48" s="250">
        <f>IF(G$9=0,0,G$9/AGR!G$5*1000)</f>
        <v>34.652387941266731</v>
      </c>
      <c r="H48" s="250">
        <f>IF(H$9=0,0,H$9/AGR!H$5*1000)</f>
        <v>31.797630391543915</v>
      </c>
      <c r="I48" s="250">
        <f>IF(I$9=0,0,I$9/AGR!I$5*1000)</f>
        <v>29.113232414816732</v>
      </c>
      <c r="J48" s="250">
        <f>IF(J$9=0,0,J$9/AGR!J$5*1000)</f>
        <v>28.483471533439815</v>
      </c>
      <c r="K48" s="250">
        <f>IF(K$9=0,0,K$9/AGR!K$5*1000)</f>
        <v>33.708455928325314</v>
      </c>
      <c r="L48" s="250">
        <f>IF(L$9=0,0,L$9/AGR!L$5*1000)</f>
        <v>30.76206323209805</v>
      </c>
      <c r="M48" s="250">
        <f>IF(M$9=0,0,M$9/AGR!M$5*1000)</f>
        <v>28.635500784509361</v>
      </c>
      <c r="N48" s="250">
        <f>IF(N$9=0,0,N$9/AGR!N$5*1000)</f>
        <v>29.828333515573703</v>
      </c>
      <c r="O48" s="250">
        <f>IF(O$9=0,0,O$9/AGR!O$5*1000)</f>
        <v>28.421918215304732</v>
      </c>
      <c r="P48" s="250">
        <f>IF(P$9=0,0,P$9/AGR!P$5*1000)</f>
        <v>27.986615011848727</v>
      </c>
      <c r="Q48" s="250">
        <f>IF(Q$9=0,0,Q$9/AGR!Q$5*1000)</f>
        <v>27.845539533721681</v>
      </c>
      <c r="R48" s="250">
        <f>IF(R$9=0,0,R$9/AGR!R$5*1000)</f>
        <v>28.16287737673677</v>
      </c>
      <c r="S48" s="250">
        <f>IF(S$9=0,0,S$9/AGR!S$5*1000)</f>
        <v>26.062221674956824</v>
      </c>
      <c r="T48" s="250">
        <f>IF(T$9=0,0,T$9/AGR!T$5*1000)</f>
        <v>29.053474967264844</v>
      </c>
      <c r="U48" s="250">
        <f>IF(U$9=0,0,U$9/AGR!U$5*1000)</f>
        <v>29.356124237717317</v>
      </c>
      <c r="V48" s="250">
        <f>IF(V$9=0,0,V$9/AGR!V$5*1000)</f>
        <v>31.532279546166261</v>
      </c>
      <c r="W48" s="250">
        <f>IF(W$9=0,0,W$9/AGR!W$5*1000)</f>
        <v>30.20890349132301</v>
      </c>
      <c r="DA48" s="284"/>
    </row>
    <row r="49" spans="1:105" x14ac:dyDescent="0.25">
      <c r="A49" s="128" t="s">
        <v>175</v>
      </c>
      <c r="B49" s="263">
        <f>IF(B$16=0,0,B$16/AGR!B$5*1000)</f>
        <v>29.9924595861516</v>
      </c>
      <c r="C49" s="263">
        <f>IF(C$16=0,0,C$16/AGR!C$5*1000)</f>
        <v>27.934371364162423</v>
      </c>
      <c r="D49" s="263">
        <f>IF(D$16=0,0,D$16/AGR!D$5*1000)</f>
        <v>29.034693118479296</v>
      </c>
      <c r="E49" s="263">
        <f>IF(E$16=0,0,E$16/AGR!E$5*1000)</f>
        <v>29.391003462780045</v>
      </c>
      <c r="F49" s="263">
        <f>IF(F$16=0,0,F$16/AGR!F$5*1000)</f>
        <v>30.740095374977646</v>
      </c>
      <c r="G49" s="263">
        <f>IF(G$16=0,0,G$16/AGR!G$5*1000)</f>
        <v>32.965470508899799</v>
      </c>
      <c r="H49" s="263">
        <f>IF(H$16=0,0,H$16/AGR!H$5*1000)</f>
        <v>33.733987077805644</v>
      </c>
      <c r="I49" s="263">
        <f>IF(I$16=0,0,I$16/AGR!I$5*1000)</f>
        <v>29.354176717994395</v>
      </c>
      <c r="J49" s="263">
        <f>IF(J$16=0,0,J$16/AGR!J$5*1000)</f>
        <v>28.275412818743412</v>
      </c>
      <c r="K49" s="263">
        <f>IF(K$16=0,0,K$16/AGR!K$5*1000)</f>
        <v>36.410388587343981</v>
      </c>
      <c r="L49" s="263">
        <f>IF(L$16=0,0,L$16/AGR!L$5*1000)</f>
        <v>33.167552234529701</v>
      </c>
      <c r="M49" s="263">
        <f>IF(M$16=0,0,M$16/AGR!M$5*1000)</f>
        <v>31.703787332558367</v>
      </c>
      <c r="N49" s="263">
        <f>IF(N$16=0,0,N$16/AGR!N$5*1000)</f>
        <v>32.803694133822823</v>
      </c>
      <c r="O49" s="263">
        <f>IF(O$16=0,0,O$16/AGR!O$5*1000)</f>
        <v>30.676227630749974</v>
      </c>
      <c r="P49" s="263">
        <f>IF(P$16=0,0,P$16/AGR!P$5*1000)</f>
        <v>30.801761758717504</v>
      </c>
      <c r="Q49" s="263">
        <f>IF(Q$16=0,0,Q$16/AGR!Q$5*1000)</f>
        <v>31.357254877540395</v>
      </c>
      <c r="R49" s="263">
        <f>IF(R$16=0,0,R$16/AGR!R$5*1000)</f>
        <v>33.268354006541131</v>
      </c>
      <c r="S49" s="263">
        <f>IF(S$16=0,0,S$16/AGR!S$5*1000)</f>
        <v>30.250420547867144</v>
      </c>
      <c r="T49" s="263">
        <f>IF(T$16=0,0,T$16/AGR!T$5*1000)</f>
        <v>35.409335435423834</v>
      </c>
      <c r="U49" s="263">
        <f>IF(U$16=0,0,U$16/AGR!U$5*1000)</f>
        <v>35.495981496289595</v>
      </c>
      <c r="V49" s="263">
        <f>IF(V$16=0,0,V$16/AGR!V$5*1000)</f>
        <v>38.025952412807925</v>
      </c>
      <c r="W49" s="263">
        <f>IF(W$16=0,0,W$16/AGR!W$5*1000)</f>
        <v>36.886084119526124</v>
      </c>
      <c r="DA49" s="285"/>
    </row>
    <row r="50" spans="1:105" x14ac:dyDescent="0.25">
      <c r="A50" s="128" t="s">
        <v>121</v>
      </c>
      <c r="B50" s="263">
        <f>IF(B$17=0,0,B$17/AGR!B$5*1000)</f>
        <v>44.798330276255868</v>
      </c>
      <c r="C50" s="263">
        <f>IF(C$17=0,0,C$17/AGR!C$5*1000)</f>
        <v>41.847232566440169</v>
      </c>
      <c r="D50" s="263">
        <f>IF(D$17=0,0,D$17/AGR!D$5*1000)</f>
        <v>44.194425929782433</v>
      </c>
      <c r="E50" s="263">
        <f>IF(E$17=0,0,E$17/AGR!E$5*1000)</f>
        <v>44.955068566887348</v>
      </c>
      <c r="F50" s="263">
        <f>IF(F$17=0,0,F$17/AGR!F$5*1000)</f>
        <v>50.949726963877396</v>
      </c>
      <c r="G50" s="263">
        <f>IF(G$17=0,0,G$17/AGR!G$5*1000)</f>
        <v>65.754084745339284</v>
      </c>
      <c r="H50" s="263">
        <f>IF(H$17=0,0,H$17/AGR!H$5*1000)</f>
        <v>57.525009674721034</v>
      </c>
      <c r="I50" s="263">
        <f>IF(I$17=0,0,I$17/AGR!I$5*1000)</f>
        <v>53.456956689937101</v>
      </c>
      <c r="J50" s="263">
        <f>IF(J$17=0,0,J$17/AGR!J$5*1000)</f>
        <v>58.963968051518385</v>
      </c>
      <c r="K50" s="263">
        <f>IF(K$17=0,0,K$17/AGR!K$5*1000)</f>
        <v>63.539671897888937</v>
      </c>
      <c r="L50" s="263">
        <f>IF(L$17=0,0,L$17/AGR!L$5*1000)</f>
        <v>56.221677685101845</v>
      </c>
      <c r="M50" s="263">
        <f>IF(M$17=0,0,M$17/AGR!M$5*1000)</f>
        <v>49.546446998999365</v>
      </c>
      <c r="N50" s="263">
        <f>IF(N$17=0,0,N$17/AGR!N$5*1000)</f>
        <v>49.454954610649445</v>
      </c>
      <c r="O50" s="263">
        <f>IF(O$17=0,0,O$17/AGR!O$5*1000)</f>
        <v>51.17611069105336</v>
      </c>
      <c r="P50" s="263">
        <f>IF(P$17=0,0,P$17/AGR!P$5*1000)</f>
        <v>46.822284476381235</v>
      </c>
      <c r="Q50" s="263">
        <f>IF(Q$17=0,0,Q$17/AGR!Q$5*1000)</f>
        <v>48.987686081502005</v>
      </c>
      <c r="R50" s="263">
        <f>IF(R$17=0,0,R$17/AGR!R$5*1000)</f>
        <v>51.130595547807559</v>
      </c>
      <c r="S50" s="263">
        <f>IF(S$17=0,0,S$17/AGR!S$5*1000)</f>
        <v>48.659373612515893</v>
      </c>
      <c r="T50" s="263">
        <f>IF(T$17=0,0,T$17/AGR!T$5*1000)</f>
        <v>55.457905813588653</v>
      </c>
      <c r="U50" s="263">
        <f>IF(U$17=0,0,U$17/AGR!U$5*1000)</f>
        <v>55.513776645452054</v>
      </c>
      <c r="V50" s="263">
        <f>IF(V$17=0,0,V$17/AGR!V$5*1000)</f>
        <v>59.629787735383786</v>
      </c>
      <c r="W50" s="263">
        <f>IF(W$17=0,0,W$17/AGR!W$5*1000)</f>
        <v>57.298773353468171</v>
      </c>
      <c r="DA50" s="285"/>
    </row>
    <row r="51" spans="1:105" x14ac:dyDescent="0.25">
      <c r="A51" s="128" t="s">
        <v>174</v>
      </c>
      <c r="B51" s="263">
        <f>IF(B$25=0,0,B$25/AGR!B$5*1000)</f>
        <v>5.7633010583955366</v>
      </c>
      <c r="C51" s="263">
        <f>IF(C$25=0,0,C$25/AGR!C$5*1000)</f>
        <v>5.3678222549986208</v>
      </c>
      <c r="D51" s="263">
        <f>IF(D$25=0,0,D$25/AGR!D$5*1000)</f>
        <v>5.5792582498697483</v>
      </c>
      <c r="E51" s="263">
        <f>IF(E$25=0,0,E$25/AGR!E$5*1000)</f>
        <v>5.6477262519196394</v>
      </c>
      <c r="F51" s="263">
        <f>IF(F$25=0,0,F$25/AGR!F$5*1000)</f>
        <v>5.9069655058096862</v>
      </c>
      <c r="G51" s="263">
        <f>IF(G$25=0,0,G$25/AGR!G$5*1000)</f>
        <v>6.334589883457677</v>
      </c>
      <c r="H51" s="263">
        <f>IF(H$25=0,0,H$25/AGR!H$5*1000)</f>
        <v>6.4822667467788397</v>
      </c>
      <c r="I51" s="263">
        <f>IF(I$25=0,0,I$25/AGR!I$5*1000)</f>
        <v>5.640649686005105</v>
      </c>
      <c r="J51" s="263">
        <f>IF(J$25=0,0,J$25/AGR!J$5*1000)</f>
        <v>5.4333562126421269</v>
      </c>
      <c r="K51" s="263">
        <f>IF(K$25=0,0,K$25/AGR!K$5*1000)</f>
        <v>6.9965596012313531</v>
      </c>
      <c r="L51" s="263">
        <f>IF(L$25=0,0,L$25/AGR!L$5*1000)</f>
        <v>6.3734215711310309</v>
      </c>
      <c r="M51" s="263">
        <f>IF(M$25=0,0,M$25/AGR!M$5*1000)</f>
        <v>6.0921469466027842</v>
      </c>
      <c r="N51" s="263">
        <f>IF(N$25=0,0,N$25/AGR!N$5*1000)</f>
        <v>6.3035032047867778</v>
      </c>
      <c r="O51" s="263">
        <f>IF(O$25=0,0,O$25/AGR!O$5*1000)</f>
        <v>5.8946927865001033</v>
      </c>
      <c r="P51" s="263">
        <f>IF(P$25=0,0,P$25/AGR!P$5*1000)</f>
        <v>5.9188152153559948</v>
      </c>
      <c r="Q51" s="263">
        <f>IF(Q$25=0,0,Q$25/AGR!Q$5*1000)</f>
        <v>6.0255578474648184</v>
      </c>
      <c r="R51" s="263">
        <f>IF(R$25=0,0,R$25/AGR!R$5*1000)</f>
        <v>6.3927914716772989</v>
      </c>
      <c r="S51" s="263">
        <f>IF(S$25=0,0,S$25/AGR!S$5*1000)</f>
        <v>5.8128704069649455</v>
      </c>
      <c r="T51" s="263">
        <f>IF(T$25=0,0,T$25/AGR!T$5*1000)</f>
        <v>6.8041988955880104</v>
      </c>
      <c r="U51" s="263">
        <f>IF(U$25=0,0,U$25/AGR!U$5*1000)</f>
        <v>6.8208486582678329</v>
      </c>
      <c r="V51" s="263">
        <f>IF(V$25=0,0,V$25/AGR!V$5*1000)</f>
        <v>7.3070036539592325</v>
      </c>
      <c r="W51" s="263">
        <f>IF(W$25=0,0,W$25/AGR!W$5*1000)</f>
        <v>7.0879684620560042</v>
      </c>
      <c r="DA51" s="285"/>
    </row>
    <row r="52" spans="1:105" x14ac:dyDescent="0.25">
      <c r="A52" s="128" t="s">
        <v>177</v>
      </c>
      <c r="B52" s="263">
        <f>IF(B$26=0,0,B$26/AGR!B$5*1000)</f>
        <v>2.8652623577831462</v>
      </c>
      <c r="C52" s="263">
        <f>IF(C$26=0,0,C$26/AGR!C$5*1000)</f>
        <v>2.9511000120446083</v>
      </c>
      <c r="D52" s="263">
        <f>IF(D$26=0,0,D$26/AGR!D$5*1000)</f>
        <v>2.9456621913532137</v>
      </c>
      <c r="E52" s="263">
        <f>IF(E$26=0,0,E$26/AGR!E$5*1000)</f>
        <v>2.9799694946334614</v>
      </c>
      <c r="F52" s="263">
        <f>IF(F$26=0,0,F$26/AGR!F$5*1000)</f>
        <v>3.0375187208508376</v>
      </c>
      <c r="G52" s="263">
        <f>IF(G$26=0,0,G$26/AGR!G$5*1000)</f>
        <v>2.9440046006808127</v>
      </c>
      <c r="H52" s="263">
        <f>IF(H$26=0,0,H$26/AGR!H$5*1000)</f>
        <v>3.4782615651761755</v>
      </c>
      <c r="I52" s="263">
        <f>IF(I$26=0,0,I$26/AGR!I$5*1000)</f>
        <v>3.9346992027751804</v>
      </c>
      <c r="J52" s="263">
        <f>IF(J$26=0,0,J$26/AGR!J$5*1000)</f>
        <v>3.634204531008066</v>
      </c>
      <c r="K52" s="263">
        <f>IF(K$26=0,0,K$26/AGR!K$5*1000)</f>
        <v>3.1410315105562669</v>
      </c>
      <c r="L52" s="263">
        <f>IF(L$26=0,0,L$26/AGR!L$5*1000)</f>
        <v>3.6122289366147089</v>
      </c>
      <c r="M52" s="263">
        <f>IF(M$26=0,0,M$26/AGR!M$5*1000)</f>
        <v>3.3644767750480851</v>
      </c>
      <c r="N52" s="263">
        <f>IF(N$26=0,0,N$26/AGR!N$5*1000)</f>
        <v>3.330505705236142</v>
      </c>
      <c r="O52" s="263">
        <f>IF(O$26=0,0,O$26/AGR!O$5*1000)</f>
        <v>3.3562509572319614</v>
      </c>
      <c r="P52" s="263">
        <f>IF(P$26=0,0,P$26/AGR!P$5*1000)</f>
        <v>3.7259840357747791</v>
      </c>
      <c r="Q52" s="263">
        <f>IF(Q$26=0,0,Q$26/AGR!Q$5*1000)</f>
        <v>3.7404261473038325</v>
      </c>
      <c r="R52" s="263">
        <f>IF(R$26=0,0,R$26/AGR!R$5*1000)</f>
        <v>3.286158046523787</v>
      </c>
      <c r="S52" s="263">
        <f>IF(S$26=0,0,S$26/AGR!S$5*1000)</f>
        <v>2.8234447698865286</v>
      </c>
      <c r="T52" s="263">
        <f>IF(T$26=0,0,T$26/AGR!T$5*1000)</f>
        <v>2.9109882035068648</v>
      </c>
      <c r="U52" s="263">
        <f>IF(U$26=0,0,U$26/AGR!U$5*1000)</f>
        <v>2.9650507116227636</v>
      </c>
      <c r="V52" s="263">
        <f>IF(V$26=0,0,V$26/AGR!V$5*1000)</f>
        <v>2.4261974196590477</v>
      </c>
      <c r="W52" s="263">
        <f>IF(W$26=0,0,W$26/AGR!W$5*1000)</f>
        <v>2.2116824242969142</v>
      </c>
      <c r="DA52" s="285"/>
    </row>
    <row r="53" spans="1:105" x14ac:dyDescent="0.25">
      <c r="A53" s="261" t="s">
        <v>33</v>
      </c>
      <c r="B53" s="264">
        <f>IF(B$27=0,0,B$27/AGR!B$5*1000)</f>
        <v>4.1546304187855609</v>
      </c>
      <c r="C53" s="264">
        <f>IF(C$27=0,0,C$27/AGR!C$5*1000)</f>
        <v>4.2790950174646856</v>
      </c>
      <c r="D53" s="264">
        <f>IF(D$27=0,0,D$27/AGR!D$5*1000)</f>
        <v>4.2712101774621596</v>
      </c>
      <c r="E53" s="264">
        <f>IF(E$27=0,0,E$27/AGR!E$5*1000)</f>
        <v>4.3209557672185186</v>
      </c>
      <c r="F53" s="264">
        <f>IF(F$27=0,0,F$27/AGR!F$5*1000)</f>
        <v>4.4044021452337168</v>
      </c>
      <c r="G53" s="264">
        <f>IF(G$27=0,0,G$27/AGR!G$5*1000)</f>
        <v>4.2688066709871793</v>
      </c>
      <c r="H53" s="264">
        <f>IF(H$27=0,0,H$27/AGR!H$5*1000)</f>
        <v>5.043479269505454</v>
      </c>
      <c r="I53" s="264">
        <f>IF(I$27=0,0,I$27/AGR!I$5*1000)</f>
        <v>5.705313844024011</v>
      </c>
      <c r="J53" s="264">
        <f>IF(J$27=0,0,J$27/AGR!J$5*1000)</f>
        <v>5.2695965699616938</v>
      </c>
      <c r="K53" s="264">
        <f>IF(K$27=0,0,K$27/AGR!K$5*1000)</f>
        <v>4.554495690306589</v>
      </c>
      <c r="L53" s="264">
        <f>IF(L$27=0,0,L$27/AGR!L$5*1000)</f>
        <v>5.2377319580913282</v>
      </c>
      <c r="M53" s="264">
        <f>IF(M$27=0,0,M$27/AGR!M$5*1000)</f>
        <v>4.8784913238197216</v>
      </c>
      <c r="N53" s="264">
        <f>IF(N$27=0,0,N$27/AGR!N$5*1000)</f>
        <v>4.8292332725924068</v>
      </c>
      <c r="O53" s="264">
        <f>IF(O$27=0,0,O$27/AGR!O$5*1000)</f>
        <v>4.8665638879863424</v>
      </c>
      <c r="P53" s="264">
        <f>IF(P$27=0,0,P$27/AGR!P$5*1000)</f>
        <v>5.4026768518734309</v>
      </c>
      <c r="Q53" s="264">
        <f>IF(Q$27=0,0,Q$27/AGR!Q$5*1000)</f>
        <v>5.4236179135905598</v>
      </c>
      <c r="R53" s="264">
        <f>IF(R$27=0,0,R$27/AGR!R$5*1000)</f>
        <v>4.764929167459492</v>
      </c>
      <c r="S53" s="264">
        <f>IF(S$27=0,0,S$27/AGR!S$5*1000)</f>
        <v>4.0939949163354665</v>
      </c>
      <c r="T53" s="264">
        <f>IF(T$27=0,0,T$27/AGR!T$5*1000)</f>
        <v>4.2209328950849532</v>
      </c>
      <c r="U53" s="264">
        <f>IF(U$27=0,0,U$27/AGR!U$5*1000)</f>
        <v>4.2993235318530081</v>
      </c>
      <c r="V53" s="264">
        <f>IF(V$27=0,0,V$27/AGR!V$5*1000)</f>
        <v>3.5179862585056192</v>
      </c>
      <c r="W53" s="264">
        <f>IF(W$27=0,0,W$27/AGR!W$5*1000)</f>
        <v>3.2069395152305256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171.39382941320963</v>
      </c>
      <c r="C5" s="80">
        <f t="shared" ref="C5:W5" si="1">SUM(C6:C9,C16:C17,C25:C27)</f>
        <v>128.06414061704251</v>
      </c>
      <c r="D5" s="80">
        <f t="shared" si="1"/>
        <v>120.08243671030314</v>
      </c>
      <c r="E5" s="80">
        <f t="shared" si="1"/>
        <v>107.20488574968958</v>
      </c>
      <c r="F5" s="80">
        <f t="shared" si="1"/>
        <v>103.19170354720214</v>
      </c>
      <c r="G5" s="80">
        <f t="shared" si="1"/>
        <v>106.32041317468745</v>
      </c>
      <c r="H5" s="80">
        <f t="shared" si="1"/>
        <v>110.11318205226283</v>
      </c>
      <c r="I5" s="80">
        <f t="shared" si="1"/>
        <v>106.81155089285203</v>
      </c>
      <c r="J5" s="80">
        <f t="shared" si="1"/>
        <v>117.77337814675964</v>
      </c>
      <c r="K5" s="80">
        <f t="shared" si="1"/>
        <v>150.6531534346249</v>
      </c>
      <c r="L5" s="80">
        <f t="shared" si="1"/>
        <v>158.30026264278206</v>
      </c>
      <c r="M5" s="80">
        <f t="shared" si="1"/>
        <v>178.13431949380779</v>
      </c>
      <c r="N5" s="80">
        <f t="shared" si="1"/>
        <v>201.57601479231329</v>
      </c>
      <c r="O5" s="80">
        <f t="shared" si="1"/>
        <v>189.65544767142498</v>
      </c>
      <c r="P5" s="80">
        <f t="shared" si="1"/>
        <v>171.89297813963162</v>
      </c>
      <c r="Q5" s="80">
        <f t="shared" si="1"/>
        <v>186.15008836954655</v>
      </c>
      <c r="R5" s="80">
        <f t="shared" si="1"/>
        <v>181.00773594465173</v>
      </c>
      <c r="S5" s="80">
        <f t="shared" si="1"/>
        <v>197.14903922951822</v>
      </c>
      <c r="T5" s="80">
        <f t="shared" si="1"/>
        <v>221.17550751430207</v>
      </c>
      <c r="U5" s="80">
        <f t="shared" si="1"/>
        <v>218.01979993955382</v>
      </c>
      <c r="V5" s="80">
        <f t="shared" si="1"/>
        <v>205.2923726634759</v>
      </c>
      <c r="W5" s="80">
        <f t="shared" si="1"/>
        <v>218.4168893432041</v>
      </c>
      <c r="DA5" s="103"/>
    </row>
    <row r="6" spans="1:105" x14ac:dyDescent="0.25">
      <c r="A6" s="239" t="s">
        <v>125</v>
      </c>
      <c r="B6" s="240">
        <v>4.4580286666356548</v>
      </c>
      <c r="C6" s="240">
        <v>3.4693185369705128</v>
      </c>
      <c r="D6" s="240">
        <v>3.0950841825884039</v>
      </c>
      <c r="E6" s="240">
        <v>2.567345058613629</v>
      </c>
      <c r="F6" s="240">
        <v>2.697609318149722</v>
      </c>
      <c r="G6" s="240">
        <v>2.42840853440575</v>
      </c>
      <c r="H6" s="240">
        <v>3.088525465775799</v>
      </c>
      <c r="I6" s="240">
        <v>3.5820292424225868</v>
      </c>
      <c r="J6" s="240">
        <v>3.6177578322143358</v>
      </c>
      <c r="K6" s="240">
        <v>3.6099535287735449</v>
      </c>
      <c r="L6" s="240">
        <v>4.6359117430550363</v>
      </c>
      <c r="M6" s="240">
        <v>5.2801379024551451</v>
      </c>
      <c r="N6" s="240">
        <v>5.8023751959498648</v>
      </c>
      <c r="O6" s="240">
        <v>5.6487100725992683</v>
      </c>
      <c r="P6" s="240">
        <v>5.6881575725750411</v>
      </c>
      <c r="Q6" s="240">
        <v>6.1059331999175992</v>
      </c>
      <c r="R6" s="240">
        <v>5.2170187323392216</v>
      </c>
      <c r="S6" s="240">
        <v>5.3081623889564691</v>
      </c>
      <c r="T6" s="240">
        <v>5.5033678315482151</v>
      </c>
      <c r="U6" s="240">
        <v>5.4913758087930598</v>
      </c>
      <c r="V6" s="240">
        <v>4.0897558590891947</v>
      </c>
      <c r="W6" s="240">
        <v>4.1506941572895819</v>
      </c>
      <c r="DA6" s="268" t="s">
        <v>1014</v>
      </c>
    </row>
    <row r="7" spans="1:105" x14ac:dyDescent="0.25">
      <c r="A7" s="241" t="s">
        <v>124</v>
      </c>
      <c r="B7" s="242">
        <v>2.873458683039015</v>
      </c>
      <c r="C7" s="242">
        <v>2.2361775169582772</v>
      </c>
      <c r="D7" s="242">
        <v>1.994961716095716</v>
      </c>
      <c r="E7" s="242">
        <v>1.6548031658571569</v>
      </c>
      <c r="F7" s="242">
        <v>1.7387660552066591</v>
      </c>
      <c r="G7" s="242">
        <v>1.5652504976869741</v>
      </c>
      <c r="H7" s="242">
        <v>1.990734241760296</v>
      </c>
      <c r="I7" s="242">
        <v>2.3088261200676712</v>
      </c>
      <c r="J7" s="242">
        <v>2.3318552735897629</v>
      </c>
      <c r="K7" s="242">
        <v>2.3268249462491508</v>
      </c>
      <c r="L7" s="242">
        <v>2.9881146686158648</v>
      </c>
      <c r="M7" s="242">
        <v>3.403355886202323</v>
      </c>
      <c r="N7" s="242">
        <v>3.7399681867983352</v>
      </c>
      <c r="O7" s="242">
        <v>3.6409220801017499</v>
      </c>
      <c r="P7" s="242">
        <v>3.6663482874695692</v>
      </c>
      <c r="Q7" s="242">
        <v>3.9356289704167029</v>
      </c>
      <c r="R7" s="242">
        <v>3.3626719110647909</v>
      </c>
      <c r="S7" s="242">
        <v>3.421419297206747</v>
      </c>
      <c r="T7" s="242">
        <v>3.5472405549724662</v>
      </c>
      <c r="U7" s="242">
        <v>3.5395109990432072</v>
      </c>
      <c r="V7" s="242">
        <v>2.6360854457399081</v>
      </c>
      <c r="W7" s="242">
        <v>2.6753637221233739</v>
      </c>
      <c r="DA7" s="269" t="s">
        <v>1015</v>
      </c>
    </row>
    <row r="8" spans="1:105" x14ac:dyDescent="0.25">
      <c r="A8" s="241" t="s">
        <v>123</v>
      </c>
      <c r="B8" s="242">
        <v>5.7102297135049271</v>
      </c>
      <c r="C8" s="242">
        <v>4.4438040391456148</v>
      </c>
      <c r="D8" s="242">
        <v>3.9644522246989489</v>
      </c>
      <c r="E8" s="242">
        <v>3.2884781895265749</v>
      </c>
      <c r="F8" s="242">
        <v>3.4553319495702661</v>
      </c>
      <c r="G8" s="242">
        <v>3.1105162408382432</v>
      </c>
      <c r="H8" s="242">
        <v>3.9560512514378079</v>
      </c>
      <c r="I8" s="242">
        <v>4.5881736848859722</v>
      </c>
      <c r="J8" s="242">
        <v>4.6339379610507621</v>
      </c>
      <c r="K8" s="242">
        <v>4.6239415324198001</v>
      </c>
      <c r="L8" s="242">
        <v>5.9380777836848262</v>
      </c>
      <c r="M8" s="242">
        <v>6.7632585155081317</v>
      </c>
      <c r="N8" s="242">
        <v>7.4321853290865718</v>
      </c>
      <c r="O8" s="242">
        <v>7.2353577133619362</v>
      </c>
      <c r="P8" s="242">
        <v>7.2858854921918406</v>
      </c>
      <c r="Q8" s="242">
        <v>7.8210087449164529</v>
      </c>
      <c r="R8" s="242">
        <v>6.6824100087712477</v>
      </c>
      <c r="S8" s="242">
        <v>6.7991547080838366</v>
      </c>
      <c r="T8" s="242">
        <v>7.0491907670413676</v>
      </c>
      <c r="U8" s="242">
        <v>7.0338303443563364</v>
      </c>
      <c r="V8" s="242">
        <v>5.2385139652267316</v>
      </c>
      <c r="W8" s="242">
        <v>5.3165690220904391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69.505435832338151</v>
      </c>
      <c r="C9" s="244">
        <f t="shared" ref="C9:W9" si="3">SUM(C10:C15)</f>
        <v>54.54064614145976</v>
      </c>
      <c r="D9" s="244">
        <f t="shared" si="3"/>
        <v>51.478216888328973</v>
      </c>
      <c r="E9" s="244">
        <f t="shared" si="3"/>
        <v>50.27562770968332</v>
      </c>
      <c r="F9" s="244">
        <f t="shared" si="3"/>
        <v>40.379899413078668</v>
      </c>
      <c r="G9" s="244">
        <f t="shared" si="3"/>
        <v>40.442598709470779</v>
      </c>
      <c r="H9" s="244">
        <f t="shared" si="3"/>
        <v>39.831896553830013</v>
      </c>
      <c r="I9" s="244">
        <f t="shared" si="3"/>
        <v>38.555469998577053</v>
      </c>
      <c r="J9" s="244">
        <f t="shared" si="3"/>
        <v>41.000179897036816</v>
      </c>
      <c r="K9" s="244">
        <f t="shared" si="3"/>
        <v>54.007503742387293</v>
      </c>
      <c r="L9" s="244">
        <f t="shared" si="3"/>
        <v>55.802570854747763</v>
      </c>
      <c r="M9" s="244">
        <f t="shared" si="3"/>
        <v>63.170759017356886</v>
      </c>
      <c r="N9" s="244">
        <f t="shared" si="3"/>
        <v>72.805359666920452</v>
      </c>
      <c r="O9" s="244">
        <f t="shared" si="3"/>
        <v>67.687698014278993</v>
      </c>
      <c r="P9" s="244">
        <f t="shared" si="3"/>
        <v>60.808770885046584</v>
      </c>
      <c r="Q9" s="244">
        <f t="shared" si="3"/>
        <v>64.543091620386903</v>
      </c>
      <c r="R9" s="244">
        <f t="shared" si="3"/>
        <v>62.015065793187432</v>
      </c>
      <c r="S9" s="244">
        <f t="shared" si="3"/>
        <v>67.928936235702963</v>
      </c>
      <c r="T9" s="244">
        <f t="shared" si="3"/>
        <v>75.00596290351271</v>
      </c>
      <c r="U9" s="244">
        <f t="shared" si="3"/>
        <v>74.395258922497305</v>
      </c>
      <c r="V9" s="244">
        <f t="shared" si="3"/>
        <v>72.03346929291537</v>
      </c>
      <c r="W9" s="244">
        <f t="shared" si="3"/>
        <v>76.515128507478138</v>
      </c>
      <c r="DA9" s="270"/>
    </row>
    <row r="10" spans="1:105" x14ac:dyDescent="0.25">
      <c r="A10" s="254" t="s">
        <v>173</v>
      </c>
      <c r="B10" s="255">
        <v>21.03259503803012</v>
      </c>
      <c r="C10" s="255">
        <v>12.56798960531791</v>
      </c>
      <c r="D10" s="255">
        <v>10.63277781604242</v>
      </c>
      <c r="E10" s="255">
        <v>7.1250331354093701</v>
      </c>
      <c r="F10" s="255">
        <v>10.94955884180202</v>
      </c>
      <c r="G10" s="255">
        <v>10.401452906355621</v>
      </c>
      <c r="H10" s="255">
        <v>14.280836559101299</v>
      </c>
      <c r="I10" s="255">
        <v>11.033347985932251</v>
      </c>
      <c r="J10" s="255">
        <v>10.299748333589291</v>
      </c>
      <c r="K10" s="255">
        <v>19.865760424422241</v>
      </c>
      <c r="L10" s="255">
        <v>19.013068353563089</v>
      </c>
      <c r="M10" s="255">
        <v>25.001248289713601</v>
      </c>
      <c r="N10" s="255">
        <v>28.76086003969132</v>
      </c>
      <c r="O10" s="255">
        <v>24.227038654851469</v>
      </c>
      <c r="P10" s="255">
        <v>23.025223931755491</v>
      </c>
      <c r="Q10" s="255">
        <v>25.65095653650792</v>
      </c>
      <c r="R10" s="255">
        <v>29.612457973857151</v>
      </c>
      <c r="S10" s="255">
        <v>28.979189712298751</v>
      </c>
      <c r="T10" s="255">
        <v>38.828290206382142</v>
      </c>
      <c r="U10" s="255">
        <v>37.95199655222968</v>
      </c>
      <c r="V10" s="255">
        <v>38.165348185675647</v>
      </c>
      <c r="W10" s="255">
        <v>42.551190178015467</v>
      </c>
      <c r="DA10" s="271" t="s">
        <v>1017</v>
      </c>
    </row>
    <row r="11" spans="1:105" x14ac:dyDescent="0.25">
      <c r="A11" s="254" t="s">
        <v>176</v>
      </c>
      <c r="B11" s="256">
        <v>3.8046360275980309</v>
      </c>
      <c r="C11" s="256">
        <v>2.414290796755076</v>
      </c>
      <c r="D11" s="256">
        <v>5.1541582823138183</v>
      </c>
      <c r="E11" s="256">
        <v>3.024383202427662</v>
      </c>
      <c r="F11" s="256">
        <v>7.037039854890649</v>
      </c>
      <c r="G11" s="256">
        <v>9.4512684139201681</v>
      </c>
      <c r="H11" s="256">
        <v>7.011191769341699</v>
      </c>
      <c r="I11" s="256">
        <v>6.0489941702720218</v>
      </c>
      <c r="J11" s="256">
        <v>13.08840084967559</v>
      </c>
      <c r="K11" s="256">
        <v>15.65968910349048</v>
      </c>
      <c r="L11" s="256">
        <v>17.190889088174071</v>
      </c>
      <c r="M11" s="256">
        <v>13.708538285391059</v>
      </c>
      <c r="N11" s="256">
        <v>15.51727068867099</v>
      </c>
      <c r="O11" s="256">
        <v>15.497004279936739</v>
      </c>
      <c r="P11" s="256">
        <v>12.258652899537511</v>
      </c>
      <c r="Q11" s="256">
        <v>14.844437912144659</v>
      </c>
      <c r="R11" s="256">
        <v>16.03142734588543</v>
      </c>
      <c r="S11" s="256">
        <v>25.945855640034669</v>
      </c>
      <c r="T11" s="256">
        <v>27.500363441153819</v>
      </c>
      <c r="U11" s="256">
        <v>25.340605930056569</v>
      </c>
      <c r="V11" s="256">
        <v>25.263813093094651</v>
      </c>
      <c r="W11" s="256">
        <v>26.890835560821451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0.30818086088781071</v>
      </c>
      <c r="P12" s="256">
        <v>6.1255123085750048E-2</v>
      </c>
      <c r="Q12" s="256">
        <v>5.93402473033895E-2</v>
      </c>
      <c r="R12" s="256">
        <v>3.113815360306578E-2</v>
      </c>
      <c r="S12" s="256">
        <v>9.0939514472322569E-2</v>
      </c>
      <c r="T12" s="256">
        <v>5.2353306732990233E-2</v>
      </c>
      <c r="U12" s="256">
        <v>4.838360443844951E-2</v>
      </c>
      <c r="V12" s="256">
        <v>6.8134306092901135E-4</v>
      </c>
      <c r="W12" s="256">
        <v>5.3932435811188909E-2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40.237049410772222</v>
      </c>
      <c r="C14" s="255">
        <v>35.857724743700253</v>
      </c>
      <c r="D14" s="255">
        <v>32.844905368650899</v>
      </c>
      <c r="E14" s="255">
        <v>38.212006631720008</v>
      </c>
      <c r="F14" s="255">
        <v>19.476434356599931</v>
      </c>
      <c r="G14" s="255">
        <v>18.307531798920181</v>
      </c>
      <c r="H14" s="255">
        <v>14.125750597256509</v>
      </c>
      <c r="I14" s="255">
        <v>12.660503207011971</v>
      </c>
      <c r="J14" s="255">
        <v>9.7629027028833857</v>
      </c>
      <c r="K14" s="255">
        <v>14.94893727322544</v>
      </c>
      <c r="L14" s="255">
        <v>12.430006196194229</v>
      </c>
      <c r="M14" s="255">
        <v>16.529462803378991</v>
      </c>
      <c r="N14" s="255">
        <v>20.908787470462329</v>
      </c>
      <c r="O14" s="255">
        <v>18.60387663153066</v>
      </c>
      <c r="P14" s="255">
        <v>14.38920115343123</v>
      </c>
      <c r="Q14" s="255">
        <v>11.87027007639772</v>
      </c>
      <c r="R14" s="255">
        <v>9.0714709394551232</v>
      </c>
      <c r="S14" s="255">
        <v>6.626981684365207</v>
      </c>
      <c r="T14" s="255">
        <v>3.260445117148012</v>
      </c>
      <c r="U14" s="255">
        <v>5.5522575144850652</v>
      </c>
      <c r="V14" s="255">
        <v>6.2541206159947471</v>
      </c>
      <c r="W14" s="255">
        <v>4.8894526619055636</v>
      </c>
      <c r="DA14" s="271" t="s">
        <v>1021</v>
      </c>
    </row>
    <row r="15" spans="1:105" x14ac:dyDescent="0.25">
      <c r="A15" s="254" t="s">
        <v>24</v>
      </c>
      <c r="B15" s="256">
        <v>4.4311553559377739</v>
      </c>
      <c r="C15" s="256">
        <v>3.7006409956865189</v>
      </c>
      <c r="D15" s="256">
        <v>2.8463754213218389</v>
      </c>
      <c r="E15" s="256">
        <v>1.9142047401262781</v>
      </c>
      <c r="F15" s="256">
        <v>2.9168663597860731</v>
      </c>
      <c r="G15" s="256">
        <v>2.2823455902748071</v>
      </c>
      <c r="H15" s="256">
        <v>4.4141176281305077</v>
      </c>
      <c r="I15" s="256">
        <v>8.8126246353608071</v>
      </c>
      <c r="J15" s="256">
        <v>7.8491280108885526</v>
      </c>
      <c r="K15" s="256">
        <v>3.533116941249133</v>
      </c>
      <c r="L15" s="256">
        <v>7.1686072168163744</v>
      </c>
      <c r="M15" s="256">
        <v>7.9315096388732407</v>
      </c>
      <c r="N15" s="256">
        <v>7.618441468095809</v>
      </c>
      <c r="O15" s="256">
        <v>9.0515975870723153</v>
      </c>
      <c r="P15" s="256">
        <v>11.0744377772366</v>
      </c>
      <c r="Q15" s="256">
        <v>12.11808684803322</v>
      </c>
      <c r="R15" s="256">
        <v>7.2685713803866578</v>
      </c>
      <c r="S15" s="256">
        <v>6.2859696845320201</v>
      </c>
      <c r="T15" s="256">
        <v>5.3645108320957462</v>
      </c>
      <c r="U15" s="256">
        <v>5.5020153212875451</v>
      </c>
      <c r="V15" s="256">
        <v>2.3495060550894049</v>
      </c>
      <c r="W15" s="256">
        <v>2.1297176709244612</v>
      </c>
      <c r="DA15" s="272" t="s">
        <v>1022</v>
      </c>
    </row>
    <row r="16" spans="1:105" x14ac:dyDescent="0.25">
      <c r="A16" s="257" t="s">
        <v>175</v>
      </c>
      <c r="B16" s="258">
        <v>33.392471404270928</v>
      </c>
      <c r="C16" s="258">
        <v>23.499421389127338</v>
      </c>
      <c r="D16" s="258">
        <v>21.8305553228852</v>
      </c>
      <c r="E16" s="258">
        <v>18.11944355986406</v>
      </c>
      <c r="F16" s="258">
        <v>19.535445442589719</v>
      </c>
      <c r="G16" s="258">
        <v>19.45810590247897</v>
      </c>
      <c r="H16" s="258">
        <v>21.43456335397779</v>
      </c>
      <c r="I16" s="258">
        <v>19.12253709134114</v>
      </c>
      <c r="J16" s="258">
        <v>20.141745265723451</v>
      </c>
      <c r="K16" s="258">
        <v>29.944195520659768</v>
      </c>
      <c r="L16" s="258">
        <v>30.460100489257261</v>
      </c>
      <c r="M16" s="258">
        <v>35.603844413504689</v>
      </c>
      <c r="N16" s="258">
        <v>40.895582426092943</v>
      </c>
      <c r="O16" s="258">
        <v>36.944928238698203</v>
      </c>
      <c r="P16" s="258">
        <v>33.648383424283999</v>
      </c>
      <c r="Q16" s="258">
        <v>36.629164984965101</v>
      </c>
      <c r="R16" s="258">
        <v>37.794036774894273</v>
      </c>
      <c r="S16" s="258">
        <v>40.696244912169632</v>
      </c>
      <c r="T16" s="258">
        <v>47.903129788783133</v>
      </c>
      <c r="U16" s="258">
        <v>47.042050938045747</v>
      </c>
      <c r="V16" s="258">
        <v>45.867953654668497</v>
      </c>
      <c r="W16" s="258">
        <v>49.535726544540402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39.804408612776854</v>
      </c>
      <c r="C17" s="258">
        <f t="shared" ref="C17:W17" si="5">SUM(C18:C24)</f>
        <v>28.030374168309308</v>
      </c>
      <c r="D17" s="258">
        <f t="shared" si="5"/>
        <v>27.035931654464076</v>
      </c>
      <c r="E17" s="258">
        <f t="shared" si="5"/>
        <v>22.436033782646412</v>
      </c>
      <c r="F17" s="258">
        <f t="shared" si="5"/>
        <v>26.004986769636211</v>
      </c>
      <c r="G17" s="258">
        <f t="shared" si="5"/>
        <v>30.620063238480242</v>
      </c>
      <c r="H17" s="258">
        <f t="shared" si="5"/>
        <v>29.19785770322585</v>
      </c>
      <c r="I17" s="258">
        <f t="shared" si="5"/>
        <v>27.116746935000194</v>
      </c>
      <c r="J17" s="258">
        <f t="shared" si="5"/>
        <v>34.283613286824746</v>
      </c>
      <c r="K17" s="258">
        <f t="shared" si="5"/>
        <v>43.077443427725299</v>
      </c>
      <c r="L17" s="258">
        <f t="shared" si="5"/>
        <v>42.774896826070865</v>
      </c>
      <c r="M17" s="258">
        <f t="shared" si="5"/>
        <v>45.908029245303368</v>
      </c>
      <c r="N17" s="258">
        <f t="shared" si="5"/>
        <v>50.876688395196716</v>
      </c>
      <c r="O17" s="258">
        <f t="shared" si="5"/>
        <v>49.389995265688704</v>
      </c>
      <c r="P17" s="258">
        <f t="shared" si="5"/>
        <v>42.032282730523924</v>
      </c>
      <c r="Q17" s="258">
        <f t="shared" si="5"/>
        <v>46.905499259190243</v>
      </c>
      <c r="R17" s="258">
        <f t="shared" si="5"/>
        <v>47.794976668281002</v>
      </c>
      <c r="S17" s="258">
        <f t="shared" si="5"/>
        <v>54.235060724005059</v>
      </c>
      <c r="T17" s="258">
        <f t="shared" si="5"/>
        <v>61.948564456666837</v>
      </c>
      <c r="U17" s="258">
        <f t="shared" si="5"/>
        <v>60.445561379275475</v>
      </c>
      <c r="V17" s="258">
        <f t="shared" si="5"/>
        <v>59.020472613445293</v>
      </c>
      <c r="W17" s="258">
        <f t="shared" si="5"/>
        <v>63.171405887154812</v>
      </c>
      <c r="DA17" s="273"/>
    </row>
    <row r="18" spans="1:105" x14ac:dyDescent="0.25">
      <c r="A18" s="61" t="s">
        <v>29</v>
      </c>
      <c r="B18" s="55">
        <v>5.1830441011690931E-2</v>
      </c>
      <c r="C18" s="55">
        <v>4.2236927769539197E-2</v>
      </c>
      <c r="D18" s="55">
        <v>0.77257496020695504</v>
      </c>
      <c r="E18" s="55">
        <v>1.0762987975828</v>
      </c>
      <c r="F18" s="55">
        <v>4.669409100142369</v>
      </c>
      <c r="G18" s="55">
        <v>3.283634602153263</v>
      </c>
      <c r="H18" s="55">
        <v>1.5411809226758371</v>
      </c>
      <c r="I18" s="55">
        <v>1.243760787584097</v>
      </c>
      <c r="J18" s="55">
        <v>2.072941720831972</v>
      </c>
      <c r="K18" s="55">
        <v>2.1765813782774361</v>
      </c>
      <c r="L18" s="55">
        <v>1.969280838815922</v>
      </c>
      <c r="M18" s="55">
        <v>1.969280838816031</v>
      </c>
      <c r="N18" s="55">
        <v>0.1036396574366456</v>
      </c>
      <c r="O18" s="55">
        <v>1.9692808388164531</v>
      </c>
      <c r="P18" s="55">
        <v>1.7101710829379719</v>
      </c>
      <c r="Q18" s="55">
        <v>2.021111279827704</v>
      </c>
      <c r="R18" s="55">
        <v>2.3320514767259319</v>
      </c>
      <c r="S18" s="55">
        <v>2.9216068247946749</v>
      </c>
      <c r="T18" s="55">
        <v>3.6845245979999488</v>
      </c>
      <c r="U18" s="55">
        <v>3.6233341142015592</v>
      </c>
      <c r="V18" s="55">
        <v>4.0335629282368632</v>
      </c>
      <c r="W18" s="55">
        <v>4.3562827708165646</v>
      </c>
      <c r="DA18" s="101" t="s">
        <v>1024</v>
      </c>
    </row>
    <row r="19" spans="1:105" x14ac:dyDescent="0.25">
      <c r="A19" s="61" t="s">
        <v>27</v>
      </c>
      <c r="B19" s="55">
        <v>0.32367068039074343</v>
      </c>
      <c r="C19" s="55">
        <v>0.32367068039058572</v>
      </c>
      <c r="D19" s="55">
        <v>0</v>
      </c>
      <c r="E19" s="55">
        <v>0</v>
      </c>
      <c r="F19" s="55">
        <v>0.32367068039005242</v>
      </c>
      <c r="G19" s="55">
        <v>0.32938584880844379</v>
      </c>
      <c r="H19" s="55">
        <v>1.3176665669674921</v>
      </c>
      <c r="I19" s="55">
        <v>1.317543395234918</v>
      </c>
      <c r="J19" s="55">
        <v>10.869831548054689</v>
      </c>
      <c r="K19" s="55">
        <v>10.54197302878252</v>
      </c>
      <c r="L19" s="55">
        <v>7.575948425653654</v>
      </c>
      <c r="M19" s="55">
        <v>5.5996086984515721</v>
      </c>
      <c r="N19" s="55">
        <v>1.646953878394152</v>
      </c>
      <c r="O19" s="55">
        <v>2.6351114248216931</v>
      </c>
      <c r="P19" s="55">
        <v>1.6469538783997539</v>
      </c>
      <c r="Q19" s="55">
        <v>2.6351114248210901</v>
      </c>
      <c r="R19" s="55">
        <v>3.2938831224420468</v>
      </c>
      <c r="S19" s="55">
        <v>3.5701326855678941</v>
      </c>
      <c r="T19" s="55">
        <v>3.6159033016092468</v>
      </c>
      <c r="U19" s="55">
        <v>2.3592313768976272</v>
      </c>
      <c r="V19" s="55">
        <v>2.4590251151015541</v>
      </c>
      <c r="W19" s="55">
        <v>2.1464152563471952</v>
      </c>
      <c r="DA19" s="101" t="s">
        <v>1025</v>
      </c>
    </row>
    <row r="20" spans="1:105" x14ac:dyDescent="0.25">
      <c r="A20" s="61" t="s">
        <v>173</v>
      </c>
      <c r="B20" s="55">
        <v>26.256871794991611</v>
      </c>
      <c r="C20" s="55">
        <v>18.278663490954969</v>
      </c>
      <c r="D20" s="55">
        <v>15.70568088464206</v>
      </c>
      <c r="E20" s="55">
        <v>13.006679075091251</v>
      </c>
      <c r="F20" s="55">
        <v>11.3121086252678</v>
      </c>
      <c r="G20" s="55">
        <v>7.4159796792971093</v>
      </c>
      <c r="H20" s="55">
        <v>11.905197764792909</v>
      </c>
      <c r="I20" s="55">
        <v>9.1419525306331781</v>
      </c>
      <c r="J20" s="55">
        <v>6.8010218304329451</v>
      </c>
      <c r="K20" s="55">
        <v>15.21190371057083</v>
      </c>
      <c r="L20" s="55">
        <v>16.224287084422439</v>
      </c>
      <c r="M20" s="55">
        <v>23.727968820912299</v>
      </c>
      <c r="N20" s="55">
        <v>29.597368645346641</v>
      </c>
      <c r="O20" s="55">
        <v>21.036252499954401</v>
      </c>
      <c r="P20" s="55">
        <v>23.93517079339145</v>
      </c>
      <c r="Q20" s="55">
        <v>24.305301043358639</v>
      </c>
      <c r="R20" s="55">
        <v>26.103939717898282</v>
      </c>
      <c r="S20" s="55">
        <v>24.119709271207348</v>
      </c>
      <c r="T20" s="55">
        <v>30.80342228747903</v>
      </c>
      <c r="U20" s="55">
        <v>30.562839500857979</v>
      </c>
      <c r="V20" s="55">
        <v>29.633664646209802</v>
      </c>
      <c r="W20" s="55">
        <v>32.794340901381233</v>
      </c>
      <c r="DA20" s="101" t="s">
        <v>1026</v>
      </c>
    </row>
    <row r="21" spans="1:105" x14ac:dyDescent="0.25">
      <c r="A21" s="61" t="s">
        <v>129</v>
      </c>
      <c r="B21" s="55">
        <v>3.2415254476360782</v>
      </c>
      <c r="C21" s="55">
        <v>1.08050116534815</v>
      </c>
      <c r="D21" s="55">
        <v>0.81038684980645981</v>
      </c>
      <c r="E21" s="55">
        <v>1.3268419088658521</v>
      </c>
      <c r="F21" s="55">
        <v>1.0805011653463701</v>
      </c>
      <c r="G21" s="55">
        <v>12.066789049423599</v>
      </c>
      <c r="H21" s="55">
        <v>6.8575450214794156</v>
      </c>
      <c r="I21" s="55">
        <v>1.598295271401299</v>
      </c>
      <c r="J21" s="55">
        <v>2.9036685251955929</v>
      </c>
      <c r="K21" s="55">
        <v>1.058110543500506</v>
      </c>
      <c r="L21" s="55">
        <v>1.061227669286593</v>
      </c>
      <c r="M21" s="55">
        <v>0.77695457816340685</v>
      </c>
      <c r="N21" s="55">
        <v>2.6530911248082232</v>
      </c>
      <c r="O21" s="55">
        <v>1.3265565381986459</v>
      </c>
      <c r="P21" s="55">
        <v>0.79592075196815937</v>
      </c>
      <c r="Q21" s="55">
        <v>2.3877842074849789</v>
      </c>
      <c r="R21" s="55">
        <v>1.0358516311917381</v>
      </c>
      <c r="S21" s="55">
        <v>1.055476352694898</v>
      </c>
      <c r="T21" s="55">
        <v>1.2815996817808579</v>
      </c>
      <c r="U21" s="55">
        <v>1.8221795383067261</v>
      </c>
      <c r="V21" s="55">
        <v>1.374169537013942</v>
      </c>
      <c r="W21" s="55">
        <v>1.8709340198027871</v>
      </c>
      <c r="DA21" s="101" t="s">
        <v>1027</v>
      </c>
    </row>
    <row r="22" spans="1:105" x14ac:dyDescent="0.25">
      <c r="A22" s="61" t="s">
        <v>176</v>
      </c>
      <c r="B22" s="55">
        <v>4.6359365428735133</v>
      </c>
      <c r="C22" s="55">
        <v>3.427223653784861</v>
      </c>
      <c r="D22" s="55">
        <v>7.4309103960796641</v>
      </c>
      <c r="E22" s="55">
        <v>5.3887817726823721</v>
      </c>
      <c r="F22" s="55">
        <v>7.0959606529245933</v>
      </c>
      <c r="G22" s="55">
        <v>6.5771669250446232</v>
      </c>
      <c r="H22" s="55">
        <v>5.7049133749284922</v>
      </c>
      <c r="I22" s="55">
        <v>4.8920293616526989</v>
      </c>
      <c r="J22" s="55">
        <v>8.435452534142879</v>
      </c>
      <c r="K22" s="55">
        <v>11.704038793147181</v>
      </c>
      <c r="L22" s="55">
        <v>14.31811987811186</v>
      </c>
      <c r="M22" s="55">
        <v>12.698846163667129</v>
      </c>
      <c r="N22" s="55">
        <v>15.586220367599539</v>
      </c>
      <c r="O22" s="55">
        <v>13.13378911652195</v>
      </c>
      <c r="P22" s="55">
        <v>12.437974423197581</v>
      </c>
      <c r="Q22" s="55">
        <v>13.72889047320084</v>
      </c>
      <c r="R22" s="55">
        <v>13.793612921203859</v>
      </c>
      <c r="S22" s="55">
        <v>21.077935491999941</v>
      </c>
      <c r="T22" s="55">
        <v>21.294300535001309</v>
      </c>
      <c r="U22" s="55">
        <v>19.91821019290018</v>
      </c>
      <c r="V22" s="55">
        <v>19.14649468807583</v>
      </c>
      <c r="W22" s="55">
        <v>20.228595716821459</v>
      </c>
      <c r="DA22" s="101" t="s">
        <v>1028</v>
      </c>
    </row>
    <row r="23" spans="1:105" x14ac:dyDescent="0.25">
      <c r="A23" s="61" t="s">
        <v>171</v>
      </c>
      <c r="B23" s="55">
        <v>5.2945737058732218</v>
      </c>
      <c r="C23" s="55">
        <v>4.878078250061205</v>
      </c>
      <c r="D23" s="55">
        <v>2.3163785637289349</v>
      </c>
      <c r="E23" s="55">
        <v>1.637432228424138</v>
      </c>
      <c r="F23" s="55">
        <v>1.523336545565025</v>
      </c>
      <c r="G23" s="55">
        <v>0.94710713375320843</v>
      </c>
      <c r="H23" s="55">
        <v>1.871354052381704</v>
      </c>
      <c r="I23" s="55">
        <v>8.9231655884940011</v>
      </c>
      <c r="J23" s="55">
        <v>3.2006971281666678</v>
      </c>
      <c r="K23" s="55">
        <v>2.3848359734468292</v>
      </c>
      <c r="L23" s="55">
        <v>1.626032929780399</v>
      </c>
      <c r="M23" s="55">
        <v>1.135370145292935</v>
      </c>
      <c r="N23" s="55">
        <v>1.289414721611517</v>
      </c>
      <c r="O23" s="55">
        <v>9.1456881138220663</v>
      </c>
      <c r="P23" s="55">
        <v>1.471988353468523</v>
      </c>
      <c r="Q23" s="55">
        <v>1.7971867237079919</v>
      </c>
      <c r="R23" s="55">
        <v>1.22093677261913</v>
      </c>
      <c r="S23" s="55">
        <v>1.4496621595361701</v>
      </c>
      <c r="T23" s="55">
        <v>1.246569790118597</v>
      </c>
      <c r="U23" s="55">
        <v>2.1388986725367078</v>
      </c>
      <c r="V23" s="55">
        <v>2.3732723605850778</v>
      </c>
      <c r="W23" s="55">
        <v>1.7525754144072401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0.14331673355348959</v>
      </c>
      <c r="P24" s="55">
        <v>3.4103447160491733E-2</v>
      </c>
      <c r="Q24" s="55">
        <v>3.0114106788991679E-2</v>
      </c>
      <c r="R24" s="55">
        <v>1.470102620000902E-2</v>
      </c>
      <c r="S24" s="55">
        <v>4.0537938204129847E-2</v>
      </c>
      <c r="T24" s="55">
        <v>2.2244262677838429E-2</v>
      </c>
      <c r="U24" s="55">
        <v>2.0867983574699499E-2</v>
      </c>
      <c r="V24" s="55">
        <v>2.8333822223349582E-4</v>
      </c>
      <c r="W24" s="55">
        <v>2.2261807578328831E-2</v>
      </c>
      <c r="DA24" s="101" t="s">
        <v>1030</v>
      </c>
    </row>
    <row r="25" spans="1:105" x14ac:dyDescent="0.25">
      <c r="A25" s="257" t="s">
        <v>174</v>
      </c>
      <c r="B25" s="258">
        <v>4.4916491648079546</v>
      </c>
      <c r="C25" s="258">
        <v>3.1609267603488571</v>
      </c>
      <c r="D25" s="258">
        <v>2.9364461945991138</v>
      </c>
      <c r="E25" s="258">
        <v>2.4372614577440022</v>
      </c>
      <c r="F25" s="258">
        <v>2.6277290513794278</v>
      </c>
      <c r="G25" s="258">
        <v>2.6173260453682969</v>
      </c>
      <c r="H25" s="258">
        <v>2.8831809847594481</v>
      </c>
      <c r="I25" s="258">
        <v>2.5721884048494208</v>
      </c>
      <c r="J25" s="258">
        <v>2.7092829460053118</v>
      </c>
      <c r="K25" s="258">
        <v>4.0278187011942759</v>
      </c>
      <c r="L25" s="258">
        <v>4.0972135085826498</v>
      </c>
      <c r="M25" s="258">
        <v>4.7891027916974398</v>
      </c>
      <c r="N25" s="258">
        <v>5.5008988830039476</v>
      </c>
      <c r="O25" s="258">
        <v>4.9694930949619458</v>
      </c>
      <c r="P25" s="258">
        <v>4.5260721039501304</v>
      </c>
      <c r="Q25" s="258">
        <v>4.92701951647964</v>
      </c>
      <c r="R25" s="258">
        <v>5.0837073919890452</v>
      </c>
      <c r="S25" s="258">
        <v>5.4740858278368449</v>
      </c>
      <c r="T25" s="258">
        <v>6.4434899203044624</v>
      </c>
      <c r="U25" s="258">
        <v>6.3276654862898676</v>
      </c>
      <c r="V25" s="258">
        <v>6.1697366819663211</v>
      </c>
      <c r="W25" s="258">
        <v>6.663091870866511</v>
      </c>
      <c r="DA25" s="273" t="s">
        <v>1031</v>
      </c>
    </row>
    <row r="26" spans="1:105" x14ac:dyDescent="0.25">
      <c r="A26" s="257" t="s">
        <v>177</v>
      </c>
      <c r="B26" s="258">
        <v>4.4207056662138724</v>
      </c>
      <c r="C26" s="258">
        <v>3.4402731030127338</v>
      </c>
      <c r="D26" s="258">
        <v>3.0691718709164881</v>
      </c>
      <c r="E26" s="258">
        <v>2.545851024395628</v>
      </c>
      <c r="F26" s="258">
        <v>2.675024700317937</v>
      </c>
      <c r="G26" s="258">
        <v>2.408077688749191</v>
      </c>
      <c r="H26" s="258">
        <v>3.0626680642466102</v>
      </c>
      <c r="I26" s="258">
        <v>3.5520401847194951</v>
      </c>
      <c r="J26" s="258">
        <v>3.587469651676559</v>
      </c>
      <c r="K26" s="258">
        <v>3.5797306865371561</v>
      </c>
      <c r="L26" s="258">
        <v>4.5970994901782571</v>
      </c>
      <c r="M26" s="258">
        <v>5.235932132618963</v>
      </c>
      <c r="N26" s="258">
        <v>5.7537972104589787</v>
      </c>
      <c r="O26" s="258">
        <v>5.601418584771924</v>
      </c>
      <c r="P26" s="258">
        <v>5.6405358268762624</v>
      </c>
      <c r="Q26" s="258">
        <v>6.0548138006410817</v>
      </c>
      <c r="R26" s="258">
        <v>5.1733414016381394</v>
      </c>
      <c r="S26" s="258">
        <v>5.2637219957026877</v>
      </c>
      <c r="T26" s="258">
        <v>5.4572931614961009</v>
      </c>
      <c r="U26" s="258">
        <v>5.4454015369895501</v>
      </c>
      <c r="V26" s="258">
        <v>4.0555160703690909</v>
      </c>
      <c r="W26" s="258">
        <v>4.1159441878821132</v>
      </c>
      <c r="DA26" s="273" t="s">
        <v>1032</v>
      </c>
    </row>
    <row r="27" spans="1:105" x14ac:dyDescent="0.25">
      <c r="A27" s="129" t="s">
        <v>33</v>
      </c>
      <c r="B27" s="259">
        <v>6.7374416696222488</v>
      </c>
      <c r="C27" s="259">
        <v>5.2431989617101262</v>
      </c>
      <c r="D27" s="259">
        <v>4.677616655726208</v>
      </c>
      <c r="E27" s="259">
        <v>3.880041801358816</v>
      </c>
      <c r="F27" s="259">
        <v>4.0769108472735196</v>
      </c>
      <c r="G27" s="259">
        <v>3.670066317208986</v>
      </c>
      <c r="H27" s="259">
        <v>4.6677044332492157</v>
      </c>
      <c r="I27" s="259">
        <v>5.4135392309884756</v>
      </c>
      <c r="J27" s="259">
        <v>5.4675360326378977</v>
      </c>
      <c r="K27" s="259">
        <v>5.4557413486786244</v>
      </c>
      <c r="L27" s="259">
        <v>7.0062772785895184</v>
      </c>
      <c r="M27" s="259">
        <v>7.9798995891608424</v>
      </c>
      <c r="N27" s="259">
        <v>8.7691594988054788</v>
      </c>
      <c r="O27" s="259">
        <v>8.5369246069622946</v>
      </c>
      <c r="P27" s="259">
        <v>8.5965418167142857</v>
      </c>
      <c r="Q27" s="259">
        <v>9.2279282726328216</v>
      </c>
      <c r="R27" s="259">
        <v>7.884507262486566</v>
      </c>
      <c r="S27" s="259">
        <v>8.0222531398539729</v>
      </c>
      <c r="T27" s="259">
        <v>8.3172681299767763</v>
      </c>
      <c r="U27" s="259">
        <v>8.299144524263264</v>
      </c>
      <c r="V27" s="259">
        <v>6.1808690800554817</v>
      </c>
      <c r="W27" s="259">
        <v>6.2729654437787339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0.99999999999999989</v>
      </c>
      <c r="E31" s="236">
        <f t="shared" si="6"/>
        <v>1.0000000000000002</v>
      </c>
      <c r="F31" s="236">
        <f t="shared" si="6"/>
        <v>0.99999999999999989</v>
      </c>
      <c r="G31" s="236">
        <f t="shared" si="6"/>
        <v>0.99999999999999978</v>
      </c>
      <c r="H31" s="236">
        <f t="shared" si="6"/>
        <v>1</v>
      </c>
      <c r="I31" s="236">
        <f t="shared" si="6"/>
        <v>0.99999999999999967</v>
      </c>
      <c r="J31" s="236">
        <f t="shared" si="6"/>
        <v>1</v>
      </c>
      <c r="K31" s="236">
        <f t="shared" si="6"/>
        <v>1.0000000000000002</v>
      </c>
      <c r="L31" s="236">
        <f t="shared" si="6"/>
        <v>0.99999999999999989</v>
      </c>
      <c r="M31" s="236">
        <f t="shared" si="6"/>
        <v>1</v>
      </c>
      <c r="N31" s="236">
        <f t="shared" si="6"/>
        <v>1</v>
      </c>
      <c r="O31" s="236">
        <f t="shared" si="6"/>
        <v>1.0000000000000002</v>
      </c>
      <c r="P31" s="236">
        <f t="shared" si="6"/>
        <v>1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2.6010438543198022E-2</v>
      </c>
      <c r="C32" s="245">
        <f t="shared" si="8"/>
        <v>2.7090476071244748E-2</v>
      </c>
      <c r="D32" s="245">
        <f t="shared" si="8"/>
        <v>2.577466170223746E-2</v>
      </c>
      <c r="E32" s="245">
        <f t="shared" si="8"/>
        <v>2.3948022897091359E-2</v>
      </c>
      <c r="F32" s="245">
        <f t="shared" si="8"/>
        <v>2.6141726761161343E-2</v>
      </c>
      <c r="G32" s="245">
        <f t="shared" si="8"/>
        <v>2.2840473074684221E-2</v>
      </c>
      <c r="H32" s="245">
        <f t="shared" si="8"/>
        <v>2.8048644206012479E-2</v>
      </c>
      <c r="I32" s="245">
        <f t="shared" si="8"/>
        <v>3.3535972584237621E-2</v>
      </c>
      <c r="J32" s="245">
        <f t="shared" si="8"/>
        <v>3.0717959263308038E-2</v>
      </c>
      <c r="K32" s="245">
        <f t="shared" si="8"/>
        <v>2.3962017697426188E-2</v>
      </c>
      <c r="L32" s="245">
        <f t="shared" si="8"/>
        <v>2.9285559389856247E-2</v>
      </c>
      <c r="M32" s="245">
        <f t="shared" si="8"/>
        <v>2.9641328619096841E-2</v>
      </c>
      <c r="N32" s="245">
        <f t="shared" si="8"/>
        <v>2.878504767508246E-2</v>
      </c>
      <c r="O32" s="245">
        <f t="shared" si="8"/>
        <v>2.9784064428170647E-2</v>
      </c>
      <c r="P32" s="245">
        <f t="shared" si="8"/>
        <v>3.3091273617671876E-2</v>
      </c>
      <c r="Q32" s="245">
        <f t="shared" si="8"/>
        <v>3.2801129741050969E-2</v>
      </c>
      <c r="R32" s="245">
        <f t="shared" si="8"/>
        <v>2.8822076057204948E-2</v>
      </c>
      <c r="S32" s="245">
        <f t="shared" si="8"/>
        <v>2.6924617080059818E-2</v>
      </c>
      <c r="T32" s="245">
        <f t="shared" si="8"/>
        <v>2.4882356520386173E-2</v>
      </c>
      <c r="U32" s="245">
        <f t="shared" si="8"/>
        <v>2.5187509622133165E-2</v>
      </c>
      <c r="V32" s="245">
        <f t="shared" si="8"/>
        <v>1.9921616210229587E-2</v>
      </c>
      <c r="W32" s="245">
        <f t="shared" si="8"/>
        <v>1.9003540292928028E-2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1.6765239990708513E-2</v>
      </c>
      <c r="C33" s="246">
        <f t="shared" si="9"/>
        <v>1.7461386975181806E-2</v>
      </c>
      <c r="D33" s="246">
        <f t="shared" si="9"/>
        <v>1.6613268107712766E-2</v>
      </c>
      <c r="E33" s="246">
        <f t="shared" si="9"/>
        <v>1.5435893189802206E-2</v>
      </c>
      <c r="F33" s="246">
        <f t="shared" si="9"/>
        <v>1.6849862880801356E-2</v>
      </c>
      <c r="G33" s="246">
        <f t="shared" si="9"/>
        <v>1.4722012931940203E-2</v>
      </c>
      <c r="H33" s="246">
        <f t="shared" si="9"/>
        <v>1.8078982049718962E-2</v>
      </c>
      <c r="I33" s="246">
        <f t="shared" si="9"/>
        <v>2.1615884244427546E-2</v>
      </c>
      <c r="J33" s="246">
        <f t="shared" si="9"/>
        <v>1.9799510808665044E-2</v>
      </c>
      <c r="K33" s="246">
        <f t="shared" si="9"/>
        <v>1.5444913652330973E-2</v>
      </c>
      <c r="L33" s="246">
        <f t="shared" si="9"/>
        <v>1.8876245804839872E-2</v>
      </c>
      <c r="M33" s="246">
        <f t="shared" si="9"/>
        <v>1.9105559758913433E-2</v>
      </c>
      <c r="N33" s="246">
        <f t="shared" si="9"/>
        <v>1.8553636902940457E-2</v>
      </c>
      <c r="O33" s="246">
        <f t="shared" si="9"/>
        <v>1.9197561287085142E-2</v>
      </c>
      <c r="P33" s="246">
        <f t="shared" si="9"/>
        <v>2.1329249903921797E-2</v>
      </c>
      <c r="Q33" s="246">
        <f t="shared" si="9"/>
        <v>2.1142235305328799E-2</v>
      </c>
      <c r="R33" s="246">
        <f t="shared" si="9"/>
        <v>1.8577503848194774E-2</v>
      </c>
      <c r="S33" s="246">
        <f t="shared" si="9"/>
        <v>1.7354481211666353E-2</v>
      </c>
      <c r="T33" s="246">
        <f t="shared" si="9"/>
        <v>1.6038125535862455E-2</v>
      </c>
      <c r="U33" s="246">
        <f t="shared" si="9"/>
        <v>1.6234814452744842E-2</v>
      </c>
      <c r="V33" s="246">
        <f t="shared" si="9"/>
        <v>1.2840639968933931E-2</v>
      </c>
      <c r="W33" s="246">
        <f t="shared" si="9"/>
        <v>1.2248886659673584E-2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3.3316425294041711E-2</v>
      </c>
      <c r="C34" s="246">
        <f t="shared" si="10"/>
        <v>3.4699831020099332E-2</v>
      </c>
      <c r="D34" s="246">
        <f t="shared" si="10"/>
        <v>3.3014421869728736E-2</v>
      </c>
      <c r="E34" s="246">
        <f t="shared" si="10"/>
        <v>3.0674704483196532E-2</v>
      </c>
      <c r="F34" s="246">
        <f t="shared" si="10"/>
        <v>3.3484590628835985E-2</v>
      </c>
      <c r="G34" s="246">
        <f t="shared" si="10"/>
        <v>2.9256058624674237E-2</v>
      </c>
      <c r="H34" s="246">
        <f t="shared" si="10"/>
        <v>3.5927135858812562E-2</v>
      </c>
      <c r="I34" s="246">
        <f t="shared" si="10"/>
        <v>4.2955781903107067E-2</v>
      </c>
      <c r="J34" s="246">
        <f t="shared" si="10"/>
        <v>3.9346226065421375E-2</v>
      </c>
      <c r="K34" s="246">
        <f t="shared" si="10"/>
        <v>3.0692630237085173E-2</v>
      </c>
      <c r="L34" s="246">
        <f t="shared" si="10"/>
        <v>3.7511484090740906E-2</v>
      </c>
      <c r="M34" s="246">
        <f t="shared" si="10"/>
        <v>3.7967184171622988E-2</v>
      </c>
      <c r="N34" s="246">
        <f t="shared" si="10"/>
        <v>3.6870385282415971E-2</v>
      </c>
      <c r="O34" s="246">
        <f t="shared" si="10"/>
        <v>3.8150012573839043E-2</v>
      </c>
      <c r="P34" s="246">
        <f t="shared" si="10"/>
        <v>4.238617290273132E-2</v>
      </c>
      <c r="Q34" s="246">
        <f t="shared" si="10"/>
        <v>4.2014531464471441E-2</v>
      </c>
      <c r="R34" s="246">
        <f t="shared" si="10"/>
        <v>3.6917814445315118E-2</v>
      </c>
      <c r="S34" s="246">
        <f t="shared" si="10"/>
        <v>3.4487384441008379E-2</v>
      </c>
      <c r="T34" s="246">
        <f t="shared" si="10"/>
        <v>3.1871480012702305E-2</v>
      </c>
      <c r="U34" s="246">
        <f t="shared" si="10"/>
        <v>3.2262346568093687E-2</v>
      </c>
      <c r="V34" s="246">
        <f t="shared" si="10"/>
        <v>2.5517333631356724E-2</v>
      </c>
      <c r="W34" s="246">
        <f t="shared" si="10"/>
        <v>2.4341382381544572E-2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0.40553056122440101</v>
      </c>
      <c r="C35" s="247">
        <f t="shared" si="11"/>
        <v>0.42588538742125914</v>
      </c>
      <c r="D35" s="247">
        <f t="shared" si="11"/>
        <v>0.42869064201719442</v>
      </c>
      <c r="E35" s="247">
        <f t="shared" si="11"/>
        <v>0.46896769077363526</v>
      </c>
      <c r="F35" s="247">
        <f t="shared" si="11"/>
        <v>0.39130955323950067</v>
      </c>
      <c r="G35" s="247">
        <f t="shared" si="11"/>
        <v>0.3803841379267634</v>
      </c>
      <c r="H35" s="247">
        <f t="shared" si="11"/>
        <v>0.36173595033267381</v>
      </c>
      <c r="I35" s="247">
        <f t="shared" si="11"/>
        <v>0.36096723319048107</v>
      </c>
      <c r="J35" s="247">
        <f t="shared" si="11"/>
        <v>0.34812773941107228</v>
      </c>
      <c r="K35" s="247">
        <f t="shared" si="11"/>
        <v>0.35848903598173637</v>
      </c>
      <c r="L35" s="247">
        <f t="shared" si="11"/>
        <v>0.35251091768982712</v>
      </c>
      <c r="M35" s="247">
        <f t="shared" si="11"/>
        <v>0.3546243037100596</v>
      </c>
      <c r="N35" s="247">
        <f t="shared" si="11"/>
        <v>0.36118066795760834</v>
      </c>
      <c r="O35" s="247">
        <f t="shared" si="11"/>
        <v>0.3568982533607305</v>
      </c>
      <c r="P35" s="247">
        <f t="shared" si="11"/>
        <v>0.35375948187744222</v>
      </c>
      <c r="Q35" s="247">
        <f t="shared" si="11"/>
        <v>0.3467260863838833</v>
      </c>
      <c r="R35" s="247">
        <f t="shared" si="11"/>
        <v>0.34261002972906257</v>
      </c>
      <c r="S35" s="247">
        <f t="shared" si="11"/>
        <v>0.34455626312548765</v>
      </c>
      <c r="T35" s="247">
        <f t="shared" si="11"/>
        <v>0.33912418127338323</v>
      </c>
      <c r="U35" s="247">
        <f t="shared" si="11"/>
        <v>0.34123166310180753</v>
      </c>
      <c r="V35" s="247">
        <f t="shared" si="11"/>
        <v>0.35088234578980554</v>
      </c>
      <c r="W35" s="247">
        <f t="shared" si="11"/>
        <v>0.35031690423558748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0.19482890089214211</v>
      </c>
      <c r="C36" s="260">
        <f t="shared" si="12"/>
        <v>0.18349727937814378</v>
      </c>
      <c r="D36" s="260">
        <f t="shared" si="12"/>
        <v>0.18179640521078905</v>
      </c>
      <c r="E36" s="260">
        <f t="shared" si="12"/>
        <v>0.16901695695260349</v>
      </c>
      <c r="F36" s="260">
        <f t="shared" si="12"/>
        <v>0.18931217114420229</v>
      </c>
      <c r="G36" s="260">
        <f t="shared" si="12"/>
        <v>0.18301382887318873</v>
      </c>
      <c r="H36" s="260">
        <f t="shared" si="12"/>
        <v>0.19465937642056644</v>
      </c>
      <c r="I36" s="260">
        <f t="shared" si="12"/>
        <v>0.1790306098122656</v>
      </c>
      <c r="J36" s="260">
        <f t="shared" si="12"/>
        <v>0.17102120685223479</v>
      </c>
      <c r="K36" s="260">
        <f t="shared" si="12"/>
        <v>0.19876248746199585</v>
      </c>
      <c r="L36" s="260">
        <f t="shared" si="12"/>
        <v>0.19241977227790868</v>
      </c>
      <c r="M36" s="260">
        <f t="shared" si="12"/>
        <v>0.19987077456313707</v>
      </c>
      <c r="N36" s="260">
        <f t="shared" si="12"/>
        <v>0.20287920895860681</v>
      </c>
      <c r="O36" s="260">
        <f t="shared" si="12"/>
        <v>0.19480024798815535</v>
      </c>
      <c r="P36" s="260">
        <f t="shared" si="12"/>
        <v>0.19575193698110716</v>
      </c>
      <c r="Q36" s="260">
        <f t="shared" si="12"/>
        <v>0.19677221378616058</v>
      </c>
      <c r="R36" s="260">
        <f t="shared" si="12"/>
        <v>0.20879790898246955</v>
      </c>
      <c r="S36" s="260">
        <f t="shared" si="12"/>
        <v>0.20642375469449598</v>
      </c>
      <c r="T36" s="260">
        <f t="shared" si="12"/>
        <v>0.21658424265483162</v>
      </c>
      <c r="U36" s="260">
        <f t="shared" si="12"/>
        <v>0.2157696271214275</v>
      </c>
      <c r="V36" s="260">
        <f t="shared" si="12"/>
        <v>0.22342746133027175</v>
      </c>
      <c r="W36" s="260">
        <f t="shared" si="12"/>
        <v>0.22679439622777356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0.23223944962927034</v>
      </c>
      <c r="C37" s="260">
        <f t="shared" si="13"/>
        <v>0.21887761892792559</v>
      </c>
      <c r="D37" s="260">
        <f t="shared" si="13"/>
        <v>0.22514476217440363</v>
      </c>
      <c r="E37" s="260">
        <f t="shared" si="13"/>
        <v>0.2092818216795812</v>
      </c>
      <c r="F37" s="260">
        <f t="shared" si="13"/>
        <v>0.25200656521520609</v>
      </c>
      <c r="G37" s="260">
        <f t="shared" si="13"/>
        <v>0.28799797070173733</v>
      </c>
      <c r="H37" s="260">
        <f t="shared" si="13"/>
        <v>0.26516223724574339</v>
      </c>
      <c r="I37" s="260">
        <f t="shared" si="13"/>
        <v>0.25387466719027746</v>
      </c>
      <c r="J37" s="260">
        <f t="shared" si="13"/>
        <v>0.29109815669975336</v>
      </c>
      <c r="K37" s="260">
        <f t="shared" si="13"/>
        <v>0.28593788079197768</v>
      </c>
      <c r="L37" s="260">
        <f t="shared" si="13"/>
        <v>0.27021368197345347</v>
      </c>
      <c r="M37" s="260">
        <f t="shared" si="13"/>
        <v>0.25771580330930671</v>
      </c>
      <c r="N37" s="260">
        <f t="shared" si="13"/>
        <v>0.25239455422122375</v>
      </c>
      <c r="O37" s="260">
        <f t="shared" si="13"/>
        <v>0.2604195970750921</v>
      </c>
      <c r="P37" s="260">
        <f t="shared" si="13"/>
        <v>0.24452588573094811</v>
      </c>
      <c r="Q37" s="260">
        <f t="shared" si="13"/>
        <v>0.25197677675055996</v>
      </c>
      <c r="R37" s="260">
        <f t="shared" si="13"/>
        <v>0.26404935909974409</v>
      </c>
      <c r="S37" s="260">
        <f t="shared" si="13"/>
        <v>0.27509675388712063</v>
      </c>
      <c r="T37" s="260">
        <f t="shared" si="13"/>
        <v>0.28008781421089768</v>
      </c>
      <c r="U37" s="260">
        <f t="shared" si="13"/>
        <v>0.27724803616934818</v>
      </c>
      <c r="V37" s="260">
        <f t="shared" si="13"/>
        <v>0.28749471715734026</v>
      </c>
      <c r="W37" s="260">
        <f t="shared" si="13"/>
        <v>0.28922399763642798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2.6206597869863426E-2</v>
      </c>
      <c r="C38" s="260">
        <f t="shared" si="14"/>
        <v>2.4682372013889169E-2</v>
      </c>
      <c r="D38" s="260">
        <f t="shared" si="14"/>
        <v>2.4453586011776565E-2</v>
      </c>
      <c r="E38" s="260">
        <f t="shared" si="14"/>
        <v>2.2734611773522265E-2</v>
      </c>
      <c r="F38" s="260">
        <f t="shared" si="14"/>
        <v>2.5464537952679958E-2</v>
      </c>
      <c r="G38" s="260">
        <f t="shared" si="14"/>
        <v>2.461734268345963E-2</v>
      </c>
      <c r="H38" s="260">
        <f t="shared" si="14"/>
        <v>2.6183794991874895E-2</v>
      </c>
      <c r="I38" s="260">
        <f t="shared" si="14"/>
        <v>2.4081556567132994E-2</v>
      </c>
      <c r="J38" s="260">
        <f t="shared" si="14"/>
        <v>2.3004205098279707E-2</v>
      </c>
      <c r="K38" s="260">
        <f t="shared" si="14"/>
        <v>2.6735707878442289E-2</v>
      </c>
      <c r="L38" s="260">
        <f t="shared" si="14"/>
        <v>2.5882543971694847E-2</v>
      </c>
      <c r="M38" s="260">
        <f t="shared" si="14"/>
        <v>2.688478450029342E-2</v>
      </c>
      <c r="N38" s="260">
        <f t="shared" si="14"/>
        <v>2.7289451518681944E-2</v>
      </c>
      <c r="O38" s="260">
        <f t="shared" si="14"/>
        <v>2.6202743743862885E-2</v>
      </c>
      <c r="P38" s="260">
        <f t="shared" si="14"/>
        <v>2.6330756223640062E-2</v>
      </c>
      <c r="Q38" s="260">
        <f t="shared" si="14"/>
        <v>2.646799450719832E-2</v>
      </c>
      <c r="R38" s="260">
        <f t="shared" si="14"/>
        <v>2.8085580792765307E-2</v>
      </c>
      <c r="S38" s="260">
        <f t="shared" si="14"/>
        <v>2.7766231320376807E-2</v>
      </c>
      <c r="T38" s="260">
        <f t="shared" si="14"/>
        <v>2.9132927025782008E-2</v>
      </c>
      <c r="U38" s="260">
        <f t="shared" si="14"/>
        <v>2.9023352411314103E-2</v>
      </c>
      <c r="V38" s="260">
        <f t="shared" si="14"/>
        <v>3.0053414074374889E-2</v>
      </c>
      <c r="W38" s="260">
        <f t="shared" si="14"/>
        <v>3.0506303294140513E-2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2.5792676908782345E-2</v>
      </c>
      <c r="C39" s="260">
        <f t="shared" si="15"/>
        <v>2.6863672269510464E-2</v>
      </c>
      <c r="D39" s="260">
        <f t="shared" si="15"/>
        <v>2.5558874011865813E-2</v>
      </c>
      <c r="E39" s="260">
        <f t="shared" si="15"/>
        <v>2.3747527984311106E-2</v>
      </c>
      <c r="F39" s="260">
        <f t="shared" si="15"/>
        <v>2.5922865970463626E-2</v>
      </c>
      <c r="G39" s="260">
        <f t="shared" si="15"/>
        <v>2.264925066452339E-2</v>
      </c>
      <c r="H39" s="260">
        <f t="shared" si="15"/>
        <v>2.7813818538029184E-2</v>
      </c>
      <c r="I39" s="260">
        <f t="shared" si="15"/>
        <v>3.3255206529888545E-2</v>
      </c>
      <c r="J39" s="260">
        <f t="shared" si="15"/>
        <v>3.0460785859484689E-2</v>
      </c>
      <c r="K39" s="260">
        <f t="shared" si="15"/>
        <v>2.3761405618970735E-2</v>
      </c>
      <c r="L39" s="260">
        <f t="shared" si="15"/>
        <v>2.9040378161292135E-2</v>
      </c>
      <c r="M39" s="260">
        <f t="shared" si="15"/>
        <v>2.9393168859866845E-2</v>
      </c>
      <c r="N39" s="260">
        <f t="shared" si="15"/>
        <v>2.8544056773754555E-2</v>
      </c>
      <c r="O39" s="260">
        <f t="shared" si="15"/>
        <v>2.9534709672438684E-2</v>
      </c>
      <c r="P39" s="260">
        <f t="shared" si="15"/>
        <v>3.281423062141816E-2</v>
      </c>
      <c r="Q39" s="260">
        <f t="shared" si="15"/>
        <v>3.2526515854351998E-2</v>
      </c>
      <c r="R39" s="260">
        <f t="shared" si="15"/>
        <v>2.8580775151068879E-2</v>
      </c>
      <c r="S39" s="260">
        <f t="shared" si="15"/>
        <v>2.6699201864102084E-2</v>
      </c>
      <c r="T39" s="260">
        <f t="shared" si="15"/>
        <v>2.4674039285942233E-2</v>
      </c>
      <c r="U39" s="260">
        <f t="shared" si="15"/>
        <v>2.4976637619607452E-2</v>
      </c>
      <c r="V39" s="260">
        <f t="shared" si="15"/>
        <v>1.9754830721436824E-2</v>
      </c>
      <c r="W39" s="260">
        <f t="shared" si="15"/>
        <v>1.8844441014882432E-2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3.9309709647592381E-2</v>
      </c>
      <c r="C40" s="262">
        <f t="shared" si="16"/>
        <v>4.0941975922746107E-2</v>
      </c>
      <c r="D40" s="262">
        <f t="shared" si="16"/>
        <v>3.8953378894291422E-2</v>
      </c>
      <c r="E40" s="262">
        <f t="shared" si="16"/>
        <v>3.6192770266256738E-2</v>
      </c>
      <c r="F40" s="262">
        <f t="shared" si="16"/>
        <v>3.9508126207148539E-2</v>
      </c>
      <c r="G40" s="262">
        <f t="shared" si="16"/>
        <v>3.451892451902875E-2</v>
      </c>
      <c r="H40" s="262">
        <f t="shared" si="16"/>
        <v>4.239006035656831E-2</v>
      </c>
      <c r="I40" s="262">
        <f t="shared" si="16"/>
        <v>5.0683087978181926E-2</v>
      </c>
      <c r="J40" s="262">
        <f t="shared" si="16"/>
        <v>4.642420994178071E-2</v>
      </c>
      <c r="K40" s="262">
        <f t="shared" si="16"/>
        <v>3.6213920680034838E-2</v>
      </c>
      <c r="L40" s="262">
        <f t="shared" si="16"/>
        <v>4.4259416640386608E-2</v>
      </c>
      <c r="M40" s="262">
        <f t="shared" si="16"/>
        <v>4.4797092507703071E-2</v>
      </c>
      <c r="N40" s="262">
        <f t="shared" si="16"/>
        <v>4.3502990709685732E-2</v>
      </c>
      <c r="O40" s="262">
        <f t="shared" si="16"/>
        <v>4.5012809870625912E-2</v>
      </c>
      <c r="P40" s="262">
        <f t="shared" si="16"/>
        <v>5.0011012141119381E-2</v>
      </c>
      <c r="Q40" s="262">
        <f t="shared" si="16"/>
        <v>4.9572516206994592E-2</v>
      </c>
      <c r="R40" s="262">
        <f t="shared" si="16"/>
        <v>4.3558951894174726E-2</v>
      </c>
      <c r="S40" s="262">
        <f t="shared" si="16"/>
        <v>4.0691312375682312E-2</v>
      </c>
      <c r="T40" s="262">
        <f t="shared" si="16"/>
        <v>3.7604833480212312E-2</v>
      </c>
      <c r="U40" s="262">
        <f t="shared" si="16"/>
        <v>3.8066012933523512E-2</v>
      </c>
      <c r="V40" s="262">
        <f t="shared" si="16"/>
        <v>3.0107641116250472E-2</v>
      </c>
      <c r="W40" s="262">
        <f t="shared" si="16"/>
        <v>2.8720148257041885E-2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0.41105782476724184</v>
      </c>
      <c r="C44" s="238">
        <f>IF(C$5=0,0,C$5/AGR_fec!C$5)</f>
        <v>0.42015142276399436</v>
      </c>
      <c r="D44" s="238">
        <f>IF(D$5=0,0,D$5/AGR_fec!D$5)</f>
        <v>0.42194783927101892</v>
      </c>
      <c r="E44" s="238">
        <f>IF(E$5=0,0,E$5/AGR_fec!E$5)</f>
        <v>0.43356437006360937</v>
      </c>
      <c r="F44" s="238">
        <f>IF(F$5=0,0,F$5/AGR_fec!F$5)</f>
        <v>0.40662099827506915</v>
      </c>
      <c r="G44" s="238">
        <f>IF(G$5=0,0,G$5/AGR_fec!G$5)</f>
        <v>0.39386460085672376</v>
      </c>
      <c r="H44" s="238">
        <f>IF(H$5=0,0,H$5/AGR_fec!H$5)</f>
        <v>0.39826747063501072</v>
      </c>
      <c r="I44" s="238">
        <f>IF(I$5=0,0,I$5/AGR_fec!I$5)</f>
        <v>0.40342255790673803</v>
      </c>
      <c r="J44" s="238">
        <f>IF(J$5=0,0,J$5/AGR_fec!J$5)</f>
        <v>0.40069741893613658</v>
      </c>
      <c r="K44" s="238">
        <f>IF(K$5=0,0,K$5/AGR_fec!K$5)</f>
        <v>0.39560169576573379</v>
      </c>
      <c r="L44" s="238">
        <f>IF(L$5=0,0,L$5/AGR_fec!L$5)</f>
        <v>0.40256078748693075</v>
      </c>
      <c r="M44" s="238">
        <f>IF(M$5=0,0,M$5/AGR_fec!M$5)</f>
        <v>0.40332623304024096</v>
      </c>
      <c r="N44" s="238">
        <f>IF(N$5=0,0,N$5/AGR_fec!N$5)</f>
        <v>0.40430271055792577</v>
      </c>
      <c r="O44" s="238">
        <f>IF(O$5=0,0,O$5/AGR_fec!O$5)</f>
        <v>0.39996040754834966</v>
      </c>
      <c r="P44" s="238">
        <f>IF(P$5=0,0,P$5/AGR_fec!P$5)</f>
        <v>0.40821365388009639</v>
      </c>
      <c r="Q44" s="238">
        <f>IF(Q$5=0,0,Q$5/AGR_fec!Q$5)</f>
        <v>0.40484005794326816</v>
      </c>
      <c r="R44" s="238">
        <f>IF(R$5=0,0,R$5/AGR_fec!R$5)</f>
        <v>0.39739909451713012</v>
      </c>
      <c r="S44" s="238">
        <f>IF(S$5=0,0,S$5/AGR_fec!S$5)</f>
        <v>0.39618272273699862</v>
      </c>
      <c r="T44" s="238">
        <f>IF(T$5=0,0,T$5/AGR_fec!T$5)</f>
        <v>0.39075472614373852</v>
      </c>
      <c r="U44" s="238">
        <f>IF(U$5=0,0,U$5/AGR_fec!U$5)</f>
        <v>0.39116270965840599</v>
      </c>
      <c r="V44" s="238">
        <f>IF(V$5=0,0,V$5/AGR_fec!V$5)</f>
        <v>0.38667161607940659</v>
      </c>
      <c r="W44" s="238">
        <f>IF(W$5=0,0,W$5/AGR_fec!W$5)</f>
        <v>0.38528900114280751</v>
      </c>
      <c r="DA44" s="287"/>
    </row>
    <row r="45" spans="1:105" x14ac:dyDescent="0.25">
      <c r="A45" s="239" t="s">
        <v>125</v>
      </c>
      <c r="B45" s="251">
        <f>IF(B$6=0,0,B$6/AGR_fec!B$6)</f>
        <v>0.47188431975742884</v>
      </c>
      <c r="C45" s="251">
        <f>IF(C$6=0,0,C$6/AGR_fec!C$6)</f>
        <v>0.47188431975742873</v>
      </c>
      <c r="D45" s="251">
        <f>IF(D$6=0,0,D$6/AGR_fec!D$6)</f>
        <v>0.47188431975742867</v>
      </c>
      <c r="E45" s="251">
        <f>IF(E$6=0,0,E$6/AGR_fec!E$6)</f>
        <v>0.47188431975742873</v>
      </c>
      <c r="F45" s="251">
        <f>IF(F$6=0,0,F$6/AGR_fec!F$6)</f>
        <v>0.47188431975742884</v>
      </c>
      <c r="G45" s="251">
        <f>IF(G$6=0,0,G$6/AGR_fec!G$6)</f>
        <v>0.47188431975742862</v>
      </c>
      <c r="H45" s="251">
        <f>IF(H$6=0,0,H$6/AGR_fec!H$6)</f>
        <v>0.47188431975742867</v>
      </c>
      <c r="I45" s="251">
        <f>IF(I$6=0,0,I$6/AGR_fec!I$6)</f>
        <v>0.47188431975742867</v>
      </c>
      <c r="J45" s="251">
        <f>IF(J$6=0,0,J$6/AGR_fec!J$6)</f>
        <v>0.47188431975742884</v>
      </c>
      <c r="K45" s="251">
        <f>IF(K$6=0,0,K$6/AGR_fec!K$6)</f>
        <v>0.47188431975742867</v>
      </c>
      <c r="L45" s="251">
        <f>IF(L$6=0,0,L$6/AGR_fec!L$6)</f>
        <v>0.47188431975742884</v>
      </c>
      <c r="M45" s="251">
        <f>IF(M$6=0,0,M$6/AGR_fec!M$6)</f>
        <v>0.47188431975742867</v>
      </c>
      <c r="N45" s="251">
        <f>IF(N$6=0,0,N$6/AGR_fec!N$6)</f>
        <v>0.47188431975742884</v>
      </c>
      <c r="O45" s="251">
        <f>IF(O$6=0,0,O$6/AGR_fec!O$6)</f>
        <v>0.47188431975742862</v>
      </c>
      <c r="P45" s="251">
        <f>IF(P$6=0,0,P$6/AGR_fec!P$6)</f>
        <v>0.47188431975742873</v>
      </c>
      <c r="Q45" s="251">
        <f>IF(Q$6=0,0,Q$6/AGR_fec!Q$6)</f>
        <v>0.47188431975742895</v>
      </c>
      <c r="R45" s="251">
        <f>IF(R$6=0,0,R$6/AGR_fec!R$6)</f>
        <v>0.471884319757429</v>
      </c>
      <c r="S45" s="251">
        <f>IF(S$6=0,0,S$6/AGR_fec!S$6)</f>
        <v>0.47188431975742873</v>
      </c>
      <c r="T45" s="251">
        <f>IF(T$6=0,0,T$6/AGR_fec!T$6)</f>
        <v>0.47188431975742867</v>
      </c>
      <c r="U45" s="251">
        <f>IF(U$6=0,0,U$6/AGR_fec!U$6)</f>
        <v>0.47188431975742873</v>
      </c>
      <c r="V45" s="251">
        <f>IF(V$6=0,0,V$6/AGR_fec!V$6)</f>
        <v>0.47188431975742867</v>
      </c>
      <c r="W45" s="251">
        <f>IF(W$6=0,0,W$6/AGR_fec!W$6)</f>
        <v>0.47188431975742867</v>
      </c>
      <c r="DA45" s="288"/>
    </row>
    <row r="46" spans="1:105" x14ac:dyDescent="0.25">
      <c r="A46" s="241" t="s">
        <v>124</v>
      </c>
      <c r="B46" s="252">
        <f>IF(B$7=0,0,B$7/AGR_fec!B$7)</f>
        <v>0.46793366354089289</v>
      </c>
      <c r="C46" s="252">
        <f>IF(C$7=0,0,C$7/AGR_fec!C$7)</f>
        <v>0.46793366354089283</v>
      </c>
      <c r="D46" s="252">
        <f>IF(D$7=0,0,D$7/AGR_fec!D$7)</f>
        <v>0.46793366354089272</v>
      </c>
      <c r="E46" s="252">
        <f>IF(E$7=0,0,E$7/AGR_fec!E$7)</f>
        <v>0.46793366354089294</v>
      </c>
      <c r="F46" s="252">
        <f>IF(F$7=0,0,F$7/AGR_fec!F$7)</f>
        <v>0.46793366354089305</v>
      </c>
      <c r="G46" s="252">
        <f>IF(G$7=0,0,G$7/AGR_fec!G$7)</f>
        <v>0.46793366354089283</v>
      </c>
      <c r="H46" s="252">
        <f>IF(H$7=0,0,H$7/AGR_fec!H$7)</f>
        <v>0.46793366354089311</v>
      </c>
      <c r="I46" s="252">
        <f>IF(I$7=0,0,I$7/AGR_fec!I$7)</f>
        <v>0.467933663540893</v>
      </c>
      <c r="J46" s="252">
        <f>IF(J$7=0,0,J$7/AGR_fec!J$7)</f>
        <v>0.467933663540893</v>
      </c>
      <c r="K46" s="252">
        <f>IF(K$7=0,0,K$7/AGR_fec!K$7)</f>
        <v>0.46793366354089289</v>
      </c>
      <c r="L46" s="252">
        <f>IF(L$7=0,0,L$7/AGR_fec!L$7)</f>
        <v>0.46793366354089272</v>
      </c>
      <c r="M46" s="252">
        <f>IF(M$7=0,0,M$7/AGR_fec!M$7)</f>
        <v>0.46793366354089289</v>
      </c>
      <c r="N46" s="252">
        <f>IF(N$7=0,0,N$7/AGR_fec!N$7)</f>
        <v>0.46793366354089294</v>
      </c>
      <c r="O46" s="252">
        <f>IF(O$7=0,0,O$7/AGR_fec!O$7)</f>
        <v>0.467933663540893</v>
      </c>
      <c r="P46" s="252">
        <f>IF(P$7=0,0,P$7/AGR_fec!P$7)</f>
        <v>0.46793366354089289</v>
      </c>
      <c r="Q46" s="252">
        <f>IF(Q$7=0,0,Q$7/AGR_fec!Q$7)</f>
        <v>0.467933663540893</v>
      </c>
      <c r="R46" s="252">
        <f>IF(R$7=0,0,R$7/AGR_fec!R$7)</f>
        <v>0.46793366354089289</v>
      </c>
      <c r="S46" s="252">
        <f>IF(S$7=0,0,S$7/AGR_fec!S$7)</f>
        <v>0.46793366354089294</v>
      </c>
      <c r="T46" s="252">
        <f>IF(T$7=0,0,T$7/AGR_fec!T$7)</f>
        <v>0.46793366354089289</v>
      </c>
      <c r="U46" s="252">
        <f>IF(U$7=0,0,U$7/AGR_fec!U$7)</f>
        <v>0.46793366354089294</v>
      </c>
      <c r="V46" s="252">
        <f>IF(V$7=0,0,V$7/AGR_fec!V$7)</f>
        <v>0.46793366354089294</v>
      </c>
      <c r="W46" s="252">
        <f>IF(W$7=0,0,W$7/AGR_fec!W$7)</f>
        <v>0.467933663540893</v>
      </c>
      <c r="DA46" s="289"/>
    </row>
    <row r="47" spans="1:105" x14ac:dyDescent="0.25">
      <c r="A47" s="241" t="s">
        <v>123</v>
      </c>
      <c r="B47" s="252">
        <f>IF(B$8=0,0,B$8/AGR_fec!B$8)</f>
        <v>0.67158928693262343</v>
      </c>
      <c r="C47" s="252">
        <f>IF(C$8=0,0,C$8/AGR_fec!C$8)</f>
        <v>0.67158928693262343</v>
      </c>
      <c r="D47" s="252">
        <f>IF(D$8=0,0,D$8/AGR_fec!D$8)</f>
        <v>0.67158928693262332</v>
      </c>
      <c r="E47" s="252">
        <f>IF(E$8=0,0,E$8/AGR_fec!E$8)</f>
        <v>0.67158928693262343</v>
      </c>
      <c r="F47" s="252">
        <f>IF(F$8=0,0,F$8/AGR_fec!F$8)</f>
        <v>0.67158928693262343</v>
      </c>
      <c r="G47" s="252">
        <f>IF(G$8=0,0,G$8/AGR_fec!G$8)</f>
        <v>0.6715892869326231</v>
      </c>
      <c r="H47" s="252">
        <f>IF(H$8=0,0,H$8/AGR_fec!H$8)</f>
        <v>0.67158928693262332</v>
      </c>
      <c r="I47" s="252">
        <f>IF(I$8=0,0,I$8/AGR_fec!I$8)</f>
        <v>0.67158928693262343</v>
      </c>
      <c r="J47" s="252">
        <f>IF(J$8=0,0,J$8/AGR_fec!J$8)</f>
        <v>0.67158928693262332</v>
      </c>
      <c r="K47" s="252">
        <f>IF(K$8=0,0,K$8/AGR_fec!K$8)</f>
        <v>0.67158928693262343</v>
      </c>
      <c r="L47" s="252">
        <f>IF(L$8=0,0,L$8/AGR_fec!L$8)</f>
        <v>0.67158928693262343</v>
      </c>
      <c r="M47" s="252">
        <f>IF(M$8=0,0,M$8/AGR_fec!M$8)</f>
        <v>0.67158928693262354</v>
      </c>
      <c r="N47" s="252">
        <f>IF(N$8=0,0,N$8/AGR_fec!N$8)</f>
        <v>0.6715892869326231</v>
      </c>
      <c r="O47" s="252">
        <f>IF(O$8=0,0,O$8/AGR_fec!O$8)</f>
        <v>0.67158928693262343</v>
      </c>
      <c r="P47" s="252">
        <f>IF(P$8=0,0,P$8/AGR_fec!P$8)</f>
        <v>0.67158928693262365</v>
      </c>
      <c r="Q47" s="252">
        <f>IF(Q$8=0,0,Q$8/AGR_fec!Q$8)</f>
        <v>0.67158928693262365</v>
      </c>
      <c r="R47" s="252">
        <f>IF(R$8=0,0,R$8/AGR_fec!R$8)</f>
        <v>0.67158928693262343</v>
      </c>
      <c r="S47" s="252">
        <f>IF(S$8=0,0,S$8/AGR_fec!S$8)</f>
        <v>0.67158928693262332</v>
      </c>
      <c r="T47" s="252">
        <f>IF(T$8=0,0,T$8/AGR_fec!T$8)</f>
        <v>0.67158928693262354</v>
      </c>
      <c r="U47" s="252">
        <f>IF(U$8=0,0,U$8/AGR_fec!U$8)</f>
        <v>0.67158928693262365</v>
      </c>
      <c r="V47" s="252">
        <f>IF(V$8=0,0,V$8/AGR_fec!V$8)</f>
        <v>0.67158928693262332</v>
      </c>
      <c r="W47" s="252">
        <f>IF(W$8=0,0,W$8/AGR_fec!W$8)</f>
        <v>0.67158928693262332</v>
      </c>
      <c r="DA47" s="289"/>
    </row>
    <row r="48" spans="1:105" x14ac:dyDescent="0.25">
      <c r="A48" s="243" t="s">
        <v>122</v>
      </c>
      <c r="B48" s="253">
        <f>IF(B$9=0,0,B$9/AGR_fec!B$9)</f>
        <v>0.66755124303818025</v>
      </c>
      <c r="C48" s="253">
        <f>IF(C$9=0,0,C$9/AGR_fec!C$9)</f>
        <v>0.67479695487282665</v>
      </c>
      <c r="D48" s="253">
        <f>IF(D$9=0,0,D$9/AGR_fec!D$9)</f>
        <v>0.67453784206552125</v>
      </c>
      <c r="E48" s="253">
        <f>IF(E$9=0,0,E$9/AGR_fec!E$9)</f>
        <v>0.67927413617930199</v>
      </c>
      <c r="F48" s="253">
        <f>IF(F$9=0,0,F$9/AGR_fec!F$9)</f>
        <v>0.66924840655537199</v>
      </c>
      <c r="G48" s="253">
        <f>IF(G$9=0,0,G$9/AGR_fec!G$9)</f>
        <v>0.66766431771469759</v>
      </c>
      <c r="H48" s="253">
        <f>IF(H$9=0,0,H$9/AGR_fec!H$9)</f>
        <v>0.66570654399235529</v>
      </c>
      <c r="I48" s="253">
        <f>IF(I$9=0,0,I$9/AGR_fec!I$9)</f>
        <v>0.68645730500783575</v>
      </c>
      <c r="J48" s="253">
        <f>IF(J$9=0,0,J$9/AGR_fec!J$9)</f>
        <v>0.68233596393997564</v>
      </c>
      <c r="K48" s="253">
        <f>IF(K$9=0,0,K$9/AGR_fec!K$9)</f>
        <v>0.6578418118674263</v>
      </c>
      <c r="L48" s="253">
        <f>IF(L$9=0,0,L$9/AGR_fec!L$9)</f>
        <v>0.66698244185265776</v>
      </c>
      <c r="M48" s="253">
        <f>IF(M$9=0,0,M$9/AGR_fec!M$9)</f>
        <v>0.66331394618872819</v>
      </c>
      <c r="N48" s="253">
        <f>IF(N$9=0,0,N$9/AGR_fec!N$9)</f>
        <v>0.66111084540688347</v>
      </c>
      <c r="O48" s="253">
        <f>IF(O$9=0,0,O$9/AGR_fec!O$9)</f>
        <v>0.66772409443821767</v>
      </c>
      <c r="P48" s="253">
        <f>IF(P$9=0,0,P$9/AGR_fec!P$9)</f>
        <v>0.67161559064525767</v>
      </c>
      <c r="Q48" s="253">
        <f>IF(Q$9=0,0,Q$9/AGR_fec!Q$9)</f>
        <v>0.67003688215563828</v>
      </c>
      <c r="R48" s="253">
        <f>IF(R$9=0,0,R$9/AGR_fec!R$9)</f>
        <v>0.6545182818871339</v>
      </c>
      <c r="S48" s="253">
        <f>IF(S$9=0,0,S$9/AGR_fec!S$9)</f>
        <v>0.65420524540223368</v>
      </c>
      <c r="T48" s="253">
        <f>IF(T$9=0,0,T$9/AGR_fec!T$9)</f>
        <v>0.64438460733886016</v>
      </c>
      <c r="U48" s="253">
        <f>IF(U$9=0,0,U$9/AGR_fec!U$9)</f>
        <v>0.64570336308591081</v>
      </c>
      <c r="V48" s="253">
        <f>IF(V$9=0,0,V$9/AGR_fec!V$9)</f>
        <v>0.63950399729366336</v>
      </c>
      <c r="W48" s="253">
        <f>IF(W$9=0,0,W$9/AGR_fec!W$9)</f>
        <v>0.63686873581121251</v>
      </c>
      <c r="DA48" s="290"/>
    </row>
    <row r="49" spans="1:105" x14ac:dyDescent="0.25">
      <c r="A49" s="128" t="s">
        <v>175</v>
      </c>
      <c r="B49" s="265">
        <f>IF(B$16=0,0,B$16/AGR_fec!B$16)</f>
        <v>0.3376708447539572</v>
      </c>
      <c r="C49" s="265">
        <f>IF(C$16=0,0,C$16/AGR_fec!C$16)</f>
        <v>0.33767084475395714</v>
      </c>
      <c r="D49" s="265">
        <f>IF(D$16=0,0,D$16/AGR_fec!D$16)</f>
        <v>0.3376708447539572</v>
      </c>
      <c r="E49" s="265">
        <f>IF(E$16=0,0,E$16/AGR_fec!E$16)</f>
        <v>0.33767084475395726</v>
      </c>
      <c r="F49" s="265">
        <f>IF(F$16=0,0,F$16/AGR_fec!F$16)</f>
        <v>0.33767084475395726</v>
      </c>
      <c r="G49" s="265">
        <f>IF(G$16=0,0,G$16/AGR_fec!G$16)</f>
        <v>0.3376708447539572</v>
      </c>
      <c r="H49" s="265">
        <f>IF(H$16=0,0,H$16/AGR_fec!H$16)</f>
        <v>0.33767084475395726</v>
      </c>
      <c r="I49" s="265">
        <f>IF(I$16=0,0,I$16/AGR_fec!I$16)</f>
        <v>0.33767084475395726</v>
      </c>
      <c r="J49" s="265">
        <f>IF(J$16=0,0,J$16/AGR_fec!J$16)</f>
        <v>0.33767084475395726</v>
      </c>
      <c r="K49" s="265">
        <f>IF(K$16=0,0,K$16/AGR_fec!K$16)</f>
        <v>0.3376708447539572</v>
      </c>
      <c r="L49" s="265">
        <f>IF(L$16=0,0,L$16/AGR_fec!L$16)</f>
        <v>0.33767084475395714</v>
      </c>
      <c r="M49" s="265">
        <f>IF(M$16=0,0,M$16/AGR_fec!M$16)</f>
        <v>0.33767084475395737</v>
      </c>
      <c r="N49" s="265">
        <f>IF(N$16=0,0,N$16/AGR_fec!N$16)</f>
        <v>0.33767084475395709</v>
      </c>
      <c r="O49" s="265">
        <f>IF(O$16=0,0,O$16/AGR_fec!O$16)</f>
        <v>0.33767084475395714</v>
      </c>
      <c r="P49" s="265">
        <f>IF(P$16=0,0,P$16/AGR_fec!P$16)</f>
        <v>0.33767084475395714</v>
      </c>
      <c r="Q49" s="265">
        <f>IF(Q$16=0,0,Q$16/AGR_fec!Q$16)</f>
        <v>0.33767084475395737</v>
      </c>
      <c r="R49" s="265">
        <f>IF(R$16=0,0,R$16/AGR_fec!R$16)</f>
        <v>0.33767084475395731</v>
      </c>
      <c r="S49" s="265">
        <f>IF(S$16=0,0,S$16/AGR_fec!S$16)</f>
        <v>0.33767084475395714</v>
      </c>
      <c r="T49" s="265">
        <f>IF(T$16=0,0,T$16/AGR_fec!T$16)</f>
        <v>0.33767084475395714</v>
      </c>
      <c r="U49" s="265">
        <f>IF(U$16=0,0,U$16/AGR_fec!U$16)</f>
        <v>0.33767084475395714</v>
      </c>
      <c r="V49" s="265">
        <f>IF(V$16=0,0,V$16/AGR_fec!V$16)</f>
        <v>0.3376708447539572</v>
      </c>
      <c r="W49" s="265">
        <f>IF(W$16=0,0,W$16/AGR_fec!W$16)</f>
        <v>0.33767084475395726</v>
      </c>
      <c r="DA49" s="291"/>
    </row>
    <row r="50" spans="1:105" x14ac:dyDescent="0.25">
      <c r="A50" s="128" t="s">
        <v>121</v>
      </c>
      <c r="B50" s="265">
        <f>IF(B$17=0,0,B$17/AGR_fec!B$17)</f>
        <v>0.2694799341006211</v>
      </c>
      <c r="C50" s="265">
        <f>IF(C$17=0,0,C$17/AGR_fec!C$17)</f>
        <v>0.26886696828287648</v>
      </c>
      <c r="D50" s="265">
        <f>IF(D$17=0,0,D$17/AGR_fec!D$17)</f>
        <v>0.27473871586923027</v>
      </c>
      <c r="E50" s="265">
        <f>IF(E$17=0,0,E$17/AGR_fec!E$17)</f>
        <v>0.27335721587970008</v>
      </c>
      <c r="F50" s="265">
        <f>IF(F$17=0,0,F$17/AGR_fec!F$17)</f>
        <v>0.27120034192026998</v>
      </c>
      <c r="G50" s="265">
        <f>IF(G$17=0,0,G$17/AGR_fec!G$17)</f>
        <v>0.26640086247056249</v>
      </c>
      <c r="H50" s="265">
        <f>IF(H$17=0,0,H$17/AGR_fec!H$17)</f>
        <v>0.2697372248235555</v>
      </c>
      <c r="I50" s="265">
        <f>IF(I$17=0,0,I$17/AGR_fec!I$17)</f>
        <v>0.26293676429149454</v>
      </c>
      <c r="J50" s="265">
        <f>IF(J$17=0,0,J$17/AGR_fec!J$17)</f>
        <v>0.27561655813060232</v>
      </c>
      <c r="K50" s="265">
        <f>IF(K$17=0,0,K$17/AGR_fec!K$17)</f>
        <v>0.27836279033183964</v>
      </c>
      <c r="L50" s="265">
        <f>IF(L$17=0,0,L$17/AGR_fec!L$17)</f>
        <v>0.2797440280109123</v>
      </c>
      <c r="M50" s="265">
        <f>IF(M$17=0,0,M$17/AGR_fec!M$17)</f>
        <v>0.27860181992643612</v>
      </c>
      <c r="N50" s="265">
        <f>IF(N$17=0,0,N$17/AGR_fec!N$17)</f>
        <v>0.27864352002582982</v>
      </c>
      <c r="O50" s="265">
        <f>IF(O$17=0,0,O$17/AGR_fec!O$17)</f>
        <v>0.27059040720507505</v>
      </c>
      <c r="P50" s="265">
        <f>IF(P$17=0,0,P$17/AGR_fec!P$17)</f>
        <v>0.27748230600680751</v>
      </c>
      <c r="Q50" s="265">
        <f>IF(Q$17=0,0,Q$17/AGR_fec!Q$17)</f>
        <v>0.27678427874097955</v>
      </c>
      <c r="R50" s="265">
        <f>IF(R$17=0,0,R$17/AGR_fec!R$17)</f>
        <v>0.27784526489203759</v>
      </c>
      <c r="S50" s="265">
        <f>IF(S$17=0,0,S$17/AGR_fec!S$17)</f>
        <v>0.27975912406102821</v>
      </c>
      <c r="T50" s="265">
        <f>IF(T$17=0,0,T$17/AGR_fec!T$17)</f>
        <v>0.27881442045154731</v>
      </c>
      <c r="U50" s="265">
        <f>IF(U$17=0,0,U$17/AGR_fec!U$17)</f>
        <v>0.27742790827632918</v>
      </c>
      <c r="V50" s="265">
        <f>IF(V$17=0,0,V$17/AGR_fec!V$17)</f>
        <v>0.27707906861616094</v>
      </c>
      <c r="W50" s="265">
        <f>IF(W$17=0,0,W$17/AGR_fec!W$17)</f>
        <v>0.27721249202129639</v>
      </c>
      <c r="DA50" s="291"/>
    </row>
    <row r="51" spans="1:105" x14ac:dyDescent="0.25">
      <c r="A51" s="128" t="s">
        <v>174</v>
      </c>
      <c r="B51" s="265">
        <f>IF(B$25=0,0,B$25/AGR_fec!B$25)</f>
        <v>0.23636959132777011</v>
      </c>
      <c r="C51" s="265">
        <f>IF(C$25=0,0,C$25/AGR_fec!C$25)</f>
        <v>0.23636959132776997</v>
      </c>
      <c r="D51" s="265">
        <f>IF(D$25=0,0,D$25/AGR_fec!D$25)</f>
        <v>0.23636959132776997</v>
      </c>
      <c r="E51" s="265">
        <f>IF(E$25=0,0,E$25/AGR_fec!E$25)</f>
        <v>0.23636959132776994</v>
      </c>
      <c r="F51" s="265">
        <f>IF(F$25=0,0,F$25/AGR_fec!F$25)</f>
        <v>0.23636959132777008</v>
      </c>
      <c r="G51" s="265">
        <f>IF(G$25=0,0,G$25/AGR_fec!G$25)</f>
        <v>0.23636959132776991</v>
      </c>
      <c r="H51" s="265">
        <f>IF(H$25=0,0,H$25/AGR_fec!H$25)</f>
        <v>0.23636959132777002</v>
      </c>
      <c r="I51" s="265">
        <f>IF(I$25=0,0,I$25/AGR_fec!I$25)</f>
        <v>0.23636959132776991</v>
      </c>
      <c r="J51" s="265">
        <f>IF(J$25=0,0,J$25/AGR_fec!J$25)</f>
        <v>0.23636959132776994</v>
      </c>
      <c r="K51" s="265">
        <f>IF(K$25=0,0,K$25/AGR_fec!K$25)</f>
        <v>0.23636959132777005</v>
      </c>
      <c r="L51" s="265">
        <f>IF(L$25=0,0,L$25/AGR_fec!L$25)</f>
        <v>0.23636959132777002</v>
      </c>
      <c r="M51" s="265">
        <f>IF(M$25=0,0,M$25/AGR_fec!M$25)</f>
        <v>0.23636959132777008</v>
      </c>
      <c r="N51" s="265">
        <f>IF(N$25=0,0,N$25/AGR_fec!N$25)</f>
        <v>0.23636959132777</v>
      </c>
      <c r="O51" s="265">
        <f>IF(O$25=0,0,O$25/AGR_fec!O$25)</f>
        <v>0.23636959132777008</v>
      </c>
      <c r="P51" s="265">
        <f>IF(P$25=0,0,P$25/AGR_fec!P$25)</f>
        <v>0.23636959132777</v>
      </c>
      <c r="Q51" s="265">
        <f>IF(Q$25=0,0,Q$25/AGR_fec!Q$25)</f>
        <v>0.23636959132777</v>
      </c>
      <c r="R51" s="265">
        <f>IF(R$25=0,0,R$25/AGR_fec!R$25)</f>
        <v>0.23636959132776997</v>
      </c>
      <c r="S51" s="265">
        <f>IF(S$25=0,0,S$25/AGR_fec!S$25)</f>
        <v>0.23636959132777005</v>
      </c>
      <c r="T51" s="265">
        <f>IF(T$25=0,0,T$25/AGR_fec!T$25)</f>
        <v>0.23636959132777005</v>
      </c>
      <c r="U51" s="265">
        <f>IF(U$25=0,0,U$25/AGR_fec!U$25)</f>
        <v>0.23636959132777</v>
      </c>
      <c r="V51" s="265">
        <f>IF(V$25=0,0,V$25/AGR_fec!V$25)</f>
        <v>0.23636959132777</v>
      </c>
      <c r="W51" s="265">
        <f>IF(W$25=0,0,W$25/AGR_fec!W$25)</f>
        <v>0.23636959132776997</v>
      </c>
      <c r="DA51" s="291"/>
    </row>
    <row r="52" spans="1:105" x14ac:dyDescent="0.25">
      <c r="A52" s="128" t="s">
        <v>177</v>
      </c>
      <c r="B52" s="265">
        <f>IF(B$26=0,0,B$26/AGR_fec!B$26)</f>
        <v>0.467933663540893</v>
      </c>
      <c r="C52" s="265">
        <f>IF(C$26=0,0,C$26/AGR_fec!C$26)</f>
        <v>0.46793366354089283</v>
      </c>
      <c r="D52" s="265">
        <f>IF(D$26=0,0,D$26/AGR_fec!D$26)</f>
        <v>0.46793366354089289</v>
      </c>
      <c r="E52" s="265">
        <f>IF(E$26=0,0,E$26/AGR_fec!E$26)</f>
        <v>0.46793366354089294</v>
      </c>
      <c r="F52" s="265">
        <f>IF(F$26=0,0,F$26/AGR_fec!F$26)</f>
        <v>0.46793366354089294</v>
      </c>
      <c r="G52" s="265">
        <f>IF(G$26=0,0,G$26/AGR_fec!G$26)</f>
        <v>0.46793366354089283</v>
      </c>
      <c r="H52" s="265">
        <f>IF(H$26=0,0,H$26/AGR_fec!H$26)</f>
        <v>0.467933663540893</v>
      </c>
      <c r="I52" s="265">
        <f>IF(I$26=0,0,I$26/AGR_fec!I$26)</f>
        <v>0.46793366354089294</v>
      </c>
      <c r="J52" s="265">
        <f>IF(J$26=0,0,J$26/AGR_fec!J$26)</f>
        <v>0.46793366354089294</v>
      </c>
      <c r="K52" s="265">
        <f>IF(K$26=0,0,K$26/AGR_fec!K$26)</f>
        <v>0.46793366354089294</v>
      </c>
      <c r="L52" s="265">
        <f>IF(L$26=0,0,L$26/AGR_fec!L$26)</f>
        <v>0.46793366354089289</v>
      </c>
      <c r="M52" s="265">
        <f>IF(M$26=0,0,M$26/AGR_fec!M$26)</f>
        <v>0.46793366354089294</v>
      </c>
      <c r="N52" s="265">
        <f>IF(N$26=0,0,N$26/AGR_fec!N$26)</f>
        <v>0.46793366354089294</v>
      </c>
      <c r="O52" s="265">
        <f>IF(O$26=0,0,O$26/AGR_fec!O$26)</f>
        <v>0.46793366354089272</v>
      </c>
      <c r="P52" s="265">
        <f>IF(P$26=0,0,P$26/AGR_fec!P$26)</f>
        <v>0.46793366354089277</v>
      </c>
      <c r="Q52" s="265">
        <f>IF(Q$26=0,0,Q$26/AGR_fec!Q$26)</f>
        <v>0.46793366354089294</v>
      </c>
      <c r="R52" s="265">
        <f>IF(R$26=0,0,R$26/AGR_fec!R$26)</f>
        <v>0.46793366354089305</v>
      </c>
      <c r="S52" s="265">
        <f>IF(S$26=0,0,S$26/AGR_fec!S$26)</f>
        <v>0.46793366354089277</v>
      </c>
      <c r="T52" s="265">
        <f>IF(T$26=0,0,T$26/AGR_fec!T$26)</f>
        <v>0.46793366354089272</v>
      </c>
      <c r="U52" s="265">
        <f>IF(U$26=0,0,U$26/AGR_fec!U$26)</f>
        <v>0.467933663540893</v>
      </c>
      <c r="V52" s="265">
        <f>IF(V$26=0,0,V$26/AGR_fec!V$26)</f>
        <v>0.46793366354089294</v>
      </c>
      <c r="W52" s="265">
        <f>IF(W$26=0,0,W$26/AGR_fec!W$26)</f>
        <v>0.46793366354089289</v>
      </c>
      <c r="DA52" s="291"/>
    </row>
    <row r="53" spans="1:105" x14ac:dyDescent="0.25">
      <c r="A53" s="261" t="s">
        <v>33</v>
      </c>
      <c r="B53" s="266">
        <f>IF(B$27=0,0,B$27/AGR_fec!B$27)</f>
        <v>0.49183531121776136</v>
      </c>
      <c r="C53" s="266">
        <f>IF(C$27=0,0,C$27/AGR_fec!C$27)</f>
        <v>0.49183531121776114</v>
      </c>
      <c r="D53" s="266">
        <f>IF(D$27=0,0,D$27/AGR_fec!D$27)</f>
        <v>0.49183531121776131</v>
      </c>
      <c r="E53" s="266">
        <f>IF(E$27=0,0,E$27/AGR_fec!E$27)</f>
        <v>0.49183531121776142</v>
      </c>
      <c r="F53" s="266">
        <f>IF(F$27=0,0,F$27/AGR_fec!F$27)</f>
        <v>0.49183531121776125</v>
      </c>
      <c r="G53" s="266">
        <f>IF(G$27=0,0,G$27/AGR_fec!G$27)</f>
        <v>0.49183531121776131</v>
      </c>
      <c r="H53" s="266">
        <f>IF(H$27=0,0,H$27/AGR_fec!H$27)</f>
        <v>0.49183531121776131</v>
      </c>
      <c r="I53" s="266">
        <f>IF(I$27=0,0,I$27/AGR_fec!I$27)</f>
        <v>0.49183531121776125</v>
      </c>
      <c r="J53" s="266">
        <f>IF(J$27=0,0,J$27/AGR_fec!J$27)</f>
        <v>0.49183531121776147</v>
      </c>
      <c r="K53" s="266">
        <f>IF(K$27=0,0,K$27/AGR_fec!K$27)</f>
        <v>0.49183531121776114</v>
      </c>
      <c r="L53" s="266">
        <f>IF(L$27=0,0,L$27/AGR_fec!L$27)</f>
        <v>0.49183531121776125</v>
      </c>
      <c r="M53" s="266">
        <f>IF(M$27=0,0,M$27/AGR_fec!M$27)</f>
        <v>0.49183531121776142</v>
      </c>
      <c r="N53" s="266">
        <f>IF(N$27=0,0,N$27/AGR_fec!N$27)</f>
        <v>0.4918353112177612</v>
      </c>
      <c r="O53" s="266">
        <f>IF(O$27=0,0,O$27/AGR_fec!O$27)</f>
        <v>0.49183531121776125</v>
      </c>
      <c r="P53" s="266">
        <f>IF(P$27=0,0,P$27/AGR_fec!P$27)</f>
        <v>0.49183531121776125</v>
      </c>
      <c r="Q53" s="266">
        <f>IF(Q$27=0,0,Q$27/AGR_fec!Q$27)</f>
        <v>0.49183531121776125</v>
      </c>
      <c r="R53" s="266">
        <f>IF(R$27=0,0,R$27/AGR_fec!R$27)</f>
        <v>0.49183531121776147</v>
      </c>
      <c r="S53" s="266">
        <f>IF(S$27=0,0,S$27/AGR_fec!S$27)</f>
        <v>0.49183531121776125</v>
      </c>
      <c r="T53" s="266">
        <f>IF(T$27=0,0,T$27/AGR_fec!T$27)</f>
        <v>0.49183531121776131</v>
      </c>
      <c r="U53" s="266">
        <f>IF(U$27=0,0,U$27/AGR_fec!U$27)</f>
        <v>0.49183531121776136</v>
      </c>
      <c r="V53" s="266">
        <f>IF(V$27=0,0,V$27/AGR_fec!V$27)</f>
        <v>0.49183531121776125</v>
      </c>
      <c r="W53" s="266">
        <f>IF(W$27=0,0,W$27/AGR_fec!W$27)</f>
        <v>0.49183531121776125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974.98938671786004</v>
      </c>
      <c r="C5" s="80">
        <f t="shared" ref="C5:W5" si="0">SUM(C6:C9,C16:C17,C25:C27)</f>
        <v>678.31751854899744</v>
      </c>
      <c r="D5" s="80">
        <f t="shared" si="0"/>
        <v>605.22043544626615</v>
      </c>
      <c r="E5" s="80">
        <f t="shared" si="0"/>
        <v>501.03370033957185</v>
      </c>
      <c r="F5" s="80">
        <f t="shared" si="0"/>
        <v>601.60759657924996</v>
      </c>
      <c r="G5" s="80">
        <f t="shared" si="0"/>
        <v>643.91799580682061</v>
      </c>
      <c r="H5" s="80">
        <f t="shared" si="0"/>
        <v>642.35987825054553</v>
      </c>
      <c r="I5" s="80">
        <f t="shared" si="0"/>
        <v>481.30252079866602</v>
      </c>
      <c r="J5" s="80">
        <f t="shared" si="0"/>
        <v>633.44047259722129</v>
      </c>
      <c r="K5" s="80">
        <f t="shared" si="0"/>
        <v>897.35260703873303</v>
      </c>
      <c r="L5" s="80">
        <f t="shared" si="0"/>
        <v>904.89686699822528</v>
      </c>
      <c r="M5" s="80">
        <f t="shared" si="0"/>
        <v>1015.3866791980454</v>
      </c>
      <c r="N5" s="80">
        <f t="shared" si="0"/>
        <v>1153.8111640783147</v>
      </c>
      <c r="O5" s="80">
        <f t="shared" si="0"/>
        <v>989.34185675834669</v>
      </c>
      <c r="P5" s="80">
        <f t="shared" si="0"/>
        <v>954.20150268137388</v>
      </c>
      <c r="Q5" s="80">
        <f t="shared" si="0"/>
        <v>1054.1683909180335</v>
      </c>
      <c r="R5" s="80">
        <f t="shared" si="0"/>
        <v>1106.6645357985135</v>
      </c>
      <c r="S5" s="80">
        <f t="shared" si="0"/>
        <v>1218.9522215794709</v>
      </c>
      <c r="T5" s="80">
        <f t="shared" si="0"/>
        <v>1452.0725386348754</v>
      </c>
      <c r="U5" s="80">
        <f t="shared" si="0"/>
        <v>1410.660450857913</v>
      </c>
      <c r="V5" s="80">
        <f t="shared" si="0"/>
        <v>1385.2420185069225</v>
      </c>
      <c r="W5" s="80">
        <f t="shared" si="0"/>
        <v>1506.5709716484864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121.20710167473285</v>
      </c>
      <c r="C9" s="244">
        <f t="shared" ref="C9:W9" si="1">SUM(C10:C15)</f>
        <v>72.920091895227912</v>
      </c>
      <c r="D9" s="244">
        <f t="shared" si="1"/>
        <v>72.584199857117795</v>
      </c>
      <c r="E9" s="244">
        <f t="shared" si="1"/>
        <v>47.135527283797273</v>
      </c>
      <c r="F9" s="244">
        <f t="shared" si="1"/>
        <v>80.800236757895178</v>
      </c>
      <c r="G9" s="244">
        <f t="shared" si="1"/>
        <v>86.439740337814996</v>
      </c>
      <c r="H9" s="244">
        <f t="shared" si="1"/>
        <v>97.797888919577247</v>
      </c>
      <c r="I9" s="244">
        <f t="shared" si="1"/>
        <v>77.454199839727849</v>
      </c>
      <c r="J9" s="244">
        <f t="shared" si="1"/>
        <v>98.307564192590064</v>
      </c>
      <c r="K9" s="244">
        <f t="shared" si="1"/>
        <v>156.40789405676227</v>
      </c>
      <c r="L9" s="244">
        <f t="shared" si="1"/>
        <v>157.37603917854381</v>
      </c>
      <c r="M9" s="244">
        <f t="shared" si="1"/>
        <v>170.94236437334243</v>
      </c>
      <c r="N9" s="244">
        <f t="shared" si="1"/>
        <v>201.26761010417189</v>
      </c>
      <c r="O9" s="244">
        <f t="shared" si="1"/>
        <v>174.77317533118963</v>
      </c>
      <c r="P9" s="244">
        <f t="shared" si="1"/>
        <v>161.02200346636357</v>
      </c>
      <c r="Q9" s="244">
        <f t="shared" si="1"/>
        <v>182.76256727772949</v>
      </c>
      <c r="R9" s="244">
        <f t="shared" si="1"/>
        <v>206.43841073950824</v>
      </c>
      <c r="S9" s="244">
        <f t="shared" si="1"/>
        <v>238.03281866741571</v>
      </c>
      <c r="T9" s="244">
        <f t="shared" si="1"/>
        <v>295.43947197634623</v>
      </c>
      <c r="U9" s="244">
        <f t="shared" si="1"/>
        <v>283.38414569198369</v>
      </c>
      <c r="V9" s="244">
        <f t="shared" si="1"/>
        <v>284.20973967238837</v>
      </c>
      <c r="W9" s="244">
        <f t="shared" si="1"/>
        <v>312.4028047770766</v>
      </c>
      <c r="DA9" s="270"/>
    </row>
    <row r="10" spans="1:105" x14ac:dyDescent="0.25">
      <c r="A10" s="254" t="s">
        <v>173</v>
      </c>
      <c r="B10" s="255">
        <v>107.8888744974994</v>
      </c>
      <c r="C10" s="255">
        <v>64.468804289830402</v>
      </c>
      <c r="D10" s="255">
        <v>54.541934995684578</v>
      </c>
      <c r="E10" s="255">
        <v>36.548595375262018</v>
      </c>
      <c r="F10" s="255">
        <v>56.166896074884257</v>
      </c>
      <c r="G10" s="255">
        <v>53.355329914180473</v>
      </c>
      <c r="H10" s="255">
        <v>73.255030131007842</v>
      </c>
      <c r="I10" s="255">
        <v>56.596701167359683</v>
      </c>
      <c r="J10" s="255">
        <v>52.833625775096962</v>
      </c>
      <c r="K10" s="255">
        <v>101.9034755032597</v>
      </c>
      <c r="L10" s="255">
        <v>97.529503216359544</v>
      </c>
      <c r="M10" s="255">
        <v>128.24649236732341</v>
      </c>
      <c r="N10" s="255">
        <v>147.53181020467289</v>
      </c>
      <c r="O10" s="255">
        <v>124.2751038639379</v>
      </c>
      <c r="P10" s="255">
        <v>118.1102707753485</v>
      </c>
      <c r="Q10" s="255">
        <v>131.57923810657419</v>
      </c>
      <c r="R10" s="255">
        <v>151.9001700040898</v>
      </c>
      <c r="S10" s="255">
        <v>148.65175487172101</v>
      </c>
      <c r="T10" s="255">
        <v>199.17373588253139</v>
      </c>
      <c r="U10" s="255">
        <v>194.67869682982001</v>
      </c>
      <c r="V10" s="255">
        <v>195.7731061294364</v>
      </c>
      <c r="W10" s="255">
        <v>218.27073685079179</v>
      </c>
      <c r="DA10" s="271" t="s">
        <v>1038</v>
      </c>
    </row>
    <row r="11" spans="1:105" x14ac:dyDescent="0.25">
      <c r="A11" s="254" t="s">
        <v>176</v>
      </c>
      <c r="B11" s="256">
        <v>13.31822717723345</v>
      </c>
      <c r="C11" s="256">
        <v>8.4512876053975159</v>
      </c>
      <c r="D11" s="256">
        <v>18.04226486143321</v>
      </c>
      <c r="E11" s="256">
        <v>10.586931908535259</v>
      </c>
      <c r="F11" s="256">
        <v>24.633340683010921</v>
      </c>
      <c r="G11" s="256">
        <v>33.084410423634523</v>
      </c>
      <c r="H11" s="256">
        <v>24.542858788569411</v>
      </c>
      <c r="I11" s="256">
        <v>20.85749867236817</v>
      </c>
      <c r="J11" s="256">
        <v>45.473938417493102</v>
      </c>
      <c r="K11" s="256">
        <v>54.504418553502568</v>
      </c>
      <c r="L11" s="256">
        <v>59.846535962184277</v>
      </c>
      <c r="M11" s="256">
        <v>42.695872006019023</v>
      </c>
      <c r="N11" s="256">
        <v>53.735799899498993</v>
      </c>
      <c r="O11" s="256">
        <v>50.498071467251719</v>
      </c>
      <c r="P11" s="256">
        <v>42.911732691015082</v>
      </c>
      <c r="Q11" s="256">
        <v>51.183329171155279</v>
      </c>
      <c r="R11" s="256">
        <v>54.538240735418448</v>
      </c>
      <c r="S11" s="256">
        <v>89.381063795694686</v>
      </c>
      <c r="T11" s="256">
        <v>96.265736093814851</v>
      </c>
      <c r="U11" s="256">
        <v>88.705448862163692</v>
      </c>
      <c r="V11" s="256">
        <v>88.436633542951981</v>
      </c>
      <c r="W11" s="256">
        <v>94.13206792628479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306.80004706523738</v>
      </c>
      <c r="C16" s="258">
        <v>215.90566031803201</v>
      </c>
      <c r="D16" s="258">
        <v>200.57261768485981</v>
      </c>
      <c r="E16" s="258">
        <v>166.47603196722949</v>
      </c>
      <c r="F16" s="258">
        <v>179.48583405720399</v>
      </c>
      <c r="G16" s="258">
        <v>178.7752614775732</v>
      </c>
      <c r="H16" s="258">
        <v>196.9343618269028</v>
      </c>
      <c r="I16" s="258">
        <v>175.6921555341915</v>
      </c>
      <c r="J16" s="258">
        <v>185.05633562389201</v>
      </c>
      <c r="K16" s="258">
        <v>275.11831885237689</v>
      </c>
      <c r="L16" s="258">
        <v>279.85829951240851</v>
      </c>
      <c r="M16" s="258">
        <v>327.11748134849142</v>
      </c>
      <c r="N16" s="258">
        <v>375.73638863641781</v>
      </c>
      <c r="O16" s="258">
        <v>339.43895871704501</v>
      </c>
      <c r="P16" s="258">
        <v>309.1512902192415</v>
      </c>
      <c r="Q16" s="258">
        <v>336.53782031569858</v>
      </c>
      <c r="R16" s="258">
        <v>347.24031416973338</v>
      </c>
      <c r="S16" s="258">
        <v>373.90493513562308</v>
      </c>
      <c r="T16" s="258">
        <v>440.11963941941468</v>
      </c>
      <c r="U16" s="258">
        <v>432.20830429435671</v>
      </c>
      <c r="V16" s="258">
        <v>421.42104936379661</v>
      </c>
      <c r="W16" s="258">
        <v>455.11945046786622</v>
      </c>
      <c r="DA16" s="273" t="s">
        <v>1044</v>
      </c>
    </row>
    <row r="17" spans="1:105" x14ac:dyDescent="0.25">
      <c r="A17" s="257" t="s">
        <v>121</v>
      </c>
      <c r="B17" s="258">
        <f>SUM(B18:B24)</f>
        <v>488.02805214701829</v>
      </c>
      <c r="C17" s="258">
        <f t="shared" ref="C17:W17" si="2">SUM(C18:C24)</f>
        <v>348.00369440718367</v>
      </c>
      <c r="D17" s="258">
        <f t="shared" si="2"/>
        <v>293.52191789906277</v>
      </c>
      <c r="E17" s="258">
        <f t="shared" si="2"/>
        <v>255.43238418053775</v>
      </c>
      <c r="F17" s="258">
        <f t="shared" si="2"/>
        <v>306.8318269644393</v>
      </c>
      <c r="G17" s="258">
        <f t="shared" si="2"/>
        <v>344.34983763461349</v>
      </c>
      <c r="H17" s="258">
        <f t="shared" si="2"/>
        <v>309.7850486821705</v>
      </c>
      <c r="I17" s="258">
        <f t="shared" si="2"/>
        <v>194.39545356870633</v>
      </c>
      <c r="J17" s="258">
        <f t="shared" si="2"/>
        <v>314.5164556819592</v>
      </c>
      <c r="K17" s="258">
        <f t="shared" si="2"/>
        <v>412.96011640164056</v>
      </c>
      <c r="L17" s="258">
        <f t="shared" si="2"/>
        <v>413.88542379379828</v>
      </c>
      <c r="M17" s="258">
        <f t="shared" si="2"/>
        <v>454.46848332789853</v>
      </c>
      <c r="N17" s="258">
        <f t="shared" si="2"/>
        <v>504.60628697742374</v>
      </c>
      <c r="O17" s="258">
        <f t="shared" si="2"/>
        <v>409.90369800162495</v>
      </c>
      <c r="P17" s="258">
        <f t="shared" si="2"/>
        <v>424.62221219824113</v>
      </c>
      <c r="Q17" s="258">
        <f t="shared" si="2"/>
        <v>470.19945653722732</v>
      </c>
      <c r="R17" s="258">
        <f t="shared" si="2"/>
        <v>486.26069071619827</v>
      </c>
      <c r="S17" s="258">
        <f t="shared" si="2"/>
        <v>535.16551846913865</v>
      </c>
      <c r="T17" s="258">
        <f t="shared" si="2"/>
        <v>631.94077068854017</v>
      </c>
      <c r="U17" s="258">
        <f t="shared" si="2"/>
        <v>612.0155732961714</v>
      </c>
      <c r="V17" s="258">
        <f t="shared" si="2"/>
        <v>598.6316628282616</v>
      </c>
      <c r="W17" s="258">
        <f t="shared" si="2"/>
        <v>651.59372115570602</v>
      </c>
      <c r="DA17" s="273"/>
    </row>
    <row r="18" spans="1:105" x14ac:dyDescent="0.25">
      <c r="A18" s="61" t="s">
        <v>29</v>
      </c>
      <c r="B18" s="55">
        <v>0.93157415999770199</v>
      </c>
      <c r="C18" s="55">
        <v>0.71964947077265495</v>
      </c>
      <c r="D18" s="55">
        <v>13.793424207637591</v>
      </c>
      <c r="E18" s="55">
        <v>19.25915102162239</v>
      </c>
      <c r="F18" s="55">
        <v>78.334985421350865</v>
      </c>
      <c r="G18" s="55">
        <v>55.829814289282361</v>
      </c>
      <c r="H18" s="55">
        <v>27.616136452796159</v>
      </c>
      <c r="I18" s="55">
        <v>22.354727999910089</v>
      </c>
      <c r="J18" s="55">
        <v>37.258007159781897</v>
      </c>
      <c r="K18" s="55">
        <v>39.120773999937292</v>
      </c>
      <c r="L18" s="55">
        <v>35.394858839918292</v>
      </c>
      <c r="M18" s="55">
        <v>35.394858839920261</v>
      </c>
      <c r="N18" s="55">
        <v>1.8627668399968891</v>
      </c>
      <c r="O18" s="55">
        <v>35.394858839927828</v>
      </c>
      <c r="P18" s="55">
        <v>30.737751000053208</v>
      </c>
      <c r="Q18" s="55">
        <v>36.326432999917621</v>
      </c>
      <c r="R18" s="55">
        <v>41.915114999934758</v>
      </c>
      <c r="S18" s="55">
        <v>52.509047140956717</v>
      </c>
      <c r="T18" s="55">
        <v>66.191353396646917</v>
      </c>
      <c r="U18" s="55">
        <v>65.119406179462629</v>
      </c>
      <c r="V18" s="55">
        <v>72.4939159886205</v>
      </c>
      <c r="W18" s="55">
        <v>78.292231810851121</v>
      </c>
      <c r="DA18" s="101" t="s">
        <v>1045</v>
      </c>
    </row>
    <row r="19" spans="1:105" x14ac:dyDescent="0.25">
      <c r="A19" s="61" t="s">
        <v>27</v>
      </c>
      <c r="B19" s="55">
        <v>2.98465523999264</v>
      </c>
      <c r="C19" s="55">
        <v>2.9846552399911861</v>
      </c>
      <c r="D19" s="55">
        <v>0</v>
      </c>
      <c r="E19" s="55">
        <v>0</v>
      </c>
      <c r="F19" s="55">
        <v>2.9846552399862678</v>
      </c>
      <c r="G19" s="55">
        <v>3.0373563599851501</v>
      </c>
      <c r="H19" s="55">
        <v>12.15056123994575</v>
      </c>
      <c r="I19" s="55">
        <v>12.149425439951139</v>
      </c>
      <c r="J19" s="55">
        <v>100.2336685194133</v>
      </c>
      <c r="K19" s="55">
        <v>97.210396079844202</v>
      </c>
      <c r="L19" s="55">
        <v>69.859877759838753</v>
      </c>
      <c r="M19" s="55">
        <v>51.635512439883691</v>
      </c>
      <c r="N19" s="55">
        <v>15.187008959974641</v>
      </c>
      <c r="O19" s="55">
        <v>24.299078039950459</v>
      </c>
      <c r="P19" s="55">
        <v>15.18700896002629</v>
      </c>
      <c r="Q19" s="55">
        <v>24.299078039944899</v>
      </c>
      <c r="R19" s="55">
        <v>30.37379075995273</v>
      </c>
      <c r="S19" s="55">
        <v>32.92116299995255</v>
      </c>
      <c r="T19" s="55">
        <v>33.343226279952447</v>
      </c>
      <c r="U19" s="55">
        <v>21.755113199971909</v>
      </c>
      <c r="V19" s="55">
        <v>22.675338359968588</v>
      </c>
      <c r="W19" s="55">
        <v>19.792677959965179</v>
      </c>
      <c r="DA19" s="101" t="s">
        <v>1046</v>
      </c>
    </row>
    <row r="20" spans="1:105" x14ac:dyDescent="0.25">
      <c r="A20" s="61" t="s">
        <v>173</v>
      </c>
      <c r="B20" s="55">
        <v>297.44161116472782</v>
      </c>
      <c r="C20" s="55">
        <v>207.06332274222351</v>
      </c>
      <c r="D20" s="55">
        <v>177.9162065931279</v>
      </c>
      <c r="E20" s="55">
        <v>147.3415268278697</v>
      </c>
      <c r="F20" s="55">
        <v>128.14518962658261</v>
      </c>
      <c r="G20" s="55">
        <v>84.009281889998945</v>
      </c>
      <c r="H20" s="55">
        <v>134.86378849860429</v>
      </c>
      <c r="I20" s="55">
        <v>103.56135000139921</v>
      </c>
      <c r="J20" s="55">
        <v>77.042951140749437</v>
      </c>
      <c r="K20" s="55">
        <v>172.32262791555951</v>
      </c>
      <c r="L20" s="55">
        <v>183.791052036526</v>
      </c>
      <c r="M20" s="55">
        <v>268.79383541434669</v>
      </c>
      <c r="N20" s="55">
        <v>335.28323879722518</v>
      </c>
      <c r="O20" s="55">
        <v>238.30168670922839</v>
      </c>
      <c r="P20" s="55">
        <v>271.14104908899571</v>
      </c>
      <c r="Q20" s="55">
        <v>275.33393766881659</v>
      </c>
      <c r="R20" s="55">
        <v>295.7091746519331</v>
      </c>
      <c r="S20" s="55">
        <v>273.23152744422453</v>
      </c>
      <c r="T20" s="55">
        <v>348.9455875060828</v>
      </c>
      <c r="U20" s="55">
        <v>346.22023117918349</v>
      </c>
      <c r="V20" s="55">
        <v>335.69440510293998</v>
      </c>
      <c r="W20" s="55">
        <v>371.49899923161342</v>
      </c>
      <c r="DA20" s="101" t="s">
        <v>1047</v>
      </c>
    </row>
    <row r="21" spans="1:105" x14ac:dyDescent="0.25">
      <c r="A21" s="61" t="s">
        <v>129</v>
      </c>
      <c r="B21" s="55">
        <v>36.839963159909153</v>
      </c>
      <c r="C21" s="55">
        <v>12.279904559963731</v>
      </c>
      <c r="D21" s="55">
        <v>9.2100531599764714</v>
      </c>
      <c r="E21" s="55">
        <v>15.40680263992887</v>
      </c>
      <c r="F21" s="55">
        <v>12.2799045599435</v>
      </c>
      <c r="G21" s="55">
        <v>141.94487951930611</v>
      </c>
      <c r="H21" s="55">
        <v>79.389017279645543</v>
      </c>
      <c r="I21" s="55">
        <v>18.164638799926941</v>
      </c>
      <c r="J21" s="55">
        <v>33.670907279802918</v>
      </c>
      <c r="K21" s="55">
        <v>12.13728695998055</v>
      </c>
      <c r="L21" s="55">
        <v>12.060861119972159</v>
      </c>
      <c r="M21" s="55">
        <v>9.1573286399793687</v>
      </c>
      <c r="N21" s="55">
        <v>30.152402279949641</v>
      </c>
      <c r="O21" s="55">
        <v>15.076325879969261</v>
      </c>
      <c r="P21" s="55">
        <v>9.0456458400156592</v>
      </c>
      <c r="Q21" s="55">
        <v>27.137186999938461</v>
      </c>
      <c r="R21" s="55">
        <v>12.09118103998118</v>
      </c>
      <c r="S21" s="55">
        <v>12.215612159982379</v>
      </c>
      <c r="T21" s="55">
        <v>14.806319399978889</v>
      </c>
      <c r="U21" s="55">
        <v>21.16539539997267</v>
      </c>
      <c r="V21" s="55">
        <v>16.124686919977659</v>
      </c>
      <c r="W21" s="55">
        <v>21.796081559961639</v>
      </c>
      <c r="DA21" s="101" t="s">
        <v>1048</v>
      </c>
    </row>
    <row r="22" spans="1:105" x14ac:dyDescent="0.25">
      <c r="A22" s="61" t="s">
        <v>176</v>
      </c>
      <c r="B22" s="55">
        <v>36.717362822669891</v>
      </c>
      <c r="C22" s="55">
        <v>27.14416239452148</v>
      </c>
      <c r="D22" s="55">
        <v>58.854005138407032</v>
      </c>
      <c r="E22" s="55">
        <v>42.680018091258702</v>
      </c>
      <c r="F22" s="55">
        <v>56.201149316708957</v>
      </c>
      <c r="G22" s="55">
        <v>52.092219576077241</v>
      </c>
      <c r="H22" s="55">
        <v>45.183831211226043</v>
      </c>
      <c r="I22" s="55">
        <v>38.165311327518971</v>
      </c>
      <c r="J22" s="55">
        <v>66.31092158221162</v>
      </c>
      <c r="K22" s="55">
        <v>92.169031446319053</v>
      </c>
      <c r="L22" s="55">
        <v>112.778774037543</v>
      </c>
      <c r="M22" s="55">
        <v>89.48694799376851</v>
      </c>
      <c r="N22" s="55">
        <v>122.1208701002774</v>
      </c>
      <c r="O22" s="55">
        <v>96.831748532549</v>
      </c>
      <c r="P22" s="55">
        <v>98.510757309150264</v>
      </c>
      <c r="Q22" s="55">
        <v>107.10282082860969</v>
      </c>
      <c r="R22" s="55">
        <v>106.17142926439649</v>
      </c>
      <c r="S22" s="55">
        <v>164.28816872402251</v>
      </c>
      <c r="T22" s="55">
        <v>168.6542841058791</v>
      </c>
      <c r="U22" s="55">
        <v>157.7554273375807</v>
      </c>
      <c r="V22" s="55">
        <v>151.6433164567548</v>
      </c>
      <c r="W22" s="55">
        <v>160.21373059331469</v>
      </c>
      <c r="DA22" s="101" t="s">
        <v>1049</v>
      </c>
    </row>
    <row r="23" spans="1:105" x14ac:dyDescent="0.25">
      <c r="A23" s="61" t="s">
        <v>171</v>
      </c>
      <c r="B23" s="55">
        <v>113.1128855997211</v>
      </c>
      <c r="C23" s="55">
        <v>97.811999999711091</v>
      </c>
      <c r="D23" s="55">
        <v>33.748228799913782</v>
      </c>
      <c r="E23" s="55">
        <v>30.744885599858069</v>
      </c>
      <c r="F23" s="55">
        <v>28.885942799867099</v>
      </c>
      <c r="G23" s="55">
        <v>7.4362859999636468</v>
      </c>
      <c r="H23" s="55">
        <v>10.581713999952759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58.954185830871452</v>
      </c>
      <c r="C25" s="258">
        <v>41.488071928553808</v>
      </c>
      <c r="D25" s="258">
        <v>38.541700005225877</v>
      </c>
      <c r="E25" s="258">
        <v>31.989756908007319</v>
      </c>
      <c r="F25" s="258">
        <v>34.489698799711562</v>
      </c>
      <c r="G25" s="258">
        <v>34.353156356818857</v>
      </c>
      <c r="H25" s="258">
        <v>37.842578821894911</v>
      </c>
      <c r="I25" s="258">
        <v>33.760711856040352</v>
      </c>
      <c r="J25" s="258">
        <v>35.560117098779948</v>
      </c>
      <c r="K25" s="258">
        <v>52.866277727953261</v>
      </c>
      <c r="L25" s="258">
        <v>53.77710451347464</v>
      </c>
      <c r="M25" s="258">
        <v>62.858350148313001</v>
      </c>
      <c r="N25" s="258">
        <v>72.200878360301303</v>
      </c>
      <c r="O25" s="258">
        <v>65.226024708487103</v>
      </c>
      <c r="P25" s="258">
        <v>59.405996797527699</v>
      </c>
      <c r="Q25" s="258">
        <v>64.668546787378148</v>
      </c>
      <c r="R25" s="258">
        <v>66.725120173073748</v>
      </c>
      <c r="S25" s="258">
        <v>71.848949307293353</v>
      </c>
      <c r="T25" s="258">
        <v>84.572656550574166</v>
      </c>
      <c r="U25" s="258">
        <v>83.052427575401339</v>
      </c>
      <c r="V25" s="258">
        <v>80.979566642475845</v>
      </c>
      <c r="W25" s="258">
        <v>87.454995247837573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</v>
      </c>
      <c r="D31" s="236">
        <f t="shared" si="3"/>
        <v>1.0000000000000002</v>
      </c>
      <c r="E31" s="236">
        <f t="shared" si="3"/>
        <v>1</v>
      </c>
      <c r="F31" s="236">
        <f t="shared" si="3"/>
        <v>1</v>
      </c>
      <c r="G31" s="236">
        <f t="shared" si="3"/>
        <v>0.99999999999999989</v>
      </c>
      <c r="H31" s="236">
        <f t="shared" si="3"/>
        <v>0.99999999999999989</v>
      </c>
      <c r="I31" s="236">
        <f t="shared" si="3"/>
        <v>1</v>
      </c>
      <c r="J31" s="236">
        <f t="shared" si="3"/>
        <v>0.99999999999999978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1.0000000000000002</v>
      </c>
      <c r="S31" s="236">
        <f t="shared" si="4"/>
        <v>0.99999999999999989</v>
      </c>
      <c r="T31" s="236">
        <f t="shared" si="4"/>
        <v>0.99999999999999978</v>
      </c>
      <c r="U31" s="236">
        <f t="shared" si="4"/>
        <v>1.0000000000000002</v>
      </c>
      <c r="V31" s="236">
        <f t="shared" si="4"/>
        <v>0.99999999999999989</v>
      </c>
      <c r="W31" s="236">
        <f t="shared" si="4"/>
        <v>0.99999999999999989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0.12431632931180558</v>
      </c>
      <c r="C35" s="247">
        <f t="shared" si="8"/>
        <v>0.10750141327797745</v>
      </c>
      <c r="D35" s="247">
        <f t="shared" si="8"/>
        <v>0.1199301867650867</v>
      </c>
      <c r="E35" s="247">
        <f t="shared" si="8"/>
        <v>9.4076560622272556E-2</v>
      </c>
      <c r="F35" s="247">
        <f t="shared" si="8"/>
        <v>0.13430720824890938</v>
      </c>
      <c r="G35" s="247">
        <f t="shared" si="8"/>
        <v>0.1342402928644775</v>
      </c>
      <c r="H35" s="247">
        <f t="shared" si="8"/>
        <v>0.15224781657585443</v>
      </c>
      <c r="I35" s="247">
        <f t="shared" si="8"/>
        <v>0.16092622933119391</v>
      </c>
      <c r="J35" s="247">
        <f t="shared" si="8"/>
        <v>0.15519621565939914</v>
      </c>
      <c r="K35" s="247">
        <f t="shared" si="8"/>
        <v>0.17429925854108666</v>
      </c>
      <c r="L35" s="247">
        <f t="shared" si="8"/>
        <v>0.17391599520131001</v>
      </c>
      <c r="M35" s="247">
        <f t="shared" si="8"/>
        <v>0.16835198636676332</v>
      </c>
      <c r="N35" s="247">
        <f t="shared" si="8"/>
        <v>0.17443721847235558</v>
      </c>
      <c r="O35" s="247">
        <f t="shared" si="8"/>
        <v>0.1766560002867433</v>
      </c>
      <c r="P35" s="247">
        <f t="shared" si="8"/>
        <v>0.16875052388188483</v>
      </c>
      <c r="Q35" s="247">
        <f t="shared" si="8"/>
        <v>0.17337132174734324</v>
      </c>
      <c r="R35" s="247">
        <f t="shared" si="8"/>
        <v>0.18654109177769274</v>
      </c>
      <c r="S35" s="247">
        <f t="shared" si="8"/>
        <v>0.1952765780753753</v>
      </c>
      <c r="T35" s="247">
        <f t="shared" si="8"/>
        <v>0.203460546298944</v>
      </c>
      <c r="U35" s="247">
        <f t="shared" si="8"/>
        <v>0.20088756689793041</v>
      </c>
      <c r="V35" s="247">
        <f t="shared" si="8"/>
        <v>0.20516973631706803</v>
      </c>
      <c r="W35" s="247">
        <f t="shared" si="8"/>
        <v>0.20736016467597684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0.31467014025458145</v>
      </c>
      <c r="C36" s="260">
        <f t="shared" si="9"/>
        <v>0.31829586353582628</v>
      </c>
      <c r="D36" s="260">
        <f t="shared" si="9"/>
        <v>0.33140423874974628</v>
      </c>
      <c r="E36" s="260">
        <f t="shared" si="9"/>
        <v>0.33226513876092884</v>
      </c>
      <c r="F36" s="260">
        <f t="shared" si="9"/>
        <v>0.29834369625277873</v>
      </c>
      <c r="G36" s="260">
        <f t="shared" si="9"/>
        <v>0.27763669076148462</v>
      </c>
      <c r="H36" s="260">
        <f t="shared" si="9"/>
        <v>0.30657948681858782</v>
      </c>
      <c r="I36" s="260">
        <f t="shared" si="9"/>
        <v>0.36503477115110605</v>
      </c>
      <c r="J36" s="260">
        <f t="shared" si="9"/>
        <v>0.29214479280922379</v>
      </c>
      <c r="K36" s="260">
        <f t="shared" si="9"/>
        <v>0.30658886673352226</v>
      </c>
      <c r="L36" s="260">
        <f t="shared" si="9"/>
        <v>0.30927093431185165</v>
      </c>
      <c r="M36" s="260">
        <f t="shared" si="9"/>
        <v>0.32216050106827238</v>
      </c>
      <c r="N36" s="260">
        <f t="shared" si="9"/>
        <v>0.3256480785888069</v>
      </c>
      <c r="O36" s="260">
        <f t="shared" si="9"/>
        <v>0.34309572206844902</v>
      </c>
      <c r="P36" s="260">
        <f t="shared" si="9"/>
        <v>0.32398952354456001</v>
      </c>
      <c r="Q36" s="260">
        <f t="shared" si="9"/>
        <v>0.31924484097139461</v>
      </c>
      <c r="R36" s="260">
        <f t="shared" si="9"/>
        <v>0.31377197238834642</v>
      </c>
      <c r="S36" s="260">
        <f t="shared" si="9"/>
        <v>0.30674289649444308</v>
      </c>
      <c r="T36" s="260">
        <f t="shared" si="9"/>
        <v>0.30309755725645815</v>
      </c>
      <c r="U36" s="260">
        <f t="shared" si="9"/>
        <v>0.30638719901128803</v>
      </c>
      <c r="V36" s="260">
        <f t="shared" si="9"/>
        <v>0.30422196535593365</v>
      </c>
      <c r="W36" s="260">
        <f t="shared" si="9"/>
        <v>0.30208961876510576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0.50054704060921495</v>
      </c>
      <c r="C37" s="260">
        <f t="shared" si="10"/>
        <v>0.51303952041752565</v>
      </c>
      <c r="D37" s="260">
        <f t="shared" si="10"/>
        <v>0.48498348817754489</v>
      </c>
      <c r="E37" s="260">
        <f t="shared" si="10"/>
        <v>0.50981078519752332</v>
      </c>
      <c r="F37" s="260">
        <f t="shared" si="10"/>
        <v>0.51001986794895837</v>
      </c>
      <c r="G37" s="260">
        <f t="shared" si="10"/>
        <v>0.53477281249633002</v>
      </c>
      <c r="H37" s="260">
        <f t="shared" si="10"/>
        <v>0.48226089326416832</v>
      </c>
      <c r="I37" s="260">
        <f t="shared" si="10"/>
        <v>0.40389452614154087</v>
      </c>
      <c r="J37" s="260">
        <f t="shared" si="10"/>
        <v>0.4965209349386604</v>
      </c>
      <c r="K37" s="260">
        <f t="shared" si="10"/>
        <v>0.46019826895517751</v>
      </c>
      <c r="L37" s="260">
        <f t="shared" si="10"/>
        <v>0.45738408307983458</v>
      </c>
      <c r="M37" s="260">
        <f t="shared" si="10"/>
        <v>0.44758168748760691</v>
      </c>
      <c r="N37" s="260">
        <f t="shared" si="10"/>
        <v>0.43733871077639674</v>
      </c>
      <c r="O37" s="260">
        <f t="shared" si="10"/>
        <v>0.41431957538388742</v>
      </c>
      <c r="P37" s="260">
        <f t="shared" si="10"/>
        <v>0.44500266558480844</v>
      </c>
      <c r="Q37" s="260">
        <f t="shared" si="10"/>
        <v>0.44603828058982986</v>
      </c>
      <c r="R37" s="260">
        <f t="shared" si="10"/>
        <v>0.43939303645014433</v>
      </c>
      <c r="S37" s="260">
        <f t="shared" si="10"/>
        <v>0.43903732155776537</v>
      </c>
      <c r="T37" s="260">
        <f t="shared" si="10"/>
        <v>0.43519917488601584</v>
      </c>
      <c r="U37" s="260">
        <f t="shared" si="10"/>
        <v>0.43385038045403873</v>
      </c>
      <c r="V37" s="260">
        <f t="shared" si="10"/>
        <v>0.43214951238159405</v>
      </c>
      <c r="W37" s="260">
        <f t="shared" si="10"/>
        <v>0.43250117878133126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6.0466489824397916E-2</v>
      </c>
      <c r="C38" s="260">
        <f t="shared" si="11"/>
        <v>6.1163202768670592E-2</v>
      </c>
      <c r="D38" s="260">
        <f t="shared" si="11"/>
        <v>6.3682086307622315E-2</v>
      </c>
      <c r="E38" s="260">
        <f t="shared" si="11"/>
        <v>6.3847515419275191E-2</v>
      </c>
      <c r="F38" s="260">
        <f t="shared" si="11"/>
        <v>5.7329227549353629E-2</v>
      </c>
      <c r="G38" s="260">
        <f t="shared" si="11"/>
        <v>5.3350203877707773E-2</v>
      </c>
      <c r="H38" s="260">
        <f t="shared" si="11"/>
        <v>5.8911803341389297E-2</v>
      </c>
      <c r="I38" s="260">
        <f t="shared" si="11"/>
        <v>7.0144473376159228E-2</v>
      </c>
      <c r="J38" s="260">
        <f t="shared" si="11"/>
        <v>5.6138056592716583E-2</v>
      </c>
      <c r="K38" s="260">
        <f t="shared" si="11"/>
        <v>5.8913605770213533E-2</v>
      </c>
      <c r="L38" s="260">
        <f t="shared" si="11"/>
        <v>5.9428987407003711E-2</v>
      </c>
      <c r="M38" s="260">
        <f t="shared" si="11"/>
        <v>6.1905825077357389E-2</v>
      </c>
      <c r="N38" s="260">
        <f t="shared" si="11"/>
        <v>6.257599216244078E-2</v>
      </c>
      <c r="O38" s="260">
        <f t="shared" si="11"/>
        <v>6.5928702260920305E-2</v>
      </c>
      <c r="P38" s="260">
        <f t="shared" si="11"/>
        <v>6.2257286988746753E-2</v>
      </c>
      <c r="Q38" s="260">
        <f t="shared" si="11"/>
        <v>6.1345556691432254E-2</v>
      </c>
      <c r="R38" s="260">
        <f t="shared" si="11"/>
        <v>6.0293899383816664E-2</v>
      </c>
      <c r="S38" s="260">
        <f t="shared" si="11"/>
        <v>5.894320387241616E-2</v>
      </c>
      <c r="T38" s="260">
        <f t="shared" si="11"/>
        <v>5.8242721558581872E-2</v>
      </c>
      <c r="U38" s="260">
        <f t="shared" si="11"/>
        <v>5.8874853636742872E-2</v>
      </c>
      <c r="V38" s="260">
        <f t="shared" si="11"/>
        <v>5.8458785945404212E-2</v>
      </c>
      <c r="W38" s="260">
        <f t="shared" si="11"/>
        <v>5.8049037777586091E-2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2.3383398214947761</v>
      </c>
      <c r="C44" s="238">
        <f>IF(C$5=0,0,C$5/AGR_fec!C$5)</f>
        <v>2.2254166477120507</v>
      </c>
      <c r="D44" s="238">
        <f>IF(D$5=0,0,D$5/AGR_fec!D$5)</f>
        <v>2.126634518878864</v>
      </c>
      <c r="E44" s="238">
        <f>IF(E$5=0,0,E$5/AGR_fec!E$5)</f>
        <v>2.0263102670112656</v>
      </c>
      <c r="F44" s="238">
        <f>IF(F$5=0,0,F$5/AGR_fec!F$5)</f>
        <v>2.370600281630415</v>
      </c>
      <c r="G44" s="238">
        <f>IF(G$5=0,0,G$5/AGR_fec!G$5)</f>
        <v>2.385398032513435</v>
      </c>
      <c r="H44" s="238">
        <f>IF(H$5=0,0,H$5/AGR_fec!H$5)</f>
        <v>2.3233462077849456</v>
      </c>
      <c r="I44" s="238">
        <f>IF(I$5=0,0,I$5/AGR_fec!I$5)</f>
        <v>1.8178585784447481</v>
      </c>
      <c r="J44" s="238">
        <f>IF(J$5=0,0,J$5/AGR_fec!J$5)</f>
        <v>2.1551386774616055</v>
      </c>
      <c r="K44" s="238">
        <f>IF(K$5=0,0,K$5/AGR_fec!K$5)</f>
        <v>2.3563676229211667</v>
      </c>
      <c r="L44" s="238">
        <f>IF(L$5=0,0,L$5/AGR_fec!L$5)</f>
        <v>2.3011711370010901</v>
      </c>
      <c r="M44" s="238">
        <f>IF(M$5=0,0,M$5/AGR_fec!M$5)</f>
        <v>2.2990072073923025</v>
      </c>
      <c r="N44" s="238">
        <f>IF(N$5=0,0,N$5/AGR_fec!N$5)</f>
        <v>2.3142087692798605</v>
      </c>
      <c r="O44" s="238">
        <f>IF(O$5=0,0,O$5/AGR_fec!O$5)</f>
        <v>2.0864023527510214</v>
      </c>
      <c r="P44" s="238">
        <f>IF(P$5=0,0,P$5/AGR_fec!P$5)</f>
        <v>2.2660499932174658</v>
      </c>
      <c r="Q44" s="238">
        <f>IF(Q$5=0,0,Q$5/AGR_fec!Q$5)</f>
        <v>2.2926102060934412</v>
      </c>
      <c r="R44" s="238">
        <f>IF(R$5=0,0,R$5/AGR_fec!R$5)</f>
        <v>2.429661263731993</v>
      </c>
      <c r="S44" s="238">
        <f>IF(S$5=0,0,S$5/AGR_fec!S$5)</f>
        <v>2.4495570047868713</v>
      </c>
      <c r="T44" s="238">
        <f>IF(T$5=0,0,T$5/AGR_fec!T$5)</f>
        <v>2.565402532820789</v>
      </c>
      <c r="U44" s="238">
        <f>IF(U$5=0,0,U$5/AGR_fec!U$5)</f>
        <v>2.5309525305431726</v>
      </c>
      <c r="V44" s="238">
        <f>IF(V$5=0,0,V$5/AGR_fec!V$5)</f>
        <v>2.609126500940222</v>
      </c>
      <c r="W44" s="238">
        <f>IF(W$5=0,0,W$5/AGR_fec!W$5)</f>
        <v>2.6576022878207661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1.1641096904017665</v>
      </c>
      <c r="C48" s="253">
        <f>IF(C$9=0,0,C$9/AGR_fec!C$9)</f>
        <v>0.90219422469477728</v>
      </c>
      <c r="D48" s="253">
        <f>IF(D$9=0,0,D$9/AGR_fec!D$9)</f>
        <v>0.95109723100710264</v>
      </c>
      <c r="E48" s="253">
        <f>IF(E$9=0,0,E$9/AGR_fec!E$9)</f>
        <v>0.63684823119355127</v>
      </c>
      <c r="F48" s="253">
        <f>IF(F$9=0,0,F$9/AGR_fec!F$9)</f>
        <v>1.3391670233334863</v>
      </c>
      <c r="G48" s="253">
        <f>IF(G$9=0,0,G$9/AGR_fec!G$9)</f>
        <v>1.4270282350220933</v>
      </c>
      <c r="H48" s="253">
        <f>IF(H$9=0,0,H$9/AGR_fec!H$9)</f>
        <v>1.6344864361257716</v>
      </c>
      <c r="I48" s="253">
        <f>IF(I$9=0,0,I$9/AGR_fec!I$9)</f>
        <v>1.3790261481828701</v>
      </c>
      <c r="J48" s="253">
        <f>IF(J$9=0,0,J$9/AGR_fec!J$9)</f>
        <v>1.6360607866696195</v>
      </c>
      <c r="K48" s="253">
        <f>IF(K$9=0,0,K$9/AGR_fec!K$9)</f>
        <v>1.9051362363914512</v>
      </c>
      <c r="L48" s="253">
        <f>IF(L$9=0,0,L$9/AGR_fec!L$9)</f>
        <v>1.8810433514547282</v>
      </c>
      <c r="M48" s="253">
        <f>IF(M$9=0,0,M$9/AGR_fec!M$9)</f>
        <v>1.7949515891072079</v>
      </c>
      <c r="N48" s="253">
        <f>IF(N$9=0,0,N$9/AGR_fec!N$9)</f>
        <v>1.8276154458646097</v>
      </c>
      <c r="O48" s="253">
        <f>IF(O$9=0,0,O$9/AGR_fec!O$9)</f>
        <v>1.724098523863111</v>
      </c>
      <c r="P48" s="253">
        <f>IF(P$9=0,0,P$9/AGR_fec!P$9)</f>
        <v>1.7784422607288428</v>
      </c>
      <c r="Q48" s="253">
        <f>IF(Q$9=0,0,Q$9/AGR_fec!Q$9)</f>
        <v>1.8973008215003113</v>
      </c>
      <c r="R48" s="253">
        <f>IF(R$9=0,0,R$9/AGR_fec!R$9)</f>
        <v>2.1787885279898633</v>
      </c>
      <c r="S48" s="253">
        <f>IF(S$9=0,0,S$9/AGR_fec!S$9)</f>
        <v>2.2924298123817159</v>
      </c>
      <c r="T48" s="253">
        <f>IF(T$9=0,0,T$9/AGR_fec!T$9)</f>
        <v>2.5381535116984981</v>
      </c>
      <c r="U48" s="253">
        <f>IF(U$9=0,0,U$9/AGR_fec!U$9)</f>
        <v>2.4595935086289131</v>
      </c>
      <c r="V48" s="253">
        <f>IF(V$9=0,0,V$9/AGR_fec!V$9)</f>
        <v>2.5231779945403741</v>
      </c>
      <c r="W48" s="253">
        <f>IF(W$9=0,0,W$9/AGR_fec!W$9)</f>
        <v>2.6002645911103537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3.102418800000001</v>
      </c>
      <c r="D49" s="265">
        <f>IF(D$16=0,0,D$16/AGR_fec!D$16)</f>
        <v>3.1024187999999997</v>
      </c>
      <c r="E49" s="265">
        <f>IF(E$16=0,0,E$16/AGR_fec!E$16)</f>
        <v>3.1024187999999993</v>
      </c>
      <c r="F49" s="265">
        <f>IF(F$16=0,0,F$16/AGR_fec!F$16)</f>
        <v>3.1024188000000001</v>
      </c>
      <c r="G49" s="265">
        <f>IF(G$16=0,0,G$16/AGR_fec!G$16)</f>
        <v>3.1024188000000001</v>
      </c>
      <c r="H49" s="265">
        <f>IF(H$16=0,0,H$16/AGR_fec!H$16)</f>
        <v>3.1024187999999997</v>
      </c>
      <c r="I49" s="265">
        <f>IF(I$16=0,0,I$16/AGR_fec!I$16)</f>
        <v>3.1024188000000006</v>
      </c>
      <c r="J49" s="265">
        <f>IF(J$16=0,0,J$16/AGR_fec!J$16)</f>
        <v>3.102418800000001</v>
      </c>
      <c r="K49" s="265">
        <f>IF(K$16=0,0,K$16/AGR_fec!K$16)</f>
        <v>3.1024187999999997</v>
      </c>
      <c r="L49" s="265">
        <f>IF(L$16=0,0,L$16/AGR_fec!L$16)</f>
        <v>3.1024188000000006</v>
      </c>
      <c r="M49" s="265">
        <f>IF(M$16=0,0,M$16/AGR_fec!M$16)</f>
        <v>3.1024188000000019</v>
      </c>
      <c r="N49" s="265">
        <f>IF(N$16=0,0,N$16/AGR_fec!N$16)</f>
        <v>3.1024187999999993</v>
      </c>
      <c r="O49" s="265">
        <f>IF(O$16=0,0,O$16/AGR_fec!O$16)</f>
        <v>3.1024187999999993</v>
      </c>
      <c r="P49" s="265">
        <f>IF(P$16=0,0,P$16/AGR_fec!P$16)</f>
        <v>3.1024187999999997</v>
      </c>
      <c r="Q49" s="265">
        <f>IF(Q$16=0,0,Q$16/AGR_fec!Q$16)</f>
        <v>3.1024188000000001</v>
      </c>
      <c r="R49" s="265">
        <f>IF(R$16=0,0,R$16/AGR_fec!R$16)</f>
        <v>3.102418800000001</v>
      </c>
      <c r="S49" s="265">
        <f>IF(S$16=0,0,S$16/AGR_fec!S$16)</f>
        <v>3.1024187999999997</v>
      </c>
      <c r="T49" s="265">
        <f>IF(T$16=0,0,T$16/AGR_fec!T$16)</f>
        <v>3.1024187999999993</v>
      </c>
      <c r="U49" s="265">
        <f>IF(U$16=0,0,U$16/AGR_fec!U$16)</f>
        <v>3.1024188000000006</v>
      </c>
      <c r="V49" s="265">
        <f>IF(V$16=0,0,V$16/AGR_fec!V$16)</f>
        <v>3.102418800000001</v>
      </c>
      <c r="W49" s="265">
        <f>IF(W$16=0,0,W$16/AGR_fec!W$16)</f>
        <v>3.1024188000000001</v>
      </c>
      <c r="DA49" s="291"/>
    </row>
    <row r="50" spans="1:105" x14ac:dyDescent="0.25">
      <c r="A50" s="128" t="s">
        <v>121</v>
      </c>
      <c r="B50" s="265">
        <f>IF(B$17=0,0,B$17/AGR_fec!B$17)</f>
        <v>3.304000032037111</v>
      </c>
      <c r="C50" s="265">
        <f>IF(C$17=0,0,C$17/AGR_fec!C$17)</f>
        <v>3.3380467097826005</v>
      </c>
      <c r="D50" s="265">
        <f>IF(D$17=0,0,D$17/AGR_fec!D$17)</f>
        <v>2.9827651524539509</v>
      </c>
      <c r="E50" s="265">
        <f>IF(E$17=0,0,E$17/AGR_fec!E$17)</f>
        <v>3.1121492355352354</v>
      </c>
      <c r="F50" s="265">
        <f>IF(F$17=0,0,F$17/AGR_fec!F$17)</f>
        <v>3.1998822811145438</v>
      </c>
      <c r="G50" s="265">
        <f>IF(G$17=0,0,G$17/AGR_fec!G$17)</f>
        <v>2.9959145747999529</v>
      </c>
      <c r="H50" s="265">
        <f>IF(H$17=0,0,H$17/AGR_fec!H$17)</f>
        <v>2.8618729556356026</v>
      </c>
      <c r="I50" s="265">
        <f>IF(I$17=0,0,I$17/AGR_fec!I$17)</f>
        <v>1.8849499785816675</v>
      </c>
      <c r="J50" s="265">
        <f>IF(J$17=0,0,J$17/AGR_fec!J$17)</f>
        <v>2.5284949478709491</v>
      </c>
      <c r="K50" s="265">
        <f>IF(K$17=0,0,K$17/AGR_fec!K$17)</f>
        <v>2.6685132902603179</v>
      </c>
      <c r="L50" s="265">
        <f>IF(L$17=0,0,L$17/AGR_fec!L$17)</f>
        <v>2.706773929996078</v>
      </c>
      <c r="M50" s="265">
        <f>IF(M$17=0,0,M$17/AGR_fec!M$17)</f>
        <v>2.7580305370506224</v>
      </c>
      <c r="N50" s="265">
        <f>IF(N$17=0,0,N$17/AGR_fec!N$17)</f>
        <v>2.7636482732203138</v>
      </c>
      <c r="O50" s="265">
        <f>IF(O$17=0,0,O$17/AGR_fec!O$17)</f>
        <v>2.2457181451519452</v>
      </c>
      <c r="P50" s="265">
        <f>IF(P$17=0,0,P$17/AGR_fec!P$17)</f>
        <v>2.8032060827596941</v>
      </c>
      <c r="Q50" s="265">
        <f>IF(Q$17=0,0,Q$17/AGR_fec!Q$17)</f>
        <v>2.7745961453881725</v>
      </c>
      <c r="R50" s="265">
        <f>IF(R$17=0,0,R$17/AGR_fec!R$17)</f>
        <v>2.8267663222501258</v>
      </c>
      <c r="S50" s="265">
        <f>IF(S$17=0,0,S$17/AGR_fec!S$17)</f>
        <v>2.7605286078038</v>
      </c>
      <c r="T50" s="265">
        <f>IF(T$17=0,0,T$17/AGR_fec!T$17)</f>
        <v>2.8442014965896059</v>
      </c>
      <c r="U50" s="265">
        <f>IF(U$17=0,0,U$17/AGR_fec!U$17)</f>
        <v>2.8089771433624238</v>
      </c>
      <c r="V50" s="265">
        <f>IF(V$17=0,0,V$17/AGR_fec!V$17)</f>
        <v>2.810352005599027</v>
      </c>
      <c r="W50" s="265">
        <f>IF(W$17=0,0,W$17/AGR_fec!W$17)</f>
        <v>2.8593620276501084</v>
      </c>
      <c r="DA50" s="291"/>
    </row>
    <row r="51" spans="1:105" x14ac:dyDescent="0.25">
      <c r="A51" s="128" t="s">
        <v>174</v>
      </c>
      <c r="B51" s="265">
        <f>IF(B$25=0,0,B$25/AGR_fec!B$25)</f>
        <v>3.1024188000000006</v>
      </c>
      <c r="C51" s="265">
        <f>IF(C$25=0,0,C$25/AGR_fec!C$25)</f>
        <v>3.1024187999999997</v>
      </c>
      <c r="D51" s="265">
        <f>IF(D$25=0,0,D$25/AGR_fec!D$25)</f>
        <v>3.1024188000000001</v>
      </c>
      <c r="E51" s="265">
        <f>IF(E$25=0,0,E$25/AGR_fec!E$25)</f>
        <v>3.1024187999999988</v>
      </c>
      <c r="F51" s="265">
        <f>IF(F$25=0,0,F$25/AGR_fec!F$25)</f>
        <v>3.1024188000000006</v>
      </c>
      <c r="G51" s="265">
        <f>IF(G$25=0,0,G$25/AGR_fec!G$25)</f>
        <v>3.1024187999999988</v>
      </c>
      <c r="H51" s="265">
        <f>IF(H$25=0,0,H$25/AGR_fec!H$25)</f>
        <v>3.1024188000000001</v>
      </c>
      <c r="I51" s="265">
        <f>IF(I$25=0,0,I$25/AGR_fec!I$25)</f>
        <v>3.1024188000000001</v>
      </c>
      <c r="J51" s="265">
        <f>IF(J$25=0,0,J$25/AGR_fec!J$25)</f>
        <v>3.1024187999999984</v>
      </c>
      <c r="K51" s="265">
        <f>IF(K$25=0,0,K$25/AGR_fec!K$25)</f>
        <v>3.1024188000000001</v>
      </c>
      <c r="L51" s="265">
        <f>IF(L$25=0,0,L$25/AGR_fec!L$25)</f>
        <v>3.102418800000001</v>
      </c>
      <c r="M51" s="265">
        <f>IF(M$25=0,0,M$25/AGR_fec!M$25)</f>
        <v>3.1024187999999997</v>
      </c>
      <c r="N51" s="265">
        <f>IF(N$25=0,0,N$25/AGR_fec!N$25)</f>
        <v>3.1024188000000006</v>
      </c>
      <c r="O51" s="265">
        <f>IF(O$25=0,0,O$25/AGR_fec!O$25)</f>
        <v>3.1024188000000006</v>
      </c>
      <c r="P51" s="265">
        <f>IF(P$25=0,0,P$25/AGR_fec!P$25)</f>
        <v>3.1024187999999993</v>
      </c>
      <c r="Q51" s="265">
        <f>IF(Q$25=0,0,Q$25/AGR_fec!Q$25)</f>
        <v>3.1024188000000001</v>
      </c>
      <c r="R51" s="265">
        <f>IF(R$25=0,0,R$25/AGR_fec!R$25)</f>
        <v>3.1024187999999993</v>
      </c>
      <c r="S51" s="265">
        <f>IF(S$25=0,0,S$25/AGR_fec!S$25)</f>
        <v>3.102418800000001</v>
      </c>
      <c r="T51" s="265">
        <f>IF(T$25=0,0,T$25/AGR_fec!T$25)</f>
        <v>3.1024188000000006</v>
      </c>
      <c r="U51" s="265">
        <f>IF(U$25=0,0,U$25/AGR_fec!U$25)</f>
        <v>3.1024188000000006</v>
      </c>
      <c r="V51" s="265">
        <f>IF(V$25=0,0,V$25/AGR_fec!V$25)</f>
        <v>3.1024187999999993</v>
      </c>
      <c r="W51" s="265">
        <f>IF(W$25=0,0,W$25/AGR_fec!W$25)</f>
        <v>3.1024187999999993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2024-05-20T16:55:29Z</dcterms:created>
  <dcterms:modified xsi:type="dcterms:W3CDTF">2024-05-20T16:55:29Z</dcterms:modified>
</cp:coreProperties>
</file>