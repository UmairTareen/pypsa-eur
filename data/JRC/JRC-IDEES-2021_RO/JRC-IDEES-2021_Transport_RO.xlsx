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4" i="1"/>
  <c r="B26" i="1"/>
  <c r="B25" i="1"/>
  <c r="P18" i="20" l="1"/>
  <c r="C18" i="20"/>
  <c r="E3" i="20"/>
  <c r="E22" i="20" s="1"/>
  <c r="C242" i="3"/>
  <c r="S242" i="3"/>
  <c r="W14" i="18"/>
  <c r="O14" i="18"/>
  <c r="I15" i="18"/>
  <c r="E3" i="18"/>
  <c r="E13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N241" i="3" s="1"/>
  <c r="A117" i="3"/>
  <c r="A147" i="3"/>
  <c r="A54" i="3"/>
  <c r="A176" i="3"/>
  <c r="A55" i="3"/>
  <c r="A177" i="3"/>
  <c r="A84" i="3"/>
  <c r="A206" i="3"/>
  <c r="A85" i="3"/>
  <c r="A146" i="3"/>
  <c r="A116" i="3"/>
  <c r="D22" i="20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Q21" i="19"/>
  <c r="R21" i="18"/>
  <c r="R23" i="18"/>
  <c r="N20" i="19"/>
  <c r="O21" i="19"/>
  <c r="O11" i="20"/>
  <c r="Q14" i="20"/>
  <c r="Q3" i="20"/>
  <c r="Q22" i="20" s="1"/>
  <c r="C19" i="20"/>
  <c r="E14" i="18"/>
  <c r="M14" i="18"/>
  <c r="E19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R212" i="3" s="1"/>
  <c r="M24" i="19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T23" i="18"/>
  <c r="H14" i="18"/>
  <c r="B15" i="18"/>
  <c r="R15" i="18"/>
  <c r="D10" i="19"/>
  <c r="L10" i="19"/>
  <c r="T10" i="19"/>
  <c r="M22" i="20"/>
  <c r="G23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22" i="18"/>
  <c r="T14" i="20"/>
  <c r="F15" i="20"/>
  <c r="N23" i="18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Q24" i="19"/>
  <c r="H20" i="19"/>
  <c r="H14" i="20"/>
  <c r="H3" i="20"/>
  <c r="H22" i="20" s="1"/>
  <c r="P14" i="20"/>
  <c r="P10" i="20"/>
  <c r="P3" i="20"/>
  <c r="P22" i="20" s="1"/>
  <c r="B15" i="20"/>
  <c r="B3" i="20"/>
  <c r="J15" i="20"/>
  <c r="J3" i="20"/>
  <c r="J23" i="20" s="1"/>
  <c r="R15" i="20"/>
  <c r="C14" i="20"/>
  <c r="D15" i="20"/>
  <c r="W15" i="20"/>
  <c r="W17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M23" i="20"/>
  <c r="R3" i="20"/>
  <c r="S22" i="18" l="1"/>
  <c r="E17" i="18"/>
  <c r="T24" i="19"/>
  <c r="T20" i="19"/>
  <c r="R29" i="3"/>
  <c r="R123" i="3" s="1"/>
  <c r="P24" i="19"/>
  <c r="N24" i="19"/>
  <c r="Q25" i="19"/>
  <c r="U24" i="19"/>
  <c r="M23" i="18"/>
  <c r="S23" i="18"/>
  <c r="K23" i="18"/>
  <c r="L23" i="18"/>
  <c r="L21" i="20"/>
  <c r="M22" i="18"/>
  <c r="W10" i="20"/>
  <c r="E17" i="20"/>
  <c r="F89" i="3"/>
  <c r="F181" i="3" s="1"/>
  <c r="W3" i="19"/>
  <c r="W28" i="19" s="1"/>
  <c r="L10" i="20"/>
  <c r="Q10" i="20"/>
  <c r="J21" i="19"/>
  <c r="G24" i="19"/>
  <c r="L20" i="19"/>
  <c r="J11" i="20"/>
  <c r="I213" i="3"/>
  <c r="U18" i="18"/>
  <c r="U19" i="18"/>
  <c r="R21" i="19"/>
  <c r="E22" i="18"/>
  <c r="H25" i="19"/>
  <c r="G25" i="19"/>
  <c r="U29" i="3"/>
  <c r="U123" i="3" s="1"/>
  <c r="G18" i="18"/>
  <c r="H11" i="20"/>
  <c r="F20" i="19"/>
  <c r="R25" i="19"/>
  <c r="F24" i="19"/>
  <c r="E13" i="20"/>
  <c r="Q11" i="20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D123" i="3"/>
  <c r="H122" i="3"/>
  <c r="G121" i="3"/>
  <c r="G241" i="3"/>
  <c r="K121" i="3"/>
  <c r="V183" i="3"/>
  <c r="F241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F183" i="3"/>
  <c r="C122" i="3"/>
  <c r="C182" i="3"/>
  <c r="F182" i="3"/>
  <c r="E181" i="3"/>
  <c r="E182" i="3"/>
  <c r="F151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N121" i="3"/>
  <c r="E122" i="3"/>
  <c r="O122" i="3"/>
  <c r="F153" i="3"/>
  <c r="F152" i="3"/>
  <c r="P23" i="20"/>
  <c r="D17" i="20"/>
  <c r="J22" i="18"/>
  <c r="P19" i="18"/>
  <c r="O21" i="20"/>
  <c r="O22" i="20"/>
  <c r="J23" i="18"/>
  <c r="B19" i="18"/>
  <c r="V13" i="20"/>
  <c r="G28" i="19"/>
  <c r="T17" i="20"/>
  <c r="L18" i="18"/>
  <c r="N19" i="19"/>
  <c r="J17" i="18"/>
  <c r="J13" i="18"/>
  <c r="E28" i="19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N27" i="19"/>
  <c r="R241" i="3"/>
  <c r="E23" i="19"/>
  <c r="E27" i="19"/>
  <c r="W27" i="19"/>
  <c r="W19" i="19"/>
  <c r="U122" i="3"/>
  <c r="W23" i="19"/>
  <c r="M182" i="3"/>
  <c r="N9" i="20"/>
  <c r="G27" i="19"/>
  <c r="Q23" i="19"/>
  <c r="N29" i="19"/>
  <c r="Q9" i="20"/>
  <c r="Q122" i="3"/>
  <c r="Q121" i="3"/>
  <c r="L121" i="3"/>
  <c r="T241" i="3"/>
  <c r="M19" i="19"/>
  <c r="T123" i="3"/>
  <c r="P121" i="3"/>
  <c r="P122" i="3"/>
  <c r="M9" i="20"/>
  <c r="M23" i="19"/>
  <c r="K183" i="3"/>
  <c r="Q241" i="3"/>
  <c r="M28" i="19"/>
  <c r="P9" i="20"/>
  <c r="U182" i="3"/>
  <c r="P27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T10" i="5" l="1"/>
  <c r="R10" i="5"/>
  <c r="L10" i="5"/>
  <c r="J10" i="5"/>
  <c r="D10" i="5"/>
  <c r="B10" i="5"/>
  <c r="H10" i="5" l="1"/>
  <c r="P10" i="5"/>
  <c r="I10" i="5"/>
  <c r="Q10" i="5"/>
  <c r="C10" i="5"/>
  <c r="K10" i="5"/>
  <c r="S10" i="5"/>
  <c r="E10" i="5"/>
  <c r="M10" i="5"/>
  <c r="U10" i="5"/>
  <c r="F10" i="5"/>
  <c r="N10" i="5"/>
  <c r="V10" i="5"/>
  <c r="G10" i="5"/>
  <c r="O10" i="5"/>
  <c r="W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58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R60" i="7"/>
  <c r="W60" i="9"/>
  <c r="H60" i="7"/>
  <c r="H59" i="7" s="1"/>
  <c r="N84" i="4"/>
  <c r="F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V60" i="7"/>
  <c r="W23" i="9"/>
  <c r="W26" i="10"/>
  <c r="W232" i="3"/>
  <c r="R100" i="4"/>
  <c r="R31" i="4"/>
  <c r="R252" i="4" s="1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18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98" i="5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7" i="7" s="1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8" i="5" s="1"/>
  <c r="D15" i="4"/>
  <c r="D206" i="4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3" i="7" s="1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92" i="6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89" i="6" s="1"/>
  <c r="S175" i="4"/>
  <c r="S62" i="6"/>
  <c r="S204" i="7" s="1"/>
  <c r="G176" i="4"/>
  <c r="G63" i="6"/>
  <c r="O12" i="4"/>
  <c r="O203" i="4" s="1"/>
  <c r="O176" i="4"/>
  <c r="O63" i="6"/>
  <c r="C40" i="4"/>
  <c r="C64" i="6" s="1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6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M212" i="4" s="1"/>
  <c r="Q22" i="4"/>
  <c r="Q106" i="5" s="1"/>
  <c r="D23" i="4"/>
  <c r="D214" i="4" s="1"/>
  <c r="M23" i="4"/>
  <c r="M214" i="4" s="1"/>
  <c r="Q24" i="4"/>
  <c r="Q108" i="5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0" i="4"/>
  <c r="I268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54" i="4"/>
  <c r="F170" i="4"/>
  <c r="F251" i="4"/>
  <c r="P170" i="4"/>
  <c r="P57" i="6"/>
  <c r="P199" i="7" s="1"/>
  <c r="F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N47" i="7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K177" i="4"/>
  <c r="K64" i="6"/>
  <c r="K206" i="7" s="1"/>
  <c r="H184" i="4"/>
  <c r="H77" i="5"/>
  <c r="H132" i="7" s="1"/>
  <c r="R184" i="4"/>
  <c r="R77" i="5"/>
  <c r="R132" i="7" s="1"/>
  <c r="G77" i="6"/>
  <c r="G83" i="5"/>
  <c r="V77" i="6"/>
  <c r="V219" i="7" s="1"/>
  <c r="N40" i="7"/>
  <c r="V112" i="4"/>
  <c r="V31" i="7" s="1"/>
  <c r="V40" i="7"/>
  <c r="E47" i="7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R199" i="4"/>
  <c r="R86" i="6"/>
  <c r="R92" i="5"/>
  <c r="N219" i="4"/>
  <c r="N106" i="6"/>
  <c r="N112" i="5"/>
  <c r="B202" i="4"/>
  <c r="B89" i="6"/>
  <c r="B95" i="5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O112" i="5"/>
  <c r="F58" i="4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C213" i="4"/>
  <c r="C100" i="6"/>
  <c r="C106" i="5"/>
  <c r="E215" i="4"/>
  <c r="E102" i="6"/>
  <c r="E108" i="5"/>
  <c r="H218" i="4"/>
  <c r="H105" i="6"/>
  <c r="H111" i="5"/>
  <c r="O92" i="5"/>
  <c r="S202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92" i="6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N70" i="5"/>
  <c r="N125" i="7" s="1"/>
  <c r="R272" i="4"/>
  <c r="R270" i="4"/>
  <c r="R268" i="4"/>
  <c r="R266" i="4"/>
  <c r="M184" i="4"/>
  <c r="M77" i="5"/>
  <c r="M132" i="7" s="1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258" i="4"/>
  <c r="Q64" i="6"/>
  <c r="V46" i="4"/>
  <c r="N71" i="6"/>
  <c r="N265" i="4"/>
  <c r="N77" i="5"/>
  <c r="O77" i="6"/>
  <c r="O271" i="4"/>
  <c r="O83" i="5"/>
  <c r="I13" i="7"/>
  <c r="R73" i="4"/>
  <c r="R19" i="7" s="1"/>
  <c r="R20" i="7"/>
  <c r="M47" i="7"/>
  <c r="E252" i="4"/>
  <c r="O109" i="5"/>
  <c r="V83" i="6"/>
  <c r="M216" i="4"/>
  <c r="O4" i="6"/>
  <c r="O47" i="6" s="1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D212" i="4" l="1"/>
  <c r="T125" i="6"/>
  <c r="N18" i="5"/>
  <c r="N61" i="5" s="1"/>
  <c r="M105" i="5"/>
  <c r="V73" i="4"/>
  <c r="V19" i="7" s="1"/>
  <c r="M99" i="6"/>
  <c r="C111" i="5"/>
  <c r="U213" i="7"/>
  <c r="B63" i="5"/>
  <c r="I59" i="7"/>
  <c r="R59" i="7"/>
  <c r="M200" i="4"/>
  <c r="F177" i="4"/>
  <c r="R256" i="4"/>
  <c r="J77" i="6"/>
  <c r="J219" i="7" s="1"/>
  <c r="R61" i="5"/>
  <c r="R13" i="7"/>
  <c r="B207" i="4"/>
  <c r="M83" i="6"/>
  <c r="S111" i="5"/>
  <c r="R257" i="4"/>
  <c r="G59" i="7"/>
  <c r="R58" i="4"/>
  <c r="M203" i="4"/>
  <c r="S105" i="6"/>
  <c r="R259" i="4"/>
  <c r="U206" i="7"/>
  <c r="J112" i="4"/>
  <c r="S218" i="4"/>
  <c r="R249" i="4"/>
  <c r="R261" i="4"/>
  <c r="R253" i="4"/>
  <c r="P106" i="5"/>
  <c r="R263" i="4"/>
  <c r="M64" i="6"/>
  <c r="M206" i="7" s="1"/>
  <c r="B77" i="5"/>
  <c r="B132" i="7" s="1"/>
  <c r="I58" i="4"/>
  <c r="I4" i="7" s="1"/>
  <c r="R258" i="4"/>
  <c r="R250" i="4"/>
  <c r="R260" i="4"/>
  <c r="B73" i="4"/>
  <c r="B19" i="7" s="1"/>
  <c r="R177" i="4"/>
  <c r="B205" i="4"/>
  <c r="J127" i="4"/>
  <c r="J46" i="7" s="1"/>
  <c r="C177" i="4"/>
  <c r="K18" i="5"/>
  <c r="C206" i="7"/>
  <c r="M26" i="7"/>
  <c r="Q70" i="5"/>
  <c r="Q125" i="7" s="1"/>
  <c r="E96" i="6"/>
  <c r="Q92" i="6"/>
  <c r="N127" i="4"/>
  <c r="N46" i="7" s="1"/>
  <c r="I266" i="4"/>
  <c r="T118" i="6"/>
  <c r="N250" i="4"/>
  <c r="E209" i="4"/>
  <c r="P31" i="4"/>
  <c r="U125" i="7"/>
  <c r="T206" i="7"/>
  <c r="O206" i="7"/>
  <c r="O125" i="7"/>
  <c r="T177" i="4"/>
  <c r="H216" i="4"/>
  <c r="I272" i="4"/>
  <c r="U59" i="7"/>
  <c r="R26" i="4"/>
  <c r="R110" i="5" s="1"/>
  <c r="U256" i="4"/>
  <c r="D99" i="5"/>
  <c r="Q117" i="5"/>
  <c r="S105" i="5"/>
  <c r="U250" i="4"/>
  <c r="D93" i="6"/>
  <c r="S99" i="6"/>
  <c r="U263" i="4"/>
  <c r="U170" i="4"/>
  <c r="R111" i="5"/>
  <c r="B219" i="7"/>
  <c r="B138" i="7"/>
  <c r="R105" i="6"/>
  <c r="U63" i="5"/>
  <c r="U118" i="7" s="1"/>
  <c r="Q206" i="7"/>
  <c r="B190" i="4"/>
  <c r="G112" i="4"/>
  <c r="J251" i="4"/>
  <c r="M58" i="4"/>
  <c r="M4" i="7" s="1"/>
  <c r="Q102" i="6"/>
  <c r="T184" i="4"/>
  <c r="M199" i="7"/>
  <c r="G46" i="4"/>
  <c r="G271" i="4" s="1"/>
  <c r="G77" i="5"/>
  <c r="G132" i="7" s="1"/>
  <c r="S95" i="5"/>
  <c r="I95" i="5"/>
  <c r="I93" i="6"/>
  <c r="P70" i="5"/>
  <c r="P125" i="7" s="1"/>
  <c r="Q205" i="4"/>
  <c r="I64" i="6"/>
  <c r="I206" i="7" s="1"/>
  <c r="T73" i="4"/>
  <c r="Q215" i="4"/>
  <c r="I89" i="6"/>
  <c r="N112" i="4"/>
  <c r="N31" i="7" s="1"/>
  <c r="T112" i="4"/>
  <c r="K112" i="4"/>
  <c r="K31" i="7" s="1"/>
  <c r="T111" i="6"/>
  <c r="R127" i="4"/>
  <c r="R46" i="7" s="1"/>
  <c r="U73" i="4"/>
  <c r="H199" i="4"/>
  <c r="O106" i="6"/>
  <c r="V190" i="4"/>
  <c r="J213" i="7"/>
  <c r="Q100" i="6"/>
  <c r="S91" i="5"/>
  <c r="J254" i="4"/>
  <c r="C118" i="6"/>
  <c r="F229" i="4"/>
  <c r="V94" i="5"/>
  <c r="S85" i="6"/>
  <c r="M98" i="5"/>
  <c r="H109" i="5"/>
  <c r="Q213" i="4"/>
  <c r="D47" i="6"/>
  <c r="I88" i="6"/>
  <c r="F95" i="5"/>
  <c r="G184" i="4"/>
  <c r="D71" i="6"/>
  <c r="D213" i="7" s="1"/>
  <c r="C58" i="4"/>
  <c r="C4" i="7" s="1"/>
  <c r="E184" i="4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S197" i="4" s="1"/>
  <c r="I20" i="4"/>
  <c r="I104" i="5" s="1"/>
  <c r="C70" i="5"/>
  <c r="C125" i="7" s="1"/>
  <c r="M83" i="5"/>
  <c r="M138" i="7" s="1"/>
  <c r="R47" i="6"/>
  <c r="S18" i="5"/>
  <c r="D57" i="6"/>
  <c r="D199" i="7" s="1"/>
  <c r="C31" i="4"/>
  <c r="C251" i="4" s="1"/>
  <c r="R13" i="4"/>
  <c r="R97" i="5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84" i="6" s="1"/>
  <c r="Q42" i="5"/>
  <c r="Q17" i="5" s="1"/>
  <c r="Q157" i="5" s="1"/>
  <c r="O102" i="6"/>
  <c r="D63" i="5"/>
  <c r="D118" i="7" s="1"/>
  <c r="J205" i="4"/>
  <c r="F88" i="6"/>
  <c r="J170" i="4"/>
  <c r="J257" i="4"/>
  <c r="M40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C61" i="5" s="1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04" i="6" s="1"/>
  <c r="E93" i="5"/>
  <c r="N253" i="4"/>
  <c r="B118" i="7"/>
  <c r="F95" i="6"/>
  <c r="N92" i="6"/>
  <c r="M107" i="5"/>
  <c r="U262" i="4"/>
  <c r="U87" i="6"/>
  <c r="C170" i="4"/>
  <c r="D106" i="5"/>
  <c r="I31" i="4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84" i="6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76" i="5" s="1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J150" i="4"/>
  <c r="J204" i="4"/>
  <c r="T31" i="7"/>
  <c r="P20" i="4"/>
  <c r="P157" i="4" s="1"/>
  <c r="P215" i="4"/>
  <c r="P102" i="6"/>
  <c r="P108" i="5"/>
  <c r="S90" i="5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I90" i="5"/>
  <c r="R150" i="4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69" i="4"/>
  <c r="E270" i="4"/>
  <c r="E268" i="4"/>
  <c r="E266" i="4"/>
  <c r="E264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90" i="5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G199" i="4"/>
  <c r="G86" i="6"/>
  <c r="G92" i="5"/>
  <c r="Q197" i="4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N183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F6" i="4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04" i="6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O19" i="4"/>
  <c r="O157" i="4"/>
  <c r="T6" i="4"/>
  <c r="C46" i="4"/>
  <c r="C271" i="4" s="1"/>
  <c r="I19" i="4"/>
  <c r="I244" i="4" s="1"/>
  <c r="D4" i="4"/>
  <c r="D225" i="4" s="1"/>
  <c r="E19" i="4"/>
  <c r="E238" i="4" s="1"/>
  <c r="K217" i="4" l="1"/>
  <c r="K143" i="4"/>
  <c r="F31" i="7"/>
  <c r="R91" i="6"/>
  <c r="S143" i="4"/>
  <c r="K163" i="4"/>
  <c r="E4" i="4"/>
  <c r="E195" i="4" s="1"/>
  <c r="E273" i="4"/>
  <c r="R204" i="4"/>
  <c r="I168" i="4"/>
  <c r="N111" i="4"/>
  <c r="N30" i="7" s="1"/>
  <c r="E90" i="5"/>
  <c r="K110" i="5"/>
  <c r="K84" i="6"/>
  <c r="K111" i="4"/>
  <c r="K30" i="7" s="1"/>
  <c r="E272" i="4"/>
  <c r="S84" i="6"/>
  <c r="J97" i="5"/>
  <c r="E76" i="5"/>
  <c r="E267" i="4"/>
  <c r="M57" i="4"/>
  <c r="M3" i="7" s="1"/>
  <c r="R217" i="4"/>
  <c r="C57" i="4"/>
  <c r="C3" i="7" s="1"/>
  <c r="Q143" i="4"/>
  <c r="C258" i="4"/>
  <c r="G98" i="6"/>
  <c r="R19" i="4"/>
  <c r="R244" i="4" s="1"/>
  <c r="R163" i="4"/>
  <c r="R17" i="6"/>
  <c r="R136" i="6" s="1"/>
  <c r="B204" i="4"/>
  <c r="Q90" i="5"/>
  <c r="Q4" i="4"/>
  <c r="Q233" i="4" s="1"/>
  <c r="N57" i="4"/>
  <c r="S244" i="4"/>
  <c r="F4" i="4"/>
  <c r="F231" i="4" s="1"/>
  <c r="K91" i="6"/>
  <c r="Q211" i="4"/>
  <c r="H19" i="4"/>
  <c r="H242" i="4" s="1"/>
  <c r="S91" i="6"/>
  <c r="F204" i="4"/>
  <c r="S4" i="4"/>
  <c r="S223" i="4" s="1"/>
  <c r="J4" i="7"/>
  <c r="B4" i="4"/>
  <c r="B231" i="4" s="1"/>
  <c r="S156" i="4"/>
  <c r="S204" i="4"/>
  <c r="K204" i="4"/>
  <c r="J57" i="4"/>
  <c r="J3" i="7" s="1"/>
  <c r="S150" i="4"/>
  <c r="K150" i="4"/>
  <c r="B90" i="5"/>
  <c r="B84" i="6"/>
  <c r="B197" i="4"/>
  <c r="K4" i="4"/>
  <c r="K223" i="4" s="1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2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E57" i="4"/>
  <c r="E3" i="7" s="1"/>
  <c r="D250" i="4"/>
  <c r="N4" i="4"/>
  <c r="N222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41" i="6"/>
  <c r="H149" i="6"/>
  <c r="H146" i="6"/>
  <c r="H145" i="6"/>
  <c r="H154" i="6"/>
  <c r="H148" i="6"/>
  <c r="H159" i="6"/>
  <c r="H156" i="6"/>
  <c r="H147" i="6"/>
  <c r="H142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48" i="5"/>
  <c r="J155" i="5"/>
  <c r="J161" i="5"/>
  <c r="J152" i="5"/>
  <c r="K17" i="6"/>
  <c r="K151" i="6" s="1"/>
  <c r="H136" i="6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88" i="5"/>
  <c r="N234" i="4"/>
  <c r="N235" i="4"/>
  <c r="N233" i="4"/>
  <c r="N232" i="4"/>
  <c r="N236" i="4"/>
  <c r="N228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88" i="5"/>
  <c r="S228" i="4"/>
  <c r="S227" i="4"/>
  <c r="S235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237" i="4"/>
  <c r="P143" i="4"/>
  <c r="P197" i="4"/>
  <c r="P84" i="6"/>
  <c r="P90" i="5"/>
  <c r="E141" i="4"/>
  <c r="E236" i="4"/>
  <c r="E230" i="4"/>
  <c r="E227" i="4"/>
  <c r="E233" i="4"/>
  <c r="E228" i="4"/>
  <c r="E235" i="4"/>
  <c r="E232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226" i="4"/>
  <c r="Q235" i="4"/>
  <c r="Q228" i="4"/>
  <c r="Q234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82" i="6"/>
  <c r="J229" i="4"/>
  <c r="J228" i="4"/>
  <c r="J235" i="4"/>
  <c r="J232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46" i="4"/>
  <c r="D241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54" i="5" l="1"/>
  <c r="P246" i="4"/>
  <c r="Q227" i="4"/>
  <c r="Q88" i="5"/>
  <c r="E223" i="4"/>
  <c r="U54" i="6"/>
  <c r="E231" i="4"/>
  <c r="Q231" i="4"/>
  <c r="Q230" i="4"/>
  <c r="Q82" i="6"/>
  <c r="E225" i="4"/>
  <c r="J159" i="5"/>
  <c r="E224" i="4"/>
  <c r="J144" i="5"/>
  <c r="Q195" i="4"/>
  <c r="E222" i="4"/>
  <c r="M239" i="4"/>
  <c r="E88" i="5"/>
  <c r="J142" i="5"/>
  <c r="J146" i="5"/>
  <c r="Q222" i="4"/>
  <c r="Q223" i="4"/>
  <c r="Q141" i="4"/>
  <c r="M156" i="4"/>
  <c r="P103" i="5"/>
  <c r="Q225" i="4"/>
  <c r="E226" i="4"/>
  <c r="E82" i="6"/>
  <c r="F224" i="4"/>
  <c r="H151" i="6"/>
  <c r="J141" i="5"/>
  <c r="H139" i="6"/>
  <c r="H135" i="6"/>
  <c r="M167" i="4"/>
  <c r="Q229" i="4"/>
  <c r="Q236" i="4"/>
  <c r="Q167" i="4"/>
  <c r="Q232" i="4"/>
  <c r="J153" i="5"/>
  <c r="H140" i="6"/>
  <c r="J167" i="4"/>
  <c r="S143" i="5"/>
  <c r="S141" i="5"/>
  <c r="S151" i="5"/>
  <c r="S160" i="5"/>
  <c r="S163" i="5"/>
  <c r="S153" i="5"/>
  <c r="S142" i="5"/>
  <c r="S145" i="5"/>
  <c r="S149" i="5"/>
  <c r="S147" i="5"/>
  <c r="S234" i="4"/>
  <c r="D245" i="4"/>
  <c r="J226" i="4"/>
  <c r="J225" i="4"/>
  <c r="J141" i="4"/>
  <c r="S229" i="4"/>
  <c r="S195" i="4"/>
  <c r="N82" i="6"/>
  <c r="D240" i="4"/>
  <c r="J233" i="4"/>
  <c r="S233" i="4"/>
  <c r="S141" i="4"/>
  <c r="N223" i="4"/>
  <c r="N195" i="4"/>
  <c r="N224" i="4"/>
  <c r="S231" i="4"/>
  <c r="D237" i="4"/>
  <c r="S236" i="4"/>
  <c r="S230" i="4"/>
  <c r="N225" i="4"/>
  <c r="N141" i="4"/>
  <c r="D103" i="5"/>
  <c r="J227" i="4"/>
  <c r="N226" i="4"/>
  <c r="N231" i="4"/>
  <c r="D97" i="6"/>
  <c r="J234" i="4"/>
  <c r="J222" i="4"/>
  <c r="S226" i="4"/>
  <c r="S225" i="4"/>
  <c r="N227" i="4"/>
  <c r="N230" i="4"/>
  <c r="J195" i="4"/>
  <c r="S82" i="6"/>
  <c r="S224" i="4"/>
  <c r="D239" i="4"/>
  <c r="D210" i="4"/>
  <c r="J223" i="4"/>
  <c r="J88" i="5"/>
  <c r="S232" i="4"/>
  <c r="S222" i="4"/>
  <c r="N229" i="4"/>
  <c r="G103" i="5"/>
  <c r="G245" i="4"/>
  <c r="G97" i="6"/>
  <c r="G242" i="4"/>
  <c r="G238" i="4"/>
  <c r="G210" i="4"/>
  <c r="G246" i="4"/>
  <c r="G156" i="4"/>
  <c r="S159" i="5"/>
  <c r="S158" i="5"/>
  <c r="S166" i="5"/>
  <c r="S156" i="5"/>
  <c r="G239" i="4"/>
  <c r="S150" i="5"/>
  <c r="S164" i="5"/>
  <c r="S152" i="5"/>
  <c r="G243" i="4"/>
  <c r="G228" i="4"/>
  <c r="S144" i="5"/>
  <c r="S161" i="5"/>
  <c r="S148" i="5"/>
  <c r="G244" i="4"/>
  <c r="G241" i="4"/>
  <c r="V147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33" i="6"/>
  <c r="L124" i="5"/>
  <c r="L42" i="5"/>
  <c r="L76" i="5" s="1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O14" i="8"/>
  <c r="O26" i="10" s="1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R79" i="8"/>
  <c r="K79" i="8"/>
  <c r="V77" i="8"/>
  <c r="S77" i="8"/>
  <c r="O77" i="8"/>
  <c r="S76" i="8"/>
  <c r="V75" i="8"/>
  <c r="N75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4" i="1"/>
  <c r="B12" i="1"/>
  <c r="B17" i="1"/>
  <c r="B7" i="1"/>
  <c r="B15" i="1"/>
  <c r="B9" i="1"/>
  <c r="B13" i="1"/>
  <c r="B20" i="1"/>
  <c r="B21" i="1"/>
  <c r="B18" i="1"/>
  <c r="B8" i="1"/>
  <c r="B16" i="1"/>
  <c r="B11" i="1"/>
  <c r="B6" i="1"/>
  <c r="B22" i="1"/>
  <c r="F218" i="3" l="1"/>
  <c r="N218" i="3"/>
  <c r="G222" i="3"/>
  <c r="O222" i="3"/>
  <c r="S218" i="3"/>
  <c r="V219" i="3"/>
  <c r="T222" i="3"/>
  <c r="G218" i="3"/>
  <c r="O218" i="3"/>
  <c r="S233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O202" i="3" s="1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N225" i="3" s="1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86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2" i="3"/>
  <c r="I143" i="3"/>
  <c r="I140" i="3"/>
  <c r="I144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6" i="3" l="1"/>
  <c r="I141" i="3"/>
  <c r="I145" i="3"/>
  <c r="I139" i="3"/>
  <c r="I148" i="3"/>
  <c r="I149" i="3"/>
  <c r="I150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R139" i="3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43" i="11" s="1"/>
  <c r="T95" i="11" s="1"/>
  <c r="T58" i="11"/>
  <c r="T53" i="11" s="1"/>
  <c r="U102" i="11"/>
  <c r="U103" i="11"/>
  <c r="T100" i="11" l="1"/>
  <c r="U48" i="1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<sst xmlns="http://schemas.openxmlformats.org/spreadsheetml/2006/main" count="2655" uniqueCount="1167">
  <si>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</si>
  <si>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</si>
  <si>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</si>
  <si>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</si>
  <si>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</si>
  <si>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</si>
  <si>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</si>
  <si>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</si>
  <si>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</si>
  <si>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</si>
  <si>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</si>
  <si>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</si>
  <si>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</si>
  <si>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</si>
  <si>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</si>
  <si>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</si>
  <si>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</si>
  <si>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</si>
  <si>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</si>
  <si>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</si>
  <si>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</si>
  <si>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</si>
  <si>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</si>
  <si>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</si>
  <si>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</si>
  <si>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</si>
  <si>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</si>
  <si>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</si>
  <si>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</si>
  <si>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</si>
  <si>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</si>
  <si>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</si>
  <si>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</si>
  <si>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</si>
  <si>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</si>
  <si>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</si>
  <si>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</si>
  <si>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</si>
  <si>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</si>
  <si>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</si>
  <si>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</si>
  <si>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</si>
  <si>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</si>
  <si>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</si>
  <si>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</si>
  <si>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</si>
  <si>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</si>
  <si>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</si>
  <si>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</si>
  <si>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</si>
  <si>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</si>
  <si>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</si>
  <si>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</si>
  <si>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</si>
  <si>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</si>
  <si>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</si>
  <si>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</si>
  <si>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</si>
  <si>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</si>
  <si>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</si>
  <si>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</si>
  <si>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</si>
  <si>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</si>
  <si>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</si>
  <si>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</si>
  <si>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</si>
  <si>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</si>
  <si>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</si>
  <si>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</si>
  <si>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</si>
  <si>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</si>
  <si>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</si>
  <si>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</si>
  <si>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</si>
  <si>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</si>
  <si>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</si>
  <si>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</si>
  <si>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</si>
  <si>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</si>
  <si>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</si>
  <si>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</si>
  <si>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</si>
  <si>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</si>
  <si>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</si>
  <si>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</si>
  <si>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</si>
  <si>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</si>
  <si>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</si>
  <si>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</si>
  <si>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</si>
  <si>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</si>
  <si>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</si>
  <si>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</si>
  <si>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</si>
  <si>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</si>
  <si>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</si>
  <si>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</si>
  <si>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</si>
  <si>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</si>
  <si>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</si>
  <si>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</si>
  <si>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</si>
  <si>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</si>
  <si>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</si>
  <si>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</si>
  <si>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</si>
  <si>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</si>
  <si>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</si>
  <si>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</si>
  <si>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</si>
  <si>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</si>
  <si>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</si>
  <si>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</si>
  <si>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</si>
  <si>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</si>
  <si>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</si>
  <si>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</si>
  <si>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</si>
  <si>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</si>
  <si>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</si>
  <si>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</si>
  <si>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</si>
  <si>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</si>
  <si>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</si>
  <si>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</si>
  <si>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</si>
  <si>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</si>
  <si>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</si>
  <si>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</si>
  <si>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</si>
  <si>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</si>
  <si>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</si>
  <si>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</si>
  <si>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</si>
  <si>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</si>
  <si>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</si>
  <si>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</si>
  <si>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</si>
  <si>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</si>
  <si>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</si>
  <si>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</si>
  <si>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</si>
  <si>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</si>
  <si>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</si>
  <si>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</si>
  <si>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</si>
  <si>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</si>
  <si>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</si>
  <si>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</si>
  <si>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</si>
  <si>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</si>
  <si>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</si>
  <si>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</si>
  <si>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</si>
  <si>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</si>
  <si>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</si>
  <si>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</si>
  <si>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</si>
  <si>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</si>
  <si>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</si>
  <si>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</si>
  <si>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</si>
  <si>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</si>
  <si>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</si>
  <si>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</si>
  <si>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</si>
  <si>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</si>
  <si>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</si>
  <si>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</si>
  <si>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</si>
  <si>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</si>
  <si>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</si>
  <si>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</si>
  <si>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</si>
  <si>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</si>
  <si>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</si>
  <si>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</si>
  <si>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</si>
  <si>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</si>
  <si>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</si>
  <si>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</si>
  <si>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</si>
  <si>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</si>
  <si>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</si>
  <si>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</si>
  <si>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</si>
  <si>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RO</t>
  </si>
  <si>
    <t>Romania</t>
  </si>
  <si>
    <t>Aviation - RO - Romania</t>
  </si>
  <si>
    <t>Activity.Mpkm.RO.Tr.Avia.Passenger</t>
  </si>
  <si>
    <t>Activity.Mpkm.RO.Tr.Avia.Passenger.Domestic</t>
  </si>
  <si>
    <t>Activity.Mpkm.RO.Tr.Avia.Passenger.IntraEEAwUK</t>
  </si>
  <si>
    <t>Activity.Mpkm.RO.Tr.Avia.Passenger.ExtraEEAwUK</t>
  </si>
  <si>
    <t>Activity.Mtkm.RO.Tr.Avia.Freight</t>
  </si>
  <si>
    <t>Activity.Mtkm.RO.Tr.Avia.Freight.Domestic</t>
  </si>
  <si>
    <t>Activity.Mtkm.RO.Tr.Avia.Freight.IntraEEAwUK</t>
  </si>
  <si>
    <t>Activity.Mtkm.RO.Tr.Avia.Freight.ExtraEEAwUK</t>
  </si>
  <si>
    <t>VehicleKm.Mkm.RO.Tr.Avia</t>
  </si>
  <si>
    <t>VehicleKm.Mkm.RO.Tr.Avia.Passenger</t>
  </si>
  <si>
    <t>VehicleKm.Mkm.RO.Tr.Avia.Passenger.Domestic</t>
  </si>
  <si>
    <t>VehicleKm.Mkm.RO.Tr.Avia.Passenger.IntraEEAwUK</t>
  </si>
  <si>
    <t>VehicleKm.Mkm.RO.Tr.Avia.Passenger.ExtraEEAwUK</t>
  </si>
  <si>
    <t>VehicleKm.Mkm.RO.Tr.Avia.Freight</t>
  </si>
  <si>
    <t>VehicleKm.Mkm.RO.Tr.Avia.Freight.Domestic</t>
  </si>
  <si>
    <t>VehicleKm.Mkm.RO.Tr.Avia.Freight.IntraEEAwUK</t>
  </si>
  <si>
    <t>VehicleKm.Mkm.RO.Tr.Avia.Freight.ExtraEEAwUK</t>
  </si>
  <si>
    <t>Flights.number.RO.Tr.Avia</t>
  </si>
  <si>
    <t>Flights.number.RO.Tr.Avia.Passenger</t>
  </si>
  <si>
    <t>Flights.number.RO.Tr.Avia.Passenger.Domestic</t>
  </si>
  <si>
    <t>Flights.number.RO.Tr.Avia.Passenger.IntraEEAwUK</t>
  </si>
  <si>
    <t>Flights.number.RO.Tr.Avia.Passenger.ExtraEEAwUK</t>
  </si>
  <si>
    <t>Flights.number.RO.Tr.Avia.Freight</t>
  </si>
  <si>
    <t>Flights.number.RO.Tr.Avia.Freight.Domestic</t>
  </si>
  <si>
    <t>Flights.number.RO.Tr.Avia.Freight.IntraEEAwUK</t>
  </si>
  <si>
    <t>Flights.number.RO.Tr.Avia.Freight.ExtraEEAwUK</t>
  </si>
  <si>
    <t>VolCarried.passenger.RO.Tr.Avia.Passenger</t>
  </si>
  <si>
    <t>VolCarried.passenger.RO.Tr.Avia.Passenger.Domestic</t>
  </si>
  <si>
    <t>VolCarried.passenger.RO.Tr.Avia.Passenger.IntraEEAwUK</t>
  </si>
  <si>
    <t>VolCarried.passenger.RO.Tr.Avia.Passenger.ExtraEEAwUK</t>
  </si>
  <si>
    <t>VolCarried.t.RO.Tr.Avia.Freight</t>
  </si>
  <si>
    <t>VolCarried.t.RO.Tr.Avia.Freight.Domestic</t>
  </si>
  <si>
    <t>VolCarried.t.RO.Tr.Avia.Freight.IntraEEAwUK</t>
  </si>
  <si>
    <t>VolCarried.t.RO.Tr.Avia.Freight.ExtraEEAwUK</t>
  </si>
  <si>
    <t>Stock.number.RO.Tr.Avia</t>
  </si>
  <si>
    <t>Stock.number.RO.Tr.Avia.Passenger</t>
  </si>
  <si>
    <t>Stock.number.RO.Tr.Avia.Passenger.Domestic</t>
  </si>
  <si>
    <t>Stock.number.RO.Tr.Avia.Passenger.IntraEEAwUK</t>
  </si>
  <si>
    <t>Stock.number.RO.Tr.Avia.Passenger.ExtraEEAwUK</t>
  </si>
  <si>
    <t>Stock.number.RO.Tr.Avia.Freight</t>
  </si>
  <si>
    <t>Stock.number.RO.Tr.Avia.Freight.Domestic</t>
  </si>
  <si>
    <t>Stock.number.RO.Tr.Avia.Freight.IntraEEAwUK</t>
  </si>
  <si>
    <t>Stock.number.RO.Tr.Avia.Freight.ExtraEEAwUK</t>
  </si>
  <si>
    <t>StockNew.number.RO.Tr.Avia</t>
  </si>
  <si>
    <t>StockNew.number.RO.Tr.Avia.Passenger</t>
  </si>
  <si>
    <t>StockNew.number.RO.Tr.Avia.Passenger.Domestic</t>
  </si>
  <si>
    <t>StockNew.number.RO.Tr.Avia.Passenger.IntraEEAwUK</t>
  </si>
  <si>
    <t>StockNew.number.RO.Tr.Avia.Passenger.ExtraEEAwUK</t>
  </si>
  <si>
    <t>StockNew.number.RO.Tr.Avia.Freight</t>
  </si>
  <si>
    <t>StockNew.number.RO.Tr.Avia.Freight.Domestic</t>
  </si>
  <si>
    <t>StockNew.number.RO.Tr.Avia.Freight.IntraEEAwUK</t>
  </si>
  <si>
    <t>StockNew.number.RO.Tr.Avia.Freight.ExtraEEAwUK</t>
  </si>
  <si>
    <t>Load.passenger_per_movement.RO.Tr.Avia.Passenger</t>
  </si>
  <si>
    <t>Load.passenger_per_movement.RO.Tr.Avia.Passenger.Domestic</t>
  </si>
  <si>
    <t>Load.passenger_per_movement.RO.Tr.Avia.Passenger.IntraEEAwUK</t>
  </si>
  <si>
    <t>Load.passenger_per_movement.RO.Tr.Avia.Passenger.ExtraEEAwUK</t>
  </si>
  <si>
    <t>Load.t_per_movement.RO.Tr.Avia.Freight</t>
  </si>
  <si>
    <t>Load.t_per_movement.RO.Tr.Avia.Freight.Domestic</t>
  </si>
  <si>
    <t>Load.t_per_movement.RO.Tr.Avia.Freight.IntraEEAwUK</t>
  </si>
  <si>
    <t>Load.t_per_movement.RO.Tr.Avia.Freight.ExtraEEAwUK</t>
  </si>
  <si>
    <t>VehicleKm_per_flight.km.RO.Tr.Avia</t>
  </si>
  <si>
    <t>VehicleKm_per_flight.km.RO.Tr.Avia.Passenger</t>
  </si>
  <si>
    <t>VehicleKm_per_flight.km.RO.Tr.Avia.Passenger.Domestic</t>
  </si>
  <si>
    <t>VehicleKm_per_flight.km.RO.Tr.Avia.Passenger.IntraEEAwUK</t>
  </si>
  <si>
    <t>VehicleKm_per_flight.km.RO.Tr.Avia.Passenger.ExtraEEAwUK</t>
  </si>
  <si>
    <t>VehicleKm_per_flight.km.RO.Tr.Avia.Freight</t>
  </si>
  <si>
    <t>VehicleKm_per_flight.km.RO.Tr.Avia.Freight.Domestic</t>
  </si>
  <si>
    <t>VehicleKm_per_flight.km.RO.Tr.Avia.Freight.IntraEEAwUK</t>
  </si>
  <si>
    <t>VehicleKm_per_flight.km.RO.Tr.Avia.Freight.ExtraEEAwUK</t>
  </si>
  <si>
    <t>Activity_per_flight.pkm.RO.Tr.Avia.Passenger</t>
  </si>
  <si>
    <t>Activity_per_flight.pkm.RO.Tr.Avia.Passenger.Domestic</t>
  </si>
  <si>
    <t>Activity_per_flight.pkm.RO.Tr.Avia.Passenger.IntraEEAwUK</t>
  </si>
  <si>
    <t>Activity_per_flight.pkm.RO.Tr.Avia.Passenger.ExtraEEAwUK</t>
  </si>
  <si>
    <t>Activity_per_flight.tkm.RO.Tr.Avia.Freight</t>
  </si>
  <si>
    <t>Activity_per_flight.tkm.RO.Tr.Avia.Freight.Domestic</t>
  </si>
  <si>
    <t>Activity_per_flight.tkm.RO.Tr.Avia.Freight.IntraEEAwUK</t>
  </si>
  <si>
    <t>Activity_per_flight.tkm.RO.Tr.Avia.Freight.ExtraEEAwUK</t>
  </si>
  <si>
    <t>Flights_per_vehicle.number.RO.Tr.Avia</t>
  </si>
  <si>
    <t>Flights_per_vehicle.number.RO.Tr.Avia.Passenger</t>
  </si>
  <si>
    <t>Flights_per_vehicle.number.RO.Tr.Avia.Passenger.Domestic</t>
  </si>
  <si>
    <t>Flights_per_vehicle.number.RO.Tr.Avia.Passenger.IntraEEAwUK</t>
  </si>
  <si>
    <t>Flights_per_vehicle.number.RO.Tr.Avia.Passenger.ExtraEEAwUK</t>
  </si>
  <si>
    <t>Flights_per_vehicle.number.RO.Tr.Avia.Freight</t>
  </si>
  <si>
    <t>Flights_per_vehicle.number.RO.Tr.Avia.Freight.Domestic</t>
  </si>
  <si>
    <t>Flights_per_vehicle.number.RO.Tr.Avia.Freight.IntraEEAwUK</t>
  </si>
  <si>
    <t>Flights_per_vehicle.number.RO.Tr.Avia.Freight.ExtraEEAwUK</t>
  </si>
  <si>
    <t>Aviation / energy consumption - RO - Romania</t>
  </si>
  <si>
    <t>FEC.ktoe.RO.Tr.Avia</t>
  </si>
  <si>
    <t>FEC.ktoe.RO.Tr.Avia.Domestic</t>
  </si>
  <si>
    <t>FEC.ktoe.RO.Tr.Avia.International</t>
  </si>
  <si>
    <t>FEC.ktoe.RO.Tr.Avia.Passenger</t>
  </si>
  <si>
    <t>FEC.ktoe.RO.Tr.Avia.Passenger.Domestic</t>
  </si>
  <si>
    <t>FEC.ktoe.RO.Tr.Avia.Passenger.IntraEEAwUK</t>
  </si>
  <si>
    <t>FEC.ktoe.RO.Tr.Avia.Passenger.ExtraEEAwUK</t>
  </si>
  <si>
    <t>FEC.ktoe.RO.Tr.Avia.Freight</t>
  </si>
  <si>
    <t>FEC.ktoe.RO.Tr.Avia.Freight.Domestic</t>
  </si>
  <si>
    <t>FEC.ktoe.RO.Tr.Avia.Freight.IntraEEAwUK</t>
  </si>
  <si>
    <t>FEC.ktoe.RO.Tr.Avia.Freight.ExtraEEAwUK</t>
  </si>
  <si>
    <t>Eff.kgoe_per_100km.RO.Tr.Avia</t>
  </si>
  <si>
    <t>Eff.kgoe_per_100km.RO.Tr.Avia.Passenger</t>
  </si>
  <si>
    <t>Eff.kgoe_per_100km.RO.Tr.Avia.Passenger.Domestic</t>
  </si>
  <si>
    <t>Eff.kgoe_per_100km.RO.Tr.Avia.Passenger.IntraEEAwUK</t>
  </si>
  <si>
    <t>Eff.kgoe_per_100km.RO.Tr.Avia.Passenger.ExtraEEAwUK</t>
  </si>
  <si>
    <t>Eff.kgoe_per_100km.RO.Tr.Avia.Freight</t>
  </si>
  <si>
    <t>Eff.kgoe_per_100km.RO.Tr.Avia.Freight.Domestic</t>
  </si>
  <si>
    <t>Eff.kgoe_per_100km.RO.Tr.Avia.Freight.IntraEEAwUK</t>
  </si>
  <si>
    <t>Eff.kgoe_per_100km.RO.Tr.Avia.Freight.ExtraEEAwUK</t>
  </si>
  <si>
    <t>Eff.kgoe_per_kpkm.RO.Tr.Avia.Passenger</t>
  </si>
  <si>
    <t>Eff.kgoe_per_kpkm.RO.Tr.Avia.Passenger.Domestic</t>
  </si>
  <si>
    <t>Eff.kgoe_per_kpkm.RO.Tr.Avia.Passenger.IntraEEAwUK</t>
  </si>
  <si>
    <t>Eff.kgoe_per_kpkm.RO.Tr.Avia.Passenger.ExtraEEAwUK</t>
  </si>
  <si>
    <t>Eff.kgoe_per_ktkm.RO.Tr.Avia.Freight</t>
  </si>
  <si>
    <t>Eff.kgoe_per_ktkm.RO.Tr.Avia.Freight.Domestic</t>
  </si>
  <si>
    <t>Eff.kgoe_per_ktkm.RO.Tr.Avia.Freight.IntraEEAwUK</t>
  </si>
  <si>
    <t>Eff.kgoe_per_ktkm.RO.Tr.Avia.Freight.ExtraEEAwUK</t>
  </si>
  <si>
    <t>FEC_per_flight.kgoe.RO.Tr.Avia</t>
  </si>
  <si>
    <t>FEC_per_flight.kgoe.RO.Tr.Avia.Passenger</t>
  </si>
  <si>
    <t>FEC_per_flight.kgoe.RO.Tr.Avia.Passenger.Domestic</t>
  </si>
  <si>
    <t>FEC_per_flight.kgoe.RO.Tr.Avia.Passenger.IntraEEAwUK</t>
  </si>
  <si>
    <t>FEC_per_flight.kgoe.RO.Tr.Avia.Passenger.ExtraEEAwUK</t>
  </si>
  <si>
    <t>FEC_per_flight.kgoe.RO.Tr.Avia.Freight</t>
  </si>
  <si>
    <t>FEC_per_flight.kgoe.RO.Tr.Avia.Freight.Domestic</t>
  </si>
  <si>
    <t>FEC_per_flight.kgoe.RO.Tr.Avia.Freight.IntraEEAwUK</t>
  </si>
  <si>
    <t>FEC_per_flight.kgoe.RO.Tr.Avia.Freight.ExtraEEAwUK</t>
  </si>
  <si>
    <t>Eff_theor.kgoe_per_100km.RO.Tr.Avia</t>
  </si>
  <si>
    <t>Eff_theor.kgoe_per_100km.RO.Tr.Avia.Passenger</t>
  </si>
  <si>
    <t>Eff_theor.kgoe_per_100km.RO.Tr.Avia.Passenger.Domestic</t>
  </si>
  <si>
    <t>Eff_theor.kgoe_per_100km.RO.Tr.Avia.Passenger.IntraEEAwUK</t>
  </si>
  <si>
    <t>Eff_theor.kgoe_per_100km.RO.Tr.Avia.Passenger.ExtraEEAwUK</t>
  </si>
  <si>
    <t>Eff_theor.kgoe_per_100km.RO.Tr.Avia.Freight</t>
  </si>
  <si>
    <t>Eff_theor.kgoe_per_100km.RO.Tr.Avia.Freight.Domestic</t>
  </si>
  <si>
    <t>Eff_theor.kgoe_per_100km.RO.Tr.Avia.Freight.IntraEEAwUK</t>
  </si>
  <si>
    <t>Eff_theor.kgoe_per_100km.RO.Tr.Avia.Freight.ExtraEEAwUK</t>
  </si>
  <si>
    <t>Aviation / CO2 emissions - RO - Romania</t>
  </si>
  <si>
    <t>EMI.ktCO2.RO.Tr.Avia</t>
  </si>
  <si>
    <t>EMI.ktCO2.RO.Tr.Avia.Domestic</t>
  </si>
  <si>
    <t>EMI.ktCO2.RO.Tr.Avia.International</t>
  </si>
  <si>
    <t>EMI.ktCO2.RO.Tr.Avia.Passenger</t>
  </si>
  <si>
    <t>EMI.ktCO2.RO.Tr.Avia.Passenger.Domestic</t>
  </si>
  <si>
    <t>EMI.ktCO2.RO.Tr.Avia.Passenger.IntraEEAwUK</t>
  </si>
  <si>
    <t>EMI.ktCO2.RO.Tr.Avia.Passenger.ExtraEEAwUK</t>
  </si>
  <si>
    <t>EMI.ktCO2.RO.Tr.Avia.Freight</t>
  </si>
  <si>
    <t>EMI.ktCO2.RO.Tr.Avia.Freight.Domestic</t>
  </si>
  <si>
    <t>EMI.ktCO2.RO.Tr.Avia.Freight.IntraEEAwUK</t>
  </si>
  <si>
    <t>EMI.ktCO2.RO.Tr.Avia.Freight.ExtraEEAwUK</t>
  </si>
  <si>
    <t>EMIint.gCO2_per_km.RO.Tr.Avia</t>
  </si>
  <si>
    <t>EMIint.gCO2_per_km.RO.Tr.Avia.Passenger</t>
  </si>
  <si>
    <t>EMIint.gCO2_per_km.RO.Tr.Avia.Passenger.Domestic</t>
  </si>
  <si>
    <t>EMIint.gCO2_per_km.RO.Tr.Avia.Passenger.IntraEEAwUK</t>
  </si>
  <si>
    <t>EMIint.gCO2_per_km.RO.Tr.Avia.Passenger.ExtraEEAwUK</t>
  </si>
  <si>
    <t>EMIint.gCO2_per_km.RO.Tr.Avia.Freight</t>
  </si>
  <si>
    <t>EMIint.gCO2_per_km.RO.Tr.Avia.Freight.Domestic</t>
  </si>
  <si>
    <t>EMIint.gCO2_per_km.RO.Tr.Avia.Freight.IntraEEAwUK</t>
  </si>
  <si>
    <t>EMIint.gCO2_per_km.RO.Tr.Avia.Freight.ExtraEEAwUK</t>
  </si>
  <si>
    <t>EMIint.gCO2_per_pkm.RO.Tr.Avia.Passenger</t>
  </si>
  <si>
    <t>EMIint.gCO2_per_pkm.RO.Tr.Avia.Passenger.Domestic</t>
  </si>
  <si>
    <t>EMIint.gCO2_per_pkm.RO.Tr.Avia.Passenger.IntraEEAwUK</t>
  </si>
  <si>
    <t>EMIint.gCO2_per_pkm.RO.Tr.Avia.Passenger.ExtraEEAwUK</t>
  </si>
  <si>
    <t>EMIint.gCO2_per_tkm.RO.Tr.Avia.Freight</t>
  </si>
  <si>
    <t>EMIint.gCO2_per_tkm.RO.Tr.Avia.Freight.Domestic</t>
  </si>
  <si>
    <t>EMIint.gCO2_per_tkm.RO.Tr.Avia.Freight.IntraEEAwUK</t>
  </si>
  <si>
    <t>EMIint.gCO2_per_tkm.RO.Tr.Avia.Freight.ExtraEEAwUK</t>
  </si>
  <si>
    <t>EMI_per_flight.kgCO2.RO.Tr.Avia</t>
  </si>
  <si>
    <t>EMI_per_flight.kgCO2.RO.Tr.Avia.Passenger</t>
  </si>
  <si>
    <t>EMI_per_flight.kgCO2.RO.Tr.Avia.Passenger.Domestic</t>
  </si>
  <si>
    <t>EMI_per_flight.kgCO2.RO.Tr.Avia.Passenger.IntraEEAwUK</t>
  </si>
  <si>
    <t>EMI_per_flight.kgCO2.RO.Tr.Avia.Passenger.ExtraEEAwUK</t>
  </si>
  <si>
    <t>EMI_per_flight.kgCO2.RO.Tr.Avia.Freight</t>
  </si>
  <si>
    <t>EMI_per_flight.kgCO2.RO.Tr.Avia.Freight.Domestic</t>
  </si>
  <si>
    <t>EMI_per_flight.kgCO2.RO.Tr.Avia.Freight.IntraEEAwUK</t>
  </si>
  <si>
    <t>EMI_per_flight.kgCO2.RO.Tr.Avia.Freight.ExtraEEAwUK</t>
  </si>
  <si>
    <t>Aviation / passenger transport specific data - RO - Romania</t>
  </si>
  <si>
    <t>TrCap.seats.RO.Tr.Avia.Passenger</t>
  </si>
  <si>
    <t>TrCap.seats.RO.Tr.Avia.Passenger.Domestic</t>
  </si>
  <si>
    <t>TrCap.seats.RO.Tr.Avia.Passenger.IntraEEAwUK</t>
  </si>
  <si>
    <t>TrCap.seats.RO.Tr.Avia.Passenger.ExtraEEAwUK</t>
  </si>
  <si>
    <t>TrCap_per_flight.seats.RO.Tr.Avia.Passenger</t>
  </si>
  <si>
    <t>TrCap_per_flight.seats.RO.Tr.Avia.Passenger.Domestic</t>
  </si>
  <si>
    <t>TrCap_per_flight.seats.RO.Tr.Avia.Passenger.IntraEEAwUK</t>
  </si>
  <si>
    <t>TrCap_per_flight.seats.RO.Tr.Avia.Passenger.ExtraEEAwUK</t>
  </si>
  <si>
    <t>Transport overview - RO - Romania</t>
  </si>
  <si>
    <t>Activity.Mpkm.RO.Tr</t>
  </si>
  <si>
    <t>Activity.Mpkm.RO.Tr.Road.Passenger</t>
  </si>
  <si>
    <t>Activity.Mpkm.RO.Tr.Road.Passenger.P2W</t>
  </si>
  <si>
    <t>Activity.Mpkm.RO.Tr.Road.Passenger.Car</t>
  </si>
  <si>
    <t>Activity.Mpkm.RO.Tr.Road.Passenger.Bus</t>
  </si>
  <si>
    <t>Activity.Mpkm.RO.Tr.Rail.Passenger</t>
  </si>
  <si>
    <t>Activity.Mpkm.RO.Tr.Rail.Passenger.MTU</t>
  </si>
  <si>
    <t>Activity.Mpkm.RO.Tr.Rail.Passenger.CPT</t>
  </si>
  <si>
    <t>Activity.Mpkm.RO.Tr.Rail.Passenger.HST</t>
  </si>
  <si>
    <t>Activity.Mtkm.RO.Tr</t>
  </si>
  <si>
    <t>Activity.Mtkm.RO.Tr.Road.Freight</t>
  </si>
  <si>
    <t>Activity.Mtkm.RO.Tr.Road.Freight.LCV</t>
  </si>
  <si>
    <t>Activity.Mtkm.RO.Tr.Road.Freight.HGV</t>
  </si>
  <si>
    <t>Activity.Mtkm.RO.Tr.Rail.Freight</t>
  </si>
  <si>
    <t>Activity.Mtkm.RO.Tr.DNavi.Freight</t>
  </si>
  <si>
    <t>Activity.Mtkm.RO.Tr.DNavi.Freight.DCS</t>
  </si>
  <si>
    <t>Activity.Mtkm.RO.Tr.DNavi.Freight.IWW</t>
  </si>
  <si>
    <t>Activity.Mtkm.RO.MBunk.Freight</t>
  </si>
  <si>
    <t>Activity.Mtkm.RO.MBunk.Freight.IntraEEA</t>
  </si>
  <si>
    <t>Activity.Mtkm.RO.MBunk.Freight.ExtraEEA</t>
  </si>
  <si>
    <t>FEC.ktoe.RO.Tr.Road.Passenger</t>
  </si>
  <si>
    <t>FEC.ktoe.RO.Tr.Road.Passenger.P2W</t>
  </si>
  <si>
    <t>FEC.ktoe.RO.Tr.Road.Passenger.Car</t>
  </si>
  <si>
    <t>FEC.ktoe.RO.Tr.Road.Passenger.Bus</t>
  </si>
  <si>
    <t>FEC.ktoe.RO.Tr.Rail.Passenger</t>
  </si>
  <si>
    <t>FEC.ktoe.RO.Tr.Rail.Passenger.MTU</t>
  </si>
  <si>
    <t>FEC.ktoe.RO.Tr.Rail.Passenger.CPT</t>
  </si>
  <si>
    <t>FEC.ktoe.RO.Tr.Rail.Passenger.HST</t>
  </si>
  <si>
    <t>FEC.ktoe.RO.Tr.Road.Freight</t>
  </si>
  <si>
    <t>FEC.ktoe.RO.Tr.Road.Freight.LCV</t>
  </si>
  <si>
    <t>FEC.ktoe.RO.Tr.Road.Freight.HGV</t>
  </si>
  <si>
    <t>FEC.ktoe.RO.Tr.Rail.Freight</t>
  </si>
  <si>
    <t>EMI.ktCO2.RO.Tr.Road.Passenger</t>
  </si>
  <si>
    <t>EMI.ktCO2.RO.Tr.Road.Passenger.P2W</t>
  </si>
  <si>
    <t>EMI.ktCO2.RO.Tr.Road.Passenger.Car</t>
  </si>
  <si>
    <t>EMI.ktCO2.RO.Tr.Road.Passenger.Bus</t>
  </si>
  <si>
    <t>EMI.ktCO2.RO.Tr.Rail.Passenger</t>
  </si>
  <si>
    <t>EMI.ktCO2.RO.Tr.Rail.Passenger.MTU</t>
  </si>
  <si>
    <t>EMI.ktCO2.RO.Tr.Rail.Passenger.CPT</t>
  </si>
  <si>
    <t>EMI.ktCO2.RO.Tr.Rail.Passenger.HST</t>
  </si>
  <si>
    <t>EMI.ktCO2.RO.Tr.Road.Freight</t>
  </si>
  <si>
    <t>EMI.ktCO2.RO.Tr.Road.Freight.LCV</t>
  </si>
  <si>
    <t>EMI.ktCO2.RO.Tr.Road.Freight.HGV</t>
  </si>
  <si>
    <t>EMI.ktCO2.RO.Tr.Rail.Freight</t>
  </si>
  <si>
    <t>Eff.kgoe_per_kpkm.RO.Tr</t>
  </si>
  <si>
    <t>Eff.kgoe_per_kpkm.RO.Tr.Road.Passenger</t>
  </si>
  <si>
    <t>Eff.kgoe_per_kpkm.RO.Tr.Road.Passenger.P2W</t>
  </si>
  <si>
    <t>Eff.kgoe_per_kpkm.RO.Tr.Road.Passenger.Car</t>
  </si>
  <si>
    <t>Eff.kgoe_per_kpkm.RO.Tr.Road.Passenger.Bus</t>
  </si>
  <si>
    <t>Eff.kgoe_per_kpkm.RO.Tr.Rail.Passenger</t>
  </si>
  <si>
    <t>Eff.kgoe_per_kpkm.RO.Tr.Rail.Passenger.MTU</t>
  </si>
  <si>
    <t>Eff.kgoe_per_kpkm.RO.Tr.Rail.Passenger.CPT</t>
  </si>
  <si>
    <t>Eff.kgoe_per_kpkm.RO.Tr.Rail.Passenger.HST</t>
  </si>
  <si>
    <t>Eff.kgoe_per_ktkm.RO.Tr</t>
  </si>
  <si>
    <t>Eff.kgoe_per_ktkm.RO.Tr.Road.Freight</t>
  </si>
  <si>
    <t>Eff.kgoe_per_ktkm.RO.Tr.Road.Freight.LCV</t>
  </si>
  <si>
    <t>Eff.kgoe_per_ktkm.RO.Tr.Road.Freight.HGV</t>
  </si>
  <si>
    <t>Eff.kgoe_per_ktkm.RO.Tr.Rail.Freight</t>
  </si>
  <si>
    <t>Eff.kgoe_per_ktkm.RO.Tr.DNavi.Freight</t>
  </si>
  <si>
    <t>Eff.kgoe_per_ktkm.RO.Tr.DNavi.Freight.DCS</t>
  </si>
  <si>
    <t>Eff.kgoe_per_ktkm.RO.Tr.DNavi.Freight.IWW</t>
  </si>
  <si>
    <t>Eff.kgoe_per_ktkm.RO.MBunk.Freight</t>
  </si>
  <si>
    <t>Eff.kgoe_per_ktkm.RO.MBunk.Freight.IntraEEA</t>
  </si>
  <si>
    <t>Eff.kgoe_per_ktkm.RO.MBunk.Freight.ExtraEEA</t>
  </si>
  <si>
    <t>EMIint.gCO2_per_pkm.RO.Tr</t>
  </si>
  <si>
    <t>EMIint.gCO2_per_pkm.RO.Tr.Road.Passenger</t>
  </si>
  <si>
    <t>EMIint.gCO2_per_pkm.RO.Tr.Road.Passenger.P2W</t>
  </si>
  <si>
    <t>EMIint.gCO2_per_pkm.RO.Tr.Road.Passenger.Car</t>
  </si>
  <si>
    <t>EMIint.gCO2_per_pkm.RO.Tr.Road.Passenger.Bus</t>
  </si>
  <si>
    <t>EMIint.gCO2_per_pkm.RO.Tr.Rail.Passenger</t>
  </si>
  <si>
    <t>EMIint.gCO2_per_pkm.RO.Tr.Rail.Passenger.MTU</t>
  </si>
  <si>
    <t>EMIint.gCO2_per_pkm.RO.Tr.Rail.Passenger.CPT</t>
  </si>
  <si>
    <t>EMIint.gCO2_per_pkm.RO.Tr.Rail.Passenger.HST</t>
  </si>
  <si>
    <t>EMIint.gCO2_per_tkm.RO.Tr</t>
  </si>
  <si>
    <t>EMIint.gCO2_per_tkm.RO.Tr.Road.Freight</t>
  </si>
  <si>
    <t>EMIint.gCO2_per_tkm.RO.Tr.Road.Freight.LCV</t>
  </si>
  <si>
    <t>EMIint.gCO2_per_tkm.RO.Tr.Road.Freight.HGV</t>
  </si>
  <si>
    <t>EMIint.gCO2_per_tkm.RO.Tr.Rail.Freight</t>
  </si>
  <si>
    <t>EMIint.gCO2_per_tkm.RO.Tr.DNavi.Freight</t>
  </si>
  <si>
    <t>EMIint.gCO2_per_tkm.RO.Tr.DNavi.Freight.DCS</t>
  </si>
  <si>
    <t>EMIint.gCO2_per_tkm.RO.Tr.DNavi.Freight.IWW</t>
  </si>
  <si>
    <t>EMIint.gCO2_per_tkm.RO.MBunk.Freight</t>
  </si>
  <si>
    <t>EMIint.gCO2_per_tkm.RO.MBunk.Freight.IntraEEA</t>
  </si>
  <si>
    <t>EMIint.gCO2_per_tkm.RO.MBunk.Freight.ExtraEEA</t>
  </si>
  <si>
    <t>Road transport - RO - Romania</t>
  </si>
  <si>
    <t>Activity.Mpkm.RO.Tr.Road.Passenger.Car.ICE.Gasoline</t>
  </si>
  <si>
    <t>Activity.Mpkm.RO.Tr.Road.Passenger.Car.ICE.Diesel</t>
  </si>
  <si>
    <t>Activity.Mpkm.RO.Tr.Road.Passenger.Car.ICE.LPG</t>
  </si>
  <si>
    <t>Activity.Mpkm.RO.Tr.Road.Passenger.Car.ICE.NGas</t>
  </si>
  <si>
    <t>Activity.Mpkm.RO.Tr.Road.Passenger.Car.PHEV</t>
  </si>
  <si>
    <t>Activity.Mpkm.RO.Tr.Road.Passenger.Car.BEV</t>
  </si>
  <si>
    <t>Activity.Mpkm.RO.Tr.Road.Passenger.Bus.ICE.Gasoline</t>
  </si>
  <si>
    <t>Activity.Mpkm.RO.Tr.Road.Passenger.Bus.ICE.Diesel</t>
  </si>
  <si>
    <t>Activity.Mpkm.RO.Tr.Road.Passenger.Bus.ICE.LPG</t>
  </si>
  <si>
    <t>Activity.Mpkm.RO.Tr.Road.Passenger.Bus.ICE.NGas</t>
  </si>
  <si>
    <t>Activity.Mpkm.RO.Tr.Road.Passenger.Bus.ICE.BEV</t>
  </si>
  <si>
    <t>Activity.Mtkm.RO.Tr.Road.Freight.LCV.ICE.Gasoline</t>
  </si>
  <si>
    <t>Activity.Mtkm.RO.Tr.Road.Freight.LCV.ICE.Diesel</t>
  </si>
  <si>
    <t>Activity.Mtkm.RO.Tr.Road.Freight.LCV.ICE.LPG</t>
  </si>
  <si>
    <t>Activity.Mtkm.RO.Tr.Road.Freight.LCV.ICE.NGas</t>
  </si>
  <si>
    <t>Activity.Mtkm.RO.Tr.Road.Freight.LCV.ICE.BEV</t>
  </si>
  <si>
    <t>Activity.Mtkm.RO.Tr.Road.Freight.HGV.Domestic</t>
  </si>
  <si>
    <t>Activity.Mtkm.RO.Tr.Road.Freight.HGV.International</t>
  </si>
  <si>
    <t>VehicleKm.Mkm.RO.Tr.Road</t>
  </si>
  <si>
    <t>VehicleKm.Mkm.RO.Tr.Road.Passenger</t>
  </si>
  <si>
    <t>VehicleKm.Mkm.RO.Tr.Road.Passenger.P2W</t>
  </si>
  <si>
    <t>VehicleKm.Mkm.RO.Tr.Road.Passenger.Car</t>
  </si>
  <si>
    <t>VehicleKm.Mkm.RO.Tr.Road.Passenger.Car.ICE.Gasoline</t>
  </si>
  <si>
    <t>VehicleKm.Mkm.RO.Tr.Road.Passenger.Car.ICE.Diesel</t>
  </si>
  <si>
    <t>VehicleKm.Mkm.RO.Tr.Road.Passenger.Car.ICE.LPG</t>
  </si>
  <si>
    <t>VehicleKm.Mkm.RO.Tr.Road.Passenger.Car.ICE.NGas</t>
  </si>
  <si>
    <t>VehicleKm.Mkm.RO.Tr.Road.Passenger.Car.PHEV</t>
  </si>
  <si>
    <t>VehicleKm.Mkm.RO.Tr.Road.Passenger.Car.BEV</t>
  </si>
  <si>
    <t>VehicleKm.Mkm.RO.Tr.Road.Passenger.Bus</t>
  </si>
  <si>
    <t>VehicleKm.Mkm.RO.Tr.Road.Passenger.Bus.ICE.Gasoline</t>
  </si>
  <si>
    <t>VehicleKm.Mkm.RO.Tr.Road.Passenger.Bus.ICE.Diesel</t>
  </si>
  <si>
    <t>VehicleKm.Mkm.RO.Tr.Road.Passenger.Bus.ICE.LPG</t>
  </si>
  <si>
    <t>VehicleKm.Mkm.RO.Tr.Road.Passenger.Bus.ICE.NGas</t>
  </si>
  <si>
    <t>VehicleKm.Mkm.RO.Tr.Road.Passenger.Bus.ICE.BEV</t>
  </si>
  <si>
    <t>VehicleKm.Mkm.RO.Tr.Road.Freight</t>
  </si>
  <si>
    <t>VehicleKm.Mkm.RO.Tr.Road.Freight.LCV</t>
  </si>
  <si>
    <t>VehicleKm.Mkm.RO.Tr.Road.Freight.LCV.ICE.Gasoline</t>
  </si>
  <si>
    <t>VehicleKm.Mkm.RO.Tr.Road.Freight.LCV.ICE.Diesel</t>
  </si>
  <si>
    <t>VehicleKm.Mkm.RO.Tr.Road.Freight.LCV.ICE.LPG</t>
  </si>
  <si>
    <t>VehicleKm.Mkm.RO.Tr.Road.Freight.LCV.ICE.NGas</t>
  </si>
  <si>
    <t>VehicleKm.Mkm.RO.Tr.Road.Freight.LCV.ICE.BEV</t>
  </si>
  <si>
    <t>VehicleKm.Mkm.RO.Tr.Road.Freight.HGV</t>
  </si>
  <si>
    <t>VehicleKm.Mkm.RO.Tr.Road.Freight.HGV.Domestic</t>
  </si>
  <si>
    <t>VehicleKm.Mkm.RO.Tr.Road.Freight.HGV.International</t>
  </si>
  <si>
    <t>Stock.number.RO.Tr.Road</t>
  </si>
  <si>
    <t>Stock.number.RO.Tr.Road.Passenger</t>
  </si>
  <si>
    <t>Stock.number.RO.Tr.Road.Passenger.P2W</t>
  </si>
  <si>
    <t>Stock.number.RO.Tr.Road.Passenger.Car</t>
  </si>
  <si>
    <t>Stock.number.RO.Tr.Road.Passenger.Car.ICE.Gasoline</t>
  </si>
  <si>
    <t>Stock.number.RO.Tr.Road.Passenger.Car.ICE.Diesel</t>
  </si>
  <si>
    <t>Stock.number.RO.Tr.Road.Passenger.Car.ICE.LPG</t>
  </si>
  <si>
    <t>Stock.number.RO.Tr.Road.Passenger.Car.ICE.NGas</t>
  </si>
  <si>
    <t>Stock.number.RO.Tr.Road.Passenger.Car.PHEV</t>
  </si>
  <si>
    <t>Stock.number.RO.Tr.Road.Passenger.Car.BEV</t>
  </si>
  <si>
    <t>Stock.number.RO.Tr.Road.Passenger.Bus</t>
  </si>
  <si>
    <t>Stock.number.RO.Tr.Road.Passenger.Bus.ICE.Gasoline</t>
  </si>
  <si>
    <t>Stock.number.RO.Tr.Road.Passenger.Bus.ICE.Diesel</t>
  </si>
  <si>
    <t>Stock.number.RO.Tr.Road.Passenger.Bus.ICE.LPG</t>
  </si>
  <si>
    <t>Stock.number.RO.Tr.Road.Passenger.Bus.ICE.NGas</t>
  </si>
  <si>
    <t>Stock.number.RO.Tr.Road.Passenger.Bus.ICE.BEV</t>
  </si>
  <si>
    <t>Stock.number.RO.Tr.Road.Freight</t>
  </si>
  <si>
    <t>Stock.number.RO.Tr.Road.Freight.LCV</t>
  </si>
  <si>
    <t>Stock.number.RO.Tr.Road.Freight.LCV.ICE.Gasoline</t>
  </si>
  <si>
    <t>Stock.number.RO.Tr.Road.Freight.LCV.ICE.Diesel</t>
  </si>
  <si>
    <t>Stock.number.RO.Tr.Road.Freight.LCV.ICE.LPG</t>
  </si>
  <si>
    <t>Stock.number.RO.Tr.Road.Freight.LCV.ICE.NGas</t>
  </si>
  <si>
    <t>Stock.number.RO.Tr.Road.Freight.LCV.ICE.BEV</t>
  </si>
  <si>
    <t>Stock.number.RO.Tr.Road.Freight.HGV</t>
  </si>
  <si>
    <t>Stock.number.RO.Tr.Road.Freight.HGV.Domestic</t>
  </si>
  <si>
    <t>Stock.number.RO.Tr.Road.Freight.HGV.International</t>
  </si>
  <si>
    <t>StockNew.number.RO.Tr.Road</t>
  </si>
  <si>
    <t>StockNew.number.RO.Tr.Road.Passenger</t>
  </si>
  <si>
    <t>StockNew.number.RO.Tr.Road.Passenger.P2W</t>
  </si>
  <si>
    <t>StockNew.number.RO.Tr.Road.Passenger.Car</t>
  </si>
  <si>
    <t>StockNew.number.RO.Tr.Road.Passenger.Car.ICE.Gasoline</t>
  </si>
  <si>
    <t>StockNew.number.RO.Tr.Road.Passenger.Car.ICE.Diesel</t>
  </si>
  <si>
    <t>StockNew.number.RO.Tr.Road.Passenger.Car.ICE.LPG</t>
  </si>
  <si>
    <t>StockNew.number.RO.Tr.Road.Passenger.Car.ICE.NGas</t>
  </si>
  <si>
    <t>StockNew.number.RO.Tr.Road.Passenger.Car.PHEV</t>
  </si>
  <si>
    <t>StockNew.number.RO.Tr.Road.Passenger.Car.BEV</t>
  </si>
  <si>
    <t>StockNew.number.RO.Tr.Road.Passenger.Bus</t>
  </si>
  <si>
    <t>StockNew.number.RO.Tr.Road.Passenger.Bus.ICE.Gasoline</t>
  </si>
  <si>
    <t>StockNew.number.RO.Tr.Road.Passenger.Bus.ICE.Diesel</t>
  </si>
  <si>
    <t>StockNew.number.RO.Tr.Road.Passenger.Bus.ICE.LPG</t>
  </si>
  <si>
    <t>StockNew.number.RO.Tr.Road.Passenger.Bus.ICE.NGas</t>
  </si>
  <si>
    <t>StockNew.number.RO.Tr.Road.Passenger.Bus.ICE.BEV</t>
  </si>
  <si>
    <t>StockNew.number.RO.Tr.Road.Freight</t>
  </si>
  <si>
    <t>StockNew.number.RO.Tr.Road.Freight.LCV</t>
  </si>
  <si>
    <t>StockNew.number.RO.Tr.Road.Freight.LCV.ICE.Gasoline</t>
  </si>
  <si>
    <t>StockNew.number.RO.Tr.Road.Freight.LCV.ICE.Diesel</t>
  </si>
  <si>
    <t>StockNew.number.RO.Tr.Road.Freight.LCV.ICE.LPG</t>
  </si>
  <si>
    <t>StockNew.number.RO.Tr.Road.Freight.LCV.ICE.NGas</t>
  </si>
  <si>
    <t>StockNew.number.RO.Tr.Road.Freight.LCV.ICE.BEV</t>
  </si>
  <si>
    <t>StockNew.number.RO.Tr.Road.Freight.HGV</t>
  </si>
  <si>
    <t>StockNew.number.RO.Tr.Road.Freight.HGV.Domestic</t>
  </si>
  <si>
    <t>StockNew.number.RO.Tr.Road.Freight.HGV.International</t>
  </si>
  <si>
    <t>Load.passenger_per_movement.RO.Tr.Road.Passenger</t>
  </si>
  <si>
    <t>Load.passenger_per_movement.RO.Tr.Road.Passenger.P2W</t>
  </si>
  <si>
    <t>Load.passenger_per_movement.RO.Tr.Road.Passenger.Car</t>
  </si>
  <si>
    <t>Load.passenger_per_movement.RO.Tr.Road.Passenger.Car.ICE.Gasoline</t>
  </si>
  <si>
    <t>Load.passenger_per_movement.RO.Tr.Road.Passenger.Car.ICE.Diesel</t>
  </si>
  <si>
    <t>Load.passenger_per_movement.RO.Tr.Road.Passenger.Car.ICE.LPG</t>
  </si>
  <si>
    <t>Load.passenger_per_movement.RO.Tr.Road.Passenger.Car.ICE.NGas</t>
  </si>
  <si>
    <t>Load.passenger_per_movement.RO.Tr.Road.Passenger.Car.PHEV</t>
  </si>
  <si>
    <t>Load.passenger_per_movement.RO.Tr.Road.Passenger.Car.BEV</t>
  </si>
  <si>
    <t>Load.passenger_per_movement.RO.Tr.Road.Passenger.Bus</t>
  </si>
  <si>
    <t>Load.passenger_per_movement.RO.Tr.Road.Passenger.Bus.ICE.Gasoline</t>
  </si>
  <si>
    <t>Load.passenger_per_movement.RO.Tr.Road.Passenger.Bus.ICE.Diesel</t>
  </si>
  <si>
    <t>Load.passenger_per_movement.RO.Tr.Road.Passenger.Bus.ICE.LPG</t>
  </si>
  <si>
    <t>Load.passenger_per_movement.RO.Tr.Road.Passenger.Bus.ICE.NGas</t>
  </si>
  <si>
    <t>Load.passenger_per_movement.RO.Tr.Road.Passenger.Bus.ICE.BEV</t>
  </si>
  <si>
    <t>Load.t_per_movement.RO.Tr.Road.Freight</t>
  </si>
  <si>
    <t>Load.t_per_movement.RO.Tr.Road.Freight.LCV</t>
  </si>
  <si>
    <t>Load.t_per_movement.RO.Tr.Road.Freight.LCV.ICE.Gasoline</t>
  </si>
  <si>
    <t>Load.t_per_movement.RO.Tr.Road.Freight.LCV.ICE.Diesel</t>
  </si>
  <si>
    <t>Load.t_per_movement.RO.Tr.Road.Freight.LCV.ICE.LPG</t>
  </si>
  <si>
    <t>Load.t_per_movement.RO.Tr.Road.Freight.LCV.ICE.NGas</t>
  </si>
  <si>
    <t>Load.t_per_movement.RO.Tr.Road.Freight.LCV.ICE.BEV</t>
  </si>
  <si>
    <t>Load.t_per_movement.RO.Tr.Road.Freight.HGV</t>
  </si>
  <si>
    <t>Load.t_per_movement.RO.Tr.Road.Freight.HGV.Domestic</t>
  </si>
  <si>
    <t>Load.t_per_movement.RO.Tr.Road.Freight.HGV.International</t>
  </si>
  <si>
    <t>VehicleKm_per_vehicle.km.RO.Tr.Road</t>
  </si>
  <si>
    <t>VehicleKm_per_vehicle.km.RO.Tr.Road.Passenger</t>
  </si>
  <si>
    <t>VehicleKm_per_vehicle.km.RO.Tr.Road.Passenger.P2W</t>
  </si>
  <si>
    <t>VehicleKm_per_vehicle.km.RO.Tr.Road.Passenger.Car</t>
  </si>
  <si>
    <t>VehicleKm_per_vehicle.km.RO.Tr.Road.Passenger.Car.ICE.Gasoline</t>
  </si>
  <si>
    <t>VehicleKm_per_vehicle.km.RO.Tr.Road.Passenger.Car.ICE.Diesel</t>
  </si>
  <si>
    <t>VehicleKm_per_vehicle.km.RO.Tr.Road.Passenger.Car.ICE.LPG</t>
  </si>
  <si>
    <t>VehicleKm_per_vehicle.km.RO.Tr.Road.Passenger.Car.ICE.NGas</t>
  </si>
  <si>
    <t>VehicleKm_per_vehicle.km.RO.Tr.Road.Passenger.Car.PHEV</t>
  </si>
  <si>
    <t>VehicleKm_per_vehicle.km.RO.Tr.Road.Passenger.Car.BEV</t>
  </si>
  <si>
    <t>VehicleKm_per_vehicle.km.RO.Tr.Road.Passenger.Bus</t>
  </si>
  <si>
    <t>VehicleKm_per_vehicle.km.RO.Tr.Road.Passenger.Bus.ICE.Gasoline</t>
  </si>
  <si>
    <t>VehicleKm_per_vehicle.km.RO.Tr.Road.Passenger.Bus.ICE.Diesel</t>
  </si>
  <si>
    <t>VehicleKm_per_vehicle.km.RO.Tr.Road.Passenger.Bus.ICE.LPG</t>
  </si>
  <si>
    <t>VehicleKm_per_vehicle.km.RO.Tr.Road.Passenger.Bus.ICE.NGas</t>
  </si>
  <si>
    <t>VehicleKm_per_vehicle.km.RO.Tr.Road.Passenger.Bus.ICE.BEV</t>
  </si>
  <si>
    <t>VehicleKm_per_vehicle.km.RO.Tr.Road.Freight</t>
  </si>
  <si>
    <t>VehicleKm_per_vehicle.km.RO.Tr.Road.Freight.LCV</t>
  </si>
  <si>
    <t>VehicleKm_per_vehicle.km.RO.Tr.Road.Freight.LCV.ICE.Gasoline</t>
  </si>
  <si>
    <t>VehicleKm_per_vehicle.km.RO.Tr.Road.Freight.LCV.ICE.Diesel</t>
  </si>
  <si>
    <t>VehicleKm_per_vehicle.km.RO.Tr.Road.Freight.LCV.ICE.LPG</t>
  </si>
  <si>
    <t>VehicleKm_per_vehicle.km.RO.Tr.Road.Freight.LCV.ICE.NGas</t>
  </si>
  <si>
    <t>VehicleKm_per_vehicle.km.RO.Tr.Road.Freight.LCV.ICE.BEV</t>
  </si>
  <si>
    <t>VehicleKm_per_vehicle.km.RO.Tr.Road.Freight.HGV</t>
  </si>
  <si>
    <t>VehicleKm_per_vehicle.km.RO.Tr.Road.Freight.HGV.Domestic</t>
  </si>
  <si>
    <t>VehicleKm_per_vehicle.km.RO.Tr.Road.Freight.HGV.International</t>
  </si>
  <si>
    <t>Activity_per_vehicle.pkm.RO.Tr.Road.Passenger</t>
  </si>
  <si>
    <t>Activity_per_vehicle.pkm.RO.Tr.Road.Passenger.P2W</t>
  </si>
  <si>
    <t>Activity_per_vehicle.pkm.RO.Tr.Road.Passenger.Car</t>
  </si>
  <si>
    <t>Activity_per_vehicle.pkm.RO.Tr.Road.Passenger.Car.ICE.Gasoline</t>
  </si>
  <si>
    <t>Activity_per_vehicle.pkm.RO.Tr.Road.Passenger.Car.ICE.Diesel</t>
  </si>
  <si>
    <t>Activity_per_vehicle.pkm.RO.Tr.Road.Passenger.Car.ICE.LPG</t>
  </si>
  <si>
    <t>Activity_per_vehicle.pkm.RO.Tr.Road.Passenger.Car.ICE.NGas</t>
  </si>
  <si>
    <t>Activity_per_vehicle.pkm.RO.Tr.Road.Passenger.Car.PHEV</t>
  </si>
  <si>
    <t>Activity_per_vehicle.pkm.RO.Tr.Road.Passenger.Car.BEV</t>
  </si>
  <si>
    <t>Activity_per_vehicle.pkm.RO.Tr.Road.Passenger.Bus</t>
  </si>
  <si>
    <t>Activity_per_vehicle.pkm.RO.Tr.Road.Passenger.Bus.ICE.Gasoline</t>
  </si>
  <si>
    <t>Activity_per_vehicle.pkm.RO.Tr.Road.Passenger.Bus.ICE.Diesel</t>
  </si>
  <si>
    <t>Activity_per_vehicle.pkm.RO.Tr.Road.Passenger.Bus.ICE.LPG</t>
  </si>
  <si>
    <t>Activity_per_vehicle.pkm.RO.Tr.Road.Passenger.Bus.ICE.NGas</t>
  </si>
  <si>
    <t>Activity_per_vehicle.pkm.RO.Tr.Road.Passenger.Bus.ICE.BEV</t>
  </si>
  <si>
    <t>Activity_per_vehicle.tkm.RO.Tr.Road.Freight</t>
  </si>
  <si>
    <t>Activity_per_vehicle.tkm.RO.Tr.Road.Freight.LCV</t>
  </si>
  <si>
    <t>Activity_per_vehicle.tkm.RO.Tr.Road.Freight.LCV.ICE.Gasoline</t>
  </si>
  <si>
    <t>Activity_per_vehicle.tkm.RO.Tr.Road.Freight.LCV.ICE.Diesel</t>
  </si>
  <si>
    <t>Activity_per_vehicle.tkm.RO.Tr.Road.Freight.LCV.ICE.LPG</t>
  </si>
  <si>
    <t>Activity_per_vehicle.tkm.RO.Tr.Road.Freight.LCV.ICE.NGas</t>
  </si>
  <si>
    <t>Activity_per_vehicle.tkm.RO.Tr.Road.Freight.LCV.ICE.BEV</t>
  </si>
  <si>
    <t>Activity_per_vehicle.tkm.RO.Tr.Road.Freight.HGV</t>
  </si>
  <si>
    <t>Activity_per_vehicle.tkm.RO.Tr.Road.Freight.HGV.Domestic</t>
  </si>
  <si>
    <t>Activity_per_vehicle.tkm.RO.Tr.Road.Freight.HGV.International</t>
  </si>
  <si>
    <t>Road transport / energy consumption - RO - Romania</t>
  </si>
  <si>
    <t>FEC.ktoe.RO.ES.Tr.Road</t>
  </si>
  <si>
    <t>FEC.ktoe.RO.ES.Tr.Road.LPG</t>
  </si>
  <si>
    <t>FEC.ktoe.RO.ES.Tr.Road.Gasoline</t>
  </si>
  <si>
    <t>FEC.ktoe.RO.ES.Tr.Road.Diesel</t>
  </si>
  <si>
    <t>FEC.ktoe.RO.ES.Tr.Road.NG</t>
  </si>
  <si>
    <t>FEC.ktoe.RO.ES.Tr.Road.Biogas</t>
  </si>
  <si>
    <t>FEC.ktoe.RO.ES.Tr.Road.Biogasoline</t>
  </si>
  <si>
    <t>FEC.ktoe.RO.ES.Tr.Road.Biodiesel</t>
  </si>
  <si>
    <t>FEC.ktoe.RO.ES.Tr.Road.OthLiqBio</t>
  </si>
  <si>
    <t>FEC.ktoe.RO.ES.Tr.Road.Elec</t>
  </si>
  <si>
    <t>FEC.ktoe.RO.Tr.Road</t>
  </si>
  <si>
    <t>FEC.ktoe.RO.Tr.Road.Passenger.P2W.Biogasoline</t>
  </si>
  <si>
    <t>FEC.ktoe.RO.Tr.Road.Passenger.Car.ICE.Gasoline</t>
  </si>
  <si>
    <t>FEC.ktoe.RO.Tr.Road.Passenger.Car.ICE.Gasoline.Biogasoline</t>
  </si>
  <si>
    <t>FEC.ktoe.RO.Tr.Road.Passenger.Car.ICE.Diesel</t>
  </si>
  <si>
    <t>FEC.ktoe.RO.Tr.Road.Passenger.Car.ICE.Diesel.BioDiesel_OthLiqBio</t>
  </si>
  <si>
    <t>FEC.ktoe.RO.Tr.Road.Passenger.Car.ICE.LPG</t>
  </si>
  <si>
    <t>FEC.ktoe.RO.Tr.Road.Passenger.Car.ICE.NGas</t>
  </si>
  <si>
    <t>FEC.ktoe.RO.Tr.Road.Passenger.Car.ICE.NGas.Biogas</t>
  </si>
  <si>
    <t>FEC.ktoe.RO.Tr.Road.Passenger.Car.PHEV</t>
  </si>
  <si>
    <t>FEC.ktoe.RO.Tr.Road.Passenger.Car.PHEV.Biogasoline</t>
  </si>
  <si>
    <t>FEC.ktoe.RO.Tr.Road.Passenger.Car.PHEV.Elec</t>
  </si>
  <si>
    <t>FEC.ktoe.RO.Tr.Road.Passenger.Car.BEV</t>
  </si>
  <si>
    <t>FEC.ktoe.RO.Tr.Road.Passenger.Bus.ICE.Gasoline</t>
  </si>
  <si>
    <t>FEC.ktoe.RO.Tr.Road.Passenger.Bus.ICE.Gasoline.Biogasoline</t>
  </si>
  <si>
    <t>FEC.ktoe.RO.Tr.Road.Passenger.Bus.ICE.Diesel</t>
  </si>
  <si>
    <t>FEC.ktoe.RO.Tr.Road.Passenger.Bus.ICE.Diesel.BioDiesel_OthLiqBio</t>
  </si>
  <si>
    <t>FEC.ktoe.RO.Tr.Road.Passenger.Bus.ICE.LPG</t>
  </si>
  <si>
    <t>FEC.ktoe.RO.Tr.Road.Passenger.Bus.ICE.NGas</t>
  </si>
  <si>
    <t>FEC.ktoe.RO.Tr.Road.Passenger.Bus.ICE.NGas.Biogas</t>
  </si>
  <si>
    <t>FEC.ktoe.RO.Tr.Road.Passenger.Bus.ICE.BEV</t>
  </si>
  <si>
    <t>FEC.ktoe.RO.Tr.Road.Freight.LCV.ICE.Gasoline</t>
  </si>
  <si>
    <t>FEC.ktoe.RO.Tr.Road.Freight.LCV.ICE.Gasoline.Biogasoline</t>
  </si>
  <si>
    <t>FEC.ktoe.RO.Tr.Road.Freight.LCV.ICE.Diesel</t>
  </si>
  <si>
    <t>FEC.ktoe.RO.Tr.Road.Freight.LCV.ICE.Diesel.BioDiesel_OthLiqBio</t>
  </si>
  <si>
    <t>FEC.ktoe.RO.Tr.Road.Freight.LCV.ICE.LPG</t>
  </si>
  <si>
    <t>FEC.ktoe.RO.Tr.Road.Freight.LCV.ICE.NGas</t>
  </si>
  <si>
    <t>FEC.ktoe.RO.Tr.Road.Freight.LCV.ICE.NGas.Biogas</t>
  </si>
  <si>
    <t>FEC.ktoe.RO.Tr.Road.Freight.LCV.ICE.BEV</t>
  </si>
  <si>
    <t>FEC.ktoe.RO.Tr.Road.Freight.HGV.Domestic</t>
  </si>
  <si>
    <t>FEC.ktoe.RO.Tr.Road.Freight.HGV.Domestic.BioDiesel_OthLiqBio</t>
  </si>
  <si>
    <t>FEC.ktoe.RO.Tr.Road.Freight.HGV.International</t>
  </si>
  <si>
    <t>FEC.ktoe.RO.Tr.Road.Freight.HGV.International.BioDiesel_OthLiqBio</t>
  </si>
  <si>
    <t>Eff.kgoe_per_100km.RO.Tr.Road</t>
  </si>
  <si>
    <t>Eff.kgoe_per_100km.RO.Tr.Road.Passenger</t>
  </si>
  <si>
    <t>Eff.kgoe_per_100km.RO.Tr.Road.Passenger.P2W</t>
  </si>
  <si>
    <t>Eff.kgoe_per_100km.RO.Tr.Road.Passenger.Car</t>
  </si>
  <si>
    <t>Eff.kgoe_per_100km.RO.Tr.Road.Passenger.Car.ICE.Gasoline</t>
  </si>
  <si>
    <t>Eff.kgoe_per_100km.RO.Tr.Road.Passenger.Car.ICE.Diesel</t>
  </si>
  <si>
    <t>Eff.kgoe_per_100km.RO.Tr.Road.Passenger.Car.ICE.LPG</t>
  </si>
  <si>
    <t>Eff.kgoe_per_100km.RO.Tr.Road.Passenger.Car.ICE.NGas</t>
  </si>
  <si>
    <t>Eff.kgoe_per_100km.RO.Tr.Road.Passenger.Car.PHEV</t>
  </si>
  <si>
    <t>Eff.kgoe_per_100km.RO.Tr.Road.Passenger.Car.BEV</t>
  </si>
  <si>
    <t>Eff.kgoe_per_100km.RO.Tr.Road.Passenger.Bus</t>
  </si>
  <si>
    <t>Eff.kgoe_per_100km.RO.Tr.Road.Passenger.Bus.ICE.Gasoline</t>
  </si>
  <si>
    <t>Eff.kgoe_per_100km.RO.Tr.Road.Passenger.Bus.ICE.Diesel</t>
  </si>
  <si>
    <t>Eff.kgoe_per_100km.RO.Tr.Road.Passenger.Bus.ICE.LPG</t>
  </si>
  <si>
    <t>Eff.kgoe_per_100km.RO.Tr.Road.Passenger.Bus.ICE.NGas</t>
  </si>
  <si>
    <t>Eff.kgoe_per_100km.RO.Tr.Road.Passenger.Bus.ICE.BEV</t>
  </si>
  <si>
    <t>Eff.kgoe_per_100km.RO.Tr.Road.Freight</t>
  </si>
  <si>
    <t>Eff.kgoe_per_100km.RO.Tr.Road.Freight.LCV</t>
  </si>
  <si>
    <t>Eff.kgoe_per_100km.RO.Tr.Road.Freight.LCV.ICE.Gasoline</t>
  </si>
  <si>
    <t>Eff.kgoe_per_100km.RO.Tr.Road.Freight.LCV.ICE.Diesel</t>
  </si>
  <si>
    <t>Eff.kgoe_per_100km.RO.Tr.Road.Freight.LCV.ICE.LPG</t>
  </si>
  <si>
    <t>Eff.kgoe_per_100km.RO.Tr.Road.Freight.LCV.ICE.NGas</t>
  </si>
  <si>
    <t>Eff.kgoe_per_100km.RO.Tr.Road.Freight.LCV.ICE.BEV</t>
  </si>
  <si>
    <t>Eff.kgoe_per_100km.RO.Tr.Road.Freight.HGV</t>
  </si>
  <si>
    <t>Eff.kgoe_per_100km.RO.Tr.Road.Freight.HGV.Domestic</t>
  </si>
  <si>
    <t>Eff.kgoe_per_100km.RO.Tr.Road.Freight.HGV.International</t>
  </si>
  <si>
    <t>Eff.kgoe_per_kpkm.RO.Tr.Road.Passenger.Car.ICE.Gasoline</t>
  </si>
  <si>
    <t>Eff.kgoe_per_kpkm.RO.Tr.Road.Passenger.Car.ICE.Diesel</t>
  </si>
  <si>
    <t>Eff.kgoe_per_kpkm.RO.Tr.Road.Passenger.Car.ICE.LPG</t>
  </si>
  <si>
    <t>Eff.kgoe_per_kpkm.RO.Tr.Road.Passenger.Car.ICE.NGas</t>
  </si>
  <si>
    <t>Eff.kgoe_per_kpkm.RO.Tr.Road.Passenger.Car.PHEV</t>
  </si>
  <si>
    <t>Eff.kgoe_per_kpkm.RO.Tr.Road.Passenger.Car.BEV</t>
  </si>
  <si>
    <t>Eff.kgoe_per_kpkm.RO.Tr.Road.Passenger.Bus.ICE.Gasoline</t>
  </si>
  <si>
    <t>Eff.kgoe_per_kpkm.RO.Tr.Road.Passenger.Bus.ICE.Diesel</t>
  </si>
  <si>
    <t>Eff.kgoe_per_kpkm.RO.Tr.Road.Passenger.Bus.ICE.LPG</t>
  </si>
  <si>
    <t>Eff.kgoe_per_kpkm.RO.Tr.Road.Passenger.Bus.ICE.NGas</t>
  </si>
  <si>
    <t>Eff.kgoe_per_kpkm.RO.Tr.Road.Passenger.Bus.ICE.BEV</t>
  </si>
  <si>
    <t>Eff.kgoe_per_ktkm.RO.Tr.Road.Freight.LCV.ICE.Gasoline</t>
  </si>
  <si>
    <t>Eff.kgoe_per_ktkm.RO.Tr.Road.Freight.LCV.ICE.Diesel</t>
  </si>
  <si>
    <t>Eff.kgoe_per_ktkm.RO.Tr.Road.Freight.LCV.ICE.LPG</t>
  </si>
  <si>
    <t>Eff.kgoe_per_ktkm.RO.Tr.Road.Freight.LCV.ICE.NGas</t>
  </si>
  <si>
    <t>Eff.kgoe_per_ktkm.RO.Tr.Road.Freight.LCV.ICE.BEV</t>
  </si>
  <si>
    <t>Eff.kgoe_per_ktkm.RO.Tr.Road.Freight.HGV.Domestic</t>
  </si>
  <si>
    <t>Eff.kgoe_per_ktkm.RO.Tr.Road.Freight.HGV.International</t>
  </si>
  <si>
    <t>FEC_per_vehicle.kgoe.RO.Tr.Road.Passenger.P2W</t>
  </si>
  <si>
    <t>FEC_per_vehicle.kgoe.RO.Tr.Road.Passenger.Car</t>
  </si>
  <si>
    <t>FEC_per_vehicle.kgoe.RO.Tr.Road.Passenger.Car.ICE.Gasoline</t>
  </si>
  <si>
    <t>FEC_per_vehicle.kgoe.RO.Tr.Road.Passenger.Car.ICE.Diesel</t>
  </si>
  <si>
    <t>FEC_per_vehicle.kgoe.RO.Tr.Road.Passenger.Car.ICE.LPG</t>
  </si>
  <si>
    <t>FEC_per_vehicle.kgoe.RO.Tr.Road.Passenger.Car.ICE.NGas</t>
  </si>
  <si>
    <t>FEC_per_vehicle.kgoe.RO.Tr.Road.Passenger.Car.PHEV</t>
  </si>
  <si>
    <t>FEC_per_vehicle.kgoe.RO.Tr.Road.Passenger.Car.BEV</t>
  </si>
  <si>
    <t>FEC_per_vehicle.kgoe.RO.Tr.Road.Passenger.Bus</t>
  </si>
  <si>
    <t>FEC_per_vehicle.kgoe.RO.Tr.Road.Passenger.Bus.ICE.Gasoline</t>
  </si>
  <si>
    <t>FEC_per_vehicle.kgoe.RO.Tr.Road.Passenger.Bus.ICE.Diesel</t>
  </si>
  <si>
    <t>FEC_per_vehicle.kgoe.RO.Tr.Road.Passenger.Bus.ICE.LPG</t>
  </si>
  <si>
    <t>FEC_per_vehicle.kgoe.RO.Tr.Road.Passenger.Bus.ICE.NGas</t>
  </si>
  <si>
    <t>FEC_per_vehicle.kgoe.RO.Tr.Road.Passenger.Bus.ICE.BEV</t>
  </si>
  <si>
    <t>FEC_per_vehicle.kgoe.RO.Tr.Road.Freight.LCV</t>
  </si>
  <si>
    <t>FEC_per_vehicle.kgoe.RO.Tr.Road.Freight.LCV.ICE.Gasoline</t>
  </si>
  <si>
    <t>FEC_per_vehicle.kgoe.RO.Tr.Road.Freight.LCV.ICE.Diesel</t>
  </si>
  <si>
    <t>FEC_per_vehicle.kgoe.RO.Tr.Road.Freight.LCV.ICE.LPG</t>
  </si>
  <si>
    <t>FEC_per_vehicle.kgoe.RO.Tr.Road.Freight.LCV.ICE.NGas</t>
  </si>
  <si>
    <t>FEC_per_vehicle.kgoe.RO.Tr.Road.Freight.LCV.ICE.BEV</t>
  </si>
  <si>
    <t>FEC_per_vehicle.kgoe.RO.Tr.Road.Freight.HGV</t>
  </si>
  <si>
    <t>FEC_per_vehicle.kgoe.RO.Tr.Road.Freight.HGV.Domestic</t>
  </si>
  <si>
    <t>FEC_per_vehicle.kgoe.RO.Tr.Road.Freight.HGV.International</t>
  </si>
  <si>
    <t>Road transport / CO2 emissions - RO - Romania</t>
  </si>
  <si>
    <t>EMI.ktCO2.RO.ES.Tr.Road</t>
  </si>
  <si>
    <t>EMI.ktCO2.RO.ES.Tr.Road.LPG</t>
  </si>
  <si>
    <t>EMI.ktCO2.RO.ES.Tr.Road.Gasoline</t>
  </si>
  <si>
    <t>EMI.ktCO2.RO.ES.Tr.Road.Diesel</t>
  </si>
  <si>
    <t>EMI.ktCO2.RO.ES.Tr.Road.NG</t>
  </si>
  <si>
    <t>EMI.ktCO2.RO.ES.Tr.Road.Biogas</t>
  </si>
  <si>
    <t>EMI.ktCO2.RO.ES.Tr.Road.Biogasoline</t>
  </si>
  <si>
    <t>EMI.ktCO2.RO.ES.Tr.Road.Biodiesel</t>
  </si>
  <si>
    <t>EMI.ktCO2.RO.ES.Tr.Road.OthLiqBio</t>
  </si>
  <si>
    <t>EMI.ktCO2.RO.ES.Tr.Road.Elec</t>
  </si>
  <si>
    <t>EMI.ktCO2.RO.Tr.Road</t>
  </si>
  <si>
    <t>EMI.ktCO2.RO.Tr.Road.Passenger.Car.ICE.Gasoline</t>
  </si>
  <si>
    <t>EMI.ktCO2.RO.Tr.Road.Passenger.Car.ICE.Diesel</t>
  </si>
  <si>
    <t>EMI.ktCO2.RO.Tr.Road.Passenger.Car.ICE.LPG</t>
  </si>
  <si>
    <t>EMI.ktCO2.RO.Tr.Road.Passenger.Car.ICE.NGas</t>
  </si>
  <si>
    <t>EMI.ktCO2.RO.Tr.Road.Passenger.Car.PHEV</t>
  </si>
  <si>
    <t>EMI.ktCO2.RO.Tr.Road.Passenger.Car.BEV</t>
  </si>
  <si>
    <t>EMI.ktCO2.RO.Tr.Road.Passenger.Bus.ICE.Gasoline</t>
  </si>
  <si>
    <t>EMI.ktCO2.RO.Tr.Road.Passenger.Bus.ICE.Diesel</t>
  </si>
  <si>
    <t>EMI.ktCO2.RO.Tr.Road.Passenger.Bus.ICE.LPG</t>
  </si>
  <si>
    <t>EMI.ktCO2.RO.Tr.Road.Passenger.Bus.ICE.NGas</t>
  </si>
  <si>
    <t>EMI.ktCO2.RO.Tr.Road.Passenger.Bus.ICE.BEV</t>
  </si>
  <si>
    <t>EMI.ktCO2.RO.Tr.Road.Freight.LCV.ICE.Gasoline</t>
  </si>
  <si>
    <t>EMI.ktCO2.RO.Tr.Road.Freight.LCV.ICE.Diesel</t>
  </si>
  <si>
    <t>EMI.ktCO2.RO.Tr.Road.Freight.LCV.ICE.LPG</t>
  </si>
  <si>
    <t>EMI.ktCO2.RO.Tr.Road.Freight.LCV.ICE.NGas</t>
  </si>
  <si>
    <t>EMI.ktCO2.RO.Tr.Road.Freight.LCV.ICE.BEV</t>
  </si>
  <si>
    <t>EMI.ktCO2.RO.Tr.Road.Freight.HGV.Domestic</t>
  </si>
  <si>
    <t>EMI.ktCO2.RO.Tr.Road.Freight.HGV.International</t>
  </si>
  <si>
    <t>EMIint.gCO2_per_km.RO.Tr.Road</t>
  </si>
  <si>
    <t>EMIint.gCO2_per_km.RO.Tr.Road.Passenger</t>
  </si>
  <si>
    <t>EMIint.gCO2_per_km.RO.Tr.Road.Passenger.P2W</t>
  </si>
  <si>
    <t>EMIint.gCO2_per_km.RO.Tr.Road.Passenger.Car</t>
  </si>
  <si>
    <t>EMIint.gCO2_per_km.RO.Tr.Road.Passenger.Car.ICE.Gasoline</t>
  </si>
  <si>
    <t>EMIint.gCO2_per_km.RO.Tr.Road.Passenger.Car.ICE.Diesel</t>
  </si>
  <si>
    <t>EMIint.gCO2_per_km.RO.Tr.Road.Passenger.Car.ICE.LPG</t>
  </si>
  <si>
    <t>EMIint.gCO2_per_km.RO.Tr.Road.Passenger.Car.ICE.NGas</t>
  </si>
  <si>
    <t>EMIint.gCO2_per_km.RO.Tr.Road.Passenger.Car.PHEV</t>
  </si>
  <si>
    <t>EMIint.gCO2_per_km.RO.Tr.Road.Passenger.Car.BEV</t>
  </si>
  <si>
    <t>EMIint.gCO2_per_km.RO.Tr.Road.Passenger.Bus</t>
  </si>
  <si>
    <t>EMIint.gCO2_per_km.RO.Tr.Road.Passenger.Bus.ICE.Gasoline</t>
  </si>
  <si>
    <t>EMIint.gCO2_per_km.RO.Tr.Road.Passenger.Bus.ICE.Diesel</t>
  </si>
  <si>
    <t>EMIint.gCO2_per_km.RO.Tr.Road.Passenger.Bus.ICE.LPG</t>
  </si>
  <si>
    <t>EMIint.gCO2_per_km.RO.Tr.Road.Passenger.Bus.ICE.NGas</t>
  </si>
  <si>
    <t>EMIint.gCO2_per_km.RO.Tr.Road.Passenger.Bus.ICE.BEV</t>
  </si>
  <si>
    <t>EMIint.gCO2_per_km.RO.Tr.Road.Freight</t>
  </si>
  <si>
    <t>EMIint.gCO2_per_km.RO.Tr.Road.Freight.LCV</t>
  </si>
  <si>
    <t>EMIint.gCO2_per_km.RO.Tr.Road.Freight.LCV.ICE.Gasoline</t>
  </si>
  <si>
    <t>EMIint.gCO2_per_km.RO.Tr.Road.Freight.LCV.ICE.Diesel</t>
  </si>
  <si>
    <t>EMIint.gCO2_per_km.RO.Tr.Road.Freight.LCV.ICE.LPG</t>
  </si>
  <si>
    <t>EMIint.gCO2_per_km.RO.Tr.Road.Freight.LCV.ICE.NGas</t>
  </si>
  <si>
    <t>EMIint.gCO2_per_km.RO.Tr.Road.Freight.LCV.ICE.BEV</t>
  </si>
  <si>
    <t>EMIint.gCO2_per_km.RO.Tr.Road.Freight.HGV</t>
  </si>
  <si>
    <t>EMIint.gCO2_per_km.RO.Tr.Road.Freight.HGV.Domestic</t>
  </si>
  <si>
    <t>EMIint.gCO2_per_km.RO.Tr.Road.Freight.HGV.International</t>
  </si>
  <si>
    <t>EMIint.gCO2_per_pkm.RO.Tr.Road.Passenger.Car.ICE.Gasoline</t>
  </si>
  <si>
    <t>EMIint.gCO2_per_pkm.RO.Tr.Road.Passenger.Car.ICE.Diesel</t>
  </si>
  <si>
    <t>EMIint.gCO2_per_pkm.RO.Tr.Road.Passenger.Car.ICE.LPG</t>
  </si>
  <si>
    <t>EMIint.gCO2_per_pkm.RO.Tr.Road.Passenger.Car.ICE.NGas</t>
  </si>
  <si>
    <t>EMIint.gCO2_per_pkm.RO.Tr.Road.Passenger.Car.PHEV</t>
  </si>
  <si>
    <t>EMIint.gCO2_per_pkm.RO.Tr.Road.Passenger.Car.BEV</t>
  </si>
  <si>
    <t>EMIint.gCO2_per_pkm.RO.Tr.Road.Passenger.Bus.ICE.Gasoline</t>
  </si>
  <si>
    <t>EMIint.gCO2_per_pkm.RO.Tr.Road.Passenger.Bus.ICE.Diesel</t>
  </si>
  <si>
    <t>EMIint.gCO2_per_pkm.RO.Tr.Road.Passenger.Bus.ICE.LPG</t>
  </si>
  <si>
    <t>EMIint.gCO2_per_pkm.RO.Tr.Road.Passenger.Bus.ICE.NGas</t>
  </si>
  <si>
    <t>EMIint.gCO2_per_pkm.RO.Tr.Road.Passenger.Bus.ICE.BEV</t>
  </si>
  <si>
    <t>EMIint.gCO2_per_tkm.RO.Tr.Road.Freight.LCV.ICE.Gasoline</t>
  </si>
  <si>
    <t>EMIint.gCO2_per_tkm.RO.Tr.Road.Freight.LCV.ICE.Diesel</t>
  </si>
  <si>
    <t>EMIint.gCO2_per_tkm.RO.Tr.Road.Freight.LCV.ICE.LPG</t>
  </si>
  <si>
    <t>EMIint.gCO2_per_tkm.RO.Tr.Road.Freight.LCV.ICE.NGas</t>
  </si>
  <si>
    <t>EMIint.gCO2_per_tkm.RO.Tr.Road.Freight.LCV.ICE.BEV</t>
  </si>
  <si>
    <t>EMIint.gCO2_per_tkm.RO.Tr.Road.Freight.HGV.Domestic</t>
  </si>
  <si>
    <t>EMIint.gCO2_per_tkm.RO.Tr.Road.Freight.HGV.International</t>
  </si>
  <si>
    <t>EMI_per_vehicle.kgCO2.RO.Tr.Road.Passenger.P2W</t>
  </si>
  <si>
    <t>EMI_per_vehicle.kgCO2.RO.Tr.Road.Passenger.Car</t>
  </si>
  <si>
    <t>EMI_per_vehicle.kgCO2.RO.Tr.Road.Passenger.Car.ICE.Gasoline</t>
  </si>
  <si>
    <t>EMI_per_vehicle.kgCO2.RO.Tr.Road.Passenger.Car.ICE.Diesel</t>
  </si>
  <si>
    <t>EMI_per_vehicle.kgCO2.RO.Tr.Road.Passenger.Car.ICE.LPG</t>
  </si>
  <si>
    <t>EMI_per_vehicle.kgCO2.RO.Tr.Road.Passenger.Car.ICE.NGas</t>
  </si>
  <si>
    <t>EMI_per_vehicle.kgCO2.RO.Tr.Road.Passenger.Car.PHEV</t>
  </si>
  <si>
    <t>EMI_per_vehicle.kgCO2.RO.Tr.Road.Passenger.Car.BEV</t>
  </si>
  <si>
    <t>EMI_per_vehicle.kgCO2.RO.Tr.Road.Passenger.Bus</t>
  </si>
  <si>
    <t>EMI_per_vehicle.kgCO2.RO.Tr.Road.Passenger.Bus.ICE.Gasoline</t>
  </si>
  <si>
    <t>EMI_per_vehicle.kgCO2.RO.Tr.Road.Passenger.Bus.ICE.Diesel</t>
  </si>
  <si>
    <t>EMI_per_vehicle.kgCO2.RO.Tr.Road.Passenger.Bus.ICE.LPG</t>
  </si>
  <si>
    <t>EMI_per_vehicle.kgCO2.RO.Tr.Road.Passenger.Bus.ICE.NGas</t>
  </si>
  <si>
    <t>EMI_per_vehicle.kgCO2.RO.Tr.Road.Passenger.Bus.ICE.BEV</t>
  </si>
  <si>
    <t>EMI_per_vehicle.kgCO2.RO.Tr.Road.Freight.LCV</t>
  </si>
  <si>
    <t>EMI_per_vehicle.kgCO2.RO.Tr.Road.Freight.LCV.ICE.Gasoline</t>
  </si>
  <si>
    <t>EMI_per_vehicle.kgCO2.RO.Tr.Road.Freight.LCV.ICE.Diesel</t>
  </si>
  <si>
    <t>EMI_per_vehicle.kgCO2.RO.Tr.Road.Freight.LCV.ICE.LPG</t>
  </si>
  <si>
    <t>EMI_per_vehicle.kgCO2.RO.Tr.Road.Freight.LCV.ICE.NGas</t>
  </si>
  <si>
    <t>EMI_per_vehicle.kgCO2.RO.Tr.Road.Freight.LCV.ICE.BEV</t>
  </si>
  <si>
    <t>EMI_per_vehicle.kgCO2.RO.Tr.Road.Freight.HGV</t>
  </si>
  <si>
    <t>EMI_per_vehicle.kgCO2.RO.Tr.Road.Freight.HGV.Domestic</t>
  </si>
  <si>
    <t>EMI_per_vehicle.kgCO2.RO.Tr.Road.Freight.HGV.International</t>
  </si>
  <si>
    <t>Road transport / technologies - RO - Romania</t>
  </si>
  <si>
    <t>StockVin.number.RO.Tr.Road</t>
  </si>
  <si>
    <t>StockVin.number.RO.Tr.Road.Passenger</t>
  </si>
  <si>
    <t>StockVin.number.RO.Tr.Road.Passenger.P2W</t>
  </si>
  <si>
    <t>StockVin.number.RO.Tr.Road.Passenger.Car</t>
  </si>
  <si>
    <t>StockVin.number.RO.Tr.Road.Passenger.Car.ICE.Gasoline</t>
  </si>
  <si>
    <t>StockVin.number.RO.Tr.Road.Passenger.Car.ICE.Diesel</t>
  </si>
  <si>
    <t>StockVin.number.RO.Tr.Road.Passenger.Car.ICE.LPG</t>
  </si>
  <si>
    <t>StockVin.number.RO.Tr.Road.Passenger.Car.ICE.NGas</t>
  </si>
  <si>
    <t>StockVin.number.RO.Tr.Road.Passenger.Car.PHEV</t>
  </si>
  <si>
    <t>StockVin.number.RO.Tr.Road.Passenger.Car.BEV</t>
  </si>
  <si>
    <t>StockVin.number.RO.Tr.Road.Passenger.Bus</t>
  </si>
  <si>
    <t>StockVin.number.RO.Tr.Road.Passenger.Bus.ICE.Gasoline</t>
  </si>
  <si>
    <t>StockVin.number.RO.Tr.Road.Passenger.Bus.ICE.Diesel</t>
  </si>
  <si>
    <t>StockVin.number.RO.Tr.Road.Passenger.Bus.ICE.LPG</t>
  </si>
  <si>
    <t>StockVin.number.RO.Tr.Road.Passenger.Bus.ICE.NGas</t>
  </si>
  <si>
    <t>StockVin.number.RO.Tr.Road.Passenger.Bus.ICE.BEV</t>
  </si>
  <si>
    <t>StockVin.number.RO.Tr.Road.Freight</t>
  </si>
  <si>
    <t>StockVin.number.RO.Tr.Road.Freight.LCV</t>
  </si>
  <si>
    <t>StockVin.number.RO.Tr.Road.Freight.LCV.ICE.Gasoline</t>
  </si>
  <si>
    <t>StockVin.number.RO.Tr.Road.Freight.LCV.ICE.Diesel</t>
  </si>
  <si>
    <t>StockVin.number.RO.Tr.Road.Freight.LCV.ICE.LPG</t>
  </si>
  <si>
    <t>StockVin.number.RO.Tr.Road.Freight.LCV.ICE.NGas</t>
  </si>
  <si>
    <t>StockVin.number.RO.Tr.Road.Freight.LCV.ICE.BEV</t>
  </si>
  <si>
    <t>StockVin.number.RO.Tr.Road.Freight.HGV</t>
  </si>
  <si>
    <t>StockVin.number.RO.Tr.Road.Freight.HGV.Domestic</t>
  </si>
  <si>
    <t>StockVin.number.RO.Tr.Road.Freight.HGV.International</t>
  </si>
  <si>
    <t>Eff_test_stock.kgoe_per_100km.RO.Tr.Road.Passenger.P2W</t>
  </si>
  <si>
    <t>Eff_test_stock.kgoe_per_100km.RO.Tr.Road.Passenger.Car</t>
  </si>
  <si>
    <t>Eff_test_stock.kgoe_per_100km.RO.Tr.Road.Passenger.Car.ICE.Gasoline</t>
  </si>
  <si>
    <t>Eff_test_stock.kgoe_per_100km.RO.Tr.Road.Passenger.Car.ICE.Diesel</t>
  </si>
  <si>
    <t>Eff_test_stock.kgoe_per_100km.RO.Tr.Road.Passenger.Car.ICE.LPG</t>
  </si>
  <si>
    <t>Eff_test_stock.kgoe_per_100km.RO.Tr.Road.Passenger.Car.ICE.NGas</t>
  </si>
  <si>
    <t>Eff_test_stock.kgoe_per_100km.RO.Tr.Road.Passenger.Car.PHEV</t>
  </si>
  <si>
    <t>Eff_test_stock.kgoe_per_100km.RO.Tr.Road.Passenger.Car.BEV</t>
  </si>
  <si>
    <t>Eff_test_stock.kgoe_per_100km.RO.Tr.Road.Passenger.Bus</t>
  </si>
  <si>
    <t>Eff_test_stock.kgoe_per_100km.RO.Tr.Road.Passenger.Bus.ICE.Gasoline</t>
  </si>
  <si>
    <t>Eff_test_stock.kgoe_per_100km.RO.Tr.Road.Passenger.Bus.ICE.Diesel</t>
  </si>
  <si>
    <t>Eff_test_stock.kgoe_per_100km.RO.Tr.Road.Passenger.Bus.ICE.LPG</t>
  </si>
  <si>
    <t>Eff_test_stock.kgoe_per_100km.RO.Tr.Road.Passenger.Bus.ICE.NGas</t>
  </si>
  <si>
    <t>Eff_test_stock.kgoe_per_100km.RO.Tr.Road.Passenger.Bus.ICE.BEV</t>
  </si>
  <si>
    <t>Eff_test_stock.kgoe_per_100km.RO.Tr.Road.Freight.LCV</t>
  </si>
  <si>
    <t>Eff_test_stock.kgoe_per_100km.RO.Tr.Road.Freight.LCV.ICE.Gasoline</t>
  </si>
  <si>
    <t>Eff_test_stock.kgoe_per_100km.RO.Tr.Road.Freight.LCV.ICE.Diesel</t>
  </si>
  <si>
    <t>Eff_test_stock.kgoe_per_100km.RO.Tr.Road.Freight.LCV.ICE.LPG</t>
  </si>
  <si>
    <t>Eff_test_stock.kgoe_per_100km.RO.Tr.Road.Freight.LCV.ICE.NGas</t>
  </si>
  <si>
    <t>Eff_test_stock.kgoe_per_100km.RO.Tr.Road.Freight.LCV.ICE.BEV</t>
  </si>
  <si>
    <t>Eff_test_stock.kgoe_per_100km.RO.Tr.Road.Freight.HGV</t>
  </si>
  <si>
    <t>Eff_test_stock.kgoe_per_100km.RO.Tr.Road.Freight.HGV.Domestic</t>
  </si>
  <si>
    <t>Eff_test_stock.kgoe_per_100km.RO.Tr.Road.Freight.HGV.International</t>
  </si>
  <si>
    <t>Eff_test_new.kgoe_per_100km.RO.Tr.Road.Passenger.P2W</t>
  </si>
  <si>
    <t>Eff_test_new.kgoe_per_100km.RO.Tr.Road.Passenger.Car</t>
  </si>
  <si>
    <t>Eff_test_new.kgoe_per_100km.RO.Tr.Road.Passenger.Car.ICE.Gasoline</t>
  </si>
  <si>
    <t>Eff_test_new.kgoe_per_100km.RO.Tr.Road.Passenger.Car.ICE.Diesel</t>
  </si>
  <si>
    <t>Eff_test_new.kgoe_per_100km.RO.Tr.Road.Passenger.Car.ICE.LPG</t>
  </si>
  <si>
    <t>Eff_test_new.kgoe_per_100km.RO.Tr.Road.Passenger.Car.ICE.NGas</t>
  </si>
  <si>
    <t>Eff_test_new.kgoe_per_100km.RO.Tr.Road.Passenger.Car.PHEV</t>
  </si>
  <si>
    <t>Eff_test_new.kgoe_per_100km.RO.Tr.Road.Passenger.Car.BEV</t>
  </si>
  <si>
    <t>Eff_test_new.kgoe_per_100km.RO.Tr.Road.Passenger.Bus</t>
  </si>
  <si>
    <t>Eff_test_new.kgoe_per_100km.RO.Tr.Road.Passenger.Bus.ICE.Gasoline</t>
  </si>
  <si>
    <t>Eff_test_new.kgoe_per_100km.RO.Tr.Road.Passenger.Bus.ICE.Diesel</t>
  </si>
  <si>
    <t>Eff_test_new.kgoe_per_100km.RO.Tr.Road.Passenger.Bus.ICE.LPG</t>
  </si>
  <si>
    <t>Eff_test_new.kgoe_per_100km.RO.Tr.Road.Passenger.Bus.ICE.NGas</t>
  </si>
  <si>
    <t>Eff_test_new.kgoe_per_100km.RO.Tr.Road.Passenger.Bus.ICE.BEV</t>
  </si>
  <si>
    <t>Eff_test_new.kgoe_per_100km.RO.Tr.Road.Freight.LCV</t>
  </si>
  <si>
    <t>Eff_test_new.kgoe_per_100km.RO.Tr.Road.Freight.LCV.ICE.Gasoline</t>
  </si>
  <si>
    <t>Eff_test_new.kgoe_per_100km.RO.Tr.Road.Freight.LCV.ICE.Diesel</t>
  </si>
  <si>
    <t>Eff_test_new.kgoe_per_100km.RO.Tr.Road.Freight.LCV.ICE.LPG</t>
  </si>
  <si>
    <t>Eff_test_new.kgoe_per_100km.RO.Tr.Road.Freight.LCV.ICE.NGas</t>
  </si>
  <si>
    <t>Eff_test_new.kgoe_per_100km.RO.Tr.Road.Freight.LCV.ICE.BEV</t>
  </si>
  <si>
    <t>Eff_test_new.kgoe_per_100km.RO.Tr.Road.Freight.HGV</t>
  </si>
  <si>
    <t>Eff_test_new.kgoe_per_100km.RO.Tr.Road.Freight.HGV.Domestic</t>
  </si>
  <si>
    <t>Eff_test_new.kgoe_per_100km.RO.Tr.Road.Freight.HGV.International</t>
  </si>
  <si>
    <t>EMIint_test_stock.gCO2_per_km.RO.Tr.Road.Passenger.P2W</t>
  </si>
  <si>
    <t>EMIint_test_stock.gCO2_per_km.RO.Tr.Road.Passenger.Car</t>
  </si>
  <si>
    <t>EMIint_test_stock.gCO2_per_km.RO.Tr.Road.Passenger.Car.ICE.Gasoline</t>
  </si>
  <si>
    <t>EMIint_test_stock.gCO2_per_km.RO.Tr.Road.Passenger.Car.ICE.Diesel</t>
  </si>
  <si>
    <t>EMIint_test_stock.gCO2_per_km.RO.Tr.Road.Passenger.Car.ICE.LPG</t>
  </si>
  <si>
    <t>EMIint_test_stock.gCO2_per_km.RO.Tr.Road.Passenger.Car.ICE.NGas</t>
  </si>
  <si>
    <t>EMIint_test_stock.gCO2_per_km.RO.Tr.Road.Passenger.Car.PHEV</t>
  </si>
  <si>
    <t>EMIint_test_stock.gCO2_per_km.RO.Tr.Road.Passenger.Car.BEV</t>
  </si>
  <si>
    <t>EMIint_test_stock.gCO2_per_km.RO.Tr.Road.Passenger.Bus</t>
  </si>
  <si>
    <t>EMIint_test_stock.gCO2_per_km.RO.Tr.Road.Passenger.Bus.ICE.Gasoline</t>
  </si>
  <si>
    <t>EMIint_test_stock.gCO2_per_km.RO.Tr.Road.Passenger.Bus.ICE.Diesel</t>
  </si>
  <si>
    <t>EMIint_test_stock.gCO2_per_km.RO.Tr.Road.Passenger.Bus.ICE.LPG</t>
  </si>
  <si>
    <t>EMIint_test_stock.gCO2_per_km.RO.Tr.Road.Passenger.Bus.ICE.NGas</t>
  </si>
  <si>
    <t>EMIint_test_stock.gCO2_per_km.RO.Tr.Road.Passenger.Bus.ICE.BEV</t>
  </si>
  <si>
    <t>EMIint_test_stock.gCO2_per_km.RO.Tr.Road.Freight.LCV</t>
  </si>
  <si>
    <t>EMIint_test_stock.gCO2_per_km.RO.Tr.Road.Freight.LCV.ICE.Gasoline</t>
  </si>
  <si>
    <t>EMIint_test_stock.gCO2_per_km.RO.Tr.Road.Freight.LCV.ICE.Diesel</t>
  </si>
  <si>
    <t>EMIint_test_stock.gCO2_per_km.RO.Tr.Road.Freight.LCV.ICE.LPG</t>
  </si>
  <si>
    <t>EMIint_test_stock.gCO2_per_km.RO.Tr.Road.Freight.LCV.ICE.NGas</t>
  </si>
  <si>
    <t>EMIint_test_stock.gCO2_per_km.RO.Tr.Road.Freight.LCV.ICE.BEV</t>
  </si>
  <si>
    <t>EMIint_test_stock.gCO2_per_km.RO.Tr.Road.Freight.HGV</t>
  </si>
  <si>
    <t>EMIint_test_stock.gCO2_per_km.RO.Tr.Road.Freight.HGV.Domestic</t>
  </si>
  <si>
    <t>EMIint_test_stock.gCO2_per_km.RO.Tr.Road.Freight.HGV.International</t>
  </si>
  <si>
    <t>EMIint_test_new.gCO2_per_km.RO.Tr.Road.Passenger.P2W</t>
  </si>
  <si>
    <t>EMIint_test_new.gCO2_per_km.RO.Tr.Road.Passenger.Car</t>
  </si>
  <si>
    <t>EMIint_test_new.gCO2_per_km.RO.Tr.Road.Passenger.Car.ICE.Gasoline</t>
  </si>
  <si>
    <t>EMIint_test_new.gCO2_per_km.RO.Tr.Road.Passenger.Car.ICE.Diesel</t>
  </si>
  <si>
    <t>EMIint_test_new.gCO2_per_km.RO.Tr.Road.Passenger.Car.ICE.LPG</t>
  </si>
  <si>
    <t>EMIint_test_new.gCO2_per_km.RO.Tr.Road.Passenger.Car.ICE.NGas</t>
  </si>
  <si>
    <t>EMIint_test_new.gCO2_per_km.RO.Tr.Road.Passenger.Car.PHEV</t>
  </si>
  <si>
    <t>EMIint_test_new.gCO2_per_km.RO.Tr.Road.Passenger.Car.BEV</t>
  </si>
  <si>
    <t>EMIint_test_new.gCO2_per_km.RO.Tr.Road.Passenger.Bus</t>
  </si>
  <si>
    <t>EMIint_test_new.gCO2_per_km.RO.Tr.Road.Passenger.Bus.ICE.Gasoline</t>
  </si>
  <si>
    <t>EMIint_test_new.gCO2_per_km.RO.Tr.Road.Passenger.Bus.ICE.Diesel</t>
  </si>
  <si>
    <t>EMIint_test_new.gCO2_per_km.RO.Tr.Road.Passenger.Bus.ICE.LPG</t>
  </si>
  <si>
    <t>EMIint_test_new.gCO2_per_km.RO.Tr.Road.Passenger.Bus.ICE.NGas</t>
  </si>
  <si>
    <t>EMIint_test_new.gCO2_per_km.RO.Tr.Road.Passenger.Bus.ICE.BEV</t>
  </si>
  <si>
    <t>EMIint_test_new.gCO2_per_km.RO.Tr.Road.Freight.LCV</t>
  </si>
  <si>
    <t>EMIint_test_new.gCO2_per_km.RO.Tr.Road.Freight.LCV.ICE.Gasoline</t>
  </si>
  <si>
    <t>EMIint_test_new.gCO2_per_km.RO.Tr.Road.Freight.LCV.ICE.Diesel</t>
  </si>
  <si>
    <t>EMIint_test_new.gCO2_per_km.RO.Tr.Road.Freight.LCV.ICE.LPG</t>
  </si>
  <si>
    <t>EMIint_test_new.gCO2_per_km.RO.Tr.Road.Freight.LCV.ICE.NGas</t>
  </si>
  <si>
    <t>EMIint_test_new.gCO2_per_km.RO.Tr.Road.Freight.LCV.ICE.BEV</t>
  </si>
  <si>
    <t>EMIint_test_new.gCO2_per_km.RO.Tr.Road.Freight.HGV</t>
  </si>
  <si>
    <t>EMIint_test_new.gCO2_per_km.RO.Tr.Road.Freight.HGV.Domestic</t>
  </si>
  <si>
    <t>EMIint_test_new.gCO2_per_km.RO.Tr.Road.Freight.HGV.International</t>
  </si>
  <si>
    <t>FEC.ktoe.RO.MBunk</t>
  </si>
  <si>
    <t>FEC.ktoe.RO.MBunk.IntraEEA</t>
  </si>
  <si>
    <t>FEC.ktoe.RO.MBunk.ExtraEEA</t>
  </si>
  <si>
    <t>EMI.ktCO2.RO.MBunk</t>
  </si>
  <si>
    <t>EMI.ktCO2.RO.MBunk.IntraEEA</t>
  </si>
  <si>
    <t>EMI.ktCO2.RO.MBunk.ExtraEEA</t>
  </si>
  <si>
    <t>International maritime bunkers - RO - Romania</t>
  </si>
  <si>
    <t>VehicleKm.Mkm.RO.MBunk.Freight</t>
  </si>
  <si>
    <t>VehicleKm.Mkm.RO.MBunk.Freight.IntraEEA</t>
  </si>
  <si>
    <t>VehicleKm.Mkm.RO.MBunk.Freight.ExtraEEA</t>
  </si>
  <si>
    <t>Load.t_per_movement.RO.MBunk.Freight</t>
  </si>
  <si>
    <t>Load.t_per_movement.RO.MBunk.Freight.IntraEEA</t>
  </si>
  <si>
    <t>Load.t_per_movement.RO.MBunk.Freight.ExtraEEA</t>
  </si>
  <si>
    <t>International maritime bunkers / energy consumption - RO - Romania</t>
  </si>
  <si>
    <t>FEC.ktoe.RO.ES.MBunk</t>
  </si>
  <si>
    <t>FEC.ktoe.RO.ES.MBunk.IntraEEA</t>
  </si>
  <si>
    <t>FEC.ktoe.RO.ES.MBunk.IntraEEA.Diesel</t>
  </si>
  <si>
    <t>FEC.ktoe.RO.ES.MBunk.IntraEEA.RFO_Other</t>
  </si>
  <si>
    <t>FEC.ktoe.RO.ES.MBunk.IntraEEA.LiqBio</t>
  </si>
  <si>
    <t>FEC.ktoe.RO.ES.MBunk.IntraEEA.NG</t>
  </si>
  <si>
    <t>FEC.ktoe.RO.ES.MBunk.IntraEEA.Biogas</t>
  </si>
  <si>
    <t>FEC.ktoe.RO.ES.MBunk.ExtraEEA</t>
  </si>
  <si>
    <t>FEC.ktoe.RO.ES.MBunk.ExtraEEA.Diesel</t>
  </si>
  <si>
    <t>FEC.ktoe.RO.ES.MBunk.ExtraEEA.RFO_Other</t>
  </si>
  <si>
    <t>FEC.ktoe.RO.ES.MBunk.ExtraEEA.LiqBio</t>
  </si>
  <si>
    <t>FEC.ktoe.RO.ES.MBunk.ExtraEEA.NG</t>
  </si>
  <si>
    <t>FEC.ktoe.RO.ES.MBunk.ExtraEEA.Biogas</t>
  </si>
  <si>
    <t>Eff.kgoe_per_100km.RO.MBunk.Freight</t>
  </si>
  <si>
    <t>Eff.kgoe_per_100km.RO.MBunk.Freight.IntraEEA</t>
  </si>
  <si>
    <t>Eff.kgoe_per_100km.RO.MBunk.Freight.ExtraEEA</t>
  </si>
  <si>
    <t>International maritime bunkers / CO2 emissions - RO - Romania</t>
  </si>
  <si>
    <t>EMI.ktCO2.RO.ES.MBunk</t>
  </si>
  <si>
    <t>EMI.ktCO2.RO.ES.MBunk.IntraEEA</t>
  </si>
  <si>
    <t>EMI.ktCO2.RO.ES.MBunk.ExtraEEA</t>
  </si>
  <si>
    <t>EMIint.gCO2_per_km.RO.MBunk.Freight</t>
  </si>
  <si>
    <t>EMIint.gCO2_per_km.RO.MBunk.Freight.IntraEEA</t>
  </si>
  <si>
    <t>EMIint.gCO2_per_km.RO.MBunk.Freight.ExtraEEA</t>
  </si>
  <si>
    <t>FEC.ktoe.RO.Tr.DNavi</t>
  </si>
  <si>
    <t>FEC.ktoe.RO.Tr.Dnavi.DCS</t>
  </si>
  <si>
    <t>FEC.ktoe.RO.Tr.Dnavi.IWW</t>
  </si>
  <si>
    <t>EMI.ktCO2.RO.Tr.DNavi</t>
  </si>
  <si>
    <t>EMI.ktCO2.RO.Tr.Dnavi.DCS</t>
  </si>
  <si>
    <t>EMI.ktCO2.RO.Tr.Dnavi.IWW</t>
  </si>
  <si>
    <t>Domestic navigation - RO - Romania</t>
  </si>
  <si>
    <t>VehicleKm.Mkm.RO.Tr.DNavi.Freight</t>
  </si>
  <si>
    <t>VehicleKm.Mkm.RO.Tr.DNavi.Freight.DCS</t>
  </si>
  <si>
    <t>VehicleKm.Mkm.RO.Tr.DNavi.Freight.IWW</t>
  </si>
  <si>
    <t>Load.t_per_movement.RO.Tr.DNavi.Freight</t>
  </si>
  <si>
    <t>Load.t_per_movement.RO.Tr.DNavi.Freight.DCS</t>
  </si>
  <si>
    <t>Load.t_per_movement.RO.Tr.DNavi.Freight.IWW</t>
  </si>
  <si>
    <t>Domestic navigation / energy consumption - RO - Romania</t>
  </si>
  <si>
    <t>FEC.ktoe.RO.ES.Tr.DNavi</t>
  </si>
  <si>
    <t>FEC.ktoe.RO.ES.Tr.DNavi.DCS</t>
  </si>
  <si>
    <t>FEC.ktoe.RO.ES.Tr.DNavi.DCS.Diesel</t>
  </si>
  <si>
    <t>FEC.ktoe.RO.ES.Tr.DNavi.DCS.RFO_Other</t>
  </si>
  <si>
    <t>FEC.ktoe.RO.ES.Tr.DNavi.DCS.LiqBio</t>
  </si>
  <si>
    <t>FEC.ktoe.RO.ES.Tr.DNavi.DCS.NG</t>
  </si>
  <si>
    <t>FEC.ktoe.RO.ES.Tr.DNavi.DCS.Biogas</t>
  </si>
  <si>
    <t>FEC.ktoe.RO.ES.Tr.DNavi.IWW</t>
  </si>
  <si>
    <t>FEC.ktoe.RO.ES.Tr.DNavi.IWW.Diesel</t>
  </si>
  <si>
    <t>FEC.ktoe.RO.ES.Tr.DNavi.IWW.RFO_Other</t>
  </si>
  <si>
    <t>FEC.ktoe.RO.ES.Tr.DNavi.IWW.LiqBio</t>
  </si>
  <si>
    <t>FEC.ktoe.RO.ES.Tr.DNavi.IWW.NG</t>
  </si>
  <si>
    <t>FEC.ktoe.RO.ES.Tr.DNavi.IWW.Biogas</t>
  </si>
  <si>
    <t>Eff.kgoe_per_100km.RO.Tr.DNavi.Freight</t>
  </si>
  <si>
    <t>Eff.kgoe_per_100km.RO.Tr.DNavi.Freight.DCS</t>
  </si>
  <si>
    <t>Eff.kgoe_per_100km.RO.Tr.DNavi.Freight.IWW</t>
  </si>
  <si>
    <t>Domestic navigation / CO2 emissions - RO - Romania</t>
  </si>
  <si>
    <t>EMI.ktCO2.RO.ES.Tr.DNavi</t>
  </si>
  <si>
    <t>EMI.ktCO2.RO.ES.Tr.DNavi.DCS</t>
  </si>
  <si>
    <t>EMI.ktCO2.RO.ES.Tr.DNavi.IWW</t>
  </si>
  <si>
    <t>EMIint.gCO2_per_km.RO.Tr.DNavi.Freight</t>
  </si>
  <si>
    <t>EMIint.gCO2_per_km.RO.Tr.DNavi.Freight.DCS</t>
  </si>
  <si>
    <t>EMIint.gCO2_per_km.RO.Tr.DNavi.Freight.IWW</t>
  </si>
  <si>
    <t>Rail, metro and tram - RO - Romania</t>
  </si>
  <si>
    <t>Activity.Mpkm.RO.Tr.Rail.Passenger.CPT.Diesel</t>
  </si>
  <si>
    <t>Activity.Mpkm.RO.Tr.Rail.Passenger.CPT.Elc</t>
  </si>
  <si>
    <t>Activity.Mtkm.RO.Tr.Rail.Freight.Diesel</t>
  </si>
  <si>
    <t>Activity.Mtkm.RO.Tr.Rail.Freight.Elc</t>
  </si>
  <si>
    <t>VehicleKm.Mkm.RO.Tr.Rail</t>
  </si>
  <si>
    <t>VehicleKm.Mkm.RO.Tr.Rail.Passenger</t>
  </si>
  <si>
    <t>VehicleKm.Mkm.RO.Tr.Rail.Passenger.MTU</t>
  </si>
  <si>
    <t>VehicleKm.Mkm.RO.Tr.Rail.Passenger.CPT</t>
  </si>
  <si>
    <t>VehicleKm.Mkm.RO.Tr.Rail.Passenger.CPT.Diesel</t>
  </si>
  <si>
    <t>VehicleKm.Mkm.RO.Tr.Rail.Passenger.CPT.Elc</t>
  </si>
  <si>
    <t>VehicleKm.Mkm.RO.Tr.Rail.Passenger.HST</t>
  </si>
  <si>
    <t>VehicleKm.Mkm.RO.Tr.Rail.Freight</t>
  </si>
  <si>
    <t>VehicleKm.Mkm.RO.Tr.Rail.Freight.Diesel</t>
  </si>
  <si>
    <t>VehicleKm.Mkm.RO.Tr.Rail.Freight.Elc</t>
  </si>
  <si>
    <t>Stock.number.RO.Tr.Rail</t>
  </si>
  <si>
    <t>Stock.number.RO.Tr.Rail.Passenger</t>
  </si>
  <si>
    <t>Stock.number.RO.Tr.Rail.Passenger.MTU</t>
  </si>
  <si>
    <t>Stock.number.RO.Tr.Rail.Passenger.CPT</t>
  </si>
  <si>
    <t>Stock.number.RO.Tr.Rail.Passenger.CPT.Diesel</t>
  </si>
  <si>
    <t>Stock.number.RO.Tr.Rail.Passenger.CPT.Elc</t>
  </si>
  <si>
    <t>Stock.number.RO.Tr.Rail.Passenger.HST</t>
  </si>
  <si>
    <t>Stock.number.RO.Tr.Rail.Freight</t>
  </si>
  <si>
    <t>Stock.number.RO.Tr.Rail.Freight.Diesel</t>
  </si>
  <si>
    <t>Stock.number.RO.Tr.Rail.Freight.Elc</t>
  </si>
  <si>
    <t>StockNew.number.RO.Tr.Rail</t>
  </si>
  <si>
    <t>StockNew.number.RO.Tr.Rail.Passenger</t>
  </si>
  <si>
    <t>StockNew.number.RO.Tr.Rail.Passenger.MTU</t>
  </si>
  <si>
    <t>StockNew.number.RO.Tr.Rail.Passenger.CPT</t>
  </si>
  <si>
    <t>StockNew.number.RO.Tr.Rail.Passenger.CPT.Diesel</t>
  </si>
  <si>
    <t>StockNew.number.RO.Tr.Rail.Passenger.CPT.Elc</t>
  </si>
  <si>
    <t>StockNew.number.RO.Tr.Rail.Passenger.HST</t>
  </si>
  <si>
    <t>StockNew.number.RO.Tr.Rail.Freight</t>
  </si>
  <si>
    <t>StockNew.number.RO.Tr.Rail.Freight.Diesel</t>
  </si>
  <si>
    <t>StockNew.number.RO.Tr.Rail.Freight.Elc</t>
  </si>
  <si>
    <t>Load.passenger_per_movement.RO.Tr.Rail.Passenger</t>
  </si>
  <si>
    <t>Load.passenger_per_movement.RO.Tr.Rail.Passenger.MTU</t>
  </si>
  <si>
    <t>Load.passenger_per_movement.RO.Tr.Rail.Passenger.CPT</t>
  </si>
  <si>
    <t>Load.passenger_per_movement.RO.Tr.Rail.Passenger.CPT.Diesel</t>
  </si>
  <si>
    <t>Load.passenger_per_movement.RO.Tr.Rail.Passenger.CPT.Elc</t>
  </si>
  <si>
    <t>Load.passenger_per_movement.RO.Tr.Rail.Passenger.HST</t>
  </si>
  <si>
    <t>Load.t_per_movement.RO.Tr.Rail.Freight</t>
  </si>
  <si>
    <t>Load.t_per_movement.RO.Tr.Rail.Freight.Diesel</t>
  </si>
  <si>
    <t>Load.t_per_movement.RO.Tr.Rail.Freight.Elc</t>
  </si>
  <si>
    <t>TrCap.seats.RO.Tr.Rail.Passenger</t>
  </si>
  <si>
    <t>TrCap.seats.RO.Tr.Rail.Passenger.MTU</t>
  </si>
  <si>
    <t>TrCap.seats.RO.Tr.Rail.Passenger.CPT</t>
  </si>
  <si>
    <t>TrCap.seats.RO.Tr.Rail.Passenger.CPT.Diesel</t>
  </si>
  <si>
    <t>TrCap.seats.RO.Tr.Rail.Passenger.CPT.Elc</t>
  </si>
  <si>
    <t>TrCap.seats.RO.Tr.Rail.Passenger.HST</t>
  </si>
  <si>
    <t>TrCap.t.RO.Tr.Rail.Freight</t>
  </si>
  <si>
    <t>TrCap.t.RO.Tr.Rail.Freight.Diesel</t>
  </si>
  <si>
    <t>TrCap.t.RO.Tr.Rail.Freight.Elc</t>
  </si>
  <si>
    <t>VehicleKm_per_vehicle.km.RO.Tr.Rail</t>
  </si>
  <si>
    <t>VehicleKm_per_vehicle.km.RO.Tr.Rail.Passenger</t>
  </si>
  <si>
    <t>VehicleKm_per_vehicle.km.RO.Tr.Rail.Passenger.MTU</t>
  </si>
  <si>
    <t>VehicleKm_per_vehicle.km.RO.Tr.Rail.Passenger.CPT</t>
  </si>
  <si>
    <t>VehicleKm_per_vehicle.km.RO.Tr.Rail.Passenger.CPT.Diesel</t>
  </si>
  <si>
    <t>VehicleKm_per_vehicle.km.RO.Tr.Rail.Passenger.CPT.Elc</t>
  </si>
  <si>
    <t>VehicleKm_per_vehicle.km.RO.Tr.Rail.Passenger.HST</t>
  </si>
  <si>
    <t>VehicleKm_per_vehicle.km.RO.Tr.Rail.Freight</t>
  </si>
  <si>
    <t>VehicleKm_per_vehicle.km.RO.Tr.Rail.Freight.Diesel</t>
  </si>
  <si>
    <t>VehicleKm_per_vehicle.km.RO.Tr.Rail.Freight.Elc</t>
  </si>
  <si>
    <t>Activity_per_vehicle.pkm.RO.Tr.Rail.Passenger</t>
  </si>
  <si>
    <t>Activity_per_vehicle.pkm.RO.Tr.Rail.Passenger.MTU</t>
  </si>
  <si>
    <t>Activity_per_vehicle.pkm.RO.Tr.Rail.Passenger.CPT</t>
  </si>
  <si>
    <t>Activity_per_vehicle.pkm.RO.Tr.Rail.Passenger.CPT.Diesel</t>
  </si>
  <si>
    <t>Activity_per_vehicle.pkm.RO.Tr.Rail.Passenger.CPT.Elc</t>
  </si>
  <si>
    <t>Activity_per_vehicle.pkm.RO.Tr.Rail.Passenger.HST</t>
  </si>
  <si>
    <t>Activity_per_vehicle.tkm.RO.Tr.Rail.Freight</t>
  </si>
  <si>
    <t>Activity_per_vehicle.tkm.RO.Tr.Rail.Freight.Diesel</t>
  </si>
  <si>
    <t>Activity_per_vehicle.tkm.RO.Tr.Rail.Freight.Elc</t>
  </si>
  <si>
    <t>Rail, metro and tram / energy consumption - RO - Romania</t>
  </si>
  <si>
    <t>FEC.ktoe.RO.ES.Tr.Rail</t>
  </si>
  <si>
    <t>FEC.ktoe.RO.ES.Tr.Rail.Diesel</t>
  </si>
  <si>
    <t>FEC.ktoe.RO.ES.Tr.Rail.LiqBio</t>
  </si>
  <si>
    <t>FEC.ktoe.RO.ES.Tr.Rail.Elec</t>
  </si>
  <si>
    <t>FEC.ktoe.RO.Tr.Rail</t>
  </si>
  <si>
    <t>FEC.ktoe.RO.Tr.Rail.Passenger.CPT.Diesel</t>
  </si>
  <si>
    <t>FEC.ktoe.RO.Tr.Rail.Passenger.CPT.Elc</t>
  </si>
  <si>
    <t>FEC.ktoe.RO.Tr.Rail.Freight.Diesel</t>
  </si>
  <si>
    <t>FEC.ktoe.RO.Tr.Rail.Freight.Elc</t>
  </si>
  <si>
    <t>Eff.kgoe_per_100km.RO.Tr.Rail</t>
  </si>
  <si>
    <t>Eff.kgoe_per_100km.RO.Tr.Rail.Passenger</t>
  </si>
  <si>
    <t>Eff.kgoe_per_100km.RO.Tr.Rail.Passenger.MTU</t>
  </si>
  <si>
    <t>Eff.kgoe_per_100km.RO.Tr.Rail.Passenger.CPT</t>
  </si>
  <si>
    <t>Eff.kgoe_per_100km.RO.Tr.Rail.Passenger.CPT.Diesel</t>
  </si>
  <si>
    <t>Eff.kgoe_per_100km.RO.Tr.Rail.Passenger.CPT.Elc</t>
  </si>
  <si>
    <t>Eff.kgoe_per_100km.RO.Tr.Rail.Passenger.HST</t>
  </si>
  <si>
    <t>Eff.kgoe_per_100km.RO.Tr.Rail.Freight</t>
  </si>
  <si>
    <t>Eff.kgoe_per_100km.RO.Tr.Rail.Freight.Diesel</t>
  </si>
  <si>
    <t>Eff.kgoe_per_100km.RO.Tr.Rail.Freight.Elc</t>
  </si>
  <si>
    <t>Eff.kgoe_per_kpkm.RO.Tr.Rail.Passenger.CPT.Diesel</t>
  </si>
  <si>
    <t>Eff.kgoe_per_kpkm.RO.Tr.Rail.Passenger.CPT.Elc</t>
  </si>
  <si>
    <t>Eff.kgoe_per_ktkm.RO.Tr.Rail.Freight.Diesel</t>
  </si>
  <si>
    <t>Eff.kgoe_per_ktkm.RO.Tr.Rail.Freight.Elc</t>
  </si>
  <si>
    <t>FEC_per_vehicle.kgoe.RO.Tr.Rail</t>
  </si>
  <si>
    <t>FEC_per_vehicle.kgoe.RO.Tr.Rail.Passenger</t>
  </si>
  <si>
    <t>FEC_per_vehicle.kgoe.RO.Tr.Rail.Passenger.MTU</t>
  </si>
  <si>
    <t>FEC_per_vehicle.kgoe.RO.Tr.Rail.Passenger.CPT</t>
  </si>
  <si>
    <t>FEC_per_vehicle.kgoe.RO.Tr.Rail.Passenger.CPT.Diesel</t>
  </si>
  <si>
    <t>FEC_per_vehicle.kgoe.RO.Tr.Rail.Passenger.CPT.Elc</t>
  </si>
  <si>
    <t>FEC_per_vehicle.kgoe.RO.Tr.Rail.Passenger.HST</t>
  </si>
  <si>
    <t>FEC_per_vehicle.kgoe.RO.Tr.Rail.Freight</t>
  </si>
  <si>
    <t>FEC_per_vehicle.kgoe.RO.Tr.Rail.Freight.Diesel</t>
  </si>
  <si>
    <t>FEC_per_vehicle.kgoe.RO.Tr.Rail.Freight.Elc</t>
  </si>
  <si>
    <t>Rail, metro and tram / CO2 emissions - RO - Romania</t>
  </si>
  <si>
    <t>EMI.ktCO2.RO.ES.Tr.Rail</t>
  </si>
  <si>
    <t>EMI.ktCO2.RO.ES.Tr.Rail.Diesel</t>
  </si>
  <si>
    <t>EMI.ktCO2.RO.ES.Tr.Rail.Elec</t>
  </si>
  <si>
    <t>EMI.ktCO2.RO.Tr.Rail</t>
  </si>
  <si>
    <t>EMI.ktCO2.RO.Tr.Rail.Passenger.CPT.Diesel</t>
  </si>
  <si>
    <t>EMI.ktCO2.RO.Tr.Rail.Passenger.CPT.Elc</t>
  </si>
  <si>
    <t>EMI.ktCO2.RO.Tr.Rail.Freight.Diesel</t>
  </si>
  <si>
    <t>EMI.ktCO2.RO.Tr.Rail.Freight.Elc</t>
  </si>
  <si>
    <t>EMIint.gCO2_per_km.RO.Tr.Rail</t>
  </si>
  <si>
    <t>EMIint.gCO2_per_km.RO.Tr.Rail.Passenger</t>
  </si>
  <si>
    <t>EMIint.gCO2_per_km.RO.Tr.Rail.Passenger.MTU</t>
  </si>
  <si>
    <t>EMIint.gCO2_per_km.RO.Tr.Rail.Passenger.CPT</t>
  </si>
  <si>
    <t>EMIint.gCO2_per_km.RO.Tr.Rail.Passenger.CPT.Diesel</t>
  </si>
  <si>
    <t>EMIint.gCO2_per_km.RO.Tr.Rail.Passenger.CPT.Elc</t>
  </si>
  <si>
    <t>EMIint.gCO2_per_km.RO.Tr.Rail.Passenger.HST</t>
  </si>
  <si>
    <t>EMIint.gCO2_per_km.RO.Tr.Rail.Freight</t>
  </si>
  <si>
    <t>EMIint.gCO2_per_km.RO.Tr.Rail.Freight.Diesel</t>
  </si>
  <si>
    <t>EMIint.gCO2_per_km.RO.Tr.Rail.Freight.Elc</t>
  </si>
  <si>
    <t>EMIint.gCO2_per_pkm.RO.Tr.Rail.Passenger.CPT.Diesel</t>
  </si>
  <si>
    <t>EMIint.gCO2_per_pkm.RO.Tr.Rail.Passenger.CPT.Elc</t>
  </si>
  <si>
    <t>EMIint.gCO2_per_tkm.RO.Tr.Rail.Freight.Diesel</t>
  </si>
  <si>
    <t>EMIint.gCO2_per_tkm.RO.Tr.Rail.Freight.Elc</t>
  </si>
  <si>
    <t>EMI_per_vehicle.tCO2.RO.Tr.Rail</t>
  </si>
  <si>
    <t>EMI_per_vehicle.tCO2.RO.Tr.Rail.Passenger</t>
  </si>
  <si>
    <t>EMI_per_vehicle.tCO2.RO.Tr.Rail.Passenger.MTU</t>
  </si>
  <si>
    <t>EMI_per_vehicle.tCO2.RO.Tr.Rail.Passenger.CPT</t>
  </si>
  <si>
    <t>EMI_per_vehicle.tCO2.RO.Tr.Rail.Passenger.CPT.Diesel</t>
  </si>
  <si>
    <t>EMI_per_vehicle.tCO2.RO.Tr.Rail.Passenger.CPT.Elc</t>
  </si>
  <si>
    <t>EMI_per_vehicle.tCO2.RO.Tr.Rail.Passenger.HST</t>
  </si>
  <si>
    <t>EMI_per_vehicle.tCO2.RO.Tr.Rail.Freight</t>
  </si>
  <si>
    <t>EMI_per_vehicle.tCO2.RO.Tr.Rail.Freight.Diesel</t>
  </si>
  <si>
    <t>EMI_per_vehicle.tCO2.RO.Tr.Rail.Freight.Elc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</si>
</sst>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45432.788541666669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78994.755801916632</v>
      </c>
      <c r="C4" s="28">
        <f t="shared" si="0"/>
        <v>78965.142521208691</v>
      </c>
      <c r="D4" s="28">
        <f t="shared" si="0"/>
        <v>77613.878481125779</v>
      </c>
      <c r="E4" s="28">
        <f t="shared" si="0"/>
        <v>82246.96438879281</v>
      </c>
      <c r="F4" s="28">
        <f t="shared" si="0"/>
        <v>85235.978891204402</v>
      </c>
      <c r="G4" s="28">
        <f t="shared" si="0"/>
        <v>91177.330399011655</v>
      </c>
      <c r="H4" s="28">
        <f t="shared" si="0"/>
        <v>95027.622641525697</v>
      </c>
      <c r="I4" s="28">
        <f t="shared" si="0"/>
        <v>99386.719872007729</v>
      </c>
      <c r="J4" s="28">
        <f t="shared" si="0"/>
        <v>110798.68589909295</v>
      </c>
      <c r="K4" s="28">
        <f t="shared" si="0"/>
        <v>111987.11496039538</v>
      </c>
      <c r="L4" s="28">
        <f t="shared" si="0"/>
        <v>110773.39442922828</v>
      </c>
      <c r="M4" s="28">
        <f t="shared" si="0"/>
        <v>110170.64813505014</v>
      </c>
      <c r="N4" s="28">
        <f t="shared" si="0"/>
        <v>113565.60599430335</v>
      </c>
      <c r="O4" s="28">
        <f t="shared" si="0"/>
        <v>117609.73100791287</v>
      </c>
      <c r="P4" s="28">
        <f t="shared" si="0"/>
        <v>125404.05460015594</v>
      </c>
      <c r="Q4" s="28">
        <f t="shared" si="0"/>
        <v>134909.82305014887</v>
      </c>
      <c r="R4" s="28">
        <f t="shared" ref="R4:V4" si="1">R5+R9+R13</f>
        <v>143481.45202342106</v>
      </c>
      <c r="S4" s="28">
        <f t="shared" si="1"/>
        <v>147395.70529868474</v>
      </c>
      <c r="T4" s="28">
        <f t="shared" si="1"/>
        <v>157004.80117399473</v>
      </c>
      <c r="U4" s="28">
        <f t="shared" si="1"/>
        <v>165548.58856180464</v>
      </c>
      <c r="V4" s="28">
        <f t="shared" si="1"/>
        <v>130979.93762055115</v>
      </c>
      <c r="W4" s="28">
        <f t="shared" ref="W4" si="2">W5+W9+W13</f>
        <v>145159.70585932452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58977.307773178742</v>
      </c>
      <c r="C5" s="137">
        <f t="shared" si="3"/>
        <v>59849.064464163443</v>
      </c>
      <c r="D5" s="137">
        <f t="shared" si="3"/>
        <v>61261.778102206976</v>
      </c>
      <c r="E5" s="137">
        <f t="shared" si="3"/>
        <v>65732.01231725156</v>
      </c>
      <c r="F5" s="137">
        <f t="shared" si="3"/>
        <v>67718.327757605177</v>
      </c>
      <c r="G5" s="137">
        <f t="shared" si="3"/>
        <v>73094.307151195244</v>
      </c>
      <c r="H5" s="137">
        <f t="shared" si="3"/>
        <v>76144.50778428388</v>
      </c>
      <c r="I5" s="137">
        <f t="shared" si="3"/>
        <v>79990.173250215186</v>
      </c>
      <c r="J5" s="137">
        <f t="shared" si="3"/>
        <v>91109.107745909816</v>
      </c>
      <c r="K5" s="137">
        <f t="shared" si="3"/>
        <v>93062.107590179454</v>
      </c>
      <c r="L5" s="137">
        <f t="shared" si="3"/>
        <v>91790.929005354992</v>
      </c>
      <c r="M5" s="137">
        <f t="shared" si="3"/>
        <v>91015.475080704928</v>
      </c>
      <c r="N5" s="137">
        <f t="shared" si="3"/>
        <v>94477.140270162447</v>
      </c>
      <c r="O5" s="137">
        <f t="shared" si="3"/>
        <v>98015.098044381186</v>
      </c>
      <c r="P5" s="137">
        <f t="shared" si="3"/>
        <v>104133.13795115391</v>
      </c>
      <c r="Q5" s="137">
        <f t="shared" si="3"/>
        <v>115366.21107872232</v>
      </c>
      <c r="R5" s="137">
        <f t="shared" ref="R5:V5" si="4">R6+R7+R8</f>
        <v>121912.71845486473</v>
      </c>
      <c r="S5" s="137">
        <f t="shared" si="4"/>
        <v>122988.77897378545</v>
      </c>
      <c r="T5" s="137">
        <f t="shared" si="4"/>
        <v>131163.04254122192</v>
      </c>
      <c r="U5" s="137">
        <f t="shared" si="4"/>
        <v>137887.67095261603</v>
      </c>
      <c r="V5" s="137">
        <f t="shared" si="4"/>
        <v>118442.79311243948</v>
      </c>
      <c r="W5" s="137">
        <f t="shared" ref="W5" si="5">W6+W7+W8</f>
        <v>129364.80316283408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277.30777317873964</v>
      </c>
      <c r="C6" s="102">
        <f>TrRoad_act!C$5</f>
        <v>276.06446416343556</v>
      </c>
      <c r="D6" s="102">
        <f>TrRoad_act!D$5</f>
        <v>274.77810220697341</v>
      </c>
      <c r="E6" s="102">
        <f>TrRoad_act!E$5</f>
        <v>277.0123172515672</v>
      </c>
      <c r="F6" s="102">
        <f>TrRoad_act!F$5</f>
        <v>280.3277576051679</v>
      </c>
      <c r="G6" s="102">
        <f>TrRoad_act!G$5</f>
        <v>283.30715119524132</v>
      </c>
      <c r="H6" s="102">
        <f>TrRoad_act!H$5</f>
        <v>309.50778428388929</v>
      </c>
      <c r="I6" s="102">
        <f>TrRoad_act!I$5</f>
        <v>334.17325021518138</v>
      </c>
      <c r="J6" s="102">
        <f>TrRoad_act!J$5</f>
        <v>415.10774590981333</v>
      </c>
      <c r="K6" s="102">
        <f>TrRoad_act!K$5</f>
        <v>454.10759017945537</v>
      </c>
      <c r="L6" s="102">
        <f>TrRoad_act!L$5</f>
        <v>478.9290053549866</v>
      </c>
      <c r="M6" s="102">
        <f>TrRoad_act!M$5</f>
        <v>508.13692738445468</v>
      </c>
      <c r="N6" s="102">
        <f>TrRoad_act!N$5</f>
        <v>531.08066316236921</v>
      </c>
      <c r="O6" s="102">
        <f>TrRoad_act!O$5</f>
        <v>569.67971832511444</v>
      </c>
      <c r="P6" s="102">
        <f>TrRoad_act!P$5</f>
        <v>600.27807891243992</v>
      </c>
      <c r="Q6" s="102">
        <f>TrRoad_act!Q$5</f>
        <v>635.58169818879969</v>
      </c>
      <c r="R6" s="102">
        <f>TrRoad_act!R$5</f>
        <v>689.34161048830174</v>
      </c>
      <c r="S6" s="102">
        <f>TrRoad_act!S$5</f>
        <v>657.7655935010755</v>
      </c>
      <c r="T6" s="102">
        <f>TrRoad_act!T$5</f>
        <v>633.38280477860326</v>
      </c>
      <c r="U6" s="102">
        <f>TrRoad_act!U$5</f>
        <v>678.58309587578913</v>
      </c>
      <c r="V6" s="102">
        <f>TrRoad_act!V$5</f>
        <v>618.03659897350849</v>
      </c>
      <c r="W6" s="102">
        <f>TrRoad_act!W$5</f>
        <v>653.7406325271196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51000</v>
      </c>
      <c r="C7" s="102">
        <f>TrRoad_act!C$6</f>
        <v>52500.000000000007</v>
      </c>
      <c r="D7" s="102">
        <f>TrRoad_act!D$6</f>
        <v>54000</v>
      </c>
      <c r="E7" s="102">
        <f>TrRoad_act!E$6</f>
        <v>56000</v>
      </c>
      <c r="F7" s="102">
        <f>TrRoad_act!F$6</f>
        <v>58000</v>
      </c>
      <c r="G7" s="102">
        <f>TrRoad_act!G$6</f>
        <v>61000.000000000007</v>
      </c>
      <c r="H7" s="102">
        <f>TrRoad_act!H$6</f>
        <v>64099.999999999993</v>
      </c>
      <c r="I7" s="102">
        <f>TrRoad_act!I$6</f>
        <v>67500</v>
      </c>
      <c r="J7" s="102">
        <f>TrRoad_act!J$6</f>
        <v>70500</v>
      </c>
      <c r="K7" s="102">
        <f>TrRoad_act!K$6</f>
        <v>75500</v>
      </c>
      <c r="L7" s="102">
        <f>TrRoad_act!L$6</f>
        <v>75500</v>
      </c>
      <c r="M7" s="102">
        <f>TrRoad_act!M$6</f>
        <v>74978.338153320467</v>
      </c>
      <c r="N7" s="102">
        <f>TrRoad_act!N$6</f>
        <v>77045.059607000076</v>
      </c>
      <c r="O7" s="102">
        <f>TrRoad_act!O$6</f>
        <v>80363.418326056068</v>
      </c>
      <c r="P7" s="102">
        <f>TrRoad_act!P$6</f>
        <v>85193.859872241475</v>
      </c>
      <c r="Q7" s="102">
        <f>TrRoad_act!Q$6</f>
        <v>89866.362080533509</v>
      </c>
      <c r="R7" s="102">
        <f>TrRoad_act!R$6</f>
        <v>95591.682544376425</v>
      </c>
      <c r="S7" s="102">
        <f>TrRoad_act!S$6</f>
        <v>97303.330280284368</v>
      </c>
      <c r="T7" s="102">
        <f>TrRoad_act!T$6</f>
        <v>103803.3617364433</v>
      </c>
      <c r="U7" s="102">
        <f>TrRoad_act!U$6</f>
        <v>110510.03785674024</v>
      </c>
      <c r="V7" s="102">
        <f>TrRoad_act!V$6</f>
        <v>99122.721513465964</v>
      </c>
      <c r="W7" s="102">
        <f>TrRoad_act!W$6</f>
        <v>108998.75153030697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7699.9999999999991</v>
      </c>
      <c r="C8" s="102">
        <f>TrRoad_act!C$13</f>
        <v>7073</v>
      </c>
      <c r="D8" s="102">
        <f>TrRoad_act!D$13</f>
        <v>6987</v>
      </c>
      <c r="E8" s="102">
        <f>TrRoad_act!E$13</f>
        <v>9455</v>
      </c>
      <c r="F8" s="102">
        <f>TrRoad_act!F$13</f>
        <v>9438.0000000000018</v>
      </c>
      <c r="G8" s="102">
        <f>TrRoad_act!G$13</f>
        <v>11811</v>
      </c>
      <c r="H8" s="102">
        <f>TrRoad_act!H$13</f>
        <v>11735</v>
      </c>
      <c r="I8" s="102">
        <f>TrRoad_act!I$13</f>
        <v>12156</v>
      </c>
      <c r="J8" s="102">
        <f>TrRoad_act!J$13</f>
        <v>20194</v>
      </c>
      <c r="K8" s="102">
        <f>TrRoad_act!K$13</f>
        <v>17108</v>
      </c>
      <c r="L8" s="102">
        <f>TrRoad_act!L$13</f>
        <v>15811.999999999998</v>
      </c>
      <c r="M8" s="102">
        <f>TrRoad_act!M$13</f>
        <v>15529</v>
      </c>
      <c r="N8" s="102">
        <f>TrRoad_act!N$13</f>
        <v>16901</v>
      </c>
      <c r="O8" s="102">
        <f>TrRoad_act!O$13</f>
        <v>17082</v>
      </c>
      <c r="P8" s="102">
        <f>TrRoad_act!P$13</f>
        <v>18339</v>
      </c>
      <c r="Q8" s="102">
        <f>TrRoad_act!Q$13</f>
        <v>24864.267300000007</v>
      </c>
      <c r="R8" s="102">
        <f>TrRoad_act!R$13</f>
        <v>25631.694299999999</v>
      </c>
      <c r="S8" s="102">
        <f>TrRoad_act!S$13</f>
        <v>25027.683100000009</v>
      </c>
      <c r="T8" s="102">
        <f>TrRoad_act!T$13</f>
        <v>26726.298000000006</v>
      </c>
      <c r="U8" s="102">
        <f>TrRoad_act!U$13</f>
        <v>26699.05</v>
      </c>
      <c r="V8" s="102">
        <f>TrRoad_act!V$13</f>
        <v>18702.035000000003</v>
      </c>
      <c r="W8" s="102">
        <f>TrRoad_act!W$13</f>
        <v>19712.310999999998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17632</v>
      </c>
      <c r="C9" s="110">
        <f t="shared" si="6"/>
        <v>16965</v>
      </c>
      <c r="D9" s="110">
        <f t="shared" si="6"/>
        <v>14502</v>
      </c>
      <c r="E9" s="110">
        <f t="shared" si="6"/>
        <v>14274.215</v>
      </c>
      <c r="F9" s="110">
        <f t="shared" si="6"/>
        <v>14830.045</v>
      </c>
      <c r="G9" s="110">
        <f t="shared" si="6"/>
        <v>14581.908000000001</v>
      </c>
      <c r="H9" s="110">
        <f t="shared" si="6"/>
        <v>14892</v>
      </c>
      <c r="I9" s="110">
        <f t="shared" si="6"/>
        <v>14376</v>
      </c>
      <c r="J9" s="110">
        <f t="shared" si="6"/>
        <v>13958</v>
      </c>
      <c r="K9" s="110">
        <f t="shared" si="6"/>
        <v>13175</v>
      </c>
      <c r="L9" s="110">
        <f t="shared" si="6"/>
        <v>12575.710097776035</v>
      </c>
      <c r="M9" s="110">
        <f t="shared" si="6"/>
        <v>12134.903365925345</v>
      </c>
      <c r="N9" s="110">
        <f t="shared" si="6"/>
        <v>12119.372713565321</v>
      </c>
      <c r="O9" s="110">
        <f t="shared" si="6"/>
        <v>12162.718100556631</v>
      </c>
      <c r="P9" s="110">
        <f t="shared" si="6"/>
        <v>12976</v>
      </c>
      <c r="Q9" s="110">
        <f t="shared" si="6"/>
        <v>10056.7016</v>
      </c>
      <c r="R9" s="110">
        <f t="shared" ref="R9:V9" si="7">R10+R11+R12</f>
        <v>10056.3649</v>
      </c>
      <c r="S9" s="110">
        <f t="shared" si="7"/>
        <v>10786.612999999999</v>
      </c>
      <c r="T9" s="110">
        <f t="shared" si="7"/>
        <v>10578.557000000001</v>
      </c>
      <c r="U9" s="110">
        <f t="shared" si="7"/>
        <v>10835.231</v>
      </c>
      <c r="V9" s="110">
        <f t="shared" si="7"/>
        <v>7156.1090000000004</v>
      </c>
      <c r="W9" s="110">
        <f t="shared" ref="W9" si="8">W10+W11+W12</f>
        <v>7473.6129999999994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6000</v>
      </c>
      <c r="C10" s="102">
        <f>TrRail_act!C$5</f>
        <v>6000</v>
      </c>
      <c r="D10" s="102">
        <f>TrRail_act!D$5</f>
        <v>6000</v>
      </c>
      <c r="E10" s="102">
        <f>TrRail_act!E$5</f>
        <v>5777.2150000000001</v>
      </c>
      <c r="F10" s="102">
        <f>TrRail_act!F$5</f>
        <v>6192.0450000000001</v>
      </c>
      <c r="G10" s="102">
        <f>TrRail_act!G$5</f>
        <v>6596.9080000000013</v>
      </c>
      <c r="H10" s="102">
        <f>TrRail_act!H$5</f>
        <v>6800</v>
      </c>
      <c r="I10" s="102">
        <f>TrRail_act!I$5</f>
        <v>6900</v>
      </c>
      <c r="J10" s="102">
        <f>TrRail_act!J$5</f>
        <v>7000</v>
      </c>
      <c r="K10" s="102">
        <f>TrRail_act!K$5</f>
        <v>7047</v>
      </c>
      <c r="L10" s="102">
        <f>TrRail_act!L$5</f>
        <v>7138.7100977760347</v>
      </c>
      <c r="M10" s="102">
        <f>TrRail_act!M$5</f>
        <v>7061.9033659253455</v>
      </c>
      <c r="N10" s="102">
        <f>TrRail_act!N$5</f>
        <v>7548.3727135653216</v>
      </c>
      <c r="O10" s="102">
        <f>TrRail_act!O$5</f>
        <v>7751.7181005566317</v>
      </c>
      <c r="P10" s="102">
        <f>TrRail_act!P$5</f>
        <v>8000</v>
      </c>
      <c r="Q10" s="102">
        <f>TrRail_act!Q$5</f>
        <v>4907.7016000000003</v>
      </c>
      <c r="R10" s="102">
        <f>TrRail_act!R$5</f>
        <v>5068.3648999999996</v>
      </c>
      <c r="S10" s="102">
        <f>TrRail_act!S$5</f>
        <v>5123.6129999999994</v>
      </c>
      <c r="T10" s="102">
        <f>TrRail_act!T$5</f>
        <v>5001.5569999999998</v>
      </c>
      <c r="U10" s="102">
        <f>TrRail_act!U$5</f>
        <v>4929.2309999999998</v>
      </c>
      <c r="V10" s="102">
        <f>TrRail_act!V$5</f>
        <v>3436.1089999999999</v>
      </c>
      <c r="W10" s="102">
        <f>TrRail_act!W$5</f>
        <v>3202.6129999999998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11632</v>
      </c>
      <c r="C11" s="102">
        <f>TrRail_act!C$6</f>
        <v>10965</v>
      </c>
      <c r="D11" s="102">
        <f>TrRail_act!D$6</f>
        <v>8502</v>
      </c>
      <c r="E11" s="102">
        <f>TrRail_act!E$6</f>
        <v>8497</v>
      </c>
      <c r="F11" s="102">
        <f>TrRail_act!F$6</f>
        <v>8638</v>
      </c>
      <c r="G11" s="102">
        <f>TrRail_act!G$6</f>
        <v>7985</v>
      </c>
      <c r="H11" s="102">
        <f>TrRail_act!H$6</f>
        <v>8092.0000000000009</v>
      </c>
      <c r="I11" s="102">
        <f>TrRail_act!I$6</f>
        <v>7476</v>
      </c>
      <c r="J11" s="102">
        <f>TrRail_act!J$6</f>
        <v>6958</v>
      </c>
      <c r="K11" s="102">
        <f>TrRail_act!K$6</f>
        <v>6128</v>
      </c>
      <c r="L11" s="102">
        <f>TrRail_act!L$6</f>
        <v>5437</v>
      </c>
      <c r="M11" s="102">
        <f>TrRail_act!M$6</f>
        <v>5073</v>
      </c>
      <c r="N11" s="102">
        <f>TrRail_act!N$6</f>
        <v>4571</v>
      </c>
      <c r="O11" s="102">
        <f>TrRail_act!O$6</f>
        <v>4411</v>
      </c>
      <c r="P11" s="102">
        <f>TrRail_act!P$6</f>
        <v>4976</v>
      </c>
      <c r="Q11" s="102">
        <f>TrRail_act!Q$6</f>
        <v>5149</v>
      </c>
      <c r="R11" s="102">
        <f>TrRail_act!R$6</f>
        <v>4988</v>
      </c>
      <c r="S11" s="102">
        <f>TrRail_act!S$6</f>
        <v>5663</v>
      </c>
      <c r="T11" s="102">
        <f>TrRail_act!T$6</f>
        <v>5577</v>
      </c>
      <c r="U11" s="102">
        <f>TrRail_act!U$6</f>
        <v>5906</v>
      </c>
      <c r="V11" s="102">
        <f>TrRail_act!V$6</f>
        <v>3720</v>
      </c>
      <c r="W11" s="102">
        <f>TrRail_act!W$6</f>
        <v>4271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2385.4480287378956</v>
      </c>
      <c r="C13" s="110">
        <f t="shared" ref="C13:V13" si="10">C14+C15+C16</f>
        <v>2151.0780570452498</v>
      </c>
      <c r="D13" s="110">
        <f t="shared" si="10"/>
        <v>1850.1003789188162</v>
      </c>
      <c r="E13" s="110">
        <f t="shared" si="10"/>
        <v>2240.7370715412499</v>
      </c>
      <c r="F13" s="110">
        <f t="shared" si="10"/>
        <v>2687.6061335992331</v>
      </c>
      <c r="G13" s="110">
        <f t="shared" si="10"/>
        <v>3501.1152478164117</v>
      </c>
      <c r="H13" s="110">
        <f t="shared" si="10"/>
        <v>3991.1148572418165</v>
      </c>
      <c r="I13" s="110">
        <f t="shared" si="10"/>
        <v>5020.5466217925386</v>
      </c>
      <c r="J13" s="110">
        <f t="shared" si="10"/>
        <v>5731.5781531831244</v>
      </c>
      <c r="K13" s="110">
        <f t="shared" si="10"/>
        <v>5750.0073702159298</v>
      </c>
      <c r="L13" s="110">
        <f t="shared" si="10"/>
        <v>6406.7553260972682</v>
      </c>
      <c r="M13" s="110">
        <f t="shared" si="10"/>
        <v>7020.2696884198731</v>
      </c>
      <c r="N13" s="110">
        <f t="shared" si="10"/>
        <v>6969.0930105755879</v>
      </c>
      <c r="O13" s="110">
        <f t="shared" si="10"/>
        <v>7431.9148629750462</v>
      </c>
      <c r="P13" s="110">
        <f t="shared" si="10"/>
        <v>8294.9166490020307</v>
      </c>
      <c r="Q13" s="110">
        <f t="shared" si="10"/>
        <v>9486.9103714265621</v>
      </c>
      <c r="R13" s="110">
        <f t="shared" si="10"/>
        <v>11512.368668556333</v>
      </c>
      <c r="S13" s="110">
        <f t="shared" si="10"/>
        <v>13620.313324899294</v>
      </c>
      <c r="T13" s="110">
        <f t="shared" si="10"/>
        <v>15263.201632772811</v>
      </c>
      <c r="U13" s="110">
        <f t="shared" si="10"/>
        <v>16825.686609188611</v>
      </c>
      <c r="V13" s="110">
        <f t="shared" si="10"/>
        <v>5381.0355081116795</v>
      </c>
      <c r="W13" s="110">
        <f t="shared" ref="W13" si="11">W14+W15+W16</f>
        <v>8321.2896964904303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48.233402877309544</v>
      </c>
      <c r="C14" s="102">
        <f>TrAvia_act!C$5</f>
        <v>24.216685747957502</v>
      </c>
      <c r="D14" s="102">
        <f>TrAvia_act!D$5</f>
        <v>16.273140674500176</v>
      </c>
      <c r="E14" s="102">
        <f>TrAvia_act!E$5</f>
        <v>16.407494590125719</v>
      </c>
      <c r="F14" s="102">
        <f>TrAvia_act!F$5</f>
        <v>97.148296029484541</v>
      </c>
      <c r="G14" s="102">
        <f>TrAvia_act!G$5</f>
        <v>116.55234124135319</v>
      </c>
      <c r="H14" s="102">
        <f>TrAvia_act!H$5</f>
        <v>126.11270827223295</v>
      </c>
      <c r="I14" s="102">
        <f>TrAvia_act!I$5</f>
        <v>148.307932058229</v>
      </c>
      <c r="J14" s="102">
        <f>TrAvia_act!J$5</f>
        <v>186.33984036548279</v>
      </c>
      <c r="K14" s="102">
        <f>TrAvia_act!K$5</f>
        <v>175.13869463932971</v>
      </c>
      <c r="L14" s="102">
        <f>TrAvia_act!L$5</f>
        <v>221.58644563984157</v>
      </c>
      <c r="M14" s="102">
        <f>TrAvia_act!M$5</f>
        <v>228.52431003139014</v>
      </c>
      <c r="N14" s="102">
        <f>TrAvia_act!N$5</f>
        <v>207.46565117877802</v>
      </c>
      <c r="O14" s="102">
        <f>TrAvia_act!O$5</f>
        <v>195.63433856519737</v>
      </c>
      <c r="P14" s="102">
        <f>TrAvia_act!P$5</f>
        <v>177.32177307416197</v>
      </c>
      <c r="Q14" s="102">
        <f>TrAvia_act!Q$5</f>
        <v>185.43963246210336</v>
      </c>
      <c r="R14" s="102">
        <f>TrAvia_act!R$5</f>
        <v>324.08229509248582</v>
      </c>
      <c r="S14" s="102">
        <f>TrAvia_act!S$5</f>
        <v>498.04271219933332</v>
      </c>
      <c r="T14" s="102">
        <f>TrAvia_act!T$5</f>
        <v>506.45205080587749</v>
      </c>
      <c r="U14" s="102">
        <f>TrAvia_act!U$5</f>
        <v>489.28929636191077</v>
      </c>
      <c r="V14" s="102">
        <f>TrAvia_act!V$5</f>
        <v>155.82112013628782</v>
      </c>
      <c r="W14" s="102">
        <f>TrAvia_act!W$5</f>
        <v>231.11612366199344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1953.1930280190511</v>
      </c>
      <c r="C15" s="102">
        <f>TrAvia_act!C$6</f>
        <v>1780.877221078473</v>
      </c>
      <c r="D15" s="102">
        <f>TrAvia_act!D$6</f>
        <v>1537.0973124210343</v>
      </c>
      <c r="E15" s="102">
        <f>TrAvia_act!E$6</f>
        <v>1862.4146548598933</v>
      </c>
      <c r="F15" s="102">
        <f>TrAvia_act!F$6</f>
        <v>2163.271679111373</v>
      </c>
      <c r="G15" s="102">
        <f>TrAvia_act!G$6</f>
        <v>2901.3341168193565</v>
      </c>
      <c r="H15" s="102">
        <f>TrAvia_act!H$6</f>
        <v>3298.1211498107277</v>
      </c>
      <c r="I15" s="102">
        <f>TrAvia_act!I$6</f>
        <v>4088.9784784029653</v>
      </c>
      <c r="J15" s="102">
        <f>TrAvia_act!J$6</f>
        <v>4674.6390069421113</v>
      </c>
      <c r="K15" s="102">
        <f>TrAvia_act!K$6</f>
        <v>4804.7184605059392</v>
      </c>
      <c r="L15" s="102">
        <f>TrAvia_act!L$6</f>
        <v>5337.2216011195587</v>
      </c>
      <c r="M15" s="102">
        <f>TrAvia_act!M$6</f>
        <v>6059.493201860837</v>
      </c>
      <c r="N15" s="102">
        <f>TrAvia_act!N$6</f>
        <v>5927.4502972865539</v>
      </c>
      <c r="O15" s="102">
        <f>TrAvia_act!O$6</f>
        <v>6295.2132315020981</v>
      </c>
      <c r="P15" s="102">
        <f>TrAvia_act!P$6</f>
        <v>6841.3340043875041</v>
      </c>
      <c r="Q15" s="102">
        <f>TrAvia_act!Q$6</f>
        <v>7848.2465535793872</v>
      </c>
      <c r="R15" s="102">
        <f>TrAvia_act!R$6</f>
        <v>9569.0649654087811</v>
      </c>
      <c r="S15" s="102">
        <f>TrAvia_act!S$6</f>
        <v>11256.792913068803</v>
      </c>
      <c r="T15" s="102">
        <f>TrAvia_act!T$6</f>
        <v>12286.006586098985</v>
      </c>
      <c r="U15" s="102">
        <f>TrAvia_act!U$6</f>
        <v>13344.27169892247</v>
      </c>
      <c r="V15" s="102">
        <f>TrAvia_act!V$6</f>
        <v>4537.5408666992234</v>
      </c>
      <c r="W15" s="102">
        <f>TrAvia_act!W$6</f>
        <v>6648.175842202696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384.02159784153503</v>
      </c>
      <c r="C16" s="102">
        <f>TrAvia_act!C$7</f>
        <v>345.9841502188192</v>
      </c>
      <c r="D16" s="102">
        <f>TrAvia_act!D$7</f>
        <v>296.72992582328186</v>
      </c>
      <c r="E16" s="102">
        <f>TrAvia_act!E$7</f>
        <v>361.91492209123066</v>
      </c>
      <c r="F16" s="102">
        <f>TrAvia_act!F$7</f>
        <v>427.18615845837536</v>
      </c>
      <c r="G16" s="102">
        <f>TrAvia_act!G$7</f>
        <v>483.228789755702</v>
      </c>
      <c r="H16" s="102">
        <f>TrAvia_act!H$7</f>
        <v>566.88099915885607</v>
      </c>
      <c r="I16" s="102">
        <f>TrAvia_act!I$7</f>
        <v>783.26021133134452</v>
      </c>
      <c r="J16" s="102">
        <f>TrAvia_act!J$7</f>
        <v>870.59930587552992</v>
      </c>
      <c r="K16" s="102">
        <f>TrAvia_act!K$7</f>
        <v>770.15021507066126</v>
      </c>
      <c r="L16" s="102">
        <f>TrAvia_act!L$7</f>
        <v>847.94727933786839</v>
      </c>
      <c r="M16" s="102">
        <f>TrAvia_act!M$7</f>
        <v>732.2521765276457</v>
      </c>
      <c r="N16" s="102">
        <f>TrAvia_act!N$7</f>
        <v>834.17706211025597</v>
      </c>
      <c r="O16" s="102">
        <f>TrAvia_act!O$7</f>
        <v>941.06729290775115</v>
      </c>
      <c r="P16" s="102">
        <f>TrAvia_act!P$7</f>
        <v>1276.2608715403655</v>
      </c>
      <c r="Q16" s="102">
        <f>TrAvia_act!Q$7</f>
        <v>1453.2241853850726</v>
      </c>
      <c r="R16" s="102">
        <f>TrAvia_act!R$7</f>
        <v>1619.2214080550648</v>
      </c>
      <c r="S16" s="102">
        <f>TrAvia_act!S$7</f>
        <v>1865.4776996311593</v>
      </c>
      <c r="T16" s="102">
        <f>TrAvia_act!T$7</f>
        <v>2470.7429958679481</v>
      </c>
      <c r="U16" s="102">
        <f>TrAvia_act!U$7</f>
        <v>2992.1256139042293</v>
      </c>
      <c r="V16" s="102">
        <f>TrAvia_act!V$7</f>
        <v>687.67352127616891</v>
      </c>
      <c r="W16" s="102">
        <f>TrAvia_act!W$7</f>
        <v>1441.9977306257413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39597.180416124582</v>
      </c>
      <c r="C17" s="28">
        <f t="shared" si="12"/>
        <v>40939.131128471068</v>
      </c>
      <c r="D17" s="28">
        <f t="shared" si="12"/>
        <v>41918.503845222192</v>
      </c>
      <c r="E17" s="28">
        <f t="shared" si="12"/>
        <v>44507.598579124853</v>
      </c>
      <c r="F17" s="28">
        <f t="shared" si="12"/>
        <v>52761.591510348895</v>
      </c>
      <c r="G17" s="28">
        <f t="shared" si="12"/>
        <v>59043.270284340986</v>
      </c>
      <c r="H17" s="28">
        <f t="shared" si="12"/>
        <v>58202.471622234676</v>
      </c>
      <c r="I17" s="28">
        <f t="shared" si="12"/>
        <v>59638.947231441496</v>
      </c>
      <c r="J17" s="28">
        <f t="shared" si="12"/>
        <v>56921.135434167452</v>
      </c>
      <c r="K17" s="28">
        <f t="shared" si="12"/>
        <v>50096.014019429793</v>
      </c>
      <c r="L17" s="28">
        <f t="shared" si="12"/>
        <v>44423.575062325268</v>
      </c>
      <c r="M17" s="28">
        <f t="shared" si="12"/>
        <v>43823.943305546141</v>
      </c>
      <c r="N17" s="28">
        <f t="shared" si="12"/>
        <v>45224.250178941424</v>
      </c>
      <c r="O17" s="28">
        <f t="shared" si="12"/>
        <v>44712.137437939076</v>
      </c>
      <c r="P17" s="28">
        <f t="shared" si="12"/>
        <v>43303.705113182907</v>
      </c>
      <c r="Q17" s="28">
        <f t="shared" si="12"/>
        <v>46198.860871353769</v>
      </c>
      <c r="R17" s="28">
        <f t="shared" ref="R17:V17" si="13">R18+R21+R22+R26</f>
        <v>47700.435676579851</v>
      </c>
      <c r="S17" s="28">
        <f t="shared" si="13"/>
        <v>48878.333136334877</v>
      </c>
      <c r="T17" s="28">
        <f t="shared" si="13"/>
        <v>48743.350062461803</v>
      </c>
      <c r="U17" s="28">
        <f t="shared" si="13"/>
        <v>53253.827616072893</v>
      </c>
      <c r="V17" s="28">
        <f t="shared" si="13"/>
        <v>51468.613093651038</v>
      </c>
      <c r="W17" s="28">
        <f t="shared" ref="W17" si="14">W18+W21+W22+W26</f>
        <v>57985.432535216401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20597.183137878626</v>
      </c>
      <c r="C18" s="137">
        <f t="shared" si="15"/>
        <v>22079.669093679699</v>
      </c>
      <c r="D18" s="137">
        <f t="shared" si="15"/>
        <v>23048.892238714288</v>
      </c>
      <c r="E18" s="137">
        <f t="shared" si="15"/>
        <v>25937.177353010833</v>
      </c>
      <c r="F18" s="137">
        <f t="shared" si="15"/>
        <v>28774.311492893572</v>
      </c>
      <c r="G18" s="137">
        <f t="shared" si="15"/>
        <v>34019.260834924571</v>
      </c>
      <c r="H18" s="137">
        <f t="shared" si="15"/>
        <v>34247.514650639532</v>
      </c>
      <c r="I18" s="137">
        <f t="shared" si="15"/>
        <v>35678.886387928644</v>
      </c>
      <c r="J18" s="137">
        <f t="shared" si="15"/>
        <v>32986.294999946884</v>
      </c>
      <c r="K18" s="137">
        <f t="shared" si="15"/>
        <v>27230.648350590189</v>
      </c>
      <c r="L18" s="137">
        <f t="shared" si="15"/>
        <v>17717.505432640704</v>
      </c>
      <c r="M18" s="137">
        <f t="shared" si="15"/>
        <v>17677.448522536462</v>
      </c>
      <c r="N18" s="137">
        <f t="shared" si="15"/>
        <v>19204.73448771752</v>
      </c>
      <c r="O18" s="137">
        <f t="shared" si="15"/>
        <v>19499.483059683989</v>
      </c>
      <c r="P18" s="137">
        <f t="shared" si="15"/>
        <v>19254.76154025297</v>
      </c>
      <c r="Q18" s="137">
        <f t="shared" si="15"/>
        <v>19333.106358937643</v>
      </c>
      <c r="R18" s="137">
        <f t="shared" ref="R18:V18" si="16">R19+R20</f>
        <v>20985.900162996899</v>
      </c>
      <c r="S18" s="137">
        <f t="shared" si="16"/>
        <v>22552.274922842134</v>
      </c>
      <c r="T18" s="137">
        <f t="shared" si="16"/>
        <v>23381.722013088634</v>
      </c>
      <c r="U18" s="137">
        <f t="shared" si="16"/>
        <v>25963.727924404961</v>
      </c>
      <c r="V18" s="137">
        <f t="shared" si="16"/>
        <v>25524.374168579074</v>
      </c>
      <c r="W18" s="137">
        <f t="shared" ref="W18" si="17">W19+W20</f>
        <v>30823.223916594688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1255.8714851009292</v>
      </c>
      <c r="C19" s="102">
        <f>TrRoad_act!C$20</f>
        <v>1299.6119361155752</v>
      </c>
      <c r="D19" s="102">
        <f>TrRoad_act!D$20</f>
        <v>1336.2771149525338</v>
      </c>
      <c r="E19" s="102">
        <f>TrRoad_act!E$20</f>
        <v>1394.4262605624356</v>
      </c>
      <c r="F19" s="102">
        <f>TrRoad_act!F$20</f>
        <v>1464.8664732670027</v>
      </c>
      <c r="G19" s="102">
        <f>TrRoad_act!G$20</f>
        <v>1510.0032937440651</v>
      </c>
      <c r="H19" s="102">
        <f>TrRoad_act!H$20</f>
        <v>1675.1179212927073</v>
      </c>
      <c r="I19" s="102">
        <f>TrRoad_act!I$20</f>
        <v>1764.2543438555024</v>
      </c>
      <c r="J19" s="102">
        <f>TrRoad_act!J$20</f>
        <v>2027.3610765730409</v>
      </c>
      <c r="K19" s="102">
        <f>TrRoad_act!K$20</f>
        <v>2082.3064127024982</v>
      </c>
      <c r="L19" s="102">
        <f>TrRoad_act!L$20</f>
        <v>2102.468762561899</v>
      </c>
      <c r="M19" s="102">
        <f>TrRoad_act!M$20</f>
        <v>2229.9986566954749</v>
      </c>
      <c r="N19" s="102">
        <f>TrRoad_act!N$20</f>
        <v>2335.758884682029</v>
      </c>
      <c r="O19" s="102">
        <f>TrRoad_act!O$20</f>
        <v>2488.166065489102</v>
      </c>
      <c r="P19" s="102">
        <f>TrRoad_act!P$20</f>
        <v>2709.0543420531344</v>
      </c>
      <c r="Q19" s="102">
        <f>TrRoad_act!Q$20</f>
        <v>2872.7284950737712</v>
      </c>
      <c r="R19" s="102">
        <f>TrRoad_act!R$20</f>
        <v>2965.9937304731734</v>
      </c>
      <c r="S19" s="102">
        <f>TrRoad_act!S$20</f>
        <v>3159.6959315287863</v>
      </c>
      <c r="T19" s="102">
        <f>TrRoad_act!T$20</f>
        <v>3433.722013088633</v>
      </c>
      <c r="U19" s="102">
        <f>TrRoad_act!U$20</f>
        <v>3648.72792440496</v>
      </c>
      <c r="V19" s="102">
        <f>TrRoad_act!V$20</f>
        <v>3848.3741685790719</v>
      </c>
      <c r="W19" s="102">
        <f>TrRoad_act!W$20</f>
        <v>4033.2239165946885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19341.311652777698</v>
      </c>
      <c r="C20" s="102">
        <f>TrRoad_act!C$26</f>
        <v>20780.057157564122</v>
      </c>
      <c r="D20" s="102">
        <f>TrRoad_act!D$26</f>
        <v>21712.615123761756</v>
      </c>
      <c r="E20" s="102">
        <f>TrRoad_act!E$26</f>
        <v>24542.751092448398</v>
      </c>
      <c r="F20" s="102">
        <f>TrRoad_act!F$26</f>
        <v>27309.445019626568</v>
      </c>
      <c r="G20" s="102">
        <f>TrRoad_act!G$26</f>
        <v>32509.257541180508</v>
      </c>
      <c r="H20" s="102">
        <f>TrRoad_act!H$26</f>
        <v>32572.396729346827</v>
      </c>
      <c r="I20" s="102">
        <f>TrRoad_act!I$26</f>
        <v>33914.632044073143</v>
      </c>
      <c r="J20" s="102">
        <f>TrRoad_act!J$26</f>
        <v>30958.933923373846</v>
      </c>
      <c r="K20" s="102">
        <f>TrRoad_act!K$26</f>
        <v>25148.34193788769</v>
      </c>
      <c r="L20" s="102">
        <f>TrRoad_act!L$26</f>
        <v>15615.036670078807</v>
      </c>
      <c r="M20" s="102">
        <f>TrRoad_act!M$26</f>
        <v>15447.449865840988</v>
      </c>
      <c r="N20" s="102">
        <f>TrRoad_act!N$26</f>
        <v>16868.975603035491</v>
      </c>
      <c r="O20" s="102">
        <f>TrRoad_act!O$26</f>
        <v>17011.316994194887</v>
      </c>
      <c r="P20" s="102">
        <f>TrRoad_act!P$26</f>
        <v>16545.707198199834</v>
      </c>
      <c r="Q20" s="102">
        <f>TrRoad_act!Q$26</f>
        <v>16460.377863863872</v>
      </c>
      <c r="R20" s="102">
        <f>TrRoad_act!R$26</f>
        <v>18019.906432523727</v>
      </c>
      <c r="S20" s="102">
        <f>TrRoad_act!S$26</f>
        <v>19392.578991313349</v>
      </c>
      <c r="T20" s="102">
        <f>TrRoad_act!T$26</f>
        <v>19948</v>
      </c>
      <c r="U20" s="102">
        <f>TrRoad_act!U$26</f>
        <v>22315</v>
      </c>
      <c r="V20" s="102">
        <f>TrRoad_act!V$26</f>
        <v>21676</v>
      </c>
      <c r="W20" s="102">
        <f>TrRoad_act!W$26</f>
        <v>26790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16354</v>
      </c>
      <c r="C21" s="110">
        <f>TrRail_act!C$10</f>
        <v>16102</v>
      </c>
      <c r="D21" s="110">
        <f>TrRail_act!D$10</f>
        <v>15218</v>
      </c>
      <c r="E21" s="110">
        <f>TrRail_act!E$10</f>
        <v>15039</v>
      </c>
      <c r="F21" s="110">
        <f>TrRail_act!F$10</f>
        <v>17022</v>
      </c>
      <c r="G21" s="110">
        <f>TrRail_act!G$10</f>
        <v>16582</v>
      </c>
      <c r="H21" s="110">
        <f>TrRail_act!H$10</f>
        <v>15791</v>
      </c>
      <c r="I21" s="110">
        <f>TrRail_act!I$10</f>
        <v>15757</v>
      </c>
      <c r="J21" s="110">
        <f>TrRail_act!J$10</f>
        <v>15236</v>
      </c>
      <c r="K21" s="110">
        <f>TrRail_act!K$10</f>
        <v>11088</v>
      </c>
      <c r="L21" s="110">
        <f>TrRail_act!L$10</f>
        <v>12375</v>
      </c>
      <c r="M21" s="110">
        <f>TrRail_act!M$10</f>
        <v>14719</v>
      </c>
      <c r="N21" s="110">
        <f>TrRail_act!N$10</f>
        <v>13472</v>
      </c>
      <c r="O21" s="110">
        <f>TrRail_act!O$10</f>
        <v>12941</v>
      </c>
      <c r="P21" s="110">
        <f>TrRail_act!P$10</f>
        <v>12264</v>
      </c>
      <c r="Q21" s="110">
        <f>TrRail_act!Q$10</f>
        <v>13673</v>
      </c>
      <c r="R21" s="110">
        <f>TrRail_act!R$10</f>
        <v>13535</v>
      </c>
      <c r="S21" s="110">
        <f>TrRail_act!S$10</f>
        <v>13782</v>
      </c>
      <c r="T21" s="110">
        <f>TrRail_act!T$10</f>
        <v>13076</v>
      </c>
      <c r="U21" s="110">
        <f>TrRail_act!U$10</f>
        <v>13312</v>
      </c>
      <c r="V21" s="110">
        <f>TrRail_act!V$10</f>
        <v>12291</v>
      </c>
      <c r="W21" s="110">
        <f>TrRail_act!W$10</f>
        <v>13625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11.997278245949712</v>
      </c>
      <c r="C22" s="110">
        <f t="shared" ref="C22:V22" si="19">C23+C24+C25</f>
        <v>11.462034791370254</v>
      </c>
      <c r="D22" s="110">
        <f t="shared" si="19"/>
        <v>10.611606507906561</v>
      </c>
      <c r="E22" s="110">
        <f t="shared" si="19"/>
        <v>10.421226114018861</v>
      </c>
      <c r="F22" s="110">
        <f t="shared" si="19"/>
        <v>10.280017455328917</v>
      </c>
      <c r="G22" s="110">
        <f t="shared" si="19"/>
        <v>7.009449416418418</v>
      </c>
      <c r="H22" s="110">
        <f t="shared" si="19"/>
        <v>6.9569715951451645</v>
      </c>
      <c r="I22" s="110">
        <f t="shared" si="19"/>
        <v>8.0608435128544897</v>
      </c>
      <c r="J22" s="110">
        <f t="shared" si="19"/>
        <v>11.840434220567376</v>
      </c>
      <c r="K22" s="110">
        <f t="shared" si="19"/>
        <v>12.365668839608144</v>
      </c>
      <c r="L22" s="110">
        <f t="shared" si="19"/>
        <v>14.069629684564958</v>
      </c>
      <c r="M22" s="110">
        <f t="shared" si="19"/>
        <v>18.494783009681065</v>
      </c>
      <c r="N22" s="110">
        <f t="shared" si="19"/>
        <v>27.515691223901342</v>
      </c>
      <c r="O22" s="110">
        <f t="shared" si="19"/>
        <v>29.654378255085497</v>
      </c>
      <c r="P22" s="110">
        <f t="shared" si="19"/>
        <v>24.943572929938206</v>
      </c>
      <c r="Q22" s="110">
        <f t="shared" si="19"/>
        <v>24.754512416125099</v>
      </c>
      <c r="R22" s="110">
        <f t="shared" si="19"/>
        <v>26.535513582953975</v>
      </c>
      <c r="S22" s="110">
        <f t="shared" si="19"/>
        <v>27.058213492743189</v>
      </c>
      <c r="T22" s="110">
        <f t="shared" si="19"/>
        <v>24.628049373171145</v>
      </c>
      <c r="U22" s="110">
        <f t="shared" si="19"/>
        <v>21.099691667935708</v>
      </c>
      <c r="V22" s="110">
        <f t="shared" si="19"/>
        <v>15.238925071963529</v>
      </c>
      <c r="W22" s="110">
        <f t="shared" ref="W22" si="20">W23+W24+W25</f>
        <v>15.20861862171439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0.13721549537919039</v>
      </c>
      <c r="C23" s="102">
        <f>TrAvia_act!C$9</f>
        <v>0.11760073759958296</v>
      </c>
      <c r="D23" s="102">
        <f>TrAvia_act!D$9</f>
        <v>0.10820254336769441</v>
      </c>
      <c r="E23" s="102">
        <f>TrAvia_act!E$9</f>
        <v>0.11170857765033576</v>
      </c>
      <c r="F23" s="102">
        <f>TrAvia_act!F$9</f>
        <v>0.11794175148072025</v>
      </c>
      <c r="G23" s="102">
        <f>TrAvia_act!G$9</f>
        <v>5.8163602465796473E-2</v>
      </c>
      <c r="H23" s="102">
        <f>TrAvia_act!H$9</f>
        <v>0.12937240214330964</v>
      </c>
      <c r="I23" s="102">
        <f>TrAvia_act!I$9</f>
        <v>0.12090907554631625</v>
      </c>
      <c r="J23" s="102">
        <f>TrAvia_act!J$9</f>
        <v>6.9749502764536522E-2</v>
      </c>
      <c r="K23" s="102">
        <f>TrAvia_act!K$9</f>
        <v>4.8420953007603976E-2</v>
      </c>
      <c r="L23" s="102">
        <f>TrAvia_act!L$9</f>
        <v>3.6292609536368682E-2</v>
      </c>
      <c r="M23" s="102">
        <f>TrAvia_act!M$9</f>
        <v>2.963580208765489E-2</v>
      </c>
      <c r="N23" s="102">
        <f>TrAvia_act!N$9</f>
        <v>2.3662293835182174E-2</v>
      </c>
      <c r="O23" s="102">
        <f>TrAvia_act!O$9</f>
        <v>1.6835587356580181E-2</v>
      </c>
      <c r="P23" s="102">
        <f>TrAvia_act!P$9</f>
        <v>1.1744861357854077E-2</v>
      </c>
      <c r="Q23" s="102">
        <f>TrAvia_act!Q$9</f>
        <v>8.3636165506890039E-3</v>
      </c>
      <c r="R23" s="102">
        <f>TrAvia_act!R$9</f>
        <v>2.0034923549921781E-2</v>
      </c>
      <c r="S23" s="102">
        <f>TrAvia_act!S$9</f>
        <v>6.7231202608109608E-2</v>
      </c>
      <c r="T23" s="102">
        <f>TrAvia_act!T$9</f>
        <v>0.1216548406517742</v>
      </c>
      <c r="U23" s="102">
        <f>TrAvia_act!U$9</f>
        <v>0.19681577589116078</v>
      </c>
      <c r="V23" s="102">
        <f>TrAvia_act!V$9</f>
        <v>0.22975663599726021</v>
      </c>
      <c r="W23" s="102">
        <f>TrAvia_act!W$9</f>
        <v>0.33530705155785001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5.836542550062755</v>
      </c>
      <c r="C24" s="102">
        <f>TrAvia_act!C$10</f>
        <v>5.2049240257509926</v>
      </c>
      <c r="D24" s="102">
        <f>TrAvia_act!D$10</f>
        <v>4.5440528254867498</v>
      </c>
      <c r="E24" s="102">
        <f>TrAvia_act!E$10</f>
        <v>4.4547050838336935</v>
      </c>
      <c r="F24" s="102">
        <f>TrAvia_act!F$10</f>
        <v>4.6209985594210599</v>
      </c>
      <c r="G24" s="102">
        <f>TrAvia_act!G$10</f>
        <v>4.5003536435741411</v>
      </c>
      <c r="H24" s="102">
        <f>TrAvia_act!H$10</f>
        <v>4.307415397225423</v>
      </c>
      <c r="I24" s="102">
        <f>TrAvia_act!I$10</f>
        <v>4.1256861894401347</v>
      </c>
      <c r="J24" s="102">
        <f>TrAvia_act!J$10</f>
        <v>6.5432063986038758</v>
      </c>
      <c r="K24" s="102">
        <f>TrAvia_act!K$10</f>
        <v>8.2298114197155687</v>
      </c>
      <c r="L24" s="102">
        <f>TrAvia_act!L$10</f>
        <v>9.1667453629634625</v>
      </c>
      <c r="M24" s="102">
        <f>TrAvia_act!M$10</f>
        <v>10.041152721768064</v>
      </c>
      <c r="N24" s="102">
        <f>TrAvia_act!N$10</f>
        <v>11.082910234317705</v>
      </c>
      <c r="O24" s="102">
        <f>TrAvia_act!O$10</f>
        <v>11.752371823566595</v>
      </c>
      <c r="P24" s="102">
        <f>TrAvia_act!P$10</f>
        <v>13.307735742264613</v>
      </c>
      <c r="Q24" s="102">
        <f>TrAvia_act!Q$10</f>
        <v>15.300741993344641</v>
      </c>
      <c r="R24" s="102">
        <f>TrAvia_act!R$10</f>
        <v>17.798043762795199</v>
      </c>
      <c r="S24" s="102">
        <f>TrAvia_act!S$10</f>
        <v>19.325401149732585</v>
      </c>
      <c r="T24" s="102">
        <f>TrAvia_act!T$10</f>
        <v>20.269370287955546</v>
      </c>
      <c r="U24" s="102">
        <f>TrAvia_act!U$10</f>
        <v>13.966237374342487</v>
      </c>
      <c r="V24" s="102">
        <f>TrAvia_act!V$10</f>
        <v>10.658674455655083</v>
      </c>
      <c r="W24" s="102">
        <f>TrAvia_act!W$10</f>
        <v>11.113338182810651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6.0235202005077655</v>
      </c>
      <c r="C25" s="102">
        <f>TrAvia_act!C$11</f>
        <v>6.1395100280196777</v>
      </c>
      <c r="D25" s="102">
        <f>TrAvia_act!D$11</f>
        <v>5.9593511390521163</v>
      </c>
      <c r="E25" s="102">
        <f>TrAvia_act!E$11</f>
        <v>5.8548124525348317</v>
      </c>
      <c r="F25" s="102">
        <f>TrAvia_act!F$11</f>
        <v>5.5410771444271356</v>
      </c>
      <c r="G25" s="102">
        <f>TrAvia_act!G$11</f>
        <v>2.4509321703784797</v>
      </c>
      <c r="H25" s="102">
        <f>TrAvia_act!H$11</f>
        <v>2.5201837957764321</v>
      </c>
      <c r="I25" s="102">
        <f>TrAvia_act!I$11</f>
        <v>3.8142482478680382</v>
      </c>
      <c r="J25" s="102">
        <f>TrAvia_act!J$11</f>
        <v>5.2274783191989638</v>
      </c>
      <c r="K25" s="102">
        <f>TrAvia_act!K$11</f>
        <v>4.087436466884971</v>
      </c>
      <c r="L25" s="102">
        <f>TrAvia_act!L$11</f>
        <v>4.8665917120651265</v>
      </c>
      <c r="M25" s="102">
        <f>TrAvia_act!M$11</f>
        <v>8.4239944858253448</v>
      </c>
      <c r="N25" s="102">
        <f>TrAvia_act!N$11</f>
        <v>16.409118695748457</v>
      </c>
      <c r="O25" s="102">
        <f>TrAvia_act!O$11</f>
        <v>17.885170844162321</v>
      </c>
      <c r="P25" s="102">
        <f>TrAvia_act!P$11</f>
        <v>11.62409232631574</v>
      </c>
      <c r="Q25" s="102">
        <f>TrAvia_act!Q$11</f>
        <v>9.4454068062297694</v>
      </c>
      <c r="R25" s="102">
        <f>TrAvia_act!R$11</f>
        <v>8.7174348966088555</v>
      </c>
      <c r="S25" s="102">
        <f>TrAvia_act!S$11</f>
        <v>7.6655811404024954</v>
      </c>
      <c r="T25" s="102">
        <f>TrAvia_act!T$11</f>
        <v>4.2370242445638215</v>
      </c>
      <c r="U25" s="102">
        <f>TrAvia_act!U$11</f>
        <v>6.9366385177020593</v>
      </c>
      <c r="V25" s="102">
        <f>TrAvia_act!V$11</f>
        <v>4.3504939803111853</v>
      </c>
      <c r="W25" s="102">
        <f>TrAvia_act!W$11</f>
        <v>3.7599733873458887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2634</v>
      </c>
      <c r="C26" s="110">
        <f t="shared" si="21"/>
        <v>2746</v>
      </c>
      <c r="D26" s="110">
        <f t="shared" si="21"/>
        <v>3641</v>
      </c>
      <c r="E26" s="110">
        <f t="shared" si="21"/>
        <v>3521</v>
      </c>
      <c r="F26" s="110">
        <f t="shared" si="21"/>
        <v>6955</v>
      </c>
      <c r="G26" s="110">
        <f t="shared" si="21"/>
        <v>8435</v>
      </c>
      <c r="H26" s="110">
        <f t="shared" si="21"/>
        <v>8157</v>
      </c>
      <c r="I26" s="110">
        <f t="shared" si="21"/>
        <v>8195</v>
      </c>
      <c r="J26" s="110">
        <f t="shared" si="21"/>
        <v>8687</v>
      </c>
      <c r="K26" s="110">
        <f t="shared" si="21"/>
        <v>11765</v>
      </c>
      <c r="L26" s="110">
        <f t="shared" si="21"/>
        <v>14317</v>
      </c>
      <c r="M26" s="110">
        <f t="shared" si="21"/>
        <v>11409</v>
      </c>
      <c r="N26" s="110">
        <f t="shared" si="21"/>
        <v>12520</v>
      </c>
      <c r="O26" s="110">
        <f t="shared" si="21"/>
        <v>12242</v>
      </c>
      <c r="P26" s="110">
        <f t="shared" si="21"/>
        <v>11760</v>
      </c>
      <c r="Q26" s="110">
        <f t="shared" si="21"/>
        <v>13168</v>
      </c>
      <c r="R26" s="110">
        <f t="shared" ref="R26:V26" si="22">R27+R28</f>
        <v>13153</v>
      </c>
      <c r="S26" s="110">
        <f t="shared" si="22"/>
        <v>12517</v>
      </c>
      <c r="T26" s="110">
        <f t="shared" si="22"/>
        <v>12261</v>
      </c>
      <c r="U26" s="110">
        <f t="shared" si="22"/>
        <v>13957</v>
      </c>
      <c r="V26" s="110">
        <f t="shared" si="22"/>
        <v>13638</v>
      </c>
      <c r="W26" s="110">
        <f t="shared" ref="W26" si="23">W27+W28</f>
        <v>13522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0</v>
      </c>
      <c r="C27" s="102">
        <f>TrNavi_act!C4</f>
        <v>0</v>
      </c>
      <c r="D27" s="102">
        <f>TrNavi_act!D4</f>
        <v>0</v>
      </c>
      <c r="E27" s="102">
        <f>TrNavi_act!E4</f>
        <v>0</v>
      </c>
      <c r="F27" s="102">
        <f>TrNavi_act!F4</f>
        <v>0</v>
      </c>
      <c r="G27" s="102">
        <f>TrNavi_act!G4</f>
        <v>0</v>
      </c>
      <c r="H27" s="102">
        <f>TrNavi_act!H4</f>
        <v>0</v>
      </c>
      <c r="I27" s="102">
        <f>TrNavi_act!I4</f>
        <v>0</v>
      </c>
      <c r="J27" s="102">
        <f>TrNavi_act!J4</f>
        <v>0</v>
      </c>
      <c r="K27" s="102">
        <f>TrNavi_act!K4</f>
        <v>0</v>
      </c>
      <c r="L27" s="102">
        <f>TrNavi_act!L4</f>
        <v>0</v>
      </c>
      <c r="M27" s="102">
        <f>TrNavi_act!M4</f>
        <v>0</v>
      </c>
      <c r="N27" s="102">
        <f>TrNavi_act!N4</f>
        <v>0</v>
      </c>
      <c r="O27" s="102">
        <f>TrNavi_act!O4</f>
        <v>0</v>
      </c>
      <c r="P27" s="102">
        <f>TrNavi_act!P4</f>
        <v>0</v>
      </c>
      <c r="Q27" s="102">
        <f>TrNavi_act!Q4</f>
        <v>0</v>
      </c>
      <c r="R27" s="102">
        <f>TrNavi_act!R4</f>
        <v>0</v>
      </c>
      <c r="S27" s="102">
        <f>TrNavi_act!S4</f>
        <v>0</v>
      </c>
      <c r="T27" s="102">
        <f>TrNavi_act!T4</f>
        <v>0</v>
      </c>
      <c r="U27" s="102">
        <f>TrNavi_act!U4</f>
        <v>0</v>
      </c>
      <c r="V27" s="102">
        <f>TrNavi_act!V4</f>
        <v>0</v>
      </c>
      <c r="W27" s="102">
        <f>TrNavi_act!W4</f>
        <v>0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2634</v>
      </c>
      <c r="C28" s="169">
        <f>TrNavi_act!C5</f>
        <v>2746</v>
      </c>
      <c r="D28" s="169">
        <f>TrNavi_act!D5</f>
        <v>3641</v>
      </c>
      <c r="E28" s="169">
        <f>TrNavi_act!E5</f>
        <v>3521</v>
      </c>
      <c r="F28" s="169">
        <f>TrNavi_act!F5</f>
        <v>6955</v>
      </c>
      <c r="G28" s="169">
        <f>TrNavi_act!G5</f>
        <v>8435</v>
      </c>
      <c r="H28" s="169">
        <f>TrNavi_act!H5</f>
        <v>8157</v>
      </c>
      <c r="I28" s="169">
        <f>TrNavi_act!I5</f>
        <v>8195</v>
      </c>
      <c r="J28" s="169">
        <f>TrNavi_act!J5</f>
        <v>8687</v>
      </c>
      <c r="K28" s="169">
        <f>TrNavi_act!K5</f>
        <v>11765</v>
      </c>
      <c r="L28" s="169">
        <f>TrNavi_act!L5</f>
        <v>14317</v>
      </c>
      <c r="M28" s="169">
        <f>TrNavi_act!M5</f>
        <v>11409</v>
      </c>
      <c r="N28" s="169">
        <f>TrNavi_act!N5</f>
        <v>12520</v>
      </c>
      <c r="O28" s="169">
        <f>TrNavi_act!O5</f>
        <v>12242</v>
      </c>
      <c r="P28" s="169">
        <f>TrNavi_act!P5</f>
        <v>11760</v>
      </c>
      <c r="Q28" s="169">
        <f>TrNavi_act!Q5</f>
        <v>13168</v>
      </c>
      <c r="R28" s="169">
        <f>TrNavi_act!R5</f>
        <v>13153</v>
      </c>
      <c r="S28" s="169">
        <f>TrNavi_act!S5</f>
        <v>12517</v>
      </c>
      <c r="T28" s="169">
        <f>TrNavi_act!T5</f>
        <v>12261</v>
      </c>
      <c r="U28" s="169">
        <f>TrNavi_act!U5</f>
        <v>13957</v>
      </c>
      <c r="V28" s="169">
        <f>TrNavi_act!V5</f>
        <v>13638</v>
      </c>
      <c r="W28" s="169">
        <f>TrNavi_act!W5</f>
        <v>13522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0</v>
      </c>
      <c r="C29" s="28">
        <f t="shared" si="24"/>
        <v>0</v>
      </c>
      <c r="D29" s="28">
        <f t="shared" si="24"/>
        <v>0</v>
      </c>
      <c r="E29" s="28">
        <f t="shared" si="24"/>
        <v>0</v>
      </c>
      <c r="F29" s="28">
        <f t="shared" si="24"/>
        <v>0</v>
      </c>
      <c r="G29" s="28">
        <f t="shared" si="24"/>
        <v>0</v>
      </c>
      <c r="H29" s="28">
        <f t="shared" si="24"/>
        <v>0</v>
      </c>
      <c r="I29" s="28">
        <f t="shared" si="24"/>
        <v>85261.918619999997</v>
      </c>
      <c r="J29" s="28">
        <f t="shared" si="24"/>
        <v>104396.89372399999</v>
      </c>
      <c r="K29" s="28">
        <f t="shared" si="24"/>
        <v>63048.293743999995</v>
      </c>
      <c r="L29" s="28">
        <f t="shared" si="24"/>
        <v>80360.56111000001</v>
      </c>
      <c r="M29" s="28">
        <f t="shared" si="24"/>
        <v>80424.612057999999</v>
      </c>
      <c r="N29" s="28">
        <f t="shared" si="24"/>
        <v>91672.594737000007</v>
      </c>
      <c r="O29" s="28">
        <f t="shared" si="24"/>
        <v>108033.278964</v>
      </c>
      <c r="P29" s="28">
        <f t="shared" si="24"/>
        <v>90164.729099999997</v>
      </c>
      <c r="Q29" s="28">
        <f t="shared" si="24"/>
        <v>98789.199107000008</v>
      </c>
      <c r="R29" s="28">
        <f t="shared" si="24"/>
        <v>96005.19610999999</v>
      </c>
      <c r="S29" s="28">
        <f t="shared" si="24"/>
        <v>91348.703477999996</v>
      </c>
      <c r="T29" s="28">
        <f t="shared" si="24"/>
        <v>102060.770823</v>
      </c>
      <c r="U29" s="28">
        <f t="shared" si="24"/>
        <v>111028.48065999999</v>
      </c>
      <c r="V29" s="28">
        <f t="shared" si="24"/>
        <v>93216.732281000004</v>
      </c>
      <c r="W29" s="28">
        <f t="shared" si="24"/>
        <v>109153.660219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0</v>
      </c>
      <c r="C30" s="102">
        <f>MBunk_act!C$4</f>
        <v>0</v>
      </c>
      <c r="D30" s="102">
        <f>MBunk_act!D$4</f>
        <v>0</v>
      </c>
      <c r="E30" s="102">
        <f>MBunk_act!E$4</f>
        <v>0</v>
      </c>
      <c r="F30" s="102">
        <f>MBunk_act!F$4</f>
        <v>0</v>
      </c>
      <c r="G30" s="102">
        <f>MBunk_act!G$4</f>
        <v>0</v>
      </c>
      <c r="H30" s="102">
        <f>MBunk_act!H$4</f>
        <v>0</v>
      </c>
      <c r="I30" s="102">
        <f>MBunk_act!I$4</f>
        <v>9689.2467199999992</v>
      </c>
      <c r="J30" s="102">
        <f>MBunk_act!J$4</f>
        <v>11405.927935</v>
      </c>
      <c r="K30" s="102">
        <f>MBunk_act!K$4</f>
        <v>18991.729664999999</v>
      </c>
      <c r="L30" s="102">
        <f>MBunk_act!L$4</f>
        <v>17337.809384</v>
      </c>
      <c r="M30" s="102">
        <f>MBunk_act!M$4</f>
        <v>15223.862709000001</v>
      </c>
      <c r="N30" s="102">
        <f>MBunk_act!N$4</f>
        <v>13400.720387000001</v>
      </c>
      <c r="O30" s="102">
        <f>MBunk_act!O$4</f>
        <v>14547.731978</v>
      </c>
      <c r="P30" s="102">
        <f>MBunk_act!P$4</f>
        <v>17673.512666000002</v>
      </c>
      <c r="Q30" s="102">
        <f>MBunk_act!Q$4</f>
        <v>19662.816300999999</v>
      </c>
      <c r="R30" s="102">
        <f>MBunk_act!R$4</f>
        <v>19811.197026000002</v>
      </c>
      <c r="S30" s="102">
        <f>MBunk_act!S$4</f>
        <v>22020.835884</v>
      </c>
      <c r="T30" s="102">
        <f>MBunk_act!T$4</f>
        <v>26446.241291999999</v>
      </c>
      <c r="U30" s="102">
        <f>MBunk_act!U$4</f>
        <v>21595.406935999999</v>
      </c>
      <c r="V30" s="102">
        <f>MBunk_act!V$4</f>
        <v>20278.448015000002</v>
      </c>
      <c r="W30" s="102">
        <f>MBunk_act!W$4</f>
        <v>21179.515822000001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0</v>
      </c>
      <c r="C31" s="86">
        <f>MBunk_act!C$5</f>
        <v>0</v>
      </c>
      <c r="D31" s="86">
        <f>MBunk_act!D$5</f>
        <v>0</v>
      </c>
      <c r="E31" s="86">
        <f>MBunk_act!E$5</f>
        <v>0</v>
      </c>
      <c r="F31" s="86">
        <f>MBunk_act!F$5</f>
        <v>0</v>
      </c>
      <c r="G31" s="86">
        <f>MBunk_act!G$5</f>
        <v>0</v>
      </c>
      <c r="H31" s="86">
        <f>MBunk_act!H$5</f>
        <v>0</v>
      </c>
      <c r="I31" s="86">
        <f>MBunk_act!I$5</f>
        <v>75572.671900000001</v>
      </c>
      <c r="J31" s="86">
        <f>MBunk_act!J$5</f>
        <v>92990.965788999994</v>
      </c>
      <c r="K31" s="86">
        <f>MBunk_act!K$5</f>
        <v>44056.564078999996</v>
      </c>
      <c r="L31" s="86">
        <f>MBunk_act!L$5</f>
        <v>63022.751726000002</v>
      </c>
      <c r="M31" s="86">
        <f>MBunk_act!M$5</f>
        <v>65200.749348999998</v>
      </c>
      <c r="N31" s="86">
        <f>MBunk_act!N$5</f>
        <v>78271.874349999998</v>
      </c>
      <c r="O31" s="86">
        <f>MBunk_act!O$5</f>
        <v>93485.546986000001</v>
      </c>
      <c r="P31" s="86">
        <f>MBunk_act!P$5</f>
        <v>72491.216434000002</v>
      </c>
      <c r="Q31" s="86">
        <f>MBunk_act!Q$5</f>
        <v>79126.382806000009</v>
      </c>
      <c r="R31" s="86">
        <f>MBunk_act!R$5</f>
        <v>76193.999083999995</v>
      </c>
      <c r="S31" s="86">
        <f>MBunk_act!S$5</f>
        <v>69327.867593999996</v>
      </c>
      <c r="T31" s="86">
        <f>MBunk_act!T$5</f>
        <v>75614.529531000007</v>
      </c>
      <c r="U31" s="86">
        <f>MBunk_act!U$5</f>
        <v>89433.073723999987</v>
      </c>
      <c r="V31" s="86">
        <f>MBunk_act!V$5</f>
        <v>72938.284266000002</v>
      </c>
      <c r="W31" s="86">
        <f>MBunk_act!W$5</f>
        <v>87974.144396999996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2187.3953411799148</v>
      </c>
      <c r="C34" s="28">
        <f t="shared" si="25"/>
        <v>2572.3905967918445</v>
      </c>
      <c r="D34" s="28">
        <f t="shared" si="25"/>
        <v>2617.5283989774121</v>
      </c>
      <c r="E34" s="28">
        <f t="shared" si="25"/>
        <v>2785.4948719587278</v>
      </c>
      <c r="F34" s="28">
        <f t="shared" si="25"/>
        <v>3054.466614112705</v>
      </c>
      <c r="G34" s="28">
        <f t="shared" si="25"/>
        <v>2869.7730579458253</v>
      </c>
      <c r="H34" s="28">
        <f t="shared" si="25"/>
        <v>2839.8832843777445</v>
      </c>
      <c r="I34" s="28">
        <f t="shared" si="25"/>
        <v>3162.1749793484905</v>
      </c>
      <c r="J34" s="28">
        <f t="shared" si="25"/>
        <v>3650.1589778557841</v>
      </c>
      <c r="K34" s="28">
        <f t="shared" si="25"/>
        <v>3823.6331962659974</v>
      </c>
      <c r="L34" s="28">
        <f t="shared" si="25"/>
        <v>3800.5356898452487</v>
      </c>
      <c r="M34" s="28">
        <f t="shared" si="25"/>
        <v>3946.5634386075321</v>
      </c>
      <c r="N34" s="28">
        <f t="shared" si="25"/>
        <v>4085.3561249400341</v>
      </c>
      <c r="O34" s="28">
        <f t="shared" si="25"/>
        <v>3988.1914109438912</v>
      </c>
      <c r="P34" s="28">
        <f t="shared" si="25"/>
        <v>4122.3808120500416</v>
      </c>
      <c r="Q34" s="28">
        <f t="shared" si="25"/>
        <v>4213.0521887860468</v>
      </c>
      <c r="R34" s="28">
        <f t="shared" ref="R34:V34" si="26">R35+R39+R43</f>
        <v>4554.8854684744238</v>
      </c>
      <c r="S34" s="28">
        <f t="shared" si="26"/>
        <v>4885.8913663703534</v>
      </c>
      <c r="T34" s="28">
        <f t="shared" si="26"/>
        <v>4830.7647686580804</v>
      </c>
      <c r="U34" s="28">
        <f t="shared" si="26"/>
        <v>5014.7102721369611</v>
      </c>
      <c r="V34" s="28">
        <f t="shared" si="26"/>
        <v>4805.3288156970521</v>
      </c>
      <c r="W34" s="28">
        <f t="shared" ref="W34" si="27">W35+W39+W43</f>
        <v>5102.0592444992435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1792.5194175296947</v>
      </c>
      <c r="C35" s="137">
        <f t="shared" si="28"/>
        <v>2309.3446166441145</v>
      </c>
      <c r="D35" s="137">
        <f t="shared" si="28"/>
        <v>2312.3297339525739</v>
      </c>
      <c r="E35" s="137">
        <f t="shared" si="28"/>
        <v>2465.9693725140132</v>
      </c>
      <c r="F35" s="137">
        <f t="shared" si="28"/>
        <v>2706.2681637633209</v>
      </c>
      <c r="G35" s="137">
        <f t="shared" si="28"/>
        <v>2632.9097163541401</v>
      </c>
      <c r="H35" s="137">
        <f t="shared" si="28"/>
        <v>2591.9582232688176</v>
      </c>
      <c r="I35" s="137">
        <f t="shared" si="28"/>
        <v>2777.5962642285176</v>
      </c>
      <c r="J35" s="137">
        <f t="shared" si="28"/>
        <v>3265.5367857997185</v>
      </c>
      <c r="K35" s="137">
        <f t="shared" si="28"/>
        <v>3440.9767221564957</v>
      </c>
      <c r="L35" s="137">
        <f t="shared" si="28"/>
        <v>3361.9329159247563</v>
      </c>
      <c r="M35" s="137">
        <f t="shared" si="28"/>
        <v>3519.9059718095141</v>
      </c>
      <c r="N35" s="137">
        <f t="shared" si="28"/>
        <v>3708.2052261021686</v>
      </c>
      <c r="O35" s="137">
        <f t="shared" si="28"/>
        <v>3595.9837835292792</v>
      </c>
      <c r="P35" s="137">
        <f t="shared" si="28"/>
        <v>3749.9060834881939</v>
      </c>
      <c r="Q35" s="137">
        <f t="shared" si="28"/>
        <v>3808.9202704995705</v>
      </c>
      <c r="R35" s="137">
        <f t="shared" ref="R35:V35" si="29">R36+R37+R38</f>
        <v>4108.1726828592855</v>
      </c>
      <c r="S35" s="137">
        <f t="shared" si="29"/>
        <v>4361.1387573036955</v>
      </c>
      <c r="T35" s="137">
        <f t="shared" si="29"/>
        <v>4518.3229126353544</v>
      </c>
      <c r="U35" s="137">
        <f t="shared" si="29"/>
        <v>4649.2824661289087</v>
      </c>
      <c r="V35" s="137">
        <f t="shared" si="29"/>
        <v>4579.7011669160929</v>
      </c>
      <c r="W35" s="137">
        <f t="shared" ref="W35" si="30">W36+W37+W38</f>
        <v>4831.7120345006833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11.246861398307887</v>
      </c>
      <c r="C36" s="102">
        <f>TrRoad_ene!C$19</f>
        <v>11.18037148446431</v>
      </c>
      <c r="D36" s="102">
        <f>TrRoad_ene!D$19</f>
        <v>11.113758058581354</v>
      </c>
      <c r="E36" s="102">
        <f>TrRoad_ene!E$19</f>
        <v>11.159508476400392</v>
      </c>
      <c r="F36" s="102">
        <f>TrRoad_ene!F$19</f>
        <v>11.246218357345846</v>
      </c>
      <c r="G36" s="102">
        <f>TrRoad_ene!G$19</f>
        <v>10.776768052152489</v>
      </c>
      <c r="H36" s="102">
        <f>TrRoad_ene!H$19</f>
        <v>11.575487768818149</v>
      </c>
      <c r="I36" s="102">
        <f>TrRoad_ene!I$19</f>
        <v>12.304587099932776</v>
      </c>
      <c r="J36" s="102">
        <f>TrRoad_ene!J$19</f>
        <v>14.662563109553417</v>
      </c>
      <c r="K36" s="102">
        <f>TrRoad_ene!K$19</f>
        <v>15.658671803238512</v>
      </c>
      <c r="L36" s="102">
        <f>TrRoad_ene!L$19</f>
        <v>16.273549157241941</v>
      </c>
      <c r="M36" s="102">
        <f>TrRoad_ene!M$19</f>
        <v>16.99052509709837</v>
      </c>
      <c r="N36" s="102">
        <f>TrRoad_ene!N$19</f>
        <v>17.583804622233863</v>
      </c>
      <c r="O36" s="102">
        <f>TrRoad_ene!O$19</f>
        <v>18.516452506879912</v>
      </c>
      <c r="P36" s="102">
        <f>TrRoad_ene!P$19</f>
        <v>19.157003349259938</v>
      </c>
      <c r="Q36" s="102">
        <f>TrRoad_ene!Q$19</f>
        <v>19.959343333999698</v>
      </c>
      <c r="R36" s="102">
        <f>TrRoad_ene!R$19</f>
        <v>21.280934585891849</v>
      </c>
      <c r="S36" s="102">
        <f>TrRoad_ene!S$19</f>
        <v>20.021041227723408</v>
      </c>
      <c r="T36" s="102">
        <f>TrRoad_ene!T$19</f>
        <v>18.94018351796683</v>
      </c>
      <c r="U36" s="102">
        <f>TrRoad_ene!U$19</f>
        <v>19.917794164300251</v>
      </c>
      <c r="V36" s="102">
        <f>TrRoad_ene!V$19</f>
        <v>17.97202949363659</v>
      </c>
      <c r="W36" s="102">
        <f>TrRoad_ene!W$19</f>
        <v>16.628489835296087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1290.1163407964082</v>
      </c>
      <c r="C37" s="102">
        <f>TrRoad_ene!C$21</f>
        <v>1719.957874283022</v>
      </c>
      <c r="D37" s="102">
        <f>TrRoad_ene!D$21</f>
        <v>1749.4516170912243</v>
      </c>
      <c r="E37" s="102">
        <f>TrRoad_ene!E$21</f>
        <v>1834.8489877189468</v>
      </c>
      <c r="F37" s="102">
        <f>TrRoad_ene!F$21</f>
        <v>2037.3865205296845</v>
      </c>
      <c r="G37" s="102">
        <f>TrRoad_ene!G$21</f>
        <v>2008.1800650578195</v>
      </c>
      <c r="H37" s="102">
        <f>TrRoad_ene!H$21</f>
        <v>2012.2527055619712</v>
      </c>
      <c r="I37" s="102">
        <f>TrRoad_ene!I$21</f>
        <v>2137.0761649480555</v>
      </c>
      <c r="J37" s="102">
        <f>TrRoad_ene!J$21</f>
        <v>2379.7206618006098</v>
      </c>
      <c r="K37" s="102">
        <f>TrRoad_ene!K$21</f>
        <v>2528.171257228259</v>
      </c>
      <c r="L37" s="102">
        <f>TrRoad_ene!L$21</f>
        <v>2438.1381394233808</v>
      </c>
      <c r="M37" s="102">
        <f>TrRoad_ene!M$21</f>
        <v>2568.9000098565266</v>
      </c>
      <c r="N37" s="102">
        <f>TrRoad_ene!N$21</f>
        <v>2725.0076986411204</v>
      </c>
      <c r="O37" s="102">
        <f>TrRoad_ene!O$21</f>
        <v>2593.5098566693132</v>
      </c>
      <c r="P37" s="102">
        <f>TrRoad_ene!P$21</f>
        <v>2703.4909129682951</v>
      </c>
      <c r="Q37" s="102">
        <f>TrRoad_ene!Q$21</f>
        <v>2725.8300681081014</v>
      </c>
      <c r="R37" s="102">
        <f>TrRoad_ene!R$21</f>
        <v>2964.8343198458133</v>
      </c>
      <c r="S37" s="102">
        <f>TrRoad_ene!S$21</f>
        <v>3157.4937976409396</v>
      </c>
      <c r="T37" s="102">
        <f>TrRoad_ene!T$21</f>
        <v>3289.5645102548333</v>
      </c>
      <c r="U37" s="102">
        <f>TrRoad_ene!U$21</f>
        <v>3392.6253249980891</v>
      </c>
      <c r="V37" s="102">
        <f>TrRoad_ene!V$21</f>
        <v>3250.7908323591223</v>
      </c>
      <c r="W37" s="102">
        <f>TrRoad_ene!W$21</f>
        <v>3470.3541461123468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491.1562153349787</v>
      </c>
      <c r="C38" s="102">
        <f>TrRoad_ene!C$33</f>
        <v>578.20637087662828</v>
      </c>
      <c r="D38" s="102">
        <f>TrRoad_ene!D$33</f>
        <v>551.76435880276802</v>
      </c>
      <c r="E38" s="102">
        <f>TrRoad_ene!E$33</f>
        <v>619.96087631866612</v>
      </c>
      <c r="F38" s="102">
        <f>TrRoad_ene!F$33</f>
        <v>657.63542487629036</v>
      </c>
      <c r="G38" s="102">
        <f>TrRoad_ene!G$33</f>
        <v>613.95288324416799</v>
      </c>
      <c r="H38" s="102">
        <f>TrRoad_ene!H$33</f>
        <v>568.13002993802831</v>
      </c>
      <c r="I38" s="102">
        <f>TrRoad_ene!I$33</f>
        <v>628.21551218052923</v>
      </c>
      <c r="J38" s="102">
        <f>TrRoad_ene!J$33</f>
        <v>871.15356088955514</v>
      </c>
      <c r="K38" s="102">
        <f>TrRoad_ene!K$33</f>
        <v>897.146793124998</v>
      </c>
      <c r="L38" s="102">
        <f>TrRoad_ene!L$33</f>
        <v>907.52122734413331</v>
      </c>
      <c r="M38" s="102">
        <f>TrRoad_ene!M$33</f>
        <v>934.01543685588933</v>
      </c>
      <c r="N38" s="102">
        <f>TrRoad_ene!N$33</f>
        <v>965.61372283881417</v>
      </c>
      <c r="O38" s="102">
        <f>TrRoad_ene!O$33</f>
        <v>983.95747435308635</v>
      </c>
      <c r="P38" s="102">
        <f>TrRoad_ene!P$33</f>
        <v>1027.2581671706389</v>
      </c>
      <c r="Q38" s="102">
        <f>TrRoad_ene!Q$33</f>
        <v>1063.1308590574697</v>
      </c>
      <c r="R38" s="102">
        <f>TrRoad_ene!R$33</f>
        <v>1122.0574284275804</v>
      </c>
      <c r="S38" s="102">
        <f>TrRoad_ene!S$33</f>
        <v>1183.6239184350322</v>
      </c>
      <c r="T38" s="102">
        <f>TrRoad_ene!T$33</f>
        <v>1209.8182188625544</v>
      </c>
      <c r="U38" s="102">
        <f>TrRoad_ene!U$33</f>
        <v>1236.7393469665196</v>
      </c>
      <c r="V38" s="102">
        <f>TrRoad_ene!V$33</f>
        <v>1310.9383050633344</v>
      </c>
      <c r="W38" s="102">
        <f>TrRoad_ene!W$33</f>
        <v>1344.7293985530405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260.99613731546702</v>
      </c>
      <c r="C39" s="110">
        <f t="shared" si="31"/>
        <v>145.75659879991056</v>
      </c>
      <c r="D39" s="110">
        <f t="shared" si="31"/>
        <v>205.72351964221383</v>
      </c>
      <c r="E39" s="110">
        <f t="shared" si="31"/>
        <v>198.97298575527159</v>
      </c>
      <c r="F39" s="110">
        <f t="shared" si="31"/>
        <v>197.50085389806486</v>
      </c>
      <c r="G39" s="110">
        <f t="shared" si="31"/>
        <v>100.49224972550448</v>
      </c>
      <c r="H39" s="110">
        <f t="shared" si="31"/>
        <v>92.059000588834436</v>
      </c>
      <c r="I39" s="110">
        <f t="shared" si="31"/>
        <v>178.44542445100183</v>
      </c>
      <c r="J39" s="110">
        <f t="shared" si="31"/>
        <v>170.26016802467933</v>
      </c>
      <c r="K39" s="110">
        <f t="shared" si="31"/>
        <v>149.92854145201832</v>
      </c>
      <c r="L39" s="110">
        <f t="shared" si="31"/>
        <v>162.83832311189707</v>
      </c>
      <c r="M39" s="110">
        <f t="shared" si="31"/>
        <v>201.77576444130048</v>
      </c>
      <c r="N39" s="110">
        <f t="shared" si="31"/>
        <v>205.39559016433691</v>
      </c>
      <c r="O39" s="110">
        <f t="shared" si="31"/>
        <v>183.36647768181976</v>
      </c>
      <c r="P39" s="110">
        <f t="shared" si="31"/>
        <v>143.5230729758714</v>
      </c>
      <c r="Q39" s="110">
        <f t="shared" si="31"/>
        <v>134.2368551801091</v>
      </c>
      <c r="R39" s="110">
        <f t="shared" ref="R39:V39" si="32">R40+R41+R42</f>
        <v>130.39677127576414</v>
      </c>
      <c r="S39" s="110">
        <f t="shared" si="32"/>
        <v>142.36260863467939</v>
      </c>
      <c r="T39" s="110">
        <f t="shared" si="32"/>
        <v>120.62720561822871</v>
      </c>
      <c r="U39" s="110">
        <f t="shared" si="32"/>
        <v>148.99729259691668</v>
      </c>
      <c r="V39" s="110">
        <f t="shared" si="32"/>
        <v>140.49443979755148</v>
      </c>
      <c r="W39" s="110">
        <f t="shared" ref="W39" si="33">W40+W41+W42</f>
        <v>142.41777364635621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31.080091243056913</v>
      </c>
      <c r="C40" s="102">
        <f>TrRail_ene!C$12</f>
        <v>30.446470249286968</v>
      </c>
      <c r="D40" s="102">
        <f>TrRail_ene!D$12</f>
        <v>30.041630743973609</v>
      </c>
      <c r="E40" s="102">
        <f>TrRail_ene!E$12</f>
        <v>28.35734002312282</v>
      </c>
      <c r="F40" s="102">
        <f>TrRail_ene!F$12</f>
        <v>29.739389647028094</v>
      </c>
      <c r="G40" s="102">
        <f>TrRail_ene!G$12</f>
        <v>31.160788945721517</v>
      </c>
      <c r="H40" s="102">
        <f>TrRail_ene!H$12</f>
        <v>32.456958668576526</v>
      </c>
      <c r="I40" s="102">
        <f>TrRail_ene!I$12</f>
        <v>32.98257380286875</v>
      </c>
      <c r="J40" s="102">
        <f>TrRail_ene!J$12</f>
        <v>33.492719549749964</v>
      </c>
      <c r="K40" s="102">
        <f>TrRail_ene!K$12</f>
        <v>34.499769065241736</v>
      </c>
      <c r="L40" s="102">
        <f>TrRail_ene!L$12</f>
        <v>35.049451734708775</v>
      </c>
      <c r="M40" s="102">
        <f>TrRail_ene!M$12</f>
        <v>35.22562880307219</v>
      </c>
      <c r="N40" s="102">
        <f>TrRail_ene!N$12</f>
        <v>38.097189802315029</v>
      </c>
      <c r="O40" s="102">
        <f>TrRail_ene!O$12</f>
        <v>37.936971808194379</v>
      </c>
      <c r="P40" s="102">
        <f>TrRail_ene!P$12</f>
        <v>37.320114138586419</v>
      </c>
      <c r="Q40" s="102">
        <f>TrRail_ene!Q$12</f>
        <v>22.365994632316912</v>
      </c>
      <c r="R40" s="102">
        <f>TrRail_ene!R$12</f>
        <v>23.165234019544521</v>
      </c>
      <c r="S40" s="102">
        <f>TrRail_ene!S$12</f>
        <v>22.562131754009453</v>
      </c>
      <c r="T40" s="102">
        <f>TrRail_ene!T$12</f>
        <v>21.735494897822633</v>
      </c>
      <c r="U40" s="102">
        <f>TrRail_ene!U$12</f>
        <v>21.018797137020705</v>
      </c>
      <c r="V40" s="102">
        <f>TrRail_ene!V$12</f>
        <v>20.879067044428496</v>
      </c>
      <c r="W40" s="102">
        <f>TrRail_ene!W$12</f>
        <v>20.347753327573255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229.9160460724101</v>
      </c>
      <c r="C41" s="102">
        <f>TrRail_ene!C$13</f>
        <v>115.31012855062359</v>
      </c>
      <c r="D41" s="102">
        <f>TrRail_ene!D$13</f>
        <v>175.68188889824023</v>
      </c>
      <c r="E41" s="102">
        <f>TrRail_ene!E$13</f>
        <v>170.61564573214878</v>
      </c>
      <c r="F41" s="102">
        <f>TrRail_ene!F$13</f>
        <v>167.76146425103676</v>
      </c>
      <c r="G41" s="102">
        <f>TrRail_ene!G$13</f>
        <v>69.331460779782958</v>
      </c>
      <c r="H41" s="102">
        <f>TrRail_ene!H$13</f>
        <v>59.602041920257918</v>
      </c>
      <c r="I41" s="102">
        <f>TrRail_ene!I$13</f>
        <v>145.46285064813307</v>
      </c>
      <c r="J41" s="102">
        <f>TrRail_ene!J$13</f>
        <v>136.76744847492935</v>
      </c>
      <c r="K41" s="102">
        <f>TrRail_ene!K$13</f>
        <v>115.42877238677659</v>
      </c>
      <c r="L41" s="102">
        <f>TrRail_ene!L$13</f>
        <v>127.7888713771883</v>
      </c>
      <c r="M41" s="102">
        <f>TrRail_ene!M$13</f>
        <v>166.55013563822828</v>
      </c>
      <c r="N41" s="102">
        <f>TrRail_ene!N$13</f>
        <v>167.29840036202188</v>
      </c>
      <c r="O41" s="102">
        <f>TrRail_ene!O$13</f>
        <v>145.42950587362537</v>
      </c>
      <c r="P41" s="102">
        <f>TrRail_ene!P$13</f>
        <v>106.20295883728498</v>
      </c>
      <c r="Q41" s="102">
        <f>TrRail_ene!Q$13</f>
        <v>111.87086054779218</v>
      </c>
      <c r="R41" s="102">
        <f>TrRail_ene!R$13</f>
        <v>107.23153725621962</v>
      </c>
      <c r="S41" s="102">
        <f>TrRail_ene!S$13</f>
        <v>119.80047688066995</v>
      </c>
      <c r="T41" s="102">
        <f>TrRail_ene!T$13</f>
        <v>98.891710720406081</v>
      </c>
      <c r="U41" s="102">
        <f>TrRail_ene!U$13</f>
        <v>127.97849545989597</v>
      </c>
      <c r="V41" s="102">
        <f>TrRail_ene!V$13</f>
        <v>119.615372753123</v>
      </c>
      <c r="W41" s="102">
        <f>TrRail_ene!W$13</f>
        <v>122.07002031878295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133.87978633475311</v>
      </c>
      <c r="C43" s="110">
        <f t="shared" si="34"/>
        <v>117.28938134781963</v>
      </c>
      <c r="D43" s="110">
        <f t="shared" si="34"/>
        <v>99.475145382624277</v>
      </c>
      <c r="E43" s="110">
        <f t="shared" si="34"/>
        <v>120.55251368944306</v>
      </c>
      <c r="F43" s="110">
        <f t="shared" si="34"/>
        <v>150.69759645131882</v>
      </c>
      <c r="G43" s="110">
        <f t="shared" si="34"/>
        <v>136.37109186618096</v>
      </c>
      <c r="H43" s="110">
        <f t="shared" si="34"/>
        <v>155.86606052009233</v>
      </c>
      <c r="I43" s="110">
        <f t="shared" si="34"/>
        <v>206.13329066897126</v>
      </c>
      <c r="J43" s="110">
        <f t="shared" si="34"/>
        <v>214.36202403138611</v>
      </c>
      <c r="K43" s="110">
        <f t="shared" si="34"/>
        <v>232.72793265748339</v>
      </c>
      <c r="L43" s="110">
        <f t="shared" si="34"/>
        <v>275.76445080859531</v>
      </c>
      <c r="M43" s="110">
        <f t="shared" si="34"/>
        <v>224.8817023567178</v>
      </c>
      <c r="N43" s="110">
        <f t="shared" si="34"/>
        <v>171.7553086735283</v>
      </c>
      <c r="O43" s="110">
        <f t="shared" si="34"/>
        <v>208.84114973279233</v>
      </c>
      <c r="P43" s="110">
        <f t="shared" si="34"/>
        <v>228.95165558597682</v>
      </c>
      <c r="Q43" s="110">
        <f t="shared" si="34"/>
        <v>269.89506310636693</v>
      </c>
      <c r="R43" s="110">
        <f t="shared" ref="R43:V43" si="35">R44+R45+R46</f>
        <v>316.31601433937459</v>
      </c>
      <c r="S43" s="110">
        <f t="shared" si="35"/>
        <v>382.39000043197814</v>
      </c>
      <c r="T43" s="110">
        <f t="shared" si="35"/>
        <v>191.81465040449683</v>
      </c>
      <c r="U43" s="110">
        <f t="shared" si="35"/>
        <v>216.43051341113556</v>
      </c>
      <c r="V43" s="110">
        <f t="shared" si="35"/>
        <v>85.133208983407457</v>
      </c>
      <c r="W43" s="110">
        <f t="shared" ref="W43" si="36">W44+W45+W46</f>
        <v>127.92943635220368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6.2737625907928596</v>
      </c>
      <c r="C44" s="102">
        <f>TrAvia_ene!C$7</f>
        <v>3.1103652882637642</v>
      </c>
      <c r="D44" s="102">
        <f>TrAvia_ene!D$7</f>
        <v>2.05942207928361</v>
      </c>
      <c r="E44" s="102">
        <f>TrAvia_ene!E$7</f>
        <v>2.0610920732631324</v>
      </c>
      <c r="F44" s="102">
        <f>TrAvia_ene!F$7</f>
        <v>12.354613139019866</v>
      </c>
      <c r="G44" s="102">
        <f>TrAvia_ene!G$7</f>
        <v>11.638633174516047</v>
      </c>
      <c r="H44" s="102">
        <f>TrAvia_ene!H$7</f>
        <v>2.1166078043896532</v>
      </c>
      <c r="I44" s="102">
        <f>TrAvia_ene!I$7</f>
        <v>83.141222197109784</v>
      </c>
      <c r="J44" s="102">
        <f>TrAvia_ene!J$7</f>
        <v>80.884285093823308</v>
      </c>
      <c r="K44" s="102">
        <f>TrAvia_ene!K$7</f>
        <v>85.335674373643755</v>
      </c>
      <c r="L44" s="102">
        <f>TrAvia_ene!L$7</f>
        <v>111.18386157906802</v>
      </c>
      <c r="M44" s="102">
        <f>TrAvia_ene!M$7</f>
        <v>81.291820594573764</v>
      </c>
      <c r="N44" s="102">
        <f>TrAvia_ene!N$7</f>
        <v>40.391830360947417</v>
      </c>
      <c r="O44" s="102">
        <f>TrAvia_ene!O$7</f>
        <v>45.605705111205616</v>
      </c>
      <c r="P44" s="102">
        <f>TrAvia_ene!P$7</f>
        <v>24.26819261217339</v>
      </c>
      <c r="Q44" s="102">
        <f>TrAvia_ene!Q$7</f>
        <v>32.713469809147178</v>
      </c>
      <c r="R44" s="102">
        <f>TrAvia_ene!R$7</f>
        <v>27.989149908369363</v>
      </c>
      <c r="S44" s="102">
        <f>TrAvia_ene!S$7</f>
        <v>49.260975397179315</v>
      </c>
      <c r="T44" s="102">
        <f>TrAvia_ene!T$7</f>
        <v>55.456404215728199</v>
      </c>
      <c r="U44" s="102">
        <f>TrAvia_ene!U$7</f>
        <v>64.536091106046669</v>
      </c>
      <c r="V44" s="102">
        <f>TrAvia_ene!V$7</f>
        <v>38.404415456495357</v>
      </c>
      <c r="W44" s="102">
        <f>TrAvia_ene!W$7</f>
        <v>46.356511526767903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106.48056590162719</v>
      </c>
      <c r="C45" s="102">
        <f>TrAvia_ene!C$8</f>
        <v>95.282826098564854</v>
      </c>
      <c r="D45" s="102">
        <f>TrAvia_ene!D$8</f>
        <v>81.302077647429073</v>
      </c>
      <c r="E45" s="102">
        <f>TrAvia_ene!E$8</f>
        <v>98.903993607113279</v>
      </c>
      <c r="F45" s="102">
        <f>TrAvia_ene!F$8</f>
        <v>115.48820675856604</v>
      </c>
      <c r="G45" s="102">
        <f>TrAvia_ene!G$8</f>
        <v>104.40652238119232</v>
      </c>
      <c r="H45" s="102">
        <f>TrAvia_ene!H$8</f>
        <v>129.60021097424678</v>
      </c>
      <c r="I45" s="102">
        <f>TrAvia_ene!I$8</f>
        <v>104.89982290593353</v>
      </c>
      <c r="J45" s="102">
        <f>TrAvia_ene!J$8</f>
        <v>114.14382029354324</v>
      </c>
      <c r="K45" s="102">
        <f>TrAvia_ene!K$8</f>
        <v>125.58721090150577</v>
      </c>
      <c r="L45" s="102">
        <f>TrAvia_ene!L$8</f>
        <v>140.54173703136885</v>
      </c>
      <c r="M45" s="102">
        <f>TrAvia_ene!M$8</f>
        <v>122.60442070189279</v>
      </c>
      <c r="N45" s="102">
        <f>TrAvia_ene!N$8</f>
        <v>112.16218497984467</v>
      </c>
      <c r="O45" s="102">
        <f>TrAvia_ene!O$8</f>
        <v>139.53992088882853</v>
      </c>
      <c r="P45" s="102">
        <f>TrAvia_ene!P$8</f>
        <v>177.22125495364185</v>
      </c>
      <c r="Q45" s="102">
        <f>TrAvia_ene!Q$8</f>
        <v>207.40394668314454</v>
      </c>
      <c r="R45" s="102">
        <f>TrAvia_ene!R$8</f>
        <v>257.18476083680252</v>
      </c>
      <c r="S45" s="102">
        <f>TrAvia_ene!S$8</f>
        <v>300.80993195469131</v>
      </c>
      <c r="T45" s="102">
        <f>TrAvia_ene!T$8</f>
        <v>123.00473734987678</v>
      </c>
      <c r="U45" s="102">
        <f>TrAvia_ene!U$8</f>
        <v>137.45258672305053</v>
      </c>
      <c r="V45" s="102">
        <f>TrAvia_ene!V$8</f>
        <v>40.521051147611203</v>
      </c>
      <c r="W45" s="102">
        <f>TrAvia_ene!W$8</f>
        <v>72.148420388983538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21.125457842333063</v>
      </c>
      <c r="C46" s="102">
        <f>TrAvia_ene!C$9</f>
        <v>18.896189960991013</v>
      </c>
      <c r="D46" s="102">
        <f>TrAvia_ene!D$9</f>
        <v>16.11364565591159</v>
      </c>
      <c r="E46" s="102">
        <f>TrAvia_ene!E$9</f>
        <v>19.587428009066656</v>
      </c>
      <c r="F46" s="102">
        <f>TrAvia_ene!F$9</f>
        <v>22.854776553732915</v>
      </c>
      <c r="G46" s="102">
        <f>TrAvia_ene!G$9</f>
        <v>20.325936310472592</v>
      </c>
      <c r="H46" s="102">
        <f>TrAvia_ene!H$9</f>
        <v>24.149241741455917</v>
      </c>
      <c r="I46" s="102">
        <f>TrAvia_ene!I$9</f>
        <v>18.092245565927946</v>
      </c>
      <c r="J46" s="102">
        <f>TrAvia_ene!J$9</f>
        <v>19.333918644019555</v>
      </c>
      <c r="K46" s="102">
        <f>TrAvia_ene!K$9</f>
        <v>21.805047382333871</v>
      </c>
      <c r="L46" s="102">
        <f>TrAvia_ene!L$9</f>
        <v>24.03885219815847</v>
      </c>
      <c r="M46" s="102">
        <f>TrAvia_ene!M$9</f>
        <v>20.985461060251254</v>
      </c>
      <c r="N46" s="102">
        <f>TrAvia_ene!N$9</f>
        <v>19.201293332736224</v>
      </c>
      <c r="O46" s="102">
        <f>TrAvia_ene!O$9</f>
        <v>23.695523732758186</v>
      </c>
      <c r="P46" s="102">
        <f>TrAvia_ene!P$9</f>
        <v>27.462208020161611</v>
      </c>
      <c r="Q46" s="102">
        <f>TrAvia_ene!Q$9</f>
        <v>29.777646614075195</v>
      </c>
      <c r="R46" s="102">
        <f>TrAvia_ene!R$9</f>
        <v>31.142103594202684</v>
      </c>
      <c r="S46" s="102">
        <f>TrAvia_ene!S$9</f>
        <v>32.319093080107535</v>
      </c>
      <c r="T46" s="102">
        <f>TrAvia_ene!T$9</f>
        <v>13.353508838891855</v>
      </c>
      <c r="U46" s="102">
        <f>TrAvia_ene!U$9</f>
        <v>14.441835582038367</v>
      </c>
      <c r="V46" s="102">
        <f>TrAvia_ene!V$9</f>
        <v>6.2077423793008899</v>
      </c>
      <c r="W46" s="102">
        <f>TrAvia_ene!W$9</f>
        <v>9.4245044364522439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1139.6013914082193</v>
      </c>
      <c r="C47" s="28">
        <f t="shared" si="37"/>
        <v>1363.6793946097025</v>
      </c>
      <c r="D47" s="28">
        <f t="shared" si="37"/>
        <v>1490.9148512375496</v>
      </c>
      <c r="E47" s="28">
        <f t="shared" si="37"/>
        <v>1567.4637694858122</v>
      </c>
      <c r="F47" s="28">
        <f t="shared" si="37"/>
        <v>1478.7880720437875</v>
      </c>
      <c r="G47" s="28">
        <f t="shared" si="37"/>
        <v>1324.3995989759285</v>
      </c>
      <c r="H47" s="28">
        <f t="shared" si="37"/>
        <v>1511.2049357426336</v>
      </c>
      <c r="I47" s="28">
        <f t="shared" si="37"/>
        <v>1455.7043843660399</v>
      </c>
      <c r="J47" s="28">
        <f t="shared" si="37"/>
        <v>1543.8031029696663</v>
      </c>
      <c r="K47" s="28">
        <f t="shared" si="37"/>
        <v>1492.3433137311249</v>
      </c>
      <c r="L47" s="28">
        <f t="shared" si="37"/>
        <v>1280.36235486347</v>
      </c>
      <c r="M47" s="28">
        <f t="shared" si="37"/>
        <v>1369.5991772938892</v>
      </c>
      <c r="N47" s="28">
        <f t="shared" si="37"/>
        <v>1346.1726118921681</v>
      </c>
      <c r="O47" s="28">
        <f t="shared" si="37"/>
        <v>1357.7547282555126</v>
      </c>
      <c r="P47" s="28">
        <f t="shared" si="37"/>
        <v>1341.8388871407392</v>
      </c>
      <c r="Q47" s="28">
        <f t="shared" si="37"/>
        <v>1357.8797025371211</v>
      </c>
      <c r="R47" s="28">
        <f t="shared" ref="R47:V47" si="38">R48+R51+R52+R56</f>
        <v>1468.1298682605732</v>
      </c>
      <c r="S47" s="28">
        <f t="shared" si="38"/>
        <v>1594.3148620190639</v>
      </c>
      <c r="T47" s="28">
        <f t="shared" si="38"/>
        <v>1605.917442342756</v>
      </c>
      <c r="U47" s="28">
        <f t="shared" si="38"/>
        <v>1706.5779652802817</v>
      </c>
      <c r="V47" s="28">
        <f t="shared" si="38"/>
        <v>1699.9991300143145</v>
      </c>
      <c r="W47" s="28">
        <f t="shared" ref="W47" si="39">W48+W51+W52+W56</f>
        <v>1839.6290425536849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925.25065985637593</v>
      </c>
      <c r="C48" s="137">
        <f t="shared" si="40"/>
        <v>1188.4628640093674</v>
      </c>
      <c r="D48" s="137">
        <f t="shared" si="40"/>
        <v>1278.1236624360763</v>
      </c>
      <c r="E48" s="137">
        <f t="shared" si="40"/>
        <v>1413.2485982512492</v>
      </c>
      <c r="F48" s="137">
        <f t="shared" si="40"/>
        <v>1340.6101681369373</v>
      </c>
      <c r="G48" s="137">
        <f t="shared" si="40"/>
        <v>1221.366981840185</v>
      </c>
      <c r="H48" s="137">
        <f t="shared" si="40"/>
        <v>1413.7411748395225</v>
      </c>
      <c r="I48" s="137">
        <f t="shared" si="40"/>
        <v>1281.5939335358844</v>
      </c>
      <c r="J48" s="137">
        <f t="shared" si="40"/>
        <v>1387.3177283877267</v>
      </c>
      <c r="K48" s="137">
        <f t="shared" si="40"/>
        <v>1384.3256691819852</v>
      </c>
      <c r="L48" s="137">
        <f t="shared" si="40"/>
        <v>1159.2972010109615</v>
      </c>
      <c r="M48" s="137">
        <f t="shared" si="40"/>
        <v>1228.9692838167571</v>
      </c>
      <c r="N48" s="137">
        <f t="shared" si="40"/>
        <v>1224.0824101281419</v>
      </c>
      <c r="O48" s="137">
        <f t="shared" si="40"/>
        <v>1242.6661389891274</v>
      </c>
      <c r="P48" s="137">
        <f t="shared" si="40"/>
        <v>1251.4358856939891</v>
      </c>
      <c r="Q48" s="137">
        <f t="shared" si="40"/>
        <v>1246.0009587427717</v>
      </c>
      <c r="R48" s="137">
        <f t="shared" ref="R48:V48" si="41">R49+R50</f>
        <v>1361.0138490605787</v>
      </c>
      <c r="S48" s="137">
        <f t="shared" si="41"/>
        <v>1489.3274882826258</v>
      </c>
      <c r="T48" s="137">
        <f t="shared" si="41"/>
        <v>1505.4123508160405</v>
      </c>
      <c r="U48" s="137">
        <f t="shared" si="41"/>
        <v>1595.5864247707073</v>
      </c>
      <c r="V48" s="137">
        <f t="shared" si="41"/>
        <v>1599.7886876516791</v>
      </c>
      <c r="W48" s="137">
        <f t="shared" ref="W48" si="42">W49+W50</f>
        <v>1703.9706635582636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410.78614341779007</v>
      </c>
      <c r="C49" s="102">
        <f>TrRoad_ene!C$43</f>
        <v>430.62414744589432</v>
      </c>
      <c r="D49" s="102">
        <f>TrRoad_ene!D$43</f>
        <v>439.41583578013433</v>
      </c>
      <c r="E49" s="102">
        <f>TrRoad_ene!E$43</f>
        <v>454.03094462703473</v>
      </c>
      <c r="F49" s="102">
        <f>TrRoad_ene!F$43</f>
        <v>458.54400468877509</v>
      </c>
      <c r="G49" s="102">
        <f>TrRoad_ene!G$43</f>
        <v>480.04467042872727</v>
      </c>
      <c r="H49" s="102">
        <f>TrRoad_ene!H$43</f>
        <v>531.02379955391905</v>
      </c>
      <c r="I49" s="102">
        <f>TrRoad_ene!I$43</f>
        <v>544.31972161757801</v>
      </c>
      <c r="J49" s="102">
        <f>TrRoad_ene!J$43</f>
        <v>621.62413534737141</v>
      </c>
      <c r="K49" s="102">
        <f>TrRoad_ene!K$43</f>
        <v>637.56323063089735</v>
      </c>
      <c r="L49" s="102">
        <f>TrRoad_ene!L$43</f>
        <v>631.8882392649133</v>
      </c>
      <c r="M49" s="102">
        <f>TrRoad_ene!M$43</f>
        <v>669.58592983685458</v>
      </c>
      <c r="N49" s="102">
        <f>TrRoad_ene!N$43</f>
        <v>713.39446318776049</v>
      </c>
      <c r="O49" s="102">
        <f>TrRoad_ene!O$43</f>
        <v>732.98563535047049</v>
      </c>
      <c r="P49" s="102">
        <f>TrRoad_ene!P$43</f>
        <v>782.20843639446991</v>
      </c>
      <c r="Q49" s="102">
        <f>TrRoad_ene!Q$43</f>
        <v>812.44118317516222</v>
      </c>
      <c r="R49" s="102">
        <f>TrRoad_ene!R$43</f>
        <v>843.55859130429269</v>
      </c>
      <c r="S49" s="102">
        <f>TrRoad_ene!S$43</f>
        <v>895.03933766992066</v>
      </c>
      <c r="T49" s="102">
        <f>TrRoad_ene!T$43</f>
        <v>950.49566252976672</v>
      </c>
      <c r="U49" s="102">
        <f>TrRoad_ene!U$43</f>
        <v>990.87993698267803</v>
      </c>
      <c r="V49" s="102">
        <f>TrRoad_ene!V$43</f>
        <v>1023.5217912111973</v>
      </c>
      <c r="W49" s="102">
        <f>TrRoad_ene!W$43</f>
        <v>1066.5861438423638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514.46451643858586</v>
      </c>
      <c r="C50" s="102">
        <f>TrRoad_ene!C$52</f>
        <v>757.8387165634731</v>
      </c>
      <c r="D50" s="102">
        <f>TrRoad_ene!D$52</f>
        <v>838.70782665594197</v>
      </c>
      <c r="E50" s="102">
        <f>TrRoad_ene!E$52</f>
        <v>959.21765362421445</v>
      </c>
      <c r="F50" s="102">
        <f>TrRoad_ene!F$52</f>
        <v>882.06616344816211</v>
      </c>
      <c r="G50" s="102">
        <f>TrRoad_ene!G$52</f>
        <v>741.3223114114578</v>
      </c>
      <c r="H50" s="102">
        <f>TrRoad_ene!H$52</f>
        <v>882.71737528560334</v>
      </c>
      <c r="I50" s="102">
        <f>TrRoad_ene!I$52</f>
        <v>737.27421191830638</v>
      </c>
      <c r="J50" s="102">
        <f>TrRoad_ene!J$52</f>
        <v>765.69359304035538</v>
      </c>
      <c r="K50" s="102">
        <f>TrRoad_ene!K$52</f>
        <v>746.76243855108783</v>
      </c>
      <c r="L50" s="102">
        <f>TrRoad_ene!L$52</f>
        <v>527.40896174604836</v>
      </c>
      <c r="M50" s="102">
        <f>TrRoad_ene!M$52</f>
        <v>559.38335397990261</v>
      </c>
      <c r="N50" s="102">
        <f>TrRoad_ene!N$52</f>
        <v>510.68794694038127</v>
      </c>
      <c r="O50" s="102">
        <f>TrRoad_ene!O$52</f>
        <v>509.68050363865689</v>
      </c>
      <c r="P50" s="102">
        <f>TrRoad_ene!P$52</f>
        <v>469.22744929951921</v>
      </c>
      <c r="Q50" s="102">
        <f>TrRoad_ene!Q$52</f>
        <v>433.55977556760956</v>
      </c>
      <c r="R50" s="102">
        <f>TrRoad_ene!R$52</f>
        <v>517.45525775628607</v>
      </c>
      <c r="S50" s="102">
        <f>TrRoad_ene!S$52</f>
        <v>594.28815061270518</v>
      </c>
      <c r="T50" s="102">
        <f>TrRoad_ene!T$52</f>
        <v>554.91668828627382</v>
      </c>
      <c r="U50" s="102">
        <f>TrRoad_ene!U$52</f>
        <v>604.70648778802922</v>
      </c>
      <c r="V50" s="102">
        <f>TrRoad_ene!V$52</f>
        <v>576.26689644048179</v>
      </c>
      <c r="W50" s="102">
        <f>TrRoad_ene!W$52</f>
        <v>637.38451971589984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99.030603871119325</v>
      </c>
      <c r="C51" s="110">
        <f>TrRail_ene!C$17</f>
        <v>72.306685808859839</v>
      </c>
      <c r="D51" s="110">
        <f>TrRail_ene!D$17</f>
        <v>107.93366006543879</v>
      </c>
      <c r="E51" s="110">
        <f>TrRail_ene!E$17</f>
        <v>84.221167297178965</v>
      </c>
      <c r="F51" s="110">
        <f>TrRail_ene!F$17</f>
        <v>94.598200272184442</v>
      </c>
      <c r="G51" s="110">
        <f>TrRail_ene!G$17</f>
        <v>59.868885270196301</v>
      </c>
      <c r="H51" s="110">
        <f>TrRail_ene!H$17</f>
        <v>55.232486943409739</v>
      </c>
      <c r="I51" s="110">
        <f>TrRail_ene!I$17</f>
        <v>87.600233330597419</v>
      </c>
      <c r="J51" s="110">
        <f>TrRail_ene!J$17</f>
        <v>76.391250719946669</v>
      </c>
      <c r="K51" s="110">
        <f>TrRail_ene!K$17</f>
        <v>51.08891340610721</v>
      </c>
      <c r="L51" s="110">
        <f>TrRail_ene!L$17</f>
        <v>59.780421514070248</v>
      </c>
      <c r="M51" s="110">
        <f>TrRail_ene!M$17</f>
        <v>86.492163331700354</v>
      </c>
      <c r="N51" s="110">
        <f>TrRail_ene!N$17</f>
        <v>77.717307514080886</v>
      </c>
      <c r="O51" s="110">
        <f>TrRail_ene!O$17</f>
        <v>71.353986634603288</v>
      </c>
      <c r="P51" s="110">
        <f>TrRail_ene!P$17</f>
        <v>50.877098993174101</v>
      </c>
      <c r="Q51" s="110">
        <f>TrRail_ene!Q$17</f>
        <v>66.190401913614082</v>
      </c>
      <c r="R51" s="110">
        <f>TrRail_ene!R$17</f>
        <v>64.333839214347591</v>
      </c>
      <c r="S51" s="110">
        <f>TrRail_ene!S$17</f>
        <v>61.739369009344657</v>
      </c>
      <c r="T51" s="110">
        <f>TrRail_ene!T$17</f>
        <v>59.068581140154748</v>
      </c>
      <c r="U51" s="110">
        <f>TrRail_ene!U$17</f>
        <v>66.539680747881221</v>
      </c>
      <c r="V51" s="110">
        <f>TrRail_ene!V$17</f>
        <v>57.52000560227647</v>
      </c>
      <c r="W51" s="110">
        <f>TrRail_ene!W$17</f>
        <v>82.992458511855347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2.0258886437507524</v>
      </c>
      <c r="C52" s="110">
        <f t="shared" si="43"/>
        <v>1.7490537338656935</v>
      </c>
      <c r="D52" s="110">
        <f t="shared" si="43"/>
        <v>1.6521976956216553</v>
      </c>
      <c r="E52" s="110">
        <f t="shared" si="43"/>
        <v>1.6410374713479894</v>
      </c>
      <c r="F52" s="110">
        <f t="shared" si="43"/>
        <v>1.8103141247775003</v>
      </c>
      <c r="G52" s="110">
        <f t="shared" si="43"/>
        <v>1.1173002232429756</v>
      </c>
      <c r="H52" s="110">
        <f t="shared" si="43"/>
        <v>1.2119274420744326</v>
      </c>
      <c r="I52" s="110">
        <f t="shared" si="43"/>
        <v>1.1434935098764996</v>
      </c>
      <c r="J52" s="110">
        <f t="shared" si="43"/>
        <v>1.3032382214083138</v>
      </c>
      <c r="K52" s="110">
        <f t="shared" si="43"/>
        <v>1.4687139461280057</v>
      </c>
      <c r="L52" s="110">
        <f t="shared" si="43"/>
        <v>1.7165466118689523</v>
      </c>
      <c r="M52" s="110">
        <f t="shared" si="43"/>
        <v>1.7587963535143201</v>
      </c>
      <c r="N52" s="110">
        <f t="shared" si="43"/>
        <v>1.8041066317166927</v>
      </c>
      <c r="O52" s="110">
        <f t="shared" si="43"/>
        <v>2.1793145836307204</v>
      </c>
      <c r="P52" s="110">
        <f t="shared" si="43"/>
        <v>2.0247846547797939</v>
      </c>
      <c r="Q52" s="110">
        <f t="shared" si="43"/>
        <v>2.1059687079064844</v>
      </c>
      <c r="R52" s="110">
        <f t="shared" si="43"/>
        <v>2.2404774920958079</v>
      </c>
      <c r="S52" s="110">
        <f t="shared" si="43"/>
        <v>2.8553134115300303</v>
      </c>
      <c r="T52" s="110">
        <f t="shared" si="43"/>
        <v>1.0853495955031616</v>
      </c>
      <c r="U52" s="110">
        <f t="shared" si="43"/>
        <v>0.86329570322377458</v>
      </c>
      <c r="V52" s="110">
        <f t="shared" si="43"/>
        <v>0.8301616098857505</v>
      </c>
      <c r="W52" s="110">
        <f t="shared" ref="W52" si="44">W53+W54+W55</f>
        <v>1.0587837681746588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7.4732680058386736E-2</v>
      </c>
      <c r="C53" s="102">
        <f>TrAvia_ene!C$11</f>
        <v>6.3925339423252167E-2</v>
      </c>
      <c r="D53" s="102">
        <f>TrAvia_ene!D$11</f>
        <v>5.6743011000139197E-2</v>
      </c>
      <c r="E53" s="102">
        <f>TrAvia_ene!E$11</f>
        <v>5.5073017020616767E-2</v>
      </c>
      <c r="F53" s="102">
        <f>TrAvia_ene!F$11</f>
        <v>6.3013688151242406E-2</v>
      </c>
      <c r="G53" s="102">
        <f>TrAvia_ene!G$11</f>
        <v>2.5167341391084831E-2</v>
      </c>
      <c r="H53" s="102">
        <f>TrAvia_ene!H$11</f>
        <v>1.0735273856263014E-2</v>
      </c>
      <c r="I53" s="102">
        <f>TrAvia_ene!I$11</f>
        <v>0.37451297056002664</v>
      </c>
      <c r="J53" s="102">
        <f>TrAvia_ene!J$11</f>
        <v>0.20505282535122701</v>
      </c>
      <c r="K53" s="102">
        <f>TrAvia_ene!K$11</f>
        <v>0.14859045868641249</v>
      </c>
      <c r="L53" s="102">
        <f>TrAvia_ene!L$11</f>
        <v>0.13006791362329062</v>
      </c>
      <c r="M53" s="102">
        <f>TrAvia_ene!M$11</f>
        <v>6.1059886939551389E-2</v>
      </c>
      <c r="N53" s="102">
        <f>TrAvia_ene!N$11</f>
        <v>2.2701023403387588E-2</v>
      </c>
      <c r="O53" s="102">
        <f>TrAvia_ene!O$11</f>
        <v>1.8972446833940997E-2</v>
      </c>
      <c r="P53" s="102">
        <f>TrAvia_ene!P$11</f>
        <v>6.699907173126963E-3</v>
      </c>
      <c r="Q53" s="102">
        <f>TrAvia_ene!Q$11</f>
        <v>6.134662048001057E-3</v>
      </c>
      <c r="R53" s="102">
        <f>TrAvia_ene!R$11</f>
        <v>7.8406333331302487E-3</v>
      </c>
      <c r="S53" s="102">
        <f>TrAvia_ene!S$11</f>
        <v>4.091626232197175E-2</v>
      </c>
      <c r="T53" s="102">
        <f>TrAvia_ene!T$11</f>
        <v>7.7731639817798667E-2</v>
      </c>
      <c r="U53" s="102">
        <f>TrAvia_ene!U$11</f>
        <v>0.1398332275732766</v>
      </c>
      <c r="V53" s="102">
        <f>TrAvia_ene!V$11</f>
        <v>0.24846502501795631</v>
      </c>
      <c r="W53" s="102">
        <f>TrAvia_ene!W$11</f>
        <v>0.35251684812461492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1.5612457491609431</v>
      </c>
      <c r="C54" s="102">
        <f>TrAvia_ene!C$12</f>
        <v>1.3060333604259189</v>
      </c>
      <c r="D54" s="102">
        <f>TrAvia_ene!D$12</f>
        <v>1.2070287656296463</v>
      </c>
      <c r="E54" s="102">
        <f>TrAvia_ene!E$12</f>
        <v>1.1655459096673568</v>
      </c>
      <c r="F54" s="102">
        <f>TrAvia_ene!F$12</f>
        <v>1.3377683369066717</v>
      </c>
      <c r="G54" s="102">
        <f>TrAvia_ene!G$12</f>
        <v>0.94256289738893928</v>
      </c>
      <c r="H54" s="102">
        <f>TrAvia_ene!H$12</f>
        <v>1.0333587105143305</v>
      </c>
      <c r="I54" s="102">
        <f>TrAvia_ene!I$12</f>
        <v>0.61390812887553481</v>
      </c>
      <c r="J54" s="102">
        <f>TrAvia_ene!J$12</f>
        <v>0.88782717273749523</v>
      </c>
      <c r="K54" s="102">
        <f>TrAvia_ene!K$12</f>
        <v>1.1366866205965962</v>
      </c>
      <c r="L54" s="102">
        <f>TrAvia_ene!L$12</f>
        <v>1.3407658735936072</v>
      </c>
      <c r="M54" s="102">
        <f>TrAvia_ene!M$12</f>
        <v>1.3107888056298218</v>
      </c>
      <c r="N54" s="102">
        <f>TrAvia_ene!N$12</f>
        <v>1.1530462735109324</v>
      </c>
      <c r="O54" s="102">
        <f>TrAvia_ene!O$12</f>
        <v>1.4781295843070201</v>
      </c>
      <c r="P54" s="102">
        <f>TrAvia_ene!P$12</f>
        <v>1.7091380747274858</v>
      </c>
      <c r="Q54" s="102">
        <f>TrAvia_ene!Q$12</f>
        <v>1.8816518670351885</v>
      </c>
      <c r="R54" s="102">
        <f>TrAvia_ene!R$12</f>
        <v>2.0832934409906363</v>
      </c>
      <c r="S54" s="102">
        <f>TrAvia_ene!S$12</f>
        <v>2.686946567252916</v>
      </c>
      <c r="T54" s="102">
        <f>TrAvia_ene!T$12</f>
        <v>0.97462726202674999</v>
      </c>
      <c r="U54" s="102">
        <f>TrAvia_ene!U$12</f>
        <v>0.67324407579979817</v>
      </c>
      <c r="V54" s="102">
        <f>TrAvia_ene!V$12</f>
        <v>0.51243694024780762</v>
      </c>
      <c r="W54" s="102">
        <f>TrAvia_ene!W$12</f>
        <v>0.6573152011348945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0.38991021453142277</v>
      </c>
      <c r="C55" s="102">
        <f>TrAvia_ene!C$13</f>
        <v>0.37909503401652256</v>
      </c>
      <c r="D55" s="102">
        <f>TrAvia_ene!D$13</f>
        <v>0.38842591899186973</v>
      </c>
      <c r="E55" s="102">
        <f>TrAvia_ene!E$13</f>
        <v>0.42041854466001582</v>
      </c>
      <c r="F55" s="102">
        <f>TrAvia_ene!F$13</f>
        <v>0.40953209971958615</v>
      </c>
      <c r="G55" s="102">
        <f>TrAvia_ene!G$13</f>
        <v>0.14956998446295147</v>
      </c>
      <c r="H55" s="102">
        <f>TrAvia_ene!H$13</f>
        <v>0.16783345770383915</v>
      </c>
      <c r="I55" s="102">
        <f>TrAvia_ene!I$13</f>
        <v>0.15507241044093814</v>
      </c>
      <c r="J55" s="102">
        <f>TrAvia_ene!J$13</f>
        <v>0.21035822331959145</v>
      </c>
      <c r="K55" s="102">
        <f>TrAvia_ene!K$13</f>
        <v>0.18343686684499705</v>
      </c>
      <c r="L55" s="102">
        <f>TrAvia_ene!L$13</f>
        <v>0.24571282465205455</v>
      </c>
      <c r="M55" s="102">
        <f>TrAvia_ene!M$13</f>
        <v>0.38694766094494693</v>
      </c>
      <c r="N55" s="102">
        <f>TrAvia_ene!N$13</f>
        <v>0.62835933480237294</v>
      </c>
      <c r="O55" s="102">
        <f>TrAvia_ene!O$13</f>
        <v>0.68221255248975943</v>
      </c>
      <c r="P55" s="102">
        <f>TrAvia_ene!P$13</f>
        <v>0.30894667287918087</v>
      </c>
      <c r="Q55" s="102">
        <f>TrAvia_ene!Q$13</f>
        <v>0.21818217882329494</v>
      </c>
      <c r="R55" s="102">
        <f>TrAvia_ene!R$13</f>
        <v>0.14934341777204119</v>
      </c>
      <c r="S55" s="102">
        <f>TrAvia_ene!S$13</f>
        <v>0.1274505819551425</v>
      </c>
      <c r="T55" s="102">
        <f>TrAvia_ene!T$13</f>
        <v>3.2990693658612791E-2</v>
      </c>
      <c r="U55" s="102">
        <f>TrAvia_ene!U$13</f>
        <v>5.0218399850699855E-2</v>
      </c>
      <c r="V55" s="102">
        <f>TrAvia_ene!V$13</f>
        <v>6.9259644619986557E-2</v>
      </c>
      <c r="W55" s="102">
        <f>TrAvia_ene!W$13</f>
        <v>4.8951718915149336E-2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113.29423903697335</v>
      </c>
      <c r="C56" s="110">
        <f t="shared" si="45"/>
        <v>101.16079105760963</v>
      </c>
      <c r="D56" s="110">
        <f t="shared" si="45"/>
        <v>103.20533104041272</v>
      </c>
      <c r="E56" s="110">
        <f t="shared" si="45"/>
        <v>68.352966466036108</v>
      </c>
      <c r="F56" s="110">
        <f t="shared" si="45"/>
        <v>41.769389509888214</v>
      </c>
      <c r="G56" s="110">
        <f t="shared" si="45"/>
        <v>42.046431642304384</v>
      </c>
      <c r="H56" s="110">
        <f t="shared" si="45"/>
        <v>41.019346517626836</v>
      </c>
      <c r="I56" s="110">
        <f t="shared" si="45"/>
        <v>85.366723989681859</v>
      </c>
      <c r="J56" s="110">
        <f t="shared" si="45"/>
        <v>78.790885640584676</v>
      </c>
      <c r="K56" s="110">
        <f t="shared" si="45"/>
        <v>55.460017196904552</v>
      </c>
      <c r="L56" s="110">
        <f t="shared" si="45"/>
        <v>59.568185726569219</v>
      </c>
      <c r="M56" s="110">
        <f t="shared" si="45"/>
        <v>52.378933791917447</v>
      </c>
      <c r="N56" s="110">
        <f t="shared" si="45"/>
        <v>42.568787618228718</v>
      </c>
      <c r="O56" s="110">
        <f t="shared" si="45"/>
        <v>41.555288048151333</v>
      </c>
      <c r="P56" s="110">
        <f t="shared" si="45"/>
        <v>37.501117798796223</v>
      </c>
      <c r="Q56" s="110">
        <f t="shared" si="45"/>
        <v>43.582373172828888</v>
      </c>
      <c r="R56" s="110">
        <f t="shared" ref="R56:V56" si="46">R57+R58</f>
        <v>40.541702493551163</v>
      </c>
      <c r="S56" s="110">
        <f t="shared" si="46"/>
        <v>40.392691315563198</v>
      </c>
      <c r="T56" s="110">
        <f t="shared" si="46"/>
        <v>40.351160791057609</v>
      </c>
      <c r="U56" s="110">
        <f t="shared" si="46"/>
        <v>43.588564058469473</v>
      </c>
      <c r="V56" s="110">
        <f t="shared" si="46"/>
        <v>41.860275150472908</v>
      </c>
      <c r="W56" s="110">
        <f t="shared" ref="W56" si="47">W57+W58</f>
        <v>51.607136715391228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</v>
      </c>
      <c r="C57" s="102">
        <f>TrNavi_ene!C4</f>
        <v>0</v>
      </c>
      <c r="D57" s="102">
        <f>TrNavi_ene!D4</f>
        <v>0</v>
      </c>
      <c r="E57" s="102">
        <f>TrNavi_ene!E4</f>
        <v>0</v>
      </c>
      <c r="F57" s="102">
        <f>TrNavi_ene!F4</f>
        <v>0</v>
      </c>
      <c r="G57" s="102">
        <f>TrNavi_ene!G4</f>
        <v>0</v>
      </c>
      <c r="H57" s="102">
        <f>TrNavi_ene!H4</f>
        <v>0</v>
      </c>
      <c r="I57" s="102">
        <f>TrNavi_ene!I4</f>
        <v>0</v>
      </c>
      <c r="J57" s="102">
        <f>TrNavi_ene!J4</f>
        <v>0</v>
      </c>
      <c r="K57" s="102">
        <f>TrNavi_ene!K4</f>
        <v>0</v>
      </c>
      <c r="L57" s="102">
        <f>TrNavi_ene!L4</f>
        <v>0</v>
      </c>
      <c r="M57" s="102">
        <f>TrNavi_ene!M4</f>
        <v>0</v>
      </c>
      <c r="N57" s="102">
        <f>TrNavi_ene!N4</f>
        <v>0</v>
      </c>
      <c r="O57" s="102">
        <f>TrNavi_ene!O4</f>
        <v>0</v>
      </c>
      <c r="P57" s="102">
        <f>TrNavi_ene!P4</f>
        <v>0</v>
      </c>
      <c r="Q57" s="102">
        <f>TrNavi_ene!Q4</f>
        <v>0</v>
      </c>
      <c r="R57" s="102">
        <f>TrNavi_ene!R4</f>
        <v>0</v>
      </c>
      <c r="S57" s="102">
        <f>TrNavi_ene!S4</f>
        <v>0</v>
      </c>
      <c r="T57" s="102">
        <f>TrNavi_ene!T4</f>
        <v>0</v>
      </c>
      <c r="U57" s="102">
        <f>TrNavi_ene!U4</f>
        <v>0</v>
      </c>
      <c r="V57" s="102">
        <f>TrNavi_ene!V4</f>
        <v>0</v>
      </c>
      <c r="W57" s="102">
        <f>TrNavi_ene!W4</f>
        <v>0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113.29423903697335</v>
      </c>
      <c r="C58" s="169">
        <f>TrNavi_ene!C10</f>
        <v>101.16079105760963</v>
      </c>
      <c r="D58" s="169">
        <f>TrNavi_ene!D10</f>
        <v>103.20533104041272</v>
      </c>
      <c r="E58" s="169">
        <f>TrNavi_ene!E10</f>
        <v>68.352966466036108</v>
      </c>
      <c r="F58" s="169">
        <f>TrNavi_ene!F10</f>
        <v>41.769389509888214</v>
      </c>
      <c r="G58" s="169">
        <f>TrNavi_ene!G10</f>
        <v>42.046431642304384</v>
      </c>
      <c r="H58" s="169">
        <f>TrNavi_ene!H10</f>
        <v>41.019346517626836</v>
      </c>
      <c r="I58" s="169">
        <f>TrNavi_ene!I10</f>
        <v>85.366723989681859</v>
      </c>
      <c r="J58" s="169">
        <f>TrNavi_ene!J10</f>
        <v>78.790885640584676</v>
      </c>
      <c r="K58" s="169">
        <f>TrNavi_ene!K10</f>
        <v>55.460017196904552</v>
      </c>
      <c r="L58" s="169">
        <f>TrNavi_ene!L10</f>
        <v>59.568185726569219</v>
      </c>
      <c r="M58" s="169">
        <f>TrNavi_ene!M10</f>
        <v>52.378933791917447</v>
      </c>
      <c r="N58" s="169">
        <f>TrNavi_ene!N10</f>
        <v>42.568787618228718</v>
      </c>
      <c r="O58" s="169">
        <f>TrNavi_ene!O10</f>
        <v>41.555288048151333</v>
      </c>
      <c r="P58" s="169">
        <f>TrNavi_ene!P10</f>
        <v>37.501117798796223</v>
      </c>
      <c r="Q58" s="169">
        <f>TrNavi_ene!Q10</f>
        <v>43.582373172828888</v>
      </c>
      <c r="R58" s="169">
        <f>TrNavi_ene!R10</f>
        <v>40.541702493551163</v>
      </c>
      <c r="S58" s="169">
        <f>TrNavi_ene!S10</f>
        <v>40.392691315563198</v>
      </c>
      <c r="T58" s="169">
        <f>TrNavi_ene!T10</f>
        <v>40.351160791057609</v>
      </c>
      <c r="U58" s="169">
        <f>TrNavi_ene!U10</f>
        <v>43.588564058469473</v>
      </c>
      <c r="V58" s="169">
        <f>TrNavi_ene!V10</f>
        <v>41.860275150472908</v>
      </c>
      <c r="W58" s="169">
        <f>TrNavi_ene!W10</f>
        <v>51.607136715391228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0</v>
      </c>
      <c r="C59" s="28">
        <f t="shared" ref="C59:W59" si="48">C60+C61</f>
        <v>0</v>
      </c>
      <c r="D59" s="28">
        <f t="shared" si="48"/>
        <v>0</v>
      </c>
      <c r="E59" s="28">
        <f t="shared" si="48"/>
        <v>0</v>
      </c>
      <c r="F59" s="28">
        <f t="shared" si="48"/>
        <v>0</v>
      </c>
      <c r="G59" s="28">
        <f t="shared" si="48"/>
        <v>0</v>
      </c>
      <c r="H59" s="28">
        <f t="shared" si="48"/>
        <v>0</v>
      </c>
      <c r="I59" s="28">
        <f t="shared" si="48"/>
        <v>34.889681857265685</v>
      </c>
      <c r="J59" s="28">
        <f t="shared" si="48"/>
        <v>69.503267411865863</v>
      </c>
      <c r="K59" s="28">
        <f t="shared" si="48"/>
        <v>15.686500429922614</v>
      </c>
      <c r="L59" s="28">
        <f t="shared" si="48"/>
        <v>15.896646603611348</v>
      </c>
      <c r="M59" s="28">
        <f t="shared" si="48"/>
        <v>9.2433361994840926</v>
      </c>
      <c r="N59" s="28">
        <f t="shared" si="48"/>
        <v>14.18959587274291</v>
      </c>
      <c r="O59" s="28">
        <f t="shared" si="48"/>
        <v>41.555288048151326</v>
      </c>
      <c r="P59" s="28">
        <f t="shared" si="48"/>
        <v>80.069905417024927</v>
      </c>
      <c r="Q59" s="28">
        <f t="shared" si="48"/>
        <v>44.595872742906273</v>
      </c>
      <c r="R59" s="28">
        <f t="shared" si="48"/>
        <v>31.419862424763544</v>
      </c>
      <c r="S59" s="28">
        <f t="shared" si="48"/>
        <v>27.899828030954431</v>
      </c>
      <c r="T59" s="28">
        <f t="shared" si="48"/>
        <v>18.094754944110061</v>
      </c>
      <c r="U59" s="28">
        <f t="shared" si="48"/>
        <v>34.201461736887353</v>
      </c>
      <c r="V59" s="28">
        <f t="shared" si="48"/>
        <v>43.104729148753222</v>
      </c>
      <c r="W59" s="28">
        <f t="shared" si="48"/>
        <v>33.949957007738597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0</v>
      </c>
      <c r="C60" s="102">
        <f>MBunk_ene!C$4</f>
        <v>0</v>
      </c>
      <c r="D60" s="102">
        <f>MBunk_ene!D$4</f>
        <v>0</v>
      </c>
      <c r="E60" s="102">
        <f>MBunk_ene!E$4</f>
        <v>0</v>
      </c>
      <c r="F60" s="102">
        <f>MBunk_ene!F$4</f>
        <v>0</v>
      </c>
      <c r="G60" s="102">
        <f>MBunk_ene!G$4</f>
        <v>0</v>
      </c>
      <c r="H60" s="102">
        <f>MBunk_ene!H$4</f>
        <v>0</v>
      </c>
      <c r="I60" s="102">
        <f>MBunk_ene!I$4</f>
        <v>9.8589749232104662</v>
      </c>
      <c r="J60" s="102">
        <f>MBunk_ene!J$4</f>
        <v>19.368756804180222</v>
      </c>
      <c r="K60" s="102">
        <f>MBunk_ene!K$4</f>
        <v>7.3089667264265676</v>
      </c>
      <c r="L60" s="102">
        <f>MBunk_ene!L$4</f>
        <v>6.4948948435763922</v>
      </c>
      <c r="M60" s="102">
        <f>MBunk_ene!M$4</f>
        <v>3.5384057839767311</v>
      </c>
      <c r="N60" s="102">
        <f>MBunk_ene!N$4</f>
        <v>4.7956988416443744</v>
      </c>
      <c r="O60" s="102">
        <f>MBunk_ene!O$4</f>
        <v>13.32548769260044</v>
      </c>
      <c r="P60" s="102">
        <f>MBunk_ene!P$4</f>
        <v>31.221746828653</v>
      </c>
      <c r="Q60" s="102">
        <f>MBunk_ene!Q$4</f>
        <v>17.580696354566307</v>
      </c>
      <c r="R60" s="102">
        <f>MBunk_ene!R$4</f>
        <v>12.514500329771172</v>
      </c>
      <c r="S60" s="102">
        <f>MBunk_ene!S$4</f>
        <v>11.926606827086346</v>
      </c>
      <c r="T60" s="102">
        <f>MBunk_ene!T$4</f>
        <v>7.9376306898161175</v>
      </c>
      <c r="U60" s="102">
        <f>MBunk_ene!U$4</f>
        <v>13.319974877132777</v>
      </c>
      <c r="V60" s="102">
        <f>MBunk_ene!V$4</f>
        <v>15.828581930491227</v>
      </c>
      <c r="W60" s="102">
        <f>MBunk_ene!W$4</f>
        <v>11.940519056762275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0</v>
      </c>
      <c r="C61" s="86">
        <f>MBunk_ene!C$10</f>
        <v>0</v>
      </c>
      <c r="D61" s="86">
        <f>MBunk_ene!D$10</f>
        <v>0</v>
      </c>
      <c r="E61" s="86">
        <f>MBunk_ene!E$10</f>
        <v>0</v>
      </c>
      <c r="F61" s="86">
        <f>MBunk_ene!F$10</f>
        <v>0</v>
      </c>
      <c r="G61" s="86">
        <f>MBunk_ene!G$10</f>
        <v>0</v>
      </c>
      <c r="H61" s="86">
        <f>MBunk_ene!H$10</f>
        <v>0</v>
      </c>
      <c r="I61" s="86">
        <f>MBunk_ene!I$10</f>
        <v>25.030706934055218</v>
      </c>
      <c r="J61" s="86">
        <f>MBunk_ene!J$10</f>
        <v>50.134510607685641</v>
      </c>
      <c r="K61" s="86">
        <f>MBunk_ene!K$10</f>
        <v>8.3775337034960451</v>
      </c>
      <c r="L61" s="86">
        <f>MBunk_ene!L$10</f>
        <v>9.4017517600349549</v>
      </c>
      <c r="M61" s="86">
        <f>MBunk_ene!M$10</f>
        <v>5.7049304155073619</v>
      </c>
      <c r="N61" s="86">
        <f>MBunk_ene!N$10</f>
        <v>9.3938970310985361</v>
      </c>
      <c r="O61" s="86">
        <f>MBunk_ene!O$10</f>
        <v>28.229800355550889</v>
      </c>
      <c r="P61" s="86">
        <f>MBunk_ene!P$10</f>
        <v>48.84815858837193</v>
      </c>
      <c r="Q61" s="86">
        <f>MBunk_ene!Q$10</f>
        <v>27.015176388339967</v>
      </c>
      <c r="R61" s="86">
        <f>MBunk_ene!R$10</f>
        <v>18.90536209499237</v>
      </c>
      <c r="S61" s="86">
        <f>MBunk_ene!S$10</f>
        <v>15.973221203868086</v>
      </c>
      <c r="T61" s="86">
        <f>MBunk_ene!T$10</f>
        <v>10.157124254293944</v>
      </c>
      <c r="U61" s="86">
        <f>MBunk_ene!U$10</f>
        <v>20.881486859754574</v>
      </c>
      <c r="V61" s="86">
        <f>MBunk_ene!V$10</f>
        <v>27.276147218261997</v>
      </c>
      <c r="W61" s="86">
        <f>MBunk_ene!W$10</f>
        <v>22.009437950976324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6409.8810769362854</v>
      </c>
      <c r="C64" s="28">
        <f t="shared" si="49"/>
        <v>7520.9224442807017</v>
      </c>
      <c r="D64" s="28">
        <f t="shared" si="49"/>
        <v>7580.097194107123</v>
      </c>
      <c r="E64" s="28">
        <f t="shared" si="49"/>
        <v>8124.223067459644</v>
      </c>
      <c r="F64" s="28">
        <f t="shared" si="49"/>
        <v>8959.8870469396679</v>
      </c>
      <c r="G64" s="28">
        <f t="shared" si="49"/>
        <v>8414.7423255099657</v>
      </c>
      <c r="H64" s="28">
        <f t="shared" si="49"/>
        <v>8374.8424980643085</v>
      </c>
      <c r="I64" s="28">
        <f t="shared" si="49"/>
        <v>9284.0509693450967</v>
      </c>
      <c r="J64" s="28">
        <f t="shared" si="49"/>
        <v>10668.758940994219</v>
      </c>
      <c r="K64" s="28">
        <f t="shared" si="49"/>
        <v>11066.498175034409</v>
      </c>
      <c r="L64" s="28">
        <f t="shared" si="49"/>
        <v>11068.655003441887</v>
      </c>
      <c r="M64" s="28">
        <f t="shared" si="49"/>
        <v>11328.839812623339</v>
      </c>
      <c r="N64" s="28">
        <f t="shared" si="49"/>
        <v>11744.187264310252</v>
      </c>
      <c r="O64" s="28">
        <f t="shared" si="49"/>
        <v>11439.378363853502</v>
      </c>
      <c r="P64" s="28">
        <f t="shared" si="49"/>
        <v>11919.151741066258</v>
      </c>
      <c r="Q64" s="28">
        <f t="shared" si="49"/>
        <v>12119.56112857012</v>
      </c>
      <c r="R64" s="28">
        <f t="shared" ref="R64:V64" si="50">R65+R69+R73</f>
        <v>13032.725677031402</v>
      </c>
      <c r="S64" s="28">
        <f t="shared" si="50"/>
        <v>13948.794187352871</v>
      </c>
      <c r="T64" s="28">
        <f t="shared" si="50"/>
        <v>13796.198680934207</v>
      </c>
      <c r="U64" s="28">
        <f t="shared" si="50"/>
        <v>14109.648069888612</v>
      </c>
      <c r="V64" s="28">
        <f t="shared" si="50"/>
        <v>13344.007120368879</v>
      </c>
      <c r="W64" s="28">
        <f t="shared" ref="W64" si="51">W65+W69+W73</f>
        <v>14188.446231803107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5333.0497183852876</v>
      </c>
      <c r="C65" s="137">
        <f t="shared" si="52"/>
        <v>6862.6976017688548</v>
      </c>
      <c r="D65" s="137">
        <f t="shared" si="52"/>
        <v>6877.4605756338224</v>
      </c>
      <c r="E65" s="137">
        <f t="shared" si="52"/>
        <v>7346.2946724221811</v>
      </c>
      <c r="F65" s="137">
        <f t="shared" si="52"/>
        <v>8040.194403726422</v>
      </c>
      <c r="G65" s="137">
        <f t="shared" si="52"/>
        <v>7853.7447238024979</v>
      </c>
      <c r="H65" s="137">
        <f t="shared" si="52"/>
        <v>7765.047280854591</v>
      </c>
      <c r="I65" s="137">
        <f t="shared" si="52"/>
        <v>8259.2701995896023</v>
      </c>
      <c r="J65" s="137">
        <f t="shared" si="52"/>
        <v>9635.7418686552737</v>
      </c>
      <c r="K65" s="137">
        <f t="shared" si="52"/>
        <v>10054.371222269117</v>
      </c>
      <c r="L65" s="137">
        <f t="shared" si="52"/>
        <v>9890.6923396917155</v>
      </c>
      <c r="M65" s="137">
        <f t="shared" si="52"/>
        <v>10197.82666031816</v>
      </c>
      <c r="N65" s="137">
        <f t="shared" si="52"/>
        <v>10795.066111796419</v>
      </c>
      <c r="O65" s="137">
        <f t="shared" si="52"/>
        <v>10432.616544413919</v>
      </c>
      <c r="P65" s="137">
        <f t="shared" si="52"/>
        <v>10973.129187945568</v>
      </c>
      <c r="Q65" s="137">
        <f t="shared" si="52"/>
        <v>11072.843221328621</v>
      </c>
      <c r="R65" s="137">
        <f t="shared" ref="R65:V65" si="53">R66+R67+R68</f>
        <v>11854.497159028237</v>
      </c>
      <c r="S65" s="137">
        <f t="shared" si="53"/>
        <v>12540.336416294169</v>
      </c>
      <c r="T65" s="137">
        <f t="shared" si="53"/>
        <v>13022.452007438991</v>
      </c>
      <c r="U65" s="137">
        <f t="shared" si="53"/>
        <v>13175.756226508413</v>
      </c>
      <c r="V65" s="137">
        <f t="shared" si="53"/>
        <v>12827.100658460251</v>
      </c>
      <c r="W65" s="137">
        <f t="shared" ref="W65" si="54">W66+W67+W68</f>
        <v>13540.922596485041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32.634194884287517</v>
      </c>
      <c r="C66" s="102">
        <f>TrRoad_emi!C$19</f>
        <v>32.440077781891382</v>
      </c>
      <c r="D66" s="102">
        <f>TrRoad_emi!D$19</f>
        <v>32.249138946856064</v>
      </c>
      <c r="E66" s="102">
        <f>TrRoad_emi!E$19</f>
        <v>32.383372954557117</v>
      </c>
      <c r="F66" s="102">
        <f>TrRoad_emi!F$19</f>
        <v>32.633343154641601</v>
      </c>
      <c r="G66" s="102">
        <f>TrRoad_emi!G$19</f>
        <v>31.269783344705171</v>
      </c>
      <c r="H66" s="102">
        <f>TrRoad_emi!H$19</f>
        <v>33.589179236127848</v>
      </c>
      <c r="I66" s="102">
        <f>TrRoad_emi!I$19</f>
        <v>35.707130768121203</v>
      </c>
      <c r="J66" s="102">
        <f>TrRoad_emi!J$19</f>
        <v>42.54875912713841</v>
      </c>
      <c r="K66" s="102">
        <f>TrRoad_emi!K$19</f>
        <v>45.359074524397329</v>
      </c>
      <c r="L66" s="102">
        <f>TrRoad_emi!L$19</f>
        <v>45.69380378429004</v>
      </c>
      <c r="M66" s="102">
        <f>TrRoad_emi!M$19</f>
        <v>47.608993096678653</v>
      </c>
      <c r="N66" s="102">
        <f>TrRoad_emi!N$19</f>
        <v>48.841837993552979</v>
      </c>
      <c r="O66" s="102">
        <f>TrRoad_emi!O$19</f>
        <v>51.464079334259552</v>
      </c>
      <c r="P66" s="102">
        <f>TrRoad_emi!P$19</f>
        <v>53.926164741152462</v>
      </c>
      <c r="Q66" s="102">
        <f>TrRoad_emi!Q$19</f>
        <v>55.236081255559384</v>
      </c>
      <c r="R66" s="102">
        <f>TrRoad_emi!R$19</f>
        <v>58.178937218019961</v>
      </c>
      <c r="S66" s="102">
        <f>TrRoad_emi!S$19</f>
        <v>54.375294299862375</v>
      </c>
      <c r="T66" s="102">
        <f>TrRoad_emi!T$19</f>
        <v>51.43117152250128</v>
      </c>
      <c r="U66" s="102">
        <f>TrRoad_emi!U$19</f>
        <v>53.810227078917293</v>
      </c>
      <c r="V66" s="102">
        <f>TrRoad_emi!V$19</f>
        <v>48.541359480670749</v>
      </c>
      <c r="W66" s="102">
        <f>TrRoad_emi!W$19</f>
        <v>44.187822782511532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3776.5968773718569</v>
      </c>
      <c r="C67" s="102">
        <f>TrRoad_emi!C$20</f>
        <v>5036.4192086995399</v>
      </c>
      <c r="D67" s="102">
        <f>TrRoad_emi!D$20</f>
        <v>5133.4073167673132</v>
      </c>
      <c r="E67" s="102">
        <f>TrRoad_emi!E$20</f>
        <v>5390.5330215121194</v>
      </c>
      <c r="F67" s="102">
        <f>TrRoad_emi!F$20</f>
        <v>5967.300554889589</v>
      </c>
      <c r="G67" s="102">
        <f>TrRoad_emi!G$20</f>
        <v>5917.3634509326748</v>
      </c>
      <c r="H67" s="102">
        <f>TrRoad_emi!H$20</f>
        <v>5968.8199398428242</v>
      </c>
      <c r="I67" s="102">
        <f>TrRoad_emi!I$20</f>
        <v>6306.0418436513828</v>
      </c>
      <c r="J67" s="102">
        <f>TrRoad_emi!J$20</f>
        <v>6984.4828527566488</v>
      </c>
      <c r="K67" s="102">
        <f>TrRoad_emi!K$20</f>
        <v>7363.2929957392507</v>
      </c>
      <c r="L67" s="102">
        <f>TrRoad_emi!L$20</f>
        <v>7093.8945003266244</v>
      </c>
      <c r="M67" s="102">
        <f>TrRoad_emi!M$20</f>
        <v>7384.2917260790055</v>
      </c>
      <c r="N67" s="102">
        <f>TrRoad_emi!N$20</f>
        <v>7861.3364298924571</v>
      </c>
      <c r="O67" s="102">
        <f>TrRoad_emi!O$20</f>
        <v>7459.3711857891867</v>
      </c>
      <c r="P67" s="102">
        <f>TrRoad_emi!P$20</f>
        <v>7845.2209628847195</v>
      </c>
      <c r="Q67" s="102">
        <f>TrRoad_emi!Q$20</f>
        <v>7847.0932996812535</v>
      </c>
      <c r="R67" s="102">
        <f>TrRoad_emi!R$20</f>
        <v>8469.5003623625998</v>
      </c>
      <c r="S67" s="102">
        <f>TrRoad_emi!S$20</f>
        <v>8989.1623467727168</v>
      </c>
      <c r="T67" s="102">
        <f>TrRoad_emi!T$20</f>
        <v>9390.7478584660166</v>
      </c>
      <c r="U67" s="102">
        <f>TrRoad_emi!U$20</f>
        <v>9543.697420707691</v>
      </c>
      <c r="V67" s="102">
        <f>TrRoad_emi!V$20</f>
        <v>9056.1942644505652</v>
      </c>
      <c r="W67" s="102">
        <f>TrRoad_emi!W$20</f>
        <v>9648.2620646821833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1523.818646129143</v>
      </c>
      <c r="C68" s="102">
        <f>TrRoad_emi!C$27</f>
        <v>1793.8383152874242</v>
      </c>
      <c r="D68" s="102">
        <f>TrRoad_emi!D$27</f>
        <v>1711.804119919653</v>
      </c>
      <c r="E68" s="102">
        <f>TrRoad_emi!E$27</f>
        <v>1923.3782779555047</v>
      </c>
      <c r="F68" s="102">
        <f>TrRoad_emi!F$27</f>
        <v>2040.260505682191</v>
      </c>
      <c r="G68" s="102">
        <f>TrRoad_emi!G$27</f>
        <v>1905.1114895251171</v>
      </c>
      <c r="H68" s="102">
        <f>TrRoad_emi!H$27</f>
        <v>1762.638161775639</v>
      </c>
      <c r="I68" s="102">
        <f>TrRoad_emi!I$27</f>
        <v>1917.5212251700989</v>
      </c>
      <c r="J68" s="102">
        <f>TrRoad_emi!J$27</f>
        <v>2608.7102567714869</v>
      </c>
      <c r="K68" s="102">
        <f>TrRoad_emi!K$27</f>
        <v>2645.7191520054685</v>
      </c>
      <c r="L68" s="102">
        <f>TrRoad_emi!L$27</f>
        <v>2751.1040355808013</v>
      </c>
      <c r="M68" s="102">
        <f>TrRoad_emi!M$27</f>
        <v>2765.9259411424759</v>
      </c>
      <c r="N68" s="102">
        <f>TrRoad_emi!N$27</f>
        <v>2884.8878439104087</v>
      </c>
      <c r="O68" s="102">
        <f>TrRoad_emi!O$27</f>
        <v>2921.7812792904733</v>
      </c>
      <c r="P68" s="102">
        <f>TrRoad_emi!P$27</f>
        <v>3073.9820603196968</v>
      </c>
      <c r="Q68" s="102">
        <f>TrRoad_emi!Q$27</f>
        <v>3170.5138403918086</v>
      </c>
      <c r="R68" s="102">
        <f>TrRoad_emi!R$27</f>
        <v>3326.8178594476185</v>
      </c>
      <c r="S68" s="102">
        <f>TrRoad_emi!S$27</f>
        <v>3496.7987752215909</v>
      </c>
      <c r="T68" s="102">
        <f>TrRoad_emi!T$27</f>
        <v>3580.2729774504737</v>
      </c>
      <c r="U68" s="102">
        <f>TrRoad_emi!U$27</f>
        <v>3578.2485787218056</v>
      </c>
      <c r="V68" s="102">
        <f>TrRoad_emi!V$27</f>
        <v>3722.3650345290148</v>
      </c>
      <c r="W68" s="102">
        <f>TrRoad_emi!W$27</f>
        <v>3848.4727090203478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674.3108788485431</v>
      </c>
      <c r="C69" s="110">
        <f t="shared" si="55"/>
        <v>305.39496584858608</v>
      </c>
      <c r="D69" s="110">
        <f t="shared" si="55"/>
        <v>403.34949853551825</v>
      </c>
      <c r="E69" s="110">
        <f t="shared" si="55"/>
        <v>415.19201222056097</v>
      </c>
      <c r="F69" s="110">
        <f t="shared" si="55"/>
        <v>465.45043355494732</v>
      </c>
      <c r="G69" s="110">
        <f t="shared" si="55"/>
        <v>151.22838016056517</v>
      </c>
      <c r="H69" s="110">
        <f t="shared" si="55"/>
        <v>140.75855571587891</v>
      </c>
      <c r="I69" s="110">
        <f t="shared" si="55"/>
        <v>404.63720839797054</v>
      </c>
      <c r="J69" s="110">
        <f t="shared" si="55"/>
        <v>388.12570070144568</v>
      </c>
      <c r="K69" s="110">
        <f t="shared" si="55"/>
        <v>311.78299617191772</v>
      </c>
      <c r="L69" s="110">
        <f t="shared" si="55"/>
        <v>348.24353550464093</v>
      </c>
      <c r="M69" s="110">
        <f t="shared" si="55"/>
        <v>454.46700437963881</v>
      </c>
      <c r="N69" s="110">
        <f t="shared" si="55"/>
        <v>432.16804298969396</v>
      </c>
      <c r="O69" s="110">
        <f t="shared" si="55"/>
        <v>378.16887356829511</v>
      </c>
      <c r="P69" s="110">
        <f t="shared" si="55"/>
        <v>256.89077814245206</v>
      </c>
      <c r="Q69" s="110">
        <f t="shared" si="55"/>
        <v>234.33382331788729</v>
      </c>
      <c r="R69" s="110">
        <f t="shared" ref="R69:V69" si="56">R70+R71+R72</f>
        <v>226.10300977910231</v>
      </c>
      <c r="S69" s="110">
        <f t="shared" si="56"/>
        <v>257.4176685389242</v>
      </c>
      <c r="T69" s="110">
        <f t="shared" si="56"/>
        <v>196.41374119561348</v>
      </c>
      <c r="U69" s="110">
        <f t="shared" si="56"/>
        <v>282.50853041950216</v>
      </c>
      <c r="V69" s="110">
        <f t="shared" si="56"/>
        <v>260.71620966252766</v>
      </c>
      <c r="W69" s="110">
        <f t="shared" ref="W69" si="57">W70+W71+W72</f>
        <v>262.5344649135701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674.3108788485431</v>
      </c>
      <c r="C71" s="102">
        <f>TrRail_emi!C$11</f>
        <v>305.39496584858608</v>
      </c>
      <c r="D71" s="102">
        <f>TrRail_emi!D$11</f>
        <v>403.34949853551825</v>
      </c>
      <c r="E71" s="102">
        <f>TrRail_emi!E$11</f>
        <v>415.19201222056097</v>
      </c>
      <c r="F71" s="102">
        <f>TrRail_emi!F$11</f>
        <v>465.45043355494732</v>
      </c>
      <c r="G71" s="102">
        <f>TrRail_emi!G$11</f>
        <v>151.22838016056517</v>
      </c>
      <c r="H71" s="102">
        <f>TrRail_emi!H$11</f>
        <v>140.75855571587891</v>
      </c>
      <c r="I71" s="102">
        <f>TrRail_emi!I$11</f>
        <v>404.63720839797054</v>
      </c>
      <c r="J71" s="102">
        <f>TrRail_emi!J$11</f>
        <v>388.12570070144568</v>
      </c>
      <c r="K71" s="102">
        <f>TrRail_emi!K$11</f>
        <v>311.78299617191772</v>
      </c>
      <c r="L71" s="102">
        <f>TrRail_emi!L$11</f>
        <v>348.24353550464093</v>
      </c>
      <c r="M71" s="102">
        <f>TrRail_emi!M$11</f>
        <v>454.46700437963881</v>
      </c>
      <c r="N71" s="102">
        <f>TrRail_emi!N$11</f>
        <v>432.16804298969396</v>
      </c>
      <c r="O71" s="102">
        <f>TrRail_emi!O$11</f>
        <v>378.16887356829511</v>
      </c>
      <c r="P71" s="102">
        <f>TrRail_emi!P$11</f>
        <v>256.89077814245206</v>
      </c>
      <c r="Q71" s="102">
        <f>TrRail_emi!Q$11</f>
        <v>234.33382331788729</v>
      </c>
      <c r="R71" s="102">
        <f>TrRail_emi!R$11</f>
        <v>226.10300977910231</v>
      </c>
      <c r="S71" s="102">
        <f>TrRail_emi!S$11</f>
        <v>257.4176685389242</v>
      </c>
      <c r="T71" s="102">
        <f>TrRail_emi!T$11</f>
        <v>196.41374119561348</v>
      </c>
      <c r="U71" s="102">
        <f>TrRail_emi!U$11</f>
        <v>282.50853041950216</v>
      </c>
      <c r="V71" s="102">
        <f>TrRail_emi!V$11</f>
        <v>260.71620966252766</v>
      </c>
      <c r="W71" s="102">
        <f>TrRail_emi!W$11</f>
        <v>262.5344649135701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402.52047970245411</v>
      </c>
      <c r="C73" s="110">
        <f t="shared" si="58"/>
        <v>352.82987666326062</v>
      </c>
      <c r="D73" s="110">
        <f t="shared" si="58"/>
        <v>299.28711993778194</v>
      </c>
      <c r="E73" s="110">
        <f t="shared" si="58"/>
        <v>362.73638281690205</v>
      </c>
      <c r="F73" s="110">
        <f t="shared" si="58"/>
        <v>454.24220965829716</v>
      </c>
      <c r="G73" s="110">
        <f t="shared" si="58"/>
        <v>409.76922154690169</v>
      </c>
      <c r="H73" s="110">
        <f t="shared" si="58"/>
        <v>469.03666149383798</v>
      </c>
      <c r="I73" s="110">
        <f t="shared" si="58"/>
        <v>620.14356135752257</v>
      </c>
      <c r="J73" s="110">
        <f t="shared" si="58"/>
        <v>644.89137163749842</v>
      </c>
      <c r="K73" s="110">
        <f t="shared" si="58"/>
        <v>700.34395659337383</v>
      </c>
      <c r="L73" s="110">
        <f t="shared" si="58"/>
        <v>829.71912824553146</v>
      </c>
      <c r="M73" s="110">
        <f t="shared" si="58"/>
        <v>676.54614792553878</v>
      </c>
      <c r="N73" s="110">
        <f t="shared" si="58"/>
        <v>516.95310952414025</v>
      </c>
      <c r="O73" s="110">
        <f t="shared" si="58"/>
        <v>628.59294587128852</v>
      </c>
      <c r="P73" s="110">
        <f t="shared" si="58"/>
        <v>689.13177497823858</v>
      </c>
      <c r="Q73" s="110">
        <f t="shared" si="58"/>
        <v>812.38408392361112</v>
      </c>
      <c r="R73" s="110">
        <f t="shared" ref="R73:V73" si="59">R74+R75+R76</f>
        <v>952.12550822406138</v>
      </c>
      <c r="S73" s="110">
        <f t="shared" si="59"/>
        <v>1151.0401025197771</v>
      </c>
      <c r="T73" s="110">
        <f t="shared" si="59"/>
        <v>577.33293229960259</v>
      </c>
      <c r="U73" s="110">
        <f t="shared" si="59"/>
        <v>651.38331296069771</v>
      </c>
      <c r="V73" s="110">
        <f t="shared" si="59"/>
        <v>256.19025224610061</v>
      </c>
      <c r="W73" s="110">
        <f t="shared" ref="W73" si="60">W74+W75+W76</f>
        <v>384.98917040449697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18.386892450592082</v>
      </c>
      <c r="C74" s="102">
        <f>TrAvia_emi!C$7</f>
        <v>9.1157341722319103</v>
      </c>
      <c r="D74" s="102">
        <f>TrAvia_emi!D$7</f>
        <v>6.035671853081233</v>
      </c>
      <c r="E74" s="102">
        <f>TrAvia_emi!E$7</f>
        <v>6.0405662046366579</v>
      </c>
      <c r="F74" s="102">
        <f>TrAvia_emi!F$7</f>
        <v>37.787054237837168</v>
      </c>
      <c r="G74" s="102">
        <f>TrAvia_emi!G$7</f>
        <v>34.28595360876276</v>
      </c>
      <c r="H74" s="102">
        <f>TrAvia_emi!H$7</f>
        <v>6.2032694887930209</v>
      </c>
      <c r="I74" s="102">
        <f>TrAvia_emi!I$7</f>
        <v>249.98244437139454</v>
      </c>
      <c r="J74" s="102">
        <f>TrAvia_emi!J$7</f>
        <v>243.24779622654427</v>
      </c>
      <c r="K74" s="102">
        <f>TrAvia_emi!K$7</f>
        <v>256.6476854727552</v>
      </c>
      <c r="L74" s="102">
        <f>TrAvia_emi!L$7</f>
        <v>334.28066634646439</v>
      </c>
      <c r="M74" s="102">
        <f>TrAvia_emi!M$7</f>
        <v>244.29620583004444</v>
      </c>
      <c r="N74" s="102">
        <f>TrAvia_emi!N$7</f>
        <v>121.50842221577757</v>
      </c>
      <c r="O74" s="102">
        <f>TrAvia_emi!O$7</f>
        <v>137.20378516083542</v>
      </c>
      <c r="P74" s="102">
        <f>TrAvia_emi!P$7</f>
        <v>72.971263300338592</v>
      </c>
      <c r="Q74" s="102">
        <f>TrAvia_emi!Q$7</f>
        <v>98.39415155033214</v>
      </c>
      <c r="R74" s="102">
        <f>TrAvia_emi!R$7</f>
        <v>84.172495620253954</v>
      </c>
      <c r="S74" s="102">
        <f>TrAvia_emi!S$7</f>
        <v>148.21873367049139</v>
      </c>
      <c r="T74" s="102">
        <f>TrAvia_emi!T$7</f>
        <v>166.8524493016873</v>
      </c>
      <c r="U74" s="102">
        <f>TrAvia_emi!U$7</f>
        <v>194.13413606700334</v>
      </c>
      <c r="V74" s="102">
        <f>TrAvia_emi!V$7</f>
        <v>115.52213518713677</v>
      </c>
      <c r="W74" s="102">
        <f>TrAvia_emi!W$7</f>
        <v>139.42944433157925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320.53942715487466</v>
      </c>
      <c r="C75" s="102">
        <f>TrAvia_emi!C$8</f>
        <v>286.83076800650986</v>
      </c>
      <c r="D75" s="102">
        <f>TrAvia_emi!D$8</f>
        <v>244.74439232117004</v>
      </c>
      <c r="E75" s="102">
        <f>TrAvia_emi!E$8</f>
        <v>297.73160187223436</v>
      </c>
      <c r="F75" s="102">
        <f>TrAvia_emi!F$8</f>
        <v>347.65521129681355</v>
      </c>
      <c r="G75" s="102">
        <f>TrAvia_emi!G$8</f>
        <v>314.29591486410919</v>
      </c>
      <c r="H75" s="102">
        <f>TrAvia_emi!H$8</f>
        <v>390.1367074177162</v>
      </c>
      <c r="I75" s="102">
        <f>TrAvia_emi!I$8</f>
        <v>315.71007871447409</v>
      </c>
      <c r="J75" s="102">
        <f>TrAvia_emi!J$8</f>
        <v>343.46650204502811</v>
      </c>
      <c r="K75" s="102">
        <f>TrAvia_emi!K$8</f>
        <v>378.05633637914309</v>
      </c>
      <c r="L75" s="102">
        <f>TrAvia_emi!L$8</f>
        <v>423.07408396951041</v>
      </c>
      <c r="M75" s="102">
        <f>TrAvia_emi!M$8</f>
        <v>369.07721559957827</v>
      </c>
      <c r="N75" s="102">
        <f>TrAvia_emi!N$8</f>
        <v>337.64285733692816</v>
      </c>
      <c r="O75" s="102">
        <f>TrAvia_emi!O$8</f>
        <v>420.05830761891281</v>
      </c>
      <c r="P75" s="102">
        <f>TrAvia_emi!P$8</f>
        <v>533.49077422249366</v>
      </c>
      <c r="Q75" s="102">
        <f>TrAvia_emi!Q$8</f>
        <v>624.35000881657959</v>
      </c>
      <c r="R75" s="102">
        <f>TrAvia_emi!R$8</f>
        <v>774.20565164682603</v>
      </c>
      <c r="S75" s="102">
        <f>TrAvia_emi!S$8</f>
        <v>905.53090561458157</v>
      </c>
      <c r="T75" s="102">
        <f>TrAvia_emi!T$8</f>
        <v>370.2822924879178</v>
      </c>
      <c r="U75" s="102">
        <f>TrAvia_emi!U$8</f>
        <v>413.77478637619686</v>
      </c>
      <c r="V75" s="102">
        <f>TrAvia_emi!V$8</f>
        <v>121.98089306332453</v>
      </c>
      <c r="W75" s="102">
        <f>TrAvia_emi!W$8</f>
        <v>217.1890536624247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63.594160096987373</v>
      </c>
      <c r="C76" s="102">
        <f>TrAvia_emi!C$9</f>
        <v>56.883374484518896</v>
      </c>
      <c r="D76" s="102">
        <f>TrAvia_emi!D$9</f>
        <v>48.507055763530687</v>
      </c>
      <c r="E76" s="102">
        <f>TrAvia_emi!E$9</f>
        <v>58.964214740031046</v>
      </c>
      <c r="F76" s="102">
        <f>TrAvia_emi!F$9</f>
        <v>68.799944123646497</v>
      </c>
      <c r="G76" s="102">
        <f>TrAvia_emi!G$9</f>
        <v>61.187353074029716</v>
      </c>
      <c r="H76" s="102">
        <f>TrAvia_emi!H$9</f>
        <v>72.696684587328789</v>
      </c>
      <c r="I76" s="102">
        <f>TrAvia_emi!I$9</f>
        <v>54.451038271653943</v>
      </c>
      <c r="J76" s="102">
        <f>TrAvia_emi!J$9</f>
        <v>58.177073365926098</v>
      </c>
      <c r="K76" s="102">
        <f>TrAvia_emi!K$9</f>
        <v>65.639934741475571</v>
      </c>
      <c r="L76" s="102">
        <f>TrAvia_emi!L$9</f>
        <v>72.364377929556667</v>
      </c>
      <c r="M76" s="102">
        <f>TrAvia_emi!M$9</f>
        <v>63.172726495916102</v>
      </c>
      <c r="N76" s="102">
        <f>TrAvia_emi!N$9</f>
        <v>57.801829971434508</v>
      </c>
      <c r="O76" s="102">
        <f>TrAvia_emi!O$9</f>
        <v>71.33085309154032</v>
      </c>
      <c r="P76" s="102">
        <f>TrAvia_emi!P$9</f>
        <v>82.669737455406292</v>
      </c>
      <c r="Q76" s="102">
        <f>TrAvia_emi!Q$9</f>
        <v>89.639923556699429</v>
      </c>
      <c r="R76" s="102">
        <f>TrAvia_emi!R$9</f>
        <v>93.747360956981382</v>
      </c>
      <c r="S76" s="102">
        <f>TrAvia_emi!S$9</f>
        <v>97.290463234704092</v>
      </c>
      <c r="T76" s="102">
        <f>TrAvia_emi!T$9</f>
        <v>40.198190509997474</v>
      </c>
      <c r="U76" s="102">
        <f>TrAvia_emi!U$9</f>
        <v>43.474390517497447</v>
      </c>
      <c r="V76" s="102">
        <f>TrAvia_emi!V$9</f>
        <v>18.687223995639354</v>
      </c>
      <c r="W76" s="102">
        <f>TrAvia_emi!W$9</f>
        <v>28.370672410493004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3448.7018360237162</v>
      </c>
      <c r="C77" s="28">
        <f t="shared" si="61"/>
        <v>4137.1705835875555</v>
      </c>
      <c r="D77" s="28">
        <f t="shared" si="61"/>
        <v>4475.7177068928768</v>
      </c>
      <c r="E77" s="28">
        <f t="shared" si="61"/>
        <v>4703.7291693712123</v>
      </c>
      <c r="F77" s="28">
        <f t="shared" si="61"/>
        <v>4422.8981967776026</v>
      </c>
      <c r="G77" s="28">
        <f t="shared" si="61"/>
        <v>3973.3111844900363</v>
      </c>
      <c r="H77" s="28">
        <f t="shared" si="61"/>
        <v>4569.8280766156922</v>
      </c>
      <c r="I77" s="28">
        <f t="shared" si="61"/>
        <v>4323.9553536949024</v>
      </c>
      <c r="J77" s="28">
        <f t="shared" si="61"/>
        <v>4535.4375447257789</v>
      </c>
      <c r="K77" s="28">
        <f t="shared" si="61"/>
        <v>4340.8508157255928</v>
      </c>
      <c r="L77" s="28">
        <f t="shared" si="61"/>
        <v>3780.3667890781126</v>
      </c>
      <c r="M77" s="28">
        <f t="shared" si="61"/>
        <v>3946.61367881666</v>
      </c>
      <c r="N77" s="28">
        <f t="shared" si="61"/>
        <v>3908.1646537697443</v>
      </c>
      <c r="O77" s="28">
        <f t="shared" si="61"/>
        <v>3931.5644360264973</v>
      </c>
      <c r="P77" s="28">
        <f t="shared" si="61"/>
        <v>3928.2496472537428</v>
      </c>
      <c r="Q77" s="28">
        <f t="shared" si="61"/>
        <v>3952.6910102298812</v>
      </c>
      <c r="R77" s="28">
        <f t="shared" ref="R77:V77" si="62">R78+R81+R82+R86+R92</f>
        <v>4259.4703327685975</v>
      </c>
      <c r="S77" s="28">
        <f t="shared" si="62"/>
        <v>4612.0338210871287</v>
      </c>
      <c r="T77" s="28">
        <f t="shared" si="62"/>
        <v>4656.2564161057917</v>
      </c>
      <c r="U77" s="28">
        <f t="shared" si="62"/>
        <v>4858.8873127913866</v>
      </c>
      <c r="V77" s="28">
        <f t="shared" si="62"/>
        <v>4760.0818183911197</v>
      </c>
      <c r="W77" s="28">
        <f t="shared" ref="W77" si="63">W78+W81+W82+W86+W92</f>
        <v>5178.341775636889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2836.5793914547135</v>
      </c>
      <c r="C78" s="137">
        <f t="shared" si="64"/>
        <v>3653.3237965911435</v>
      </c>
      <c r="D78" s="137">
        <f t="shared" si="64"/>
        <v>3932.2175783261773</v>
      </c>
      <c r="E78" s="137">
        <f t="shared" si="64"/>
        <v>4351.8748762578198</v>
      </c>
      <c r="F78" s="137">
        <f t="shared" si="64"/>
        <v>4126.7522416735783</v>
      </c>
      <c r="G78" s="137">
        <f t="shared" si="64"/>
        <v>3758.0583117175029</v>
      </c>
      <c r="H78" s="137">
        <f t="shared" si="64"/>
        <v>4353.3192822654091</v>
      </c>
      <c r="I78" s="137">
        <f t="shared" si="64"/>
        <v>3887.3043183303962</v>
      </c>
      <c r="J78" s="137">
        <f t="shared" si="64"/>
        <v>4139.9513416247228</v>
      </c>
      <c r="K78" s="137">
        <f t="shared" si="64"/>
        <v>4074.6789450908836</v>
      </c>
      <c r="L78" s="137">
        <f t="shared" si="64"/>
        <v>3482.996998668285</v>
      </c>
      <c r="M78" s="137">
        <f t="shared" si="64"/>
        <v>3618.3291276018381</v>
      </c>
      <c r="N78" s="137">
        <f t="shared" si="64"/>
        <v>3630.5487208835793</v>
      </c>
      <c r="O78" s="137">
        <f t="shared" si="64"/>
        <v>3667.997099826081</v>
      </c>
      <c r="P78" s="137">
        <f t="shared" si="64"/>
        <v>3726.2465298144339</v>
      </c>
      <c r="Q78" s="137">
        <f t="shared" si="64"/>
        <v>3696.4422064713794</v>
      </c>
      <c r="R78" s="137">
        <f t="shared" ref="R78:V78" si="65">R79+R80</f>
        <v>4013.4526779317621</v>
      </c>
      <c r="S78" s="137">
        <f t="shared" si="65"/>
        <v>4377.4843856258294</v>
      </c>
      <c r="T78" s="137">
        <f t="shared" si="65"/>
        <v>4433.1019223610074</v>
      </c>
      <c r="U78" s="137">
        <f t="shared" si="65"/>
        <v>4602.5974874115873</v>
      </c>
      <c r="V78" s="137">
        <f t="shared" si="65"/>
        <v>4541.7202702597478</v>
      </c>
      <c r="W78" s="137">
        <f t="shared" ref="W78" si="66">W79+W80</f>
        <v>4871.6310199949558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1240.446433254725</v>
      </c>
      <c r="C79" s="102">
        <f>TrRoad_emi!C$34</f>
        <v>1302.1907149567533</v>
      </c>
      <c r="D79" s="102">
        <f>TrRoad_emi!D$34</f>
        <v>1330.1946492016421</v>
      </c>
      <c r="E79" s="102">
        <f>TrRoad_emi!E$34</f>
        <v>1375.9799943621683</v>
      </c>
      <c r="F79" s="102">
        <f>TrRoad_emi!F$34</f>
        <v>1390.2135933481272</v>
      </c>
      <c r="G79" s="102">
        <f>TrRoad_emi!G$34</f>
        <v>1457.7162309887849</v>
      </c>
      <c r="H79" s="102">
        <f>TrRoad_emi!H$34</f>
        <v>1614.6657174986397</v>
      </c>
      <c r="I79" s="102">
        <f>TrRoad_emi!I$34</f>
        <v>1636.899922525464</v>
      </c>
      <c r="J79" s="102">
        <f>TrRoad_emi!J$34</f>
        <v>1846.8652226979782</v>
      </c>
      <c r="K79" s="102">
        <f>TrRoad_emi!K$34</f>
        <v>1872.3076018867525</v>
      </c>
      <c r="L79" s="102">
        <f>TrRoad_emi!L$34</f>
        <v>1883.8683951301191</v>
      </c>
      <c r="M79" s="102">
        <f>TrRoad_emi!M$34</f>
        <v>1961.5158957868473</v>
      </c>
      <c r="N79" s="102">
        <f>TrRoad_emi!N$34</f>
        <v>2104.505390488629</v>
      </c>
      <c r="O79" s="102">
        <f>TrRoad_emi!O$34</f>
        <v>2154.2389766033498</v>
      </c>
      <c r="P79" s="102">
        <f>TrRoad_emi!P$34</f>
        <v>2321.8294907627924</v>
      </c>
      <c r="Q79" s="102">
        <f>TrRoad_emi!Q$34</f>
        <v>2403.1722628876473</v>
      </c>
      <c r="R79" s="102">
        <f>TrRoad_emi!R$34</f>
        <v>2478.9056365294946</v>
      </c>
      <c r="S79" s="102">
        <f>TrRoad_emi!S$34</f>
        <v>2621.4193730938218</v>
      </c>
      <c r="T79" s="102">
        <f>TrRoad_emi!T$34</f>
        <v>2790.2472487554542</v>
      </c>
      <c r="U79" s="102">
        <f>TrRoad_emi!U$34</f>
        <v>2851.4465649779108</v>
      </c>
      <c r="V79" s="102">
        <f>TrRoad_emi!V$34</f>
        <v>2900.9759855201273</v>
      </c>
      <c r="W79" s="102">
        <f>TrRoad_emi!W$34</f>
        <v>3042.3664971677003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1596.1329581999885</v>
      </c>
      <c r="C80" s="102">
        <f>TrRoad_emi!C$40</f>
        <v>2351.1330816343902</v>
      </c>
      <c r="D80" s="102">
        <f>TrRoad_emi!D$40</f>
        <v>2602.0229291245355</v>
      </c>
      <c r="E80" s="102">
        <f>TrRoad_emi!E$40</f>
        <v>2975.8948818956515</v>
      </c>
      <c r="F80" s="102">
        <f>TrRoad_emi!F$40</f>
        <v>2736.538648325451</v>
      </c>
      <c r="G80" s="102">
        <f>TrRoad_emi!G$40</f>
        <v>2300.342080728718</v>
      </c>
      <c r="H80" s="102">
        <f>TrRoad_emi!H$40</f>
        <v>2738.6535647667697</v>
      </c>
      <c r="I80" s="102">
        <f>TrRoad_emi!I$40</f>
        <v>2250.4043958049324</v>
      </c>
      <c r="J80" s="102">
        <f>TrRoad_emi!J$40</f>
        <v>2293.0861189267448</v>
      </c>
      <c r="K80" s="102">
        <f>TrRoad_emi!K$40</f>
        <v>2202.3713432041313</v>
      </c>
      <c r="L80" s="102">
        <f>TrRoad_emi!L$40</f>
        <v>1599.1286035381659</v>
      </c>
      <c r="M80" s="102">
        <f>TrRoad_emi!M$40</f>
        <v>1656.813231814991</v>
      </c>
      <c r="N80" s="102">
        <f>TrRoad_emi!N$40</f>
        <v>1526.0433303949503</v>
      </c>
      <c r="O80" s="102">
        <f>TrRoad_emi!O$40</f>
        <v>1513.7581232227312</v>
      </c>
      <c r="P80" s="102">
        <f>TrRoad_emi!P$40</f>
        <v>1404.4170390516415</v>
      </c>
      <c r="Q80" s="102">
        <f>TrRoad_emi!Q$40</f>
        <v>1293.2699435837321</v>
      </c>
      <c r="R80" s="102">
        <f>TrRoad_emi!R$40</f>
        <v>1534.5470414022675</v>
      </c>
      <c r="S80" s="102">
        <f>TrRoad_emi!S$40</f>
        <v>1756.0650125320078</v>
      </c>
      <c r="T80" s="102">
        <f>TrRoad_emi!T$40</f>
        <v>1642.8546736055534</v>
      </c>
      <c r="U80" s="102">
        <f>TrRoad_emi!U$40</f>
        <v>1751.150922433676</v>
      </c>
      <c r="V80" s="102">
        <f>TrRoad_emi!V$40</f>
        <v>1640.7442847396208</v>
      </c>
      <c r="W80" s="102">
        <f>TrRoad_emi!W$40</f>
        <v>1829.2645228272554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246.41113587145688</v>
      </c>
      <c r="C81" s="110">
        <f>TrRail_emi!C$15</f>
        <v>152.611422299672</v>
      </c>
      <c r="D81" s="110">
        <f>TrRail_emi!D$15</f>
        <v>208.42001254448158</v>
      </c>
      <c r="E81" s="110">
        <f>TrRail_emi!E$15</f>
        <v>127.25987177029481</v>
      </c>
      <c r="F81" s="110">
        <f>TrRail_emi!F$15</f>
        <v>158.17413016232138</v>
      </c>
      <c r="G81" s="110">
        <f>TrRail_emi!G$15</f>
        <v>81.312117919434826</v>
      </c>
      <c r="H81" s="110">
        <f>TrRail_emi!H$15</f>
        <v>85.468862844121077</v>
      </c>
      <c r="I81" s="110">
        <f>TrRail_emi!I$15</f>
        <v>168.89679160202925</v>
      </c>
      <c r="J81" s="110">
        <f>TrRail_emi!J$15</f>
        <v>150.29968629855455</v>
      </c>
      <c r="K81" s="110">
        <f>TrRail_emi!K$15</f>
        <v>89.690803828082338</v>
      </c>
      <c r="L81" s="110">
        <f>TrRail_emi!L$15</f>
        <v>107.39748305535905</v>
      </c>
      <c r="M81" s="110">
        <f>TrRail_emi!M$15</f>
        <v>160.48895490036114</v>
      </c>
      <c r="N81" s="110">
        <f>TrRail_emi!N$15</f>
        <v>140.11885401030577</v>
      </c>
      <c r="O81" s="110">
        <f>TrRail_emi!O$15</f>
        <v>128.08505331170494</v>
      </c>
      <c r="P81" s="110">
        <f>TrRail_emi!P$15</f>
        <v>79.56373973754782</v>
      </c>
      <c r="Q81" s="110">
        <f>TrRail_emi!Q$15</f>
        <v>114.69842856211287</v>
      </c>
      <c r="R81" s="110">
        <f>TrRail_emi!R$15</f>
        <v>113.49580822089759</v>
      </c>
      <c r="S81" s="110">
        <f>TrRail_emi!S$15</f>
        <v>100.63907414107572</v>
      </c>
      <c r="T81" s="110">
        <f>TrRail_emi!T$15</f>
        <v>94.701180044386547</v>
      </c>
      <c r="U81" s="110">
        <f>TrRail_emi!U$15</f>
        <v>118.46135994049779</v>
      </c>
      <c r="V81" s="110">
        <f>TrRail_emi!V$15</f>
        <v>85.994963457472167</v>
      </c>
      <c r="W81" s="110">
        <f>TrRail_emi!W$15</f>
        <v>143.41743520642996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6.0926062975459141</v>
      </c>
      <c r="C82" s="110">
        <f t="shared" si="67"/>
        <v>5.2601073367394013</v>
      </c>
      <c r="D82" s="110">
        <f t="shared" si="67"/>
        <v>4.9691120622180165</v>
      </c>
      <c r="E82" s="110">
        <f t="shared" si="67"/>
        <v>4.9356491830980129</v>
      </c>
      <c r="F82" s="110">
        <f t="shared" si="67"/>
        <v>5.4526443417028778</v>
      </c>
      <c r="G82" s="110">
        <f t="shared" si="67"/>
        <v>3.3617974930984884</v>
      </c>
      <c r="H82" s="110">
        <f t="shared" si="67"/>
        <v>3.6474223461620867</v>
      </c>
      <c r="I82" s="110">
        <f t="shared" si="67"/>
        <v>3.4404059624773606</v>
      </c>
      <c r="J82" s="110">
        <f t="shared" si="67"/>
        <v>3.9211811225014697</v>
      </c>
      <c r="K82" s="110">
        <f t="shared" si="67"/>
        <v>4.4208668066263401</v>
      </c>
      <c r="L82" s="110">
        <f t="shared" si="67"/>
        <v>5.1668480744686498</v>
      </c>
      <c r="M82" s="110">
        <f t="shared" si="67"/>
        <v>5.2942073944610657</v>
      </c>
      <c r="N82" s="110">
        <f t="shared" si="67"/>
        <v>5.4308718758595411</v>
      </c>
      <c r="O82" s="110">
        <f t="shared" si="67"/>
        <v>6.5603760087116054</v>
      </c>
      <c r="P82" s="110">
        <f t="shared" si="67"/>
        <v>6.0952048217614481</v>
      </c>
      <c r="Q82" s="110">
        <f t="shared" si="67"/>
        <v>6.3396013163888814</v>
      </c>
      <c r="R82" s="110">
        <f t="shared" si="67"/>
        <v>6.744506615938449</v>
      </c>
      <c r="S82" s="110">
        <f t="shared" si="67"/>
        <v>8.5953164002234193</v>
      </c>
      <c r="T82" s="110">
        <f t="shared" si="67"/>
        <v>3.2671138603975765</v>
      </c>
      <c r="U82" s="110">
        <f t="shared" si="67"/>
        <v>2.5984848393021527</v>
      </c>
      <c r="V82" s="110">
        <f t="shared" si="67"/>
        <v>2.4984800738993052</v>
      </c>
      <c r="W82" s="110">
        <f t="shared" ref="W82" si="68">W83+W84+W85</f>
        <v>3.1863692755030768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0.21902354940791752</v>
      </c>
      <c r="C83" s="102">
        <f>TrAvia_emi!C$11</f>
        <v>0.1873498277680905</v>
      </c>
      <c r="D83" s="102">
        <f>TrAvia_emi!D$11</f>
        <v>0.16630014691876796</v>
      </c>
      <c r="E83" s="102">
        <f>TrAvia_emi!E$11</f>
        <v>0.16140579536334279</v>
      </c>
      <c r="F83" s="102">
        <f>TrAvia_emi!F$11</f>
        <v>0.19272976216283652</v>
      </c>
      <c r="G83" s="102">
        <f>TrAvia_emi!G$11</f>
        <v>7.413983123722856E-2</v>
      </c>
      <c r="H83" s="102">
        <f>TrAvia_emi!H$11</f>
        <v>3.1462511206981396E-2</v>
      </c>
      <c r="I83" s="102">
        <f>TrAvia_emi!I$11</f>
        <v>1.1260559486055055</v>
      </c>
      <c r="J83" s="102">
        <f>TrAvia_emi!J$11</f>
        <v>0.61666673345575995</v>
      </c>
      <c r="K83" s="102">
        <f>TrAvia_emi!K$11</f>
        <v>0.44688692724482737</v>
      </c>
      <c r="L83" s="102">
        <f>TrAvia_emi!L$11</f>
        <v>0.39105665353571012</v>
      </c>
      <c r="M83" s="102">
        <f>TrAvia_emi!M$11</f>
        <v>0.18349568995554741</v>
      </c>
      <c r="N83" s="102">
        <f>TrAvia_emi!N$11</f>
        <v>6.8290184222400949E-2</v>
      </c>
      <c r="O83" s="102">
        <f>TrAvia_emi!O$11</f>
        <v>5.7078199164600052E-2</v>
      </c>
      <c r="P83" s="102">
        <f>TrAvia_emi!P$11</f>
        <v>2.0145739661421382E-2</v>
      </c>
      <c r="Q83" s="102">
        <f>TrAvia_emi!Q$11</f>
        <v>1.8451569667865288E-2</v>
      </c>
      <c r="R83" s="102">
        <f>TrAvia_emi!R$11</f>
        <v>2.3579339746062775E-2</v>
      </c>
      <c r="S83" s="102">
        <f>TrAvia_emi!S$11</f>
        <v>0.12311076950862708</v>
      </c>
      <c r="T83" s="102">
        <f>TrAvia_emi!T$11</f>
        <v>0.23387225831273567</v>
      </c>
      <c r="U83" s="102">
        <f>TrAvia_emi!U$11</f>
        <v>0.42063909299668223</v>
      </c>
      <c r="V83" s="102">
        <f>TrAvia_emi!V$11</f>
        <v>0.74739349286320367</v>
      </c>
      <c r="W83" s="102">
        <f>TrAvia_emi!W$11</f>
        <v>1.0602874684207655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4.6998324421600808</v>
      </c>
      <c r="C84" s="102">
        <f>TrAvia_emi!C$12</f>
        <v>3.9315642403970599</v>
      </c>
      <c r="D84" s="102">
        <f>TrAvia_emi!D$12</f>
        <v>3.6335297978395684</v>
      </c>
      <c r="E84" s="102">
        <f>TrAvia_emi!E$12</f>
        <v>3.5086535748940135</v>
      </c>
      <c r="F84" s="102">
        <f>TrAvia_emi!F$12</f>
        <v>4.0270963320588535</v>
      </c>
      <c r="G84" s="102">
        <f>TrAvia_emi!G$12</f>
        <v>2.8374057615885802</v>
      </c>
      <c r="H84" s="102">
        <f>TrAvia_emi!H$12</f>
        <v>3.1107292331614271</v>
      </c>
      <c r="I84" s="102">
        <f>TrAvia_emi!I$12</f>
        <v>1.8476388074034356</v>
      </c>
      <c r="J84" s="102">
        <f>TrAvia_emi!J$12</f>
        <v>2.6715322183580694</v>
      </c>
      <c r="K84" s="102">
        <f>TrAvia_emi!K$12</f>
        <v>3.4217781914988432</v>
      </c>
      <c r="L84" s="102">
        <f>TrAvia_emi!L$12</f>
        <v>4.0361198443248734</v>
      </c>
      <c r="M84" s="102">
        <f>TrAvia_emi!M$12</f>
        <v>3.9458796008444641</v>
      </c>
      <c r="N84" s="102">
        <f>TrAvia_emi!N$12</f>
        <v>3.4710258051756764</v>
      </c>
      <c r="O84" s="102">
        <f>TrAvia_emi!O$12</f>
        <v>4.4496270864315992</v>
      </c>
      <c r="P84" s="102">
        <f>TrAvia_emi!P$12</f>
        <v>5.1450340704224384</v>
      </c>
      <c r="Q84" s="102">
        <f>TrAvia_emi!Q$12</f>
        <v>5.6643539265332059</v>
      </c>
      <c r="R84" s="102">
        <f>TrAvia_emi!R$12</f>
        <v>6.2713574117137671</v>
      </c>
      <c r="S84" s="102">
        <f>TrAvia_emi!S$12</f>
        <v>8.0885399713098742</v>
      </c>
      <c r="T84" s="102">
        <f>TrAvia_emi!T$12</f>
        <v>2.933929413449937</v>
      </c>
      <c r="U84" s="102">
        <f>TrAvia_emi!U$12</f>
        <v>2.02667283522563</v>
      </c>
      <c r="V84" s="102">
        <f>TrAvia_emi!V$12</f>
        <v>1.5425936356478251</v>
      </c>
      <c r="W84" s="102">
        <f>TrAvia_emi!W$12</f>
        <v>1.9787219972762231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1.173750305977916</v>
      </c>
      <c r="C85" s="102">
        <f>TrAvia_emi!C$13</f>
        <v>1.141193268574251</v>
      </c>
      <c r="D85" s="102">
        <f>TrAvia_emi!D$13</f>
        <v>1.1692821174596801</v>
      </c>
      <c r="E85" s="102">
        <f>TrAvia_emi!E$13</f>
        <v>1.2655898128406569</v>
      </c>
      <c r="F85" s="102">
        <f>TrAvia_emi!F$13</f>
        <v>1.2328182474811877</v>
      </c>
      <c r="G85" s="102">
        <f>TrAvia_emi!G$13</f>
        <v>0.45025190027267992</v>
      </c>
      <c r="H85" s="102">
        <f>TrAvia_emi!H$13</f>
        <v>0.50523060179367807</v>
      </c>
      <c r="I85" s="102">
        <f>TrAvia_emi!I$13</f>
        <v>0.4667112064684199</v>
      </c>
      <c r="J85" s="102">
        <f>TrAvia_emi!J$13</f>
        <v>0.63298217068764029</v>
      </c>
      <c r="K85" s="102">
        <f>TrAvia_emi!K$13</f>
        <v>0.55220168788266955</v>
      </c>
      <c r="L85" s="102">
        <f>TrAvia_emi!L$13</f>
        <v>0.73967157660806671</v>
      </c>
      <c r="M85" s="102">
        <f>TrAvia_emi!M$13</f>
        <v>1.1648321036610545</v>
      </c>
      <c r="N85" s="102">
        <f>TrAvia_emi!N$13</f>
        <v>1.8915558864614634</v>
      </c>
      <c r="O85" s="102">
        <f>TrAvia_emi!O$13</f>
        <v>2.0536707231154061</v>
      </c>
      <c r="P85" s="102">
        <f>TrAvia_emi!P$13</f>
        <v>0.93002501167758866</v>
      </c>
      <c r="Q85" s="102">
        <f>TrAvia_emi!Q$13</f>
        <v>0.65679582018781002</v>
      </c>
      <c r="R85" s="102">
        <f>TrAvia_emi!R$13</f>
        <v>0.44956986447861896</v>
      </c>
      <c r="S85" s="102">
        <f>TrAvia_emi!S$13</f>
        <v>0.38366565940491959</v>
      </c>
      <c r="T85" s="102">
        <f>TrAvia_emi!T$13</f>
        <v>9.9312188634903764E-2</v>
      </c>
      <c r="U85" s="102">
        <f>TrAvia_emi!U$13</f>
        <v>0.15117291107984038</v>
      </c>
      <c r="V85" s="102">
        <f>TrAvia_emi!V$13</f>
        <v>0.20849294538827601</v>
      </c>
      <c r="W85" s="102">
        <f>TrAvia_emi!W$13</f>
        <v>0.14735980980608804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359.61870240000007</v>
      </c>
      <c r="C86" s="110">
        <f t="shared" si="69"/>
        <v>325.97525736000006</v>
      </c>
      <c r="D86" s="110">
        <f t="shared" si="69"/>
        <v>330.11100396000001</v>
      </c>
      <c r="E86" s="110">
        <f t="shared" si="69"/>
        <v>219.65877216000001</v>
      </c>
      <c r="F86" s="110">
        <f t="shared" si="69"/>
        <v>132.5191806</v>
      </c>
      <c r="G86" s="110">
        <f t="shared" si="69"/>
        <v>130.57895736</v>
      </c>
      <c r="H86" s="110">
        <f t="shared" si="69"/>
        <v>127.39250916000003</v>
      </c>
      <c r="I86" s="110">
        <f t="shared" si="69"/>
        <v>264.31383779999999</v>
      </c>
      <c r="J86" s="110">
        <f t="shared" si="69"/>
        <v>241.26533567999996</v>
      </c>
      <c r="K86" s="110">
        <f t="shared" si="69"/>
        <v>172.06019999999998</v>
      </c>
      <c r="L86" s="110">
        <f t="shared" si="69"/>
        <v>184.80545928000001</v>
      </c>
      <c r="M86" s="110">
        <f t="shared" si="69"/>
        <v>162.50138891999998</v>
      </c>
      <c r="N86" s="110">
        <f t="shared" si="69"/>
        <v>132.06620699999999</v>
      </c>
      <c r="O86" s="110">
        <f t="shared" si="69"/>
        <v>128.92190687999999</v>
      </c>
      <c r="P86" s="110">
        <f t="shared" si="69"/>
        <v>116.34417288000003</v>
      </c>
      <c r="Q86" s="110">
        <f t="shared" si="69"/>
        <v>135.21077388</v>
      </c>
      <c r="R86" s="110">
        <f t="shared" ref="R86:V86" si="70">R87+R88</f>
        <v>125.77734000000001</v>
      </c>
      <c r="S86" s="110">
        <f t="shared" si="70"/>
        <v>125.31504492000001</v>
      </c>
      <c r="T86" s="110">
        <f t="shared" si="70"/>
        <v>125.18619984</v>
      </c>
      <c r="U86" s="110">
        <f t="shared" si="70"/>
        <v>135.2299806</v>
      </c>
      <c r="V86" s="110">
        <f t="shared" si="70"/>
        <v>129.86810459999998</v>
      </c>
      <c r="W86" s="110">
        <f t="shared" ref="W86" si="71">W87+W88</f>
        <v>160.10695115999999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</v>
      </c>
      <c r="C87" s="102">
        <f>TrNavi_emi!C$4</f>
        <v>0</v>
      </c>
      <c r="D87" s="102">
        <f>TrNavi_emi!D$4</f>
        <v>0</v>
      </c>
      <c r="E87" s="102">
        <f>TrNavi_emi!E$4</f>
        <v>0</v>
      </c>
      <c r="F87" s="102">
        <f>TrNavi_emi!F$4</f>
        <v>0</v>
      </c>
      <c r="G87" s="102">
        <f>TrNavi_emi!G$4</f>
        <v>0</v>
      </c>
      <c r="H87" s="102">
        <f>TrNavi_emi!H$4</f>
        <v>0</v>
      </c>
      <c r="I87" s="102">
        <f>TrNavi_emi!I$4</f>
        <v>0</v>
      </c>
      <c r="J87" s="102">
        <f>TrNavi_emi!J$4</f>
        <v>0</v>
      </c>
      <c r="K87" s="102">
        <f>TrNavi_emi!K$4</f>
        <v>0</v>
      </c>
      <c r="L87" s="102">
        <f>TrNavi_emi!L$4</f>
        <v>0</v>
      </c>
      <c r="M87" s="102">
        <f>TrNavi_emi!M$4</f>
        <v>0</v>
      </c>
      <c r="N87" s="102">
        <f>TrNavi_emi!N$4</f>
        <v>0</v>
      </c>
      <c r="O87" s="102">
        <f>TrNavi_emi!O$4</f>
        <v>0</v>
      </c>
      <c r="P87" s="102">
        <f>TrNavi_emi!P$4</f>
        <v>0</v>
      </c>
      <c r="Q87" s="102">
        <f>TrNavi_emi!Q$4</f>
        <v>0</v>
      </c>
      <c r="R87" s="102">
        <f>TrNavi_emi!R$4</f>
        <v>0</v>
      </c>
      <c r="S87" s="102">
        <f>TrNavi_emi!S$4</f>
        <v>0</v>
      </c>
      <c r="T87" s="102">
        <f>TrNavi_emi!T$4</f>
        <v>0</v>
      </c>
      <c r="U87" s="102">
        <f>TrNavi_emi!U$4</f>
        <v>0</v>
      </c>
      <c r="V87" s="102">
        <f>TrNavi_emi!V$4</f>
        <v>0</v>
      </c>
      <c r="W87" s="102">
        <f>TrNavi_emi!W$4</f>
        <v>0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359.61870240000007</v>
      </c>
      <c r="C88" s="169">
        <f>TrNavi_emi!C$5</f>
        <v>325.97525736000006</v>
      </c>
      <c r="D88" s="169">
        <f>TrNavi_emi!D$5</f>
        <v>330.11100396000001</v>
      </c>
      <c r="E88" s="169">
        <f>TrNavi_emi!E$5</f>
        <v>219.65877216000001</v>
      </c>
      <c r="F88" s="169">
        <f>TrNavi_emi!F$5</f>
        <v>132.5191806</v>
      </c>
      <c r="G88" s="169">
        <f>TrNavi_emi!G$5</f>
        <v>130.57895736</v>
      </c>
      <c r="H88" s="169">
        <f>TrNavi_emi!H$5</f>
        <v>127.39250916000003</v>
      </c>
      <c r="I88" s="169">
        <f>TrNavi_emi!I$5</f>
        <v>264.31383779999999</v>
      </c>
      <c r="J88" s="169">
        <f>TrNavi_emi!J$5</f>
        <v>241.26533567999996</v>
      </c>
      <c r="K88" s="169">
        <f>TrNavi_emi!K$5</f>
        <v>172.06019999999998</v>
      </c>
      <c r="L88" s="169">
        <f>TrNavi_emi!L$5</f>
        <v>184.80545928000001</v>
      </c>
      <c r="M88" s="169">
        <f>TrNavi_emi!M$5</f>
        <v>162.50138891999998</v>
      </c>
      <c r="N88" s="169">
        <f>TrNavi_emi!N$5</f>
        <v>132.06620699999999</v>
      </c>
      <c r="O88" s="169">
        <f>TrNavi_emi!O$5</f>
        <v>128.92190687999999</v>
      </c>
      <c r="P88" s="169">
        <f>TrNavi_emi!P$5</f>
        <v>116.34417288000003</v>
      </c>
      <c r="Q88" s="169">
        <f>TrNavi_emi!Q$5</f>
        <v>135.21077388</v>
      </c>
      <c r="R88" s="169">
        <f>TrNavi_emi!R$5</f>
        <v>125.77734000000001</v>
      </c>
      <c r="S88" s="169">
        <f>TrNavi_emi!S$5</f>
        <v>125.31504492000001</v>
      </c>
      <c r="T88" s="169">
        <f>TrNavi_emi!T$5</f>
        <v>125.18619984</v>
      </c>
      <c r="U88" s="169">
        <f>TrNavi_emi!U$5</f>
        <v>135.2299806</v>
      </c>
      <c r="V88" s="169">
        <f>TrNavi_emi!V$5</f>
        <v>129.86810459999998</v>
      </c>
      <c r="W88" s="169">
        <f>TrNavi_emi!W$5</f>
        <v>160.10695115999999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0</v>
      </c>
      <c r="C89" s="28">
        <f t="shared" si="72"/>
        <v>0</v>
      </c>
      <c r="D89" s="28">
        <f t="shared" si="72"/>
        <v>0</v>
      </c>
      <c r="E89" s="28">
        <f t="shared" si="72"/>
        <v>0</v>
      </c>
      <c r="F89" s="28">
        <f t="shared" si="72"/>
        <v>0</v>
      </c>
      <c r="G89" s="28">
        <f t="shared" si="72"/>
        <v>0</v>
      </c>
      <c r="H89" s="28">
        <f t="shared" si="72"/>
        <v>0</v>
      </c>
      <c r="I89" s="28">
        <f t="shared" si="72"/>
        <v>110.08075463999999</v>
      </c>
      <c r="J89" s="28">
        <f t="shared" si="72"/>
        <v>222.53275980000006</v>
      </c>
      <c r="K89" s="28">
        <f t="shared" si="72"/>
        <v>49.837844879999992</v>
      </c>
      <c r="L89" s="28">
        <f t="shared" si="72"/>
        <v>49.809343679999998</v>
      </c>
      <c r="M89" s="28">
        <f t="shared" si="72"/>
        <v>28.676700000000004</v>
      </c>
      <c r="N89" s="28">
        <f t="shared" si="72"/>
        <v>44.022069000000023</v>
      </c>
      <c r="O89" s="28">
        <f t="shared" si="72"/>
        <v>128.92190687999997</v>
      </c>
      <c r="P89" s="28">
        <f t="shared" si="72"/>
        <v>248.41037987999999</v>
      </c>
      <c r="Q89" s="28">
        <f t="shared" si="72"/>
        <v>138.355074</v>
      </c>
      <c r="R89" s="28">
        <f t="shared" si="72"/>
        <v>97.477571879999999</v>
      </c>
      <c r="S89" s="28">
        <f t="shared" si="72"/>
        <v>86.556951000000012</v>
      </c>
      <c r="T89" s="28">
        <f t="shared" si="72"/>
        <v>56.137507920000004</v>
      </c>
      <c r="U89" s="28">
        <f t="shared" si="72"/>
        <v>106.10725787999999</v>
      </c>
      <c r="V89" s="28">
        <f t="shared" si="72"/>
        <v>133.72892207999999</v>
      </c>
      <c r="W89" s="28">
        <f t="shared" si="72"/>
        <v>105.32698487999997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0</v>
      </c>
      <c r="C90" s="102">
        <f>MBunk_emi!C$4</f>
        <v>0</v>
      </c>
      <c r="D90" s="102">
        <f>MBunk_emi!D$4</f>
        <v>0</v>
      </c>
      <c r="E90" s="102">
        <f>MBunk_emi!E$4</f>
        <v>0</v>
      </c>
      <c r="F90" s="102">
        <f>MBunk_emi!F$4</f>
        <v>0</v>
      </c>
      <c r="G90" s="102">
        <f>MBunk_emi!G$4</f>
        <v>0</v>
      </c>
      <c r="H90" s="102">
        <f>MBunk_emi!H$4</f>
        <v>0</v>
      </c>
      <c r="I90" s="102">
        <f>MBunk_emi!I$4</f>
        <v>30.586669150496707</v>
      </c>
      <c r="J90" s="102">
        <f>MBunk_emi!J$4</f>
        <v>61.062016700898198</v>
      </c>
      <c r="K90" s="102">
        <f>MBunk_emi!K$4</f>
        <v>22.957897678696671</v>
      </c>
      <c r="L90" s="102">
        <f>MBunk_emi!L$4</f>
        <v>20.149883866734459</v>
      </c>
      <c r="M90" s="102">
        <f>MBunk_emi!M$4</f>
        <v>10.97761662623815</v>
      </c>
      <c r="N90" s="102">
        <f>MBunk_emi!N$4</f>
        <v>14.878266245455734</v>
      </c>
      <c r="O90" s="102">
        <f>MBunk_emi!O$4</f>
        <v>41.341243536692218</v>
      </c>
      <c r="P90" s="102">
        <f>MBunk_emi!P$4</f>
        <v>96.862934330053449</v>
      </c>
      <c r="Q90" s="102">
        <f>MBunk_emi!Q$4</f>
        <v>54.542682887497982</v>
      </c>
      <c r="R90" s="102">
        <f>MBunk_emi!R$4</f>
        <v>38.825221095688285</v>
      </c>
      <c r="S90" s="102">
        <f>MBunk_emi!S$4</f>
        <v>37.001329240561027</v>
      </c>
      <c r="T90" s="102">
        <f>MBunk_emi!T$4</f>
        <v>24.625854679542496</v>
      </c>
      <c r="U90" s="102">
        <f>MBunk_emi!U$4</f>
        <v>41.324140474344425</v>
      </c>
      <c r="V90" s="102">
        <f>MBunk_emi!V$4</f>
        <v>49.106890158496277</v>
      </c>
      <c r="W90" s="102">
        <f>MBunk_emi!W$4</f>
        <v>37.044490803457549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0</v>
      </c>
      <c r="C91" s="86">
        <f>MBunk_emi!C$5</f>
        <v>0</v>
      </c>
      <c r="D91" s="86">
        <f>MBunk_emi!D$5</f>
        <v>0</v>
      </c>
      <c r="E91" s="86">
        <f>MBunk_emi!E$5</f>
        <v>0</v>
      </c>
      <c r="F91" s="86">
        <f>MBunk_emi!F$5</f>
        <v>0</v>
      </c>
      <c r="G91" s="86">
        <f>MBunk_emi!G$5</f>
        <v>0</v>
      </c>
      <c r="H91" s="86">
        <f>MBunk_emi!H$5</f>
        <v>0</v>
      </c>
      <c r="I91" s="86">
        <f>MBunk_emi!I$5</f>
        <v>79.494085489503291</v>
      </c>
      <c r="J91" s="86">
        <f>MBunk_emi!J$5</f>
        <v>161.47074309910187</v>
      </c>
      <c r="K91" s="86">
        <f>MBunk_emi!K$5</f>
        <v>26.879947201303324</v>
      </c>
      <c r="L91" s="86">
        <f>MBunk_emi!L$5</f>
        <v>29.659459813265535</v>
      </c>
      <c r="M91" s="86">
        <f>MBunk_emi!M$5</f>
        <v>17.699083373761852</v>
      </c>
      <c r="N91" s="86">
        <f>MBunk_emi!N$5</f>
        <v>29.143802754544289</v>
      </c>
      <c r="O91" s="86">
        <f>MBunk_emi!O$5</f>
        <v>87.580663343307748</v>
      </c>
      <c r="P91" s="86">
        <f>MBunk_emi!P$5</f>
        <v>151.54744554994653</v>
      </c>
      <c r="Q91" s="86">
        <f>MBunk_emi!Q$5</f>
        <v>83.812391112502013</v>
      </c>
      <c r="R91" s="86">
        <f>MBunk_emi!R$5</f>
        <v>58.652350784311707</v>
      </c>
      <c r="S91" s="86">
        <f>MBunk_emi!S$5</f>
        <v>49.555621759438985</v>
      </c>
      <c r="T91" s="86">
        <f>MBunk_emi!T$5</f>
        <v>31.511653240457512</v>
      </c>
      <c r="U91" s="86">
        <f>MBunk_emi!U$5</f>
        <v>64.78311740565556</v>
      </c>
      <c r="V91" s="86">
        <f>MBunk_emi!V$5</f>
        <v>84.622031921503719</v>
      </c>
      <c r="W91" s="86">
        <f>MBunk_emi!W$5</f>
        <v>68.28249407654242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0.74659776050282811</v>
      </c>
      <c r="C97" s="139">
        <f t="shared" si="76"/>
        <v>0.75791751339002533</v>
      </c>
      <c r="D97" s="139">
        <f t="shared" si="76"/>
        <v>0.78931473727478618</v>
      </c>
      <c r="E97" s="139">
        <f t="shared" si="76"/>
        <v>0.79920289831643165</v>
      </c>
      <c r="F97" s="139">
        <f t="shared" si="76"/>
        <v>0.79448055432132902</v>
      </c>
      <c r="G97" s="139">
        <f t="shared" si="76"/>
        <v>0.80167193787445623</v>
      </c>
      <c r="H97" s="139">
        <f t="shared" si="76"/>
        <v>0.80128814830531003</v>
      </c>
      <c r="I97" s="139">
        <f t="shared" si="76"/>
        <v>0.80483764182204809</v>
      </c>
      <c r="J97" s="139">
        <f t="shared" si="76"/>
        <v>0.82229411844184774</v>
      </c>
      <c r="K97" s="139">
        <f t="shared" si="76"/>
        <v>0.83100727814169673</v>
      </c>
      <c r="L97" s="139">
        <f t="shared" si="76"/>
        <v>0.82863696177514046</v>
      </c>
      <c r="M97" s="139">
        <f t="shared" si="76"/>
        <v>0.82613179300838557</v>
      </c>
      <c r="N97" s="139">
        <f t="shared" si="76"/>
        <v>0.83191684174961911</v>
      </c>
      <c r="O97" s="139">
        <f t="shared" si="76"/>
        <v>0.83339275759236842</v>
      </c>
      <c r="P97" s="139">
        <f t="shared" si="76"/>
        <v>0.83038094966846809</v>
      </c>
      <c r="Q97" s="139">
        <f t="shared" si="76"/>
        <v>0.85513573786126917</v>
      </c>
      <c r="R97" s="139">
        <f t="shared" ref="R97:V97" si="77">IF(R5=0,0,R5/R$4)</f>
        <v>0.84967580642384655</v>
      </c>
      <c r="S97" s="139">
        <f t="shared" si="77"/>
        <v>0.83441222879974175</v>
      </c>
      <c r="T97" s="139">
        <f t="shared" si="77"/>
        <v>0.83540784460384343</v>
      </c>
      <c r="U97" s="139">
        <f t="shared" si="77"/>
        <v>0.8329136004752955</v>
      </c>
      <c r="V97" s="139">
        <f t="shared" si="77"/>
        <v>0.90428194778629556</v>
      </c>
      <c r="W97" s="139">
        <f t="shared" ref="W97" si="78">IF(W5=0,0,W5/W$4)</f>
        <v>0.89118948262545117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3.5104580090620568E-3</v>
      </c>
      <c r="C98" s="140">
        <f t="shared" si="79"/>
        <v>3.496029454886241E-3</v>
      </c>
      <c r="D98" s="140">
        <f t="shared" si="79"/>
        <v>3.540321751525331E-3</v>
      </c>
      <c r="E98" s="140">
        <f t="shared" si="79"/>
        <v>3.3680552140756409E-3</v>
      </c>
      <c r="F98" s="140">
        <f t="shared" si="79"/>
        <v>3.2888430596072528E-3</v>
      </c>
      <c r="G98" s="140">
        <f t="shared" si="79"/>
        <v>3.1072104212245318E-3</v>
      </c>
      <c r="H98" s="140">
        <f t="shared" si="79"/>
        <v>3.2570296475946865E-3</v>
      </c>
      <c r="I98" s="140">
        <f t="shared" si="79"/>
        <v>3.3623531458281007E-3</v>
      </c>
      <c r="J98" s="140">
        <f t="shared" si="79"/>
        <v>3.7465042346067358E-3</v>
      </c>
      <c r="K98" s="140">
        <f t="shared" si="79"/>
        <v>4.054998562469013E-3</v>
      </c>
      <c r="L98" s="140">
        <f t="shared" si="79"/>
        <v>4.3235021172973826E-3</v>
      </c>
      <c r="M98" s="140">
        <f t="shared" si="79"/>
        <v>4.6122713806817832E-3</v>
      </c>
      <c r="N98" s="140">
        <f t="shared" si="79"/>
        <v>4.6764216904633003E-3</v>
      </c>
      <c r="O98" s="140">
        <f t="shared" si="79"/>
        <v>4.8438144823814448E-3</v>
      </c>
      <c r="P98" s="140">
        <f t="shared" si="79"/>
        <v>4.7867517587560802E-3</v>
      </c>
      <c r="Q98" s="140">
        <f t="shared" si="79"/>
        <v>4.7111595272980259E-3</v>
      </c>
      <c r="R98" s="140">
        <f t="shared" ref="R98:V98" si="80">IF(R6=0,0,R6/R$4)</f>
        <v>4.8043952773476097E-3</v>
      </c>
      <c r="S98" s="140">
        <f t="shared" si="80"/>
        <v>4.4625831679978058E-3</v>
      </c>
      <c r="T98" s="140">
        <f t="shared" si="80"/>
        <v>4.0341620131519439E-3</v>
      </c>
      <c r="U98" s="140">
        <f t="shared" si="80"/>
        <v>4.0989965651229464E-3</v>
      </c>
      <c r="V98" s="140">
        <f t="shared" si="80"/>
        <v>4.7185592709927861E-3</v>
      </c>
      <c r="W98" s="140">
        <f t="shared" ref="W98" si="81">IF(W6=0,0,W6/W$4)</f>
        <v>4.5035957372403686E-3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0.64561247746477113</v>
      </c>
      <c r="C99" s="140">
        <f t="shared" si="82"/>
        <v>0.66485031652921289</v>
      </c>
      <c r="D99" s="140">
        <f t="shared" si="82"/>
        <v>0.6957518559407101</v>
      </c>
      <c r="E99" s="140">
        <f t="shared" si="82"/>
        <v>0.68087619301400881</v>
      </c>
      <c r="F99" s="140">
        <f t="shared" si="82"/>
        <v>0.68046382237284408</v>
      </c>
      <c r="G99" s="140">
        <f t="shared" si="82"/>
        <v>0.66902594902758017</v>
      </c>
      <c r="H99" s="140">
        <f t="shared" si="82"/>
        <v>0.67454070951354328</v>
      </c>
      <c r="I99" s="140">
        <f t="shared" si="82"/>
        <v>0.67916518511656176</v>
      </c>
      <c r="J99" s="140">
        <f t="shared" si="82"/>
        <v>0.63628913491091454</v>
      </c>
      <c r="K99" s="140">
        <f t="shared" si="82"/>
        <v>0.67418470443408451</v>
      </c>
      <c r="L99" s="140">
        <f t="shared" si="82"/>
        <v>0.68157160290177798</v>
      </c>
      <c r="M99" s="140">
        <f t="shared" si="82"/>
        <v>0.68056546296623399</v>
      </c>
      <c r="N99" s="140">
        <f t="shared" si="82"/>
        <v>0.67841895380600348</v>
      </c>
      <c r="O99" s="140">
        <f t="shared" si="82"/>
        <v>0.68330585945009226</v>
      </c>
      <c r="P99" s="140">
        <f t="shared" si="82"/>
        <v>0.67935490717487168</v>
      </c>
      <c r="Q99" s="140">
        <f t="shared" si="82"/>
        <v>0.6661217104044993</v>
      </c>
      <c r="R99" s="140">
        <f t="shared" ref="R99:V99" si="83">IF(R7=0,0,R7/R$4)</f>
        <v>0.66623024228088101</v>
      </c>
      <c r="S99" s="140">
        <f t="shared" si="83"/>
        <v>0.66015037604459048</v>
      </c>
      <c r="T99" s="140">
        <f t="shared" si="83"/>
        <v>0.66114769077288971</v>
      </c>
      <c r="U99" s="140">
        <f t="shared" si="83"/>
        <v>0.66753838747156258</v>
      </c>
      <c r="V99" s="140">
        <f t="shared" si="83"/>
        <v>0.75677789525770323</v>
      </c>
      <c r="W99" s="140">
        <f t="shared" ref="W99" si="84">IF(W7=0,0,W7/W$4)</f>
        <v>0.7508884844113598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9.7474825028994849E-2</v>
      </c>
      <c r="C100" s="140">
        <f t="shared" si="85"/>
        <v>8.9571167405926133E-2</v>
      </c>
      <c r="D100" s="140">
        <f t="shared" si="85"/>
        <v>9.002255958255076E-2</v>
      </c>
      <c r="E100" s="140">
        <f t="shared" si="85"/>
        <v>0.11495865008834738</v>
      </c>
      <c r="F100" s="140">
        <f t="shared" si="85"/>
        <v>0.11072788888887765</v>
      </c>
      <c r="G100" s="140">
        <f t="shared" si="85"/>
        <v>0.12953877842565162</v>
      </c>
      <c r="H100" s="140">
        <f t="shared" si="85"/>
        <v>0.1234904091441721</v>
      </c>
      <c r="I100" s="140">
        <f t="shared" si="85"/>
        <v>0.12231010355965816</v>
      </c>
      <c r="J100" s="140">
        <f t="shared" si="85"/>
        <v>0.18225847929632635</v>
      </c>
      <c r="K100" s="140">
        <f t="shared" si="85"/>
        <v>0.15276757514514328</v>
      </c>
      <c r="L100" s="140">
        <f t="shared" si="85"/>
        <v>0.14274185675606504</v>
      </c>
      <c r="M100" s="140">
        <f t="shared" si="85"/>
        <v>0.14095405866146973</v>
      </c>
      <c r="N100" s="140">
        <f t="shared" si="85"/>
        <v>0.14882146625315223</v>
      </c>
      <c r="O100" s="140">
        <f t="shared" si="85"/>
        <v>0.14524308365989469</v>
      </c>
      <c r="P100" s="140">
        <f t="shared" si="85"/>
        <v>0.14623929073484038</v>
      </c>
      <c r="Q100" s="140">
        <f t="shared" si="85"/>
        <v>0.18430286792947187</v>
      </c>
      <c r="R100" s="140">
        <f t="shared" ref="R100:V100" si="86">IF(R8=0,0,R8/R$4)</f>
        <v>0.17864116886561779</v>
      </c>
      <c r="S100" s="140">
        <f t="shared" si="86"/>
        <v>0.16979926958715355</v>
      </c>
      <c r="T100" s="140">
        <f t="shared" si="86"/>
        <v>0.17022599181780168</v>
      </c>
      <c r="U100" s="140">
        <f t="shared" si="86"/>
        <v>0.16127621643860998</v>
      </c>
      <c r="V100" s="140">
        <f t="shared" si="86"/>
        <v>0.14278549325759946</v>
      </c>
      <c r="W100" s="140">
        <f t="shared" ref="W100" si="87">IF(W8=0,0,W8/W$4)</f>
        <v>0.13579740247685101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0.22320469024821263</v>
      </c>
      <c r="C101" s="124">
        <f t="shared" si="88"/>
        <v>0.21484163085558278</v>
      </c>
      <c r="D101" s="124">
        <f t="shared" si="88"/>
        <v>0.18684802620096624</v>
      </c>
      <c r="E101" s="124">
        <f t="shared" si="88"/>
        <v>0.17355309227613319</v>
      </c>
      <c r="F101" s="124">
        <f t="shared" si="88"/>
        <v>0.17398808804588423</v>
      </c>
      <c r="G101" s="124">
        <f t="shared" si="88"/>
        <v>0.15992909571037481</v>
      </c>
      <c r="H101" s="124">
        <f t="shared" si="88"/>
        <v>0.15671232833191401</v>
      </c>
      <c r="I101" s="124">
        <f t="shared" si="88"/>
        <v>0.1446470918701584</v>
      </c>
      <c r="J101" s="124">
        <f t="shared" si="88"/>
        <v>0.12597622333456093</v>
      </c>
      <c r="K101" s="124">
        <f t="shared" si="88"/>
        <v>0.1176474633234313</v>
      </c>
      <c r="L101" s="124">
        <f t="shared" si="88"/>
        <v>0.11352644886052035</v>
      </c>
      <c r="M101" s="124">
        <f t="shared" si="88"/>
        <v>0.11014642803090398</v>
      </c>
      <c r="N101" s="124">
        <f t="shared" si="88"/>
        <v>0.10671692901610766</v>
      </c>
      <c r="O101" s="124">
        <f t="shared" si="88"/>
        <v>0.10341591632190975</v>
      </c>
      <c r="P101" s="124">
        <f t="shared" si="88"/>
        <v>0.10347352835897751</v>
      </c>
      <c r="Q101" s="124">
        <f t="shared" si="88"/>
        <v>7.454387955324579E-2</v>
      </c>
      <c r="R101" s="124">
        <f t="shared" ref="R101:V101" si="89">IF(R9=0,0,R9/R$4)</f>
        <v>7.0088257110462321E-2</v>
      </c>
      <c r="S101" s="124">
        <f t="shared" si="89"/>
        <v>7.3181324911345644E-2</v>
      </c>
      <c r="T101" s="124">
        <f t="shared" si="89"/>
        <v>6.7377283502793706E-2</v>
      </c>
      <c r="U101" s="124">
        <f t="shared" si="89"/>
        <v>6.5450458346582988E-2</v>
      </c>
      <c r="V101" s="124">
        <f t="shared" si="89"/>
        <v>5.4635153520466981E-2</v>
      </c>
      <c r="W101" s="124">
        <f t="shared" ref="W101" si="90">IF(W9=0,0,W9/W$4)</f>
        <v>5.1485451529109189E-2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7.5954409113502486E-2</v>
      </c>
      <c r="C102" s="140">
        <f t="shared" si="91"/>
        <v>7.5982893317624325E-2</v>
      </c>
      <c r="D102" s="140">
        <f t="shared" si="91"/>
        <v>7.7305761771190001E-2</v>
      </c>
      <c r="E102" s="140">
        <f t="shared" si="91"/>
        <v>7.0242288489704055E-2</v>
      </c>
      <c r="F102" s="140">
        <f t="shared" si="91"/>
        <v>7.2645907051804431E-2</v>
      </c>
      <c r="G102" s="140">
        <f t="shared" si="91"/>
        <v>7.2352502218813702E-2</v>
      </c>
      <c r="H102" s="140">
        <f t="shared" si="91"/>
        <v>7.1558140790828312E-2</v>
      </c>
      <c r="I102" s="140">
        <f t="shared" si="91"/>
        <v>6.9425774478581878E-2</v>
      </c>
      <c r="J102" s="140">
        <f t="shared" si="91"/>
        <v>6.3177644601083716E-2</v>
      </c>
      <c r="K102" s="140">
        <f t="shared" si="91"/>
        <v>6.2926882280092633E-2</v>
      </c>
      <c r="L102" s="140">
        <f t="shared" si="91"/>
        <v>6.4444266013143306E-2</v>
      </c>
      <c r="M102" s="140">
        <f t="shared" si="91"/>
        <v>6.4099680681452234E-2</v>
      </c>
      <c r="N102" s="140">
        <f t="shared" si="91"/>
        <v>6.6467066745049208E-2</v>
      </c>
      <c r="O102" s="140">
        <f t="shared" si="91"/>
        <v>6.5910516367349653E-2</v>
      </c>
      <c r="P102" s="140">
        <f t="shared" si="91"/>
        <v>6.3793790603561967E-2</v>
      </c>
      <c r="Q102" s="140">
        <f t="shared" si="91"/>
        <v>3.6377644629892535E-2</v>
      </c>
      <c r="R102" s="140">
        <f t="shared" ref="R102:V102" si="92">IF(R10=0,0,R10/R$4)</f>
        <v>3.5324181826461229E-2</v>
      </c>
      <c r="S102" s="140">
        <f t="shared" si="92"/>
        <v>3.4760938180779674E-2</v>
      </c>
      <c r="T102" s="140">
        <f t="shared" si="92"/>
        <v>3.1856076773456185E-2</v>
      </c>
      <c r="U102" s="140">
        <f t="shared" si="92"/>
        <v>2.9775131535837638E-2</v>
      </c>
      <c r="V102" s="140">
        <f t="shared" si="92"/>
        <v>2.6233857355730365E-2</v>
      </c>
      <c r="W102" s="140">
        <f t="shared" ref="W102" si="93">IF(W10=0,0,W10/W$4)</f>
        <v>2.2062685929549065E-2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0.14725028113471014</v>
      </c>
      <c r="C103" s="140">
        <f t="shared" si="94"/>
        <v>0.13885873753795844</v>
      </c>
      <c r="D103" s="140">
        <f t="shared" si="94"/>
        <v>0.10954226442977624</v>
      </c>
      <c r="E103" s="140">
        <f t="shared" si="94"/>
        <v>0.10331080378642915</v>
      </c>
      <c r="F103" s="140">
        <f t="shared" si="94"/>
        <v>0.10134218099407978</v>
      </c>
      <c r="G103" s="140">
        <f t="shared" si="94"/>
        <v>8.7576593491561106E-2</v>
      </c>
      <c r="H103" s="140">
        <f t="shared" si="94"/>
        <v>8.5154187541085696E-2</v>
      </c>
      <c r="I103" s="140">
        <f t="shared" si="94"/>
        <v>7.5221317391576531E-2</v>
      </c>
      <c r="J103" s="140">
        <f t="shared" si="94"/>
        <v>6.2798578733477217E-2</v>
      </c>
      <c r="K103" s="140">
        <f t="shared" si="94"/>
        <v>5.472058104333867E-2</v>
      </c>
      <c r="L103" s="140">
        <f t="shared" si="94"/>
        <v>4.9082182847377039E-2</v>
      </c>
      <c r="M103" s="140">
        <f t="shared" si="94"/>
        <v>4.6046747349451737E-2</v>
      </c>
      <c r="N103" s="140">
        <f t="shared" si="94"/>
        <v>4.0249862271058451E-2</v>
      </c>
      <c r="O103" s="140">
        <f t="shared" si="94"/>
        <v>3.7505399954560092E-2</v>
      </c>
      <c r="P103" s="140">
        <f t="shared" si="94"/>
        <v>3.9679737755415542E-2</v>
      </c>
      <c r="Q103" s="140">
        <f t="shared" si="94"/>
        <v>3.8166234923353255E-2</v>
      </c>
      <c r="R103" s="140">
        <f t="shared" ref="R103:V103" si="95">IF(R11=0,0,R11/R$4)</f>
        <v>3.4764075284001085E-2</v>
      </c>
      <c r="S103" s="140">
        <f t="shared" si="95"/>
        <v>3.8420386730565977E-2</v>
      </c>
      <c r="T103" s="140">
        <f t="shared" si="95"/>
        <v>3.5521206729337514E-2</v>
      </c>
      <c r="U103" s="140">
        <f t="shared" si="95"/>
        <v>3.5675326810745346E-2</v>
      </c>
      <c r="V103" s="140">
        <f t="shared" si="95"/>
        <v>2.8401296164736613E-2</v>
      </c>
      <c r="W103" s="140">
        <f t="shared" ref="W103" si="96">IF(W11=0,0,W11/W$4)</f>
        <v>2.9422765599560127E-2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3.0197549248959361E-2</v>
      </c>
      <c r="C105" s="124">
        <f t="shared" si="100"/>
        <v>2.724085575439197E-2</v>
      </c>
      <c r="D105" s="124">
        <f t="shared" si="100"/>
        <v>2.383723652424773E-2</v>
      </c>
      <c r="E105" s="124">
        <f t="shared" si="100"/>
        <v>2.7244009407435085E-2</v>
      </c>
      <c r="F105" s="124">
        <f t="shared" si="100"/>
        <v>3.1531357632786805E-2</v>
      </c>
      <c r="G105" s="124">
        <f t="shared" si="100"/>
        <v>3.8398966415168954E-2</v>
      </c>
      <c r="H105" s="124">
        <f t="shared" si="100"/>
        <v>4.1999523362775959E-2</v>
      </c>
      <c r="I105" s="124">
        <f t="shared" si="100"/>
        <v>5.051526630779346E-2</v>
      </c>
      <c r="J105" s="124">
        <f t="shared" si="100"/>
        <v>5.1729658223591317E-2</v>
      </c>
      <c r="K105" s="124">
        <f t="shared" si="100"/>
        <v>5.1345258534871971E-2</v>
      </c>
      <c r="L105" s="124">
        <f t="shared" si="100"/>
        <v>5.7836589364339309E-2</v>
      </c>
      <c r="M105" s="124">
        <f t="shared" si="100"/>
        <v>6.3721778960710462E-2</v>
      </c>
      <c r="N105" s="124">
        <f t="shared" si="100"/>
        <v>6.1366229234273359E-2</v>
      </c>
      <c r="O105" s="124">
        <f t="shared" si="100"/>
        <v>6.3191326085721783E-2</v>
      </c>
      <c r="P105" s="124">
        <f t="shared" si="100"/>
        <v>6.6145521972554439E-2</v>
      </c>
      <c r="Q105" s="124">
        <f t="shared" si="100"/>
        <v>7.0320382585485078E-2</v>
      </c>
      <c r="R105" s="124">
        <f t="shared" ref="R105:V105" si="101">IF(R13=0,0,R13/R$4)</f>
        <v>8.0235936465691202E-2</v>
      </c>
      <c r="S105" s="124">
        <f t="shared" si="101"/>
        <v>9.240644628891255E-2</v>
      </c>
      <c r="T105" s="124">
        <f t="shared" si="101"/>
        <v>9.7214871893362906E-2</v>
      </c>
      <c r="U105" s="124">
        <f t="shared" si="101"/>
        <v>0.10163594117812148</v>
      </c>
      <c r="V105" s="124">
        <f t="shared" si="101"/>
        <v>4.1082898693237571E-2</v>
      </c>
      <c r="W105" s="124">
        <f t="shared" ref="W105" si="102">IF(W13=0,0,W13/W$4)</f>
        <v>5.7325065845439657E-2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6.1058993584659285E-4</v>
      </c>
      <c r="C106" s="140">
        <f t="shared" si="103"/>
        <v>3.0667564161558137E-4</v>
      </c>
      <c r="D106" s="140">
        <f t="shared" si="103"/>
        <v>2.0966792270866216E-4</v>
      </c>
      <c r="E106" s="140">
        <f t="shared" si="103"/>
        <v>1.9949057952540613E-4</v>
      </c>
      <c r="F106" s="140">
        <f t="shared" si="103"/>
        <v>1.1397569112626144E-3</v>
      </c>
      <c r="G106" s="140">
        <f t="shared" si="103"/>
        <v>1.2783039460718471E-3</v>
      </c>
      <c r="H106" s="140">
        <f t="shared" si="103"/>
        <v>1.327116313831927E-3</v>
      </c>
      <c r="I106" s="140">
        <f t="shared" si="103"/>
        <v>1.4922308760086159E-3</v>
      </c>
      <c r="J106" s="140">
        <f t="shared" si="103"/>
        <v>1.6817874585190206E-3</v>
      </c>
      <c r="K106" s="140">
        <f t="shared" si="103"/>
        <v>1.5639182659654023E-3</v>
      </c>
      <c r="L106" s="140">
        <f t="shared" si="103"/>
        <v>2.0003579991530397E-3</v>
      </c>
      <c r="M106" s="140">
        <f t="shared" si="103"/>
        <v>2.0742758066672976E-3</v>
      </c>
      <c r="N106" s="140">
        <f t="shared" si="103"/>
        <v>1.8268352408491075E-3</v>
      </c>
      <c r="O106" s="140">
        <f t="shared" si="103"/>
        <v>1.6634196582937084E-3</v>
      </c>
      <c r="P106" s="140">
        <f t="shared" si="103"/>
        <v>1.4140035076181776E-3</v>
      </c>
      <c r="Q106" s="140">
        <f t="shared" si="103"/>
        <v>1.3745450721788545E-3</v>
      </c>
      <c r="R106" s="140">
        <f t="shared" ref="R106:V106" si="104">IF(R14=0,0,R14/R$4)</f>
        <v>2.2587051533293971E-3</v>
      </c>
      <c r="S106" s="140">
        <f t="shared" si="104"/>
        <v>3.3789499578029941E-3</v>
      </c>
      <c r="T106" s="140">
        <f t="shared" si="104"/>
        <v>3.2257105962296075E-3</v>
      </c>
      <c r="U106" s="140">
        <f t="shared" si="104"/>
        <v>2.955563080377718E-3</v>
      </c>
      <c r="V106" s="140">
        <f t="shared" si="104"/>
        <v>1.1896563929332563E-3</v>
      </c>
      <c r="W106" s="140">
        <f t="shared" ref="W106" si="105">IF(W14=0,0,W14/W$4)</f>
        <v>1.5921506749674045E-3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2.4725603721299956E-2</v>
      </c>
      <c r="C107" s="140">
        <f t="shared" si="106"/>
        <v>2.2552700650165479E-2</v>
      </c>
      <c r="D107" s="140">
        <f t="shared" si="106"/>
        <v>1.9804413108859484E-2</v>
      </c>
      <c r="E107" s="140">
        <f t="shared" si="106"/>
        <v>2.2644175000258986E-2</v>
      </c>
      <c r="F107" s="140">
        <f t="shared" si="106"/>
        <v>2.5379795096535266E-2</v>
      </c>
      <c r="G107" s="140">
        <f t="shared" si="106"/>
        <v>3.1820783786084689E-2</v>
      </c>
      <c r="H107" s="140">
        <f t="shared" si="106"/>
        <v>3.4706973174024207E-2</v>
      </c>
      <c r="I107" s="140">
        <f t="shared" si="106"/>
        <v>4.1142101114402772E-2</v>
      </c>
      <c r="J107" s="140">
        <f t="shared" si="106"/>
        <v>4.2190383116993087E-2</v>
      </c>
      <c r="K107" s="140">
        <f t="shared" si="106"/>
        <v>4.2904207883247496E-2</v>
      </c>
      <c r="L107" s="140">
        <f t="shared" si="106"/>
        <v>4.8181439492941076E-2</v>
      </c>
      <c r="M107" s="140">
        <f t="shared" si="106"/>
        <v>5.5000976253066491E-2</v>
      </c>
      <c r="N107" s="140">
        <f t="shared" si="106"/>
        <v>5.2194062149273308E-2</v>
      </c>
      <c r="O107" s="140">
        <f t="shared" si="106"/>
        <v>5.3526295635167739E-2</v>
      </c>
      <c r="P107" s="140">
        <f t="shared" si="106"/>
        <v>5.4554328615615565E-2</v>
      </c>
      <c r="Q107" s="140">
        <f t="shared" si="106"/>
        <v>5.817401858619313E-2</v>
      </c>
      <c r="R107" s="140">
        <f t="shared" ref="R107:V107" si="107">IF(R15=0,0,R15/R$4)</f>
        <v>6.6691999770442684E-2</v>
      </c>
      <c r="S107" s="140">
        <f t="shared" si="107"/>
        <v>7.6371240873388258E-2</v>
      </c>
      <c r="T107" s="140">
        <f t="shared" si="107"/>
        <v>7.8252426003733958E-2</v>
      </c>
      <c r="U107" s="140">
        <f t="shared" si="107"/>
        <v>8.0606375535123467E-2</v>
      </c>
      <c r="V107" s="140">
        <f t="shared" si="107"/>
        <v>3.4643022046967821E-2</v>
      </c>
      <c r="W107" s="140">
        <f t="shared" ref="W107" si="108">IF(W15=0,0,W15/W$4)</f>
        <v>4.5799044596063723E-2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4.8613555918128127E-3</v>
      </c>
      <c r="C108" s="140">
        <f t="shared" si="109"/>
        <v>4.3814794626109077E-3</v>
      </c>
      <c r="D108" s="140">
        <f t="shared" si="109"/>
        <v>3.823155492679585E-3</v>
      </c>
      <c r="E108" s="140">
        <f t="shared" si="109"/>
        <v>4.4003438276506912E-3</v>
      </c>
      <c r="F108" s="140">
        <f t="shared" si="109"/>
        <v>5.0118056249889237E-3</v>
      </c>
      <c r="G108" s="140">
        <f t="shared" si="109"/>
        <v>5.2998786830124184E-3</v>
      </c>
      <c r="H108" s="140">
        <f t="shared" si="109"/>
        <v>5.965433874919831E-3</v>
      </c>
      <c r="I108" s="140">
        <f t="shared" si="109"/>
        <v>7.8809343173820729E-3</v>
      </c>
      <c r="J108" s="140">
        <f t="shared" si="109"/>
        <v>7.8574876480792012E-3</v>
      </c>
      <c r="K108" s="140">
        <f t="shared" si="109"/>
        <v>6.8771323856590778E-3</v>
      </c>
      <c r="L108" s="140">
        <f t="shared" si="109"/>
        <v>7.6547918722451999E-3</v>
      </c>
      <c r="M108" s="140">
        <f t="shared" si="109"/>
        <v>6.6465269009766672E-3</v>
      </c>
      <c r="N108" s="140">
        <f t="shared" si="109"/>
        <v>7.3453318441509463E-3</v>
      </c>
      <c r="O108" s="140">
        <f t="shared" si="109"/>
        <v>8.0016107922603399E-3</v>
      </c>
      <c r="P108" s="140">
        <f t="shared" si="109"/>
        <v>1.0177189849320697E-2</v>
      </c>
      <c r="Q108" s="140">
        <f t="shared" si="109"/>
        <v>1.0771818927113099E-2</v>
      </c>
      <c r="R108" s="140">
        <f t="shared" ref="R108:V108" si="110">IF(R16=0,0,R16/R$4)</f>
        <v>1.1285231541919108E-2</v>
      </c>
      <c r="S108" s="140">
        <f t="shared" si="110"/>
        <v>1.2656255457721302E-2</v>
      </c>
      <c r="T108" s="140">
        <f t="shared" si="110"/>
        <v>1.5736735293399334E-2</v>
      </c>
      <c r="U108" s="140">
        <f t="shared" si="110"/>
        <v>1.8074002562620289E-2</v>
      </c>
      <c r="V108" s="140">
        <f t="shared" si="110"/>
        <v>5.2502202533364992E-3</v>
      </c>
      <c r="W108" s="140">
        <f t="shared" ref="W108" si="111">IF(W16=0,0,W16/W$4)</f>
        <v>9.9338705744085303E-3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0.52016792411540336</v>
      </c>
      <c r="C110" s="139">
        <f t="shared" si="115"/>
        <v>0.53932920619129654</v>
      </c>
      <c r="D110" s="139">
        <f t="shared" si="115"/>
        <v>0.54985006916799506</v>
      </c>
      <c r="E110" s="139">
        <f t="shared" si="115"/>
        <v>0.58275840937362999</v>
      </c>
      <c r="F110" s="139">
        <f t="shared" si="115"/>
        <v>0.54536473728715418</v>
      </c>
      <c r="G110" s="139">
        <f t="shared" si="115"/>
        <v>0.576175077550657</v>
      </c>
      <c r="H110" s="139">
        <f t="shared" si="115"/>
        <v>0.58842028003422797</v>
      </c>
      <c r="I110" s="139">
        <f t="shared" si="115"/>
        <v>0.59824809196361584</v>
      </c>
      <c r="J110" s="139">
        <f t="shared" si="115"/>
        <v>0.57950873165728434</v>
      </c>
      <c r="K110" s="139">
        <f t="shared" si="115"/>
        <v>0.5435691618105335</v>
      </c>
      <c r="L110" s="139">
        <f t="shared" si="115"/>
        <v>0.39883114782597856</v>
      </c>
      <c r="M110" s="139">
        <f t="shared" si="115"/>
        <v>0.40337421028698922</v>
      </c>
      <c r="N110" s="139">
        <f t="shared" si="115"/>
        <v>0.42465567503560653</v>
      </c>
      <c r="O110" s="139">
        <f t="shared" si="115"/>
        <v>0.43611162822957145</v>
      </c>
      <c r="P110" s="139">
        <f t="shared" si="115"/>
        <v>0.44464466700774896</v>
      </c>
      <c r="Q110" s="139">
        <f t="shared" si="115"/>
        <v>0.4184758237388792</v>
      </c>
      <c r="R110" s="139">
        <f t="shared" ref="R110:V110" si="116">IF(R18=0,0,R18/R$17)</f>
        <v>0.43995195987907171</v>
      </c>
      <c r="S110" s="139">
        <f t="shared" si="116"/>
        <v>0.46139615399604045</v>
      </c>
      <c r="T110" s="139">
        <f t="shared" si="116"/>
        <v>0.47969050102478183</v>
      </c>
      <c r="U110" s="139">
        <f t="shared" si="116"/>
        <v>0.48754670014683932</v>
      </c>
      <c r="V110" s="139">
        <f t="shared" si="116"/>
        <v>0.49592115727182201</v>
      </c>
      <c r="W110" s="139">
        <f t="shared" ref="W110" si="117">IF(W18=0,0,W18/W$17)</f>
        <v>0.53156840552797058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3.1716184634942315E-2</v>
      </c>
      <c r="C111" s="140">
        <f t="shared" si="118"/>
        <v>3.1744980909273905E-2</v>
      </c>
      <c r="D111" s="140">
        <f t="shared" si="118"/>
        <v>3.1877977322056564E-2</v>
      </c>
      <c r="E111" s="140">
        <f t="shared" si="118"/>
        <v>3.1330071832193961E-2</v>
      </c>
      <c r="F111" s="140">
        <f t="shared" si="118"/>
        <v>2.7763879582360158E-2</v>
      </c>
      <c r="G111" s="140">
        <f t="shared" si="118"/>
        <v>2.5574519949050602E-2</v>
      </c>
      <c r="H111" s="140">
        <f t="shared" si="118"/>
        <v>2.8780872609072736E-2</v>
      </c>
      <c r="I111" s="140">
        <f t="shared" si="118"/>
        <v>2.9582251628435724E-2</v>
      </c>
      <c r="J111" s="140">
        <f t="shared" si="118"/>
        <v>3.561701749463167E-2</v>
      </c>
      <c r="K111" s="140">
        <f t="shared" si="118"/>
        <v>4.1566309285502701E-2</v>
      </c>
      <c r="L111" s="140">
        <f t="shared" si="118"/>
        <v>4.7327770437480168E-2</v>
      </c>
      <c r="M111" s="140">
        <f t="shared" si="118"/>
        <v>5.0885394797716831E-2</v>
      </c>
      <c r="N111" s="140">
        <f t="shared" si="118"/>
        <v>5.1648371735075672E-2</v>
      </c>
      <c r="O111" s="140">
        <f t="shared" si="118"/>
        <v>5.5648560056935394E-2</v>
      </c>
      <c r="P111" s="140">
        <f t="shared" si="118"/>
        <v>6.2559412294455594E-2</v>
      </c>
      <c r="Q111" s="140">
        <f t="shared" si="118"/>
        <v>6.2181803639557824E-2</v>
      </c>
      <c r="R111" s="140">
        <f t="shared" ref="R111:V111" si="119">IF(R19=0,0,R19/R$17)</f>
        <v>6.2179594135854589E-2</v>
      </c>
      <c r="S111" s="140">
        <f t="shared" si="119"/>
        <v>6.4644101563683457E-2</v>
      </c>
      <c r="T111" s="140">
        <f t="shared" si="119"/>
        <v>7.0444932666476875E-2</v>
      </c>
      <c r="U111" s="140">
        <f t="shared" si="119"/>
        <v>6.8515787272795267E-2</v>
      </c>
      <c r="V111" s="140">
        <f t="shared" si="119"/>
        <v>7.47712817047676E-2</v>
      </c>
      <c r="W111" s="140">
        <f t="shared" ref="W111" si="120">IF(W19=0,0,W19/W$17)</f>
        <v>6.9555813249218806E-2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0.48845173948046106</v>
      </c>
      <c r="C112" s="140">
        <f t="shared" si="121"/>
        <v>0.50758422528202263</v>
      </c>
      <c r="D112" s="140">
        <f t="shared" si="121"/>
        <v>0.51797209184593851</v>
      </c>
      <c r="E112" s="140">
        <f t="shared" si="121"/>
        <v>0.55142833754143605</v>
      </c>
      <c r="F112" s="140">
        <f t="shared" si="121"/>
        <v>0.51760085770479403</v>
      </c>
      <c r="G112" s="140">
        <f t="shared" si="121"/>
        <v>0.55060055760160642</v>
      </c>
      <c r="H112" s="140">
        <f t="shared" si="121"/>
        <v>0.55963940742515517</v>
      </c>
      <c r="I112" s="140">
        <f t="shared" si="121"/>
        <v>0.56866584033518008</v>
      </c>
      <c r="J112" s="140">
        <f t="shared" si="121"/>
        <v>0.5438917141626527</v>
      </c>
      <c r="K112" s="140">
        <f t="shared" si="121"/>
        <v>0.50200285252503085</v>
      </c>
      <c r="L112" s="140">
        <f t="shared" si="121"/>
        <v>0.35150337738849846</v>
      </c>
      <c r="M112" s="140">
        <f t="shared" si="121"/>
        <v>0.35248881548927241</v>
      </c>
      <c r="N112" s="140">
        <f t="shared" si="121"/>
        <v>0.37300730330053089</v>
      </c>
      <c r="O112" s="140">
        <f t="shared" si="121"/>
        <v>0.38046306817263603</v>
      </c>
      <c r="P112" s="140">
        <f t="shared" si="121"/>
        <v>0.38208525471329335</v>
      </c>
      <c r="Q112" s="140">
        <f t="shared" si="121"/>
        <v>0.35629402009932137</v>
      </c>
      <c r="R112" s="140">
        <f t="shared" ref="R112:V112" si="122">IF(R20=0,0,R20/R$17)</f>
        <v>0.37777236574321715</v>
      </c>
      <c r="S112" s="140">
        <f t="shared" si="122"/>
        <v>0.39675205243235701</v>
      </c>
      <c r="T112" s="140">
        <f t="shared" si="122"/>
        <v>0.40924556835830495</v>
      </c>
      <c r="U112" s="140">
        <f t="shared" si="122"/>
        <v>0.41903091287404404</v>
      </c>
      <c r="V112" s="140">
        <f t="shared" si="122"/>
        <v>0.42114987556705435</v>
      </c>
      <c r="W112" s="140">
        <f t="shared" ref="W112" si="123">IF(W20=0,0,W20/W$17)</f>
        <v>0.46201259227875174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0.41300920490137727</v>
      </c>
      <c r="C113" s="124">
        <f t="shared" si="124"/>
        <v>0.39331562630067357</v>
      </c>
      <c r="D113" s="124">
        <f t="shared" si="124"/>
        <v>0.36303776623779777</v>
      </c>
      <c r="E113" s="124">
        <f t="shared" si="124"/>
        <v>0.33789735865582415</v>
      </c>
      <c r="F113" s="124">
        <f t="shared" si="124"/>
        <v>0.32262104900041216</v>
      </c>
      <c r="G113" s="124">
        <f t="shared" si="124"/>
        <v>0.2808448773271584</v>
      </c>
      <c r="H113" s="124">
        <f t="shared" si="124"/>
        <v>0.27131150206974158</v>
      </c>
      <c r="I113" s="124">
        <f t="shared" si="124"/>
        <v>0.26420654172267066</v>
      </c>
      <c r="J113" s="124">
        <f t="shared" si="124"/>
        <v>0.26766858889561868</v>
      </c>
      <c r="K113" s="124">
        <f t="shared" si="124"/>
        <v>0.22133497478860309</v>
      </c>
      <c r="L113" s="124">
        <f t="shared" si="124"/>
        <v>0.27856830483899947</v>
      </c>
      <c r="M113" s="124">
        <f t="shared" si="124"/>
        <v>0.33586662654652616</v>
      </c>
      <c r="N113" s="124">
        <f t="shared" si="124"/>
        <v>0.29789327510560271</v>
      </c>
      <c r="O113" s="124">
        <f t="shared" si="124"/>
        <v>0.28942924095190586</v>
      </c>
      <c r="P113" s="124">
        <f t="shared" si="124"/>
        <v>0.28320902259854164</v>
      </c>
      <c r="Q113" s="124">
        <f t="shared" si="124"/>
        <v>0.29595967827159414</v>
      </c>
      <c r="R113" s="124">
        <f t="shared" ref="R113:V113" si="125">IF(R21=0,0,R21/R$17)</f>
        <v>0.28375002886284889</v>
      </c>
      <c r="S113" s="124">
        <f t="shared" si="125"/>
        <v>0.28196542548941428</v>
      </c>
      <c r="T113" s="124">
        <f t="shared" si="125"/>
        <v>0.26826223440210528</v>
      </c>
      <c r="U113" s="124">
        <f t="shared" si="125"/>
        <v>0.24997264226660426</v>
      </c>
      <c r="V113" s="124">
        <f t="shared" si="125"/>
        <v>0.23880573540296482</v>
      </c>
      <c r="W113" s="124">
        <f t="shared" ref="W113" si="126">IF(W21=0,0,W21/W$17)</f>
        <v>0.23497280962291872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3.0298314475604016E-4</v>
      </c>
      <c r="C114" s="124">
        <f t="shared" si="127"/>
        <v>2.7997748060165829E-4</v>
      </c>
      <c r="D114" s="124">
        <f t="shared" si="127"/>
        <v>2.5314850327407516E-4</v>
      </c>
      <c r="E114" s="124">
        <f t="shared" si="127"/>
        <v>2.3414487518332811E-4</v>
      </c>
      <c r="F114" s="124">
        <f t="shared" si="127"/>
        <v>1.9483903273297864E-4</v>
      </c>
      <c r="G114" s="124">
        <f t="shared" si="127"/>
        <v>1.1871716086629794E-4</v>
      </c>
      <c r="H114" s="124">
        <f t="shared" si="127"/>
        <v>1.1953051822781083E-4</v>
      </c>
      <c r="I114" s="124">
        <f t="shared" si="127"/>
        <v>1.3516072779710026E-4</v>
      </c>
      <c r="J114" s="124">
        <f t="shared" si="127"/>
        <v>2.0801472300673824E-4</v>
      </c>
      <c r="K114" s="124">
        <f t="shared" si="127"/>
        <v>2.4683937597933653E-4</v>
      </c>
      <c r="L114" s="124">
        <f t="shared" si="127"/>
        <v>3.1671538512660424E-4</v>
      </c>
      <c r="M114" s="124">
        <f t="shared" si="127"/>
        <v>4.2202461975484657E-4</v>
      </c>
      <c r="N114" s="124">
        <f t="shared" si="127"/>
        <v>6.0842780399958884E-4</v>
      </c>
      <c r="O114" s="124">
        <f t="shared" si="127"/>
        <v>6.6322882229117523E-4</v>
      </c>
      <c r="P114" s="124">
        <f t="shared" si="127"/>
        <v>5.7601475127227986E-4</v>
      </c>
      <c r="Q114" s="124">
        <f t="shared" si="127"/>
        <v>5.3582516861307443E-4</v>
      </c>
      <c r="R114" s="124">
        <f t="shared" ref="R114:V114" si="128">IF(R22=0,0,R22/R$17)</f>
        <v>5.5629499409336604E-4</v>
      </c>
      <c r="S114" s="124">
        <f t="shared" si="128"/>
        <v>5.5358298363552053E-4</v>
      </c>
      <c r="T114" s="124">
        <f t="shared" si="128"/>
        <v>5.0525967832764295E-4</v>
      </c>
      <c r="U114" s="124">
        <f t="shared" si="128"/>
        <v>3.962098615718557E-4</v>
      </c>
      <c r="V114" s="124">
        <f t="shared" si="128"/>
        <v>2.9608190615579928E-4</v>
      </c>
      <c r="W114" s="124">
        <f t="shared" ref="W114" si="129">IF(W22=0,0,W22/W$17)</f>
        <v>2.6228343838735206E-4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3.4652844959464368E-6</v>
      </c>
      <c r="C115" s="140">
        <f t="shared" si="130"/>
        <v>2.8725753175010026E-6</v>
      </c>
      <c r="D115" s="140">
        <f t="shared" si="130"/>
        <v>2.5812596691717845E-6</v>
      </c>
      <c r="E115" s="140">
        <f t="shared" si="130"/>
        <v>2.5098765428052053E-6</v>
      </c>
      <c r="F115" s="140">
        <f t="shared" si="130"/>
        <v>2.2353713772562495E-6</v>
      </c>
      <c r="G115" s="140">
        <f t="shared" si="130"/>
        <v>9.8510130258184891E-7</v>
      </c>
      <c r="H115" s="140">
        <f t="shared" si="130"/>
        <v>2.2227991103712237E-6</v>
      </c>
      <c r="I115" s="140">
        <f t="shared" si="130"/>
        <v>2.0273509369154878E-6</v>
      </c>
      <c r="J115" s="140">
        <f t="shared" si="130"/>
        <v>1.2253708966365544E-6</v>
      </c>
      <c r="K115" s="140">
        <f t="shared" si="130"/>
        <v>9.6656298820149366E-7</v>
      </c>
      <c r="L115" s="140">
        <f t="shared" si="130"/>
        <v>8.1696733064484284E-7</v>
      </c>
      <c r="M115" s="140">
        <f t="shared" si="130"/>
        <v>6.7624681514920472E-7</v>
      </c>
      <c r="N115" s="140">
        <f t="shared" si="130"/>
        <v>5.232213633516575E-7</v>
      </c>
      <c r="O115" s="140">
        <f t="shared" si="130"/>
        <v>3.7653282355262385E-7</v>
      </c>
      <c r="P115" s="140">
        <f t="shared" si="130"/>
        <v>2.7122070333604319E-7</v>
      </c>
      <c r="Q115" s="140">
        <f t="shared" si="130"/>
        <v>1.8103512495640293E-7</v>
      </c>
      <c r="R115" s="140">
        <f t="shared" ref="R115:V116" si="131">IF(R23=0,0,R23/R$17)</f>
        <v>4.2001552534579066E-7</v>
      </c>
      <c r="S115" s="140">
        <f t="shared" si="131"/>
        <v>1.3754806740357454E-6</v>
      </c>
      <c r="T115" s="140">
        <f t="shared" si="131"/>
        <v>2.4958243636492057E-6</v>
      </c>
      <c r="U115" s="140">
        <f t="shared" si="131"/>
        <v>3.6958052538510582E-6</v>
      </c>
      <c r="V115" s="140">
        <f t="shared" si="131"/>
        <v>4.4640145165598419E-6</v>
      </c>
      <c r="W115" s="140">
        <f t="shared" ref="W115" si="132">IF(W23=0,0,W23/W$17)</f>
        <v>5.7826084397009089E-6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1.4739793310348999E-4</v>
      </c>
      <c r="C116" s="140">
        <f t="shared" si="133"/>
        <v>1.2713811657158583E-4</v>
      </c>
      <c r="D116" s="140">
        <f t="shared" si="133"/>
        <v>1.0840207566245649E-4</v>
      </c>
      <c r="E116" s="140">
        <f t="shared" si="133"/>
        <v>1.0008864162631005E-4</v>
      </c>
      <c r="F116" s="140">
        <f t="shared" si="133"/>
        <v>8.7582622645389244E-5</v>
      </c>
      <c r="G116" s="140">
        <f t="shared" si="133"/>
        <v>7.6221280120516817E-5</v>
      </c>
      <c r="H116" s="140">
        <f t="shared" si="133"/>
        <v>7.4007430907451212E-5</v>
      </c>
      <c r="I116" s="140">
        <f t="shared" si="133"/>
        <v>6.9177716592305709E-5</v>
      </c>
      <c r="J116" s="140">
        <f t="shared" si="133"/>
        <v>1.1495214121600698E-4</v>
      </c>
      <c r="K116" s="140">
        <f t="shared" si="133"/>
        <v>1.6428076326638737E-4</v>
      </c>
      <c r="L116" s="140">
        <f t="shared" si="133"/>
        <v>2.0634866397183763E-4</v>
      </c>
      <c r="M116" s="140">
        <f t="shared" si="133"/>
        <v>2.2912481087700992E-4</v>
      </c>
      <c r="N116" s="140">
        <f t="shared" si="133"/>
        <v>2.4506564930242757E-4</v>
      </c>
      <c r="O116" s="140">
        <f t="shared" si="133"/>
        <v>2.6284522496557031E-4</v>
      </c>
      <c r="P116" s="140">
        <f t="shared" si="133"/>
        <v>3.0731171172263851E-4</v>
      </c>
      <c r="Q116" s="140">
        <f t="shared" si="133"/>
        <v>3.3119305768060777E-4</v>
      </c>
      <c r="R116" s="140">
        <f t="shared" si="131"/>
        <v>3.7312119921650432E-4</v>
      </c>
      <c r="S116" s="140">
        <f t="shared" si="131"/>
        <v>3.9537766346959543E-4</v>
      </c>
      <c r="T116" s="140">
        <f t="shared" si="131"/>
        <v>4.158386787527224E-4</v>
      </c>
      <c r="U116" s="140">
        <f t="shared" si="131"/>
        <v>2.6225790707534502E-4</v>
      </c>
      <c r="V116" s="140">
        <f t="shared" si="131"/>
        <v>2.070907649339767E-4</v>
      </c>
      <c r="W116" s="140">
        <f t="shared" ref="W116" si="134">IF(W24=0,0,W24/W$17)</f>
        <v>1.9165741630126096E-4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1.521199271566037E-4</v>
      </c>
      <c r="C117" s="140">
        <f t="shared" si="135"/>
        <v>1.4996678871257146E-4</v>
      </c>
      <c r="D117" s="140">
        <f t="shared" si="135"/>
        <v>1.4216516794244682E-4</v>
      </c>
      <c r="E117" s="140">
        <f t="shared" si="135"/>
        <v>1.3154635701421289E-4</v>
      </c>
      <c r="F117" s="140">
        <f t="shared" si="135"/>
        <v>1.0502103871033314E-4</v>
      </c>
      <c r="G117" s="140">
        <f t="shared" si="135"/>
        <v>4.1510779443199261E-5</v>
      </c>
      <c r="H117" s="140">
        <f t="shared" si="135"/>
        <v>4.3300288209988395E-5</v>
      </c>
      <c r="I117" s="140">
        <f t="shared" si="135"/>
        <v>6.3955660267879047E-5</v>
      </c>
      <c r="J117" s="140">
        <f t="shared" si="135"/>
        <v>9.1837210894094717E-5</v>
      </c>
      <c r="K117" s="140">
        <f t="shared" si="135"/>
        <v>8.1592049724747649E-5</v>
      </c>
      <c r="L117" s="140">
        <f t="shared" si="135"/>
        <v>1.0954975382412174E-4</v>
      </c>
      <c r="M117" s="140">
        <f t="shared" si="135"/>
        <v>1.9222356206268745E-4</v>
      </c>
      <c r="N117" s="140">
        <f t="shared" si="135"/>
        <v>3.6283893333380969E-4</v>
      </c>
      <c r="O117" s="140">
        <f t="shared" si="135"/>
        <v>4.0000706450205227E-4</v>
      </c>
      <c r="P117" s="140">
        <f t="shared" si="135"/>
        <v>2.6843181884630534E-4</v>
      </c>
      <c r="Q117" s="140">
        <f t="shared" si="135"/>
        <v>2.0445107580751028E-4</v>
      </c>
      <c r="R117" s="140">
        <f t="shared" ref="R117:V117" si="136">IF(R25=0,0,R25/R$17)</f>
        <v>1.8275377935151598E-4</v>
      </c>
      <c r="S117" s="140">
        <f t="shared" si="136"/>
        <v>1.5682983949188935E-4</v>
      </c>
      <c r="T117" s="140">
        <f t="shared" si="136"/>
        <v>8.6925175211271244E-5</v>
      </c>
      <c r="U117" s="140">
        <f t="shared" si="136"/>
        <v>1.3025614924265963E-4</v>
      </c>
      <c r="V117" s="140">
        <f t="shared" si="136"/>
        <v>8.4527126705262722E-5</v>
      </c>
      <c r="W117" s="140">
        <f t="shared" ref="W117" si="137">IF(W25=0,0,W25/W$17)</f>
        <v>6.4843413646390187E-5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6.6519887838463229E-2</v>
      </c>
      <c r="C118" s="124">
        <f t="shared" si="138"/>
        <v>6.7075190027428247E-2</v>
      </c>
      <c r="D118" s="124">
        <f t="shared" si="138"/>
        <v>8.6859016090933203E-2</v>
      </c>
      <c r="E118" s="124">
        <f t="shared" si="138"/>
        <v>7.9110087095362519E-2</v>
      </c>
      <c r="F118" s="124">
        <f t="shared" si="138"/>
        <v>0.13181937467970076</v>
      </c>
      <c r="G118" s="124">
        <f t="shared" si="138"/>
        <v>0.14286132796131834</v>
      </c>
      <c r="H118" s="124">
        <f t="shared" si="138"/>
        <v>0.1401486873778027</v>
      </c>
      <c r="I118" s="124">
        <f t="shared" si="138"/>
        <v>0.13741020558591646</v>
      </c>
      <c r="J118" s="124">
        <f t="shared" si="138"/>
        <v>0.15261466472409027</v>
      </c>
      <c r="K118" s="124">
        <f t="shared" si="138"/>
        <v>0.23484902402488414</v>
      </c>
      <c r="L118" s="124">
        <f t="shared" si="138"/>
        <v>0.32228383194989541</v>
      </c>
      <c r="M118" s="124">
        <f t="shared" si="138"/>
        <v>0.26033713854672985</v>
      </c>
      <c r="N118" s="124">
        <f t="shared" si="138"/>
        <v>0.2768426220547911</v>
      </c>
      <c r="O118" s="124">
        <f t="shared" si="138"/>
        <v>0.27379590199623149</v>
      </c>
      <c r="P118" s="124">
        <f t="shared" si="138"/>
        <v>0.27157029564243718</v>
      </c>
      <c r="Q118" s="124">
        <f t="shared" si="138"/>
        <v>0.2850286728209136</v>
      </c>
      <c r="R118" s="124">
        <f t="shared" ref="R118:V118" si="139">IF(R26=0,0,R26/R$17)</f>
        <v>0.27574171626398608</v>
      </c>
      <c r="S118" s="124">
        <f t="shared" si="139"/>
        <v>0.25608483753090977</v>
      </c>
      <c r="T118" s="124">
        <f t="shared" si="139"/>
        <v>0.25154200489478529</v>
      </c>
      <c r="U118" s="124">
        <f t="shared" si="139"/>
        <v>0.26208444772498463</v>
      </c>
      <c r="V118" s="124">
        <f t="shared" si="139"/>
        <v>0.26497702541905738</v>
      </c>
      <c r="W118" s="124">
        <f t="shared" ref="W118" si="140">IF(W26=0,0,W26/W$17)</f>
        <v>0.23319650141072343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</v>
      </c>
      <c r="C119" s="140">
        <f t="shared" si="141"/>
        <v>0</v>
      </c>
      <c r="D119" s="140">
        <f t="shared" si="141"/>
        <v>0</v>
      </c>
      <c r="E119" s="140">
        <f t="shared" si="141"/>
        <v>0</v>
      </c>
      <c r="F119" s="140">
        <f t="shared" si="141"/>
        <v>0</v>
      </c>
      <c r="G119" s="140">
        <f t="shared" si="141"/>
        <v>0</v>
      </c>
      <c r="H119" s="140">
        <f t="shared" si="141"/>
        <v>0</v>
      </c>
      <c r="I119" s="140">
        <f t="shared" si="141"/>
        <v>0</v>
      </c>
      <c r="J119" s="140">
        <f t="shared" si="141"/>
        <v>0</v>
      </c>
      <c r="K119" s="140">
        <f t="shared" si="141"/>
        <v>0</v>
      </c>
      <c r="L119" s="140">
        <f t="shared" si="141"/>
        <v>0</v>
      </c>
      <c r="M119" s="140">
        <f t="shared" si="141"/>
        <v>0</v>
      </c>
      <c r="N119" s="140">
        <f t="shared" si="141"/>
        <v>0</v>
      </c>
      <c r="O119" s="140">
        <f t="shared" si="141"/>
        <v>0</v>
      </c>
      <c r="P119" s="140">
        <f t="shared" si="141"/>
        <v>0</v>
      </c>
      <c r="Q119" s="140">
        <f t="shared" si="141"/>
        <v>0</v>
      </c>
      <c r="R119" s="140">
        <f t="shared" ref="R119:V119" si="142">IF(R27=0,0,R27/R$17)</f>
        <v>0</v>
      </c>
      <c r="S119" s="140">
        <f t="shared" si="142"/>
        <v>0</v>
      </c>
      <c r="T119" s="140">
        <f t="shared" si="142"/>
        <v>0</v>
      </c>
      <c r="U119" s="140">
        <f t="shared" si="142"/>
        <v>0</v>
      </c>
      <c r="V119" s="140">
        <f t="shared" si="142"/>
        <v>0</v>
      </c>
      <c r="W119" s="140">
        <f t="shared" ref="W119" si="143">IF(W27=0,0,W27/W$17)</f>
        <v>0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6.6519887838463229E-2</v>
      </c>
      <c r="C120" s="127">
        <f t="shared" si="144"/>
        <v>6.7075190027428247E-2</v>
      </c>
      <c r="D120" s="127">
        <f t="shared" si="144"/>
        <v>8.6859016090933203E-2</v>
      </c>
      <c r="E120" s="127">
        <f t="shared" si="144"/>
        <v>7.9110087095362519E-2</v>
      </c>
      <c r="F120" s="127">
        <f t="shared" si="144"/>
        <v>0.13181937467970076</v>
      </c>
      <c r="G120" s="127">
        <f t="shared" si="144"/>
        <v>0.14286132796131834</v>
      </c>
      <c r="H120" s="127">
        <f t="shared" si="144"/>
        <v>0.1401486873778027</v>
      </c>
      <c r="I120" s="127">
        <f t="shared" si="144"/>
        <v>0.13741020558591646</v>
      </c>
      <c r="J120" s="127">
        <f t="shared" si="144"/>
        <v>0.15261466472409027</v>
      </c>
      <c r="K120" s="127">
        <f t="shared" si="144"/>
        <v>0.23484902402488414</v>
      </c>
      <c r="L120" s="127">
        <f t="shared" si="144"/>
        <v>0.32228383194989541</v>
      </c>
      <c r="M120" s="127">
        <f t="shared" si="144"/>
        <v>0.26033713854672985</v>
      </c>
      <c r="N120" s="127">
        <f t="shared" si="144"/>
        <v>0.2768426220547911</v>
      </c>
      <c r="O120" s="127">
        <f t="shared" si="144"/>
        <v>0.27379590199623149</v>
      </c>
      <c r="P120" s="127">
        <f t="shared" si="144"/>
        <v>0.27157029564243718</v>
      </c>
      <c r="Q120" s="127">
        <f t="shared" si="144"/>
        <v>0.2850286728209136</v>
      </c>
      <c r="R120" s="127">
        <f t="shared" ref="R120:V120" si="145">IF(R28=0,0,R28/R$17)</f>
        <v>0.27574171626398608</v>
      </c>
      <c r="S120" s="127">
        <f t="shared" si="145"/>
        <v>0.25608483753090977</v>
      </c>
      <c r="T120" s="127">
        <f t="shared" si="145"/>
        <v>0.25154200489478529</v>
      </c>
      <c r="U120" s="127">
        <f t="shared" si="145"/>
        <v>0.26208444772498463</v>
      </c>
      <c r="V120" s="127">
        <f t="shared" si="145"/>
        <v>0.26497702541905738</v>
      </c>
      <c r="W120" s="127">
        <f t="shared" ref="W120" si="146">IF(W28=0,0,W28/W$17)</f>
        <v>0.23319650141072343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0</v>
      </c>
      <c r="C121" s="31">
        <f>IF(C29=0,0,C29/C$29)</f>
        <v>0</v>
      </c>
      <c r="D121" s="31">
        <f t="shared" ref="D121:W121" si="148">IF(D29=0,0,D29/D$29)</f>
        <v>0</v>
      </c>
      <c r="E121" s="31">
        <f t="shared" si="148"/>
        <v>0</v>
      </c>
      <c r="F121" s="31">
        <f t="shared" si="148"/>
        <v>0</v>
      </c>
      <c r="G121" s="31">
        <f t="shared" si="148"/>
        <v>0</v>
      </c>
      <c r="H121" s="31">
        <f t="shared" si="148"/>
        <v>0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</v>
      </c>
      <c r="C122" s="140">
        <f>IF(C30=0,0,C30/C$29)</f>
        <v>0</v>
      </c>
      <c r="D122" s="140">
        <f t="shared" ref="D122:W122" si="150">IF(D30=0,0,D30/D$29)</f>
        <v>0</v>
      </c>
      <c r="E122" s="140">
        <f t="shared" si="150"/>
        <v>0</v>
      </c>
      <c r="F122" s="140">
        <f t="shared" si="150"/>
        <v>0</v>
      </c>
      <c r="G122" s="140">
        <f t="shared" si="150"/>
        <v>0</v>
      </c>
      <c r="H122" s="140">
        <f t="shared" si="150"/>
        <v>0</v>
      </c>
      <c r="I122" s="140">
        <f t="shared" si="150"/>
        <v>0.11364096512047267</v>
      </c>
      <c r="J122" s="140">
        <f t="shared" si="150"/>
        <v>0.10925543402808996</v>
      </c>
      <c r="K122" s="140">
        <f t="shared" si="150"/>
        <v>0.30122511708427241</v>
      </c>
      <c r="L122" s="140">
        <f t="shared" si="150"/>
        <v>0.21575022802874003</v>
      </c>
      <c r="M122" s="140">
        <f t="shared" si="150"/>
        <v>0.18929357965719465</v>
      </c>
      <c r="N122" s="140">
        <f t="shared" si="150"/>
        <v>0.14618022349476853</v>
      </c>
      <c r="O122" s="140">
        <f t="shared" si="150"/>
        <v>0.13465972816439045</v>
      </c>
      <c r="P122" s="140">
        <f t="shared" si="150"/>
        <v>0.19601359469952651</v>
      </c>
      <c r="Q122" s="140">
        <f t="shared" si="150"/>
        <v>0.19903811832407831</v>
      </c>
      <c r="R122" s="140">
        <f t="shared" si="150"/>
        <v>0.20635546646142885</v>
      </c>
      <c r="S122" s="140">
        <f t="shared" si="150"/>
        <v>0.24106347485603227</v>
      </c>
      <c r="T122" s="140">
        <f t="shared" si="150"/>
        <v>0.25912249220481276</v>
      </c>
      <c r="U122" s="140">
        <f t="shared" si="150"/>
        <v>0.19450330948985178</v>
      </c>
      <c r="V122" s="140">
        <f t="shared" si="150"/>
        <v>0.21754085901521433</v>
      </c>
      <c r="W122" s="140">
        <f t="shared" si="150"/>
        <v>0.19403394975034796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</v>
      </c>
      <c r="C123" s="127">
        <f>IF(C31=0,0,C31/C$29)</f>
        <v>0</v>
      </c>
      <c r="D123" s="127">
        <f t="shared" ref="D123:W123" si="152">IF(D31=0,0,D31/D$29)</f>
        <v>0</v>
      </c>
      <c r="E123" s="127">
        <f t="shared" si="152"/>
        <v>0</v>
      </c>
      <c r="F123" s="127">
        <f t="shared" si="152"/>
        <v>0</v>
      </c>
      <c r="G123" s="127">
        <f t="shared" si="152"/>
        <v>0</v>
      </c>
      <c r="H123" s="127">
        <f t="shared" si="152"/>
        <v>0</v>
      </c>
      <c r="I123" s="127">
        <f t="shared" si="152"/>
        <v>0.88635903487952739</v>
      </c>
      <c r="J123" s="127">
        <f t="shared" si="152"/>
        <v>0.8907445659719101</v>
      </c>
      <c r="K123" s="127">
        <f t="shared" si="152"/>
        <v>0.69877488291572754</v>
      </c>
      <c r="L123" s="127">
        <f t="shared" si="152"/>
        <v>0.78424977197125989</v>
      </c>
      <c r="M123" s="127">
        <f t="shared" si="152"/>
        <v>0.81070642034280538</v>
      </c>
      <c r="N123" s="127">
        <f t="shared" si="152"/>
        <v>0.85381977650523144</v>
      </c>
      <c r="O123" s="127">
        <f t="shared" si="152"/>
        <v>0.86534027183560958</v>
      </c>
      <c r="P123" s="127">
        <f t="shared" si="152"/>
        <v>0.80398640530047361</v>
      </c>
      <c r="Q123" s="127">
        <f t="shared" si="152"/>
        <v>0.80096188167592164</v>
      </c>
      <c r="R123" s="127">
        <f t="shared" si="152"/>
        <v>0.79364453353857123</v>
      </c>
      <c r="S123" s="127">
        <f t="shared" si="152"/>
        <v>0.7589365251439677</v>
      </c>
      <c r="T123" s="127">
        <f t="shared" si="152"/>
        <v>0.74087750779518735</v>
      </c>
      <c r="U123" s="127">
        <f t="shared" si="152"/>
        <v>0.80549669051014827</v>
      </c>
      <c r="V123" s="127">
        <f t="shared" si="152"/>
        <v>0.78245914098478564</v>
      </c>
      <c r="W123" s="127">
        <f t="shared" si="152"/>
        <v>0.80596605024965207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0.81947665508091561</v>
      </c>
      <c r="C127" s="139">
        <f t="shared" ref="C127:W127" si="155">IF(C35=0,0,C35/C$34)</f>
        <v>0.89774259769267251</v>
      </c>
      <c r="D127" s="139">
        <f t="shared" si="155"/>
        <v>0.88340196608981592</v>
      </c>
      <c r="E127" s="139">
        <f t="shared" si="155"/>
        <v>0.88528950361339998</v>
      </c>
      <c r="F127" s="139">
        <f t="shared" si="155"/>
        <v>0.88600351736025351</v>
      </c>
      <c r="G127" s="139">
        <f t="shared" si="155"/>
        <v>0.91746269241191103</v>
      </c>
      <c r="H127" s="139">
        <f t="shared" si="155"/>
        <v>0.91269885545199425</v>
      </c>
      <c r="I127" s="139">
        <f t="shared" si="155"/>
        <v>0.87838158304598046</v>
      </c>
      <c r="J127" s="139">
        <f t="shared" si="155"/>
        <v>0.89462864648103502</v>
      </c>
      <c r="K127" s="139">
        <f t="shared" si="155"/>
        <v>0.89992333090862686</v>
      </c>
      <c r="L127" s="139">
        <f t="shared" si="155"/>
        <v>0.88459448622140124</v>
      </c>
      <c r="M127" s="139">
        <f t="shared" si="155"/>
        <v>0.89189139527716399</v>
      </c>
      <c r="N127" s="139">
        <f t="shared" si="155"/>
        <v>0.90768224671150266</v>
      </c>
      <c r="O127" s="139">
        <f t="shared" si="155"/>
        <v>0.90165777240822353</v>
      </c>
      <c r="P127" s="139">
        <f t="shared" si="155"/>
        <v>0.90964572523890197</v>
      </c>
      <c r="Q127" s="139">
        <f t="shared" si="155"/>
        <v>0.90407621359114387</v>
      </c>
      <c r="R127" s="139">
        <f t="shared" si="155"/>
        <v>0.90192667001026561</v>
      </c>
      <c r="S127" s="139">
        <f t="shared" si="155"/>
        <v>0.89259838794645818</v>
      </c>
      <c r="T127" s="139">
        <f t="shared" si="155"/>
        <v>0.93532248598610235</v>
      </c>
      <c r="U127" s="139">
        <f t="shared" si="155"/>
        <v>0.92712882974746025</v>
      </c>
      <c r="V127" s="139">
        <f t="shared" si="155"/>
        <v>0.95304636634980622</v>
      </c>
      <c r="W127" s="139">
        <f t="shared" si="155"/>
        <v>0.94701213822829799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5.1416683516575272E-3</v>
      </c>
      <c r="C128" s="140">
        <f t="shared" ref="C128:W128" si="156">IF(C36=0,0,C36/C$34)</f>
        <v>4.3462962033868043E-3</v>
      </c>
      <c r="D128" s="140">
        <f t="shared" si="156"/>
        <v>4.2458977953871132E-3</v>
      </c>
      <c r="E128" s="140">
        <f t="shared" si="156"/>
        <v>4.006292953091367E-3</v>
      </c>
      <c r="F128" s="140">
        <f t="shared" si="156"/>
        <v>3.6818927093144119E-3</v>
      </c>
      <c r="G128" s="140">
        <f t="shared" si="156"/>
        <v>3.7552683904094027E-3</v>
      </c>
      <c r="H128" s="140">
        <f t="shared" si="156"/>
        <v>4.0760434882993754E-3</v>
      </c>
      <c r="I128" s="140">
        <f t="shared" si="156"/>
        <v>3.8911784389831319E-3</v>
      </c>
      <c r="J128" s="140">
        <f t="shared" si="156"/>
        <v>4.0169656167049084E-3</v>
      </c>
      <c r="K128" s="140">
        <f t="shared" si="156"/>
        <v>4.0952337736083382E-3</v>
      </c>
      <c r="L128" s="140">
        <f t="shared" si="156"/>
        <v>4.281909311027828E-3</v>
      </c>
      <c r="M128" s="140">
        <f t="shared" si="156"/>
        <v>4.3051443012133983E-3</v>
      </c>
      <c r="N128" s="140">
        <f t="shared" si="156"/>
        <v>4.3041057093870768E-3</v>
      </c>
      <c r="O128" s="140">
        <f t="shared" si="156"/>
        <v>4.6428194133484669E-3</v>
      </c>
      <c r="P128" s="140">
        <f t="shared" si="156"/>
        <v>4.6470727045067059E-3</v>
      </c>
      <c r="Q128" s="140">
        <f t="shared" si="156"/>
        <v>4.7375020388130545E-3</v>
      </c>
      <c r="R128" s="140">
        <f t="shared" si="156"/>
        <v>4.6721118968155988E-3</v>
      </c>
      <c r="S128" s="140">
        <f t="shared" si="156"/>
        <v>4.0977254151675305E-3</v>
      </c>
      <c r="T128" s="140">
        <f t="shared" si="156"/>
        <v>3.9207422478631992E-3</v>
      </c>
      <c r="U128" s="140">
        <f t="shared" si="156"/>
        <v>3.9718733652408019E-3</v>
      </c>
      <c r="V128" s="140">
        <f t="shared" si="156"/>
        <v>3.7400207525714558E-3</v>
      </c>
      <c r="W128" s="140">
        <f t="shared" si="156"/>
        <v>3.2591722358426157E-3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0.58979568828216467</v>
      </c>
      <c r="C129" s="140">
        <f t="shared" ref="C129:W129" si="157">IF(C37=0,0,C37/C$34)</f>
        <v>0.6686223610162727</v>
      </c>
      <c r="D129" s="140">
        <f t="shared" si="157"/>
        <v>0.66836012849934368</v>
      </c>
      <c r="E129" s="140">
        <f t="shared" si="157"/>
        <v>0.65871562220062607</v>
      </c>
      <c r="F129" s="140">
        <f t="shared" si="157"/>
        <v>0.66701875578415082</v>
      </c>
      <c r="G129" s="140">
        <f t="shared" si="157"/>
        <v>0.69976964188773472</v>
      </c>
      <c r="H129" s="140">
        <f t="shared" si="157"/>
        <v>0.70856880514470932</v>
      </c>
      <c r="I129" s="140">
        <f t="shared" si="157"/>
        <v>0.67582476583517892</v>
      </c>
      <c r="J129" s="140">
        <f t="shared" si="157"/>
        <v>0.65194986745441186</v>
      </c>
      <c r="K129" s="140">
        <f t="shared" si="157"/>
        <v>0.66119607385383272</v>
      </c>
      <c r="L129" s="140">
        <f t="shared" si="157"/>
        <v>0.64152486343909521</v>
      </c>
      <c r="M129" s="140">
        <f t="shared" si="157"/>
        <v>0.65092074403925271</v>
      </c>
      <c r="N129" s="140">
        <f t="shared" si="157"/>
        <v>0.66701839822620579</v>
      </c>
      <c r="O129" s="140">
        <f t="shared" si="157"/>
        <v>0.65029723737745659</v>
      </c>
      <c r="P129" s="140">
        <f t="shared" si="157"/>
        <v>0.65580814491125605</v>
      </c>
      <c r="Q129" s="140">
        <f t="shared" si="157"/>
        <v>0.64699651130918578</v>
      </c>
      <c r="R129" s="140">
        <f t="shared" si="157"/>
        <v>0.65091303400847766</v>
      </c>
      <c r="S129" s="140">
        <f t="shared" si="157"/>
        <v>0.64624723737699241</v>
      </c>
      <c r="T129" s="140">
        <f t="shared" si="157"/>
        <v>0.68096143525709885</v>
      </c>
      <c r="U129" s="140">
        <f t="shared" si="157"/>
        <v>0.67653466319847044</v>
      </c>
      <c r="V129" s="140">
        <f t="shared" si="157"/>
        <v>0.67649706337266924</v>
      </c>
      <c r="W129" s="140">
        <f t="shared" si="157"/>
        <v>0.68018695585589084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0.22453929844709344</v>
      </c>
      <c r="C130" s="140">
        <f t="shared" ref="C130:W130" si="158">IF(C38=0,0,C38/C$34)</f>
        <v>0.22477394047301294</v>
      </c>
      <c r="D130" s="140">
        <f t="shared" si="158"/>
        <v>0.2107959397950851</v>
      </c>
      <c r="E130" s="140">
        <f t="shared" si="158"/>
        <v>0.2225675884596825</v>
      </c>
      <c r="F130" s="140">
        <f t="shared" si="158"/>
        <v>0.21530286886678823</v>
      </c>
      <c r="G130" s="140">
        <f t="shared" si="158"/>
        <v>0.21393778213376691</v>
      </c>
      <c r="H130" s="140">
        <f t="shared" si="158"/>
        <v>0.20005400681898552</v>
      </c>
      <c r="I130" s="140">
        <f t="shared" si="158"/>
        <v>0.19866563877181831</v>
      </c>
      <c r="J130" s="140">
        <f t="shared" si="158"/>
        <v>0.23866181340991827</v>
      </c>
      <c r="K130" s="140">
        <f t="shared" si="158"/>
        <v>0.23463202328118571</v>
      </c>
      <c r="L130" s="140">
        <f t="shared" si="158"/>
        <v>0.23878771347127806</v>
      </c>
      <c r="M130" s="140">
        <f t="shared" si="158"/>
        <v>0.23666550693669794</v>
      </c>
      <c r="N130" s="140">
        <f t="shared" si="158"/>
        <v>0.23635974277590982</v>
      </c>
      <c r="O130" s="140">
        <f t="shared" si="158"/>
        <v>0.24671771561741859</v>
      </c>
      <c r="P130" s="140">
        <f t="shared" si="158"/>
        <v>0.24919050762313927</v>
      </c>
      <c r="Q130" s="140">
        <f t="shared" si="158"/>
        <v>0.25234220024314519</v>
      </c>
      <c r="R130" s="140">
        <f t="shared" si="158"/>
        <v>0.24634152410497231</v>
      </c>
      <c r="S130" s="140">
        <f t="shared" si="158"/>
        <v>0.24225342515429821</v>
      </c>
      <c r="T130" s="140">
        <f t="shared" si="158"/>
        <v>0.25044030848114041</v>
      </c>
      <c r="U130" s="140">
        <f t="shared" si="158"/>
        <v>0.24662229318374906</v>
      </c>
      <c r="V130" s="140">
        <f t="shared" si="158"/>
        <v>0.27280928222456552</v>
      </c>
      <c r="W130" s="140">
        <f t="shared" si="158"/>
        <v>0.26356601013656455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0.11931822858079312</v>
      </c>
      <c r="C131" s="124">
        <f t="shared" ref="C131:W131" si="159">IF(C39=0,0,C39/C$34)</f>
        <v>5.6661923341537176E-2</v>
      </c>
      <c r="D131" s="124">
        <f t="shared" si="159"/>
        <v>7.8594570252832285E-2</v>
      </c>
      <c r="E131" s="124">
        <f t="shared" si="159"/>
        <v>7.1431826264808776E-2</v>
      </c>
      <c r="F131" s="124">
        <f t="shared" si="159"/>
        <v>6.4659686567056188E-2</v>
      </c>
      <c r="G131" s="124">
        <f t="shared" si="159"/>
        <v>3.5017490127751259E-2</v>
      </c>
      <c r="H131" s="124">
        <f t="shared" si="159"/>
        <v>3.2416473273832368E-2</v>
      </c>
      <c r="I131" s="124">
        <f t="shared" si="159"/>
        <v>5.6431230281812968E-2</v>
      </c>
      <c r="J131" s="124">
        <f t="shared" si="159"/>
        <v>4.6644589744607619E-2</v>
      </c>
      <c r="K131" s="124">
        <f t="shared" si="159"/>
        <v>3.9211015742418066E-2</v>
      </c>
      <c r="L131" s="124">
        <f t="shared" si="159"/>
        <v>4.2846150227450586E-2</v>
      </c>
      <c r="M131" s="124">
        <f t="shared" si="159"/>
        <v>5.1126953254422569E-2</v>
      </c>
      <c r="N131" s="124">
        <f t="shared" si="159"/>
        <v>5.0276055228196725E-2</v>
      </c>
      <c r="O131" s="124">
        <f t="shared" si="159"/>
        <v>4.5977351332398095E-2</v>
      </c>
      <c r="P131" s="124">
        <f t="shared" si="159"/>
        <v>3.4815578550225691E-2</v>
      </c>
      <c r="Q131" s="124">
        <f t="shared" si="159"/>
        <v>3.1862139172500553E-2</v>
      </c>
      <c r="R131" s="124">
        <f t="shared" si="159"/>
        <v>2.8627892441703516E-2</v>
      </c>
      <c r="S131" s="124">
        <f t="shared" si="159"/>
        <v>2.9137489550947217E-2</v>
      </c>
      <c r="T131" s="124">
        <f t="shared" si="159"/>
        <v>2.4970622954124361E-2</v>
      </c>
      <c r="U131" s="124">
        <f t="shared" si="159"/>
        <v>2.9712044068584485E-2</v>
      </c>
      <c r="V131" s="124">
        <f t="shared" si="159"/>
        <v>2.9237216678828171E-2</v>
      </c>
      <c r="W131" s="124">
        <f t="shared" si="159"/>
        <v>2.7913782812283714E-2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1.4208721513639062E-2</v>
      </c>
      <c r="C132" s="140">
        <f t="shared" ref="C132:W132" si="160">IF(C40=0,0,C40/C$34)</f>
        <v>1.183586594013299E-2</v>
      </c>
      <c r="D132" s="140">
        <f t="shared" si="160"/>
        <v>1.1477098302241898E-2</v>
      </c>
      <c r="E132" s="140">
        <f t="shared" si="160"/>
        <v>1.0180359801984581E-2</v>
      </c>
      <c r="F132" s="140">
        <f t="shared" si="160"/>
        <v>9.7363610096838846E-3</v>
      </c>
      <c r="G132" s="140">
        <f t="shared" si="160"/>
        <v>1.0858276357234433E-2</v>
      </c>
      <c r="H132" s="140">
        <f t="shared" si="160"/>
        <v>1.1428976270652711E-2</v>
      </c>
      <c r="I132" s="140">
        <f t="shared" si="160"/>
        <v>1.0430344309935757E-2</v>
      </c>
      <c r="J132" s="140">
        <f t="shared" si="160"/>
        <v>9.1756878954967099E-3</v>
      </c>
      <c r="K132" s="140">
        <f t="shared" si="160"/>
        <v>9.0227716139018744E-3</v>
      </c>
      <c r="L132" s="140">
        <f t="shared" si="160"/>
        <v>9.2222398617011619E-3</v>
      </c>
      <c r="M132" s="140">
        <f t="shared" si="160"/>
        <v>8.9256461605241207E-3</v>
      </c>
      <c r="N132" s="140">
        <f t="shared" si="160"/>
        <v>9.3253044868577342E-3</v>
      </c>
      <c r="O132" s="140">
        <f t="shared" si="160"/>
        <v>9.5123247354910127E-3</v>
      </c>
      <c r="P132" s="140">
        <f t="shared" si="160"/>
        <v>9.0530486726254893E-3</v>
      </c>
      <c r="Q132" s="140">
        <f t="shared" si="160"/>
        <v>5.3087390400358347E-3</v>
      </c>
      <c r="R132" s="140">
        <f t="shared" si="160"/>
        <v>5.0857994520119723E-3</v>
      </c>
      <c r="S132" s="140">
        <f t="shared" si="160"/>
        <v>4.6178128128891412E-3</v>
      </c>
      <c r="T132" s="140">
        <f t="shared" si="160"/>
        <v>4.4993900425129687E-3</v>
      </c>
      <c r="U132" s="140">
        <f t="shared" si="160"/>
        <v>4.1914280180465517E-3</v>
      </c>
      <c r="V132" s="140">
        <f t="shared" si="160"/>
        <v>4.3449819659010817E-3</v>
      </c>
      <c r="W132" s="140">
        <f t="shared" si="160"/>
        <v>3.9881452473353911E-3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0.10510950706715405</v>
      </c>
      <c r="C133" s="140">
        <f t="shared" ref="C133:W133" si="161">IF(C41=0,0,C41/C$34)</f>
        <v>4.4826057401404183E-2</v>
      </c>
      <c r="D133" s="140">
        <f t="shared" si="161"/>
        <v>6.7117471950590396E-2</v>
      </c>
      <c r="E133" s="140">
        <f t="shared" si="161"/>
        <v>6.1251466462824193E-2</v>
      </c>
      <c r="F133" s="140">
        <f t="shared" si="161"/>
        <v>5.4923325557372296E-2</v>
      </c>
      <c r="G133" s="140">
        <f t="shared" si="161"/>
        <v>2.4159213770516823E-2</v>
      </c>
      <c r="H133" s="140">
        <f t="shared" si="161"/>
        <v>2.0987497003179659E-2</v>
      </c>
      <c r="I133" s="140">
        <f t="shared" si="161"/>
        <v>4.6000885971877209E-2</v>
      </c>
      <c r="J133" s="140">
        <f t="shared" si="161"/>
        <v>3.7468901849110905E-2</v>
      </c>
      <c r="K133" s="140">
        <f t="shared" si="161"/>
        <v>3.018824412851619E-2</v>
      </c>
      <c r="L133" s="140">
        <f t="shared" si="161"/>
        <v>3.3623910365749424E-2</v>
      </c>
      <c r="M133" s="140">
        <f t="shared" si="161"/>
        <v>4.2201307093898445E-2</v>
      </c>
      <c r="N133" s="140">
        <f t="shared" si="161"/>
        <v>4.0950750741338991E-2</v>
      </c>
      <c r="O133" s="140">
        <f t="shared" si="161"/>
        <v>3.6465026596907084E-2</v>
      </c>
      <c r="P133" s="140">
        <f t="shared" si="161"/>
        <v>2.5762529877600204E-2</v>
      </c>
      <c r="Q133" s="140">
        <f t="shared" si="161"/>
        <v>2.6553400132464714E-2</v>
      </c>
      <c r="R133" s="140">
        <f t="shared" si="161"/>
        <v>2.3542092989691545E-2</v>
      </c>
      <c r="S133" s="140">
        <f t="shared" si="161"/>
        <v>2.4519676738058077E-2</v>
      </c>
      <c r="T133" s="140">
        <f t="shared" si="161"/>
        <v>2.0471232911611389E-2</v>
      </c>
      <c r="U133" s="140">
        <f t="shared" si="161"/>
        <v>2.5520616050537931E-2</v>
      </c>
      <c r="V133" s="140">
        <f t="shared" si="161"/>
        <v>2.4892234712927092E-2</v>
      </c>
      <c r="W133" s="140">
        <f t="shared" si="161"/>
        <v>2.392563756494832E-2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6.1205116338291315E-2</v>
      </c>
      <c r="C135" s="124">
        <f t="shared" ref="C135:W135" si="163">IF(C43=0,0,C43/C$34)</f>
        <v>4.5595478965790429E-2</v>
      </c>
      <c r="D135" s="124">
        <f t="shared" si="163"/>
        <v>3.8003463657351785E-2</v>
      </c>
      <c r="E135" s="124">
        <f t="shared" si="163"/>
        <v>4.3278670121791298E-2</v>
      </c>
      <c r="F135" s="124">
        <f t="shared" si="163"/>
        <v>4.9336796072690127E-2</v>
      </c>
      <c r="G135" s="124">
        <f t="shared" si="163"/>
        <v>4.7519817460337774E-2</v>
      </c>
      <c r="H135" s="124">
        <f t="shared" si="163"/>
        <v>5.4884671274173374E-2</v>
      </c>
      <c r="I135" s="124">
        <f t="shared" si="163"/>
        <v>6.5187186672206646E-2</v>
      </c>
      <c r="J135" s="124">
        <f t="shared" si="163"/>
        <v>5.8726763774357295E-2</v>
      </c>
      <c r="K135" s="124">
        <f t="shared" si="163"/>
        <v>6.08656533489551E-2</v>
      </c>
      <c r="L135" s="124">
        <f t="shared" si="163"/>
        <v>7.2559363551148226E-2</v>
      </c>
      <c r="M135" s="124">
        <f t="shared" si="163"/>
        <v>5.6981651468413469E-2</v>
      </c>
      <c r="N135" s="124">
        <f t="shared" si="163"/>
        <v>4.2041698060300524E-2</v>
      </c>
      <c r="O135" s="124">
        <f t="shared" si="163"/>
        <v>5.2364876259378329E-2</v>
      </c>
      <c r="P135" s="124">
        <f t="shared" si="163"/>
        <v>5.5538696210872422E-2</v>
      </c>
      <c r="Q135" s="124">
        <f t="shared" si="163"/>
        <v>6.4061647236355448E-2</v>
      </c>
      <c r="R135" s="124">
        <f t="shared" si="163"/>
        <v>6.9445437548031022E-2</v>
      </c>
      <c r="S135" s="124">
        <f t="shared" si="163"/>
        <v>7.8264122502594499E-2</v>
      </c>
      <c r="T135" s="124">
        <f t="shared" si="163"/>
        <v>3.9706891059773188E-2</v>
      </c>
      <c r="U135" s="124">
        <f t="shared" si="163"/>
        <v>4.3159126183955225E-2</v>
      </c>
      <c r="V135" s="124">
        <f t="shared" si="163"/>
        <v>1.7716416971365608E-2</v>
      </c>
      <c r="W135" s="124">
        <f t="shared" si="163"/>
        <v>2.5074078959418215E-2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2.8681429793156162E-3</v>
      </c>
      <c r="C136" s="140">
        <f t="shared" ref="C136:W136" si="164">IF(C44=0,0,C44/C$34)</f>
        <v>1.2091341385491203E-3</v>
      </c>
      <c r="D136" s="140">
        <f t="shared" si="164"/>
        <v>7.8678117879758737E-4</v>
      </c>
      <c r="E136" s="140">
        <f t="shared" si="164"/>
        <v>7.3993748615799686E-4</v>
      </c>
      <c r="F136" s="140">
        <f t="shared" si="164"/>
        <v>4.0447694147113045E-3</v>
      </c>
      <c r="G136" s="140">
        <f t="shared" si="164"/>
        <v>4.0555935746525353E-3</v>
      </c>
      <c r="H136" s="140">
        <f t="shared" si="164"/>
        <v>7.4531506841607031E-4</v>
      </c>
      <c r="I136" s="140">
        <f t="shared" si="164"/>
        <v>2.6292416687908757E-2</v>
      </c>
      <c r="J136" s="140">
        <f t="shared" si="164"/>
        <v>2.2159112954947852E-2</v>
      </c>
      <c r="K136" s="140">
        <f t="shared" si="164"/>
        <v>2.2317955199515231E-2</v>
      </c>
      <c r="L136" s="140">
        <f t="shared" si="164"/>
        <v>2.9254786864952514E-2</v>
      </c>
      <c r="M136" s="140">
        <f t="shared" si="164"/>
        <v>2.0598128437346493E-2</v>
      </c>
      <c r="N136" s="140">
        <f t="shared" si="164"/>
        <v>9.8869790357726268E-3</v>
      </c>
      <c r="O136" s="140">
        <f t="shared" si="164"/>
        <v>1.143518462681109E-2</v>
      </c>
      <c r="P136" s="140">
        <f t="shared" si="164"/>
        <v>5.8869361465189157E-3</v>
      </c>
      <c r="Q136" s="140">
        <f t="shared" si="164"/>
        <v>7.7647910216306314E-3</v>
      </c>
      <c r="R136" s="140">
        <f t="shared" si="164"/>
        <v>6.1448635980179368E-3</v>
      </c>
      <c r="S136" s="140">
        <f t="shared" si="164"/>
        <v>1.0082290354681887E-2</v>
      </c>
      <c r="T136" s="140">
        <f t="shared" si="164"/>
        <v>1.1479839501920774E-2</v>
      </c>
      <c r="U136" s="140">
        <f t="shared" si="164"/>
        <v>1.2869355875777318E-2</v>
      </c>
      <c r="V136" s="140">
        <f t="shared" si="164"/>
        <v>7.9920473560609988E-3</v>
      </c>
      <c r="W136" s="140">
        <f t="shared" si="164"/>
        <v>9.0858434418900399E-3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4.8679159133707364E-2</v>
      </c>
      <c r="C137" s="140">
        <f t="shared" ref="C137:W137" si="165">IF(C45=0,0,C45/C$34)</f>
        <v>3.7040574715751479E-2</v>
      </c>
      <c r="D137" s="140">
        <f t="shared" si="165"/>
        <v>3.106062867520035E-2</v>
      </c>
      <c r="E137" s="140">
        <f t="shared" si="165"/>
        <v>3.5506794359152827E-2</v>
      </c>
      <c r="F137" s="140">
        <f t="shared" si="165"/>
        <v>3.780961501591476E-2</v>
      </c>
      <c r="G137" s="140">
        <f t="shared" si="165"/>
        <v>3.6381456050021667E-2</v>
      </c>
      <c r="H137" s="140">
        <f t="shared" si="165"/>
        <v>4.5635752598418448E-2</v>
      </c>
      <c r="I137" s="140">
        <f t="shared" si="165"/>
        <v>3.3173313808063293E-2</v>
      </c>
      <c r="J137" s="140">
        <f t="shared" si="165"/>
        <v>3.1270917509624428E-2</v>
      </c>
      <c r="K137" s="140">
        <f t="shared" si="165"/>
        <v>3.2844994395421892E-2</v>
      </c>
      <c r="L137" s="140">
        <f t="shared" si="165"/>
        <v>3.6979454608697934E-2</v>
      </c>
      <c r="M137" s="140">
        <f t="shared" si="165"/>
        <v>3.1066121857438421E-2</v>
      </c>
      <c r="N137" s="140">
        <f t="shared" si="165"/>
        <v>2.7454689762570213E-2</v>
      </c>
      <c r="O137" s="140">
        <f t="shared" si="165"/>
        <v>3.4988270749974716E-2</v>
      </c>
      <c r="P137" s="140">
        <f t="shared" si="165"/>
        <v>4.2990025190203257E-2</v>
      </c>
      <c r="Q137" s="140">
        <f t="shared" si="165"/>
        <v>4.9228905171218904E-2</v>
      </c>
      <c r="R137" s="140">
        <f t="shared" si="165"/>
        <v>5.6463496748018538E-2</v>
      </c>
      <c r="S137" s="140">
        <f t="shared" si="165"/>
        <v>6.1567052846317777E-2</v>
      </c>
      <c r="T137" s="140">
        <f t="shared" si="165"/>
        <v>2.5462787620695055E-2</v>
      </c>
      <c r="U137" s="140">
        <f t="shared" si="165"/>
        <v>2.7409875997577163E-2</v>
      </c>
      <c r="V137" s="140">
        <f t="shared" si="165"/>
        <v>8.4325241209811559E-3</v>
      </c>
      <c r="W137" s="140">
        <f t="shared" si="165"/>
        <v>1.4141039319911848E-2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9.6578142252683342E-3</v>
      </c>
      <c r="C138" s="140">
        <f t="shared" ref="C138:W138" si="166">IF(C46=0,0,C46/C$34)</f>
        <v>7.3457701114898284E-3</v>
      </c>
      <c r="D138" s="140">
        <f t="shared" si="166"/>
        <v>6.1560538033538417E-3</v>
      </c>
      <c r="E138" s="140">
        <f t="shared" si="166"/>
        <v>7.0319382764804745E-3</v>
      </c>
      <c r="F138" s="140">
        <f t="shared" si="166"/>
        <v>7.4824116420640664E-3</v>
      </c>
      <c r="G138" s="140">
        <f t="shared" si="166"/>
        <v>7.082767835663575E-3</v>
      </c>
      <c r="H138" s="140">
        <f t="shared" si="166"/>
        <v>8.50360360733886E-3</v>
      </c>
      <c r="I138" s="140">
        <f t="shared" si="166"/>
        <v>5.7214561762346022E-3</v>
      </c>
      <c r="J138" s="140">
        <f t="shared" si="166"/>
        <v>5.296733309785015E-3</v>
      </c>
      <c r="K138" s="140">
        <f t="shared" si="166"/>
        <v>5.7027037540179799E-3</v>
      </c>
      <c r="L138" s="140">
        <f t="shared" si="166"/>
        <v>6.3251220774977884E-3</v>
      </c>
      <c r="M138" s="140">
        <f t="shared" si="166"/>
        <v>5.3174011736285588E-3</v>
      </c>
      <c r="N138" s="140">
        <f t="shared" si="166"/>
        <v>4.700029261957687E-3</v>
      </c>
      <c r="O138" s="140">
        <f t="shared" si="166"/>
        <v>5.9414208825925262E-3</v>
      </c>
      <c r="P138" s="140">
        <f t="shared" si="166"/>
        <v>6.6617348741502555E-3</v>
      </c>
      <c r="Q138" s="140">
        <f t="shared" si="166"/>
        <v>7.0679510435059092E-3</v>
      </c>
      <c r="R138" s="140">
        <f t="shared" si="166"/>
        <v>6.8370772019945361E-3</v>
      </c>
      <c r="S138" s="140">
        <f t="shared" si="166"/>
        <v>6.614779301594838E-3</v>
      </c>
      <c r="T138" s="140">
        <f t="shared" si="166"/>
        <v>2.7642639371573616E-3</v>
      </c>
      <c r="U138" s="140">
        <f t="shared" si="166"/>
        <v>2.8798943106007487E-3</v>
      </c>
      <c r="V138" s="140">
        <f t="shared" si="166"/>
        <v>1.2918454943234526E-3</v>
      </c>
      <c r="W138" s="140">
        <f t="shared" si="166"/>
        <v>1.8471961976163293E-3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0.81190727462435996</v>
      </c>
      <c r="C140" s="139">
        <f t="shared" ref="C140:W140" si="169">IF(C48=0,0,C48/C$47)</f>
        <v>0.87151193213527756</v>
      </c>
      <c r="D140" s="139">
        <f t="shared" si="169"/>
        <v>0.85727475407140541</v>
      </c>
      <c r="E140" s="139">
        <f t="shared" si="169"/>
        <v>0.90161484160801275</v>
      </c>
      <c r="F140" s="139">
        <f t="shared" si="169"/>
        <v>0.90656003620865111</v>
      </c>
      <c r="G140" s="139">
        <f t="shared" si="169"/>
        <v>0.92220428244208774</v>
      </c>
      <c r="H140" s="139">
        <f t="shared" si="169"/>
        <v>0.93550592735775073</v>
      </c>
      <c r="I140" s="139">
        <f t="shared" si="169"/>
        <v>0.88039436255048398</v>
      </c>
      <c r="J140" s="139">
        <f t="shared" si="169"/>
        <v>0.89863644250946018</v>
      </c>
      <c r="K140" s="139">
        <f t="shared" si="169"/>
        <v>0.92761877005427373</v>
      </c>
      <c r="L140" s="139">
        <f t="shared" si="169"/>
        <v>0.90544461621146455</v>
      </c>
      <c r="M140" s="139">
        <f t="shared" si="169"/>
        <v>0.89732040161195592</v>
      </c>
      <c r="N140" s="139">
        <f t="shared" si="169"/>
        <v>0.90930568584929283</v>
      </c>
      <c r="O140" s="139">
        <f t="shared" si="169"/>
        <v>0.91523609760191749</v>
      </c>
      <c r="P140" s="139">
        <f t="shared" si="169"/>
        <v>0.93262752904755541</v>
      </c>
      <c r="Q140" s="139">
        <f t="shared" si="169"/>
        <v>0.91760776482238415</v>
      </c>
      <c r="R140" s="139">
        <f t="shared" si="169"/>
        <v>0.92703913903277191</v>
      </c>
      <c r="S140" s="139">
        <f t="shared" si="169"/>
        <v>0.93414890857664057</v>
      </c>
      <c r="T140" s="139">
        <f t="shared" si="169"/>
        <v>0.93741577936902165</v>
      </c>
      <c r="U140" s="139">
        <f t="shared" si="169"/>
        <v>0.93496251400893626</v>
      </c>
      <c r="V140" s="139">
        <f t="shared" si="169"/>
        <v>0.94105265079647915</v>
      </c>
      <c r="W140" s="139">
        <f t="shared" si="169"/>
        <v>0.92625775313532399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0.36046476120056031</v>
      </c>
      <c r="C141" s="140">
        <f t="shared" ref="C141:W141" si="170">IF(C49=0,0,C49/C$47)</f>
        <v>0.31578107665778943</v>
      </c>
      <c r="D141" s="140">
        <f t="shared" si="170"/>
        <v>0.29472899502972461</v>
      </c>
      <c r="E141" s="140">
        <f t="shared" si="170"/>
        <v>0.28965961029898263</v>
      </c>
      <c r="F141" s="140">
        <f t="shared" si="170"/>
        <v>0.31008094625420907</v>
      </c>
      <c r="G141" s="140">
        <f t="shared" si="170"/>
        <v>0.36246210796191303</v>
      </c>
      <c r="H141" s="140">
        <f t="shared" si="170"/>
        <v>0.35139099072156238</v>
      </c>
      <c r="I141" s="140">
        <f t="shared" si="170"/>
        <v>0.37392188102437401</v>
      </c>
      <c r="J141" s="140">
        <f t="shared" si="170"/>
        <v>0.40265765378474272</v>
      </c>
      <c r="K141" s="140">
        <f t="shared" si="170"/>
        <v>0.42722289486919424</v>
      </c>
      <c r="L141" s="140">
        <f t="shared" si="170"/>
        <v>0.49352297563629477</v>
      </c>
      <c r="M141" s="140">
        <f t="shared" si="170"/>
        <v>0.48889188964018671</v>
      </c>
      <c r="N141" s="140">
        <f t="shared" si="170"/>
        <v>0.52994278511209614</v>
      </c>
      <c r="O141" s="140">
        <f t="shared" si="170"/>
        <v>0.53985128543226235</v>
      </c>
      <c r="P141" s="140">
        <f t="shared" si="170"/>
        <v>0.58293767149738873</v>
      </c>
      <c r="Q141" s="140">
        <f t="shared" si="170"/>
        <v>0.59831602288270602</v>
      </c>
      <c r="R141" s="140">
        <f t="shared" si="170"/>
        <v>0.57458036209271679</v>
      </c>
      <c r="S141" s="140">
        <f t="shared" si="170"/>
        <v>0.56139433871702704</v>
      </c>
      <c r="T141" s="140">
        <f t="shared" si="170"/>
        <v>0.59187081319893864</v>
      </c>
      <c r="U141" s="140">
        <f t="shared" si="170"/>
        <v>0.5806238901133004</v>
      </c>
      <c r="V141" s="140">
        <f t="shared" si="170"/>
        <v>0.60207195000304436</v>
      </c>
      <c r="W141" s="140">
        <f t="shared" si="170"/>
        <v>0.57978327106739946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0.45144251342379971</v>
      </c>
      <c r="C142" s="140">
        <f t="shared" ref="C142:W142" si="171">IF(C50=0,0,C50/C$47)</f>
        <v>0.55573085547748813</v>
      </c>
      <c r="D142" s="140">
        <f t="shared" si="171"/>
        <v>0.5625457590416808</v>
      </c>
      <c r="E142" s="140">
        <f t="shared" si="171"/>
        <v>0.61195523130903007</v>
      </c>
      <c r="F142" s="140">
        <f t="shared" si="171"/>
        <v>0.59647908995444199</v>
      </c>
      <c r="G142" s="140">
        <f t="shared" si="171"/>
        <v>0.55974217448017494</v>
      </c>
      <c r="H142" s="140">
        <f t="shared" si="171"/>
        <v>0.5841149366361883</v>
      </c>
      <c r="I142" s="140">
        <f t="shared" si="171"/>
        <v>0.50647248152610991</v>
      </c>
      <c r="J142" s="140">
        <f t="shared" si="171"/>
        <v>0.49597878872471751</v>
      </c>
      <c r="K142" s="140">
        <f t="shared" si="171"/>
        <v>0.50039587518507944</v>
      </c>
      <c r="L142" s="140">
        <f t="shared" si="171"/>
        <v>0.41192164057516983</v>
      </c>
      <c r="M142" s="140">
        <f t="shared" si="171"/>
        <v>0.40842851197176933</v>
      </c>
      <c r="N142" s="140">
        <f t="shared" si="171"/>
        <v>0.37936290073719658</v>
      </c>
      <c r="O142" s="140">
        <f t="shared" si="171"/>
        <v>0.37538481216965525</v>
      </c>
      <c r="P142" s="140">
        <f t="shared" si="171"/>
        <v>0.34968985755016663</v>
      </c>
      <c r="Q142" s="140">
        <f t="shared" si="171"/>
        <v>0.31929174193967824</v>
      </c>
      <c r="R142" s="140">
        <f t="shared" si="171"/>
        <v>0.35245877694005529</v>
      </c>
      <c r="S142" s="140">
        <f t="shared" si="171"/>
        <v>0.37275456985961347</v>
      </c>
      <c r="T142" s="140">
        <f t="shared" si="171"/>
        <v>0.34554496617008301</v>
      </c>
      <c r="U142" s="140">
        <f t="shared" si="171"/>
        <v>0.35433862389563586</v>
      </c>
      <c r="V142" s="140">
        <f t="shared" si="171"/>
        <v>0.33898070079343479</v>
      </c>
      <c r="W142" s="140">
        <f t="shared" si="171"/>
        <v>0.34647448206792453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8.6899335695568083E-2</v>
      </c>
      <c r="C143" s="124">
        <f t="shared" ref="C143:W143" si="172">IF(C51=0,0,C51/C$47)</f>
        <v>5.3023229722961876E-2</v>
      </c>
      <c r="D143" s="124">
        <f t="shared" si="172"/>
        <v>7.2394248387724708E-2</v>
      </c>
      <c r="E143" s="124">
        <f t="shared" si="172"/>
        <v>5.3730854222427557E-2</v>
      </c>
      <c r="F143" s="124">
        <f t="shared" si="172"/>
        <v>6.397008608640127E-2</v>
      </c>
      <c r="G143" s="124">
        <f t="shared" si="172"/>
        <v>4.5204548020468284E-2</v>
      </c>
      <c r="H143" s="124">
        <f t="shared" si="172"/>
        <v>3.6548641178350501E-2</v>
      </c>
      <c r="I143" s="124">
        <f t="shared" si="172"/>
        <v>6.0177213362414494E-2</v>
      </c>
      <c r="J143" s="124">
        <f t="shared" si="172"/>
        <v>4.9482508859452434E-2</v>
      </c>
      <c r="K143" s="124">
        <f t="shared" si="172"/>
        <v>3.4234021713392342E-2</v>
      </c>
      <c r="L143" s="124">
        <f t="shared" si="172"/>
        <v>4.6690236781012563E-2</v>
      </c>
      <c r="M143" s="124">
        <f t="shared" si="172"/>
        <v>6.3151442236257141E-2</v>
      </c>
      <c r="N143" s="124">
        <f t="shared" si="172"/>
        <v>5.7732052210482977E-2</v>
      </c>
      <c r="O143" s="124">
        <f t="shared" si="172"/>
        <v>5.2552928117054844E-2</v>
      </c>
      <c r="P143" s="124">
        <f t="shared" si="172"/>
        <v>3.7915952116714773E-2</v>
      </c>
      <c r="Q143" s="124">
        <f t="shared" si="172"/>
        <v>4.8745409324508694E-2</v>
      </c>
      <c r="R143" s="124">
        <f t="shared" si="172"/>
        <v>4.3820264545513084E-2</v>
      </c>
      <c r="S143" s="124">
        <f t="shared" si="172"/>
        <v>3.8724702679593041E-2</v>
      </c>
      <c r="T143" s="124">
        <f t="shared" si="172"/>
        <v>3.6781829241473274E-2</v>
      </c>
      <c r="U143" s="124">
        <f t="shared" si="172"/>
        <v>3.8990120640021858E-2</v>
      </c>
      <c r="V143" s="124">
        <f t="shared" si="172"/>
        <v>3.3835314728538797E-2</v>
      </c>
      <c r="W143" s="124">
        <f t="shared" si="172"/>
        <v>4.5113692267354719E-2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1.7777168920856941E-3</v>
      </c>
      <c r="C144" s="124">
        <f t="shared" ref="C144:W144" si="173">IF(C52=0,0,C52/C$47)</f>
        <v>1.2825989310825427E-3</v>
      </c>
      <c r="D144" s="124">
        <f t="shared" si="173"/>
        <v>1.1081770996178831E-3</v>
      </c>
      <c r="E144" s="124">
        <f t="shared" si="173"/>
        <v>1.0469380557907965E-3</v>
      </c>
      <c r="F144" s="124">
        <f t="shared" si="173"/>
        <v>1.2241876702964753E-3</v>
      </c>
      <c r="G144" s="124">
        <f t="shared" si="173"/>
        <v>8.4362772693899241E-4</v>
      </c>
      <c r="H144" s="124">
        <f t="shared" si="173"/>
        <v>8.0196101363238961E-4</v>
      </c>
      <c r="I144" s="124">
        <f t="shared" si="173"/>
        <v>7.8552590907699415E-4</v>
      </c>
      <c r="J144" s="124">
        <f t="shared" si="173"/>
        <v>8.4417385798836594E-4</v>
      </c>
      <c r="K144" s="124">
        <f t="shared" si="173"/>
        <v>9.8416626564028242E-4</v>
      </c>
      <c r="L144" s="124">
        <f t="shared" si="173"/>
        <v>1.3406725098942746E-3</v>
      </c>
      <c r="M144" s="124">
        <f t="shared" si="173"/>
        <v>1.2841686696902247E-3</v>
      </c>
      <c r="N144" s="124">
        <f t="shared" si="173"/>
        <v>1.3401748154576231E-3</v>
      </c>
      <c r="O144" s="124">
        <f t="shared" si="173"/>
        <v>1.6050870884690451E-3</v>
      </c>
      <c r="P144" s="124">
        <f t="shared" si="173"/>
        <v>1.5089625693396854E-3</v>
      </c>
      <c r="Q144" s="124">
        <f t="shared" si="173"/>
        <v>1.5509243594786794E-3</v>
      </c>
      <c r="R144" s="124">
        <f t="shared" si="173"/>
        <v>1.5260758196754794E-3</v>
      </c>
      <c r="S144" s="124">
        <f t="shared" si="173"/>
        <v>1.7909344506228959E-3</v>
      </c>
      <c r="T144" s="124">
        <f t="shared" si="173"/>
        <v>6.7584395491702498E-4</v>
      </c>
      <c r="U144" s="124">
        <f t="shared" si="173"/>
        <v>5.058636175945178E-4</v>
      </c>
      <c r="V144" s="124">
        <f t="shared" si="173"/>
        <v>4.8833060866258229E-4</v>
      </c>
      <c r="W144" s="124">
        <f t="shared" si="173"/>
        <v>5.7554199443650108E-4</v>
      </c>
      <c r="DA144" s="176"/>
    </row>
    <row r="145" spans="1:105" ht="11.45" customHeight="1" x14ac:dyDescent="0.25">
      <c r="A145" s="128" t="s">
        <v>27</v>
      </c>
      <c r="B145" s="140">
        <f t="shared" si="167"/>
        <v>6.5577912261092147E-5</v>
      </c>
      <c r="C145" s="140">
        <f t="shared" ref="C145:W145" si="174">IF(C53=0,0,C53/C$47)</f>
        <v>4.6877102987647753E-5</v>
      </c>
      <c r="D145" s="140">
        <f t="shared" si="174"/>
        <v>3.8059189599620037E-5</v>
      </c>
      <c r="E145" s="140">
        <f t="shared" si="174"/>
        <v>3.5135113227326977E-5</v>
      </c>
      <c r="F145" s="140">
        <f t="shared" si="174"/>
        <v>4.2611709779450094E-5</v>
      </c>
      <c r="G145" s="140">
        <f t="shared" si="174"/>
        <v>1.9002830724612941E-5</v>
      </c>
      <c r="H145" s="140">
        <f t="shared" si="174"/>
        <v>7.103784273300765E-6</v>
      </c>
      <c r="I145" s="140">
        <f t="shared" si="174"/>
        <v>2.5727268158440509E-4</v>
      </c>
      <c r="J145" s="140">
        <f t="shared" si="174"/>
        <v>1.328231721757694E-4</v>
      </c>
      <c r="K145" s="140">
        <f t="shared" si="174"/>
        <v>9.9568549220024853E-5</v>
      </c>
      <c r="L145" s="140">
        <f t="shared" si="174"/>
        <v>1.0158679933787984E-4</v>
      </c>
      <c r="M145" s="140">
        <f t="shared" si="174"/>
        <v>4.4582304043286622E-5</v>
      </c>
      <c r="N145" s="140">
        <f t="shared" si="174"/>
        <v>1.6863382305393388E-5</v>
      </c>
      <c r="O145" s="140">
        <f t="shared" si="174"/>
        <v>1.3973397727229728E-5</v>
      </c>
      <c r="P145" s="140">
        <f t="shared" si="174"/>
        <v>4.9930787051517619E-6</v>
      </c>
      <c r="Q145" s="140">
        <f t="shared" si="174"/>
        <v>4.5178243967700446E-6</v>
      </c>
      <c r="R145" s="140">
        <f t="shared" si="174"/>
        <v>5.3405584224097008E-6</v>
      </c>
      <c r="S145" s="140">
        <f t="shared" si="174"/>
        <v>2.5663853042274718E-5</v>
      </c>
      <c r="T145" s="140">
        <f t="shared" si="174"/>
        <v>4.8403260197735717E-5</v>
      </c>
      <c r="U145" s="140">
        <f t="shared" si="174"/>
        <v>8.1937790372390594E-5</v>
      </c>
      <c r="V145" s="140">
        <f t="shared" si="174"/>
        <v>1.4615597186562335E-4</v>
      </c>
      <c r="W145" s="140">
        <f t="shared" si="174"/>
        <v>1.9162387631979755E-4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1.3699928421741329E-3</v>
      </c>
      <c r="C146" s="140">
        <f t="shared" ref="C146:W146" si="175">IF(C54=0,0,C54/C$47)</f>
        <v>9.5772757554917637E-4</v>
      </c>
      <c r="D146" s="140">
        <f t="shared" si="175"/>
        <v>8.095893367939419E-4</v>
      </c>
      <c r="E146" s="140">
        <f t="shared" si="175"/>
        <v>7.4358714527079646E-4</v>
      </c>
      <c r="F146" s="140">
        <f t="shared" si="175"/>
        <v>9.0463830632457251E-4</v>
      </c>
      <c r="G146" s="140">
        <f t="shared" si="175"/>
        <v>7.1169071488526683E-4</v>
      </c>
      <c r="H146" s="140">
        <f t="shared" si="175"/>
        <v>6.8379786624143024E-4</v>
      </c>
      <c r="I146" s="140">
        <f t="shared" si="175"/>
        <v>4.2172582254252955E-4</v>
      </c>
      <c r="J146" s="140">
        <f t="shared" si="175"/>
        <v>5.7509093681031411E-4</v>
      </c>
      <c r="K146" s="140">
        <f t="shared" si="175"/>
        <v>7.6167903868894389E-4</v>
      </c>
      <c r="L146" s="140">
        <f t="shared" si="175"/>
        <v>1.0471768937134818E-3</v>
      </c>
      <c r="M146" s="140">
        <f t="shared" si="175"/>
        <v>9.5706015844703753E-4</v>
      </c>
      <c r="N146" s="140">
        <f t="shared" si="175"/>
        <v>8.5653671997547244E-4</v>
      </c>
      <c r="O146" s="140">
        <f t="shared" si="175"/>
        <v>1.0886572910014233E-3</v>
      </c>
      <c r="P146" s="140">
        <f t="shared" si="175"/>
        <v>1.2737282330290837E-3</v>
      </c>
      <c r="Q146" s="140">
        <f t="shared" si="175"/>
        <v>1.385727957726615E-3</v>
      </c>
      <c r="R146" s="140">
        <f t="shared" si="175"/>
        <v>1.4190116869285572E-3</v>
      </c>
      <c r="S146" s="140">
        <f t="shared" si="175"/>
        <v>1.6853299378079729E-3</v>
      </c>
      <c r="T146" s="140">
        <f t="shared" si="175"/>
        <v>6.0689748820769846E-4</v>
      </c>
      <c r="U146" s="140">
        <f t="shared" si="175"/>
        <v>3.9449945416893226E-4</v>
      </c>
      <c r="V146" s="140">
        <f t="shared" si="175"/>
        <v>3.014336485239806E-4</v>
      </c>
      <c r="W146" s="140">
        <f t="shared" si="175"/>
        <v>3.5730855837242114E-4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3.4214613765046913E-4</v>
      </c>
      <c r="C147" s="140">
        <f t="shared" ref="C147:W147" si="176">IF(C55=0,0,C55/C$47)</f>
        <v>2.7799425254571882E-4</v>
      </c>
      <c r="D147" s="140">
        <f t="shared" si="176"/>
        <v>2.6052857322432109E-4</v>
      </c>
      <c r="E147" s="140">
        <f t="shared" si="176"/>
        <v>2.6821579729267305E-4</v>
      </c>
      <c r="F147" s="140">
        <f t="shared" si="176"/>
        <v>2.7693765419245265E-4</v>
      </c>
      <c r="G147" s="140">
        <f t="shared" si="176"/>
        <v>1.1293418132911256E-4</v>
      </c>
      <c r="H147" s="140">
        <f t="shared" si="176"/>
        <v>1.1105936311765864E-4</v>
      </c>
      <c r="I147" s="140">
        <f t="shared" si="176"/>
        <v>1.0652740495005947E-4</v>
      </c>
      <c r="J147" s="140">
        <f t="shared" si="176"/>
        <v>1.3625974900228238E-4</v>
      </c>
      <c r="K147" s="140">
        <f t="shared" si="176"/>
        <v>1.229186777313138E-4</v>
      </c>
      <c r="L147" s="140">
        <f t="shared" si="176"/>
        <v>1.9190881684291307E-4</v>
      </c>
      <c r="M147" s="140">
        <f t="shared" si="176"/>
        <v>2.8252620719990075E-4</v>
      </c>
      <c r="N147" s="140">
        <f t="shared" si="176"/>
        <v>4.6677471317675727E-4</v>
      </c>
      <c r="O147" s="140">
        <f t="shared" si="176"/>
        <v>5.0245639974039224E-4</v>
      </c>
      <c r="P147" s="140">
        <f t="shared" si="176"/>
        <v>2.302412576054497E-4</v>
      </c>
      <c r="Q147" s="140">
        <f t="shared" si="176"/>
        <v>1.6067857735529439E-4</v>
      </c>
      <c r="R147" s="140">
        <f t="shared" si="176"/>
        <v>1.0172357432451252E-4</v>
      </c>
      <c r="S147" s="140">
        <f t="shared" si="176"/>
        <v>7.9940659772648174E-5</v>
      </c>
      <c r="T147" s="140">
        <f t="shared" si="176"/>
        <v>2.0543206511590702E-5</v>
      </c>
      <c r="U147" s="140">
        <f t="shared" si="176"/>
        <v>2.9426373053194895E-5</v>
      </c>
      <c r="V147" s="140">
        <f t="shared" si="176"/>
        <v>4.0740988272978338E-5</v>
      </c>
      <c r="W147" s="140">
        <f t="shared" si="176"/>
        <v>2.6609559744282414E-5</v>
      </c>
      <c r="DA147" s="175"/>
    </row>
    <row r="148" spans="1:105" ht="11.45" customHeight="1" x14ac:dyDescent="0.25">
      <c r="A148" s="109" t="s">
        <v>142</v>
      </c>
      <c r="B148" s="124">
        <f t="shared" si="167"/>
        <v>9.9415672787986228E-2</v>
      </c>
      <c r="C148" s="124">
        <f t="shared" ref="C148:W148" si="177">IF(C56=0,0,C56/C$47)</f>
        <v>7.4182239210678083E-2</v>
      </c>
      <c r="D148" s="124">
        <f t="shared" si="177"/>
        <v>6.9222820441251928E-2</v>
      </c>
      <c r="E148" s="124">
        <f t="shared" si="177"/>
        <v>4.3607366113768919E-2</v>
      </c>
      <c r="F148" s="124">
        <f t="shared" si="177"/>
        <v>2.8245690034651164E-2</v>
      </c>
      <c r="G148" s="124">
        <f t="shared" si="177"/>
        <v>3.1747541810505028E-2</v>
      </c>
      <c r="H148" s="124">
        <f t="shared" si="177"/>
        <v>2.7143470450266351E-2</v>
      </c>
      <c r="I148" s="124">
        <f t="shared" si="177"/>
        <v>5.8642898178024733E-2</v>
      </c>
      <c r="J148" s="124">
        <f t="shared" si="177"/>
        <v>5.1036874773099102E-2</v>
      </c>
      <c r="K148" s="124">
        <f t="shared" si="177"/>
        <v>3.7163041966693712E-2</v>
      </c>
      <c r="L148" s="124">
        <f t="shared" si="177"/>
        <v>4.6524474497628608E-2</v>
      </c>
      <c r="M148" s="124">
        <f t="shared" si="177"/>
        <v>3.824398748209671E-2</v>
      </c>
      <c r="N148" s="124">
        <f t="shared" si="177"/>
        <v>3.1622087124766572E-2</v>
      </c>
      <c r="O148" s="124">
        <f t="shared" si="177"/>
        <v>3.0605887192558641E-2</v>
      </c>
      <c r="P148" s="124">
        <f t="shared" si="177"/>
        <v>2.7947556266390203E-2</v>
      </c>
      <c r="Q148" s="124">
        <f t="shared" si="177"/>
        <v>3.2095901493628412E-2</v>
      </c>
      <c r="R148" s="124">
        <f t="shared" si="177"/>
        <v>2.7614520602039519E-2</v>
      </c>
      <c r="S148" s="124">
        <f t="shared" si="177"/>
        <v>2.5335454293143388E-2</v>
      </c>
      <c r="T148" s="124">
        <f t="shared" si="177"/>
        <v>2.5126547434588069E-2</v>
      </c>
      <c r="U148" s="124">
        <f t="shared" si="177"/>
        <v>2.5541501733447412E-2</v>
      </c>
      <c r="V148" s="124">
        <f t="shared" si="177"/>
        <v>2.4623703866319291E-2</v>
      </c>
      <c r="W148" s="124">
        <f t="shared" si="177"/>
        <v>2.8053012602884696E-2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</v>
      </c>
      <c r="C149" s="140">
        <f t="shared" ref="C149:W149" si="178">IF(C57=0,0,C57/C$47)</f>
        <v>0</v>
      </c>
      <c r="D149" s="140">
        <f t="shared" si="178"/>
        <v>0</v>
      </c>
      <c r="E149" s="140">
        <f t="shared" si="178"/>
        <v>0</v>
      </c>
      <c r="F149" s="140">
        <f t="shared" si="178"/>
        <v>0</v>
      </c>
      <c r="G149" s="140">
        <f t="shared" si="178"/>
        <v>0</v>
      </c>
      <c r="H149" s="140">
        <f t="shared" si="178"/>
        <v>0</v>
      </c>
      <c r="I149" s="140">
        <f t="shared" si="178"/>
        <v>0</v>
      </c>
      <c r="J149" s="140">
        <f t="shared" si="178"/>
        <v>0</v>
      </c>
      <c r="K149" s="140">
        <f t="shared" si="178"/>
        <v>0</v>
      </c>
      <c r="L149" s="140">
        <f t="shared" si="178"/>
        <v>0</v>
      </c>
      <c r="M149" s="140">
        <f t="shared" si="178"/>
        <v>0</v>
      </c>
      <c r="N149" s="140">
        <f t="shared" si="178"/>
        <v>0</v>
      </c>
      <c r="O149" s="140">
        <f t="shared" si="178"/>
        <v>0</v>
      </c>
      <c r="P149" s="140">
        <f t="shared" si="178"/>
        <v>0</v>
      </c>
      <c r="Q149" s="140">
        <f t="shared" si="178"/>
        <v>0</v>
      </c>
      <c r="R149" s="140">
        <f t="shared" si="178"/>
        <v>0</v>
      </c>
      <c r="S149" s="140">
        <f t="shared" si="178"/>
        <v>0</v>
      </c>
      <c r="T149" s="140">
        <f t="shared" si="178"/>
        <v>0</v>
      </c>
      <c r="U149" s="140">
        <f t="shared" si="178"/>
        <v>0</v>
      </c>
      <c r="V149" s="140">
        <f t="shared" si="178"/>
        <v>0</v>
      </c>
      <c r="W149" s="140">
        <f t="shared" si="178"/>
        <v>0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9.9415672787986228E-2</v>
      </c>
      <c r="C150" s="127">
        <f t="shared" ref="C150:W150" si="179">IF(C58=0,0,C58/C$47)</f>
        <v>7.4182239210678083E-2</v>
      </c>
      <c r="D150" s="127">
        <f t="shared" si="179"/>
        <v>6.9222820441251928E-2</v>
      </c>
      <c r="E150" s="127">
        <f t="shared" si="179"/>
        <v>4.3607366113768919E-2</v>
      </c>
      <c r="F150" s="127">
        <f t="shared" si="179"/>
        <v>2.8245690034651164E-2</v>
      </c>
      <c r="G150" s="127">
        <f t="shared" si="179"/>
        <v>3.1747541810505028E-2</v>
      </c>
      <c r="H150" s="127">
        <f t="shared" si="179"/>
        <v>2.7143470450266351E-2</v>
      </c>
      <c r="I150" s="127">
        <f t="shared" si="179"/>
        <v>5.8642898178024733E-2</v>
      </c>
      <c r="J150" s="127">
        <f t="shared" si="179"/>
        <v>5.1036874773099102E-2</v>
      </c>
      <c r="K150" s="127">
        <f t="shared" si="179"/>
        <v>3.7163041966693712E-2</v>
      </c>
      <c r="L150" s="127">
        <f t="shared" si="179"/>
        <v>4.6524474497628608E-2</v>
      </c>
      <c r="M150" s="127">
        <f t="shared" si="179"/>
        <v>3.824398748209671E-2</v>
      </c>
      <c r="N150" s="127">
        <f t="shared" si="179"/>
        <v>3.1622087124766572E-2</v>
      </c>
      <c r="O150" s="127">
        <f t="shared" si="179"/>
        <v>3.0605887192558641E-2</v>
      </c>
      <c r="P150" s="127">
        <f t="shared" si="179"/>
        <v>2.7947556266390203E-2</v>
      </c>
      <c r="Q150" s="127">
        <f t="shared" si="179"/>
        <v>3.2095901493628412E-2</v>
      </c>
      <c r="R150" s="127">
        <f t="shared" si="179"/>
        <v>2.7614520602039519E-2</v>
      </c>
      <c r="S150" s="127">
        <f t="shared" si="179"/>
        <v>2.5335454293143388E-2</v>
      </c>
      <c r="T150" s="127">
        <f t="shared" si="179"/>
        <v>2.5126547434588069E-2</v>
      </c>
      <c r="U150" s="127">
        <f t="shared" si="179"/>
        <v>2.5541501733447412E-2</v>
      </c>
      <c r="V150" s="127">
        <f t="shared" si="179"/>
        <v>2.4623703866319291E-2</v>
      </c>
      <c r="W150" s="127">
        <f t="shared" si="179"/>
        <v>2.8053012602884696E-2</v>
      </c>
      <c r="DA150" s="178"/>
    </row>
    <row r="151" spans="1:105" ht="11.45" customHeight="1" x14ac:dyDescent="0.25">
      <c r="A151" s="27" t="s">
        <v>176</v>
      </c>
      <c r="B151" s="31">
        <f>IF(B59=0,0,B59/B$59)</f>
        <v>0</v>
      </c>
      <c r="C151" s="31">
        <f t="shared" ref="C151:W151" si="180">IF(C59=0,0,C59/C$59)</f>
        <v>0</v>
      </c>
      <c r="D151" s="31">
        <f t="shared" si="180"/>
        <v>0</v>
      </c>
      <c r="E151" s="31">
        <f t="shared" si="180"/>
        <v>0</v>
      </c>
      <c r="F151" s="31">
        <f t="shared" si="180"/>
        <v>0</v>
      </c>
      <c r="G151" s="31">
        <f t="shared" si="180"/>
        <v>0</v>
      </c>
      <c r="H151" s="31">
        <f t="shared" si="180"/>
        <v>0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</v>
      </c>
      <c r="C152" s="140">
        <f t="shared" ref="C152:W152" si="181">IF(C60=0,0,C60/C$59)</f>
        <v>0</v>
      </c>
      <c r="D152" s="140">
        <f t="shared" si="181"/>
        <v>0</v>
      </c>
      <c r="E152" s="140">
        <f t="shared" si="181"/>
        <v>0</v>
      </c>
      <c r="F152" s="140">
        <f t="shared" si="181"/>
        <v>0</v>
      </c>
      <c r="G152" s="140">
        <f t="shared" si="181"/>
        <v>0</v>
      </c>
      <c r="H152" s="140">
        <f t="shared" si="181"/>
        <v>0</v>
      </c>
      <c r="I152" s="140">
        <f t="shared" si="181"/>
        <v>0.28257566129561484</v>
      </c>
      <c r="J152" s="140">
        <f t="shared" si="181"/>
        <v>0.27867404692507325</v>
      </c>
      <c r="K152" s="140">
        <f t="shared" si="181"/>
        <v>0.46593991815309088</v>
      </c>
      <c r="L152" s="140">
        <f t="shared" si="181"/>
        <v>0.40857012208479893</v>
      </c>
      <c r="M152" s="140">
        <f t="shared" si="181"/>
        <v>0.38280613272231984</v>
      </c>
      <c r="N152" s="140">
        <f t="shared" si="181"/>
        <v>0.33797289821738563</v>
      </c>
      <c r="O152" s="140">
        <f t="shared" si="181"/>
        <v>0.32066888038797392</v>
      </c>
      <c r="P152" s="140">
        <f t="shared" si="181"/>
        <v>0.38993110665039515</v>
      </c>
      <c r="Q152" s="140">
        <f t="shared" si="181"/>
        <v>0.39422249803066839</v>
      </c>
      <c r="R152" s="140">
        <f t="shared" si="181"/>
        <v>0.39829901737277745</v>
      </c>
      <c r="S152" s="140">
        <f t="shared" si="181"/>
        <v>0.42747958209111392</v>
      </c>
      <c r="T152" s="140">
        <f t="shared" si="181"/>
        <v>0.43867025081761929</v>
      </c>
      <c r="U152" s="140">
        <f t="shared" si="181"/>
        <v>0.3894563039323774</v>
      </c>
      <c r="V152" s="140">
        <f t="shared" si="181"/>
        <v>0.3672121886178018</v>
      </c>
      <c r="W152" s="140">
        <f t="shared" si="181"/>
        <v>0.35170940140043588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</v>
      </c>
      <c r="C153" s="127">
        <f t="shared" ref="C153:W153" si="182">IF(C61=0,0,C61/C$59)</f>
        <v>0</v>
      </c>
      <c r="D153" s="127">
        <f t="shared" si="182"/>
        <v>0</v>
      </c>
      <c r="E153" s="127">
        <f t="shared" si="182"/>
        <v>0</v>
      </c>
      <c r="F153" s="127">
        <f t="shared" si="182"/>
        <v>0</v>
      </c>
      <c r="G153" s="127">
        <f t="shared" si="182"/>
        <v>0</v>
      </c>
      <c r="H153" s="127">
        <f t="shared" si="182"/>
        <v>0</v>
      </c>
      <c r="I153" s="127">
        <f t="shared" si="182"/>
        <v>0.71742433870438516</v>
      </c>
      <c r="J153" s="127">
        <f t="shared" si="182"/>
        <v>0.72132595307492675</v>
      </c>
      <c r="K153" s="127">
        <f t="shared" si="182"/>
        <v>0.53406008184690901</v>
      </c>
      <c r="L153" s="127">
        <f t="shared" si="182"/>
        <v>0.59142987791520107</v>
      </c>
      <c r="M153" s="127">
        <f t="shared" si="182"/>
        <v>0.61719386727768022</v>
      </c>
      <c r="N153" s="127">
        <f t="shared" si="182"/>
        <v>0.66202710178261448</v>
      </c>
      <c r="O153" s="127">
        <f t="shared" si="182"/>
        <v>0.67933111961202619</v>
      </c>
      <c r="P153" s="127">
        <f t="shared" si="182"/>
        <v>0.6100688933496049</v>
      </c>
      <c r="Q153" s="127">
        <f t="shared" si="182"/>
        <v>0.60577750196933156</v>
      </c>
      <c r="R153" s="127">
        <f t="shared" si="182"/>
        <v>0.60170098262722249</v>
      </c>
      <c r="S153" s="127">
        <f t="shared" si="182"/>
        <v>0.57252041790888608</v>
      </c>
      <c r="T153" s="127">
        <f t="shared" si="182"/>
        <v>0.56132974918238066</v>
      </c>
      <c r="U153" s="127">
        <f t="shared" si="182"/>
        <v>0.6105436960676226</v>
      </c>
      <c r="V153" s="127">
        <f t="shared" si="182"/>
        <v>0.63278781138219831</v>
      </c>
      <c r="W153" s="127">
        <f t="shared" si="182"/>
        <v>0.64829059859956417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0.83200447159221114</v>
      </c>
      <c r="C157" s="139">
        <f t="shared" ref="C157:W157" si="185">IF(C65=0,0,C65/C$64)</f>
        <v>0.91248083630853083</v>
      </c>
      <c r="D157" s="139">
        <f t="shared" si="185"/>
        <v>0.90730506476624861</v>
      </c>
      <c r="E157" s="139">
        <f t="shared" si="185"/>
        <v>0.90424581051284292</v>
      </c>
      <c r="F157" s="139">
        <f t="shared" si="185"/>
        <v>0.89735443779647028</v>
      </c>
      <c r="G157" s="139">
        <f t="shared" si="185"/>
        <v>0.93333157689133761</v>
      </c>
      <c r="H157" s="139">
        <f t="shared" si="185"/>
        <v>0.92718726144991259</v>
      </c>
      <c r="I157" s="139">
        <f t="shared" si="185"/>
        <v>0.88961922191732823</v>
      </c>
      <c r="J157" s="139">
        <f t="shared" si="185"/>
        <v>0.90317364202788153</v>
      </c>
      <c r="K157" s="139">
        <f t="shared" si="185"/>
        <v>0.90854135276065828</v>
      </c>
      <c r="L157" s="139">
        <f t="shared" si="185"/>
        <v>0.89357671158926943</v>
      </c>
      <c r="M157" s="139">
        <f t="shared" si="185"/>
        <v>0.90016513861861391</v>
      </c>
      <c r="N157" s="139">
        <f t="shared" si="185"/>
        <v>0.91918375182945655</v>
      </c>
      <c r="O157" s="139">
        <f t="shared" si="185"/>
        <v>0.91199156217956912</v>
      </c>
      <c r="P157" s="139">
        <f t="shared" si="185"/>
        <v>0.92063004367489809</v>
      </c>
      <c r="Q157" s="139">
        <f t="shared" si="185"/>
        <v>0.91363400900928571</v>
      </c>
      <c r="R157" s="139">
        <f t="shared" si="185"/>
        <v>0.90959461994357405</v>
      </c>
      <c r="S157" s="139">
        <f t="shared" si="185"/>
        <v>0.89902655726788727</v>
      </c>
      <c r="T157" s="139">
        <f t="shared" si="185"/>
        <v>0.94391595167700049</v>
      </c>
      <c r="U157" s="139">
        <f t="shared" si="185"/>
        <v>0.93381182586876732</v>
      </c>
      <c r="V157" s="139">
        <f t="shared" si="185"/>
        <v>0.96126302562297061</v>
      </c>
      <c r="W157" s="139">
        <f t="shared" si="185"/>
        <v>0.95436261132902234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5.0912325037839237E-3</v>
      </c>
      <c r="C158" s="140">
        <f t="shared" ref="C158:W158" si="186">IF(C66=0,0,C66/C$64)</f>
        <v>4.3133110362759417E-3</v>
      </c>
      <c r="D158" s="140">
        <f t="shared" si="186"/>
        <v>4.2544492664193028E-3</v>
      </c>
      <c r="E158" s="140">
        <f t="shared" si="186"/>
        <v>3.9860270558379736E-3</v>
      </c>
      <c r="F158" s="140">
        <f t="shared" si="186"/>
        <v>3.6421601057780991E-3</v>
      </c>
      <c r="G158" s="140">
        <f t="shared" si="186"/>
        <v>3.7160714060023342E-3</v>
      </c>
      <c r="H158" s="140">
        <f t="shared" si="186"/>
        <v>4.0107236934773848E-3</v>
      </c>
      <c r="I158" s="140">
        <f t="shared" si="186"/>
        <v>3.8460722464818617E-3</v>
      </c>
      <c r="J158" s="140">
        <f t="shared" si="186"/>
        <v>3.9881638869584679E-3</v>
      </c>
      <c r="K158" s="140">
        <f t="shared" si="186"/>
        <v>4.0987739578474463E-3</v>
      </c>
      <c r="L158" s="140">
        <f t="shared" si="186"/>
        <v>4.1282164608149033E-3</v>
      </c>
      <c r="M158" s="140">
        <f t="shared" si="186"/>
        <v>4.2024597296917892E-3</v>
      </c>
      <c r="N158" s="140">
        <f t="shared" si="186"/>
        <v>4.1588095365253453E-3</v>
      </c>
      <c r="O158" s="140">
        <f t="shared" si="186"/>
        <v>4.4988527957845444E-3</v>
      </c>
      <c r="P158" s="140">
        <f t="shared" si="186"/>
        <v>4.5243290724586716E-3</v>
      </c>
      <c r="Q158" s="140">
        <f t="shared" si="186"/>
        <v>4.5575974797757548E-3</v>
      </c>
      <c r="R158" s="140">
        <f t="shared" si="186"/>
        <v>4.4640652047601434E-3</v>
      </c>
      <c r="S158" s="140">
        <f t="shared" si="186"/>
        <v>3.8982075131027104E-3</v>
      </c>
      <c r="T158" s="140">
        <f t="shared" si="186"/>
        <v>3.7279233730938576E-3</v>
      </c>
      <c r="U158" s="140">
        <f t="shared" si="186"/>
        <v>3.8137185854942514E-3</v>
      </c>
      <c r="V158" s="140">
        <f t="shared" si="186"/>
        <v>3.6376898665300534E-3</v>
      </c>
      <c r="W158" s="140">
        <f t="shared" si="186"/>
        <v>3.1143524851555237E-3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0.5891836107475722</v>
      </c>
      <c r="C159" s="140">
        <f t="shared" ref="C159:W159" si="187">IF(C67=0,0,C67/C$64)</f>
        <v>0.66965445342804908</v>
      </c>
      <c r="D159" s="140">
        <f t="shared" si="187"/>
        <v>0.67722183308653328</v>
      </c>
      <c r="E159" s="140">
        <f t="shared" si="187"/>
        <v>0.66351366484545338</v>
      </c>
      <c r="F159" s="140">
        <f t="shared" si="187"/>
        <v>0.66600176136458944</v>
      </c>
      <c r="G159" s="140">
        <f t="shared" si="187"/>
        <v>0.70321386229423966</v>
      </c>
      <c r="H159" s="140">
        <f t="shared" si="187"/>
        <v>0.71270832152633412</v>
      </c>
      <c r="I159" s="140">
        <f t="shared" si="187"/>
        <v>0.67923386724967705</v>
      </c>
      <c r="J159" s="140">
        <f t="shared" si="187"/>
        <v>0.6546668540723225</v>
      </c>
      <c r="K159" s="140">
        <f t="shared" si="187"/>
        <v>0.66536793114470072</v>
      </c>
      <c r="L159" s="140">
        <f t="shared" si="187"/>
        <v>0.64089941353495261</v>
      </c>
      <c r="M159" s="140">
        <f t="shared" si="187"/>
        <v>0.65181358799432765</v>
      </c>
      <c r="N159" s="140">
        <f t="shared" si="187"/>
        <v>0.66938105234259149</v>
      </c>
      <c r="O159" s="140">
        <f t="shared" si="187"/>
        <v>0.65207836899245641</v>
      </c>
      <c r="P159" s="140">
        <f t="shared" si="187"/>
        <v>0.65820296052233207</v>
      </c>
      <c r="Q159" s="140">
        <f t="shared" si="187"/>
        <v>0.64747338756210082</v>
      </c>
      <c r="R159" s="140">
        <f t="shared" si="187"/>
        <v>0.64986408616649294</v>
      </c>
      <c r="S159" s="140">
        <f t="shared" si="187"/>
        <v>0.64444010184930778</v>
      </c>
      <c r="T159" s="140">
        <f t="shared" si="187"/>
        <v>0.6806764729652417</v>
      </c>
      <c r="U159" s="140">
        <f t="shared" si="187"/>
        <v>0.6763951427729008</v>
      </c>
      <c r="V159" s="140">
        <f t="shared" si="187"/>
        <v>0.67867127038824737</v>
      </c>
      <c r="W159" s="140">
        <f t="shared" si="187"/>
        <v>0.68000836082077853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0.23772962834085506</v>
      </c>
      <c r="C160" s="140">
        <f t="shared" ref="C160:W160" si="188">IF(C68=0,0,C68/C$64)</f>
        <v>0.23851307184420598</v>
      </c>
      <c r="D160" s="140">
        <f t="shared" si="188"/>
        <v>0.22582878241329599</v>
      </c>
      <c r="E160" s="140">
        <f t="shared" si="188"/>
        <v>0.23674611861155162</v>
      </c>
      <c r="F160" s="140">
        <f t="shared" si="188"/>
        <v>0.22771051632610267</v>
      </c>
      <c r="G160" s="140">
        <f t="shared" si="188"/>
        <v>0.22640164319109557</v>
      </c>
      <c r="H160" s="140">
        <f t="shared" si="188"/>
        <v>0.21046821623010112</v>
      </c>
      <c r="I160" s="140">
        <f t="shared" si="188"/>
        <v>0.20653928242116945</v>
      </c>
      <c r="J160" s="140">
        <f t="shared" si="188"/>
        <v>0.24451862406860059</v>
      </c>
      <c r="K160" s="140">
        <f t="shared" si="188"/>
        <v>0.23907464765810998</v>
      </c>
      <c r="L160" s="140">
        <f t="shared" si="188"/>
        <v>0.24854908159350197</v>
      </c>
      <c r="M160" s="140">
        <f t="shared" si="188"/>
        <v>0.24414909089459447</v>
      </c>
      <c r="N160" s="140">
        <f t="shared" si="188"/>
        <v>0.2456438899503397</v>
      </c>
      <c r="O160" s="140">
        <f t="shared" si="188"/>
        <v>0.25541434039132821</v>
      </c>
      <c r="P160" s="140">
        <f t="shared" si="188"/>
        <v>0.25790275408010754</v>
      </c>
      <c r="Q160" s="140">
        <f t="shared" si="188"/>
        <v>0.26160302396740909</v>
      </c>
      <c r="R160" s="140">
        <f t="shared" si="188"/>
        <v>0.2552664685723211</v>
      </c>
      <c r="S160" s="140">
        <f t="shared" si="188"/>
        <v>0.25068824790547684</v>
      </c>
      <c r="T160" s="140">
        <f t="shared" si="188"/>
        <v>0.25951155533866493</v>
      </c>
      <c r="U160" s="140">
        <f t="shared" si="188"/>
        <v>0.2536029645103724</v>
      </c>
      <c r="V160" s="140">
        <f t="shared" si="188"/>
        <v>0.27895406536819312</v>
      </c>
      <c r="W160" s="140">
        <f t="shared" si="188"/>
        <v>0.2712398980230884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0.10519865669190258</v>
      </c>
      <c r="C161" s="124">
        <f t="shared" ref="C161:W161" si="189">IF(C69=0,0,C69/C$64)</f>
        <v>4.0606051732500474E-2</v>
      </c>
      <c r="D161" s="124">
        <f t="shared" si="189"/>
        <v>5.3211652595838481E-2</v>
      </c>
      <c r="E161" s="124">
        <f t="shared" si="189"/>
        <v>5.1105442178655862E-2</v>
      </c>
      <c r="F161" s="124">
        <f t="shared" si="189"/>
        <v>5.1948247909433885E-2</v>
      </c>
      <c r="G161" s="124">
        <f t="shared" si="189"/>
        <v>1.7971837319617524E-2</v>
      </c>
      <c r="H161" s="124">
        <f t="shared" si="189"/>
        <v>1.6807307808882694E-2</v>
      </c>
      <c r="I161" s="124">
        <f t="shared" si="189"/>
        <v>4.3584121816439565E-2</v>
      </c>
      <c r="J161" s="124">
        <f t="shared" si="189"/>
        <v>3.6379648546569963E-2</v>
      </c>
      <c r="K161" s="124">
        <f t="shared" si="189"/>
        <v>2.8173591251773582E-2</v>
      </c>
      <c r="L161" s="124">
        <f t="shared" si="189"/>
        <v>3.1462136582660838E-2</v>
      </c>
      <c r="M161" s="124">
        <f t="shared" si="189"/>
        <v>4.0115935249895734E-2</v>
      </c>
      <c r="N161" s="124">
        <f t="shared" si="189"/>
        <v>3.6798463211074793E-2</v>
      </c>
      <c r="O161" s="124">
        <f t="shared" si="189"/>
        <v>3.3058516078395016E-2</v>
      </c>
      <c r="P161" s="124">
        <f t="shared" si="189"/>
        <v>2.1552773529794095E-2</v>
      </c>
      <c r="Q161" s="124">
        <f t="shared" si="189"/>
        <v>1.9335174007702231E-2</v>
      </c>
      <c r="R161" s="124">
        <f t="shared" si="189"/>
        <v>1.7348865876735321E-2</v>
      </c>
      <c r="S161" s="124">
        <f t="shared" si="189"/>
        <v>1.8454474636404081E-2</v>
      </c>
      <c r="T161" s="124">
        <f t="shared" si="189"/>
        <v>1.4236801436257177E-2</v>
      </c>
      <c r="U161" s="124">
        <f t="shared" si="189"/>
        <v>2.0022365477874914E-2</v>
      </c>
      <c r="V161" s="124">
        <f t="shared" si="189"/>
        <v>1.9538074830952316E-2</v>
      </c>
      <c r="W161" s="124">
        <f t="shared" si="189"/>
        <v>1.850339780864127E-2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0.10519865669190258</v>
      </c>
      <c r="C163" s="140">
        <f t="shared" ref="C163:W163" si="191">IF(C71=0,0,C71/C$64)</f>
        <v>4.0606051732500474E-2</v>
      </c>
      <c r="D163" s="140">
        <f t="shared" si="191"/>
        <v>5.3211652595838481E-2</v>
      </c>
      <c r="E163" s="140">
        <f t="shared" si="191"/>
        <v>5.1105442178655862E-2</v>
      </c>
      <c r="F163" s="140">
        <f t="shared" si="191"/>
        <v>5.1948247909433885E-2</v>
      </c>
      <c r="G163" s="140">
        <f t="shared" si="191"/>
        <v>1.7971837319617524E-2</v>
      </c>
      <c r="H163" s="140">
        <f t="shared" si="191"/>
        <v>1.6807307808882694E-2</v>
      </c>
      <c r="I163" s="140">
        <f t="shared" si="191"/>
        <v>4.3584121816439565E-2</v>
      </c>
      <c r="J163" s="140">
        <f t="shared" si="191"/>
        <v>3.6379648546569963E-2</v>
      </c>
      <c r="K163" s="140">
        <f t="shared" si="191"/>
        <v>2.8173591251773582E-2</v>
      </c>
      <c r="L163" s="140">
        <f t="shared" si="191"/>
        <v>3.1462136582660838E-2</v>
      </c>
      <c r="M163" s="140">
        <f t="shared" si="191"/>
        <v>4.0115935249895734E-2</v>
      </c>
      <c r="N163" s="140">
        <f t="shared" si="191"/>
        <v>3.6798463211074793E-2</v>
      </c>
      <c r="O163" s="140">
        <f t="shared" si="191"/>
        <v>3.3058516078395016E-2</v>
      </c>
      <c r="P163" s="140">
        <f t="shared" si="191"/>
        <v>2.1552773529794095E-2</v>
      </c>
      <c r="Q163" s="140">
        <f t="shared" si="191"/>
        <v>1.9335174007702231E-2</v>
      </c>
      <c r="R163" s="140">
        <f t="shared" si="191"/>
        <v>1.7348865876735321E-2</v>
      </c>
      <c r="S163" s="140">
        <f t="shared" si="191"/>
        <v>1.8454474636404081E-2</v>
      </c>
      <c r="T163" s="140">
        <f t="shared" si="191"/>
        <v>1.4236801436257177E-2</v>
      </c>
      <c r="U163" s="140">
        <f t="shared" si="191"/>
        <v>2.0022365477874914E-2</v>
      </c>
      <c r="V163" s="140">
        <f t="shared" si="191"/>
        <v>1.9538074830952316E-2</v>
      </c>
      <c r="W163" s="140">
        <f t="shared" si="191"/>
        <v>1.850339780864127E-2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6.279687171588616E-2</v>
      </c>
      <c r="C165" s="124">
        <f t="shared" ref="C165:W165" si="193">IF(C73=0,0,C73/C$64)</f>
        <v>4.6913111958968634E-2</v>
      </c>
      <c r="D165" s="124">
        <f t="shared" si="193"/>
        <v>3.9483282637912884E-2</v>
      </c>
      <c r="E165" s="124">
        <f t="shared" si="193"/>
        <v>4.4648747308501185E-2</v>
      </c>
      <c r="F165" s="124">
        <f t="shared" si="193"/>
        <v>5.0697314294095679E-2</v>
      </c>
      <c r="G165" s="124">
        <f t="shared" si="193"/>
        <v>4.8696585789044719E-2</v>
      </c>
      <c r="H165" s="124">
        <f t="shared" si="193"/>
        <v>5.6005430741204648E-2</v>
      </c>
      <c r="I165" s="124">
        <f t="shared" si="193"/>
        <v>6.6796656266232018E-2</v>
      </c>
      <c r="J165" s="124">
        <f t="shared" si="193"/>
        <v>6.0446709425548341E-2</v>
      </c>
      <c r="K165" s="124">
        <f t="shared" si="193"/>
        <v>6.3285055987568201E-2</v>
      </c>
      <c r="L165" s="124">
        <f t="shared" si="193"/>
        <v>7.4961151828069769E-2</v>
      </c>
      <c r="M165" s="124">
        <f t="shared" si="193"/>
        <v>5.9718926131490227E-2</v>
      </c>
      <c r="N165" s="124">
        <f t="shared" si="193"/>
        <v>4.4017784959468745E-2</v>
      </c>
      <c r="O165" s="124">
        <f t="shared" si="193"/>
        <v>5.494992174203589E-2</v>
      </c>
      <c r="P165" s="124">
        <f t="shared" si="193"/>
        <v>5.7817182795307759E-2</v>
      </c>
      <c r="Q165" s="124">
        <f t="shared" si="193"/>
        <v>6.7030816983012081E-2</v>
      </c>
      <c r="R165" s="124">
        <f t="shared" si="193"/>
        <v>7.3056514179690529E-2</v>
      </c>
      <c r="S165" s="124">
        <f t="shared" si="193"/>
        <v>8.2518968095708592E-2</v>
      </c>
      <c r="T165" s="124">
        <f t="shared" si="193"/>
        <v>4.184724688674233E-2</v>
      </c>
      <c r="U165" s="124">
        <f t="shared" si="193"/>
        <v>4.6165808653357863E-2</v>
      </c>
      <c r="V165" s="124">
        <f t="shared" si="193"/>
        <v>1.9198899546077172E-2</v>
      </c>
      <c r="W165" s="124">
        <f t="shared" si="193"/>
        <v>2.7133990862336411E-2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2.868523180055693E-3</v>
      </c>
      <c r="C166" s="140">
        <f t="shared" ref="C166:W166" si="194">IF(C74=0,0,C74/C$64)</f>
        <v>1.2120500164396703E-3</v>
      </c>
      <c r="D166" s="140">
        <f t="shared" si="194"/>
        <v>7.9625256754932525E-4</v>
      </c>
      <c r="E166" s="140">
        <f t="shared" si="194"/>
        <v>7.4352539984176937E-4</v>
      </c>
      <c r="F166" s="140">
        <f t="shared" si="194"/>
        <v>4.2173583260453808E-3</v>
      </c>
      <c r="G166" s="140">
        <f t="shared" si="194"/>
        <v>4.0745102205711212E-3</v>
      </c>
      <c r="H166" s="140">
        <f t="shared" si="194"/>
        <v>7.4070282399063536E-4</v>
      </c>
      <c r="I166" s="140">
        <f t="shared" si="194"/>
        <v>2.692600947547668E-2</v>
      </c>
      <c r="J166" s="140">
        <f t="shared" si="194"/>
        <v>2.2800008658165075E-2</v>
      </c>
      <c r="K166" s="140">
        <f t="shared" si="194"/>
        <v>2.3191409008835553E-2</v>
      </c>
      <c r="L166" s="140">
        <f t="shared" si="194"/>
        <v>3.0200658186791181E-2</v>
      </c>
      <c r="M166" s="140">
        <f t="shared" si="194"/>
        <v>2.15640974601683E-2</v>
      </c>
      <c r="N166" s="140">
        <f t="shared" si="194"/>
        <v>1.0346260620778161E-2</v>
      </c>
      <c r="O166" s="140">
        <f t="shared" si="194"/>
        <v>1.199398960299942E-2</v>
      </c>
      <c r="P166" s="140">
        <f t="shared" si="194"/>
        <v>6.1221859479247435E-3</v>
      </c>
      <c r="Q166" s="140">
        <f t="shared" si="194"/>
        <v>8.1186233153593412E-3</v>
      </c>
      <c r="R166" s="140">
        <f t="shared" si="194"/>
        <v>6.4585488643099246E-3</v>
      </c>
      <c r="S166" s="140">
        <f t="shared" si="194"/>
        <v>1.0625917314406914E-2</v>
      </c>
      <c r="T166" s="140">
        <f t="shared" si="194"/>
        <v>1.2094088608064966E-2</v>
      </c>
      <c r="U166" s="140">
        <f t="shared" si="194"/>
        <v>1.3758963732150404E-2</v>
      </c>
      <c r="V166" s="140">
        <f t="shared" si="194"/>
        <v>8.6572297320494304E-3</v>
      </c>
      <c r="W166" s="140">
        <f t="shared" si="194"/>
        <v>9.8269706248067558E-3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5.0007078650526553E-2</v>
      </c>
      <c r="C167" s="140">
        <f t="shared" ref="C167:W167" si="195">IF(C75=0,0,C75/C$64)</f>
        <v>3.8137711182573197E-2</v>
      </c>
      <c r="D167" s="140">
        <f t="shared" si="195"/>
        <v>3.2287764398514295E-2</v>
      </c>
      <c r="E167" s="140">
        <f t="shared" si="195"/>
        <v>3.664739377538187E-2</v>
      </c>
      <c r="F167" s="140">
        <f t="shared" si="195"/>
        <v>3.8801293975637606E-2</v>
      </c>
      <c r="G167" s="140">
        <f t="shared" si="195"/>
        <v>3.7350628540495645E-2</v>
      </c>
      <c r="H167" s="140">
        <f t="shared" si="195"/>
        <v>4.6584363527778477E-2</v>
      </c>
      <c r="I167" s="140">
        <f t="shared" si="195"/>
        <v>3.4005638245299778E-2</v>
      </c>
      <c r="J167" s="140">
        <f t="shared" si="195"/>
        <v>3.2193669755277134E-2</v>
      </c>
      <c r="K167" s="140">
        <f t="shared" si="195"/>
        <v>3.416223726779475E-2</v>
      </c>
      <c r="L167" s="140">
        <f t="shared" si="195"/>
        <v>3.8222718463801805E-2</v>
      </c>
      <c r="M167" s="140">
        <f t="shared" si="195"/>
        <v>3.2578553647508383E-2</v>
      </c>
      <c r="N167" s="140">
        <f t="shared" si="195"/>
        <v>2.874978487127847E-2</v>
      </c>
      <c r="O167" s="140">
        <f t="shared" si="195"/>
        <v>3.6720378875326469E-2</v>
      </c>
      <c r="P167" s="140">
        <f t="shared" si="195"/>
        <v>4.4759122613097037E-2</v>
      </c>
      <c r="Q167" s="140">
        <f t="shared" si="195"/>
        <v>5.1515892547029971E-2</v>
      </c>
      <c r="R167" s="140">
        <f t="shared" si="195"/>
        <v>5.9404737798729977E-2</v>
      </c>
      <c r="S167" s="140">
        <f t="shared" si="195"/>
        <v>6.4918221134527221E-2</v>
      </c>
      <c r="T167" s="140">
        <f t="shared" si="195"/>
        <v>2.6839443317066249E-2</v>
      </c>
      <c r="U167" s="140">
        <f t="shared" si="195"/>
        <v>2.9325663143876232E-2</v>
      </c>
      <c r="V167" s="140">
        <f t="shared" si="195"/>
        <v>9.1412490987903879E-3</v>
      </c>
      <c r="W167" s="140">
        <f t="shared" si="195"/>
        <v>1.530745862613201E-2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9.9212698853039117E-3</v>
      </c>
      <c r="C168" s="140">
        <f t="shared" ref="C168:W168" si="196">IF(C76=0,0,C76/C$64)</f>
        <v>7.5633507599557762E-3</v>
      </c>
      <c r="D168" s="140">
        <f t="shared" si="196"/>
        <v>6.3992656718492701E-3</v>
      </c>
      <c r="E168" s="140">
        <f t="shared" si="196"/>
        <v>7.2578281332775505E-3</v>
      </c>
      <c r="F168" s="140">
        <f t="shared" si="196"/>
        <v>7.6786619924127004E-3</v>
      </c>
      <c r="G168" s="140">
        <f t="shared" si="196"/>
        <v>7.2714470279779519E-3</v>
      </c>
      <c r="H168" s="140">
        <f t="shared" si="196"/>
        <v>8.6803643894355388E-3</v>
      </c>
      <c r="I168" s="140">
        <f t="shared" si="196"/>
        <v>5.8650085454555571E-3</v>
      </c>
      <c r="J168" s="140">
        <f t="shared" si="196"/>
        <v>5.4530310121061361E-3</v>
      </c>
      <c r="K168" s="140">
        <f t="shared" si="196"/>
        <v>5.931409710937894E-3</v>
      </c>
      <c r="L168" s="140">
        <f t="shared" si="196"/>
        <v>6.537775177476792E-3</v>
      </c>
      <c r="M168" s="140">
        <f t="shared" si="196"/>
        <v>5.5762750238135504E-3</v>
      </c>
      <c r="N168" s="140">
        <f t="shared" si="196"/>
        <v>4.9217394674121165E-3</v>
      </c>
      <c r="O168" s="140">
        <f t="shared" si="196"/>
        <v>6.2355532637100048E-3</v>
      </c>
      <c r="P168" s="140">
        <f t="shared" si="196"/>
        <v>6.9358742342859759E-3</v>
      </c>
      <c r="Q168" s="140">
        <f t="shared" si="196"/>
        <v>7.3963011206227775E-3</v>
      </c>
      <c r="R168" s="140">
        <f t="shared" si="196"/>
        <v>7.1932275166506215E-3</v>
      </c>
      <c r="S168" s="140">
        <f t="shared" si="196"/>
        <v>6.9748296467744622E-3</v>
      </c>
      <c r="T168" s="140">
        <f t="shared" si="196"/>
        <v>2.913714961611111E-3</v>
      </c>
      <c r="U168" s="140">
        <f t="shared" si="196"/>
        <v>3.0811817773312225E-3</v>
      </c>
      <c r="V168" s="140">
        <f t="shared" si="196"/>
        <v>1.4004207152373558E-3</v>
      </c>
      <c r="W168" s="140">
        <f t="shared" si="196"/>
        <v>1.9995616113976408E-3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0.82250641729156626</v>
      </c>
      <c r="C170" s="139">
        <f t="shared" ref="C170:W170" si="199">IF(C78=0,0,C78/C$77)</f>
        <v>0.88304886704070995</v>
      </c>
      <c r="D170" s="139">
        <f t="shared" si="199"/>
        <v>0.8785669329123067</v>
      </c>
      <c r="E170" s="139">
        <f t="shared" si="199"/>
        <v>0.92519673636727939</v>
      </c>
      <c r="F170" s="139">
        <f t="shared" si="199"/>
        <v>0.93304255672902714</v>
      </c>
      <c r="G170" s="139">
        <f t="shared" si="199"/>
        <v>0.94582531727875208</v>
      </c>
      <c r="H170" s="139">
        <f t="shared" si="199"/>
        <v>0.95262211384752482</v>
      </c>
      <c r="I170" s="139">
        <f t="shared" si="199"/>
        <v>0.89901583165252164</v>
      </c>
      <c r="J170" s="139">
        <f t="shared" si="199"/>
        <v>0.91280087109545505</v>
      </c>
      <c r="K170" s="139">
        <f t="shared" si="199"/>
        <v>0.93868209668241798</v>
      </c>
      <c r="L170" s="139">
        <f t="shared" si="199"/>
        <v>0.9213383761414472</v>
      </c>
      <c r="M170" s="139">
        <f t="shared" si="199"/>
        <v>0.91681867597609557</v>
      </c>
      <c r="N170" s="139">
        <f t="shared" si="199"/>
        <v>0.92896513901521993</v>
      </c>
      <c r="O170" s="139">
        <f t="shared" si="199"/>
        <v>0.93296120654026593</v>
      </c>
      <c r="P170" s="139">
        <f t="shared" si="199"/>
        <v>0.948576812682837</v>
      </c>
      <c r="Q170" s="139">
        <f t="shared" si="199"/>
        <v>0.93517105103958054</v>
      </c>
      <c r="R170" s="139">
        <f t="shared" si="199"/>
        <v>0.9422421954804584</v>
      </c>
      <c r="S170" s="139">
        <f t="shared" si="199"/>
        <v>0.94914403394248914</v>
      </c>
      <c r="T170" s="139">
        <f t="shared" si="199"/>
        <v>0.95207426872521406</v>
      </c>
      <c r="U170" s="139">
        <f t="shared" si="199"/>
        <v>0.94725339179916823</v>
      </c>
      <c r="V170" s="139">
        <f t="shared" si="199"/>
        <v>0.95412651368980528</v>
      </c>
      <c r="W170" s="139">
        <f t="shared" si="199"/>
        <v>0.9407704688236399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0.35968503287165432</v>
      </c>
      <c r="C171" s="140">
        <f t="shared" ref="C171:W171" si="200">IF(C79=0,0,C79/C$77)</f>
        <v>0.31475393355126202</v>
      </c>
      <c r="D171" s="140">
        <f t="shared" si="200"/>
        <v>0.29720253517174722</v>
      </c>
      <c r="E171" s="140">
        <f t="shared" si="200"/>
        <v>0.29252959615999902</v>
      </c>
      <c r="F171" s="140">
        <f t="shared" si="200"/>
        <v>0.31432186125400696</v>
      </c>
      <c r="G171" s="140">
        <f t="shared" si="200"/>
        <v>0.36687693545852457</v>
      </c>
      <c r="H171" s="140">
        <f t="shared" si="200"/>
        <v>0.35333183008810765</v>
      </c>
      <c r="I171" s="140">
        <f t="shared" si="200"/>
        <v>0.37856540797228672</v>
      </c>
      <c r="J171" s="140">
        <f t="shared" si="200"/>
        <v>0.4072077290195919</v>
      </c>
      <c r="K171" s="140">
        <f t="shared" si="200"/>
        <v>0.43132272482250417</v>
      </c>
      <c r="L171" s="140">
        <f t="shared" si="200"/>
        <v>0.49832952732862273</v>
      </c>
      <c r="M171" s="140">
        <f t="shared" si="200"/>
        <v>0.49701238971405531</v>
      </c>
      <c r="N171" s="140">
        <f t="shared" si="200"/>
        <v>0.53848943863167631</v>
      </c>
      <c r="O171" s="140">
        <f t="shared" si="200"/>
        <v>0.54793429222810042</v>
      </c>
      <c r="P171" s="140">
        <f t="shared" si="200"/>
        <v>0.59105955559265277</v>
      </c>
      <c r="Q171" s="140">
        <f t="shared" si="200"/>
        <v>0.60798384105108261</v>
      </c>
      <c r="R171" s="140">
        <f t="shared" si="200"/>
        <v>0.58197509147064297</v>
      </c>
      <c r="S171" s="140">
        <f t="shared" si="200"/>
        <v>0.56838684944333562</v>
      </c>
      <c r="T171" s="140">
        <f t="shared" si="200"/>
        <v>0.59924690554070614</v>
      </c>
      <c r="U171" s="140">
        <f t="shared" si="200"/>
        <v>0.58685175872905371</v>
      </c>
      <c r="V171" s="140">
        <f t="shared" si="200"/>
        <v>0.60943826097943854</v>
      </c>
      <c r="W171" s="140">
        <f t="shared" si="200"/>
        <v>0.58751751602828817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0.46282138441991194</v>
      </c>
      <c r="C172" s="140">
        <f t="shared" ref="C172:W172" si="201">IF(C80=0,0,C80/C$77)</f>
        <v>0.56829493348944793</v>
      </c>
      <c r="D172" s="140">
        <f t="shared" si="201"/>
        <v>0.58136439774055959</v>
      </c>
      <c r="E172" s="140">
        <f t="shared" si="201"/>
        <v>0.63266714020728043</v>
      </c>
      <c r="F172" s="140">
        <f t="shared" si="201"/>
        <v>0.61872069547502018</v>
      </c>
      <c r="G172" s="140">
        <f t="shared" si="201"/>
        <v>0.57894838182022745</v>
      </c>
      <c r="H172" s="140">
        <f t="shared" si="201"/>
        <v>0.59929028375941717</v>
      </c>
      <c r="I172" s="140">
        <f t="shared" si="201"/>
        <v>0.52045042368023497</v>
      </c>
      <c r="J172" s="140">
        <f t="shared" si="201"/>
        <v>0.50559314207586314</v>
      </c>
      <c r="K172" s="140">
        <f t="shared" si="201"/>
        <v>0.50735937185991387</v>
      </c>
      <c r="L172" s="140">
        <f t="shared" si="201"/>
        <v>0.42300884881282441</v>
      </c>
      <c r="M172" s="140">
        <f t="shared" si="201"/>
        <v>0.41980628626204036</v>
      </c>
      <c r="N172" s="140">
        <f t="shared" si="201"/>
        <v>0.39047570038354368</v>
      </c>
      <c r="O172" s="140">
        <f t="shared" si="201"/>
        <v>0.38502691431216546</v>
      </c>
      <c r="P172" s="140">
        <f t="shared" si="201"/>
        <v>0.35751725709018412</v>
      </c>
      <c r="Q172" s="140">
        <f t="shared" si="201"/>
        <v>0.32718720998849793</v>
      </c>
      <c r="R172" s="140">
        <f t="shared" si="201"/>
        <v>0.36026710400981543</v>
      </c>
      <c r="S172" s="140">
        <f t="shared" si="201"/>
        <v>0.38075718449915352</v>
      </c>
      <c r="T172" s="140">
        <f t="shared" si="201"/>
        <v>0.35282736318450791</v>
      </c>
      <c r="U172" s="140">
        <f t="shared" si="201"/>
        <v>0.36040163307011452</v>
      </c>
      <c r="V172" s="140">
        <f t="shared" si="201"/>
        <v>0.34468825271036685</v>
      </c>
      <c r="W172" s="140">
        <f t="shared" si="201"/>
        <v>0.35325295279535163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7.1450402959614495E-2</v>
      </c>
      <c r="C173" s="124">
        <f t="shared" ref="C173:W173" si="202">IF(C81=0,0,C81/C$77)</f>
        <v>3.688787281459753E-2</v>
      </c>
      <c r="D173" s="124">
        <f t="shared" si="202"/>
        <v>4.6566836023528055E-2</v>
      </c>
      <c r="E173" s="124">
        <f t="shared" si="202"/>
        <v>2.7055101853856674E-2</v>
      </c>
      <c r="F173" s="124">
        <f t="shared" si="202"/>
        <v>3.5762552770842101E-2</v>
      </c>
      <c r="G173" s="124">
        <f t="shared" si="202"/>
        <v>2.0464573285082631E-2</v>
      </c>
      <c r="H173" s="124">
        <f t="shared" si="202"/>
        <v>1.8702861773175792E-2</v>
      </c>
      <c r="I173" s="124">
        <f t="shared" si="202"/>
        <v>3.9060715892383975E-2</v>
      </c>
      <c r="J173" s="124">
        <f t="shared" si="202"/>
        <v>3.3138960644125012E-2</v>
      </c>
      <c r="K173" s="124">
        <f t="shared" si="202"/>
        <v>2.0662033236240142E-2</v>
      </c>
      <c r="L173" s="124">
        <f t="shared" si="202"/>
        <v>2.8409275884457023E-2</v>
      </c>
      <c r="M173" s="124">
        <f t="shared" si="202"/>
        <v>4.0664977107280897E-2</v>
      </c>
      <c r="N173" s="124">
        <f t="shared" si="202"/>
        <v>3.5852853301651375E-2</v>
      </c>
      <c r="O173" s="124">
        <f t="shared" si="202"/>
        <v>3.2578647862924581E-2</v>
      </c>
      <c r="P173" s="124">
        <f t="shared" si="202"/>
        <v>2.0254247281144975E-2</v>
      </c>
      <c r="Q173" s="124">
        <f t="shared" si="202"/>
        <v>2.901780793521784E-2</v>
      </c>
      <c r="R173" s="124">
        <f t="shared" si="202"/>
        <v>2.6645521474292524E-2</v>
      </c>
      <c r="S173" s="124">
        <f t="shared" si="202"/>
        <v>2.1820974876839372E-2</v>
      </c>
      <c r="T173" s="124">
        <f t="shared" si="202"/>
        <v>2.0338480440385373E-2</v>
      </c>
      <c r="U173" s="124">
        <f t="shared" si="202"/>
        <v>2.4380347251239876E-2</v>
      </c>
      <c r="V173" s="124">
        <f t="shared" si="202"/>
        <v>1.8065858264288821E-2</v>
      </c>
      <c r="W173" s="124">
        <f t="shared" si="202"/>
        <v>2.769562949305155E-2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1.7666375892241722E-3</v>
      </c>
      <c r="C174" s="124">
        <f t="shared" ref="C174:W174" si="203">IF(C82=0,0,C82/C$77)</f>
        <v>1.2714262635450939E-3</v>
      </c>
      <c r="D174" s="124">
        <f t="shared" si="203"/>
        <v>1.110238041725751E-3</v>
      </c>
      <c r="E174" s="124">
        <f t="shared" si="203"/>
        <v>1.0493055627515653E-3</v>
      </c>
      <c r="F174" s="124">
        <f t="shared" si="203"/>
        <v>1.2328215796772169E-3</v>
      </c>
      <c r="G174" s="124">
        <f t="shared" si="203"/>
        <v>8.4609468954291477E-4</v>
      </c>
      <c r="H174" s="124">
        <f t="shared" si="203"/>
        <v>7.9815307819266633E-4</v>
      </c>
      <c r="I174" s="124">
        <f t="shared" si="203"/>
        <v>7.9566176823205818E-4</v>
      </c>
      <c r="J174" s="124">
        <f t="shared" si="203"/>
        <v>8.6456512383493783E-4</v>
      </c>
      <c r="K174" s="124">
        <f t="shared" si="203"/>
        <v>1.0184332505993694E-3</v>
      </c>
      <c r="L174" s="124">
        <f t="shared" si="203"/>
        <v>1.3667584027550531E-3</v>
      </c>
      <c r="M174" s="124">
        <f t="shared" si="203"/>
        <v>1.3414556947586682E-3</v>
      </c>
      <c r="N174" s="124">
        <f t="shared" si="203"/>
        <v>1.3896220750630405E-3</v>
      </c>
      <c r="O174" s="124">
        <f t="shared" si="203"/>
        <v>1.6686426269899729E-3</v>
      </c>
      <c r="P174" s="124">
        <f t="shared" si="203"/>
        <v>1.5516337730782038E-3</v>
      </c>
      <c r="Q174" s="124">
        <f t="shared" si="203"/>
        <v>1.6038696928197739E-3</v>
      </c>
      <c r="R174" s="124">
        <f t="shared" si="203"/>
        <v>1.5834143893554511E-3</v>
      </c>
      <c r="S174" s="124">
        <f t="shared" si="203"/>
        <v>1.8636715890772389E-3</v>
      </c>
      <c r="T174" s="124">
        <f t="shared" si="203"/>
        <v>7.0166107027455995E-4</v>
      </c>
      <c r="U174" s="124">
        <f t="shared" si="203"/>
        <v>5.3479010152415881E-4</v>
      </c>
      <c r="V174" s="124">
        <f t="shared" si="203"/>
        <v>5.2488174977290136E-4</v>
      </c>
      <c r="W174" s="124">
        <f t="shared" si="203"/>
        <v>6.1532618231078086E-4</v>
      </c>
      <c r="DA174" s="176"/>
    </row>
    <row r="175" spans="1:105" ht="11.45" customHeight="1" x14ac:dyDescent="0.25">
      <c r="A175" s="128" t="s">
        <v>27</v>
      </c>
      <c r="B175" s="140">
        <f t="shared" si="197"/>
        <v>6.3508983908115195E-5</v>
      </c>
      <c r="C175" s="140">
        <f t="shared" ref="C175:W175" si="204">IF(C83=0,0,C83/C$77)</f>
        <v>4.5284530570559589E-5</v>
      </c>
      <c r="D175" s="140">
        <f t="shared" si="204"/>
        <v>3.7156084858224114E-5</v>
      </c>
      <c r="E175" s="140">
        <f t="shared" si="204"/>
        <v>3.4314432134901014E-5</v>
      </c>
      <c r="F175" s="140">
        <f t="shared" si="204"/>
        <v>4.3575446141458543E-5</v>
      </c>
      <c r="G175" s="140">
        <f t="shared" si="204"/>
        <v>1.8659457514084491E-5</v>
      </c>
      <c r="H175" s="140">
        <f t="shared" si="204"/>
        <v>6.8848347639112488E-6</v>
      </c>
      <c r="I175" s="140">
        <f t="shared" si="204"/>
        <v>2.604226585372278E-4</v>
      </c>
      <c r="J175" s="140">
        <f t="shared" si="204"/>
        <v>1.3596631579082736E-4</v>
      </c>
      <c r="K175" s="140">
        <f t="shared" si="204"/>
        <v>1.029491558719067E-4</v>
      </c>
      <c r="L175" s="140">
        <f t="shared" si="204"/>
        <v>1.0344410353659729E-4</v>
      </c>
      <c r="M175" s="140">
        <f t="shared" si="204"/>
        <v>4.6494464593901212E-5</v>
      </c>
      <c r="N175" s="140">
        <f t="shared" si="204"/>
        <v>1.7473722392051594E-5</v>
      </c>
      <c r="O175" s="140">
        <f t="shared" si="204"/>
        <v>1.4517935568235811E-5</v>
      </c>
      <c r="P175" s="140">
        <f t="shared" si="204"/>
        <v>5.1284265182854049E-6</v>
      </c>
      <c r="Q175" s="140">
        <f t="shared" si="204"/>
        <v>4.6681032289422942E-6</v>
      </c>
      <c r="R175" s="140">
        <f t="shared" si="204"/>
        <v>5.5357445653897834E-6</v>
      </c>
      <c r="S175" s="140">
        <f t="shared" si="204"/>
        <v>2.6693379598766242E-5</v>
      </c>
      <c r="T175" s="140">
        <f t="shared" si="204"/>
        <v>5.0227529889415351E-5</v>
      </c>
      <c r="U175" s="140">
        <f t="shared" si="204"/>
        <v>8.6571073975994081E-5</v>
      </c>
      <c r="V175" s="140">
        <f t="shared" si="204"/>
        <v>1.5701274082633696E-4</v>
      </c>
      <c r="W175" s="140">
        <f t="shared" si="204"/>
        <v>2.0475424650594055E-4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1.3627830603004211E-3</v>
      </c>
      <c r="C176" s="140">
        <f t="shared" ref="C176:W176" si="205">IF(C84=0,0,C84/C$77)</f>
        <v>9.5030266723684291E-4</v>
      </c>
      <c r="D176" s="140">
        <f t="shared" si="205"/>
        <v>8.1183176325971406E-4</v>
      </c>
      <c r="E176" s="140">
        <f t="shared" si="205"/>
        <v>7.4593018614697263E-4</v>
      </c>
      <c r="F176" s="140">
        <f t="shared" si="205"/>
        <v>9.1051074496647491E-4</v>
      </c>
      <c r="G176" s="140">
        <f t="shared" si="205"/>
        <v>7.141161690693888E-4</v>
      </c>
      <c r="H176" s="140">
        <f t="shared" si="205"/>
        <v>6.8071034205408455E-4</v>
      </c>
      <c r="I176" s="140">
        <f t="shared" si="205"/>
        <v>4.2730293360327895E-4</v>
      </c>
      <c r="J176" s="140">
        <f t="shared" si="205"/>
        <v>5.8903516849543463E-4</v>
      </c>
      <c r="K176" s="140">
        <f t="shared" si="205"/>
        <v>7.8827362117646924E-4</v>
      </c>
      <c r="L176" s="140">
        <f t="shared" si="205"/>
        <v>1.0676529737764227E-3</v>
      </c>
      <c r="M176" s="140">
        <f t="shared" si="205"/>
        <v>9.9981399801654354E-4</v>
      </c>
      <c r="N176" s="140">
        <f t="shared" si="205"/>
        <v>8.881472795235452E-4</v>
      </c>
      <c r="O176" s="140">
        <f t="shared" si="205"/>
        <v>1.1317701029284644E-3</v>
      </c>
      <c r="P176" s="140">
        <f t="shared" si="205"/>
        <v>1.3097523152632001E-3</v>
      </c>
      <c r="Q176" s="140">
        <f t="shared" si="205"/>
        <v>1.4330373691931405E-3</v>
      </c>
      <c r="R176" s="140">
        <f t="shared" si="205"/>
        <v>1.4723326896932442E-3</v>
      </c>
      <c r="S176" s="140">
        <f t="shared" si="205"/>
        <v>1.7537902550340098E-3</v>
      </c>
      <c r="T176" s="140">
        <f t="shared" si="205"/>
        <v>6.3010477758518638E-4</v>
      </c>
      <c r="U176" s="140">
        <f t="shared" si="205"/>
        <v>4.1710636710801281E-4</v>
      </c>
      <c r="V176" s="140">
        <f t="shared" si="205"/>
        <v>3.2406872287107301E-4</v>
      </c>
      <c r="W176" s="140">
        <f t="shared" si="205"/>
        <v>3.8211498642011868E-4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3.403455450156359E-4</v>
      </c>
      <c r="C177" s="140">
        <f t="shared" ref="C177:W177" si="206">IF(C85=0,0,C85/C$77)</f>
        <v>2.7583906573769144E-4</v>
      </c>
      <c r="D177" s="140">
        <f t="shared" si="206"/>
        <v>2.6125019360781281E-4</v>
      </c>
      <c r="E177" s="140">
        <f t="shared" si="206"/>
        <v>2.6906094446969169E-4</v>
      </c>
      <c r="F177" s="140">
        <f t="shared" si="206"/>
        <v>2.7873538856928336E-4</v>
      </c>
      <c r="G177" s="140">
        <f t="shared" si="206"/>
        <v>1.1331906295944161E-4</v>
      </c>
      <c r="H177" s="140">
        <f t="shared" si="206"/>
        <v>1.1055790137467053E-4</v>
      </c>
      <c r="I177" s="140">
        <f t="shared" si="206"/>
        <v>1.0793617609155151E-4</v>
      </c>
      <c r="J177" s="140">
        <f t="shared" si="206"/>
        <v>1.3956363954867592E-4</v>
      </c>
      <c r="K177" s="140">
        <f t="shared" si="206"/>
        <v>1.2721047355099361E-4</v>
      </c>
      <c r="L177" s="140">
        <f t="shared" si="206"/>
        <v>1.9566132544203321E-4</v>
      </c>
      <c r="M177" s="140">
        <f t="shared" si="206"/>
        <v>2.9514723214822333E-4</v>
      </c>
      <c r="N177" s="140">
        <f t="shared" si="206"/>
        <v>4.8400107314744358E-4</v>
      </c>
      <c r="O177" s="140">
        <f t="shared" si="206"/>
        <v>5.223545884932725E-4</v>
      </c>
      <c r="P177" s="140">
        <f t="shared" si="206"/>
        <v>2.3675303129671847E-4</v>
      </c>
      <c r="Q177" s="140">
        <f t="shared" si="206"/>
        <v>1.6616422039769104E-4</v>
      </c>
      <c r="R177" s="140">
        <f t="shared" si="206"/>
        <v>1.055459550968171E-4</v>
      </c>
      <c r="S177" s="140">
        <f t="shared" si="206"/>
        <v>8.3187954444463203E-5</v>
      </c>
      <c r="T177" s="140">
        <f t="shared" si="206"/>
        <v>2.1328762799958171E-5</v>
      </c>
      <c r="U177" s="140">
        <f t="shared" si="206"/>
        <v>3.1112660440151864E-5</v>
      </c>
      <c r="V177" s="140">
        <f t="shared" si="206"/>
        <v>4.3800286075491327E-5</v>
      </c>
      <c r="W177" s="140">
        <f t="shared" si="206"/>
        <v>2.8456949384721544E-5</v>
      </c>
      <c r="DA177" s="175"/>
    </row>
    <row r="178" spans="1:105" ht="11.45" customHeight="1" x14ac:dyDescent="0.25">
      <c r="A178" s="109" t="s">
        <v>142</v>
      </c>
      <c r="B178" s="124">
        <f t="shared" si="197"/>
        <v>0.1042765421595951</v>
      </c>
      <c r="C178" s="124">
        <f t="shared" ref="C178:W178" si="207">IF(C86=0,0,C86/C$77)</f>
        <v>7.8791833881147341E-2</v>
      </c>
      <c r="D178" s="124">
        <f t="shared" si="207"/>
        <v>7.3755993022439514E-2</v>
      </c>
      <c r="E178" s="124">
        <f t="shared" si="207"/>
        <v>4.6698856216112389E-2</v>
      </c>
      <c r="F178" s="124">
        <f t="shared" si="207"/>
        <v>2.9962068920453493E-2</v>
      </c>
      <c r="G178" s="124">
        <f t="shared" si="207"/>
        <v>3.286401474662233E-2</v>
      </c>
      <c r="H178" s="124">
        <f t="shared" si="207"/>
        <v>2.787687130110679E-2</v>
      </c>
      <c r="I178" s="124">
        <f t="shared" si="207"/>
        <v>6.1127790686862381E-2</v>
      </c>
      <c r="J178" s="124">
        <f t="shared" si="207"/>
        <v>5.3195603136584987E-2</v>
      </c>
      <c r="K178" s="124">
        <f t="shared" si="207"/>
        <v>3.9637436830742438E-2</v>
      </c>
      <c r="L178" s="124">
        <f t="shared" si="207"/>
        <v>4.888558957134078E-2</v>
      </c>
      <c r="M178" s="124">
        <f t="shared" si="207"/>
        <v>4.1174891221864886E-2</v>
      </c>
      <c r="N178" s="124">
        <f t="shared" si="207"/>
        <v>3.3792385608065752E-2</v>
      </c>
      <c r="O178" s="124">
        <f t="shared" si="207"/>
        <v>3.27915029698196E-2</v>
      </c>
      <c r="P178" s="124">
        <f t="shared" si="207"/>
        <v>2.9617306262939978E-2</v>
      </c>
      <c r="Q178" s="124">
        <f t="shared" si="207"/>
        <v>3.4207271332381835E-2</v>
      </c>
      <c r="R178" s="124">
        <f t="shared" si="207"/>
        <v>2.9528868655893763E-2</v>
      </c>
      <c r="S178" s="124">
        <f t="shared" si="207"/>
        <v>2.7171319591594252E-2</v>
      </c>
      <c r="T178" s="124">
        <f t="shared" si="207"/>
        <v>2.6885589764126024E-2</v>
      </c>
      <c r="U178" s="124">
        <f t="shared" si="207"/>
        <v>2.7831470848067807E-2</v>
      </c>
      <c r="V178" s="124">
        <f t="shared" si="207"/>
        <v>2.728274629613292E-2</v>
      </c>
      <c r="W178" s="124">
        <f t="shared" si="207"/>
        <v>3.0918575500997768E-2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</v>
      </c>
      <c r="C179" s="140">
        <f t="shared" ref="C179:W179" si="208">IF(C87=0,0,C87/C$77)</f>
        <v>0</v>
      </c>
      <c r="D179" s="140">
        <f t="shared" si="208"/>
        <v>0</v>
      </c>
      <c r="E179" s="140">
        <f t="shared" si="208"/>
        <v>0</v>
      </c>
      <c r="F179" s="140">
        <f t="shared" si="208"/>
        <v>0</v>
      </c>
      <c r="G179" s="140">
        <f t="shared" si="208"/>
        <v>0</v>
      </c>
      <c r="H179" s="140">
        <f t="shared" si="208"/>
        <v>0</v>
      </c>
      <c r="I179" s="140">
        <f t="shared" si="208"/>
        <v>0</v>
      </c>
      <c r="J179" s="140">
        <f t="shared" si="208"/>
        <v>0</v>
      </c>
      <c r="K179" s="140">
        <f t="shared" si="208"/>
        <v>0</v>
      </c>
      <c r="L179" s="140">
        <f t="shared" si="208"/>
        <v>0</v>
      </c>
      <c r="M179" s="140">
        <f t="shared" si="208"/>
        <v>0</v>
      </c>
      <c r="N179" s="140">
        <f t="shared" si="208"/>
        <v>0</v>
      </c>
      <c r="O179" s="140">
        <f t="shared" si="208"/>
        <v>0</v>
      </c>
      <c r="P179" s="140">
        <f t="shared" si="208"/>
        <v>0</v>
      </c>
      <c r="Q179" s="140">
        <f t="shared" si="208"/>
        <v>0</v>
      </c>
      <c r="R179" s="140">
        <f t="shared" si="208"/>
        <v>0</v>
      </c>
      <c r="S179" s="140">
        <f t="shared" si="208"/>
        <v>0</v>
      </c>
      <c r="T179" s="140">
        <f t="shared" si="208"/>
        <v>0</v>
      </c>
      <c r="U179" s="140">
        <f t="shared" si="208"/>
        <v>0</v>
      </c>
      <c r="V179" s="140">
        <f t="shared" si="208"/>
        <v>0</v>
      </c>
      <c r="W179" s="140">
        <f t="shared" si="208"/>
        <v>0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0.1042765421595951</v>
      </c>
      <c r="C180" s="127">
        <f t="shared" ref="C180:W180" si="209">IF(C88=0,0,C88/C$77)</f>
        <v>7.8791833881147341E-2</v>
      </c>
      <c r="D180" s="127">
        <f t="shared" si="209"/>
        <v>7.3755993022439514E-2</v>
      </c>
      <c r="E180" s="127">
        <f t="shared" si="209"/>
        <v>4.6698856216112389E-2</v>
      </c>
      <c r="F180" s="127">
        <f t="shared" si="209"/>
        <v>2.9962068920453493E-2</v>
      </c>
      <c r="G180" s="127">
        <f t="shared" si="209"/>
        <v>3.286401474662233E-2</v>
      </c>
      <c r="H180" s="127">
        <f t="shared" si="209"/>
        <v>2.787687130110679E-2</v>
      </c>
      <c r="I180" s="127">
        <f t="shared" si="209"/>
        <v>6.1127790686862381E-2</v>
      </c>
      <c r="J180" s="127">
        <f t="shared" si="209"/>
        <v>5.3195603136584987E-2</v>
      </c>
      <c r="K180" s="127">
        <f t="shared" si="209"/>
        <v>3.9637436830742438E-2</v>
      </c>
      <c r="L180" s="127">
        <f t="shared" si="209"/>
        <v>4.888558957134078E-2</v>
      </c>
      <c r="M180" s="127">
        <f t="shared" si="209"/>
        <v>4.1174891221864886E-2</v>
      </c>
      <c r="N180" s="127">
        <f t="shared" si="209"/>
        <v>3.3792385608065752E-2</v>
      </c>
      <c r="O180" s="127">
        <f t="shared" si="209"/>
        <v>3.27915029698196E-2</v>
      </c>
      <c r="P180" s="127">
        <f t="shared" si="209"/>
        <v>2.9617306262939978E-2</v>
      </c>
      <c r="Q180" s="127">
        <f t="shared" si="209"/>
        <v>3.4207271332381835E-2</v>
      </c>
      <c r="R180" s="127">
        <f t="shared" si="209"/>
        <v>2.9528868655893763E-2</v>
      </c>
      <c r="S180" s="127">
        <f t="shared" si="209"/>
        <v>2.7171319591594252E-2</v>
      </c>
      <c r="T180" s="127">
        <f t="shared" si="209"/>
        <v>2.6885589764126024E-2</v>
      </c>
      <c r="U180" s="127">
        <f t="shared" si="209"/>
        <v>2.7831470848067807E-2</v>
      </c>
      <c r="V180" s="127">
        <f t="shared" si="209"/>
        <v>2.728274629613292E-2</v>
      </c>
      <c r="W180" s="127">
        <f t="shared" si="209"/>
        <v>3.0918575500997768E-2</v>
      </c>
      <c r="DA180" s="178"/>
    </row>
    <row r="181" spans="1:105" ht="11.45" customHeight="1" x14ac:dyDescent="0.25">
      <c r="A181" s="27" t="s">
        <v>176</v>
      </c>
      <c r="B181" s="31">
        <f>IF(B89=0,0,B89/B$89)</f>
        <v>0</v>
      </c>
      <c r="C181" s="31">
        <f t="shared" ref="C181:W181" si="210">IF(C89=0,0,C89/C$89)</f>
        <v>0</v>
      </c>
      <c r="D181" s="31">
        <f t="shared" si="210"/>
        <v>0</v>
      </c>
      <c r="E181" s="31">
        <f t="shared" si="210"/>
        <v>0</v>
      </c>
      <c r="F181" s="31">
        <f t="shared" si="210"/>
        <v>0</v>
      </c>
      <c r="G181" s="31">
        <f t="shared" si="210"/>
        <v>0</v>
      </c>
      <c r="H181" s="31">
        <f t="shared" si="210"/>
        <v>0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</v>
      </c>
      <c r="C182" s="140">
        <f t="shared" ref="C182:W182" si="211">IF(C90=0,0,C90/C$89)</f>
        <v>0</v>
      </c>
      <c r="D182" s="140">
        <f t="shared" si="211"/>
        <v>0</v>
      </c>
      <c r="E182" s="140">
        <f t="shared" si="211"/>
        <v>0</v>
      </c>
      <c r="F182" s="140">
        <f t="shared" si="211"/>
        <v>0</v>
      </c>
      <c r="G182" s="140">
        <f t="shared" si="211"/>
        <v>0</v>
      </c>
      <c r="H182" s="140">
        <f t="shared" si="211"/>
        <v>0</v>
      </c>
      <c r="I182" s="140">
        <f t="shared" si="211"/>
        <v>0.27785664488334133</v>
      </c>
      <c r="J182" s="140">
        <f t="shared" si="211"/>
        <v>0.27439562946047724</v>
      </c>
      <c r="K182" s="140">
        <f t="shared" si="211"/>
        <v>0.46065189483965252</v>
      </c>
      <c r="L182" s="140">
        <f t="shared" si="211"/>
        <v>0.40454024040524078</v>
      </c>
      <c r="M182" s="140">
        <f t="shared" si="211"/>
        <v>0.38280613272231984</v>
      </c>
      <c r="N182" s="140">
        <f t="shared" si="211"/>
        <v>0.33797289821738563</v>
      </c>
      <c r="O182" s="140">
        <f t="shared" si="211"/>
        <v>0.32066888038797392</v>
      </c>
      <c r="P182" s="140">
        <f t="shared" si="211"/>
        <v>0.38993110665039515</v>
      </c>
      <c r="Q182" s="140">
        <f t="shared" si="211"/>
        <v>0.39422249803066839</v>
      </c>
      <c r="R182" s="140">
        <f t="shared" si="211"/>
        <v>0.39829901737277745</v>
      </c>
      <c r="S182" s="140">
        <f t="shared" si="211"/>
        <v>0.42747958209111386</v>
      </c>
      <c r="T182" s="140">
        <f t="shared" si="211"/>
        <v>0.43867025081761934</v>
      </c>
      <c r="U182" s="140">
        <f t="shared" si="211"/>
        <v>0.3894563039323774</v>
      </c>
      <c r="V182" s="140">
        <f t="shared" si="211"/>
        <v>0.3672121886178018</v>
      </c>
      <c r="W182" s="140">
        <f t="shared" si="211"/>
        <v>0.35170940140043588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</v>
      </c>
      <c r="C183" s="127">
        <f t="shared" ref="C183:W183" si="212">IF(C91=0,0,C91/C$89)</f>
        <v>0</v>
      </c>
      <c r="D183" s="127">
        <f t="shared" si="212"/>
        <v>0</v>
      </c>
      <c r="E183" s="127">
        <f t="shared" si="212"/>
        <v>0</v>
      </c>
      <c r="F183" s="127">
        <f t="shared" si="212"/>
        <v>0</v>
      </c>
      <c r="G183" s="127">
        <f t="shared" si="212"/>
        <v>0</v>
      </c>
      <c r="H183" s="127">
        <f t="shared" si="212"/>
        <v>0</v>
      </c>
      <c r="I183" s="127">
        <f t="shared" si="212"/>
        <v>0.72214335511665873</v>
      </c>
      <c r="J183" s="127">
        <f t="shared" si="212"/>
        <v>0.72560437053952276</v>
      </c>
      <c r="K183" s="127">
        <f t="shared" si="212"/>
        <v>0.53934810516034759</v>
      </c>
      <c r="L183" s="127">
        <f t="shared" si="212"/>
        <v>0.59545975959475916</v>
      </c>
      <c r="M183" s="127">
        <f t="shared" si="212"/>
        <v>0.61719386727768011</v>
      </c>
      <c r="N183" s="127">
        <f t="shared" si="212"/>
        <v>0.66202710178261437</v>
      </c>
      <c r="O183" s="127">
        <f t="shared" si="212"/>
        <v>0.67933111961202608</v>
      </c>
      <c r="P183" s="127">
        <f t="shared" si="212"/>
        <v>0.61006889334960479</v>
      </c>
      <c r="Q183" s="127">
        <f t="shared" si="212"/>
        <v>0.60577750196933156</v>
      </c>
      <c r="R183" s="127">
        <f t="shared" si="212"/>
        <v>0.60170098262722249</v>
      </c>
      <c r="S183" s="127">
        <f t="shared" si="212"/>
        <v>0.57252041790888608</v>
      </c>
      <c r="T183" s="127">
        <f t="shared" si="212"/>
        <v>0.56132974918238066</v>
      </c>
      <c r="U183" s="127">
        <f t="shared" si="212"/>
        <v>0.61054369606762249</v>
      </c>
      <c r="V183" s="127">
        <f t="shared" si="212"/>
        <v>0.6327878113821982</v>
      </c>
      <c r="W183" s="127">
        <f t="shared" si="212"/>
        <v>0.64829059859956417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27.690386772824766</v>
      </c>
      <c r="C186" s="32">
        <f t="shared" si="213"/>
        <v>32.576280047882449</v>
      </c>
      <c r="D186" s="32">
        <f t="shared" si="213"/>
        <v>33.725004473445367</v>
      </c>
      <c r="E186" s="32">
        <f t="shared" si="213"/>
        <v>33.867449001416112</v>
      </c>
      <c r="F186" s="32">
        <f t="shared" si="213"/>
        <v>35.835414268092585</v>
      </c>
      <c r="G186" s="32">
        <f t="shared" si="213"/>
        <v>31.47463350140961</v>
      </c>
      <c r="H186" s="32">
        <f t="shared" si="213"/>
        <v>29.884818807797433</v>
      </c>
      <c r="I186" s="32">
        <f t="shared" si="213"/>
        <v>31.816876373632258</v>
      </c>
      <c r="J186" s="32">
        <f t="shared" si="213"/>
        <v>32.944063805775393</v>
      </c>
      <c r="K186" s="32">
        <f t="shared" si="213"/>
        <v>34.143510149522449</v>
      </c>
      <c r="L186" s="32">
        <f t="shared" si="213"/>
        <v>34.309102013420407</v>
      </c>
      <c r="M186" s="32">
        <f t="shared" si="213"/>
        <v>35.822276671820326</v>
      </c>
      <c r="N186" s="32">
        <f t="shared" si="213"/>
        <v>35.973533440617246</v>
      </c>
      <c r="O186" s="32">
        <f t="shared" si="213"/>
        <v>33.910386298524593</v>
      </c>
      <c r="P186" s="32">
        <f t="shared" si="213"/>
        <v>32.872787289007761</v>
      </c>
      <c r="Q186" s="32">
        <f t="shared" si="213"/>
        <v>31.228654026326645</v>
      </c>
      <c r="R186" s="32">
        <f t="shared" si="213"/>
        <v>31.7454653841314</v>
      </c>
      <c r="S186" s="32">
        <f t="shared" si="213"/>
        <v>33.148125696535821</v>
      </c>
      <c r="T186" s="32">
        <f t="shared" si="213"/>
        <v>30.768261432365787</v>
      </c>
      <c r="U186" s="32">
        <f t="shared" si="213"/>
        <v>30.291471015863163</v>
      </c>
      <c r="V186" s="32">
        <f t="shared" si="213"/>
        <v>36.687517974073927</v>
      </c>
      <c r="W186" s="32">
        <f t="shared" ref="W186" si="214">IF(W34=0,0,W34/W4*1000)</f>
        <v>35.147902885968179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30.393374760739473</v>
      </c>
      <c r="C187" s="141">
        <f t="shared" si="215"/>
        <v>38.586143949282764</v>
      </c>
      <c r="D187" s="141">
        <f t="shared" si="215"/>
        <v>37.745063979285177</v>
      </c>
      <c r="E187" s="141">
        <f t="shared" si="215"/>
        <v>37.51550098013373</v>
      </c>
      <c r="F187" s="141">
        <f t="shared" si="215"/>
        <v>39.963600008705036</v>
      </c>
      <c r="G187" s="141">
        <f t="shared" si="215"/>
        <v>36.020721981918214</v>
      </c>
      <c r="H187" s="141">
        <f t="shared" si="215"/>
        <v>34.039989208568947</v>
      </c>
      <c r="I187" s="141">
        <f t="shared" si="215"/>
        <v>34.724218630455901</v>
      </c>
      <c r="J187" s="141">
        <f t="shared" si="215"/>
        <v>35.842045505558346</v>
      </c>
      <c r="K187" s="141">
        <f t="shared" si="215"/>
        <v>36.975056886844143</v>
      </c>
      <c r="L187" s="141">
        <f t="shared" si="215"/>
        <v>36.625982026269988</v>
      </c>
      <c r="M187" s="141">
        <f t="shared" si="215"/>
        <v>38.673708714791147</v>
      </c>
      <c r="N187" s="141">
        <f t="shared" si="215"/>
        <v>39.249761534889366</v>
      </c>
      <c r="O187" s="141">
        <f t="shared" si="215"/>
        <v>36.688059852789408</v>
      </c>
      <c r="P187" s="141">
        <f t="shared" si="215"/>
        <v>36.01068936621477</v>
      </c>
      <c r="Q187" s="141">
        <f t="shared" si="215"/>
        <v>33.015908513286284</v>
      </c>
      <c r="R187" s="141">
        <f t="shared" si="215"/>
        <v>33.697654641178708</v>
      </c>
      <c r="S187" s="141">
        <f t="shared" si="215"/>
        <v>35.459647568606677</v>
      </c>
      <c r="T187" s="141">
        <f t="shared" si="215"/>
        <v>34.448140460109684</v>
      </c>
      <c r="U187" s="141">
        <f t="shared" si="215"/>
        <v>33.717898300904629</v>
      </c>
      <c r="V187" s="141">
        <f t="shared" si="215"/>
        <v>38.665933541169665</v>
      </c>
      <c r="W187" s="141">
        <f t="shared" ref="W187" si="216">IF(W35=0,0,W35/W5*1000)</f>
        <v>37.349510194197954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40.557324698787603</v>
      </c>
      <c r="C188" s="97">
        <f t="shared" si="217"/>
        <v>40.49913312220189</v>
      </c>
      <c r="D188" s="97">
        <f t="shared" si="217"/>
        <v>40.446301831614093</v>
      </c>
      <c r="E188" s="97">
        <f t="shared" si="217"/>
        <v>40.285242862561766</v>
      </c>
      <c r="F188" s="97">
        <f t="shared" si="217"/>
        <v>40.118104797833688</v>
      </c>
      <c r="G188" s="97">
        <f t="shared" si="217"/>
        <v>38.039167054860798</v>
      </c>
      <c r="H188" s="97">
        <f t="shared" si="217"/>
        <v>37.399666039419493</v>
      </c>
      <c r="I188" s="97">
        <f t="shared" si="217"/>
        <v>36.820981607622954</v>
      </c>
      <c r="J188" s="97">
        <f t="shared" si="217"/>
        <v>35.322306687909936</v>
      </c>
      <c r="K188" s="97">
        <f t="shared" si="217"/>
        <v>34.482294817072926</v>
      </c>
      <c r="L188" s="97">
        <f t="shared" si="217"/>
        <v>33.979042771025817</v>
      </c>
      <c r="M188" s="97">
        <f t="shared" si="217"/>
        <v>33.436902892600436</v>
      </c>
      <c r="N188" s="97">
        <f t="shared" si="217"/>
        <v>33.109480050599963</v>
      </c>
      <c r="O188" s="97">
        <f t="shared" si="217"/>
        <v>32.50326790871047</v>
      </c>
      <c r="P188" s="97">
        <f t="shared" si="217"/>
        <v>31.913548107516835</v>
      </c>
      <c r="Q188" s="97">
        <f t="shared" si="217"/>
        <v>31.403269463040409</v>
      </c>
      <c r="R188" s="97">
        <f t="shared" si="217"/>
        <v>30.871391284239024</v>
      </c>
      <c r="S188" s="97">
        <f t="shared" si="217"/>
        <v>30.437957572632861</v>
      </c>
      <c r="T188" s="97">
        <f t="shared" si="217"/>
        <v>29.903217098840098</v>
      </c>
      <c r="U188" s="97">
        <f t="shared" si="217"/>
        <v>29.352034091851433</v>
      </c>
      <c r="V188" s="97">
        <f t="shared" si="217"/>
        <v>29.079231753404532</v>
      </c>
      <c r="W188" s="97">
        <f t="shared" ref="W188" si="218">IF(W36=0,0,W36/W6*1000)</f>
        <v>25.435912972116316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25.296398839145258</v>
      </c>
      <c r="C189" s="97">
        <f t="shared" si="219"/>
        <v>32.761102367295649</v>
      </c>
      <c r="D189" s="97">
        <f t="shared" si="219"/>
        <v>32.397252168356005</v>
      </c>
      <c r="E189" s="97">
        <f t="shared" si="219"/>
        <v>32.765160494981188</v>
      </c>
      <c r="F189" s="97">
        <f t="shared" si="219"/>
        <v>35.127353802235938</v>
      </c>
      <c r="G189" s="97">
        <f t="shared" si="219"/>
        <v>32.920984673079005</v>
      </c>
      <c r="H189" s="97">
        <f t="shared" si="219"/>
        <v>31.392397902682863</v>
      </c>
      <c r="I189" s="97">
        <f t="shared" si="219"/>
        <v>31.660387628860079</v>
      </c>
      <c r="J189" s="97">
        <f t="shared" si="219"/>
        <v>33.754903004263966</v>
      </c>
      <c r="K189" s="97">
        <f t="shared" si="219"/>
        <v>33.485712016268337</v>
      </c>
      <c r="L189" s="97">
        <f t="shared" si="219"/>
        <v>32.293220389713653</v>
      </c>
      <c r="M189" s="97">
        <f t="shared" si="219"/>
        <v>34.261895810540331</v>
      </c>
      <c r="N189" s="97">
        <f t="shared" si="219"/>
        <v>35.369012789932796</v>
      </c>
      <c r="O189" s="97">
        <f t="shared" si="219"/>
        <v>32.272269033489138</v>
      </c>
      <c r="P189" s="97">
        <f t="shared" si="219"/>
        <v>31.733400940191085</v>
      </c>
      <c r="Q189" s="97">
        <f t="shared" si="219"/>
        <v>30.332039764393219</v>
      </c>
      <c r="R189" s="97">
        <f t="shared" si="219"/>
        <v>31.015609736437597</v>
      </c>
      <c r="S189" s="97">
        <f t="shared" si="219"/>
        <v>32.450007502782384</v>
      </c>
      <c r="T189" s="97">
        <f t="shared" si="219"/>
        <v>31.690346586337313</v>
      </c>
      <c r="U189" s="97">
        <f t="shared" si="219"/>
        <v>30.699702857727015</v>
      </c>
      <c r="V189" s="97">
        <f t="shared" si="219"/>
        <v>32.795617217970531</v>
      </c>
      <c r="W189" s="97">
        <f t="shared" ref="W189" si="220">IF(W37=0,0,W37/W7*1000)</f>
        <v>31.838476105365476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63.786521472075172</v>
      </c>
      <c r="C190" s="97">
        <f t="shared" si="221"/>
        <v>81.748391188551992</v>
      </c>
      <c r="D190" s="97">
        <f t="shared" si="221"/>
        <v>78.970138657902964</v>
      </c>
      <c r="E190" s="97">
        <f t="shared" si="221"/>
        <v>65.569632609060406</v>
      </c>
      <c r="F190" s="97">
        <f t="shared" si="221"/>
        <v>69.679532197106397</v>
      </c>
      <c r="G190" s="97">
        <f t="shared" si="221"/>
        <v>51.981448077569048</v>
      </c>
      <c r="H190" s="97">
        <f t="shared" si="221"/>
        <v>48.413296117428914</v>
      </c>
      <c r="I190" s="97">
        <f t="shared" si="221"/>
        <v>51.679459705538761</v>
      </c>
      <c r="J190" s="97">
        <f t="shared" si="221"/>
        <v>43.139227537365315</v>
      </c>
      <c r="K190" s="97">
        <f t="shared" si="221"/>
        <v>52.440191321311552</v>
      </c>
      <c r="L190" s="97">
        <f t="shared" si="221"/>
        <v>57.394461633198418</v>
      </c>
      <c r="M190" s="97">
        <f t="shared" si="221"/>
        <v>60.146528228211046</v>
      </c>
      <c r="N190" s="97">
        <f t="shared" si="221"/>
        <v>57.133525994841378</v>
      </c>
      <c r="O190" s="97">
        <f t="shared" si="221"/>
        <v>57.602006460197074</v>
      </c>
      <c r="P190" s="97">
        <f t="shared" si="221"/>
        <v>56.014949952049669</v>
      </c>
      <c r="Q190" s="97">
        <f t="shared" si="221"/>
        <v>42.757377333112458</v>
      </c>
      <c r="R190" s="97">
        <f t="shared" si="221"/>
        <v>43.776170833450543</v>
      </c>
      <c r="S190" s="97">
        <f t="shared" si="221"/>
        <v>47.292588519111938</v>
      </c>
      <c r="T190" s="97">
        <f t="shared" si="221"/>
        <v>45.266958366720083</v>
      </c>
      <c r="U190" s="97">
        <f t="shared" si="221"/>
        <v>46.321473871411889</v>
      </c>
      <c r="V190" s="97">
        <f t="shared" si="221"/>
        <v>70.096024580391074</v>
      </c>
      <c r="W190" s="97">
        <f t="shared" ref="W190" si="222">IF(W38=0,0,W38/W8*1000)</f>
        <v>68.217744664897012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14.802412506548718</v>
      </c>
      <c r="C191" s="130">
        <f t="shared" si="223"/>
        <v>8.5916061774188357</v>
      </c>
      <c r="D191" s="130">
        <f t="shared" si="223"/>
        <v>14.185872268805257</v>
      </c>
      <c r="E191" s="130">
        <f t="shared" si="223"/>
        <v>13.939329466122768</v>
      </c>
      <c r="F191" s="130">
        <f t="shared" si="223"/>
        <v>13.317616628814333</v>
      </c>
      <c r="G191" s="130">
        <f t="shared" si="223"/>
        <v>6.8915706864632851</v>
      </c>
      <c r="H191" s="130">
        <f t="shared" si="223"/>
        <v>6.1817754894463093</v>
      </c>
      <c r="I191" s="130">
        <f t="shared" si="223"/>
        <v>12.412731250069687</v>
      </c>
      <c r="J191" s="130">
        <f t="shared" si="223"/>
        <v>12.198034677223051</v>
      </c>
      <c r="K191" s="130">
        <f t="shared" si="223"/>
        <v>11.379775442278431</v>
      </c>
      <c r="L191" s="130">
        <f t="shared" si="223"/>
        <v>12.948638434396987</v>
      </c>
      <c r="M191" s="130">
        <f t="shared" si="223"/>
        <v>16.627719097284636</v>
      </c>
      <c r="N191" s="130">
        <f t="shared" si="223"/>
        <v>16.9477080224157</v>
      </c>
      <c r="O191" s="130">
        <f t="shared" si="223"/>
        <v>15.076110139675762</v>
      </c>
      <c r="P191" s="130">
        <f t="shared" si="223"/>
        <v>11.060656055477143</v>
      </c>
      <c r="Q191" s="130">
        <f t="shared" si="223"/>
        <v>13.348000221077365</v>
      </c>
      <c r="R191" s="130">
        <f t="shared" si="223"/>
        <v>12.966591066694898</v>
      </c>
      <c r="S191" s="130">
        <f t="shared" si="223"/>
        <v>13.198082533848149</v>
      </c>
      <c r="T191" s="130">
        <f t="shared" si="223"/>
        <v>11.402992451449542</v>
      </c>
      <c r="U191" s="130">
        <f t="shared" si="223"/>
        <v>13.751187454786766</v>
      </c>
      <c r="V191" s="130">
        <f t="shared" si="223"/>
        <v>19.632797627530753</v>
      </c>
      <c r="W191" s="130">
        <f t="shared" ref="W191" si="224">IF(W39=0,0,W39/W9*1000)</f>
        <v>19.056080860268818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5.1800152071761518</v>
      </c>
      <c r="C192" s="97">
        <f t="shared" si="225"/>
        <v>5.0744117082144946</v>
      </c>
      <c r="D192" s="97">
        <f t="shared" si="225"/>
        <v>5.0069384573289346</v>
      </c>
      <c r="E192" s="97">
        <f t="shared" si="225"/>
        <v>4.9084792626071243</v>
      </c>
      <c r="F192" s="97">
        <f t="shared" si="225"/>
        <v>4.8028381006643359</v>
      </c>
      <c r="G192" s="97">
        <f t="shared" si="225"/>
        <v>4.7235445675036711</v>
      </c>
      <c r="H192" s="97">
        <f t="shared" si="225"/>
        <v>4.7730821571436071</v>
      </c>
      <c r="I192" s="97">
        <f t="shared" si="225"/>
        <v>4.7800831598360505</v>
      </c>
      <c r="J192" s="97">
        <f t="shared" si="225"/>
        <v>4.7846742213928524</v>
      </c>
      <c r="K192" s="97">
        <f t="shared" si="225"/>
        <v>4.8956675273508923</v>
      </c>
      <c r="L192" s="97">
        <f t="shared" si="225"/>
        <v>4.9097737903137348</v>
      </c>
      <c r="M192" s="97">
        <f t="shared" si="225"/>
        <v>4.9881210458133269</v>
      </c>
      <c r="N192" s="97">
        <f t="shared" si="225"/>
        <v>5.047073223325321</v>
      </c>
      <c r="O192" s="97">
        <f t="shared" si="225"/>
        <v>4.8940081819371395</v>
      </c>
      <c r="P192" s="97">
        <f t="shared" si="225"/>
        <v>4.6650142673233024</v>
      </c>
      <c r="Q192" s="97">
        <f t="shared" si="225"/>
        <v>4.5573257005513357</v>
      </c>
      <c r="R192" s="97">
        <f t="shared" si="225"/>
        <v>4.5705537143832169</v>
      </c>
      <c r="S192" s="97">
        <f t="shared" si="225"/>
        <v>4.4035589249245515</v>
      </c>
      <c r="T192" s="97">
        <f t="shared" si="225"/>
        <v>4.3457457143490785</v>
      </c>
      <c r="U192" s="97">
        <f t="shared" si="225"/>
        <v>4.2641128275426139</v>
      </c>
      <c r="V192" s="97">
        <f t="shared" si="225"/>
        <v>6.0763692433588394</v>
      </c>
      <c r="W192" s="97">
        <f t="shared" ref="W192" si="226">IF(W40=0,0,W40/W10*1000)</f>
        <v>6.3534848973551465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19.765822392745022</v>
      </c>
      <c r="C193" s="97">
        <f t="shared" si="227"/>
        <v>10.516199594220119</v>
      </c>
      <c r="D193" s="97">
        <f t="shared" si="227"/>
        <v>20.663595494970622</v>
      </c>
      <c r="E193" s="97">
        <f t="shared" si="227"/>
        <v>20.079515797593121</v>
      </c>
      <c r="F193" s="97">
        <f t="shared" si="227"/>
        <v>19.421331818828058</v>
      </c>
      <c r="G193" s="97">
        <f t="shared" si="227"/>
        <v>8.6827126837549109</v>
      </c>
      <c r="H193" s="97">
        <f t="shared" si="227"/>
        <v>7.3655513989443779</v>
      </c>
      <c r="I193" s="97">
        <f t="shared" si="227"/>
        <v>19.457310145550171</v>
      </c>
      <c r="J193" s="97">
        <f t="shared" si="227"/>
        <v>19.656143787716207</v>
      </c>
      <c r="K193" s="97">
        <f t="shared" si="227"/>
        <v>18.836287922124118</v>
      </c>
      <c r="L193" s="97">
        <f t="shared" si="227"/>
        <v>23.503562879747712</v>
      </c>
      <c r="M193" s="97">
        <f t="shared" si="227"/>
        <v>32.830698923364537</v>
      </c>
      <c r="N193" s="97">
        <f t="shared" si="227"/>
        <v>36.599956325097764</v>
      </c>
      <c r="O193" s="97">
        <f t="shared" si="227"/>
        <v>32.969736085609924</v>
      </c>
      <c r="P193" s="97">
        <f t="shared" si="227"/>
        <v>21.343038351544411</v>
      </c>
      <c r="Q193" s="97">
        <f t="shared" si="227"/>
        <v>21.726715973546742</v>
      </c>
      <c r="R193" s="97">
        <f t="shared" si="227"/>
        <v>21.497902417044831</v>
      </c>
      <c r="S193" s="97">
        <f t="shared" si="227"/>
        <v>21.154949122491605</v>
      </c>
      <c r="T193" s="97">
        <f t="shared" si="227"/>
        <v>17.732062169698061</v>
      </c>
      <c r="U193" s="97">
        <f t="shared" si="227"/>
        <v>21.669233907872666</v>
      </c>
      <c r="V193" s="97">
        <f t="shared" si="227"/>
        <v>32.154670094925535</v>
      </c>
      <c r="W193" s="97">
        <f t="shared" ref="W193" si="228">IF(W41=0,0,W41/W11*1000)</f>
        <v>28.581133298708256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56.123539361109813</v>
      </c>
      <c r="C195" s="130">
        <f t="shared" si="231"/>
        <v>54.525860167496631</v>
      </c>
      <c r="D195" s="130">
        <f t="shared" si="231"/>
        <v>53.76743149512609</v>
      </c>
      <c r="E195" s="130">
        <f t="shared" si="231"/>
        <v>53.800383463341028</v>
      </c>
      <c r="F195" s="130">
        <f t="shared" si="231"/>
        <v>56.071309916793915</v>
      </c>
      <c r="G195" s="130">
        <f t="shared" si="231"/>
        <v>38.950757748187065</v>
      </c>
      <c r="H195" s="130">
        <f t="shared" si="231"/>
        <v>39.05326358555574</v>
      </c>
      <c r="I195" s="130">
        <f t="shared" si="231"/>
        <v>41.057937750087724</v>
      </c>
      <c r="J195" s="130">
        <f t="shared" si="231"/>
        <v>37.40017466434383</v>
      </c>
      <c r="K195" s="130">
        <f t="shared" si="231"/>
        <v>40.474371191761406</v>
      </c>
      <c r="L195" s="130">
        <f t="shared" si="231"/>
        <v>43.042762954485987</v>
      </c>
      <c r="M195" s="130">
        <f t="shared" si="231"/>
        <v>32.033199910776403</v>
      </c>
      <c r="N195" s="130">
        <f t="shared" si="231"/>
        <v>24.645288621186413</v>
      </c>
      <c r="O195" s="130">
        <f t="shared" si="231"/>
        <v>28.100584248242019</v>
      </c>
      <c r="P195" s="130">
        <f t="shared" si="231"/>
        <v>27.601441373557652</v>
      </c>
      <c r="Q195" s="130">
        <f t="shared" si="231"/>
        <v>28.449205541064092</v>
      </c>
      <c r="R195" s="130">
        <f t="shared" si="231"/>
        <v>27.476188736322065</v>
      </c>
      <c r="S195" s="130">
        <f t="shared" si="231"/>
        <v>28.074978255671329</v>
      </c>
      <c r="T195" s="130">
        <f t="shared" si="231"/>
        <v>12.567130738326657</v>
      </c>
      <c r="U195" s="130">
        <f t="shared" si="231"/>
        <v>12.863101425705951</v>
      </c>
      <c r="V195" s="130">
        <f t="shared" si="231"/>
        <v>15.820971419919605</v>
      </c>
      <c r="W195" s="130">
        <f t="shared" ref="W195" si="232">IF(W43=0,0,W43/W13*1000)</f>
        <v>15.37375106723648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130.07090971274241</v>
      </c>
      <c r="C196" s="97">
        <f t="shared" si="233"/>
        <v>128.43893341292997</v>
      </c>
      <c r="D196" s="97">
        <f t="shared" si="233"/>
        <v>126.55344905305837</v>
      </c>
      <c r="E196" s="97">
        <f t="shared" si="233"/>
        <v>125.61893968281598</v>
      </c>
      <c r="F196" s="97">
        <f t="shared" si="233"/>
        <v>127.1727209221481</v>
      </c>
      <c r="G196" s="97">
        <f t="shared" si="233"/>
        <v>99.857566571014686</v>
      </c>
      <c r="H196" s="97">
        <f t="shared" si="233"/>
        <v>16.783461662092307</v>
      </c>
      <c r="I196" s="97">
        <f t="shared" si="233"/>
        <v>560.59862101284432</v>
      </c>
      <c r="J196" s="97">
        <f t="shared" si="233"/>
        <v>434.06866151209897</v>
      </c>
      <c r="K196" s="97">
        <f t="shared" si="233"/>
        <v>487.24626245147596</v>
      </c>
      <c r="L196" s="97">
        <f t="shared" si="233"/>
        <v>501.7629181154075</v>
      </c>
      <c r="M196" s="97">
        <f t="shared" si="233"/>
        <v>355.72504554726584</v>
      </c>
      <c r="N196" s="97">
        <f t="shared" si="233"/>
        <v>194.69165199853168</v>
      </c>
      <c r="O196" s="97">
        <f t="shared" si="233"/>
        <v>233.11707671405034</v>
      </c>
      <c r="P196" s="97">
        <f t="shared" si="233"/>
        <v>136.85963202061831</v>
      </c>
      <c r="Q196" s="97">
        <f t="shared" si="233"/>
        <v>176.41034645510601</v>
      </c>
      <c r="R196" s="97">
        <f t="shared" si="233"/>
        <v>86.3643288516637</v>
      </c>
      <c r="S196" s="97">
        <f t="shared" si="233"/>
        <v>98.909138093086739</v>
      </c>
      <c r="T196" s="97">
        <f t="shared" si="233"/>
        <v>109.49981173436807</v>
      </c>
      <c r="U196" s="97">
        <f t="shared" si="233"/>
        <v>131.89761473611208</v>
      </c>
      <c r="V196" s="97">
        <f t="shared" si="233"/>
        <v>246.46476307515448</v>
      </c>
      <c r="W196" s="97">
        <f t="shared" ref="W196" si="234">IF(W44=0,0,W44/W14*1000)</f>
        <v>200.57670919820438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54.516150925247203</v>
      </c>
      <c r="C197" s="97">
        <f t="shared" si="235"/>
        <v>53.503310037770589</v>
      </c>
      <c r="D197" s="97">
        <f t="shared" si="235"/>
        <v>52.89325340070544</v>
      </c>
      <c r="E197" s="97">
        <f t="shared" si="235"/>
        <v>53.105248795711219</v>
      </c>
      <c r="F197" s="97">
        <f t="shared" si="235"/>
        <v>53.385900566130552</v>
      </c>
      <c r="G197" s="97">
        <f t="shared" si="235"/>
        <v>35.985694228022929</v>
      </c>
      <c r="H197" s="97">
        <f t="shared" si="235"/>
        <v>39.295163848570041</v>
      </c>
      <c r="I197" s="97">
        <f t="shared" si="235"/>
        <v>25.654285895606947</v>
      </c>
      <c r="J197" s="97">
        <f t="shared" si="235"/>
        <v>24.417675915516259</v>
      </c>
      <c r="K197" s="97">
        <f t="shared" si="235"/>
        <v>26.138307984913936</v>
      </c>
      <c r="L197" s="97">
        <f t="shared" si="235"/>
        <v>26.332378067623836</v>
      </c>
      <c r="M197" s="97">
        <f t="shared" si="235"/>
        <v>20.233444715185364</v>
      </c>
      <c r="N197" s="97">
        <f t="shared" si="235"/>
        <v>18.92250113530093</v>
      </c>
      <c r="O197" s="97">
        <f t="shared" si="235"/>
        <v>22.166035646028938</v>
      </c>
      <c r="P197" s="97">
        <f t="shared" si="235"/>
        <v>25.904488048673812</v>
      </c>
      <c r="Q197" s="97">
        <f t="shared" si="235"/>
        <v>26.426787852192643</v>
      </c>
      <c r="R197" s="97">
        <f t="shared" si="235"/>
        <v>26.876686673828623</v>
      </c>
      <c r="S197" s="97">
        <f t="shared" si="235"/>
        <v>26.722525170153915</v>
      </c>
      <c r="T197" s="97">
        <f t="shared" si="235"/>
        <v>10.011775306147941</v>
      </c>
      <c r="U197" s="97">
        <f t="shared" si="235"/>
        <v>10.300493711781185</v>
      </c>
      <c r="V197" s="97">
        <f t="shared" si="235"/>
        <v>8.9301787770096119</v>
      </c>
      <c r="W197" s="97">
        <f t="shared" ref="W197" si="236">IF(W45=0,0,W45/W15*1000)</f>
        <v>10.852363430429223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55.011119064845921</v>
      </c>
      <c r="C198" s="97">
        <f t="shared" si="237"/>
        <v>54.615767655946186</v>
      </c>
      <c r="D198" s="97">
        <f t="shared" si="237"/>
        <v>54.304080086307529</v>
      </c>
      <c r="E198" s="97">
        <f t="shared" si="237"/>
        <v>54.121636919212477</v>
      </c>
      <c r="F198" s="97">
        <f t="shared" si="237"/>
        <v>53.500742243641454</v>
      </c>
      <c r="G198" s="97">
        <f t="shared" si="237"/>
        <v>42.062759383083197</v>
      </c>
      <c r="H198" s="97">
        <f t="shared" si="237"/>
        <v>42.600196121035651</v>
      </c>
      <c r="I198" s="97">
        <f t="shared" si="237"/>
        <v>23.098639895387635</v>
      </c>
      <c r="J198" s="97">
        <f t="shared" si="237"/>
        <v>22.207597127103309</v>
      </c>
      <c r="K198" s="97">
        <f t="shared" si="237"/>
        <v>28.312719980651124</v>
      </c>
      <c r="L198" s="97">
        <f t="shared" si="237"/>
        <v>28.349465566927165</v>
      </c>
      <c r="M198" s="97">
        <f t="shared" si="237"/>
        <v>28.65878959863899</v>
      </c>
      <c r="N198" s="97">
        <f t="shared" si="237"/>
        <v>23.018246610811659</v>
      </c>
      <c r="O198" s="97">
        <f t="shared" si="237"/>
        <v>25.179414810542095</v>
      </c>
      <c r="P198" s="97">
        <f t="shared" si="237"/>
        <v>21.517707415895682</v>
      </c>
      <c r="Q198" s="97">
        <f t="shared" si="237"/>
        <v>20.490745277670129</v>
      </c>
      <c r="R198" s="97">
        <f t="shared" si="237"/>
        <v>19.232764240443906</v>
      </c>
      <c r="S198" s="97">
        <f t="shared" si="237"/>
        <v>17.324834859455912</v>
      </c>
      <c r="T198" s="97">
        <f t="shared" si="237"/>
        <v>5.404653119010824</v>
      </c>
      <c r="U198" s="97">
        <f t="shared" si="237"/>
        <v>4.8266140682490128</v>
      </c>
      <c r="V198" s="97">
        <f t="shared" si="237"/>
        <v>9.0271650532373311</v>
      </c>
      <c r="W198" s="97">
        <f t="shared" ref="W198" si="238">IF(W46=0,0,W46/W16*1000)</f>
        <v>6.5357276480335162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28.779862086951933</v>
      </c>
      <c r="C199" s="32">
        <f t="shared" si="239"/>
        <v>33.309925174775714</v>
      </c>
      <c r="D199" s="32">
        <f t="shared" si="239"/>
        <v>35.566986282299808</v>
      </c>
      <c r="E199" s="32">
        <f t="shared" si="239"/>
        <v>35.217891315776157</v>
      </c>
      <c r="F199" s="32">
        <f t="shared" si="239"/>
        <v>28.027738165436713</v>
      </c>
      <c r="G199" s="32">
        <f t="shared" si="239"/>
        <v>22.431000054669664</v>
      </c>
      <c r="H199" s="32">
        <f t="shared" si="239"/>
        <v>25.964617886868549</v>
      </c>
      <c r="I199" s="32">
        <f t="shared" si="239"/>
        <v>24.40861973496736</v>
      </c>
      <c r="J199" s="32">
        <f t="shared" si="239"/>
        <v>27.1217903717884</v>
      </c>
      <c r="K199" s="32">
        <f t="shared" si="239"/>
        <v>29.789661771340089</v>
      </c>
      <c r="L199" s="32">
        <f t="shared" si="239"/>
        <v>28.821686527190813</v>
      </c>
      <c r="M199" s="32">
        <f t="shared" si="239"/>
        <v>31.252303512371501</v>
      </c>
      <c r="N199" s="32">
        <f t="shared" si="239"/>
        <v>29.766609873368573</v>
      </c>
      <c r="O199" s="32">
        <f t="shared" si="239"/>
        <v>30.36658066593418</v>
      </c>
      <c r="P199" s="32">
        <f t="shared" si="239"/>
        <v>30.986699258956584</v>
      </c>
      <c r="Q199" s="32">
        <f t="shared" si="239"/>
        <v>29.392060257033151</v>
      </c>
      <c r="R199" s="32">
        <f t="shared" si="239"/>
        <v>30.778122829209323</v>
      </c>
      <c r="S199" s="32">
        <f t="shared" si="239"/>
        <v>32.618028474336242</v>
      </c>
      <c r="T199" s="32">
        <f t="shared" si="239"/>
        <v>32.946390436538834</v>
      </c>
      <c r="U199" s="32">
        <f t="shared" si="239"/>
        <v>32.046109015555686</v>
      </c>
      <c r="V199" s="32">
        <f t="shared" si="239"/>
        <v>33.029822018344213</v>
      </c>
      <c r="W199" s="32">
        <f t="shared" ref="W199" si="240">IF(W47=0,0,W47/W17*1000)</f>
        <v>31.725710443505264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44.921223143121047</v>
      </c>
      <c r="C200" s="141">
        <f t="shared" si="241"/>
        <v>53.826117545827024</v>
      </c>
      <c r="D200" s="141">
        <f t="shared" si="241"/>
        <v>55.45271543633077</v>
      </c>
      <c r="E200" s="141">
        <f t="shared" si="241"/>
        <v>54.48737073493453</v>
      </c>
      <c r="F200" s="141">
        <f t="shared" si="241"/>
        <v>46.590521148282889</v>
      </c>
      <c r="G200" s="141">
        <f t="shared" si="241"/>
        <v>35.902219856179691</v>
      </c>
      <c r="H200" s="141">
        <f t="shared" si="241"/>
        <v>41.280110082765447</v>
      </c>
      <c r="I200" s="141">
        <f t="shared" si="241"/>
        <v>35.920233597018608</v>
      </c>
      <c r="J200" s="141">
        <f t="shared" si="241"/>
        <v>42.057397728055257</v>
      </c>
      <c r="K200" s="141">
        <f t="shared" si="241"/>
        <v>50.837044030645778</v>
      </c>
      <c r="L200" s="141">
        <f t="shared" si="241"/>
        <v>65.432303967307107</v>
      </c>
      <c r="M200" s="141">
        <f t="shared" si="241"/>
        <v>69.521870322517415</v>
      </c>
      <c r="N200" s="141">
        <f t="shared" si="241"/>
        <v>63.738575032683194</v>
      </c>
      <c r="O200" s="141">
        <f t="shared" si="241"/>
        <v>63.72815808427211</v>
      </c>
      <c r="P200" s="141">
        <f t="shared" si="241"/>
        <v>64.993580059550695</v>
      </c>
      <c r="Q200" s="141">
        <f t="shared" si="241"/>
        <v>64.449082087977487</v>
      </c>
      <c r="R200" s="141">
        <f t="shared" si="241"/>
        <v>64.853727430780765</v>
      </c>
      <c r="S200" s="141">
        <f t="shared" si="241"/>
        <v>66.038902655188735</v>
      </c>
      <c r="T200" s="141">
        <f t="shared" si="241"/>
        <v>64.384152286702403</v>
      </c>
      <c r="U200" s="141">
        <f t="shared" si="241"/>
        <v>61.454442498255965</v>
      </c>
      <c r="V200" s="141">
        <f t="shared" si="241"/>
        <v>62.676901579864996</v>
      </c>
      <c r="W200" s="141">
        <f t="shared" ref="W200" si="242">IF(W48=0,0,W48/W18*1000)</f>
        <v>55.282038899275406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327.09249974313803</v>
      </c>
      <c r="C201" s="97">
        <f t="shared" si="243"/>
        <v>331.34825518222897</v>
      </c>
      <c r="D201" s="97">
        <f t="shared" si="243"/>
        <v>328.83586111234342</v>
      </c>
      <c r="E201" s="97">
        <f t="shared" si="243"/>
        <v>325.60412656306642</v>
      </c>
      <c r="F201" s="97">
        <f t="shared" si="243"/>
        <v>313.02785138232582</v>
      </c>
      <c r="G201" s="97">
        <f t="shared" si="243"/>
        <v>317.90968431496111</v>
      </c>
      <c r="H201" s="97">
        <f t="shared" si="243"/>
        <v>317.00681653750206</v>
      </c>
      <c r="I201" s="97">
        <f t="shared" si="243"/>
        <v>308.52678555862428</v>
      </c>
      <c r="J201" s="97">
        <f t="shared" si="243"/>
        <v>306.61737690956198</v>
      </c>
      <c r="K201" s="97">
        <f t="shared" si="243"/>
        <v>306.18127415909123</v>
      </c>
      <c r="L201" s="97">
        <f t="shared" si="243"/>
        <v>300.54583949915394</v>
      </c>
      <c r="M201" s="97">
        <f t="shared" si="243"/>
        <v>300.26292967776084</v>
      </c>
      <c r="N201" s="97">
        <f t="shared" si="243"/>
        <v>305.42299030358873</v>
      </c>
      <c r="O201" s="97">
        <f t="shared" si="243"/>
        <v>294.58871154823282</v>
      </c>
      <c r="P201" s="97">
        <f t="shared" si="243"/>
        <v>288.73855509360175</v>
      </c>
      <c r="Q201" s="97">
        <f t="shared" si="243"/>
        <v>282.81168393336065</v>
      </c>
      <c r="R201" s="97">
        <f t="shared" si="243"/>
        <v>284.41010600845652</v>
      </c>
      <c r="S201" s="97">
        <f t="shared" si="243"/>
        <v>283.26755392467942</v>
      </c>
      <c r="T201" s="97">
        <f t="shared" si="243"/>
        <v>276.812059597916</v>
      </c>
      <c r="U201" s="97">
        <f t="shared" si="243"/>
        <v>271.56860075947486</v>
      </c>
      <c r="V201" s="97">
        <f t="shared" si="243"/>
        <v>265.96213007767648</v>
      </c>
      <c r="W201" s="97">
        <f t="shared" ref="W201" si="244">IF(W49=0,0,W49/W19*1000)</f>
        <v>264.45001961182919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26.599256848472383</v>
      </c>
      <c r="C202" s="97">
        <f t="shared" si="245"/>
        <v>36.469520310612488</v>
      </c>
      <c r="D202" s="97">
        <f t="shared" si="245"/>
        <v>38.627674366966538</v>
      </c>
      <c r="E202" s="97">
        <f t="shared" si="245"/>
        <v>39.083542428108558</v>
      </c>
      <c r="F202" s="97">
        <f t="shared" si="245"/>
        <v>32.298941366777854</v>
      </c>
      <c r="G202" s="97">
        <f t="shared" si="245"/>
        <v>22.803421778316572</v>
      </c>
      <c r="H202" s="97">
        <f t="shared" si="245"/>
        <v>27.100166518919362</v>
      </c>
      <c r="I202" s="97">
        <f t="shared" si="245"/>
        <v>21.739118707235125</v>
      </c>
      <c r="J202" s="97">
        <f t="shared" si="245"/>
        <v>24.732556842413118</v>
      </c>
      <c r="K202" s="97">
        <f t="shared" si="245"/>
        <v>29.6943011350597</v>
      </c>
      <c r="L202" s="97">
        <f t="shared" si="245"/>
        <v>33.77571073890963</v>
      </c>
      <c r="M202" s="97">
        <f t="shared" si="245"/>
        <v>36.212019384304298</v>
      </c>
      <c r="N202" s="97">
        <f t="shared" si="245"/>
        <v>30.273797233335582</v>
      </c>
      <c r="O202" s="97">
        <f t="shared" si="245"/>
        <v>29.961260719119242</v>
      </c>
      <c r="P202" s="97">
        <f t="shared" si="245"/>
        <v>28.359467726503159</v>
      </c>
      <c r="Q202" s="97">
        <f t="shared" si="245"/>
        <v>26.339600412176484</v>
      </c>
      <c r="R202" s="97">
        <f t="shared" si="245"/>
        <v>28.715757192964258</v>
      </c>
      <c r="S202" s="97">
        <f t="shared" si="245"/>
        <v>30.64513239208198</v>
      </c>
      <c r="T202" s="97">
        <f t="shared" si="245"/>
        <v>27.818161634563555</v>
      </c>
      <c r="U202" s="97">
        <f t="shared" si="245"/>
        <v>27.098655065562593</v>
      </c>
      <c r="V202" s="97">
        <f t="shared" si="245"/>
        <v>26.585481474464007</v>
      </c>
      <c r="W202" s="97">
        <f t="shared" ref="W202" si="246">IF(W50=0,0,W50/W20*1000)</f>
        <v>23.79188203493467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6.0554362156731889</v>
      </c>
      <c r="C203" s="130">
        <f t="shared" si="247"/>
        <v>4.490540666306039</v>
      </c>
      <c r="D203" s="130">
        <f t="shared" si="247"/>
        <v>7.0924996757418048</v>
      </c>
      <c r="E203" s="130">
        <f t="shared" si="247"/>
        <v>5.6001840080576475</v>
      </c>
      <c r="F203" s="130">
        <f t="shared" si="247"/>
        <v>5.557408076147599</v>
      </c>
      <c r="G203" s="130">
        <f t="shared" si="247"/>
        <v>3.6104743257867749</v>
      </c>
      <c r="H203" s="130">
        <f t="shared" si="247"/>
        <v>3.497719393541241</v>
      </c>
      <c r="I203" s="130">
        <f t="shared" si="247"/>
        <v>5.559448710452334</v>
      </c>
      <c r="J203" s="130">
        <f t="shared" si="247"/>
        <v>5.0138652349663078</v>
      </c>
      <c r="K203" s="130">
        <f t="shared" si="247"/>
        <v>4.6075859853992798</v>
      </c>
      <c r="L203" s="130">
        <f t="shared" si="247"/>
        <v>4.8307411324501208</v>
      </c>
      <c r="M203" s="130">
        <f t="shared" si="247"/>
        <v>5.8762255133976726</v>
      </c>
      <c r="N203" s="130">
        <f t="shared" si="247"/>
        <v>5.768802517375363</v>
      </c>
      <c r="O203" s="130">
        <f t="shared" si="247"/>
        <v>5.5137923371148512</v>
      </c>
      <c r="P203" s="130">
        <f t="shared" si="247"/>
        <v>4.148491437799585</v>
      </c>
      <c r="Q203" s="130">
        <f t="shared" si="247"/>
        <v>4.840956769810143</v>
      </c>
      <c r="R203" s="130">
        <f t="shared" si="247"/>
        <v>4.7531465987696775</v>
      </c>
      <c r="S203" s="130">
        <f t="shared" si="247"/>
        <v>4.4797104200656408</v>
      </c>
      <c r="T203" s="130">
        <f t="shared" si="247"/>
        <v>4.5173280162247442</v>
      </c>
      <c r="U203" s="130">
        <f t="shared" si="247"/>
        <v>4.9984736138732888</v>
      </c>
      <c r="V203" s="130">
        <f t="shared" si="247"/>
        <v>4.679847498354607</v>
      </c>
      <c r="W203" s="130">
        <f t="shared" ref="W203" si="248">IF(W51=0,0,W51/W21*1000)</f>
        <v>6.0911896155490162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168.86235379551138</v>
      </c>
      <c r="C204" s="130">
        <f t="shared" si="249"/>
        <v>152.59539564323717</v>
      </c>
      <c r="D204" s="130">
        <f t="shared" si="249"/>
        <v>155.69722589983201</v>
      </c>
      <c r="E204" s="130">
        <f t="shared" si="249"/>
        <v>157.47067124284254</v>
      </c>
      <c r="F204" s="130">
        <f t="shared" si="249"/>
        <v>176.10029677907565</v>
      </c>
      <c r="G204" s="130">
        <f t="shared" si="249"/>
        <v>159.39914205328225</v>
      </c>
      <c r="H204" s="130">
        <f t="shared" si="249"/>
        <v>174.20330462757113</v>
      </c>
      <c r="I204" s="130">
        <f t="shared" si="249"/>
        <v>141.85779789087704</v>
      </c>
      <c r="J204" s="130">
        <f t="shared" si="249"/>
        <v>110.06675913494198</v>
      </c>
      <c r="K204" s="130">
        <f t="shared" si="249"/>
        <v>118.7735144114168</v>
      </c>
      <c r="L204" s="130">
        <f t="shared" si="249"/>
        <v>122.00368100320965</v>
      </c>
      <c r="M204" s="130">
        <f t="shared" si="249"/>
        <v>95.096890436274961</v>
      </c>
      <c r="N204" s="130">
        <f t="shared" si="249"/>
        <v>65.566465949783804</v>
      </c>
      <c r="O204" s="130">
        <f t="shared" si="249"/>
        <v>73.490483087669688</v>
      </c>
      <c r="P204" s="130">
        <f t="shared" si="249"/>
        <v>81.174603993863755</v>
      </c>
      <c r="Q204" s="130">
        <f t="shared" si="249"/>
        <v>85.074134061095691</v>
      </c>
      <c r="R204" s="130">
        <f t="shared" si="249"/>
        <v>84.433168594673745</v>
      </c>
      <c r="S204" s="130">
        <f t="shared" si="249"/>
        <v>105.52483120497975</v>
      </c>
      <c r="T204" s="130">
        <f t="shared" si="249"/>
        <v>44.069653225784904</v>
      </c>
      <c r="U204" s="130">
        <f t="shared" si="249"/>
        <v>40.915086192263551</v>
      </c>
      <c r="V204" s="130">
        <f t="shared" si="249"/>
        <v>54.476388981863053</v>
      </c>
      <c r="W204" s="130">
        <f t="shared" ref="W204" si="250">IF(W52=0,0,W52/W22*1000)</f>
        <v>69.617352799087243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544.63732286113532</v>
      </c>
      <c r="C205" s="97">
        <f t="shared" si="251"/>
        <v>543.57940883764365</v>
      </c>
      <c r="D205" s="97">
        <f t="shared" si="251"/>
        <v>524.41476174284389</v>
      </c>
      <c r="E205" s="97">
        <f t="shared" si="251"/>
        <v>493.00616102197085</v>
      </c>
      <c r="F205" s="97">
        <f t="shared" si="251"/>
        <v>534.27804284849162</v>
      </c>
      <c r="G205" s="97">
        <f t="shared" si="251"/>
        <v>432.69915074267738</v>
      </c>
      <c r="H205" s="97">
        <f t="shared" si="251"/>
        <v>82.979628409243205</v>
      </c>
      <c r="I205" s="97">
        <f t="shared" si="251"/>
        <v>3097.4760899281141</v>
      </c>
      <c r="J205" s="97">
        <f t="shared" si="251"/>
        <v>2939.8464107113923</v>
      </c>
      <c r="K205" s="97">
        <f t="shared" si="251"/>
        <v>3068.7223083584909</v>
      </c>
      <c r="L205" s="97">
        <f t="shared" si="251"/>
        <v>3583.867770460266</v>
      </c>
      <c r="M205" s="97">
        <f t="shared" si="251"/>
        <v>2060.3419728257177</v>
      </c>
      <c r="N205" s="97">
        <f t="shared" si="251"/>
        <v>959.37543340091031</v>
      </c>
      <c r="O205" s="97">
        <f t="shared" si="251"/>
        <v>1126.9251515911992</v>
      </c>
      <c r="P205" s="97">
        <f t="shared" si="251"/>
        <v>570.45434330704722</v>
      </c>
      <c r="Q205" s="97">
        <f t="shared" si="251"/>
        <v>733.49393899409188</v>
      </c>
      <c r="R205" s="97">
        <f t="shared" si="251"/>
        <v>391.34830305658244</v>
      </c>
      <c r="S205" s="97">
        <f t="shared" si="251"/>
        <v>608.59036778610778</v>
      </c>
      <c r="T205" s="97">
        <f t="shared" si="251"/>
        <v>638.95229652470914</v>
      </c>
      <c r="U205" s="97">
        <f t="shared" si="251"/>
        <v>710.47773960256336</v>
      </c>
      <c r="V205" s="97">
        <f t="shared" si="251"/>
        <v>1081.4269800717277</v>
      </c>
      <c r="W205" s="97">
        <f t="shared" ref="W205" si="252">IF(W53=0,0,W53/W23*1000)</f>
        <v>1051.3254835733621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267.49496568720406</v>
      </c>
      <c r="C206" s="97">
        <f t="shared" si="253"/>
        <v>250.92265592435382</v>
      </c>
      <c r="D206" s="97">
        <f t="shared" si="253"/>
        <v>265.62824244904147</v>
      </c>
      <c r="E206" s="97">
        <f t="shared" si="253"/>
        <v>261.64378735130424</v>
      </c>
      <c r="F206" s="97">
        <f t="shared" si="253"/>
        <v>289.49767451870264</v>
      </c>
      <c r="G206" s="97">
        <f t="shared" si="253"/>
        <v>209.44196212997258</v>
      </c>
      <c r="H206" s="97">
        <f t="shared" si="253"/>
        <v>239.90226509845272</v>
      </c>
      <c r="I206" s="97">
        <f t="shared" si="253"/>
        <v>148.80146009331932</v>
      </c>
      <c r="J206" s="97">
        <f t="shared" si="253"/>
        <v>135.68686644623207</v>
      </c>
      <c r="K206" s="97">
        <f t="shared" si="253"/>
        <v>138.11818553624664</v>
      </c>
      <c r="L206" s="97">
        <f t="shared" si="253"/>
        <v>146.26411234359398</v>
      </c>
      <c r="M206" s="97">
        <f t="shared" si="253"/>
        <v>130.54166607666292</v>
      </c>
      <c r="N206" s="97">
        <f t="shared" si="253"/>
        <v>104.03822183279797</v>
      </c>
      <c r="O206" s="97">
        <f t="shared" si="253"/>
        <v>125.77287431827011</v>
      </c>
      <c r="P206" s="97">
        <f t="shared" si="253"/>
        <v>128.43192169043155</v>
      </c>
      <c r="Q206" s="97">
        <f t="shared" si="253"/>
        <v>122.97781819036292</v>
      </c>
      <c r="R206" s="97">
        <f t="shared" si="253"/>
        <v>117.0518214673416</v>
      </c>
      <c r="S206" s="97">
        <f t="shared" si="253"/>
        <v>139.03703971961775</v>
      </c>
      <c r="T206" s="97">
        <f t="shared" si="253"/>
        <v>48.083746469711123</v>
      </c>
      <c r="U206" s="97">
        <f t="shared" si="253"/>
        <v>48.205114788942474</v>
      </c>
      <c r="V206" s="97">
        <f t="shared" si="253"/>
        <v>48.076985780903392</v>
      </c>
      <c r="W206" s="97">
        <f t="shared" ref="W206" si="254">IF(W54=0,0,W54/W24*1000)</f>
        <v>59.146512984872949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64.731286947216432</v>
      </c>
      <c r="C207" s="97">
        <f t="shared" si="255"/>
        <v>61.746789611287774</v>
      </c>
      <c r="D207" s="97">
        <f t="shared" si="255"/>
        <v>65.179230075315218</v>
      </c>
      <c r="E207" s="97">
        <f t="shared" si="255"/>
        <v>71.807346190567785</v>
      </c>
      <c r="F207" s="97">
        <f t="shared" si="255"/>
        <v>73.908391643936525</v>
      </c>
      <c r="G207" s="97">
        <f t="shared" si="255"/>
        <v>61.025754311207422</v>
      </c>
      <c r="H207" s="97">
        <f t="shared" si="255"/>
        <v>66.595721306164535</v>
      </c>
      <c r="I207" s="97">
        <f t="shared" si="255"/>
        <v>40.656087481357666</v>
      </c>
      <c r="J207" s="97">
        <f t="shared" si="255"/>
        <v>40.240860023657802</v>
      </c>
      <c r="K207" s="97">
        <f t="shared" si="255"/>
        <v>44.878218494927218</v>
      </c>
      <c r="L207" s="97">
        <f t="shared" si="255"/>
        <v>50.489714196259726</v>
      </c>
      <c r="M207" s="97">
        <f t="shared" si="255"/>
        <v>45.933987919394461</v>
      </c>
      <c r="N207" s="97">
        <f t="shared" si="255"/>
        <v>38.293301819139046</v>
      </c>
      <c r="O207" s="97">
        <f t="shared" si="255"/>
        <v>38.144033313074672</v>
      </c>
      <c r="P207" s="97">
        <f t="shared" si="255"/>
        <v>26.578133088271986</v>
      </c>
      <c r="Q207" s="97">
        <f t="shared" si="255"/>
        <v>23.099288712413287</v>
      </c>
      <c r="R207" s="97">
        <f t="shared" si="255"/>
        <v>17.131578215758953</v>
      </c>
      <c r="S207" s="97">
        <f t="shared" si="255"/>
        <v>16.626343080943563</v>
      </c>
      <c r="T207" s="97">
        <f t="shared" si="255"/>
        <v>7.7862886201183397</v>
      </c>
      <c r="U207" s="97">
        <f t="shared" si="255"/>
        <v>7.2395872615452355</v>
      </c>
      <c r="V207" s="97">
        <f t="shared" si="255"/>
        <v>15.919949535255419</v>
      </c>
      <c r="W207" s="97">
        <f t="shared" ref="W207" si="256">IF(W55=0,0,W55/W25*1000)</f>
        <v>13.019166327053091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43.01223957364212</v>
      </c>
      <c r="C208" s="130">
        <f t="shared" si="257"/>
        <v>36.839326677935041</v>
      </c>
      <c r="D208" s="130">
        <f t="shared" si="257"/>
        <v>28.345325745787616</v>
      </c>
      <c r="E208" s="130">
        <f t="shared" si="257"/>
        <v>19.412941342242576</v>
      </c>
      <c r="F208" s="130">
        <f t="shared" si="257"/>
        <v>6.0056634809328848</v>
      </c>
      <c r="G208" s="130">
        <f t="shared" si="257"/>
        <v>4.9847577524960744</v>
      </c>
      <c r="H208" s="130">
        <f t="shared" si="257"/>
        <v>5.0287294982992314</v>
      </c>
      <c r="I208" s="130">
        <f t="shared" si="257"/>
        <v>10.416927881596321</v>
      </c>
      <c r="J208" s="130">
        <f t="shared" si="257"/>
        <v>9.0699764752601215</v>
      </c>
      <c r="K208" s="130">
        <f t="shared" si="257"/>
        <v>4.713983612146583</v>
      </c>
      <c r="L208" s="130">
        <f t="shared" si="257"/>
        <v>4.1606611529349173</v>
      </c>
      <c r="M208" s="130">
        <f t="shared" si="257"/>
        <v>4.5910188265332144</v>
      </c>
      <c r="N208" s="130">
        <f t="shared" si="257"/>
        <v>3.4000629088042107</v>
      </c>
      <c r="O208" s="130">
        <f t="shared" si="257"/>
        <v>3.3944852187674672</v>
      </c>
      <c r="P208" s="130">
        <f t="shared" si="257"/>
        <v>3.188870561122128</v>
      </c>
      <c r="Q208" s="130">
        <f t="shared" si="257"/>
        <v>3.3097184973290465</v>
      </c>
      <c r="R208" s="130">
        <f t="shared" si="257"/>
        <v>3.0823160110660046</v>
      </c>
      <c r="S208" s="130">
        <f t="shared" si="257"/>
        <v>3.2270265491382282</v>
      </c>
      <c r="T208" s="130">
        <f t="shared" si="257"/>
        <v>3.2910171104361479</v>
      </c>
      <c r="U208" s="130">
        <f t="shared" si="257"/>
        <v>3.1230611204749925</v>
      </c>
      <c r="V208" s="130">
        <f t="shared" si="257"/>
        <v>3.0693851848125027</v>
      </c>
      <c r="W208" s="130">
        <f t="shared" ref="W208" si="258">IF(W56=0,0,W56/W26*1000)</f>
        <v>3.8165313352604073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0</v>
      </c>
      <c r="C209" s="97">
        <f t="shared" si="259"/>
        <v>0</v>
      </c>
      <c r="D209" s="97">
        <f t="shared" si="259"/>
        <v>0</v>
      </c>
      <c r="E209" s="97">
        <f t="shared" si="259"/>
        <v>0</v>
      </c>
      <c r="F209" s="97">
        <f t="shared" si="259"/>
        <v>0</v>
      </c>
      <c r="G209" s="97">
        <f t="shared" si="259"/>
        <v>0</v>
      </c>
      <c r="H209" s="97">
        <f t="shared" si="259"/>
        <v>0</v>
      </c>
      <c r="I209" s="97">
        <f t="shared" si="259"/>
        <v>0</v>
      </c>
      <c r="J209" s="97">
        <f t="shared" si="259"/>
        <v>0</v>
      </c>
      <c r="K209" s="97">
        <f t="shared" si="259"/>
        <v>0</v>
      </c>
      <c r="L209" s="97">
        <f t="shared" si="259"/>
        <v>0</v>
      </c>
      <c r="M209" s="97">
        <f t="shared" si="259"/>
        <v>0</v>
      </c>
      <c r="N209" s="97">
        <f t="shared" si="259"/>
        <v>0</v>
      </c>
      <c r="O209" s="97">
        <f t="shared" si="259"/>
        <v>0</v>
      </c>
      <c r="P209" s="97">
        <f t="shared" si="259"/>
        <v>0</v>
      </c>
      <c r="Q209" s="97">
        <f t="shared" si="259"/>
        <v>0</v>
      </c>
      <c r="R209" s="97">
        <f t="shared" si="259"/>
        <v>0</v>
      </c>
      <c r="S209" s="97">
        <f t="shared" si="259"/>
        <v>0</v>
      </c>
      <c r="T209" s="97">
        <f t="shared" si="259"/>
        <v>0</v>
      </c>
      <c r="U209" s="97">
        <f t="shared" si="259"/>
        <v>0</v>
      </c>
      <c r="V209" s="97">
        <f t="shared" si="259"/>
        <v>0</v>
      </c>
      <c r="W209" s="97">
        <f t="shared" ref="W209" si="260">IF(W57=0,0,W57/W27*1000)</f>
        <v>0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43.01223957364212</v>
      </c>
      <c r="C210" s="98">
        <f t="shared" si="261"/>
        <v>36.839326677935041</v>
      </c>
      <c r="D210" s="98">
        <f t="shared" si="261"/>
        <v>28.345325745787616</v>
      </c>
      <c r="E210" s="98">
        <f t="shared" si="261"/>
        <v>19.412941342242576</v>
      </c>
      <c r="F210" s="98">
        <f t="shared" si="261"/>
        <v>6.0056634809328848</v>
      </c>
      <c r="G210" s="98">
        <f t="shared" si="261"/>
        <v>4.9847577524960744</v>
      </c>
      <c r="H210" s="98">
        <f t="shared" si="261"/>
        <v>5.0287294982992314</v>
      </c>
      <c r="I210" s="98">
        <f t="shared" si="261"/>
        <v>10.416927881596321</v>
      </c>
      <c r="J210" s="98">
        <f t="shared" si="261"/>
        <v>9.0699764752601215</v>
      </c>
      <c r="K210" s="98">
        <f t="shared" si="261"/>
        <v>4.713983612146583</v>
      </c>
      <c r="L210" s="98">
        <f t="shared" si="261"/>
        <v>4.1606611529349173</v>
      </c>
      <c r="M210" s="98">
        <f t="shared" si="261"/>
        <v>4.5910188265332144</v>
      </c>
      <c r="N210" s="98">
        <f t="shared" si="261"/>
        <v>3.4000629088042107</v>
      </c>
      <c r="O210" s="98">
        <f t="shared" si="261"/>
        <v>3.3944852187674672</v>
      </c>
      <c r="P210" s="98">
        <f t="shared" si="261"/>
        <v>3.188870561122128</v>
      </c>
      <c r="Q210" s="98">
        <f t="shared" si="261"/>
        <v>3.3097184973290465</v>
      </c>
      <c r="R210" s="98">
        <f t="shared" si="261"/>
        <v>3.0823160110660046</v>
      </c>
      <c r="S210" s="98">
        <f t="shared" si="261"/>
        <v>3.2270265491382282</v>
      </c>
      <c r="T210" s="98">
        <f t="shared" si="261"/>
        <v>3.2910171104361479</v>
      </c>
      <c r="U210" s="98">
        <f t="shared" si="261"/>
        <v>3.1230611204749925</v>
      </c>
      <c r="V210" s="98">
        <f t="shared" si="261"/>
        <v>3.0693851848125027</v>
      </c>
      <c r="W210" s="98">
        <f t="shared" ref="W210:W213" si="262">IF(W58=0,0,W58/W28*1000)</f>
        <v>3.8165313352604073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0</v>
      </c>
      <c r="C211" s="32">
        <f t="shared" si="263"/>
        <v>0</v>
      </c>
      <c r="D211" s="32">
        <f t="shared" si="263"/>
        <v>0</v>
      </c>
      <c r="E211" s="32">
        <f t="shared" si="263"/>
        <v>0</v>
      </c>
      <c r="F211" s="32">
        <f t="shared" si="263"/>
        <v>0</v>
      </c>
      <c r="G211" s="32">
        <f t="shared" si="263"/>
        <v>0</v>
      </c>
      <c r="H211" s="32">
        <f t="shared" si="263"/>
        <v>0</v>
      </c>
      <c r="I211" s="32">
        <f t="shared" si="263"/>
        <v>0.40920592008683193</v>
      </c>
      <c r="J211" s="32">
        <f t="shared" si="263"/>
        <v>0.66575991806437851</v>
      </c>
      <c r="K211" s="32">
        <f t="shared" si="263"/>
        <v>0.24880134732298639</v>
      </c>
      <c r="L211" s="32">
        <f t="shared" si="263"/>
        <v>0.19781652074145586</v>
      </c>
      <c r="M211" s="32">
        <f t="shared" si="263"/>
        <v>0.1149316852510032</v>
      </c>
      <c r="N211" s="32">
        <f t="shared" si="263"/>
        <v>0.1547855813774173</v>
      </c>
      <c r="O211" s="32">
        <f t="shared" si="263"/>
        <v>0.38465265931619852</v>
      </c>
      <c r="P211" s="32">
        <f t="shared" si="263"/>
        <v>0.88804021501823516</v>
      </c>
      <c r="Q211" s="32">
        <f t="shared" si="263"/>
        <v>0.4514245802782938</v>
      </c>
      <c r="R211" s="32">
        <f t="shared" si="263"/>
        <v>0.32727251959116427</v>
      </c>
      <c r="S211" s="32">
        <f t="shared" si="263"/>
        <v>0.30542117149668901</v>
      </c>
      <c r="T211" s="32">
        <f t="shared" si="263"/>
        <v>0.17729392790390627</v>
      </c>
      <c r="U211" s="32">
        <f t="shared" si="263"/>
        <v>0.30804223865425773</v>
      </c>
      <c r="V211" s="32">
        <f t="shared" si="263"/>
        <v>0.46241407624990399</v>
      </c>
      <c r="W211" s="32">
        <f t="shared" si="262"/>
        <v>0.31102902953160932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0</v>
      </c>
      <c r="C212" s="97">
        <f t="shared" si="264"/>
        <v>0</v>
      </c>
      <c r="D212" s="97">
        <f t="shared" si="264"/>
        <v>0</v>
      </c>
      <c r="E212" s="97">
        <f t="shared" si="264"/>
        <v>0</v>
      </c>
      <c r="F212" s="97">
        <f t="shared" si="264"/>
        <v>0</v>
      </c>
      <c r="G212" s="97">
        <f t="shared" si="264"/>
        <v>0</v>
      </c>
      <c r="H212" s="97">
        <f t="shared" si="264"/>
        <v>0</v>
      </c>
      <c r="I212" s="97">
        <f t="shared" si="264"/>
        <v>1.0175171721925631</v>
      </c>
      <c r="J212" s="97">
        <f t="shared" si="264"/>
        <v>1.6981307364520204</v>
      </c>
      <c r="K212" s="97">
        <f t="shared" si="264"/>
        <v>0.38484997708746443</v>
      </c>
      <c r="L212" s="97">
        <f t="shared" si="264"/>
        <v>0.37460873514794391</v>
      </c>
      <c r="M212" s="97">
        <f t="shared" si="264"/>
        <v>0.23242496675202584</v>
      </c>
      <c r="N212" s="97">
        <f t="shared" si="264"/>
        <v>0.35786873415377485</v>
      </c>
      <c r="O212" s="97">
        <f t="shared" si="264"/>
        <v>0.91598386007881405</v>
      </c>
      <c r="P212" s="97">
        <f t="shared" si="264"/>
        <v>1.7665841204684147</v>
      </c>
      <c r="Q212" s="97">
        <f t="shared" si="264"/>
        <v>0.89410876272450346</v>
      </c>
      <c r="R212" s="97">
        <f t="shared" si="264"/>
        <v>0.63168824747678176</v>
      </c>
      <c r="S212" s="97">
        <f t="shared" si="264"/>
        <v>0.54160554530775251</v>
      </c>
      <c r="T212" s="97">
        <f t="shared" si="264"/>
        <v>0.3001421110158764</v>
      </c>
      <c r="U212" s="97">
        <f t="shared" si="264"/>
        <v>0.61679666035503578</v>
      </c>
      <c r="V212" s="97">
        <f t="shared" si="264"/>
        <v>0.78056180230275996</v>
      </c>
      <c r="W212" s="97">
        <f t="shared" si="262"/>
        <v>0.56377677172200447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0</v>
      </c>
      <c r="C213" s="98">
        <f t="shared" si="265"/>
        <v>0</v>
      </c>
      <c r="D213" s="98">
        <f t="shared" si="265"/>
        <v>0</v>
      </c>
      <c r="E213" s="98">
        <f t="shared" si="265"/>
        <v>0</v>
      </c>
      <c r="F213" s="98">
        <f t="shared" si="265"/>
        <v>0</v>
      </c>
      <c r="G213" s="98">
        <f t="shared" si="265"/>
        <v>0</v>
      </c>
      <c r="H213" s="98">
        <f t="shared" si="265"/>
        <v>0</v>
      </c>
      <c r="I213" s="98">
        <f t="shared" si="265"/>
        <v>0.3312137351339991</v>
      </c>
      <c r="J213" s="98">
        <f t="shared" si="265"/>
        <v>0.53913313172209365</v>
      </c>
      <c r="K213" s="98">
        <f t="shared" si="265"/>
        <v>0.19015404125646013</v>
      </c>
      <c r="L213" s="98">
        <f t="shared" si="265"/>
        <v>0.14918028017739293</v>
      </c>
      <c r="M213" s="98">
        <f t="shared" si="265"/>
        <v>8.7497927132257111E-2</v>
      </c>
      <c r="N213" s="98">
        <f t="shared" si="265"/>
        <v>0.12001625244200552</v>
      </c>
      <c r="O213" s="98">
        <f t="shared" si="265"/>
        <v>0.30196967623004295</v>
      </c>
      <c r="P213" s="98">
        <f t="shared" si="265"/>
        <v>0.67384934329038315</v>
      </c>
      <c r="Q213" s="98">
        <f t="shared" si="265"/>
        <v>0.34141806348680276</v>
      </c>
      <c r="R213" s="98">
        <f t="shared" si="265"/>
        <v>0.24812140486483947</v>
      </c>
      <c r="S213" s="98">
        <f t="shared" si="265"/>
        <v>0.23040116129650717</v>
      </c>
      <c r="T213" s="98">
        <f t="shared" si="265"/>
        <v>0.13432767904916718</v>
      </c>
      <c r="U213" s="98">
        <f t="shared" si="265"/>
        <v>0.23348729938766358</v>
      </c>
      <c r="V213" s="98">
        <f t="shared" si="265"/>
        <v>0.37396200764454651</v>
      </c>
      <c r="W213" s="98">
        <f t="shared" si="262"/>
        <v>0.25018075596910117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81.143121614419414</v>
      </c>
      <c r="C216" s="32">
        <f t="shared" si="266"/>
        <v>95.243574622317823</v>
      </c>
      <c r="D216" s="32">
        <f t="shared" si="266"/>
        <v>97.664197981685177</v>
      </c>
      <c r="E216" s="32">
        <f t="shared" si="266"/>
        <v>98.778394167294906</v>
      </c>
      <c r="F216" s="32">
        <f t="shared" si="266"/>
        <v>105.11860324119829</v>
      </c>
      <c r="G216" s="32">
        <f t="shared" si="266"/>
        <v>92.289851969620514</v>
      </c>
      <c r="H216" s="32">
        <f t="shared" si="266"/>
        <v>88.13061155551442</v>
      </c>
      <c r="I216" s="32">
        <f t="shared" si="266"/>
        <v>93.413395484842326</v>
      </c>
      <c r="J216" s="32">
        <f t="shared" si="266"/>
        <v>96.28958010125244</v>
      </c>
      <c r="K216" s="32">
        <f t="shared" si="266"/>
        <v>98.819388096104746</v>
      </c>
      <c r="L216" s="32">
        <f t="shared" si="266"/>
        <v>99.921601757121479</v>
      </c>
      <c r="M216" s="32">
        <f t="shared" si="266"/>
        <v>102.82992797442874</v>
      </c>
      <c r="N216" s="32">
        <f t="shared" si="266"/>
        <v>103.4132399636855</v>
      </c>
      <c r="O216" s="32">
        <f t="shared" si="266"/>
        <v>97.265577140754218</v>
      </c>
      <c r="P216" s="32">
        <f t="shared" si="266"/>
        <v>95.045983792707744</v>
      </c>
      <c r="Q216" s="32">
        <f t="shared" si="266"/>
        <v>89.834534317527186</v>
      </c>
      <c r="R216" s="32">
        <f t="shared" si="266"/>
        <v>90.832128426634654</v>
      </c>
      <c r="S216" s="32">
        <f t="shared" si="266"/>
        <v>94.635010966478546</v>
      </c>
      <c r="T216" s="32">
        <f t="shared" si="266"/>
        <v>87.871189783840322</v>
      </c>
      <c r="U216" s="32">
        <f t="shared" si="266"/>
        <v>85.229648844882917</v>
      </c>
      <c r="V216" s="32">
        <f t="shared" si="266"/>
        <v>101.87825221772867</v>
      </c>
      <c r="W216" s="32">
        <f t="shared" ref="W216" si="267">IF(W4=0,0,W64/W4*1000)</f>
        <v>97.743696488013342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90.425452089059448</v>
      </c>
      <c r="C217" s="141">
        <f t="shared" si="268"/>
        <v>114.66674814738526</v>
      </c>
      <c r="D217" s="141">
        <f t="shared" si="268"/>
        <v>112.26348285483505</v>
      </c>
      <c r="E217" s="141">
        <f t="shared" si="268"/>
        <v>111.76129276197626</v>
      </c>
      <c r="F217" s="141">
        <f t="shared" si="268"/>
        <v>118.7299608535218</v>
      </c>
      <c r="G217" s="141">
        <f t="shared" si="268"/>
        <v>107.44673600307974</v>
      </c>
      <c r="H217" s="141">
        <f t="shared" si="268"/>
        <v>101.97777235428248</v>
      </c>
      <c r="I217" s="141">
        <f t="shared" si="268"/>
        <v>103.25356058117281</v>
      </c>
      <c r="J217" s="141">
        <f t="shared" si="268"/>
        <v>105.76046793837527</v>
      </c>
      <c r="K217" s="141">
        <f t="shared" si="268"/>
        <v>108.0393672851884</v>
      </c>
      <c r="L217" s="141">
        <f t="shared" si="268"/>
        <v>107.75239391154547</v>
      </c>
      <c r="M217" s="141">
        <f t="shared" si="268"/>
        <v>112.04497533277257</v>
      </c>
      <c r="N217" s="141">
        <f t="shared" si="268"/>
        <v>114.26114381666665</v>
      </c>
      <c r="O217" s="141">
        <f t="shared" si="268"/>
        <v>106.4388727101006</v>
      </c>
      <c r="P217" s="141">
        <f t="shared" si="268"/>
        <v>105.37595816129897</v>
      </c>
      <c r="Q217" s="141">
        <f t="shared" si="268"/>
        <v>95.979950436032411</v>
      </c>
      <c r="R217" s="141">
        <f t="shared" si="268"/>
        <v>97.237575449661392</v>
      </c>
      <c r="S217" s="141">
        <f t="shared" si="268"/>
        <v>101.9632564932374</v>
      </c>
      <c r="T217" s="141">
        <f t="shared" si="268"/>
        <v>99.284461195281409</v>
      </c>
      <c r="U217" s="141">
        <f t="shared" si="268"/>
        <v>95.554273529184144</v>
      </c>
      <c r="V217" s="141">
        <f t="shared" si="268"/>
        <v>108.29785689267979</v>
      </c>
      <c r="W217" s="141">
        <f t="shared" ref="W217" si="269">IF(W5=0,0,W65/W5*1000)</f>
        <v>104.67238588413272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117.68222185121742</v>
      </c>
      <c r="C218" s="97">
        <f t="shared" si="270"/>
        <v>117.50906760200118</v>
      </c>
      <c r="D218" s="97">
        <f t="shared" si="270"/>
        <v>117.36429754713414</v>
      </c>
      <c r="E218" s="97">
        <f t="shared" si="270"/>
        <v>116.90228534187646</v>
      </c>
      <c r="F218" s="97">
        <f t="shared" si="270"/>
        <v>116.41138727547828</v>
      </c>
      <c r="G218" s="97">
        <f t="shared" si="270"/>
        <v>110.3741406201059</v>
      </c>
      <c r="H218" s="97">
        <f t="shared" si="270"/>
        <v>108.52450549456586</v>
      </c>
      <c r="I218" s="97">
        <f t="shared" si="270"/>
        <v>106.85215152657673</v>
      </c>
      <c r="J218" s="97">
        <f t="shared" si="270"/>
        <v>102.50051835068042</v>
      </c>
      <c r="K218" s="97">
        <f t="shared" si="270"/>
        <v>99.886184475516501</v>
      </c>
      <c r="L218" s="97">
        <f t="shared" si="270"/>
        <v>95.408303262863299</v>
      </c>
      <c r="M218" s="97">
        <f t="shared" si="270"/>
        <v>93.693236076617296</v>
      </c>
      <c r="N218" s="97">
        <f t="shared" si="270"/>
        <v>91.966892002280247</v>
      </c>
      <c r="O218" s="97">
        <f t="shared" si="270"/>
        <v>90.338619541461654</v>
      </c>
      <c r="P218" s="97">
        <f t="shared" si="270"/>
        <v>89.835305728394673</v>
      </c>
      <c r="Q218" s="97">
        <f t="shared" si="270"/>
        <v>86.906343296171329</v>
      </c>
      <c r="R218" s="97">
        <f t="shared" si="270"/>
        <v>84.397831688715769</v>
      </c>
      <c r="S218" s="97">
        <f t="shared" si="270"/>
        <v>82.666674628631924</v>
      </c>
      <c r="T218" s="97">
        <f t="shared" si="270"/>
        <v>81.200770110074046</v>
      </c>
      <c r="U218" s="97">
        <f t="shared" si="270"/>
        <v>79.297918568792284</v>
      </c>
      <c r="V218" s="97">
        <f t="shared" si="270"/>
        <v>78.541237786391065</v>
      </c>
      <c r="W218" s="97">
        <f t="shared" ref="W218" si="271">IF(W6=0,0,W66/W6*1000)</f>
        <v>67.592284438092435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74.050919164154053</v>
      </c>
      <c r="C219" s="97">
        <f t="shared" si="272"/>
        <v>95.93179445141979</v>
      </c>
      <c r="D219" s="97">
        <f t="shared" si="272"/>
        <v>95.06309845865394</v>
      </c>
      <c r="E219" s="97">
        <f t="shared" si="272"/>
        <v>96.259518241287836</v>
      </c>
      <c r="F219" s="97">
        <f t="shared" si="272"/>
        <v>102.88449232568257</v>
      </c>
      <c r="G219" s="97">
        <f t="shared" si="272"/>
        <v>97.005958212011052</v>
      </c>
      <c r="H219" s="97">
        <f t="shared" si="272"/>
        <v>93.117315754178236</v>
      </c>
      <c r="I219" s="97">
        <f t="shared" si="272"/>
        <v>93.422842128168639</v>
      </c>
      <c r="J219" s="97">
        <f t="shared" si="272"/>
        <v>99.070678762505651</v>
      </c>
      <c r="K219" s="97">
        <f t="shared" si="272"/>
        <v>97.527059546215241</v>
      </c>
      <c r="L219" s="97">
        <f t="shared" si="272"/>
        <v>93.958867553995034</v>
      </c>
      <c r="M219" s="97">
        <f t="shared" si="272"/>
        <v>98.485668100287</v>
      </c>
      <c r="N219" s="97">
        <f t="shared" si="272"/>
        <v>102.03556814664597</v>
      </c>
      <c r="O219" s="97">
        <f t="shared" si="272"/>
        <v>92.820481522133676</v>
      </c>
      <c r="P219" s="97">
        <f t="shared" si="272"/>
        <v>92.086694682569615</v>
      </c>
      <c r="Q219" s="97">
        <f t="shared" si="272"/>
        <v>87.319583412635538</v>
      </c>
      <c r="R219" s="97">
        <f t="shared" si="272"/>
        <v>88.600808531964205</v>
      </c>
      <c r="S219" s="97">
        <f t="shared" si="272"/>
        <v>92.382884746896522</v>
      </c>
      <c r="T219" s="97">
        <f t="shared" si="272"/>
        <v>90.466702632513218</v>
      </c>
      <c r="U219" s="97">
        <f t="shared" si="272"/>
        <v>86.360457437175697</v>
      </c>
      <c r="V219" s="97">
        <f t="shared" si="272"/>
        <v>91.363454576055688</v>
      </c>
      <c r="W219" s="97">
        <f t="shared" ref="W219" si="273">IF(W7=0,0,W67/W7*1000)</f>
        <v>88.51717959356165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197.89852547131727</v>
      </c>
      <c r="C220" s="97">
        <f t="shared" si="274"/>
        <v>253.61774569311808</v>
      </c>
      <c r="D220" s="97">
        <f t="shared" si="274"/>
        <v>244.99844281088494</v>
      </c>
      <c r="E220" s="97">
        <f t="shared" si="274"/>
        <v>203.42446091544207</v>
      </c>
      <c r="F220" s="97">
        <f t="shared" si="274"/>
        <v>216.17509066350823</v>
      </c>
      <c r="G220" s="97">
        <f t="shared" si="274"/>
        <v>161.29976204598401</v>
      </c>
      <c r="H220" s="97">
        <f t="shared" si="274"/>
        <v>150.20350760763858</v>
      </c>
      <c r="I220" s="97">
        <f t="shared" si="274"/>
        <v>157.74277929994233</v>
      </c>
      <c r="J220" s="97">
        <f t="shared" si="274"/>
        <v>129.18244314011523</v>
      </c>
      <c r="K220" s="97">
        <f t="shared" si="274"/>
        <v>154.64806827247301</v>
      </c>
      <c r="L220" s="97">
        <f t="shared" si="274"/>
        <v>173.98836551864417</v>
      </c>
      <c r="M220" s="97">
        <f t="shared" si="274"/>
        <v>178.11359013088259</v>
      </c>
      <c r="N220" s="97">
        <f t="shared" si="274"/>
        <v>170.69332251999342</v>
      </c>
      <c r="O220" s="97">
        <f t="shared" si="274"/>
        <v>171.04444908620027</v>
      </c>
      <c r="P220" s="97">
        <f t="shared" si="274"/>
        <v>167.61993894540035</v>
      </c>
      <c r="Q220" s="97">
        <f t="shared" si="274"/>
        <v>127.51286020770087</v>
      </c>
      <c r="R220" s="97">
        <f t="shared" si="274"/>
        <v>129.79313113326336</v>
      </c>
      <c r="S220" s="97">
        <f t="shared" si="274"/>
        <v>139.71723875717404</v>
      </c>
      <c r="T220" s="97">
        <f t="shared" si="274"/>
        <v>133.96067713719549</v>
      </c>
      <c r="U220" s="97">
        <f t="shared" si="274"/>
        <v>134.02156925889895</v>
      </c>
      <c r="V220" s="97">
        <f t="shared" si="274"/>
        <v>199.03529399495906</v>
      </c>
      <c r="W220" s="97">
        <f t="shared" ref="W220" si="275">IF(W8=0,0,W68/W8*1000)</f>
        <v>195.23193952349615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38.243584326709566</v>
      </c>
      <c r="C221" s="130">
        <f t="shared" si="276"/>
        <v>18.001471609112059</v>
      </c>
      <c r="D221" s="130">
        <f t="shared" si="276"/>
        <v>27.813370468591799</v>
      </c>
      <c r="E221" s="130">
        <f t="shared" si="276"/>
        <v>29.086854318823203</v>
      </c>
      <c r="F221" s="130">
        <f t="shared" si="276"/>
        <v>31.385638651463793</v>
      </c>
      <c r="G221" s="130">
        <f t="shared" si="276"/>
        <v>10.370959696122425</v>
      </c>
      <c r="H221" s="130">
        <f t="shared" si="276"/>
        <v>9.4519578106284516</v>
      </c>
      <c r="I221" s="130">
        <f t="shared" si="276"/>
        <v>28.14671733430513</v>
      </c>
      <c r="J221" s="130">
        <f t="shared" si="276"/>
        <v>27.806684388984504</v>
      </c>
      <c r="K221" s="130">
        <f t="shared" si="276"/>
        <v>23.664743542460545</v>
      </c>
      <c r="L221" s="130">
        <f t="shared" si="276"/>
        <v>27.69175917678211</v>
      </c>
      <c r="M221" s="130">
        <f t="shared" si="276"/>
        <v>37.451225664950606</v>
      </c>
      <c r="N221" s="130">
        <f t="shared" si="276"/>
        <v>35.659274881938771</v>
      </c>
      <c r="O221" s="130">
        <f t="shared" si="276"/>
        <v>31.092463908292679</v>
      </c>
      <c r="P221" s="130">
        <f t="shared" si="276"/>
        <v>19.797378093592176</v>
      </c>
      <c r="Q221" s="130">
        <f t="shared" si="276"/>
        <v>23.301260456797017</v>
      </c>
      <c r="R221" s="130">
        <f t="shared" si="276"/>
        <v>22.483572546089921</v>
      </c>
      <c r="S221" s="130">
        <f t="shared" si="276"/>
        <v>23.864550303132614</v>
      </c>
      <c r="T221" s="130">
        <f t="shared" si="276"/>
        <v>18.567158185716014</v>
      </c>
      <c r="U221" s="130">
        <f t="shared" si="276"/>
        <v>26.073143287808279</v>
      </c>
      <c r="V221" s="130">
        <f t="shared" si="276"/>
        <v>36.432677263933186</v>
      </c>
      <c r="W221" s="130">
        <f t="shared" ref="W221" si="277">IF(W9=0,0,W69/W9*1000)</f>
        <v>35.128185646429657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57.970330024805975</v>
      </c>
      <c r="C223" s="97">
        <f t="shared" si="280"/>
        <v>27.851798071006481</v>
      </c>
      <c r="D223" s="97">
        <f t="shared" si="280"/>
        <v>47.441719423137876</v>
      </c>
      <c r="E223" s="97">
        <f t="shared" si="280"/>
        <v>48.863364978293625</v>
      </c>
      <c r="F223" s="97">
        <f t="shared" si="280"/>
        <v>53.884051117729491</v>
      </c>
      <c r="G223" s="97">
        <f t="shared" si="280"/>
        <v>18.939058254297453</v>
      </c>
      <c r="H223" s="97">
        <f t="shared" si="280"/>
        <v>17.394779500232193</v>
      </c>
      <c r="I223" s="97">
        <f t="shared" si="280"/>
        <v>54.124827233543414</v>
      </c>
      <c r="J223" s="97">
        <f t="shared" si="280"/>
        <v>55.781215967439735</v>
      </c>
      <c r="K223" s="97">
        <f t="shared" si="280"/>
        <v>50.878426268263333</v>
      </c>
      <c r="L223" s="97">
        <f t="shared" si="280"/>
        <v>64.050677856288573</v>
      </c>
      <c r="M223" s="97">
        <f t="shared" si="280"/>
        <v>89.585453258355756</v>
      </c>
      <c r="N223" s="97">
        <f t="shared" si="280"/>
        <v>94.545623056157069</v>
      </c>
      <c r="O223" s="97">
        <f t="shared" si="280"/>
        <v>85.733138419472922</v>
      </c>
      <c r="P223" s="97">
        <f t="shared" si="280"/>
        <v>51.625960237631041</v>
      </c>
      <c r="Q223" s="97">
        <f t="shared" si="280"/>
        <v>45.510550265660768</v>
      </c>
      <c r="R223" s="97">
        <f t="shared" si="280"/>
        <v>45.329392497815213</v>
      </c>
      <c r="S223" s="97">
        <f t="shared" si="280"/>
        <v>45.456060134014514</v>
      </c>
      <c r="T223" s="97">
        <f t="shared" si="280"/>
        <v>35.218529889835665</v>
      </c>
      <c r="U223" s="97">
        <f t="shared" si="280"/>
        <v>47.834156860735213</v>
      </c>
      <c r="V223" s="97">
        <f t="shared" si="280"/>
        <v>70.085002597453681</v>
      </c>
      <c r="W223" s="97">
        <f t="shared" ref="W223" si="281">IF(W11=0,0,W71/W11*1000)</f>
        <v>61.469085673980359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168.73999133631162</v>
      </c>
      <c r="C225" s="130">
        <f t="shared" si="284"/>
        <v>164.02467381770077</v>
      </c>
      <c r="D225" s="130">
        <f t="shared" si="284"/>
        <v>161.76804423589326</v>
      </c>
      <c r="E225" s="130">
        <f t="shared" si="284"/>
        <v>161.88261774390179</v>
      </c>
      <c r="F225" s="130">
        <f t="shared" si="284"/>
        <v>169.01368246617949</v>
      </c>
      <c r="G225" s="130">
        <f t="shared" si="284"/>
        <v>117.03962667394855</v>
      </c>
      <c r="H225" s="130">
        <f t="shared" si="284"/>
        <v>117.52021133713508</v>
      </c>
      <c r="I225" s="130">
        <f t="shared" si="284"/>
        <v>123.52112390823814</v>
      </c>
      <c r="J225" s="130">
        <f t="shared" si="284"/>
        <v>112.51549824533886</v>
      </c>
      <c r="K225" s="130">
        <f t="shared" si="284"/>
        <v>121.79879285390793</v>
      </c>
      <c r="L225" s="130">
        <f t="shared" si="284"/>
        <v>129.50691668616633</v>
      </c>
      <c r="M225" s="130">
        <f t="shared" si="284"/>
        <v>96.370392869880789</v>
      </c>
      <c r="N225" s="130">
        <f t="shared" si="284"/>
        <v>74.177960997172036</v>
      </c>
      <c r="O225" s="130">
        <f t="shared" si="284"/>
        <v>84.580213506328903</v>
      </c>
      <c r="P225" s="130">
        <f t="shared" si="284"/>
        <v>83.078806471328278</v>
      </c>
      <c r="Q225" s="130">
        <f t="shared" si="284"/>
        <v>85.63210277293382</v>
      </c>
      <c r="R225" s="130">
        <f t="shared" si="284"/>
        <v>82.704570678369279</v>
      </c>
      <c r="S225" s="130">
        <f t="shared" si="284"/>
        <v>84.509076631560347</v>
      </c>
      <c r="T225" s="130">
        <f t="shared" si="284"/>
        <v>37.825152690112283</v>
      </c>
      <c r="U225" s="130">
        <f t="shared" si="284"/>
        <v>38.713624477290175</v>
      </c>
      <c r="V225" s="130">
        <f t="shared" si="284"/>
        <v>47.609842354674079</v>
      </c>
      <c r="W225" s="130">
        <f t="shared" ref="W225" si="285">IF(W13=0,0,W73/W13*1000)</f>
        <v>46.265565128308083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381.20661934971696</v>
      </c>
      <c r="C226" s="97">
        <f t="shared" si="286"/>
        <v>376.42368848927873</v>
      </c>
      <c r="D226" s="97">
        <f t="shared" si="286"/>
        <v>370.89778634674138</v>
      </c>
      <c r="E226" s="97">
        <f t="shared" si="286"/>
        <v>368.15896366480985</v>
      </c>
      <c r="F226" s="97">
        <f t="shared" si="286"/>
        <v>388.96260441221511</v>
      </c>
      <c r="G226" s="97">
        <f t="shared" si="286"/>
        <v>294.1678669308273</v>
      </c>
      <c r="H226" s="97">
        <f t="shared" si="286"/>
        <v>49.188298100793659</v>
      </c>
      <c r="I226" s="97">
        <f t="shared" si="286"/>
        <v>1685.5635494482242</v>
      </c>
      <c r="J226" s="97">
        <f t="shared" si="286"/>
        <v>1305.3987582550435</v>
      </c>
      <c r="K226" s="97">
        <f t="shared" si="286"/>
        <v>1465.3968159422468</v>
      </c>
      <c r="L226" s="97">
        <f t="shared" si="286"/>
        <v>1508.579035063326</v>
      </c>
      <c r="M226" s="97">
        <f t="shared" si="286"/>
        <v>1069.0162713826282</v>
      </c>
      <c r="N226" s="97">
        <f t="shared" si="286"/>
        <v>585.67970902841603</v>
      </c>
      <c r="O226" s="97">
        <f t="shared" si="286"/>
        <v>701.32772276637263</v>
      </c>
      <c r="P226" s="97">
        <f t="shared" si="286"/>
        <v>411.51891296405853</v>
      </c>
      <c r="Q226" s="97">
        <f t="shared" si="286"/>
        <v>530.59936672620449</v>
      </c>
      <c r="R226" s="97">
        <f t="shared" si="286"/>
        <v>259.72568355279327</v>
      </c>
      <c r="S226" s="97">
        <f t="shared" si="286"/>
        <v>297.60245464884804</v>
      </c>
      <c r="T226" s="97">
        <f t="shared" si="286"/>
        <v>329.45359592519782</v>
      </c>
      <c r="U226" s="97">
        <f t="shared" si="286"/>
        <v>396.76759232314964</v>
      </c>
      <c r="V226" s="97">
        <f t="shared" si="286"/>
        <v>741.37661881839995</v>
      </c>
      <c r="W226" s="97">
        <f t="shared" ref="W226" si="287">IF(W14=0,0,W74/W14*1000)</f>
        <v>603.28739562755197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164.1104706788602</v>
      </c>
      <c r="C227" s="97">
        <f t="shared" si="288"/>
        <v>161.06150643715313</v>
      </c>
      <c r="D227" s="97">
        <f t="shared" si="288"/>
        <v>159.22504733007486</v>
      </c>
      <c r="E227" s="97">
        <f t="shared" si="288"/>
        <v>159.86321901801844</v>
      </c>
      <c r="F227" s="97">
        <f t="shared" si="288"/>
        <v>160.708067624508</v>
      </c>
      <c r="G227" s="97">
        <f t="shared" si="288"/>
        <v>108.32806640300434</v>
      </c>
      <c r="H227" s="97">
        <f t="shared" si="288"/>
        <v>118.29059324885786</v>
      </c>
      <c r="I227" s="97">
        <f t="shared" si="288"/>
        <v>77.210012325078594</v>
      </c>
      <c r="J227" s="97">
        <f t="shared" si="288"/>
        <v>73.474444023369585</v>
      </c>
      <c r="K227" s="97">
        <f t="shared" si="288"/>
        <v>78.68438899941988</v>
      </c>
      <c r="L227" s="97">
        <f t="shared" si="288"/>
        <v>79.26859995484628</v>
      </c>
      <c r="M227" s="97">
        <f t="shared" si="288"/>
        <v>60.908924773813872</v>
      </c>
      <c r="N227" s="97">
        <f t="shared" si="288"/>
        <v>56.962579254606837</v>
      </c>
      <c r="O227" s="97">
        <f t="shared" si="288"/>
        <v>66.726621032768875</v>
      </c>
      <c r="P227" s="97">
        <f t="shared" si="288"/>
        <v>77.980518694212819</v>
      </c>
      <c r="Q227" s="97">
        <f t="shared" si="288"/>
        <v>79.552802597903778</v>
      </c>
      <c r="R227" s="97">
        <f t="shared" si="288"/>
        <v>80.907137159743669</v>
      </c>
      <c r="S227" s="97">
        <f t="shared" si="288"/>
        <v>80.443063366945921</v>
      </c>
      <c r="T227" s="97">
        <f t="shared" si="288"/>
        <v>30.13853931242997</v>
      </c>
      <c r="U227" s="97">
        <f t="shared" si="288"/>
        <v>31.007670985117048</v>
      </c>
      <c r="V227" s="97">
        <f t="shared" si="288"/>
        <v>26.882599330076776</v>
      </c>
      <c r="W227" s="97">
        <f t="shared" ref="W227" si="289">IF(W15=0,0,W75/W15*1000)</f>
        <v>32.668969476364651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165.60047782320112</v>
      </c>
      <c r="C228" s="97">
        <f t="shared" si="290"/>
        <v>164.41034783975726</v>
      </c>
      <c r="D228" s="97">
        <f t="shared" si="290"/>
        <v>163.47207188134831</v>
      </c>
      <c r="E228" s="97">
        <f t="shared" si="290"/>
        <v>162.922861536965</v>
      </c>
      <c r="F228" s="97">
        <f t="shared" si="290"/>
        <v>161.05377658286255</v>
      </c>
      <c r="G228" s="97">
        <f t="shared" si="290"/>
        <v>126.6219115482817</v>
      </c>
      <c r="H228" s="97">
        <f t="shared" si="290"/>
        <v>128.23976230495799</v>
      </c>
      <c r="I228" s="97">
        <f t="shared" si="290"/>
        <v>69.518453106536498</v>
      </c>
      <c r="J228" s="97">
        <f t="shared" si="290"/>
        <v>66.824166954072567</v>
      </c>
      <c r="K228" s="97">
        <f t="shared" si="290"/>
        <v>85.230041434777903</v>
      </c>
      <c r="L228" s="97">
        <f t="shared" si="290"/>
        <v>85.340657011204073</v>
      </c>
      <c r="M228" s="97">
        <f t="shared" si="290"/>
        <v>86.271817989647261</v>
      </c>
      <c r="N228" s="97">
        <f t="shared" si="290"/>
        <v>69.292039540395137</v>
      </c>
      <c r="O228" s="97">
        <f t="shared" si="290"/>
        <v>75.79782405479115</v>
      </c>
      <c r="P228" s="97">
        <f t="shared" si="290"/>
        <v>64.774952596979006</v>
      </c>
      <c r="Q228" s="97">
        <f t="shared" si="290"/>
        <v>61.683479024226955</v>
      </c>
      <c r="R228" s="97">
        <f t="shared" si="290"/>
        <v>57.896567134439294</v>
      </c>
      <c r="S228" s="97">
        <f t="shared" si="290"/>
        <v>52.153109765900858</v>
      </c>
      <c r="T228" s="97">
        <f t="shared" si="290"/>
        <v>16.269677006966983</v>
      </c>
      <c r="U228" s="97">
        <f t="shared" si="290"/>
        <v>14.52960073449943</v>
      </c>
      <c r="V228" s="97">
        <f t="shared" si="290"/>
        <v>27.174558009678819</v>
      </c>
      <c r="W228" s="97">
        <f t="shared" ref="W228" si="291">IF(W16=0,0,W76/W16*1000)</f>
        <v>19.674561067569655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87.09463148086553</v>
      </c>
      <c r="C229" s="32">
        <f t="shared" si="292"/>
        <v>101.0566289402846</v>
      </c>
      <c r="D229" s="32">
        <f t="shared" si="292"/>
        <v>106.77188583396953</v>
      </c>
      <c r="E229" s="32">
        <f t="shared" si="292"/>
        <v>105.68373310478664</v>
      </c>
      <c r="F229" s="32">
        <f t="shared" si="292"/>
        <v>83.827990592552084</v>
      </c>
      <c r="G229" s="32">
        <f t="shared" si="292"/>
        <v>67.294903641944913</v>
      </c>
      <c r="H229" s="32">
        <f t="shared" si="292"/>
        <v>78.51604836090695</v>
      </c>
      <c r="I229" s="32">
        <f t="shared" si="292"/>
        <v>72.502207943324066</v>
      </c>
      <c r="J229" s="32">
        <f t="shared" si="292"/>
        <v>79.6793231570595</v>
      </c>
      <c r="K229" s="32">
        <f t="shared" si="292"/>
        <v>86.65062282284552</v>
      </c>
      <c r="L229" s="32">
        <f t="shared" si="292"/>
        <v>85.098211563890203</v>
      </c>
      <c r="M229" s="32">
        <f t="shared" si="292"/>
        <v>90.056105889430441</v>
      </c>
      <c r="N229" s="32">
        <f t="shared" si="292"/>
        <v>86.417456083983296</v>
      </c>
      <c r="O229" s="32">
        <f t="shared" si="292"/>
        <v>87.930585771784024</v>
      </c>
      <c r="P229" s="32">
        <f t="shared" si="292"/>
        <v>90.713938610714152</v>
      </c>
      <c r="Q229" s="32">
        <f t="shared" si="292"/>
        <v>85.558192035007536</v>
      </c>
      <c r="R229" s="32">
        <f t="shared" si="292"/>
        <v>89.296256362285789</v>
      </c>
      <c r="S229" s="32">
        <f t="shared" si="292"/>
        <v>94.357428438136793</v>
      </c>
      <c r="T229" s="32">
        <f t="shared" si="292"/>
        <v>95.525982726650241</v>
      </c>
      <c r="U229" s="32">
        <f t="shared" si="292"/>
        <v>91.240151746855716</v>
      </c>
      <c r="V229" s="32">
        <f t="shared" si="292"/>
        <v>92.485138655859842</v>
      </c>
      <c r="W229" s="32">
        <f t="shared" ref="W229" si="293">IF(W17=0,0,W77/W17*1000)</f>
        <v>89.304184675899705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137.71686023600907</v>
      </c>
      <c r="C230" s="141">
        <f t="shared" si="294"/>
        <v>165.46098499442215</v>
      </c>
      <c r="D230" s="141">
        <f t="shared" si="294"/>
        <v>170.60332173888128</v>
      </c>
      <c r="E230" s="141">
        <f t="shared" si="294"/>
        <v>167.78521490707419</v>
      </c>
      <c r="F230" s="141">
        <f t="shared" si="294"/>
        <v>143.41793174417981</v>
      </c>
      <c r="G230" s="141">
        <f t="shared" si="294"/>
        <v>110.46854691973309</v>
      </c>
      <c r="H230" s="141">
        <f t="shared" si="294"/>
        <v>127.11343660040205</v>
      </c>
      <c r="I230" s="141">
        <f t="shared" si="294"/>
        <v>108.95251258866647</v>
      </c>
      <c r="J230" s="141">
        <f t="shared" si="294"/>
        <v>125.50519364576679</v>
      </c>
      <c r="K230" s="141">
        <f t="shared" si="294"/>
        <v>149.63576675186181</v>
      </c>
      <c r="L230" s="141">
        <f t="shared" si="294"/>
        <v>196.58506734540688</v>
      </c>
      <c r="M230" s="141">
        <f t="shared" si="294"/>
        <v>204.68616401224057</v>
      </c>
      <c r="N230" s="141">
        <f t="shared" si="294"/>
        <v>189.04446313514586</v>
      </c>
      <c r="O230" s="141">
        <f t="shared" si="294"/>
        <v>188.10740205774076</v>
      </c>
      <c r="P230" s="141">
        <f t="shared" si="294"/>
        <v>193.52337976372976</v>
      </c>
      <c r="Q230" s="141">
        <f t="shared" si="294"/>
        <v>191.19753121114573</v>
      </c>
      <c r="R230" s="141">
        <f t="shared" si="294"/>
        <v>191.24520019438705</v>
      </c>
      <c r="S230" s="141">
        <f t="shared" si="294"/>
        <v>194.10389420147064</v>
      </c>
      <c r="T230" s="141">
        <f t="shared" si="294"/>
        <v>189.59689623713101</v>
      </c>
      <c r="U230" s="141">
        <f t="shared" si="294"/>
        <v>177.27028648629894</v>
      </c>
      <c r="V230" s="141">
        <f t="shared" si="294"/>
        <v>177.93659661401927</v>
      </c>
      <c r="W230" s="141">
        <f t="shared" ref="W230" si="295">IF(W18=0,0,W78/W18*1000)</f>
        <v>158.05066443332535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987.71765102623965</v>
      </c>
      <c r="C231" s="97">
        <f t="shared" si="296"/>
        <v>1001.9842683569726</v>
      </c>
      <c r="D231" s="97">
        <f t="shared" si="296"/>
        <v>995.44820031501638</v>
      </c>
      <c r="E231" s="97">
        <f t="shared" si="296"/>
        <v>986.771429424438</v>
      </c>
      <c r="F231" s="97">
        <f t="shared" si="296"/>
        <v>949.03775785626271</v>
      </c>
      <c r="G231" s="97">
        <f t="shared" si="296"/>
        <v>965.37288165403004</v>
      </c>
      <c r="H231" s="97">
        <f t="shared" si="296"/>
        <v>963.91167270933624</v>
      </c>
      <c r="I231" s="97">
        <f t="shared" si="296"/>
        <v>927.8140242229897</v>
      </c>
      <c r="J231" s="97">
        <f t="shared" si="296"/>
        <v>910.97005069261525</v>
      </c>
      <c r="K231" s="97">
        <f t="shared" si="296"/>
        <v>899.15086005848627</v>
      </c>
      <c r="L231" s="97">
        <f t="shared" si="296"/>
        <v>896.02681793692329</v>
      </c>
      <c r="M231" s="97">
        <f t="shared" si="296"/>
        <v>879.60407056635677</v>
      </c>
      <c r="N231" s="97">
        <f t="shared" si="296"/>
        <v>900.9942782579285</v>
      </c>
      <c r="O231" s="97">
        <f t="shared" si="296"/>
        <v>865.793889918633</v>
      </c>
      <c r="P231" s="97">
        <f t="shared" si="296"/>
        <v>857.06272285521129</v>
      </c>
      <c r="Q231" s="97">
        <f t="shared" si="296"/>
        <v>836.54695075036466</v>
      </c>
      <c r="R231" s="97">
        <f t="shared" si="296"/>
        <v>835.77575065677161</v>
      </c>
      <c r="S231" s="97">
        <f t="shared" si="296"/>
        <v>829.64292447769651</v>
      </c>
      <c r="T231" s="97">
        <f t="shared" si="296"/>
        <v>812.60138069407276</v>
      </c>
      <c r="U231" s="97">
        <f t="shared" si="296"/>
        <v>781.49059728615669</v>
      </c>
      <c r="V231" s="97">
        <f t="shared" si="296"/>
        <v>753.81858895265623</v>
      </c>
      <c r="W231" s="97">
        <f t="shared" ref="W231" si="297">IF(W19=0,0,W79/W19*1000)</f>
        <v>754.32620654903189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82.524545742002971</v>
      </c>
      <c r="C232" s="97">
        <f t="shared" si="298"/>
        <v>113.14372543862601</v>
      </c>
      <c r="D232" s="97">
        <f t="shared" si="298"/>
        <v>119.83922315635509</v>
      </c>
      <c r="E232" s="97">
        <f t="shared" si="298"/>
        <v>121.25351679956164</v>
      </c>
      <c r="F232" s="97">
        <f t="shared" si="298"/>
        <v>100.20484291638932</v>
      </c>
      <c r="G232" s="97">
        <f t="shared" si="298"/>
        <v>70.759600640365335</v>
      </c>
      <c r="H232" s="97">
        <f t="shared" si="298"/>
        <v>84.078969918087694</v>
      </c>
      <c r="I232" s="97">
        <f t="shared" si="298"/>
        <v>66.354970116746671</v>
      </c>
      <c r="J232" s="97">
        <f t="shared" si="298"/>
        <v>74.068639592123546</v>
      </c>
      <c r="K232" s="97">
        <f t="shared" si="298"/>
        <v>87.57521066969862</v>
      </c>
      <c r="L232" s="97">
        <f t="shared" si="298"/>
        <v>102.40953238376835</v>
      </c>
      <c r="M232" s="97">
        <f t="shared" si="298"/>
        <v>107.254805563649</v>
      </c>
      <c r="N232" s="97">
        <f t="shared" si="298"/>
        <v>90.464493298594036</v>
      </c>
      <c r="O232" s="97">
        <f t="shared" si="298"/>
        <v>88.985357438186668</v>
      </c>
      <c r="P232" s="97">
        <f t="shared" si="298"/>
        <v>84.881052361693037</v>
      </c>
      <c r="Q232" s="97">
        <f t="shared" si="298"/>
        <v>78.568666787589336</v>
      </c>
      <c r="R232" s="97">
        <f t="shared" si="298"/>
        <v>85.158435597234728</v>
      </c>
      <c r="S232" s="97">
        <f t="shared" si="298"/>
        <v>90.553454149580318</v>
      </c>
      <c r="T232" s="97">
        <f t="shared" si="298"/>
        <v>82.356861520230268</v>
      </c>
      <c r="U232" s="97">
        <f t="shared" si="298"/>
        <v>78.474161883651178</v>
      </c>
      <c r="V232" s="97">
        <f t="shared" si="298"/>
        <v>75.694052626850933</v>
      </c>
      <c r="W232" s="97">
        <f t="shared" ref="W232" si="299">IF(W20=0,0,W80/W20*1000)</f>
        <v>68.281617126810573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15.067331287235959</v>
      </c>
      <c r="C233" s="130">
        <f t="shared" si="300"/>
        <v>9.4777929635866354</v>
      </c>
      <c r="D233" s="130">
        <f t="shared" si="300"/>
        <v>13.695624427945958</v>
      </c>
      <c r="E233" s="130">
        <f t="shared" si="300"/>
        <v>8.46199027663374</v>
      </c>
      <c r="F233" s="130">
        <f t="shared" si="300"/>
        <v>9.2923352227894132</v>
      </c>
      <c r="G233" s="130">
        <f t="shared" si="300"/>
        <v>4.9036375539401051</v>
      </c>
      <c r="H233" s="130">
        <f t="shared" si="300"/>
        <v>5.412504771333106</v>
      </c>
      <c r="I233" s="130">
        <f t="shared" si="300"/>
        <v>10.718841886274625</v>
      </c>
      <c r="J233" s="130">
        <f t="shared" si="300"/>
        <v>9.8647733196740965</v>
      </c>
      <c r="K233" s="130">
        <f t="shared" si="300"/>
        <v>8.0889974592426359</v>
      </c>
      <c r="L233" s="130">
        <f t="shared" si="300"/>
        <v>8.6785844893219437</v>
      </c>
      <c r="M233" s="130">
        <f t="shared" si="300"/>
        <v>10.903522990716837</v>
      </c>
      <c r="N233" s="130">
        <f t="shared" si="300"/>
        <v>10.400746289363552</v>
      </c>
      <c r="O233" s="130">
        <f t="shared" si="300"/>
        <v>9.8976163597639228</v>
      </c>
      <c r="P233" s="130">
        <f t="shared" si="300"/>
        <v>6.4875847796434947</v>
      </c>
      <c r="Q233" s="130">
        <f t="shared" si="300"/>
        <v>8.3886805062614531</v>
      </c>
      <c r="R233" s="130">
        <f t="shared" si="300"/>
        <v>8.3853570905724126</v>
      </c>
      <c r="S233" s="130">
        <f t="shared" si="300"/>
        <v>7.3022111552079325</v>
      </c>
      <c r="T233" s="130">
        <f t="shared" si="300"/>
        <v>7.2423661704180597</v>
      </c>
      <c r="U233" s="130">
        <f t="shared" si="300"/>
        <v>8.8988401397609511</v>
      </c>
      <c r="V233" s="130">
        <f t="shared" si="300"/>
        <v>6.9965798923986791</v>
      </c>
      <c r="W233" s="130">
        <f t="shared" ref="W233" si="301">IF(W21=0,0,W81/W21*1000)</f>
        <v>10.52605029038018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507.83237436397553</v>
      </c>
      <c r="C234" s="130">
        <f t="shared" si="302"/>
        <v>458.9156665882507</v>
      </c>
      <c r="D234" s="130">
        <f t="shared" si="302"/>
        <v>468.27142134563695</v>
      </c>
      <c r="E234" s="130">
        <f t="shared" si="302"/>
        <v>473.6150169948304</v>
      </c>
      <c r="F234" s="130">
        <f t="shared" si="302"/>
        <v>530.41197307270681</v>
      </c>
      <c r="G234" s="130">
        <f t="shared" si="302"/>
        <v>479.60935208749225</v>
      </c>
      <c r="H234" s="130">
        <f t="shared" si="302"/>
        <v>524.28305855199903</v>
      </c>
      <c r="I234" s="130">
        <f t="shared" si="302"/>
        <v>426.80470809177774</v>
      </c>
      <c r="J234" s="130">
        <f t="shared" si="302"/>
        <v>331.16869275707802</v>
      </c>
      <c r="K234" s="130">
        <f t="shared" si="302"/>
        <v>357.5113375562816</v>
      </c>
      <c r="L234" s="130">
        <f t="shared" si="302"/>
        <v>367.2341198956305</v>
      </c>
      <c r="M234" s="130">
        <f t="shared" si="302"/>
        <v>286.25409617889659</v>
      </c>
      <c r="N234" s="130">
        <f t="shared" si="302"/>
        <v>197.37363061924631</v>
      </c>
      <c r="O234" s="130">
        <f t="shared" si="302"/>
        <v>221.22790612163826</v>
      </c>
      <c r="P234" s="130">
        <f t="shared" si="302"/>
        <v>244.3597330214773</v>
      </c>
      <c r="Q234" s="130">
        <f t="shared" si="302"/>
        <v>256.09881583687599</v>
      </c>
      <c r="R234" s="130">
        <f t="shared" si="302"/>
        <v>254.16906271115181</v>
      </c>
      <c r="S234" s="130">
        <f t="shared" si="302"/>
        <v>317.6601589949247</v>
      </c>
      <c r="T234" s="130">
        <f t="shared" si="302"/>
        <v>132.65824714305816</v>
      </c>
      <c r="U234" s="130">
        <f t="shared" si="302"/>
        <v>123.15273986922558</v>
      </c>
      <c r="V234" s="130">
        <f t="shared" si="302"/>
        <v>163.953826277156</v>
      </c>
      <c r="W234" s="130">
        <f t="shared" ref="W234" si="303">IF(W22=0,0,W82/W22*1000)</f>
        <v>209.51076194084308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1596.2012803485009</v>
      </c>
      <c r="C235" s="97">
        <f t="shared" si="304"/>
        <v>1593.1007882450126</v>
      </c>
      <c r="D235" s="97">
        <f t="shared" si="304"/>
        <v>1536.9338071254572</v>
      </c>
      <c r="E235" s="97">
        <f t="shared" si="304"/>
        <v>1444.8827364767515</v>
      </c>
      <c r="F235" s="97">
        <f t="shared" si="304"/>
        <v>1634.1097172390369</v>
      </c>
      <c r="G235" s="97">
        <f t="shared" si="304"/>
        <v>1274.6774287377923</v>
      </c>
      <c r="H235" s="97">
        <f t="shared" si="304"/>
        <v>243.19337575667367</v>
      </c>
      <c r="I235" s="97">
        <f t="shared" si="304"/>
        <v>9313.2458710607771</v>
      </c>
      <c r="J235" s="97">
        <f t="shared" si="304"/>
        <v>8841.16314832424</v>
      </c>
      <c r="K235" s="97">
        <f t="shared" si="304"/>
        <v>9229.205529569992</v>
      </c>
      <c r="L235" s="97">
        <f t="shared" si="304"/>
        <v>10775.104312734353</v>
      </c>
      <c r="M235" s="97">
        <f t="shared" si="304"/>
        <v>6191.6896803675345</v>
      </c>
      <c r="N235" s="97">
        <f t="shared" si="304"/>
        <v>2886.0339871557171</v>
      </c>
      <c r="O235" s="97">
        <f t="shared" si="304"/>
        <v>3390.3301355441613</v>
      </c>
      <c r="P235" s="97">
        <f t="shared" si="304"/>
        <v>1715.2811810715359</v>
      </c>
      <c r="Q235" s="97">
        <f t="shared" si="304"/>
        <v>2206.1711648348141</v>
      </c>
      <c r="R235" s="97">
        <f t="shared" si="304"/>
        <v>1176.9118902455125</v>
      </c>
      <c r="S235" s="97">
        <f t="shared" si="304"/>
        <v>1831.1552483485864</v>
      </c>
      <c r="T235" s="97">
        <f t="shared" si="304"/>
        <v>1922.4245994631115</v>
      </c>
      <c r="U235" s="97">
        <f t="shared" si="304"/>
        <v>2137.2224410978915</v>
      </c>
      <c r="V235" s="97">
        <f t="shared" si="304"/>
        <v>3252.9789166660507</v>
      </c>
      <c r="W235" s="97">
        <f t="shared" ref="W235" si="305">IF(W23=0,0,W83/W23*1000)</f>
        <v>3162.1388917847908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805.24255616187486</v>
      </c>
      <c r="C236" s="97">
        <f t="shared" si="306"/>
        <v>755.35477961751701</v>
      </c>
      <c r="D236" s="97">
        <f t="shared" si="306"/>
        <v>799.6231420241802</v>
      </c>
      <c r="E236" s="97">
        <f t="shared" si="306"/>
        <v>787.62870018647493</v>
      </c>
      <c r="F236" s="97">
        <f t="shared" si="306"/>
        <v>871.47751298225614</v>
      </c>
      <c r="G236" s="97">
        <f t="shared" si="306"/>
        <v>630.48506546590795</v>
      </c>
      <c r="H236" s="97">
        <f t="shared" si="306"/>
        <v>722.17999572671147</v>
      </c>
      <c r="I236" s="97">
        <f t="shared" si="306"/>
        <v>447.83794078486721</v>
      </c>
      <c r="J236" s="97">
        <f t="shared" si="306"/>
        <v>408.29099001494046</v>
      </c>
      <c r="K236" s="97">
        <f t="shared" si="306"/>
        <v>415.77844460707018</v>
      </c>
      <c r="L236" s="97">
        <f t="shared" si="306"/>
        <v>440.30020301775465</v>
      </c>
      <c r="M236" s="97">
        <f t="shared" si="306"/>
        <v>392.97077837390634</v>
      </c>
      <c r="N236" s="97">
        <f t="shared" si="306"/>
        <v>313.18721633491265</v>
      </c>
      <c r="O236" s="97">
        <f t="shared" si="306"/>
        <v>378.61524067073231</v>
      </c>
      <c r="P236" s="97">
        <f t="shared" si="306"/>
        <v>386.61979543838572</v>
      </c>
      <c r="Q236" s="97">
        <f t="shared" si="306"/>
        <v>370.20125749437693</v>
      </c>
      <c r="R236" s="97">
        <f t="shared" si="306"/>
        <v>352.36217503989576</v>
      </c>
      <c r="S236" s="97">
        <f t="shared" si="306"/>
        <v>418.5444798087309</v>
      </c>
      <c r="T236" s="97">
        <f t="shared" si="306"/>
        <v>144.74694436823896</v>
      </c>
      <c r="U236" s="97">
        <f t="shared" si="306"/>
        <v>145.1123005362096</v>
      </c>
      <c r="V236" s="97">
        <f t="shared" si="306"/>
        <v>144.72659260452261</v>
      </c>
      <c r="W236" s="97">
        <f t="shared" ref="W236" si="307">IF(W24=0,0,W84/W24*1000)</f>
        <v>178.04929218628249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194.86118862504557</v>
      </c>
      <c r="C237" s="97">
        <f t="shared" si="308"/>
        <v>185.87692883732404</v>
      </c>
      <c r="D237" s="97">
        <f t="shared" si="308"/>
        <v>196.20963594463811</v>
      </c>
      <c r="E237" s="97">
        <f t="shared" si="308"/>
        <v>216.1623148650512</v>
      </c>
      <c r="F237" s="97">
        <f t="shared" si="308"/>
        <v>222.48711132294528</v>
      </c>
      <c r="G237" s="97">
        <f t="shared" si="308"/>
        <v>183.70638963996737</v>
      </c>
      <c r="H237" s="97">
        <f t="shared" si="308"/>
        <v>200.47371252858321</v>
      </c>
      <c r="I237" s="97">
        <f t="shared" si="308"/>
        <v>122.3599451685628</v>
      </c>
      <c r="J237" s="97">
        <f t="shared" si="308"/>
        <v>121.08747890218621</v>
      </c>
      <c r="K237" s="97">
        <f t="shared" si="308"/>
        <v>135.09731401488952</v>
      </c>
      <c r="L237" s="97">
        <f t="shared" si="308"/>
        <v>151.98965115037129</v>
      </c>
      <c r="M237" s="97">
        <f t="shared" si="308"/>
        <v>138.27550642644201</v>
      </c>
      <c r="N237" s="97">
        <f t="shared" si="308"/>
        <v>115.27467876453102</v>
      </c>
      <c r="O237" s="97">
        <f t="shared" si="308"/>
        <v>114.82533440745519</v>
      </c>
      <c r="P237" s="97">
        <f t="shared" si="308"/>
        <v>80.008398554449585</v>
      </c>
      <c r="Q237" s="97">
        <f t="shared" si="308"/>
        <v>69.536001324433883</v>
      </c>
      <c r="R237" s="97">
        <f t="shared" si="308"/>
        <v>51.571347513418758</v>
      </c>
      <c r="S237" s="97">
        <f t="shared" si="308"/>
        <v>50.050433538920771</v>
      </c>
      <c r="T237" s="97">
        <f t="shared" si="308"/>
        <v>23.439136266997547</v>
      </c>
      <c r="U237" s="97">
        <f t="shared" si="308"/>
        <v>21.793396137632428</v>
      </c>
      <c r="V237" s="97">
        <f t="shared" si="308"/>
        <v>47.923970549515111</v>
      </c>
      <c r="W237" s="97">
        <f t="shared" ref="W237" si="309">IF(W25=0,0,W85/W25*1000)</f>
        <v>39.191716170658111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136.52949977220959</v>
      </c>
      <c r="C238" s="130">
        <f t="shared" si="310"/>
        <v>118.70912504005828</v>
      </c>
      <c r="D238" s="130">
        <f t="shared" si="310"/>
        <v>90.664928305410612</v>
      </c>
      <c r="E238" s="130">
        <f t="shared" si="310"/>
        <v>62.385337165577965</v>
      </c>
      <c r="F238" s="130">
        <f t="shared" si="310"/>
        <v>19.053800230050321</v>
      </c>
      <c r="G238" s="130">
        <f t="shared" si="310"/>
        <v>15.480611423829282</v>
      </c>
      <c r="H238" s="130">
        <f t="shared" si="310"/>
        <v>15.617568856197137</v>
      </c>
      <c r="I238" s="130">
        <f t="shared" si="310"/>
        <v>32.253061354484444</v>
      </c>
      <c r="J238" s="130">
        <f t="shared" si="310"/>
        <v>27.773147885345917</v>
      </c>
      <c r="K238" s="130">
        <f t="shared" si="310"/>
        <v>14.624751381215468</v>
      </c>
      <c r="L238" s="130">
        <f t="shared" si="310"/>
        <v>12.908113381294966</v>
      </c>
      <c r="M238" s="130">
        <f t="shared" si="310"/>
        <v>14.243263118590585</v>
      </c>
      <c r="N238" s="130">
        <f t="shared" si="310"/>
        <v>10.548419089456869</v>
      </c>
      <c r="O238" s="130">
        <f t="shared" si="310"/>
        <v>10.531114759026304</v>
      </c>
      <c r="P238" s="130">
        <f t="shared" si="310"/>
        <v>9.8932119795918396</v>
      </c>
      <c r="Q238" s="130">
        <f t="shared" si="310"/>
        <v>10.268132888821386</v>
      </c>
      <c r="R238" s="130">
        <f t="shared" si="310"/>
        <v>9.5626351402721834</v>
      </c>
      <c r="S238" s="130">
        <f t="shared" si="310"/>
        <v>10.011587834145562</v>
      </c>
      <c r="T238" s="130">
        <f t="shared" si="310"/>
        <v>10.210113354538782</v>
      </c>
      <c r="U238" s="130">
        <f t="shared" si="310"/>
        <v>9.6890435337106826</v>
      </c>
      <c r="V238" s="130">
        <f t="shared" si="310"/>
        <v>9.5225183018037818</v>
      </c>
      <c r="W238" s="130">
        <f t="shared" ref="W238" si="311">IF(W26=0,0,W86/W26*1000)</f>
        <v>11.840478565300989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0</v>
      </c>
      <c r="C239" s="97">
        <f t="shared" si="312"/>
        <v>0</v>
      </c>
      <c r="D239" s="97">
        <f t="shared" si="312"/>
        <v>0</v>
      </c>
      <c r="E239" s="97">
        <f t="shared" si="312"/>
        <v>0</v>
      </c>
      <c r="F239" s="97">
        <f t="shared" si="312"/>
        <v>0</v>
      </c>
      <c r="G239" s="97">
        <f t="shared" si="312"/>
        <v>0</v>
      </c>
      <c r="H239" s="97">
        <f t="shared" si="312"/>
        <v>0</v>
      </c>
      <c r="I239" s="97">
        <f t="shared" si="312"/>
        <v>0</v>
      </c>
      <c r="J239" s="97">
        <f t="shared" si="312"/>
        <v>0</v>
      </c>
      <c r="K239" s="97">
        <f t="shared" si="312"/>
        <v>0</v>
      </c>
      <c r="L239" s="97">
        <f t="shared" si="312"/>
        <v>0</v>
      </c>
      <c r="M239" s="97">
        <f t="shared" si="312"/>
        <v>0</v>
      </c>
      <c r="N239" s="97">
        <f t="shared" si="312"/>
        <v>0</v>
      </c>
      <c r="O239" s="97">
        <f t="shared" si="312"/>
        <v>0</v>
      </c>
      <c r="P239" s="97">
        <f t="shared" si="312"/>
        <v>0</v>
      </c>
      <c r="Q239" s="97">
        <f t="shared" si="312"/>
        <v>0</v>
      </c>
      <c r="R239" s="97">
        <f t="shared" si="312"/>
        <v>0</v>
      </c>
      <c r="S239" s="97">
        <f t="shared" si="312"/>
        <v>0</v>
      </c>
      <c r="T239" s="97">
        <f t="shared" si="312"/>
        <v>0</v>
      </c>
      <c r="U239" s="97">
        <f t="shared" si="312"/>
        <v>0</v>
      </c>
      <c r="V239" s="97">
        <f t="shared" si="312"/>
        <v>0</v>
      </c>
      <c r="W239" s="97">
        <f t="shared" ref="W239" si="313">IF(W27=0,0,W87/W27*1000)</f>
        <v>0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136.52949977220959</v>
      </c>
      <c r="C240" s="98">
        <f t="shared" si="314"/>
        <v>118.70912504005828</v>
      </c>
      <c r="D240" s="98">
        <f t="shared" si="314"/>
        <v>90.664928305410612</v>
      </c>
      <c r="E240" s="98">
        <f t="shared" si="314"/>
        <v>62.385337165577965</v>
      </c>
      <c r="F240" s="98">
        <f t="shared" si="314"/>
        <v>19.053800230050321</v>
      </c>
      <c r="G240" s="98">
        <f t="shared" si="314"/>
        <v>15.480611423829282</v>
      </c>
      <c r="H240" s="98">
        <f t="shared" si="314"/>
        <v>15.617568856197137</v>
      </c>
      <c r="I240" s="98">
        <f t="shared" si="314"/>
        <v>32.253061354484444</v>
      </c>
      <c r="J240" s="98">
        <f t="shared" si="314"/>
        <v>27.773147885345917</v>
      </c>
      <c r="K240" s="98">
        <f t="shared" si="314"/>
        <v>14.624751381215468</v>
      </c>
      <c r="L240" s="98">
        <f t="shared" si="314"/>
        <v>12.908113381294966</v>
      </c>
      <c r="M240" s="98">
        <f t="shared" si="314"/>
        <v>14.243263118590585</v>
      </c>
      <c r="N240" s="98">
        <f t="shared" si="314"/>
        <v>10.548419089456869</v>
      </c>
      <c r="O240" s="98">
        <f t="shared" si="314"/>
        <v>10.531114759026304</v>
      </c>
      <c r="P240" s="98">
        <f t="shared" si="314"/>
        <v>9.8932119795918396</v>
      </c>
      <c r="Q240" s="98">
        <f t="shared" si="314"/>
        <v>10.268132888821386</v>
      </c>
      <c r="R240" s="98">
        <f t="shared" si="314"/>
        <v>9.5626351402721834</v>
      </c>
      <c r="S240" s="98">
        <f t="shared" si="314"/>
        <v>10.011587834145562</v>
      </c>
      <c r="T240" s="98">
        <f t="shared" si="314"/>
        <v>10.210113354538782</v>
      </c>
      <c r="U240" s="98">
        <f t="shared" si="314"/>
        <v>9.6890435337106826</v>
      </c>
      <c r="V240" s="98">
        <f t="shared" si="314"/>
        <v>9.5225183018037818</v>
      </c>
      <c r="W240" s="98">
        <f t="shared" ref="W240:W243" si="315">IF(W28=0,0,W88/W28*1000)</f>
        <v>11.840478565300989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0</v>
      </c>
      <c r="C241" s="32">
        <f t="shared" si="316"/>
        <v>0</v>
      </c>
      <c r="D241" s="32">
        <f t="shared" si="316"/>
        <v>0</v>
      </c>
      <c r="E241" s="32">
        <f t="shared" si="316"/>
        <v>0</v>
      </c>
      <c r="F241" s="32">
        <f t="shared" si="316"/>
        <v>0</v>
      </c>
      <c r="G241" s="32">
        <f t="shared" si="316"/>
        <v>0</v>
      </c>
      <c r="H241" s="32">
        <f t="shared" si="316"/>
        <v>0</v>
      </c>
      <c r="I241" s="32">
        <f t="shared" si="316"/>
        <v>1.2910893447121916</v>
      </c>
      <c r="J241" s="32">
        <f t="shared" si="316"/>
        <v>2.1316032677018395</v>
      </c>
      <c r="K241" s="32">
        <f t="shared" si="316"/>
        <v>0.79047095362105368</v>
      </c>
      <c r="L241" s="32">
        <f t="shared" si="316"/>
        <v>0.6198232440390683</v>
      </c>
      <c r="M241" s="32">
        <f t="shared" si="316"/>
        <v>0.35656622103839508</v>
      </c>
      <c r="N241" s="32">
        <f t="shared" si="316"/>
        <v>0.48020969763422938</v>
      </c>
      <c r="O241" s="32">
        <f t="shared" si="316"/>
        <v>1.1933536417325692</v>
      </c>
      <c r="P241" s="32">
        <f t="shared" si="316"/>
        <v>2.7550726582286158</v>
      </c>
      <c r="Q241" s="32">
        <f t="shared" si="316"/>
        <v>1.4005081046374881</v>
      </c>
      <c r="R241" s="32">
        <f t="shared" si="316"/>
        <v>1.0153364175029964</v>
      </c>
      <c r="S241" s="32">
        <f t="shared" si="316"/>
        <v>0.94754438436935229</v>
      </c>
      <c r="T241" s="32">
        <f t="shared" si="316"/>
        <v>0.55004001505492339</v>
      </c>
      <c r="U241" s="32">
        <f t="shared" si="316"/>
        <v>0.95567603239505594</v>
      </c>
      <c r="V241" s="32">
        <f t="shared" si="316"/>
        <v>1.4346021235423356</v>
      </c>
      <c r="W241" s="32">
        <f t="shared" si="315"/>
        <v>0.96494230856461993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0</v>
      </c>
      <c r="C242" s="97">
        <f t="shared" si="317"/>
        <v>0</v>
      </c>
      <c r="D242" s="97">
        <f t="shared" si="317"/>
        <v>0</v>
      </c>
      <c r="E242" s="97">
        <f t="shared" si="317"/>
        <v>0</v>
      </c>
      <c r="F242" s="97">
        <f t="shared" si="317"/>
        <v>0</v>
      </c>
      <c r="G242" s="97">
        <f t="shared" si="317"/>
        <v>0</v>
      </c>
      <c r="H242" s="97">
        <f t="shared" si="317"/>
        <v>0</v>
      </c>
      <c r="I242" s="97">
        <f t="shared" si="317"/>
        <v>3.1567644043330452</v>
      </c>
      <c r="J242" s="97">
        <f t="shared" si="317"/>
        <v>5.3535334475965364</v>
      </c>
      <c r="K242" s="97">
        <f t="shared" si="317"/>
        <v>1.2088365874860756</v>
      </c>
      <c r="L242" s="97">
        <f t="shared" si="317"/>
        <v>1.1621931825672021</v>
      </c>
      <c r="M242" s="97">
        <f t="shared" si="317"/>
        <v>0.72107958644086001</v>
      </c>
      <c r="N242" s="97">
        <f t="shared" si="317"/>
        <v>1.1102586887708734</v>
      </c>
      <c r="O242" s="97">
        <f t="shared" si="317"/>
        <v>2.8417655480050814</v>
      </c>
      <c r="P242" s="97">
        <f t="shared" si="317"/>
        <v>5.4806837871226746</v>
      </c>
      <c r="Q242" s="97">
        <f t="shared" si="317"/>
        <v>2.7738998347212389</v>
      </c>
      <c r="R242" s="97">
        <f t="shared" si="317"/>
        <v>1.9597614947110205</v>
      </c>
      <c r="S242" s="97">
        <f t="shared" si="317"/>
        <v>1.6802872259470234</v>
      </c>
      <c r="T242" s="97">
        <f t="shared" si="317"/>
        <v>0.93116652788734211</v>
      </c>
      <c r="U242" s="97">
        <f t="shared" si="317"/>
        <v>1.9135615548626781</v>
      </c>
      <c r="V242" s="97">
        <f t="shared" si="317"/>
        <v>2.4216296100259656</v>
      </c>
      <c r="W242" s="97">
        <f t="shared" si="315"/>
        <v>1.7490716555936547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0</v>
      </c>
      <c r="C243" s="98">
        <f t="shared" si="318"/>
        <v>0</v>
      </c>
      <c r="D243" s="98">
        <f t="shared" si="318"/>
        <v>0</v>
      </c>
      <c r="E243" s="98">
        <f t="shared" si="318"/>
        <v>0</v>
      </c>
      <c r="F243" s="98">
        <f t="shared" si="318"/>
        <v>0</v>
      </c>
      <c r="G243" s="98">
        <f t="shared" si="318"/>
        <v>0</v>
      </c>
      <c r="H243" s="98">
        <f t="shared" si="318"/>
        <v>0</v>
      </c>
      <c r="I243" s="98">
        <f t="shared" si="318"/>
        <v>1.0518893072179876</v>
      </c>
      <c r="J243" s="98">
        <f t="shared" si="318"/>
        <v>1.7364132281998776</v>
      </c>
      <c r="K243" s="98">
        <f t="shared" si="318"/>
        <v>0.6101235482890488</v>
      </c>
      <c r="L243" s="98">
        <f t="shared" si="318"/>
        <v>0.47061511915909471</v>
      </c>
      <c r="M243" s="98">
        <f t="shared" si="318"/>
        <v>0.27145521409614454</v>
      </c>
      <c r="N243" s="98">
        <f t="shared" si="318"/>
        <v>0.37234067788162389</v>
      </c>
      <c r="O243" s="98">
        <f t="shared" si="318"/>
        <v>0.93683640056599826</v>
      </c>
      <c r="P243" s="98">
        <f t="shared" si="318"/>
        <v>2.0905628709917381</v>
      </c>
      <c r="Q243" s="98">
        <f t="shared" si="318"/>
        <v>1.0592218188210505</v>
      </c>
      <c r="R243" s="98">
        <f t="shared" si="318"/>
        <v>0.76977651113508938</v>
      </c>
      <c r="S243" s="98">
        <f t="shared" si="318"/>
        <v>0.71480089434811633</v>
      </c>
      <c r="T243" s="98">
        <f t="shared" si="318"/>
        <v>0.41674071684250241</v>
      </c>
      <c r="U243" s="98">
        <f t="shared" si="318"/>
        <v>0.72437538718151595</v>
      </c>
      <c r="V243" s="98">
        <f t="shared" si="318"/>
        <v>1.1601867630021847</v>
      </c>
      <c r="W243" s="98">
        <f t="shared" si="315"/>
        <v>0.77616548071675151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58977.307773178742</v>
      </c>
      <c r="C4" s="29">
        <f t="shared" si="0"/>
        <v>59849.064464163443</v>
      </c>
      <c r="D4" s="29">
        <f t="shared" si="0"/>
        <v>61261.778102206976</v>
      </c>
      <c r="E4" s="29">
        <f t="shared" si="0"/>
        <v>65732.01231725156</v>
      </c>
      <c r="F4" s="29">
        <f t="shared" si="0"/>
        <v>67718.327757605177</v>
      </c>
      <c r="G4" s="29">
        <f t="shared" si="0"/>
        <v>73094.307151195244</v>
      </c>
      <c r="H4" s="29">
        <f t="shared" si="0"/>
        <v>76144.50778428388</v>
      </c>
      <c r="I4" s="29">
        <f t="shared" si="0"/>
        <v>79990.173250215186</v>
      </c>
      <c r="J4" s="29">
        <f t="shared" si="0"/>
        <v>91109.107745909816</v>
      </c>
      <c r="K4" s="29">
        <f t="shared" si="0"/>
        <v>93062.107590179454</v>
      </c>
      <c r="L4" s="29">
        <f t="shared" ref="L4" si="1">L5+L6+L13</f>
        <v>91790.929005354992</v>
      </c>
      <c r="M4" s="29">
        <f t="shared" ref="M4:V4" si="2">M5+M6+M13</f>
        <v>91015.475080704928</v>
      </c>
      <c r="N4" s="29">
        <f t="shared" si="2"/>
        <v>94477.140270162447</v>
      </c>
      <c r="O4" s="29">
        <f t="shared" si="2"/>
        <v>98015.098044381186</v>
      </c>
      <c r="P4" s="29">
        <f t="shared" si="2"/>
        <v>104133.13795115391</v>
      </c>
      <c r="Q4" s="29">
        <f t="shared" si="2"/>
        <v>115366.21107872232</v>
      </c>
      <c r="R4" s="29">
        <f t="shared" si="2"/>
        <v>121912.71845486473</v>
      </c>
      <c r="S4" s="29">
        <f t="shared" si="2"/>
        <v>122988.77897378545</v>
      </c>
      <c r="T4" s="29">
        <f t="shared" si="2"/>
        <v>131163.04254122192</v>
      </c>
      <c r="U4" s="29">
        <f t="shared" si="2"/>
        <v>137887.67095261603</v>
      </c>
      <c r="V4" s="29">
        <f t="shared" si="2"/>
        <v>118442.79311243948</v>
      </c>
      <c r="W4" s="29">
        <f t="shared" ref="W4" si="3">W5+W6+W13</f>
        <v>129364.80316283408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277.30777317873964</v>
      </c>
      <c r="C5" s="152">
        <f t="shared" si="4"/>
        <v>276.06446416343556</v>
      </c>
      <c r="D5" s="152">
        <f t="shared" si="4"/>
        <v>274.77810220697341</v>
      </c>
      <c r="E5" s="152">
        <f t="shared" si="4"/>
        <v>277.0123172515672</v>
      </c>
      <c r="F5" s="152">
        <f t="shared" si="4"/>
        <v>280.3277576051679</v>
      </c>
      <c r="G5" s="152">
        <f t="shared" si="4"/>
        <v>283.30715119524132</v>
      </c>
      <c r="H5" s="152">
        <f t="shared" si="4"/>
        <v>309.50778428388929</v>
      </c>
      <c r="I5" s="152">
        <f t="shared" si="4"/>
        <v>334.17325021518138</v>
      </c>
      <c r="J5" s="152">
        <f t="shared" si="4"/>
        <v>415.10774590981333</v>
      </c>
      <c r="K5" s="152">
        <f t="shared" si="4"/>
        <v>454.10759017945537</v>
      </c>
      <c r="L5" s="152">
        <f t="shared" ref="L5:L7" si="5">IF(L32=0,0,L32*L142)</f>
        <v>478.9290053549866</v>
      </c>
      <c r="M5" s="152">
        <f t="shared" ref="M5:V5" si="6">IF(M32=0,0,M32*M142)</f>
        <v>508.13692738445468</v>
      </c>
      <c r="N5" s="152">
        <f t="shared" si="6"/>
        <v>531.08066316236921</v>
      </c>
      <c r="O5" s="152">
        <f t="shared" si="6"/>
        <v>569.67971832511444</v>
      </c>
      <c r="P5" s="152">
        <f t="shared" si="6"/>
        <v>600.27807891243992</v>
      </c>
      <c r="Q5" s="152">
        <f t="shared" si="6"/>
        <v>635.58169818879969</v>
      </c>
      <c r="R5" s="152">
        <f t="shared" si="6"/>
        <v>689.34161048830174</v>
      </c>
      <c r="S5" s="152">
        <f t="shared" si="6"/>
        <v>657.7655935010755</v>
      </c>
      <c r="T5" s="152">
        <f t="shared" si="6"/>
        <v>633.38280477860326</v>
      </c>
      <c r="U5" s="152">
        <f t="shared" si="6"/>
        <v>678.58309587578913</v>
      </c>
      <c r="V5" s="152">
        <f t="shared" si="6"/>
        <v>618.03659897350849</v>
      </c>
      <c r="W5" s="152">
        <f t="shared" ref="W5" si="7">IF(W32=0,0,W32*W142)</f>
        <v>653.7406325271196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51000</v>
      </c>
      <c r="C6" s="116">
        <f t="shared" si="8"/>
        <v>52500.000000000007</v>
      </c>
      <c r="D6" s="116">
        <f t="shared" si="8"/>
        <v>54000</v>
      </c>
      <c r="E6" s="116">
        <f t="shared" si="8"/>
        <v>56000</v>
      </c>
      <c r="F6" s="116">
        <f t="shared" si="8"/>
        <v>58000</v>
      </c>
      <c r="G6" s="116">
        <f t="shared" si="8"/>
        <v>61000.000000000007</v>
      </c>
      <c r="H6" s="116">
        <f t="shared" si="8"/>
        <v>64099.999999999993</v>
      </c>
      <c r="I6" s="116">
        <f t="shared" si="8"/>
        <v>67500</v>
      </c>
      <c r="J6" s="116">
        <f t="shared" si="8"/>
        <v>70500</v>
      </c>
      <c r="K6" s="116">
        <f t="shared" si="8"/>
        <v>75500</v>
      </c>
      <c r="L6" s="116">
        <f t="shared" ref="L6" si="9">SUM(L7:L12)</f>
        <v>75500</v>
      </c>
      <c r="M6" s="116">
        <f t="shared" ref="M6:V6" si="10">SUM(M7:M12)</f>
        <v>74978.338153320467</v>
      </c>
      <c r="N6" s="116">
        <f t="shared" si="10"/>
        <v>77045.059607000076</v>
      </c>
      <c r="O6" s="116">
        <f t="shared" si="10"/>
        <v>80363.418326056068</v>
      </c>
      <c r="P6" s="116">
        <f t="shared" si="10"/>
        <v>85193.859872241475</v>
      </c>
      <c r="Q6" s="116">
        <f t="shared" si="10"/>
        <v>89866.362080533509</v>
      </c>
      <c r="R6" s="116">
        <f t="shared" si="10"/>
        <v>95591.682544376425</v>
      </c>
      <c r="S6" s="116">
        <f t="shared" si="10"/>
        <v>97303.330280284368</v>
      </c>
      <c r="T6" s="116">
        <f t="shared" si="10"/>
        <v>103803.3617364433</v>
      </c>
      <c r="U6" s="116">
        <f t="shared" si="10"/>
        <v>110510.03785674024</v>
      </c>
      <c r="V6" s="116">
        <f t="shared" si="10"/>
        <v>99122.721513465964</v>
      </c>
      <c r="W6" s="116">
        <f t="shared" ref="W6" si="11">SUM(W7:W12)</f>
        <v>108998.75153030697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44078.073770595343</v>
      </c>
      <c r="C7" s="87">
        <f t="shared" si="12"/>
        <v>45023.051006492082</v>
      </c>
      <c r="D7" s="87">
        <f t="shared" si="12"/>
        <v>44366.912739173895</v>
      </c>
      <c r="E7" s="87">
        <f t="shared" si="12"/>
        <v>43899.596140308007</v>
      </c>
      <c r="F7" s="87">
        <f t="shared" si="12"/>
        <v>43954.646703064449</v>
      </c>
      <c r="G7" s="87">
        <f t="shared" si="12"/>
        <v>41873.028928666863</v>
      </c>
      <c r="H7" s="87">
        <f t="shared" si="12"/>
        <v>40591.066731632811</v>
      </c>
      <c r="I7" s="87">
        <f t="shared" si="12"/>
        <v>38826.496757958143</v>
      </c>
      <c r="J7" s="87">
        <f t="shared" si="12"/>
        <v>34774.766433376848</v>
      </c>
      <c r="K7" s="87">
        <f t="shared" si="12"/>
        <v>35240.700401302325</v>
      </c>
      <c r="L7" s="87">
        <f t="shared" si="5"/>
        <v>35599.948665991156</v>
      </c>
      <c r="M7" s="87">
        <f t="shared" ref="M7:V7" si="13">IF(M34=0,0,M34*M144)</f>
        <v>30676.525109318289</v>
      </c>
      <c r="N7" s="87">
        <f t="shared" si="13"/>
        <v>29903.453829852791</v>
      </c>
      <c r="O7" s="87">
        <f t="shared" si="13"/>
        <v>32642.461284547331</v>
      </c>
      <c r="P7" s="87">
        <f t="shared" si="13"/>
        <v>36317.568417978364</v>
      </c>
      <c r="Q7" s="87">
        <f t="shared" si="13"/>
        <v>36578.320892849501</v>
      </c>
      <c r="R7" s="87">
        <f t="shared" si="13"/>
        <v>36020.029606464763</v>
      </c>
      <c r="S7" s="87">
        <f t="shared" si="13"/>
        <v>35302.651600872363</v>
      </c>
      <c r="T7" s="87">
        <f t="shared" si="13"/>
        <v>35678.440603518167</v>
      </c>
      <c r="U7" s="87">
        <f t="shared" si="13"/>
        <v>36407.732925718839</v>
      </c>
      <c r="V7" s="87">
        <f t="shared" si="13"/>
        <v>34008.839579033483</v>
      </c>
      <c r="W7" s="87">
        <f t="shared" ref="W7" si="14">IF(W34=0,0,W34*W144)</f>
        <v>37894.166401552757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6921.9262294046566</v>
      </c>
      <c r="C8" s="87">
        <f t="shared" si="15"/>
        <v>7476.9489935079255</v>
      </c>
      <c r="D8" s="87">
        <f t="shared" si="15"/>
        <v>9546.2652633329562</v>
      </c>
      <c r="E8" s="87">
        <f t="shared" si="15"/>
        <v>11886.423130088799</v>
      </c>
      <c r="F8" s="87">
        <f t="shared" si="15"/>
        <v>13540.556184678258</v>
      </c>
      <c r="G8" s="87">
        <f t="shared" si="15"/>
        <v>18596.508262424919</v>
      </c>
      <c r="H8" s="87">
        <f t="shared" si="15"/>
        <v>22963.914380953782</v>
      </c>
      <c r="I8" s="87">
        <f t="shared" si="15"/>
        <v>27931.5754291302</v>
      </c>
      <c r="J8" s="87">
        <f t="shared" si="15"/>
        <v>35062.534155964458</v>
      </c>
      <c r="K8" s="87">
        <f t="shared" si="15"/>
        <v>39653.319679770299</v>
      </c>
      <c r="L8" s="87">
        <f t="shared" ref="L8" si="16">IF(L35=0,0,L35*L145)</f>
        <v>39388.553710982123</v>
      </c>
      <c r="M8" s="87">
        <f t="shared" ref="M8:V8" si="17">IF(M35=0,0,M35*M145)</f>
        <v>42792.64930691979</v>
      </c>
      <c r="N8" s="87">
        <f t="shared" si="17"/>
        <v>45837.937931159613</v>
      </c>
      <c r="O8" s="87">
        <f t="shared" si="17"/>
        <v>46523.878061219461</v>
      </c>
      <c r="P8" s="87">
        <f t="shared" si="17"/>
        <v>47524.556134247447</v>
      </c>
      <c r="Q8" s="87">
        <f t="shared" si="17"/>
        <v>51609.508643742411</v>
      </c>
      <c r="R8" s="87">
        <f t="shared" si="17"/>
        <v>57814.851711183495</v>
      </c>
      <c r="S8" s="87">
        <f t="shared" si="17"/>
        <v>59794.955982268606</v>
      </c>
      <c r="T8" s="87">
        <f t="shared" si="17"/>
        <v>65685.483429848828</v>
      </c>
      <c r="U8" s="87">
        <f t="shared" si="17"/>
        <v>71400.283509265835</v>
      </c>
      <c r="V8" s="87">
        <f t="shared" si="17"/>
        <v>62084.032557173668</v>
      </c>
      <c r="W8" s="87">
        <f t="shared" ref="W8" si="18">IF(W35=0,0,W35*W145)</f>
        <v>66957.489108468028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0</v>
      </c>
      <c r="C9" s="87">
        <f t="shared" si="19"/>
        <v>0</v>
      </c>
      <c r="D9" s="87">
        <f t="shared" si="19"/>
        <v>86.821997493151031</v>
      </c>
      <c r="E9" s="87">
        <f t="shared" si="19"/>
        <v>213.98072960319743</v>
      </c>
      <c r="F9" s="87">
        <f t="shared" si="19"/>
        <v>504.7971122572913</v>
      </c>
      <c r="G9" s="87">
        <f t="shared" si="19"/>
        <v>530.46280890822652</v>
      </c>
      <c r="H9" s="87">
        <f t="shared" si="19"/>
        <v>545.01888741339974</v>
      </c>
      <c r="I9" s="87">
        <f t="shared" si="19"/>
        <v>741.92781291166057</v>
      </c>
      <c r="J9" s="87">
        <f t="shared" si="19"/>
        <v>662.69941065869057</v>
      </c>
      <c r="K9" s="87">
        <f t="shared" si="19"/>
        <v>605.96088726281494</v>
      </c>
      <c r="L9" s="87">
        <f t="shared" ref="L9" si="20">IF(L36=0,0,L36*L146)</f>
        <v>508.01453415187814</v>
      </c>
      <c r="M9" s="87">
        <f t="shared" ref="M9:V9" si="21">IF(M36=0,0,M36*M146)</f>
        <v>1501.2657220143667</v>
      </c>
      <c r="N9" s="87">
        <f t="shared" si="21"/>
        <v>1287.3768287977493</v>
      </c>
      <c r="O9" s="87">
        <f t="shared" si="21"/>
        <v>1176.3368965786999</v>
      </c>
      <c r="P9" s="87">
        <f t="shared" si="21"/>
        <v>1327.3900436148613</v>
      </c>
      <c r="Q9" s="87">
        <f t="shared" si="21"/>
        <v>1651.4334184716668</v>
      </c>
      <c r="R9" s="87">
        <f t="shared" si="21"/>
        <v>1726.2641261746173</v>
      </c>
      <c r="S9" s="87">
        <f t="shared" si="21"/>
        <v>2167.5394624774331</v>
      </c>
      <c r="T9" s="87">
        <f t="shared" si="21"/>
        <v>2389.0792127088412</v>
      </c>
      <c r="U9" s="87">
        <f t="shared" si="21"/>
        <v>2623.956296093776</v>
      </c>
      <c r="V9" s="87">
        <f t="shared" si="21"/>
        <v>2910.6578333677012</v>
      </c>
      <c r="W9" s="87">
        <f t="shared" ref="W9" si="22">IF(W36=0,0,W36*W146)</f>
        <v>3865.3227067028929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1.8132146285660076</v>
      </c>
      <c r="O11" s="87">
        <f t="shared" si="29"/>
        <v>1.8804315335406483</v>
      </c>
      <c r="P11" s="87">
        <f t="shared" si="29"/>
        <v>2.2519189490519631</v>
      </c>
      <c r="Q11" s="87">
        <f t="shared" si="29"/>
        <v>2.8553242680396727</v>
      </c>
      <c r="R11" s="87">
        <f t="shared" si="29"/>
        <v>2.3086426191961285</v>
      </c>
      <c r="S11" s="87">
        <f t="shared" si="29"/>
        <v>4.4662085592772112</v>
      </c>
      <c r="T11" s="87">
        <f t="shared" si="29"/>
        <v>8.1897129099164232</v>
      </c>
      <c r="U11" s="87">
        <f t="shared" si="29"/>
        <v>12.30385775656779</v>
      </c>
      <c r="V11" s="87">
        <f t="shared" si="29"/>
        <v>27.462013033040417</v>
      </c>
      <c r="W11" s="87">
        <f t="shared" ref="W11" si="30">IF(W38=0,0,W38*W148)</f>
        <v>76.229075733591472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1.9031664563002777E-2</v>
      </c>
      <c r="L12" s="87">
        <f t="shared" ref="L12" si="32">IF(L39=0,0,L39*L149)</f>
        <v>3.4830888748393027</v>
      </c>
      <c r="M12" s="87">
        <f t="shared" ref="M12:V12" si="33">IF(M39=0,0,M39*M149)</f>
        <v>7.8980150680127768</v>
      </c>
      <c r="N12" s="87">
        <f t="shared" si="33"/>
        <v>14.477802561360731</v>
      </c>
      <c r="O12" s="87">
        <f t="shared" si="33"/>
        <v>18.86165217705112</v>
      </c>
      <c r="P12" s="87">
        <f t="shared" si="33"/>
        <v>22.093357451756603</v>
      </c>
      <c r="Q12" s="87">
        <f t="shared" si="33"/>
        <v>24.243801201877691</v>
      </c>
      <c r="R12" s="87">
        <f t="shared" si="33"/>
        <v>28.228457934355195</v>
      </c>
      <c r="S12" s="87">
        <f t="shared" si="33"/>
        <v>33.71702610668779</v>
      </c>
      <c r="T12" s="87">
        <f t="shared" si="33"/>
        <v>42.168777457548309</v>
      </c>
      <c r="U12" s="87">
        <f t="shared" si="33"/>
        <v>65.761267905217878</v>
      </c>
      <c r="V12" s="87">
        <f t="shared" si="33"/>
        <v>91.72953085806877</v>
      </c>
      <c r="W12" s="87">
        <f t="shared" ref="W12" si="34">IF(W39=0,0,W39*W149)</f>
        <v>205.54423784969075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7699.9999999999991</v>
      </c>
      <c r="C13" s="116">
        <f t="shared" si="35"/>
        <v>7073</v>
      </c>
      <c r="D13" s="116">
        <f t="shared" si="35"/>
        <v>6987</v>
      </c>
      <c r="E13" s="116">
        <f t="shared" si="35"/>
        <v>9455</v>
      </c>
      <c r="F13" s="116">
        <f t="shared" si="35"/>
        <v>9438.0000000000018</v>
      </c>
      <c r="G13" s="116">
        <f t="shared" si="35"/>
        <v>11811</v>
      </c>
      <c r="H13" s="116">
        <f t="shared" si="35"/>
        <v>11735</v>
      </c>
      <c r="I13" s="116">
        <f t="shared" si="35"/>
        <v>12156</v>
      </c>
      <c r="J13" s="116">
        <f t="shared" si="35"/>
        <v>20194</v>
      </c>
      <c r="K13" s="116">
        <f t="shared" si="35"/>
        <v>17108</v>
      </c>
      <c r="L13" s="116">
        <f t="shared" ref="L13" si="36">SUM(L14:L18)</f>
        <v>15811.999999999998</v>
      </c>
      <c r="M13" s="116">
        <f t="shared" ref="M13:V13" si="37">SUM(M14:M18)</f>
        <v>15529</v>
      </c>
      <c r="N13" s="116">
        <f t="shared" si="37"/>
        <v>16901</v>
      </c>
      <c r="O13" s="116">
        <f t="shared" si="37"/>
        <v>17082</v>
      </c>
      <c r="P13" s="116">
        <f t="shared" si="37"/>
        <v>18339</v>
      </c>
      <c r="Q13" s="116">
        <f t="shared" si="37"/>
        <v>24864.267300000007</v>
      </c>
      <c r="R13" s="116">
        <f t="shared" si="37"/>
        <v>25631.694299999999</v>
      </c>
      <c r="S13" s="116">
        <f t="shared" si="37"/>
        <v>25027.683100000009</v>
      </c>
      <c r="T13" s="116">
        <f t="shared" si="37"/>
        <v>26726.298000000006</v>
      </c>
      <c r="U13" s="116">
        <f t="shared" si="37"/>
        <v>26699.05</v>
      </c>
      <c r="V13" s="116">
        <f t="shared" si="37"/>
        <v>18702.035000000003</v>
      </c>
      <c r="W13" s="116">
        <f t="shared" ref="W13" si="38">SUM(W14:W18)</f>
        <v>19712.310999999998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35.49709242927868</v>
      </c>
      <c r="K14" s="101">
        <f t="shared" si="39"/>
        <v>35.25247759744736</v>
      </c>
      <c r="L14" s="101">
        <f t="shared" ref="L14" si="40">IF(L41=0,0,L41*L151)</f>
        <v>35.317776654691883</v>
      </c>
      <c r="M14" s="101">
        <f t="shared" ref="M14:V14" si="41">IF(M41=0,0,M41*M151)</f>
        <v>35.730404176303878</v>
      </c>
      <c r="N14" s="101">
        <f t="shared" si="41"/>
        <v>34.927303574910923</v>
      </c>
      <c r="O14" s="101">
        <f t="shared" si="41"/>
        <v>34.056021197193679</v>
      </c>
      <c r="P14" s="101">
        <f t="shared" si="41"/>
        <v>33.376092448807775</v>
      </c>
      <c r="Q14" s="101">
        <f t="shared" si="41"/>
        <v>30.8757807545026</v>
      </c>
      <c r="R14" s="101">
        <f t="shared" si="41"/>
        <v>30.231855135342027</v>
      </c>
      <c r="S14" s="101">
        <f t="shared" si="41"/>
        <v>29.008374442014571</v>
      </c>
      <c r="T14" s="101">
        <f t="shared" si="41"/>
        <v>27.555349210886945</v>
      </c>
      <c r="U14" s="101">
        <f t="shared" si="41"/>
        <v>26.607467540893758</v>
      </c>
      <c r="V14" s="101">
        <f t="shared" si="41"/>
        <v>26.830630968310931</v>
      </c>
      <c r="W14" s="101">
        <f t="shared" ref="W14" si="42">IF(W41=0,0,W41*W151)</f>
        <v>27.429513103883188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7699.9999999999991</v>
      </c>
      <c r="C15" s="101">
        <f t="shared" si="43"/>
        <v>7073</v>
      </c>
      <c r="D15" s="101">
        <f t="shared" si="43"/>
        <v>6987</v>
      </c>
      <c r="E15" s="101">
        <f t="shared" si="43"/>
        <v>9455</v>
      </c>
      <c r="F15" s="101">
        <f t="shared" si="43"/>
        <v>9438.0000000000018</v>
      </c>
      <c r="G15" s="101">
        <f t="shared" si="43"/>
        <v>11811</v>
      </c>
      <c r="H15" s="101">
        <f t="shared" si="43"/>
        <v>11735</v>
      </c>
      <c r="I15" s="101">
        <f t="shared" si="43"/>
        <v>12156</v>
      </c>
      <c r="J15" s="101">
        <f t="shared" si="43"/>
        <v>20149.043770849752</v>
      </c>
      <c r="K15" s="101">
        <f t="shared" si="43"/>
        <v>17063.639546290331</v>
      </c>
      <c r="L15" s="101">
        <f t="shared" ref="L15" si="44">IF(L42=0,0,L42*L152)</f>
        <v>15758.732249421035</v>
      </c>
      <c r="M15" s="101">
        <f t="shared" ref="M15:V15" si="45">IF(M42=0,0,M42*M152)</f>
        <v>15472.089808937073</v>
      </c>
      <c r="N15" s="101">
        <f t="shared" si="45"/>
        <v>16843.609751507091</v>
      </c>
      <c r="O15" s="101">
        <f t="shared" si="45"/>
        <v>17024.715542868038</v>
      </c>
      <c r="P15" s="101">
        <f t="shared" si="45"/>
        <v>18281.037420989509</v>
      </c>
      <c r="Q15" s="101">
        <f t="shared" si="45"/>
        <v>24802.043452472099</v>
      </c>
      <c r="R15" s="101">
        <f t="shared" si="45"/>
        <v>25572.112936329588</v>
      </c>
      <c r="S15" s="101">
        <f t="shared" si="45"/>
        <v>24971.182458929219</v>
      </c>
      <c r="T15" s="101">
        <f t="shared" si="45"/>
        <v>26668.24367332305</v>
      </c>
      <c r="U15" s="101">
        <f t="shared" si="45"/>
        <v>26618.974949688065</v>
      </c>
      <c r="V15" s="101">
        <f t="shared" si="45"/>
        <v>18573.700013286925</v>
      </c>
      <c r="W15" s="101">
        <f t="shared" ref="W15" si="46">IF(W42=0,0,W42*W152)</f>
        <v>19575.369635201634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9.4591367209677433</v>
      </c>
      <c r="K16" s="101">
        <f t="shared" si="47"/>
        <v>9.1079761122210279</v>
      </c>
      <c r="L16" s="101">
        <f t="shared" ref="L16" si="48">IF(L43=0,0,L43*L153)</f>
        <v>17.949973924271802</v>
      </c>
      <c r="M16" s="101">
        <f t="shared" ref="M16:V16" si="49">IF(M43=0,0,M43*M153)</f>
        <v>21.179786886622949</v>
      </c>
      <c r="N16" s="101">
        <f t="shared" si="49"/>
        <v>22.462944917999252</v>
      </c>
      <c r="O16" s="101">
        <f t="shared" si="49"/>
        <v>22.796594031497733</v>
      </c>
      <c r="P16" s="101">
        <f t="shared" si="49"/>
        <v>23.694627619804535</v>
      </c>
      <c r="Q16" s="101">
        <f t="shared" si="49"/>
        <v>29.017715604649553</v>
      </c>
      <c r="R16" s="101">
        <f t="shared" si="49"/>
        <v>26.458980519182592</v>
      </c>
      <c r="S16" s="101">
        <f t="shared" si="49"/>
        <v>24.736629899761475</v>
      </c>
      <c r="T16" s="101">
        <f t="shared" si="49"/>
        <v>16.144358720419707</v>
      </c>
      <c r="U16" s="101">
        <f t="shared" si="49"/>
        <v>14.909210768793111</v>
      </c>
      <c r="V16" s="101">
        <f t="shared" si="49"/>
        <v>10.161325083605156</v>
      </c>
      <c r="W16" s="101">
        <f t="shared" ref="W16" si="50">IF(W43=0,0,W43*W153)</f>
        <v>10.486911757516198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0.43184190327058009</v>
      </c>
      <c r="P18" s="101">
        <f t="shared" si="57"/>
        <v>0.8918589418786006</v>
      </c>
      <c r="Q18" s="101">
        <f t="shared" si="57"/>
        <v>2.3303511687536655</v>
      </c>
      <c r="R18" s="101">
        <f t="shared" si="57"/>
        <v>2.8905280158865732</v>
      </c>
      <c r="S18" s="101">
        <f t="shared" si="57"/>
        <v>2.7556367290119366</v>
      </c>
      <c r="T18" s="101">
        <f t="shared" si="57"/>
        <v>14.354618745648889</v>
      </c>
      <c r="U18" s="101">
        <f t="shared" si="57"/>
        <v>38.558372002248554</v>
      </c>
      <c r="V18" s="101">
        <f t="shared" si="57"/>
        <v>91.343030661162487</v>
      </c>
      <c r="W18" s="101">
        <f t="shared" ref="W18" si="58">IF(W45=0,0,W45*W155)</f>
        <v>99.024939936968721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20597.183137878626</v>
      </c>
      <c r="C19" s="29">
        <f t="shared" si="59"/>
        <v>22079.669093679699</v>
      </c>
      <c r="D19" s="29">
        <f t="shared" si="59"/>
        <v>23048.892238714288</v>
      </c>
      <c r="E19" s="29">
        <f t="shared" si="59"/>
        <v>25937.177353010833</v>
      </c>
      <c r="F19" s="29">
        <f t="shared" si="59"/>
        <v>28774.311492893572</v>
      </c>
      <c r="G19" s="29">
        <f t="shared" si="59"/>
        <v>34019.260834924571</v>
      </c>
      <c r="H19" s="29">
        <f t="shared" si="59"/>
        <v>34247.514650639532</v>
      </c>
      <c r="I19" s="29">
        <f t="shared" si="59"/>
        <v>35678.886387928644</v>
      </c>
      <c r="J19" s="29">
        <f t="shared" si="59"/>
        <v>32986.294999946884</v>
      </c>
      <c r="K19" s="29">
        <f t="shared" si="59"/>
        <v>27230.648350590189</v>
      </c>
      <c r="L19" s="29">
        <f t="shared" ref="L19" si="60">L20+L26</f>
        <v>17717.505432640704</v>
      </c>
      <c r="M19" s="29">
        <f t="shared" ref="M19:V19" si="61">M20+M26</f>
        <v>17677.448522536462</v>
      </c>
      <c r="N19" s="29">
        <f t="shared" si="61"/>
        <v>19204.73448771752</v>
      </c>
      <c r="O19" s="29">
        <f t="shared" si="61"/>
        <v>19499.483059683989</v>
      </c>
      <c r="P19" s="29">
        <f t="shared" si="61"/>
        <v>19254.76154025297</v>
      </c>
      <c r="Q19" s="29">
        <f t="shared" si="61"/>
        <v>19333.106358937643</v>
      </c>
      <c r="R19" s="29">
        <f t="shared" si="61"/>
        <v>20985.900162996899</v>
      </c>
      <c r="S19" s="29">
        <f t="shared" si="61"/>
        <v>22552.274922842134</v>
      </c>
      <c r="T19" s="29">
        <f t="shared" si="61"/>
        <v>23381.722013088634</v>
      </c>
      <c r="U19" s="29">
        <f t="shared" si="61"/>
        <v>25963.727924404961</v>
      </c>
      <c r="V19" s="29">
        <f t="shared" si="61"/>
        <v>25524.374168579074</v>
      </c>
      <c r="W19" s="29">
        <f t="shared" ref="W19" si="62">W20+W26</f>
        <v>30823.223916594688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1255.8714851009292</v>
      </c>
      <c r="C20" s="152">
        <f t="shared" si="63"/>
        <v>1299.6119361155752</v>
      </c>
      <c r="D20" s="152">
        <f t="shared" si="63"/>
        <v>1336.2771149525338</v>
      </c>
      <c r="E20" s="152">
        <f t="shared" si="63"/>
        <v>1394.4262605624356</v>
      </c>
      <c r="F20" s="152">
        <f t="shared" si="63"/>
        <v>1464.8664732670027</v>
      </c>
      <c r="G20" s="152">
        <f t="shared" si="63"/>
        <v>1510.0032937440651</v>
      </c>
      <c r="H20" s="152">
        <f t="shared" si="63"/>
        <v>1675.1179212927073</v>
      </c>
      <c r="I20" s="152">
        <f t="shared" si="63"/>
        <v>1764.2543438555024</v>
      </c>
      <c r="J20" s="152">
        <f t="shared" si="63"/>
        <v>2027.3610765730409</v>
      </c>
      <c r="K20" s="152">
        <f t="shared" si="63"/>
        <v>2082.3064127024982</v>
      </c>
      <c r="L20" s="152">
        <f t="shared" ref="L20" si="64">SUM(L21:L25)</f>
        <v>2102.468762561899</v>
      </c>
      <c r="M20" s="152">
        <f t="shared" ref="M20:V20" si="65">SUM(M21:M25)</f>
        <v>2229.9986566954749</v>
      </c>
      <c r="N20" s="152">
        <f t="shared" si="65"/>
        <v>2335.758884682029</v>
      </c>
      <c r="O20" s="152">
        <f t="shared" si="65"/>
        <v>2488.166065489102</v>
      </c>
      <c r="P20" s="152">
        <f t="shared" si="65"/>
        <v>2709.0543420531344</v>
      </c>
      <c r="Q20" s="152">
        <f t="shared" si="65"/>
        <v>2872.7284950737712</v>
      </c>
      <c r="R20" s="152">
        <f t="shared" si="65"/>
        <v>2965.9937304731734</v>
      </c>
      <c r="S20" s="152">
        <f t="shared" si="65"/>
        <v>3159.6959315287863</v>
      </c>
      <c r="T20" s="152">
        <f t="shared" si="65"/>
        <v>3433.722013088633</v>
      </c>
      <c r="U20" s="152">
        <f t="shared" si="65"/>
        <v>3648.72792440496</v>
      </c>
      <c r="V20" s="152">
        <f t="shared" si="65"/>
        <v>3848.3741685790719</v>
      </c>
      <c r="W20" s="152">
        <f t="shared" ref="W20" si="66">SUM(W21:W25)</f>
        <v>4033.2239165946885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362.36130257369092</v>
      </c>
      <c r="C21" s="87">
        <f t="shared" si="67"/>
        <v>366.68552668520829</v>
      </c>
      <c r="D21" s="87">
        <f t="shared" si="67"/>
        <v>366.89441620980915</v>
      </c>
      <c r="E21" s="87">
        <f t="shared" si="67"/>
        <v>371.85999510619155</v>
      </c>
      <c r="F21" s="87">
        <f t="shared" si="67"/>
        <v>379.11673127696542</v>
      </c>
      <c r="G21" s="87">
        <f t="shared" si="67"/>
        <v>380.15445763442972</v>
      </c>
      <c r="H21" s="87">
        <f t="shared" si="67"/>
        <v>406.31062866386719</v>
      </c>
      <c r="I21" s="87">
        <f t="shared" si="67"/>
        <v>414.91133185307535</v>
      </c>
      <c r="J21" s="87">
        <f t="shared" si="67"/>
        <v>411.20850095197648</v>
      </c>
      <c r="K21" s="87">
        <f t="shared" si="67"/>
        <v>402.49875976393781</v>
      </c>
      <c r="L21" s="87">
        <f t="shared" ref="L21" si="68">IF(L48=0,0,L48*L158)</f>
        <v>383.34341168809141</v>
      </c>
      <c r="M21" s="87">
        <f t="shared" ref="M21:V21" si="69">IF(M48=0,0,M48*M158)</f>
        <v>370.12196858658865</v>
      </c>
      <c r="N21" s="87">
        <f t="shared" si="69"/>
        <v>358.9486582651835</v>
      </c>
      <c r="O21" s="87">
        <f t="shared" si="69"/>
        <v>331.3804530482663</v>
      </c>
      <c r="P21" s="87">
        <f t="shared" si="69"/>
        <v>307.43884495108665</v>
      </c>
      <c r="Q21" s="87">
        <f t="shared" si="69"/>
        <v>271.6609352240028</v>
      </c>
      <c r="R21" s="87">
        <f t="shared" si="69"/>
        <v>288.30960037175879</v>
      </c>
      <c r="S21" s="87">
        <f t="shared" si="69"/>
        <v>294.92246877018096</v>
      </c>
      <c r="T21" s="87">
        <f t="shared" si="69"/>
        <v>297.16206895537755</v>
      </c>
      <c r="U21" s="87">
        <f t="shared" si="69"/>
        <v>286.38766836740643</v>
      </c>
      <c r="V21" s="87">
        <f t="shared" si="69"/>
        <v>279.23011482331765</v>
      </c>
      <c r="W21" s="87">
        <f t="shared" ref="W21" si="70">IF(W48=0,0,W48*W158)</f>
        <v>275.34133173758562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893.51018252723827</v>
      </c>
      <c r="C22" s="87">
        <f t="shared" si="71"/>
        <v>932.92640943036702</v>
      </c>
      <c r="D22" s="87">
        <f t="shared" si="71"/>
        <v>969.38269874272464</v>
      </c>
      <c r="E22" s="87">
        <f t="shared" si="71"/>
        <v>1022.5662654562441</v>
      </c>
      <c r="F22" s="87">
        <f t="shared" si="71"/>
        <v>1085.7497419900371</v>
      </c>
      <c r="G22" s="87">
        <f t="shared" si="71"/>
        <v>1129.8488361096354</v>
      </c>
      <c r="H22" s="87">
        <f t="shared" si="71"/>
        <v>1268.8072926288401</v>
      </c>
      <c r="I22" s="87">
        <f t="shared" si="71"/>
        <v>1349.343012002427</v>
      </c>
      <c r="J22" s="87">
        <f t="shared" si="71"/>
        <v>1616.1479457500061</v>
      </c>
      <c r="K22" s="87">
        <f t="shared" si="71"/>
        <v>1679.8030374352895</v>
      </c>
      <c r="L22" s="87">
        <f t="shared" ref="L22" si="72">IF(L49=0,0,L49*L159)</f>
        <v>1719.1144187650932</v>
      </c>
      <c r="M22" s="87">
        <f t="shared" ref="M22:V22" si="73">IF(M49=0,0,M49*M159)</f>
        <v>1859.8579327220996</v>
      </c>
      <c r="N22" s="87">
        <f t="shared" si="73"/>
        <v>1976.7679544949031</v>
      </c>
      <c r="O22" s="87">
        <f t="shared" si="73"/>
        <v>2156.7307088046709</v>
      </c>
      <c r="P22" s="87">
        <f t="shared" si="73"/>
        <v>2401.5464732059263</v>
      </c>
      <c r="Q22" s="87">
        <f t="shared" si="73"/>
        <v>2601.0063895865246</v>
      </c>
      <c r="R22" s="87">
        <f t="shared" si="73"/>
        <v>2677.6190373439972</v>
      </c>
      <c r="S22" s="87">
        <f t="shared" si="73"/>
        <v>2864.6606644355115</v>
      </c>
      <c r="T22" s="87">
        <f t="shared" si="73"/>
        <v>3136.3163036986343</v>
      </c>
      <c r="U22" s="87">
        <f t="shared" si="73"/>
        <v>3361.919356647621</v>
      </c>
      <c r="V22" s="87">
        <f t="shared" si="73"/>
        <v>3568.4478860220242</v>
      </c>
      <c r="W22" s="87">
        <f t="shared" ref="W22" si="74">IF(W49=0,0,W49*W159)</f>
        <v>3756.8898063537276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4.629871058353198E-3</v>
      </c>
      <c r="K23" s="87">
        <f t="shared" si="75"/>
        <v>4.6155032707729067E-3</v>
      </c>
      <c r="L23" s="87">
        <f t="shared" ref="L23" si="76">IF(L50=0,0,L50*L160)</f>
        <v>4.5977773429028736E-3</v>
      </c>
      <c r="M23" s="87">
        <f t="shared" ref="M23:V23" si="77">IF(M50=0,0,M50*M160)</f>
        <v>9.2511615333151498E-3</v>
      </c>
      <c r="N23" s="87">
        <f t="shared" si="77"/>
        <v>2.3258378667107771E-2</v>
      </c>
      <c r="O23" s="87">
        <f t="shared" si="77"/>
        <v>2.3211342407230641E-2</v>
      </c>
      <c r="P23" s="87">
        <f t="shared" si="77"/>
        <v>2.7821662562734793E-2</v>
      </c>
      <c r="Q23" s="87">
        <f t="shared" si="77"/>
        <v>2.3133420413119856E-2</v>
      </c>
      <c r="R23" s="87">
        <f t="shared" si="77"/>
        <v>3.0234519373985417E-2</v>
      </c>
      <c r="S23" s="87">
        <f t="shared" si="77"/>
        <v>3.0431613405290086E-2</v>
      </c>
      <c r="T23" s="87">
        <f t="shared" si="77"/>
        <v>2.829362783979731E-2</v>
      </c>
      <c r="U23" s="87">
        <f t="shared" si="77"/>
        <v>2.8242183598000372E-2</v>
      </c>
      <c r="V23" s="87">
        <f t="shared" si="77"/>
        <v>2.5835507767606639E-2</v>
      </c>
      <c r="W23" s="87">
        <f t="shared" ref="W23" si="78">IF(W50=0,0,W50*W160)</f>
        <v>3.9834282641104106E-2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6.3343313715234616E-3</v>
      </c>
      <c r="M25" s="87">
        <f t="shared" ref="M25:V25" si="85">IF(M52=0,0,M52*M162)</f>
        <v>9.5042252535196756E-3</v>
      </c>
      <c r="N25" s="87">
        <f t="shared" si="85"/>
        <v>1.9013543275342784E-2</v>
      </c>
      <c r="O25" s="87">
        <f t="shared" si="85"/>
        <v>3.169229375770112E-2</v>
      </c>
      <c r="P25" s="87">
        <f t="shared" si="85"/>
        <v>4.1202233558366975E-2</v>
      </c>
      <c r="Q25" s="87">
        <f t="shared" si="85"/>
        <v>3.8036842830407494E-2</v>
      </c>
      <c r="R25" s="87">
        <f t="shared" si="85"/>
        <v>3.4858238043369717E-2</v>
      </c>
      <c r="S25" s="87">
        <f t="shared" si="85"/>
        <v>8.2366709688777337E-2</v>
      </c>
      <c r="T25" s="87">
        <f t="shared" si="85"/>
        <v>0.21534680678139487</v>
      </c>
      <c r="U25" s="87">
        <f t="shared" si="85"/>
        <v>0.39265720633401469</v>
      </c>
      <c r="V25" s="87">
        <f t="shared" si="85"/>
        <v>0.67033222596246389</v>
      </c>
      <c r="W25" s="87">
        <f t="shared" ref="W25" si="86">IF(W52=0,0,W52*W162)</f>
        <v>0.95294422073384932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19341.311652777698</v>
      </c>
      <c r="C26" s="116">
        <f t="shared" si="87"/>
        <v>20780.057157564122</v>
      </c>
      <c r="D26" s="116">
        <f t="shared" si="87"/>
        <v>21712.615123761756</v>
      </c>
      <c r="E26" s="116">
        <f t="shared" si="87"/>
        <v>24542.751092448398</v>
      </c>
      <c r="F26" s="116">
        <f t="shared" si="87"/>
        <v>27309.445019626568</v>
      </c>
      <c r="G26" s="116">
        <f t="shared" si="87"/>
        <v>32509.257541180508</v>
      </c>
      <c r="H26" s="116">
        <f t="shared" si="87"/>
        <v>32572.396729346827</v>
      </c>
      <c r="I26" s="116">
        <f t="shared" si="87"/>
        <v>33914.632044073143</v>
      </c>
      <c r="J26" s="116">
        <f t="shared" si="87"/>
        <v>30958.933923373846</v>
      </c>
      <c r="K26" s="116">
        <f t="shared" si="87"/>
        <v>25148.34193788769</v>
      </c>
      <c r="L26" s="116">
        <f t="shared" ref="L26" si="88">SUM(L27:L28)</f>
        <v>15615.036670078807</v>
      </c>
      <c r="M26" s="116">
        <f t="shared" ref="M26:V26" si="89">SUM(M27:M28)</f>
        <v>15447.449865840988</v>
      </c>
      <c r="N26" s="116">
        <f t="shared" si="89"/>
        <v>16868.975603035491</v>
      </c>
      <c r="O26" s="116">
        <f t="shared" si="89"/>
        <v>17011.316994194887</v>
      </c>
      <c r="P26" s="116">
        <f t="shared" si="89"/>
        <v>16545.707198199834</v>
      </c>
      <c r="Q26" s="116">
        <f t="shared" si="89"/>
        <v>16460.377863863872</v>
      </c>
      <c r="R26" s="116">
        <f t="shared" si="89"/>
        <v>18019.906432523727</v>
      </c>
      <c r="S26" s="116">
        <f t="shared" si="89"/>
        <v>19392.578991313349</v>
      </c>
      <c r="T26" s="116">
        <f t="shared" si="89"/>
        <v>19948</v>
      </c>
      <c r="U26" s="116">
        <f t="shared" si="89"/>
        <v>22315</v>
      </c>
      <c r="V26" s="116">
        <f t="shared" si="89"/>
        <v>21676</v>
      </c>
      <c r="W26" s="116">
        <f t="shared" ref="W26" si="90">SUM(W27:W28)</f>
        <v>26790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9880</v>
      </c>
      <c r="C27" s="101">
        <f t="shared" si="91"/>
        <v>10645</v>
      </c>
      <c r="D27" s="101">
        <f t="shared" si="91"/>
        <v>10980</v>
      </c>
      <c r="E27" s="101">
        <f t="shared" si="91"/>
        <v>13637</v>
      </c>
      <c r="F27" s="101">
        <f t="shared" si="91"/>
        <v>14651</v>
      </c>
      <c r="G27" s="101">
        <f t="shared" si="91"/>
        <v>19399</v>
      </c>
      <c r="H27" s="101">
        <f t="shared" si="91"/>
        <v>22723</v>
      </c>
      <c r="I27" s="101">
        <f t="shared" si="91"/>
        <v>23932</v>
      </c>
      <c r="J27" s="101">
        <f t="shared" si="91"/>
        <v>23190</v>
      </c>
      <c r="K27" s="101">
        <f t="shared" si="91"/>
        <v>20879</v>
      </c>
      <c r="L27" s="101">
        <f t="shared" ref="L27:V27" si="92">IF(L54=0,0,L54*L164)</f>
        <v>12096</v>
      </c>
      <c r="M27" s="101">
        <f t="shared" si="92"/>
        <v>11858</v>
      </c>
      <c r="N27" s="101">
        <f t="shared" si="92"/>
        <v>12673</v>
      </c>
      <c r="O27" s="101">
        <f t="shared" si="92"/>
        <v>12505</v>
      </c>
      <c r="P27" s="101">
        <f t="shared" si="92"/>
        <v>12136</v>
      </c>
      <c r="Q27" s="101">
        <f t="shared" si="92"/>
        <v>12068</v>
      </c>
      <c r="R27" s="101">
        <f t="shared" si="92"/>
        <v>13140</v>
      </c>
      <c r="S27" s="101">
        <f t="shared" si="92"/>
        <v>13548</v>
      </c>
      <c r="T27" s="101">
        <f t="shared" si="92"/>
        <v>14358</v>
      </c>
      <c r="U27" s="101">
        <f t="shared" si="92"/>
        <v>16675</v>
      </c>
      <c r="V27" s="101">
        <f t="shared" si="92"/>
        <v>17281</v>
      </c>
      <c r="W27" s="101">
        <f t="shared" ref="W27" si="93">IF(W54=0,0,W54*W164)</f>
        <v>20458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9461.3116527776983</v>
      </c>
      <c r="C28" s="88">
        <f t="shared" si="94"/>
        <v>10135.057157564122</v>
      </c>
      <c r="D28" s="88">
        <f t="shared" si="94"/>
        <v>10732.615123761756</v>
      </c>
      <c r="E28" s="88">
        <f t="shared" si="94"/>
        <v>10905.751092448398</v>
      </c>
      <c r="F28" s="88">
        <f t="shared" si="94"/>
        <v>12658.445019626568</v>
      </c>
      <c r="G28" s="88">
        <f t="shared" si="94"/>
        <v>13110.257541180508</v>
      </c>
      <c r="H28" s="88">
        <f t="shared" si="94"/>
        <v>9849.3967293468268</v>
      </c>
      <c r="I28" s="88">
        <f t="shared" si="94"/>
        <v>9982.6320440731433</v>
      </c>
      <c r="J28" s="88">
        <f t="shared" si="94"/>
        <v>7768.9339233738465</v>
      </c>
      <c r="K28" s="88">
        <f t="shared" si="94"/>
        <v>4269.3419378876897</v>
      </c>
      <c r="L28" s="88">
        <f t="shared" ref="L28:V28" si="95">IF(L55=0,0,L55*L165)</f>
        <v>3519.0366700788072</v>
      </c>
      <c r="M28" s="88">
        <f t="shared" si="95"/>
        <v>3589.4498658409884</v>
      </c>
      <c r="N28" s="88">
        <f t="shared" si="95"/>
        <v>4195.9756030354911</v>
      </c>
      <c r="O28" s="88">
        <f t="shared" si="95"/>
        <v>4506.3169941948872</v>
      </c>
      <c r="P28" s="88">
        <f t="shared" si="95"/>
        <v>4409.7071981998342</v>
      </c>
      <c r="Q28" s="88">
        <f t="shared" si="95"/>
        <v>4392.3778638638723</v>
      </c>
      <c r="R28" s="88">
        <f t="shared" si="95"/>
        <v>4879.9064325237268</v>
      </c>
      <c r="S28" s="88">
        <f t="shared" si="95"/>
        <v>5844.5789913133485</v>
      </c>
      <c r="T28" s="88">
        <f t="shared" si="95"/>
        <v>5590</v>
      </c>
      <c r="U28" s="88">
        <f t="shared" si="95"/>
        <v>5640</v>
      </c>
      <c r="V28" s="88">
        <f t="shared" si="95"/>
        <v>4395</v>
      </c>
      <c r="W28" s="88">
        <f t="shared" ref="W28" si="96">IF(W55=0,0,W55*W165)</f>
        <v>6332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26129.350373884106</v>
      </c>
      <c r="C30" s="62">
        <f t="shared" ref="C30:V30" si="98">C31+C46</f>
        <v>32074.188262896743</v>
      </c>
      <c r="D30" s="62">
        <f t="shared" si="98"/>
        <v>32991.414664044976</v>
      </c>
      <c r="E30" s="62">
        <f t="shared" si="98"/>
        <v>35530.073965629243</v>
      </c>
      <c r="F30" s="62">
        <f t="shared" si="98"/>
        <v>37828.622751218056</v>
      </c>
      <c r="G30" s="62">
        <f t="shared" si="98"/>
        <v>38188.193280706233</v>
      </c>
      <c r="H30" s="62">
        <f t="shared" si="98"/>
        <v>39230.575876144096</v>
      </c>
      <c r="I30" s="62">
        <f t="shared" si="98"/>
        <v>42463.946018027884</v>
      </c>
      <c r="J30" s="62">
        <f t="shared" si="98"/>
        <v>43982.626253711365</v>
      </c>
      <c r="K30" s="62">
        <f t="shared" si="98"/>
        <v>45775.179997771862</v>
      </c>
      <c r="L30" s="62">
        <f t="shared" si="98"/>
        <v>46156.79510932041</v>
      </c>
      <c r="M30" s="62">
        <f t="shared" si="98"/>
        <v>48335.289082282732</v>
      </c>
      <c r="N30" s="62">
        <f t="shared" si="98"/>
        <v>50624.376619186551</v>
      </c>
      <c r="O30" s="62">
        <f t="shared" si="98"/>
        <v>53052.536576849743</v>
      </c>
      <c r="P30" s="62">
        <f t="shared" si="98"/>
        <v>55703.592775302262</v>
      </c>
      <c r="Q30" s="62">
        <f t="shared" si="98"/>
        <v>58337.393306073129</v>
      </c>
      <c r="R30" s="62">
        <f t="shared" si="98"/>
        <v>61039.855504849562</v>
      </c>
      <c r="S30" s="62">
        <f t="shared" si="98"/>
        <v>62721.141364137089</v>
      </c>
      <c r="T30" s="62">
        <f t="shared" si="98"/>
        <v>66847.966800746333</v>
      </c>
      <c r="U30" s="62">
        <f t="shared" si="98"/>
        <v>71642.691936443836</v>
      </c>
      <c r="V30" s="62">
        <f t="shared" si="98"/>
        <v>67217.341564022398</v>
      </c>
      <c r="W30" s="62">
        <f t="shared" ref="W30" si="99">W31+W46</f>
        <v>73466.558406368378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20830.937498234278</v>
      </c>
      <c r="C31" s="29">
        <f t="shared" ref="C31:V31" si="101">C32+C33+C40</f>
        <v>26539.363375368473</v>
      </c>
      <c r="D31" s="29">
        <f t="shared" si="101"/>
        <v>27287.884482216155</v>
      </c>
      <c r="E31" s="29">
        <f t="shared" si="101"/>
        <v>29448.032298077502</v>
      </c>
      <c r="F31" s="29">
        <f t="shared" si="101"/>
        <v>31322.24686230989</v>
      </c>
      <c r="G31" s="29">
        <f t="shared" si="101"/>
        <v>31181.989587060987</v>
      </c>
      <c r="H31" s="29">
        <f t="shared" si="101"/>
        <v>31730.508441528196</v>
      </c>
      <c r="I31" s="29">
        <f t="shared" si="101"/>
        <v>34701.309654384662</v>
      </c>
      <c r="J31" s="29">
        <f t="shared" si="101"/>
        <v>35621.017835785962</v>
      </c>
      <c r="K31" s="29">
        <f t="shared" si="101"/>
        <v>37655.843697948527</v>
      </c>
      <c r="L31" s="29">
        <f t="shared" si="101"/>
        <v>38698.6958464458</v>
      </c>
      <c r="M31" s="29">
        <f t="shared" si="101"/>
        <v>40506.594017485855</v>
      </c>
      <c r="N31" s="29">
        <f t="shared" si="101"/>
        <v>42394.613566426517</v>
      </c>
      <c r="O31" s="29">
        <f t="shared" si="101"/>
        <v>44378.048374268124</v>
      </c>
      <c r="P31" s="29">
        <f t="shared" si="101"/>
        <v>46446.878265275198</v>
      </c>
      <c r="Q31" s="29">
        <f t="shared" si="101"/>
        <v>48646.552172904361</v>
      </c>
      <c r="R31" s="29">
        <f t="shared" si="101"/>
        <v>50945.233560076544</v>
      </c>
      <c r="S31" s="29">
        <f t="shared" si="101"/>
        <v>51934.952423451898</v>
      </c>
      <c r="T31" s="29">
        <f t="shared" si="101"/>
        <v>55194.986695524676</v>
      </c>
      <c r="U31" s="29">
        <f t="shared" si="101"/>
        <v>59214.564970437394</v>
      </c>
      <c r="V31" s="29">
        <f t="shared" si="101"/>
        <v>54316.253191410346</v>
      </c>
      <c r="W31" s="29">
        <f t="shared" ref="W31" si="102">W32+W33+W40</f>
        <v>59719.051734135515</v>
      </c>
      <c r="DA31" s="173" t="s">
        <v>474</v>
      </c>
    </row>
    <row r="32" spans="1:105" ht="11.45" customHeight="1" x14ac:dyDescent="0.25">
      <c r="A32" s="136" t="s">
        <v>180</v>
      </c>
      <c r="B32" s="152">
        <v>230.09992738204568</v>
      </c>
      <c r="C32" s="152">
        <v>229.07266834369096</v>
      </c>
      <c r="D32" s="152">
        <v>228.04489719644454</v>
      </c>
      <c r="E32" s="152">
        <v>229.80261542419271</v>
      </c>
      <c r="F32" s="152">
        <v>232.52188440687289</v>
      </c>
      <c r="G32" s="152">
        <v>235.20617065247765</v>
      </c>
      <c r="H32" s="152">
        <v>256.88670200056049</v>
      </c>
      <c r="I32" s="152">
        <v>276.91419334708405</v>
      </c>
      <c r="J32" s="152">
        <v>343.8</v>
      </c>
      <c r="K32" s="152">
        <v>375.92</v>
      </c>
      <c r="L32" s="152">
        <v>397.15000000000003</v>
      </c>
      <c r="M32" s="152">
        <v>421.73999999999995</v>
      </c>
      <c r="N32" s="152">
        <v>443.52</v>
      </c>
      <c r="O32" s="152">
        <v>476</v>
      </c>
      <c r="P32" s="152">
        <v>500.48</v>
      </c>
      <c r="Q32" s="152">
        <v>529</v>
      </c>
      <c r="R32" s="152">
        <v>572.83516417220119</v>
      </c>
      <c r="S32" s="152">
        <v>547.25052198689127</v>
      </c>
      <c r="T32" s="152">
        <v>527.50039173143944</v>
      </c>
      <c r="U32" s="152">
        <v>564.60377239935053</v>
      </c>
      <c r="V32" s="152">
        <v>514.75120095204227</v>
      </c>
      <c r="W32" s="152">
        <v>544.37571166650321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19779.593427977696</v>
      </c>
      <c r="C33" s="116">
        <f t="shared" ref="C33:V33" si="104">SUM(C34:C39)</f>
        <v>25406.114406169232</v>
      </c>
      <c r="D33" s="116">
        <f t="shared" si="104"/>
        <v>26208.517298198516</v>
      </c>
      <c r="E33" s="116">
        <f t="shared" si="104"/>
        <v>28243.396344235196</v>
      </c>
      <c r="F33" s="116">
        <f t="shared" si="104"/>
        <v>29972.796426645364</v>
      </c>
      <c r="G33" s="116">
        <f t="shared" si="104"/>
        <v>29823.709904235118</v>
      </c>
      <c r="H33" s="116">
        <f t="shared" si="104"/>
        <v>30456.808337305378</v>
      </c>
      <c r="I33" s="116">
        <f t="shared" si="104"/>
        <v>33225.231792916195</v>
      </c>
      <c r="J33" s="116">
        <f t="shared" si="104"/>
        <v>33644.217835785959</v>
      </c>
      <c r="K33" s="116">
        <f t="shared" si="104"/>
        <v>35620.923697948529</v>
      </c>
      <c r="L33" s="116">
        <f t="shared" si="104"/>
        <v>36611.545846445799</v>
      </c>
      <c r="M33" s="116">
        <f t="shared" si="104"/>
        <v>38327.854017485857</v>
      </c>
      <c r="N33" s="116">
        <f t="shared" si="104"/>
        <v>40124.09356642652</v>
      </c>
      <c r="O33" s="116">
        <f t="shared" si="104"/>
        <v>42002.048374268124</v>
      </c>
      <c r="P33" s="116">
        <f t="shared" si="104"/>
        <v>43970.398265275195</v>
      </c>
      <c r="Q33" s="116">
        <f t="shared" si="104"/>
        <v>46063.552172904361</v>
      </c>
      <c r="R33" s="116">
        <f t="shared" si="104"/>
        <v>48239.522555359079</v>
      </c>
      <c r="S33" s="116">
        <f t="shared" si="104"/>
        <v>49204.136790339384</v>
      </c>
      <c r="T33" s="116">
        <f t="shared" si="104"/>
        <v>52429.963931439968</v>
      </c>
      <c r="U33" s="116">
        <f t="shared" si="104"/>
        <v>56354.782007091788</v>
      </c>
      <c r="V33" s="116">
        <f t="shared" si="104"/>
        <v>51444.915587387128</v>
      </c>
      <c r="W33" s="116">
        <f t="shared" ref="W33" si="105">SUM(W34:W39)</f>
        <v>56751.962680419019</v>
      </c>
      <c r="DA33" s="176" t="s">
        <v>476</v>
      </c>
    </row>
    <row r="34" spans="1:105" ht="11.45" customHeight="1" x14ac:dyDescent="0.25">
      <c r="A34" s="111" t="s">
        <v>110</v>
      </c>
      <c r="B34" s="87">
        <v>17228.015919761041</v>
      </c>
      <c r="C34" s="87">
        <v>21965.748434681977</v>
      </c>
      <c r="D34" s="87">
        <v>21751.144554495659</v>
      </c>
      <c r="E34" s="87">
        <v>22409.545340970508</v>
      </c>
      <c r="F34" s="87">
        <v>23016.6763284767</v>
      </c>
      <c r="G34" s="87">
        <v>20831.084831510838</v>
      </c>
      <c r="H34" s="87">
        <v>19686.092381450984</v>
      </c>
      <c r="I34" s="87">
        <v>19570.541238116512</v>
      </c>
      <c r="J34" s="87">
        <v>17078.108186560927</v>
      </c>
      <c r="K34" s="87">
        <v>17138.505774612433</v>
      </c>
      <c r="L34" s="87">
        <v>17790.84173286206</v>
      </c>
      <c r="M34" s="87">
        <v>16208.001279291706</v>
      </c>
      <c r="N34" s="87">
        <v>16119.225014609479</v>
      </c>
      <c r="O34" s="87">
        <v>17641.402296182368</v>
      </c>
      <c r="P34" s="87">
        <v>19357.930872639692</v>
      </c>
      <c r="Q34" s="87">
        <v>19382.216372361989</v>
      </c>
      <c r="R34" s="87">
        <v>18825.161891365573</v>
      </c>
      <c r="S34" s="87">
        <v>18499.129350760002</v>
      </c>
      <c r="T34" s="87">
        <v>18694.738421993825</v>
      </c>
      <c r="U34" s="87">
        <v>19275.349833057029</v>
      </c>
      <c r="V34" s="87">
        <v>18302.215196116918</v>
      </c>
      <c r="W34" s="87">
        <v>20439.724812083859</v>
      </c>
      <c r="DA34" s="171" t="s">
        <v>477</v>
      </c>
    </row>
    <row r="35" spans="1:105" ht="11.45" customHeight="1" x14ac:dyDescent="0.25">
      <c r="A35" s="111" t="s">
        <v>111</v>
      </c>
      <c r="B35" s="87">
        <v>2551.5775082166547</v>
      </c>
      <c r="C35" s="87">
        <v>3440.365971487256</v>
      </c>
      <c r="D35" s="87">
        <v>4413.9310517753402</v>
      </c>
      <c r="E35" s="87">
        <v>5722.5928560590219</v>
      </c>
      <c r="F35" s="87">
        <v>6687.1869114916954</v>
      </c>
      <c r="G35" s="87">
        <v>8725.253618814113</v>
      </c>
      <c r="H35" s="87">
        <v>10503.743670376462</v>
      </c>
      <c r="I35" s="87">
        <v>13278.199931544983</v>
      </c>
      <c r="J35" s="87">
        <v>16240.07318900937</v>
      </c>
      <c r="K35" s="87">
        <v>18187.672142633623</v>
      </c>
      <c r="L35" s="87">
        <v>18564.630116491695</v>
      </c>
      <c r="M35" s="87">
        <v>21323.653433273987</v>
      </c>
      <c r="N35" s="87">
        <v>23303.278196221567</v>
      </c>
      <c r="O35" s="87">
        <v>23713.478056666045</v>
      </c>
      <c r="P35" s="87">
        <v>23890.727925364994</v>
      </c>
      <c r="Q35" s="87">
        <v>25791.615042823811</v>
      </c>
      <c r="R35" s="87">
        <v>28497.267042377705</v>
      </c>
      <c r="S35" s="87">
        <v>29551.372391800454</v>
      </c>
      <c r="T35" s="87">
        <v>32460.265730418072</v>
      </c>
      <c r="U35" s="87">
        <v>35651.492052577909</v>
      </c>
      <c r="V35" s="87">
        <v>31510.906979285417</v>
      </c>
      <c r="W35" s="87">
        <v>34062.066123041986</v>
      </c>
      <c r="DA35" s="171" t="s">
        <v>478</v>
      </c>
    </row>
    <row r="36" spans="1:105" ht="11.45" customHeight="1" x14ac:dyDescent="0.25">
      <c r="A36" s="111" t="s">
        <v>112</v>
      </c>
      <c r="B36" s="87">
        <v>0</v>
      </c>
      <c r="C36" s="87">
        <v>0</v>
      </c>
      <c r="D36" s="87">
        <v>43.441691927518086</v>
      </c>
      <c r="E36" s="87">
        <v>111.25814720566507</v>
      </c>
      <c r="F36" s="87">
        <v>268.93318667696838</v>
      </c>
      <c r="G36" s="87">
        <v>267.37145391016833</v>
      </c>
      <c r="H36" s="87">
        <v>266.97228547793134</v>
      </c>
      <c r="I36" s="87">
        <v>376.49062325469691</v>
      </c>
      <c r="J36" s="87">
        <v>326.03646021566072</v>
      </c>
      <c r="K36" s="87">
        <v>294.73457403058535</v>
      </c>
      <c r="L36" s="87">
        <v>253.96596446729421</v>
      </c>
      <c r="M36" s="87">
        <v>791.16037511648824</v>
      </c>
      <c r="N36" s="87">
        <v>691.18514043462096</v>
      </c>
      <c r="O36" s="87">
        <v>633.82892447421136</v>
      </c>
      <c r="P36" s="87">
        <v>706.2832805841399</v>
      </c>
      <c r="Q36" s="87">
        <v>872.66910039310289</v>
      </c>
      <c r="R36" s="87">
        <v>898.08699214780097</v>
      </c>
      <c r="S36" s="87">
        <v>1129.9759270164895</v>
      </c>
      <c r="T36" s="87">
        <v>1244.0188342980121</v>
      </c>
      <c r="U36" s="87">
        <v>1379.4752390438896</v>
      </c>
      <c r="V36" s="87">
        <v>1557.3587291858903</v>
      </c>
      <c r="W36" s="87">
        <v>2074.7863671355412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0.99488749628890705</v>
      </c>
      <c r="O38" s="87">
        <v>1.0354614006796106</v>
      </c>
      <c r="P38" s="87">
        <v>1.2245292936644991</v>
      </c>
      <c r="Q38" s="87">
        <v>1.5419845426775338</v>
      </c>
      <c r="R38" s="87">
        <v>1.2274503194151472</v>
      </c>
      <c r="S38" s="87">
        <v>2.3794535524521128</v>
      </c>
      <c r="T38" s="87">
        <v>4.3581396023488619</v>
      </c>
      <c r="U38" s="87">
        <v>6.610505451025519</v>
      </c>
      <c r="V38" s="87">
        <v>15.016403512402801</v>
      </c>
      <c r="W38" s="87">
        <v>41.816177979422243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1.1206671895810125E-2</v>
      </c>
      <c r="L39" s="87">
        <v>2.1080326247522634</v>
      </c>
      <c r="M39" s="87">
        <v>5.038929803676794</v>
      </c>
      <c r="N39" s="87">
        <v>9.410327664560862</v>
      </c>
      <c r="O39" s="87">
        <v>12.303635544823358</v>
      </c>
      <c r="P39" s="87">
        <v>14.231657392704877</v>
      </c>
      <c r="Q39" s="87">
        <v>15.509672782778484</v>
      </c>
      <c r="R39" s="87">
        <v>17.779179148590579</v>
      </c>
      <c r="S39" s="87">
        <v>21.279667209989046</v>
      </c>
      <c r="T39" s="87">
        <v>26.582805127705011</v>
      </c>
      <c r="U39" s="87">
        <v>41.854376961935365</v>
      </c>
      <c r="V39" s="87">
        <v>59.418279286493494</v>
      </c>
      <c r="W39" s="87">
        <v>133.56920017821145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821.24414287453578</v>
      </c>
      <c r="C40" s="116">
        <f t="shared" ref="C40:V40" si="107">SUM(C41:C45)</f>
        <v>904.17630085554924</v>
      </c>
      <c r="D40" s="116">
        <f t="shared" si="107"/>
        <v>851.32228682119671</v>
      </c>
      <c r="E40" s="116">
        <f t="shared" si="107"/>
        <v>974.83333841811429</v>
      </c>
      <c r="F40" s="116">
        <f t="shared" si="107"/>
        <v>1116.9285512576546</v>
      </c>
      <c r="G40" s="116">
        <f t="shared" si="107"/>
        <v>1123.0735121733931</v>
      </c>
      <c r="H40" s="116">
        <f t="shared" si="107"/>
        <v>1016.8134022222597</v>
      </c>
      <c r="I40" s="116">
        <f t="shared" si="107"/>
        <v>1199.163668121387</v>
      </c>
      <c r="J40" s="116">
        <f t="shared" si="107"/>
        <v>1633.0000000000002</v>
      </c>
      <c r="K40" s="116">
        <f t="shared" si="107"/>
        <v>1659.0000000000002</v>
      </c>
      <c r="L40" s="116">
        <f t="shared" si="107"/>
        <v>1690.0000000000002</v>
      </c>
      <c r="M40" s="116">
        <f t="shared" si="107"/>
        <v>1756.9999999999998</v>
      </c>
      <c r="N40" s="116">
        <f t="shared" si="107"/>
        <v>1827</v>
      </c>
      <c r="O40" s="116">
        <f t="shared" si="107"/>
        <v>1900</v>
      </c>
      <c r="P40" s="116">
        <f t="shared" si="107"/>
        <v>1976</v>
      </c>
      <c r="Q40" s="116">
        <f t="shared" si="107"/>
        <v>2053.9999999999995</v>
      </c>
      <c r="R40" s="116">
        <f t="shared" si="107"/>
        <v>2132.8758405452613</v>
      </c>
      <c r="S40" s="116">
        <f t="shared" si="107"/>
        <v>2183.5651111256248</v>
      </c>
      <c r="T40" s="116">
        <f t="shared" si="107"/>
        <v>2237.5223723532717</v>
      </c>
      <c r="U40" s="116">
        <f t="shared" si="107"/>
        <v>2295.1791909462549</v>
      </c>
      <c r="V40" s="116">
        <f t="shared" si="107"/>
        <v>2356.5864030711732</v>
      </c>
      <c r="W40" s="116">
        <f t="shared" ref="W40" si="108">SUM(W41:W45)</f>
        <v>2422.713342049999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5.4816490400241298</v>
      </c>
      <c r="K41" s="101">
        <v>5.5111063262500162</v>
      </c>
      <c r="L41" s="101">
        <v>5.5532367140230212</v>
      </c>
      <c r="M41" s="101">
        <v>5.6357664795781854</v>
      </c>
      <c r="N41" s="101">
        <v>5.4953472504178977</v>
      </c>
      <c r="O41" s="101">
        <v>5.3667114767079696</v>
      </c>
      <c r="P41" s="101">
        <v>5.2503257112017891</v>
      </c>
      <c r="Q41" s="101">
        <v>4.7754017485362059</v>
      </c>
      <c r="R41" s="101">
        <v>4.6782540094815825</v>
      </c>
      <c r="S41" s="101">
        <v>4.5038184017634375</v>
      </c>
      <c r="T41" s="101">
        <v>4.2659252029806494</v>
      </c>
      <c r="U41" s="101">
        <v>4.1268457864094144</v>
      </c>
      <c r="V41" s="101">
        <v>4.2552953999360801</v>
      </c>
      <c r="W41" s="101">
        <v>4.3449660073363736</v>
      </c>
      <c r="DA41" s="175" t="s">
        <v>484</v>
      </c>
    </row>
    <row r="42" spans="1:105" ht="11.45" customHeight="1" x14ac:dyDescent="0.25">
      <c r="A42" s="111" t="s">
        <v>111</v>
      </c>
      <c r="B42" s="101">
        <v>821.24414287453578</v>
      </c>
      <c r="C42" s="101">
        <v>904.17630085554924</v>
      </c>
      <c r="D42" s="101">
        <v>851.32228682119671</v>
      </c>
      <c r="E42" s="101">
        <v>974.83333841811429</v>
      </c>
      <c r="F42" s="101">
        <v>1116.9285512576546</v>
      </c>
      <c r="G42" s="101">
        <v>1123.0735121733931</v>
      </c>
      <c r="H42" s="101">
        <v>1016.8134022222597</v>
      </c>
      <c r="I42" s="101">
        <v>1199.163668121387</v>
      </c>
      <c r="J42" s="101">
        <v>1626.7546574124838</v>
      </c>
      <c r="K42" s="101">
        <v>1652.6067897636653</v>
      </c>
      <c r="L42" s="101">
        <v>1682.5302782449673</v>
      </c>
      <c r="M42" s="101">
        <v>1748.9700635230947</v>
      </c>
      <c r="N42" s="101">
        <v>1819.0786962498651</v>
      </c>
      <c r="O42" s="101">
        <v>1892.0517826233979</v>
      </c>
      <c r="P42" s="101">
        <v>1968.1027385368102</v>
      </c>
      <c r="Q42" s="101">
        <v>2046.6377897001669</v>
      </c>
      <c r="R42" s="101">
        <v>2125.7578214885739</v>
      </c>
      <c r="S42" s="101">
        <v>2176.6648723248727</v>
      </c>
      <c r="T42" s="101">
        <v>2230.7053143516991</v>
      </c>
      <c r="U42" s="101">
        <v>2286.459701244743</v>
      </c>
      <c r="V42" s="101">
        <v>2339.5456061653745</v>
      </c>
      <c r="W42" s="101">
        <v>2404.914396189336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0.7636935474921932</v>
      </c>
      <c r="K43" s="101">
        <v>0.88210391008488309</v>
      </c>
      <c r="L43" s="101">
        <v>1.9164850410098511</v>
      </c>
      <c r="M43" s="101">
        <v>2.3941699973267783</v>
      </c>
      <c r="N43" s="101">
        <v>2.4259564997170795</v>
      </c>
      <c r="O43" s="101">
        <v>2.5335128957914437</v>
      </c>
      <c r="P43" s="101">
        <v>2.5509198648433755</v>
      </c>
      <c r="Q43" s="101">
        <v>2.3945104943088285</v>
      </c>
      <c r="R43" s="101">
        <v>2.1994813227717276</v>
      </c>
      <c r="S43" s="101">
        <v>2.1562196123899851</v>
      </c>
      <c r="T43" s="101">
        <v>1.3504191440423019</v>
      </c>
      <c r="U43" s="101">
        <v>1.2806394560512209</v>
      </c>
      <c r="V43" s="101">
        <v>1.2799217945352959</v>
      </c>
      <c r="W43" s="101">
        <v>1.2883600936896502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4.799300410260695E-2</v>
      </c>
      <c r="P45" s="101">
        <v>9.6015887144593304E-2</v>
      </c>
      <c r="Q45" s="101">
        <v>0.19229805698803512</v>
      </c>
      <c r="R45" s="101">
        <v>0.24028372443457044</v>
      </c>
      <c r="S45" s="101">
        <v>0.24020078659846131</v>
      </c>
      <c r="T45" s="101">
        <v>1.2007136545494701</v>
      </c>
      <c r="U45" s="101">
        <v>3.3120044590514186</v>
      </c>
      <c r="V45" s="101">
        <v>11.505579711327199</v>
      </c>
      <c r="W45" s="101">
        <v>12.165619759636654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5298.4128756498294</v>
      </c>
      <c r="C46" s="29">
        <f t="shared" ref="C46:V46" si="110">C47+C53</f>
        <v>5534.8248875282679</v>
      </c>
      <c r="D46" s="29">
        <f t="shared" si="110"/>
        <v>5703.5301818288226</v>
      </c>
      <c r="E46" s="29">
        <f t="shared" si="110"/>
        <v>6082.0416675517436</v>
      </c>
      <c r="F46" s="29">
        <f t="shared" si="110"/>
        <v>6506.3758889081655</v>
      </c>
      <c r="G46" s="29">
        <f t="shared" si="110"/>
        <v>7006.2036936452441</v>
      </c>
      <c r="H46" s="29">
        <f t="shared" si="110"/>
        <v>7500.0674346158958</v>
      </c>
      <c r="I46" s="29">
        <f t="shared" si="110"/>
        <v>7762.6363636432252</v>
      </c>
      <c r="J46" s="29">
        <f t="shared" si="110"/>
        <v>8361.6084179254067</v>
      </c>
      <c r="K46" s="29">
        <f t="shared" si="110"/>
        <v>8119.3362998233379</v>
      </c>
      <c r="L46" s="29">
        <f t="shared" si="110"/>
        <v>7458.0992628746089</v>
      </c>
      <c r="M46" s="29">
        <f t="shared" si="110"/>
        <v>7828.6950647968733</v>
      </c>
      <c r="N46" s="29">
        <f t="shared" si="110"/>
        <v>8229.763052760034</v>
      </c>
      <c r="O46" s="29">
        <f t="shared" si="110"/>
        <v>8674.4882025816223</v>
      </c>
      <c r="P46" s="29">
        <f t="shared" si="110"/>
        <v>9256.7145100270664</v>
      </c>
      <c r="Q46" s="29">
        <f t="shared" si="110"/>
        <v>9690.8411331687694</v>
      </c>
      <c r="R46" s="29">
        <f t="shared" si="110"/>
        <v>10094.621944773022</v>
      </c>
      <c r="S46" s="29">
        <f t="shared" si="110"/>
        <v>10786.188940685195</v>
      </c>
      <c r="T46" s="29">
        <f t="shared" si="110"/>
        <v>11652.980105221663</v>
      </c>
      <c r="U46" s="29">
        <f t="shared" si="110"/>
        <v>12428.126966006448</v>
      </c>
      <c r="V46" s="29">
        <f t="shared" si="110"/>
        <v>12901.088372612052</v>
      </c>
      <c r="W46" s="29">
        <f t="shared" ref="W46" si="111">W47+W53</f>
        <v>13747.506672232868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3940.8632320020806</v>
      </c>
      <c r="C47" s="152">
        <f t="shared" ref="C47:V47" si="113">SUM(C48:C52)</f>
        <v>4075.6710369066786</v>
      </c>
      <c r="D47" s="152">
        <f t="shared" si="113"/>
        <v>4183.8138009994036</v>
      </c>
      <c r="E47" s="152">
        <f t="shared" si="113"/>
        <v>4359.1239928092637</v>
      </c>
      <c r="F47" s="152">
        <f t="shared" si="113"/>
        <v>4572.7125619214239</v>
      </c>
      <c r="G47" s="152">
        <f t="shared" si="113"/>
        <v>4707.1853077982641</v>
      </c>
      <c r="H47" s="152">
        <f t="shared" si="113"/>
        <v>5204.975785029801</v>
      </c>
      <c r="I47" s="152">
        <f t="shared" si="113"/>
        <v>5464.4137852609183</v>
      </c>
      <c r="J47" s="152">
        <f t="shared" si="113"/>
        <v>6219.312780149764</v>
      </c>
      <c r="K47" s="152">
        <f t="shared" si="113"/>
        <v>6362.4272089416281</v>
      </c>
      <c r="L47" s="152">
        <f t="shared" si="113"/>
        <v>6394.9074946075643</v>
      </c>
      <c r="M47" s="152">
        <f t="shared" si="113"/>
        <v>6758.7222254084363</v>
      </c>
      <c r="N47" s="152">
        <f t="shared" si="113"/>
        <v>7061.8893728643034</v>
      </c>
      <c r="O47" s="152">
        <f t="shared" si="113"/>
        <v>7473.0083107368437</v>
      </c>
      <c r="P47" s="152">
        <f t="shared" si="113"/>
        <v>8086.8145801203118</v>
      </c>
      <c r="Q47" s="152">
        <f t="shared" si="113"/>
        <v>8523.2243253665256</v>
      </c>
      <c r="R47" s="152">
        <f t="shared" si="113"/>
        <v>8820.3318931191443</v>
      </c>
      <c r="S47" s="152">
        <f t="shared" si="113"/>
        <v>9399.1946346924469</v>
      </c>
      <c r="T47" s="152">
        <f t="shared" si="113"/>
        <v>10211.093751345936</v>
      </c>
      <c r="U47" s="152">
        <f t="shared" si="113"/>
        <v>10819.184609049626</v>
      </c>
      <c r="V47" s="152">
        <f t="shared" si="113"/>
        <v>11384.600549358191</v>
      </c>
      <c r="W47" s="152">
        <f t="shared" ref="W47" si="114">SUM(W48:W52)</f>
        <v>11912.534404406388</v>
      </c>
      <c r="DA47" s="174" t="s">
        <v>490</v>
      </c>
    </row>
    <row r="48" spans="1:105" ht="11.45" customHeight="1" x14ac:dyDescent="0.25">
      <c r="A48" s="111" t="s">
        <v>110</v>
      </c>
      <c r="B48" s="87">
        <v>1376.1885624637182</v>
      </c>
      <c r="C48" s="87">
        <v>1394.3226043295363</v>
      </c>
      <c r="D48" s="87">
        <v>1394.1233757378486</v>
      </c>
      <c r="E48" s="87">
        <v>1412.1907896412786</v>
      </c>
      <c r="F48" s="87">
        <v>1439.0281363202469</v>
      </c>
      <c r="G48" s="87">
        <v>1441.9743270065417</v>
      </c>
      <c r="H48" s="87">
        <v>1538.1409284483796</v>
      </c>
      <c r="I48" s="87">
        <v>1566.7901119167111</v>
      </c>
      <c r="J48" s="87">
        <v>1550.0381782552602</v>
      </c>
      <c r="K48" s="87">
        <v>1513.0146194264278</v>
      </c>
      <c r="L48" s="87">
        <v>1436.7609807374329</v>
      </c>
      <c r="M48" s="87">
        <v>1386.5377338321503</v>
      </c>
      <c r="N48" s="87">
        <v>1343.8960588301372</v>
      </c>
      <c r="O48" s="87">
        <v>1237.5882116070675</v>
      </c>
      <c r="P48" s="87">
        <v>1145.5634146034492</v>
      </c>
      <c r="Q48" s="87">
        <v>1009.6778213081853</v>
      </c>
      <c r="R48" s="87">
        <v>1075.1250245958533</v>
      </c>
      <c r="S48" s="87">
        <v>1099.3607901160922</v>
      </c>
      <c r="T48" s="87">
        <v>1107.4757774800721</v>
      </c>
      <c r="U48" s="87">
        <v>1064.6935526281218</v>
      </c>
      <c r="V48" s="87">
        <v>1035.4673917822693</v>
      </c>
      <c r="W48" s="87">
        <v>1022.4822937865282</v>
      </c>
      <c r="DA48" s="171" t="s">
        <v>491</v>
      </c>
    </row>
    <row r="49" spans="1:105" ht="11.45" customHeight="1" x14ac:dyDescent="0.25">
      <c r="A49" s="111" t="s">
        <v>111</v>
      </c>
      <c r="B49" s="87">
        <v>2564.6746695383622</v>
      </c>
      <c r="C49" s="87">
        <v>2681.3484325771424</v>
      </c>
      <c r="D49" s="87">
        <v>2789.6904252615554</v>
      </c>
      <c r="E49" s="87">
        <v>2946.9332031679851</v>
      </c>
      <c r="F49" s="87">
        <v>3133.6844256011773</v>
      </c>
      <c r="G49" s="87">
        <v>3265.2109807917222</v>
      </c>
      <c r="H49" s="87">
        <v>3666.8348565814213</v>
      </c>
      <c r="I49" s="87">
        <v>3897.623673344207</v>
      </c>
      <c r="J49" s="87">
        <v>4669.2563122832489</v>
      </c>
      <c r="K49" s="87">
        <v>4849.3943708236402</v>
      </c>
      <c r="L49" s="87">
        <v>4958.1098301914926</v>
      </c>
      <c r="M49" s="87">
        <v>5372.1201161208573</v>
      </c>
      <c r="N49" s="87">
        <v>5717.8456314669284</v>
      </c>
      <c r="O49" s="87">
        <v>6235.2355072901255</v>
      </c>
      <c r="P49" s="87">
        <v>6941.020521146771</v>
      </c>
      <c r="Q49" s="87">
        <v>7513.3437072684974</v>
      </c>
      <c r="R49" s="87">
        <v>7744.9851832470677</v>
      </c>
      <c r="S49" s="87">
        <v>8299.4720374787103</v>
      </c>
      <c r="T49" s="87">
        <v>9102.8749833436796</v>
      </c>
      <c r="U49" s="87">
        <v>9753.2290399197682</v>
      </c>
      <c r="V49" s="87">
        <v>10347.068224855686</v>
      </c>
      <c r="W49" s="87">
        <v>10887.103500282457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1.8289611255048285E-2</v>
      </c>
      <c r="K50" s="87">
        <v>1.8218691560025216E-2</v>
      </c>
      <c r="L50" s="87">
        <v>1.8131272049424781E-2</v>
      </c>
      <c r="M50" s="87">
        <v>3.6536857034296669E-2</v>
      </c>
      <c r="N50" s="87">
        <v>9.1986723444464E-2</v>
      </c>
      <c r="O50" s="87">
        <v>9.1754247162502342E-2</v>
      </c>
      <c r="P50" s="87">
        <v>0.10994725489572041</v>
      </c>
      <c r="Q50" s="87">
        <v>9.1369377611465727E-2</v>
      </c>
      <c r="R50" s="87">
        <v>0.11957595328741279</v>
      </c>
      <c r="S50" s="87">
        <v>0.12055111678544718</v>
      </c>
      <c r="T50" s="87">
        <v>0.11228360244598641</v>
      </c>
      <c r="U50" s="87">
        <v>0.11202846410745423</v>
      </c>
      <c r="V50" s="87">
        <v>0.10242923615472468</v>
      </c>
      <c r="W50" s="87">
        <v>0.15783738381095758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1.8552406589486432E-2</v>
      </c>
      <c r="M52" s="87">
        <v>2.7838598393541299E-2</v>
      </c>
      <c r="N52" s="87">
        <v>5.5695843793479215E-2</v>
      </c>
      <c r="O52" s="87">
        <v>9.2837592489023887E-2</v>
      </c>
      <c r="P52" s="87">
        <v>0.12069711519596653</v>
      </c>
      <c r="Q52" s="87">
        <v>0.1114274122312839</v>
      </c>
      <c r="R52" s="87">
        <v>0.10210932293583</v>
      </c>
      <c r="S52" s="87">
        <v>0.24125598086041988</v>
      </c>
      <c r="T52" s="87">
        <v>0.63070691973662896</v>
      </c>
      <c r="U52" s="87">
        <v>1.1499880376278402</v>
      </c>
      <c r="V52" s="87">
        <v>1.9625034840813633</v>
      </c>
      <c r="W52" s="87">
        <v>2.7907729535907135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1357.5496436477486</v>
      </c>
      <c r="C53" s="116">
        <f t="shared" ref="C53:V53" si="116">SUM(C54:C55)</f>
        <v>1459.1538506215893</v>
      </c>
      <c r="D53" s="116">
        <f t="shared" si="116"/>
        <v>1519.716380829419</v>
      </c>
      <c r="E53" s="116">
        <f t="shared" si="116"/>
        <v>1722.9176747424799</v>
      </c>
      <c r="F53" s="116">
        <f t="shared" si="116"/>
        <v>1933.6633269867416</v>
      </c>
      <c r="G53" s="116">
        <f t="shared" si="116"/>
        <v>2299.0183858469795</v>
      </c>
      <c r="H53" s="116">
        <f t="shared" si="116"/>
        <v>2295.0916495860943</v>
      </c>
      <c r="I53" s="116">
        <f t="shared" si="116"/>
        <v>2298.2225783823069</v>
      </c>
      <c r="J53" s="116">
        <f t="shared" si="116"/>
        <v>2142.2956377756427</v>
      </c>
      <c r="K53" s="116">
        <f t="shared" si="116"/>
        <v>1756.9090908817097</v>
      </c>
      <c r="L53" s="116">
        <f t="shared" si="116"/>
        <v>1063.1917682670448</v>
      </c>
      <c r="M53" s="116">
        <f t="shared" si="116"/>
        <v>1069.9728393884366</v>
      </c>
      <c r="N53" s="116">
        <f t="shared" si="116"/>
        <v>1167.8736798957304</v>
      </c>
      <c r="O53" s="116">
        <f t="shared" si="116"/>
        <v>1201.479891844778</v>
      </c>
      <c r="P53" s="116">
        <f t="shared" si="116"/>
        <v>1169.8999299067546</v>
      </c>
      <c r="Q53" s="116">
        <f t="shared" si="116"/>
        <v>1167.6168078022438</v>
      </c>
      <c r="R53" s="116">
        <f t="shared" si="116"/>
        <v>1274.2900516538775</v>
      </c>
      <c r="S53" s="116">
        <f t="shared" si="116"/>
        <v>1386.994305992748</v>
      </c>
      <c r="T53" s="116">
        <f t="shared" si="116"/>
        <v>1441.8863538757269</v>
      </c>
      <c r="U53" s="116">
        <f t="shared" si="116"/>
        <v>1608.9423569568232</v>
      </c>
      <c r="V53" s="116">
        <f t="shared" si="116"/>
        <v>1516.4878232538613</v>
      </c>
      <c r="W53" s="116">
        <f t="shared" ref="W53" si="117">SUM(W54:W55)</f>
        <v>1834.9722678264802</v>
      </c>
      <c r="DA53" s="176" t="s">
        <v>496</v>
      </c>
    </row>
    <row r="54" spans="1:105" ht="11.45" customHeight="1" x14ac:dyDescent="0.25">
      <c r="A54" s="128" t="s">
        <v>27</v>
      </c>
      <c r="B54" s="101">
        <v>693.943581393302</v>
      </c>
      <c r="C54" s="101">
        <v>747.67504290806676</v>
      </c>
      <c r="D54" s="101">
        <v>771.20450644721211</v>
      </c>
      <c r="E54" s="101">
        <v>957.82475905470233</v>
      </c>
      <c r="F54" s="101">
        <v>1029.0452845134885</v>
      </c>
      <c r="G54" s="101">
        <v>1362.5315319280026</v>
      </c>
      <c r="H54" s="101">
        <v>1596</v>
      </c>
      <c r="I54" s="101">
        <v>1591</v>
      </c>
      <c r="J54" s="101">
        <v>1584</v>
      </c>
      <c r="K54" s="101">
        <v>1446</v>
      </c>
      <c r="L54" s="101">
        <v>815</v>
      </c>
      <c r="M54" s="101">
        <v>816</v>
      </c>
      <c r="N54" s="101">
        <v>870</v>
      </c>
      <c r="O54" s="101">
        <v>882</v>
      </c>
      <c r="P54" s="101">
        <v>858</v>
      </c>
      <c r="Q54" s="101">
        <v>854</v>
      </c>
      <c r="R54" s="101">
        <v>924</v>
      </c>
      <c r="S54" s="101">
        <v>971</v>
      </c>
      <c r="T54" s="101">
        <v>1047</v>
      </c>
      <c r="U54" s="101">
        <v>1209</v>
      </c>
      <c r="V54" s="101">
        <v>1200</v>
      </c>
      <c r="W54" s="101">
        <v>1384</v>
      </c>
      <c r="DA54" s="175" t="s">
        <v>497</v>
      </c>
    </row>
    <row r="55" spans="1:105" ht="11.45" customHeight="1" x14ac:dyDescent="0.25">
      <c r="A55" s="138" t="s">
        <v>116</v>
      </c>
      <c r="B55" s="88">
        <v>663.60606225444656</v>
      </c>
      <c r="C55" s="88">
        <v>711.47880771352243</v>
      </c>
      <c r="D55" s="88">
        <v>748.51187438220677</v>
      </c>
      <c r="E55" s="88">
        <v>765.09291568777769</v>
      </c>
      <c r="F55" s="88">
        <v>904.61804247325324</v>
      </c>
      <c r="G55" s="88">
        <v>936.48685391897709</v>
      </c>
      <c r="H55" s="88">
        <v>699.09164958609415</v>
      </c>
      <c r="I55" s="88">
        <v>707.22257838230666</v>
      </c>
      <c r="J55" s="88">
        <v>558.2956377756426</v>
      </c>
      <c r="K55" s="88">
        <v>310.90909088170963</v>
      </c>
      <c r="L55" s="88">
        <v>248.19176826704481</v>
      </c>
      <c r="M55" s="88">
        <v>253.97283938843646</v>
      </c>
      <c r="N55" s="88">
        <v>297.87367989573039</v>
      </c>
      <c r="O55" s="88">
        <v>319.47989184477797</v>
      </c>
      <c r="P55" s="88">
        <v>311.89992990675444</v>
      </c>
      <c r="Q55" s="88">
        <v>313.61680780224384</v>
      </c>
      <c r="R55" s="88">
        <v>350.29005165387764</v>
      </c>
      <c r="S55" s="88">
        <v>415.99430599274791</v>
      </c>
      <c r="T55" s="88">
        <v>394.8863538757268</v>
      </c>
      <c r="U55" s="88">
        <v>399.94235695682323</v>
      </c>
      <c r="V55" s="88">
        <v>316.48782325386122</v>
      </c>
      <c r="W55" s="88">
        <v>450.97226782648011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3600805</v>
      </c>
      <c r="C57" s="54">
        <f t="shared" si="118"/>
        <v>3708845</v>
      </c>
      <c r="D57" s="54">
        <f t="shared" si="118"/>
        <v>3454331</v>
      </c>
      <c r="E57" s="54">
        <f t="shared" si="118"/>
        <v>3594309</v>
      </c>
      <c r="F57" s="54">
        <f t="shared" si="118"/>
        <v>3753565</v>
      </c>
      <c r="G57" s="54">
        <f t="shared" si="118"/>
        <v>3914402</v>
      </c>
      <c r="H57" s="54">
        <f t="shared" si="118"/>
        <v>3816611</v>
      </c>
      <c r="I57" s="54">
        <f t="shared" si="118"/>
        <v>4164158</v>
      </c>
      <c r="J57" s="54">
        <f t="shared" si="118"/>
        <v>4731922</v>
      </c>
      <c r="K57" s="54">
        <f t="shared" si="118"/>
        <v>4973518</v>
      </c>
      <c r="L57" s="54">
        <f t="shared" ref="L57" si="119">L58+L73</f>
        <v>5050630</v>
      </c>
      <c r="M57" s="54">
        <f t="shared" ref="M57:V57" si="120">M58+M73</f>
        <v>5086680</v>
      </c>
      <c r="N57" s="54">
        <f t="shared" si="120"/>
        <v>5256852</v>
      </c>
      <c r="O57" s="54">
        <f t="shared" si="120"/>
        <v>5499568</v>
      </c>
      <c r="P57" s="54">
        <f t="shared" si="120"/>
        <v>5757497</v>
      </c>
      <c r="Q57" s="54">
        <f t="shared" si="120"/>
        <v>6036435</v>
      </c>
      <c r="R57" s="54">
        <f t="shared" si="120"/>
        <v>6369918</v>
      </c>
      <c r="S57" s="54">
        <f t="shared" si="120"/>
        <v>6938438</v>
      </c>
      <c r="T57" s="54">
        <f t="shared" si="120"/>
        <v>7453484</v>
      </c>
      <c r="U57" s="54">
        <f t="shared" si="120"/>
        <v>7963113</v>
      </c>
      <c r="V57" s="54">
        <f t="shared" si="120"/>
        <v>8394187</v>
      </c>
      <c r="W57" s="54">
        <f t="shared" ref="W57" si="121">W58+W73</f>
        <v>8783357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3222899</v>
      </c>
      <c r="C58" s="28">
        <f t="shared" si="122"/>
        <v>3318971</v>
      </c>
      <c r="D58" s="28">
        <f t="shared" si="122"/>
        <v>3057280</v>
      </c>
      <c r="E58" s="28">
        <f t="shared" si="122"/>
        <v>3173002</v>
      </c>
      <c r="F58" s="28">
        <f t="shared" si="122"/>
        <v>3315005</v>
      </c>
      <c r="G58" s="28">
        <f t="shared" si="122"/>
        <v>3450383</v>
      </c>
      <c r="H58" s="28">
        <f t="shared" si="122"/>
        <v>3305274</v>
      </c>
      <c r="I58" s="28">
        <f t="shared" si="122"/>
        <v>3631681</v>
      </c>
      <c r="J58" s="28">
        <f t="shared" si="122"/>
        <v>4140438</v>
      </c>
      <c r="K58" s="28">
        <f t="shared" si="122"/>
        <v>4366313</v>
      </c>
      <c r="L58" s="28">
        <f t="shared" ref="L58" si="123">L59+L60+L67</f>
        <v>4446279</v>
      </c>
      <c r="M58" s="28">
        <f t="shared" ref="M58:V58" si="124">M59+M60+M67</f>
        <v>4466291</v>
      </c>
      <c r="N58" s="28">
        <f t="shared" si="124"/>
        <v>4624963</v>
      </c>
      <c r="O58" s="28">
        <f t="shared" si="124"/>
        <v>4841231</v>
      </c>
      <c r="P58" s="28">
        <f t="shared" si="124"/>
        <v>5060170</v>
      </c>
      <c r="Q58" s="28">
        <f t="shared" si="124"/>
        <v>5317740</v>
      </c>
      <c r="R58" s="28">
        <f t="shared" si="124"/>
        <v>5640760</v>
      </c>
      <c r="S58" s="28">
        <f t="shared" si="124"/>
        <v>6175803</v>
      </c>
      <c r="T58" s="28">
        <f t="shared" si="124"/>
        <v>6640778</v>
      </c>
      <c r="U58" s="28">
        <f t="shared" si="124"/>
        <v>7105142</v>
      </c>
      <c r="V58" s="28">
        <f t="shared" si="124"/>
        <v>7491018</v>
      </c>
      <c r="W58" s="28">
        <f t="shared" ref="W58" si="125">W59+W60+W67</f>
        <v>7841234</v>
      </c>
      <c r="DA58" s="173" t="s">
        <v>500</v>
      </c>
    </row>
    <row r="59" spans="1:105" ht="11.45" customHeight="1" x14ac:dyDescent="0.25">
      <c r="A59" s="136" t="s">
        <v>180</v>
      </c>
      <c r="B59" s="137">
        <v>45975</v>
      </c>
      <c r="C59" s="137">
        <v>45747</v>
      </c>
      <c r="D59" s="137">
        <v>45519</v>
      </c>
      <c r="E59" s="137">
        <v>45909</v>
      </c>
      <c r="F59" s="137">
        <v>46513</v>
      </c>
      <c r="G59" s="137">
        <v>47110</v>
      </c>
      <c r="H59" s="137">
        <v>51959</v>
      </c>
      <c r="I59" s="137">
        <v>56479</v>
      </c>
      <c r="J59" s="137">
        <v>71827</v>
      </c>
      <c r="K59" s="137">
        <v>79990</v>
      </c>
      <c r="L59" s="137">
        <v>85171</v>
      </c>
      <c r="M59" s="137">
        <v>90082</v>
      </c>
      <c r="N59" s="137">
        <v>95450</v>
      </c>
      <c r="O59" s="137">
        <v>101622</v>
      </c>
      <c r="P59" s="137">
        <v>107338</v>
      </c>
      <c r="Q59" s="137">
        <v>112866</v>
      </c>
      <c r="R59" s="137">
        <v>119534</v>
      </c>
      <c r="S59" s="137">
        <v>127300</v>
      </c>
      <c r="T59" s="137">
        <v>136440</v>
      </c>
      <c r="U59" s="137">
        <v>148387</v>
      </c>
      <c r="V59" s="137">
        <v>162078</v>
      </c>
      <c r="W59" s="137">
        <v>175844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3128782</v>
      </c>
      <c r="C60" s="110">
        <f t="shared" si="126"/>
        <v>3225500</v>
      </c>
      <c r="D60" s="110">
        <f t="shared" si="126"/>
        <v>2971000</v>
      </c>
      <c r="E60" s="110">
        <f t="shared" si="126"/>
        <v>3085146</v>
      </c>
      <c r="F60" s="110">
        <f t="shared" si="126"/>
        <v>3225300</v>
      </c>
      <c r="G60" s="110">
        <f t="shared" si="126"/>
        <v>3364000</v>
      </c>
      <c r="H60" s="110">
        <f t="shared" si="126"/>
        <v>3221000</v>
      </c>
      <c r="I60" s="110">
        <f t="shared" si="126"/>
        <v>3541000</v>
      </c>
      <c r="J60" s="110">
        <f t="shared" si="126"/>
        <v>4027097</v>
      </c>
      <c r="K60" s="110">
        <f t="shared" si="126"/>
        <v>4245147</v>
      </c>
      <c r="L60" s="110">
        <f t="shared" ref="L60" si="127">SUM(L61:L66)</f>
        <v>4320216</v>
      </c>
      <c r="M60" s="110">
        <f t="shared" ref="M60:V60" si="128">SUM(M61:M66)</f>
        <v>4335300</v>
      </c>
      <c r="N60" s="110">
        <f t="shared" si="128"/>
        <v>4487479</v>
      </c>
      <c r="O60" s="110">
        <f t="shared" si="128"/>
        <v>4696747</v>
      </c>
      <c r="P60" s="110">
        <f t="shared" si="128"/>
        <v>4908529</v>
      </c>
      <c r="Q60" s="110">
        <f t="shared" si="128"/>
        <v>5157527</v>
      </c>
      <c r="R60" s="110">
        <f t="shared" si="128"/>
        <v>5472423</v>
      </c>
      <c r="S60" s="110">
        <f t="shared" si="128"/>
        <v>5998194</v>
      </c>
      <c r="T60" s="110">
        <f t="shared" si="128"/>
        <v>6452536</v>
      </c>
      <c r="U60" s="110">
        <f t="shared" si="128"/>
        <v>6902984</v>
      </c>
      <c r="V60" s="110">
        <f t="shared" si="128"/>
        <v>7274728</v>
      </c>
      <c r="W60" s="110">
        <f t="shared" ref="W60" si="129">SUM(W61:W66)</f>
        <v>7611039</v>
      </c>
      <c r="DA60" s="176" t="s">
        <v>502</v>
      </c>
    </row>
    <row r="61" spans="1:105" ht="11.45" customHeight="1" x14ac:dyDescent="0.25">
      <c r="A61" s="111" t="s">
        <v>110</v>
      </c>
      <c r="B61" s="84">
        <v>2909465</v>
      </c>
      <c r="C61" s="84">
        <v>2912477</v>
      </c>
      <c r="D61" s="84">
        <v>2607267</v>
      </c>
      <c r="E61" s="84">
        <v>2622924</v>
      </c>
      <c r="F61" s="84">
        <v>2655351</v>
      </c>
      <c r="G61" s="84">
        <v>2692349</v>
      </c>
      <c r="H61" s="84">
        <v>2469900</v>
      </c>
      <c r="I61" s="84">
        <v>2582882</v>
      </c>
      <c r="J61" s="84">
        <v>2879719</v>
      </c>
      <c r="K61" s="84">
        <v>2988418</v>
      </c>
      <c r="L61" s="84">
        <v>2971193</v>
      </c>
      <c r="M61" s="84">
        <v>2899372</v>
      </c>
      <c r="N61" s="84">
        <v>2955691</v>
      </c>
      <c r="O61" s="84">
        <v>3039184</v>
      </c>
      <c r="P61" s="84">
        <v>3113572</v>
      </c>
      <c r="Q61" s="84">
        <v>3189926</v>
      </c>
      <c r="R61" s="84">
        <v>3288214</v>
      </c>
      <c r="S61" s="84">
        <v>3410788</v>
      </c>
      <c r="T61" s="84">
        <v>3483244</v>
      </c>
      <c r="U61" s="84">
        <v>3579318</v>
      </c>
      <c r="V61" s="84">
        <v>3645264</v>
      </c>
      <c r="W61" s="84">
        <v>3683390</v>
      </c>
      <c r="DA61" s="171" t="s">
        <v>503</v>
      </c>
    </row>
    <row r="62" spans="1:105" ht="11.45" customHeight="1" x14ac:dyDescent="0.25">
      <c r="A62" s="111" t="s">
        <v>111</v>
      </c>
      <c r="B62" s="84">
        <v>219317</v>
      </c>
      <c r="C62" s="84">
        <v>313023</v>
      </c>
      <c r="D62" s="84">
        <v>358933</v>
      </c>
      <c r="E62" s="84">
        <v>451170</v>
      </c>
      <c r="F62" s="84">
        <v>544492</v>
      </c>
      <c r="G62" s="84">
        <v>647606</v>
      </c>
      <c r="H62" s="84">
        <v>727241</v>
      </c>
      <c r="I62" s="84">
        <v>926536</v>
      </c>
      <c r="J62" s="84">
        <v>1116844</v>
      </c>
      <c r="K62" s="84">
        <v>1226700</v>
      </c>
      <c r="L62" s="84">
        <v>1319421</v>
      </c>
      <c r="M62" s="84">
        <v>1356592</v>
      </c>
      <c r="N62" s="84">
        <v>1455882</v>
      </c>
      <c r="O62" s="84">
        <v>1582513</v>
      </c>
      <c r="P62" s="84">
        <v>1715999</v>
      </c>
      <c r="Q62" s="84">
        <v>1877364</v>
      </c>
      <c r="R62" s="84">
        <v>2085614</v>
      </c>
      <c r="S62" s="84">
        <v>2474591</v>
      </c>
      <c r="T62" s="84">
        <v>2838693</v>
      </c>
      <c r="U62" s="84">
        <v>3167291</v>
      </c>
      <c r="V62" s="84">
        <v>3439375</v>
      </c>
      <c r="W62" s="84">
        <v>3681906</v>
      </c>
      <c r="DA62" s="171" t="s">
        <v>504</v>
      </c>
    </row>
    <row r="63" spans="1:105" ht="11.45" customHeight="1" x14ac:dyDescent="0.25">
      <c r="A63" s="111" t="s">
        <v>112</v>
      </c>
      <c r="B63" s="84">
        <v>0</v>
      </c>
      <c r="C63" s="84">
        <v>0</v>
      </c>
      <c r="D63" s="84">
        <v>4800</v>
      </c>
      <c r="E63" s="84">
        <v>11052</v>
      </c>
      <c r="F63" s="84">
        <v>25457</v>
      </c>
      <c r="G63" s="84">
        <v>24045</v>
      </c>
      <c r="H63" s="84">
        <v>23859</v>
      </c>
      <c r="I63" s="84">
        <v>31582</v>
      </c>
      <c r="J63" s="84">
        <v>30534</v>
      </c>
      <c r="K63" s="84">
        <v>30028</v>
      </c>
      <c r="L63" s="84">
        <v>29414</v>
      </c>
      <c r="M63" s="84">
        <v>78887</v>
      </c>
      <c r="N63" s="84">
        <v>74917</v>
      </c>
      <c r="O63" s="84">
        <v>73814</v>
      </c>
      <c r="P63" s="84">
        <v>77545</v>
      </c>
      <c r="Q63" s="84">
        <v>88694</v>
      </c>
      <c r="R63" s="84">
        <v>96874</v>
      </c>
      <c r="S63" s="84">
        <v>110648</v>
      </c>
      <c r="T63" s="84">
        <v>127728</v>
      </c>
      <c r="U63" s="84">
        <v>151859</v>
      </c>
      <c r="V63" s="84">
        <v>182679</v>
      </c>
      <c r="W63" s="84">
        <v>229020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151</v>
      </c>
      <c r="O65" s="84">
        <v>144</v>
      </c>
      <c r="P65" s="84">
        <v>153</v>
      </c>
      <c r="Q65" s="84">
        <v>174</v>
      </c>
      <c r="R65" s="84">
        <v>147</v>
      </c>
      <c r="S65" s="84">
        <v>278</v>
      </c>
      <c r="T65" s="84">
        <v>510</v>
      </c>
      <c r="U65" s="84">
        <v>798</v>
      </c>
      <c r="V65" s="84">
        <v>1847</v>
      </c>
      <c r="W65" s="84">
        <v>4840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</v>
      </c>
      <c r="L66" s="84">
        <v>188</v>
      </c>
      <c r="M66" s="84">
        <v>449</v>
      </c>
      <c r="N66" s="84">
        <v>838</v>
      </c>
      <c r="O66" s="84">
        <v>1092</v>
      </c>
      <c r="P66" s="84">
        <v>1260</v>
      </c>
      <c r="Q66" s="84">
        <v>1369</v>
      </c>
      <c r="R66" s="84">
        <v>1574</v>
      </c>
      <c r="S66" s="84">
        <v>1889</v>
      </c>
      <c r="T66" s="84">
        <v>2361</v>
      </c>
      <c r="U66" s="84">
        <v>3718</v>
      </c>
      <c r="V66" s="84">
        <v>5563</v>
      </c>
      <c r="W66" s="84">
        <v>11883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48142</v>
      </c>
      <c r="C67" s="110">
        <f t="shared" si="130"/>
        <v>47724</v>
      </c>
      <c r="D67" s="110">
        <f t="shared" si="130"/>
        <v>40761</v>
      </c>
      <c r="E67" s="110">
        <f t="shared" si="130"/>
        <v>41947</v>
      </c>
      <c r="F67" s="110">
        <f t="shared" si="130"/>
        <v>43192</v>
      </c>
      <c r="G67" s="110">
        <f t="shared" si="130"/>
        <v>39273</v>
      </c>
      <c r="H67" s="110">
        <f t="shared" si="130"/>
        <v>32315</v>
      </c>
      <c r="I67" s="110">
        <f t="shared" si="130"/>
        <v>34202</v>
      </c>
      <c r="J67" s="110">
        <f t="shared" si="130"/>
        <v>41514</v>
      </c>
      <c r="K67" s="110">
        <f t="shared" si="130"/>
        <v>41176</v>
      </c>
      <c r="L67" s="110">
        <f t="shared" ref="L67" si="131">SUM(L68:L72)</f>
        <v>40892</v>
      </c>
      <c r="M67" s="110">
        <f t="shared" ref="M67:V67" si="132">SUM(M68:M72)</f>
        <v>40909</v>
      </c>
      <c r="N67" s="110">
        <f t="shared" si="132"/>
        <v>42034</v>
      </c>
      <c r="O67" s="110">
        <f t="shared" si="132"/>
        <v>42862</v>
      </c>
      <c r="P67" s="110">
        <f t="shared" si="132"/>
        <v>44303</v>
      </c>
      <c r="Q67" s="110">
        <f t="shared" si="132"/>
        <v>47347</v>
      </c>
      <c r="R67" s="110">
        <f t="shared" si="132"/>
        <v>48803</v>
      </c>
      <c r="S67" s="110">
        <f t="shared" si="132"/>
        <v>50309</v>
      </c>
      <c r="T67" s="110">
        <f t="shared" si="132"/>
        <v>51802</v>
      </c>
      <c r="U67" s="110">
        <f t="shared" si="132"/>
        <v>53771</v>
      </c>
      <c r="V67" s="110">
        <f t="shared" si="132"/>
        <v>54212</v>
      </c>
      <c r="W67" s="110">
        <f t="shared" ref="W67" si="133">SUM(W68:W72)</f>
        <v>54351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169</v>
      </c>
      <c r="K68" s="102">
        <v>169</v>
      </c>
      <c r="L68" s="102">
        <v>169</v>
      </c>
      <c r="M68" s="102">
        <v>168</v>
      </c>
      <c r="N68" s="102">
        <v>165</v>
      </c>
      <c r="O68" s="102">
        <v>161</v>
      </c>
      <c r="P68" s="102">
        <v>156</v>
      </c>
      <c r="Q68" s="102">
        <v>149</v>
      </c>
      <c r="R68" s="102">
        <v>142</v>
      </c>
      <c r="S68" s="102">
        <v>135</v>
      </c>
      <c r="T68" s="102">
        <v>126</v>
      </c>
      <c r="U68" s="102">
        <v>121</v>
      </c>
      <c r="V68" s="102">
        <v>120</v>
      </c>
      <c r="W68" s="102">
        <v>117</v>
      </c>
      <c r="DA68" s="175" t="s">
        <v>510</v>
      </c>
    </row>
    <row r="69" spans="1:105" ht="11.45" customHeight="1" x14ac:dyDescent="0.25">
      <c r="A69" s="111" t="s">
        <v>111</v>
      </c>
      <c r="B69" s="102">
        <v>48142</v>
      </c>
      <c r="C69" s="102">
        <v>47724</v>
      </c>
      <c r="D69" s="102">
        <v>40761</v>
      </c>
      <c r="E69" s="102">
        <v>41947</v>
      </c>
      <c r="F69" s="102">
        <v>43192</v>
      </c>
      <c r="G69" s="102">
        <v>39273</v>
      </c>
      <c r="H69" s="102">
        <v>32315</v>
      </c>
      <c r="I69" s="102">
        <v>34202</v>
      </c>
      <c r="J69" s="102">
        <v>41313</v>
      </c>
      <c r="K69" s="102">
        <v>40971</v>
      </c>
      <c r="L69" s="102">
        <v>40647</v>
      </c>
      <c r="M69" s="102">
        <v>40650</v>
      </c>
      <c r="N69" s="102">
        <v>41778</v>
      </c>
      <c r="O69" s="102">
        <v>42607</v>
      </c>
      <c r="P69" s="102">
        <v>44052</v>
      </c>
      <c r="Q69" s="102">
        <v>47104</v>
      </c>
      <c r="R69" s="102">
        <v>48574</v>
      </c>
      <c r="S69" s="102">
        <v>50088</v>
      </c>
      <c r="T69" s="102">
        <v>51600</v>
      </c>
      <c r="U69" s="102">
        <v>53532</v>
      </c>
      <c r="V69" s="102">
        <v>53801</v>
      </c>
      <c r="W69" s="102">
        <v>53933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32</v>
      </c>
      <c r="K70" s="102">
        <v>36</v>
      </c>
      <c r="L70" s="102">
        <v>76</v>
      </c>
      <c r="M70" s="102">
        <v>91</v>
      </c>
      <c r="N70" s="102">
        <v>91</v>
      </c>
      <c r="O70" s="102">
        <v>93</v>
      </c>
      <c r="P70" s="102">
        <v>93</v>
      </c>
      <c r="Q70" s="102">
        <v>90</v>
      </c>
      <c r="R70" s="102">
        <v>82</v>
      </c>
      <c r="S70" s="102">
        <v>81</v>
      </c>
      <c r="T70" s="102">
        <v>51</v>
      </c>
      <c r="U70" s="102">
        <v>49</v>
      </c>
      <c r="V70" s="102">
        <v>48</v>
      </c>
      <c r="W70" s="102">
        <v>47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1</v>
      </c>
      <c r="P72" s="102">
        <v>2</v>
      </c>
      <c r="Q72" s="102">
        <v>4</v>
      </c>
      <c r="R72" s="102">
        <v>5</v>
      </c>
      <c r="S72" s="102">
        <v>5</v>
      </c>
      <c r="T72" s="102">
        <v>25</v>
      </c>
      <c r="U72" s="102">
        <v>69</v>
      </c>
      <c r="V72" s="102">
        <v>243</v>
      </c>
      <c r="W72" s="102">
        <v>254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377906</v>
      </c>
      <c r="C73" s="28">
        <f t="shared" si="134"/>
        <v>389874</v>
      </c>
      <c r="D73" s="28">
        <f t="shared" si="134"/>
        <v>397051</v>
      </c>
      <c r="E73" s="28">
        <f t="shared" si="134"/>
        <v>421307</v>
      </c>
      <c r="F73" s="28">
        <f t="shared" si="134"/>
        <v>438560</v>
      </c>
      <c r="G73" s="28">
        <f t="shared" si="134"/>
        <v>464019</v>
      </c>
      <c r="H73" s="28">
        <f t="shared" si="134"/>
        <v>511337</v>
      </c>
      <c r="I73" s="28">
        <f t="shared" si="134"/>
        <v>532477</v>
      </c>
      <c r="J73" s="28">
        <f t="shared" si="134"/>
        <v>591484</v>
      </c>
      <c r="K73" s="28">
        <f t="shared" si="134"/>
        <v>607205</v>
      </c>
      <c r="L73" s="28">
        <f t="shared" ref="L73" si="135">L74+L80</f>
        <v>604351</v>
      </c>
      <c r="M73" s="28">
        <f t="shared" ref="M73:V73" si="136">M74+M80</f>
        <v>620389</v>
      </c>
      <c r="N73" s="28">
        <f t="shared" si="136"/>
        <v>631889</v>
      </c>
      <c r="O73" s="28">
        <f t="shared" si="136"/>
        <v>658337</v>
      </c>
      <c r="P73" s="28">
        <f t="shared" si="136"/>
        <v>697327</v>
      </c>
      <c r="Q73" s="28">
        <f t="shared" si="136"/>
        <v>718695</v>
      </c>
      <c r="R73" s="28">
        <f t="shared" si="136"/>
        <v>729158</v>
      </c>
      <c r="S73" s="28">
        <f t="shared" si="136"/>
        <v>762635</v>
      </c>
      <c r="T73" s="28">
        <f t="shared" si="136"/>
        <v>812706</v>
      </c>
      <c r="U73" s="28">
        <f t="shared" si="136"/>
        <v>857971</v>
      </c>
      <c r="V73" s="28">
        <f t="shared" si="136"/>
        <v>903169</v>
      </c>
      <c r="W73" s="28">
        <f t="shared" ref="W73" si="137">W74+W80</f>
        <v>942123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320155</v>
      </c>
      <c r="C74" s="137">
        <f t="shared" si="138"/>
        <v>328399</v>
      </c>
      <c r="D74" s="137">
        <f t="shared" si="138"/>
        <v>335513</v>
      </c>
      <c r="E74" s="137">
        <f t="shared" si="138"/>
        <v>347565</v>
      </c>
      <c r="F74" s="137">
        <f t="shared" si="138"/>
        <v>362316</v>
      </c>
      <c r="G74" s="137">
        <f t="shared" si="138"/>
        <v>371018</v>
      </c>
      <c r="H74" s="137">
        <f t="shared" si="138"/>
        <v>410366</v>
      </c>
      <c r="I74" s="137">
        <f t="shared" si="138"/>
        <v>432232</v>
      </c>
      <c r="J74" s="137">
        <f t="shared" si="138"/>
        <v>486990</v>
      </c>
      <c r="K74" s="137">
        <f t="shared" si="138"/>
        <v>499692</v>
      </c>
      <c r="L74" s="137">
        <f t="shared" ref="L74" si="139">SUM(L75:L79)</f>
        <v>503773</v>
      </c>
      <c r="M74" s="137">
        <f t="shared" ref="M74:V74" si="140">SUM(M75:M79)</f>
        <v>526063</v>
      </c>
      <c r="N74" s="137">
        <f t="shared" si="140"/>
        <v>544089</v>
      </c>
      <c r="O74" s="137">
        <f t="shared" si="140"/>
        <v>572873</v>
      </c>
      <c r="P74" s="137">
        <f t="shared" si="140"/>
        <v>615903</v>
      </c>
      <c r="Q74" s="137">
        <f t="shared" si="140"/>
        <v>645549</v>
      </c>
      <c r="R74" s="137">
        <f t="shared" si="140"/>
        <v>663503</v>
      </c>
      <c r="S74" s="137">
        <f t="shared" si="140"/>
        <v>700987</v>
      </c>
      <c r="T74" s="137">
        <f t="shared" si="140"/>
        <v>753029</v>
      </c>
      <c r="U74" s="137">
        <f t="shared" si="140"/>
        <v>797135</v>
      </c>
      <c r="V74" s="137">
        <f t="shared" si="140"/>
        <v>839103</v>
      </c>
      <c r="W74" s="137">
        <f t="shared" ref="W74" si="141">SUM(W75:W79)</f>
        <v>877319</v>
      </c>
      <c r="DA74" s="174" t="s">
        <v>516</v>
      </c>
    </row>
    <row r="75" spans="1:105" ht="11.45" customHeight="1" x14ac:dyDescent="0.25">
      <c r="A75" s="111" t="s">
        <v>110</v>
      </c>
      <c r="B75" s="84">
        <v>130188</v>
      </c>
      <c r="C75" s="84">
        <v>131096</v>
      </c>
      <c r="D75" s="84">
        <v>131545</v>
      </c>
      <c r="E75" s="84">
        <v>133628</v>
      </c>
      <c r="F75" s="84">
        <v>136509</v>
      </c>
      <c r="G75" s="84">
        <v>137260</v>
      </c>
      <c r="H75" s="84">
        <v>147870</v>
      </c>
      <c r="I75" s="84">
        <v>152513</v>
      </c>
      <c r="J75" s="84">
        <v>152235</v>
      </c>
      <c r="K75" s="84">
        <v>150669</v>
      </c>
      <c r="L75" s="84">
        <v>145203</v>
      </c>
      <c r="M75" s="84">
        <v>140466</v>
      </c>
      <c r="N75" s="84">
        <v>136544</v>
      </c>
      <c r="O75" s="84">
        <v>127322</v>
      </c>
      <c r="P75" s="84">
        <v>119204</v>
      </c>
      <c r="Q75" s="84">
        <v>106409</v>
      </c>
      <c r="R75" s="84">
        <v>111438</v>
      </c>
      <c r="S75" s="84">
        <v>114170</v>
      </c>
      <c r="T75" s="84">
        <v>115134</v>
      </c>
      <c r="U75" s="84">
        <v>112059</v>
      </c>
      <c r="V75" s="84">
        <v>110367</v>
      </c>
      <c r="W75" s="84">
        <v>108220</v>
      </c>
      <c r="DA75" s="171" t="s">
        <v>517</v>
      </c>
    </row>
    <row r="76" spans="1:105" ht="11.45" customHeight="1" x14ac:dyDescent="0.25">
      <c r="A76" s="111" t="s">
        <v>111</v>
      </c>
      <c r="B76" s="84">
        <v>189967</v>
      </c>
      <c r="C76" s="84">
        <v>197303</v>
      </c>
      <c r="D76" s="84">
        <v>203968</v>
      </c>
      <c r="E76" s="84">
        <v>213937</v>
      </c>
      <c r="F76" s="84">
        <v>225807</v>
      </c>
      <c r="G76" s="84">
        <v>233758</v>
      </c>
      <c r="H76" s="84">
        <v>262496</v>
      </c>
      <c r="I76" s="84">
        <v>279719</v>
      </c>
      <c r="J76" s="84">
        <v>334753</v>
      </c>
      <c r="K76" s="84">
        <v>349021</v>
      </c>
      <c r="L76" s="84">
        <v>358566</v>
      </c>
      <c r="M76" s="84">
        <v>385590</v>
      </c>
      <c r="N76" s="84">
        <v>407529</v>
      </c>
      <c r="O76" s="84">
        <v>445531</v>
      </c>
      <c r="P76" s="84">
        <v>496674</v>
      </c>
      <c r="Q76" s="84">
        <v>539118</v>
      </c>
      <c r="R76" s="84">
        <v>552041</v>
      </c>
      <c r="S76" s="84">
        <v>586778</v>
      </c>
      <c r="T76" s="84">
        <v>637815</v>
      </c>
      <c r="U76" s="84">
        <v>684940</v>
      </c>
      <c r="V76" s="84">
        <v>728513</v>
      </c>
      <c r="W76" s="84">
        <v>768781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2</v>
      </c>
      <c r="K77" s="84">
        <v>2</v>
      </c>
      <c r="L77" s="84">
        <v>2</v>
      </c>
      <c r="M77" s="84">
        <v>4</v>
      </c>
      <c r="N77" s="84">
        <v>10</v>
      </c>
      <c r="O77" s="84">
        <v>10</v>
      </c>
      <c r="P77" s="84">
        <v>12</v>
      </c>
      <c r="Q77" s="84">
        <v>10</v>
      </c>
      <c r="R77" s="84">
        <v>13</v>
      </c>
      <c r="S77" s="84">
        <v>13</v>
      </c>
      <c r="T77" s="84">
        <v>12</v>
      </c>
      <c r="U77" s="84">
        <v>12</v>
      </c>
      <c r="V77" s="84">
        <v>11</v>
      </c>
      <c r="W77" s="84">
        <v>17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2</v>
      </c>
      <c r="M79" s="84">
        <v>3</v>
      </c>
      <c r="N79" s="84">
        <v>6</v>
      </c>
      <c r="O79" s="84">
        <v>10</v>
      </c>
      <c r="P79" s="84">
        <v>13</v>
      </c>
      <c r="Q79" s="84">
        <v>12</v>
      </c>
      <c r="R79" s="84">
        <v>11</v>
      </c>
      <c r="S79" s="84">
        <v>26</v>
      </c>
      <c r="T79" s="84">
        <v>68</v>
      </c>
      <c r="U79" s="84">
        <v>124</v>
      </c>
      <c r="V79" s="84">
        <v>212</v>
      </c>
      <c r="W79" s="84">
        <v>301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57751</v>
      </c>
      <c r="C80" s="110">
        <f t="shared" si="142"/>
        <v>61475</v>
      </c>
      <c r="D80" s="110">
        <f t="shared" si="142"/>
        <v>61538</v>
      </c>
      <c r="E80" s="110">
        <f t="shared" si="142"/>
        <v>73742</v>
      </c>
      <c r="F80" s="110">
        <f t="shared" si="142"/>
        <v>76244</v>
      </c>
      <c r="G80" s="110">
        <f t="shared" si="142"/>
        <v>93001</v>
      </c>
      <c r="H80" s="110">
        <f t="shared" si="142"/>
        <v>100971</v>
      </c>
      <c r="I80" s="110">
        <f t="shared" si="142"/>
        <v>100245</v>
      </c>
      <c r="J80" s="110">
        <f t="shared" si="142"/>
        <v>104494</v>
      </c>
      <c r="K80" s="110">
        <f t="shared" si="142"/>
        <v>107513</v>
      </c>
      <c r="L80" s="110">
        <f t="shared" ref="L80" si="143">SUM(L81:L82)</f>
        <v>100578</v>
      </c>
      <c r="M80" s="110">
        <f t="shared" ref="M80:V80" si="144">SUM(M81:M82)</f>
        <v>94326</v>
      </c>
      <c r="N80" s="110">
        <f t="shared" si="144"/>
        <v>87800</v>
      </c>
      <c r="O80" s="110">
        <f t="shared" si="144"/>
        <v>85464</v>
      </c>
      <c r="P80" s="110">
        <f t="shared" si="144"/>
        <v>81424</v>
      </c>
      <c r="Q80" s="110">
        <f t="shared" si="144"/>
        <v>73146</v>
      </c>
      <c r="R80" s="110">
        <f t="shared" si="144"/>
        <v>65655</v>
      </c>
      <c r="S80" s="110">
        <f t="shared" si="144"/>
        <v>61648</v>
      </c>
      <c r="T80" s="110">
        <f t="shared" si="144"/>
        <v>59677</v>
      </c>
      <c r="U80" s="110">
        <f t="shared" si="144"/>
        <v>60836</v>
      </c>
      <c r="V80" s="110">
        <f t="shared" si="144"/>
        <v>64066</v>
      </c>
      <c r="W80" s="110">
        <f t="shared" ref="W80" si="145">SUM(W81:W82)</f>
        <v>64804</v>
      </c>
      <c r="DA80" s="176" t="s">
        <v>522</v>
      </c>
    </row>
    <row r="81" spans="1:105" ht="11.45" customHeight="1" x14ac:dyDescent="0.25">
      <c r="A81" s="128" t="s">
        <v>27</v>
      </c>
      <c r="B81" s="102">
        <v>49944</v>
      </c>
      <c r="C81" s="102">
        <v>53105</v>
      </c>
      <c r="D81" s="102">
        <v>52732</v>
      </c>
      <c r="E81" s="102">
        <v>64741</v>
      </c>
      <c r="F81" s="102">
        <v>65601</v>
      </c>
      <c r="G81" s="102">
        <v>81984</v>
      </c>
      <c r="H81" s="102">
        <v>92746</v>
      </c>
      <c r="I81" s="102">
        <v>91925</v>
      </c>
      <c r="J81" s="102">
        <v>97926</v>
      </c>
      <c r="K81" s="102">
        <v>103855</v>
      </c>
      <c r="L81" s="102">
        <v>97658</v>
      </c>
      <c r="M81" s="102">
        <v>91338</v>
      </c>
      <c r="N81" s="102">
        <v>84296</v>
      </c>
      <c r="O81" s="102">
        <v>81705</v>
      </c>
      <c r="P81" s="102">
        <v>77755</v>
      </c>
      <c r="Q81" s="102">
        <v>69456</v>
      </c>
      <c r="R81" s="102">
        <v>61534</v>
      </c>
      <c r="S81" s="102">
        <v>56754</v>
      </c>
      <c r="T81" s="102">
        <v>55031</v>
      </c>
      <c r="U81" s="102">
        <v>56131</v>
      </c>
      <c r="V81" s="102">
        <v>60343</v>
      </c>
      <c r="W81" s="102">
        <v>59498</v>
      </c>
      <c r="DA81" s="175" t="s">
        <v>523</v>
      </c>
    </row>
    <row r="82" spans="1:105" ht="11.45" customHeight="1" x14ac:dyDescent="0.25">
      <c r="A82" s="138" t="s">
        <v>116</v>
      </c>
      <c r="B82" s="86">
        <v>7807</v>
      </c>
      <c r="C82" s="86">
        <v>8370</v>
      </c>
      <c r="D82" s="86">
        <v>8806</v>
      </c>
      <c r="E82" s="86">
        <v>9001</v>
      </c>
      <c r="F82" s="86">
        <v>10643</v>
      </c>
      <c r="G82" s="86">
        <v>11017</v>
      </c>
      <c r="H82" s="86">
        <v>8225</v>
      </c>
      <c r="I82" s="86">
        <v>8320</v>
      </c>
      <c r="J82" s="86">
        <v>6568</v>
      </c>
      <c r="K82" s="86">
        <v>3658</v>
      </c>
      <c r="L82" s="86">
        <v>2920</v>
      </c>
      <c r="M82" s="86">
        <v>2988</v>
      </c>
      <c r="N82" s="86">
        <v>3504</v>
      </c>
      <c r="O82" s="86">
        <v>3759</v>
      </c>
      <c r="P82" s="86">
        <v>3669</v>
      </c>
      <c r="Q82" s="86">
        <v>3690</v>
      </c>
      <c r="R82" s="86">
        <v>4121</v>
      </c>
      <c r="S82" s="86">
        <v>4894</v>
      </c>
      <c r="T82" s="86">
        <v>4646</v>
      </c>
      <c r="U82" s="86">
        <v>4705</v>
      </c>
      <c r="V82" s="86">
        <v>3723</v>
      </c>
      <c r="W82" s="86">
        <v>5306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3600805</v>
      </c>
      <c r="C84" s="54">
        <f t="shared" si="146"/>
        <v>3708845</v>
      </c>
      <c r="D84" s="54">
        <f t="shared" ref="D84:V84" si="147">D85+D100</f>
        <v>3454331</v>
      </c>
      <c r="E84" s="54">
        <f t="shared" si="147"/>
        <v>3594309</v>
      </c>
      <c r="F84" s="54">
        <f t="shared" si="147"/>
        <v>3753565</v>
      </c>
      <c r="G84" s="54">
        <f t="shared" si="147"/>
        <v>3914402</v>
      </c>
      <c r="H84" s="54">
        <f t="shared" si="147"/>
        <v>3816611</v>
      </c>
      <c r="I84" s="54">
        <f t="shared" si="147"/>
        <v>4164158</v>
      </c>
      <c r="J84" s="54">
        <f t="shared" si="147"/>
        <v>4731922</v>
      </c>
      <c r="K84" s="54">
        <f t="shared" si="147"/>
        <v>4973518</v>
      </c>
      <c r="L84" s="54">
        <f t="shared" si="147"/>
        <v>5050630</v>
      </c>
      <c r="M84" s="54">
        <f t="shared" si="147"/>
        <v>5086680</v>
      </c>
      <c r="N84" s="54">
        <f t="shared" si="147"/>
        <v>5256852</v>
      </c>
      <c r="O84" s="54">
        <f t="shared" si="147"/>
        <v>5499568</v>
      </c>
      <c r="P84" s="54">
        <f t="shared" si="147"/>
        <v>5757497</v>
      </c>
      <c r="Q84" s="54">
        <f t="shared" si="147"/>
        <v>6036435</v>
      </c>
      <c r="R84" s="54">
        <f t="shared" si="147"/>
        <v>6369918</v>
      </c>
      <c r="S84" s="54">
        <f t="shared" si="147"/>
        <v>6938438</v>
      </c>
      <c r="T84" s="54">
        <f t="shared" si="147"/>
        <v>7453484</v>
      </c>
      <c r="U84" s="54">
        <f t="shared" si="147"/>
        <v>7963113</v>
      </c>
      <c r="V84" s="54">
        <f t="shared" si="147"/>
        <v>8394187</v>
      </c>
      <c r="W84" s="54">
        <f t="shared" ref="W84" si="148">W85+W100</f>
        <v>8783357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3222899</v>
      </c>
      <c r="C85" s="28">
        <f t="shared" si="149"/>
        <v>3318971</v>
      </c>
      <c r="D85" s="28">
        <f t="shared" ref="D85:V85" si="150">D86+D87+D94</f>
        <v>3057280</v>
      </c>
      <c r="E85" s="28">
        <f t="shared" si="150"/>
        <v>3173002</v>
      </c>
      <c r="F85" s="28">
        <f t="shared" si="150"/>
        <v>3315005</v>
      </c>
      <c r="G85" s="28">
        <f t="shared" si="150"/>
        <v>3450383</v>
      </c>
      <c r="H85" s="28">
        <f t="shared" si="150"/>
        <v>3305274</v>
      </c>
      <c r="I85" s="28">
        <f t="shared" si="150"/>
        <v>3631681</v>
      </c>
      <c r="J85" s="28">
        <f t="shared" si="150"/>
        <v>4140438</v>
      </c>
      <c r="K85" s="28">
        <f t="shared" si="150"/>
        <v>4366313</v>
      </c>
      <c r="L85" s="28">
        <f t="shared" si="150"/>
        <v>4446279</v>
      </c>
      <c r="M85" s="28">
        <f t="shared" si="150"/>
        <v>4466291</v>
      </c>
      <c r="N85" s="28">
        <f t="shared" si="150"/>
        <v>4624963</v>
      </c>
      <c r="O85" s="28">
        <f t="shared" si="150"/>
        <v>4841231</v>
      </c>
      <c r="P85" s="28">
        <f t="shared" si="150"/>
        <v>5060170</v>
      </c>
      <c r="Q85" s="28">
        <f t="shared" si="150"/>
        <v>5317740</v>
      </c>
      <c r="R85" s="28">
        <f t="shared" si="150"/>
        <v>5640760</v>
      </c>
      <c r="S85" s="28">
        <f t="shared" si="150"/>
        <v>6175803</v>
      </c>
      <c r="T85" s="28">
        <f t="shared" si="150"/>
        <v>6640778</v>
      </c>
      <c r="U85" s="28">
        <f t="shared" si="150"/>
        <v>7105142</v>
      </c>
      <c r="V85" s="28">
        <f t="shared" si="150"/>
        <v>7491018</v>
      </c>
      <c r="W85" s="28">
        <f t="shared" ref="W85" si="151">W86+W87+W94</f>
        <v>7841234</v>
      </c>
      <c r="DA85" s="173"/>
    </row>
    <row r="86" spans="1:105" ht="11.45" hidden="1" customHeight="1" x14ac:dyDescent="0.25">
      <c r="A86" s="136" t="s">
        <v>180</v>
      </c>
      <c r="B86" s="137">
        <v>45975</v>
      </c>
      <c r="C86" s="137">
        <v>45747</v>
      </c>
      <c r="D86" s="137">
        <v>45519</v>
      </c>
      <c r="E86" s="137">
        <v>45909</v>
      </c>
      <c r="F86" s="137">
        <v>46513</v>
      </c>
      <c r="G86" s="137">
        <v>47110</v>
      </c>
      <c r="H86" s="137">
        <v>51959</v>
      </c>
      <c r="I86" s="137">
        <v>56479</v>
      </c>
      <c r="J86" s="137">
        <v>71827</v>
      </c>
      <c r="K86" s="137">
        <v>79990</v>
      </c>
      <c r="L86" s="137">
        <v>85171</v>
      </c>
      <c r="M86" s="137">
        <v>90082</v>
      </c>
      <c r="N86" s="137">
        <v>95450</v>
      </c>
      <c r="O86" s="137">
        <v>101622</v>
      </c>
      <c r="P86" s="137">
        <v>107338</v>
      </c>
      <c r="Q86" s="137">
        <v>112866</v>
      </c>
      <c r="R86" s="137">
        <v>119534</v>
      </c>
      <c r="S86" s="137">
        <v>127300</v>
      </c>
      <c r="T86" s="137">
        <v>136440</v>
      </c>
      <c r="U86" s="137">
        <v>148387</v>
      </c>
      <c r="V86" s="137">
        <v>162078</v>
      </c>
      <c r="W86" s="137">
        <v>175844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3128782</v>
      </c>
      <c r="C87" s="110">
        <f t="shared" si="152"/>
        <v>3225500</v>
      </c>
      <c r="D87" s="110">
        <f t="shared" ref="D87:V87" si="153">SUM(D88:D93)</f>
        <v>2971000</v>
      </c>
      <c r="E87" s="110">
        <f t="shared" si="153"/>
        <v>3085146</v>
      </c>
      <c r="F87" s="110">
        <f t="shared" si="153"/>
        <v>3225300</v>
      </c>
      <c r="G87" s="110">
        <f t="shared" si="153"/>
        <v>3364000</v>
      </c>
      <c r="H87" s="110">
        <f t="shared" si="153"/>
        <v>3221000</v>
      </c>
      <c r="I87" s="110">
        <f t="shared" si="153"/>
        <v>3541000</v>
      </c>
      <c r="J87" s="110">
        <f t="shared" si="153"/>
        <v>4027097</v>
      </c>
      <c r="K87" s="110">
        <f t="shared" si="153"/>
        <v>4245147</v>
      </c>
      <c r="L87" s="110">
        <f t="shared" si="153"/>
        <v>4320216</v>
      </c>
      <c r="M87" s="110">
        <f t="shared" si="153"/>
        <v>4335300</v>
      </c>
      <c r="N87" s="110">
        <f t="shared" si="153"/>
        <v>4487479</v>
      </c>
      <c r="O87" s="110">
        <f t="shared" si="153"/>
        <v>4696747</v>
      </c>
      <c r="P87" s="110">
        <f t="shared" si="153"/>
        <v>4908529</v>
      </c>
      <c r="Q87" s="110">
        <f t="shared" si="153"/>
        <v>5157527</v>
      </c>
      <c r="R87" s="110">
        <f t="shared" si="153"/>
        <v>5472423</v>
      </c>
      <c r="S87" s="110">
        <f t="shared" si="153"/>
        <v>5998194</v>
      </c>
      <c r="T87" s="110">
        <f t="shared" si="153"/>
        <v>6452536</v>
      </c>
      <c r="U87" s="110">
        <f t="shared" si="153"/>
        <v>6902984</v>
      </c>
      <c r="V87" s="110">
        <f t="shared" si="153"/>
        <v>7274728</v>
      </c>
      <c r="W87" s="110">
        <f t="shared" ref="W87" si="154">SUM(W88:W93)</f>
        <v>7611039</v>
      </c>
      <c r="DA87" s="176"/>
    </row>
    <row r="88" spans="1:105" ht="11.45" hidden="1" customHeight="1" x14ac:dyDescent="0.25">
      <c r="A88" s="111" t="s">
        <v>110</v>
      </c>
      <c r="B88" s="84">
        <v>2909465</v>
      </c>
      <c r="C88" s="84">
        <v>2912477</v>
      </c>
      <c r="D88" s="84">
        <v>2607267</v>
      </c>
      <c r="E88" s="84">
        <v>2622924</v>
      </c>
      <c r="F88" s="84">
        <v>2655351</v>
      </c>
      <c r="G88" s="84">
        <v>2692349</v>
      </c>
      <c r="H88" s="84">
        <v>2469900</v>
      </c>
      <c r="I88" s="84">
        <v>2582882</v>
      </c>
      <c r="J88" s="84">
        <v>2879719</v>
      </c>
      <c r="K88" s="84">
        <v>2988418</v>
      </c>
      <c r="L88" s="84">
        <v>2971193</v>
      </c>
      <c r="M88" s="84">
        <v>2899372</v>
      </c>
      <c r="N88" s="84">
        <v>2955691</v>
      </c>
      <c r="O88" s="84">
        <v>3039184</v>
      </c>
      <c r="P88" s="84">
        <v>3113572</v>
      </c>
      <c r="Q88" s="84">
        <v>3189926</v>
      </c>
      <c r="R88" s="84">
        <v>3288214</v>
      </c>
      <c r="S88" s="84">
        <v>3410788</v>
      </c>
      <c r="T88" s="84">
        <v>3483244</v>
      </c>
      <c r="U88" s="84">
        <v>3579318</v>
      </c>
      <c r="V88" s="84">
        <v>3645264</v>
      </c>
      <c r="W88" s="84">
        <v>3683390</v>
      </c>
      <c r="DA88" s="171"/>
    </row>
    <row r="89" spans="1:105" ht="11.45" hidden="1" customHeight="1" x14ac:dyDescent="0.25">
      <c r="A89" s="111" t="s">
        <v>111</v>
      </c>
      <c r="B89" s="84">
        <v>219317</v>
      </c>
      <c r="C89" s="84">
        <v>313023</v>
      </c>
      <c r="D89" s="84">
        <v>358933</v>
      </c>
      <c r="E89" s="84">
        <v>451170</v>
      </c>
      <c r="F89" s="84">
        <v>544492</v>
      </c>
      <c r="G89" s="84">
        <v>647606</v>
      </c>
      <c r="H89" s="84">
        <v>727241</v>
      </c>
      <c r="I89" s="84">
        <v>926536</v>
      </c>
      <c r="J89" s="84">
        <v>1116844</v>
      </c>
      <c r="K89" s="84">
        <v>1226700</v>
      </c>
      <c r="L89" s="84">
        <v>1319421</v>
      </c>
      <c r="M89" s="84">
        <v>1356592</v>
      </c>
      <c r="N89" s="84">
        <v>1455882</v>
      </c>
      <c r="O89" s="84">
        <v>1582513</v>
      </c>
      <c r="P89" s="84">
        <v>1715999</v>
      </c>
      <c r="Q89" s="84">
        <v>1877364</v>
      </c>
      <c r="R89" s="84">
        <v>2085614</v>
      </c>
      <c r="S89" s="84">
        <v>2474591</v>
      </c>
      <c r="T89" s="84">
        <v>2838693</v>
      </c>
      <c r="U89" s="84">
        <v>3167291</v>
      </c>
      <c r="V89" s="84">
        <v>3439375</v>
      </c>
      <c r="W89" s="84">
        <v>3681906</v>
      </c>
      <c r="DA89" s="171"/>
    </row>
    <row r="90" spans="1:105" ht="11.45" hidden="1" customHeight="1" x14ac:dyDescent="0.25">
      <c r="A90" s="111" t="s">
        <v>112</v>
      </c>
      <c r="B90" s="84">
        <v>0</v>
      </c>
      <c r="C90" s="84">
        <v>0</v>
      </c>
      <c r="D90" s="84">
        <v>4800</v>
      </c>
      <c r="E90" s="84">
        <v>11052</v>
      </c>
      <c r="F90" s="84">
        <v>25457</v>
      </c>
      <c r="G90" s="84">
        <v>24045</v>
      </c>
      <c r="H90" s="84">
        <v>23859</v>
      </c>
      <c r="I90" s="84">
        <v>31582</v>
      </c>
      <c r="J90" s="84">
        <v>30534</v>
      </c>
      <c r="K90" s="84">
        <v>30028</v>
      </c>
      <c r="L90" s="84">
        <v>29414</v>
      </c>
      <c r="M90" s="84">
        <v>78887</v>
      </c>
      <c r="N90" s="84">
        <v>74917</v>
      </c>
      <c r="O90" s="84">
        <v>73814</v>
      </c>
      <c r="P90" s="84">
        <v>77545</v>
      </c>
      <c r="Q90" s="84">
        <v>88694</v>
      </c>
      <c r="R90" s="84">
        <v>96874</v>
      </c>
      <c r="S90" s="84">
        <v>110648</v>
      </c>
      <c r="T90" s="84">
        <v>127728</v>
      </c>
      <c r="U90" s="84">
        <v>151859</v>
      </c>
      <c r="V90" s="84">
        <v>182679</v>
      </c>
      <c r="W90" s="84">
        <v>229020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151</v>
      </c>
      <c r="O92" s="84">
        <v>144</v>
      </c>
      <c r="P92" s="84">
        <v>153</v>
      </c>
      <c r="Q92" s="84">
        <v>174</v>
      </c>
      <c r="R92" s="84">
        <v>147</v>
      </c>
      <c r="S92" s="84">
        <v>278</v>
      </c>
      <c r="T92" s="84">
        <v>510</v>
      </c>
      <c r="U92" s="84">
        <v>798</v>
      </c>
      <c r="V92" s="84">
        <v>1847</v>
      </c>
      <c r="W92" s="84">
        <v>4840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1</v>
      </c>
      <c r="L93" s="84">
        <v>188</v>
      </c>
      <c r="M93" s="84">
        <v>449</v>
      </c>
      <c r="N93" s="84">
        <v>838</v>
      </c>
      <c r="O93" s="84">
        <v>1092</v>
      </c>
      <c r="P93" s="84">
        <v>1260</v>
      </c>
      <c r="Q93" s="84">
        <v>1369</v>
      </c>
      <c r="R93" s="84">
        <v>1574</v>
      </c>
      <c r="S93" s="84">
        <v>1889</v>
      </c>
      <c r="T93" s="84">
        <v>2361</v>
      </c>
      <c r="U93" s="84">
        <v>3718</v>
      </c>
      <c r="V93" s="84">
        <v>5563</v>
      </c>
      <c r="W93" s="84">
        <v>11883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48142</v>
      </c>
      <c r="C94" s="110">
        <f t="shared" si="155"/>
        <v>47724</v>
      </c>
      <c r="D94" s="110">
        <f t="shared" ref="D94:V94" si="156">SUM(D95:D99)</f>
        <v>40761</v>
      </c>
      <c r="E94" s="110">
        <f t="shared" si="156"/>
        <v>41947</v>
      </c>
      <c r="F94" s="110">
        <f t="shared" si="156"/>
        <v>43192</v>
      </c>
      <c r="G94" s="110">
        <f t="shared" si="156"/>
        <v>39273</v>
      </c>
      <c r="H94" s="110">
        <f t="shared" si="156"/>
        <v>32315</v>
      </c>
      <c r="I94" s="110">
        <f t="shared" si="156"/>
        <v>34202</v>
      </c>
      <c r="J94" s="110">
        <f t="shared" si="156"/>
        <v>41514</v>
      </c>
      <c r="K94" s="110">
        <f t="shared" si="156"/>
        <v>41176</v>
      </c>
      <c r="L94" s="110">
        <f t="shared" si="156"/>
        <v>40892</v>
      </c>
      <c r="M94" s="110">
        <f t="shared" si="156"/>
        <v>40909</v>
      </c>
      <c r="N94" s="110">
        <f t="shared" si="156"/>
        <v>42034</v>
      </c>
      <c r="O94" s="110">
        <f t="shared" si="156"/>
        <v>42862</v>
      </c>
      <c r="P94" s="110">
        <f t="shared" si="156"/>
        <v>44303</v>
      </c>
      <c r="Q94" s="110">
        <f t="shared" si="156"/>
        <v>47347</v>
      </c>
      <c r="R94" s="110">
        <f t="shared" si="156"/>
        <v>48803</v>
      </c>
      <c r="S94" s="110">
        <f t="shared" si="156"/>
        <v>50309</v>
      </c>
      <c r="T94" s="110">
        <f t="shared" si="156"/>
        <v>51802</v>
      </c>
      <c r="U94" s="110">
        <f t="shared" si="156"/>
        <v>53771</v>
      </c>
      <c r="V94" s="110">
        <f t="shared" si="156"/>
        <v>54212</v>
      </c>
      <c r="W94" s="110">
        <f t="shared" ref="W94" si="157">SUM(W95:W99)</f>
        <v>54351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169</v>
      </c>
      <c r="K95" s="102">
        <v>169</v>
      </c>
      <c r="L95" s="102">
        <v>169</v>
      </c>
      <c r="M95" s="102">
        <v>168</v>
      </c>
      <c r="N95" s="102">
        <v>165</v>
      </c>
      <c r="O95" s="102">
        <v>161</v>
      </c>
      <c r="P95" s="102">
        <v>156</v>
      </c>
      <c r="Q95" s="102">
        <v>149</v>
      </c>
      <c r="R95" s="102">
        <v>142</v>
      </c>
      <c r="S95" s="102">
        <v>135</v>
      </c>
      <c r="T95" s="102">
        <v>126</v>
      </c>
      <c r="U95" s="102">
        <v>121</v>
      </c>
      <c r="V95" s="102">
        <v>120</v>
      </c>
      <c r="W95" s="102">
        <v>117</v>
      </c>
      <c r="DA95" s="175"/>
    </row>
    <row r="96" spans="1:105" ht="11.45" hidden="1" customHeight="1" x14ac:dyDescent="0.25">
      <c r="A96" s="111" t="s">
        <v>111</v>
      </c>
      <c r="B96" s="102">
        <v>48142</v>
      </c>
      <c r="C96" s="102">
        <v>47724</v>
      </c>
      <c r="D96" s="102">
        <v>40761</v>
      </c>
      <c r="E96" s="102">
        <v>41947</v>
      </c>
      <c r="F96" s="102">
        <v>43192</v>
      </c>
      <c r="G96" s="102">
        <v>39273</v>
      </c>
      <c r="H96" s="102">
        <v>32315</v>
      </c>
      <c r="I96" s="102">
        <v>34202</v>
      </c>
      <c r="J96" s="102">
        <v>41313</v>
      </c>
      <c r="K96" s="102">
        <v>40971</v>
      </c>
      <c r="L96" s="102">
        <v>40647</v>
      </c>
      <c r="M96" s="102">
        <v>40650</v>
      </c>
      <c r="N96" s="102">
        <v>41778</v>
      </c>
      <c r="O96" s="102">
        <v>42607</v>
      </c>
      <c r="P96" s="102">
        <v>44052</v>
      </c>
      <c r="Q96" s="102">
        <v>47104</v>
      </c>
      <c r="R96" s="102">
        <v>48574</v>
      </c>
      <c r="S96" s="102">
        <v>50088</v>
      </c>
      <c r="T96" s="102">
        <v>51600</v>
      </c>
      <c r="U96" s="102">
        <v>53532</v>
      </c>
      <c r="V96" s="102">
        <v>53801</v>
      </c>
      <c r="W96" s="102">
        <v>53933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32</v>
      </c>
      <c r="K97" s="102">
        <v>36</v>
      </c>
      <c r="L97" s="102">
        <v>76</v>
      </c>
      <c r="M97" s="102">
        <v>91</v>
      </c>
      <c r="N97" s="102">
        <v>91</v>
      </c>
      <c r="O97" s="102">
        <v>93</v>
      </c>
      <c r="P97" s="102">
        <v>93</v>
      </c>
      <c r="Q97" s="102">
        <v>90</v>
      </c>
      <c r="R97" s="102">
        <v>82</v>
      </c>
      <c r="S97" s="102">
        <v>81</v>
      </c>
      <c r="T97" s="102">
        <v>51</v>
      </c>
      <c r="U97" s="102">
        <v>49</v>
      </c>
      <c r="V97" s="102">
        <v>48</v>
      </c>
      <c r="W97" s="102">
        <v>47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1</v>
      </c>
      <c r="P99" s="102">
        <v>2</v>
      </c>
      <c r="Q99" s="102">
        <v>4</v>
      </c>
      <c r="R99" s="102">
        <v>5</v>
      </c>
      <c r="S99" s="102">
        <v>5</v>
      </c>
      <c r="T99" s="102">
        <v>25</v>
      </c>
      <c r="U99" s="102">
        <v>69</v>
      </c>
      <c r="V99" s="102">
        <v>243</v>
      </c>
      <c r="W99" s="102">
        <v>254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377906</v>
      </c>
      <c r="C100" s="28">
        <f t="shared" si="158"/>
        <v>389874</v>
      </c>
      <c r="D100" s="28">
        <f t="shared" ref="D100:V100" si="159">D101+D107</f>
        <v>397051</v>
      </c>
      <c r="E100" s="28">
        <f t="shared" si="159"/>
        <v>421307</v>
      </c>
      <c r="F100" s="28">
        <f t="shared" si="159"/>
        <v>438560</v>
      </c>
      <c r="G100" s="28">
        <f t="shared" si="159"/>
        <v>464019</v>
      </c>
      <c r="H100" s="28">
        <f t="shared" si="159"/>
        <v>511337</v>
      </c>
      <c r="I100" s="28">
        <f t="shared" si="159"/>
        <v>532477</v>
      </c>
      <c r="J100" s="28">
        <f t="shared" si="159"/>
        <v>591484</v>
      </c>
      <c r="K100" s="28">
        <f t="shared" si="159"/>
        <v>607205</v>
      </c>
      <c r="L100" s="28">
        <f t="shared" si="159"/>
        <v>604351</v>
      </c>
      <c r="M100" s="28">
        <f t="shared" si="159"/>
        <v>620389</v>
      </c>
      <c r="N100" s="28">
        <f t="shared" si="159"/>
        <v>631889</v>
      </c>
      <c r="O100" s="28">
        <f t="shared" si="159"/>
        <v>658337</v>
      </c>
      <c r="P100" s="28">
        <f t="shared" si="159"/>
        <v>697327</v>
      </c>
      <c r="Q100" s="28">
        <f t="shared" si="159"/>
        <v>718695</v>
      </c>
      <c r="R100" s="28">
        <f t="shared" si="159"/>
        <v>729158</v>
      </c>
      <c r="S100" s="28">
        <f t="shared" si="159"/>
        <v>762635</v>
      </c>
      <c r="T100" s="28">
        <f t="shared" si="159"/>
        <v>812706</v>
      </c>
      <c r="U100" s="28">
        <f t="shared" si="159"/>
        <v>857971</v>
      </c>
      <c r="V100" s="28">
        <f t="shared" si="159"/>
        <v>903169</v>
      </c>
      <c r="W100" s="28">
        <f t="shared" ref="W100" si="160">W101+W107</f>
        <v>942123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320155</v>
      </c>
      <c r="C101" s="137">
        <f t="shared" si="161"/>
        <v>328399</v>
      </c>
      <c r="D101" s="137">
        <f t="shared" ref="D101:V101" si="162">SUM(D102:D106)</f>
        <v>335513</v>
      </c>
      <c r="E101" s="137">
        <f t="shared" si="162"/>
        <v>347565</v>
      </c>
      <c r="F101" s="137">
        <f t="shared" si="162"/>
        <v>362316</v>
      </c>
      <c r="G101" s="137">
        <f t="shared" si="162"/>
        <v>371018</v>
      </c>
      <c r="H101" s="137">
        <f t="shared" si="162"/>
        <v>410366</v>
      </c>
      <c r="I101" s="137">
        <f t="shared" si="162"/>
        <v>432232</v>
      </c>
      <c r="J101" s="137">
        <f t="shared" si="162"/>
        <v>486990</v>
      </c>
      <c r="K101" s="137">
        <f t="shared" si="162"/>
        <v>499692</v>
      </c>
      <c r="L101" s="137">
        <f t="shared" si="162"/>
        <v>503773</v>
      </c>
      <c r="M101" s="137">
        <f t="shared" si="162"/>
        <v>526063</v>
      </c>
      <c r="N101" s="137">
        <f t="shared" si="162"/>
        <v>544089</v>
      </c>
      <c r="O101" s="137">
        <f t="shared" si="162"/>
        <v>572873</v>
      </c>
      <c r="P101" s="137">
        <f t="shared" si="162"/>
        <v>615903</v>
      </c>
      <c r="Q101" s="137">
        <f t="shared" si="162"/>
        <v>645549</v>
      </c>
      <c r="R101" s="137">
        <f t="shared" si="162"/>
        <v>663503</v>
      </c>
      <c r="S101" s="137">
        <f t="shared" si="162"/>
        <v>700987</v>
      </c>
      <c r="T101" s="137">
        <f t="shared" si="162"/>
        <v>753029</v>
      </c>
      <c r="U101" s="137">
        <f t="shared" si="162"/>
        <v>797135</v>
      </c>
      <c r="V101" s="137">
        <f t="shared" si="162"/>
        <v>839103</v>
      </c>
      <c r="W101" s="137">
        <f t="shared" ref="W101" si="163">SUM(W102:W106)</f>
        <v>877319</v>
      </c>
      <c r="DA101" s="174"/>
    </row>
    <row r="102" spans="1:105" ht="11.45" hidden="1" customHeight="1" x14ac:dyDescent="0.25">
      <c r="A102" s="111" t="s">
        <v>110</v>
      </c>
      <c r="B102" s="84">
        <v>130188</v>
      </c>
      <c r="C102" s="84">
        <v>131096</v>
      </c>
      <c r="D102" s="84">
        <v>131545</v>
      </c>
      <c r="E102" s="84">
        <v>133628</v>
      </c>
      <c r="F102" s="84">
        <v>136509</v>
      </c>
      <c r="G102" s="84">
        <v>137260</v>
      </c>
      <c r="H102" s="84">
        <v>147870</v>
      </c>
      <c r="I102" s="84">
        <v>152513</v>
      </c>
      <c r="J102" s="84">
        <v>152235</v>
      </c>
      <c r="K102" s="84">
        <v>150669</v>
      </c>
      <c r="L102" s="84">
        <v>145203</v>
      </c>
      <c r="M102" s="84">
        <v>140466</v>
      </c>
      <c r="N102" s="84">
        <v>136544</v>
      </c>
      <c r="O102" s="84">
        <v>127322</v>
      </c>
      <c r="P102" s="84">
        <v>119204</v>
      </c>
      <c r="Q102" s="84">
        <v>106409</v>
      </c>
      <c r="R102" s="84">
        <v>111438</v>
      </c>
      <c r="S102" s="84">
        <v>114170</v>
      </c>
      <c r="T102" s="84">
        <v>115134</v>
      </c>
      <c r="U102" s="84">
        <v>112059</v>
      </c>
      <c r="V102" s="84">
        <v>110367</v>
      </c>
      <c r="W102" s="84">
        <v>108220</v>
      </c>
      <c r="DA102" s="171"/>
    </row>
    <row r="103" spans="1:105" ht="11.45" hidden="1" customHeight="1" x14ac:dyDescent="0.25">
      <c r="A103" s="111" t="s">
        <v>111</v>
      </c>
      <c r="B103" s="84">
        <v>189967</v>
      </c>
      <c r="C103" s="84">
        <v>197303</v>
      </c>
      <c r="D103" s="84">
        <v>203968</v>
      </c>
      <c r="E103" s="84">
        <v>213937</v>
      </c>
      <c r="F103" s="84">
        <v>225807</v>
      </c>
      <c r="G103" s="84">
        <v>233758</v>
      </c>
      <c r="H103" s="84">
        <v>262496</v>
      </c>
      <c r="I103" s="84">
        <v>279719</v>
      </c>
      <c r="J103" s="84">
        <v>334753</v>
      </c>
      <c r="K103" s="84">
        <v>349021</v>
      </c>
      <c r="L103" s="84">
        <v>358566</v>
      </c>
      <c r="M103" s="84">
        <v>385590</v>
      </c>
      <c r="N103" s="84">
        <v>407529</v>
      </c>
      <c r="O103" s="84">
        <v>445531</v>
      </c>
      <c r="P103" s="84">
        <v>496674</v>
      </c>
      <c r="Q103" s="84">
        <v>539118</v>
      </c>
      <c r="R103" s="84">
        <v>552041</v>
      </c>
      <c r="S103" s="84">
        <v>586778</v>
      </c>
      <c r="T103" s="84">
        <v>637815</v>
      </c>
      <c r="U103" s="84">
        <v>684940</v>
      </c>
      <c r="V103" s="84">
        <v>728513</v>
      </c>
      <c r="W103" s="84">
        <v>768781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2</v>
      </c>
      <c r="K104" s="84">
        <v>2</v>
      </c>
      <c r="L104" s="84">
        <v>2</v>
      </c>
      <c r="M104" s="84">
        <v>4</v>
      </c>
      <c r="N104" s="84">
        <v>10</v>
      </c>
      <c r="O104" s="84">
        <v>10</v>
      </c>
      <c r="P104" s="84">
        <v>12</v>
      </c>
      <c r="Q104" s="84">
        <v>10</v>
      </c>
      <c r="R104" s="84">
        <v>13</v>
      </c>
      <c r="S104" s="84">
        <v>13</v>
      </c>
      <c r="T104" s="84">
        <v>12</v>
      </c>
      <c r="U104" s="84">
        <v>12</v>
      </c>
      <c r="V104" s="84">
        <v>11</v>
      </c>
      <c r="W104" s="84">
        <v>17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2</v>
      </c>
      <c r="M106" s="84">
        <v>3</v>
      </c>
      <c r="N106" s="84">
        <v>6</v>
      </c>
      <c r="O106" s="84">
        <v>10</v>
      </c>
      <c r="P106" s="84">
        <v>13</v>
      </c>
      <c r="Q106" s="84">
        <v>12</v>
      </c>
      <c r="R106" s="84">
        <v>11</v>
      </c>
      <c r="S106" s="84">
        <v>26</v>
      </c>
      <c r="T106" s="84">
        <v>68</v>
      </c>
      <c r="U106" s="84">
        <v>124</v>
      </c>
      <c r="V106" s="84">
        <v>212</v>
      </c>
      <c r="W106" s="84">
        <v>301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57751</v>
      </c>
      <c r="C107" s="110">
        <f t="shared" si="164"/>
        <v>61475</v>
      </c>
      <c r="D107" s="110">
        <f t="shared" ref="D107:V107" si="165">SUM(D108:D109)</f>
        <v>61538</v>
      </c>
      <c r="E107" s="110">
        <f t="shared" si="165"/>
        <v>73742</v>
      </c>
      <c r="F107" s="110">
        <f t="shared" si="165"/>
        <v>76244</v>
      </c>
      <c r="G107" s="110">
        <f t="shared" si="165"/>
        <v>93001</v>
      </c>
      <c r="H107" s="110">
        <f t="shared" si="165"/>
        <v>100971</v>
      </c>
      <c r="I107" s="110">
        <f t="shared" si="165"/>
        <v>100245</v>
      </c>
      <c r="J107" s="110">
        <f t="shared" si="165"/>
        <v>104494</v>
      </c>
      <c r="K107" s="110">
        <f t="shared" si="165"/>
        <v>107513</v>
      </c>
      <c r="L107" s="110">
        <f t="shared" si="165"/>
        <v>100578</v>
      </c>
      <c r="M107" s="110">
        <f t="shared" si="165"/>
        <v>94326</v>
      </c>
      <c r="N107" s="110">
        <f t="shared" si="165"/>
        <v>87800</v>
      </c>
      <c r="O107" s="110">
        <f t="shared" si="165"/>
        <v>85464</v>
      </c>
      <c r="P107" s="110">
        <f t="shared" si="165"/>
        <v>81424</v>
      </c>
      <c r="Q107" s="110">
        <f t="shared" si="165"/>
        <v>73146</v>
      </c>
      <c r="R107" s="110">
        <f t="shared" si="165"/>
        <v>65655</v>
      </c>
      <c r="S107" s="110">
        <f t="shared" si="165"/>
        <v>61648</v>
      </c>
      <c r="T107" s="110">
        <f t="shared" si="165"/>
        <v>59677</v>
      </c>
      <c r="U107" s="110">
        <f t="shared" si="165"/>
        <v>60836</v>
      </c>
      <c r="V107" s="110">
        <f t="shared" si="165"/>
        <v>64066</v>
      </c>
      <c r="W107" s="110">
        <f t="shared" ref="W107" si="166">SUM(W108:W109)</f>
        <v>64804</v>
      </c>
      <c r="DA107" s="176"/>
    </row>
    <row r="108" spans="1:105" ht="11.45" hidden="1" customHeight="1" x14ac:dyDescent="0.25">
      <c r="A108" s="128" t="s">
        <v>27</v>
      </c>
      <c r="B108" s="102">
        <v>49944</v>
      </c>
      <c r="C108" s="102">
        <v>53105</v>
      </c>
      <c r="D108" s="102">
        <v>52732</v>
      </c>
      <c r="E108" s="102">
        <v>64741</v>
      </c>
      <c r="F108" s="102">
        <v>65601</v>
      </c>
      <c r="G108" s="102">
        <v>81984</v>
      </c>
      <c r="H108" s="102">
        <v>92746</v>
      </c>
      <c r="I108" s="102">
        <v>91925</v>
      </c>
      <c r="J108" s="102">
        <v>97926</v>
      </c>
      <c r="K108" s="102">
        <v>103855</v>
      </c>
      <c r="L108" s="102">
        <v>97658</v>
      </c>
      <c r="M108" s="102">
        <v>91338</v>
      </c>
      <c r="N108" s="102">
        <v>84296</v>
      </c>
      <c r="O108" s="102">
        <v>81705</v>
      </c>
      <c r="P108" s="102">
        <v>77755</v>
      </c>
      <c r="Q108" s="102">
        <v>69456</v>
      </c>
      <c r="R108" s="102">
        <v>61534</v>
      </c>
      <c r="S108" s="102">
        <v>56754</v>
      </c>
      <c r="T108" s="102">
        <v>55031</v>
      </c>
      <c r="U108" s="102">
        <v>56131</v>
      </c>
      <c r="V108" s="102">
        <v>60343</v>
      </c>
      <c r="W108" s="102">
        <v>59498</v>
      </c>
      <c r="DA108" s="175"/>
    </row>
    <row r="109" spans="1:105" ht="11.45" hidden="1" customHeight="1" x14ac:dyDescent="0.25">
      <c r="A109" s="138" t="s">
        <v>116</v>
      </c>
      <c r="B109" s="86">
        <v>7807</v>
      </c>
      <c r="C109" s="86">
        <v>8370</v>
      </c>
      <c r="D109" s="86">
        <v>8806</v>
      </c>
      <c r="E109" s="86">
        <v>9001</v>
      </c>
      <c r="F109" s="86">
        <v>10643</v>
      </c>
      <c r="G109" s="86">
        <v>11017</v>
      </c>
      <c r="H109" s="86">
        <v>8225</v>
      </c>
      <c r="I109" s="86">
        <v>8320</v>
      </c>
      <c r="J109" s="86">
        <v>6568</v>
      </c>
      <c r="K109" s="86">
        <v>3658</v>
      </c>
      <c r="L109" s="86">
        <v>2920</v>
      </c>
      <c r="M109" s="86">
        <v>2988</v>
      </c>
      <c r="N109" s="86">
        <v>3504</v>
      </c>
      <c r="O109" s="86">
        <v>3759</v>
      </c>
      <c r="P109" s="86">
        <v>3669</v>
      </c>
      <c r="Q109" s="86">
        <v>3690</v>
      </c>
      <c r="R109" s="86">
        <v>4121</v>
      </c>
      <c r="S109" s="86">
        <v>4894</v>
      </c>
      <c r="T109" s="86">
        <v>4646</v>
      </c>
      <c r="U109" s="86">
        <v>4705</v>
      </c>
      <c r="V109" s="86">
        <v>3723</v>
      </c>
      <c r="W109" s="86">
        <v>5306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196081</v>
      </c>
      <c r="C111" s="54">
        <f t="shared" si="167"/>
        <v>252731</v>
      </c>
      <c r="D111" s="54">
        <f t="shared" si="167"/>
        <v>233999</v>
      </c>
      <c r="E111" s="54">
        <f t="shared" si="167"/>
        <v>287793</v>
      </c>
      <c r="F111" s="54">
        <f t="shared" si="167"/>
        <v>275034</v>
      </c>
      <c r="G111" s="54">
        <f t="shared" si="167"/>
        <v>324403</v>
      </c>
      <c r="H111" s="54">
        <f t="shared" si="167"/>
        <v>554267</v>
      </c>
      <c r="I111" s="54">
        <f t="shared" si="167"/>
        <v>716944</v>
      </c>
      <c r="J111" s="54">
        <f t="shared" si="167"/>
        <v>997270</v>
      </c>
      <c r="K111" s="54">
        <f t="shared" si="167"/>
        <v>554880</v>
      </c>
      <c r="L111" s="54">
        <f t="shared" ref="L111" si="168">L112+L127</f>
        <v>510372</v>
      </c>
      <c r="M111" s="54">
        <f t="shared" ref="M111:V111" si="169">M112+M127</f>
        <v>330429</v>
      </c>
      <c r="N111" s="54">
        <f t="shared" si="169"/>
        <v>429793</v>
      </c>
      <c r="O111" s="54">
        <f t="shared" si="169"/>
        <v>502368</v>
      </c>
      <c r="P111" s="54">
        <f t="shared" si="169"/>
        <v>518798</v>
      </c>
      <c r="Q111" s="54">
        <f t="shared" si="169"/>
        <v>500845</v>
      </c>
      <c r="R111" s="54">
        <f t="shared" si="169"/>
        <v>524120</v>
      </c>
      <c r="S111" s="54">
        <f t="shared" si="169"/>
        <v>768066</v>
      </c>
      <c r="T111" s="54">
        <f t="shared" si="169"/>
        <v>821940</v>
      </c>
      <c r="U111" s="54">
        <f t="shared" si="169"/>
        <v>853769</v>
      </c>
      <c r="V111" s="54">
        <f t="shared" si="169"/>
        <v>814483</v>
      </c>
      <c r="W111" s="54">
        <f t="shared" ref="W111" si="170">W112+W127</f>
        <v>824839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195300</v>
      </c>
      <c r="C112" s="28">
        <f t="shared" si="171"/>
        <v>222048</v>
      </c>
      <c r="D112" s="28">
        <f t="shared" si="171"/>
        <v>203727</v>
      </c>
      <c r="E112" s="28">
        <f t="shared" si="171"/>
        <v>242170</v>
      </c>
      <c r="F112" s="28">
        <f t="shared" si="171"/>
        <v>231063</v>
      </c>
      <c r="G112" s="28">
        <f t="shared" si="171"/>
        <v>271219</v>
      </c>
      <c r="H112" s="28">
        <f t="shared" si="171"/>
        <v>478279</v>
      </c>
      <c r="I112" s="28">
        <f t="shared" si="171"/>
        <v>665389</v>
      </c>
      <c r="J112" s="28">
        <f t="shared" si="171"/>
        <v>908676</v>
      </c>
      <c r="K112" s="28">
        <f t="shared" si="171"/>
        <v>508594</v>
      </c>
      <c r="L112" s="28">
        <f t="shared" ref="L112" si="172">L113+L114+L121</f>
        <v>476310</v>
      </c>
      <c r="M112" s="28">
        <f t="shared" ref="M112:V112" si="173">M113+M114+M121</f>
        <v>276064</v>
      </c>
      <c r="N112" s="28">
        <f t="shared" si="173"/>
        <v>377253</v>
      </c>
      <c r="O112" s="28">
        <f t="shared" si="173"/>
        <v>433978</v>
      </c>
      <c r="P112" s="28">
        <f t="shared" si="173"/>
        <v>438743</v>
      </c>
      <c r="Q112" s="28">
        <f t="shared" si="173"/>
        <v>431684</v>
      </c>
      <c r="R112" s="28">
        <f t="shared" si="173"/>
        <v>468552</v>
      </c>
      <c r="S112" s="28">
        <f t="shared" si="173"/>
        <v>687929</v>
      </c>
      <c r="T112" s="28">
        <f t="shared" si="173"/>
        <v>726315</v>
      </c>
      <c r="U112" s="28">
        <f t="shared" si="173"/>
        <v>763761</v>
      </c>
      <c r="V112" s="28">
        <f t="shared" si="173"/>
        <v>730236</v>
      </c>
      <c r="W112" s="28">
        <f t="shared" ref="W112" si="174">W113+W114+W121</f>
        <v>737795</v>
      </c>
      <c r="DA112" s="173" t="s">
        <v>526</v>
      </c>
    </row>
    <row r="113" spans="1:105" ht="11.45" customHeight="1" x14ac:dyDescent="0.25">
      <c r="A113" s="136" t="s">
        <v>180</v>
      </c>
      <c r="B113" s="137">
        <v>0</v>
      </c>
      <c r="C113" s="137">
        <v>604</v>
      </c>
      <c r="D113" s="137">
        <v>601</v>
      </c>
      <c r="E113" s="137">
        <v>1404</v>
      </c>
      <c r="F113" s="137">
        <v>1694</v>
      </c>
      <c r="G113" s="137">
        <v>1695</v>
      </c>
      <c r="H113" s="137">
        <v>7277</v>
      </c>
      <c r="I113" s="137">
        <v>6943</v>
      </c>
      <c r="J113" s="137">
        <v>21215</v>
      </c>
      <c r="K113" s="137">
        <v>12104</v>
      </c>
      <c r="L113" s="137">
        <v>8359</v>
      </c>
      <c r="M113" s="137">
        <v>8108</v>
      </c>
      <c r="N113" s="137">
        <v>8802</v>
      </c>
      <c r="O113" s="137">
        <v>9961</v>
      </c>
      <c r="P113" s="137">
        <v>9484</v>
      </c>
      <c r="Q113" s="137">
        <v>9351</v>
      </c>
      <c r="R113" s="137">
        <v>10953</v>
      </c>
      <c r="S113" s="137">
        <v>12522</v>
      </c>
      <c r="T113" s="137">
        <v>14476</v>
      </c>
      <c r="U113" s="137">
        <v>18332</v>
      </c>
      <c r="V113" s="137">
        <v>20851</v>
      </c>
      <c r="W113" s="137">
        <v>21218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195000</v>
      </c>
      <c r="C114" s="110">
        <f t="shared" si="175"/>
        <v>217892</v>
      </c>
      <c r="D114" s="110">
        <f t="shared" si="175"/>
        <v>203126</v>
      </c>
      <c r="E114" s="110">
        <f t="shared" si="175"/>
        <v>238259</v>
      </c>
      <c r="F114" s="110">
        <f t="shared" si="175"/>
        <v>223935</v>
      </c>
      <c r="G114" s="110">
        <f t="shared" si="175"/>
        <v>269297</v>
      </c>
      <c r="H114" s="110">
        <f t="shared" si="175"/>
        <v>468773</v>
      </c>
      <c r="I114" s="110">
        <f t="shared" si="175"/>
        <v>654524</v>
      </c>
      <c r="J114" s="110">
        <f t="shared" si="175"/>
        <v>879714</v>
      </c>
      <c r="K114" s="110">
        <f t="shared" si="175"/>
        <v>493320</v>
      </c>
      <c r="L114" s="110">
        <f t="shared" ref="L114" si="176">SUM(L115:L120)</f>
        <v>464928</v>
      </c>
      <c r="M114" s="110">
        <f t="shared" ref="M114:V114" si="177">SUM(M115:M120)</f>
        <v>264833</v>
      </c>
      <c r="N114" s="110">
        <f t="shared" si="177"/>
        <v>364407</v>
      </c>
      <c r="O114" s="110">
        <f t="shared" si="177"/>
        <v>420431</v>
      </c>
      <c r="P114" s="110">
        <f t="shared" si="177"/>
        <v>425182</v>
      </c>
      <c r="Q114" s="110">
        <f t="shared" si="177"/>
        <v>416733</v>
      </c>
      <c r="R114" s="110">
        <f t="shared" si="177"/>
        <v>454389</v>
      </c>
      <c r="S114" s="110">
        <f t="shared" si="177"/>
        <v>671934</v>
      </c>
      <c r="T114" s="110">
        <f t="shared" si="177"/>
        <v>708129</v>
      </c>
      <c r="U114" s="110">
        <f t="shared" si="177"/>
        <v>741059</v>
      </c>
      <c r="V114" s="110">
        <f t="shared" si="177"/>
        <v>706287</v>
      </c>
      <c r="W114" s="110">
        <f t="shared" ref="W114" si="178">SUM(W115:W120)</f>
        <v>713574</v>
      </c>
      <c r="DA114" s="176" t="s">
        <v>528</v>
      </c>
    </row>
    <row r="115" spans="1:105" ht="11.45" customHeight="1" x14ac:dyDescent="0.25">
      <c r="A115" s="111" t="s">
        <v>110</v>
      </c>
      <c r="B115" s="84">
        <v>105000</v>
      </c>
      <c r="C115" s="84">
        <v>113044</v>
      </c>
      <c r="D115" s="84">
        <v>101954</v>
      </c>
      <c r="E115" s="84">
        <v>120552</v>
      </c>
      <c r="F115" s="84">
        <v>106245</v>
      </c>
      <c r="G115" s="84">
        <v>146832</v>
      </c>
      <c r="H115" s="84">
        <v>258585</v>
      </c>
      <c r="I115" s="84">
        <v>357442</v>
      </c>
      <c r="J115" s="84">
        <v>624226</v>
      </c>
      <c r="K115" s="84">
        <v>368920</v>
      </c>
      <c r="L115" s="84">
        <v>351688</v>
      </c>
      <c r="M115" s="84">
        <v>146980</v>
      </c>
      <c r="N115" s="84">
        <v>247783</v>
      </c>
      <c r="O115" s="84">
        <v>282005</v>
      </c>
      <c r="P115" s="84">
        <v>256792</v>
      </c>
      <c r="Q115" s="84">
        <v>222093</v>
      </c>
      <c r="R115" s="84">
        <v>195417</v>
      </c>
      <c r="S115" s="84">
        <v>201554</v>
      </c>
      <c r="T115" s="84">
        <v>233313</v>
      </c>
      <c r="U115" s="84">
        <v>267278</v>
      </c>
      <c r="V115" s="84">
        <v>232500</v>
      </c>
      <c r="W115" s="84">
        <v>230620</v>
      </c>
      <c r="DA115" s="171" t="s">
        <v>529</v>
      </c>
    </row>
    <row r="116" spans="1:105" ht="11.45" customHeight="1" x14ac:dyDescent="0.25">
      <c r="A116" s="111" t="s">
        <v>111</v>
      </c>
      <c r="B116" s="84">
        <v>90000</v>
      </c>
      <c r="C116" s="84">
        <v>104848</v>
      </c>
      <c r="D116" s="84">
        <v>96372</v>
      </c>
      <c r="E116" s="84">
        <v>111455</v>
      </c>
      <c r="F116" s="84">
        <v>103285</v>
      </c>
      <c r="G116" s="84">
        <v>122465</v>
      </c>
      <c r="H116" s="84">
        <v>210188</v>
      </c>
      <c r="I116" s="84">
        <v>289359</v>
      </c>
      <c r="J116" s="84">
        <v>255488</v>
      </c>
      <c r="K116" s="84">
        <v>124399</v>
      </c>
      <c r="L116" s="84">
        <v>113037</v>
      </c>
      <c r="M116" s="84">
        <v>68110</v>
      </c>
      <c r="N116" s="84">
        <v>114490</v>
      </c>
      <c r="O116" s="84">
        <v>136673</v>
      </c>
      <c r="P116" s="84">
        <v>163005</v>
      </c>
      <c r="Q116" s="84">
        <v>181809</v>
      </c>
      <c r="R116" s="84">
        <v>248696</v>
      </c>
      <c r="S116" s="84">
        <v>454195</v>
      </c>
      <c r="T116" s="84">
        <v>454648</v>
      </c>
      <c r="U116" s="84">
        <v>444912</v>
      </c>
      <c r="V116" s="84">
        <v>436034</v>
      </c>
      <c r="W116" s="84">
        <v>426109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4800</v>
      </c>
      <c r="E117" s="84">
        <v>6252</v>
      </c>
      <c r="F117" s="84">
        <v>14405</v>
      </c>
      <c r="G117" s="84">
        <v>0</v>
      </c>
      <c r="H117" s="84">
        <v>0</v>
      </c>
      <c r="I117" s="84">
        <v>7723</v>
      </c>
      <c r="J117" s="84">
        <v>0</v>
      </c>
      <c r="K117" s="84">
        <v>0</v>
      </c>
      <c r="L117" s="84">
        <v>16</v>
      </c>
      <c r="M117" s="84">
        <v>49473</v>
      </c>
      <c r="N117" s="84">
        <v>1578</v>
      </c>
      <c r="O117" s="84">
        <v>1498</v>
      </c>
      <c r="P117" s="84">
        <v>5207</v>
      </c>
      <c r="Q117" s="84">
        <v>12700</v>
      </c>
      <c r="R117" s="84">
        <v>9954</v>
      </c>
      <c r="S117" s="84">
        <v>15711</v>
      </c>
      <c r="T117" s="84">
        <v>19293</v>
      </c>
      <c r="U117" s="84">
        <v>26686</v>
      </c>
      <c r="V117" s="84">
        <v>33857</v>
      </c>
      <c r="W117" s="84">
        <v>47492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151</v>
      </c>
      <c r="O119" s="84">
        <v>1</v>
      </c>
      <c r="P119" s="84">
        <v>10</v>
      </c>
      <c r="Q119" s="84">
        <v>22</v>
      </c>
      <c r="R119" s="84">
        <v>117</v>
      </c>
      <c r="S119" s="84">
        <v>159</v>
      </c>
      <c r="T119" s="84">
        <v>330</v>
      </c>
      <c r="U119" s="84">
        <v>675</v>
      </c>
      <c r="V119" s="84">
        <v>1052</v>
      </c>
      <c r="W119" s="84">
        <v>3009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1</v>
      </c>
      <c r="L120" s="84">
        <v>187</v>
      </c>
      <c r="M120" s="84">
        <v>270</v>
      </c>
      <c r="N120" s="84">
        <v>405</v>
      </c>
      <c r="O120" s="84">
        <v>254</v>
      </c>
      <c r="P120" s="84">
        <v>168</v>
      </c>
      <c r="Q120" s="84">
        <v>109</v>
      </c>
      <c r="R120" s="84">
        <v>205</v>
      </c>
      <c r="S120" s="84">
        <v>315</v>
      </c>
      <c r="T120" s="84">
        <v>545</v>
      </c>
      <c r="U120" s="84">
        <v>1508</v>
      </c>
      <c r="V120" s="84">
        <v>2844</v>
      </c>
      <c r="W120" s="84">
        <v>6344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300</v>
      </c>
      <c r="C121" s="110">
        <f t="shared" si="179"/>
        <v>3552</v>
      </c>
      <c r="D121" s="110">
        <f t="shared" si="179"/>
        <v>0</v>
      </c>
      <c r="E121" s="110">
        <f t="shared" si="179"/>
        <v>2507</v>
      </c>
      <c r="F121" s="110">
        <f t="shared" si="179"/>
        <v>5434</v>
      </c>
      <c r="G121" s="110">
        <f t="shared" si="179"/>
        <v>227</v>
      </c>
      <c r="H121" s="110">
        <f t="shared" si="179"/>
        <v>2229</v>
      </c>
      <c r="I121" s="110">
        <f t="shared" si="179"/>
        <v>3922</v>
      </c>
      <c r="J121" s="110">
        <f t="shared" si="179"/>
        <v>7747</v>
      </c>
      <c r="K121" s="110">
        <f t="shared" si="179"/>
        <v>3170</v>
      </c>
      <c r="L121" s="110">
        <f t="shared" ref="L121" si="180">SUM(L122:L126)</f>
        <v>3023</v>
      </c>
      <c r="M121" s="110">
        <f t="shared" ref="M121:V121" si="181">SUM(M122:M126)</f>
        <v>3123</v>
      </c>
      <c r="N121" s="110">
        <f t="shared" si="181"/>
        <v>4044</v>
      </c>
      <c r="O121" s="110">
        <f t="shared" si="181"/>
        <v>3586</v>
      </c>
      <c r="P121" s="110">
        <f t="shared" si="181"/>
        <v>4077</v>
      </c>
      <c r="Q121" s="110">
        <f t="shared" si="181"/>
        <v>5600</v>
      </c>
      <c r="R121" s="110">
        <f t="shared" si="181"/>
        <v>3210</v>
      </c>
      <c r="S121" s="110">
        <f t="shared" si="181"/>
        <v>3473</v>
      </c>
      <c r="T121" s="110">
        <f t="shared" si="181"/>
        <v>3710</v>
      </c>
      <c r="U121" s="110">
        <f t="shared" si="181"/>
        <v>4370</v>
      </c>
      <c r="V121" s="110">
        <f t="shared" si="181"/>
        <v>3098</v>
      </c>
      <c r="W121" s="110">
        <f t="shared" ref="W121" si="182">SUM(W122:W126)</f>
        <v>3003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169</v>
      </c>
      <c r="K122" s="102">
        <v>0</v>
      </c>
      <c r="L122" s="102">
        <v>2</v>
      </c>
      <c r="M122" s="102">
        <v>1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300</v>
      </c>
      <c r="C123" s="102">
        <v>3552</v>
      </c>
      <c r="D123" s="102">
        <v>0</v>
      </c>
      <c r="E123" s="102">
        <v>2507</v>
      </c>
      <c r="F123" s="102">
        <v>5434</v>
      </c>
      <c r="G123" s="102">
        <v>227</v>
      </c>
      <c r="H123" s="102">
        <v>2229</v>
      </c>
      <c r="I123" s="102">
        <v>3922</v>
      </c>
      <c r="J123" s="102">
        <v>7546</v>
      </c>
      <c r="K123" s="102">
        <v>3166</v>
      </c>
      <c r="L123" s="102">
        <v>2981</v>
      </c>
      <c r="M123" s="102">
        <v>3107</v>
      </c>
      <c r="N123" s="102">
        <v>4044</v>
      </c>
      <c r="O123" s="102">
        <v>3583</v>
      </c>
      <c r="P123" s="102">
        <v>4075</v>
      </c>
      <c r="Q123" s="102">
        <v>5598</v>
      </c>
      <c r="R123" s="102">
        <v>3205</v>
      </c>
      <c r="S123" s="102">
        <v>3471</v>
      </c>
      <c r="T123" s="102">
        <v>3685</v>
      </c>
      <c r="U123" s="102">
        <v>4315</v>
      </c>
      <c r="V123" s="102">
        <v>2855</v>
      </c>
      <c r="W123" s="102">
        <v>2907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32</v>
      </c>
      <c r="K124" s="102">
        <v>4</v>
      </c>
      <c r="L124" s="102">
        <v>40</v>
      </c>
      <c r="M124" s="102">
        <v>15</v>
      </c>
      <c r="N124" s="102">
        <v>0</v>
      </c>
      <c r="O124" s="102">
        <v>2</v>
      </c>
      <c r="P124" s="102">
        <v>1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1</v>
      </c>
      <c r="P126" s="102">
        <v>1</v>
      </c>
      <c r="Q126" s="102">
        <v>2</v>
      </c>
      <c r="R126" s="102">
        <v>5</v>
      </c>
      <c r="S126" s="102">
        <v>2</v>
      </c>
      <c r="T126" s="102">
        <v>25</v>
      </c>
      <c r="U126" s="102">
        <v>55</v>
      </c>
      <c r="V126" s="102">
        <v>243</v>
      </c>
      <c r="W126" s="102">
        <v>96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781</v>
      </c>
      <c r="C127" s="28">
        <f t="shared" si="183"/>
        <v>30683</v>
      </c>
      <c r="D127" s="28">
        <f t="shared" si="183"/>
        <v>30272</v>
      </c>
      <c r="E127" s="28">
        <f t="shared" si="183"/>
        <v>45623</v>
      </c>
      <c r="F127" s="28">
        <f t="shared" si="183"/>
        <v>43971</v>
      </c>
      <c r="G127" s="28">
        <f t="shared" si="183"/>
        <v>53184</v>
      </c>
      <c r="H127" s="28">
        <f t="shared" si="183"/>
        <v>75988</v>
      </c>
      <c r="I127" s="28">
        <f t="shared" si="183"/>
        <v>51555</v>
      </c>
      <c r="J127" s="28">
        <f t="shared" si="183"/>
        <v>88594</v>
      </c>
      <c r="K127" s="28">
        <f t="shared" si="183"/>
        <v>46286</v>
      </c>
      <c r="L127" s="28">
        <f t="shared" ref="L127" si="184">L128+L134</f>
        <v>34062</v>
      </c>
      <c r="M127" s="28">
        <f t="shared" ref="M127:V127" si="185">M128+M134</f>
        <v>54365</v>
      </c>
      <c r="N127" s="28">
        <f t="shared" si="185"/>
        <v>52540</v>
      </c>
      <c r="O127" s="28">
        <f t="shared" si="185"/>
        <v>68390</v>
      </c>
      <c r="P127" s="28">
        <f t="shared" si="185"/>
        <v>80055</v>
      </c>
      <c r="Q127" s="28">
        <f t="shared" si="185"/>
        <v>69161</v>
      </c>
      <c r="R127" s="28">
        <f t="shared" si="185"/>
        <v>55568</v>
      </c>
      <c r="S127" s="28">
        <f t="shared" si="185"/>
        <v>80137</v>
      </c>
      <c r="T127" s="28">
        <f t="shared" si="185"/>
        <v>95625</v>
      </c>
      <c r="U127" s="28">
        <f t="shared" si="185"/>
        <v>90008</v>
      </c>
      <c r="V127" s="28">
        <f t="shared" si="185"/>
        <v>84247</v>
      </c>
      <c r="W127" s="28">
        <f t="shared" ref="W127" si="186">W128+W134</f>
        <v>87044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22274</v>
      </c>
      <c r="D128" s="137">
        <f t="shared" si="187"/>
        <v>23210</v>
      </c>
      <c r="E128" s="137">
        <f t="shared" si="187"/>
        <v>30146</v>
      </c>
      <c r="F128" s="137">
        <f t="shared" si="187"/>
        <v>34742</v>
      </c>
      <c r="G128" s="137">
        <f t="shared" si="187"/>
        <v>30477</v>
      </c>
      <c r="H128" s="137">
        <f t="shared" si="187"/>
        <v>62743</v>
      </c>
      <c r="I128" s="137">
        <f t="shared" si="187"/>
        <v>46763</v>
      </c>
      <c r="J128" s="137">
        <f t="shared" si="187"/>
        <v>81060</v>
      </c>
      <c r="K128" s="137">
        <f t="shared" si="187"/>
        <v>40357</v>
      </c>
      <c r="L128" s="137">
        <f t="shared" ref="L128" si="188">SUM(L129:L133)</f>
        <v>33023</v>
      </c>
      <c r="M128" s="137">
        <f t="shared" ref="M128:V128" si="189">SUM(M129:M133)</f>
        <v>52337</v>
      </c>
      <c r="N128" s="137">
        <f t="shared" si="189"/>
        <v>49048</v>
      </c>
      <c r="O128" s="137">
        <f t="shared" si="189"/>
        <v>60724</v>
      </c>
      <c r="P128" s="137">
        <f t="shared" si="189"/>
        <v>75893</v>
      </c>
      <c r="Q128" s="137">
        <f t="shared" si="189"/>
        <v>66407</v>
      </c>
      <c r="R128" s="137">
        <f t="shared" si="189"/>
        <v>50229</v>
      </c>
      <c r="S128" s="137">
        <f t="shared" si="189"/>
        <v>73967</v>
      </c>
      <c r="T128" s="137">
        <f t="shared" si="189"/>
        <v>90050</v>
      </c>
      <c r="U128" s="137">
        <f t="shared" si="189"/>
        <v>83910</v>
      </c>
      <c r="V128" s="137">
        <f t="shared" si="189"/>
        <v>79982</v>
      </c>
      <c r="W128" s="137">
        <f t="shared" ref="W128" si="190">SUM(W129:W133)</f>
        <v>79647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6613</v>
      </c>
      <c r="D129" s="84">
        <v>6988</v>
      </c>
      <c r="E129" s="84">
        <v>9413</v>
      </c>
      <c r="F129" s="84">
        <v>10946</v>
      </c>
      <c r="G129" s="84">
        <v>9487</v>
      </c>
      <c r="H129" s="84">
        <v>19930</v>
      </c>
      <c r="I129" s="84">
        <v>14475</v>
      </c>
      <c r="J129" s="84">
        <v>9996</v>
      </c>
      <c r="K129" s="84">
        <v>9051</v>
      </c>
      <c r="L129" s="84">
        <v>5380</v>
      </c>
      <c r="M129" s="84">
        <v>6216</v>
      </c>
      <c r="N129" s="84">
        <v>7022</v>
      </c>
      <c r="O129" s="84">
        <v>1615</v>
      </c>
      <c r="P129" s="84">
        <v>2522</v>
      </c>
      <c r="Q129" s="84">
        <v>419</v>
      </c>
      <c r="R129" s="84">
        <v>12196</v>
      </c>
      <c r="S129" s="84">
        <v>12393</v>
      </c>
      <c r="T129" s="84">
        <v>10300</v>
      </c>
      <c r="U129" s="84">
        <v>5978</v>
      </c>
      <c r="V129" s="84">
        <v>5537</v>
      </c>
      <c r="W129" s="84">
        <v>5306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15661</v>
      </c>
      <c r="D130" s="84">
        <v>16222</v>
      </c>
      <c r="E130" s="84">
        <v>20733</v>
      </c>
      <c r="F130" s="84">
        <v>23796</v>
      </c>
      <c r="G130" s="84">
        <v>20990</v>
      </c>
      <c r="H130" s="84">
        <v>42813</v>
      </c>
      <c r="I130" s="84">
        <v>32288</v>
      </c>
      <c r="J130" s="84">
        <v>71062</v>
      </c>
      <c r="K130" s="84">
        <v>31306</v>
      </c>
      <c r="L130" s="84">
        <v>27641</v>
      </c>
      <c r="M130" s="84">
        <v>46118</v>
      </c>
      <c r="N130" s="84">
        <v>42017</v>
      </c>
      <c r="O130" s="84">
        <v>59105</v>
      </c>
      <c r="P130" s="84">
        <v>73366</v>
      </c>
      <c r="Q130" s="84">
        <v>65988</v>
      </c>
      <c r="R130" s="84">
        <v>38030</v>
      </c>
      <c r="S130" s="84">
        <v>61559</v>
      </c>
      <c r="T130" s="84">
        <v>79708</v>
      </c>
      <c r="U130" s="84">
        <v>77876</v>
      </c>
      <c r="V130" s="84">
        <v>74356</v>
      </c>
      <c r="W130" s="84">
        <v>74243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2</v>
      </c>
      <c r="K131" s="84">
        <v>0</v>
      </c>
      <c r="L131" s="84">
        <v>0</v>
      </c>
      <c r="M131" s="84">
        <v>2</v>
      </c>
      <c r="N131" s="84">
        <v>6</v>
      </c>
      <c r="O131" s="84">
        <v>0</v>
      </c>
      <c r="P131" s="84">
        <v>2</v>
      </c>
      <c r="Q131" s="84">
        <v>0</v>
      </c>
      <c r="R131" s="84">
        <v>3</v>
      </c>
      <c r="S131" s="84">
        <v>0</v>
      </c>
      <c r="T131" s="84">
        <v>0</v>
      </c>
      <c r="U131" s="84">
        <v>0</v>
      </c>
      <c r="V131" s="84">
        <v>0</v>
      </c>
      <c r="W131" s="84">
        <v>6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2</v>
      </c>
      <c r="M133" s="84">
        <v>1</v>
      </c>
      <c r="N133" s="84">
        <v>3</v>
      </c>
      <c r="O133" s="84">
        <v>4</v>
      </c>
      <c r="P133" s="84">
        <v>3</v>
      </c>
      <c r="Q133" s="84">
        <v>0</v>
      </c>
      <c r="R133" s="84">
        <v>0</v>
      </c>
      <c r="S133" s="84">
        <v>15</v>
      </c>
      <c r="T133" s="84">
        <v>42</v>
      </c>
      <c r="U133" s="84">
        <v>56</v>
      </c>
      <c r="V133" s="84">
        <v>89</v>
      </c>
      <c r="W133" s="84">
        <v>92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781</v>
      </c>
      <c r="C134" s="110">
        <f t="shared" si="191"/>
        <v>8409</v>
      </c>
      <c r="D134" s="110">
        <f t="shared" si="191"/>
        <v>7062</v>
      </c>
      <c r="E134" s="110">
        <f t="shared" si="191"/>
        <v>15477</v>
      </c>
      <c r="F134" s="110">
        <f t="shared" si="191"/>
        <v>9229</v>
      </c>
      <c r="G134" s="110">
        <f t="shared" si="191"/>
        <v>22707</v>
      </c>
      <c r="H134" s="110">
        <f t="shared" si="191"/>
        <v>13245</v>
      </c>
      <c r="I134" s="110">
        <f t="shared" si="191"/>
        <v>4792</v>
      </c>
      <c r="J134" s="110">
        <f t="shared" si="191"/>
        <v>7534</v>
      </c>
      <c r="K134" s="110">
        <f t="shared" si="191"/>
        <v>5929</v>
      </c>
      <c r="L134" s="110">
        <f t="shared" ref="L134" si="192">SUM(L135:L136)</f>
        <v>1039</v>
      </c>
      <c r="M134" s="110">
        <f t="shared" ref="M134:V134" si="193">SUM(M135:M136)</f>
        <v>2028</v>
      </c>
      <c r="N134" s="110">
        <f t="shared" si="193"/>
        <v>3492</v>
      </c>
      <c r="O134" s="110">
        <f t="shared" si="193"/>
        <v>7666</v>
      </c>
      <c r="P134" s="110">
        <f t="shared" si="193"/>
        <v>4162</v>
      </c>
      <c r="Q134" s="110">
        <f t="shared" si="193"/>
        <v>2754</v>
      </c>
      <c r="R134" s="110">
        <f t="shared" si="193"/>
        <v>5339</v>
      </c>
      <c r="S134" s="110">
        <f t="shared" si="193"/>
        <v>6170</v>
      </c>
      <c r="T134" s="110">
        <f t="shared" si="193"/>
        <v>5575</v>
      </c>
      <c r="U134" s="110">
        <f t="shared" si="193"/>
        <v>6098</v>
      </c>
      <c r="V134" s="110">
        <f t="shared" si="193"/>
        <v>4265</v>
      </c>
      <c r="W134" s="110">
        <f t="shared" ref="W134" si="194">SUM(W135:W136)</f>
        <v>7397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7033</v>
      </c>
      <c r="D135" s="102">
        <v>5680</v>
      </c>
      <c r="E135" s="102">
        <v>14218</v>
      </c>
      <c r="F135" s="102">
        <v>6433</v>
      </c>
      <c r="G135" s="102">
        <v>21088</v>
      </c>
      <c r="H135" s="102">
        <v>13245</v>
      </c>
      <c r="I135" s="102">
        <v>3721</v>
      </c>
      <c r="J135" s="102">
        <v>7534</v>
      </c>
      <c r="K135" s="102">
        <v>5929</v>
      </c>
      <c r="L135" s="102">
        <v>1039</v>
      </c>
      <c r="M135" s="102">
        <v>1534</v>
      </c>
      <c r="N135" s="102">
        <v>2534</v>
      </c>
      <c r="O135" s="102">
        <v>6948</v>
      </c>
      <c r="P135" s="102">
        <v>3775</v>
      </c>
      <c r="Q135" s="102">
        <v>2255</v>
      </c>
      <c r="R135" s="102">
        <v>4438</v>
      </c>
      <c r="S135" s="102">
        <v>4930</v>
      </c>
      <c r="T135" s="102">
        <v>5350</v>
      </c>
      <c r="U135" s="102">
        <v>5550</v>
      </c>
      <c r="V135" s="102">
        <v>4265</v>
      </c>
      <c r="W135" s="102">
        <v>5361</v>
      </c>
      <c r="DA135" s="175" t="s">
        <v>549</v>
      </c>
    </row>
    <row r="136" spans="1:105" ht="11.45" customHeight="1" x14ac:dyDescent="0.25">
      <c r="A136" s="138" t="s">
        <v>116</v>
      </c>
      <c r="B136" s="86">
        <v>781</v>
      </c>
      <c r="C136" s="86">
        <v>1376</v>
      </c>
      <c r="D136" s="86">
        <v>1382</v>
      </c>
      <c r="E136" s="86">
        <v>1259</v>
      </c>
      <c r="F136" s="86">
        <v>2796</v>
      </c>
      <c r="G136" s="86">
        <v>1619</v>
      </c>
      <c r="H136" s="86">
        <v>0</v>
      </c>
      <c r="I136" s="86">
        <v>1071</v>
      </c>
      <c r="J136" s="86">
        <v>0</v>
      </c>
      <c r="K136" s="86">
        <v>0</v>
      </c>
      <c r="L136" s="86">
        <v>0</v>
      </c>
      <c r="M136" s="86">
        <v>494</v>
      </c>
      <c r="N136" s="86">
        <v>958</v>
      </c>
      <c r="O136" s="86">
        <v>718</v>
      </c>
      <c r="P136" s="86">
        <v>387</v>
      </c>
      <c r="Q136" s="86">
        <v>499</v>
      </c>
      <c r="R136" s="86">
        <v>901</v>
      </c>
      <c r="S136" s="86">
        <v>1240</v>
      </c>
      <c r="T136" s="86">
        <v>225</v>
      </c>
      <c r="U136" s="86">
        <v>548</v>
      </c>
      <c r="V136" s="86">
        <v>0</v>
      </c>
      <c r="W136" s="86">
        <v>2036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2.8312363655345765</v>
      </c>
      <c r="C141" s="32">
        <f t="shared" si="195"/>
        <v>2.2551055056471374</v>
      </c>
      <c r="D141" s="32">
        <f t="shared" si="195"/>
        <v>2.2450174963959562</v>
      </c>
      <c r="E141" s="32">
        <f t="shared" si="195"/>
        <v>2.2321359760781991</v>
      </c>
      <c r="F141" s="32">
        <f t="shared" si="195"/>
        <v>2.1619881886280243</v>
      </c>
      <c r="G141" s="32">
        <f t="shared" si="195"/>
        <v>2.3441194137761445</v>
      </c>
      <c r="H141" s="32">
        <f t="shared" si="195"/>
        <v>2.399725422761509</v>
      </c>
      <c r="I141" s="32">
        <f t="shared" si="195"/>
        <v>2.3051053129376076</v>
      </c>
      <c r="J141" s="32">
        <f t="shared" si="195"/>
        <v>2.5577345421718642</v>
      </c>
      <c r="K141" s="32">
        <f t="shared" si="195"/>
        <v>2.471385539430881</v>
      </c>
      <c r="L141" s="32">
        <f t="shared" ref="L141" si="196">IF(L4=0,0,L4/L31)</f>
        <v>2.3719385627251142</v>
      </c>
      <c r="M141" s="32">
        <f t="shared" ref="M141:V141" si="197">IF(M4=0,0,M4/M31)</f>
        <v>2.246929846568078</v>
      </c>
      <c r="N141" s="32">
        <f t="shared" si="197"/>
        <v>2.228517547922209</v>
      </c>
      <c r="O141" s="32">
        <f t="shared" si="197"/>
        <v>2.2086392176996594</v>
      </c>
      <c r="P141" s="32">
        <f t="shared" si="197"/>
        <v>2.2419835700563402</v>
      </c>
      <c r="Q141" s="32">
        <f t="shared" si="197"/>
        <v>2.3715187598224103</v>
      </c>
      <c r="R141" s="32">
        <f t="shared" si="197"/>
        <v>2.3930152034949579</v>
      </c>
      <c r="S141" s="32">
        <f t="shared" si="197"/>
        <v>2.368131157048067</v>
      </c>
      <c r="T141" s="32">
        <f t="shared" si="197"/>
        <v>2.3763578975888562</v>
      </c>
      <c r="U141" s="32">
        <f t="shared" si="197"/>
        <v>2.3286107230789557</v>
      </c>
      <c r="V141" s="32">
        <f t="shared" si="197"/>
        <v>2.1806142020703705</v>
      </c>
      <c r="W141" s="32">
        <f t="shared" ref="W141" si="198">IF(W4=0,0,W4/W31)</f>
        <v>2.1662233308518686</v>
      </c>
      <c r="DA141" s="173" t="s">
        <v>551</v>
      </c>
    </row>
    <row r="142" spans="1:105" ht="11.45" customHeight="1" x14ac:dyDescent="0.25">
      <c r="A142" s="136" t="s">
        <v>180</v>
      </c>
      <c r="B142" s="141">
        <v>1.2051623672106275</v>
      </c>
      <c r="C142" s="141">
        <v>1.205139251921753</v>
      </c>
      <c r="D142" s="141">
        <v>1.2049298431364222</v>
      </c>
      <c r="E142" s="141">
        <v>1.2054358769600166</v>
      </c>
      <c r="F142" s="141">
        <v>1.2055973067663732</v>
      </c>
      <c r="G142" s="141">
        <v>1.2045056063339168</v>
      </c>
      <c r="H142" s="141">
        <v>1.2048415969901547</v>
      </c>
      <c r="I142" s="141">
        <v>1.2067754497377059</v>
      </c>
      <c r="J142" s="141">
        <v>1.2074105465672289</v>
      </c>
      <c r="K142" s="141">
        <v>1.2079899717478595</v>
      </c>
      <c r="L142" s="141">
        <v>1.2059146553065254</v>
      </c>
      <c r="M142" s="141">
        <v>1.2048582714100031</v>
      </c>
      <c r="N142" s="141">
        <v>1.1974221301460346</v>
      </c>
      <c r="O142" s="141">
        <v>1.1968061309351143</v>
      </c>
      <c r="P142" s="141">
        <v>1.1994047292847665</v>
      </c>
      <c r="Q142" s="141">
        <v>1.2014776903379956</v>
      </c>
      <c r="R142" s="141">
        <v>1.2033856397144596</v>
      </c>
      <c r="S142" s="141">
        <v>1.2019460321626363</v>
      </c>
      <c r="T142" s="141">
        <v>1.2007248045818903</v>
      </c>
      <c r="U142" s="141">
        <v>1.2018748882815111</v>
      </c>
      <c r="V142" s="141">
        <v>1.2006511064577177</v>
      </c>
      <c r="W142" s="141">
        <v>1.200899706795912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2.5784149803535339</v>
      </c>
      <c r="C143" s="130">
        <f t="shared" si="199"/>
        <v>2.0664316928074493</v>
      </c>
      <c r="D143" s="130">
        <f t="shared" si="199"/>
        <v>2.0603988919171621</v>
      </c>
      <c r="E143" s="130">
        <f t="shared" si="199"/>
        <v>1.9827643714467877</v>
      </c>
      <c r="F143" s="130">
        <f t="shared" si="199"/>
        <v>1.9350880436514384</v>
      </c>
      <c r="G143" s="130">
        <f t="shared" si="199"/>
        <v>2.0453525130130674</v>
      </c>
      <c r="H143" s="130">
        <f t="shared" si="199"/>
        <v>2.104619738552393</v>
      </c>
      <c r="I143" s="130">
        <f t="shared" si="199"/>
        <v>2.0315885355054584</v>
      </c>
      <c r="J143" s="130">
        <f t="shared" si="199"/>
        <v>2.0954566500580696</v>
      </c>
      <c r="K143" s="130">
        <f t="shared" si="199"/>
        <v>2.1195407687967447</v>
      </c>
      <c r="L143" s="130">
        <f t="shared" ref="L143" si="200">IF(L6=0,0,L6/L33)</f>
        <v>2.0621909906961617</v>
      </c>
      <c r="M143" s="130">
        <f t="shared" ref="M143:V143" si="201">IF(M6=0,0,M6/M33)</f>
        <v>1.9562362692968409</v>
      </c>
      <c r="N143" s="130">
        <f t="shared" si="201"/>
        <v>1.9201694732231123</v>
      </c>
      <c r="O143" s="130">
        <f t="shared" si="201"/>
        <v>1.9133214078028018</v>
      </c>
      <c r="P143" s="130">
        <f t="shared" si="201"/>
        <v>1.937527592046437</v>
      </c>
      <c r="Q143" s="130">
        <f t="shared" si="201"/>
        <v>1.9509212347152629</v>
      </c>
      <c r="R143" s="130">
        <f t="shared" si="201"/>
        <v>1.9816050715401794</v>
      </c>
      <c r="S143" s="130">
        <f t="shared" si="201"/>
        <v>1.977543690988776</v>
      </c>
      <c r="T143" s="130">
        <f t="shared" si="201"/>
        <v>1.9798480478106326</v>
      </c>
      <c r="U143" s="130">
        <f t="shared" si="201"/>
        <v>1.9609700174660147</v>
      </c>
      <c r="V143" s="130">
        <f t="shared" si="201"/>
        <v>1.9267739169498825</v>
      </c>
      <c r="W143" s="130">
        <f t="shared" ref="W143" si="202">IF(W6=0,0,W6/W33)</f>
        <v>1.9206164224504347</v>
      </c>
      <c r="DA143" s="176" t="s">
        <v>553</v>
      </c>
    </row>
    <row r="144" spans="1:105" ht="11.45" customHeight="1" x14ac:dyDescent="0.25">
      <c r="A144" s="111" t="s">
        <v>110</v>
      </c>
      <c r="B144" s="96">
        <v>2.5585113210881407</v>
      </c>
      <c r="C144" s="96">
        <v>2.0496934643667619</v>
      </c>
      <c r="D144" s="96">
        <v>2.0397507187732735</v>
      </c>
      <c r="E144" s="96">
        <v>1.9589686212887178</v>
      </c>
      <c r="F144" s="96">
        <v>1.9096869624344008</v>
      </c>
      <c r="G144" s="96">
        <v>2.0101223372354675</v>
      </c>
      <c r="H144" s="96">
        <v>2.0619158919460991</v>
      </c>
      <c r="I144" s="96">
        <v>1.9839255483817597</v>
      </c>
      <c r="J144" s="96">
        <v>2.0362188863952593</v>
      </c>
      <c r="K144" s="96">
        <v>2.0562294557501617</v>
      </c>
      <c r="L144" s="96">
        <v>2.0010266630742546</v>
      </c>
      <c r="M144" s="96">
        <v>1.8926778558755679</v>
      </c>
      <c r="N144" s="96">
        <v>1.8551421549578302</v>
      </c>
      <c r="O144" s="96">
        <v>1.8503325720093815</v>
      </c>
      <c r="P144" s="96">
        <v>1.8761079712971418</v>
      </c>
      <c r="Q144" s="96">
        <v>1.8872104299180275</v>
      </c>
      <c r="R144" s="96">
        <v>1.9133981324742741</v>
      </c>
      <c r="S144" s="96">
        <v>1.908341248471892</v>
      </c>
      <c r="T144" s="96">
        <v>1.908474983610549</v>
      </c>
      <c r="U144" s="96">
        <v>1.8888234579939995</v>
      </c>
      <c r="V144" s="96">
        <v>1.8581816034077097</v>
      </c>
      <c r="W144" s="96">
        <v>1.8539469953700121</v>
      </c>
      <c r="DA144" s="171" t="s">
        <v>554</v>
      </c>
    </row>
    <row r="145" spans="1:105" ht="11.45" customHeight="1" x14ac:dyDescent="0.25">
      <c r="A145" s="111" t="s">
        <v>111</v>
      </c>
      <c r="B145" s="96">
        <v>2.7128026513458807</v>
      </c>
      <c r="C145" s="96">
        <v>2.1733004731109089</v>
      </c>
      <c r="D145" s="96">
        <v>2.1627581290589766</v>
      </c>
      <c r="E145" s="96">
        <v>2.0771044575543369</v>
      </c>
      <c r="F145" s="96">
        <v>2.0248508623871855</v>
      </c>
      <c r="G145" s="96">
        <v>2.1313430044400761</v>
      </c>
      <c r="H145" s="96">
        <v>2.1862599756426406</v>
      </c>
      <c r="I145" s="96">
        <v>2.1035664151112257</v>
      </c>
      <c r="J145" s="96">
        <v>2.1590133091083219</v>
      </c>
      <c r="K145" s="96">
        <v>2.1802306182339395</v>
      </c>
      <c r="L145" s="96">
        <v>2.1216988145641378</v>
      </c>
      <c r="M145" s="96">
        <v>2.0068160196294045</v>
      </c>
      <c r="N145" s="96">
        <v>1.9670167237926144</v>
      </c>
      <c r="O145" s="96">
        <v>1.9619170983710352</v>
      </c>
      <c r="P145" s="96">
        <v>1.9892468861859254</v>
      </c>
      <c r="Q145" s="96">
        <v>2.0010188798976394</v>
      </c>
      <c r="R145" s="96">
        <v>2.0287858349787791</v>
      </c>
      <c r="S145" s="96">
        <v>2.0234239949837241</v>
      </c>
      <c r="T145" s="96">
        <v>2.023565795035863</v>
      </c>
      <c r="U145" s="96">
        <v>2.002729181824046</v>
      </c>
      <c r="V145" s="96">
        <v>1.9702394665436433</v>
      </c>
      <c r="W145" s="96">
        <v>1.9657494899633601</v>
      </c>
      <c r="DA145" s="171" t="s">
        <v>555</v>
      </c>
    </row>
    <row r="146" spans="1:105" ht="11.45" customHeight="1" x14ac:dyDescent="0.25">
      <c r="A146" s="111" t="s">
        <v>112</v>
      </c>
      <c r="B146" s="96">
        <v>0</v>
      </c>
      <c r="C146" s="96">
        <v>0</v>
      </c>
      <c r="D146" s="96">
        <v>1.9985869251596471</v>
      </c>
      <c r="E146" s="96">
        <v>1.923281440303384</v>
      </c>
      <c r="F146" s="96">
        <v>1.8770354023418951</v>
      </c>
      <c r="G146" s="96">
        <v>1.9839919376226747</v>
      </c>
      <c r="H146" s="96">
        <v>2.0414811463958213</v>
      </c>
      <c r="I146" s="96">
        <v>1.9706408794402945</v>
      </c>
      <c r="J146" s="96">
        <v>2.0325929505563276</v>
      </c>
      <c r="K146" s="96">
        <v>2.0559545457328423</v>
      </c>
      <c r="L146" s="96">
        <v>2.0003252609752766</v>
      </c>
      <c r="M146" s="96">
        <v>1.8975491812179353</v>
      </c>
      <c r="N146" s="96">
        <v>1.862564389026419</v>
      </c>
      <c r="O146" s="96">
        <v>1.8559217655687179</v>
      </c>
      <c r="P146" s="96">
        <v>1.879401764285044</v>
      </c>
      <c r="Q146" s="96">
        <v>1.8923935976738049</v>
      </c>
      <c r="R146" s="96">
        <v>1.922156919393974</v>
      </c>
      <c r="S146" s="96">
        <v>1.9182173802591129</v>
      </c>
      <c r="T146" s="96">
        <v>1.9204526063763141</v>
      </c>
      <c r="U146" s="96">
        <v>1.9021409169420342</v>
      </c>
      <c r="V146" s="96">
        <v>1.8689706994413859</v>
      </c>
      <c r="W146" s="96">
        <v>1.8629979297769215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1.822532331876312</v>
      </c>
      <c r="O148" s="96">
        <v>1.8160324781845596</v>
      </c>
      <c r="P148" s="96">
        <v>1.8390078217834385</v>
      </c>
      <c r="Q148" s="96">
        <v>1.8517204219710455</v>
      </c>
      <c r="R148" s="96">
        <v>1.8808440412448999</v>
      </c>
      <c r="S148" s="96">
        <v>1.8769891745416178</v>
      </c>
      <c r="T148" s="96">
        <v>1.8791763589910009</v>
      </c>
      <c r="U148" s="96">
        <v>1.8612582423117183</v>
      </c>
      <c r="V148" s="96">
        <v>1.8288009515965764</v>
      </c>
      <c r="W148" s="96">
        <v>1.8229565545446031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1.698244112073827</v>
      </c>
      <c r="L149" s="96">
        <v>1.6522936286380465</v>
      </c>
      <c r="M149" s="96">
        <v>1.567399304163708</v>
      </c>
      <c r="N149" s="96">
        <v>1.5385014292205674</v>
      </c>
      <c r="O149" s="96">
        <v>1.5330145393478425</v>
      </c>
      <c r="P149" s="96">
        <v>1.5524093113063289</v>
      </c>
      <c r="Q149" s="96">
        <v>1.563140727817117</v>
      </c>
      <c r="R149" s="96">
        <v>1.587725602989549</v>
      </c>
      <c r="S149" s="96">
        <v>1.5844714945006486</v>
      </c>
      <c r="T149" s="96">
        <v>1.5863178191679761</v>
      </c>
      <c r="U149" s="96">
        <v>1.5711921351744105</v>
      </c>
      <c r="V149" s="96">
        <v>1.543793121570924</v>
      </c>
      <c r="W149" s="96">
        <v>1.5388595392908573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9.3760181631838488</v>
      </c>
      <c r="C150" s="130">
        <f t="shared" si="203"/>
        <v>7.8225894588338463</v>
      </c>
      <c r="D150" s="130">
        <f t="shared" si="203"/>
        <v>8.2072325700401638</v>
      </c>
      <c r="E150" s="130">
        <f t="shared" si="203"/>
        <v>9.6990938116076926</v>
      </c>
      <c r="F150" s="130">
        <f t="shared" si="203"/>
        <v>8.4499585845243832</v>
      </c>
      <c r="G150" s="130">
        <f t="shared" si="203"/>
        <v>10.516675775874306</v>
      </c>
      <c r="H150" s="130">
        <f t="shared" si="203"/>
        <v>11.540957243829592</v>
      </c>
      <c r="I150" s="130">
        <f t="shared" si="203"/>
        <v>10.137064958817191</v>
      </c>
      <c r="J150" s="130">
        <f t="shared" si="203"/>
        <v>12.36619718309859</v>
      </c>
      <c r="K150" s="130">
        <f t="shared" si="203"/>
        <v>10.312236286919831</v>
      </c>
      <c r="L150" s="130">
        <f t="shared" ref="L150" si="204">IF(L13=0,0,L13/L40)</f>
        <v>9.3562130177514771</v>
      </c>
      <c r="M150" s="130">
        <f t="shared" ref="M150:V150" si="205">IF(M13=0,0,M13/M40)</f>
        <v>8.8383608423449065</v>
      </c>
      <c r="N150" s="130">
        <f t="shared" si="205"/>
        <v>9.2506841817186647</v>
      </c>
      <c r="O150" s="130">
        <f t="shared" si="205"/>
        <v>8.9905263157894737</v>
      </c>
      <c r="P150" s="130">
        <f t="shared" si="205"/>
        <v>9.2808704453441297</v>
      </c>
      <c r="Q150" s="130">
        <f t="shared" si="205"/>
        <v>12.10529079844207</v>
      </c>
      <c r="R150" s="130">
        <f t="shared" si="205"/>
        <v>12.017433838740166</v>
      </c>
      <c r="S150" s="130">
        <f t="shared" si="205"/>
        <v>11.461844198041007</v>
      </c>
      <c r="T150" s="130">
        <f t="shared" si="205"/>
        <v>11.94459475812576</v>
      </c>
      <c r="U150" s="130">
        <f t="shared" si="205"/>
        <v>11.632664719739173</v>
      </c>
      <c r="V150" s="130">
        <f t="shared" si="205"/>
        <v>7.9360701460497935</v>
      </c>
      <c r="W150" s="130">
        <f t="shared" ref="W150" si="206">IF(W13=0,0,W13/W40)</f>
        <v>8.1364603305978669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6.4756229685807147</v>
      </c>
      <c r="K151" s="97">
        <v>6.3966244725738397</v>
      </c>
      <c r="L151" s="97">
        <v>6.3598543468365953</v>
      </c>
      <c r="M151" s="97">
        <v>6.3399369554748048</v>
      </c>
      <c r="N151" s="97">
        <v>6.3557955454507171</v>
      </c>
      <c r="O151" s="97">
        <v>6.3457894736842109</v>
      </c>
      <c r="P151" s="97">
        <v>6.3569565555901582</v>
      </c>
      <c r="Q151" s="97">
        <v>6.4655881076323869</v>
      </c>
      <c r="R151" s="97">
        <v>6.4622089937976988</v>
      </c>
      <c r="S151" s="97">
        <v>6.4408401614631154</v>
      </c>
      <c r="T151" s="97">
        <v>6.4594074906971448</v>
      </c>
      <c r="U151" s="97">
        <v>6.4474101815284302</v>
      </c>
      <c r="V151" s="97">
        <v>6.3052334671557615</v>
      </c>
      <c r="W151" s="97">
        <v>6.3129407819460717</v>
      </c>
      <c r="DA151" s="175" t="s">
        <v>561</v>
      </c>
    </row>
    <row r="152" spans="1:105" ht="11.45" customHeight="1" x14ac:dyDescent="0.25">
      <c r="A152" s="111" t="s">
        <v>111</v>
      </c>
      <c r="B152" s="97">
        <v>9.3760181631838488</v>
      </c>
      <c r="C152" s="97">
        <v>7.8225894588338463</v>
      </c>
      <c r="D152" s="97">
        <v>8.2072325700401638</v>
      </c>
      <c r="E152" s="97">
        <v>9.6990938116076926</v>
      </c>
      <c r="F152" s="97">
        <v>8.4499585845243832</v>
      </c>
      <c r="G152" s="97">
        <v>10.516675775874306</v>
      </c>
      <c r="H152" s="97">
        <v>11.540957243829592</v>
      </c>
      <c r="I152" s="97">
        <v>10.137064958817191</v>
      </c>
      <c r="J152" s="97">
        <v>12.386037242333041</v>
      </c>
      <c r="K152" s="97">
        <v>10.325287087033301</v>
      </c>
      <c r="L152" s="97">
        <v>9.366091328744961</v>
      </c>
      <c r="M152" s="97">
        <v>8.846400594056119</v>
      </c>
      <c r="N152" s="97">
        <v>9.2594178504927562</v>
      </c>
      <c r="O152" s="97">
        <v>8.998017759991038</v>
      </c>
      <c r="P152" s="97">
        <v>9.2886601207519188</v>
      </c>
      <c r="Q152" s="97">
        <v>12.118433255405494</v>
      </c>
      <c r="R152" s="97">
        <v>12.02964546470424</v>
      </c>
      <c r="S152" s="97">
        <v>11.472221919149989</v>
      </c>
      <c r="T152" s="97">
        <v>11.955072461497915</v>
      </c>
      <c r="U152" s="97">
        <v>11.642004858076772</v>
      </c>
      <c r="V152" s="97">
        <v>7.9390202799808183</v>
      </c>
      <c r="W152" s="97">
        <v>8.1397365603613316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12.386037242333042</v>
      </c>
      <c r="K153" s="97">
        <v>10.325287087033301</v>
      </c>
      <c r="L153" s="97">
        <v>9.3660913287449645</v>
      </c>
      <c r="M153" s="97">
        <v>8.846400594056119</v>
      </c>
      <c r="N153" s="97">
        <v>9.2594178504927562</v>
      </c>
      <c r="O153" s="97">
        <v>8.998017759991038</v>
      </c>
      <c r="P153" s="97">
        <v>9.2886601207519188</v>
      </c>
      <c r="Q153" s="97">
        <v>12.118433255405494</v>
      </c>
      <c r="R153" s="97">
        <v>12.029645464704238</v>
      </c>
      <c r="S153" s="97">
        <v>11.472221919149987</v>
      </c>
      <c r="T153" s="97">
        <v>11.955072461497913</v>
      </c>
      <c r="U153" s="97">
        <v>11.642004858076774</v>
      </c>
      <c r="V153" s="97">
        <v>7.9390202799808183</v>
      </c>
      <c r="W153" s="97">
        <v>8.1397365603613334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8.998017759991038</v>
      </c>
      <c r="P155" s="97">
        <v>9.2886601207519188</v>
      </c>
      <c r="Q155" s="97">
        <v>12.118433255405494</v>
      </c>
      <c r="R155" s="97">
        <v>12.029645464704238</v>
      </c>
      <c r="S155" s="97">
        <v>11.472221919149987</v>
      </c>
      <c r="T155" s="97">
        <v>11.955072461497913</v>
      </c>
      <c r="U155" s="97">
        <v>11.642004858076774</v>
      </c>
      <c r="V155" s="97">
        <v>7.9390202799808192</v>
      </c>
      <c r="W155" s="97">
        <v>8.1397365603613334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3.887425087716001</v>
      </c>
      <c r="C156" s="32">
        <f t="shared" si="207"/>
        <v>3.9892263156206189</v>
      </c>
      <c r="D156" s="32">
        <f t="shared" si="207"/>
        <v>4.0411624912842523</v>
      </c>
      <c r="E156" s="32">
        <f t="shared" si="207"/>
        <v>4.2645510785281333</v>
      </c>
      <c r="F156" s="32">
        <f t="shared" si="207"/>
        <v>4.422479116515075</v>
      </c>
      <c r="G156" s="32">
        <f t="shared" si="207"/>
        <v>4.8555911763999475</v>
      </c>
      <c r="H156" s="32">
        <f t="shared" si="207"/>
        <v>4.566294229912276</v>
      </c>
      <c r="I156" s="32">
        <f t="shared" si="207"/>
        <v>4.5962331244875587</v>
      </c>
      <c r="J156" s="32">
        <f t="shared" si="207"/>
        <v>3.9449700764785507</v>
      </c>
      <c r="K156" s="32">
        <f t="shared" si="207"/>
        <v>3.3538022499674853</v>
      </c>
      <c r="L156" s="32">
        <f t="shared" ref="L156" si="208">IF(L19=0,0,L19/L46)</f>
        <v>2.3756060100776621</v>
      </c>
      <c r="M156" s="32">
        <f t="shared" ref="M156:V156" si="209">IF(M19=0,0,M19/M46)</f>
        <v>2.2580325809375652</v>
      </c>
      <c r="N156" s="32">
        <f t="shared" si="209"/>
        <v>2.3335707680279794</v>
      </c>
      <c r="O156" s="32">
        <f t="shared" si="209"/>
        <v>2.2479116466929692</v>
      </c>
      <c r="P156" s="32">
        <f t="shared" si="209"/>
        <v>2.0800859224291526</v>
      </c>
      <c r="Q156" s="32">
        <f t="shared" si="209"/>
        <v>1.9949874415716469</v>
      </c>
      <c r="R156" s="32">
        <f t="shared" si="209"/>
        <v>2.0789188815400226</v>
      </c>
      <c r="S156" s="32">
        <f t="shared" si="209"/>
        <v>2.0908473833399674</v>
      </c>
      <c r="T156" s="32">
        <f t="shared" si="209"/>
        <v>2.0065014959230352</v>
      </c>
      <c r="U156" s="32">
        <f t="shared" si="209"/>
        <v>2.0891102895409133</v>
      </c>
      <c r="V156" s="32">
        <f t="shared" si="209"/>
        <v>1.9784667333002088</v>
      </c>
      <c r="W156" s="32">
        <f t="shared" ref="W156" si="210">IF(W19=0,0,W19/W46)</f>
        <v>2.242095577873132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0.31867928704110537</v>
      </c>
      <c r="C157" s="141">
        <f t="shared" si="211"/>
        <v>0.31887066555350468</v>
      </c>
      <c r="D157" s="141">
        <f t="shared" si="211"/>
        <v>0.31939210933176143</v>
      </c>
      <c r="E157" s="141">
        <f t="shared" si="211"/>
        <v>0.31988680818959436</v>
      </c>
      <c r="F157" s="141">
        <f t="shared" si="211"/>
        <v>0.32034956350973337</v>
      </c>
      <c r="G157" s="141">
        <f t="shared" si="211"/>
        <v>0.3207868811203341</v>
      </c>
      <c r="H157" s="141">
        <f t="shared" si="211"/>
        <v>0.32183010843404269</v>
      </c>
      <c r="I157" s="141">
        <f t="shared" si="211"/>
        <v>0.32286250880454903</v>
      </c>
      <c r="J157" s="141">
        <f t="shared" si="211"/>
        <v>0.32597831114778264</v>
      </c>
      <c r="K157" s="141">
        <f t="shared" si="211"/>
        <v>0.32728176595499064</v>
      </c>
      <c r="L157" s="141">
        <f t="shared" ref="L157" si="212">IF(L20=0,0,L20/L47)</f>
        <v>0.3287723496133107</v>
      </c>
      <c r="M157" s="141">
        <f t="shared" ref="M157:V157" si="213">IF(M20=0,0,M20/M47)</f>
        <v>0.32994382404297046</v>
      </c>
      <c r="N157" s="141">
        <f t="shared" si="213"/>
        <v>0.33075551900562339</v>
      </c>
      <c r="O157" s="141">
        <f t="shared" si="213"/>
        <v>0.33295373991679222</v>
      </c>
      <c r="P157" s="141">
        <f t="shared" si="213"/>
        <v>0.33499647051544373</v>
      </c>
      <c r="Q157" s="141">
        <f t="shared" si="213"/>
        <v>0.3370471532145477</v>
      </c>
      <c r="R157" s="141">
        <f t="shared" si="213"/>
        <v>0.33626781468245925</v>
      </c>
      <c r="S157" s="141">
        <f t="shared" si="213"/>
        <v>0.33616666686168428</v>
      </c>
      <c r="T157" s="141">
        <f t="shared" si="213"/>
        <v>0.3362736741728603</v>
      </c>
      <c r="U157" s="141">
        <f t="shared" si="213"/>
        <v>0.33724611015076028</v>
      </c>
      <c r="V157" s="141">
        <f t="shared" si="213"/>
        <v>0.33803330664913184</v>
      </c>
      <c r="W157" s="141">
        <f t="shared" ref="W157" si="214">IF(W20=0,0,W20/W47)</f>
        <v>0.33856976019333207</v>
      </c>
      <c r="DA157" s="174" t="s">
        <v>567</v>
      </c>
    </row>
    <row r="158" spans="1:105" ht="11.45" customHeight="1" x14ac:dyDescent="0.25">
      <c r="A158" s="111" t="s">
        <v>110</v>
      </c>
      <c r="B158" s="96">
        <v>0.26330788705653424</v>
      </c>
      <c r="C158" s="96">
        <v>0.26298471067356038</v>
      </c>
      <c r="D158" s="96">
        <v>0.26317212851812916</v>
      </c>
      <c r="E158" s="96">
        <v>0.26332135702474774</v>
      </c>
      <c r="F158" s="96">
        <v>0.2634533138778013</v>
      </c>
      <c r="G158" s="96">
        <v>0.26363469204310258</v>
      </c>
      <c r="H158" s="96">
        <v>0.26415695801927497</v>
      </c>
      <c r="I158" s="96">
        <v>0.2648161541851316</v>
      </c>
      <c r="J158" s="96">
        <v>0.26528927269058444</v>
      </c>
      <c r="K158" s="96">
        <v>0.26602436922686312</v>
      </c>
      <c r="L158" s="96">
        <v>0.26681084524674126</v>
      </c>
      <c r="M158" s="96">
        <v>0.26693970135499712</v>
      </c>
      <c r="N158" s="96">
        <v>0.26709555095923759</v>
      </c>
      <c r="O158" s="96">
        <v>0.26776309756373079</v>
      </c>
      <c r="P158" s="96">
        <v>0.26837348420166712</v>
      </c>
      <c r="Q158" s="96">
        <v>0.26905704918032797</v>
      </c>
      <c r="R158" s="96">
        <v>0.26816378911851324</v>
      </c>
      <c r="S158" s="96">
        <v>0.26826722530192953</v>
      </c>
      <c r="T158" s="96">
        <v>0.26832376382220663</v>
      </c>
      <c r="U158" s="96">
        <v>0.26898600790854649</v>
      </c>
      <c r="V158" s="96">
        <v>0.26966577319513718</v>
      </c>
      <c r="W158" s="96">
        <v>0.26928713916201158</v>
      </c>
      <c r="DA158" s="171" t="s">
        <v>568</v>
      </c>
    </row>
    <row r="159" spans="1:105" ht="11.45" customHeight="1" x14ac:dyDescent="0.25">
      <c r="A159" s="111" t="s">
        <v>111</v>
      </c>
      <c r="B159" s="96">
        <v>0.34839123774247316</v>
      </c>
      <c r="C159" s="96">
        <v>0.34793180852430178</v>
      </c>
      <c r="D159" s="96">
        <v>0.34748755272794735</v>
      </c>
      <c r="E159" s="96">
        <v>0.34699336393406349</v>
      </c>
      <c r="F159" s="96">
        <v>0.34647705209874252</v>
      </c>
      <c r="G159" s="96">
        <v>0.34602628827239784</v>
      </c>
      <c r="H159" s="96">
        <v>0.34602248049200263</v>
      </c>
      <c r="I159" s="96">
        <v>0.34619633014612589</v>
      </c>
      <c r="J159" s="96">
        <v>0.3461253436652133</v>
      </c>
      <c r="K159" s="96">
        <v>0.34639439669865107</v>
      </c>
      <c r="L159" s="96">
        <v>0.34672778087666878</v>
      </c>
      <c r="M159" s="96">
        <v>0.34620557480480918</v>
      </c>
      <c r="N159" s="96">
        <v>0.34571901410142791</v>
      </c>
      <c r="O159" s="96">
        <v>0.34589402537932368</v>
      </c>
      <c r="P159" s="96">
        <v>0.34599328238394994</v>
      </c>
      <c r="Q159" s="96">
        <v>0.34618493322357663</v>
      </c>
      <c r="R159" s="96">
        <v>0.34572293864885245</v>
      </c>
      <c r="S159" s="96">
        <v>0.34516179481047621</v>
      </c>
      <c r="T159" s="96">
        <v>0.34454129156309676</v>
      </c>
      <c r="U159" s="96">
        <v>0.34469808336165936</v>
      </c>
      <c r="V159" s="96">
        <v>0.34487526403372049</v>
      </c>
      <c r="W159" s="96">
        <v>0.34507707272703508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0.25314212499050598</v>
      </c>
      <c r="K160" s="96">
        <v>0.25333889953437022</v>
      </c>
      <c r="L160" s="96">
        <v>0.25358272328436765</v>
      </c>
      <c r="M160" s="96">
        <v>0.25320080281210849</v>
      </c>
      <c r="N160" s="96">
        <v>0.25284495192558704</v>
      </c>
      <c r="O160" s="96">
        <v>0.25297294812001392</v>
      </c>
      <c r="P160" s="96">
        <v>0.25304554069241908</v>
      </c>
      <c r="Q160" s="96">
        <v>0.25318570639160071</v>
      </c>
      <c r="R160" s="96">
        <v>0.25284782218138557</v>
      </c>
      <c r="S160" s="96">
        <v>0.25243742419617105</v>
      </c>
      <c r="T160" s="96">
        <v>0.25198361313182704</v>
      </c>
      <c r="U160" s="96">
        <v>0.25209828433344711</v>
      </c>
      <c r="V160" s="96">
        <v>0.25222786713532414</v>
      </c>
      <c r="W160" s="96">
        <v>0.2523754618792578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0.3414290939005778</v>
      </c>
      <c r="M162" s="96">
        <v>0.34140458938208273</v>
      </c>
      <c r="N162" s="96">
        <v>0.34138172582222126</v>
      </c>
      <c r="O162" s="96">
        <v>0.34137349868748562</v>
      </c>
      <c r="P162" s="96">
        <v>0.34136883463594064</v>
      </c>
      <c r="Q162" s="96">
        <v>0.34135983299564082</v>
      </c>
      <c r="R162" s="96">
        <v>0.34138154128468928</v>
      </c>
      <c r="S162" s="96">
        <v>0.34140794932844004</v>
      </c>
      <c r="T162" s="96">
        <v>0.34143720330723426</v>
      </c>
      <c r="U162" s="96">
        <v>0.34144460071426119</v>
      </c>
      <c r="V162" s="96">
        <v>0.34156995460124884</v>
      </c>
      <c r="W162" s="96">
        <v>0.34146246813369585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14.247222371041557</v>
      </c>
      <c r="C163" s="130">
        <f t="shared" si="215"/>
        <v>14.241169393283624</v>
      </c>
      <c r="D163" s="130">
        <f t="shared" si="215"/>
        <v>14.287281099063771</v>
      </c>
      <c r="E163" s="130">
        <f t="shared" si="215"/>
        <v>14.244877426378913</v>
      </c>
      <c r="F163" s="130">
        <f t="shared" si="215"/>
        <v>14.123164378456364</v>
      </c>
      <c r="G163" s="130">
        <f t="shared" si="215"/>
        <v>14.140494804787652</v>
      </c>
      <c r="H163" s="130">
        <f t="shared" si="215"/>
        <v>14.192198701616583</v>
      </c>
      <c r="I163" s="130">
        <f t="shared" si="215"/>
        <v>14.756896204520483</v>
      </c>
      <c r="J163" s="130">
        <f t="shared" si="215"/>
        <v>14.45128925133726</v>
      </c>
      <c r="K163" s="130">
        <f t="shared" si="215"/>
        <v>14.313968815123452</v>
      </c>
      <c r="L163" s="130">
        <f t="shared" ref="L163" si="216">IF(L26=0,0,L26/L53)</f>
        <v>14.68694278505431</v>
      </c>
      <c r="M163" s="130">
        <f t="shared" ref="M163:V163" si="217">IF(M26=0,0,M26/M53)</f>
        <v>14.437235504660356</v>
      </c>
      <c r="N163" s="130">
        <f t="shared" si="217"/>
        <v>14.444178247549495</v>
      </c>
      <c r="O163" s="130">
        <f t="shared" si="217"/>
        <v>14.158636452979122</v>
      </c>
      <c r="P163" s="130">
        <f t="shared" si="217"/>
        <v>14.142839720931166</v>
      </c>
      <c r="Q163" s="130">
        <f t="shared" si="217"/>
        <v>14.097414283412512</v>
      </c>
      <c r="R163" s="130">
        <f t="shared" si="217"/>
        <v>14.141134044902904</v>
      </c>
      <c r="S163" s="130">
        <f t="shared" si="217"/>
        <v>13.981729346345812</v>
      </c>
      <c r="T163" s="130">
        <f t="shared" si="217"/>
        <v>13.834654823093828</v>
      </c>
      <c r="U163" s="130">
        <f t="shared" si="217"/>
        <v>13.86935952274071</v>
      </c>
      <c r="V163" s="130">
        <f t="shared" si="217"/>
        <v>14.293553609610106</v>
      </c>
      <c r="W163" s="130">
        <f t="shared" ref="W163" si="218">IF(W26=0,0,W26/W53)</f>
        <v>14.599675684326654</v>
      </c>
      <c r="DA163" s="176" t="s">
        <v>573</v>
      </c>
    </row>
    <row r="164" spans="1:105" ht="11.45" customHeight="1" x14ac:dyDescent="0.25">
      <c r="A164" s="128" t="s">
        <v>27</v>
      </c>
      <c r="B164" s="97">
        <v>14.237468671679197</v>
      </c>
      <c r="C164" s="97">
        <v>14.237468671679197</v>
      </c>
      <c r="D164" s="97">
        <v>14.237468671679197</v>
      </c>
      <c r="E164" s="97">
        <v>14.237468671679197</v>
      </c>
      <c r="F164" s="97">
        <v>14.237468671679199</v>
      </c>
      <c r="G164" s="97">
        <v>14.237468671679197</v>
      </c>
      <c r="H164" s="97">
        <v>14.237468671679197</v>
      </c>
      <c r="I164" s="97">
        <v>15.042111879321181</v>
      </c>
      <c r="J164" s="97">
        <v>14.640151515151516</v>
      </c>
      <c r="K164" s="97">
        <v>14.439142461964039</v>
      </c>
      <c r="L164" s="97">
        <v>14.841717791411043</v>
      </c>
      <c r="M164" s="97">
        <v>14.531862745098039</v>
      </c>
      <c r="N164" s="97">
        <v>14.566666666666666</v>
      </c>
      <c r="O164" s="97">
        <v>14.178004535147393</v>
      </c>
      <c r="P164" s="97">
        <v>14.144522144522144</v>
      </c>
      <c r="Q164" s="97">
        <v>14.131147540983607</v>
      </c>
      <c r="R164" s="97">
        <v>14.220779220779221</v>
      </c>
      <c r="S164" s="97">
        <v>13.952626158599383</v>
      </c>
      <c r="T164" s="97">
        <v>13.713467048710601</v>
      </c>
      <c r="U164" s="97">
        <v>13.792390405293631</v>
      </c>
      <c r="V164" s="97">
        <v>14.400833333333333</v>
      </c>
      <c r="W164" s="97">
        <v>14.781791907514451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14.257421972058395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13.915448013039788</v>
      </c>
      <c r="K165" s="98">
        <v>13.731801555818867</v>
      </c>
      <c r="L165" s="98">
        <v>14.178700182725073</v>
      </c>
      <c r="M165" s="98">
        <v>14.133203670456812</v>
      </c>
      <c r="N165" s="98">
        <v>14.086426180736336</v>
      </c>
      <c r="O165" s="98">
        <v>14.105166269382362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7256.5302408445068</v>
      </c>
      <c r="C167" s="54">
        <f t="shared" si="219"/>
        <v>8648.0260735880693</v>
      </c>
      <c r="D167" s="54">
        <f t="shared" si="219"/>
        <v>9550.7392499575108</v>
      </c>
      <c r="E167" s="54">
        <f t="shared" si="219"/>
        <v>9885.0916728720986</v>
      </c>
      <c r="F167" s="54">
        <f t="shared" si="219"/>
        <v>10078.051865684503</v>
      </c>
      <c r="G167" s="54">
        <f t="shared" si="219"/>
        <v>9755.8179463188062</v>
      </c>
      <c r="H167" s="54">
        <f t="shared" si="219"/>
        <v>10278.903424044027</v>
      </c>
      <c r="I167" s="54">
        <f t="shared" si="219"/>
        <v>10197.486747147415</v>
      </c>
      <c r="J167" s="54">
        <f t="shared" si="219"/>
        <v>9294.8755819963571</v>
      </c>
      <c r="K167" s="54">
        <f t="shared" si="219"/>
        <v>9203.78291538743</v>
      </c>
      <c r="L167" s="54">
        <f t="shared" si="219"/>
        <v>9138.8193372550377</v>
      </c>
      <c r="M167" s="54">
        <f>IF(M30=0,0,M30*1000000/M57)</f>
        <v>9502.3255015614759</v>
      </c>
      <c r="N167" s="54">
        <f t="shared" ref="N167:V167" si="220">IF(N30=0,0,N30*1000000/N57)</f>
        <v>9630.1696565143084</v>
      </c>
      <c r="O167" s="54">
        <f t="shared" si="220"/>
        <v>9646.6734435958879</v>
      </c>
      <c r="P167" s="54">
        <f t="shared" si="220"/>
        <v>9674.9668780204775</v>
      </c>
      <c r="Q167" s="54">
        <f t="shared" si="220"/>
        <v>9664.2129511993626</v>
      </c>
      <c r="R167" s="54">
        <f t="shared" si="220"/>
        <v>9582.5182529586036</v>
      </c>
      <c r="S167" s="54">
        <f t="shared" si="220"/>
        <v>9039.6630140871894</v>
      </c>
      <c r="T167" s="54">
        <f t="shared" si="220"/>
        <v>8968.6872341506769</v>
      </c>
      <c r="U167" s="54">
        <f t="shared" si="220"/>
        <v>8996.819703104029</v>
      </c>
      <c r="V167" s="54">
        <f t="shared" si="220"/>
        <v>8007.6059258654113</v>
      </c>
      <c r="W167" s="54">
        <f t="shared" ref="W167:W191" si="221">IF(W30=0,0,W30*1000000/W57)</f>
        <v>8364.2915125012423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6463.4161660772734</v>
      </c>
      <c r="C168" s="28">
        <f t="shared" si="219"/>
        <v>7996.2625088825644</v>
      </c>
      <c r="D168" s="28">
        <f t="shared" si="219"/>
        <v>8925.5431240240196</v>
      </c>
      <c r="E168" s="28">
        <f t="shared" si="219"/>
        <v>9280.8111366073845</v>
      </c>
      <c r="F168" s="28">
        <f t="shared" si="219"/>
        <v>9448.6273361005151</v>
      </c>
      <c r="G168" s="28">
        <f t="shared" si="219"/>
        <v>9037.2545850883762</v>
      </c>
      <c r="H168" s="28">
        <f t="shared" si="219"/>
        <v>9599.9631018572727</v>
      </c>
      <c r="I168" s="28">
        <f t="shared" si="219"/>
        <v>9555.1645792636136</v>
      </c>
      <c r="J168" s="28">
        <f t="shared" si="219"/>
        <v>8603.2003946891527</v>
      </c>
      <c r="K168" s="28">
        <f t="shared" si="219"/>
        <v>8624.1741482913676</v>
      </c>
      <c r="L168" s="28">
        <f t="shared" si="219"/>
        <v>8703.6139312098494</v>
      </c>
      <c r="M168" s="28">
        <f t="shared" ref="M168:M192" si="222">IF(M31=0,0,M31*1000000/M58)</f>
        <v>9069.4032290967734</v>
      </c>
      <c r="N168" s="28">
        <f t="shared" si="219"/>
        <v>9166.4762650915291</v>
      </c>
      <c r="O168" s="28">
        <f t="shared" si="219"/>
        <v>9166.6868146279594</v>
      </c>
      <c r="P168" s="28">
        <f t="shared" si="219"/>
        <v>9178.9165710391553</v>
      </c>
      <c r="Q168" s="28">
        <f t="shared" si="219"/>
        <v>9147.9749241039153</v>
      </c>
      <c r="R168" s="28">
        <f t="shared" si="219"/>
        <v>9031.6258022104375</v>
      </c>
      <c r="S168" s="28">
        <f t="shared" si="219"/>
        <v>8409.4250453668774</v>
      </c>
      <c r="T168" s="28">
        <f t="shared" si="219"/>
        <v>8311.5241460450379</v>
      </c>
      <c r="U168" s="28">
        <f t="shared" si="219"/>
        <v>8334.043847461091</v>
      </c>
      <c r="V168" s="28">
        <f t="shared" si="219"/>
        <v>7250.8507109995389</v>
      </c>
      <c r="W168" s="28">
        <f t="shared" si="221"/>
        <v>7616.0272393523155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5004.8923846013204</v>
      </c>
      <c r="C169" s="137">
        <f t="shared" si="219"/>
        <v>5007.3812128378031</v>
      </c>
      <c r="D169" s="137">
        <f t="shared" si="219"/>
        <v>5009.8837232022788</v>
      </c>
      <c r="E169" s="137">
        <f t="shared" si="219"/>
        <v>5005.6114361931795</v>
      </c>
      <c r="F169" s="137">
        <f t="shared" si="219"/>
        <v>4999.0730420930258</v>
      </c>
      <c r="G169" s="137">
        <f t="shared" si="219"/>
        <v>4992.7015634149366</v>
      </c>
      <c r="H169" s="137">
        <f t="shared" si="219"/>
        <v>4944.0270598079351</v>
      </c>
      <c r="I169" s="137">
        <f t="shared" si="219"/>
        <v>4902.9585039941221</v>
      </c>
      <c r="J169" s="137">
        <f t="shared" si="219"/>
        <v>4786.5008979910062</v>
      </c>
      <c r="K169" s="137">
        <f t="shared" si="219"/>
        <v>4699.5874484310543</v>
      </c>
      <c r="L169" s="137">
        <f t="shared" si="219"/>
        <v>4662.9721384039176</v>
      </c>
      <c r="M169" s="137">
        <f t="shared" si="222"/>
        <v>4681.7344197508928</v>
      </c>
      <c r="N169" s="137">
        <f t="shared" si="219"/>
        <v>4646.621267679413</v>
      </c>
      <c r="O169" s="137">
        <f t="shared" si="219"/>
        <v>4684.0251126724525</v>
      </c>
      <c r="P169" s="137">
        <f t="shared" si="219"/>
        <v>4662.6544187519794</v>
      </c>
      <c r="Q169" s="137">
        <f t="shared" si="219"/>
        <v>4686.9739336912799</v>
      </c>
      <c r="R169" s="137">
        <f t="shared" si="219"/>
        <v>4792.2362187511599</v>
      </c>
      <c r="S169" s="137">
        <f t="shared" si="219"/>
        <v>4298.9043361106933</v>
      </c>
      <c r="T169" s="137">
        <f t="shared" si="219"/>
        <v>3866.1711501864511</v>
      </c>
      <c r="U169" s="137">
        <f t="shared" si="219"/>
        <v>3804.940947652763</v>
      </c>
      <c r="V169" s="137">
        <f t="shared" si="219"/>
        <v>3175.9473892326059</v>
      </c>
      <c r="W169" s="137">
        <f t="shared" si="221"/>
        <v>3095.7878100276562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6321.8189787520178</v>
      </c>
      <c r="C170" s="110">
        <f t="shared" si="219"/>
        <v>7876.6437470684332</v>
      </c>
      <c r="D170" s="110">
        <f t="shared" si="219"/>
        <v>8821.4464147420113</v>
      </c>
      <c r="E170" s="110">
        <f t="shared" si="219"/>
        <v>9154.638498221866</v>
      </c>
      <c r="F170" s="110">
        <f t="shared" si="219"/>
        <v>9293.0258973259424</v>
      </c>
      <c r="G170" s="110">
        <f t="shared" si="219"/>
        <v>8865.5499120794047</v>
      </c>
      <c r="H170" s="110">
        <f t="shared" si="219"/>
        <v>9455.6995769342993</v>
      </c>
      <c r="I170" s="110">
        <f t="shared" si="219"/>
        <v>9383.0081312951697</v>
      </c>
      <c r="J170" s="110">
        <f t="shared" si="219"/>
        <v>8354.4592632822005</v>
      </c>
      <c r="K170" s="110">
        <f t="shared" si="219"/>
        <v>8390.9753179215077</v>
      </c>
      <c r="L170" s="110">
        <f t="shared" si="219"/>
        <v>8474.4711483050378</v>
      </c>
      <c r="M170" s="110">
        <f t="shared" si="222"/>
        <v>8840.8769906317575</v>
      </c>
      <c r="N170" s="110">
        <f t="shared" si="219"/>
        <v>8941.3440300058282</v>
      </c>
      <c r="O170" s="110">
        <f t="shared" si="219"/>
        <v>8942.7955932623427</v>
      </c>
      <c r="P170" s="110">
        <f t="shared" si="219"/>
        <v>8957.9583344165203</v>
      </c>
      <c r="Q170" s="110">
        <f t="shared" si="219"/>
        <v>8931.3254536339518</v>
      </c>
      <c r="R170" s="110">
        <f t="shared" si="219"/>
        <v>8815.0207970690644</v>
      </c>
      <c r="S170" s="110">
        <f t="shared" si="219"/>
        <v>8203.1586157999209</v>
      </c>
      <c r="T170" s="110">
        <f t="shared" si="219"/>
        <v>8125.4818154350432</v>
      </c>
      <c r="U170" s="110">
        <f t="shared" si="219"/>
        <v>8163.8291508558896</v>
      </c>
      <c r="V170" s="110">
        <f t="shared" si="219"/>
        <v>7071.7304602161248</v>
      </c>
      <c r="W170" s="110">
        <f t="shared" si="221"/>
        <v>7456.5328965492126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5921.3690213702657</v>
      </c>
      <c r="C171" s="84">
        <f t="shared" si="219"/>
        <v>7541.9474332954305</v>
      </c>
      <c r="D171" s="84">
        <f t="shared" si="219"/>
        <v>8342.5075201334039</v>
      </c>
      <c r="E171" s="84">
        <f t="shared" si="219"/>
        <v>8543.7265208486824</v>
      </c>
      <c r="F171" s="84">
        <f t="shared" si="219"/>
        <v>8668.0353476721903</v>
      </c>
      <c r="G171" s="84">
        <f t="shared" si="219"/>
        <v>7737.1413704207134</v>
      </c>
      <c r="H171" s="84">
        <f t="shared" si="219"/>
        <v>7970.4005755095286</v>
      </c>
      <c r="I171" s="84">
        <f t="shared" si="219"/>
        <v>7577.0171607206648</v>
      </c>
      <c r="J171" s="84">
        <f t="shared" si="219"/>
        <v>5930.477309265566</v>
      </c>
      <c r="K171" s="84">
        <f t="shared" si="219"/>
        <v>5734.9760892259492</v>
      </c>
      <c r="L171" s="84">
        <f t="shared" si="219"/>
        <v>5987.7772103199159</v>
      </c>
      <c r="M171" s="84">
        <f t="shared" si="222"/>
        <v>5590.1765207402523</v>
      </c>
      <c r="N171" s="84">
        <f t="shared" si="219"/>
        <v>5453.6232016843032</v>
      </c>
      <c r="O171" s="84">
        <f t="shared" si="219"/>
        <v>5804.6509511047598</v>
      </c>
      <c r="P171" s="84">
        <f t="shared" si="219"/>
        <v>6217.2742023115861</v>
      </c>
      <c r="Q171" s="84">
        <f t="shared" si="219"/>
        <v>6076.070846898012</v>
      </c>
      <c r="R171" s="84">
        <f t="shared" si="219"/>
        <v>5725.0415852999758</v>
      </c>
      <c r="S171" s="84">
        <f t="shared" si="219"/>
        <v>5423.7112804313847</v>
      </c>
      <c r="T171" s="84">
        <f t="shared" si="219"/>
        <v>5367.0481947270491</v>
      </c>
      <c r="U171" s="84">
        <f t="shared" si="219"/>
        <v>5385.2018270120261</v>
      </c>
      <c r="V171" s="84">
        <f t="shared" si="219"/>
        <v>5020.8202193632387</v>
      </c>
      <c r="W171" s="84">
        <f t="shared" si="221"/>
        <v>5549.1611836063676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11634.198480813866</v>
      </c>
      <c r="C172" s="84">
        <f t="shared" si="219"/>
        <v>10990.776944464962</v>
      </c>
      <c r="D172" s="84">
        <f t="shared" si="219"/>
        <v>12297.367619514896</v>
      </c>
      <c r="E172" s="84">
        <f t="shared" si="219"/>
        <v>12683.894886758921</v>
      </c>
      <c r="F172" s="84">
        <f t="shared" si="219"/>
        <v>12281.515452002408</v>
      </c>
      <c r="G172" s="84">
        <f t="shared" si="219"/>
        <v>13473.08953100205</v>
      </c>
      <c r="H172" s="84">
        <f t="shared" si="219"/>
        <v>14443.27763475445</v>
      </c>
      <c r="I172" s="84">
        <f t="shared" si="219"/>
        <v>14331.013507888503</v>
      </c>
      <c r="J172" s="84">
        <f t="shared" si="219"/>
        <v>14541.039920534444</v>
      </c>
      <c r="K172" s="84">
        <f t="shared" si="219"/>
        <v>14826.503743893063</v>
      </c>
      <c r="L172" s="84">
        <f t="shared" si="219"/>
        <v>14070.285463465942</v>
      </c>
      <c r="M172" s="84">
        <f t="shared" si="222"/>
        <v>15718.545762671449</v>
      </c>
      <c r="N172" s="84">
        <f t="shared" si="219"/>
        <v>16006.295974688584</v>
      </c>
      <c r="O172" s="84">
        <f t="shared" si="219"/>
        <v>14984.697159938683</v>
      </c>
      <c r="P172" s="84">
        <f t="shared" si="219"/>
        <v>13922.343734095995</v>
      </c>
      <c r="Q172" s="84">
        <f t="shared" si="219"/>
        <v>13738.206891590449</v>
      </c>
      <c r="R172" s="84">
        <f t="shared" si="219"/>
        <v>13663.730221593116</v>
      </c>
      <c r="S172" s="84">
        <f t="shared" si="219"/>
        <v>11941.921873877523</v>
      </c>
      <c r="T172" s="84">
        <f t="shared" si="219"/>
        <v>11434.933517086234</v>
      </c>
      <c r="U172" s="84">
        <f t="shared" si="219"/>
        <v>11256.146673159465</v>
      </c>
      <c r="V172" s="84">
        <f t="shared" si="219"/>
        <v>9161.8119510915258</v>
      </c>
      <c r="W172" s="84">
        <f t="shared" si="221"/>
        <v>9251.2047083879879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0</v>
      </c>
      <c r="C173" s="84">
        <f t="shared" si="219"/>
        <v>0</v>
      </c>
      <c r="D173" s="84">
        <f t="shared" si="219"/>
        <v>9050.3524848996003</v>
      </c>
      <c r="E173" s="84">
        <f t="shared" si="219"/>
        <v>10066.788563668573</v>
      </c>
      <c r="F173" s="84">
        <f t="shared" si="219"/>
        <v>10564.213641708307</v>
      </c>
      <c r="G173" s="84">
        <f t="shared" si="219"/>
        <v>11119.627943862271</v>
      </c>
      <c r="H173" s="84">
        <f t="shared" si="219"/>
        <v>11189.58403444953</v>
      </c>
      <c r="I173" s="84">
        <f t="shared" si="219"/>
        <v>11921.05070149759</v>
      </c>
      <c r="J173" s="84">
        <f t="shared" si="219"/>
        <v>10677.81686695686</v>
      </c>
      <c r="K173" s="84">
        <f t="shared" si="219"/>
        <v>9815.3248311770803</v>
      </c>
      <c r="L173" s="84">
        <f t="shared" si="219"/>
        <v>8634.1865937068815</v>
      </c>
      <c r="M173" s="84">
        <f t="shared" si="222"/>
        <v>10029.033619182987</v>
      </c>
      <c r="N173" s="84">
        <f t="shared" si="219"/>
        <v>9226.0119923998682</v>
      </c>
      <c r="O173" s="84">
        <f t="shared" si="219"/>
        <v>8586.838871680322</v>
      </c>
      <c r="P173" s="84">
        <f t="shared" si="219"/>
        <v>9108.0441109567346</v>
      </c>
      <c r="Q173" s="84">
        <f t="shared" si="219"/>
        <v>9839.099605307043</v>
      </c>
      <c r="R173" s="84">
        <f t="shared" si="219"/>
        <v>9270.6711000660744</v>
      </c>
      <c r="S173" s="84">
        <f t="shared" si="219"/>
        <v>10212.348411326815</v>
      </c>
      <c r="T173" s="84">
        <f t="shared" si="219"/>
        <v>9739.5937797351562</v>
      </c>
      <c r="U173" s="84">
        <f t="shared" si="219"/>
        <v>9083.9215261781628</v>
      </c>
      <c r="V173" s="84">
        <f t="shared" si="219"/>
        <v>8525.110873093734</v>
      </c>
      <c r="W173" s="84">
        <f t="shared" si="221"/>
        <v>9059.4112616170696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6588.6589158205761</v>
      </c>
      <c r="O175" s="84">
        <f t="shared" si="219"/>
        <v>7190.7041713861845</v>
      </c>
      <c r="P175" s="84">
        <f t="shared" si="219"/>
        <v>8003.4594357156811</v>
      </c>
      <c r="Q175" s="84">
        <f t="shared" si="219"/>
        <v>8861.980130330654</v>
      </c>
      <c r="R175" s="84">
        <f t="shared" si="219"/>
        <v>8350.0021728921583</v>
      </c>
      <c r="S175" s="84">
        <f t="shared" si="219"/>
        <v>8559.1854404752248</v>
      </c>
      <c r="T175" s="84">
        <f t="shared" si="219"/>
        <v>8545.3717693114941</v>
      </c>
      <c r="U175" s="84">
        <f t="shared" si="219"/>
        <v>8283.8414173252113</v>
      </c>
      <c r="V175" s="84">
        <f t="shared" si="219"/>
        <v>8130.1589130497023</v>
      </c>
      <c r="W175" s="84">
        <f t="shared" si="221"/>
        <v>8639.7061940955045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11206.671895810125</v>
      </c>
      <c r="L176" s="84">
        <f t="shared" si="219"/>
        <v>11212.939493363105</v>
      </c>
      <c r="M176" s="84">
        <f t="shared" si="222"/>
        <v>11222.560809970588</v>
      </c>
      <c r="N176" s="84">
        <f t="shared" si="219"/>
        <v>11229.507952936588</v>
      </c>
      <c r="O176" s="84">
        <f t="shared" si="219"/>
        <v>11267.065517237506</v>
      </c>
      <c r="P176" s="84">
        <f t="shared" si="219"/>
        <v>11294.966184686409</v>
      </c>
      <c r="Q176" s="84">
        <f t="shared" si="219"/>
        <v>11329.198526499989</v>
      </c>
      <c r="R176" s="84">
        <f t="shared" si="219"/>
        <v>11295.539484492108</v>
      </c>
      <c r="S176" s="84">
        <f t="shared" si="219"/>
        <v>11265.043520375355</v>
      </c>
      <c r="T176" s="84">
        <f t="shared" si="219"/>
        <v>11259.129660188484</v>
      </c>
      <c r="U176" s="84">
        <f t="shared" si="219"/>
        <v>11257.228876260184</v>
      </c>
      <c r="V176" s="84">
        <f t="shared" si="219"/>
        <v>10680.977761368595</v>
      </c>
      <c r="W176" s="84">
        <f t="shared" si="221"/>
        <v>11240.360193403303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17058.787397169537</v>
      </c>
      <c r="C177" s="110">
        <f t="shared" si="219"/>
        <v>18945.945454185508</v>
      </c>
      <c r="D177" s="110">
        <f t="shared" si="219"/>
        <v>20885.706602418897</v>
      </c>
      <c r="E177" s="110">
        <f t="shared" si="219"/>
        <v>23239.643798558045</v>
      </c>
      <c r="F177" s="110">
        <f t="shared" si="219"/>
        <v>25859.616393259275</v>
      </c>
      <c r="G177" s="110">
        <f t="shared" si="219"/>
        <v>28596.58065779016</v>
      </c>
      <c r="H177" s="110">
        <f t="shared" si="219"/>
        <v>31465.678546255906</v>
      </c>
      <c r="I177" s="110">
        <f t="shared" si="219"/>
        <v>35061.21478631036</v>
      </c>
      <c r="J177" s="110">
        <f t="shared" si="219"/>
        <v>39336.127571421697</v>
      </c>
      <c r="K177" s="110">
        <f t="shared" si="219"/>
        <v>40290.460462405288</v>
      </c>
      <c r="L177" s="110">
        <f t="shared" si="219"/>
        <v>41328.377188692168</v>
      </c>
      <c r="M177" s="110">
        <f t="shared" si="222"/>
        <v>42948.984331076288</v>
      </c>
      <c r="N177" s="110">
        <f t="shared" si="219"/>
        <v>43464.814198030166</v>
      </c>
      <c r="O177" s="110">
        <f t="shared" si="219"/>
        <v>44328.309458261399</v>
      </c>
      <c r="P177" s="110">
        <f t="shared" si="219"/>
        <v>44601.945692165318</v>
      </c>
      <c r="Q177" s="110">
        <f t="shared" si="219"/>
        <v>43381.840454516641</v>
      </c>
      <c r="R177" s="110">
        <f t="shared" si="219"/>
        <v>43703.785434199977</v>
      </c>
      <c r="S177" s="110">
        <f t="shared" si="219"/>
        <v>43403.071242235477</v>
      </c>
      <c r="T177" s="110">
        <f t="shared" si="219"/>
        <v>43193.74488153492</v>
      </c>
      <c r="U177" s="110">
        <f t="shared" si="219"/>
        <v>42684.331534586578</v>
      </c>
      <c r="V177" s="110">
        <f t="shared" si="219"/>
        <v>43469.829614682603</v>
      </c>
      <c r="W177" s="110">
        <f t="shared" si="221"/>
        <v>44575.322294897967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32435.793136237455</v>
      </c>
      <c r="K178" s="102">
        <f t="shared" si="219"/>
        <v>32610.096605029677</v>
      </c>
      <c r="L178" s="102">
        <f t="shared" si="219"/>
        <v>32859.388840372907</v>
      </c>
      <c r="M178" s="102">
        <f t="shared" si="222"/>
        <v>33546.229045108252</v>
      </c>
      <c r="N178" s="102">
        <f t="shared" si="219"/>
        <v>33305.134851017559</v>
      </c>
      <c r="O178" s="102">
        <f t="shared" si="219"/>
        <v>33333.611656571244</v>
      </c>
      <c r="P178" s="102">
        <f t="shared" si="219"/>
        <v>33655.934046165312</v>
      </c>
      <c r="Q178" s="102">
        <f t="shared" si="219"/>
        <v>32049.676164672521</v>
      </c>
      <c r="R178" s="102">
        <f t="shared" si="219"/>
        <v>32945.450770997064</v>
      </c>
      <c r="S178" s="102">
        <f t="shared" si="219"/>
        <v>33361.617790840275</v>
      </c>
      <c r="T178" s="102">
        <f t="shared" si="219"/>
        <v>33856.549230005156</v>
      </c>
      <c r="U178" s="102">
        <f t="shared" si="219"/>
        <v>34106.16352404475</v>
      </c>
      <c r="V178" s="102">
        <f t="shared" si="219"/>
        <v>35460.794999467333</v>
      </c>
      <c r="W178" s="102">
        <f t="shared" si="221"/>
        <v>37136.461601165582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17058.787397169537</v>
      </c>
      <c r="C179" s="102">
        <f t="shared" si="219"/>
        <v>18945.945454185508</v>
      </c>
      <c r="D179" s="102">
        <f t="shared" si="219"/>
        <v>20885.706602418897</v>
      </c>
      <c r="E179" s="102">
        <f t="shared" si="219"/>
        <v>23239.643798558045</v>
      </c>
      <c r="F179" s="102">
        <f t="shared" si="219"/>
        <v>25859.616393259275</v>
      </c>
      <c r="G179" s="102">
        <f t="shared" si="219"/>
        <v>28596.58065779016</v>
      </c>
      <c r="H179" s="102">
        <f t="shared" si="219"/>
        <v>31465.678546255906</v>
      </c>
      <c r="I179" s="102">
        <f t="shared" si="219"/>
        <v>35061.21478631036</v>
      </c>
      <c r="J179" s="102">
        <f t="shared" si="219"/>
        <v>39376.338135997961</v>
      </c>
      <c r="K179" s="102">
        <f t="shared" si="219"/>
        <v>40336.013027840803</v>
      </c>
      <c r="L179" s="102">
        <f t="shared" si="219"/>
        <v>41393.713638029069</v>
      </c>
      <c r="M179" s="102">
        <f t="shared" si="222"/>
        <v>43025.093813606261</v>
      </c>
      <c r="N179" s="102">
        <f t="shared" si="219"/>
        <v>43541.545699886665</v>
      </c>
      <c r="O179" s="102">
        <f t="shared" si="219"/>
        <v>44407.064159020767</v>
      </c>
      <c r="P179" s="102">
        <f t="shared" si="219"/>
        <v>44676.807830219062</v>
      </c>
      <c r="Q179" s="102">
        <f t="shared" si="219"/>
        <v>43449.341663131941</v>
      </c>
      <c r="R179" s="102">
        <f t="shared" si="219"/>
        <v>43763.28532730625</v>
      </c>
      <c r="S179" s="102">
        <f t="shared" si="219"/>
        <v>43456.813454816969</v>
      </c>
      <c r="T179" s="102">
        <f t="shared" si="219"/>
        <v>43230.723146350763</v>
      </c>
      <c r="U179" s="102">
        <f t="shared" si="219"/>
        <v>42712.017134512869</v>
      </c>
      <c r="V179" s="102">
        <f t="shared" si="219"/>
        <v>43485.169535238645</v>
      </c>
      <c r="W179" s="102">
        <f t="shared" si="221"/>
        <v>44590.777375434998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23865.423359131037</v>
      </c>
      <c r="K180" s="102">
        <f t="shared" si="223"/>
        <v>24502.886391246753</v>
      </c>
      <c r="L180" s="102">
        <f t="shared" si="223"/>
        <v>25216.908434340145</v>
      </c>
      <c r="M180" s="102">
        <f t="shared" si="222"/>
        <v>26309.560410184375</v>
      </c>
      <c r="N180" s="102">
        <f t="shared" si="223"/>
        <v>26658.862634253623</v>
      </c>
      <c r="O180" s="102">
        <f t="shared" si="223"/>
        <v>27242.074148295091</v>
      </c>
      <c r="P180" s="102">
        <f t="shared" si="223"/>
        <v>27429.245858530918</v>
      </c>
      <c r="Q180" s="102">
        <f t="shared" si="223"/>
        <v>26605.672158986981</v>
      </c>
      <c r="R180" s="102">
        <f t="shared" si="223"/>
        <v>26822.942960630826</v>
      </c>
      <c r="S180" s="102">
        <f t="shared" si="223"/>
        <v>26619.995214691175</v>
      </c>
      <c r="T180" s="102">
        <f t="shared" si="223"/>
        <v>26478.80674592749</v>
      </c>
      <c r="U180" s="102">
        <f t="shared" si="223"/>
        <v>26135.499103086142</v>
      </c>
      <c r="V180" s="102">
        <f t="shared" si="223"/>
        <v>26665.037386151995</v>
      </c>
      <c r="W180" s="102">
        <f t="shared" si="221"/>
        <v>27411.916887013835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47993.004102606952</v>
      </c>
      <c r="P182" s="102">
        <f t="shared" si="223"/>
        <v>48007.943572296652</v>
      </c>
      <c r="Q182" s="102">
        <f t="shared" si="223"/>
        <v>48074.514247008781</v>
      </c>
      <c r="R182" s="102">
        <f t="shared" si="223"/>
        <v>48056.744886914086</v>
      </c>
      <c r="S182" s="102">
        <f t="shared" si="223"/>
        <v>48040.157319692262</v>
      </c>
      <c r="T182" s="102">
        <f t="shared" si="223"/>
        <v>48028.546181978803</v>
      </c>
      <c r="U182" s="102">
        <f t="shared" si="223"/>
        <v>48000.064623933606</v>
      </c>
      <c r="V182" s="102">
        <f t="shared" si="223"/>
        <v>47348.064655667484</v>
      </c>
      <c r="W182" s="102">
        <f t="shared" si="221"/>
        <v>47896.140785971074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14020.451846887399</v>
      </c>
      <c r="C183" s="28">
        <f t="shared" si="223"/>
        <v>14196.445229813397</v>
      </c>
      <c r="D183" s="28">
        <f t="shared" si="223"/>
        <v>14364.729422237502</v>
      </c>
      <c r="E183" s="28">
        <f t="shared" si="223"/>
        <v>14436.127734767624</v>
      </c>
      <c r="F183" s="28">
        <f t="shared" si="223"/>
        <v>14835.77136288801</v>
      </c>
      <c r="G183" s="28">
        <f t="shared" si="223"/>
        <v>15098.958649635564</v>
      </c>
      <c r="H183" s="28">
        <f t="shared" si="223"/>
        <v>14667.562555840661</v>
      </c>
      <c r="I183" s="28">
        <f t="shared" si="223"/>
        <v>14578.350545926351</v>
      </c>
      <c r="J183" s="28">
        <f t="shared" si="223"/>
        <v>14136.660362622499</v>
      </c>
      <c r="K183" s="28">
        <f t="shared" si="223"/>
        <v>13371.655865520437</v>
      </c>
      <c r="L183" s="28">
        <f t="shared" si="223"/>
        <v>12340.674976751274</v>
      </c>
      <c r="M183" s="28">
        <f t="shared" si="222"/>
        <v>12619.010112682323</v>
      </c>
      <c r="N183" s="28">
        <f t="shared" si="223"/>
        <v>13024.064436570401</v>
      </c>
      <c r="O183" s="28">
        <f t="shared" si="223"/>
        <v>13176.364388727388</v>
      </c>
      <c r="P183" s="28">
        <f t="shared" si="223"/>
        <v>13274.56775662934</v>
      </c>
      <c r="Q183" s="28">
        <f t="shared" si="223"/>
        <v>13483.941217301874</v>
      </c>
      <c r="R183" s="28">
        <f t="shared" si="223"/>
        <v>13844.217501245301</v>
      </c>
      <c r="S183" s="28">
        <f t="shared" si="223"/>
        <v>14143.317498784079</v>
      </c>
      <c r="T183" s="28">
        <f t="shared" si="223"/>
        <v>14338.494000563134</v>
      </c>
      <c r="U183" s="28">
        <f t="shared" si="223"/>
        <v>14485.486066552889</v>
      </c>
      <c r="V183" s="28">
        <f t="shared" si="223"/>
        <v>14284.246218162991</v>
      </c>
      <c r="W183" s="28">
        <f t="shared" si="221"/>
        <v>14592.050796162357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12309.235314151209</v>
      </c>
      <c r="C184" s="137">
        <f t="shared" si="223"/>
        <v>12410.729134092</v>
      </c>
      <c r="D184" s="137">
        <f t="shared" si="223"/>
        <v>12469.900722175902</v>
      </c>
      <c r="E184" s="137">
        <f t="shared" si="223"/>
        <v>12541.895739816331</v>
      </c>
      <c r="F184" s="137">
        <f t="shared" si="223"/>
        <v>12620.785617862373</v>
      </c>
      <c r="G184" s="137">
        <f t="shared" si="223"/>
        <v>12687.215466091307</v>
      </c>
      <c r="H184" s="137">
        <f t="shared" si="223"/>
        <v>12683.740331873989</v>
      </c>
      <c r="I184" s="137">
        <f t="shared" si="223"/>
        <v>12642.31659215634</v>
      </c>
      <c r="J184" s="137">
        <f t="shared" si="223"/>
        <v>12770.925029568911</v>
      </c>
      <c r="K184" s="137">
        <f t="shared" si="223"/>
        <v>12732.697759703235</v>
      </c>
      <c r="L184" s="137">
        <f t="shared" si="223"/>
        <v>12694.025870000107</v>
      </c>
      <c r="M184" s="137">
        <f t="shared" si="222"/>
        <v>12847.742999238564</v>
      </c>
      <c r="N184" s="137">
        <f t="shared" si="223"/>
        <v>12979.290838197985</v>
      </c>
      <c r="O184" s="137">
        <f t="shared" si="223"/>
        <v>13044.790574414999</v>
      </c>
      <c r="P184" s="137">
        <f t="shared" si="223"/>
        <v>13130.013297743819</v>
      </c>
      <c r="Q184" s="137">
        <f t="shared" si="223"/>
        <v>13203.06332341391</v>
      </c>
      <c r="R184" s="137">
        <f t="shared" si="223"/>
        <v>13293.582535601414</v>
      </c>
      <c r="S184" s="137">
        <f t="shared" si="223"/>
        <v>13408.514900693519</v>
      </c>
      <c r="T184" s="137">
        <f t="shared" si="223"/>
        <v>13560.027238454211</v>
      </c>
      <c r="U184" s="137">
        <f t="shared" si="223"/>
        <v>13572.587590620942</v>
      </c>
      <c r="V184" s="137">
        <f t="shared" si="223"/>
        <v>13567.584133721593</v>
      </c>
      <c r="W184" s="137">
        <f t="shared" si="221"/>
        <v>13578.338556906196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10570.778892553217</v>
      </c>
      <c r="C185" s="84">
        <f t="shared" si="223"/>
        <v>10635.88976268945</v>
      </c>
      <c r="D185" s="84">
        <f t="shared" si="223"/>
        <v>10598.071958172857</v>
      </c>
      <c r="E185" s="84">
        <f t="shared" si="223"/>
        <v>10568.075475508715</v>
      </c>
      <c r="F185" s="84">
        <f t="shared" si="223"/>
        <v>10541.635616115032</v>
      </c>
      <c r="G185" s="84">
        <f t="shared" si="223"/>
        <v>10505.422752488283</v>
      </c>
      <c r="H185" s="84">
        <f t="shared" si="223"/>
        <v>10401.980986328394</v>
      </c>
      <c r="I185" s="84">
        <f t="shared" si="223"/>
        <v>10273.157776168006</v>
      </c>
      <c r="J185" s="84">
        <f t="shared" si="223"/>
        <v>10181.877874702008</v>
      </c>
      <c r="K185" s="84">
        <f t="shared" si="223"/>
        <v>10041.976912479859</v>
      </c>
      <c r="L185" s="84">
        <f t="shared" si="223"/>
        <v>9894.8436377859471</v>
      </c>
      <c r="M185" s="84">
        <f t="shared" si="222"/>
        <v>9870.9846783716366</v>
      </c>
      <c r="N185" s="84">
        <f t="shared" si="223"/>
        <v>9842.2197887138009</v>
      </c>
      <c r="O185" s="84">
        <f t="shared" si="223"/>
        <v>9720.1442924794428</v>
      </c>
      <c r="P185" s="84">
        <f t="shared" si="223"/>
        <v>9610.1088436919017</v>
      </c>
      <c r="Q185" s="84">
        <f t="shared" si="223"/>
        <v>9488.6505963610725</v>
      </c>
      <c r="R185" s="84">
        <f t="shared" si="223"/>
        <v>9647.7415656764606</v>
      </c>
      <c r="S185" s="84">
        <f t="shared" si="223"/>
        <v>9629.1564344056424</v>
      </c>
      <c r="T185" s="84">
        <f t="shared" si="223"/>
        <v>9619.015907378116</v>
      </c>
      <c r="U185" s="84">
        <f t="shared" si="223"/>
        <v>9501.1873444178673</v>
      </c>
      <c r="V185" s="84">
        <f t="shared" si="223"/>
        <v>9382.0380347592054</v>
      </c>
      <c r="W185" s="84">
        <f t="shared" si="221"/>
        <v>9448.1823487943839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13500.632581123889</v>
      </c>
      <c r="C186" s="84">
        <f t="shared" si="223"/>
        <v>13590.003358170643</v>
      </c>
      <c r="D186" s="84">
        <f t="shared" si="223"/>
        <v>13677.098492222092</v>
      </c>
      <c r="E186" s="84">
        <f t="shared" si="223"/>
        <v>13774.771092274757</v>
      </c>
      <c r="F186" s="84">
        <f t="shared" si="223"/>
        <v>13877.71161036273</v>
      </c>
      <c r="G186" s="84">
        <f t="shared" si="223"/>
        <v>13968.338969326065</v>
      </c>
      <c r="H186" s="84">
        <f t="shared" si="223"/>
        <v>13969.107554330052</v>
      </c>
      <c r="I186" s="84">
        <f t="shared" si="223"/>
        <v>13934.06838056838</v>
      </c>
      <c r="J186" s="84">
        <f t="shared" si="223"/>
        <v>13948.362859431429</v>
      </c>
      <c r="K186" s="84">
        <f t="shared" si="223"/>
        <v>13894.276765076142</v>
      </c>
      <c r="L186" s="84">
        <f t="shared" si="223"/>
        <v>13827.607275066495</v>
      </c>
      <c r="M186" s="84">
        <f t="shared" si="222"/>
        <v>13932.208086622726</v>
      </c>
      <c r="N186" s="84">
        <f t="shared" si="223"/>
        <v>14030.524530688439</v>
      </c>
      <c r="O186" s="84">
        <f t="shared" si="223"/>
        <v>13995.065455131351</v>
      </c>
      <c r="P186" s="84">
        <f t="shared" si="223"/>
        <v>13975.002760657437</v>
      </c>
      <c r="Q186" s="84">
        <f t="shared" si="223"/>
        <v>13936.362182803203</v>
      </c>
      <c r="R186" s="84">
        <f t="shared" si="223"/>
        <v>14029.728196360538</v>
      </c>
      <c r="S186" s="84">
        <f t="shared" si="223"/>
        <v>14144.143163988272</v>
      </c>
      <c r="T186" s="84">
        <f t="shared" si="223"/>
        <v>14271.967550690528</v>
      </c>
      <c r="U186" s="84">
        <f t="shared" si="223"/>
        <v>14239.537828013794</v>
      </c>
      <c r="V186" s="84">
        <f t="shared" si="223"/>
        <v>14202.997372532385</v>
      </c>
      <c r="W186" s="84">
        <f t="shared" si="221"/>
        <v>14161.514788063776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9144.8056275241433</v>
      </c>
      <c r="K187" s="84">
        <f t="shared" si="223"/>
        <v>9109.3457800126071</v>
      </c>
      <c r="L187" s="84">
        <f t="shared" si="223"/>
        <v>9065.6360247123903</v>
      </c>
      <c r="M187" s="84">
        <f t="shared" si="222"/>
        <v>9134.2142585741676</v>
      </c>
      <c r="N187" s="84">
        <f t="shared" si="223"/>
        <v>9198.6723444464005</v>
      </c>
      <c r="O187" s="84">
        <f t="shared" si="223"/>
        <v>9175.4247162502343</v>
      </c>
      <c r="P187" s="84">
        <f t="shared" si="223"/>
        <v>9162.2712413100344</v>
      </c>
      <c r="Q187" s="84">
        <f t="shared" si="223"/>
        <v>9136.9377611465716</v>
      </c>
      <c r="R187" s="84">
        <f t="shared" si="223"/>
        <v>9198.1502528779074</v>
      </c>
      <c r="S187" s="84">
        <f t="shared" si="223"/>
        <v>9273.1628296497838</v>
      </c>
      <c r="T187" s="84">
        <f t="shared" si="223"/>
        <v>9356.9668704988671</v>
      </c>
      <c r="U187" s="84">
        <f t="shared" si="223"/>
        <v>9335.7053422878525</v>
      </c>
      <c r="V187" s="84">
        <f t="shared" si="223"/>
        <v>9311.7487413386079</v>
      </c>
      <c r="W187" s="84">
        <f t="shared" si="221"/>
        <v>9284.5519888798572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9276.2032947432162</v>
      </c>
      <c r="M189" s="84">
        <f t="shared" si="222"/>
        <v>9279.5327978470996</v>
      </c>
      <c r="N189" s="84">
        <f t="shared" si="223"/>
        <v>9282.6406322465355</v>
      </c>
      <c r="O189" s="84">
        <f t="shared" si="223"/>
        <v>9283.7592489023882</v>
      </c>
      <c r="P189" s="84">
        <f t="shared" si="223"/>
        <v>9284.3934766128095</v>
      </c>
      <c r="Q189" s="84">
        <f t="shared" si="223"/>
        <v>9285.6176859403258</v>
      </c>
      <c r="R189" s="84">
        <f t="shared" si="223"/>
        <v>9282.6657214390907</v>
      </c>
      <c r="S189" s="84">
        <f t="shared" si="223"/>
        <v>9279.0761869392263</v>
      </c>
      <c r="T189" s="84">
        <f t="shared" si="223"/>
        <v>9275.1017608327802</v>
      </c>
      <c r="U189" s="84">
        <f t="shared" si="223"/>
        <v>9274.0970776438717</v>
      </c>
      <c r="V189" s="84">
        <f t="shared" si="223"/>
        <v>9257.0919060441665</v>
      </c>
      <c r="W189" s="84">
        <f t="shared" si="221"/>
        <v>9271.670942161838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23506.946090072008</v>
      </c>
      <c r="C190" s="110">
        <f t="shared" si="223"/>
        <v>23735.72754162813</v>
      </c>
      <c r="D190" s="110">
        <f t="shared" si="223"/>
        <v>24695.576405301097</v>
      </c>
      <c r="E190" s="110">
        <f t="shared" si="223"/>
        <v>23364.130003830651</v>
      </c>
      <c r="F190" s="110">
        <f t="shared" si="223"/>
        <v>25361.514702622389</v>
      </c>
      <c r="G190" s="110">
        <f t="shared" si="223"/>
        <v>24720.361994462204</v>
      </c>
      <c r="H190" s="110">
        <f t="shared" si="223"/>
        <v>22730.206193719925</v>
      </c>
      <c r="I190" s="110">
        <f t="shared" si="223"/>
        <v>22926.056944309512</v>
      </c>
      <c r="J190" s="110">
        <f t="shared" si="223"/>
        <v>20501.613851279908</v>
      </c>
      <c r="K190" s="110">
        <f t="shared" si="223"/>
        <v>16341.3642153201</v>
      </c>
      <c r="L190" s="110">
        <f t="shared" si="223"/>
        <v>10570.818352592463</v>
      </c>
      <c r="M190" s="110">
        <f t="shared" si="222"/>
        <v>11343.350077268586</v>
      </c>
      <c r="N190" s="110">
        <f t="shared" si="223"/>
        <v>13301.522550065267</v>
      </c>
      <c r="O190" s="110">
        <f t="shared" si="223"/>
        <v>14058.315686660793</v>
      </c>
      <c r="P190" s="110">
        <f t="shared" si="223"/>
        <v>14367.998746152909</v>
      </c>
      <c r="Q190" s="110">
        <f t="shared" si="223"/>
        <v>15962.825141528501</v>
      </c>
      <c r="R190" s="110">
        <f t="shared" si="223"/>
        <v>19408.880536956476</v>
      </c>
      <c r="S190" s="110">
        <f t="shared" si="223"/>
        <v>22498.609946677068</v>
      </c>
      <c r="T190" s="110">
        <f t="shared" si="223"/>
        <v>24161.508686357003</v>
      </c>
      <c r="U190" s="110">
        <f t="shared" si="223"/>
        <v>26447.208181945283</v>
      </c>
      <c r="V190" s="110">
        <f t="shared" si="223"/>
        <v>23670.711816780527</v>
      </c>
      <c r="W190" s="110">
        <f t="shared" si="221"/>
        <v>28315.72538464416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13894.433393266498</v>
      </c>
      <c r="C191" s="102">
        <f t="shared" si="223"/>
        <v>14079.183559138815</v>
      </c>
      <c r="D191" s="102">
        <f t="shared" si="223"/>
        <v>14624.981158446713</v>
      </c>
      <c r="E191" s="102">
        <f t="shared" si="223"/>
        <v>14794.716780011157</v>
      </c>
      <c r="F191" s="102">
        <f t="shared" si="223"/>
        <v>15686.426800101955</v>
      </c>
      <c r="G191" s="102">
        <f t="shared" si="223"/>
        <v>16619.481019808776</v>
      </c>
      <c r="H191" s="102">
        <f t="shared" si="223"/>
        <v>17208.289306277358</v>
      </c>
      <c r="I191" s="102">
        <f t="shared" si="223"/>
        <v>17307.587707370138</v>
      </c>
      <c r="J191" s="102">
        <f t="shared" si="223"/>
        <v>16175.479443661541</v>
      </c>
      <c r="K191" s="102">
        <f t="shared" si="223"/>
        <v>13923.258389100189</v>
      </c>
      <c r="L191" s="102">
        <f t="shared" si="223"/>
        <v>8345.4504495279452</v>
      </c>
      <c r="M191" s="102">
        <f t="shared" si="222"/>
        <v>8933.8500952506074</v>
      </c>
      <c r="N191" s="102">
        <f t="shared" si="223"/>
        <v>10320.774413969821</v>
      </c>
      <c r="O191" s="102">
        <f t="shared" si="223"/>
        <v>10794.932990637048</v>
      </c>
      <c r="P191" s="102">
        <f t="shared" si="223"/>
        <v>11034.660150472639</v>
      </c>
      <c r="Q191" s="102">
        <f t="shared" si="223"/>
        <v>12295.554019811103</v>
      </c>
      <c r="R191" s="102">
        <f t="shared" si="223"/>
        <v>15016.088666428315</v>
      </c>
      <c r="S191" s="102">
        <f t="shared" si="223"/>
        <v>17108.926243084188</v>
      </c>
      <c r="T191" s="102">
        <f t="shared" si="223"/>
        <v>19025.640093765331</v>
      </c>
      <c r="U191" s="102">
        <f t="shared" si="223"/>
        <v>21538.900073043416</v>
      </c>
      <c r="V191" s="102">
        <f t="shared" si="223"/>
        <v>19886.316557015725</v>
      </c>
      <c r="W191" s="102">
        <f t="shared" si="221"/>
        <v>23261.286093650207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85001.416966113291</v>
      </c>
      <c r="C192" s="86">
        <f t="shared" si="223"/>
        <v>85003.441781782851</v>
      </c>
      <c r="D192" s="86">
        <f t="shared" si="223"/>
        <v>85000.212852851095</v>
      </c>
      <c r="E192" s="86">
        <f t="shared" si="223"/>
        <v>85000.879423150502</v>
      </c>
      <c r="F192" s="86">
        <f t="shared" si="223"/>
        <v>84996.527527318729</v>
      </c>
      <c r="G192" s="86">
        <f t="shared" si="223"/>
        <v>85003.799030496244</v>
      </c>
      <c r="H192" s="86">
        <f t="shared" si="223"/>
        <v>84995.945238430897</v>
      </c>
      <c r="I192" s="86">
        <f t="shared" si="223"/>
        <v>85002.713747873408</v>
      </c>
      <c r="J192" s="86">
        <f t="shared" si="223"/>
        <v>85002.380903721467</v>
      </c>
      <c r="K192" s="86">
        <f t="shared" si="223"/>
        <v>84994.284002654356</v>
      </c>
      <c r="L192" s="86">
        <f t="shared" si="223"/>
        <v>84997.180913371514</v>
      </c>
      <c r="M192" s="86">
        <f t="shared" si="222"/>
        <v>84997.603543653429</v>
      </c>
      <c r="N192" s="86">
        <f t="shared" si="223"/>
        <v>85009.611842388811</v>
      </c>
      <c r="O192" s="86">
        <f t="shared" si="223"/>
        <v>84990.660240696452</v>
      </c>
      <c r="P192" s="86">
        <f t="shared" si="223"/>
        <v>85009.520279845849</v>
      </c>
      <c r="Q192" s="86">
        <f t="shared" si="223"/>
        <v>84991.004824456322</v>
      </c>
      <c r="R192" s="86">
        <f t="shared" si="223"/>
        <v>85001.225832049895</v>
      </c>
      <c r="S192" s="86">
        <f t="shared" si="223"/>
        <v>85000.879851399251</v>
      </c>
      <c r="T192" s="86">
        <f t="shared" si="223"/>
        <v>84994.910433862853</v>
      </c>
      <c r="U192" s="86">
        <f t="shared" si="223"/>
        <v>85003.689045020874</v>
      </c>
      <c r="V192" s="86">
        <f t="shared" ref="V192:W192" si="224">IF(V55=0,0,V55*1000000/V82)</f>
        <v>85008.816345383093</v>
      </c>
      <c r="W192" s="86">
        <f t="shared" si="224"/>
        <v>84992.888772423685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18299.458894982046</v>
      </c>
      <c r="C195" s="28">
        <f t="shared" si="225"/>
        <v>18032.415608380863</v>
      </c>
      <c r="D195" s="28">
        <f t="shared" si="225"/>
        <v>20038.000478270547</v>
      </c>
      <c r="E195" s="28">
        <f t="shared" si="225"/>
        <v>20716.032425208541</v>
      </c>
      <c r="F195" s="28">
        <f t="shared" si="225"/>
        <v>20427.820699397191</v>
      </c>
      <c r="G195" s="28">
        <f t="shared" si="225"/>
        <v>21184.403920143141</v>
      </c>
      <c r="H195" s="28">
        <f t="shared" si="225"/>
        <v>23037.275513099328</v>
      </c>
      <c r="I195" s="28">
        <f t="shared" si="225"/>
        <v>22025.660637653797</v>
      </c>
      <c r="J195" s="28">
        <f t="shared" si="225"/>
        <v>22004.702822723058</v>
      </c>
      <c r="K195" s="28">
        <f t="shared" si="225"/>
        <v>21313.659279620919</v>
      </c>
      <c r="L195" s="28">
        <f t="shared" si="225"/>
        <v>20644.437518508174</v>
      </c>
      <c r="M195" s="28">
        <f>IF(M4=0,0,M4*1000000/M58)</f>
        <v>20378.312806018446</v>
      </c>
      <c r="N195" s="28">
        <f t="shared" ref="N195:V195" si="226">IF(N4=0,0,N4*1000000/N58)</f>
        <v>20427.653209368906</v>
      </c>
      <c r="O195" s="28">
        <f t="shared" si="226"/>
        <v>20245.903995157674</v>
      </c>
      <c r="P195" s="28">
        <f t="shared" si="226"/>
        <v>20578.980143187662</v>
      </c>
      <c r="Q195" s="28">
        <f t="shared" si="226"/>
        <v>21694.594146897427</v>
      </c>
      <c r="R195" s="28">
        <f t="shared" si="226"/>
        <v>21612.817856966922</v>
      </c>
      <c r="S195" s="28">
        <f t="shared" si="226"/>
        <v>19914.621462793657</v>
      </c>
      <c r="T195" s="28">
        <f t="shared" si="226"/>
        <v>19751.156045454602</v>
      </c>
      <c r="U195" s="28">
        <f t="shared" si="226"/>
        <v>19406.743869808095</v>
      </c>
      <c r="V195" s="28">
        <f t="shared" si="226"/>
        <v>15811.308037497638</v>
      </c>
      <c r="W195" s="28">
        <f t="shared" ref="W195" si="227">IF(W4=0,0,W4*1000000/W58)</f>
        <v>16498.015894288332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6031.7079538605694</v>
      </c>
      <c r="C196" s="137">
        <f t="shared" si="228"/>
        <v>6034.59164892639</v>
      </c>
      <c r="D196" s="137">
        <f t="shared" si="228"/>
        <v>6036.5584087298366</v>
      </c>
      <c r="E196" s="137">
        <f t="shared" si="228"/>
        <v>6033.9436113086149</v>
      </c>
      <c r="F196" s="137">
        <f t="shared" si="228"/>
        <v>6026.8689958757323</v>
      </c>
      <c r="G196" s="137">
        <f t="shared" si="228"/>
        <v>6013.7370238854028</v>
      </c>
      <c r="H196" s="137">
        <f t="shared" si="228"/>
        <v>5956.7694583015318</v>
      </c>
      <c r="I196" s="137">
        <f t="shared" si="228"/>
        <v>5916.7699537028175</v>
      </c>
      <c r="J196" s="137">
        <f t="shared" si="228"/>
        <v>5779.2716653878533</v>
      </c>
      <c r="K196" s="137">
        <f t="shared" si="228"/>
        <v>5677.0545090568248</v>
      </c>
      <c r="L196" s="137">
        <f t="shared" si="228"/>
        <v>5623.1464389872917</v>
      </c>
      <c r="M196" s="137">
        <f>IF(M5=0,0,M5*1000000/M59)</f>
        <v>5640.8264401817751</v>
      </c>
      <c r="N196" s="137">
        <f t="shared" ref="N196:V196" si="229">IF(N5=0,0,N5*1000000/N59)</f>
        <v>5563.9671363265497</v>
      </c>
      <c r="O196" s="137">
        <f t="shared" si="229"/>
        <v>5605.869972300432</v>
      </c>
      <c r="P196" s="137">
        <f t="shared" si="229"/>
        <v>5592.4097608716384</v>
      </c>
      <c r="Q196" s="137">
        <f t="shared" si="229"/>
        <v>5631.294616525789</v>
      </c>
      <c r="R196" s="137">
        <f t="shared" si="229"/>
        <v>5766.9082477646671</v>
      </c>
      <c r="S196" s="137">
        <f t="shared" si="229"/>
        <v>5167.0510094350002</v>
      </c>
      <c r="T196" s="137">
        <f t="shared" si="229"/>
        <v>4642.2075987877697</v>
      </c>
      <c r="U196" s="137">
        <f t="shared" si="229"/>
        <v>4573.0629763779116</v>
      </c>
      <c r="V196" s="137">
        <f t="shared" si="229"/>
        <v>3813.2047469336276</v>
      </c>
      <c r="W196" s="137">
        <f t="shared" ref="W196" si="230">IF(W5=0,0,W5*1000000/W59)</f>
        <v>3717.730673364571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16300.272757897483</v>
      </c>
      <c r="C197" s="110">
        <f t="shared" si="231"/>
        <v>16276.546271895833</v>
      </c>
      <c r="D197" s="110">
        <f t="shared" si="231"/>
        <v>18175.698418041062</v>
      </c>
      <c r="E197" s="110">
        <f t="shared" si="231"/>
        <v>18151.491047749441</v>
      </c>
      <c r="F197" s="110">
        <f t="shared" si="231"/>
        <v>17982.82330325861</v>
      </c>
      <c r="G197" s="110">
        <f t="shared" si="231"/>
        <v>18133.174791914389</v>
      </c>
      <c r="H197" s="110">
        <f t="shared" si="231"/>
        <v>19900.651971437441</v>
      </c>
      <c r="I197" s="110">
        <f t="shared" si="231"/>
        <v>19062.41174809376</v>
      </c>
      <c r="J197" s="110">
        <f t="shared" si="231"/>
        <v>17506.407220883928</v>
      </c>
      <c r="K197" s="110">
        <f t="shared" si="231"/>
        <v>17785.014276301856</v>
      </c>
      <c r="L197" s="110">
        <f t="shared" si="231"/>
        <v>17475.978052949205</v>
      </c>
      <c r="M197" s="110">
        <f>IF(M6=0,0,M6*1000000/M60)</f>
        <v>17294.844221465748</v>
      </c>
      <c r="N197" s="110">
        <f t="shared" ref="N197:V197" si="232">IF(N6=0,0,N6*1000000/N60)</f>
        <v>17168.89585600291</v>
      </c>
      <c r="O197" s="110">
        <f t="shared" si="232"/>
        <v>17110.442254193393</v>
      </c>
      <c r="P197" s="110">
        <f t="shared" si="232"/>
        <v>17356.291441334353</v>
      </c>
      <c r="Q197" s="110">
        <f t="shared" si="232"/>
        <v>17424.312481647408</v>
      </c>
      <c r="R197" s="110">
        <f t="shared" si="232"/>
        <v>17467.889917204211</v>
      </c>
      <c r="S197" s="110">
        <f t="shared" si="232"/>
        <v>16222.104566855351</v>
      </c>
      <c r="T197" s="110">
        <f t="shared" si="232"/>
        <v>16087.219309809863</v>
      </c>
      <c r="U197" s="110">
        <f t="shared" si="232"/>
        <v>16009.024192543433</v>
      </c>
      <c r="V197" s="110">
        <f t="shared" si="232"/>
        <v>13625.625798444416</v>
      </c>
      <c r="W197" s="110">
        <f t="shared" ref="W197:W209" si="233">IF(W6=0,0,W6*1000000/W60)</f>
        <v>14321.139535654325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15149.889677516432</v>
      </c>
      <c r="C198" s="84">
        <f t="shared" si="231"/>
        <v>15458.680362623321</v>
      </c>
      <c r="D198" s="84">
        <f t="shared" si="231"/>
        <v>17016.635710563551</v>
      </c>
      <c r="E198" s="84">
        <f t="shared" si="231"/>
        <v>16736.892163214798</v>
      </c>
      <c r="F198" s="84">
        <f t="shared" si="231"/>
        <v>16553.23409337012</v>
      </c>
      <c r="G198" s="84">
        <f t="shared" si="231"/>
        <v>15552.600695031313</v>
      </c>
      <c r="H198" s="84">
        <f t="shared" si="231"/>
        <v>16434.295611819431</v>
      </c>
      <c r="I198" s="84">
        <f t="shared" si="231"/>
        <v>15032.237925680749</v>
      </c>
      <c r="J198" s="84">
        <f t="shared" si="231"/>
        <v>12075.749902465082</v>
      </c>
      <c r="K198" s="84">
        <f t="shared" si="231"/>
        <v>11792.426762689263</v>
      </c>
      <c r="L198" s="84">
        <f t="shared" si="231"/>
        <v>11981.701850398529</v>
      </c>
      <c r="M198" s="84">
        <f t="shared" ref="M198:M219" si="234">IF(M7=0,0,M7*1000000/M61)</f>
        <v>10580.403311240601</v>
      </c>
      <c r="N198" s="84">
        <f t="shared" si="231"/>
        <v>10117.246298700638</v>
      </c>
      <c r="O198" s="84">
        <f t="shared" si="231"/>
        <v>10740.534723974373</v>
      </c>
      <c r="P198" s="84">
        <f t="shared" si="231"/>
        <v>11664.277690696847</v>
      </c>
      <c r="Q198" s="84">
        <f t="shared" si="231"/>
        <v>11466.824275186793</v>
      </c>
      <c r="R198" s="84">
        <f t="shared" si="231"/>
        <v>10954.28387765053</v>
      </c>
      <c r="S198" s="84">
        <f t="shared" si="231"/>
        <v>10350.291956249512</v>
      </c>
      <c r="T198" s="84">
        <f t="shared" si="231"/>
        <v>10242.877215468732</v>
      </c>
      <c r="U198" s="84">
        <f t="shared" si="231"/>
        <v>10171.695536892459</v>
      </c>
      <c r="V198" s="84">
        <f t="shared" si="231"/>
        <v>9329.5957656382307</v>
      </c>
      <c r="W198" s="84">
        <f t="shared" si="233"/>
        <v>10287.850703170927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31561.284485036074</v>
      </c>
      <c r="C199" s="84">
        <f t="shared" si="231"/>
        <v>23886.260733262174</v>
      </c>
      <c r="D199" s="84">
        <f t="shared" si="231"/>
        <v>26596.231785132481</v>
      </c>
      <c r="E199" s="84">
        <f t="shared" si="231"/>
        <v>26345.774608437616</v>
      </c>
      <c r="F199" s="84">
        <f t="shared" si="231"/>
        <v>24868.23715440862</v>
      </c>
      <c r="G199" s="84">
        <f t="shared" si="231"/>
        <v>28715.775120096045</v>
      </c>
      <c r="H199" s="84">
        <f t="shared" si="231"/>
        <v>31576.759809958159</v>
      </c>
      <c r="I199" s="84">
        <f t="shared" si="231"/>
        <v>30146.23870969957</v>
      </c>
      <c r="J199" s="84">
        <f t="shared" si="231"/>
        <v>31394.298716709283</v>
      </c>
      <c r="K199" s="84">
        <f t="shared" si="231"/>
        <v>32325.197423795795</v>
      </c>
      <c r="L199" s="84">
        <f t="shared" si="231"/>
        <v>29852.90798841471</v>
      </c>
      <c r="M199" s="84">
        <f t="shared" si="234"/>
        <v>31544.229441806965</v>
      </c>
      <c r="N199" s="84">
        <f t="shared" si="231"/>
        <v>31484.651868186855</v>
      </c>
      <c r="O199" s="84">
        <f t="shared" si="231"/>
        <v>29398.733571995592</v>
      </c>
      <c r="P199" s="84">
        <f t="shared" si="231"/>
        <v>27694.978921460584</v>
      </c>
      <c r="Q199" s="84">
        <f t="shared" si="231"/>
        <v>27490.411366012351</v>
      </c>
      <c r="R199" s="84">
        <f t="shared" si="231"/>
        <v>27720.782326539567</v>
      </c>
      <c r="S199" s="84">
        <f t="shared" si="231"/>
        <v>24163.571265824779</v>
      </c>
      <c r="T199" s="84">
        <f t="shared" si="231"/>
        <v>23139.340333684842</v>
      </c>
      <c r="U199" s="84">
        <f t="shared" si="231"/>
        <v>22543.01341722811</v>
      </c>
      <c r="V199" s="84">
        <f t="shared" si="231"/>
        <v>18050.963491091745</v>
      </c>
      <c r="W199" s="84">
        <f t="shared" si="233"/>
        <v>18185.550937060321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0</v>
      </c>
      <c r="C200" s="84">
        <f t="shared" si="231"/>
        <v>0</v>
      </c>
      <c r="D200" s="84">
        <f t="shared" si="231"/>
        <v>18087.916144406463</v>
      </c>
      <c r="E200" s="84">
        <f t="shared" si="231"/>
        <v>19361.267607962127</v>
      </c>
      <c r="F200" s="84">
        <f t="shared" si="231"/>
        <v>19829.403003389689</v>
      </c>
      <c r="G200" s="84">
        <f t="shared" si="231"/>
        <v>22061.25218998655</v>
      </c>
      <c r="H200" s="84">
        <f t="shared" si="231"/>
        <v>22843.324842340404</v>
      </c>
      <c r="I200" s="84">
        <f t="shared" si="231"/>
        <v>23492.109838251552</v>
      </c>
      <c r="J200" s="84">
        <f t="shared" si="231"/>
        <v>21703.655291107963</v>
      </c>
      <c r="K200" s="84">
        <f t="shared" si="231"/>
        <v>20179.86170450296</v>
      </c>
      <c r="L200" s="84">
        <f t="shared" si="231"/>
        <v>17271.181551365953</v>
      </c>
      <c r="M200" s="84">
        <f t="shared" si="234"/>
        <v>19030.584532487821</v>
      </c>
      <c r="N200" s="84">
        <f t="shared" si="231"/>
        <v>17184.041389774673</v>
      </c>
      <c r="O200" s="84">
        <f t="shared" si="231"/>
        <v>15936.501159383042</v>
      </c>
      <c r="P200" s="84">
        <f t="shared" si="231"/>
        <v>17117.674171318089</v>
      </c>
      <c r="Q200" s="84">
        <f t="shared" si="231"/>
        <v>18619.44909995791</v>
      </c>
      <c r="R200" s="84">
        <f t="shared" si="231"/>
        <v>17819.68460241775</v>
      </c>
      <c r="S200" s="84">
        <f t="shared" si="231"/>
        <v>19589.504215868641</v>
      </c>
      <c r="T200" s="84">
        <f t="shared" si="231"/>
        <v>18704.428259338918</v>
      </c>
      <c r="U200" s="84">
        <f t="shared" si="231"/>
        <v>17278.898821234015</v>
      </c>
      <c r="V200" s="84">
        <f t="shared" si="231"/>
        <v>15933.18243130136</v>
      </c>
      <c r="W200" s="84">
        <f t="shared" si="233"/>
        <v>16877.664425390329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12008.043897788129</v>
      </c>
      <c r="O202" s="84">
        <f t="shared" si="231"/>
        <v>13058.552316254503</v>
      </c>
      <c r="P202" s="84">
        <f t="shared" si="231"/>
        <v>14718.424503607603</v>
      </c>
      <c r="Q202" s="84">
        <f t="shared" si="231"/>
        <v>16409.9095864349</v>
      </c>
      <c r="R202" s="84">
        <f t="shared" si="231"/>
        <v>15705.051831266181</v>
      </c>
      <c r="S202" s="84">
        <f t="shared" si="231"/>
        <v>16065.498414666228</v>
      </c>
      <c r="T202" s="84">
        <f t="shared" si="231"/>
        <v>16058.260607679262</v>
      </c>
      <c r="U202" s="84">
        <f t="shared" si="231"/>
        <v>15418.368115999738</v>
      </c>
      <c r="V202" s="84">
        <f t="shared" si="231"/>
        <v>14868.442356816684</v>
      </c>
      <c r="W202" s="84">
        <f t="shared" si="233"/>
        <v>15749.809035866005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19031.664563002778</v>
      </c>
      <c r="L203" s="84">
        <f t="shared" si="231"/>
        <v>18527.068483187781</v>
      </c>
      <c r="M203" s="84">
        <f t="shared" si="234"/>
        <v>17590.234004482798</v>
      </c>
      <c r="N203" s="84">
        <f t="shared" si="231"/>
        <v>17276.614035036673</v>
      </c>
      <c r="O203" s="84">
        <f t="shared" si="231"/>
        <v>17272.575253709816</v>
      </c>
      <c r="P203" s="84">
        <f t="shared" si="231"/>
        <v>17534.410675997304</v>
      </c>
      <c r="Q203" s="84">
        <f t="shared" si="231"/>
        <v>17709.131630297801</v>
      </c>
      <c r="R203" s="84">
        <f t="shared" si="231"/>
        <v>17934.217239107493</v>
      </c>
      <c r="S203" s="84">
        <f t="shared" si="231"/>
        <v>17849.140342343988</v>
      </c>
      <c r="T203" s="84">
        <f t="shared" si="231"/>
        <v>17860.558008279673</v>
      </c>
      <c r="U203" s="84">
        <f t="shared" si="231"/>
        <v>17687.269474238266</v>
      </c>
      <c r="V203" s="84">
        <f t="shared" si="231"/>
        <v>16489.219999652843</v>
      </c>
      <c r="W203" s="84">
        <f t="shared" si="233"/>
        <v>17297.335508683896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159943.50047775329</v>
      </c>
      <c r="C204" s="110">
        <f t="shared" si="231"/>
        <v>148206.35319755258</v>
      </c>
      <c r="D204" s="110">
        <f t="shared" si="231"/>
        <v>171413.85147567527</v>
      </c>
      <c r="E204" s="110">
        <f t="shared" si="231"/>
        <v>225403.48535056142</v>
      </c>
      <c r="F204" s="110">
        <f t="shared" si="231"/>
        <v>218512.6875347287</v>
      </c>
      <c r="G204" s="110">
        <f t="shared" si="231"/>
        <v>300740.96707661753</v>
      </c>
      <c r="H204" s="110">
        <f t="shared" si="231"/>
        <v>363144.05075042549</v>
      </c>
      <c r="I204" s="110">
        <f t="shared" si="231"/>
        <v>355417.81182386994</v>
      </c>
      <c r="J204" s="110">
        <f t="shared" si="231"/>
        <v>486438.30996772175</v>
      </c>
      <c r="K204" s="110">
        <f t="shared" si="231"/>
        <v>415484.74839712452</v>
      </c>
      <c r="L204" s="110">
        <f t="shared" si="231"/>
        <v>386677.10065538489</v>
      </c>
      <c r="M204" s="110">
        <f t="shared" si="234"/>
        <v>379598.62133026961</v>
      </c>
      <c r="N204" s="110">
        <f t="shared" si="231"/>
        <v>402079.26916305849</v>
      </c>
      <c r="O204" s="110">
        <f t="shared" si="231"/>
        <v>398534.8327189585</v>
      </c>
      <c r="P204" s="110">
        <f t="shared" si="231"/>
        <v>413944.879579261</v>
      </c>
      <c r="Q204" s="110">
        <f t="shared" si="231"/>
        <v>525149.79407354235</v>
      </c>
      <c r="R204" s="110">
        <f t="shared" si="231"/>
        <v>525207.34995799442</v>
      </c>
      <c r="S204" s="110">
        <f t="shared" si="231"/>
        <v>497479.24029497721</v>
      </c>
      <c r="T204" s="110">
        <f t="shared" si="231"/>
        <v>515931.77869580343</v>
      </c>
      <c r="U204" s="110">
        <f t="shared" si="231"/>
        <v>496532.51752803556</v>
      </c>
      <c r="V204" s="110">
        <f t="shared" si="231"/>
        <v>344979.61705895379</v>
      </c>
      <c r="W204" s="110">
        <f t="shared" si="233"/>
        <v>362685.3415760519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210041.96703715195</v>
      </c>
      <c r="K205" s="102">
        <f t="shared" si="231"/>
        <v>208594.54199672994</v>
      </c>
      <c r="L205" s="102">
        <f t="shared" si="231"/>
        <v>208980.92695083955</v>
      </c>
      <c r="M205" s="102">
        <f t="shared" si="234"/>
        <v>212680.97723990405</v>
      </c>
      <c r="N205" s="102">
        <f t="shared" si="231"/>
        <v>211680.62772673287</v>
      </c>
      <c r="O205" s="102">
        <f t="shared" si="231"/>
        <v>211528.08197014709</v>
      </c>
      <c r="P205" s="102">
        <f t="shared" si="231"/>
        <v>213949.31056928061</v>
      </c>
      <c r="Q205" s="102">
        <f t="shared" si="231"/>
        <v>207220.00506377584</v>
      </c>
      <c r="R205" s="102">
        <f t="shared" si="231"/>
        <v>212900.38827705654</v>
      </c>
      <c r="S205" s="102">
        <f t="shared" si="231"/>
        <v>214876.84771862646</v>
      </c>
      <c r="T205" s="102">
        <f t="shared" si="231"/>
        <v>218693.24770545194</v>
      </c>
      <c r="U205" s="102">
        <f t="shared" si="231"/>
        <v>219896.42595779966</v>
      </c>
      <c r="V205" s="102">
        <f t="shared" si="231"/>
        <v>223588.59140259109</v>
      </c>
      <c r="W205" s="102">
        <f t="shared" si="233"/>
        <v>234440.28293917255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159943.50047775329</v>
      </c>
      <c r="C206" s="102">
        <f t="shared" si="231"/>
        <v>148206.35319755258</v>
      </c>
      <c r="D206" s="102">
        <f t="shared" si="231"/>
        <v>171413.85147567527</v>
      </c>
      <c r="E206" s="102">
        <f t="shared" si="231"/>
        <v>225403.48535056142</v>
      </c>
      <c r="F206" s="102">
        <f t="shared" si="231"/>
        <v>218512.6875347287</v>
      </c>
      <c r="G206" s="102">
        <f t="shared" si="231"/>
        <v>300740.96707661753</v>
      </c>
      <c r="H206" s="102">
        <f t="shared" si="231"/>
        <v>363144.05075042549</v>
      </c>
      <c r="I206" s="102">
        <f t="shared" si="231"/>
        <v>355417.81182386994</v>
      </c>
      <c r="J206" s="102">
        <f t="shared" si="231"/>
        <v>487716.79061916954</v>
      </c>
      <c r="K206" s="102">
        <f t="shared" si="231"/>
        <v>416480.91445877159</v>
      </c>
      <c r="L206" s="102">
        <f t="shared" si="231"/>
        <v>387697.30236969603</v>
      </c>
      <c r="M206" s="102">
        <f t="shared" si="234"/>
        <v>380617.2154720067</v>
      </c>
      <c r="N206" s="102">
        <f t="shared" si="231"/>
        <v>403169.36549157667</v>
      </c>
      <c r="O206" s="102">
        <f t="shared" si="231"/>
        <v>399575.55197193037</v>
      </c>
      <c r="P206" s="102">
        <f t="shared" si="231"/>
        <v>414987.68321505288</v>
      </c>
      <c r="Q206" s="102">
        <f t="shared" si="231"/>
        <v>526537.9469359736</v>
      </c>
      <c r="R206" s="102">
        <f t="shared" si="231"/>
        <v>526456.80685818719</v>
      </c>
      <c r="S206" s="102">
        <f t="shared" si="231"/>
        <v>498546.20785276347</v>
      </c>
      <c r="T206" s="102">
        <f t="shared" si="231"/>
        <v>516826.42777757853</v>
      </c>
      <c r="U206" s="102">
        <f t="shared" si="231"/>
        <v>497253.51097825723</v>
      </c>
      <c r="V206" s="102">
        <f t="shared" si="231"/>
        <v>345229.64281866373</v>
      </c>
      <c r="W206" s="102">
        <f t="shared" si="233"/>
        <v>362957.18085776118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295598.02253024199</v>
      </c>
      <c r="K207" s="102">
        <f t="shared" si="231"/>
        <v>252999.33645058412</v>
      </c>
      <c r="L207" s="102">
        <f t="shared" si="231"/>
        <v>236183.86742462899</v>
      </c>
      <c r="M207" s="102">
        <f t="shared" si="234"/>
        <v>232744.91084201043</v>
      </c>
      <c r="N207" s="102">
        <f t="shared" si="231"/>
        <v>246845.54854944235</v>
      </c>
      <c r="O207" s="102">
        <f t="shared" si="231"/>
        <v>245124.66700535195</v>
      </c>
      <c r="P207" s="102">
        <f t="shared" si="231"/>
        <v>254780.94214843586</v>
      </c>
      <c r="Q207" s="102">
        <f t="shared" si="231"/>
        <v>322419.0622738839</v>
      </c>
      <c r="R207" s="102">
        <f t="shared" si="231"/>
        <v>322670.4941363731</v>
      </c>
      <c r="S207" s="102">
        <f t="shared" si="231"/>
        <v>305390.49258964782</v>
      </c>
      <c r="T207" s="102">
        <f t="shared" si="231"/>
        <v>316556.05334156286</v>
      </c>
      <c r="U207" s="102">
        <f t="shared" si="231"/>
        <v>304269.60752639006</v>
      </c>
      <c r="V207" s="102">
        <f t="shared" si="231"/>
        <v>211694.27257510743</v>
      </c>
      <c r="W207" s="102">
        <f t="shared" si="233"/>
        <v>223125.78207481271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431841.90327058011</v>
      </c>
      <c r="P209" s="102">
        <f t="shared" si="231"/>
        <v>445929.47093930031</v>
      </c>
      <c r="Q209" s="102">
        <f t="shared" si="231"/>
        <v>582587.79218841635</v>
      </c>
      <c r="R209" s="102">
        <f t="shared" si="231"/>
        <v>578105.60317731462</v>
      </c>
      <c r="S209" s="102">
        <f t="shared" si="231"/>
        <v>551127.34580238734</v>
      </c>
      <c r="T209" s="102">
        <f t="shared" si="231"/>
        <v>574184.7498259556</v>
      </c>
      <c r="U209" s="102">
        <f t="shared" si="231"/>
        <v>558816.98553983413</v>
      </c>
      <c r="V209" s="102">
        <f t="shared" si="231"/>
        <v>375897.24551918718</v>
      </c>
      <c r="W209" s="102">
        <f t="shared" si="233"/>
        <v>389861.96825578233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54503.456250704214</v>
      </c>
      <c r="C210" s="28">
        <f t="shared" si="231"/>
        <v>56632.832899038403</v>
      </c>
      <c r="D210" s="28">
        <f t="shared" si="231"/>
        <v>58050.205738593497</v>
      </c>
      <c r="E210" s="28">
        <f t="shared" si="231"/>
        <v>61563.604101073171</v>
      </c>
      <c r="F210" s="28">
        <f t="shared" ref="B210:V219" si="235">IF(F19=0,0,F19*1000000/F73)</f>
        <v>65610.889029764629</v>
      </c>
      <c r="G210" s="28">
        <f t="shared" si="235"/>
        <v>73314.370391998105</v>
      </c>
      <c r="H210" s="28">
        <f t="shared" si="235"/>
        <v>66976.406265612575</v>
      </c>
      <c r="I210" s="28">
        <f t="shared" si="235"/>
        <v>67005.49767957798</v>
      </c>
      <c r="J210" s="28">
        <f t="shared" si="235"/>
        <v>55768.702111886181</v>
      </c>
      <c r="K210" s="28">
        <f t="shared" si="235"/>
        <v>44845.889527573367</v>
      </c>
      <c r="L210" s="28">
        <f t="shared" si="235"/>
        <v>29316.581643185342</v>
      </c>
      <c r="M210" s="28">
        <f t="shared" si="234"/>
        <v>28494.135973617296</v>
      </c>
      <c r="N210" s="28">
        <f t="shared" si="235"/>
        <v>30392.576050093485</v>
      </c>
      <c r="O210" s="28">
        <f t="shared" si="235"/>
        <v>29619.302970490782</v>
      </c>
      <c r="P210" s="28">
        <f t="shared" si="235"/>
        <v>27612.241516896622</v>
      </c>
      <c r="Q210" s="28">
        <f t="shared" si="235"/>
        <v>26900.29339140754</v>
      </c>
      <c r="R210" s="28">
        <f t="shared" si="235"/>
        <v>28781.00516348569</v>
      </c>
      <c r="S210" s="28">
        <f t="shared" si="235"/>
        <v>29571.51838407906</v>
      </c>
      <c r="T210" s="28">
        <f t="shared" si="235"/>
        <v>28770.209661413395</v>
      </c>
      <c r="U210" s="28">
        <f t="shared" si="235"/>
        <v>30261.777990637165</v>
      </c>
      <c r="V210" s="28">
        <f t="shared" si="235"/>
        <v>28260.905952904799</v>
      </c>
      <c r="W210" s="28">
        <f t="shared" ref="W210" si="236">IF(W19=0,0,W19*1000000/W73)</f>
        <v>32716.772562175734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3922.6983339349044</v>
      </c>
      <c r="C211" s="137">
        <f t="shared" si="235"/>
        <v>3957.4174589921868</v>
      </c>
      <c r="D211" s="137">
        <f t="shared" si="235"/>
        <v>3982.7878948134162</v>
      </c>
      <c r="E211" s="137">
        <f t="shared" si="235"/>
        <v>4011.9869968565176</v>
      </c>
      <c r="F211" s="137">
        <f t="shared" si="235"/>
        <v>4043.0631638321315</v>
      </c>
      <c r="G211" s="137">
        <f t="shared" si="235"/>
        <v>4069.8922794690961</v>
      </c>
      <c r="H211" s="137">
        <f t="shared" si="235"/>
        <v>4082.0095263562457</v>
      </c>
      <c r="I211" s="137">
        <f t="shared" si="235"/>
        <v>4081.7300520449721</v>
      </c>
      <c r="J211" s="137">
        <f t="shared" si="235"/>
        <v>4163.0445729338198</v>
      </c>
      <c r="K211" s="137">
        <f t="shared" si="235"/>
        <v>4167.1798081668276</v>
      </c>
      <c r="L211" s="137">
        <f t="shared" si="235"/>
        <v>4173.4447113320857</v>
      </c>
      <c r="M211" s="137">
        <f t="shared" si="234"/>
        <v>4239.0334554900746</v>
      </c>
      <c r="N211" s="137">
        <f t="shared" si="235"/>
        <v>4292.9720775131073</v>
      </c>
      <c r="O211" s="137">
        <f t="shared" si="235"/>
        <v>4343.3118081827943</v>
      </c>
      <c r="P211" s="137">
        <f t="shared" si="235"/>
        <v>4398.5081125650213</v>
      </c>
      <c r="Q211" s="137">
        <f t="shared" si="235"/>
        <v>4450.054906868063</v>
      </c>
      <c r="R211" s="137">
        <f t="shared" si="235"/>
        <v>4470.2039485475934</v>
      </c>
      <c r="S211" s="137">
        <f t="shared" si="235"/>
        <v>4507.4957617313676</v>
      </c>
      <c r="T211" s="137">
        <f t="shared" si="235"/>
        <v>4559.8801813590617</v>
      </c>
      <c r="U211" s="137">
        <f t="shared" si="235"/>
        <v>4577.3023696173923</v>
      </c>
      <c r="V211" s="137">
        <f t="shared" si="235"/>
        <v>4586.295327962207</v>
      </c>
      <c r="W211" s="137">
        <f t="shared" ref="W211" si="237">IF(W20=0,0,W20*1000000/W74)</f>
        <v>4597.2148290356054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2783.3694547399982</v>
      </c>
      <c r="C212" s="84">
        <f t="shared" si="235"/>
        <v>2797.0763919967676</v>
      </c>
      <c r="D212" s="84">
        <f t="shared" si="235"/>
        <v>2789.117155420648</v>
      </c>
      <c r="E212" s="84">
        <f t="shared" si="235"/>
        <v>2782.7999753509112</v>
      </c>
      <c r="F212" s="84">
        <f t="shared" si="235"/>
        <v>2777.2288367577626</v>
      </c>
      <c r="G212" s="84">
        <f t="shared" si="235"/>
        <v>2769.5938921348511</v>
      </c>
      <c r="H212" s="84">
        <f t="shared" si="235"/>
        <v>2747.7556547228455</v>
      </c>
      <c r="I212" s="84">
        <f t="shared" si="235"/>
        <v>2720.4981336218902</v>
      </c>
      <c r="J212" s="84">
        <f t="shared" si="235"/>
        <v>2701.1429760040496</v>
      </c>
      <c r="K212" s="84">
        <f t="shared" si="235"/>
        <v>2671.4105739331767</v>
      </c>
      <c r="L212" s="84">
        <f t="shared" si="235"/>
        <v>2640.0515945820084</v>
      </c>
      <c r="M212" s="84">
        <f t="shared" si="234"/>
        <v>2634.9577021242767</v>
      </c>
      <c r="N212" s="84">
        <f t="shared" si="235"/>
        <v>2628.813117128424</v>
      </c>
      <c r="O212" s="84">
        <f t="shared" si="235"/>
        <v>2602.6959445207135</v>
      </c>
      <c r="P212" s="84">
        <f t="shared" si="235"/>
        <v>2579.0983939388498</v>
      </c>
      <c r="Q212" s="84">
        <f t="shared" si="235"/>
        <v>2552.9883301600689</v>
      </c>
      <c r="R212" s="84">
        <f t="shared" si="235"/>
        <v>2587.1749346879774</v>
      </c>
      <c r="S212" s="84">
        <f t="shared" si="235"/>
        <v>2583.1870786562226</v>
      </c>
      <c r="T212" s="84">
        <f t="shared" si="235"/>
        <v>2581.0105525333747</v>
      </c>
      <c r="U212" s="84">
        <f t="shared" si="235"/>
        <v>2555.6864541661662</v>
      </c>
      <c r="V212" s="84">
        <f t="shared" si="235"/>
        <v>2530.0145407895261</v>
      </c>
      <c r="W212" s="84">
        <f t="shared" ref="W212" si="238">IF(W21=0,0,W21*1000000/W75)</f>
        <v>2544.2739949878546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4703.5020952441118</v>
      </c>
      <c r="C213" s="84">
        <f t="shared" si="235"/>
        <v>4728.3944462596464</v>
      </c>
      <c r="D213" s="84">
        <f t="shared" si="235"/>
        <v>4752.6214834813536</v>
      </c>
      <c r="E213" s="84">
        <f t="shared" si="235"/>
        <v>4779.754158730113</v>
      </c>
      <c r="F213" s="84">
        <f t="shared" si="235"/>
        <v>4808.3086086349722</v>
      </c>
      <c r="G213" s="84">
        <f t="shared" si="235"/>
        <v>4833.4124868865892</v>
      </c>
      <c r="H213" s="84">
        <f t="shared" si="235"/>
        <v>4833.625246208856</v>
      </c>
      <c r="I213" s="84">
        <f t="shared" si="235"/>
        <v>4823.9233373579455</v>
      </c>
      <c r="J213" s="84">
        <f t="shared" si="235"/>
        <v>4827.8818882878013</v>
      </c>
      <c r="K213" s="84">
        <f t="shared" si="235"/>
        <v>4812.8996176026358</v>
      </c>
      <c r="L213" s="84">
        <f t="shared" si="235"/>
        <v>4794.4155853178863</v>
      </c>
      <c r="M213" s="84">
        <f t="shared" si="234"/>
        <v>4823.4081089294314</v>
      </c>
      <c r="N213" s="84">
        <f t="shared" si="235"/>
        <v>4850.6191080755061</v>
      </c>
      <c r="O213" s="84">
        <f t="shared" si="235"/>
        <v>4840.8095257224995</v>
      </c>
      <c r="P213" s="84">
        <f t="shared" si="235"/>
        <v>4835.2570764846287</v>
      </c>
      <c r="Q213" s="84">
        <f t="shared" si="235"/>
        <v>4824.5586116333061</v>
      </c>
      <c r="R213" s="84">
        <f t="shared" si="235"/>
        <v>4850.3988604904289</v>
      </c>
      <c r="S213" s="84">
        <f t="shared" si="235"/>
        <v>4882.0178405385195</v>
      </c>
      <c r="T213" s="84">
        <f t="shared" si="235"/>
        <v>4917.2821330615216</v>
      </c>
      <c r="U213" s="84">
        <f t="shared" si="235"/>
        <v>4908.341397272201</v>
      </c>
      <c r="V213" s="84">
        <f t="shared" si="235"/>
        <v>4898.2624689223449</v>
      </c>
      <c r="W213" s="84">
        <f t="shared" ref="W213" si="239">IF(W22=0,0,W22*1000000/W76)</f>
        <v>4886.8140684456666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2314.9355291765992</v>
      </c>
      <c r="K214" s="84">
        <f t="shared" si="235"/>
        <v>2307.7516353864535</v>
      </c>
      <c r="L214" s="84">
        <f t="shared" si="235"/>
        <v>2298.8886714514369</v>
      </c>
      <c r="M214" s="84">
        <f t="shared" si="234"/>
        <v>2312.7903833287874</v>
      </c>
      <c r="N214" s="84">
        <f t="shared" si="235"/>
        <v>2325.8378667107772</v>
      </c>
      <c r="O214" s="84">
        <f t="shared" si="235"/>
        <v>2321.1342407230641</v>
      </c>
      <c r="P214" s="84">
        <f t="shared" si="235"/>
        <v>2318.4718802278994</v>
      </c>
      <c r="Q214" s="84">
        <f t="shared" si="235"/>
        <v>2313.3420413119857</v>
      </c>
      <c r="R214" s="84">
        <f t="shared" si="235"/>
        <v>2325.7322595373398</v>
      </c>
      <c r="S214" s="84">
        <f t="shared" si="235"/>
        <v>2340.8933388684682</v>
      </c>
      <c r="T214" s="84">
        <f t="shared" si="235"/>
        <v>2357.8023199831091</v>
      </c>
      <c r="U214" s="84">
        <f t="shared" si="235"/>
        <v>2353.5152998333642</v>
      </c>
      <c r="V214" s="84">
        <f t="shared" si="235"/>
        <v>2348.6825243278763</v>
      </c>
      <c r="W214" s="84">
        <f t="shared" ref="W214" si="240">IF(W23=0,0,W23*1000000/W77)</f>
        <v>2343.1930965355355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3167.1656857617309</v>
      </c>
      <c r="M216" s="84">
        <f t="shared" si="234"/>
        <v>3168.0750845065581</v>
      </c>
      <c r="N216" s="84">
        <f t="shared" si="235"/>
        <v>3168.9238792237975</v>
      </c>
      <c r="O216" s="84">
        <f t="shared" si="235"/>
        <v>3169.2293757701123</v>
      </c>
      <c r="P216" s="84">
        <f t="shared" si="235"/>
        <v>3169.4025814128445</v>
      </c>
      <c r="Q216" s="84">
        <f t="shared" si="235"/>
        <v>3169.7369025339576</v>
      </c>
      <c r="R216" s="84">
        <f t="shared" si="235"/>
        <v>3168.9307312154288</v>
      </c>
      <c r="S216" s="84">
        <f t="shared" si="235"/>
        <v>3167.9503726452822</v>
      </c>
      <c r="T216" s="84">
        <f t="shared" si="235"/>
        <v>3166.8648056087482</v>
      </c>
      <c r="U216" s="84">
        <f t="shared" si="235"/>
        <v>3166.5903736614091</v>
      </c>
      <c r="V216" s="84">
        <f t="shared" si="235"/>
        <v>3161.9444620870936</v>
      </c>
      <c r="W216" s="84">
        <f t="shared" ref="W216" si="242">IF(W25=0,0,W25*1000000/W79)</f>
        <v>3165.927643634051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334908.68820934178</v>
      </c>
      <c r="C217" s="110">
        <f t="shared" si="235"/>
        <v>338024.51659315365</v>
      </c>
      <c r="D217" s="110">
        <f t="shared" si="235"/>
        <v>352832.64200594358</v>
      </c>
      <c r="E217" s="110">
        <f t="shared" si="235"/>
        <v>332819.1680785495</v>
      </c>
      <c r="F217" s="110">
        <f t="shared" si="235"/>
        <v>358184.84103177389</v>
      </c>
      <c r="G217" s="110">
        <f t="shared" si="235"/>
        <v>349558.15035516291</v>
      </c>
      <c r="H217" s="110">
        <f t="shared" si="235"/>
        <v>322591.6028299891</v>
      </c>
      <c r="I217" s="110">
        <f t="shared" si="235"/>
        <v>338317.44270610146</v>
      </c>
      <c r="J217" s="110">
        <f t="shared" si="235"/>
        <v>296274.75188406842</v>
      </c>
      <c r="K217" s="110">
        <f t="shared" si="235"/>
        <v>233909.77777466623</v>
      </c>
      <c r="L217" s="110">
        <f t="shared" si="235"/>
        <v>155253.00433572757</v>
      </c>
      <c r="M217" s="110">
        <f t="shared" si="234"/>
        <v>163766.6164773338</v>
      </c>
      <c r="N217" s="110">
        <f t="shared" si="235"/>
        <v>192129.56267694183</v>
      </c>
      <c r="O217" s="110">
        <f t="shared" si="235"/>
        <v>199046.58094864374</v>
      </c>
      <c r="P217" s="110">
        <f t="shared" si="235"/>
        <v>203204.30337738057</v>
      </c>
      <c r="Q217" s="110">
        <f t="shared" si="235"/>
        <v>225034.55915380025</v>
      </c>
      <c r="R217" s="110">
        <f t="shared" si="235"/>
        <v>274463.58133460861</v>
      </c>
      <c r="S217" s="110">
        <f t="shared" si="235"/>
        <v>314569.47494344256</v>
      </c>
      <c r="T217" s="110">
        <f t="shared" si="235"/>
        <v>334266.13268093235</v>
      </c>
      <c r="U217" s="110">
        <f t="shared" si="235"/>
        <v>366805.83864816884</v>
      </c>
      <c r="V217" s="110">
        <f t="shared" si="235"/>
        <v>338338.58833078388</v>
      </c>
      <c r="W217" s="110">
        <f t="shared" ref="W217" si="243">IF(W26=0,0,W26*1000000/W80)</f>
        <v>413400.40738226037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197821.56014736506</v>
      </c>
      <c r="C218" s="163">
        <f t="shared" si="235"/>
        <v>200451.93484605968</v>
      </c>
      <c r="D218" s="163">
        <f t="shared" si="235"/>
        <v>208222.71106728361</v>
      </c>
      <c r="E218" s="163">
        <f t="shared" si="235"/>
        <v>210639.31666177537</v>
      </c>
      <c r="F218" s="163">
        <f t="shared" si="235"/>
        <v>223335.0101370406</v>
      </c>
      <c r="G218" s="163">
        <f t="shared" si="235"/>
        <v>236619.34035909447</v>
      </c>
      <c r="H218" s="163">
        <f t="shared" si="235"/>
        <v>245002.47989131606</v>
      </c>
      <c r="I218" s="163">
        <f t="shared" si="235"/>
        <v>260342.67065542561</v>
      </c>
      <c r="J218" s="163">
        <f t="shared" si="235"/>
        <v>236811.46988542369</v>
      </c>
      <c r="K218" s="163">
        <f t="shared" si="235"/>
        <v>201039.91141495353</v>
      </c>
      <c r="L218" s="163">
        <f t="shared" si="235"/>
        <v>123860.82041409818</v>
      </c>
      <c r="M218" s="163">
        <f t="shared" si="234"/>
        <v>129825.48336946288</v>
      </c>
      <c r="N218" s="163">
        <f t="shared" si="235"/>
        <v>150339.28063016039</v>
      </c>
      <c r="O218" s="163">
        <f t="shared" si="235"/>
        <v>153050.60889786427</v>
      </c>
      <c r="P218" s="163">
        <f t="shared" si="235"/>
        <v>156079.99485563629</v>
      </c>
      <c r="Q218" s="163">
        <f t="shared" si="235"/>
        <v>173750.28795208476</v>
      </c>
      <c r="R218" s="163">
        <f t="shared" si="235"/>
        <v>213540.48168492215</v>
      </c>
      <c r="S218" s="163">
        <f t="shared" si="235"/>
        <v>238714.4518448039</v>
      </c>
      <c r="T218" s="163">
        <f t="shared" si="235"/>
        <v>260907.48850647817</v>
      </c>
      <c r="U218" s="163">
        <f t="shared" si="235"/>
        <v>297072.91870802228</v>
      </c>
      <c r="V218" s="163">
        <f t="shared" si="235"/>
        <v>286379.53035149066</v>
      </c>
      <c r="W218" s="163">
        <f t="shared" ref="W218" si="244">IF(W27=0,0,W27*1000000/W81)</f>
        <v>343843.49053749704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1211901.0699087612</v>
      </c>
      <c r="C219" s="86">
        <f t="shared" si="235"/>
        <v>1210878.9913457735</v>
      </c>
      <c r="D219" s="86">
        <f t="shared" si="235"/>
        <v>1218784.3656327229</v>
      </c>
      <c r="E219" s="86">
        <f t="shared" si="235"/>
        <v>1211615.4974389954</v>
      </c>
      <c r="F219" s="86">
        <f t="shared" si="235"/>
        <v>1189368.1311309375</v>
      </c>
      <c r="G219" s="86">
        <f t="shared" si="235"/>
        <v>1190002.4998802312</v>
      </c>
      <c r="H219" s="86">
        <f t="shared" si="235"/>
        <v>1197495.043081681</v>
      </c>
      <c r="I219" s="86">
        <f t="shared" si="235"/>
        <v>1199835.5822203297</v>
      </c>
      <c r="J219" s="86">
        <f t="shared" si="235"/>
        <v>1182846.212450342</v>
      </c>
      <c r="K219" s="86">
        <f t="shared" si="235"/>
        <v>1167124.6413033598</v>
      </c>
      <c r="L219" s="86">
        <f t="shared" si="235"/>
        <v>1205149.5445475369</v>
      </c>
      <c r="M219" s="86">
        <f t="shared" si="234"/>
        <v>1201288.4423831957</v>
      </c>
      <c r="N219" s="86">
        <f t="shared" si="235"/>
        <v>1197481.6218708593</v>
      </c>
      <c r="O219" s="86">
        <f t="shared" si="235"/>
        <v>1198807.3940396081</v>
      </c>
      <c r="P219" s="86">
        <f t="shared" si="235"/>
        <v>1201882.5833196603</v>
      </c>
      <c r="Q219" s="86">
        <f t="shared" si="235"/>
        <v>1190346.3045701552</v>
      </c>
      <c r="R219" s="86">
        <f t="shared" si="235"/>
        <v>1184155.8923862476</v>
      </c>
      <c r="S219" s="86">
        <f t="shared" si="235"/>
        <v>1194233.5495123311</v>
      </c>
      <c r="T219" s="86">
        <f t="shared" si="235"/>
        <v>1203185.5359448988</v>
      </c>
      <c r="U219" s="86">
        <f t="shared" si="235"/>
        <v>1198724.7608926673</v>
      </c>
      <c r="V219" s="86">
        <f t="shared" si="235"/>
        <v>1180499.5970991135</v>
      </c>
      <c r="W219" s="86">
        <f t="shared" ref="W219" si="245">IF(W28=0,0,W28*1000000/W82)</f>
        <v>1193366.0007538635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4.7019401808783747E-3</v>
      </c>
      <c r="C223" s="154">
        <f t="shared" si="250"/>
        <v>4.6126780198667613E-3</v>
      </c>
      <c r="D223" s="154">
        <f t="shared" si="250"/>
        <v>4.485310592006379E-3</v>
      </c>
      <c r="E223" s="154">
        <f t="shared" si="250"/>
        <v>4.2142680177595067E-3</v>
      </c>
      <c r="F223" s="154">
        <f t="shared" si="250"/>
        <v>4.1396142947975473E-3</v>
      </c>
      <c r="G223" s="154">
        <f t="shared" si="250"/>
        <v>3.8759126700417552E-3</v>
      </c>
      <c r="H223" s="154">
        <f t="shared" si="250"/>
        <v>4.064742071230136E-3</v>
      </c>
      <c r="I223" s="154">
        <f t="shared" si="250"/>
        <v>4.17767879024168E-3</v>
      </c>
      <c r="J223" s="154">
        <f t="shared" si="250"/>
        <v>4.5561608074078507E-3</v>
      </c>
      <c r="K223" s="154">
        <f t="shared" si="250"/>
        <v>4.8796185895469222E-3</v>
      </c>
      <c r="L223" s="154">
        <f t="shared" ref="L223" si="251">IF(L5=0,0,L5/L$4)</f>
        <v>5.217607126811478E-3</v>
      </c>
      <c r="M223" s="154">
        <f t="shared" ref="M223:V223" si="252">IF(M5=0,0,M5/M$4)</f>
        <v>5.5829728618554293E-3</v>
      </c>
      <c r="N223" s="154">
        <f t="shared" si="252"/>
        <v>5.6212609912166646E-3</v>
      </c>
      <c r="O223" s="154">
        <f t="shared" si="252"/>
        <v>5.8121629186879331E-3</v>
      </c>
      <c r="P223" s="154">
        <f t="shared" si="252"/>
        <v>5.7645250179055819E-3</v>
      </c>
      <c r="Q223" s="154">
        <f t="shared" si="252"/>
        <v>5.5092534655151191E-3</v>
      </c>
      <c r="R223" s="154">
        <f t="shared" si="252"/>
        <v>5.654386344797274E-3</v>
      </c>
      <c r="S223" s="154">
        <f t="shared" si="252"/>
        <v>5.3481756546365543E-3</v>
      </c>
      <c r="T223" s="154">
        <f t="shared" si="252"/>
        <v>4.8289731048251931E-3</v>
      </c>
      <c r="U223" s="154">
        <f t="shared" si="252"/>
        <v>4.9212746229427475E-3</v>
      </c>
      <c r="V223" s="154">
        <f t="shared" si="252"/>
        <v>5.2180177681794221E-3</v>
      </c>
      <c r="W223" s="154">
        <f t="shared" ref="W223" si="253">IF(W5=0,0,W5/W$4)</f>
        <v>5.0534659856765144E-3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0.86473937054131522</v>
      </c>
      <c r="C224" s="156">
        <f t="shared" si="254"/>
        <v>0.8772066943742467</v>
      </c>
      <c r="D224" s="156">
        <f t="shared" si="254"/>
        <v>0.88146315162299593</v>
      </c>
      <c r="E224" s="156">
        <f t="shared" si="254"/>
        <v>0.85194409886189704</v>
      </c>
      <c r="F224" s="156">
        <f t="shared" si="254"/>
        <v>0.85648895831581207</v>
      </c>
      <c r="G224" s="156">
        <f t="shared" si="254"/>
        <v>0.83453831601169404</v>
      </c>
      <c r="H224" s="156">
        <f t="shared" si="254"/>
        <v>0.8418203999899011</v>
      </c>
      <c r="I224" s="156">
        <f t="shared" si="254"/>
        <v>0.84385365423393943</v>
      </c>
      <c r="J224" s="156">
        <f t="shared" si="254"/>
        <v>0.77379750218402255</v>
      </c>
      <c r="K224" s="156">
        <f t="shared" si="254"/>
        <v>0.81128616098489559</v>
      </c>
      <c r="L224" s="156">
        <f t="shared" ref="L224" si="255">IF(L6=0,0,L6/L$4)</f>
        <v>0.82252136260213038</v>
      </c>
      <c r="M224" s="156">
        <f t="shared" ref="M224:V224" si="256">IF(M6=0,0,M6/M$4)</f>
        <v>0.82379769030306038</v>
      </c>
      <c r="N224" s="156">
        <f t="shared" si="256"/>
        <v>0.81548890437078847</v>
      </c>
      <c r="O224" s="156">
        <f t="shared" si="256"/>
        <v>0.81990856438941229</v>
      </c>
      <c r="P224" s="156">
        <f t="shared" si="256"/>
        <v>0.81812438910852425</v>
      </c>
      <c r="Q224" s="156">
        <f t="shared" si="256"/>
        <v>0.77896605288710996</v>
      </c>
      <c r="R224" s="156">
        <f t="shared" si="256"/>
        <v>0.78409934382495916</v>
      </c>
      <c r="S224" s="156">
        <f t="shared" si="256"/>
        <v>0.79115616149847434</v>
      </c>
      <c r="T224" s="156">
        <f t="shared" si="256"/>
        <v>0.79140708941560256</v>
      </c>
      <c r="U224" s="156">
        <f t="shared" si="256"/>
        <v>0.80144973871315961</v>
      </c>
      <c r="V224" s="156">
        <f t="shared" si="256"/>
        <v>0.83688267482317236</v>
      </c>
      <c r="W224" s="156">
        <f t="shared" ref="W224" si="257">IF(W6=0,0,W6/W$4)</f>
        <v>0.8425688353045151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0.74737344641290726</v>
      </c>
      <c r="C225" s="103">
        <f t="shared" si="258"/>
        <v>0.75227660464853352</v>
      </c>
      <c r="D225" s="103">
        <f t="shared" si="258"/>
        <v>0.72421849501582725</v>
      </c>
      <c r="E225" s="103">
        <f t="shared" si="258"/>
        <v>0.66785717632421282</v>
      </c>
      <c r="F225" s="103">
        <f t="shared" si="258"/>
        <v>0.64908050979046916</v>
      </c>
      <c r="G225" s="103">
        <f t="shared" si="258"/>
        <v>0.57286306636784579</v>
      </c>
      <c r="H225" s="103">
        <f t="shared" si="258"/>
        <v>0.53307937647488146</v>
      </c>
      <c r="I225" s="103">
        <f t="shared" si="258"/>
        <v>0.48539083215266937</v>
      </c>
      <c r="J225" s="103">
        <f t="shared" si="258"/>
        <v>0.38168265822950065</v>
      </c>
      <c r="K225" s="103">
        <f t="shared" si="258"/>
        <v>0.37867937137736996</v>
      </c>
      <c r="L225" s="103">
        <f t="shared" ref="L225" si="259">IF(L7=0,0,L7/L$4)</f>
        <v>0.38783732828234357</v>
      </c>
      <c r="M225" s="103">
        <f t="shared" ref="M225:V225" si="260">IF(M7=0,0,M7/M$4)</f>
        <v>0.33704735466267582</v>
      </c>
      <c r="N225" s="103">
        <f t="shared" si="260"/>
        <v>0.31651523050276781</v>
      </c>
      <c r="O225" s="103">
        <f t="shared" si="260"/>
        <v>0.33303503170263465</v>
      </c>
      <c r="P225" s="103">
        <f t="shared" si="260"/>
        <v>0.34876091446522978</v>
      </c>
      <c r="Q225" s="103">
        <f t="shared" si="260"/>
        <v>0.31706268716660541</v>
      </c>
      <c r="R225" s="103">
        <f t="shared" si="260"/>
        <v>0.29545752127412628</v>
      </c>
      <c r="S225" s="103">
        <f t="shared" si="260"/>
        <v>0.28703961365773845</v>
      </c>
      <c r="T225" s="103">
        <f t="shared" si="260"/>
        <v>0.27201595748516694</v>
      </c>
      <c r="U225" s="103">
        <f t="shared" si="260"/>
        <v>0.26403907379239194</v>
      </c>
      <c r="V225" s="103">
        <f t="shared" si="260"/>
        <v>0.28713304275717638</v>
      </c>
      <c r="W225" s="103">
        <f t="shared" ref="W225" si="261">IF(W7=0,0,W7/W$4)</f>
        <v>0.29292485649171984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0.11736592412840788</v>
      </c>
      <c r="C226" s="103">
        <f t="shared" si="262"/>
        <v>0.12493008972571308</v>
      </c>
      <c r="D226" s="103">
        <f t="shared" si="262"/>
        <v>0.15582742713419623</v>
      </c>
      <c r="E226" s="103">
        <f t="shared" si="262"/>
        <v>0.18083157218311985</v>
      </c>
      <c r="F226" s="103">
        <f t="shared" si="262"/>
        <v>0.19995408382123808</v>
      </c>
      <c r="G226" s="103">
        <f t="shared" si="262"/>
        <v>0.25441801129543679</v>
      </c>
      <c r="H226" s="103">
        <f t="shared" si="262"/>
        <v>0.30158333212961552</v>
      </c>
      <c r="I226" s="103">
        <f t="shared" si="262"/>
        <v>0.34918758510196202</v>
      </c>
      <c r="J226" s="103">
        <f t="shared" si="262"/>
        <v>0.38484115390251455</v>
      </c>
      <c r="K226" s="103">
        <f t="shared" si="262"/>
        <v>0.42609522507692255</v>
      </c>
      <c r="L226" s="103">
        <f t="shared" ref="L226" si="263">IF(L8=0,0,L8/L$4)</f>
        <v>0.42911161416270482</v>
      </c>
      <c r="M226" s="103">
        <f t="shared" ref="M226:V226" si="264">IF(M8=0,0,M8/M$4)</f>
        <v>0.47016893851265229</v>
      </c>
      <c r="N226" s="103">
        <f t="shared" si="264"/>
        <v>0.48517490897886595</v>
      </c>
      <c r="O226" s="103">
        <f t="shared" si="264"/>
        <v>0.4746603226387987</v>
      </c>
      <c r="P226" s="103">
        <f t="shared" si="264"/>
        <v>0.45638263735545886</v>
      </c>
      <c r="Q226" s="103">
        <f t="shared" si="264"/>
        <v>0.4473537629533979</v>
      </c>
      <c r="R226" s="103">
        <f t="shared" si="264"/>
        <v>0.47423150302884975</v>
      </c>
      <c r="S226" s="103">
        <f t="shared" si="264"/>
        <v>0.48618220687444708</v>
      </c>
      <c r="T226" s="103">
        <f t="shared" si="264"/>
        <v>0.50079261777726136</v>
      </c>
      <c r="U226" s="103">
        <f t="shared" si="264"/>
        <v>0.51781484897081165</v>
      </c>
      <c r="V226" s="103">
        <f t="shared" si="264"/>
        <v>0.52416893359004446</v>
      </c>
      <c r="W226" s="103">
        <f t="shared" ref="W226" si="265">IF(W8=0,0,W8/W$4)</f>
        <v>0.51758660370848542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0</v>
      </c>
      <c r="C227" s="103">
        <f t="shared" si="266"/>
        <v>0</v>
      </c>
      <c r="D227" s="103">
        <f t="shared" si="266"/>
        <v>1.4172294729725326E-3</v>
      </c>
      <c r="E227" s="103">
        <f t="shared" si="266"/>
        <v>3.2553503545644162E-3</v>
      </c>
      <c r="F227" s="103">
        <f t="shared" si="266"/>
        <v>7.4543647041047838E-3</v>
      </c>
      <c r="G227" s="103">
        <f t="shared" si="266"/>
        <v>7.2572383484115471E-3</v>
      </c>
      <c r="H227" s="103">
        <f t="shared" si="266"/>
        <v>7.1576913854040419E-3</v>
      </c>
      <c r="I227" s="103">
        <f t="shared" si="266"/>
        <v>9.275236979308139E-3</v>
      </c>
      <c r="J227" s="103">
        <f t="shared" si="266"/>
        <v>7.2736900520073561E-3</v>
      </c>
      <c r="K227" s="103">
        <f t="shared" si="266"/>
        <v>6.511360025621857E-3</v>
      </c>
      <c r="L227" s="103">
        <f t="shared" ref="L227" si="267">IF(L9=0,0,L9/L$4)</f>
        <v>5.5344742629442291E-3</v>
      </c>
      <c r="M227" s="103">
        <f t="shared" ref="M227:V227" si="268">IF(M9=0,0,M9/M$4)</f>
        <v>1.6494620510228285E-2</v>
      </c>
      <c r="N227" s="103">
        <f t="shared" si="268"/>
        <v>1.3626331460884889E-2</v>
      </c>
      <c r="O227" s="103">
        <f t="shared" si="268"/>
        <v>1.2001588735299282E-2</v>
      </c>
      <c r="P227" s="103">
        <f t="shared" si="268"/>
        <v>1.2747047383105892E-2</v>
      </c>
      <c r="Q227" s="103">
        <f t="shared" si="268"/>
        <v>1.4314706212764323E-2</v>
      </c>
      <c r="R227" s="103">
        <f t="shared" si="268"/>
        <v>1.4159836217693114E-2</v>
      </c>
      <c r="S227" s="103">
        <f t="shared" si="268"/>
        <v>1.7623879841423867E-2</v>
      </c>
      <c r="T227" s="103">
        <f t="shared" si="268"/>
        <v>1.8214576045367362E-2</v>
      </c>
      <c r="U227" s="103">
        <f t="shared" si="268"/>
        <v>1.9029665799456988E-2</v>
      </c>
      <c r="V227" s="103">
        <f t="shared" si="268"/>
        <v>2.4574376852161624E-2</v>
      </c>
      <c r="W227" s="103">
        <f t="shared" ref="W227" si="269">IF(W9=0,0,W9/W$4)</f>
        <v>2.9879245453166527E-2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1.9192098992211484E-5</v>
      </c>
      <c r="O229" s="103">
        <f t="shared" si="276"/>
        <v>1.9185121180914289E-5</v>
      </c>
      <c r="P229" s="103">
        <f t="shared" si="276"/>
        <v>2.162538259538744E-5</v>
      </c>
      <c r="Q229" s="103">
        <f t="shared" si="276"/>
        <v>2.4750091394535686E-5</v>
      </c>
      <c r="R229" s="103">
        <f t="shared" si="276"/>
        <v>1.8936848004507817E-5</v>
      </c>
      <c r="S229" s="103">
        <f t="shared" si="276"/>
        <v>3.6313951537230604E-5</v>
      </c>
      <c r="T229" s="103">
        <f t="shared" si="276"/>
        <v>6.2439180665869055E-5</v>
      </c>
      <c r="U229" s="103">
        <f t="shared" si="276"/>
        <v>8.9231021682829862E-5</v>
      </c>
      <c r="V229" s="103">
        <f t="shared" si="276"/>
        <v>2.3185887728069976E-4</v>
      </c>
      <c r="W229" s="103">
        <f t="shared" ref="W229" si="277">IF(W11=0,0,W11/W$4)</f>
        <v>5.8925669014964134E-4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2.0450498119828877E-7</v>
      </c>
      <c r="L230" s="103">
        <f t="shared" ref="L230" si="279">IF(L12=0,0,L12/L$4)</f>
        <v>3.7945894137710524E-5</v>
      </c>
      <c r="M230" s="103">
        <f t="shared" ref="M230:V230" si="280">IF(M12=0,0,M12/M$4)</f>
        <v>8.677661750388575E-5</v>
      </c>
      <c r="N230" s="103">
        <f t="shared" si="280"/>
        <v>1.5324132927775627E-4</v>
      </c>
      <c r="O230" s="103">
        <f t="shared" si="280"/>
        <v>1.9243619149889106E-4</v>
      </c>
      <c r="P230" s="103">
        <f t="shared" si="280"/>
        <v>2.12164522134347E-4</v>
      </c>
      <c r="Q230" s="103">
        <f t="shared" si="280"/>
        <v>2.1014646294775576E-4</v>
      </c>
      <c r="R230" s="103">
        <f t="shared" si="280"/>
        <v>2.3154645628549499E-4</v>
      </c>
      <c r="S230" s="103">
        <f t="shared" si="280"/>
        <v>2.7414717332769386E-4</v>
      </c>
      <c r="T230" s="103">
        <f t="shared" si="280"/>
        <v>3.2149892714097042E-4</v>
      </c>
      <c r="U230" s="103">
        <f t="shared" si="280"/>
        <v>4.7691912881621011E-4</v>
      </c>
      <c r="V230" s="103">
        <f t="shared" si="280"/>
        <v>7.7446274650909809E-4</v>
      </c>
      <c r="W230" s="103">
        <f t="shared" ref="W230" si="281">IF(W12=0,0,W12/W$4)</f>
        <v>1.5888729609936335E-3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0.13055868927780639</v>
      </c>
      <c r="C231" s="156">
        <f t="shared" si="282"/>
        <v>0.11818062760588659</v>
      </c>
      <c r="D231" s="156">
        <f t="shared" si="282"/>
        <v>0.11405153778499764</v>
      </c>
      <c r="E231" s="156">
        <f t="shared" si="282"/>
        <v>0.14384163312034351</v>
      </c>
      <c r="F231" s="156">
        <f t="shared" si="282"/>
        <v>0.13937142738939026</v>
      </c>
      <c r="G231" s="156">
        <f t="shared" si="282"/>
        <v>0.16158577131826424</v>
      </c>
      <c r="H231" s="156">
        <f t="shared" si="282"/>
        <v>0.15411485793886881</v>
      </c>
      <c r="I231" s="156">
        <f t="shared" si="282"/>
        <v>0.15196866697581879</v>
      </c>
      <c r="J231" s="156">
        <f t="shared" si="282"/>
        <v>0.22164633700856953</v>
      </c>
      <c r="K231" s="156">
        <f t="shared" si="282"/>
        <v>0.18383422042555753</v>
      </c>
      <c r="L231" s="156">
        <f t="shared" ref="L231" si="283">IF(L13=0,0,L13/L$4)</f>
        <v>0.17226103027105807</v>
      </c>
      <c r="M231" s="156">
        <f t="shared" ref="M231:V231" si="284">IF(M13=0,0,M13/M$4)</f>
        <v>0.17061933683508412</v>
      </c>
      <c r="N231" s="156">
        <f t="shared" si="284"/>
        <v>0.17888983463799479</v>
      </c>
      <c r="O231" s="156">
        <f t="shared" si="284"/>
        <v>0.17427927269189977</v>
      </c>
      <c r="P231" s="156">
        <f t="shared" si="284"/>
        <v>0.17611108587357022</v>
      </c>
      <c r="Q231" s="156">
        <f t="shared" si="284"/>
        <v>0.21552469364737481</v>
      </c>
      <c r="R231" s="156">
        <f t="shared" si="284"/>
        <v>0.21024626983024353</v>
      </c>
      <c r="S231" s="156">
        <f t="shared" si="284"/>
        <v>0.20349566284688911</v>
      </c>
      <c r="T231" s="156">
        <f t="shared" si="284"/>
        <v>0.20376393747957217</v>
      </c>
      <c r="U231" s="156">
        <f t="shared" si="284"/>
        <v>0.19362898666389766</v>
      </c>
      <c r="V231" s="156">
        <f t="shared" si="284"/>
        <v>0.15789930740864822</v>
      </c>
      <c r="W231" s="156">
        <f t="shared" ref="W231" si="285">IF(W13=0,0,W13/W$4)</f>
        <v>0.15237769870980838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3.8961080080242869E-4</v>
      </c>
      <c r="K232" s="103">
        <f t="shared" si="286"/>
        <v>3.7880592338065039E-4</v>
      </c>
      <c r="L232" s="103">
        <f t="shared" ref="L232" si="287">IF(L14=0,0,L14/L$4)</f>
        <v>3.8476325533900503E-4</v>
      </c>
      <c r="M232" s="103">
        <f t="shared" ref="M232:V232" si="288">IF(M14=0,0,M14/M$4)</f>
        <v>3.9257504445942999E-4</v>
      </c>
      <c r="N232" s="103">
        <f t="shared" si="288"/>
        <v>3.6969052487230696E-4</v>
      </c>
      <c r="O232" s="103">
        <f t="shared" si="288"/>
        <v>3.4745689058815336E-4</v>
      </c>
      <c r="P232" s="103">
        <f t="shared" si="288"/>
        <v>3.2051365305503049E-4</v>
      </c>
      <c r="Q232" s="103">
        <f t="shared" si="288"/>
        <v>2.6763278836845848E-4</v>
      </c>
      <c r="R232" s="103">
        <f t="shared" si="288"/>
        <v>2.4797950138840226E-4</v>
      </c>
      <c r="S232" s="103">
        <f t="shared" si="288"/>
        <v>2.3586195979876821E-4</v>
      </c>
      <c r="T232" s="103">
        <f t="shared" si="288"/>
        <v>2.1008470585170248E-4</v>
      </c>
      <c r="U232" s="103">
        <f t="shared" si="288"/>
        <v>1.9296480502623906E-4</v>
      </c>
      <c r="V232" s="103">
        <f t="shared" si="288"/>
        <v>2.2652818515382544E-4</v>
      </c>
      <c r="W232" s="103">
        <f t="shared" ref="W232" si="289">IF(W14=0,0,W14/W$4)</f>
        <v>2.1203227178691802E-4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0.13055868927780639</v>
      </c>
      <c r="C233" s="103">
        <f t="shared" si="290"/>
        <v>0.11818062760588659</v>
      </c>
      <c r="D233" s="103">
        <f t="shared" si="290"/>
        <v>0.11405153778499764</v>
      </c>
      <c r="E233" s="103">
        <f t="shared" si="290"/>
        <v>0.14384163312034351</v>
      </c>
      <c r="F233" s="103">
        <f t="shared" si="290"/>
        <v>0.13937142738939026</v>
      </c>
      <c r="G233" s="103">
        <f t="shared" si="290"/>
        <v>0.16158577131826424</v>
      </c>
      <c r="H233" s="103">
        <f t="shared" si="290"/>
        <v>0.15411485793886881</v>
      </c>
      <c r="I233" s="103">
        <f t="shared" si="290"/>
        <v>0.15196866697581879</v>
      </c>
      <c r="J233" s="103">
        <f t="shared" si="290"/>
        <v>0.2211529041316323</v>
      </c>
      <c r="K233" s="103">
        <f t="shared" si="290"/>
        <v>0.18335754463496592</v>
      </c>
      <c r="L233" s="103">
        <f t="shared" ref="L233" si="291">IF(L15=0,0,L15/L$4)</f>
        <v>0.17168071420762815</v>
      </c>
      <c r="M233" s="103">
        <f t="shared" ref="M233:V233" si="292">IF(M15=0,0,M15/M$4)</f>
        <v>0.16999405645268253</v>
      </c>
      <c r="N233" s="103">
        <f t="shared" si="292"/>
        <v>0.17828238347754691</v>
      </c>
      <c r="O233" s="103">
        <f t="shared" si="292"/>
        <v>0.17369482745565643</v>
      </c>
      <c r="P233" s="103">
        <f t="shared" si="292"/>
        <v>0.17555446595266011</v>
      </c>
      <c r="Q233" s="103">
        <f t="shared" si="292"/>
        <v>0.21498533427216357</v>
      </c>
      <c r="R233" s="103">
        <f t="shared" si="292"/>
        <v>0.209757548354539</v>
      </c>
      <c r="S233" s="103">
        <f t="shared" si="292"/>
        <v>0.20303626613165843</v>
      </c>
      <c r="T233" s="103">
        <f t="shared" si="292"/>
        <v>0.20332132555511401</v>
      </c>
      <c r="U233" s="103">
        <f t="shared" si="292"/>
        <v>0.19304825997703201</v>
      </c>
      <c r="V233" s="103">
        <f t="shared" si="292"/>
        <v>0.15681578866225013</v>
      </c>
      <c r="W233" s="103">
        <f t="shared" ref="W233" si="293">IF(W15=0,0,W15/W$4)</f>
        <v>0.15131913129850105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1.0382207613478023E-4</v>
      </c>
      <c r="K234" s="103">
        <f t="shared" si="294"/>
        <v>9.7869867210939501E-5</v>
      </c>
      <c r="L234" s="103">
        <f t="shared" ref="L234" si="295">IF(L16=0,0,L16/L$4)</f>
        <v>1.9555280809092386E-4</v>
      </c>
      <c r="M234" s="103">
        <f t="shared" ref="M234:V234" si="296">IF(M16=0,0,M16/M$4)</f>
        <v>2.3270533794217391E-4</v>
      </c>
      <c r="N234" s="103">
        <f t="shared" si="296"/>
        <v>2.3776063557560332E-4</v>
      </c>
      <c r="O234" s="103">
        <f t="shared" si="296"/>
        <v>2.325824743977244E-4</v>
      </c>
      <c r="P234" s="103">
        <f t="shared" si="296"/>
        <v>2.2754166527584193E-4</v>
      </c>
      <c r="Q234" s="103">
        <f t="shared" si="296"/>
        <v>2.5152698813042201E-4</v>
      </c>
      <c r="R234" s="103">
        <f t="shared" si="296"/>
        <v>2.1703215919164658E-4</v>
      </c>
      <c r="S234" s="103">
        <f t="shared" si="296"/>
        <v>2.0112916077517923E-4</v>
      </c>
      <c r="T234" s="103">
        <f t="shared" si="296"/>
        <v>1.230861865326573E-4</v>
      </c>
      <c r="U234" s="103">
        <f t="shared" si="296"/>
        <v>1.0812577125852346E-4</v>
      </c>
      <c r="V234" s="103">
        <f t="shared" si="296"/>
        <v>8.5790995100553408E-5</v>
      </c>
      <c r="W234" s="103">
        <f t="shared" ref="W234" si="297">IF(W16=0,0,W16/W$4)</f>
        <v>8.1064644332323616E-5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4.4058712574571147E-6</v>
      </c>
      <c r="P236" s="103">
        <f t="shared" si="304"/>
        <v>8.5646025792188067E-6</v>
      </c>
      <c r="Q236" s="103">
        <f t="shared" si="304"/>
        <v>2.0199598712343135E-5</v>
      </c>
      <c r="R236" s="103">
        <f t="shared" si="304"/>
        <v>2.3709815124471382E-5</v>
      </c>
      <c r="S236" s="103">
        <f t="shared" si="304"/>
        <v>2.2405594656723026E-5</v>
      </c>
      <c r="T236" s="103">
        <f t="shared" si="304"/>
        <v>1.0944103207378343E-4</v>
      </c>
      <c r="U236" s="103">
        <f t="shared" si="304"/>
        <v>2.7963611058090049E-4</v>
      </c>
      <c r="V236" s="103">
        <f t="shared" si="304"/>
        <v>7.7119956614370958E-4</v>
      </c>
      <c r="W236" s="103">
        <f t="shared" ref="W236" si="305">IF(W18=0,0,W18/W$4)</f>
        <v>7.6547049518812344E-4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6.0972972696997425E-2</v>
      </c>
      <c r="C238" s="154">
        <f t="shared" si="310"/>
        <v>5.8860118356012361E-2</v>
      </c>
      <c r="D238" s="154">
        <f t="shared" si="310"/>
        <v>5.7975763048084515E-2</v>
      </c>
      <c r="E238" s="154">
        <f t="shared" si="310"/>
        <v>5.3761681218583643E-2</v>
      </c>
      <c r="F238" s="154">
        <f t="shared" si="310"/>
        <v>5.0908827953321578E-2</v>
      </c>
      <c r="G238" s="154">
        <f t="shared" si="310"/>
        <v>4.4386716721189844E-2</v>
      </c>
      <c r="H238" s="154">
        <f t="shared" si="310"/>
        <v>4.89121017504675E-2</v>
      </c>
      <c r="I238" s="154">
        <f t="shared" si="310"/>
        <v>4.9448133685372209E-2</v>
      </c>
      <c r="J238" s="154">
        <f t="shared" si="310"/>
        <v>6.1460708957350486E-2</v>
      </c>
      <c r="K238" s="154">
        <f t="shared" si="310"/>
        <v>7.6469219017231624E-2</v>
      </c>
      <c r="L238" s="154">
        <f t="shared" ref="L238" si="311">IF(L20=0,0,L20/L$19)</f>
        <v>0.11866618416205202</v>
      </c>
      <c r="M238" s="154">
        <f t="shared" ref="M238:V238" si="312">IF(M20=0,0,M20/M$19)</f>
        <v>0.12614935090052815</v>
      </c>
      <c r="N238" s="154">
        <f t="shared" si="312"/>
        <v>0.12162411754121749</v>
      </c>
      <c r="O238" s="154">
        <f t="shared" si="312"/>
        <v>0.12760164245756295</v>
      </c>
      <c r="P238" s="154">
        <f t="shared" si="312"/>
        <v>0.1406952943244574</v>
      </c>
      <c r="Q238" s="154">
        <f t="shared" si="312"/>
        <v>0.14859114938586765</v>
      </c>
      <c r="R238" s="154">
        <f t="shared" si="312"/>
        <v>0.14133269039861923</v>
      </c>
      <c r="S238" s="154">
        <f t="shared" si="312"/>
        <v>0.1401054191800615</v>
      </c>
      <c r="T238" s="154">
        <f t="shared" si="312"/>
        <v>0.14685496693385125</v>
      </c>
      <c r="U238" s="154">
        <f t="shared" si="312"/>
        <v>0.14053174239956845</v>
      </c>
      <c r="V238" s="154">
        <f t="shared" si="312"/>
        <v>0.1507725181883787</v>
      </c>
      <c r="W238" s="154">
        <f t="shared" ref="W238" si="313">IF(W20=0,0,W20/W$19)</f>
        <v>0.13085016439254657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1.7592760143366463E-2</v>
      </c>
      <c r="C239" s="103">
        <f t="shared" si="314"/>
        <v>1.6607383250601883E-2</v>
      </c>
      <c r="D239" s="103">
        <f t="shared" si="314"/>
        <v>1.5918093260618899E-2</v>
      </c>
      <c r="E239" s="103">
        <f t="shared" si="314"/>
        <v>1.4336949238735316E-2</v>
      </c>
      <c r="F239" s="103">
        <f t="shared" si="314"/>
        <v>1.3175527462076595E-2</v>
      </c>
      <c r="G239" s="103">
        <f t="shared" si="314"/>
        <v>1.1174683056139735E-2</v>
      </c>
      <c r="H239" s="103">
        <f t="shared" si="314"/>
        <v>1.1863944955091211E-2</v>
      </c>
      <c r="I239" s="103">
        <f t="shared" si="314"/>
        <v>1.1629043780734526E-2</v>
      </c>
      <c r="J239" s="103">
        <f t="shared" si="314"/>
        <v>1.2466040849772266E-2</v>
      </c>
      <c r="K239" s="103">
        <f t="shared" si="314"/>
        <v>1.4781093515726524E-2</v>
      </c>
      <c r="L239" s="103">
        <f t="shared" ref="L239" si="315">IF(L21=0,0,L21/L$19)</f>
        <v>2.1636421286591698E-2</v>
      </c>
      <c r="M239" s="103">
        <f t="shared" ref="M239:V239" si="316">IF(M21=0,0,M21/M$19)</f>
        <v>2.0937522070265457E-2</v>
      </c>
      <c r="N239" s="103">
        <f t="shared" si="316"/>
        <v>1.8690633733819691E-2</v>
      </c>
      <c r="O239" s="103">
        <f t="shared" si="316"/>
        <v>1.699431990242908E-2</v>
      </c>
      <c r="P239" s="103">
        <f t="shared" si="316"/>
        <v>1.596689963198825E-2</v>
      </c>
      <c r="Q239" s="103">
        <f t="shared" si="316"/>
        <v>1.405159265046999E-2</v>
      </c>
      <c r="R239" s="103">
        <f t="shared" si="316"/>
        <v>1.3738252737908128E-2</v>
      </c>
      <c r="S239" s="103">
        <f t="shared" si="316"/>
        <v>1.307728243732378E-2</v>
      </c>
      <c r="T239" s="103">
        <f t="shared" si="316"/>
        <v>1.2709160975784076E-2</v>
      </c>
      <c r="U239" s="103">
        <f t="shared" si="316"/>
        <v>1.1030298468742327E-2</v>
      </c>
      <c r="V239" s="103">
        <f t="shared" si="316"/>
        <v>1.0939743829921383E-2</v>
      </c>
      <c r="W239" s="103">
        <f t="shared" ref="W239" si="317">IF(W21=0,0,W21/W$19)</f>
        <v>8.9329179998379939E-3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4.3380212553630955E-2</v>
      </c>
      <c r="C240" s="103">
        <f t="shared" si="318"/>
        <v>4.2252735105410479E-2</v>
      </c>
      <c r="D240" s="103">
        <f t="shared" si="318"/>
        <v>4.2057669787465612E-2</v>
      </c>
      <c r="E240" s="103">
        <f t="shared" si="318"/>
        <v>3.9424731979848332E-2</v>
      </c>
      <c r="F240" s="103">
        <f t="shared" si="318"/>
        <v>3.773330049124498E-2</v>
      </c>
      <c r="G240" s="103">
        <f t="shared" si="318"/>
        <v>3.3212033665050107E-2</v>
      </c>
      <c r="H240" s="103">
        <f t="shared" si="318"/>
        <v>3.7048156795376291E-2</v>
      </c>
      <c r="I240" s="103">
        <f t="shared" si="318"/>
        <v>3.7819089904637684E-2</v>
      </c>
      <c r="J240" s="103">
        <f t="shared" si="318"/>
        <v>4.8994527750164378E-2</v>
      </c>
      <c r="K240" s="103">
        <f t="shared" si="318"/>
        <v>6.1687956004869857E-2</v>
      </c>
      <c r="L240" s="103">
        <f t="shared" ref="L240" si="319">IF(L22=0,0,L22/L$19)</f>
        <v>9.7029145852440019E-2</v>
      </c>
      <c r="M240" s="103">
        <f t="shared" ref="M240:V240" si="320">IF(M22=0,0,M22/M$19)</f>
        <v>0.10521076785210383</v>
      </c>
      <c r="N240" s="103">
        <f t="shared" si="320"/>
        <v>0.10293128268756616</v>
      </c>
      <c r="O240" s="103">
        <f t="shared" si="320"/>
        <v>0.1106045069094064</v>
      </c>
      <c r="P240" s="103">
        <f t="shared" si="320"/>
        <v>0.12472480992223052</v>
      </c>
      <c r="Q240" s="103">
        <f t="shared" si="320"/>
        <v>0.13453639271911863</v>
      </c>
      <c r="R240" s="103">
        <f t="shared" si="320"/>
        <v>0.12759133592302474</v>
      </c>
      <c r="S240" s="103">
        <f t="shared" si="320"/>
        <v>0.12702313510438948</v>
      </c>
      <c r="T240" s="103">
        <f t="shared" si="320"/>
        <v>0.13413538583441312</v>
      </c>
      <c r="U240" s="103">
        <f t="shared" si="320"/>
        <v>0.12948523287703761</v>
      </c>
      <c r="V240" s="103">
        <f t="shared" si="320"/>
        <v>0.13980549973346038</v>
      </c>
      <c r="W240" s="103">
        <f t="shared" ref="W240" si="321">IF(W22=0,0,W22/W$19)</f>
        <v>0.12188503761058828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1.4035741383991907E-7</v>
      </c>
      <c r="K241" s="103">
        <f t="shared" si="322"/>
        <v>1.6949663523795135E-7</v>
      </c>
      <c r="L241" s="103">
        <f t="shared" ref="L241" si="323">IF(L23=0,0,L23/L$19)</f>
        <v>2.5950477963068404E-7</v>
      </c>
      <c r="M241" s="103">
        <f t="shared" ref="M241:V241" si="324">IF(M23=0,0,M23/M$19)</f>
        <v>5.2333126703896855E-7</v>
      </c>
      <c r="N241" s="103">
        <f t="shared" si="324"/>
        <v>1.2110752524062636E-6</v>
      </c>
      <c r="O241" s="103">
        <f t="shared" si="324"/>
        <v>1.1903568077258971E-6</v>
      </c>
      <c r="P241" s="103">
        <f t="shared" si="324"/>
        <v>1.4449237662368511E-6</v>
      </c>
      <c r="Q241" s="103">
        <f t="shared" si="324"/>
        <v>1.1965702760656121E-6</v>
      </c>
      <c r="R241" s="103">
        <f t="shared" si="324"/>
        <v>1.4407063380248049E-6</v>
      </c>
      <c r="S241" s="103">
        <f t="shared" si="324"/>
        <v>1.3493810938987507E-6</v>
      </c>
      <c r="T241" s="103">
        <f t="shared" si="324"/>
        <v>1.2100745968991971E-6</v>
      </c>
      <c r="U241" s="103">
        <f t="shared" si="324"/>
        <v>1.0877553362224901E-6</v>
      </c>
      <c r="V241" s="103">
        <f t="shared" si="324"/>
        <v>1.012189666119633E-6</v>
      </c>
      <c r="W241" s="103">
        <f t="shared" ref="W241" si="325">IF(W23=0,0,W23/W$19)</f>
        <v>1.2923464057131941E-6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3.5751824068041851E-7</v>
      </c>
      <c r="M243" s="103">
        <f t="shared" ref="M243:V243" si="332">IF(M25=0,0,M25/M$19)</f>
        <v>5.3764689182395394E-7</v>
      </c>
      <c r="N243" s="103">
        <f t="shared" si="332"/>
        <v>9.9004457924180025E-7</v>
      </c>
      <c r="O243" s="103">
        <f t="shared" si="332"/>
        <v>1.6252889197471231E-6</v>
      </c>
      <c r="P243" s="103">
        <f t="shared" si="332"/>
        <v>2.1398464723768092E-6</v>
      </c>
      <c r="Q243" s="103">
        <f t="shared" si="332"/>
        <v>1.9674460029452619E-6</v>
      </c>
      <c r="R243" s="103">
        <f t="shared" si="332"/>
        <v>1.661031348316096E-6</v>
      </c>
      <c r="S243" s="103">
        <f t="shared" si="332"/>
        <v>3.6522572543380973E-6</v>
      </c>
      <c r="T243" s="103">
        <f t="shared" si="332"/>
        <v>9.2100490571587461E-6</v>
      </c>
      <c r="U243" s="103">
        <f t="shared" si="332"/>
        <v>1.5123298452258513E-5</v>
      </c>
      <c r="V243" s="103">
        <f t="shared" si="332"/>
        <v>2.6262435330839726E-5</v>
      </c>
      <c r="W243" s="103">
        <f t="shared" ref="W243" si="333">IF(W25=0,0,W25/W$19)</f>
        <v>3.0916435714591191E-5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0.93902702730300258</v>
      </c>
      <c r="C244" s="156">
        <f t="shared" si="334"/>
        <v>0.94113988164398765</v>
      </c>
      <c r="D244" s="156">
        <f t="shared" si="334"/>
        <v>0.94202423695191551</v>
      </c>
      <c r="E244" s="156">
        <f t="shared" si="334"/>
        <v>0.9462383187814164</v>
      </c>
      <c r="F244" s="156">
        <f t="shared" si="334"/>
        <v>0.94909117204667837</v>
      </c>
      <c r="G244" s="156">
        <f t="shared" si="334"/>
        <v>0.95561328327881023</v>
      </c>
      <c r="H244" s="156">
        <f t="shared" si="334"/>
        <v>0.95108789824953255</v>
      </c>
      <c r="I244" s="156">
        <f t="shared" si="334"/>
        <v>0.95055186631462785</v>
      </c>
      <c r="J244" s="156">
        <f t="shared" si="334"/>
        <v>0.93853929104264966</v>
      </c>
      <c r="K244" s="156">
        <f t="shared" si="334"/>
        <v>0.92353078098276831</v>
      </c>
      <c r="L244" s="156">
        <f t="shared" ref="L244" si="335">IF(L26=0,0,L26/L$19)</f>
        <v>0.88133381583794812</v>
      </c>
      <c r="M244" s="156">
        <f t="shared" ref="M244:V244" si="336">IF(M26=0,0,M26/M$19)</f>
        <v>0.87385064909947197</v>
      </c>
      <c r="N244" s="156">
        <f t="shared" si="336"/>
        <v>0.87837588245878251</v>
      </c>
      <c r="O244" s="156">
        <f t="shared" si="336"/>
        <v>0.872398357542437</v>
      </c>
      <c r="P244" s="156">
        <f t="shared" si="336"/>
        <v>0.85930470567554251</v>
      </c>
      <c r="Q244" s="156">
        <f t="shared" si="336"/>
        <v>0.85140885061413241</v>
      </c>
      <c r="R244" s="156">
        <f t="shared" si="336"/>
        <v>0.85866730960138082</v>
      </c>
      <c r="S244" s="156">
        <f t="shared" si="336"/>
        <v>0.85989458081993853</v>
      </c>
      <c r="T244" s="156">
        <f t="shared" si="336"/>
        <v>0.85314503306614875</v>
      </c>
      <c r="U244" s="156">
        <f t="shared" si="336"/>
        <v>0.85946825760043155</v>
      </c>
      <c r="V244" s="156">
        <f t="shared" si="336"/>
        <v>0.84922748181162122</v>
      </c>
      <c r="W244" s="156">
        <f t="shared" ref="W244" si="337">IF(W26=0,0,W26/W$19)</f>
        <v>0.8691498356074534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0.47967724197346601</v>
      </c>
      <c r="C245" s="103">
        <f t="shared" si="338"/>
        <v>0.48211773259985718</v>
      </c>
      <c r="D245" s="103">
        <f t="shared" si="338"/>
        <v>0.476378642681896</v>
      </c>
      <c r="E245" s="103">
        <f t="shared" si="338"/>
        <v>0.52577039569099426</v>
      </c>
      <c r="F245" s="103">
        <f t="shared" si="338"/>
        <v>0.50916943759430611</v>
      </c>
      <c r="G245" s="103">
        <f t="shared" si="338"/>
        <v>0.57023578772425176</v>
      </c>
      <c r="H245" s="103">
        <f t="shared" si="338"/>
        <v>0.6634934018365527</v>
      </c>
      <c r="I245" s="103">
        <f t="shared" si="338"/>
        <v>0.67076084549816539</v>
      </c>
      <c r="J245" s="103">
        <f t="shared" si="338"/>
        <v>0.70301923874861794</v>
      </c>
      <c r="K245" s="103">
        <f t="shared" si="338"/>
        <v>0.76674634151880094</v>
      </c>
      <c r="L245" s="103">
        <f t="shared" ref="L245" si="339">IF(L27=0,0,L27/L$19)</f>
        <v>0.68271462063252508</v>
      </c>
      <c r="M245" s="103">
        <f t="shared" ref="M245:V245" si="340">IF(M27=0,0,M27/M$19)</f>
        <v>0.67079816325769992</v>
      </c>
      <c r="N245" s="103">
        <f t="shared" si="340"/>
        <v>0.65988936259988795</v>
      </c>
      <c r="O245" s="103">
        <f t="shared" si="340"/>
        <v>0.64129905196587589</v>
      </c>
      <c r="P245" s="103">
        <f t="shared" si="340"/>
        <v>0.63028565555741267</v>
      </c>
      <c r="Q245" s="103">
        <f t="shared" si="340"/>
        <v>0.62421422486102429</v>
      </c>
      <c r="R245" s="103">
        <f t="shared" si="340"/>
        <v>0.62613468557183571</v>
      </c>
      <c r="S245" s="103">
        <f t="shared" si="340"/>
        <v>0.60073762165243338</v>
      </c>
      <c r="T245" s="103">
        <f t="shared" si="340"/>
        <v>0.6140693996773493</v>
      </c>
      <c r="U245" s="103">
        <f t="shared" si="340"/>
        <v>0.6422421328920993</v>
      </c>
      <c r="V245" s="103">
        <f t="shared" si="340"/>
        <v>0.67703912683090173</v>
      </c>
      <c r="W245" s="103">
        <f t="shared" ref="W245" si="341">IF(W27=0,0,W27/W$19)</f>
        <v>0.66372031865835324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0.45934978532953663</v>
      </c>
      <c r="C246" s="105">
        <f t="shared" si="342"/>
        <v>0.45902214904413041</v>
      </c>
      <c r="D246" s="105">
        <f t="shared" si="342"/>
        <v>0.46564559427001956</v>
      </c>
      <c r="E246" s="105">
        <f t="shared" si="342"/>
        <v>0.42046792309042214</v>
      </c>
      <c r="F246" s="105">
        <f t="shared" si="342"/>
        <v>0.4399217344523722</v>
      </c>
      <c r="G246" s="105">
        <f t="shared" si="342"/>
        <v>0.38537749555455847</v>
      </c>
      <c r="H246" s="105">
        <f t="shared" si="342"/>
        <v>0.28759449641297991</v>
      </c>
      <c r="I246" s="105">
        <f t="shared" si="342"/>
        <v>0.27979102081646251</v>
      </c>
      <c r="J246" s="105">
        <f t="shared" si="342"/>
        <v>0.2355200522940317</v>
      </c>
      <c r="K246" s="105">
        <f t="shared" si="342"/>
        <v>0.15678443946396733</v>
      </c>
      <c r="L246" s="105">
        <f t="shared" ref="L246" si="343">IF(L28=0,0,L28/L$19)</f>
        <v>0.19861919520542304</v>
      </c>
      <c r="M246" s="105">
        <f t="shared" ref="M246:V246" si="344">IF(M28=0,0,M28/M$19)</f>
        <v>0.20305248584177199</v>
      </c>
      <c r="N246" s="105">
        <f t="shared" si="344"/>
        <v>0.21848651985889456</v>
      </c>
      <c r="O246" s="105">
        <f t="shared" si="344"/>
        <v>0.23109930557656111</v>
      </c>
      <c r="P246" s="105">
        <f t="shared" si="344"/>
        <v>0.22901905011812987</v>
      </c>
      <c r="Q246" s="105">
        <f t="shared" si="344"/>
        <v>0.22719462575310811</v>
      </c>
      <c r="R246" s="105">
        <f t="shared" si="344"/>
        <v>0.23253262402954508</v>
      </c>
      <c r="S246" s="105">
        <f t="shared" si="344"/>
        <v>0.25915695916750509</v>
      </c>
      <c r="T246" s="105">
        <f t="shared" si="344"/>
        <v>0.23907563338879945</v>
      </c>
      <c r="U246" s="105">
        <f t="shared" si="344"/>
        <v>0.21722612470833225</v>
      </c>
      <c r="V246" s="105">
        <f t="shared" si="344"/>
        <v>0.17218835498071947</v>
      </c>
      <c r="W246" s="105">
        <f t="shared" ref="W246" si="345">IF(W28=0,0,W28/W$19)</f>
        <v>0.20542951694910022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1.1046066812957889E-2</v>
      </c>
      <c r="C250" s="154">
        <f t="shared" si="350"/>
        <v>8.6314304191748726E-3</v>
      </c>
      <c r="D250" s="154">
        <f t="shared" si="350"/>
        <v>8.3570017069320331E-3</v>
      </c>
      <c r="E250" s="154">
        <f t="shared" si="350"/>
        <v>7.803666238140986E-3</v>
      </c>
      <c r="F250" s="154">
        <f t="shared" si="350"/>
        <v>7.4235378269324236E-3</v>
      </c>
      <c r="G250" s="154">
        <f t="shared" si="350"/>
        <v>7.5430135718497198E-3</v>
      </c>
      <c r="H250" s="154">
        <f t="shared" si="350"/>
        <v>8.0958898743756901E-3</v>
      </c>
      <c r="I250" s="154">
        <f t="shared" si="350"/>
        <v>7.9799349392017747E-3</v>
      </c>
      <c r="J250" s="154">
        <f t="shared" si="350"/>
        <v>9.6516051726800479E-3</v>
      </c>
      <c r="K250" s="154">
        <f t="shared" si="350"/>
        <v>9.9830454740409916E-3</v>
      </c>
      <c r="L250" s="154">
        <f t="shared" ref="L250" si="351">IF(L32=0,0,L32/L$31)</f>
        <v>1.0262619742429265E-2</v>
      </c>
      <c r="M250" s="154">
        <f t="shared" ref="M250:V250" si="352">IF(M32=0,0,M32/M$31)</f>
        <v>1.041163815989919E-2</v>
      </c>
      <c r="N250" s="154">
        <f t="shared" si="352"/>
        <v>1.0461706398268385E-2</v>
      </c>
      <c r="O250" s="154">
        <f t="shared" si="352"/>
        <v>1.072602373104809E-2</v>
      </c>
      <c r="P250" s="154">
        <f t="shared" si="352"/>
        <v>1.077532051005828E-2</v>
      </c>
      <c r="Q250" s="154">
        <f t="shared" si="352"/>
        <v>1.0874357510883323E-2</v>
      </c>
      <c r="R250" s="154">
        <f t="shared" si="352"/>
        <v>1.1244136578482703E-2</v>
      </c>
      <c r="S250" s="154">
        <f t="shared" si="352"/>
        <v>1.0537229677710713E-2</v>
      </c>
      <c r="T250" s="154">
        <f t="shared" si="352"/>
        <v>9.5570344937543072E-3</v>
      </c>
      <c r="U250" s="154">
        <f t="shared" si="352"/>
        <v>9.5348800194888957E-3</v>
      </c>
      <c r="V250" s="154">
        <f t="shared" si="352"/>
        <v>9.4769276359704026E-3</v>
      </c>
      <c r="W250" s="154">
        <f t="shared" ref="W250" si="353">IF(W32=0,0,W32/W$31)</f>
        <v>9.1156121180560722E-3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0.9495296805366682</v>
      </c>
      <c r="C251" s="156">
        <f t="shared" si="354"/>
        <v>0.95729931599448148</v>
      </c>
      <c r="D251" s="156">
        <f t="shared" si="354"/>
        <v>0.96044518640786991</v>
      </c>
      <c r="E251" s="156">
        <f t="shared" si="354"/>
        <v>0.9590928201365444</v>
      </c>
      <c r="F251" s="156">
        <f t="shared" si="354"/>
        <v>0.956917189191548</v>
      </c>
      <c r="G251" s="156">
        <f t="shared" si="354"/>
        <v>0.95644024961802021</v>
      </c>
      <c r="H251" s="156">
        <f t="shared" si="354"/>
        <v>0.95985881831771003</v>
      </c>
      <c r="I251" s="156">
        <f t="shared" si="354"/>
        <v>0.95746333852613086</v>
      </c>
      <c r="J251" s="156">
        <f t="shared" si="354"/>
        <v>0.94450467392276338</v>
      </c>
      <c r="K251" s="156">
        <f t="shared" si="354"/>
        <v>0.94596004762706032</v>
      </c>
      <c r="L251" s="156">
        <f t="shared" ref="L251" si="355">IF(L33=0,0,L33/L$31)</f>
        <v>0.94606665794936107</v>
      </c>
      <c r="M251" s="156">
        <f t="shared" ref="M251:V251" si="356">IF(M33=0,0,M33/M$31)</f>
        <v>0.94621270800849167</v>
      </c>
      <c r="N251" s="156">
        <f t="shared" si="356"/>
        <v>0.94644319622250117</v>
      </c>
      <c r="O251" s="156">
        <f t="shared" si="356"/>
        <v>0.94646001599796159</v>
      </c>
      <c r="P251" s="156">
        <f t="shared" si="356"/>
        <v>0.94668145433034456</v>
      </c>
      <c r="Q251" s="156">
        <f t="shared" si="356"/>
        <v>0.94690271181358865</v>
      </c>
      <c r="R251" s="156">
        <f t="shared" si="356"/>
        <v>0.94688981057419652</v>
      </c>
      <c r="S251" s="156">
        <f t="shared" si="356"/>
        <v>0.94741853981405832</v>
      </c>
      <c r="T251" s="156">
        <f t="shared" si="356"/>
        <v>0.94990445818317593</v>
      </c>
      <c r="U251" s="156">
        <f t="shared" si="356"/>
        <v>0.95170473742780448</v>
      </c>
      <c r="V251" s="156">
        <f t="shared" si="356"/>
        <v>0.94713667759989573</v>
      </c>
      <c r="W251" s="156">
        <f t="shared" ref="W251" si="357">IF(W33=0,0,W33/W$31)</f>
        <v>0.9503158712746187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0.82703987380411292</v>
      </c>
      <c r="C252" s="103">
        <f t="shared" si="358"/>
        <v>0.82766674256657835</v>
      </c>
      <c r="D252" s="103">
        <f t="shared" si="358"/>
        <v>0.79709896781009693</v>
      </c>
      <c r="E252" s="103">
        <f t="shared" si="358"/>
        <v>0.76098617096509713</v>
      </c>
      <c r="F252" s="103">
        <f t="shared" si="358"/>
        <v>0.73483477828573984</v>
      </c>
      <c r="G252" s="103">
        <f t="shared" si="358"/>
        <v>0.66804861098904111</v>
      </c>
      <c r="H252" s="103">
        <f t="shared" si="358"/>
        <v>0.62041528321954831</v>
      </c>
      <c r="I252" s="103">
        <f t="shared" si="358"/>
        <v>0.5639712573684863</v>
      </c>
      <c r="J252" s="103">
        <f t="shared" si="358"/>
        <v>0.47943908468004914</v>
      </c>
      <c r="K252" s="103">
        <f t="shared" si="358"/>
        <v>0.45513535461020971</v>
      </c>
      <c r="L252" s="103">
        <f t="shared" ref="L252" si="359">IF(L34=0,0,L34/L$31)</f>
        <v>0.45972716505628758</v>
      </c>
      <c r="M252" s="103">
        <f t="shared" ref="M252:V252" si="360">IF(M34=0,0,M34/M$31)</f>
        <v>0.40013241479387401</v>
      </c>
      <c r="N252" s="103">
        <f t="shared" si="360"/>
        <v>0.38021870371227406</v>
      </c>
      <c r="O252" s="103">
        <f t="shared" si="360"/>
        <v>0.397525419491215</v>
      </c>
      <c r="P252" s="103">
        <f t="shared" si="360"/>
        <v>0.41677571444262479</v>
      </c>
      <c r="Q252" s="103">
        <f t="shared" si="360"/>
        <v>0.39842939543735412</v>
      </c>
      <c r="R252" s="103">
        <f t="shared" si="360"/>
        <v>0.36951762855628545</v>
      </c>
      <c r="S252" s="103">
        <f t="shared" si="360"/>
        <v>0.35619806098843138</v>
      </c>
      <c r="T252" s="103">
        <f t="shared" si="360"/>
        <v>0.33870355880545278</v>
      </c>
      <c r="U252" s="103">
        <f t="shared" si="360"/>
        <v>0.32551703863196768</v>
      </c>
      <c r="V252" s="103">
        <f t="shared" si="360"/>
        <v>0.33695651155502121</v>
      </c>
      <c r="W252" s="103">
        <f t="shared" ref="W252" si="361">IF(W34=0,0,W34/W$31)</f>
        <v>0.34226472488344079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0.12248980673255525</v>
      </c>
      <c r="C253" s="103">
        <f t="shared" si="362"/>
        <v>0.1296325734279031</v>
      </c>
      <c r="D253" s="103">
        <f t="shared" si="362"/>
        <v>0.16175424132464181</v>
      </c>
      <c r="E253" s="103">
        <f t="shared" si="362"/>
        <v>0.19432853095697733</v>
      </c>
      <c r="F253" s="103">
        <f t="shared" si="362"/>
        <v>0.21349639892974595</v>
      </c>
      <c r="G253" s="103">
        <f t="shared" si="362"/>
        <v>0.27981709103112107</v>
      </c>
      <c r="H253" s="103">
        <f t="shared" si="362"/>
        <v>0.33102979392001775</v>
      </c>
      <c r="I253" s="103">
        <f t="shared" si="362"/>
        <v>0.38264261677130174</v>
      </c>
      <c r="J253" s="103">
        <f t="shared" si="362"/>
        <v>0.45591266549082426</v>
      </c>
      <c r="K253" s="103">
        <f t="shared" si="362"/>
        <v>0.48299733471712064</v>
      </c>
      <c r="L253" s="103">
        <f t="shared" ref="L253" si="363">IF(L35=0,0,L35/L$31)</f>
        <v>0.47972237075262381</v>
      </c>
      <c r="M253" s="103">
        <f t="shared" ref="M253:V253" si="364">IF(M35=0,0,M35/M$31)</f>
        <v>0.52642425142111449</v>
      </c>
      <c r="N253" s="103">
        <f t="shared" si="364"/>
        <v>0.5496754477950021</v>
      </c>
      <c r="O253" s="103">
        <f t="shared" si="364"/>
        <v>0.53435153021321036</v>
      </c>
      <c r="P253" s="103">
        <f t="shared" si="364"/>
        <v>0.51436670918799454</v>
      </c>
      <c r="Q253" s="103">
        <f t="shared" si="364"/>
        <v>0.53018382374053385</v>
      </c>
      <c r="R253" s="103">
        <f t="shared" si="364"/>
        <v>0.55937062313734709</v>
      </c>
      <c r="S253" s="103">
        <f t="shared" si="364"/>
        <v>0.56900740277671169</v>
      </c>
      <c r="T253" s="103">
        <f t="shared" si="364"/>
        <v>0.58810170404570494</v>
      </c>
      <c r="U253" s="103">
        <f t="shared" si="364"/>
        <v>0.60207302156786524</v>
      </c>
      <c r="V253" s="103">
        <f t="shared" si="364"/>
        <v>0.58013771436407913</v>
      </c>
      <c r="W253" s="103">
        <f t="shared" ref="W253" si="365">IF(W35=0,0,W35/W$31)</f>
        <v>0.57037185176153837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0</v>
      </c>
      <c r="C254" s="103">
        <f t="shared" si="366"/>
        <v>0</v>
      </c>
      <c r="D254" s="103">
        <f t="shared" si="366"/>
        <v>1.5919772731312154E-3</v>
      </c>
      <c r="E254" s="103">
        <f t="shared" si="366"/>
        <v>3.7781182144699188E-3</v>
      </c>
      <c r="F254" s="103">
        <f t="shared" si="366"/>
        <v>8.5860119760621679E-3</v>
      </c>
      <c r="G254" s="103">
        <f t="shared" si="366"/>
        <v>8.5745475978580444E-3</v>
      </c>
      <c r="H254" s="103">
        <f t="shared" si="366"/>
        <v>8.4137411781439915E-3</v>
      </c>
      <c r="I254" s="103">
        <f t="shared" si="366"/>
        <v>1.0849464386342713E-2</v>
      </c>
      <c r="J254" s="103">
        <f t="shared" si="366"/>
        <v>9.1529237518899464E-3</v>
      </c>
      <c r="K254" s="103">
        <f t="shared" si="366"/>
        <v>7.8270606919542303E-3</v>
      </c>
      <c r="L254" s="103">
        <f t="shared" ref="L254" si="367">IF(L36=0,0,L36/L$31)</f>
        <v>6.5626491775075974E-3</v>
      </c>
      <c r="M254" s="103">
        <f t="shared" ref="M254:V254" si="368">IF(M36=0,0,M36/M$31)</f>
        <v>1.9531644027512181E-2</v>
      </c>
      <c r="N254" s="103">
        <f t="shared" si="368"/>
        <v>1.6303607517300023E-2</v>
      </c>
      <c r="O254" s="103">
        <f t="shared" si="368"/>
        <v>1.4282487574233359E-2</v>
      </c>
      <c r="P254" s="103">
        <f t="shared" si="368"/>
        <v>1.5206259429326905E-2</v>
      </c>
      <c r="Q254" s="103">
        <f t="shared" si="368"/>
        <v>1.7938971240785504E-2</v>
      </c>
      <c r="R254" s="103">
        <f t="shared" si="368"/>
        <v>1.7628479239156749E-2</v>
      </c>
      <c r="S254" s="103">
        <f t="shared" si="368"/>
        <v>2.1757523099342136E-2</v>
      </c>
      <c r="T254" s="103">
        <f t="shared" si="368"/>
        <v>2.2538620059109095E-2</v>
      </c>
      <c r="U254" s="103">
        <f t="shared" si="368"/>
        <v>2.3296215039873829E-2</v>
      </c>
      <c r="V254" s="103">
        <f t="shared" si="368"/>
        <v>2.8672057398689887E-2</v>
      </c>
      <c r="W254" s="103">
        <f t="shared" ref="W254" si="369">IF(W36=0,0,W36/W$31)</f>
        <v>3.4742453319123782E-2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2.3467308995046161E-5</v>
      </c>
      <c r="O256" s="103">
        <f t="shared" si="376"/>
        <v>2.3332738563600414E-5</v>
      </c>
      <c r="P256" s="103">
        <f t="shared" si="376"/>
        <v>2.636408170794089E-5</v>
      </c>
      <c r="Q256" s="103">
        <f t="shared" si="376"/>
        <v>3.1697714921231432E-5</v>
      </c>
      <c r="R256" s="103">
        <f t="shared" si="376"/>
        <v>2.4093526197454595E-5</v>
      </c>
      <c r="S256" s="103">
        <f t="shared" si="376"/>
        <v>4.5816034123825242E-5</v>
      </c>
      <c r="T256" s="103">
        <f t="shared" si="376"/>
        <v>7.895897550242962E-5</v>
      </c>
      <c r="U256" s="103">
        <f t="shared" si="376"/>
        <v>1.1163647751741121E-4</v>
      </c>
      <c r="V256" s="103">
        <f t="shared" si="376"/>
        <v>2.7646243306741043E-4</v>
      </c>
      <c r="W256" s="103">
        <f t="shared" ref="W256" si="377">IF(W38=0,0,W38/W$31)</f>
        <v>7.0021503632684173E-4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2.9760777598566091E-7</v>
      </c>
      <c r="L257" s="103">
        <f t="shared" ref="L257" si="379">IF(L39=0,0,L39/L$31)</f>
        <v>5.447296294213158E-5</v>
      </c>
      <c r="M257" s="103">
        <f t="shared" ref="M257:V257" si="380">IF(M39=0,0,M39/M$31)</f>
        <v>1.2439776599092959E-4</v>
      </c>
      <c r="N257" s="103">
        <f t="shared" si="380"/>
        <v>2.2196988892978528E-4</v>
      </c>
      <c r="O257" s="103">
        <f t="shared" si="380"/>
        <v>2.7724598073937423E-4</v>
      </c>
      <c r="P257" s="103">
        <f t="shared" si="380"/>
        <v>3.0640718869032809E-4</v>
      </c>
      <c r="Q257" s="103">
        <f t="shared" si="380"/>
        <v>3.1882367999385607E-4</v>
      </c>
      <c r="R257" s="103">
        <f t="shared" si="380"/>
        <v>3.4898611520986945E-4</v>
      </c>
      <c r="S257" s="103">
        <f t="shared" si="380"/>
        <v>4.0973691544925607E-4</v>
      </c>
      <c r="T257" s="103">
        <f t="shared" si="380"/>
        <v>4.8161629740659764E-4</v>
      </c>
      <c r="U257" s="103">
        <f t="shared" si="380"/>
        <v>7.0682571058034414E-4</v>
      </c>
      <c r="V257" s="103">
        <f t="shared" si="380"/>
        <v>1.0939318490379595E-3</v>
      </c>
      <c r="W257" s="103">
        <f t="shared" ref="W257" si="381">IF(W39=0,0,W39/W$31)</f>
        <v>2.2366262741888624E-3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3.94242526503739E-2</v>
      </c>
      <c r="C258" s="156">
        <f t="shared" si="382"/>
        <v>3.4069253586343634E-2</v>
      </c>
      <c r="D258" s="156">
        <f t="shared" si="382"/>
        <v>3.1197811885198126E-2</v>
      </c>
      <c r="E258" s="156">
        <f t="shared" si="382"/>
        <v>3.3103513625314641E-2</v>
      </c>
      <c r="F258" s="156">
        <f t="shared" si="382"/>
        <v>3.5659272981519614E-2</v>
      </c>
      <c r="G258" s="156">
        <f t="shared" si="382"/>
        <v>3.6016736810130102E-2</v>
      </c>
      <c r="H258" s="156">
        <f t="shared" si="382"/>
        <v>3.2045291807914322E-2</v>
      </c>
      <c r="I258" s="156">
        <f t="shared" si="382"/>
        <v>3.4556726534667473E-2</v>
      </c>
      <c r="J258" s="156">
        <f t="shared" si="382"/>
        <v>4.5843720904556483E-2</v>
      </c>
      <c r="K258" s="156">
        <f t="shared" si="382"/>
        <v>4.4056906898898719E-2</v>
      </c>
      <c r="L258" s="156">
        <f t="shared" ref="L258" si="383">IF(L40=0,0,L40/L$31)</f>
        <v>4.3670722308209634E-2</v>
      </c>
      <c r="M258" s="156">
        <f t="shared" ref="M258:V258" si="384">IF(M40=0,0,M40/M$31)</f>
        <v>4.3375653831609226E-2</v>
      </c>
      <c r="N258" s="156">
        <f t="shared" si="384"/>
        <v>4.3095097379230569E-2</v>
      </c>
      <c r="O258" s="156">
        <f t="shared" si="384"/>
        <v>4.2813960270990277E-2</v>
      </c>
      <c r="P258" s="156">
        <f t="shared" si="384"/>
        <v>4.254322515959711E-2</v>
      </c>
      <c r="Q258" s="156">
        <f t="shared" si="384"/>
        <v>4.2222930675528056E-2</v>
      </c>
      <c r="R258" s="156">
        <f t="shared" si="384"/>
        <v>4.1866052847320714E-2</v>
      </c>
      <c r="S258" s="156">
        <f t="shared" si="384"/>
        <v>4.2044230508231056E-2</v>
      </c>
      <c r="T258" s="156">
        <f t="shared" si="384"/>
        <v>4.0538507323069878E-2</v>
      </c>
      <c r="U258" s="156">
        <f t="shared" si="384"/>
        <v>3.8760382552706633E-2</v>
      </c>
      <c r="V258" s="156">
        <f t="shared" si="384"/>
        <v>4.3386394764133827E-2</v>
      </c>
      <c r="W258" s="156">
        <f t="shared" ref="W258" si="385">IF(W40=0,0,W40/W$31)</f>
        <v>4.0568516607325363E-2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1.5388805186013235E-4</v>
      </c>
      <c r="K259" s="103">
        <f t="shared" si="386"/>
        <v>1.4635461020224755E-4</v>
      </c>
      <c r="L259" s="103">
        <f t="shared" ref="L259" si="387">IF(L41=0,0,L41/L$31)</f>
        <v>1.4349932452654076E-4</v>
      </c>
      <c r="M259" s="103">
        <f t="shared" ref="M259:V259" si="388">IF(M41=0,0,M41/M$31)</f>
        <v>1.3913207506771223E-4</v>
      </c>
      <c r="N259" s="103">
        <f t="shared" si="388"/>
        <v>1.2962371367785782E-4</v>
      </c>
      <c r="O259" s="103">
        <f t="shared" si="388"/>
        <v>1.2093166944718029E-4</v>
      </c>
      <c r="P259" s="103">
        <f t="shared" si="388"/>
        <v>1.1303936684862326E-4</v>
      </c>
      <c r="Q259" s="103">
        <f t="shared" si="388"/>
        <v>9.8165266298071925E-5</v>
      </c>
      <c r="R259" s="103">
        <f t="shared" si="388"/>
        <v>9.1829081595333318E-5</v>
      </c>
      <c r="S259" s="103">
        <f t="shared" si="388"/>
        <v>8.6720372150176083E-5</v>
      </c>
      <c r="T259" s="103">
        <f t="shared" si="388"/>
        <v>7.7288273054816031E-5</v>
      </c>
      <c r="U259" s="103">
        <f t="shared" si="388"/>
        <v>6.9693086295064802E-5</v>
      </c>
      <c r="V259" s="103">
        <f t="shared" si="388"/>
        <v>7.8342948011167658E-5</v>
      </c>
      <c r="W259" s="103">
        <f t="shared" ref="W259" si="389">IF(W41=0,0,W41/W$31)</f>
        <v>7.2756781649511412E-5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3.94242526503739E-2</v>
      </c>
      <c r="C260" s="103">
        <f t="shared" si="390"/>
        <v>3.4069253586343634E-2</v>
      </c>
      <c r="D260" s="103">
        <f t="shared" si="390"/>
        <v>3.1197811885198126E-2</v>
      </c>
      <c r="E260" s="103">
        <f t="shared" si="390"/>
        <v>3.3103513625314641E-2</v>
      </c>
      <c r="F260" s="103">
        <f t="shared" si="390"/>
        <v>3.5659272981519614E-2</v>
      </c>
      <c r="G260" s="103">
        <f t="shared" si="390"/>
        <v>3.6016736810130102E-2</v>
      </c>
      <c r="H260" s="103">
        <f t="shared" si="390"/>
        <v>3.2045291807914322E-2</v>
      </c>
      <c r="I260" s="103">
        <f t="shared" si="390"/>
        <v>3.4556726534667473E-2</v>
      </c>
      <c r="J260" s="103">
        <f t="shared" si="390"/>
        <v>4.5668393444338817E-2</v>
      </c>
      <c r="K260" s="103">
        <f t="shared" si="390"/>
        <v>4.3887126869864783E-2</v>
      </c>
      <c r="L260" s="103">
        <f t="shared" ref="L260" si="391">IF(L42=0,0,L42/L$31)</f>
        <v>4.3477699737509264E-2</v>
      </c>
      <c r="M260" s="103">
        <f t="shared" ref="M260:V260" si="392">IF(M42=0,0,M42/M$31)</f>
        <v>4.3177416071272262E-2</v>
      </c>
      <c r="N260" s="103">
        <f t="shared" si="392"/>
        <v>4.2908250440816482E-2</v>
      </c>
      <c r="O260" s="103">
        <f t="shared" si="392"/>
        <v>4.2634857816786574E-2</v>
      </c>
      <c r="P260" s="103">
        <f t="shared" si="392"/>
        <v>4.2373197339469232E-2</v>
      </c>
      <c r="Q260" s="103">
        <f t="shared" si="392"/>
        <v>4.2071589830781957E-2</v>
      </c>
      <c r="R260" s="103">
        <f t="shared" si="392"/>
        <v>4.1726333808673188E-2</v>
      </c>
      <c r="S260" s="103">
        <f t="shared" si="392"/>
        <v>4.1911367407780113E-2</v>
      </c>
      <c r="T260" s="103">
        <f t="shared" si="392"/>
        <v>4.0414998678359487E-2</v>
      </c>
      <c r="U260" s="103">
        <f t="shared" si="392"/>
        <v>3.8613130103822391E-2</v>
      </c>
      <c r="V260" s="103">
        <f t="shared" si="392"/>
        <v>4.3072661840661601E-2</v>
      </c>
      <c r="W260" s="103">
        <f t="shared" ref="W260" si="393">IF(W42=0,0,W42/W$31)</f>
        <v>4.027047192403229E-2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2.143940835752771E-5</v>
      </c>
      <c r="K261" s="103">
        <f t="shared" si="394"/>
        <v>2.3425418831684277E-5</v>
      </c>
      <c r="L261" s="103">
        <f t="shared" ref="L261" si="395">IF(L43=0,0,L43/L$31)</f>
        <v>4.9523246173833698E-5</v>
      </c>
      <c r="M261" s="103">
        <f t="shared" ref="M261:V261" si="396">IF(M43=0,0,M43/M$31)</f>
        <v>5.9105685269249369E-5</v>
      </c>
      <c r="N261" s="103">
        <f t="shared" si="396"/>
        <v>5.7223224736225985E-5</v>
      </c>
      <c r="O261" s="103">
        <f t="shared" si="396"/>
        <v>5.708932656129284E-5</v>
      </c>
      <c r="P261" s="103">
        <f t="shared" si="396"/>
        <v>5.4921233893785807E-5</v>
      </c>
      <c r="Q261" s="103">
        <f t="shared" si="396"/>
        <v>4.9222614704491773E-5</v>
      </c>
      <c r="R261" s="103">
        <f t="shared" si="396"/>
        <v>4.3173446642030132E-5</v>
      </c>
      <c r="S261" s="103">
        <f t="shared" si="396"/>
        <v>4.1517696883771788E-5</v>
      </c>
      <c r="T261" s="103">
        <f t="shared" si="396"/>
        <v>2.4466336978966909E-5</v>
      </c>
      <c r="U261" s="103">
        <f t="shared" si="396"/>
        <v>2.1627102330154321E-5</v>
      </c>
      <c r="V261" s="103">
        <f t="shared" si="396"/>
        <v>2.3564250465230997E-5</v>
      </c>
      <c r="W261" s="103">
        <f t="shared" ref="W261" si="397">IF(W43=0,0,W43/W$31)</f>
        <v>2.1573686391159176E-5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1.0814581952286775E-6</v>
      </c>
      <c r="P263" s="103">
        <f t="shared" si="404"/>
        <v>2.0672193854711026E-6</v>
      </c>
      <c r="Q263" s="103">
        <f t="shared" si="404"/>
        <v>3.9529637435465196E-6</v>
      </c>
      <c r="R263" s="103">
        <f t="shared" si="404"/>
        <v>4.7165104101685747E-6</v>
      </c>
      <c r="S263" s="103">
        <f t="shared" si="404"/>
        <v>4.6250314169922205E-6</v>
      </c>
      <c r="T263" s="103">
        <f t="shared" si="404"/>
        <v>2.1754034676609978E-5</v>
      </c>
      <c r="U263" s="103">
        <f t="shared" si="404"/>
        <v>5.5932260259024482E-5</v>
      </c>
      <c r="V263" s="103">
        <f t="shared" si="404"/>
        <v>2.1182572499582332E-4</v>
      </c>
      <c r="W263" s="103">
        <f t="shared" ref="W263" si="405">IF(W45=0,0,W45/W$31)</f>
        <v>2.0371421525239598E-4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0.74378183136940779</v>
      </c>
      <c r="C265" s="154">
        <f t="shared" si="410"/>
        <v>0.73636856083567703</v>
      </c>
      <c r="D265" s="154">
        <f t="shared" si="410"/>
        <v>0.7335481127686212</v>
      </c>
      <c r="E265" s="154">
        <f t="shared" si="410"/>
        <v>0.71672050786261376</v>
      </c>
      <c r="F265" s="154">
        <f t="shared" si="410"/>
        <v>0.70280485480662425</v>
      </c>
      <c r="G265" s="154">
        <f t="shared" si="410"/>
        <v>0.67185961379737902</v>
      </c>
      <c r="H265" s="154">
        <f t="shared" si="410"/>
        <v>0.69399053147265011</v>
      </c>
      <c r="I265" s="154">
        <f t="shared" si="410"/>
        <v>0.70393788002924229</v>
      </c>
      <c r="J265" s="154">
        <f t="shared" si="410"/>
        <v>0.74379383359031226</v>
      </c>
      <c r="K265" s="154">
        <f t="shared" si="410"/>
        <v>0.78361419874676985</v>
      </c>
      <c r="L265" s="154">
        <f t="shared" ref="L265" si="411">IF(L47=0,0,L47/L$46)</f>
        <v>0.85744467446827011</v>
      </c>
      <c r="M265" s="154">
        <f t="shared" ref="M265:V265" si="412">IF(M47=0,0,M47/M$46)</f>
        <v>0.86332679577727311</v>
      </c>
      <c r="N265" s="154">
        <f t="shared" si="412"/>
        <v>0.85809145750507865</v>
      </c>
      <c r="O265" s="154">
        <f t="shared" si="412"/>
        <v>0.86149270553077639</v>
      </c>
      <c r="P265" s="154">
        <f t="shared" si="412"/>
        <v>0.87361607310677081</v>
      </c>
      <c r="Q265" s="154">
        <f t="shared" si="412"/>
        <v>0.87951336816307402</v>
      </c>
      <c r="R265" s="154">
        <f t="shared" si="412"/>
        <v>0.87376545068993861</v>
      </c>
      <c r="S265" s="154">
        <f t="shared" si="412"/>
        <v>0.87141016038009078</v>
      </c>
      <c r="T265" s="154">
        <f t="shared" si="412"/>
        <v>0.8762645828915796</v>
      </c>
      <c r="U265" s="154">
        <f t="shared" si="412"/>
        <v>0.87054023817445547</v>
      </c>
      <c r="V265" s="154">
        <f t="shared" si="412"/>
        <v>0.88245272185924717</v>
      </c>
      <c r="W265" s="154">
        <f t="shared" ref="W265" si="413">IF(W47=0,0,W47/W$46)</f>
        <v>0.86652326770404509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0.25973599920616497</v>
      </c>
      <c r="C266" s="103">
        <f t="shared" si="414"/>
        <v>0.2519181062930087</v>
      </c>
      <c r="D266" s="103">
        <f t="shared" si="414"/>
        <v>0.24443166447675857</v>
      </c>
      <c r="E266" s="103">
        <f t="shared" si="414"/>
        <v>0.2321902523580934</v>
      </c>
      <c r="F266" s="103">
        <f t="shared" si="414"/>
        <v>0.22117199511535293</v>
      </c>
      <c r="G266" s="103">
        <f t="shared" si="414"/>
        <v>0.20581393148966523</v>
      </c>
      <c r="H266" s="103">
        <f t="shared" si="414"/>
        <v>0.20508361316182661</v>
      </c>
      <c r="I266" s="103">
        <f t="shared" si="414"/>
        <v>0.20183737051691186</v>
      </c>
      <c r="J266" s="103">
        <f t="shared" si="414"/>
        <v>0.18537560009774282</v>
      </c>
      <c r="K266" s="103">
        <f t="shared" si="414"/>
        <v>0.18634708103658032</v>
      </c>
      <c r="L266" s="103">
        <f t="shared" ref="L266" si="415">IF(L48=0,0,L48/L$46)</f>
        <v>0.19264438968913047</v>
      </c>
      <c r="M266" s="103">
        <f t="shared" ref="M266:V266" si="416">IF(M48=0,0,M48/M$46)</f>
        <v>0.17710968716446307</v>
      </c>
      <c r="N266" s="103">
        <f t="shared" si="416"/>
        <v>0.16329705365933128</v>
      </c>
      <c r="O266" s="103">
        <f t="shared" si="416"/>
        <v>0.14266988238438641</v>
      </c>
      <c r="P266" s="103">
        <f t="shared" si="416"/>
        <v>0.12375486068653743</v>
      </c>
      <c r="Q266" s="103">
        <f t="shared" si="416"/>
        <v>0.10418887353878588</v>
      </c>
      <c r="R266" s="103">
        <f t="shared" si="416"/>
        <v>0.10650473395415777</v>
      </c>
      <c r="S266" s="103">
        <f t="shared" si="416"/>
        <v>0.10192300507265684</v>
      </c>
      <c r="T266" s="103">
        <f t="shared" si="416"/>
        <v>9.5037987491613046E-2</v>
      </c>
      <c r="U266" s="103">
        <f t="shared" si="416"/>
        <v>8.5668062093369621E-2</v>
      </c>
      <c r="V266" s="103">
        <f t="shared" si="416"/>
        <v>8.0262018356566045E-2</v>
      </c>
      <c r="W266" s="103">
        <f t="shared" ref="W266" si="417">IF(W48=0,0,W48/W$46)</f>
        <v>7.4375835427069242E-2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0.48404583216324282</v>
      </c>
      <c r="C267" s="103">
        <f t="shared" si="418"/>
        <v>0.48445045454266833</v>
      </c>
      <c r="D267" s="103">
        <f t="shared" si="418"/>
        <v>0.48911644829186268</v>
      </c>
      <c r="E267" s="103">
        <f t="shared" si="418"/>
        <v>0.48453025550452034</v>
      </c>
      <c r="F267" s="103">
        <f t="shared" si="418"/>
        <v>0.48163285969127134</v>
      </c>
      <c r="G267" s="103">
        <f t="shared" si="418"/>
        <v>0.46604568230771376</v>
      </c>
      <c r="H267" s="103">
        <f t="shared" si="418"/>
        <v>0.4889069183108235</v>
      </c>
      <c r="I267" s="103">
        <f t="shared" si="418"/>
        <v>0.50210050951233043</v>
      </c>
      <c r="J267" s="103">
        <f t="shared" si="418"/>
        <v>0.55841604616085749</v>
      </c>
      <c r="K267" s="103">
        <f t="shared" si="418"/>
        <v>0.59726487384555738</v>
      </c>
      <c r="L267" s="103">
        <f t="shared" ref="L267" si="419">IF(L49=0,0,L49/L$46)</f>
        <v>0.66479536614272228</v>
      </c>
      <c r="M267" s="103">
        <f t="shared" ref="M267:V267" si="420">IF(M49=0,0,M49/M$46)</f>
        <v>0.68620888560055882</v>
      </c>
      <c r="N267" s="103">
        <f t="shared" si="420"/>
        <v>0.6947764589102382</v>
      </c>
      <c r="O267" s="103">
        <f t="shared" si="420"/>
        <v>0.71880154329271573</v>
      </c>
      <c r="P267" s="103">
        <f t="shared" si="420"/>
        <v>0.74983629598040569</v>
      </c>
      <c r="Q267" s="103">
        <f t="shared" si="420"/>
        <v>0.77530356797952571</v>
      </c>
      <c r="R267" s="103">
        <f t="shared" si="420"/>
        <v>0.76723875600486535</v>
      </c>
      <c r="S267" s="103">
        <f t="shared" si="420"/>
        <v>0.7694536117546894</v>
      </c>
      <c r="T267" s="103">
        <f t="shared" si="420"/>
        <v>0.78116283569940281</v>
      </c>
      <c r="U267" s="103">
        <f t="shared" si="420"/>
        <v>0.78477063089208132</v>
      </c>
      <c r="V267" s="103">
        <f t="shared" si="420"/>
        <v>0.80203064470294305</v>
      </c>
      <c r="W267" s="103">
        <f t="shared" ref="W267" si="421">IF(W49=0,0,W49/W$46)</f>
        <v>0.79193294899591971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2.1873317119035946E-6</v>
      </c>
      <c r="K268" s="103">
        <f t="shared" si="422"/>
        <v>2.2438646321894095E-6</v>
      </c>
      <c r="L268" s="103">
        <f t="shared" ref="L268" si="423">IF(L50=0,0,L50/L$46)</f>
        <v>2.4310848394951988E-6</v>
      </c>
      <c r="M268" s="103">
        <f t="shared" ref="M268:V268" si="424">IF(M50=0,0,M50/M$46)</f>
        <v>4.6670430680831061E-6</v>
      </c>
      <c r="N268" s="103">
        <f t="shared" si="424"/>
        <v>1.1177323436257889E-5</v>
      </c>
      <c r="O268" s="103">
        <f t="shared" si="424"/>
        <v>1.0577482500373367E-5</v>
      </c>
      <c r="P268" s="103">
        <f t="shared" si="424"/>
        <v>1.1877567875364769E-5</v>
      </c>
      <c r="Q268" s="103">
        <f t="shared" si="424"/>
        <v>9.4284259081223029E-6</v>
      </c>
      <c r="R268" s="103">
        <f t="shared" si="424"/>
        <v>1.1845510801851179E-5</v>
      </c>
      <c r="S268" s="103">
        <f t="shared" si="424"/>
        <v>1.1176432885458906E-5</v>
      </c>
      <c r="T268" s="103">
        <f t="shared" si="424"/>
        <v>9.6356126443288515E-6</v>
      </c>
      <c r="U268" s="103">
        <f t="shared" si="424"/>
        <v>9.0141068250972761E-6</v>
      </c>
      <c r="V268" s="103">
        <f t="shared" si="424"/>
        <v>7.9395810024969302E-6</v>
      </c>
      <c r="W268" s="103">
        <f t="shared" ref="W268" si="425">IF(W50=0,0,W50/W$46)</f>
        <v>1.1481164372137137E-5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2.4875515778983739E-6</v>
      </c>
      <c r="M270" s="103">
        <f t="shared" ref="M270:V270" si="432">IF(M52=0,0,M52/M$46)</f>
        <v>3.5559691830024819E-6</v>
      </c>
      <c r="N270" s="103">
        <f t="shared" si="432"/>
        <v>6.7676120729624623E-6</v>
      </c>
      <c r="O270" s="103">
        <f t="shared" si="432"/>
        <v>1.0702371174058938E-5</v>
      </c>
      <c r="P270" s="103">
        <f t="shared" si="432"/>
        <v>1.3038871952378449E-5</v>
      </c>
      <c r="Q270" s="103">
        <f t="shared" si="432"/>
        <v>1.149821885428522E-5</v>
      </c>
      <c r="R270" s="103">
        <f t="shared" si="432"/>
        <v>1.0115220113686579E-5</v>
      </c>
      <c r="S270" s="103">
        <f t="shared" si="432"/>
        <v>2.2367119859212668E-5</v>
      </c>
      <c r="T270" s="103">
        <f t="shared" si="432"/>
        <v>5.4124087919279223E-5</v>
      </c>
      <c r="U270" s="103">
        <f t="shared" si="432"/>
        <v>9.2531082179422554E-5</v>
      </c>
      <c r="V270" s="103">
        <f t="shared" si="432"/>
        <v>1.5211921873565308E-4</v>
      </c>
      <c r="W270" s="103">
        <f t="shared" ref="W270" si="433">IF(W52=0,0,W52/W$46)</f>
        <v>2.0300211668400207E-4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0.2562181686305921</v>
      </c>
      <c r="C271" s="156">
        <f t="shared" si="434"/>
        <v>0.26363143916432297</v>
      </c>
      <c r="D271" s="156">
        <f t="shared" si="434"/>
        <v>0.2664518872313788</v>
      </c>
      <c r="E271" s="156">
        <f t="shared" si="434"/>
        <v>0.28327949213738629</v>
      </c>
      <c r="F271" s="156">
        <f t="shared" si="434"/>
        <v>0.29719514519337575</v>
      </c>
      <c r="G271" s="156">
        <f t="shared" si="434"/>
        <v>0.32814038620262093</v>
      </c>
      <c r="H271" s="156">
        <f t="shared" si="434"/>
        <v>0.30600946852734984</v>
      </c>
      <c r="I271" s="156">
        <f t="shared" si="434"/>
        <v>0.29606211997075771</v>
      </c>
      <c r="J271" s="156">
        <f t="shared" si="434"/>
        <v>0.25620616640968774</v>
      </c>
      <c r="K271" s="156">
        <f t="shared" si="434"/>
        <v>0.21638580125323015</v>
      </c>
      <c r="L271" s="156">
        <f t="shared" ref="L271" si="435">IF(L53=0,0,L53/L$46)</f>
        <v>0.14255532553172992</v>
      </c>
      <c r="M271" s="156">
        <f t="shared" ref="M271:V271" si="436">IF(M53=0,0,M53/M$46)</f>
        <v>0.1366732042227268</v>
      </c>
      <c r="N271" s="156">
        <f t="shared" si="436"/>
        <v>0.1419085424949213</v>
      </c>
      <c r="O271" s="156">
        <f t="shared" si="436"/>
        <v>0.1385072944692235</v>
      </c>
      <c r="P271" s="156">
        <f t="shared" si="436"/>
        <v>0.12638392689322919</v>
      </c>
      <c r="Q271" s="156">
        <f t="shared" si="436"/>
        <v>0.12048663183692594</v>
      </c>
      <c r="R271" s="156">
        <f t="shared" si="436"/>
        <v>0.12623454931006137</v>
      </c>
      <c r="S271" s="156">
        <f t="shared" si="436"/>
        <v>0.12858983961990925</v>
      </c>
      <c r="T271" s="156">
        <f t="shared" si="436"/>
        <v>0.12373541710842038</v>
      </c>
      <c r="U271" s="156">
        <f t="shared" si="436"/>
        <v>0.12945976182554461</v>
      </c>
      <c r="V271" s="156">
        <f t="shared" si="436"/>
        <v>0.11754727814075284</v>
      </c>
      <c r="W271" s="156">
        <f t="shared" ref="W271" si="437">IF(W53=0,0,W53/W$46)</f>
        <v>0.13347673229595489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0.13097197173562897</v>
      </c>
      <c r="C272" s="104">
        <f t="shared" si="438"/>
        <v>0.13508558230863238</v>
      </c>
      <c r="D272" s="104">
        <f t="shared" si="438"/>
        <v>0.1352152933115412</v>
      </c>
      <c r="E272" s="104">
        <f t="shared" si="438"/>
        <v>0.15748408370248207</v>
      </c>
      <c r="F272" s="104">
        <f t="shared" si="438"/>
        <v>0.15815951953648538</v>
      </c>
      <c r="G272" s="104">
        <f t="shared" si="438"/>
        <v>0.19447500979222795</v>
      </c>
      <c r="H272" s="104">
        <f t="shared" si="438"/>
        <v>0.21279808667236824</v>
      </c>
      <c r="I272" s="104">
        <f t="shared" si="438"/>
        <v>0.20495614189163161</v>
      </c>
      <c r="J272" s="104">
        <f t="shared" si="438"/>
        <v>0.18943723753007383</v>
      </c>
      <c r="K272" s="104">
        <f t="shared" si="438"/>
        <v>0.17809337445863185</v>
      </c>
      <c r="L272" s="104">
        <f t="shared" ref="L272" si="439">IF(L54=0,0,L54/L$46)</f>
        <v>0.10927717254407672</v>
      </c>
      <c r="M272" s="104">
        <f t="shared" ref="M272:V272" si="440">IF(M54=0,0,M54/M$46)</f>
        <v>0.10423193051282452</v>
      </c>
      <c r="N272" s="104">
        <f t="shared" si="440"/>
        <v>0.10571385766789801</v>
      </c>
      <c r="O272" s="104">
        <f t="shared" si="440"/>
        <v>0.10167746838799172</v>
      </c>
      <c r="P272" s="104">
        <f t="shared" si="440"/>
        <v>9.2689474118554313E-2</v>
      </c>
      <c r="Q272" s="104">
        <f t="shared" si="440"/>
        <v>8.8124445366978582E-2</v>
      </c>
      <c r="R272" s="104">
        <f t="shared" si="440"/>
        <v>9.1533888545320477E-2</v>
      </c>
      <c r="S272" s="104">
        <f t="shared" si="440"/>
        <v>9.0022528377693797E-2</v>
      </c>
      <c r="T272" s="104">
        <f t="shared" si="440"/>
        <v>8.9848261178343783E-2</v>
      </c>
      <c r="U272" s="104">
        <f t="shared" si="440"/>
        <v>9.727934091008808E-2</v>
      </c>
      <c r="V272" s="104">
        <f t="shared" si="440"/>
        <v>9.3015408106768824E-2</v>
      </c>
      <c r="W272" s="104">
        <f t="shared" ref="W272" si="441">IF(W54=0,0,W54/W$46)</f>
        <v>0.10067280074832732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0.12524619689496316</v>
      </c>
      <c r="C273" s="105">
        <f t="shared" si="442"/>
        <v>0.12854585685569059</v>
      </c>
      <c r="D273" s="105">
        <f t="shared" si="442"/>
        <v>0.13123659391983761</v>
      </c>
      <c r="E273" s="105">
        <f t="shared" si="442"/>
        <v>0.12579540843490425</v>
      </c>
      <c r="F273" s="105">
        <f t="shared" si="442"/>
        <v>0.1390356256568904</v>
      </c>
      <c r="G273" s="105">
        <f t="shared" si="442"/>
        <v>0.13366537641039297</v>
      </c>
      <c r="H273" s="105">
        <f t="shared" si="442"/>
        <v>9.3211381854981554E-2</v>
      </c>
      <c r="I273" s="105">
        <f t="shared" si="442"/>
        <v>9.1105978079126085E-2</v>
      </c>
      <c r="J273" s="105">
        <f t="shared" si="442"/>
        <v>6.6768928879613929E-2</v>
      </c>
      <c r="K273" s="105">
        <f t="shared" si="442"/>
        <v>3.829242679459828E-2</v>
      </c>
      <c r="L273" s="105">
        <f t="shared" ref="L273" si="443">IF(L55=0,0,L55/L$46)</f>
        <v>3.3278152987653201E-2</v>
      </c>
      <c r="M273" s="105">
        <f t="shared" ref="M273:V273" si="444">IF(M55=0,0,M55/M$46)</f>
        <v>3.2441273709902269E-2</v>
      </c>
      <c r="N273" s="105">
        <f t="shared" si="444"/>
        <v>3.6194684827023281E-2</v>
      </c>
      <c r="O273" s="105">
        <f t="shared" si="444"/>
        <v>3.6829826081231774E-2</v>
      </c>
      <c r="P273" s="105">
        <f t="shared" si="444"/>
        <v>3.3694452774674852E-2</v>
      </c>
      <c r="Q273" s="105">
        <f t="shared" si="444"/>
        <v>3.2362186469947374E-2</v>
      </c>
      <c r="R273" s="105">
        <f t="shared" si="444"/>
        <v>3.4700660764740897E-2</v>
      </c>
      <c r="S273" s="105">
        <f t="shared" si="444"/>
        <v>3.8567311242215435E-2</v>
      </c>
      <c r="T273" s="105">
        <f t="shared" si="444"/>
        <v>3.3887155930076587E-2</v>
      </c>
      <c r="U273" s="105">
        <f t="shared" si="444"/>
        <v>3.2180420915456531E-2</v>
      </c>
      <c r="V273" s="105">
        <f t="shared" si="444"/>
        <v>2.4531870033984018E-2</v>
      </c>
      <c r="W273" s="105">
        <f t="shared" ref="W273" si="445">IF(W55=0,0,W55/W$46)</f>
        <v>3.2803931547627556E-2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2717.7700773860706</v>
      </c>
      <c r="C4" s="145">
        <f t="shared" si="0"/>
        <v>3497.8074806534819</v>
      </c>
      <c r="D4" s="145">
        <f t="shared" si="0"/>
        <v>3590.4533963886502</v>
      </c>
      <c r="E4" s="145">
        <f t="shared" si="0"/>
        <v>3879.2179707652622</v>
      </c>
      <c r="F4" s="145">
        <f t="shared" si="0"/>
        <v>4046.8783319002578</v>
      </c>
      <c r="G4" s="145">
        <f t="shared" si="0"/>
        <v>3854.276698194325</v>
      </c>
      <c r="H4" s="145">
        <f t="shared" si="0"/>
        <v>4005.6993981083401</v>
      </c>
      <c r="I4" s="145">
        <f t="shared" si="0"/>
        <v>4059.190197764402</v>
      </c>
      <c r="J4" s="145">
        <f t="shared" si="0"/>
        <v>4652.8545141874456</v>
      </c>
      <c r="K4" s="145">
        <f t="shared" si="0"/>
        <v>4825.3023913384804</v>
      </c>
      <c r="L4" s="145">
        <f t="shared" ref="L4" si="1">L5+L9+L10+L15</f>
        <v>4521.230116935717</v>
      </c>
      <c r="M4" s="145">
        <f t="shared" ref="M4:V4" si="2">M5+M9+M10+M15</f>
        <v>4748.8752556262707</v>
      </c>
      <c r="N4" s="145">
        <f t="shared" si="2"/>
        <v>4932.2876362303095</v>
      </c>
      <c r="O4" s="145">
        <f t="shared" si="2"/>
        <v>4838.649922518407</v>
      </c>
      <c r="P4" s="145">
        <f t="shared" si="2"/>
        <v>5001.3419691821837</v>
      </c>
      <c r="Q4" s="145">
        <f t="shared" si="2"/>
        <v>5054.9212292423426</v>
      </c>
      <c r="R4" s="145">
        <f t="shared" si="2"/>
        <v>5469.186531919865</v>
      </c>
      <c r="S4" s="145">
        <f t="shared" si="2"/>
        <v>5850.4662455863217</v>
      </c>
      <c r="T4" s="145">
        <f t="shared" si="2"/>
        <v>6023.7352634513945</v>
      </c>
      <c r="U4" s="145">
        <f t="shared" si="2"/>
        <v>6244.8688908996164</v>
      </c>
      <c r="V4" s="145">
        <f t="shared" si="2"/>
        <v>6179.4898545677725</v>
      </c>
      <c r="W4" s="145">
        <f t="shared" ref="W4" si="3">W5+W9+W10+W15</f>
        <v>6535.6826980589467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2717.7700773860706</v>
      </c>
      <c r="C5" s="97">
        <f t="shared" si="4"/>
        <v>3497.8074806534819</v>
      </c>
      <c r="D5" s="97">
        <f t="shared" si="4"/>
        <v>3590.4533963886502</v>
      </c>
      <c r="E5" s="97">
        <f t="shared" si="4"/>
        <v>3879.2179707652622</v>
      </c>
      <c r="F5" s="97">
        <f t="shared" si="4"/>
        <v>4046.8783319002578</v>
      </c>
      <c r="G5" s="97">
        <f t="shared" si="4"/>
        <v>3854.276698194325</v>
      </c>
      <c r="H5" s="97">
        <f t="shared" si="4"/>
        <v>4005.6993981083401</v>
      </c>
      <c r="I5" s="97">
        <f t="shared" si="4"/>
        <v>4018.758383490971</v>
      </c>
      <c r="J5" s="97">
        <f t="shared" si="4"/>
        <v>4545.7333619948404</v>
      </c>
      <c r="K5" s="97">
        <f t="shared" si="4"/>
        <v>4662.3594153052454</v>
      </c>
      <c r="L5" s="97">
        <f t="shared" ref="L5" si="5">SUM(L6:L8)</f>
        <v>4405.1161650902832</v>
      </c>
      <c r="M5" s="97">
        <f t="shared" ref="M5:V5" si="6">SUM(M6:M8)</f>
        <v>4552.8146173688729</v>
      </c>
      <c r="N5" s="97">
        <f t="shared" si="6"/>
        <v>4744.5638005159071</v>
      </c>
      <c r="O5" s="97">
        <f t="shared" si="6"/>
        <v>4635.0173688736031</v>
      </c>
      <c r="P5" s="97">
        <f t="shared" si="6"/>
        <v>4834.456577815994</v>
      </c>
      <c r="Q5" s="97">
        <f t="shared" si="6"/>
        <v>4852.1531384350819</v>
      </c>
      <c r="R5" s="97">
        <f t="shared" si="6"/>
        <v>5211.6938950988815</v>
      </c>
      <c r="S5" s="97">
        <f t="shared" si="6"/>
        <v>5552.8380051590721</v>
      </c>
      <c r="T5" s="97">
        <f t="shared" si="6"/>
        <v>5725.8723129836626</v>
      </c>
      <c r="U5" s="97">
        <f t="shared" si="6"/>
        <v>5830.7802235597592</v>
      </c>
      <c r="V5" s="97">
        <f t="shared" si="6"/>
        <v>5691.563714531384</v>
      </c>
      <c r="W5" s="97">
        <f t="shared" ref="W5" si="7">SUM(W6:W8)</f>
        <v>6033.4548581255367</v>
      </c>
      <c r="DA5" s="175"/>
    </row>
    <row r="6" spans="1:105" ht="11.45" customHeight="1" x14ac:dyDescent="0.25">
      <c r="A6" s="128" t="s">
        <v>52</v>
      </c>
      <c r="B6" s="97">
        <v>0</v>
      </c>
      <c r="C6" s="97">
        <v>0</v>
      </c>
      <c r="D6" s="97">
        <v>3.389251934651762</v>
      </c>
      <c r="E6" s="97">
        <v>7.9081685296646604</v>
      </c>
      <c r="F6" s="97">
        <v>92.638779019776422</v>
      </c>
      <c r="G6" s="97">
        <v>55.185984522785887</v>
      </c>
      <c r="H6" s="97">
        <v>18.39690455717971</v>
      </c>
      <c r="I6" s="97">
        <v>36.790713671539123</v>
      </c>
      <c r="J6" s="97">
        <v>50.587188306104892</v>
      </c>
      <c r="K6" s="97">
        <v>74.74196044711951</v>
      </c>
      <c r="L6" s="97">
        <v>19.54505588993981</v>
      </c>
      <c r="M6" s="97">
        <v>82.779019776440236</v>
      </c>
      <c r="N6" s="97">
        <v>57.485468615649182</v>
      </c>
      <c r="O6" s="97">
        <v>52.886586414445397</v>
      </c>
      <c r="P6" s="97">
        <v>58.635167669819431</v>
      </c>
      <c r="Q6" s="97">
        <v>63.233963886500419</v>
      </c>
      <c r="R6" s="97">
        <v>74.731040412725704</v>
      </c>
      <c r="S6" s="97">
        <v>90.119604471195174</v>
      </c>
      <c r="T6" s="97">
        <v>93.719432502149616</v>
      </c>
      <c r="U6" s="97">
        <v>98.625709372312983</v>
      </c>
      <c r="V6" s="97">
        <v>88.478245915735158</v>
      </c>
      <c r="W6" s="97">
        <v>89.354600171969039</v>
      </c>
      <c r="DA6" s="175" t="s">
        <v>629</v>
      </c>
    </row>
    <row r="7" spans="1:105" ht="11.45" customHeight="1" x14ac:dyDescent="0.25">
      <c r="A7" s="128" t="s">
        <v>53</v>
      </c>
      <c r="B7" s="97">
        <v>1305.6558039552883</v>
      </c>
      <c r="C7" s="97">
        <v>1670.707996560619</v>
      </c>
      <c r="D7" s="97">
        <v>1633.6391229578674</v>
      </c>
      <c r="E7" s="97">
        <v>1661.1254514187447</v>
      </c>
      <c r="F7" s="97">
        <v>1721.4603611349953</v>
      </c>
      <c r="G7" s="97">
        <v>1601.851762682717</v>
      </c>
      <c r="H7" s="97">
        <v>1498.9152192605329</v>
      </c>
      <c r="I7" s="97">
        <v>1518.1050730868442</v>
      </c>
      <c r="J7" s="97">
        <v>1514.6837489251934</v>
      </c>
      <c r="K7" s="97">
        <v>1500.3431642304386</v>
      </c>
      <c r="L7" s="97">
        <v>1412.297936371453</v>
      </c>
      <c r="M7" s="97">
        <v>1345.7879621668101</v>
      </c>
      <c r="N7" s="97">
        <v>1331.238865004299</v>
      </c>
      <c r="O7" s="97">
        <v>1267.84660361135</v>
      </c>
      <c r="P7" s="97">
        <v>1354.1017196904561</v>
      </c>
      <c r="Q7" s="97">
        <v>1268.8858125537399</v>
      </c>
      <c r="R7" s="97">
        <v>1326.042820292347</v>
      </c>
      <c r="S7" s="97">
        <v>1333.0787618228719</v>
      </c>
      <c r="T7" s="97">
        <v>1320.3086844368011</v>
      </c>
      <c r="U7" s="97">
        <v>1322.3434221840071</v>
      </c>
      <c r="V7" s="97">
        <v>1234.2603611349959</v>
      </c>
      <c r="W7" s="97">
        <v>1316.628460877042</v>
      </c>
      <c r="DA7" s="175" t="s">
        <v>630</v>
      </c>
    </row>
    <row r="8" spans="1:105" ht="11.45" customHeight="1" x14ac:dyDescent="0.25">
      <c r="A8" s="128" t="s">
        <v>54</v>
      </c>
      <c r="B8" s="97">
        <v>1412.1142734307823</v>
      </c>
      <c r="C8" s="97">
        <v>1827.0994840928629</v>
      </c>
      <c r="D8" s="97">
        <v>1953.425021496131</v>
      </c>
      <c r="E8" s="97">
        <v>2210.1843508168531</v>
      </c>
      <c r="F8" s="97">
        <v>2232.7791917454861</v>
      </c>
      <c r="G8" s="97">
        <v>2197.2389509888221</v>
      </c>
      <c r="H8" s="97">
        <v>2488.3872742906274</v>
      </c>
      <c r="I8" s="97">
        <v>2463.8625967325879</v>
      </c>
      <c r="J8" s="97">
        <v>2980.462424763542</v>
      </c>
      <c r="K8" s="97">
        <v>3087.2742906276872</v>
      </c>
      <c r="L8" s="97">
        <v>2973.2731728288909</v>
      </c>
      <c r="M8" s="97">
        <v>3124.2476354256228</v>
      </c>
      <c r="N8" s="97">
        <v>3355.839466895959</v>
      </c>
      <c r="O8" s="97">
        <v>3314.2841788478072</v>
      </c>
      <c r="P8" s="97">
        <v>3421.7196904557181</v>
      </c>
      <c r="Q8" s="97">
        <v>3520.033361994841</v>
      </c>
      <c r="R8" s="97">
        <v>3810.9200343938091</v>
      </c>
      <c r="S8" s="97">
        <v>4129.6396388650046</v>
      </c>
      <c r="T8" s="97">
        <v>4311.8441960447117</v>
      </c>
      <c r="U8" s="97">
        <v>4409.8110920034396</v>
      </c>
      <c r="V8" s="97">
        <v>4368.8251074806531</v>
      </c>
      <c r="W8" s="97">
        <v>4627.4717970765259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40.431814273430781</v>
      </c>
      <c r="J10" s="97">
        <f t="shared" si="8"/>
        <v>107.12115219260531</v>
      </c>
      <c r="K10" s="97">
        <f t="shared" si="8"/>
        <v>162.94282029234739</v>
      </c>
      <c r="L10" s="97">
        <f t="shared" si="8"/>
        <v>116.08452278589853</v>
      </c>
      <c r="M10" s="97">
        <f t="shared" si="8"/>
        <v>195.99036973344798</v>
      </c>
      <c r="N10" s="97">
        <f t="shared" si="8"/>
        <v>187.58770421324161</v>
      </c>
      <c r="O10" s="97">
        <f t="shared" si="8"/>
        <v>203.44213241616507</v>
      </c>
      <c r="P10" s="97">
        <f t="shared" si="8"/>
        <v>166.65030094582971</v>
      </c>
      <c r="Q10" s="97">
        <f t="shared" si="8"/>
        <v>202.47824591573516</v>
      </c>
      <c r="R10" s="97">
        <f t="shared" si="8"/>
        <v>257.15889939810825</v>
      </c>
      <c r="S10" s="97">
        <f t="shared" si="8"/>
        <v>297.23172828890802</v>
      </c>
      <c r="T10" s="97">
        <f t="shared" si="8"/>
        <v>297.07016337059326</v>
      </c>
      <c r="U10" s="97">
        <f t="shared" si="8"/>
        <v>412.34514187446257</v>
      </c>
      <c r="V10" s="97">
        <f t="shared" si="8"/>
        <v>483.25262252794488</v>
      </c>
      <c r="W10" s="97">
        <f t="shared" si="8"/>
        <v>495.76328460877033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2.5795356835769558</v>
      </c>
      <c r="L12" s="97">
        <v>47.076526225279437</v>
      </c>
      <c r="M12" s="97">
        <v>47.721410146173689</v>
      </c>
      <c r="N12" s="97">
        <v>59.329320722269991</v>
      </c>
      <c r="O12" s="97">
        <v>55.689337919174548</v>
      </c>
      <c r="P12" s="97">
        <v>41.606964746345653</v>
      </c>
      <c r="Q12" s="97">
        <v>61.450300945829753</v>
      </c>
      <c r="R12" s="97">
        <v>81.293551160791054</v>
      </c>
      <c r="S12" s="97">
        <v>91.07317282889079</v>
      </c>
      <c r="T12" s="97">
        <v>90.436887360275136</v>
      </c>
      <c r="U12" s="97">
        <v>97.8128116938951</v>
      </c>
      <c r="V12" s="97">
        <v>91.629406706792778</v>
      </c>
      <c r="W12" s="97">
        <v>120.9411865864144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40.431814273430781</v>
      </c>
      <c r="J13" s="97">
        <v>107.12115219260531</v>
      </c>
      <c r="K13" s="97">
        <v>160.36328460877044</v>
      </c>
      <c r="L13" s="97">
        <v>69.007996560619091</v>
      </c>
      <c r="M13" s="97">
        <v>148.26895958727428</v>
      </c>
      <c r="N13" s="97">
        <v>128.25838349097162</v>
      </c>
      <c r="O13" s="97">
        <v>147.75279449699053</v>
      </c>
      <c r="P13" s="97">
        <v>125.04333619948407</v>
      </c>
      <c r="Q13" s="97">
        <v>141.02794496990541</v>
      </c>
      <c r="R13" s="97">
        <v>175.86534823731722</v>
      </c>
      <c r="S13" s="97">
        <v>206.15855546001723</v>
      </c>
      <c r="T13" s="97">
        <v>206.63327601031813</v>
      </c>
      <c r="U13" s="97">
        <v>314.5323301805675</v>
      </c>
      <c r="V13" s="97">
        <v>391.62321582115209</v>
      </c>
      <c r="W13" s="97">
        <v>374.82209802235593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1.5574088784311104E-4</v>
      </c>
      <c r="L15" s="98">
        <v>2.9429059535234951E-2</v>
      </c>
      <c r="M15" s="98">
        <v>7.026852394996376E-2</v>
      </c>
      <c r="N15" s="98">
        <v>0.13613150116102651</v>
      </c>
      <c r="O15" s="98">
        <v>0.1904212286393864</v>
      </c>
      <c r="P15" s="98">
        <v>0.23509042035974614</v>
      </c>
      <c r="Q15" s="98">
        <v>0.28984489152536153</v>
      </c>
      <c r="R15" s="98">
        <v>0.3337374228748069</v>
      </c>
      <c r="S15" s="98">
        <v>0.3965121383416027</v>
      </c>
      <c r="T15" s="98">
        <v>0.79278709713886586</v>
      </c>
      <c r="U15" s="98">
        <v>1.7435254653944396</v>
      </c>
      <c r="V15" s="98">
        <v>4.6735175084432896</v>
      </c>
      <c r="W15" s="98">
        <v>6.464555324639921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2717.7700773860706</v>
      </c>
      <c r="C17" s="79">
        <f t="shared" si="9"/>
        <v>3497.8074806534819</v>
      </c>
      <c r="D17" s="79">
        <f t="shared" si="9"/>
        <v>3590.4533963886502</v>
      </c>
      <c r="E17" s="79">
        <f t="shared" si="9"/>
        <v>3879.2179707652622</v>
      </c>
      <c r="F17" s="79">
        <f t="shared" si="9"/>
        <v>4046.8783319002582</v>
      </c>
      <c r="G17" s="79">
        <f t="shared" si="9"/>
        <v>3854.276698194325</v>
      </c>
      <c r="H17" s="79">
        <f t="shared" si="9"/>
        <v>4005.6993981083401</v>
      </c>
      <c r="I17" s="79">
        <f t="shared" si="9"/>
        <v>4059.190197764402</v>
      </c>
      <c r="J17" s="79">
        <f t="shared" si="9"/>
        <v>4652.8545141874456</v>
      </c>
      <c r="K17" s="79">
        <f t="shared" si="9"/>
        <v>4825.3023913384804</v>
      </c>
      <c r="L17" s="79">
        <f t="shared" ref="L17" si="10">L18+L42</f>
        <v>4521.2301169357179</v>
      </c>
      <c r="M17" s="79">
        <f t="shared" ref="M17:V17" si="11">M18+M42</f>
        <v>4748.8752556262716</v>
      </c>
      <c r="N17" s="79">
        <f t="shared" si="11"/>
        <v>4932.2876362303105</v>
      </c>
      <c r="O17" s="79">
        <f t="shared" si="11"/>
        <v>4838.649922518407</v>
      </c>
      <c r="P17" s="79">
        <f t="shared" si="11"/>
        <v>5001.3419691821828</v>
      </c>
      <c r="Q17" s="79">
        <f t="shared" si="11"/>
        <v>5054.9212292423417</v>
      </c>
      <c r="R17" s="79">
        <f t="shared" si="11"/>
        <v>5469.1865319198641</v>
      </c>
      <c r="S17" s="79">
        <f t="shared" si="11"/>
        <v>5850.4662455863217</v>
      </c>
      <c r="T17" s="79">
        <f t="shared" si="11"/>
        <v>6023.7352634513954</v>
      </c>
      <c r="U17" s="79">
        <f t="shared" si="11"/>
        <v>6244.8688908996155</v>
      </c>
      <c r="V17" s="79">
        <f t="shared" si="11"/>
        <v>6179.4898545677715</v>
      </c>
      <c r="W17" s="79">
        <f t="shared" ref="W17" si="12">W18+W42</f>
        <v>6535.6826980589467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1792.5194175296947</v>
      </c>
      <c r="C18" s="32">
        <f t="shared" si="13"/>
        <v>2309.3446166441145</v>
      </c>
      <c r="D18" s="32">
        <f t="shared" si="13"/>
        <v>2312.3297339525739</v>
      </c>
      <c r="E18" s="32">
        <f t="shared" si="13"/>
        <v>2465.9693725140132</v>
      </c>
      <c r="F18" s="32">
        <f t="shared" si="13"/>
        <v>2706.2681637633209</v>
      </c>
      <c r="G18" s="32">
        <f t="shared" si="13"/>
        <v>2632.9097163541401</v>
      </c>
      <c r="H18" s="32">
        <f t="shared" si="13"/>
        <v>2591.9582232688176</v>
      </c>
      <c r="I18" s="32">
        <f t="shared" si="13"/>
        <v>2777.5962642285176</v>
      </c>
      <c r="J18" s="32">
        <f t="shared" si="13"/>
        <v>3265.5367857997185</v>
      </c>
      <c r="K18" s="32">
        <f t="shared" si="13"/>
        <v>3440.9767221564957</v>
      </c>
      <c r="L18" s="32">
        <f t="shared" ref="L18" si="14">L19+L21+L33</f>
        <v>3361.9329159247563</v>
      </c>
      <c r="M18" s="32">
        <f t="shared" ref="M18:V18" si="15">M19+M21+M33</f>
        <v>3519.9059718095141</v>
      </c>
      <c r="N18" s="32">
        <f t="shared" si="15"/>
        <v>3708.2052261021686</v>
      </c>
      <c r="O18" s="32">
        <f t="shared" si="15"/>
        <v>3595.9837835292792</v>
      </c>
      <c r="P18" s="32">
        <f t="shared" si="15"/>
        <v>3749.9060834881939</v>
      </c>
      <c r="Q18" s="32">
        <f t="shared" si="15"/>
        <v>3808.9202704995705</v>
      </c>
      <c r="R18" s="32">
        <f t="shared" si="15"/>
        <v>4108.1726828592855</v>
      </c>
      <c r="S18" s="32">
        <f t="shared" si="15"/>
        <v>4361.1387573036955</v>
      </c>
      <c r="T18" s="32">
        <f t="shared" si="15"/>
        <v>4518.3229126353544</v>
      </c>
      <c r="U18" s="32">
        <f t="shared" si="15"/>
        <v>4649.2824661289087</v>
      </c>
      <c r="V18" s="32">
        <f t="shared" si="15"/>
        <v>4579.7011669160929</v>
      </c>
      <c r="W18" s="32">
        <f t="shared" ref="W18" si="16">W19+W21+W33</f>
        <v>4831.7120345006833</v>
      </c>
      <c r="DA18" s="173" t="s">
        <v>390</v>
      </c>
    </row>
    <row r="19" spans="1:105" ht="11.45" customHeight="1" x14ac:dyDescent="0.25">
      <c r="A19" s="107" t="s">
        <v>181</v>
      </c>
      <c r="B19" s="129">
        <v>11.246861398307887</v>
      </c>
      <c r="C19" s="129">
        <v>11.18037148446431</v>
      </c>
      <c r="D19" s="129">
        <v>11.113758058581354</v>
      </c>
      <c r="E19" s="129">
        <v>11.159508476400392</v>
      </c>
      <c r="F19" s="129">
        <v>11.246218357345846</v>
      </c>
      <c r="G19" s="129">
        <v>10.776768052152489</v>
      </c>
      <c r="H19" s="129">
        <v>11.575487768818149</v>
      </c>
      <c r="I19" s="129">
        <v>12.304587099932776</v>
      </c>
      <c r="J19" s="129">
        <v>14.662563109553417</v>
      </c>
      <c r="K19" s="129">
        <v>15.658671803238512</v>
      </c>
      <c r="L19" s="129">
        <v>16.273549157241941</v>
      </c>
      <c r="M19" s="129">
        <v>16.99052509709837</v>
      </c>
      <c r="N19" s="129">
        <v>17.583804622233863</v>
      </c>
      <c r="O19" s="129">
        <v>18.516452506879912</v>
      </c>
      <c r="P19" s="129">
        <v>19.157003349259938</v>
      </c>
      <c r="Q19" s="129">
        <v>19.959343333999698</v>
      </c>
      <c r="R19" s="129">
        <v>21.280934585891849</v>
      </c>
      <c r="S19" s="129">
        <v>20.021041227723408</v>
      </c>
      <c r="T19" s="129">
        <v>18.94018351796683</v>
      </c>
      <c r="U19" s="129">
        <v>19.917794164300251</v>
      </c>
      <c r="V19" s="129">
        <v>17.97202949363659</v>
      </c>
      <c r="W19" s="129">
        <v>16.628489835296087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2.6875702041219383E-2</v>
      </c>
      <c r="L20" s="97">
        <v>0.52495242538101794</v>
      </c>
      <c r="M20" s="97">
        <v>0.58184884355078426</v>
      </c>
      <c r="N20" s="97">
        <v>0.75022224343868349</v>
      </c>
      <c r="O20" s="97">
        <v>0.7791016083231922</v>
      </c>
      <c r="P20" s="97">
        <v>0.57108247006424295</v>
      </c>
      <c r="Q20" s="97">
        <v>0.92195321325900348</v>
      </c>
      <c r="R20" s="97">
        <v>1.2292745214289753</v>
      </c>
      <c r="S20" s="97">
        <v>1.2803267008113564</v>
      </c>
      <c r="T20" s="97">
        <v>1.2141744603992213</v>
      </c>
      <c r="U20" s="97">
        <v>1.3718317770085293</v>
      </c>
      <c r="V20" s="97">
        <v>1.2420085287326859</v>
      </c>
      <c r="W20" s="97">
        <v>1.3989369456772434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1290.1163407964082</v>
      </c>
      <c r="C21" s="130">
        <f t="shared" si="17"/>
        <v>1719.957874283022</v>
      </c>
      <c r="D21" s="130">
        <f t="shared" si="17"/>
        <v>1749.4516170912243</v>
      </c>
      <c r="E21" s="130">
        <f t="shared" si="17"/>
        <v>1834.8489877189468</v>
      </c>
      <c r="F21" s="130">
        <f t="shared" si="17"/>
        <v>2037.3865205296845</v>
      </c>
      <c r="G21" s="130">
        <f t="shared" si="17"/>
        <v>2008.1800650578195</v>
      </c>
      <c r="H21" s="130">
        <f t="shared" si="17"/>
        <v>2012.2527055619712</v>
      </c>
      <c r="I21" s="130">
        <f t="shared" si="17"/>
        <v>2137.0761649480555</v>
      </c>
      <c r="J21" s="130">
        <f t="shared" si="17"/>
        <v>2379.7206618006098</v>
      </c>
      <c r="K21" s="130">
        <f t="shared" si="17"/>
        <v>2528.171257228259</v>
      </c>
      <c r="L21" s="130">
        <f t="shared" ref="L21" si="18">L22+L24+L26+L27+L29+L32</f>
        <v>2438.1381394233808</v>
      </c>
      <c r="M21" s="130">
        <f t="shared" ref="M21:V21" si="19">M22+M24+M26+M27+M29+M32</f>
        <v>2568.9000098565266</v>
      </c>
      <c r="N21" s="130">
        <f t="shared" si="19"/>
        <v>2725.0076986411204</v>
      </c>
      <c r="O21" s="130">
        <f t="shared" si="19"/>
        <v>2593.5098566693132</v>
      </c>
      <c r="P21" s="130">
        <f t="shared" si="19"/>
        <v>2703.4909129682951</v>
      </c>
      <c r="Q21" s="130">
        <f t="shared" si="19"/>
        <v>2725.8300681081014</v>
      </c>
      <c r="R21" s="130">
        <f t="shared" si="19"/>
        <v>2964.8343198458133</v>
      </c>
      <c r="S21" s="130">
        <f t="shared" si="19"/>
        <v>3157.4937976409396</v>
      </c>
      <c r="T21" s="130">
        <f t="shared" si="19"/>
        <v>3289.5645102548333</v>
      </c>
      <c r="U21" s="130">
        <f t="shared" si="19"/>
        <v>3392.6253249980891</v>
      </c>
      <c r="V21" s="130">
        <f t="shared" si="19"/>
        <v>3250.7908323591223</v>
      </c>
      <c r="W21" s="130">
        <f t="shared" ref="W21" si="20">W22+W24+W26+W27+W29+W32</f>
        <v>3470.3541461123468</v>
      </c>
      <c r="DA21" s="176" t="s">
        <v>392</v>
      </c>
    </row>
    <row r="22" spans="1:105" ht="11.45" customHeight="1" x14ac:dyDescent="0.25">
      <c r="A22" s="111" t="s">
        <v>110</v>
      </c>
      <c r="B22" s="96">
        <v>1125.0445257405315</v>
      </c>
      <c r="C22" s="96">
        <v>1491.354242448642</v>
      </c>
      <c r="D22" s="96">
        <v>1457.8051368075207</v>
      </c>
      <c r="E22" s="96">
        <v>1487.3465440020916</v>
      </c>
      <c r="F22" s="96">
        <v>1548.8705487420609</v>
      </c>
      <c r="G22" s="96">
        <v>1432.836008700312</v>
      </c>
      <c r="H22" s="96">
        <v>1323.7269644124217</v>
      </c>
      <c r="I22" s="96">
        <v>1342.6045925001167</v>
      </c>
      <c r="J22" s="96">
        <v>1340.2296925527728</v>
      </c>
      <c r="K22" s="96">
        <v>1333.7487416136</v>
      </c>
      <c r="L22" s="96">
        <v>1299.2449076398902</v>
      </c>
      <c r="M22" s="96">
        <v>1239.770190949107</v>
      </c>
      <c r="N22" s="96">
        <v>1242.5532225423578</v>
      </c>
      <c r="O22" s="96">
        <v>1184.8608385527596</v>
      </c>
      <c r="P22" s="96">
        <v>1267.0250932677777</v>
      </c>
      <c r="Q22" s="96">
        <v>1215.5206058887654</v>
      </c>
      <c r="R22" s="96">
        <v>1287.2329978568521</v>
      </c>
      <c r="S22" s="96">
        <v>1305.7472101924006</v>
      </c>
      <c r="T22" s="96">
        <v>1294.301564620863</v>
      </c>
      <c r="U22" s="96">
        <v>1307.0200310864855</v>
      </c>
      <c r="V22" s="96">
        <v>1217.5145754304124</v>
      </c>
      <c r="W22" s="96">
        <v>1332.536146991099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2.2891746010057443</v>
      </c>
      <c r="L23" s="96">
        <v>41.911064319118083</v>
      </c>
      <c r="M23" s="96">
        <v>42.456536672646209</v>
      </c>
      <c r="N23" s="96">
        <v>53.014184713414252</v>
      </c>
      <c r="O23" s="96">
        <v>49.854419177357393</v>
      </c>
      <c r="P23" s="96">
        <v>37.770824940879564</v>
      </c>
      <c r="Q23" s="96">
        <v>56.146793490580606</v>
      </c>
      <c r="R23" s="96">
        <v>74.355885124382212</v>
      </c>
      <c r="S23" s="96">
        <v>83.501302390023966</v>
      </c>
      <c r="T23" s="96">
        <v>82.972158233137364</v>
      </c>
      <c r="U23" s="96">
        <v>90.020591489233752</v>
      </c>
      <c r="V23" s="96">
        <v>84.139828897807178</v>
      </c>
      <c r="W23" s="96">
        <v>112.10483128295803</v>
      </c>
      <c r="DA23" s="171" t="s">
        <v>641</v>
      </c>
    </row>
    <row r="24" spans="1:105" ht="11.45" customHeight="1" x14ac:dyDescent="0.25">
      <c r="A24" s="111" t="s">
        <v>111</v>
      </c>
      <c r="B24" s="96">
        <v>165.0718150558767</v>
      </c>
      <c r="C24" s="96">
        <v>228.60363183437988</v>
      </c>
      <c r="D24" s="96">
        <v>288.25722834905179</v>
      </c>
      <c r="E24" s="96">
        <v>339.59427518719042</v>
      </c>
      <c r="F24" s="96">
        <v>395.87719276784713</v>
      </c>
      <c r="G24" s="96">
        <v>520.15807183472157</v>
      </c>
      <c r="H24" s="96">
        <v>670.12883659236968</v>
      </c>
      <c r="I24" s="96">
        <v>757.68085877639987</v>
      </c>
      <c r="J24" s="96">
        <v>989.24948970591754</v>
      </c>
      <c r="K24" s="96">
        <v>1120.0791357150017</v>
      </c>
      <c r="L24" s="96">
        <v>1120.18290751477</v>
      </c>
      <c r="M24" s="96">
        <v>1247.3629624029452</v>
      </c>
      <c r="N24" s="96">
        <v>1425.8897838095706</v>
      </c>
      <c r="O24" s="96">
        <v>1356.6968497619687</v>
      </c>
      <c r="P24" s="96">
        <v>1378.740278160345</v>
      </c>
      <c r="Q24" s="96">
        <v>1447.8801498663124</v>
      </c>
      <c r="R24" s="96">
        <v>1603.5880091426509</v>
      </c>
      <c r="S24" s="96">
        <v>1762.2296719231449</v>
      </c>
      <c r="T24" s="96">
        <v>1901.6453916728597</v>
      </c>
      <c r="U24" s="96">
        <v>1986.7054546988063</v>
      </c>
      <c r="V24" s="96">
        <v>1943.9376819598269</v>
      </c>
      <c r="W24" s="96">
        <v>2045.6494778137055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12.232751718786355</v>
      </c>
      <c r="J25" s="96">
        <v>34.321190828367271</v>
      </c>
      <c r="K25" s="96">
        <v>55.307762970420889</v>
      </c>
      <c r="L25" s="96">
        <v>25.409084146076982</v>
      </c>
      <c r="M25" s="96">
        <v>56.514674041693013</v>
      </c>
      <c r="N25" s="96">
        <v>52.490580506341495</v>
      </c>
      <c r="O25" s="96">
        <v>57.901100531554157</v>
      </c>
      <c r="P25" s="96">
        <v>48.608345930672272</v>
      </c>
      <c r="Q25" s="96">
        <v>55.773871284240407</v>
      </c>
      <c r="R25" s="96">
        <v>70.73758343895075</v>
      </c>
      <c r="S25" s="96">
        <v>83.790505754618593</v>
      </c>
      <c r="T25" s="96">
        <v>86.963633109046938</v>
      </c>
      <c r="U25" s="96">
        <v>132.26877053742709</v>
      </c>
      <c r="V25" s="96">
        <v>159.92004842035522</v>
      </c>
      <c r="W25" s="96">
        <v>153.28060389328908</v>
      </c>
      <c r="DA25" s="171" t="s">
        <v>643</v>
      </c>
    </row>
    <row r="26" spans="1:105" ht="11.45" customHeight="1" x14ac:dyDescent="0.25">
      <c r="A26" s="111" t="s">
        <v>112</v>
      </c>
      <c r="B26" s="96">
        <v>0</v>
      </c>
      <c r="C26" s="96">
        <v>0</v>
      </c>
      <c r="D26" s="96">
        <v>3.389251934651762</v>
      </c>
      <c r="E26" s="96">
        <v>7.9081685296646604</v>
      </c>
      <c r="F26" s="96">
        <v>92.638779019776422</v>
      </c>
      <c r="G26" s="96">
        <v>55.185984522785887</v>
      </c>
      <c r="H26" s="96">
        <v>18.39690455717971</v>
      </c>
      <c r="I26" s="96">
        <v>36.790713671539123</v>
      </c>
      <c r="J26" s="96">
        <v>50.241479541919624</v>
      </c>
      <c r="K26" s="96">
        <v>74.343224158769416</v>
      </c>
      <c r="L26" s="96">
        <v>18.68119805685933</v>
      </c>
      <c r="M26" s="96">
        <v>81.697043082511129</v>
      </c>
      <c r="N26" s="96">
        <v>56.380553537700031</v>
      </c>
      <c r="O26" s="96">
        <v>51.732911507607803</v>
      </c>
      <c r="P26" s="96">
        <v>57.471551516078364</v>
      </c>
      <c r="Q26" s="96">
        <v>62.143858327700727</v>
      </c>
      <c r="R26" s="96">
        <v>73.726657969066494</v>
      </c>
      <c r="S26" s="96">
        <v>89.134524004874365</v>
      </c>
      <c r="T26" s="96">
        <v>93.097488047343361</v>
      </c>
      <c r="U26" s="96">
        <v>98.035156389403127</v>
      </c>
      <c r="V26" s="96">
        <v>87.889497465789276</v>
      </c>
      <c r="W26" s="96">
        <v>88.757634894391401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5.8358322765239987E-2</v>
      </c>
      <c r="O29" s="96">
        <v>5.4493898804034567E-2</v>
      </c>
      <c r="P29" s="96">
        <v>6.1713035056014318E-2</v>
      </c>
      <c r="Q29" s="96">
        <v>7.1525653895507413E-2</v>
      </c>
      <c r="R29" s="96">
        <v>4.2750198346444848E-2</v>
      </c>
      <c r="S29" s="96">
        <v>9.3719330776480231E-2</v>
      </c>
      <c r="T29" s="96">
        <v>0.16206902948603802</v>
      </c>
      <c r="U29" s="96">
        <v>0.23073023134041865</v>
      </c>
      <c r="V29" s="96">
        <v>0.51839713926473463</v>
      </c>
      <c r="W29" s="96">
        <v>1.3365754599642834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2.0872624314679676E-3</v>
      </c>
      <c r="O30" s="96">
        <v>1.8782368284200593E-3</v>
      </c>
      <c r="P30" s="96">
        <v>1.4772001365720344E-3</v>
      </c>
      <c r="Q30" s="96">
        <v>2.5476391846231726E-3</v>
      </c>
      <c r="R30" s="96">
        <v>1.5819340351138093E-3</v>
      </c>
      <c r="S30" s="96">
        <v>4.0192789096921578E-3</v>
      </c>
      <c r="T30" s="96">
        <v>6.5843466970306273E-3</v>
      </c>
      <c r="U30" s="96">
        <v>1.0096254289360441E-2</v>
      </c>
      <c r="V30" s="96">
        <v>2.0439684853994031E-2</v>
      </c>
      <c r="W30" s="96">
        <v>5.7990195822633622E-2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9.4367996949083089E-3</v>
      </c>
      <c r="O31" s="96">
        <v>9.8549420125529849E-3</v>
      </c>
      <c r="P31" s="96">
        <v>1.2160248116757928E-2</v>
      </c>
      <c r="Q31" s="96">
        <v>1.6371873371983245E-2</v>
      </c>
      <c r="R31" s="96">
        <v>1.5364098550510854E-2</v>
      </c>
      <c r="S31" s="96">
        <v>3.0868068902717004E-2</v>
      </c>
      <c r="T31" s="96">
        <v>5.9358308041053465E-2</v>
      </c>
      <c r="U31" s="96">
        <v>8.4141474514541154E-2</v>
      </c>
      <c r="V31" s="96">
        <v>0.22263216620819284</v>
      </c>
      <c r="W31" s="96">
        <v>0.64727392656552984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1.5574088784311104E-4</v>
      </c>
      <c r="L32" s="96">
        <v>2.9126211861460631E-2</v>
      </c>
      <c r="M32" s="96">
        <v>6.9813421962999417E-2</v>
      </c>
      <c r="N32" s="96">
        <v>0.12578042872647166</v>
      </c>
      <c r="O32" s="96">
        <v>0.16476294817311943</v>
      </c>
      <c r="P32" s="96">
        <v>0.19227698903799509</v>
      </c>
      <c r="Q32" s="96">
        <v>0.21392837142709681</v>
      </c>
      <c r="R32" s="96">
        <v>0.24390467889791126</v>
      </c>
      <c r="S32" s="96">
        <v>0.2886721897431489</v>
      </c>
      <c r="T32" s="96">
        <v>0.35799688428097443</v>
      </c>
      <c r="U32" s="96">
        <v>0.63395259205393839</v>
      </c>
      <c r="V32" s="96">
        <v>0.93068036382885377</v>
      </c>
      <c r="W32" s="96">
        <v>2.0743109531868118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491.1562153349787</v>
      </c>
      <c r="C33" s="130">
        <f t="shared" si="21"/>
        <v>578.20637087662828</v>
      </c>
      <c r="D33" s="130">
        <f t="shared" si="21"/>
        <v>551.76435880276802</v>
      </c>
      <c r="E33" s="130">
        <f t="shared" si="21"/>
        <v>619.96087631866612</v>
      </c>
      <c r="F33" s="130">
        <f t="shared" si="21"/>
        <v>657.63542487629036</v>
      </c>
      <c r="G33" s="130">
        <f t="shared" si="21"/>
        <v>613.95288324416799</v>
      </c>
      <c r="H33" s="130">
        <f t="shared" si="21"/>
        <v>568.13002993802831</v>
      </c>
      <c r="I33" s="130">
        <f t="shared" si="21"/>
        <v>628.21551218052923</v>
      </c>
      <c r="J33" s="130">
        <f t="shared" si="21"/>
        <v>871.15356088955514</v>
      </c>
      <c r="K33" s="130">
        <f t="shared" si="21"/>
        <v>897.146793124998</v>
      </c>
      <c r="L33" s="130">
        <f t="shared" ref="L33" si="22">L34+L36+L38+L39+L41</f>
        <v>907.52122734413331</v>
      </c>
      <c r="M33" s="130">
        <f t="shared" ref="M33:V33" si="23">M34+M36+M38+M39+M41</f>
        <v>934.01543685588933</v>
      </c>
      <c r="N33" s="130">
        <f t="shared" si="23"/>
        <v>965.61372283881417</v>
      </c>
      <c r="O33" s="130">
        <f t="shared" si="23"/>
        <v>983.95747435308635</v>
      </c>
      <c r="P33" s="130">
        <f t="shared" si="23"/>
        <v>1027.2581671706389</v>
      </c>
      <c r="Q33" s="130">
        <f t="shared" si="23"/>
        <v>1063.1308590574697</v>
      </c>
      <c r="R33" s="130">
        <f t="shared" si="23"/>
        <v>1122.0574284275804</v>
      </c>
      <c r="S33" s="130">
        <f t="shared" si="23"/>
        <v>1183.6239184350322</v>
      </c>
      <c r="T33" s="130">
        <f t="shared" si="23"/>
        <v>1209.8182188625544</v>
      </c>
      <c r="U33" s="130">
        <f t="shared" si="23"/>
        <v>1236.7393469665196</v>
      </c>
      <c r="V33" s="130">
        <f t="shared" si="23"/>
        <v>1310.9383050633344</v>
      </c>
      <c r="W33" s="130">
        <f t="shared" ref="W33" si="24">W34+W36+W38+W39+W41</f>
        <v>1344.7293985530405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0.91182896252556267</v>
      </c>
      <c r="K34" s="97">
        <v>0.91672894910661695</v>
      </c>
      <c r="L34" s="97">
        <v>0.92296664962535457</v>
      </c>
      <c r="M34" s="97">
        <v>0.9360724998712725</v>
      </c>
      <c r="N34" s="97">
        <v>0.91272492102099045</v>
      </c>
      <c r="O34" s="97">
        <v>0.89132625130609344</v>
      </c>
      <c r="P34" s="97">
        <v>0.87195309415139599</v>
      </c>
      <c r="Q34" s="97">
        <v>0.79302003290368506</v>
      </c>
      <c r="R34" s="97">
        <v>0.77682321578118207</v>
      </c>
      <c r="S34" s="97">
        <v>0.74779009576973621</v>
      </c>
      <c r="T34" s="97">
        <v>0.70819810432334496</v>
      </c>
      <c r="U34" s="97">
        <v>0.68505311083220177</v>
      </c>
      <c r="V34" s="97">
        <v>0.70636351243326689</v>
      </c>
      <c r="W34" s="97">
        <v>0.72121007602939735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1.5734242596268002E-3</v>
      </c>
      <c r="L35" s="97">
        <v>2.9773073874976269E-2</v>
      </c>
      <c r="M35" s="97">
        <v>3.2056260675710775E-2</v>
      </c>
      <c r="N35" s="97">
        <v>3.8941887299232959E-2</v>
      </c>
      <c r="O35" s="97">
        <v>3.7503604736125219E-2</v>
      </c>
      <c r="P35" s="97">
        <v>2.5993477043860069E-2</v>
      </c>
      <c r="Q35" s="97">
        <v>3.6630832752341899E-2</v>
      </c>
      <c r="R35" s="97">
        <v>4.4872511729226322E-2</v>
      </c>
      <c r="S35" s="97">
        <v>4.7820471239554123E-2</v>
      </c>
      <c r="T35" s="97">
        <v>4.5399562805548466E-2</v>
      </c>
      <c r="U35" s="97">
        <v>4.7182816461803542E-2</v>
      </c>
      <c r="V35" s="97">
        <v>4.8815271927876901E-2</v>
      </c>
      <c r="W35" s="97">
        <v>6.0674627157701402E-2</v>
      </c>
      <c r="DA35" s="175" t="s">
        <v>652</v>
      </c>
    </row>
    <row r="36" spans="1:105" ht="11.45" customHeight="1" x14ac:dyDescent="0.25">
      <c r="A36" s="111" t="s">
        <v>111</v>
      </c>
      <c r="B36" s="97">
        <v>491.1562153349787</v>
      </c>
      <c r="C36" s="97">
        <v>578.20637087662828</v>
      </c>
      <c r="D36" s="97">
        <v>551.76435880276802</v>
      </c>
      <c r="E36" s="97">
        <v>619.96087631866612</v>
      </c>
      <c r="F36" s="97">
        <v>657.63542487629036</v>
      </c>
      <c r="G36" s="97">
        <v>613.95288324416799</v>
      </c>
      <c r="H36" s="97">
        <v>568.13002993802831</v>
      </c>
      <c r="I36" s="97">
        <v>628.21551218052923</v>
      </c>
      <c r="J36" s="97">
        <v>869.89929686039056</v>
      </c>
      <c r="K36" s="97">
        <v>895.83458889101598</v>
      </c>
      <c r="L36" s="97">
        <v>905.73764821749273</v>
      </c>
      <c r="M36" s="97">
        <v>932.00364752542305</v>
      </c>
      <c r="N36" s="97">
        <v>963.61099919591834</v>
      </c>
      <c r="O36" s="97">
        <v>981.91308500434752</v>
      </c>
      <c r="P36" s="97">
        <v>1025.2104235948225</v>
      </c>
      <c r="Q36" s="97">
        <v>1061.2032763847433</v>
      </c>
      <c r="R36" s="97">
        <v>1120.2184713141203</v>
      </c>
      <c r="S36" s="97">
        <v>1181.8333917497935</v>
      </c>
      <c r="T36" s="97">
        <v>1208.1376283730888</v>
      </c>
      <c r="U36" s="97">
        <v>1234.4735814296971</v>
      </c>
      <c r="V36" s="97">
        <v>1306.1747344536955</v>
      </c>
      <c r="W36" s="97">
        <v>1339.7505924078389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10.142534679845319</v>
      </c>
      <c r="J37" s="97">
        <v>30.180434844483472</v>
      </c>
      <c r="K37" s="97">
        <v>44.234916554767096</v>
      </c>
      <c r="L37" s="97">
        <v>20.544827066578581</v>
      </c>
      <c r="M37" s="97">
        <v>42.226588357329497</v>
      </c>
      <c r="N37" s="97">
        <v>35.472938585023634</v>
      </c>
      <c r="O37" s="97">
        <v>41.906081124947086</v>
      </c>
      <c r="P37" s="97">
        <v>36.144431051453324</v>
      </c>
      <c r="Q37" s="97">
        <v>40.878670067382188</v>
      </c>
      <c r="R37" s="97">
        <v>49.415153476236391</v>
      </c>
      <c r="S37" s="97">
        <v>56.193820357333216</v>
      </c>
      <c r="T37" s="97">
        <v>55.24901641448912</v>
      </c>
      <c r="U37" s="97">
        <v>82.187473986371458</v>
      </c>
      <c r="V37" s="97">
        <v>107.45381846227122</v>
      </c>
      <c r="W37" s="97">
        <v>100.38756986370028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0.34243506663907303</v>
      </c>
      <c r="K38" s="97">
        <v>0.39547528487531985</v>
      </c>
      <c r="L38" s="97">
        <v>0.86061247701523358</v>
      </c>
      <c r="M38" s="97">
        <v>1.0757168305950946</v>
      </c>
      <c r="N38" s="97">
        <v>1.0899987218748188</v>
      </c>
      <c r="O38" s="97">
        <v>1.1387962485838963</v>
      </c>
      <c r="P38" s="97">
        <v>1.1471488504013345</v>
      </c>
      <c r="Q38" s="97">
        <v>1.0768779419930794</v>
      </c>
      <c r="R38" s="97">
        <v>0.9893727422396299</v>
      </c>
      <c r="S38" s="97">
        <v>0.9699483580749424</v>
      </c>
      <c r="T38" s="97">
        <v>0.60812776506948962</v>
      </c>
      <c r="U38" s="97">
        <v>0.57676768838294568</v>
      </c>
      <c r="V38" s="97">
        <v>0.57644146847359723</v>
      </c>
      <c r="W38" s="97">
        <v>0.58029169752524501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1.4266848848882817E-2</v>
      </c>
      <c r="P41" s="97">
        <v>2.8641631263535292E-2</v>
      </c>
      <c r="Q41" s="97">
        <v>5.7684697829459168E-2</v>
      </c>
      <c r="R41" s="97">
        <v>7.2761155439361125E-2</v>
      </c>
      <c r="S41" s="97">
        <v>7.2788231394089103E-2</v>
      </c>
      <c r="T41" s="97">
        <v>0.36426462007287513</v>
      </c>
      <c r="U41" s="97">
        <v>1.0039447376073507</v>
      </c>
      <c r="V41" s="97">
        <v>3.4807656287320587</v>
      </c>
      <c r="W41" s="97">
        <v>3.6773043716469194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925.25065985637593</v>
      </c>
      <c r="C42" s="32">
        <f t="shared" si="25"/>
        <v>1188.4628640093674</v>
      </c>
      <c r="D42" s="32">
        <f t="shared" si="25"/>
        <v>1278.1236624360763</v>
      </c>
      <c r="E42" s="32">
        <f t="shared" si="25"/>
        <v>1413.2485982512492</v>
      </c>
      <c r="F42" s="32">
        <f t="shared" si="25"/>
        <v>1340.6101681369373</v>
      </c>
      <c r="G42" s="32">
        <f t="shared" si="25"/>
        <v>1221.366981840185</v>
      </c>
      <c r="H42" s="32">
        <f t="shared" si="25"/>
        <v>1413.7411748395225</v>
      </c>
      <c r="I42" s="32">
        <f t="shared" si="25"/>
        <v>1281.5939335358844</v>
      </c>
      <c r="J42" s="32">
        <f t="shared" si="25"/>
        <v>1387.3177283877267</v>
      </c>
      <c r="K42" s="32">
        <f t="shared" si="25"/>
        <v>1384.3256691819852</v>
      </c>
      <c r="L42" s="32">
        <f t="shared" ref="L42" si="26">L43+L52</f>
        <v>1159.2972010109615</v>
      </c>
      <c r="M42" s="32">
        <f t="shared" ref="M42:V42" si="27">M43+M52</f>
        <v>1228.9692838167571</v>
      </c>
      <c r="N42" s="32">
        <f t="shared" si="27"/>
        <v>1224.0824101281419</v>
      </c>
      <c r="O42" s="32">
        <f t="shared" si="27"/>
        <v>1242.6661389891274</v>
      </c>
      <c r="P42" s="32">
        <f t="shared" si="27"/>
        <v>1251.4358856939891</v>
      </c>
      <c r="Q42" s="32">
        <f t="shared" si="27"/>
        <v>1246.0009587427717</v>
      </c>
      <c r="R42" s="32">
        <f t="shared" si="27"/>
        <v>1361.0138490605787</v>
      </c>
      <c r="S42" s="32">
        <f t="shared" si="27"/>
        <v>1489.3274882826258</v>
      </c>
      <c r="T42" s="32">
        <f t="shared" si="27"/>
        <v>1505.4123508160405</v>
      </c>
      <c r="U42" s="32">
        <f t="shared" si="27"/>
        <v>1595.5864247707073</v>
      </c>
      <c r="V42" s="32">
        <f t="shared" si="27"/>
        <v>1599.7886876516791</v>
      </c>
      <c r="W42" s="32">
        <f t="shared" ref="W42" si="28">W43+W52</f>
        <v>1703.9706635582636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410.78614341779007</v>
      </c>
      <c r="C43" s="141">
        <f t="shared" si="29"/>
        <v>430.62414744589432</v>
      </c>
      <c r="D43" s="141">
        <f t="shared" si="29"/>
        <v>439.41583578013433</v>
      </c>
      <c r="E43" s="141">
        <f t="shared" si="29"/>
        <v>454.03094462703473</v>
      </c>
      <c r="F43" s="141">
        <f t="shared" si="29"/>
        <v>458.54400468877509</v>
      </c>
      <c r="G43" s="141">
        <f t="shared" si="29"/>
        <v>480.04467042872727</v>
      </c>
      <c r="H43" s="141">
        <f t="shared" si="29"/>
        <v>531.02379955391905</v>
      </c>
      <c r="I43" s="141">
        <f t="shared" si="29"/>
        <v>544.31972161757801</v>
      </c>
      <c r="J43" s="141">
        <f t="shared" si="29"/>
        <v>621.62413534737141</v>
      </c>
      <c r="K43" s="141">
        <f t="shared" si="29"/>
        <v>637.56323063089735</v>
      </c>
      <c r="L43" s="141">
        <f t="shared" ref="L43" si="30">L44+L46+L48+L49+L51</f>
        <v>631.8882392649133</v>
      </c>
      <c r="M43" s="141">
        <f t="shared" ref="M43:V43" si="31">M44+M46+M48+M49+M51</f>
        <v>669.58592983685458</v>
      </c>
      <c r="N43" s="141">
        <f t="shared" si="31"/>
        <v>713.39446318776049</v>
      </c>
      <c r="O43" s="141">
        <f t="shared" si="31"/>
        <v>732.98563535047049</v>
      </c>
      <c r="P43" s="141">
        <f t="shared" si="31"/>
        <v>782.20843639446991</v>
      </c>
      <c r="Q43" s="141">
        <f t="shared" si="31"/>
        <v>812.44118317516222</v>
      </c>
      <c r="R43" s="141">
        <f t="shared" si="31"/>
        <v>843.55859130429269</v>
      </c>
      <c r="S43" s="141">
        <f t="shared" si="31"/>
        <v>895.03933766992066</v>
      </c>
      <c r="T43" s="141">
        <f t="shared" si="31"/>
        <v>950.49566252976672</v>
      </c>
      <c r="U43" s="141">
        <f t="shared" si="31"/>
        <v>990.87993698267803</v>
      </c>
      <c r="V43" s="141">
        <f t="shared" si="31"/>
        <v>1023.5217912111973</v>
      </c>
      <c r="W43" s="141">
        <f t="shared" ref="W43" si="32">W44+W46+W48+W49+W51</f>
        <v>1066.5861438423638</v>
      </c>
      <c r="DA43" s="174" t="s">
        <v>399</v>
      </c>
    </row>
    <row r="44" spans="1:105" ht="11.45" customHeight="1" x14ac:dyDescent="0.25">
      <c r="A44" s="111" t="s">
        <v>110</v>
      </c>
      <c r="B44" s="96">
        <v>169.36441681644897</v>
      </c>
      <c r="C44" s="96">
        <v>168.17338262751267</v>
      </c>
      <c r="D44" s="96">
        <v>164.72022809176514</v>
      </c>
      <c r="E44" s="96">
        <v>162.61939894025264</v>
      </c>
      <c r="F44" s="96">
        <v>161.34359403558855</v>
      </c>
      <c r="G44" s="96">
        <v>158.2389859302526</v>
      </c>
      <c r="H44" s="96">
        <v>163.61276707929304</v>
      </c>
      <c r="I44" s="96">
        <v>163.19589348679472</v>
      </c>
      <c r="J44" s="96">
        <v>158.8796643003416</v>
      </c>
      <c r="K44" s="96">
        <v>152.59855754807032</v>
      </c>
      <c r="L44" s="96">
        <v>142.9330391499752</v>
      </c>
      <c r="M44" s="96">
        <v>135.81258376690738</v>
      </c>
      <c r="N44" s="96">
        <v>129.46951211788607</v>
      </c>
      <c r="O44" s="96">
        <v>119.22268526278731</v>
      </c>
      <c r="P44" s="96">
        <v>108.60508193867319</v>
      </c>
      <c r="Q44" s="96">
        <v>94.007990463377595</v>
      </c>
      <c r="R44" s="96">
        <v>98.018229694817123</v>
      </c>
      <c r="S44" s="96">
        <v>97.573041873994995</v>
      </c>
      <c r="T44" s="96">
        <v>96.692914832478294</v>
      </c>
      <c r="U44" s="96">
        <v>92.386766759458226</v>
      </c>
      <c r="V44" s="96">
        <v>89.401034432249958</v>
      </c>
      <c r="W44" s="96">
        <v>86.994499027633026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0.26191195627036534</v>
      </c>
      <c r="L45" s="96">
        <v>4.6107364069053611</v>
      </c>
      <c r="M45" s="96">
        <v>4.6509683693009851</v>
      </c>
      <c r="N45" s="96">
        <v>5.5238846156863577</v>
      </c>
      <c r="O45" s="96">
        <v>5.016435291929418</v>
      </c>
      <c r="P45" s="96">
        <v>3.2375866582214177</v>
      </c>
      <c r="Q45" s="96">
        <v>4.3423757700531791</v>
      </c>
      <c r="R45" s="96">
        <v>5.6619370692155195</v>
      </c>
      <c r="S45" s="96">
        <v>6.2397039879062071</v>
      </c>
      <c r="T45" s="96">
        <v>6.1985707572359869</v>
      </c>
      <c r="U45" s="96">
        <v>6.3631093569016546</v>
      </c>
      <c r="V45" s="96">
        <v>6.1783143234710405</v>
      </c>
      <c r="W45" s="96">
        <v>7.3187535347987831</v>
      </c>
      <c r="DA45" s="171" t="s">
        <v>660</v>
      </c>
    </row>
    <row r="46" spans="1:105" ht="11.45" customHeight="1" x14ac:dyDescent="0.25">
      <c r="A46" s="111" t="s">
        <v>111</v>
      </c>
      <c r="B46" s="96">
        <v>241.42172660134113</v>
      </c>
      <c r="C46" s="96">
        <v>262.45076481838163</v>
      </c>
      <c r="D46" s="96">
        <v>274.69560768836919</v>
      </c>
      <c r="E46" s="96">
        <v>291.41154568678206</v>
      </c>
      <c r="F46" s="96">
        <v>297.20041065318657</v>
      </c>
      <c r="G46" s="96">
        <v>321.8056844984747</v>
      </c>
      <c r="H46" s="96">
        <v>367.41103247462604</v>
      </c>
      <c r="I46" s="96">
        <v>381.12382813078329</v>
      </c>
      <c r="J46" s="96">
        <v>462.74119734948357</v>
      </c>
      <c r="K46" s="96">
        <v>484.96141207935221</v>
      </c>
      <c r="L46" s="96">
        <v>488.95165191119906</v>
      </c>
      <c r="M46" s="96">
        <v>533.7666311046263</v>
      </c>
      <c r="N46" s="96">
        <v>583.9091204410604</v>
      </c>
      <c r="O46" s="96">
        <v>613.74653493982464</v>
      </c>
      <c r="P46" s="96">
        <v>673.5848756005156</v>
      </c>
      <c r="Q46" s="96">
        <v>718.41810514608119</v>
      </c>
      <c r="R46" s="96">
        <v>745.52364441806901</v>
      </c>
      <c r="S46" s="96">
        <v>797.44698003937822</v>
      </c>
      <c r="T46" s="96">
        <v>853.77776372280766</v>
      </c>
      <c r="U46" s="96">
        <v>898.45789826747421</v>
      </c>
      <c r="V46" s="96">
        <v>934.06901044780079</v>
      </c>
      <c r="W46" s="96">
        <v>979.50930516143774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6.1532413147751699</v>
      </c>
      <c r="J47" s="96">
        <v>16.054422169174028</v>
      </c>
      <c r="K47" s="96">
        <v>23.946639102391224</v>
      </c>
      <c r="L47" s="96">
        <v>11.090879519254926</v>
      </c>
      <c r="M47" s="96">
        <v>24.183536052007547</v>
      </c>
      <c r="N47" s="96">
        <v>21.495159754221117</v>
      </c>
      <c r="O47" s="96">
        <v>26.193471169833305</v>
      </c>
      <c r="P47" s="96">
        <v>23.747653684670901</v>
      </c>
      <c r="Q47" s="96">
        <v>27.674223538726682</v>
      </c>
      <c r="R47" s="96">
        <v>32.886589761249894</v>
      </c>
      <c r="S47" s="96">
        <v>37.917013221706135</v>
      </c>
      <c r="T47" s="96">
        <v>39.043880907648024</v>
      </c>
      <c r="U47" s="96">
        <v>59.816577894027041</v>
      </c>
      <c r="V47" s="96">
        <v>76.842155365890264</v>
      </c>
      <c r="W47" s="96">
        <v>73.394674621726281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3.2736975461949624E-3</v>
      </c>
      <c r="K48" s="96">
        <v>3.2610034747717746E-3</v>
      </c>
      <c r="L48" s="96">
        <v>3.2453560652477907E-3</v>
      </c>
      <c r="M48" s="96">
        <v>6.2598633340019546E-3</v>
      </c>
      <c r="N48" s="96">
        <v>1.491635607432759E-2</v>
      </c>
      <c r="O48" s="96">
        <v>1.4878658253699493E-2</v>
      </c>
      <c r="P48" s="96">
        <v>1.6467303339727603E-2</v>
      </c>
      <c r="Q48" s="96">
        <v>1.3227616806611798E-2</v>
      </c>
      <c r="R48" s="96">
        <v>1.500970141958961E-2</v>
      </c>
      <c r="S48" s="96">
        <v>1.5132108245865099E-2</v>
      </c>
      <c r="T48" s="96">
        <v>1.3816689736773101E-2</v>
      </c>
      <c r="U48" s="96">
        <v>1.378529452690574E-2</v>
      </c>
      <c r="V48" s="96">
        <v>1.2306981472274259E-2</v>
      </c>
      <c r="W48" s="96">
        <v>1.6673580052399353E-2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3.0284767377431794E-4</v>
      </c>
      <c r="M51" s="96">
        <v>4.5510198696434789E-4</v>
      </c>
      <c r="N51" s="96">
        <v>9.1427273964655499E-4</v>
      </c>
      <c r="O51" s="96">
        <v>1.5364896048311711E-3</v>
      </c>
      <c r="P51" s="96">
        <v>2.0115519414578469E-3</v>
      </c>
      <c r="Q51" s="96">
        <v>1.85994889682227E-3</v>
      </c>
      <c r="R51" s="96">
        <v>1.7074899870236585E-3</v>
      </c>
      <c r="S51" s="96">
        <v>4.1836483016476564E-3</v>
      </c>
      <c r="T51" s="96">
        <v>1.1167284743962815E-2</v>
      </c>
      <c r="U51" s="96">
        <v>2.1486661218609364E-2</v>
      </c>
      <c r="V51" s="96">
        <v>3.9439349674184027E-2</v>
      </c>
      <c r="W51" s="96">
        <v>6.5666073240660622E-2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514.46451643858586</v>
      </c>
      <c r="C52" s="130">
        <f t="shared" si="33"/>
        <v>757.8387165634731</v>
      </c>
      <c r="D52" s="130">
        <f t="shared" si="33"/>
        <v>838.70782665594197</v>
      </c>
      <c r="E52" s="130">
        <f t="shared" si="33"/>
        <v>959.21765362421445</v>
      </c>
      <c r="F52" s="130">
        <f t="shared" si="33"/>
        <v>882.06616344816211</v>
      </c>
      <c r="G52" s="130">
        <f t="shared" si="33"/>
        <v>741.3223114114578</v>
      </c>
      <c r="H52" s="130">
        <f t="shared" si="33"/>
        <v>882.71737528560334</v>
      </c>
      <c r="I52" s="130">
        <f t="shared" si="33"/>
        <v>737.27421191830638</v>
      </c>
      <c r="J52" s="130">
        <f t="shared" si="33"/>
        <v>765.69359304035538</v>
      </c>
      <c r="K52" s="130">
        <f t="shared" si="33"/>
        <v>746.76243855108783</v>
      </c>
      <c r="L52" s="130">
        <f t="shared" ref="L52" si="34">L53+L55</f>
        <v>527.40896174604836</v>
      </c>
      <c r="M52" s="130">
        <f t="shared" ref="M52:V52" si="35">M53+M55</f>
        <v>559.38335397990261</v>
      </c>
      <c r="N52" s="130">
        <f t="shared" si="35"/>
        <v>510.68794694038127</v>
      </c>
      <c r="O52" s="130">
        <f t="shared" si="35"/>
        <v>509.68050363865689</v>
      </c>
      <c r="P52" s="130">
        <f t="shared" si="35"/>
        <v>469.22744929951921</v>
      </c>
      <c r="Q52" s="130">
        <f t="shared" si="35"/>
        <v>433.55977556760956</v>
      </c>
      <c r="R52" s="130">
        <f t="shared" si="35"/>
        <v>517.45525775628607</v>
      </c>
      <c r="S52" s="130">
        <f t="shared" si="35"/>
        <v>594.28815061270518</v>
      </c>
      <c r="T52" s="130">
        <f t="shared" si="35"/>
        <v>554.91668828627382</v>
      </c>
      <c r="U52" s="130">
        <f t="shared" si="35"/>
        <v>604.70648778802922</v>
      </c>
      <c r="V52" s="130">
        <f t="shared" si="35"/>
        <v>576.26689644048179</v>
      </c>
      <c r="W52" s="130">
        <f t="shared" ref="W52" si="36">W53+W55</f>
        <v>637.38451971589984</v>
      </c>
      <c r="DA52" s="176" t="s">
        <v>400</v>
      </c>
    </row>
    <row r="53" spans="1:105" ht="11.45" customHeight="1" x14ac:dyDescent="0.25">
      <c r="A53" s="128" t="s">
        <v>27</v>
      </c>
      <c r="B53" s="97">
        <v>263.58176549808633</v>
      </c>
      <c r="C53" s="97">
        <v>324.68170185982501</v>
      </c>
      <c r="D53" s="97">
        <v>344.45941917445509</v>
      </c>
      <c r="E53" s="97">
        <v>428.16036038936033</v>
      </c>
      <c r="F53" s="97">
        <v>418.83444108664185</v>
      </c>
      <c r="G53" s="97">
        <v>479.31508745819781</v>
      </c>
      <c r="H53" s="97">
        <v>600.10917605380098</v>
      </c>
      <c r="I53" s="97">
        <v>556.90654114825998</v>
      </c>
      <c r="J53" s="97">
        <v>577.10595811691883</v>
      </c>
      <c r="K53" s="97">
        <v>565.19853404415187</v>
      </c>
      <c r="L53" s="97">
        <v>341.23745423161068</v>
      </c>
      <c r="M53" s="97">
        <v>349.76685400873481</v>
      </c>
      <c r="N53" s="97">
        <v>341.68064157808601</v>
      </c>
      <c r="O53" s="97">
        <v>339.67324462183547</v>
      </c>
      <c r="P53" s="97">
        <v>321.53809795089194</v>
      </c>
      <c r="Q53" s="97">
        <v>308.83633970221604</v>
      </c>
      <c r="R53" s="97">
        <v>344.12053041886145</v>
      </c>
      <c r="S53" s="97">
        <v>366.33488182579867</v>
      </c>
      <c r="T53" s="97">
        <v>372.52018085536338</v>
      </c>
      <c r="U53" s="97">
        <v>420.88267446530676</v>
      </c>
      <c r="V53" s="97">
        <v>418.05702944709122</v>
      </c>
      <c r="W53" s="97">
        <v>457.81228150908521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8.991251883327811</v>
      </c>
      <c r="J54" s="97">
        <v>20.022212720682525</v>
      </c>
      <c r="K54" s="97">
        <v>27.90862319936759</v>
      </c>
      <c r="L54" s="97">
        <v>7.7402816363271212</v>
      </c>
      <c r="M54" s="97">
        <v>15.84699910185935</v>
      </c>
      <c r="N54" s="97">
        <v>12.578121694858966</v>
      </c>
      <c r="O54" s="97">
        <v>14.496572825520103</v>
      </c>
      <c r="P54" s="97">
        <v>11.336025604431956</v>
      </c>
      <c r="Q54" s="97">
        <v>11.896701712526262</v>
      </c>
      <c r="R54" s="97">
        <v>15.179868267145924</v>
      </c>
      <c r="S54" s="97">
        <v>17.418492897264542</v>
      </c>
      <c r="T54" s="97">
        <v>17.035620034881163</v>
      </c>
      <c r="U54" s="97">
        <v>28.021080709455276</v>
      </c>
      <c r="V54" s="97">
        <v>34.391894869925316</v>
      </c>
      <c r="W54" s="97">
        <v>34.303894064234072</v>
      </c>
      <c r="DA54" s="175" t="s">
        <v>668</v>
      </c>
    </row>
    <row r="55" spans="1:105" ht="11.45" customHeight="1" x14ac:dyDescent="0.25">
      <c r="A55" s="128" t="s">
        <v>116</v>
      </c>
      <c r="B55" s="97">
        <v>250.88275094049953</v>
      </c>
      <c r="C55" s="97">
        <v>433.15701470364809</v>
      </c>
      <c r="D55" s="97">
        <v>494.24840748148688</v>
      </c>
      <c r="E55" s="97">
        <v>531.05729323485411</v>
      </c>
      <c r="F55" s="97">
        <v>463.23172236152027</v>
      </c>
      <c r="G55" s="97">
        <v>262.00722395326</v>
      </c>
      <c r="H55" s="97">
        <v>282.60819923180236</v>
      </c>
      <c r="I55" s="97">
        <v>180.36767077004637</v>
      </c>
      <c r="J55" s="97">
        <v>188.58763492343653</v>
      </c>
      <c r="K55" s="97">
        <v>181.5639045069359</v>
      </c>
      <c r="L55" s="97">
        <v>186.17150751443762</v>
      </c>
      <c r="M55" s="97">
        <v>209.61649997116783</v>
      </c>
      <c r="N55" s="97">
        <v>169.00730536229528</v>
      </c>
      <c r="O55" s="97">
        <v>170.00725901682142</v>
      </c>
      <c r="P55" s="97">
        <v>147.68935134862727</v>
      </c>
      <c r="Q55" s="97">
        <v>124.7234358653935</v>
      </c>
      <c r="R55" s="97">
        <v>173.3347273374246</v>
      </c>
      <c r="S55" s="97">
        <v>227.95326878690648</v>
      </c>
      <c r="T55" s="97">
        <v>182.39650743091045</v>
      </c>
      <c r="U55" s="97">
        <v>183.82381332272249</v>
      </c>
      <c r="V55" s="97">
        <v>158.20986699339053</v>
      </c>
      <c r="W55" s="97">
        <v>179.57223820681466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2.9120346766961229</v>
      </c>
      <c r="J56" s="98">
        <v>6.5428916298980093</v>
      </c>
      <c r="K56" s="98">
        <v>8.9653427818236349</v>
      </c>
      <c r="L56" s="98">
        <v>4.2229241923814849</v>
      </c>
      <c r="M56" s="98">
        <v>9.4971620343848748</v>
      </c>
      <c r="N56" s="98">
        <v>6.2215829505264022</v>
      </c>
      <c r="O56" s="98">
        <v>7.2555688451358922</v>
      </c>
      <c r="P56" s="98">
        <v>5.2068799282556126</v>
      </c>
      <c r="Q56" s="98">
        <v>4.8044783670298692</v>
      </c>
      <c r="R56" s="98">
        <v>7.6461532937342698</v>
      </c>
      <c r="S56" s="98">
        <v>10.838723229094754</v>
      </c>
      <c r="T56" s="98">
        <v>8.3411255442528773</v>
      </c>
      <c r="U56" s="98">
        <v>12.238427053286641</v>
      </c>
      <c r="V56" s="98">
        <v>13.015298702710062</v>
      </c>
      <c r="W56" s="98">
        <v>13.455355579406246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10.401215638726484</v>
      </c>
      <c r="C60" s="79">
        <f>IF(C17=0,0,C17/TrRoad_act!C30*100)</f>
        <v>10.905365560567367</v>
      </c>
      <c r="D60" s="79">
        <f>IF(D17=0,0,D17/TrRoad_act!D30*100)</f>
        <v>10.882993145188264</v>
      </c>
      <c r="E60" s="79">
        <f>IF(E17=0,0,E17/TrRoad_act!E30*100)</f>
        <v>10.918125232494322</v>
      </c>
      <c r="F60" s="79">
        <f>IF(F17=0,0,F17/TrRoad_act!F30*100)</f>
        <v>10.697926695652571</v>
      </c>
      <c r="G60" s="79">
        <f>IF(G17=0,0,G17/TrRoad_act!G30*100)</f>
        <v>10.092849038086376</v>
      </c>
      <c r="H60" s="79">
        <f>IF(H17=0,0,H17/TrRoad_act!H30*100)</f>
        <v>10.210656633628936</v>
      </c>
      <c r="I60" s="79">
        <f>IF(I17=0,0,I17/TrRoad_act!I30*100)</f>
        <v>9.5591450592959273</v>
      </c>
      <c r="J60" s="79">
        <f>IF(J17=0,0,J17/TrRoad_act!J30*100)</f>
        <v>10.57884649122067</v>
      </c>
      <c r="K60" s="79">
        <f>IF(K17=0,0,K17/TrRoad_act!K30*100)</f>
        <v>10.54130730140953</v>
      </c>
      <c r="L60" s="79">
        <f>IF(L17=0,0,L17/TrRoad_act!L30*100)</f>
        <v>9.7953727208038952</v>
      </c>
      <c r="M60" s="79">
        <f>IF(M17=0,0,M17/TrRoad_act!M30*100)</f>
        <v>9.8248615986181598</v>
      </c>
      <c r="N60" s="79">
        <f>IF(N17=0,0,N17/TrRoad_act!N30*100)</f>
        <v>9.7429103637811156</v>
      </c>
      <c r="O60" s="79">
        <f>IF(O17=0,0,O17/TrRoad_act!O30*100)</f>
        <v>9.1204874162978733</v>
      </c>
      <c r="P60" s="79">
        <f>IF(P17=0,0,P17/TrRoad_act!P30*100)</f>
        <v>8.9784908297686439</v>
      </c>
      <c r="Q60" s="79">
        <f>IF(Q17=0,0,Q17/TrRoad_act!Q30*100)</f>
        <v>8.6649761718374663</v>
      </c>
      <c r="R60" s="79">
        <f>IF(R17=0,0,R17/TrRoad_act!R30*100)</f>
        <v>8.9600253583256624</v>
      </c>
      <c r="S60" s="79">
        <f>IF(S17=0,0,S17/TrRoad_act!S30*100)</f>
        <v>9.3277419994967143</v>
      </c>
      <c r="T60" s="79">
        <f>IF(T17=0,0,T17/TrRoad_act!T30*100)</f>
        <v>9.0110971982234513</v>
      </c>
      <c r="U60" s="79">
        <f>IF(U17=0,0,U17/TrRoad_act!U30*100)</f>
        <v>8.7166865483497009</v>
      </c>
      <c r="V60" s="79">
        <f>IF(V17=0,0,V17/TrRoad_act!V30*100)</f>
        <v>9.1932970135125061</v>
      </c>
      <c r="W60" s="79">
        <f>IF(W17=0,0,W17/TrRoad_act!W30*100)</f>
        <v>8.8961329342636084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8.605082789392636</v>
      </c>
      <c r="C61" s="32">
        <f>IF(C18=0,0,C18/TrRoad_act!C31*100)</f>
        <v>8.7015825661720552</v>
      </c>
      <c r="D61" s="32">
        <f>IF(D18=0,0,D18/TrRoad_act!D31*100)</f>
        <v>8.4738329036079989</v>
      </c>
      <c r="E61" s="32">
        <f>IF(E18=0,0,E18/TrRoad_act!E31*100)</f>
        <v>8.3739699398353427</v>
      </c>
      <c r="F61" s="32">
        <f>IF(F18=0,0,F18/TrRoad_act!F31*100)</f>
        <v>8.6400831193875103</v>
      </c>
      <c r="G61" s="32">
        <f>IF(G18=0,0,G18/TrRoad_act!G31*100)</f>
        <v>8.4436873696047599</v>
      </c>
      <c r="H61" s="32">
        <f>IF(H18=0,0,H18/TrRoad_act!H31*100)</f>
        <v>8.1686627494330324</v>
      </c>
      <c r="I61" s="32">
        <f>IF(I18=0,0,I18/TrRoad_act!I31*100)</f>
        <v>8.0042980852670969</v>
      </c>
      <c r="J61" s="32">
        <f>IF(J18=0,0,J18/TrRoad_act!J31*100)</f>
        <v>9.16744378516624</v>
      </c>
      <c r="K61" s="32">
        <f>IF(K18=0,0,K18/TrRoad_act!K31*100)</f>
        <v>9.1379620909780837</v>
      </c>
      <c r="L61" s="32">
        <f>IF(L18=0,0,L18/TrRoad_act!L31*100)</f>
        <v>8.6874579165786692</v>
      </c>
      <c r="M61" s="32">
        <f>IF(M18=0,0,M18/TrRoad_act!M31*100)</f>
        <v>8.689711038874421</v>
      </c>
      <c r="N61" s="32">
        <f>IF(N18=0,0,N18/TrRoad_act!N31*100)</f>
        <v>8.7468782332263082</v>
      </c>
      <c r="O61" s="32">
        <f>IF(O18=0,0,O18/TrRoad_act!O31*100)</f>
        <v>8.1030687812183082</v>
      </c>
      <c r="P61" s="32">
        <f>IF(P18=0,0,P18/TrRoad_act!P31*100)</f>
        <v>8.0735373905456065</v>
      </c>
      <c r="Q61" s="32">
        <f>IF(Q18=0,0,Q18/TrRoad_act!Q31*100)</f>
        <v>7.829784641183883</v>
      </c>
      <c r="R61" s="32">
        <f>IF(R18=0,0,R18/TrRoad_act!R31*100)</f>
        <v>8.0638999878463089</v>
      </c>
      <c r="S61" s="32">
        <f>IF(S18=0,0,S18/TrRoad_act!S31*100)</f>
        <v>8.3973096225161203</v>
      </c>
      <c r="T61" s="32">
        <f>IF(T18=0,0,T18/TrRoad_act!T31*100)</f>
        <v>8.1861110639631853</v>
      </c>
      <c r="U61" s="32">
        <f>IF(U18=0,0,U18/TrRoad_act!U31*100)</f>
        <v>7.8515859543172226</v>
      </c>
      <c r="V61" s="32">
        <f>IF(V18=0,0,V18/TrRoad_act!V31*100)</f>
        <v>8.4315483816183665</v>
      </c>
      <c r="W61" s="32">
        <f>IF(W18=0,0,W18/TrRoad_act!W31*100)</f>
        <v>8.0907380378561307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4.8878161441720911</v>
      </c>
      <c r="C62" s="141">
        <f>IF(C19=0,0,C19/TrRoad_act!C32*100)</f>
        <v>4.8807094994369873</v>
      </c>
      <c r="D62" s="141">
        <f>IF(D19=0,0,D19/TrRoad_act!D32*100)</f>
        <v>4.8734956121415154</v>
      </c>
      <c r="E62" s="141">
        <f>IF(E19=0,0,E19/TrRoad_act!E32*100)</f>
        <v>4.8561277058579391</v>
      </c>
      <c r="F62" s="141">
        <f>IF(F19=0,0,F19/TrRoad_act!F32*100)</f>
        <v>4.8366279096839406</v>
      </c>
      <c r="G62" s="141">
        <f>IF(G19=0,0,G19/TrRoad_act!G32*100)</f>
        <v>4.5818389977852254</v>
      </c>
      <c r="H62" s="141">
        <f>IF(H19=0,0,H19/TrRoad_act!H32*100)</f>
        <v>4.5060673357832641</v>
      </c>
      <c r="I62" s="141">
        <f>IF(I19=0,0,I19/TrRoad_act!I32*100)</f>
        <v>4.4434656639322982</v>
      </c>
      <c r="J62" s="141">
        <f>IF(J19=0,0,J19/TrRoad_act!J32*100)</f>
        <v>4.2648525624064622</v>
      </c>
      <c r="K62" s="141">
        <f>IF(K19=0,0,K19/TrRoad_act!K32*100)</f>
        <v>4.1654266341877291</v>
      </c>
      <c r="L62" s="141">
        <f>IF(L19=0,0,L19/TrRoad_act!L32*100)</f>
        <v>4.0975825650867277</v>
      </c>
      <c r="M62" s="141">
        <f>IF(M19=0,0,M19/TrRoad_act!M32*100)</f>
        <v>4.0286729020482692</v>
      </c>
      <c r="N62" s="141">
        <f>IF(N19=0,0,N19/TrRoad_act!N32*100)</f>
        <v>3.9646024130217046</v>
      </c>
      <c r="O62" s="141">
        <f>IF(O19=0,0,O19/TrRoad_act!O32*100)</f>
        <v>3.8900110308571239</v>
      </c>
      <c r="P62" s="141">
        <f>IF(P19=0,0,P19/TrRoad_act!P32*100)</f>
        <v>3.82772605284126</v>
      </c>
      <c r="Q62" s="141">
        <f>IF(Q19=0,0,Q19/TrRoad_act!Q32*100)</f>
        <v>3.7730327663515495</v>
      </c>
      <c r="R62" s="141">
        <f>IF(R19=0,0,R19/TrRoad_act!R32*100)</f>
        <v>3.7150188949459366</v>
      </c>
      <c r="S62" s="141">
        <f>IF(S19=0,0,S19/TrRoad_act!S32*100)</f>
        <v>3.6584782331560732</v>
      </c>
      <c r="T62" s="141">
        <f>IF(T19=0,0,T19/TrRoad_act!T32*100)</f>
        <v>3.5905534507374623</v>
      </c>
      <c r="U62" s="141">
        <f>IF(U19=0,0,U19/TrRoad_act!U32*100)</f>
        <v>3.5277472694979042</v>
      </c>
      <c r="V62" s="141">
        <f>IF(V19=0,0,V19/TrRoad_act!V32*100)</f>
        <v>3.491401177966555</v>
      </c>
      <c r="W62" s="141">
        <f>IF(W19=0,0,W19/TrRoad_act!W32*100)</f>
        <v>3.0545980430300816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6.5224613715849884</v>
      </c>
      <c r="C63" s="130">
        <f>IF(C21=0,0,C21/TrRoad_act!C33*100)</f>
        <v>6.7698580223088891</v>
      </c>
      <c r="D63" s="130">
        <f>IF(D21=0,0,D21/TrRoad_act!D33*100)</f>
        <v>6.6751262468841599</v>
      </c>
      <c r="E63" s="130">
        <f>IF(E21=0,0,E21/TrRoad_act!E33*100)</f>
        <v>6.4965592854184502</v>
      </c>
      <c r="F63" s="130">
        <f>IF(F21=0,0,F21/TrRoad_act!F33*100)</f>
        <v>6.7974522347820656</v>
      </c>
      <c r="G63" s="130">
        <f>IF(G21=0,0,G21/TrRoad_act!G33*100)</f>
        <v>6.7335018731946823</v>
      </c>
      <c r="H63" s="130">
        <f>IF(H21=0,0,H21/TrRoad_act!H33*100)</f>
        <v>6.6069060266477102</v>
      </c>
      <c r="I63" s="130">
        <f>IF(I21=0,0,I21/TrRoad_act!I33*100)</f>
        <v>6.4320880536450975</v>
      </c>
      <c r="J63" s="130">
        <f>IF(J21=0,0,J21/TrRoad_act!J33*100)</f>
        <v>7.0731935972350044</v>
      </c>
      <c r="K63" s="130">
        <f>IF(K21=0,0,K21/TrRoad_act!K33*100)</f>
        <v>7.0974331790667771</v>
      </c>
      <c r="L63" s="130">
        <f>IF(L21=0,0,L21/TrRoad_act!L33*100)</f>
        <v>6.6594788148233084</v>
      </c>
      <c r="M63" s="130">
        <f>IF(M21=0,0,M21/TrRoad_act!M33*100)</f>
        <v>6.7024363239448475</v>
      </c>
      <c r="N63" s="130">
        <f>IF(N21=0,0,N21/TrRoad_act!N33*100)</f>
        <v>6.7914498657266771</v>
      </c>
      <c r="O63" s="130">
        <f>IF(O21=0,0,O21/TrRoad_act!O33*100)</f>
        <v>6.1747223220146212</v>
      </c>
      <c r="P63" s="130">
        <f>IF(P21=0,0,P21/TrRoad_act!P33*100)</f>
        <v>6.1484339911092567</v>
      </c>
      <c r="Q63" s="130">
        <f>IF(Q21=0,0,Q21/TrRoad_act!Q33*100)</f>
        <v>5.9175420468582471</v>
      </c>
      <c r="R63" s="130">
        <f>IF(R21=0,0,R21/TrRoad_act!R33*100)</f>
        <v>6.146068955063571</v>
      </c>
      <c r="S63" s="130">
        <f>IF(S21=0,0,S21/TrRoad_act!S33*100)</f>
        <v>6.4171307609665744</v>
      </c>
      <c r="T63" s="130">
        <f>IF(T21=0,0,T21/TrRoad_act!T33*100)</f>
        <v>6.2742070823402276</v>
      </c>
      <c r="U63" s="130">
        <f>IF(U21=0,0,U21/TrRoad_act!U33*100)</f>
        <v>6.0201196849118412</v>
      </c>
      <c r="V63" s="130">
        <f>IF(V21=0,0,V21/TrRoad_act!V33*100)</f>
        <v>6.3189739845858091</v>
      </c>
      <c r="W63" s="130">
        <f>IF(W21=0,0,W21/TrRoad_act!W33*100)</f>
        <v>6.1149500073760699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6.5303197476737438</v>
      </c>
      <c r="C64" s="96">
        <f>IF(C22=0,0,C22/TrRoad_act!C34*100)</f>
        <v>6.7894533477125929</v>
      </c>
      <c r="D64" s="96">
        <f>IF(D22=0,0,D22/TrRoad_act!D34*100)</f>
        <v>6.7021996619769268</v>
      </c>
      <c r="E64" s="96">
        <f>IF(E22=0,0,E22/TrRoad_act!E34*100)</f>
        <v>6.6371116476104195</v>
      </c>
      <c r="F64" s="96">
        <f>IF(F22=0,0,F22/TrRoad_act!F34*100)</f>
        <v>6.7293406165066791</v>
      </c>
      <c r="G64" s="96">
        <f>IF(G22=0,0,G22/TrRoad_act!G34*100)</f>
        <v>6.8783552094842646</v>
      </c>
      <c r="H64" s="96">
        <f>IF(H22=0,0,H22/TrRoad_act!H34*100)</f>
        <v>6.7241732831635481</v>
      </c>
      <c r="I64" s="96">
        <f>IF(I22=0,0,I22/TrRoad_act!I34*100)</f>
        <v>6.8603345005359211</v>
      </c>
      <c r="J64" s="96">
        <f>IF(J22=0,0,J22/TrRoad_act!J34*100)</f>
        <v>7.847647279851663</v>
      </c>
      <c r="K64" s="96">
        <f>IF(K22=0,0,K22/TrRoad_act!K34*100)</f>
        <v>7.7821763411213203</v>
      </c>
      <c r="L64" s="96">
        <f>IF(L22=0,0,L22/TrRoad_act!L34*100)</f>
        <v>7.3028860980760193</v>
      </c>
      <c r="M64" s="96">
        <f>IF(M22=0,0,M22/TrRoad_act!M34*100)</f>
        <v>7.6491244638110327</v>
      </c>
      <c r="N64" s="96">
        <f>IF(N22=0,0,N22/TrRoad_act!N34*100)</f>
        <v>7.7085171366252636</v>
      </c>
      <c r="O64" s="96">
        <f>IF(O22=0,0,O22/TrRoad_act!O34*100)</f>
        <v>6.7163642586914163</v>
      </c>
      <c r="P64" s="96">
        <f>IF(P22=0,0,P22/TrRoad_act!P34*100)</f>
        <v>6.5452506345013273</v>
      </c>
      <c r="Q64" s="96">
        <f>IF(Q22=0,0,Q22/TrRoad_act!Q34*100)</f>
        <v>6.271318937611456</v>
      </c>
      <c r="R64" s="96">
        <f>IF(R22=0,0,R22/TrRoad_act!R34*100)</f>
        <v>6.8378322868355239</v>
      </c>
      <c r="S64" s="96">
        <f>IF(S22=0,0,S22/TrRoad_act!S34*100)</f>
        <v>7.0584252125290234</v>
      </c>
      <c r="T64" s="96">
        <f>IF(T22=0,0,T22/TrRoad_act!T34*100)</f>
        <v>6.9233467481853301</v>
      </c>
      <c r="U64" s="96">
        <f>IF(U22=0,0,U22/TrRoad_act!U34*100)</f>
        <v>6.7807850047160194</v>
      </c>
      <c r="V64" s="96">
        <f>IF(V22=0,0,V22/TrRoad_act!V34*100)</f>
        <v>6.6522798600287789</v>
      </c>
      <c r="W64" s="96">
        <f>IF(W22=0,0,W22/TrRoad_act!W34*100)</f>
        <v>6.5193448504908966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6.4694023412695962</v>
      </c>
      <c r="C65" s="96">
        <f>IF(C24=0,0,C24/TrRoad_act!C35*100)</f>
        <v>6.6447474986376376</v>
      </c>
      <c r="D65" s="96">
        <f>IF(D24=0,0,D24/TrRoad_act!D35*100)</f>
        <v>6.5306237222058776</v>
      </c>
      <c r="E65" s="96">
        <f>IF(E24=0,0,E24/TrRoad_act!E35*100)</f>
        <v>5.9342728677199448</v>
      </c>
      <c r="F65" s="96">
        <f>IF(F24=0,0,F24/TrRoad_act!F35*100)</f>
        <v>5.9199361107664883</v>
      </c>
      <c r="G65" s="96">
        <f>IF(G24=0,0,G24/TrRoad_act!G35*100)</f>
        <v>5.9615238084668825</v>
      </c>
      <c r="H65" s="96">
        <f>IF(H24=0,0,H24/TrRoad_act!H35*100)</f>
        <v>6.3799047046656634</v>
      </c>
      <c r="I65" s="96">
        <f>IF(I24=0,0,I24/TrRoad_act!I35*100)</f>
        <v>5.7062016137923903</v>
      </c>
      <c r="J65" s="96">
        <f>IF(J24=0,0,J24/TrRoad_act!J35*100)</f>
        <v>6.0914102922602709</v>
      </c>
      <c r="K65" s="96">
        <f>IF(K24=0,0,K24/TrRoad_act!K35*100)</f>
        <v>6.1584524227783408</v>
      </c>
      <c r="L65" s="96">
        <f>IF(L24=0,0,L24/TrRoad_act!L35*100)</f>
        <v>6.0339629741379399</v>
      </c>
      <c r="M65" s="96">
        <f>IF(M24=0,0,M24/TrRoad_act!M35*100)</f>
        <v>5.8496681457809068</v>
      </c>
      <c r="N65" s="96">
        <f>IF(N24=0,0,N24/TrRoad_act!N35*100)</f>
        <v>6.1188377523672477</v>
      </c>
      <c r="O65" s="96">
        <f>IF(O24=0,0,O24/TrRoad_act!O35*100)</f>
        <v>5.721205664221789</v>
      </c>
      <c r="P65" s="96">
        <f>IF(P24=0,0,P24/TrRoad_act!P35*100)</f>
        <v>5.7710266613371983</v>
      </c>
      <c r="Q65" s="96">
        <f>IF(Q24=0,0,Q24/TrRoad_act!Q35*100)</f>
        <v>5.6137630290398066</v>
      </c>
      <c r="R65" s="96">
        <f>IF(R24=0,0,R24/TrRoad_act!R35*100)</f>
        <v>5.6271642005459253</v>
      </c>
      <c r="S65" s="96">
        <f>IF(S24=0,0,S24/TrRoad_act!S35*100)</f>
        <v>5.9632752366252415</v>
      </c>
      <c r="T65" s="96">
        <f>IF(T24=0,0,T24/TrRoad_act!T35*100)</f>
        <v>5.8583790023963171</v>
      </c>
      <c r="U65" s="96">
        <f>IF(U24=0,0,U24/TrRoad_act!U35*100)</f>
        <v>5.5725730967132145</v>
      </c>
      <c r="V65" s="96">
        <f>IF(V24=0,0,V24/TrRoad_act!V35*100)</f>
        <v>6.1690946669282773</v>
      </c>
      <c r="W65" s="96">
        <f>IF(W24=0,0,W24/TrRoad_act!W35*100)</f>
        <v>6.0056529466657445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0</v>
      </c>
      <c r="C66" s="96">
        <f>IF(C26=0,0,C26/TrRoad_act!C36*100)</f>
        <v>0</v>
      </c>
      <c r="D66" s="96">
        <f>IF(D26=0,0,D26/TrRoad_act!D36*100)</f>
        <v>7.8018414667335829</v>
      </c>
      <c r="E66" s="96">
        <f>IF(E26=0,0,E26/TrRoad_act!E36*100)</f>
        <v>7.1079455557048767</v>
      </c>
      <c r="F66" s="96">
        <f>IF(F26=0,0,F26/TrRoad_act!F36*100)</f>
        <v>34.446763586321673</v>
      </c>
      <c r="G66" s="96">
        <f>IF(G26=0,0,G26/TrRoad_act!G36*100)</f>
        <v>20.640193152903795</v>
      </c>
      <c r="H66" s="96">
        <f>IF(H26=0,0,H26/TrRoad_act!H36*100)</f>
        <v>6.8909417036475293</v>
      </c>
      <c r="I66" s="96">
        <f>IF(I26=0,0,I26/TrRoad_act!I36*100)</f>
        <v>9.7720132718020203</v>
      </c>
      <c r="J66" s="96">
        <f>IF(J26=0,0,J26/TrRoad_act!J36*100)</f>
        <v>15.409773345191761</v>
      </c>
      <c r="K66" s="96">
        <f>IF(K26=0,0,K26/TrRoad_act!K36*100)</f>
        <v>25.223788014450804</v>
      </c>
      <c r="L66" s="96">
        <f>IF(L26=0,0,L26/TrRoad_act!L36*100)</f>
        <v>7.3557880466557934</v>
      </c>
      <c r="M66" s="96">
        <f>IF(M26=0,0,M26/TrRoad_act!M36*100)</f>
        <v>10.326230389190345</v>
      </c>
      <c r="N66" s="96">
        <f>IF(N26=0,0,N26/TrRoad_act!N36*100)</f>
        <v>8.1570841500220386</v>
      </c>
      <c r="O66" s="96">
        <f>IF(O26=0,0,O26/TrRoad_act!O36*100)</f>
        <v>8.1619676082978536</v>
      </c>
      <c r="P66" s="96">
        <f>IF(P26=0,0,P26/TrRoad_act!P36*100)</f>
        <v>8.137181368437016</v>
      </c>
      <c r="Q66" s="96">
        <f>IF(Q26=0,0,Q26/TrRoad_act!Q36*100)</f>
        <v>7.1211250976695952</v>
      </c>
      <c r="R66" s="96">
        <f>IF(R26=0,0,R26/TrRoad_act!R36*100)</f>
        <v>8.2093002808945119</v>
      </c>
      <c r="S66" s="96">
        <f>IF(S26=0,0,S26/TrRoad_act!S36*100)</f>
        <v>7.8881790199034603</v>
      </c>
      <c r="T66" s="96">
        <f>IF(T26=0,0,T26/TrRoad_act!T36*100)</f>
        <v>7.4836076014779458</v>
      </c>
      <c r="U66" s="96">
        <f>IF(U26=0,0,U26/TrRoad_act!U36*100)</f>
        <v>7.1066992443699837</v>
      </c>
      <c r="V66" s="96">
        <f>IF(V26=0,0,V26/TrRoad_act!V36*100)</f>
        <v>5.6434972764260634</v>
      </c>
      <c r="W66" s="96">
        <f>IF(W26=0,0,W26/TrRoad_act!W36*100)</f>
        <v>4.2779168159337084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5.8658213097386458</v>
      </c>
      <c r="O68" s="96">
        <f>IF(O29=0,0,O29/TrRoad_act!O38*100)</f>
        <v>5.2627648667799942</v>
      </c>
      <c r="P68" s="96">
        <f>IF(P29=0,0,P29/TrRoad_act!P38*100)</f>
        <v>5.0397352987230919</v>
      </c>
      <c r="Q68" s="96">
        <f>IF(Q29=0,0,Q29/TrRoad_act!Q38*100)</f>
        <v>4.6385454533356603</v>
      </c>
      <c r="R68" s="96">
        <f>IF(R29=0,0,R29/TrRoad_act!R38*100)</f>
        <v>3.4828455107506402</v>
      </c>
      <c r="S68" s="96">
        <f>IF(S29=0,0,S29/TrRoad_act!S38*100)</f>
        <v>3.9386913301963413</v>
      </c>
      <c r="T68" s="96">
        <f>IF(T29=0,0,T29/TrRoad_act!T38*100)</f>
        <v>3.7187663607354233</v>
      </c>
      <c r="U68" s="96">
        <f>IF(U29=0,0,U29/TrRoad_act!U38*100)</f>
        <v>3.490356872856438</v>
      </c>
      <c r="V68" s="96">
        <f>IF(V29=0,0,V29/TrRoad_act!V38*100)</f>
        <v>3.4522057084878175</v>
      </c>
      <c r="W68" s="96">
        <f>IF(W29=0,0,W29/TrRoad_act!W38*100)</f>
        <v>3.1963118691096368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1.3897157808406828</v>
      </c>
      <c r="L69" s="96">
        <f>IF(L32=0,0,L32/TrRoad_act!L39*100)</f>
        <v>1.3816774711863651</v>
      </c>
      <c r="M69" s="96">
        <f>IF(M32=0,0,M32/TrRoad_act!M39*100)</f>
        <v>1.3854811375236489</v>
      </c>
      <c r="N69" s="96">
        <f>IF(N32=0,0,N32/TrRoad_act!N39*100)</f>
        <v>1.3366211380732116</v>
      </c>
      <c r="O69" s="96">
        <f>IF(O32=0,0,O32/TrRoad_act!O39*100)</f>
        <v>1.3391403506132131</v>
      </c>
      <c r="P69" s="96">
        <f>IF(P32=0,0,P32/TrRoad_act!P39*100)</f>
        <v>1.3510512776716781</v>
      </c>
      <c r="Q69" s="96">
        <f>IF(Q32=0,0,Q32/TrRoad_act!Q39*100)</f>
        <v>1.3793222747074136</v>
      </c>
      <c r="R69" s="96">
        <f>IF(R32=0,0,R32/TrRoad_act!R39*100)</f>
        <v>1.3718556793846497</v>
      </c>
      <c r="S69" s="96">
        <f>IF(S32=0,0,S32/TrRoad_act!S39*100)</f>
        <v>1.3565634598253546</v>
      </c>
      <c r="T69" s="96">
        <f>IF(T32=0,0,T32/TrRoad_act!T39*100)</f>
        <v>1.346723502509013</v>
      </c>
      <c r="U69" s="96">
        <f>IF(U32=0,0,U32/TrRoad_act!U39*100)</f>
        <v>1.5146625946206036</v>
      </c>
      <c r="V69" s="96">
        <f>IF(V32=0,0,V32/TrRoad_act!V39*100)</f>
        <v>1.5663199523861151</v>
      </c>
      <c r="W69" s="96">
        <f>IF(W32=0,0,W32/TrRoad_act!W39*100)</f>
        <v>1.5529859806147024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59.806358388849326</v>
      </c>
      <c r="C70" s="130">
        <f>IF(C33=0,0,C33/TrRoad_act!C40*100)</f>
        <v>63.948410318819256</v>
      </c>
      <c r="D70" s="130">
        <f>IF(D33=0,0,D33/TrRoad_act!D40*100)</f>
        <v>64.812629405372903</v>
      </c>
      <c r="E70" s="130">
        <f>IF(E33=0,0,E33/TrRoad_act!E40*100)</f>
        <v>63.596601786792775</v>
      </c>
      <c r="F70" s="130">
        <f>IF(F33=0,0,F33/TrRoad_act!F40*100)</f>
        <v>58.878916125458247</v>
      </c>
      <c r="G70" s="130">
        <f>IF(G33=0,0,G33/TrRoad_act!G40*100)</f>
        <v>54.66720357922383</v>
      </c>
      <c r="H70" s="130">
        <f>IF(H33=0,0,H33/TrRoad_act!H40*100)</f>
        <v>55.873578052410821</v>
      </c>
      <c r="I70" s="130">
        <f>IF(I33=0,0,I33/TrRoad_act!I40*100)</f>
        <v>52.387804007162195</v>
      </c>
      <c r="J70" s="130">
        <f>IF(J33=0,0,J33/TrRoad_act!J40*100)</f>
        <v>53.3468194053616</v>
      </c>
      <c r="K70" s="130">
        <f>IF(K33=0,0,K33/TrRoad_act!K40*100)</f>
        <v>54.077564383664736</v>
      </c>
      <c r="L70" s="130">
        <f>IF(L33=0,0,L33/TrRoad_act!L40*100)</f>
        <v>53.699480907936866</v>
      </c>
      <c r="M70" s="130">
        <f>IF(M33=0,0,M33/TrRoad_act!M40*100)</f>
        <v>53.159671989521314</v>
      </c>
      <c r="N70" s="130">
        <f>IF(N33=0,0,N33/TrRoad_act!N40*100)</f>
        <v>52.852420516629131</v>
      </c>
      <c r="O70" s="130">
        <f>IF(O33=0,0,O33/TrRoad_act!O40*100)</f>
        <v>51.787235492267705</v>
      </c>
      <c r="P70" s="130">
        <f>IF(P33=0,0,P33/TrRoad_act!P40*100)</f>
        <v>51.986749350740837</v>
      </c>
      <c r="Q70" s="130">
        <f>IF(Q33=0,0,Q33/TrRoad_act!Q40*100)</f>
        <v>51.759048639604188</v>
      </c>
      <c r="R70" s="130">
        <f>IF(R33=0,0,R33/TrRoad_act!R40*100)</f>
        <v>52.607723670437878</v>
      </c>
      <c r="S70" s="130">
        <f>IF(S33=0,0,S33/TrRoad_act!S40*100)</f>
        <v>54.206028132812392</v>
      </c>
      <c r="T70" s="130">
        <f>IF(T33=0,0,T33/TrRoad_act!T40*100)</f>
        <v>54.069547362342178</v>
      </c>
      <c r="U70" s="130">
        <f>IF(U33=0,0,U33/TrRoad_act!U40*100)</f>
        <v>53.884217487029304</v>
      </c>
      <c r="V70" s="130">
        <f>IF(V33=0,0,V33/TrRoad_act!V40*100)</f>
        <v>55.628696802921404</v>
      </c>
      <c r="W70" s="130">
        <f>IF(W33=0,0,W33/TrRoad_act!W40*100)</f>
        <v>55.505097330878883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16.634209083213193</v>
      </c>
      <c r="K71" s="97">
        <f>IF(K34=0,0,K34/TrRoad_act!K41*100)</f>
        <v>16.634209083213193</v>
      </c>
      <c r="L71" s="97">
        <f>IF(L34=0,0,L34/TrRoad_act!L41*100)</f>
        <v>16.620336880196035</v>
      </c>
      <c r="M71" s="97">
        <f>IF(M34=0,0,M34/TrRoad_act!M41*100)</f>
        <v>16.609497630237755</v>
      </c>
      <c r="N71" s="97">
        <f>IF(N34=0,0,N34/TrRoad_act!N41*100)</f>
        <v>16.609049063306809</v>
      </c>
      <c r="O71" s="97">
        <f>IF(O34=0,0,O34/TrRoad_act!O41*100)</f>
        <v>16.608425013614628</v>
      </c>
      <c r="P71" s="97">
        <f>IF(P34=0,0,P34/TrRoad_act!P41*100)</f>
        <v>16.607600025481233</v>
      </c>
      <c r="Q71" s="97">
        <f>IF(Q34=0,0,Q34/TrRoad_act!Q41*100)</f>
        <v>16.606352191138011</v>
      </c>
      <c r="R71" s="97">
        <f>IF(R34=0,0,R34/TrRoad_act!R41*100)</f>
        <v>16.604981563779287</v>
      </c>
      <c r="S71" s="97">
        <f>IF(S34=0,0,S34/TrRoad_act!S41*100)</f>
        <v>16.603469080301824</v>
      </c>
      <c r="T71" s="97">
        <f>IF(T34=0,0,T34/TrRoad_act!T41*100)</f>
        <v>16.601278049331928</v>
      </c>
      <c r="U71" s="97">
        <f>IF(U34=0,0,U34/TrRoad_act!U41*100)</f>
        <v>16.59992028508136</v>
      </c>
      <c r="V71" s="97">
        <f>IF(V34=0,0,V34/TrRoad_act!V41*100)</f>
        <v>16.599635184995083</v>
      </c>
      <c r="W71" s="97">
        <f>IF(W34=0,0,W34/TrRoad_act!W41*100)</f>
        <v>16.598750710860593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59.806358388849326</v>
      </c>
      <c r="C72" s="97">
        <f>IF(C36=0,0,C36/TrRoad_act!C42*100)</f>
        <v>63.948410318819256</v>
      </c>
      <c r="D72" s="97">
        <f>IF(D36=0,0,D36/TrRoad_act!D42*100)</f>
        <v>64.812629405372903</v>
      </c>
      <c r="E72" s="97">
        <f>IF(E36=0,0,E36/TrRoad_act!E42*100)</f>
        <v>63.596601786792775</v>
      </c>
      <c r="F72" s="97">
        <f>IF(F36=0,0,F36/TrRoad_act!F42*100)</f>
        <v>58.878916125458247</v>
      </c>
      <c r="G72" s="97">
        <f>IF(G36=0,0,G36/TrRoad_act!G42*100)</f>
        <v>54.66720357922383</v>
      </c>
      <c r="H72" s="97">
        <f>IF(H36=0,0,H36/TrRoad_act!H42*100)</f>
        <v>55.873578052410821</v>
      </c>
      <c r="I72" s="97">
        <f>IF(I36=0,0,I36/TrRoad_act!I42*100)</f>
        <v>52.387804007162195</v>
      </c>
      <c r="J72" s="97">
        <f>IF(J36=0,0,J36/TrRoad_act!J42*100)</f>
        <v>53.474523210774294</v>
      </c>
      <c r="K72" s="97">
        <f>IF(K36=0,0,K36/TrRoad_act!K42*100)</f>
        <v>54.207364658057998</v>
      </c>
      <c r="L72" s="97">
        <f>IF(L36=0,0,L36/TrRoad_act!L42*100)</f>
        <v>53.83187809031643</v>
      </c>
      <c r="M72" s="97">
        <f>IF(M36=0,0,M36/TrRoad_act!M42*100)</f>
        <v>53.288713567115678</v>
      </c>
      <c r="N72" s="97">
        <f>IF(N36=0,0,N36/TrRoad_act!N42*100)</f>
        <v>52.972474537932726</v>
      </c>
      <c r="O72" s="97">
        <f>IF(O36=0,0,O36/TrRoad_act!O42*100)</f>
        <v>51.896734223779525</v>
      </c>
      <c r="P72" s="97">
        <f>IF(P36=0,0,P36/TrRoad_act!P42*100)</f>
        <v>52.091306186435027</v>
      </c>
      <c r="Q72" s="97">
        <f>IF(Q36=0,0,Q36/TrRoad_act!Q42*100)</f>
        <v>51.851054530768238</v>
      </c>
      <c r="R72" s="97">
        <f>IF(R36=0,0,R36/TrRoad_act!R42*100)</f>
        <v>52.697370320843085</v>
      </c>
      <c r="S72" s="97">
        <f>IF(S36=0,0,S36/TrRoad_act!S42*100)</f>
        <v>54.295606401158572</v>
      </c>
      <c r="T72" s="97">
        <f>IF(T36=0,0,T36/TrRoad_act!T42*100)</f>
        <v>54.159445472258852</v>
      </c>
      <c r="U72" s="97">
        <f>IF(U36=0,0,U36/TrRoad_act!U42*100)</f>
        <v>53.990611807312973</v>
      </c>
      <c r="V72" s="97">
        <f>IF(V36=0,0,V36/TrRoad_act!V42*100)</f>
        <v>55.830274520468848</v>
      </c>
      <c r="W72" s="97">
        <f>IF(W36=0,0,W36/TrRoad_act!W42*100)</f>
        <v>55.708868246234324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44.839329566624833</v>
      </c>
      <c r="K73" s="97">
        <f>IF(K38=0,0,K38/TrRoad_act!K43*100)</f>
        <v>44.833185790692625</v>
      </c>
      <c r="L73" s="97">
        <f>IF(L38=0,0,L38/TrRoad_act!L43*100)</f>
        <v>44.90577586568336</v>
      </c>
      <c r="M73" s="97">
        <f>IF(M38=0,0,M38/TrRoad_act!M43*100)</f>
        <v>44.930678765342115</v>
      </c>
      <c r="N73" s="97">
        <f>IF(N38=0,0,N38/TrRoad_act!N43*100)</f>
        <v>44.930678765342122</v>
      </c>
      <c r="O73" s="97">
        <f>IF(O38=0,0,O38/TrRoad_act!O43*100)</f>
        <v>44.949297494226805</v>
      </c>
      <c r="P73" s="97">
        <f>IF(P38=0,0,P38/TrRoad_act!P43*100)</f>
        <v>44.970007337794932</v>
      </c>
      <c r="Q73" s="97">
        <f>IF(Q38=0,0,Q38/TrRoad_act!Q43*100)</f>
        <v>44.972780221784681</v>
      </c>
      <c r="R73" s="97">
        <f>IF(R38=0,0,R38/TrRoad_act!R43*100)</f>
        <v>44.982093368851558</v>
      </c>
      <c r="S73" s="97">
        <f>IF(S38=0,0,S38/TrRoad_act!S43*100)</f>
        <v>44.98374620569551</v>
      </c>
      <c r="T73" s="97">
        <f>IF(T38=0,0,T38/TrRoad_act!T43*100)</f>
        <v>45.032519551606711</v>
      </c>
      <c r="U73" s="97">
        <f>IF(U38=0,0,U38/TrRoad_act!U43*100)</f>
        <v>45.037476056014711</v>
      </c>
      <c r="V73" s="97">
        <f>IF(V38=0,0,V38/TrRoad_act!V43*100)</f>
        <v>45.03724141074472</v>
      </c>
      <c r="W73" s="97">
        <f>IF(W38=0,0,W38/TrRoad_act!W43*100)</f>
        <v>45.041110817348091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29.726934405649864</v>
      </c>
      <c r="P75" s="97">
        <f>IF(P41=0,0,P41/TrRoad_act!P45*100)</f>
        <v>29.830095951103353</v>
      </c>
      <c r="Q75" s="97">
        <f>IF(Q41=0,0,Q41/TrRoad_act!Q45*100)</f>
        <v>29.997545858223795</v>
      </c>
      <c r="R75" s="97">
        <f>IF(R41=0,0,R41/TrRoad_act!R45*100)</f>
        <v>30.281349937695872</v>
      </c>
      <c r="S75" s="97">
        <f>IF(S41=0,0,S41/TrRoad_act!S45*100)</f>
        <v>30.303077864506616</v>
      </c>
      <c r="T75" s="97">
        <f>IF(T41=0,0,T41/TrRoad_act!T45*100)</f>
        <v>30.337343020351838</v>
      </c>
      <c r="U75" s="97">
        <f>IF(U41=0,0,U41/TrRoad_act!U45*100)</f>
        <v>30.312300300914679</v>
      </c>
      <c r="V75" s="97">
        <f>IF(V41=0,0,V41/TrRoad_act!V45*100)</f>
        <v>30.252848757418615</v>
      </c>
      <c r="W75" s="97">
        <f>IF(W41=0,0,W41/TrRoad_act!W45*100)</f>
        <v>30.227020442045678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17.462788981745739</v>
      </c>
      <c r="C76" s="32">
        <f>IF(C42=0,0,C42/TrRoad_act!C46*100)</f>
        <v>21.472456458150187</v>
      </c>
      <c r="D76" s="32">
        <f>IF(D42=0,0,D42/TrRoad_act!D46*100)</f>
        <v>22.409343366115916</v>
      </c>
      <c r="E76" s="32">
        <f>IF(E42=0,0,E42/TrRoad_act!E46*100)</f>
        <v>23.23641756338273</v>
      </c>
      <c r="F76" s="32">
        <f>IF(F42=0,0,F42/TrRoad_act!F46*100)</f>
        <v>20.604560680583504</v>
      </c>
      <c r="G76" s="32">
        <f>IF(G42=0,0,G42/TrRoad_act!G46*100)</f>
        <v>17.43265019468371</v>
      </c>
      <c r="H76" s="32">
        <f>IF(H42=0,0,H42/TrRoad_act!H46*100)</f>
        <v>18.849712848107544</v>
      </c>
      <c r="I76" s="32">
        <f>IF(I42=0,0,I42/TrRoad_act!I46*100)</f>
        <v>16.509776749794781</v>
      </c>
      <c r="J76" s="32">
        <f>IF(J42=0,0,J42/TrRoad_act!J46*100)</f>
        <v>16.5915175531735</v>
      </c>
      <c r="K76" s="32">
        <f>IF(K42=0,0,K42/TrRoad_act!K46*100)</f>
        <v>17.049739265167592</v>
      </c>
      <c r="L76" s="32">
        <f>IF(L42=0,0,L42/TrRoad_act!L46*100)</f>
        <v>15.544137455796323</v>
      </c>
      <c r="M76" s="32">
        <f>IF(M42=0,0,M42/TrRoad_act!M46*100)</f>
        <v>15.698264827596073</v>
      </c>
      <c r="N76" s="32">
        <f>IF(N42=0,0,N42/TrRoad_act!N46*100)</f>
        <v>14.87384754920275</v>
      </c>
      <c r="O76" s="32">
        <f>IF(O42=0,0,O42/TrRoad_act!O46*100)</f>
        <v>14.325526877992598</v>
      </c>
      <c r="P76" s="32">
        <f>IF(P42=0,0,P42/TrRoad_act!P46*100)</f>
        <v>13.519223093014348</v>
      </c>
      <c r="Q76" s="32">
        <f>IF(Q42=0,0,Q42/TrRoad_act!Q46*100)</f>
        <v>12.857510938633526</v>
      </c>
      <c r="R76" s="32">
        <f>IF(R42=0,0,R42/TrRoad_act!R46*100)</f>
        <v>13.482563849410026</v>
      </c>
      <c r="S76" s="32">
        <f>IF(S42=0,0,S42/TrRoad_act!S46*100)</f>
        <v>13.807726681524422</v>
      </c>
      <c r="T76" s="32">
        <f>IF(T42=0,0,T42/TrRoad_act!T46*100)</f>
        <v>12.918689787700488</v>
      </c>
      <c r="U76" s="32">
        <f>IF(U42=0,0,U42/TrRoad_act!U46*100)</f>
        <v>12.83851081611069</v>
      </c>
      <c r="V76" s="32">
        <f>IF(V42=0,0,V42/TrRoad_act!V46*100)</f>
        <v>12.40041647220942</v>
      </c>
      <c r="W76" s="32">
        <f>IF(W42=0,0,W42/TrRoad_act!W46*100)</f>
        <v>12.394761495187584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10.423760461463615</v>
      </c>
      <c r="C77" s="141">
        <f>IF(C43=0,0,C43/TrRoad_act!C47*100)</f>
        <v>10.565723865994988</v>
      </c>
      <c r="D77" s="141">
        <f>IF(D43=0,0,D43/TrRoad_act!D47*100)</f>
        <v>10.502757930459749</v>
      </c>
      <c r="E77" s="141">
        <f>IF(E43=0,0,E43/TrRoad_act!E47*100)</f>
        <v>10.415646477962003</v>
      </c>
      <c r="F77" s="141">
        <f>IF(F43=0,0,F43/TrRoad_act!F47*100)</f>
        <v>10.027833555671776</v>
      </c>
      <c r="G77" s="141">
        <f>IF(G43=0,0,G43/TrRoad_act!G47*100)</f>
        <v>10.198125610934639</v>
      </c>
      <c r="H77" s="141">
        <f>IF(H43=0,0,H43/TrRoad_act!H47*100)</f>
        <v>10.202233814059495</v>
      </c>
      <c r="I77" s="141">
        <f>IF(I43=0,0,I43/TrRoad_act!I47*100)</f>
        <v>9.961173201886055</v>
      </c>
      <c r="J77" s="141">
        <f>IF(J43=0,0,J43/TrRoad_act!J47*100)</f>
        <v>9.9950614693542139</v>
      </c>
      <c r="K77" s="141">
        <f>IF(K43=0,0,K43/TrRoad_act!K47*100)</f>
        <v>10.020754810913651</v>
      </c>
      <c r="L77" s="141">
        <f>IF(L43=0,0,L43/TrRoad_act!L47*100)</f>
        <v>9.8811161818641793</v>
      </c>
      <c r="M77" s="141">
        <f>IF(M43=0,0,M43/TrRoad_act!M47*100)</f>
        <v>9.9069899236225947</v>
      </c>
      <c r="N77" s="141">
        <f>IF(N43=0,0,N43/TrRoad_act!N47*100)</f>
        <v>10.102033967411296</v>
      </c>
      <c r="O77" s="141">
        <f>IF(O43=0,0,O43/TrRoad_act!O47*100)</f>
        <v>9.8084413247253259</v>
      </c>
      <c r="P77" s="141">
        <f>IF(P43=0,0,P43/TrRoad_act!P47*100)</f>
        <v>9.6726396858085568</v>
      </c>
      <c r="Q77" s="141">
        <f>IF(Q43=0,0,Q43/TrRoad_act!Q47*100)</f>
        <v>9.5320872965551651</v>
      </c>
      <c r="R77" s="141">
        <f>IF(R43=0,0,R43/TrRoad_act!R47*100)</f>
        <v>9.5637964821070245</v>
      </c>
      <c r="S77" s="141">
        <f>IF(S43=0,0,S43/TrRoad_act!S47*100)</f>
        <v>9.5225109432921897</v>
      </c>
      <c r="T77" s="141">
        <f>IF(T43=0,0,T43/TrRoad_act!T47*100)</f>
        <v>9.3084608336347987</v>
      </c>
      <c r="U77" s="141">
        <f>IF(U43=0,0,U43/TrRoad_act!U47*100)</f>
        <v>9.1585454245217708</v>
      </c>
      <c r="V77" s="141">
        <f>IF(V43=0,0,V43/TrRoad_act!V47*100)</f>
        <v>8.9904058273603518</v>
      </c>
      <c r="W77" s="141">
        <f>IF(W43=0,0,W43/TrRoad_act!W47*100)</f>
        <v>8.9534779723098943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12.306774045065797</v>
      </c>
      <c r="C78" s="96">
        <f>IF(C44=0,0,C44/TrRoad_act!C48*100)</f>
        <v>12.061296439239703</v>
      </c>
      <c r="D78" s="96">
        <f>IF(D44=0,0,D44/TrRoad_act!D48*100)</f>
        <v>11.815326459509791</v>
      </c>
      <c r="E78" s="96">
        <f>IF(E44=0,0,E44/TrRoad_act!E48*100)</f>
        <v>11.515398636862717</v>
      </c>
      <c r="F78" s="96">
        <f>IF(F44=0,0,F44/TrRoad_act!F48*100)</f>
        <v>11.211983279782274</v>
      </c>
      <c r="G78" s="96">
        <f>IF(G44=0,0,G44/TrRoad_act!G48*100)</f>
        <v>10.973772761873501</v>
      </c>
      <c r="H78" s="96">
        <f>IF(H44=0,0,H44/TrRoad_act!H48*100)</f>
        <v>10.637046583523373</v>
      </c>
      <c r="I78" s="96">
        <f>IF(I44=0,0,I44/TrRoad_act!I48*100)</f>
        <v>10.415938436524295</v>
      </c>
      <c r="J78" s="96">
        <f>IF(J44=0,0,J44/TrRoad_act!J48*100)</f>
        <v>10.250048452301884</v>
      </c>
      <c r="K78" s="96">
        <f>IF(K44=0,0,K44/TrRoad_act!K48*100)</f>
        <v>10.08572921826223</v>
      </c>
      <c r="L78" s="96">
        <f>IF(L44=0,0,L44/TrRoad_act!L48*100)</f>
        <v>9.9482823563744951</v>
      </c>
      <c r="M78" s="96">
        <f>IF(M44=0,0,M44/TrRoad_act!M48*100)</f>
        <v>9.7950874652033395</v>
      </c>
      <c r="N78" s="96">
        <f>IF(N44=0,0,N44/TrRoad_act!N48*100)</f>
        <v>9.6338932811953768</v>
      </c>
      <c r="O78" s="96">
        <f>IF(O44=0,0,O44/TrRoad_act!O48*100)</f>
        <v>9.6334696908571029</v>
      </c>
      <c r="P78" s="96">
        <f>IF(P44=0,0,P44/TrRoad_act!P48*100)</f>
        <v>9.4804949734073141</v>
      </c>
      <c r="Q78" s="96">
        <f>IF(Q44=0,0,Q44/TrRoad_act!Q48*100)</f>
        <v>9.3106918345078125</v>
      </c>
      <c r="R78" s="96">
        <f>IF(R44=0,0,R44/TrRoad_act!R48*100)</f>
        <v>9.1169145403961576</v>
      </c>
      <c r="S78" s="96">
        <f>IF(S44=0,0,S44/TrRoad_act!S48*100)</f>
        <v>8.8754340477880174</v>
      </c>
      <c r="T78" s="96">
        <f>IF(T44=0,0,T44/TrRoad_act!T48*100)</f>
        <v>8.730928188108221</v>
      </c>
      <c r="U78" s="96">
        <f>IF(U44=0,0,U44/TrRoad_act!U48*100)</f>
        <v>8.6773106243959059</v>
      </c>
      <c r="V78" s="96">
        <f>IF(V44=0,0,V44/TrRoad_act!V48*100)</f>
        <v>8.6338821619839656</v>
      </c>
      <c r="W78" s="96">
        <f>IF(W44=0,0,W44/TrRoad_act!W48*100)</f>
        <v>8.508166797242902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9.4133470209224122</v>
      </c>
      <c r="C79" s="96">
        <f>IF(C46=0,0,C46/TrRoad_act!C49*100)</f>
        <v>9.7880141808399941</v>
      </c>
      <c r="D79" s="96">
        <f>IF(D46=0,0,D46/TrRoad_act!D49*100)</f>
        <v>9.846813295156732</v>
      </c>
      <c r="E79" s="96">
        <f>IF(E46=0,0,E46/TrRoad_act!E49*100)</f>
        <v>9.8886376309280273</v>
      </c>
      <c r="F79" s="96">
        <f>IF(F46=0,0,F46/TrRoad_act!F49*100)</f>
        <v>9.4840567935034041</v>
      </c>
      <c r="G79" s="96">
        <f>IF(G46=0,0,G46/TrRoad_act!G49*100)</f>
        <v>9.8555862512886012</v>
      </c>
      <c r="H79" s="96">
        <f>IF(H46=0,0,H46/TrRoad_act!H49*100)</f>
        <v>10.019841275785248</v>
      </c>
      <c r="I79" s="96">
        <f>IF(I46=0,0,I46/TrRoad_act!I49*100)</f>
        <v>9.7783639487127445</v>
      </c>
      <c r="J79" s="96">
        <f>IF(J46=0,0,J46/TrRoad_act!J49*100)</f>
        <v>9.9103832902076192</v>
      </c>
      <c r="K79" s="96">
        <f>IF(K46=0,0,K46/TrRoad_act!K49*100)</f>
        <v>10.000453149307065</v>
      </c>
      <c r="L79" s="96">
        <f>IF(L46=0,0,L46/TrRoad_act!L49*100)</f>
        <v>9.8616543129766594</v>
      </c>
      <c r="M79" s="96">
        <f>IF(M46=0,0,M46/TrRoad_act!M49*100)</f>
        <v>9.9358655347798273</v>
      </c>
      <c r="N79" s="96">
        <f>IF(N46=0,0,N46/TrRoad_act!N49*100)</f>
        <v>10.212047650038727</v>
      </c>
      <c r="O79" s="96">
        <f>IF(O46=0,0,O46/TrRoad_act!O49*100)</f>
        <v>9.8431973294712485</v>
      </c>
      <c r="P79" s="96">
        <f>IF(P46=0,0,P46/TrRoad_act!P49*100)</f>
        <v>9.7044069175180638</v>
      </c>
      <c r="Q79" s="96">
        <f>IF(Q46=0,0,Q46/TrRoad_act!Q49*100)</f>
        <v>9.5618959166086732</v>
      </c>
      <c r="R79" s="96">
        <f>IF(R46=0,0,R46/TrRoad_act!R49*100)</f>
        <v>9.6258885818230819</v>
      </c>
      <c r="S79" s="96">
        <f>IF(S46=0,0,S46/TrRoad_act!S49*100)</f>
        <v>9.6084061303932522</v>
      </c>
      <c r="T79" s="96">
        <f>IF(T46=0,0,T46/TrRoad_act!T49*100)</f>
        <v>9.3792100329295849</v>
      </c>
      <c r="U79" s="96">
        <f>IF(U46=0,0,U46/TrRoad_act!U49*100)</f>
        <v>9.2119019720556565</v>
      </c>
      <c r="V79" s="96">
        <f>IF(V46=0,0,V46/TrRoad_act!V49*100)</f>
        <v>9.02737848199342</v>
      </c>
      <c r="W79" s="96">
        <f>IF(W46=0,0,W46/TrRoad_act!W49*100)</f>
        <v>8.9969688001590615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17.899218854590792</v>
      </c>
      <c r="K80" s="96">
        <f>IF(K48=0,0,K48/TrRoad_act!K50*100)</f>
        <v>17.899218854590789</v>
      </c>
      <c r="L80" s="96">
        <f>IF(L48=0,0,L48/TrRoad_act!L50*100)</f>
        <v>17.899218854590792</v>
      </c>
      <c r="M80" s="96">
        <f>IF(M48=0,0,M48/TrRoad_act!M50*100)</f>
        <v>17.1330099031942</v>
      </c>
      <c r="N80" s="96">
        <f>IF(N48=0,0,N48/TrRoad_act!N50*100)</f>
        <v>16.215770619695114</v>
      </c>
      <c r="O80" s="96">
        <f>IF(O48=0,0,O48/TrRoad_act!O50*100)</f>
        <v>16.215770619695114</v>
      </c>
      <c r="P80" s="96">
        <f>IF(P48=0,0,P48/TrRoad_act!P50*100)</f>
        <v>14.977457468443422</v>
      </c>
      <c r="Q80" s="96">
        <f>IF(Q48=0,0,Q48/TrRoad_act!Q50*100)</f>
        <v>14.477078811743921</v>
      </c>
      <c r="R80" s="96">
        <f>IF(R48=0,0,R48/TrRoad_act!R50*100)</f>
        <v>12.552441362112571</v>
      </c>
      <c r="S80" s="96">
        <f>IF(S48=0,0,S48/TrRoad_act!S50*100)</f>
        <v>12.552441362112567</v>
      </c>
      <c r="T80" s="96">
        <f>IF(T48=0,0,T48/TrRoad_act!T50*100)</f>
        <v>12.305171401513917</v>
      </c>
      <c r="U80" s="96">
        <f>IF(U48=0,0,U48/TrRoad_act!U50*100)</f>
        <v>12.305171401513915</v>
      </c>
      <c r="V80" s="96">
        <f>IF(V48=0,0,V48/TrRoad_act!V50*100)</f>
        <v>12.015106169183888</v>
      </c>
      <c r="W80" s="96">
        <f>IF(W48=0,0,W48/TrRoad_act!W50*100)</f>
        <v>10.563771173734963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1.632390236347776</v>
      </c>
      <c r="M82" s="96">
        <f>IF(M51=0,0,M51/TrRoad_act!M52*100)</f>
        <v>1.634787716431636</v>
      </c>
      <c r="N82" s="96">
        <f>IF(N51=0,0,N51/TrRoad_act!N52*100)</f>
        <v>1.6415457193479071</v>
      </c>
      <c r="O82" s="96">
        <f>IF(O51=0,0,O51/TrRoad_act!O52*100)</f>
        <v>1.6550295668350392</v>
      </c>
      <c r="P82" s="96">
        <f>IF(P51=0,0,P51/TrRoad_act!P52*100)</f>
        <v>1.6666114498195308</v>
      </c>
      <c r="Q82" s="96">
        <f>IF(Q51=0,0,Q51/TrRoad_act!Q52*100)</f>
        <v>1.6692022722036064</v>
      </c>
      <c r="R82" s="96">
        <f>IF(R51=0,0,R51/TrRoad_act!R52*100)</f>
        <v>1.67221751935102</v>
      </c>
      <c r="S82" s="96">
        <f>IF(S51=0,0,S51/TrRoad_act!S52*100)</f>
        <v>1.7341117458423265</v>
      </c>
      <c r="T82" s="96">
        <f>IF(T51=0,0,T51/TrRoad_act!T52*100)</f>
        <v>1.7705981010365412</v>
      </c>
      <c r="U82" s="96">
        <f>IF(U51=0,0,U51/TrRoad_act!U52*100)</f>
        <v>1.8684247588289165</v>
      </c>
      <c r="V82" s="96">
        <f>IF(V51=0,0,V51/TrRoad_act!V52*100)</f>
        <v>2.0096448232623323</v>
      </c>
      <c r="W82" s="96">
        <f>IF(W51=0,0,W51/TrRoad_act!W52*100)</f>
        <v>2.3529708196495234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37.896552722463603</v>
      </c>
      <c r="C83" s="130">
        <f>IF(C52=0,0,C52/TrRoad_act!C53*100)</f>
        <v>51.936861643523002</v>
      </c>
      <c r="D83" s="130">
        <f>IF(D52=0,0,D52/TrRoad_act!D53*100)</f>
        <v>55.188444188395117</v>
      </c>
      <c r="E83" s="130">
        <f>IF(E52=0,0,E52/TrRoad_act!E53*100)</f>
        <v>55.674027127708605</v>
      </c>
      <c r="F83" s="130">
        <f>IF(F52=0,0,F52/TrRoad_act!F53*100)</f>
        <v>45.616325817312777</v>
      </c>
      <c r="G83" s="130">
        <f>IF(G52=0,0,G52/TrRoad_act!G53*100)</f>
        <v>32.245166718766704</v>
      </c>
      <c r="H83" s="130">
        <f>IF(H52=0,0,H52/TrRoad_act!H53*100)</f>
        <v>38.46109480834005</v>
      </c>
      <c r="I83" s="130">
        <f>IF(I52=0,0,I52/TrRoad_act!I53*100)</f>
        <v>32.080191834041827</v>
      </c>
      <c r="J83" s="130">
        <f>IF(J52=0,0,J52/TrRoad_act!J53*100)</f>
        <v>35.741733285485253</v>
      </c>
      <c r="K83" s="130">
        <f>IF(K52=0,0,K52/TrRoad_act!K53*100)</f>
        <v>42.504330043412949</v>
      </c>
      <c r="L83" s="130">
        <f>IF(L52=0,0,L52/TrRoad_act!L53*100)</f>
        <v>49.606193114691003</v>
      </c>
      <c r="M83" s="130">
        <f>IF(M52=0,0,M52/TrRoad_act!M53*100)</f>
        <v>52.280145195052697</v>
      </c>
      <c r="N83" s="130">
        <f>IF(N52=0,0,N52/TrRoad_act!N53*100)</f>
        <v>43.728012346846988</v>
      </c>
      <c r="O83" s="130">
        <f>IF(O52=0,0,O52/TrRoad_act!O53*100)</f>
        <v>42.421059819493316</v>
      </c>
      <c r="P83" s="130">
        <f>IF(P52=0,0,P52/TrRoad_act!P53*100)</f>
        <v>40.108340662685436</v>
      </c>
      <c r="Q83" s="130">
        <f>IF(Q52=0,0,Q52/TrRoad_act!Q53*100)</f>
        <v>37.132025906999488</v>
      </c>
      <c r="R83" s="130">
        <f>IF(R52=0,0,R52/TrRoad_act!R53*100)</f>
        <v>40.607337166659228</v>
      </c>
      <c r="S83" s="130">
        <f>IF(S52=0,0,S52/TrRoad_act!S53*100)</f>
        <v>42.847194688902526</v>
      </c>
      <c r="T83" s="130">
        <f>IF(T52=0,0,T52/TrRoad_act!T53*100)</f>
        <v>38.48546640272184</v>
      </c>
      <c r="U83" s="130">
        <f>IF(U52=0,0,U52/TrRoad_act!U53*100)</f>
        <v>37.584098968702634</v>
      </c>
      <c r="V83" s="130">
        <f>IF(V52=0,0,V52/TrRoad_act!V53*100)</f>
        <v>38.000100469254754</v>
      </c>
      <c r="W83" s="130">
        <f>IF(W52=0,0,W52/TrRoad_act!W53*100)</f>
        <v>34.735376162980387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37.983169318875468</v>
      </c>
      <c r="C84" s="97">
        <f>IF(C53=0,0,C53/TrRoad_act!C54*100)</f>
        <v>43.425510178456967</v>
      </c>
      <c r="D84" s="97">
        <f>IF(D53=0,0,D53/TrRoad_act!D54*100)</f>
        <v>44.665120119864454</v>
      </c>
      <c r="E84" s="97">
        <f>IF(E53=0,0,E53/TrRoad_act!E54*100)</f>
        <v>44.701325199812217</v>
      </c>
      <c r="F84" s="97">
        <f>IF(F53=0,0,F53/TrRoad_act!F54*100)</f>
        <v>40.701264306814075</v>
      </c>
      <c r="G84" s="97">
        <f>IF(G53=0,0,G53/TrRoad_act!G54*100)</f>
        <v>35.178274867515157</v>
      </c>
      <c r="H84" s="97">
        <f>IF(H53=0,0,H53/TrRoad_act!H54*100)</f>
        <v>37.600825567280765</v>
      </c>
      <c r="I84" s="97">
        <f>IF(I53=0,0,I53/TrRoad_act!I54*100)</f>
        <v>35.003553811958518</v>
      </c>
      <c r="J84" s="97">
        <f>IF(J53=0,0,J53/TrRoad_act!J54*100)</f>
        <v>36.433456951825683</v>
      </c>
      <c r="K84" s="97">
        <f>IF(K53=0,0,K53/TrRoad_act!K54*100)</f>
        <v>39.087035549388091</v>
      </c>
      <c r="L84" s="97">
        <f>IF(L53=0,0,L53/TrRoad_act!L54*100)</f>
        <v>41.869626286087204</v>
      </c>
      <c r="M84" s="97">
        <f>IF(M53=0,0,M53/TrRoad_act!M54*100)</f>
        <v>42.863585050090052</v>
      </c>
      <c r="N84" s="97">
        <f>IF(N53=0,0,N53/TrRoad_act!N54*100)</f>
        <v>39.273636962998395</v>
      </c>
      <c r="O84" s="97">
        <f>IF(O53=0,0,O53/TrRoad_act!O54*100)</f>
        <v>38.511705739437133</v>
      </c>
      <c r="P84" s="97">
        <f>IF(P53=0,0,P53/TrRoad_act!P54*100)</f>
        <v>37.475302791479251</v>
      </c>
      <c r="Q84" s="97">
        <f>IF(Q53=0,0,Q53/TrRoad_act!Q54*100)</f>
        <v>36.163505819931615</v>
      </c>
      <c r="R84" s="97">
        <f>IF(R53=0,0,R53/TrRoad_act!R54*100)</f>
        <v>37.242481647062924</v>
      </c>
      <c r="S84" s="97">
        <f>IF(S53=0,0,S53/TrRoad_act!S54*100)</f>
        <v>37.727588241585856</v>
      </c>
      <c r="T84" s="97">
        <f>IF(T53=0,0,T53/TrRoad_act!T54*100)</f>
        <v>35.579768945115894</v>
      </c>
      <c r="U84" s="97">
        <f>IF(U53=0,0,U53/TrRoad_act!U54*100)</f>
        <v>34.812462734930257</v>
      </c>
      <c r="V84" s="97">
        <f>IF(V53=0,0,V53/TrRoad_act!V54*100)</f>
        <v>34.838085787257597</v>
      </c>
      <c r="W84" s="97">
        <f>IF(W53=0,0,W53/TrRoad_act!W54*100)</f>
        <v>33.078922074355866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37.805976348103876</v>
      </c>
      <c r="C85" s="98">
        <f>IF(C55=0,0,C55/TrRoad_act!C55*100)</f>
        <v>60.88122513384252</v>
      </c>
      <c r="D85" s="98">
        <f>IF(D55=0,0,D55/TrRoad_act!D55*100)</f>
        <v>66.030803838539072</v>
      </c>
      <c r="E85" s="98">
        <f>IF(E55=0,0,E55/TrRoad_act!E55*100)</f>
        <v>69.410823488995703</v>
      </c>
      <c r="F85" s="98">
        <f>IF(F55=0,0,F55/TrRoad_act!F55*100)</f>
        <v>51.207437903297915</v>
      </c>
      <c r="G85" s="98">
        <f>IF(G55=0,0,G55/TrRoad_act!G55*100)</f>
        <v>27.97767238876034</v>
      </c>
      <c r="H85" s="98">
        <f>IF(H55=0,0,H55/TrRoad_act!H55*100)</f>
        <v>40.425057200886897</v>
      </c>
      <c r="I85" s="98">
        <f>IF(I55=0,0,I55/TrRoad_act!I55*100)</f>
        <v>25.503664091525106</v>
      </c>
      <c r="J85" s="98">
        <f>IF(J55=0,0,J55/TrRoad_act!J55*100)</f>
        <v>33.779170418527002</v>
      </c>
      <c r="K85" s="98">
        <f>IF(K55=0,0,K55/TrRoad_act!K55*100)</f>
        <v>58.397747068777349</v>
      </c>
      <c r="L85" s="98">
        <f>IF(L55=0,0,L55/TrRoad_act!L55*100)</f>
        <v>75.011153195912698</v>
      </c>
      <c r="M85" s="98">
        <f>IF(M55=0,0,M55/TrRoad_act!M55*100)</f>
        <v>82.535006686510982</v>
      </c>
      <c r="N85" s="98">
        <f>IF(N55=0,0,N55/TrRoad_act!N55*100)</f>
        <v>56.737911661565967</v>
      </c>
      <c r="O85" s="98">
        <f>IF(O55=0,0,O55/TrRoad_act!O55*100)</f>
        <v>53.213758786240263</v>
      </c>
      <c r="P85" s="98">
        <f>IF(P55=0,0,P55/TrRoad_act!P55*100)</f>
        <v>47.351517966926274</v>
      </c>
      <c r="Q85" s="98">
        <f>IF(Q55=0,0,Q55/TrRoad_act!Q55*100)</f>
        <v>39.769372292074308</v>
      </c>
      <c r="R85" s="98">
        <f>IF(R55=0,0,R55/TrRoad_act!R55*100)</f>
        <v>49.483200142006034</v>
      </c>
      <c r="S85" s="98">
        <f>IF(S55=0,0,S55/TrRoad_act!S55*100)</f>
        <v>54.797208880758198</v>
      </c>
      <c r="T85" s="98">
        <f>IF(T55=0,0,T55/TrRoad_act!T55*100)</f>
        <v>46.189620289667381</v>
      </c>
      <c r="U85" s="98">
        <f>IF(U55=0,0,U55/TrRoad_act!U55*100)</f>
        <v>45.962576887690751</v>
      </c>
      <c r="V85" s="98">
        <f>IF(V55=0,0,V55/TrRoad_act!V55*100)</f>
        <v>49.989242987869154</v>
      </c>
      <c r="W85" s="98">
        <f>IF(W55=0,0,W55/TrRoad_act!W55*100)</f>
        <v>39.818909280671868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30.393374760739473</v>
      </c>
      <c r="C88" s="29">
        <f>IF(TrRoad_act!C4=0,0,C18/TrRoad_act!C4*1000)</f>
        <v>38.586143949282764</v>
      </c>
      <c r="D88" s="29">
        <f>IF(TrRoad_act!D4=0,0,D18/TrRoad_act!D4*1000)</f>
        <v>37.745063979285177</v>
      </c>
      <c r="E88" s="29">
        <f>IF(TrRoad_act!E4=0,0,E18/TrRoad_act!E4*1000)</f>
        <v>37.51550098013373</v>
      </c>
      <c r="F88" s="29">
        <f>IF(TrRoad_act!F4=0,0,F18/TrRoad_act!F4*1000)</f>
        <v>39.963600008705036</v>
      </c>
      <c r="G88" s="29">
        <f>IF(TrRoad_act!G4=0,0,G18/TrRoad_act!G4*1000)</f>
        <v>36.020721981918214</v>
      </c>
      <c r="H88" s="29">
        <f>IF(TrRoad_act!H4=0,0,H18/TrRoad_act!H4*1000)</f>
        <v>34.039989208568947</v>
      </c>
      <c r="I88" s="29">
        <f>IF(TrRoad_act!I4=0,0,I18/TrRoad_act!I4*1000)</f>
        <v>34.724218630455901</v>
      </c>
      <c r="J88" s="29">
        <f>IF(TrRoad_act!J4=0,0,J18/TrRoad_act!J4*1000)</f>
        <v>35.842045505558346</v>
      </c>
      <c r="K88" s="29">
        <f>IF(TrRoad_act!K4=0,0,K18/TrRoad_act!K4*1000)</f>
        <v>36.975056886844143</v>
      </c>
      <c r="L88" s="29">
        <f>IF(TrRoad_act!L4=0,0,L18/TrRoad_act!L4*1000)</f>
        <v>36.625982026269988</v>
      </c>
      <c r="M88" s="29">
        <f>IF(TrRoad_act!M4=0,0,M18/TrRoad_act!M4*1000)</f>
        <v>38.673708714791147</v>
      </c>
      <c r="N88" s="29">
        <f>IF(TrRoad_act!N4=0,0,N18/TrRoad_act!N4*1000)</f>
        <v>39.249761534889366</v>
      </c>
      <c r="O88" s="29">
        <f>IF(TrRoad_act!O4=0,0,O18/TrRoad_act!O4*1000)</f>
        <v>36.688059852789408</v>
      </c>
      <c r="P88" s="29">
        <f>IF(TrRoad_act!P4=0,0,P18/TrRoad_act!P4*1000)</f>
        <v>36.01068936621477</v>
      </c>
      <c r="Q88" s="29">
        <f>IF(TrRoad_act!Q4=0,0,Q18/TrRoad_act!Q4*1000)</f>
        <v>33.015908513286284</v>
      </c>
      <c r="R88" s="29">
        <f>IF(TrRoad_act!R4=0,0,R18/TrRoad_act!R4*1000)</f>
        <v>33.697654641178708</v>
      </c>
      <c r="S88" s="29">
        <f>IF(TrRoad_act!S4=0,0,S18/TrRoad_act!S4*1000)</f>
        <v>35.459647568606677</v>
      </c>
      <c r="T88" s="29">
        <f>IF(TrRoad_act!T4=0,0,T18/TrRoad_act!T4*1000)</f>
        <v>34.448140460109684</v>
      </c>
      <c r="U88" s="29">
        <f>IF(TrRoad_act!U4=0,0,U18/TrRoad_act!U4*1000)</f>
        <v>33.717898300904629</v>
      </c>
      <c r="V88" s="29">
        <f>IF(TrRoad_act!V4=0,0,V18/TrRoad_act!V4*1000)</f>
        <v>38.665933541169665</v>
      </c>
      <c r="W88" s="29">
        <f>IF(TrRoad_act!W4=0,0,W18/TrRoad_act!W4*1000)</f>
        <v>37.349510194197954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40.557324698787603</v>
      </c>
      <c r="C89" s="152">
        <f>IF(TrRoad_act!C5=0,0,C19/TrRoad_act!C5*1000)</f>
        <v>40.49913312220189</v>
      </c>
      <c r="D89" s="152">
        <f>IF(TrRoad_act!D5=0,0,D19/TrRoad_act!D5*1000)</f>
        <v>40.446301831614093</v>
      </c>
      <c r="E89" s="152">
        <f>IF(TrRoad_act!E5=0,0,E19/TrRoad_act!E5*1000)</f>
        <v>40.285242862561766</v>
      </c>
      <c r="F89" s="152">
        <f>IF(TrRoad_act!F5=0,0,F19/TrRoad_act!F5*1000)</f>
        <v>40.118104797833688</v>
      </c>
      <c r="G89" s="152">
        <f>IF(TrRoad_act!G5=0,0,G19/TrRoad_act!G5*1000)</f>
        <v>38.039167054860798</v>
      </c>
      <c r="H89" s="152">
        <f>IF(TrRoad_act!H5=0,0,H19/TrRoad_act!H5*1000)</f>
        <v>37.399666039419493</v>
      </c>
      <c r="I89" s="152">
        <f>IF(TrRoad_act!I5=0,0,I19/TrRoad_act!I5*1000)</f>
        <v>36.820981607622954</v>
      </c>
      <c r="J89" s="152">
        <f>IF(TrRoad_act!J5=0,0,J19/TrRoad_act!J5*1000)</f>
        <v>35.322306687909936</v>
      </c>
      <c r="K89" s="152">
        <f>IF(TrRoad_act!K5=0,0,K19/TrRoad_act!K5*1000)</f>
        <v>34.482294817072926</v>
      </c>
      <c r="L89" s="152">
        <f>IF(TrRoad_act!L5=0,0,L19/TrRoad_act!L5*1000)</f>
        <v>33.979042771025817</v>
      </c>
      <c r="M89" s="152">
        <f>IF(TrRoad_act!M5=0,0,M19/TrRoad_act!M5*1000)</f>
        <v>33.436902892600436</v>
      </c>
      <c r="N89" s="152">
        <f>IF(TrRoad_act!N5=0,0,N19/TrRoad_act!N5*1000)</f>
        <v>33.109480050599963</v>
      </c>
      <c r="O89" s="152">
        <f>IF(TrRoad_act!O5=0,0,O19/TrRoad_act!O5*1000)</f>
        <v>32.50326790871047</v>
      </c>
      <c r="P89" s="152">
        <f>IF(TrRoad_act!P5=0,0,P19/TrRoad_act!P5*1000)</f>
        <v>31.913548107516835</v>
      </c>
      <c r="Q89" s="152">
        <f>IF(TrRoad_act!Q5=0,0,Q19/TrRoad_act!Q5*1000)</f>
        <v>31.403269463040409</v>
      </c>
      <c r="R89" s="152">
        <f>IF(TrRoad_act!R5=0,0,R19/TrRoad_act!R5*1000)</f>
        <v>30.871391284239024</v>
      </c>
      <c r="S89" s="152">
        <f>IF(TrRoad_act!S5=0,0,S19/TrRoad_act!S5*1000)</f>
        <v>30.437957572632861</v>
      </c>
      <c r="T89" s="152">
        <f>IF(TrRoad_act!T5=0,0,T19/TrRoad_act!T5*1000)</f>
        <v>29.903217098840098</v>
      </c>
      <c r="U89" s="152">
        <f>IF(TrRoad_act!U5=0,0,U19/TrRoad_act!U5*1000)</f>
        <v>29.352034091851433</v>
      </c>
      <c r="V89" s="152">
        <f>IF(TrRoad_act!V5=0,0,V19/TrRoad_act!V5*1000)</f>
        <v>29.079231753404532</v>
      </c>
      <c r="W89" s="152">
        <f>IF(TrRoad_act!W5=0,0,W19/TrRoad_act!W5*1000)</f>
        <v>25.435912972116316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25.296398839145258</v>
      </c>
      <c r="C90" s="116">
        <f>IF(TrRoad_act!C6=0,0,C21/TrRoad_act!C6*1000)</f>
        <v>32.761102367295649</v>
      </c>
      <c r="D90" s="116">
        <f>IF(TrRoad_act!D6=0,0,D21/TrRoad_act!D6*1000)</f>
        <v>32.397252168356005</v>
      </c>
      <c r="E90" s="116">
        <f>IF(TrRoad_act!E6=0,0,E21/TrRoad_act!E6*1000)</f>
        <v>32.765160494981188</v>
      </c>
      <c r="F90" s="116">
        <f>IF(TrRoad_act!F6=0,0,F21/TrRoad_act!F6*1000)</f>
        <v>35.127353802235938</v>
      </c>
      <c r="G90" s="116">
        <f>IF(TrRoad_act!G6=0,0,G21/TrRoad_act!G6*1000)</f>
        <v>32.920984673079005</v>
      </c>
      <c r="H90" s="116">
        <f>IF(TrRoad_act!H6=0,0,H21/TrRoad_act!H6*1000)</f>
        <v>31.392397902682863</v>
      </c>
      <c r="I90" s="116">
        <f>IF(TrRoad_act!I6=0,0,I21/TrRoad_act!I6*1000)</f>
        <v>31.660387628860079</v>
      </c>
      <c r="J90" s="116">
        <f>IF(TrRoad_act!J6=0,0,J21/TrRoad_act!J6*1000)</f>
        <v>33.754903004263966</v>
      </c>
      <c r="K90" s="116">
        <f>IF(TrRoad_act!K6=0,0,K21/TrRoad_act!K6*1000)</f>
        <v>33.485712016268337</v>
      </c>
      <c r="L90" s="116">
        <f>IF(TrRoad_act!L6=0,0,L21/TrRoad_act!L6*1000)</f>
        <v>32.293220389713653</v>
      </c>
      <c r="M90" s="116">
        <f>IF(TrRoad_act!M6=0,0,M21/TrRoad_act!M6*1000)</f>
        <v>34.261895810540331</v>
      </c>
      <c r="N90" s="116">
        <f>IF(TrRoad_act!N6=0,0,N21/TrRoad_act!N6*1000)</f>
        <v>35.369012789932796</v>
      </c>
      <c r="O90" s="116">
        <f>IF(TrRoad_act!O6=0,0,O21/TrRoad_act!O6*1000)</f>
        <v>32.272269033489138</v>
      </c>
      <c r="P90" s="116">
        <f>IF(TrRoad_act!P6=0,0,P21/TrRoad_act!P6*1000)</f>
        <v>31.733400940191085</v>
      </c>
      <c r="Q90" s="116">
        <f>IF(TrRoad_act!Q6=0,0,Q21/TrRoad_act!Q6*1000)</f>
        <v>30.332039764393219</v>
      </c>
      <c r="R90" s="116">
        <f>IF(TrRoad_act!R6=0,0,R21/TrRoad_act!R6*1000)</f>
        <v>31.015609736437597</v>
      </c>
      <c r="S90" s="116">
        <f>IF(TrRoad_act!S6=0,0,S21/TrRoad_act!S6*1000)</f>
        <v>32.450007502782384</v>
      </c>
      <c r="T90" s="116">
        <f>IF(TrRoad_act!T6=0,0,T21/TrRoad_act!T6*1000)</f>
        <v>31.690346586337313</v>
      </c>
      <c r="U90" s="116">
        <f>IF(TrRoad_act!U6=0,0,U21/TrRoad_act!U6*1000)</f>
        <v>30.699702857727015</v>
      </c>
      <c r="V90" s="116">
        <f>IF(TrRoad_act!V6=0,0,V21/TrRoad_act!V6*1000)</f>
        <v>32.795617217970531</v>
      </c>
      <c r="W90" s="116">
        <f>IF(TrRoad_act!W6=0,0,W21/TrRoad_act!W6*1000)</f>
        <v>31.838476105365476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25.523904052519036</v>
      </c>
      <c r="C91" s="87">
        <f>IF(TrRoad_act!C7=0,0,C22/TrRoad_act!C7*1000)</f>
        <v>33.1242376762427</v>
      </c>
      <c r="D91" s="87">
        <f>IF(TrRoad_act!D7=0,0,D22/TrRoad_act!D7*1000)</f>
        <v>32.85793504221779</v>
      </c>
      <c r="E91" s="87">
        <f>IF(TrRoad_act!E7=0,0,E22/TrRoad_act!E7*1000)</f>
        <v>33.880642984695484</v>
      </c>
      <c r="F91" s="87">
        <f>IF(TrRoad_act!F7=0,0,F22/TrRoad_act!F7*1000)</f>
        <v>35.237925109612497</v>
      </c>
      <c r="G91" s="87">
        <f>IF(TrRoad_act!G7=0,0,G22/TrRoad_act!G7*1000)</f>
        <v>34.218589993602599</v>
      </c>
      <c r="H91" s="87">
        <f>IF(TrRoad_act!H7=0,0,H22/TrRoad_act!H7*1000)</f>
        <v>32.611287926090277</v>
      </c>
      <c r="I91" s="87">
        <f>IF(TrRoad_act!I7=0,0,I22/TrRoad_act!I7*1000)</f>
        <v>34.579596528366345</v>
      </c>
      <c r="J91" s="87">
        <f>IF(TrRoad_act!J7=0,0,J22/TrRoad_act!J7*1000)</f>
        <v>38.540293149644832</v>
      </c>
      <c r="K91" s="87">
        <f>IF(TrRoad_act!K7=0,0,K22/TrRoad_act!K7*1000)</f>
        <v>37.846828423543798</v>
      </c>
      <c r="L91" s="87">
        <f>IF(TrRoad_act!L7=0,0,L22/TrRoad_act!L7*1000)</f>
        <v>36.495696098603275</v>
      </c>
      <c r="M91" s="87">
        <f>IF(TrRoad_act!M7=0,0,M22/TrRoad_act!M7*1000)</f>
        <v>40.414296812663274</v>
      </c>
      <c r="N91" s="87">
        <f>IF(TrRoad_act!N7=0,0,N22/TrRoad_act!N7*1000)</f>
        <v>41.552164161783537</v>
      </c>
      <c r="O91" s="87">
        <f>IF(TrRoad_act!O7=0,0,O22/TrRoad_act!O7*1000)</f>
        <v>36.298146399691454</v>
      </c>
      <c r="P91" s="87">
        <f>IF(TrRoad_act!P7=0,0,P22/TrRoad_act!P7*1000)</f>
        <v>34.887387797707284</v>
      </c>
      <c r="Q91" s="87">
        <f>IF(TrRoad_act!Q7=0,0,Q22/TrRoad_act!Q7*1000)</f>
        <v>33.230628859357545</v>
      </c>
      <c r="R91" s="87">
        <f>IF(TrRoad_act!R7=0,0,R22/TrRoad_act!R7*1000)</f>
        <v>35.736589112237255</v>
      </c>
      <c r="S91" s="87">
        <f>IF(TrRoad_act!S7=0,0,S22/TrRoad_act!S7*1000)</f>
        <v>36.987227615506775</v>
      </c>
      <c r="T91" s="87">
        <f>IF(TrRoad_act!T7=0,0,T22/TrRoad_act!T7*1000)</f>
        <v>36.276853548729228</v>
      </c>
      <c r="U91" s="87">
        <f>IF(TrRoad_act!U7=0,0,U22/TrRoad_act!U7*1000)</f>
        <v>35.899517109542174</v>
      </c>
      <c r="V91" s="87">
        <f>IF(TrRoad_act!V7=0,0,V22/TrRoad_act!V7*1000)</f>
        <v>35.799944676178029</v>
      </c>
      <c r="W91" s="87">
        <f>IF(TrRoad_act!W7=0,0,W22/TrRoad_act!W7*1000)</f>
        <v>35.164677667549817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23.847670371672574</v>
      </c>
      <c r="C92" s="87">
        <f>IF(TrRoad_act!C8=0,0,C24/TrRoad_act!C8*1000)</f>
        <v>30.574453835765297</v>
      </c>
      <c r="D92" s="87">
        <f>IF(TrRoad_act!D8=0,0,D24/TrRoad_act!D8*1000)</f>
        <v>30.195811702011145</v>
      </c>
      <c r="E92" s="87">
        <f>IF(TrRoad_act!E8=0,0,E24/TrRoad_act!E8*1000)</f>
        <v>28.569929866248454</v>
      </c>
      <c r="F92" s="87">
        <f>IF(TrRoad_act!F8=0,0,F24/TrRoad_act!F8*1000)</f>
        <v>29.236405607607153</v>
      </c>
      <c r="G92" s="87">
        <f>IF(TrRoad_act!G8=0,0,G24/TrRoad_act!G8*1000)</f>
        <v>27.970738619019375</v>
      </c>
      <c r="H92" s="87">
        <f>IF(TrRoad_act!H8=0,0,H24/TrRoad_act!H8*1000)</f>
        <v>29.181820898451573</v>
      </c>
      <c r="I92" s="87">
        <f>IF(TrRoad_act!I8=0,0,I24/TrRoad_act!I8*1000)</f>
        <v>27.126320199833941</v>
      </c>
      <c r="J92" s="87">
        <f>IF(TrRoad_act!J8=0,0,J24/TrRoad_act!J8*1000)</f>
        <v>28.21386170507693</v>
      </c>
      <c r="K92" s="87">
        <f>IF(TrRoad_act!K8=0,0,K24/TrRoad_act!K8*1000)</f>
        <v>28.24679357896045</v>
      </c>
      <c r="L92" s="87">
        <f>IF(TrRoad_act!L8=0,0,L24/TrRoad_act!L8*1000)</f>
        <v>28.439300303693205</v>
      </c>
      <c r="M92" s="87">
        <f>IF(TrRoad_act!M8=0,0,M24/TrRoad_act!M8*1000)</f>
        <v>29.149000648605327</v>
      </c>
      <c r="N92" s="87">
        <f>IF(TrRoad_act!N8=0,0,N24/TrRoad_act!N8*1000)</f>
        <v>31.107197403840509</v>
      </c>
      <c r="O92" s="87">
        <f>IF(TrRoad_act!O8=0,0,O24/TrRoad_act!O8*1000)</f>
        <v>29.161301815311472</v>
      </c>
      <c r="P92" s="87">
        <f>IF(TrRoad_act!P8=0,0,P24/TrRoad_act!P8*1000)</f>
        <v>29.011113207784142</v>
      </c>
      <c r="Q92" s="87">
        <f>IF(TrRoad_act!Q8=0,0,Q24/TrRoad_act!Q8*1000)</f>
        <v>28.054523050412069</v>
      </c>
      <c r="R92" s="87">
        <f>IF(TrRoad_act!R8=0,0,R24/TrRoad_act!R8*1000)</f>
        <v>27.736610259824616</v>
      </c>
      <c r="S92" s="87">
        <f>IF(TrRoad_act!S8=0,0,S24/TrRoad_act!S8*1000)</f>
        <v>29.471209451942912</v>
      </c>
      <c r="T92" s="87">
        <f>IF(TrRoad_act!T8=0,0,T24/TrRoad_act!T8*1000)</f>
        <v>28.950771043708464</v>
      </c>
      <c r="U92" s="87">
        <f>IF(TrRoad_act!U8=0,0,U24/TrRoad_act!U8*1000)</f>
        <v>27.824895883515442</v>
      </c>
      <c r="V92" s="87">
        <f>IF(TrRoad_act!V8=0,0,V24/TrRoad_act!V8*1000)</f>
        <v>31.31139524755644</v>
      </c>
      <c r="W92" s="87">
        <f>IF(TrRoad_act!W8=0,0,W24/TrRoad_act!W8*1000)</f>
        <v>30.551466386379097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0</v>
      </c>
      <c r="C93" s="87">
        <f>IF(TrRoad_act!C9=0,0,C26/TrRoad_act!C9*1000)</f>
        <v>0</v>
      </c>
      <c r="D93" s="87">
        <f>IF(TrRoad_act!D9=0,0,D26/TrRoad_act!D9*1000)</f>
        <v>39.036788285355037</v>
      </c>
      <c r="E93" s="87">
        <f>IF(TrRoad_act!E9=0,0,E26/TrRoad_act!E9*1000)</f>
        <v>36.957386510128487</v>
      </c>
      <c r="F93" s="87">
        <f>IF(TrRoad_act!F9=0,0,F26/TrRoad_act!F9*1000)</f>
        <v>183.51685611972982</v>
      </c>
      <c r="G93" s="87">
        <f>IF(TrRoad_act!G9=0,0,G26/TrRoad_act!G9*1000)</f>
        <v>104.03365437883774</v>
      </c>
      <c r="H93" s="87">
        <f>IF(TrRoad_act!H9=0,0,H26/TrRoad_act!H9*1000)</f>
        <v>33.754618384858944</v>
      </c>
      <c r="I93" s="87">
        <f>IF(TrRoad_act!I9=0,0,I26/TrRoad_act!I9*1000)</f>
        <v>49.5879963404468</v>
      </c>
      <c r="J93" s="87">
        <f>IF(TrRoad_act!J9=0,0,J26/TrRoad_act!J9*1000)</f>
        <v>75.813375919532007</v>
      </c>
      <c r="K93" s="87">
        <f>IF(TrRoad_act!K9=0,0,K26/TrRoad_act!K9*1000)</f>
        <v>122.68650621096204</v>
      </c>
      <c r="L93" s="87">
        <f>IF(TrRoad_act!L9=0,0,L26/TrRoad_act!L9*1000)</f>
        <v>36.772959828890095</v>
      </c>
      <c r="M93" s="87">
        <f>IF(TrRoad_act!M9=0,0,M26/TrRoad_act!M9*1000)</f>
        <v>54.418776026466361</v>
      </c>
      <c r="N93" s="87">
        <f>IF(TrRoad_act!N9=0,0,N26/TrRoad_act!N9*1000)</f>
        <v>43.794910920023696</v>
      </c>
      <c r="O93" s="87">
        <f>IF(TrRoad_act!O9=0,0,O26/TrRoad_act!O9*1000)</f>
        <v>43.977972346246766</v>
      </c>
      <c r="P93" s="87">
        <f>IF(TrRoad_act!P9=0,0,P26/TrRoad_act!P9*1000)</f>
        <v>43.296657069663524</v>
      </c>
      <c r="Q93" s="87">
        <f>IF(TrRoad_act!Q9=0,0,Q26/TrRoad_act!Q9*1000)</f>
        <v>37.630253592186776</v>
      </c>
      <c r="R93" s="87">
        <f>IF(TrRoad_act!R9=0,0,R26/TrRoad_act!R9*1000)</f>
        <v>42.708793429221032</v>
      </c>
      <c r="S93" s="87">
        <f>IF(TrRoad_act!S9=0,0,S26/TrRoad_act!S9*1000)</f>
        <v>41.122445772219649</v>
      </c>
      <c r="T93" s="87">
        <f>IF(TrRoad_act!T9=0,0,T26/TrRoad_act!T9*1000)</f>
        <v>38.967936915656061</v>
      </c>
      <c r="U93" s="87">
        <f>IF(TrRoad_act!U9=0,0,U26/TrRoad_act!U9*1000)</f>
        <v>37.361581263889889</v>
      </c>
      <c r="V93" s="87">
        <f>IF(TrRoad_act!V9=0,0,V26/TrRoad_act!V9*1000)</f>
        <v>30.195750410174121</v>
      </c>
      <c r="W93" s="87">
        <f>IF(TrRoad_act!W9=0,0,W26/TrRoad_act!W9*1000)</f>
        <v>22.962541973656155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32.185005484647476</v>
      </c>
      <c r="O95" s="87">
        <f>IF(TrRoad_act!O11=0,0,O29/TrRoad_act!O11*1000)</f>
        <v>28.979464464429864</v>
      </c>
      <c r="P95" s="87">
        <f>IF(TrRoad_act!P11=0,0,P29/TrRoad_act!P11*1000)</f>
        <v>27.404643085398313</v>
      </c>
      <c r="Q95" s="87">
        <f>IF(TrRoad_act!Q11=0,0,Q29/TrRoad_act!Q11*1000)</f>
        <v>25.049923294566284</v>
      </c>
      <c r="R95" s="87">
        <f>IF(TrRoad_act!R11=0,0,R29/TrRoad_act!R11*1000)</f>
        <v>18.517460429336833</v>
      </c>
      <c r="S95" s="87">
        <f>IF(TrRoad_act!S11=0,0,S29/TrRoad_act!S11*1000)</f>
        <v>20.984091882992431</v>
      </c>
      <c r="T95" s="87">
        <f>IF(TrRoad_act!T11=0,0,T29/TrRoad_act!T11*1000)</f>
        <v>19.789341979228418</v>
      </c>
      <c r="U95" s="87">
        <f>IF(TrRoad_act!U11=0,0,U29/TrRoad_act!U11*1000)</f>
        <v>18.752673828438486</v>
      </c>
      <c r="V95" s="87">
        <f>IF(TrRoad_act!V11=0,0,V29/TrRoad_act!V11*1000)</f>
        <v>18.876880534614656</v>
      </c>
      <c r="W95" s="87">
        <f>IF(TrRoad_act!W11=0,0,W29/TrRoad_act!W11*1000)</f>
        <v>17.533670021599139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8.1832509882434881</v>
      </c>
      <c r="L96" s="87">
        <f>IF(TrRoad_act!L12=0,0,L32/TrRoad_act!L12*1000)</f>
        <v>8.3621787752413894</v>
      </c>
      <c r="M96" s="87">
        <f>IF(TrRoad_act!M12=0,0,M32/TrRoad_act!M12*1000)</f>
        <v>8.839362974343528</v>
      </c>
      <c r="N96" s="87">
        <f>IF(TrRoad_act!N12=0,0,N32/TrRoad_act!N12*1000)</f>
        <v>8.6878121312527341</v>
      </c>
      <c r="O96" s="87">
        <f>IF(TrRoad_act!O12=0,0,O32/TrRoad_act!O12*1000)</f>
        <v>8.7353401826371133</v>
      </c>
      <c r="P96" s="87">
        <f>IF(TrRoad_act!P12=0,0,P32/TrRoad_act!P12*1000)</f>
        <v>8.7029320671543058</v>
      </c>
      <c r="Q96" s="87">
        <f>IF(TrRoad_act!Q12=0,0,Q32/TrRoad_act!Q12*1000)</f>
        <v>8.8240441193903205</v>
      </c>
      <c r="R96" s="87">
        <f>IF(TrRoad_act!R12=0,0,R32/TrRoad_act!R12*1000)</f>
        <v>8.6403826757064639</v>
      </c>
      <c r="S96" s="87">
        <f>IF(TrRoad_act!S12=0,0,S32/TrRoad_act!S12*1000)</f>
        <v>8.5616148004788197</v>
      </c>
      <c r="T96" s="87">
        <f>IF(TrRoad_act!T12=0,0,T32/TrRoad_act!T12*1000)</f>
        <v>8.489619710729654</v>
      </c>
      <c r="U96" s="87">
        <f>IF(TrRoad_act!U12=0,0,U32/TrRoad_act!U12*1000)</f>
        <v>9.6402124266773299</v>
      </c>
      <c r="V96" s="87">
        <f>IF(TrRoad_act!V12=0,0,V32/TrRoad_act!V12*1000)</f>
        <v>10.145918714758025</v>
      </c>
      <c r="W96" s="87">
        <f>IF(TrRoad_act!W12=0,0,W32/TrRoad_act!W12*1000)</f>
        <v>10.091798120381766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63.786521472075172</v>
      </c>
      <c r="C97" s="116">
        <f>IF(TrRoad_act!C13=0,0,C33/TrRoad_act!C13*1000)</f>
        <v>81.748391188551992</v>
      </c>
      <c r="D97" s="116">
        <f>IF(TrRoad_act!D13=0,0,D33/TrRoad_act!D13*1000)</f>
        <v>78.970138657902964</v>
      </c>
      <c r="E97" s="116">
        <f>IF(TrRoad_act!E13=0,0,E33/TrRoad_act!E13*1000)</f>
        <v>65.569632609060406</v>
      </c>
      <c r="F97" s="116">
        <f>IF(TrRoad_act!F13=0,0,F33/TrRoad_act!F13*1000)</f>
        <v>69.679532197106397</v>
      </c>
      <c r="G97" s="116">
        <f>IF(TrRoad_act!G13=0,0,G33/TrRoad_act!G13*1000)</f>
        <v>51.981448077569048</v>
      </c>
      <c r="H97" s="116">
        <f>IF(TrRoad_act!H13=0,0,H33/TrRoad_act!H13*1000)</f>
        <v>48.413296117428914</v>
      </c>
      <c r="I97" s="116">
        <f>IF(TrRoad_act!I13=0,0,I33/TrRoad_act!I13*1000)</f>
        <v>51.679459705538761</v>
      </c>
      <c r="J97" s="116">
        <f>IF(TrRoad_act!J13=0,0,J33/TrRoad_act!J13*1000)</f>
        <v>43.139227537365315</v>
      </c>
      <c r="K97" s="116">
        <f>IF(TrRoad_act!K13=0,0,K33/TrRoad_act!K13*1000)</f>
        <v>52.440191321311552</v>
      </c>
      <c r="L97" s="116">
        <f>IF(TrRoad_act!L13=0,0,L33/TrRoad_act!L13*1000)</f>
        <v>57.394461633198418</v>
      </c>
      <c r="M97" s="116">
        <f>IF(TrRoad_act!M13=0,0,M33/TrRoad_act!M13*1000)</f>
        <v>60.146528228211046</v>
      </c>
      <c r="N97" s="116">
        <f>IF(TrRoad_act!N13=0,0,N33/TrRoad_act!N13*1000)</f>
        <v>57.133525994841378</v>
      </c>
      <c r="O97" s="116">
        <f>IF(TrRoad_act!O13=0,0,O33/TrRoad_act!O13*1000)</f>
        <v>57.602006460197074</v>
      </c>
      <c r="P97" s="116">
        <f>IF(TrRoad_act!P13=0,0,P33/TrRoad_act!P13*1000)</f>
        <v>56.014949952049669</v>
      </c>
      <c r="Q97" s="116">
        <f>IF(TrRoad_act!Q13=0,0,Q33/TrRoad_act!Q13*1000)</f>
        <v>42.757377333112458</v>
      </c>
      <c r="R97" s="116">
        <f>IF(TrRoad_act!R13=0,0,R33/TrRoad_act!R13*1000)</f>
        <v>43.776170833450543</v>
      </c>
      <c r="S97" s="116">
        <f>IF(TrRoad_act!S13=0,0,S33/TrRoad_act!S13*1000)</f>
        <v>47.292588519111938</v>
      </c>
      <c r="T97" s="116">
        <f>IF(TrRoad_act!T13=0,0,T33/TrRoad_act!T13*1000)</f>
        <v>45.266958366720083</v>
      </c>
      <c r="U97" s="116">
        <f>IF(TrRoad_act!U13=0,0,U33/TrRoad_act!U13*1000)</f>
        <v>46.321473871411889</v>
      </c>
      <c r="V97" s="116">
        <f>IF(TrRoad_act!V13=0,0,V33/TrRoad_act!V13*1000)</f>
        <v>70.096024580391074</v>
      </c>
      <c r="W97" s="116">
        <f>IF(TrRoad_act!W13=0,0,W33/TrRoad_act!W13*1000)</f>
        <v>68.217744664897012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25.687426775649623</v>
      </c>
      <c r="K98" s="101">
        <f>IF(TrRoad_act!K14=0,0,K34/TrRoad_act!K14*1000)</f>
        <v>26.004667234310858</v>
      </c>
      <c r="L98" s="101">
        <f>IF(TrRoad_act!L14=0,0,L34/TrRoad_act!L14*1000)</f>
        <v>26.133203645556797</v>
      </c>
      <c r="M98" s="101">
        <f>IF(TrRoad_act!M14=0,0,M34/TrRoad_act!M14*1000)</f>
        <v>26.198206302185305</v>
      </c>
      <c r="N98" s="101">
        <f>IF(TrRoad_act!N14=0,0,N34/TrRoad_act!N14*1000)</f>
        <v>26.132132389304211</v>
      </c>
      <c r="O98" s="101">
        <f>IF(TrRoad_act!O14=0,0,O34/TrRoad_act!O14*1000)</f>
        <v>26.172354255509489</v>
      </c>
      <c r="P98" s="101">
        <f>IF(TrRoad_act!P14=0,0,P34/TrRoad_act!P14*1000)</f>
        <v>26.125080264827197</v>
      </c>
      <c r="Q98" s="101">
        <f>IF(TrRoad_act!Q14=0,0,Q34/TrRoad_act!Q14*1000)</f>
        <v>25.684209873398565</v>
      </c>
      <c r="R98" s="101">
        <f>IF(TrRoad_act!R14=0,0,R34/TrRoad_act!R14*1000)</f>
        <v>25.69551925621165</v>
      </c>
      <c r="S98" s="101">
        <f>IF(TrRoad_act!S14=0,0,S34/TrRoad_act!S14*1000)</f>
        <v>25.778421237098584</v>
      </c>
      <c r="T98" s="101">
        <f>IF(TrRoad_act!T14=0,0,T34/TrRoad_act!T14*1000)</f>
        <v>25.700930113545443</v>
      </c>
      <c r="U98" s="101">
        <f>IF(TrRoad_act!U14=0,0,U34/TrRoad_act!U14*1000)</f>
        <v>25.7466483715267</v>
      </c>
      <c r="V98" s="101">
        <f>IF(TrRoad_act!V14=0,0,V34/TrRoad_act!V14*1000)</f>
        <v>26.326757401551134</v>
      </c>
      <c r="W98" s="101">
        <f>IF(TrRoad_act!W14=0,0,W34/TrRoad_act!W14*1000)</f>
        <v>26.293214658895852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63.786521472075172</v>
      </c>
      <c r="C99" s="101">
        <f>IF(TrRoad_act!C15=0,0,C36/TrRoad_act!C15*1000)</f>
        <v>81.748391188551992</v>
      </c>
      <c r="D99" s="101">
        <f>IF(TrRoad_act!D15=0,0,D36/TrRoad_act!D15*1000)</f>
        <v>78.970138657902964</v>
      </c>
      <c r="E99" s="101">
        <f>IF(TrRoad_act!E15=0,0,E36/TrRoad_act!E15*1000)</f>
        <v>65.569632609060406</v>
      </c>
      <c r="F99" s="101">
        <f>IF(TrRoad_act!F15=0,0,F36/TrRoad_act!F15*1000)</f>
        <v>69.679532197106397</v>
      </c>
      <c r="G99" s="101">
        <f>IF(TrRoad_act!G15=0,0,G36/TrRoad_act!G15*1000)</f>
        <v>51.981448077569048</v>
      </c>
      <c r="H99" s="101">
        <f>IF(TrRoad_act!H15=0,0,H36/TrRoad_act!H15*1000)</f>
        <v>48.413296117428914</v>
      </c>
      <c r="I99" s="101">
        <f>IF(TrRoad_act!I15=0,0,I36/TrRoad_act!I15*1000)</f>
        <v>51.679459705538761</v>
      </c>
      <c r="J99" s="101">
        <f>IF(TrRoad_act!J15=0,0,J36/TrRoad_act!J15*1000)</f>
        <v>43.173229794602008</v>
      </c>
      <c r="K99" s="101">
        <f>IF(TrRoad_act!K15=0,0,K36/TrRoad_act!K15*1000)</f>
        <v>52.499619817963875</v>
      </c>
      <c r="L99" s="101">
        <f>IF(TrRoad_act!L15=0,0,L36/TrRoad_act!L15*1000)</f>
        <v>57.475286328998251</v>
      </c>
      <c r="M99" s="101">
        <f>IF(TrRoad_act!M15=0,0,M36/TrRoad_act!M15*1000)</f>
        <v>60.237735111069092</v>
      </c>
      <c r="N99" s="101">
        <f>IF(TrRoad_act!N15=0,0,N36/TrRoad_act!N15*1000)</f>
        <v>57.209292628600515</v>
      </c>
      <c r="O99" s="101">
        <f>IF(TrRoad_act!O15=0,0,O36/TrRoad_act!O15*1000)</f>
        <v>57.675741044359988</v>
      </c>
      <c r="P99" s="101">
        <f>IF(TrRoad_act!P15=0,0,P36/TrRoad_act!P15*1000)</f>
        <v>56.080538537584282</v>
      </c>
      <c r="Q99" s="101">
        <f>IF(TrRoad_act!Q15=0,0,Q36/TrRoad_act!Q15*1000)</f>
        <v>42.78692916647438</v>
      </c>
      <c r="R99" s="101">
        <f>IF(TrRoad_act!R15=0,0,R36/TrRoad_act!R15*1000)</f>
        <v>43.806253871288718</v>
      </c>
      <c r="S99" s="101">
        <f>IF(TrRoad_act!S15=0,0,S36/TrRoad_act!S15*1000)</f>
        <v>47.327890607246445</v>
      </c>
      <c r="T99" s="101">
        <f>IF(TrRoad_act!T15=0,0,T36/TrRoad_act!T15*1000)</f>
        <v>45.302481977154748</v>
      </c>
      <c r="U99" s="101">
        <f>IF(TrRoad_act!U15=0,0,U36/TrRoad_act!U15*1000)</f>
        <v>46.375699431061797</v>
      </c>
      <c r="V99" s="101">
        <f>IF(TrRoad_act!V15=0,0,V36/TrRoad_act!V15*1000)</f>
        <v>70.323884499012436</v>
      </c>
      <c r="W99" s="101">
        <f>IF(TrRoad_act!W15=0,0,W36/TrRoad_act!W15*1000)</f>
        <v>68.440628063473042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36.201513599016806</v>
      </c>
      <c r="K100" s="101">
        <f>IF(TrRoad_act!K16=0,0,K38/TrRoad_act!K16*1000)</f>
        <v>43.420764394042877</v>
      </c>
      <c r="L100" s="101">
        <f>IF(TrRoad_act!L16=0,0,L38/TrRoad_act!L16*1000)</f>
        <v>47.945054441083101</v>
      </c>
      <c r="M100" s="101">
        <f>IF(TrRoad_act!M16=0,0,M38/TrRoad_act!M16*1000)</f>
        <v>50.789785390829977</v>
      </c>
      <c r="N100" s="101">
        <f>IF(TrRoad_act!N16=0,0,N38/TrRoad_act!N16*1000)</f>
        <v>48.524301949448208</v>
      </c>
      <c r="O100" s="101">
        <f>IF(TrRoad_act!O16=0,0,O38/TrRoad_act!O16*1000)</f>
        <v>49.954666342280667</v>
      </c>
      <c r="P100" s="101">
        <f>IF(TrRoad_act!P16=0,0,P38/TrRoad_act!P16*1000)</f>
        <v>48.413879669605791</v>
      </c>
      <c r="Q100" s="101">
        <f>IF(TrRoad_act!Q16=0,0,Q38/TrRoad_act!Q16*1000)</f>
        <v>37.111051630147259</v>
      </c>
      <c r="R100" s="101">
        <f>IF(TrRoad_act!R16=0,0,R38/TrRoad_act!R16*1000)</f>
        <v>37.392700808042882</v>
      </c>
      <c r="S100" s="101">
        <f>IF(TrRoad_act!S16=0,0,S38/TrRoad_act!S16*1000)</f>
        <v>39.211014677641892</v>
      </c>
      <c r="T100" s="101">
        <f>IF(TrRoad_act!T16=0,0,T38/TrRoad_act!T16*1000)</f>
        <v>37.668127647604699</v>
      </c>
      <c r="U100" s="101">
        <f>IF(TrRoad_act!U16=0,0,U38/TrRoad_act!U16*1000)</f>
        <v>38.685326629776704</v>
      </c>
      <c r="V100" s="101">
        <f>IF(TrRoad_act!V16=0,0,V38/TrRoad_act!V16*1000)</f>
        <v>56.728966323856696</v>
      </c>
      <c r="W100" s="101">
        <f>IF(TrRoad_act!W16=0,0,W38/TrRoad_act!W16*1000)</f>
        <v>55.334850806705539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33.037203524789966</v>
      </c>
      <c r="P102" s="101">
        <f>IF(TrRoad_act!P18=0,0,P41/TrRoad_act!P18*1000)</f>
        <v>32.114530581713865</v>
      </c>
      <c r="Q102" s="101">
        <f>IF(TrRoad_act!Q18=0,0,Q41/TrRoad_act!Q18*1000)</f>
        <v>24.753650266500603</v>
      </c>
      <c r="R102" s="101">
        <f>IF(TrRoad_act!R18=0,0,R41/TrRoad_act!R18*1000)</f>
        <v>25.172271308030918</v>
      </c>
      <c r="S102" s="101">
        <f>IF(TrRoad_act!S18=0,0,S41/TrRoad_act!S18*1000)</f>
        <v>26.414305858155736</v>
      </c>
      <c r="T102" s="101">
        <f>IF(TrRoad_act!T18=0,0,T41/TrRoad_act!T18*1000)</f>
        <v>25.376126425042774</v>
      </c>
      <c r="U102" s="101">
        <f>IF(TrRoad_act!U18=0,0,U41/TrRoad_act!U18*1000)</f>
        <v>26.037010523909178</v>
      </c>
      <c r="V102" s="101">
        <f>IF(TrRoad_act!V18=0,0,V41/TrRoad_act!V18*1000)</f>
        <v>38.106526612237985</v>
      </c>
      <c r="W102" s="101">
        <f>IF(TrRoad_act!W18=0,0,W41/TrRoad_act!W18*1000)</f>
        <v>37.135133573295718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44.921223143121047</v>
      </c>
      <c r="C103" s="29">
        <f>IF(TrRoad_act!C19=0,0,C42/TrRoad_act!C19*1000)</f>
        <v>53.826117545827024</v>
      </c>
      <c r="D103" s="29">
        <f>IF(TrRoad_act!D19=0,0,D42/TrRoad_act!D19*1000)</f>
        <v>55.45271543633077</v>
      </c>
      <c r="E103" s="29">
        <f>IF(TrRoad_act!E19=0,0,E42/TrRoad_act!E19*1000)</f>
        <v>54.48737073493453</v>
      </c>
      <c r="F103" s="29">
        <f>IF(TrRoad_act!F19=0,0,F42/TrRoad_act!F19*1000)</f>
        <v>46.590521148282889</v>
      </c>
      <c r="G103" s="29">
        <f>IF(TrRoad_act!G19=0,0,G42/TrRoad_act!G19*1000)</f>
        <v>35.902219856179691</v>
      </c>
      <c r="H103" s="29">
        <f>IF(TrRoad_act!H19=0,0,H42/TrRoad_act!H19*1000)</f>
        <v>41.280110082765447</v>
      </c>
      <c r="I103" s="29">
        <f>IF(TrRoad_act!I19=0,0,I42/TrRoad_act!I19*1000)</f>
        <v>35.920233597018608</v>
      </c>
      <c r="J103" s="29">
        <f>IF(TrRoad_act!J19=0,0,J42/TrRoad_act!J19*1000)</f>
        <v>42.057397728055257</v>
      </c>
      <c r="K103" s="29">
        <f>IF(TrRoad_act!K19=0,0,K42/TrRoad_act!K19*1000)</f>
        <v>50.837044030645778</v>
      </c>
      <c r="L103" s="29">
        <f>IF(TrRoad_act!L19=0,0,L42/TrRoad_act!L19*1000)</f>
        <v>65.432303967307107</v>
      </c>
      <c r="M103" s="29">
        <f>IF(TrRoad_act!M19=0,0,M42/TrRoad_act!M19*1000)</f>
        <v>69.521870322517415</v>
      </c>
      <c r="N103" s="29">
        <f>IF(TrRoad_act!N19=0,0,N42/TrRoad_act!N19*1000)</f>
        <v>63.738575032683194</v>
      </c>
      <c r="O103" s="29">
        <f>IF(TrRoad_act!O19=0,0,O42/TrRoad_act!O19*1000)</f>
        <v>63.72815808427211</v>
      </c>
      <c r="P103" s="29">
        <f>IF(TrRoad_act!P19=0,0,P42/TrRoad_act!P19*1000)</f>
        <v>64.993580059550695</v>
      </c>
      <c r="Q103" s="29">
        <f>IF(TrRoad_act!Q19=0,0,Q42/TrRoad_act!Q19*1000)</f>
        <v>64.449082087977487</v>
      </c>
      <c r="R103" s="29">
        <f>IF(TrRoad_act!R19=0,0,R42/TrRoad_act!R19*1000)</f>
        <v>64.853727430780765</v>
      </c>
      <c r="S103" s="29">
        <f>IF(TrRoad_act!S19=0,0,S42/TrRoad_act!S19*1000)</f>
        <v>66.038902655188735</v>
      </c>
      <c r="T103" s="29">
        <f>IF(TrRoad_act!T19=0,0,T42/TrRoad_act!T19*1000)</f>
        <v>64.384152286702403</v>
      </c>
      <c r="U103" s="29">
        <f>IF(TrRoad_act!U19=0,0,U42/TrRoad_act!U19*1000)</f>
        <v>61.454442498255965</v>
      </c>
      <c r="V103" s="29">
        <f>IF(TrRoad_act!V19=0,0,V42/TrRoad_act!V19*1000)</f>
        <v>62.676901579864996</v>
      </c>
      <c r="W103" s="29">
        <f>IF(TrRoad_act!W19=0,0,W42/TrRoad_act!W19*1000)</f>
        <v>55.282038899275406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327.09249974313803</v>
      </c>
      <c r="C104" s="152">
        <f>IF(TrRoad_act!C20=0,0,C43/TrRoad_act!C20*1000)</f>
        <v>331.34825518222897</v>
      </c>
      <c r="D104" s="152">
        <f>IF(TrRoad_act!D20=0,0,D43/TrRoad_act!D20*1000)</f>
        <v>328.83586111234342</v>
      </c>
      <c r="E104" s="152">
        <f>IF(TrRoad_act!E20=0,0,E43/TrRoad_act!E20*1000)</f>
        <v>325.60412656306642</v>
      </c>
      <c r="F104" s="152">
        <f>IF(TrRoad_act!F20=0,0,F43/TrRoad_act!F20*1000)</f>
        <v>313.02785138232582</v>
      </c>
      <c r="G104" s="152">
        <f>IF(TrRoad_act!G20=0,0,G43/TrRoad_act!G20*1000)</f>
        <v>317.90968431496111</v>
      </c>
      <c r="H104" s="152">
        <f>IF(TrRoad_act!H20=0,0,H43/TrRoad_act!H20*1000)</f>
        <v>317.00681653750206</v>
      </c>
      <c r="I104" s="152">
        <f>IF(TrRoad_act!I20=0,0,I43/TrRoad_act!I20*1000)</f>
        <v>308.52678555862428</v>
      </c>
      <c r="J104" s="152">
        <f>IF(TrRoad_act!J20=0,0,J43/TrRoad_act!J20*1000)</f>
        <v>306.61737690956198</v>
      </c>
      <c r="K104" s="152">
        <f>IF(TrRoad_act!K20=0,0,K43/TrRoad_act!K20*1000)</f>
        <v>306.18127415909123</v>
      </c>
      <c r="L104" s="152">
        <f>IF(TrRoad_act!L20=0,0,L43/TrRoad_act!L20*1000)</f>
        <v>300.54583949915394</v>
      </c>
      <c r="M104" s="152">
        <f>IF(TrRoad_act!M20=0,0,M43/TrRoad_act!M20*1000)</f>
        <v>300.26292967776084</v>
      </c>
      <c r="N104" s="152">
        <f>IF(TrRoad_act!N20=0,0,N43/TrRoad_act!N20*1000)</f>
        <v>305.42299030358873</v>
      </c>
      <c r="O104" s="152">
        <f>IF(TrRoad_act!O20=0,0,O43/TrRoad_act!O20*1000)</f>
        <v>294.58871154823282</v>
      </c>
      <c r="P104" s="152">
        <f>IF(TrRoad_act!P20=0,0,P43/TrRoad_act!P20*1000)</f>
        <v>288.73855509360175</v>
      </c>
      <c r="Q104" s="152">
        <f>IF(TrRoad_act!Q20=0,0,Q43/TrRoad_act!Q20*1000)</f>
        <v>282.81168393336065</v>
      </c>
      <c r="R104" s="152">
        <f>IF(TrRoad_act!R20=0,0,R43/TrRoad_act!R20*1000)</f>
        <v>284.41010600845652</v>
      </c>
      <c r="S104" s="152">
        <f>IF(TrRoad_act!S20=0,0,S43/TrRoad_act!S20*1000)</f>
        <v>283.26755392467942</v>
      </c>
      <c r="T104" s="152">
        <f>IF(TrRoad_act!T20=0,0,T43/TrRoad_act!T20*1000)</f>
        <v>276.812059597916</v>
      </c>
      <c r="U104" s="152">
        <f>IF(TrRoad_act!U20=0,0,U43/TrRoad_act!U20*1000)</f>
        <v>271.56860075947486</v>
      </c>
      <c r="V104" s="152">
        <f>IF(TrRoad_act!V20=0,0,V43/TrRoad_act!V20*1000)</f>
        <v>265.96213007767648</v>
      </c>
      <c r="W104" s="152">
        <f>IF(TrRoad_act!W20=0,0,W43/TrRoad_act!W20*1000)</f>
        <v>264.45001961182919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467.39101447513559</v>
      </c>
      <c r="C105" s="87">
        <f>IF(TrRoad_act!C21=0,0,C44/TrRoad_act!C21*1000)</f>
        <v>458.63108955452702</v>
      </c>
      <c r="D105" s="87">
        <f>IF(TrRoad_act!D21=0,0,D44/TrRoad_act!D21*1000)</f>
        <v>448.95812204885021</v>
      </c>
      <c r="E105" s="87">
        <f>IF(TrRoad_act!E21=0,0,E44/TrRoad_act!E21*1000)</f>
        <v>437.31350798790186</v>
      </c>
      <c r="F105" s="87">
        <f>IF(TrRoad_act!F21=0,0,F44/TrRoad_act!F21*1000)</f>
        <v>425.57761429346749</v>
      </c>
      <c r="G105" s="87">
        <f>IF(TrRoad_act!G21=0,0,G44/TrRoad_act!G21*1000)</f>
        <v>416.24919227547485</v>
      </c>
      <c r="H105" s="87">
        <f>IF(TrRoad_act!H21=0,0,H44/TrRoad_act!H21*1000)</f>
        <v>402.67902323236211</v>
      </c>
      <c r="I105" s="87">
        <f>IF(TrRoad_act!I21=0,0,I44/TrRoad_act!I21*1000)</f>
        <v>393.32715440171245</v>
      </c>
      <c r="J105" s="87">
        <f>IF(TrRoad_act!J21=0,0,J44/TrRoad_act!J21*1000)</f>
        <v>386.37251888646284</v>
      </c>
      <c r="K105" s="87">
        <f>IF(TrRoad_act!K21=0,0,K44/TrRoad_act!K21*1000)</f>
        <v>379.12801927034042</v>
      </c>
      <c r="L105" s="87">
        <f>IF(TrRoad_act!L21=0,0,L44/TrRoad_act!L21*1000)</f>
        <v>372.85899481239323</v>
      </c>
      <c r="M105" s="87">
        <f>IF(TrRoad_act!M21=0,0,M44/TrRoad_act!M21*1000)</f>
        <v>366.94007730896021</v>
      </c>
      <c r="N105" s="87">
        <f>IF(TrRoad_act!N21=0,0,N44/TrRoad_act!N21*1000)</f>
        <v>360.69089307540133</v>
      </c>
      <c r="O105" s="87">
        <f>IF(TrRoad_act!O21=0,0,O44/TrRoad_act!O21*1000)</f>
        <v>359.77585330122736</v>
      </c>
      <c r="P105" s="87">
        <f>IF(TrRoad_act!P21=0,0,P44/TrRoad_act!P21*1000)</f>
        <v>353.25751355835405</v>
      </c>
      <c r="Q105" s="87">
        <f>IF(TrRoad_act!Q21=0,0,Q44/TrRoad_act!Q21*1000)</f>
        <v>346.04898339859449</v>
      </c>
      <c r="R105" s="87">
        <f>IF(TrRoad_act!R21=0,0,R44/TrRoad_act!R21*1000)</f>
        <v>339.97560111917255</v>
      </c>
      <c r="S105" s="87">
        <f>IF(TrRoad_act!S21=0,0,S44/TrRoad_act!S21*1000)</f>
        <v>330.84302556150453</v>
      </c>
      <c r="T105" s="87">
        <f>IF(TrRoad_act!T21=0,0,T44/TrRoad_act!T21*1000)</f>
        <v>325.38781000006395</v>
      </c>
      <c r="U105" s="87">
        <f>IF(TrRoad_act!U21=0,0,U44/TrRoad_act!U21*1000)</f>
        <v>322.59338289990666</v>
      </c>
      <c r="V105" s="87">
        <f>IF(TrRoad_act!V21=0,0,V44/TrRoad_act!V21*1000)</f>
        <v>320.16974418686289</v>
      </c>
      <c r="W105" s="87">
        <f>IF(TrRoad_act!W21=0,0,W44/TrRoad_act!W21*1000)</f>
        <v>315.95147186454096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270.19471218391124</v>
      </c>
      <c r="C106" s="87">
        <f>IF(TrRoad_act!C22=0,0,C46/TrRoad_act!C22*1000)</f>
        <v>281.31990065393336</v>
      </c>
      <c r="D106" s="87">
        <f>IF(TrRoad_act!D22=0,0,D46/TrRoad_act!D22*1000)</f>
        <v>283.37168390218375</v>
      </c>
      <c r="E106" s="87">
        <f>IF(TrRoad_act!E22=0,0,E46/TrRoad_act!E22*1000)</f>
        <v>284.98059786547071</v>
      </c>
      <c r="F106" s="87">
        <f>IF(TrRoad_act!F22=0,0,F46/TrRoad_act!F22*1000)</f>
        <v>273.72828116768153</v>
      </c>
      <c r="G106" s="87">
        <f>IF(TrRoad_act!G22=0,0,G46/TrRoad_act!G22*1000)</f>
        <v>284.82189317159964</v>
      </c>
      <c r="H106" s="87">
        <f>IF(TrRoad_act!H22=0,0,H46/TrRoad_act!H22*1000)</f>
        <v>289.57197409654509</v>
      </c>
      <c r="I106" s="87">
        <f>IF(TrRoad_act!I22=0,0,I46/TrRoad_act!I22*1000)</f>
        <v>282.4514039356049</v>
      </c>
      <c r="J106" s="87">
        <f>IF(TrRoad_act!J22=0,0,J46/TrRoad_act!J22*1000)</f>
        <v>286.32353774687323</v>
      </c>
      <c r="K106" s="87">
        <f>IF(TrRoad_act!K22=0,0,K46/TrRoad_act!K22*1000)</f>
        <v>288.70135442771175</v>
      </c>
      <c r="L106" s="87">
        <f>IF(TrRoad_act!L22=0,0,L46/TrRoad_act!L22*1000)</f>
        <v>284.42065669045581</v>
      </c>
      <c r="M106" s="87">
        <f>IF(TrRoad_act!M22=0,0,M46/TrRoad_act!M22*1000)</f>
        <v>286.99322766196565</v>
      </c>
      <c r="N106" s="87">
        <f>IF(TrRoad_act!N22=0,0,N46/TrRoad_act!N22*1000)</f>
        <v>295.38576802266044</v>
      </c>
      <c r="O106" s="87">
        <f>IF(TrRoad_act!O22=0,0,O46/TrRoad_act!O22*1000)</f>
        <v>284.57263228749713</v>
      </c>
      <c r="P106" s="87">
        <f>IF(TrRoad_act!P22=0,0,P46/TrRoad_act!P22*1000)</f>
        <v>280.47963390078337</v>
      </c>
      <c r="Q106" s="87">
        <f>IF(TrRoad_act!Q22=0,0,Q46/TrRoad_act!Q22*1000)</f>
        <v>276.20774328827628</v>
      </c>
      <c r="R106" s="87">
        <f>IF(TrRoad_act!R22=0,0,R46/TrRoad_act!R22*1000)</f>
        <v>278.42782487742323</v>
      </c>
      <c r="S106" s="87">
        <f>IF(TrRoad_act!S22=0,0,S46/TrRoad_act!S22*1000)</f>
        <v>278.37397634547307</v>
      </c>
      <c r="T106" s="87">
        <f>IF(TrRoad_act!T22=0,0,T46/TrRoad_act!T22*1000)</f>
        <v>272.2231054042457</v>
      </c>
      <c r="U106" s="87">
        <f>IF(TrRoad_act!U22=0,0,U46/TrRoad_act!U22*1000)</f>
        <v>267.24552345103916</v>
      </c>
      <c r="V106" s="87">
        <f>IF(TrRoad_act!V22=0,0,V46/TrRoad_act!V22*1000)</f>
        <v>261.7577838551727</v>
      </c>
      <c r="W106" s="87">
        <f>IF(TrRoad_act!W22=0,0,W46/TrRoad_act!W22*1000)</f>
        <v>260.72345893799491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707.0817966492973</v>
      </c>
      <c r="K107" s="87">
        <f>IF(TrRoad_act!K23=0,0,K48/TrRoad_act!K23*1000)</f>
        <v>706.53258885583898</v>
      </c>
      <c r="L107" s="87">
        <f>IF(TrRoad_act!L23=0,0,L48/TrRoad_act!L23*1000)</f>
        <v>705.85324673395075</v>
      </c>
      <c r="M107" s="87">
        <f>IF(TrRoad_act!M23=0,0,M48/TrRoad_act!M23*1000)</f>
        <v>676.65701344193644</v>
      </c>
      <c r="N107" s="87">
        <f>IF(TrRoad_act!N23=0,0,N48/TrRoad_act!N23*1000)</f>
        <v>641.33258331641355</v>
      </c>
      <c r="O107" s="87">
        <f>IF(TrRoad_act!O23=0,0,O48/TrRoad_act!O23*1000)</f>
        <v>641.00808960814743</v>
      </c>
      <c r="P107" s="87">
        <f>IF(TrRoad_act!P23=0,0,P48/TrRoad_act!P23*1000)</f>
        <v>591.88782491325401</v>
      </c>
      <c r="Q107" s="87">
        <f>IF(TrRoad_act!Q23=0,0,Q48/TrRoad_act!Q23*1000)</f>
        <v>571.79684501431984</v>
      </c>
      <c r="R107" s="87">
        <f>IF(TrRoad_act!R23=0,0,R48/TrRoad_act!R23*1000)</f>
        <v>496.44253424132006</v>
      </c>
      <c r="S107" s="87">
        <f>IF(TrRoad_act!S23=0,0,S48/TrRoad_act!S23*1000)</f>
        <v>497.24962144907528</v>
      </c>
      <c r="T107" s="87">
        <f>IF(TrRoad_act!T23=0,0,T48/TrRoad_act!T23*1000)</f>
        <v>488.33220734383144</v>
      </c>
      <c r="U107" s="87">
        <f>IF(TrRoad_act!U23=0,0,U48/TrRoad_act!U23*1000)</f>
        <v>488.11008111574557</v>
      </c>
      <c r="V107" s="87">
        <f>IF(TrRoad_act!V23=0,0,V48/TrRoad_act!V23*1000)</f>
        <v>476.35918685930125</v>
      </c>
      <c r="W107" s="87">
        <f>IF(TrRoad_act!W23=0,0,W48/TrRoad_act!W23*1000)</f>
        <v>418.5736241976216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47.81051953419994</v>
      </c>
      <c r="M109" s="87">
        <f>IF(TrRoad_act!M25=0,0,M51/TrRoad_act!M25*1000)</f>
        <v>47.884175177330853</v>
      </c>
      <c r="N109" s="87">
        <f>IF(TrRoad_act!N25=0,0,N51/TrRoad_act!N25*1000)</f>
        <v>48.085342453355643</v>
      </c>
      <c r="O109" s="87">
        <f>IF(TrRoad_act!O25=0,0,O51/TrRoad_act!O25*1000)</f>
        <v>48.481489430149225</v>
      </c>
      <c r="P109" s="87">
        <f>IF(TrRoad_act!P25=0,0,P51/TrRoad_act!P25*1000)</f>
        <v>48.821429513239565</v>
      </c>
      <c r="Q109" s="87">
        <f>IF(TrRoad_act!Q25=0,0,Q51/TrRoad_act!Q25*1000)</f>
        <v>48.898614038896667</v>
      </c>
      <c r="R109" s="87">
        <f>IF(TrRoad_act!R25=0,0,R51/TrRoad_act!R25*1000)</f>
        <v>48.98382944368111</v>
      </c>
      <c r="S109" s="87">
        <f>IF(TrRoad_act!S25=0,0,S51/TrRoad_act!S25*1000)</f>
        <v>50.792951636110921</v>
      </c>
      <c r="T109" s="87">
        <f>IF(TrRoad_act!T25=0,0,T51/TrRoad_act!T25*1000)</f>
        <v>51.85721075167401</v>
      </c>
      <c r="U109" s="87">
        <f>IF(TrRoad_act!U25=0,0,U51/TrRoad_act!U25*1000)</f>
        <v>54.721168673348352</v>
      </c>
      <c r="V109" s="87">
        <f>IF(TrRoad_act!V25=0,0,V51/TrRoad_act!V25*1000)</f>
        <v>58.835526842763606</v>
      </c>
      <c r="W109" s="87">
        <f>IF(TrRoad_act!W25=0,0,W51/TrRoad_act!W25*1000)</f>
        <v>68.908622154287343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26.599256848472383</v>
      </c>
      <c r="C110" s="116">
        <f>IF(TrRoad_act!C26=0,0,C52/TrRoad_act!C26*1000)</f>
        <v>36.469520310612488</v>
      </c>
      <c r="D110" s="116">
        <f>IF(TrRoad_act!D26=0,0,D52/TrRoad_act!D26*1000)</f>
        <v>38.627674366966538</v>
      </c>
      <c r="E110" s="116">
        <f>IF(TrRoad_act!E26=0,0,E52/TrRoad_act!E26*1000)</f>
        <v>39.083542428108558</v>
      </c>
      <c r="F110" s="116">
        <f>IF(TrRoad_act!F26=0,0,F52/TrRoad_act!F26*1000)</f>
        <v>32.298941366777854</v>
      </c>
      <c r="G110" s="116">
        <f>IF(TrRoad_act!G26=0,0,G52/TrRoad_act!G26*1000)</f>
        <v>22.803421778316572</v>
      </c>
      <c r="H110" s="116">
        <f>IF(TrRoad_act!H26=0,0,H52/TrRoad_act!H26*1000)</f>
        <v>27.100166518919362</v>
      </c>
      <c r="I110" s="116">
        <f>IF(TrRoad_act!I26=0,0,I52/TrRoad_act!I26*1000)</f>
        <v>21.739118707235125</v>
      </c>
      <c r="J110" s="116">
        <f>IF(TrRoad_act!J26=0,0,J52/TrRoad_act!J26*1000)</f>
        <v>24.732556842413118</v>
      </c>
      <c r="K110" s="116">
        <f>IF(TrRoad_act!K26=0,0,K52/TrRoad_act!K26*1000)</f>
        <v>29.6943011350597</v>
      </c>
      <c r="L110" s="116">
        <f>IF(TrRoad_act!L26=0,0,L52/TrRoad_act!L26*1000)</f>
        <v>33.77571073890963</v>
      </c>
      <c r="M110" s="116">
        <f>IF(TrRoad_act!M26=0,0,M52/TrRoad_act!M26*1000)</f>
        <v>36.212019384304298</v>
      </c>
      <c r="N110" s="116">
        <f>IF(TrRoad_act!N26=0,0,N52/TrRoad_act!N26*1000)</f>
        <v>30.273797233335582</v>
      </c>
      <c r="O110" s="116">
        <f>IF(TrRoad_act!O26=0,0,O52/TrRoad_act!O26*1000)</f>
        <v>29.961260719119242</v>
      </c>
      <c r="P110" s="116">
        <f>IF(TrRoad_act!P26=0,0,P52/TrRoad_act!P26*1000)</f>
        <v>28.359467726503159</v>
      </c>
      <c r="Q110" s="116">
        <f>IF(TrRoad_act!Q26=0,0,Q52/TrRoad_act!Q26*1000)</f>
        <v>26.339600412176484</v>
      </c>
      <c r="R110" s="116">
        <f>IF(TrRoad_act!R26=0,0,R52/TrRoad_act!R26*1000)</f>
        <v>28.715757192964258</v>
      </c>
      <c r="S110" s="116">
        <f>IF(TrRoad_act!S26=0,0,S52/TrRoad_act!S26*1000)</f>
        <v>30.64513239208198</v>
      </c>
      <c r="T110" s="116">
        <f>IF(TrRoad_act!T26=0,0,T52/TrRoad_act!T26*1000)</f>
        <v>27.818161634563555</v>
      </c>
      <c r="U110" s="116">
        <f>IF(TrRoad_act!U26=0,0,U52/TrRoad_act!U26*1000)</f>
        <v>27.098655065562593</v>
      </c>
      <c r="V110" s="116">
        <f>IF(TrRoad_act!V26=0,0,V52/TrRoad_act!V26*1000)</f>
        <v>26.585481474464007</v>
      </c>
      <c r="W110" s="116">
        <f>IF(TrRoad_act!W26=0,0,W52/TrRoad_act!W26*1000)</f>
        <v>23.79188203493467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26.678316345960152</v>
      </c>
      <c r="C111" s="101">
        <f>IF(TrRoad_act!C27=0,0,C53/TrRoad_act!C27*1000)</f>
        <v>30.500864430232504</v>
      </c>
      <c r="D111" s="101">
        <f>IF(TrRoad_act!D27=0,0,D53/TrRoad_act!D27*1000)</f>
        <v>31.371531800952194</v>
      </c>
      <c r="E111" s="101">
        <f>IF(TrRoad_act!E27=0,0,E53/TrRoad_act!E27*1000)</f>
        <v>31.396961237028695</v>
      </c>
      <c r="F111" s="101">
        <f>IF(TrRoad_act!F27=0,0,F53/TrRoad_act!F27*1000)</f>
        <v>28.58743028371045</v>
      </c>
      <c r="G111" s="101">
        <f>IF(TrRoad_act!G27=0,0,G53/TrRoad_act!G27*1000)</f>
        <v>24.70823689149945</v>
      </c>
      <c r="H111" s="101">
        <f>IF(TrRoad_act!H27=0,0,H53/TrRoad_act!H27*1000)</f>
        <v>26.409768782898428</v>
      </c>
      <c r="I111" s="101">
        <f>IF(TrRoad_act!I27=0,0,I53/TrRoad_act!I27*1000)</f>
        <v>23.270371934993314</v>
      </c>
      <c r="J111" s="101">
        <f>IF(TrRoad_act!J27=0,0,J53/TrRoad_act!J27*1000)</f>
        <v>24.885983532424273</v>
      </c>
      <c r="K111" s="101">
        <f>IF(TrRoad_act!K27=0,0,K53/TrRoad_act!K27*1000)</f>
        <v>27.070191773751226</v>
      </c>
      <c r="L111" s="101">
        <f>IF(TrRoad_act!L27=0,0,L53/TrRoad_act!L27*1000)</f>
        <v>28.210768372322313</v>
      </c>
      <c r="M111" s="101">
        <f>IF(TrRoad_act!M27=0,0,M53/TrRoad_act!M27*1000)</f>
        <v>29.496277113234509</v>
      </c>
      <c r="N111" s="101">
        <f>IF(TrRoad_act!N27=0,0,N53/TrRoad_act!N27*1000)</f>
        <v>26.961306839586999</v>
      </c>
      <c r="O111" s="101">
        <f>IF(TrRoad_act!O27=0,0,O53/TrRoad_act!O27*1000)</f>
        <v>27.162994371998039</v>
      </c>
      <c r="P111" s="101">
        <f>IF(TrRoad_act!P27=0,0,P53/TrRoad_act!P27*1000)</f>
        <v>26.494569705907377</v>
      </c>
      <c r="Q111" s="101">
        <f>IF(TrRoad_act!Q27=0,0,Q53/TrRoad_act!Q27*1000)</f>
        <v>25.591344025705673</v>
      </c>
      <c r="R111" s="101">
        <f>IF(TrRoad_act!R27=0,0,R53/TrRoad_act!R27*1000)</f>
        <v>26.188777048619595</v>
      </c>
      <c r="S111" s="101">
        <f>IF(TrRoad_act!S27=0,0,S53/TrRoad_act!S27*1000)</f>
        <v>27.039775747401734</v>
      </c>
      <c r="T111" s="101">
        <f>IF(TrRoad_act!T27=0,0,T53/TrRoad_act!T27*1000)</f>
        <v>25.945130300554631</v>
      </c>
      <c r="U111" s="101">
        <f>IF(TrRoad_act!U27=0,0,U53/TrRoad_act!U27*1000)</f>
        <v>25.240340297769521</v>
      </c>
      <c r="V111" s="101">
        <f>IF(TrRoad_act!V27=0,0,V53/TrRoad_act!V27*1000)</f>
        <v>24.191715146524576</v>
      </c>
      <c r="W111" s="101">
        <f>IF(TrRoad_act!W27=0,0,W53/TrRoad_act!W27*1000)</f>
        <v>22.378154341044347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26.516698756756853</v>
      </c>
      <c r="C112" s="88">
        <f>IF(TrRoad_act!C28=0,0,C55/TrRoad_act!C28*1000)</f>
        <v>42.738487604913892</v>
      </c>
      <c r="D112" s="88">
        <f>IF(TrRoad_act!D28=0,0,D55/TrRoad_act!D28*1000)</f>
        <v>46.051069732970539</v>
      </c>
      <c r="E112" s="88">
        <f>IF(TrRoad_act!E28=0,0,E55/TrRoad_act!E28*1000)</f>
        <v>48.695159896192813</v>
      </c>
      <c r="F112" s="88">
        <f>IF(TrRoad_act!F28=0,0,F55/TrRoad_act!F28*1000)</f>
        <v>36.594678228115086</v>
      </c>
      <c r="G112" s="88">
        <f>IF(TrRoad_act!G28=0,0,G55/TrRoad_act!G28*1000)</f>
        <v>19.984902899906544</v>
      </c>
      <c r="H112" s="88">
        <f>IF(TrRoad_act!H28=0,0,H55/TrRoad_act!H28*1000)</f>
        <v>28.692945060254853</v>
      </c>
      <c r="I112" s="88">
        <f>IF(TrRoad_act!I28=0,0,I55/TrRoad_act!I28*1000)</f>
        <v>18.068147756395938</v>
      </c>
      <c r="J112" s="88">
        <f>IF(TrRoad_act!J28=0,0,J55/TrRoad_act!J28*1000)</f>
        <v>24.274583460678709</v>
      </c>
      <c r="K112" s="88">
        <f>IF(TrRoad_act!K28=0,0,K55/TrRoad_act!K28*1000)</f>
        <v>42.527374744962898</v>
      </c>
      <c r="L112" s="88">
        <f>IF(TrRoad_act!L28=0,0,L55/TrRoad_act!L28*1000)</f>
        <v>52.904111257888204</v>
      </c>
      <c r="M112" s="88">
        <f>IF(TrRoad_act!M28=0,0,M55/TrRoad_act!M28*1000)</f>
        <v>58.397946149348385</v>
      </c>
      <c r="N112" s="88">
        <f>IF(TrRoad_act!N28=0,0,N55/TrRoad_act!N28*1000)</f>
        <v>40.278428988011868</v>
      </c>
      <c r="O112" s="88">
        <f>IF(TrRoad_act!O28=0,0,O55/TrRoad_act!O28*1000)</f>
        <v>37.726431415239453</v>
      </c>
      <c r="P112" s="88">
        <f>IF(TrRoad_act!P28=0,0,P55/TrRoad_act!P28*1000)</f>
        <v>33.491872523626554</v>
      </c>
      <c r="Q112" s="88">
        <f>IF(TrRoad_act!Q28=0,0,Q55/TrRoad_act!Q28*1000)</f>
        <v>28.395424922681219</v>
      </c>
      <c r="R112" s="88">
        <f>IF(TrRoad_act!R28=0,0,R55/TrRoad_act!R28*1000)</f>
        <v>35.520092389923462</v>
      </c>
      <c r="S112" s="88">
        <f>IF(TrRoad_act!S28=0,0,S55/TrRoad_act!S28*1000)</f>
        <v>39.00251311954338</v>
      </c>
      <c r="T112" s="88">
        <f>IF(TrRoad_act!T28=0,0,T55/TrRoad_act!T28*1000)</f>
        <v>32.629071096763944</v>
      </c>
      <c r="U112" s="88">
        <f>IF(TrRoad_act!U28=0,0,U55/TrRoad_act!U28*1000)</f>
        <v>32.592874702610366</v>
      </c>
      <c r="V112" s="88">
        <f>IF(TrRoad_act!V28=0,0,V55/TrRoad_act!V28*1000)</f>
        <v>35.997694423979645</v>
      </c>
      <c r="W112" s="88">
        <f>IF(TrRoad_act!W28=0,0,W55/TrRoad_act!W28*1000)</f>
        <v>28.35948171301558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244.62993797298287</v>
      </c>
      <c r="C116" s="152">
        <f>IF(C19=0,0,1000000*C19/TrRoad_act!C59)</f>
        <v>244.3957305279977</v>
      </c>
      <c r="D116" s="152">
        <f>IF(D19=0,0,1000000*D19/TrRoad_act!D59)</f>
        <v>244.15646342365505</v>
      </c>
      <c r="E116" s="152">
        <f>IF(E19=0,0,1000000*E19/TrRoad_act!E59)</f>
        <v>243.07888380057051</v>
      </c>
      <c r="F116" s="152">
        <f>IF(F19=0,0,1000000*F19/TrRoad_act!F59)</f>
        <v>241.78656197935729</v>
      </c>
      <c r="G116" s="152">
        <f>IF(G19=0,0,1000000*G19/TrRoad_act!G59)</f>
        <v>228.75754727557819</v>
      </c>
      <c r="H116" s="152">
        <f>IF(H19=0,0,1000000*H19/TrRoad_act!H59)</f>
        <v>222.78118841429105</v>
      </c>
      <c r="I116" s="152">
        <f>IF(I19=0,0,1000000*I19/TrRoad_act!I59)</f>
        <v>217.86127764182751</v>
      </c>
      <c r="J116" s="152">
        <f>IF(J19=0,0,1000000*J19/TrRoad_act!J59)</f>
        <v>204.13720619757774</v>
      </c>
      <c r="K116" s="152">
        <f>IF(K19=0,0,1000000*K19/TrRoad_act!K59)</f>
        <v>195.75786727389064</v>
      </c>
      <c r="L116" s="152">
        <f>IF(L19=0,0,1000000*L19/TrRoad_act!L59)</f>
        <v>191.06913335809068</v>
      </c>
      <c r="M116" s="152">
        <f>IF(M19=0,0,1000000*M19/TrRoad_act!M59)</f>
        <v>188.61176591437101</v>
      </c>
      <c r="N116" s="152">
        <f>IF(N19=0,0,1000000*N19/TrRoad_act!N59)</f>
        <v>184.22005890239774</v>
      </c>
      <c r="O116" s="152">
        <f>IF(O19=0,0,1000000*O19/TrRoad_act!O59)</f>
        <v>182.20909357107624</v>
      </c>
      <c r="P116" s="152">
        <f>IF(P19=0,0,1000000*P19/TrRoad_act!P59)</f>
        <v>178.47363794052376</v>
      </c>
      <c r="Q116" s="152">
        <f>IF(Q19=0,0,1000000*Q19/TrRoad_act!Q59)</f>
        <v>176.84106226852813</v>
      </c>
      <c r="R116" s="152">
        <f>IF(R19=0,0,1000000*R19/TrRoad_act!R59)</f>
        <v>178.0324810170483</v>
      </c>
      <c r="S116" s="152">
        <f>IF(S19=0,0,1000000*S19/TrRoad_act!S59)</f>
        <v>157.27447940081231</v>
      </c>
      <c r="T116" s="152">
        <f>IF(T19=0,0,1000000*T19/TrRoad_act!T59)</f>
        <v>138.81694164443587</v>
      </c>
      <c r="U116" s="152">
        <f>IF(U19=0,0,1000000*U19/TrRoad_act!U59)</f>
        <v>134.22870038682802</v>
      </c>
      <c r="V116" s="152">
        <f>IF(V19=0,0,1000000*V19/TrRoad_act!V59)</f>
        <v>110.88506455926523</v>
      </c>
      <c r="W116" s="152">
        <f>IF(W19=0,0,1000000*W19/TrRoad_act!W59)</f>
        <v>94.563873861468608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412.33820087062895</v>
      </c>
      <c r="C117" s="116">
        <f>IF(C21=0,0,1000000*C21/TrRoad_act!C60)</f>
        <v>533.23759859960376</v>
      </c>
      <c r="D117" s="116">
        <f>IF(D21=0,0,1000000*D21/TrRoad_act!D60)</f>
        <v>588.84268498526558</v>
      </c>
      <c r="E117" s="116">
        <f>IF(E21=0,0,1000000*E21/TrRoad_act!E60)</f>
        <v>594.73651740272476</v>
      </c>
      <c r="F117" s="116">
        <f>IF(F21=0,0,1000000*F21/TrRoad_act!F60)</f>
        <v>631.68899653665846</v>
      </c>
      <c r="G117" s="116">
        <f>IF(G21=0,0,1000000*G21/TrRoad_act!G60)</f>
        <v>596.96196939887625</v>
      </c>
      <c r="H117" s="116">
        <f>IF(H21=0,0,1000000*H21/TrRoad_act!H60)</f>
        <v>624.72918521017425</v>
      </c>
      <c r="I117" s="116">
        <f>IF(I21=0,0,1000000*I21/TrRoad_act!I60)</f>
        <v>603.52334508558477</v>
      </c>
      <c r="J117" s="116">
        <f>IF(J21=0,0,1000000*J21/TrRoad_act!J60)</f>
        <v>590.92707769408332</v>
      </c>
      <c r="K117" s="116">
        <f>IF(K21=0,0,1000000*K21/TrRoad_act!K60)</f>
        <v>595.54386626146493</v>
      </c>
      <c r="L117" s="116">
        <f>IF(L21=0,0,1000000*L21/TrRoad_act!L60)</f>
        <v>564.3556107896876</v>
      </c>
      <c r="M117" s="116">
        <f>IF(M21=0,0,1000000*M21/TrRoad_act!M60)</f>
        <v>592.55415077538498</v>
      </c>
      <c r="N117" s="116">
        <f>IF(N21=0,0,1000000*N21/TrRoad_act!N60)</f>
        <v>607.2468971199911</v>
      </c>
      <c r="O117" s="116">
        <f>IF(O21=0,0,1000000*O21/TrRoad_act!O60)</f>
        <v>552.19279570930973</v>
      </c>
      <c r="P117" s="116">
        <f>IF(P21=0,0,1000000*P21/TrRoad_act!P60)</f>
        <v>550.77415514267011</v>
      </c>
      <c r="Q117" s="116">
        <f>IF(Q21=0,0,1000000*Q21/TrRoad_act!Q60)</f>
        <v>528.51493906054225</v>
      </c>
      <c r="R117" s="116">
        <f>IF(R21=0,0,1000000*R21/TrRoad_act!R60)</f>
        <v>541.77725659105909</v>
      </c>
      <c r="S117" s="116">
        <f>IF(S21=0,0,1000000*S21/TrRoad_act!S60)</f>
        <v>526.40741490537653</v>
      </c>
      <c r="T117" s="116">
        <f>IF(T21=0,0,1000000*T21/TrRoad_act!T60)</f>
        <v>509.80955553829273</v>
      </c>
      <c r="U117" s="116">
        <f>IF(U21=0,0,1000000*U21/TrRoad_act!U60)</f>
        <v>491.47228575324664</v>
      </c>
      <c r="V117" s="116">
        <f>IF(V21=0,0,1000000*V21/TrRoad_act!V60)</f>
        <v>446.86080804108718</v>
      </c>
      <c r="W117" s="116">
        <f>IF(W21=0,0,1000000*W21/TrRoad_act!W60)</f>
        <v>455.96325890753502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386.68433053517793</v>
      </c>
      <c r="C118" s="87">
        <f>IF(C22=0,0,1000000*C22/TrRoad_act!C61)</f>
        <v>512.05700249260065</v>
      </c>
      <c r="D118" s="87">
        <f>IF(D22=0,0,1000000*D22/TrRoad_act!D61)</f>
        <v>559.13151081478065</v>
      </c>
      <c r="E118" s="87">
        <f>IF(E22=0,0,1000000*E22/TrRoad_act!E61)</f>
        <v>567.05666805522833</v>
      </c>
      <c r="F118" s="87">
        <f>IF(F22=0,0,1000000*F22/TrRoad_act!F61)</f>
        <v>583.30162330406074</v>
      </c>
      <c r="G118" s="87">
        <f>IF(G22=0,0,1000000*G22/TrRoad_act!G61)</f>
        <v>532.18806651749537</v>
      </c>
      <c r="H118" s="87">
        <f>IF(H22=0,0,1000000*H22/TrRoad_act!H61)</f>
        <v>535.94354605952537</v>
      </c>
      <c r="I118" s="87">
        <f>IF(I22=0,0,1000000*I22/TrRoad_act!I61)</f>
        <v>519.80872238844699</v>
      </c>
      <c r="J118" s="87">
        <f>IF(J22=0,0,1000000*J22/TrRoad_act!J61)</f>
        <v>465.40294124279933</v>
      </c>
      <c r="K118" s="87">
        <f>IF(K22=0,0,1000000*K22/TrRoad_act!K61)</f>
        <v>446.30595238470659</v>
      </c>
      <c r="L118" s="87">
        <f>IF(L22=0,0,1000000*L22/TrRoad_act!L61)</f>
        <v>437.28054947621717</v>
      </c>
      <c r="M118" s="87">
        <f>IF(M22=0,0,1000000*M22/TrRoad_act!M61)</f>
        <v>427.59955981816302</v>
      </c>
      <c r="N118" s="87">
        <f>IF(N22=0,0,1000000*N22/TrRoad_act!N61)</f>
        <v>420.3934790688059</v>
      </c>
      <c r="O118" s="87">
        <f>IF(O22=0,0,1000000*O22/TrRoad_act!O61)</f>
        <v>389.86150182179153</v>
      </c>
      <c r="P118" s="87">
        <f>IF(P22=0,0,1000000*P22/TrRoad_act!P61)</f>
        <v>406.93617917548647</v>
      </c>
      <c r="Q118" s="87">
        <f>IF(Q22=0,0,1000000*Q22/TrRoad_act!Q61)</f>
        <v>381.04978168420377</v>
      </c>
      <c r="R118" s="87">
        <f>IF(R22=0,0,1000000*R22/TrRoad_act!R61)</f>
        <v>391.46874195440199</v>
      </c>
      <c r="S118" s="87">
        <f>IF(S22=0,0,1000000*S22/TrRoad_act!S61)</f>
        <v>382.82860447274959</v>
      </c>
      <c r="T118" s="87">
        <f>IF(T22=0,0,1000000*T22/TrRoad_act!T61)</f>
        <v>371.57935666317462</v>
      </c>
      <c r="U118" s="87">
        <f>IF(U22=0,0,1000000*U22/TrRoad_act!U61)</f>
        <v>365.15895795972455</v>
      </c>
      <c r="V118" s="87">
        <f>IF(V22=0,0,1000000*V22/TrRoad_act!V61)</f>
        <v>333.99901226095346</v>
      </c>
      <c r="W118" s="87">
        <f>IF(W22=0,0,1000000*W22/TrRoad_act!W61)</f>
        <v>361.7689538688814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752.66310890572413</v>
      </c>
      <c r="C119" s="87">
        <f>IF(C24=0,0,1000000*C24/TrRoad_act!C62)</f>
        <v>730.30937609817772</v>
      </c>
      <c r="D119" s="87">
        <f>IF(D24=0,0,1000000*D24/TrRoad_act!D62)</f>
        <v>803.094806966904</v>
      </c>
      <c r="E119" s="87">
        <f>IF(E24=0,0,1000000*E24/TrRoad_act!E62)</f>
        <v>752.69693283505205</v>
      </c>
      <c r="F119" s="87">
        <f>IF(F24=0,0,1000000*F24/TrRoad_act!F62)</f>
        <v>727.05786819245668</v>
      </c>
      <c r="G119" s="87">
        <f>IF(G24=0,0,1000000*G24/TrRoad_act!G62)</f>
        <v>803.20144012674609</v>
      </c>
      <c r="H119" s="87">
        <f>IF(H24=0,0,1000000*H24/TrRoad_act!H62)</f>
        <v>921.46734932762274</v>
      </c>
      <c r="I119" s="87">
        <f>IF(I24=0,0,1000000*I24/TrRoad_act!I62)</f>
        <v>817.75652405993924</v>
      </c>
      <c r="J119" s="87">
        <f>IF(J24=0,0,1000000*J24/TrRoad_act!J62)</f>
        <v>885.75440232110986</v>
      </c>
      <c r="K119" s="87">
        <f>IF(K24=0,0,1000000*K24/TrRoad_act!K62)</f>
        <v>913.08317902910392</v>
      </c>
      <c r="L119" s="87">
        <f>IF(L24=0,0,1000000*L24/TrRoad_act!L62)</f>
        <v>848.99581522104779</v>
      </c>
      <c r="M119" s="87">
        <f>IF(M24=0,0,1000000*M24/TrRoad_act!M62)</f>
        <v>919.48276445898637</v>
      </c>
      <c r="N119" s="87">
        <f>IF(N24=0,0,1000000*N24/TrRoad_act!N62)</f>
        <v>979.39928085488418</v>
      </c>
      <c r="O119" s="87">
        <f>IF(O24=0,0,1000000*O24/TrRoad_act!O62)</f>
        <v>857.30534268089332</v>
      </c>
      <c r="P119" s="87">
        <f>IF(P24=0,0,1000000*P24/TrRoad_act!P62)</f>
        <v>803.4621687776887</v>
      </c>
      <c r="Q119" s="87">
        <f>IF(Q24=0,0,1000000*Q24/TrRoad_act!Q62)</f>
        <v>771.23037933310354</v>
      </c>
      <c r="R119" s="87">
        <f>IF(R24=0,0,1000000*R24/TrRoad_act!R62)</f>
        <v>768.8805354886623</v>
      </c>
      <c r="S119" s="87">
        <f>IF(S24=0,0,1000000*S24/TrRoad_act!S62)</f>
        <v>712.12966988207131</v>
      </c>
      <c r="T119" s="87">
        <f>IF(T24=0,0,1000000*T24/TrRoad_act!T62)</f>
        <v>669.90174410295856</v>
      </c>
      <c r="U119" s="87">
        <f>IF(U24=0,0,1000000*U24/TrRoad_act!U62)</f>
        <v>627.25700123506374</v>
      </c>
      <c r="V119" s="87">
        <f>IF(V24=0,0,1000000*V24/TrRoad_act!V62)</f>
        <v>565.20085246878489</v>
      </c>
      <c r="W119" s="87">
        <f>IF(W24=0,0,1000000*W24/TrRoad_act!W62)</f>
        <v>555.59524817138333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0</v>
      </c>
      <c r="C120" s="87">
        <f>IF(C26=0,0,1000000*C26/TrRoad_act!C63)</f>
        <v>0</v>
      </c>
      <c r="D120" s="87">
        <f>IF(D26=0,0,1000000*D26/TrRoad_act!D63)</f>
        <v>706.09415305245034</v>
      </c>
      <c r="E120" s="87">
        <f>IF(E26=0,0,1000000*E26/TrRoad_act!E63)</f>
        <v>715.5418503134872</v>
      </c>
      <c r="F120" s="87">
        <f>IF(F26=0,0,1000000*F26/TrRoad_act!F63)</f>
        <v>3639.0296979132036</v>
      </c>
      <c r="G120" s="87">
        <f>IF(G26=0,0,1000000*G26/TrRoad_act!G63)</f>
        <v>2295.1126854974377</v>
      </c>
      <c r="H120" s="87">
        <f>IF(H26=0,0,1000000*H26/TrRoad_act!H63)</f>
        <v>771.0677126945684</v>
      </c>
      <c r="I120" s="87">
        <f>IF(I26=0,0,1000000*I26/TrRoad_act!I63)</f>
        <v>1164.9266566885922</v>
      </c>
      <c r="J120" s="87">
        <f>IF(J26=0,0,1000000*J26/TrRoad_act!J63)</f>
        <v>1645.427377412708</v>
      </c>
      <c r="K120" s="87">
        <f>IF(K26=0,0,1000000*K26/TrRoad_act!K63)</f>
        <v>2475.7967283458574</v>
      </c>
      <c r="L120" s="87">
        <f>IF(L26=0,0,1000000*L26/TrRoad_act!L63)</f>
        <v>635.11246538584783</v>
      </c>
      <c r="M120" s="87">
        <f>IF(M26=0,0,1000000*M26/TrRoad_act!M63)</f>
        <v>1035.6211173261897</v>
      </c>
      <c r="N120" s="87">
        <f>IF(N26=0,0,1000000*N26/TrRoad_act!N63)</f>
        <v>752.5735619111822</v>
      </c>
      <c r="O120" s="87">
        <f>IF(O26=0,0,1000000*O26/TrRoad_act!O63)</f>
        <v>700.8550072832769</v>
      </c>
      <c r="P120" s="87">
        <f>IF(P26=0,0,1000000*P26/TrRoad_act!P63)</f>
        <v>741.13806842579618</v>
      </c>
      <c r="Q120" s="87">
        <f>IF(Q26=0,0,1000000*Q26/TrRoad_act!Q63)</f>
        <v>700.65459137822995</v>
      </c>
      <c r="R120" s="87">
        <f>IF(R26=0,0,1000000*R26/TrRoad_act!R63)</f>
        <v>761.05722865853068</v>
      </c>
      <c r="S120" s="87">
        <f>IF(S26=0,0,1000000*S26/TrRoad_act!S63)</f>
        <v>805.56832482172626</v>
      </c>
      <c r="T120" s="87">
        <f>IF(T26=0,0,1000000*T26/TrRoad_act!T63)</f>
        <v>728.8729804533333</v>
      </c>
      <c r="U120" s="87">
        <f>IF(U26=0,0,1000000*U26/TrRoad_act!U63)</f>
        <v>645.56698246006579</v>
      </c>
      <c r="V120" s="87">
        <f>IF(V26=0,0,1000000*V26/TrRoad_act!V63)</f>
        <v>481.11439993534708</v>
      </c>
      <c r="W120" s="87">
        <f>IF(W26=0,0,1000000*W26/TrRoad_act!W63)</f>
        <v>387.55407778530872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386.47895871019858</v>
      </c>
      <c r="O122" s="87">
        <f>IF(O29=0,0,1000000*O29/TrRoad_act!O65)</f>
        <v>378.42985280579558</v>
      </c>
      <c r="P122" s="87">
        <f>IF(P29=0,0,1000000*P29/TrRoad_act!P65)</f>
        <v>403.35317030074719</v>
      </c>
      <c r="Q122" s="87">
        <f>IF(Q29=0,0,1000000*Q29/TrRoad_act!Q65)</f>
        <v>411.06697641096213</v>
      </c>
      <c r="R122" s="87">
        <f>IF(R29=0,0,1000000*R29/TrRoad_act!R65)</f>
        <v>290.81767582615544</v>
      </c>
      <c r="S122" s="87">
        <f>IF(S29=0,0,1000000*S29/TrRoad_act!S65)</f>
        <v>337.11989487942532</v>
      </c>
      <c r="T122" s="87">
        <f>IF(T29=0,0,1000000*T29/TrRoad_act!T65)</f>
        <v>317.78241075693728</v>
      </c>
      <c r="U122" s="87">
        <f>IF(U29=0,0,1000000*U29/TrRoad_act!U65)</f>
        <v>289.13562824613865</v>
      </c>
      <c r="V122" s="87">
        <f>IF(V29=0,0,1000000*V29/TrRoad_act!V65)</f>
        <v>280.66981010543293</v>
      </c>
      <c r="W122" s="87">
        <f>IF(W29=0,0,1000000*W29/TrRoad_act!W65)</f>
        <v>276.15195453807513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155.74088784311104</v>
      </c>
      <c r="L123" s="87">
        <f>IF(L32=0,0,1000000*L32/TrRoad_act!L66)</f>
        <v>154.92665883755654</v>
      </c>
      <c r="M123" s="87">
        <f>IF(M32=0,0,1000000*M32/TrRoad_act!M66)</f>
        <v>155.48646316926374</v>
      </c>
      <c r="N123" s="87">
        <f>IF(N32=0,0,1000000*N32/TrRoad_act!N66)</f>
        <v>150.09597700056284</v>
      </c>
      <c r="O123" s="87">
        <f>IF(O32=0,0,1000000*O32/TrRoad_act!O66)</f>
        <v>150.88182067135477</v>
      </c>
      <c r="P123" s="87">
        <f>IF(P32=0,0,1000000*P32/TrRoad_act!P66)</f>
        <v>152.60078495078974</v>
      </c>
      <c r="Q123" s="87">
        <f>IF(Q32=0,0,1000000*Q32/TrRoad_act!Q66)</f>
        <v>156.26615882183842</v>
      </c>
      <c r="R123" s="87">
        <f>IF(R32=0,0,1000000*R32/TrRoad_act!R66)</f>
        <v>154.95849993514057</v>
      </c>
      <c r="S123" s="87">
        <f>IF(S32=0,0,1000000*S32/TrRoad_act!S66)</f>
        <v>152.81746413083584</v>
      </c>
      <c r="T123" s="87">
        <f>IF(T32=0,0,1000000*T32/TrRoad_act!T66)</f>
        <v>151.62934531172149</v>
      </c>
      <c r="U123" s="87">
        <f>IF(U32=0,0,1000000*U32/TrRoad_act!U66)</f>
        <v>170.50903497954235</v>
      </c>
      <c r="V123" s="87">
        <f>IF(V32=0,0,1000000*V32/TrRoad_act!V66)</f>
        <v>167.29828578624011</v>
      </c>
      <c r="W123" s="87">
        <f>IF(W32=0,0,1000000*W32/TrRoad_act!W66)</f>
        <v>174.56121797414895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10202.239527543075</v>
      </c>
      <c r="C124" s="116">
        <f>IF(C33=0,0,1000000*C33/TrRoad_act!C67)</f>
        <v>12115.630937822234</v>
      </c>
      <c r="D124" s="116">
        <f>IF(D33=0,0,1000000*D33/TrRoad_act!D67)</f>
        <v>13536.575618919262</v>
      </c>
      <c r="E124" s="116">
        <f>IF(E33=0,0,1000000*E33/TrRoad_act!E67)</f>
        <v>14779.623723238041</v>
      </c>
      <c r="F124" s="116">
        <f>IF(F33=0,0,1000000*F33/TrRoad_act!F67)</f>
        <v>15225.861846552378</v>
      </c>
      <c r="G124" s="116">
        <f>IF(G33=0,0,1000000*G33/TrRoad_act!G67)</f>
        <v>15632.950964891097</v>
      </c>
      <c r="H124" s="116">
        <f>IF(H33=0,0,1000000*H33/TrRoad_act!H67)</f>
        <v>17581.000462262986</v>
      </c>
      <c r="I124" s="116">
        <f>IF(I33=0,0,1000000*I33/TrRoad_act!I67)</f>
        <v>18367.800484782445</v>
      </c>
      <c r="J124" s="116">
        <f>IF(J33=0,0,1000000*J33/TrRoad_act!J67)</f>
        <v>20984.572936588986</v>
      </c>
      <c r="K124" s="116">
        <f>IF(K33=0,0,1000000*K33/TrRoad_act!K67)</f>
        <v>21788.099697032201</v>
      </c>
      <c r="L124" s="116">
        <f>IF(L33=0,0,1000000*L33/TrRoad_act!L67)</f>
        <v>22193.12401800189</v>
      </c>
      <c r="M124" s="116">
        <f>IF(M33=0,0,1000000*M33/TrRoad_act!M67)</f>
        <v>22831.539193231056</v>
      </c>
      <c r="N124" s="116">
        <f>IF(N33=0,0,1000000*N33/TrRoad_act!N67)</f>
        <v>22972.206376714425</v>
      </c>
      <c r="O124" s="116">
        <f>IF(O33=0,0,1000000*O33/TrRoad_act!O67)</f>
        <v>22956.406008891008</v>
      </c>
      <c r="P124" s="116">
        <f>IF(P33=0,0,1000000*P33/TrRoad_act!P67)</f>
        <v>23187.101712539534</v>
      </c>
      <c r="Q124" s="116">
        <f>IF(Q33=0,0,1000000*Q33/TrRoad_act!Q67)</f>
        <v>22454.027901608755</v>
      </c>
      <c r="R124" s="116">
        <f>IF(R33=0,0,1000000*R33/TrRoad_act!R67)</f>
        <v>22991.566674745001</v>
      </c>
      <c r="S124" s="116">
        <f>IF(S33=0,0,1000000*S33/TrRoad_act!S67)</f>
        <v>23527.081008070767</v>
      </c>
      <c r="T124" s="116">
        <f>IF(T33=0,0,1000000*T33/TrRoad_act!T67)</f>
        <v>23354.66234629077</v>
      </c>
      <c r="U124" s="116">
        <f>IF(U33=0,0,1000000*U33/TrRoad_act!U67)</f>
        <v>23000.118036981265</v>
      </c>
      <c r="V124" s="116">
        <f>IF(V33=0,0,1000000*V33/TrRoad_act!V67)</f>
        <v>24181.699717098327</v>
      </c>
      <c r="W124" s="116">
        <f>IF(W33=0,0,1000000*W33/TrRoad_act!W67)</f>
        <v>24741.576025336064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5395.4376480802521</v>
      </c>
      <c r="K125" s="101">
        <f>IF(K34=0,0,1000000*K34/TrRoad_act!K68)</f>
        <v>5424.4316515184428</v>
      </c>
      <c r="L125" s="101">
        <f>IF(L34=0,0,1000000*L34/TrRoad_act!L68)</f>
        <v>5461.3411220435182</v>
      </c>
      <c r="M125" s="101">
        <f>IF(M34=0,0,1000000*M34/TrRoad_act!M68)</f>
        <v>5571.8601182813836</v>
      </c>
      <c r="N125" s="101">
        <f>IF(N34=0,0,1000000*N34/TrRoad_act!N68)</f>
        <v>5531.6661880060028</v>
      </c>
      <c r="O125" s="101">
        <f>IF(O34=0,0,1000000*O34/TrRoad_act!O68)</f>
        <v>5536.1878963111394</v>
      </c>
      <c r="P125" s="101">
        <f>IF(P34=0,0,1000000*P34/TrRoad_act!P68)</f>
        <v>5589.4429112268972</v>
      </c>
      <c r="Q125" s="101">
        <f>IF(Q34=0,0,1000000*Q34/TrRoad_act!Q68)</f>
        <v>5322.2821000247313</v>
      </c>
      <c r="R125" s="101">
        <f>IF(R34=0,0,1000000*R34/TrRoad_act!R68)</f>
        <v>5470.5860266280424</v>
      </c>
      <c r="S125" s="101">
        <f>IF(S34=0,0,1000000*S34/TrRoad_act!S68)</f>
        <v>5539.1858945906388</v>
      </c>
      <c r="T125" s="101">
        <f>IF(T34=0,0,1000000*T34/TrRoad_act!T68)</f>
        <v>5620.6198755821033</v>
      </c>
      <c r="U125" s="101">
        <f>IF(U34=0,0,1000000*U34/TrRoad_act!U68)</f>
        <v>5661.5959572909242</v>
      </c>
      <c r="V125" s="101">
        <f>IF(V34=0,0,1000000*V34/TrRoad_act!V68)</f>
        <v>5886.362603610557</v>
      </c>
      <c r="W125" s="101">
        <f>IF(W34=0,0,1000000*W34/TrRoad_act!W68)</f>
        <v>6164.1886840119432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10202.239527543075</v>
      </c>
      <c r="C126" s="101">
        <f>IF(C36=0,0,1000000*C36/TrRoad_act!C69)</f>
        <v>12115.630937822234</v>
      </c>
      <c r="D126" s="101">
        <f>IF(D36=0,0,1000000*D36/TrRoad_act!D69)</f>
        <v>13536.575618919262</v>
      </c>
      <c r="E126" s="101">
        <f>IF(E36=0,0,1000000*E36/TrRoad_act!E69)</f>
        <v>14779.623723238041</v>
      </c>
      <c r="F126" s="101">
        <f>IF(F36=0,0,1000000*F36/TrRoad_act!F69)</f>
        <v>15225.861846552378</v>
      </c>
      <c r="G126" s="101">
        <f>IF(G36=0,0,1000000*G36/TrRoad_act!G69)</f>
        <v>15632.950964891097</v>
      </c>
      <c r="H126" s="101">
        <f>IF(H36=0,0,1000000*H36/TrRoad_act!H69)</f>
        <v>17581.000462262986</v>
      </c>
      <c r="I126" s="101">
        <f>IF(I36=0,0,1000000*I36/TrRoad_act!I69)</f>
        <v>18367.800484782445</v>
      </c>
      <c r="J126" s="101">
        <f>IF(J36=0,0,1000000*J36/TrRoad_act!J69)</f>
        <v>21056.3090760872</v>
      </c>
      <c r="K126" s="101">
        <f>IF(K36=0,0,1000000*K36/TrRoad_act!K69)</f>
        <v>21865.089670523445</v>
      </c>
      <c r="L126" s="101">
        <f>IF(L36=0,0,1000000*L36/TrRoad_act!L69)</f>
        <v>22283.013462678493</v>
      </c>
      <c r="M126" s="101">
        <f>IF(M36=0,0,1000000*M36/TrRoad_act!M69)</f>
        <v>22927.519004315451</v>
      </c>
      <c r="N126" s="101">
        <f>IF(N36=0,0,1000000*N36/TrRoad_act!N69)</f>
        <v>23065.034209294805</v>
      </c>
      <c r="O126" s="101">
        <f>IF(O36=0,0,1000000*O36/TrRoad_act!O69)</f>
        <v>23045.816063190265</v>
      </c>
      <c r="P126" s="101">
        <f>IF(P36=0,0,1000000*P36/TrRoad_act!P69)</f>
        <v>23272.732761164589</v>
      </c>
      <c r="Q126" s="101">
        <f>IF(Q36=0,0,1000000*Q36/TrRoad_act!Q69)</f>
        <v>22528.941839010346</v>
      </c>
      <c r="R126" s="101">
        <f>IF(R36=0,0,1000000*R36/TrRoad_act!R69)</f>
        <v>23062.100533497764</v>
      </c>
      <c r="S126" s="101">
        <f>IF(S36=0,0,1000000*S36/TrRoad_act!S69)</f>
        <v>23595.140387913143</v>
      </c>
      <c r="T126" s="101">
        <f>IF(T36=0,0,1000000*T36/TrRoad_act!T69)</f>
        <v>23413.519929711023</v>
      </c>
      <c r="U126" s="101">
        <f>IF(U36=0,0,1000000*U36/TrRoad_act!U69)</f>
        <v>23060.479366167845</v>
      </c>
      <c r="V126" s="101">
        <f>IF(V36=0,0,1000000*V36/TrRoad_act!V69)</f>
        <v>24277.889527215026</v>
      </c>
      <c r="W126" s="101">
        <f>IF(W36=0,0,1000000*W36/TrRoad_act!W69)</f>
        <v>24841.017418052747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10701.095832471032</v>
      </c>
      <c r="K127" s="101">
        <f>IF(K38=0,0,1000000*K38/TrRoad_act!K70)</f>
        <v>10985.424579869996</v>
      </c>
      <c r="L127" s="101">
        <f>IF(L38=0,0,1000000*L38/TrRoad_act!L70)</f>
        <v>11323.848381779389</v>
      </c>
      <c r="M127" s="101">
        <f>IF(M38=0,0,1000000*M38/TrRoad_act!M70)</f>
        <v>11821.064072473568</v>
      </c>
      <c r="N127" s="101">
        <f>IF(N38=0,0,1000000*N38/TrRoad_act!N70)</f>
        <v>11978.007932690318</v>
      </c>
      <c r="O127" s="101">
        <f>IF(O38=0,0,1000000*O38/TrRoad_act!O70)</f>
        <v>12245.120952515013</v>
      </c>
      <c r="P127" s="101">
        <f>IF(P38=0,0,1000000*P38/TrRoad_act!P70)</f>
        <v>12334.933875283166</v>
      </c>
      <c r="Q127" s="101">
        <f>IF(Q38=0,0,1000000*Q38/TrRoad_act!Q70)</f>
        <v>11965.310466589772</v>
      </c>
      <c r="R127" s="101">
        <f>IF(R38=0,0,1000000*R38/TrRoad_act!R70)</f>
        <v>12065.521246824754</v>
      </c>
      <c r="S127" s="101">
        <f>IF(S38=0,0,1000000*S38/TrRoad_act!S70)</f>
        <v>11974.671087344968</v>
      </c>
      <c r="T127" s="101">
        <f>IF(T38=0,0,1000000*T38/TrRoad_act!T70)</f>
        <v>11924.073824891953</v>
      </c>
      <c r="U127" s="101">
        <f>IF(U38=0,0,1000000*U38/TrRoad_act!U70)</f>
        <v>11770.769150672362</v>
      </c>
      <c r="V127" s="101">
        <f>IF(V38=0,0,1000000*V38/TrRoad_act!V70)</f>
        <v>12009.197259866609</v>
      </c>
      <c r="W127" s="101">
        <f>IF(W38=0,0,1000000*W38/TrRoad_act!W70)</f>
        <v>12346.631862239255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14266.848848882817</v>
      </c>
      <c r="P129" s="101">
        <f>IF(P41=0,0,1000000*P41/TrRoad_act!P72)</f>
        <v>14320.815631767646</v>
      </c>
      <c r="Q129" s="101">
        <f>IF(Q41=0,0,1000000*Q41/TrRoad_act!Q72)</f>
        <v>14421.174457364792</v>
      </c>
      <c r="R129" s="101">
        <f>IF(R41=0,0,1000000*R41/TrRoad_act!R72)</f>
        <v>14552.231087872226</v>
      </c>
      <c r="S129" s="101">
        <f>IF(S41=0,0,1000000*S41/TrRoad_act!S72)</f>
        <v>14557.646278817821</v>
      </c>
      <c r="T129" s="101">
        <f>IF(T41=0,0,1000000*T41/TrRoad_act!T72)</f>
        <v>14570.584802915004</v>
      </c>
      <c r="U129" s="101">
        <f>IF(U41=0,0,1000000*U41/TrRoad_act!U72)</f>
        <v>14549.923733439866</v>
      </c>
      <c r="V129" s="101">
        <f>IF(V41=0,0,1000000*V41/TrRoad_act!V72)</f>
        <v>14324.138389843863</v>
      </c>
      <c r="W129" s="101">
        <f>IF(W41=0,0,1000000*W41/TrRoad_act!W72)</f>
        <v>14477.576266326454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1283.0852037850107</v>
      </c>
      <c r="C131" s="152">
        <f>IF(C43=0,0,1000000*C43/TrRoad_act!C74)</f>
        <v>1311.2833700647514</v>
      </c>
      <c r="D131" s="152">
        <f>IF(D43=0,0,1000000*D43/TrRoad_act!D74)</f>
        <v>1309.6834870187872</v>
      </c>
      <c r="E131" s="152">
        <f>IF(E43=0,0,1000000*E43/TrRoad_act!E74)</f>
        <v>1306.3195218938463</v>
      </c>
      <c r="F131" s="152">
        <f>IF(F43=0,0,1000000*F43/TrRoad_act!F74)</f>
        <v>1265.5913751774006</v>
      </c>
      <c r="G131" s="152">
        <f>IF(G43=0,0,1000000*G43/TrRoad_act!G74)</f>
        <v>1293.8581697619179</v>
      </c>
      <c r="H131" s="152">
        <f>IF(H43=0,0,1000000*H43/TrRoad_act!H74)</f>
        <v>1294.0248450259503</v>
      </c>
      <c r="I131" s="152">
        <f>IF(I43=0,0,1000000*I43/TrRoad_act!I74)</f>
        <v>1259.3230524754715</v>
      </c>
      <c r="J131" s="152">
        <f>IF(J43=0,0,1000000*J43/TrRoad_act!J74)</f>
        <v>1276.4618069105557</v>
      </c>
      <c r="K131" s="152">
        <f>IF(K43=0,0,1000000*K43/TrRoad_act!K74)</f>
        <v>1275.9124233145565</v>
      </c>
      <c r="L131" s="152">
        <f>IF(L43=0,0,1000000*L43/TrRoad_act!L74)</f>
        <v>1254.3114443706061</v>
      </c>
      <c r="M131" s="152">
        <f>IF(M43=0,0,1000000*M43/TrRoad_act!M74)</f>
        <v>1272.8246043474917</v>
      </c>
      <c r="N131" s="152">
        <f>IF(N43=0,0,1000000*N43/TrRoad_act!N74)</f>
        <v>1311.1723692038627</v>
      </c>
      <c r="O131" s="152">
        <f>IF(O43=0,0,1000000*O43/TrRoad_act!O74)</f>
        <v>1279.4906294247949</v>
      </c>
      <c r="P131" s="152">
        <f>IF(P43=0,0,1000000*P43/TrRoad_act!P74)</f>
        <v>1270.0188769895094</v>
      </c>
      <c r="Q131" s="152">
        <f>IF(Q43=0,0,1000000*Q43/TrRoad_act!Q74)</f>
        <v>1258.5275218072713</v>
      </c>
      <c r="R131" s="152">
        <f>IF(R43=0,0,1000000*R43/TrRoad_act!R74)</f>
        <v>1271.3711788858418</v>
      </c>
      <c r="S131" s="152">
        <f>IF(S43=0,0,1000000*S43/TrRoad_act!S74)</f>
        <v>1276.8272987515043</v>
      </c>
      <c r="T131" s="152">
        <f>IF(T43=0,0,1000000*T43/TrRoad_act!T74)</f>
        <v>1262.2298245217205</v>
      </c>
      <c r="U131" s="152">
        <f>IF(U43=0,0,1000000*U43/TrRoad_act!U74)</f>
        <v>1243.051599770024</v>
      </c>
      <c r="V131" s="152">
        <f>IF(V43=0,0,1000000*V43/TrRoad_act!V74)</f>
        <v>1219.7808745901245</v>
      </c>
      <c r="W131" s="152">
        <f>IF(W43=0,0,1000000*W43/TrRoad_act!W74)</f>
        <v>1215.7335516982578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1300.9218731100329</v>
      </c>
      <c r="C132" s="87">
        <f>IF(C44=0,0,1000000*C44/TrRoad_act!C75)</f>
        <v>1282.826193228723</v>
      </c>
      <c r="D132" s="87">
        <f>IF(D44=0,0,1000000*D44/TrRoad_act!D75)</f>
        <v>1252.1968002718852</v>
      </c>
      <c r="E132" s="87">
        <f>IF(E44=0,0,1000000*E44/TrRoad_act!E75)</f>
        <v>1216.9560192493536</v>
      </c>
      <c r="F132" s="87">
        <f>IF(F44=0,0,1000000*F44/TrRoad_act!F75)</f>
        <v>1181.9264226943906</v>
      </c>
      <c r="G132" s="87">
        <f>IF(G44=0,0,1000000*G44/TrRoad_act!G75)</f>
        <v>1152.8412205322204</v>
      </c>
      <c r="H132" s="87">
        <f>IF(H44=0,0,1000000*H44/TrRoad_act!H75)</f>
        <v>1106.4635631249953</v>
      </c>
      <c r="I132" s="87">
        <f>IF(I44=0,0,1000000*I44/TrRoad_act!I75)</f>
        <v>1070.0457894526678</v>
      </c>
      <c r="J132" s="87">
        <f>IF(J44=0,0,1000000*J44/TrRoad_act!J75)</f>
        <v>1043.6474155111612</v>
      </c>
      <c r="K132" s="87">
        <f>IF(K44=0,0,1000000*K44/TrRoad_act!K75)</f>
        <v>1012.8065995531284</v>
      </c>
      <c r="L132" s="87">
        <f>IF(L44=0,0,1000000*L44/TrRoad_act!L75)</f>
        <v>984.36698380870371</v>
      </c>
      <c r="M132" s="87">
        <f>IF(M44=0,0,1000000*M44/TrRoad_act!M75)</f>
        <v>966.87158292332231</v>
      </c>
      <c r="N132" s="87">
        <f>IF(N44=0,0,1000000*N44/TrRoad_act!N75)</f>
        <v>948.18895094538072</v>
      </c>
      <c r="O132" s="87">
        <f>IF(O44=0,0,1000000*O44/TrRoad_act!O75)</f>
        <v>936.38715432358356</v>
      </c>
      <c r="P132" s="87">
        <f>IF(P44=0,0,1000000*P44/TrRoad_act!P75)</f>
        <v>911.08588586518238</v>
      </c>
      <c r="Q132" s="87">
        <f>IF(Q44=0,0,1000000*Q44/TrRoad_act!Q75)</f>
        <v>883.45901628036722</v>
      </c>
      <c r="R132" s="87">
        <f>IF(R44=0,0,1000000*R44/TrRoad_act!R75)</f>
        <v>879.5763536210012</v>
      </c>
      <c r="S132" s="87">
        <f>IF(S44=0,0,1000000*S44/TrRoad_act!S75)</f>
        <v>854.62942869400888</v>
      </c>
      <c r="T132" s="87">
        <f>IF(T44=0,0,1000000*T44/TrRoad_act!T75)</f>
        <v>839.8293712758898</v>
      </c>
      <c r="U132" s="87">
        <f>IF(U44=0,0,1000000*U44/TrRoad_act!U75)</f>
        <v>824.44753888093089</v>
      </c>
      <c r="V132" s="87">
        <f>IF(V44=0,0,1000000*V44/TrRoad_act!V75)</f>
        <v>810.03410831362601</v>
      </c>
      <c r="W132" s="87">
        <f>IF(W44=0,0,1000000*W44/TrRoad_act!W75)</f>
        <v>803.86711354308841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1270.8613948809063</v>
      </c>
      <c r="C133" s="87">
        <f>IF(C46=0,0,1000000*C46/TrRoad_act!C76)</f>
        <v>1330.191455874374</v>
      </c>
      <c r="D133" s="87">
        <f>IF(D46=0,0,1000000*D46/TrRoad_act!D76)</f>
        <v>1346.7583527238057</v>
      </c>
      <c r="E133" s="87">
        <f>IF(E46=0,0,1000000*E46/TrRoad_act!E76)</f>
        <v>1362.1371978048774</v>
      </c>
      <c r="F133" s="87">
        <f>IF(F46=0,0,1000000*F46/TrRoad_act!F76)</f>
        <v>1316.1700507654173</v>
      </c>
      <c r="G133" s="87">
        <f>IF(G46=0,0,1000000*G46/TrRoad_act!G76)</f>
        <v>1376.6616949942877</v>
      </c>
      <c r="H133" s="87">
        <f>IF(H46=0,0,1000000*H46/TrRoad_act!H76)</f>
        <v>1399.6824045875978</v>
      </c>
      <c r="I133" s="87">
        <f>IF(I46=0,0,1000000*I46/TrRoad_act!I76)</f>
        <v>1362.5239191144803</v>
      </c>
      <c r="J133" s="87">
        <f>IF(J46=0,0,1000000*J46/TrRoad_act!J76)</f>
        <v>1382.3362220786178</v>
      </c>
      <c r="K133" s="87">
        <f>IF(K46=0,0,1000000*K46/TrRoad_act!K76)</f>
        <v>1389.4906383264968</v>
      </c>
      <c r="L133" s="87">
        <f>IF(L46=0,0,1000000*L46/TrRoad_act!L76)</f>
        <v>1363.6308292230694</v>
      </c>
      <c r="M133" s="87">
        <f>IF(M46=0,0,1000000*M46/TrRoad_act!M76)</f>
        <v>1384.2854615125555</v>
      </c>
      <c r="N133" s="87">
        <f>IF(N46=0,0,1000000*N46/TrRoad_act!N76)</f>
        <v>1432.8038506242756</v>
      </c>
      <c r="O133" s="87">
        <f>IF(O46=0,0,1000000*O46/TrRoad_act!O76)</f>
        <v>1377.5619091372423</v>
      </c>
      <c r="P133" s="87">
        <f>IF(P46=0,0,1000000*P46/TrRoad_act!P76)</f>
        <v>1356.1911346285806</v>
      </c>
      <c r="Q133" s="87">
        <f>IF(Q46=0,0,1000000*Q46/TrRoad_act!Q76)</f>
        <v>1332.580446481255</v>
      </c>
      <c r="R133" s="87">
        <f>IF(R46=0,0,1000000*R46/TrRoad_act!R76)</f>
        <v>1350.4860045142825</v>
      </c>
      <c r="S133" s="87">
        <f>IF(S46=0,0,1000000*S46/TrRoad_act!S76)</f>
        <v>1359.0267188602472</v>
      </c>
      <c r="T133" s="87">
        <f>IF(T46=0,0,1000000*T46/TrRoad_act!T76)</f>
        <v>1338.5978124108208</v>
      </c>
      <c r="U133" s="87">
        <f>IF(U46=0,0,1000000*U46/TrRoad_act!U76)</f>
        <v>1311.7322659904139</v>
      </c>
      <c r="V133" s="87">
        <f>IF(V46=0,0,1000000*V46/TrRoad_act!V76)</f>
        <v>1282.1583286060795</v>
      </c>
      <c r="W133" s="87">
        <f>IF(W46=0,0,1000000*W46/TrRoad_act!W76)</f>
        <v>1274.1070671120094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1636.8487730974812</v>
      </c>
      <c r="K134" s="87">
        <f>IF(K48=0,0,1000000*K48/TrRoad_act!K77)</f>
        <v>1630.5017373858873</v>
      </c>
      <c r="L134" s="87">
        <f>IF(L48=0,0,1000000*L48/TrRoad_act!L77)</f>
        <v>1622.6780326238954</v>
      </c>
      <c r="M134" s="87">
        <f>IF(M48=0,0,1000000*M48/TrRoad_act!M77)</f>
        <v>1564.9658335004885</v>
      </c>
      <c r="N134" s="87">
        <f>IF(N48=0,0,1000000*N48/TrRoad_act!N77)</f>
        <v>1491.6356074327591</v>
      </c>
      <c r="O134" s="87">
        <f>IF(O48=0,0,1000000*O48/TrRoad_act!O77)</f>
        <v>1487.8658253699493</v>
      </c>
      <c r="P134" s="87">
        <f>IF(P48=0,0,1000000*P48/TrRoad_act!P77)</f>
        <v>1372.2752783106334</v>
      </c>
      <c r="Q134" s="87">
        <f>IF(Q48=0,0,1000000*Q48/TrRoad_act!Q77)</f>
        <v>1322.7616806611798</v>
      </c>
      <c r="R134" s="87">
        <f>IF(R48=0,0,1000000*R48/TrRoad_act!R77)</f>
        <v>1154.5924168915085</v>
      </c>
      <c r="S134" s="87">
        <f>IF(S48=0,0,1000000*S48/TrRoad_act!S77)</f>
        <v>1164.0083266050076</v>
      </c>
      <c r="T134" s="87">
        <f>IF(T48=0,0,1000000*T48/TrRoad_act!T77)</f>
        <v>1151.3908113977584</v>
      </c>
      <c r="U134" s="87">
        <f>IF(U48=0,0,1000000*U48/TrRoad_act!U77)</f>
        <v>1148.7745439088117</v>
      </c>
      <c r="V134" s="87">
        <f>IF(V48=0,0,1000000*V48/TrRoad_act!V77)</f>
        <v>1118.8164974794781</v>
      </c>
      <c r="W134" s="87">
        <f>IF(W48=0,0,1000000*W48/TrRoad_act!W77)</f>
        <v>980.79882661172667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151.42383688715896</v>
      </c>
      <c r="M136" s="87">
        <f>IF(M51=0,0,1000000*M51/TrRoad_act!M79)</f>
        <v>151.7006623214493</v>
      </c>
      <c r="N136" s="87">
        <f>IF(N51=0,0,1000000*N51/TrRoad_act!N79)</f>
        <v>152.37878994109249</v>
      </c>
      <c r="O136" s="87">
        <f>IF(O51=0,0,1000000*O51/TrRoad_act!O79)</f>
        <v>153.64896048311712</v>
      </c>
      <c r="P136" s="87">
        <f>IF(P51=0,0,1000000*P51/TrRoad_act!P79)</f>
        <v>154.73476472752668</v>
      </c>
      <c r="Q136" s="87">
        <f>IF(Q51=0,0,1000000*Q51/TrRoad_act!Q79)</f>
        <v>154.99574140185584</v>
      </c>
      <c r="R136" s="87">
        <f>IF(R51=0,0,1000000*R51/TrRoad_act!R79)</f>
        <v>155.22636245669625</v>
      </c>
      <c r="S136" s="87">
        <f>IF(S51=0,0,1000000*S51/TrRoad_act!S79)</f>
        <v>160.90955006337143</v>
      </c>
      <c r="T136" s="87">
        <f>IF(T51=0,0,1000000*T51/TrRoad_act!T79)</f>
        <v>164.22477564651197</v>
      </c>
      <c r="U136" s="87">
        <f>IF(U51=0,0,1000000*U51/TrRoad_act!U79)</f>
        <v>173.27952595652712</v>
      </c>
      <c r="V136" s="87">
        <f>IF(V51=0,0,1000000*V51/TrRoad_act!V79)</f>
        <v>186.03466827445297</v>
      </c>
      <c r="W136" s="87">
        <f>IF(W51=0,0,1000000*W51/TrRoad_act!W79)</f>
        <v>218.15971176299212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8908.3222184652368</v>
      </c>
      <c r="C137" s="116">
        <f>IF(C52=0,0,1000000*C52/TrRoad_act!C80)</f>
        <v>12327.591973378985</v>
      </c>
      <c r="D137" s="116">
        <f>IF(D52=0,0,1000000*D52/TrRoad_act!D80)</f>
        <v>13629.104401442068</v>
      </c>
      <c r="E137" s="116">
        <f>IF(E52=0,0,1000000*E52/TrRoad_act!E80)</f>
        <v>13007.75207648578</v>
      </c>
      <c r="F137" s="116">
        <f>IF(F52=0,0,1000000*F52/TrRoad_act!F80)</f>
        <v>11568.991178953913</v>
      </c>
      <c r="G137" s="116">
        <f>IF(G52=0,0,1000000*G52/TrRoad_act!G80)</f>
        <v>7971.1219385969807</v>
      </c>
      <c r="H137" s="116">
        <f>IF(H52=0,0,1000000*H52/TrRoad_act!H80)</f>
        <v>8742.2861542978007</v>
      </c>
      <c r="I137" s="116">
        <f>IF(I52=0,0,1000000*I52/TrRoad_act!I80)</f>
        <v>7354.7230477161593</v>
      </c>
      <c r="J137" s="116">
        <f>IF(J52=0,0,1000000*J52/TrRoad_act!J80)</f>
        <v>7327.6321419445649</v>
      </c>
      <c r="K137" s="116">
        <f>IF(K52=0,0,1000000*K52/TrRoad_act!K80)</f>
        <v>6945.7873796758331</v>
      </c>
      <c r="L137" s="116">
        <f>IF(L52=0,0,1000000*L52/TrRoad_act!L80)</f>
        <v>5243.7805657902163</v>
      </c>
      <c r="M137" s="116">
        <f>IF(M52=0,0,1000000*M52/TrRoad_act!M80)</f>
        <v>5930.319890379139</v>
      </c>
      <c r="N137" s="116">
        <f>IF(N52=0,0,1000000*N52/TrRoad_act!N80)</f>
        <v>5816.4914230111763</v>
      </c>
      <c r="O137" s="116">
        <f>IF(O52=0,0,1000000*O52/TrRoad_act!O80)</f>
        <v>5963.6865070515878</v>
      </c>
      <c r="P137" s="116">
        <f>IF(P52=0,0,1000000*P52/TrRoad_act!P80)</f>
        <v>5762.7658835173806</v>
      </c>
      <c r="Q137" s="116">
        <f>IF(Q52=0,0,1000000*Q52/TrRoad_act!Q80)</f>
        <v>5927.3203670413905</v>
      </c>
      <c r="R137" s="116">
        <f>IF(R52=0,0,1000000*R52/TrRoad_act!R80)</f>
        <v>7881.4295599160168</v>
      </c>
      <c r="S137" s="116">
        <f>IF(S52=0,0,1000000*S52/TrRoad_act!S80)</f>
        <v>9640.0232061495135</v>
      </c>
      <c r="T137" s="116">
        <f>IF(T52=0,0,1000000*T52/TrRoad_act!T80)</f>
        <v>9298.6693078786448</v>
      </c>
      <c r="U137" s="116">
        <f>IF(U52=0,0,1000000*U52/TrRoad_act!U80)</f>
        <v>9939.944897561134</v>
      </c>
      <c r="V137" s="116">
        <f>IF(V52=0,0,1000000*V52/TrRoad_act!V80)</f>
        <v>8994.894272164358</v>
      </c>
      <c r="W137" s="116">
        <f>IF(W52=0,0,1000000*W52/TrRoad_act!W80)</f>
        <v>9835.5737256326738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5277.546161662789</v>
      </c>
      <c r="C138" s="101">
        <f>IF(C53=0,0,1000000*C53/TrRoad_act!C81)</f>
        <v>6113.9572895174661</v>
      </c>
      <c r="D138" s="101">
        <f>IF(D53=0,0,1000000*D53/TrRoad_act!D81)</f>
        <v>6532.2654019277688</v>
      </c>
      <c r="E138" s="101">
        <f>IF(E53=0,0,1000000*E53/TrRoad_act!E81)</f>
        <v>6613.4344602239744</v>
      </c>
      <c r="F138" s="101">
        <f>IF(F53=0,0,1000000*F53/TrRoad_act!F81)</f>
        <v>6384.5740322044157</v>
      </c>
      <c r="G138" s="101">
        <f>IF(G53=0,0,1000000*G53/TrRoad_act!G81)</f>
        <v>5846.4467147028427</v>
      </c>
      <c r="H138" s="101">
        <f>IF(H53=0,0,1000000*H53/TrRoad_act!H81)</f>
        <v>6470.4588451663785</v>
      </c>
      <c r="I138" s="101">
        <f>IF(I53=0,0,1000000*I53/TrRoad_act!I81)</f>
        <v>6058.2707767012234</v>
      </c>
      <c r="J138" s="101">
        <f>IF(J53=0,0,1000000*J53/TrRoad_act!J81)</f>
        <v>5893.2863398578393</v>
      </c>
      <c r="K138" s="101">
        <f>IF(K53=0,0,1000000*K53/TrRoad_act!K81)</f>
        <v>5442.1889561807511</v>
      </c>
      <c r="L138" s="101">
        <f>IF(L53=0,0,1000000*L53/TrRoad_act!L81)</f>
        <v>3494.2089151079344</v>
      </c>
      <c r="M138" s="101">
        <f>IF(M53=0,0,1000000*M53/TrRoad_act!M81)</f>
        <v>3829.3684338252951</v>
      </c>
      <c r="N138" s="101">
        <f>IF(N53=0,0,1000000*N53/TrRoad_act!N81)</f>
        <v>4053.3434751125324</v>
      </c>
      <c r="O138" s="101">
        <f>IF(O53=0,0,1000000*O53/TrRoad_act!O81)</f>
        <v>4157.3128281235604</v>
      </c>
      <c r="P138" s="101">
        <f>IF(P53=0,0,1000000*P53/TrRoad_act!P81)</f>
        <v>4135.2723034003202</v>
      </c>
      <c r="Q138" s="101">
        <f>IF(Q53=0,0,1000000*Q53/TrRoad_act!Q81)</f>
        <v>4446.5033935472247</v>
      </c>
      <c r="R138" s="101">
        <f>IF(R53=0,0,1000000*R53/TrRoad_act!R81)</f>
        <v>5592.364065701262</v>
      </c>
      <c r="S138" s="101">
        <f>IF(S53=0,0,1000000*S53/TrRoad_act!S81)</f>
        <v>6454.7852455474276</v>
      </c>
      <c r="T138" s="101">
        <f>IF(T53=0,0,1000000*T53/TrRoad_act!T81)</f>
        <v>6769.2787856910354</v>
      </c>
      <c r="U138" s="101">
        <f>IF(U53=0,0,1000000*U53/TrRoad_act!U81)</f>
        <v>7498.2215614421048</v>
      </c>
      <c r="V138" s="101">
        <f>IF(V53=0,0,1000000*V53/TrRoad_act!V81)</f>
        <v>6928.0120220587514</v>
      </c>
      <c r="W138" s="101">
        <f>IF(W53=0,0,1000000*W53/TrRoad_act!W81)</f>
        <v>7694.5827004115308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32135.615593761951</v>
      </c>
      <c r="C139" s="88">
        <f>IF(C55=0,0,1000000*C55/TrRoad_act!C82)</f>
        <v>51751.13676268197</v>
      </c>
      <c r="D139" s="88">
        <f>IF(D55=0,0,1000000*D55/TrRoad_act!D82)</f>
        <v>56126.323811206777</v>
      </c>
      <c r="E139" s="88">
        <f>IF(E55=0,0,1000000*E55/TrRoad_act!E82)</f>
        <v>58999.810380497067</v>
      </c>
      <c r="F139" s="88">
        <f>IF(F55=0,0,1000000*F55/TrRoad_act!F82)</f>
        <v>43524.544053511258</v>
      </c>
      <c r="G139" s="88">
        <f>IF(G55=0,0,1000000*G55/TrRoad_act!G82)</f>
        <v>23782.084410752475</v>
      </c>
      <c r="H139" s="88">
        <f>IF(H55=0,0,1000000*H55/TrRoad_act!H82)</f>
        <v>34359.659481070194</v>
      </c>
      <c r="I139" s="88">
        <f>IF(I55=0,0,1000000*I55/TrRoad_act!I82)</f>
        <v>21678.806582938269</v>
      </c>
      <c r="J139" s="88">
        <f>IF(J55=0,0,1000000*J55/TrRoad_act!J82)</f>
        <v>28713.099105273526</v>
      </c>
      <c r="K139" s="88">
        <f>IF(K55=0,0,1000000*K55/TrRoad_act!K82)</f>
        <v>49634.74699478838</v>
      </c>
      <c r="L139" s="88">
        <f>IF(L55=0,0,1000000*L55/TrRoad_act!L82)</f>
        <v>63757.36558713617</v>
      </c>
      <c r="M139" s="88">
        <f>IF(M55=0,0,1000000*M55/TrRoad_act!M82)</f>
        <v>70152.777768128464</v>
      </c>
      <c r="N139" s="88">
        <f>IF(N55=0,0,1000000*N55/TrRoad_act!N82)</f>
        <v>48232.678470974679</v>
      </c>
      <c r="O139" s="88">
        <f>IF(O55=0,0,1000000*O55/TrRoad_act!O82)</f>
        <v>45226.724931317214</v>
      </c>
      <c r="P139" s="88">
        <f>IF(P55=0,0,1000000*P55/TrRoad_act!P82)</f>
        <v>40253.298268909042</v>
      </c>
      <c r="Q139" s="88">
        <f>IF(Q55=0,0,1000000*Q55/TrRoad_act!Q82)</f>
        <v>33800.389123412875</v>
      </c>
      <c r="R139" s="88">
        <f>IF(R55=0,0,1000000*R55/TrRoad_act!R82)</f>
        <v>42061.326701631791</v>
      </c>
      <c r="S139" s="88">
        <f>IF(S55=0,0,1000000*S55/TrRoad_act!S82)</f>
        <v>46578.10968265355</v>
      </c>
      <c r="T139" s="88">
        <f>IF(T55=0,0,1000000*T55/TrRoad_act!T82)</f>
        <v>39258.826394944132</v>
      </c>
      <c r="U139" s="88">
        <f>IF(U55=0,0,1000000*U55/TrRoad_act!U82)</f>
        <v>39069.885934691287</v>
      </c>
      <c r="V139" s="88">
        <f>IF(V55=0,0,1000000*V55/TrRoad_act!V82)</f>
        <v>42495.26376400498</v>
      </c>
      <c r="W139" s="88">
        <f>IF(W55=0,0,1000000*W55/TrRoad_act!W82)</f>
        <v>33843.241275313732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0.65955521125382521</v>
      </c>
      <c r="C142" s="46">
        <f t="shared" si="41"/>
        <v>0.6602263359024747</v>
      </c>
      <c r="D142" s="46">
        <f t="shared" si="41"/>
        <v>0.64402165372160558</v>
      </c>
      <c r="E142" s="46">
        <f t="shared" si="41"/>
        <v>0.63568724188693781</v>
      </c>
      <c r="F142" s="46">
        <f t="shared" si="41"/>
        <v>0.66872980648582081</v>
      </c>
      <c r="G142" s="46">
        <f t="shared" si="41"/>
        <v>0.68311382978487811</v>
      </c>
      <c r="H142" s="46">
        <f t="shared" si="41"/>
        <v>0.64706758187917179</v>
      </c>
      <c r="I142" s="46">
        <f t="shared" si="41"/>
        <v>0.68427349518095459</v>
      </c>
      <c r="J142" s="46">
        <f t="shared" si="41"/>
        <v>0.70183513708465861</v>
      </c>
      <c r="K142" s="46">
        <f t="shared" si="41"/>
        <v>0.71311110539582379</v>
      </c>
      <c r="L142" s="46">
        <f t="shared" ref="L142" si="42">IF(L18=0,0,L18/L$17)</f>
        <v>0.74358810079839954</v>
      </c>
      <c r="M142" s="46">
        <f t="shared" ref="M142:V142" si="43">IF(M18=0,0,M18/M$17)</f>
        <v>0.74120834562653015</v>
      </c>
      <c r="N142" s="46">
        <f t="shared" si="43"/>
        <v>0.75182258205369112</v>
      </c>
      <c r="O142" s="46">
        <f t="shared" si="43"/>
        <v>0.74317915970611315</v>
      </c>
      <c r="P142" s="46">
        <f t="shared" si="43"/>
        <v>0.74977998037222338</v>
      </c>
      <c r="Q142" s="46">
        <f t="shared" si="43"/>
        <v>0.75350734418278398</v>
      </c>
      <c r="R142" s="46">
        <f t="shared" si="43"/>
        <v>0.75114876021922439</v>
      </c>
      <c r="S142" s="46">
        <f t="shared" si="43"/>
        <v>0.74543439347142681</v>
      </c>
      <c r="T142" s="46">
        <f t="shared" si="43"/>
        <v>0.75008656838722176</v>
      </c>
      <c r="U142" s="46">
        <f t="shared" si="43"/>
        <v>0.74449640934881955</v>
      </c>
      <c r="V142" s="46">
        <f t="shared" si="43"/>
        <v>0.7411131460197895</v>
      </c>
      <c r="W142" s="46">
        <f t="shared" ref="W142" si="44">IF(W18=0,0,W18/W$17)</f>
        <v>0.7392819170881213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4.1382681676755484E-3</v>
      </c>
      <c r="C143" s="154">
        <f t="shared" si="45"/>
        <v>3.1963941830141901E-3</v>
      </c>
      <c r="D143" s="154">
        <f t="shared" si="45"/>
        <v>3.0953634072398194E-3</v>
      </c>
      <c r="E143" s="154">
        <f t="shared" si="45"/>
        <v>2.8767417970583719E-3</v>
      </c>
      <c r="F143" s="154">
        <f t="shared" si="45"/>
        <v>2.7789860319484957E-3</v>
      </c>
      <c r="G143" s="154">
        <f t="shared" si="45"/>
        <v>2.7960545897499408E-3</v>
      </c>
      <c r="H143" s="154">
        <f t="shared" si="45"/>
        <v>2.889754476904728E-3</v>
      </c>
      <c r="I143" s="154">
        <f t="shared" si="45"/>
        <v>3.0312910951326016E-3</v>
      </c>
      <c r="J143" s="154">
        <f t="shared" si="45"/>
        <v>3.1513048742109711E-3</v>
      </c>
      <c r="K143" s="154">
        <f t="shared" si="45"/>
        <v>3.2451172037106231E-3</v>
      </c>
      <c r="L143" s="154">
        <f t="shared" ref="L143" si="46">IF(L19=0,0,L19/L$17)</f>
        <v>3.5993631680644039E-3</v>
      </c>
      <c r="M143" s="154">
        <f t="shared" ref="M143:V143" si="47">IF(M19=0,0,M19/M$17)</f>
        <v>3.5777998331223159E-3</v>
      </c>
      <c r="N143" s="154">
        <f t="shared" si="47"/>
        <v>3.5650403867510368E-3</v>
      </c>
      <c r="O143" s="154">
        <f t="shared" si="47"/>
        <v>3.8267807763291378E-3</v>
      </c>
      <c r="P143" s="154">
        <f t="shared" si="47"/>
        <v>3.8303726214491355E-3</v>
      </c>
      <c r="Q143" s="154">
        <f t="shared" si="47"/>
        <v>3.9484974006194964E-3</v>
      </c>
      <c r="R143" s="154">
        <f t="shared" si="47"/>
        <v>3.8910602996788889E-3</v>
      </c>
      <c r="S143" s="154">
        <f t="shared" si="47"/>
        <v>3.4221274659652261E-3</v>
      </c>
      <c r="T143" s="154">
        <f t="shared" si="47"/>
        <v>3.1442589505692765E-3</v>
      </c>
      <c r="U143" s="154">
        <f t="shared" si="47"/>
        <v>3.189465545597861E-3</v>
      </c>
      <c r="V143" s="154">
        <f t="shared" si="47"/>
        <v>2.9083354640273384E-3</v>
      </c>
      <c r="W143" s="154">
        <f t="shared" ref="W143" si="48">IF(W19=0,0,W19/W$17)</f>
        <v>2.5442621074971456E-3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0.47469664617002172</v>
      </c>
      <c r="C144" s="156">
        <f t="shared" si="49"/>
        <v>0.49172456854649099</v>
      </c>
      <c r="D144" s="156">
        <f t="shared" si="49"/>
        <v>0.48725089116902554</v>
      </c>
      <c r="E144" s="156">
        <f t="shared" si="49"/>
        <v>0.47299455754918096</v>
      </c>
      <c r="F144" s="156">
        <f t="shared" si="49"/>
        <v>0.50344644771492453</v>
      </c>
      <c r="G144" s="156">
        <f t="shared" si="49"/>
        <v>0.52102643953886962</v>
      </c>
      <c r="H144" s="156">
        <f t="shared" si="49"/>
        <v>0.50234740692530289</v>
      </c>
      <c r="I144" s="156">
        <f t="shared" si="49"/>
        <v>0.52647845033845664</v>
      </c>
      <c r="J144" s="156">
        <f t="shared" si="49"/>
        <v>0.51145391598735468</v>
      </c>
      <c r="K144" s="156">
        <f t="shared" si="49"/>
        <v>0.52394048127768733</v>
      </c>
      <c r="L144" s="156">
        <f t="shared" ref="L144" si="50">IF(L21=0,0,L21/L$17)</f>
        <v>0.53926433213176928</v>
      </c>
      <c r="M144" s="156">
        <f t="shared" ref="M144:V144" si="51">IF(M21=0,0,M21/M$17)</f>
        <v>0.54094914512925973</v>
      </c>
      <c r="N144" s="156">
        <f t="shared" si="51"/>
        <v>0.55248353291978969</v>
      </c>
      <c r="O144" s="156">
        <f t="shared" si="51"/>
        <v>0.53599865627795829</v>
      </c>
      <c r="P144" s="156">
        <f t="shared" si="51"/>
        <v>0.54055310147295699</v>
      </c>
      <c r="Q144" s="156">
        <f t="shared" si="51"/>
        <v>0.53924283772007719</v>
      </c>
      <c r="R144" s="156">
        <f t="shared" si="51"/>
        <v>0.5420978609052961</v>
      </c>
      <c r="S144" s="156">
        <f t="shared" si="51"/>
        <v>0.53969951540580197</v>
      </c>
      <c r="T144" s="156">
        <f t="shared" si="51"/>
        <v>0.54610044538544755</v>
      </c>
      <c r="U144" s="156">
        <f t="shared" si="51"/>
        <v>0.54326606118857346</v>
      </c>
      <c r="V144" s="156">
        <f t="shared" si="51"/>
        <v>0.5260613592489668</v>
      </c>
      <c r="W144" s="156">
        <f t="shared" ref="W144" si="52">IF(W21=0,0,W21/W$17)</f>
        <v>0.53098571433754249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0.41395868440151135</v>
      </c>
      <c r="C145" s="103">
        <f t="shared" si="53"/>
        <v>0.42636830377240148</v>
      </c>
      <c r="D145" s="103">
        <f t="shared" si="53"/>
        <v>0.40602257594369845</v>
      </c>
      <c r="E145" s="103">
        <f t="shared" si="53"/>
        <v>0.38341401674541103</v>
      </c>
      <c r="F145" s="103">
        <f t="shared" si="53"/>
        <v>0.38273217569522799</v>
      </c>
      <c r="G145" s="103">
        <f t="shared" si="53"/>
        <v>0.37175224326047368</v>
      </c>
      <c r="H145" s="103">
        <f t="shared" si="53"/>
        <v>0.33046088406871998</v>
      </c>
      <c r="I145" s="103">
        <f t="shared" si="53"/>
        <v>0.33075675863613285</v>
      </c>
      <c r="J145" s="103">
        <f t="shared" si="53"/>
        <v>0.28804461615254795</v>
      </c>
      <c r="K145" s="103">
        <f t="shared" si="53"/>
        <v>0.27640728672418691</v>
      </c>
      <c r="L145" s="103">
        <f t="shared" ref="L145" si="54">IF(L22=0,0,L22/L$17)</f>
        <v>0.2873653572228389</v>
      </c>
      <c r="M145" s="103">
        <f t="shared" ref="M145:V145" si="55">IF(M22=0,0,M22/M$17)</f>
        <v>0.2610660681137662</v>
      </c>
      <c r="N145" s="103">
        <f t="shared" si="55"/>
        <v>0.25192229532907506</v>
      </c>
      <c r="O145" s="103">
        <f t="shared" si="55"/>
        <v>0.24487426400463097</v>
      </c>
      <c r="P145" s="103">
        <f t="shared" si="55"/>
        <v>0.25333702455762308</v>
      </c>
      <c r="Q145" s="103">
        <f t="shared" si="55"/>
        <v>0.24046281846234704</v>
      </c>
      <c r="R145" s="103">
        <f t="shared" si="55"/>
        <v>0.23536096096634521</v>
      </c>
      <c r="S145" s="103">
        <f t="shared" si="55"/>
        <v>0.22318686329956619</v>
      </c>
      <c r="T145" s="103">
        <f t="shared" si="55"/>
        <v>0.21486694019804453</v>
      </c>
      <c r="U145" s="103">
        <f t="shared" si="55"/>
        <v>0.20929503147634543</v>
      </c>
      <c r="V145" s="103">
        <f t="shared" si="55"/>
        <v>0.19702509496482898</v>
      </c>
      <c r="W145" s="103">
        <f t="shared" ref="W145" si="56">IF(W22=0,0,W22/W$17)</f>
        <v>0.20388629750750495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6.0737961768510394E-2</v>
      </c>
      <c r="C146" s="103">
        <f t="shared" si="57"/>
        <v>6.5356264774089498E-2</v>
      </c>
      <c r="D146" s="103">
        <f t="shared" si="57"/>
        <v>8.0284353123476454E-2</v>
      </c>
      <c r="E146" s="103">
        <f t="shared" si="57"/>
        <v>8.7541942150829402E-2</v>
      </c>
      <c r="F146" s="103">
        <f t="shared" si="57"/>
        <v>9.7822855124472807E-2</v>
      </c>
      <c r="G146" s="103">
        <f t="shared" si="57"/>
        <v>0.13495607932829742</v>
      </c>
      <c r="H146" s="103">
        <f t="shared" si="57"/>
        <v>0.1672938405984315</v>
      </c>
      <c r="I146" s="103">
        <f t="shared" si="57"/>
        <v>0.18665813176078627</v>
      </c>
      <c r="J146" s="103">
        <f t="shared" si="57"/>
        <v>0.21261130918439555</v>
      </c>
      <c r="K146" s="103">
        <f t="shared" si="57"/>
        <v>0.23212620575356424</v>
      </c>
      <c r="L146" s="103">
        <f t="shared" ref="L146" si="58">IF(L24=0,0,L24/L$17)</f>
        <v>0.24776064888154345</v>
      </c>
      <c r="M146" s="103">
        <f t="shared" ref="M146:V146" si="59">IF(M24=0,0,M24/M$17)</f>
        <v>0.26266492490513854</v>
      </c>
      <c r="N146" s="103">
        <f t="shared" si="59"/>
        <v>0.28909299071198563</v>
      </c>
      <c r="O146" s="103">
        <f t="shared" si="59"/>
        <v>0.28038747821951104</v>
      </c>
      <c r="P146" s="103">
        <f t="shared" si="59"/>
        <v>0.27567406641177866</v>
      </c>
      <c r="Q146" s="103">
        <f t="shared" si="59"/>
        <v>0.2864298144727625</v>
      </c>
      <c r="R146" s="103">
        <f t="shared" si="59"/>
        <v>0.29320411724552004</v>
      </c>
      <c r="S146" s="103">
        <f t="shared" si="59"/>
        <v>0.30121183474096563</v>
      </c>
      <c r="T146" s="103">
        <f t="shared" si="59"/>
        <v>0.31569205957820956</v>
      </c>
      <c r="U146" s="103">
        <f t="shared" si="59"/>
        <v>0.31813405363785113</v>
      </c>
      <c r="V146" s="103">
        <f t="shared" si="59"/>
        <v>0.31457899077589746</v>
      </c>
      <c r="W146" s="103">
        <f t="shared" ref="W146" si="60">IF(W24=0,0,W24/W$17)</f>
        <v>0.31299706125899435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0</v>
      </c>
      <c r="C147" s="103">
        <f t="shared" si="61"/>
        <v>0</v>
      </c>
      <c r="D147" s="103">
        <f t="shared" si="61"/>
        <v>9.4396210185062961E-4</v>
      </c>
      <c r="E147" s="103">
        <f t="shared" si="61"/>
        <v>2.0385986529405046E-3</v>
      </c>
      <c r="F147" s="103">
        <f t="shared" si="61"/>
        <v>2.2891416895223737E-2</v>
      </c>
      <c r="G147" s="103">
        <f t="shared" si="61"/>
        <v>1.4318116950098511E-2</v>
      </c>
      <c r="H147" s="103">
        <f t="shared" si="61"/>
        <v>4.5926822581513482E-3</v>
      </c>
      <c r="I147" s="103">
        <f t="shared" si="61"/>
        <v>9.0635599415375013E-3</v>
      </c>
      <c r="J147" s="103">
        <f t="shared" si="61"/>
        <v>1.0797990650411208E-2</v>
      </c>
      <c r="K147" s="103">
        <f t="shared" si="61"/>
        <v>1.5406956524054756E-2</v>
      </c>
      <c r="L147" s="103">
        <f t="shared" ref="L147" si="62">IF(L26=0,0,L26/L$17)</f>
        <v>4.1318839284209203E-3</v>
      </c>
      <c r="M147" s="103">
        <f t="shared" ref="M147:V147" si="63">IF(M26=0,0,M26/M$17)</f>
        <v>1.7203451066801521E-2</v>
      </c>
      <c r="N147" s="103">
        <f t="shared" si="63"/>
        <v>1.1430913542745254E-2</v>
      </c>
      <c r="O147" s="103">
        <f t="shared" si="63"/>
        <v>1.0691600412513828E-2</v>
      </c>
      <c r="P147" s="103">
        <f t="shared" si="63"/>
        <v>1.1491226128949565E-2</v>
      </c>
      <c r="Q147" s="103">
        <f t="shared" si="63"/>
        <v>1.2293734265967023E-2</v>
      </c>
      <c r="R147" s="103">
        <f t="shared" si="63"/>
        <v>1.3480369985330526E-2</v>
      </c>
      <c r="S147" s="103">
        <f t="shared" si="63"/>
        <v>1.5235456502653745E-2</v>
      </c>
      <c r="T147" s="103">
        <f t="shared" si="63"/>
        <v>1.5455109491980175E-2</v>
      </c>
      <c r="U147" s="103">
        <f t="shared" si="63"/>
        <v>1.5698513147692442E-2</v>
      </c>
      <c r="V147" s="103">
        <f t="shared" si="63"/>
        <v>1.4222775590580975E-2</v>
      </c>
      <c r="W147" s="103">
        <f t="shared" ref="W147" si="64">IF(W26=0,0,W26/W$17)</f>
        <v>1.3580468788784959E-2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1.1831897705350081E-5</v>
      </c>
      <c r="O149" s="103">
        <f t="shared" si="71"/>
        <v>1.1262211500449227E-5</v>
      </c>
      <c r="P149" s="103">
        <f t="shared" si="71"/>
        <v>1.2339295220419732E-5</v>
      </c>
      <c r="Q149" s="103">
        <f t="shared" si="71"/>
        <v>1.4149706919612684E-5</v>
      </c>
      <c r="R149" s="103">
        <f t="shared" si="71"/>
        <v>7.8165551854816918E-6</v>
      </c>
      <c r="S149" s="103">
        <f t="shared" si="71"/>
        <v>1.6019121697725113E-5</v>
      </c>
      <c r="T149" s="103">
        <f t="shared" si="71"/>
        <v>2.6905071753299128E-5</v>
      </c>
      <c r="U149" s="103">
        <f t="shared" si="71"/>
        <v>3.6947169807944585E-5</v>
      </c>
      <c r="V149" s="103">
        <f t="shared" si="71"/>
        <v>8.3889957175274665E-5</v>
      </c>
      <c r="W149" s="103">
        <f t="shared" ref="W149" si="72">IF(W29=0,0,W29/W$17)</f>
        <v>2.0450433745218953E-4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3.2275881429248705E-8</v>
      </c>
      <c r="L150" s="103">
        <f t="shared" ref="L150" si="74">IF(L32=0,0,L32/L$17)</f>
        <v>6.4420989660223358E-6</v>
      </c>
      <c r="M150" s="103">
        <f t="shared" ref="M150:V150" si="75">IF(M32=0,0,M32/M$17)</f>
        <v>1.4701043553478764E-5</v>
      </c>
      <c r="N150" s="103">
        <f t="shared" si="75"/>
        <v>2.5501438278365323E-5</v>
      </c>
      <c r="O150" s="103">
        <f t="shared" si="75"/>
        <v>3.4051429802006441E-5</v>
      </c>
      <c r="P150" s="103">
        <f t="shared" si="75"/>
        <v>3.8445079385250701E-5</v>
      </c>
      <c r="Q150" s="103">
        <f t="shared" si="75"/>
        <v>4.2320812081014665E-5</v>
      </c>
      <c r="R150" s="103">
        <f t="shared" si="75"/>
        <v>4.4596152914955103E-5</v>
      </c>
      <c r="S150" s="103">
        <f t="shared" si="75"/>
        <v>4.9341740918670791E-5</v>
      </c>
      <c r="T150" s="103">
        <f t="shared" si="75"/>
        <v>5.9431045459965051E-5</v>
      </c>
      <c r="U150" s="103">
        <f t="shared" si="75"/>
        <v>1.0151575687646074E-4</v>
      </c>
      <c r="V150" s="103">
        <f t="shared" si="75"/>
        <v>1.5060796048413464E-4</v>
      </c>
      <c r="W150" s="103">
        <f t="shared" ref="W150" si="76">IF(W32=0,0,W32/W$17)</f>
        <v>3.1738244480609013E-4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0.18072029691612795</v>
      </c>
      <c r="C151" s="156">
        <f t="shared" si="77"/>
        <v>0.16530537317296956</v>
      </c>
      <c r="D151" s="156">
        <f t="shared" si="77"/>
        <v>0.15367539914534015</v>
      </c>
      <c r="E151" s="156">
        <f t="shared" si="77"/>
        <v>0.15981594254069847</v>
      </c>
      <c r="F151" s="156">
        <f t="shared" si="77"/>
        <v>0.16250437273894766</v>
      </c>
      <c r="G151" s="156">
        <f t="shared" si="77"/>
        <v>0.1592913356562585</v>
      </c>
      <c r="H151" s="156">
        <f t="shared" si="77"/>
        <v>0.1418304204769642</v>
      </c>
      <c r="I151" s="156">
        <f t="shared" si="77"/>
        <v>0.15476375374736537</v>
      </c>
      <c r="J151" s="156">
        <f t="shared" si="77"/>
        <v>0.18722991622309293</v>
      </c>
      <c r="K151" s="156">
        <f t="shared" si="77"/>
        <v>0.1859255069144258</v>
      </c>
      <c r="L151" s="156">
        <f t="shared" ref="L151" si="78">IF(L33=0,0,L33/L$17)</f>
        <v>0.20072440549856585</v>
      </c>
      <c r="M151" s="156">
        <f t="shared" ref="M151:V151" si="79">IF(M33=0,0,M33/M$17)</f>
        <v>0.19668140066414808</v>
      </c>
      <c r="N151" s="156">
        <f t="shared" si="79"/>
        <v>0.19577400874715031</v>
      </c>
      <c r="O151" s="156">
        <f t="shared" si="79"/>
        <v>0.20335372265182577</v>
      </c>
      <c r="P151" s="156">
        <f t="shared" si="79"/>
        <v>0.20539650627781722</v>
      </c>
      <c r="Q151" s="156">
        <f t="shared" si="79"/>
        <v>0.21031600906208728</v>
      </c>
      <c r="R151" s="156">
        <f t="shared" si="79"/>
        <v>0.20515983901424942</v>
      </c>
      <c r="S151" s="156">
        <f t="shared" si="79"/>
        <v>0.20231275059965959</v>
      </c>
      <c r="T151" s="156">
        <f t="shared" si="79"/>
        <v>0.20084186405120497</v>
      </c>
      <c r="U151" s="156">
        <f t="shared" si="79"/>
        <v>0.19804088261464831</v>
      </c>
      <c r="V151" s="156">
        <f t="shared" si="79"/>
        <v>0.21214345130679543</v>
      </c>
      <c r="W151" s="156">
        <f t="shared" ref="W151" si="80">IF(W33=0,0,W33/W$17)</f>
        <v>0.20575194064308169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1.9597194791825563E-4</v>
      </c>
      <c r="K152" s="103">
        <f t="shared" si="81"/>
        <v>1.8998373050198154E-4</v>
      </c>
      <c r="L152" s="103">
        <f t="shared" ref="L152" si="82">IF(L34=0,0,L34/L$17)</f>
        <v>2.041406046040627E-4</v>
      </c>
      <c r="M152" s="103">
        <f t="shared" ref="M152:V152" si="83">IF(M34=0,0,M34/M$17)</f>
        <v>1.9711456913134377E-4</v>
      </c>
      <c r="N152" s="103">
        <f t="shared" si="83"/>
        <v>1.8505103277362294E-4</v>
      </c>
      <c r="O152" s="103">
        <f t="shared" si="83"/>
        <v>1.8420970013928564E-4</v>
      </c>
      <c r="P152" s="103">
        <f t="shared" si="83"/>
        <v>1.7434382602195413E-4</v>
      </c>
      <c r="Q152" s="103">
        <f t="shared" si="83"/>
        <v>1.5688078942083675E-4</v>
      </c>
      <c r="R152" s="103">
        <f t="shared" si="83"/>
        <v>1.4203633597929081E-4</v>
      </c>
      <c r="S152" s="103">
        <f t="shared" si="83"/>
        <v>1.2781717975620833E-4</v>
      </c>
      <c r="T152" s="103">
        <f t="shared" si="83"/>
        <v>1.1756793307639014E-4</v>
      </c>
      <c r="U152" s="103">
        <f t="shared" si="83"/>
        <v>1.0969855777604888E-4</v>
      </c>
      <c r="V152" s="103">
        <f t="shared" si="83"/>
        <v>1.1430773883561525E-4</v>
      </c>
      <c r="W152" s="103">
        <f t="shared" ref="W152" si="84">IF(W34=0,0,W34/W$17)</f>
        <v>1.1034961600011455E-4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0.18072029691612795</v>
      </c>
      <c r="C153" s="103">
        <f t="shared" si="85"/>
        <v>0.16530537317296956</v>
      </c>
      <c r="D153" s="103">
        <f t="shared" si="85"/>
        <v>0.15367539914534015</v>
      </c>
      <c r="E153" s="103">
        <f t="shared" si="85"/>
        <v>0.15981594254069847</v>
      </c>
      <c r="F153" s="103">
        <f t="shared" si="85"/>
        <v>0.16250437273894766</v>
      </c>
      <c r="G153" s="103">
        <f t="shared" si="85"/>
        <v>0.1592913356562585</v>
      </c>
      <c r="H153" s="103">
        <f t="shared" si="85"/>
        <v>0.1418304204769642</v>
      </c>
      <c r="I153" s="103">
        <f t="shared" si="85"/>
        <v>0.15476375374736537</v>
      </c>
      <c r="J153" s="103">
        <f t="shared" si="85"/>
        <v>0.18696034750450521</v>
      </c>
      <c r="K153" s="103">
        <f t="shared" si="85"/>
        <v>0.185653564530807</v>
      </c>
      <c r="L153" s="103">
        <f t="shared" ref="L153" si="86">IF(L36=0,0,L36/L$17)</f>
        <v>0.2003299157069581</v>
      </c>
      <c r="M153" s="103">
        <f t="shared" ref="M153:V153" si="87">IF(M36=0,0,M36/M$17)</f>
        <v>0.19625776575647541</v>
      </c>
      <c r="N153" s="103">
        <f t="shared" si="87"/>
        <v>0.19536796518468963</v>
      </c>
      <c r="O153" s="103">
        <f t="shared" si="87"/>
        <v>0.20293121030200179</v>
      </c>
      <c r="P153" s="103">
        <f t="shared" si="87"/>
        <v>0.20498706745351078</v>
      </c>
      <c r="Q153" s="103">
        <f t="shared" si="87"/>
        <v>0.2099346811273263</v>
      </c>
      <c r="R153" s="103">
        <f t="shared" si="87"/>
        <v>0.20482359941029235</v>
      </c>
      <c r="S153" s="103">
        <f t="shared" si="87"/>
        <v>0.20200670205411167</v>
      </c>
      <c r="T153" s="103">
        <f t="shared" si="87"/>
        <v>0.2005628693052601</v>
      </c>
      <c r="U153" s="103">
        <f t="shared" si="87"/>
        <v>0.19767806226142609</v>
      </c>
      <c r="V153" s="103">
        <f t="shared" si="87"/>
        <v>0.21137258336757261</v>
      </c>
      <c r="W153" s="103">
        <f t="shared" ref="W153" si="88">IF(W36=0,0,W36/W$17)</f>
        <v>0.20499015241448851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7.3596770669472444E-5</v>
      </c>
      <c r="K154" s="103">
        <f t="shared" si="89"/>
        <v>8.1958653116788357E-5</v>
      </c>
      <c r="L154" s="103">
        <f t="shared" ref="L154" si="90">IF(L38=0,0,L38/L$17)</f>
        <v>1.9034918700367261E-4</v>
      </c>
      <c r="M154" s="103">
        <f t="shared" ref="M154:V154" si="91">IF(M38=0,0,M38/M$17)</f>
        <v>2.2652033854134821E-4</v>
      </c>
      <c r="N154" s="103">
        <f t="shared" si="91"/>
        <v>2.2099252968707479E-4</v>
      </c>
      <c r="O154" s="103">
        <f t="shared" si="91"/>
        <v>2.353541311769831E-4</v>
      </c>
      <c r="P154" s="103">
        <f t="shared" si="91"/>
        <v>2.293682090666789E-4</v>
      </c>
      <c r="Q154" s="103">
        <f t="shared" si="91"/>
        <v>2.1303555350445837E-4</v>
      </c>
      <c r="R154" s="103">
        <f t="shared" si="91"/>
        <v>1.8089943293492453E-4</v>
      </c>
      <c r="S154" s="103">
        <f t="shared" si="91"/>
        <v>1.6578992465885703E-4</v>
      </c>
      <c r="T154" s="103">
        <f t="shared" si="91"/>
        <v>1.009552608925667E-4</v>
      </c>
      <c r="U154" s="103">
        <f t="shared" si="91"/>
        <v>9.2358654514499889E-5</v>
      </c>
      <c r="V154" s="103">
        <f t="shared" si="91"/>
        <v>9.3283018831643799E-5</v>
      </c>
      <c r="W154" s="103">
        <f t="shared" ref="W154" si="92">IF(W38=0,0,W38/W$17)</f>
        <v>8.8788229835207226E-5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2.9485185077115989E-6</v>
      </c>
      <c r="P156" s="103">
        <f t="shared" si="99"/>
        <v>5.7267892177784353E-6</v>
      </c>
      <c r="Q156" s="103">
        <f t="shared" si="99"/>
        <v>1.1411591835646717E-5</v>
      </c>
      <c r="R156" s="103">
        <f t="shared" si="99"/>
        <v>1.3303835042872375E-5</v>
      </c>
      <c r="S156" s="103">
        <f t="shared" si="99"/>
        <v>1.2441441132833067E-5</v>
      </c>
      <c r="T156" s="103">
        <f t="shared" si="99"/>
        <v>6.0471551975902056E-5</v>
      </c>
      <c r="U156" s="103">
        <f t="shared" si="99"/>
        <v>1.6076314093164663E-4</v>
      </c>
      <c r="V156" s="103">
        <f t="shared" si="99"/>
        <v>5.6327718155555146E-4</v>
      </c>
      <c r="W156" s="103">
        <f t="shared" ref="W156" si="100">IF(W41=0,0,W41/W$17)</f>
        <v>5.626503827578799E-4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0.34044478874617479</v>
      </c>
      <c r="C157" s="46">
        <f t="shared" si="101"/>
        <v>0.3397736640975253</v>
      </c>
      <c r="D157" s="46">
        <f t="shared" si="101"/>
        <v>0.35597834627839442</v>
      </c>
      <c r="E157" s="46">
        <f t="shared" si="101"/>
        <v>0.36431275811306224</v>
      </c>
      <c r="F157" s="46">
        <f t="shared" si="101"/>
        <v>0.33127019351417919</v>
      </c>
      <c r="G157" s="46">
        <f t="shared" si="101"/>
        <v>0.31688617021512194</v>
      </c>
      <c r="H157" s="46">
        <f t="shared" si="101"/>
        <v>0.35293241812082821</v>
      </c>
      <c r="I157" s="46">
        <f t="shared" si="101"/>
        <v>0.31572650481904541</v>
      </c>
      <c r="J157" s="46">
        <f t="shared" si="101"/>
        <v>0.29816486291534128</v>
      </c>
      <c r="K157" s="46">
        <f t="shared" si="101"/>
        <v>0.28688889460417633</v>
      </c>
      <c r="L157" s="46">
        <f t="shared" ref="L157" si="102">IF(L42=0,0,L42/L$17)</f>
        <v>0.25641189920160046</v>
      </c>
      <c r="M157" s="46">
        <f t="shared" ref="M157:V157" si="103">IF(M42=0,0,M42/M$17)</f>
        <v>0.25879165437346979</v>
      </c>
      <c r="N157" s="46">
        <f t="shared" si="103"/>
        <v>0.24817741794630893</v>
      </c>
      <c r="O157" s="46">
        <f t="shared" si="103"/>
        <v>0.25682084029388674</v>
      </c>
      <c r="P157" s="46">
        <f t="shared" si="103"/>
        <v>0.25022001962777668</v>
      </c>
      <c r="Q157" s="46">
        <f t="shared" si="103"/>
        <v>0.24649265581721613</v>
      </c>
      <c r="R157" s="46">
        <f t="shared" si="103"/>
        <v>0.24885123978077561</v>
      </c>
      <c r="S157" s="46">
        <f t="shared" si="103"/>
        <v>0.25456560652857307</v>
      </c>
      <c r="T157" s="46">
        <f t="shared" si="103"/>
        <v>0.24991343161277815</v>
      </c>
      <c r="U157" s="46">
        <f t="shared" si="103"/>
        <v>0.25550359065118056</v>
      </c>
      <c r="V157" s="46">
        <f t="shared" si="103"/>
        <v>0.25888685398021055</v>
      </c>
      <c r="W157" s="46">
        <f t="shared" ref="W157" si="104">IF(W42=0,0,W42/W$17)</f>
        <v>0.2607180829118787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0.15114823245566117</v>
      </c>
      <c r="C158" s="154">
        <f t="shared" si="105"/>
        <v>0.1231125926248641</v>
      </c>
      <c r="D158" s="154">
        <f t="shared" si="105"/>
        <v>0.12238449779688203</v>
      </c>
      <c r="E158" s="154">
        <f t="shared" si="105"/>
        <v>0.11704187494714741</v>
      </c>
      <c r="F158" s="154">
        <f t="shared" si="105"/>
        <v>0.11330807775321984</v>
      </c>
      <c r="G158" s="154">
        <f t="shared" si="105"/>
        <v>0.12454857500335187</v>
      </c>
      <c r="H158" s="154">
        <f t="shared" si="105"/>
        <v>0.13256706177320515</v>
      </c>
      <c r="I158" s="154">
        <f t="shared" si="105"/>
        <v>0.13409564349001482</v>
      </c>
      <c r="J158" s="154">
        <f t="shared" si="105"/>
        <v>0.13360059581745362</v>
      </c>
      <c r="K158" s="154">
        <f t="shared" si="105"/>
        <v>0.13212917635490301</v>
      </c>
      <c r="L158" s="154">
        <f t="shared" ref="L158" si="106">IF(L43=0,0,L43/L$17)</f>
        <v>0.13976024730481493</v>
      </c>
      <c r="M158" s="154">
        <f t="shared" ref="M158:V158" si="107">IF(M43=0,0,M43/M$17)</f>
        <v>0.14099884578849628</v>
      </c>
      <c r="N158" s="154">
        <f t="shared" si="107"/>
        <v>0.14463764399048704</v>
      </c>
      <c r="O158" s="154">
        <f t="shared" si="107"/>
        <v>0.15148556872016236</v>
      </c>
      <c r="P158" s="154">
        <f t="shared" si="107"/>
        <v>0.15639971056055907</v>
      </c>
      <c r="Q158" s="154">
        <f t="shared" si="107"/>
        <v>0.16072281769204447</v>
      </c>
      <c r="R158" s="154">
        <f t="shared" si="107"/>
        <v>0.15423840206967232</v>
      </c>
      <c r="S158" s="154">
        <f t="shared" si="107"/>
        <v>0.15298598438118527</v>
      </c>
      <c r="T158" s="154">
        <f t="shared" si="107"/>
        <v>0.1577917390056689</v>
      </c>
      <c r="U158" s="154">
        <f t="shared" si="107"/>
        <v>0.15867105527654002</v>
      </c>
      <c r="V158" s="154">
        <f t="shared" si="107"/>
        <v>0.16563208538236013</v>
      </c>
      <c r="W158" s="154">
        <f t="shared" ref="W158" si="108">IF(W43=0,0,W43/W$17)</f>
        <v>0.16319429707919153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6.2317419058253193E-2</v>
      </c>
      <c r="C159" s="103">
        <f t="shared" si="109"/>
        <v>4.8079656629956509E-2</v>
      </c>
      <c r="D159" s="103">
        <f t="shared" si="109"/>
        <v>4.5877277855059767E-2</v>
      </c>
      <c r="E159" s="103">
        <f t="shared" si="109"/>
        <v>4.1920665496446012E-2</v>
      </c>
      <c r="F159" s="103">
        <f t="shared" si="109"/>
        <v>3.986865450432947E-2</v>
      </c>
      <c r="G159" s="103">
        <f t="shared" si="109"/>
        <v>4.1055429674881766E-2</v>
      </c>
      <c r="H159" s="103">
        <f t="shared" si="109"/>
        <v>4.0844993799723929E-2</v>
      </c>
      <c r="I159" s="103">
        <f t="shared" si="109"/>
        <v>4.0204051925597083E-2</v>
      </c>
      <c r="J159" s="103">
        <f t="shared" si="109"/>
        <v>3.4146707965161394E-2</v>
      </c>
      <c r="K159" s="103">
        <f t="shared" si="109"/>
        <v>3.1624662077549368E-2</v>
      </c>
      <c r="L159" s="103">
        <f t="shared" ref="L159" si="110">IF(L44=0,0,L44/L$17)</f>
        <v>3.1613750119591048E-2</v>
      </c>
      <c r="M159" s="103">
        <f t="shared" ref="M159:V159" si="111">IF(M44=0,0,M44/M$17)</f>
        <v>2.8598894781664823E-2</v>
      </c>
      <c r="N159" s="103">
        <f t="shared" si="111"/>
        <v>2.6249383991084126E-2</v>
      </c>
      <c r="O159" s="103">
        <f t="shared" si="111"/>
        <v>2.4639659237991454E-2</v>
      </c>
      <c r="P159" s="103">
        <f t="shared" si="111"/>
        <v>2.1715188165074072E-2</v>
      </c>
      <c r="Q159" s="103">
        <f t="shared" si="111"/>
        <v>1.8597320551613821E-2</v>
      </c>
      <c r="R159" s="103">
        <f t="shared" si="111"/>
        <v>1.7921902850223232E-2</v>
      </c>
      <c r="S159" s="103">
        <f t="shared" si="111"/>
        <v>1.667782323290995E-2</v>
      </c>
      <c r="T159" s="103">
        <f t="shared" si="111"/>
        <v>1.6051986118838256E-2</v>
      </c>
      <c r="U159" s="103">
        <f t="shared" si="111"/>
        <v>1.4794028245186951E-2</v>
      </c>
      <c r="V159" s="103">
        <f t="shared" si="111"/>
        <v>1.4467381051878621E-2</v>
      </c>
      <c r="W159" s="103">
        <f t="shared" ref="W159" si="112">IF(W44=0,0,W44/W$17)</f>
        <v>1.3310698062724158E-2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8.8830813397408004E-2</v>
      </c>
      <c r="C160" s="103">
        <f t="shared" si="113"/>
        <v>7.5032935994907582E-2</v>
      </c>
      <c r="D160" s="103">
        <f t="shared" si="113"/>
        <v>7.650721994182226E-2</v>
      </c>
      <c r="E160" s="103">
        <f t="shared" si="113"/>
        <v>7.5121209450701387E-2</v>
      </c>
      <c r="F160" s="103">
        <f t="shared" si="113"/>
        <v>7.3439423248890384E-2</v>
      </c>
      <c r="G160" s="103">
        <f t="shared" si="113"/>
        <v>8.3493145328470103E-2</v>
      </c>
      <c r="H160" s="103">
        <f t="shared" si="113"/>
        <v>9.1722067973481231E-2</v>
      </c>
      <c r="I160" s="103">
        <f t="shared" si="113"/>
        <v>9.3891591564417731E-2</v>
      </c>
      <c r="J160" s="103">
        <f t="shared" si="113"/>
        <v>9.9453184263229577E-2</v>
      </c>
      <c r="K160" s="103">
        <f t="shared" si="113"/>
        <v>0.10050383846406563</v>
      </c>
      <c r="L160" s="103">
        <f t="shared" ref="L160" si="114">IF(L46=0,0,L46/L$17)</f>
        <v>0.10814571239797634</v>
      </c>
      <c r="M160" s="103">
        <f t="shared" ref="M160:V160" si="115">IF(M46=0,0,M46/M$17)</f>
        <v>0.11239853699510038</v>
      </c>
      <c r="N160" s="103">
        <f t="shared" si="115"/>
        <v>0.11838505040783373</v>
      </c>
      <c r="O160" s="103">
        <f t="shared" si="115"/>
        <v>0.12684251697638493</v>
      </c>
      <c r="P160" s="103">
        <f t="shared" si="115"/>
        <v>0.1346808276160848</v>
      </c>
      <c r="Q160" s="103">
        <f t="shared" si="115"/>
        <v>0.14212251241227777</v>
      </c>
      <c r="R160" s="103">
        <f t="shared" si="115"/>
        <v>0.1363134426055799</v>
      </c>
      <c r="S160" s="103">
        <f t="shared" si="115"/>
        <v>0.13630485957268518</v>
      </c>
      <c r="T160" s="103">
        <f t="shared" si="115"/>
        <v>0.14173560529843438</v>
      </c>
      <c r="U160" s="103">
        <f t="shared" si="115"/>
        <v>0.14387137888143001</v>
      </c>
      <c r="V160" s="103">
        <f t="shared" si="115"/>
        <v>0.1511563304464936</v>
      </c>
      <c r="W160" s="103">
        <f t="shared" ref="W160" si="116">IF(W46=0,0,W46/W$17)</f>
        <v>0.14987100053868058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7.0358906263087115E-7</v>
      </c>
      <c r="K161" s="103">
        <f t="shared" si="117"/>
        <v>6.7581328801804104E-7</v>
      </c>
      <c r="L161" s="103">
        <f t="shared" ref="L161" si="118">IF(L48=0,0,L48/L$17)</f>
        <v>7.1780377935006408E-7</v>
      </c>
      <c r="M161" s="103">
        <f t="shared" ref="M161:V161" si="119">IF(M48=0,0,M48/M$17)</f>
        <v>1.3181780941888349E-6</v>
      </c>
      <c r="N161" s="103">
        <f t="shared" si="119"/>
        <v>3.0242267228616023E-6</v>
      </c>
      <c r="O161" s="103">
        <f t="shared" si="119"/>
        <v>3.0749606795185319E-6</v>
      </c>
      <c r="P161" s="103">
        <f t="shared" si="119"/>
        <v>3.292576960583307E-6</v>
      </c>
      <c r="Q161" s="103">
        <f t="shared" si="119"/>
        <v>2.6167800064006976E-6</v>
      </c>
      <c r="R161" s="103">
        <f t="shared" si="119"/>
        <v>2.7444120495778212E-6</v>
      </c>
      <c r="S161" s="103">
        <f t="shared" si="119"/>
        <v>2.5864790275956187E-6</v>
      </c>
      <c r="T161" s="103">
        <f t="shared" si="119"/>
        <v>2.293707995536412E-6</v>
      </c>
      <c r="U161" s="103">
        <f t="shared" si="119"/>
        <v>2.2074593987064275E-6</v>
      </c>
      <c r="V161" s="103">
        <f t="shared" si="119"/>
        <v>1.991585351204542E-6</v>
      </c>
      <c r="W161" s="103">
        <f t="shared" ref="W161" si="120">IF(W48=0,0,W48/W$17)</f>
        <v>2.5511611904524209E-6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6.6983468202581603E-8</v>
      </c>
      <c r="M163" s="103">
        <f t="shared" ref="M163:V163" si="127">IF(M51=0,0,M51/M$17)</f>
        <v>9.5833636907004838E-8</v>
      </c>
      <c r="N163" s="103">
        <f t="shared" si="127"/>
        <v>1.8536484631000208E-7</v>
      </c>
      <c r="O163" s="103">
        <f t="shared" si="127"/>
        <v>3.1754510647289465E-7</v>
      </c>
      <c r="P163" s="103">
        <f t="shared" si="127"/>
        <v>4.0220243963577138E-7</v>
      </c>
      <c r="Q163" s="103">
        <f t="shared" si="127"/>
        <v>3.6794814646420297E-7</v>
      </c>
      <c r="R163" s="103">
        <f t="shared" si="127"/>
        <v>3.1220181960483863E-7</v>
      </c>
      <c r="S163" s="103">
        <f t="shared" si="127"/>
        <v>7.1509656256949822E-7</v>
      </c>
      <c r="T163" s="103">
        <f t="shared" si="127"/>
        <v>1.8538804007074409E-6</v>
      </c>
      <c r="U163" s="103">
        <f t="shared" si="127"/>
        <v>3.4406905243312588E-6</v>
      </c>
      <c r="V163" s="103">
        <f t="shared" si="127"/>
        <v>6.3822986366797164E-6</v>
      </c>
      <c r="W163" s="103">
        <f t="shared" ref="W163" si="128">IF(W51=0,0,W51/W$17)</f>
        <v>1.004731659634624E-5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0.18929655629051362</v>
      </c>
      <c r="C164" s="156">
        <f t="shared" si="129"/>
        <v>0.21666107147266123</v>
      </c>
      <c r="D164" s="156">
        <f t="shared" si="129"/>
        <v>0.23359384848151241</v>
      </c>
      <c r="E164" s="156">
        <f t="shared" si="129"/>
        <v>0.24727088316591486</v>
      </c>
      <c r="F164" s="156">
        <f t="shared" si="129"/>
        <v>0.21796211576095934</v>
      </c>
      <c r="G164" s="156">
        <f t="shared" si="129"/>
        <v>0.19233759521177007</v>
      </c>
      <c r="H164" s="156">
        <f t="shared" si="129"/>
        <v>0.220365356347623</v>
      </c>
      <c r="I164" s="156">
        <f t="shared" si="129"/>
        <v>0.18163086132903059</v>
      </c>
      <c r="J164" s="156">
        <f t="shared" si="129"/>
        <v>0.16456426709788771</v>
      </c>
      <c r="K164" s="156">
        <f t="shared" si="129"/>
        <v>0.15475971824927329</v>
      </c>
      <c r="L164" s="156">
        <f t="shared" ref="L164" si="130">IF(L52=0,0,L52/L$17)</f>
        <v>0.11665165189678554</v>
      </c>
      <c r="M164" s="156">
        <f t="shared" ref="M164:V164" si="131">IF(M52=0,0,M52/M$17)</f>
        <v>0.11779280858497353</v>
      </c>
      <c r="N164" s="156">
        <f t="shared" si="131"/>
        <v>0.10353977395582185</v>
      </c>
      <c r="O164" s="156">
        <f t="shared" si="131"/>
        <v>0.1053352715737244</v>
      </c>
      <c r="P164" s="156">
        <f t="shared" si="131"/>
        <v>9.3820309067217625E-2</v>
      </c>
      <c r="Q164" s="156">
        <f t="shared" si="131"/>
        <v>8.5769838125171693E-2</v>
      </c>
      <c r="R164" s="156">
        <f t="shared" si="131"/>
        <v>9.461283771110332E-2</v>
      </c>
      <c r="S164" s="156">
        <f t="shared" si="131"/>
        <v>0.10157962214738782</v>
      </c>
      <c r="T164" s="156">
        <f t="shared" si="131"/>
        <v>9.2121692607109271E-2</v>
      </c>
      <c r="U164" s="156">
        <f t="shared" si="131"/>
        <v>9.6832535374640538E-2</v>
      </c>
      <c r="V164" s="156">
        <f t="shared" si="131"/>
        <v>9.325476859785041E-2</v>
      </c>
      <c r="W164" s="156">
        <f t="shared" ref="W164" si="132">IF(W52=0,0,W52/W$17)</f>
        <v>9.7523785832687185E-2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9.6984571171523509E-2</v>
      </c>
      <c r="C165" s="104">
        <f t="shared" si="133"/>
        <v>9.2824348868727896E-2</v>
      </c>
      <c r="D165" s="104">
        <f t="shared" si="133"/>
        <v>9.5937582568518864E-2</v>
      </c>
      <c r="E165" s="104">
        <f t="shared" si="133"/>
        <v>0.11037285442996031</v>
      </c>
      <c r="F165" s="104">
        <f t="shared" si="133"/>
        <v>0.10349568401528229</v>
      </c>
      <c r="G165" s="104">
        <f t="shared" si="133"/>
        <v>0.12435928320422616</v>
      </c>
      <c r="H165" s="104">
        <f t="shared" si="133"/>
        <v>0.14981383184599367</v>
      </c>
      <c r="I165" s="104">
        <f t="shared" si="133"/>
        <v>0.13719646383039064</v>
      </c>
      <c r="J165" s="104">
        <f t="shared" si="133"/>
        <v>0.1240326677649628</v>
      </c>
      <c r="K165" s="104">
        <f t="shared" si="133"/>
        <v>0.1171322516613042</v>
      </c>
      <c r="L165" s="104">
        <f t="shared" ref="L165" si="134">IF(L53=0,0,L53/L$17)</f>
        <v>7.5474471638458815E-2</v>
      </c>
      <c r="M165" s="104">
        <f t="shared" ref="M165:V165" si="135">IF(M53=0,0,M53/M$17)</f>
        <v>7.3652567225122506E-2</v>
      </c>
      <c r="N165" s="104">
        <f t="shared" si="135"/>
        <v>6.9274273273978906E-2</v>
      </c>
      <c r="O165" s="104">
        <f t="shared" si="135"/>
        <v>7.0200004146000153E-2</v>
      </c>
      <c r="P165" s="104">
        <f t="shared" si="135"/>
        <v>6.4290364452617044E-2</v>
      </c>
      <c r="Q165" s="104">
        <f t="shared" si="135"/>
        <v>6.1096172560636729E-2</v>
      </c>
      <c r="R165" s="104">
        <f t="shared" si="135"/>
        <v>6.2919874539013723E-2</v>
      </c>
      <c r="S165" s="104">
        <f t="shared" si="135"/>
        <v>6.2616356790737335E-2</v>
      </c>
      <c r="T165" s="104">
        <f t="shared" si="135"/>
        <v>6.1842057222468633E-2</v>
      </c>
      <c r="U165" s="104">
        <f t="shared" si="135"/>
        <v>6.739655896997955E-2</v>
      </c>
      <c r="V165" s="104">
        <f t="shared" si="135"/>
        <v>6.7652353072166743E-2</v>
      </c>
      <c r="W165" s="104">
        <f t="shared" ref="W165" si="136">IF(W53=0,0,W53/W$17)</f>
        <v>7.0048119325782504E-2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9.2311985118990109E-2</v>
      </c>
      <c r="C166" s="105">
        <f t="shared" si="137"/>
        <v>0.12383672260393332</v>
      </c>
      <c r="D166" s="105">
        <f t="shared" si="137"/>
        <v>0.13765626591299354</v>
      </c>
      <c r="E166" s="105">
        <f t="shared" si="137"/>
        <v>0.13689802873595455</v>
      </c>
      <c r="F166" s="105">
        <f t="shared" si="137"/>
        <v>0.11446643174567704</v>
      </c>
      <c r="G166" s="105">
        <f t="shared" si="137"/>
        <v>6.7978312007543909E-2</v>
      </c>
      <c r="H166" s="105">
        <f t="shared" si="137"/>
        <v>7.0551524501629312E-2</v>
      </c>
      <c r="I166" s="105">
        <f t="shared" si="137"/>
        <v>4.4434397498639956E-2</v>
      </c>
      <c r="J166" s="105">
        <f t="shared" si="137"/>
        <v>4.0531599332924911E-2</v>
      </c>
      <c r="K166" s="105">
        <f t="shared" si="137"/>
        <v>3.7627466587969068E-2</v>
      </c>
      <c r="L166" s="105">
        <f t="shared" ref="L166" si="138">IF(L55=0,0,L55/L$17)</f>
        <v>4.1177180258326715E-2</v>
      </c>
      <c r="M166" s="105">
        <f t="shared" ref="M166:V166" si="139">IF(M55=0,0,M55/M$17)</f>
        <v>4.4140241359851021E-2</v>
      </c>
      <c r="N166" s="105">
        <f t="shared" si="139"/>
        <v>3.4265500681842954E-2</v>
      </c>
      <c r="O166" s="105">
        <f t="shared" si="139"/>
        <v>3.5135267427724243E-2</v>
      </c>
      <c r="P166" s="105">
        <f t="shared" si="139"/>
        <v>2.9529944614600581E-2</v>
      </c>
      <c r="Q166" s="105">
        <f t="shared" si="139"/>
        <v>2.4673665564534961E-2</v>
      </c>
      <c r="R166" s="105">
        <f t="shared" si="139"/>
        <v>3.1692963172089583E-2</v>
      </c>
      <c r="S166" s="105">
        <f t="shared" si="139"/>
        <v>3.896326535665047E-2</v>
      </c>
      <c r="T166" s="105">
        <f t="shared" si="139"/>
        <v>3.0279635384640635E-2</v>
      </c>
      <c r="U166" s="105">
        <f t="shared" si="139"/>
        <v>2.9435976404660984E-2</v>
      </c>
      <c r="V166" s="105">
        <f t="shared" si="139"/>
        <v>2.5602415525683653E-2</v>
      </c>
      <c r="W166" s="105">
        <f t="shared" ref="W166" si="140">IF(W55=0,0,W55/W$17)</f>
        <v>2.7475666506904688E-2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8169.6291098400006</v>
      </c>
      <c r="C4" s="146">
        <f t="shared" si="0"/>
        <v>10516.021398360001</v>
      </c>
      <c r="D4" s="146">
        <f t="shared" si="0"/>
        <v>10809.678153960002</v>
      </c>
      <c r="E4" s="146">
        <f t="shared" si="0"/>
        <v>11698.169548680002</v>
      </c>
      <c r="F4" s="146">
        <f t="shared" si="0"/>
        <v>12166.946645399999</v>
      </c>
      <c r="G4" s="146">
        <f t="shared" si="0"/>
        <v>11611.803035519999</v>
      </c>
      <c r="H4" s="146">
        <f t="shared" si="0"/>
        <v>12118.36656312</v>
      </c>
      <c r="I4" s="146">
        <f t="shared" si="0"/>
        <v>12146.574517919998</v>
      </c>
      <c r="J4" s="146">
        <f t="shared" si="0"/>
        <v>13775.693210279998</v>
      </c>
      <c r="K4" s="146">
        <f t="shared" si="0"/>
        <v>14129.050167360001</v>
      </c>
      <c r="L4" s="146">
        <f t="shared" ref="L4" si="1">L5+L9+L10+L15</f>
        <v>13373.68933836</v>
      </c>
      <c r="M4" s="146">
        <f t="shared" ref="M4:V4" si="2">M5+M9+M10+M15</f>
        <v>13816.155787919997</v>
      </c>
      <c r="N4" s="146">
        <f t="shared" si="2"/>
        <v>14425.614832679999</v>
      </c>
      <c r="O4" s="146">
        <f t="shared" si="2"/>
        <v>14100.61364424</v>
      </c>
      <c r="P4" s="146">
        <f t="shared" si="2"/>
        <v>14699.375717760002</v>
      </c>
      <c r="Q4" s="146">
        <f t="shared" si="2"/>
        <v>14769.2854278</v>
      </c>
      <c r="R4" s="146">
        <f t="shared" si="2"/>
        <v>15867.949836960001</v>
      </c>
      <c r="S4" s="146">
        <f t="shared" si="2"/>
        <v>16917.820801920003</v>
      </c>
      <c r="T4" s="146">
        <f t="shared" si="2"/>
        <v>17455.5539298</v>
      </c>
      <c r="U4" s="146">
        <f t="shared" si="2"/>
        <v>17778.353713920002</v>
      </c>
      <c r="V4" s="146">
        <f t="shared" si="2"/>
        <v>17368.820928720001</v>
      </c>
      <c r="W4" s="146">
        <f t="shared" ref="W4" si="3">W5+W9+W10+W15</f>
        <v>18412.55361648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8169.6291098400006</v>
      </c>
      <c r="C5" s="101">
        <f t="shared" si="4"/>
        <v>10516.021398360001</v>
      </c>
      <c r="D5" s="101">
        <f t="shared" si="4"/>
        <v>10809.678153960002</v>
      </c>
      <c r="E5" s="101">
        <f t="shared" si="4"/>
        <v>11698.169548680002</v>
      </c>
      <c r="F5" s="101">
        <f t="shared" si="4"/>
        <v>12166.946645399999</v>
      </c>
      <c r="G5" s="101">
        <f t="shared" si="4"/>
        <v>11611.803035519999</v>
      </c>
      <c r="H5" s="101">
        <f t="shared" si="4"/>
        <v>12118.36656312</v>
      </c>
      <c r="I5" s="101">
        <f t="shared" si="4"/>
        <v>12146.574517919998</v>
      </c>
      <c r="J5" s="101">
        <f t="shared" si="4"/>
        <v>13775.693210279998</v>
      </c>
      <c r="K5" s="101">
        <f t="shared" si="4"/>
        <v>14129.050167360001</v>
      </c>
      <c r="L5" s="101">
        <f t="shared" ref="L5" si="5">SUM(L6:L8)</f>
        <v>13373.68933836</v>
      </c>
      <c r="M5" s="101">
        <f t="shared" ref="M5:V5" si="6">SUM(M6:M8)</f>
        <v>13816.155787919997</v>
      </c>
      <c r="N5" s="101">
        <f t="shared" si="6"/>
        <v>14425.614832679999</v>
      </c>
      <c r="O5" s="101">
        <f t="shared" si="6"/>
        <v>14100.61364424</v>
      </c>
      <c r="P5" s="101">
        <f t="shared" si="6"/>
        <v>14699.375717760002</v>
      </c>
      <c r="Q5" s="101">
        <f t="shared" si="6"/>
        <v>14769.2854278</v>
      </c>
      <c r="R5" s="101">
        <f t="shared" si="6"/>
        <v>15867.949836960001</v>
      </c>
      <c r="S5" s="101">
        <f t="shared" si="6"/>
        <v>16917.820801920003</v>
      </c>
      <c r="T5" s="101">
        <f t="shared" si="6"/>
        <v>17455.5539298</v>
      </c>
      <c r="U5" s="101">
        <f t="shared" si="6"/>
        <v>17778.353713920002</v>
      </c>
      <c r="V5" s="101">
        <f t="shared" si="6"/>
        <v>17368.820928720001</v>
      </c>
      <c r="W5" s="101">
        <f t="shared" ref="W5" si="7">SUM(W6:W8)</f>
        <v>18412.55361648</v>
      </c>
      <c r="DA5" s="175"/>
    </row>
    <row r="6" spans="1:105" ht="11.45" customHeight="1" x14ac:dyDescent="0.25">
      <c r="A6" s="128" t="s">
        <v>52</v>
      </c>
      <c r="B6" s="101">
        <v>0</v>
      </c>
      <c r="C6" s="101">
        <v>0</v>
      </c>
      <c r="D6" s="101">
        <v>8.9539657199999994</v>
      </c>
      <c r="E6" s="101">
        <v>20.892359520000003</v>
      </c>
      <c r="F6" s="101">
        <v>244.73968524</v>
      </c>
      <c r="G6" s="101">
        <v>145.79424107999998</v>
      </c>
      <c r="H6" s="101">
        <v>48.602244960000014</v>
      </c>
      <c r="I6" s="101">
        <v>97.196312160000019</v>
      </c>
      <c r="J6" s="101">
        <v>133.64481563999999</v>
      </c>
      <c r="K6" s="101">
        <v>197.45860284</v>
      </c>
      <c r="L6" s="101">
        <v>51.635512440000007</v>
      </c>
      <c r="M6" s="101">
        <v>218.69147520000001</v>
      </c>
      <c r="N6" s="101">
        <v>151.86918096000002</v>
      </c>
      <c r="O6" s="101">
        <v>139.71952836000003</v>
      </c>
      <c r="P6" s="101">
        <v>154.90653732000001</v>
      </c>
      <c r="Q6" s="101">
        <v>167.05596276</v>
      </c>
      <c r="R6" s="101">
        <v>197.42975352000002</v>
      </c>
      <c r="S6" s="101">
        <v>238.08435156000002</v>
      </c>
      <c r="T6" s="101">
        <v>247.59463212000006</v>
      </c>
      <c r="U6" s="101">
        <v>260.55638172000005</v>
      </c>
      <c r="V6" s="101">
        <v>233.74809432000001</v>
      </c>
      <c r="W6" s="101">
        <v>236.06330904000001</v>
      </c>
      <c r="DA6" s="175" t="s">
        <v>740</v>
      </c>
    </row>
    <row r="7" spans="1:105" ht="11.45" customHeight="1" x14ac:dyDescent="0.25">
      <c r="A7" s="128" t="s">
        <v>53</v>
      </c>
      <c r="B7" s="101">
        <v>3788.5259228400009</v>
      </c>
      <c r="C7" s="101">
        <v>4847.5936094400004</v>
      </c>
      <c r="D7" s="101">
        <v>4740.3816771599995</v>
      </c>
      <c r="E7" s="101">
        <v>4820.3597077200002</v>
      </c>
      <c r="F7" s="101">
        <v>4995.1908194399984</v>
      </c>
      <c r="G7" s="101">
        <v>4647.9201674400001</v>
      </c>
      <c r="H7" s="101">
        <v>4349.4782219999997</v>
      </c>
      <c r="I7" s="101">
        <v>4405.4445650399994</v>
      </c>
      <c r="J7" s="101">
        <v>4395.4057353600001</v>
      </c>
      <c r="K7" s="101">
        <v>4353.5737645200006</v>
      </c>
      <c r="L7" s="101">
        <v>4097.7152370000003</v>
      </c>
      <c r="M7" s="101">
        <v>3904.7397127200006</v>
      </c>
      <c r="N7" s="101">
        <v>3862.5261998399997</v>
      </c>
      <c r="O7" s="101">
        <v>3678.5965708800004</v>
      </c>
      <c r="P7" s="101">
        <v>3928.8616844400012</v>
      </c>
      <c r="Q7" s="101">
        <v>3681.6117861599992</v>
      </c>
      <c r="R7" s="101">
        <v>3847.4501234399991</v>
      </c>
      <c r="S7" s="101">
        <v>3867.8647975200001</v>
      </c>
      <c r="T7" s="101">
        <v>3830.8128011999993</v>
      </c>
      <c r="U7" s="101">
        <v>3836.7164959200009</v>
      </c>
      <c r="V7" s="101">
        <v>3581.1476870400011</v>
      </c>
      <c r="W7" s="101">
        <v>3820.13480772</v>
      </c>
      <c r="DA7" s="175" t="s">
        <v>741</v>
      </c>
    </row>
    <row r="8" spans="1:105" ht="11.45" customHeight="1" x14ac:dyDescent="0.25">
      <c r="A8" s="128" t="s">
        <v>54</v>
      </c>
      <c r="B8" s="101">
        <v>4381.1031869999997</v>
      </c>
      <c r="C8" s="101">
        <v>5668.4277889199993</v>
      </c>
      <c r="D8" s="101">
        <v>6060.3425110800008</v>
      </c>
      <c r="E8" s="101">
        <v>6856.9174814400012</v>
      </c>
      <c r="F8" s="101">
        <v>6927.0161407200012</v>
      </c>
      <c r="G8" s="101">
        <v>6818.0886270000001</v>
      </c>
      <c r="H8" s="101">
        <v>7720.2860961599999</v>
      </c>
      <c r="I8" s="101">
        <v>7643.9336407199999</v>
      </c>
      <c r="J8" s="101">
        <v>9246.642659279998</v>
      </c>
      <c r="K8" s="101">
        <v>9578.0178000000014</v>
      </c>
      <c r="L8" s="101">
        <v>9224.3385889199999</v>
      </c>
      <c r="M8" s="101">
        <v>9692.7245999999977</v>
      </c>
      <c r="N8" s="101">
        <v>10411.219451880001</v>
      </c>
      <c r="O8" s="101">
        <v>10282.297544999999</v>
      </c>
      <c r="P8" s="101">
        <v>10615.607496000001</v>
      </c>
      <c r="Q8" s="101">
        <v>10920.61767888</v>
      </c>
      <c r="R8" s="101">
        <v>11823.069960000001</v>
      </c>
      <c r="S8" s="101">
        <v>12811.871652840002</v>
      </c>
      <c r="T8" s="101">
        <v>13377.14649648</v>
      </c>
      <c r="U8" s="101">
        <v>13681.080836280002</v>
      </c>
      <c r="V8" s="101">
        <v>13553.92514736</v>
      </c>
      <c r="W8" s="101">
        <v>14356.355499719999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8169.6291098400015</v>
      </c>
      <c r="C17" s="79">
        <f t="shared" si="12"/>
        <v>10516.021398359999</v>
      </c>
      <c r="D17" s="79">
        <f t="shared" si="12"/>
        <v>10809.67815396</v>
      </c>
      <c r="E17" s="79">
        <f t="shared" si="12"/>
        <v>11698.169548680002</v>
      </c>
      <c r="F17" s="79">
        <f t="shared" si="12"/>
        <v>12166.946645399999</v>
      </c>
      <c r="G17" s="79">
        <f t="shared" si="12"/>
        <v>11611.803035520001</v>
      </c>
      <c r="H17" s="79">
        <f t="shared" si="12"/>
        <v>12118.36656312</v>
      </c>
      <c r="I17" s="79">
        <f t="shared" si="12"/>
        <v>12146.574517919998</v>
      </c>
      <c r="J17" s="79">
        <f t="shared" si="12"/>
        <v>13775.693210279996</v>
      </c>
      <c r="K17" s="79">
        <f t="shared" si="12"/>
        <v>14129.050167360001</v>
      </c>
      <c r="L17" s="79">
        <f t="shared" ref="L17" si="13">SUM(L18,L33)</f>
        <v>13373.68933836</v>
      </c>
      <c r="M17" s="79">
        <f t="shared" ref="M17:V17" si="14">SUM(M18,M33)</f>
        <v>13816.155787919997</v>
      </c>
      <c r="N17" s="79">
        <f t="shared" si="14"/>
        <v>14425.614832679999</v>
      </c>
      <c r="O17" s="79">
        <f t="shared" si="14"/>
        <v>14100.61364424</v>
      </c>
      <c r="P17" s="79">
        <f t="shared" si="14"/>
        <v>14699.375717760002</v>
      </c>
      <c r="Q17" s="79">
        <f t="shared" si="14"/>
        <v>14769.285427800001</v>
      </c>
      <c r="R17" s="79">
        <f t="shared" si="14"/>
        <v>15867.949836959999</v>
      </c>
      <c r="S17" s="79">
        <f t="shared" si="14"/>
        <v>16917.820801919999</v>
      </c>
      <c r="T17" s="79">
        <f t="shared" si="14"/>
        <v>17455.5539298</v>
      </c>
      <c r="U17" s="79">
        <f t="shared" si="14"/>
        <v>17778.353713919998</v>
      </c>
      <c r="V17" s="79">
        <f t="shared" si="14"/>
        <v>17368.820928720001</v>
      </c>
      <c r="W17" s="79">
        <f t="shared" ref="W17" si="15">SUM(W18,W33)</f>
        <v>18412.553616479996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5333.0497183852876</v>
      </c>
      <c r="C18" s="32">
        <f t="shared" si="16"/>
        <v>6862.6976017688548</v>
      </c>
      <c r="D18" s="32">
        <f t="shared" si="16"/>
        <v>6877.4605756338224</v>
      </c>
      <c r="E18" s="32">
        <f t="shared" si="16"/>
        <v>7346.2946724221811</v>
      </c>
      <c r="F18" s="32">
        <f t="shared" si="16"/>
        <v>8040.194403726422</v>
      </c>
      <c r="G18" s="32">
        <f t="shared" si="16"/>
        <v>7853.7447238024979</v>
      </c>
      <c r="H18" s="32">
        <f t="shared" si="16"/>
        <v>7765.047280854591</v>
      </c>
      <c r="I18" s="32">
        <f t="shared" si="16"/>
        <v>8259.2701995896023</v>
      </c>
      <c r="J18" s="32">
        <f t="shared" si="16"/>
        <v>9635.7418686552737</v>
      </c>
      <c r="K18" s="32">
        <f t="shared" si="16"/>
        <v>10054.371222269117</v>
      </c>
      <c r="L18" s="32">
        <f t="shared" ref="L18" si="17">SUM(L19,L20,L27)</f>
        <v>9890.6923396917155</v>
      </c>
      <c r="M18" s="32">
        <f t="shared" ref="M18:V18" si="18">SUM(M19,M20,M27)</f>
        <v>10197.82666031816</v>
      </c>
      <c r="N18" s="32">
        <f t="shared" si="18"/>
        <v>10795.066111796419</v>
      </c>
      <c r="O18" s="32">
        <f t="shared" si="18"/>
        <v>10432.616544413919</v>
      </c>
      <c r="P18" s="32">
        <f t="shared" si="18"/>
        <v>10973.129187945568</v>
      </c>
      <c r="Q18" s="32">
        <f t="shared" si="18"/>
        <v>11072.843221328621</v>
      </c>
      <c r="R18" s="32">
        <f t="shared" si="18"/>
        <v>11854.497159028237</v>
      </c>
      <c r="S18" s="32">
        <f t="shared" si="18"/>
        <v>12540.336416294169</v>
      </c>
      <c r="T18" s="32">
        <f t="shared" si="18"/>
        <v>13022.452007438991</v>
      </c>
      <c r="U18" s="32">
        <f t="shared" si="18"/>
        <v>13175.756226508413</v>
      </c>
      <c r="V18" s="32">
        <f t="shared" si="18"/>
        <v>12827.100658460251</v>
      </c>
      <c r="W18" s="32">
        <f t="shared" ref="W18" si="19">SUM(W19,W20,W27)</f>
        <v>13540.922596485041</v>
      </c>
      <c r="DA18" s="173" t="s">
        <v>402</v>
      </c>
    </row>
    <row r="19" spans="1:105" ht="11.45" customHeight="1" x14ac:dyDescent="0.25">
      <c r="A19" s="136" t="s">
        <v>180</v>
      </c>
      <c r="B19" s="141">
        <v>32.634194884287517</v>
      </c>
      <c r="C19" s="141">
        <v>32.440077781891382</v>
      </c>
      <c r="D19" s="141">
        <v>32.249138946856064</v>
      </c>
      <c r="E19" s="141">
        <v>32.383372954557117</v>
      </c>
      <c r="F19" s="141">
        <v>32.633343154641601</v>
      </c>
      <c r="G19" s="141">
        <v>31.269783344705171</v>
      </c>
      <c r="H19" s="141">
        <v>33.589179236127848</v>
      </c>
      <c r="I19" s="141">
        <v>35.707130768121203</v>
      </c>
      <c r="J19" s="141">
        <v>42.54875912713841</v>
      </c>
      <c r="K19" s="141">
        <v>45.359074524397329</v>
      </c>
      <c r="L19" s="141">
        <v>45.69380378429004</v>
      </c>
      <c r="M19" s="141">
        <v>47.608993096678653</v>
      </c>
      <c r="N19" s="141">
        <v>48.841837993552979</v>
      </c>
      <c r="O19" s="141">
        <v>51.464079334259552</v>
      </c>
      <c r="P19" s="141">
        <v>53.926164741152462</v>
      </c>
      <c r="Q19" s="141">
        <v>55.236081255559384</v>
      </c>
      <c r="R19" s="141">
        <v>58.178937218019961</v>
      </c>
      <c r="S19" s="141">
        <v>54.375294299862375</v>
      </c>
      <c r="T19" s="141">
        <v>51.43117152250128</v>
      </c>
      <c r="U19" s="141">
        <v>53.810227078917293</v>
      </c>
      <c r="V19" s="141">
        <v>48.541359480670749</v>
      </c>
      <c r="W19" s="141">
        <v>44.187822782511532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3776.5968773718569</v>
      </c>
      <c r="C20" s="130">
        <f t="shared" si="20"/>
        <v>5036.4192086995399</v>
      </c>
      <c r="D20" s="130">
        <f t="shared" si="20"/>
        <v>5133.4073167673132</v>
      </c>
      <c r="E20" s="130">
        <f t="shared" si="20"/>
        <v>5390.5330215121194</v>
      </c>
      <c r="F20" s="130">
        <f t="shared" si="20"/>
        <v>5967.300554889589</v>
      </c>
      <c r="G20" s="130">
        <f t="shared" si="20"/>
        <v>5917.3634509326748</v>
      </c>
      <c r="H20" s="130">
        <f t="shared" si="20"/>
        <v>5968.8199398428242</v>
      </c>
      <c r="I20" s="130">
        <f t="shared" si="20"/>
        <v>6306.0418436513828</v>
      </c>
      <c r="J20" s="130">
        <f t="shared" si="20"/>
        <v>6984.4828527566488</v>
      </c>
      <c r="K20" s="130">
        <f t="shared" si="20"/>
        <v>7363.2929957392507</v>
      </c>
      <c r="L20" s="130">
        <f t="shared" ref="L20" si="21">SUM(L21:L26)</f>
        <v>7093.8945003266244</v>
      </c>
      <c r="M20" s="130">
        <f t="shared" ref="M20:V20" si="22">SUM(M21:M26)</f>
        <v>7384.2917260790055</v>
      </c>
      <c r="N20" s="130">
        <f t="shared" si="22"/>
        <v>7861.3364298924571</v>
      </c>
      <c r="O20" s="130">
        <f t="shared" si="22"/>
        <v>7459.3711857891867</v>
      </c>
      <c r="P20" s="130">
        <f t="shared" si="22"/>
        <v>7845.2209628847195</v>
      </c>
      <c r="Q20" s="130">
        <f t="shared" si="22"/>
        <v>7847.0932996812535</v>
      </c>
      <c r="R20" s="130">
        <f t="shared" si="22"/>
        <v>8469.5003623625998</v>
      </c>
      <c r="S20" s="130">
        <f t="shared" si="22"/>
        <v>8989.1623467727168</v>
      </c>
      <c r="T20" s="130">
        <f t="shared" si="22"/>
        <v>9390.7478584660166</v>
      </c>
      <c r="U20" s="130">
        <f t="shared" si="22"/>
        <v>9543.697420707691</v>
      </c>
      <c r="V20" s="130">
        <f t="shared" si="22"/>
        <v>9056.1942644505652</v>
      </c>
      <c r="W20" s="130">
        <f t="shared" ref="W20" si="23">SUM(W21:W26)</f>
        <v>9648.2620646821833</v>
      </c>
      <c r="DA20" s="176" t="s">
        <v>404</v>
      </c>
    </row>
    <row r="21" spans="1:105" ht="11.45" customHeight="1" x14ac:dyDescent="0.25">
      <c r="A21" s="111" t="s">
        <v>110</v>
      </c>
      <c r="B21" s="96">
        <v>3264.4593906030677</v>
      </c>
      <c r="C21" s="96">
        <v>4327.1950035482814</v>
      </c>
      <c r="D21" s="96">
        <v>4230.1587065813219</v>
      </c>
      <c r="E21" s="96">
        <v>4316.0769982790061</v>
      </c>
      <c r="F21" s="96">
        <v>4494.3840243153963</v>
      </c>
      <c r="G21" s="96">
        <v>4157.5054175543719</v>
      </c>
      <c r="H21" s="96">
        <v>3841.1255884281322</v>
      </c>
      <c r="I21" s="96">
        <v>3896.15330973143</v>
      </c>
      <c r="J21" s="96">
        <v>3889.1638479163234</v>
      </c>
      <c r="K21" s="96">
        <v>3863.521078151749</v>
      </c>
      <c r="L21" s="96">
        <v>3648.0942973042788</v>
      </c>
      <c r="M21" s="96">
        <v>3473.9485757532075</v>
      </c>
      <c r="N21" s="96">
        <v>3451.3908962024789</v>
      </c>
      <c r="O21" s="96">
        <v>3293.1670995121672</v>
      </c>
      <c r="P21" s="96">
        <v>3566.6227470473232</v>
      </c>
      <c r="Q21" s="96">
        <v>3363.8679304798634</v>
      </c>
      <c r="R21" s="96">
        <v>3519.1052096426956</v>
      </c>
      <c r="S21" s="96">
        <v>3546.2885285466991</v>
      </c>
      <c r="T21" s="96">
        <v>3514.614613354242</v>
      </c>
      <c r="U21" s="96">
        <v>3531.0659448181013</v>
      </c>
      <c r="V21" s="96">
        <v>3288.4328784264194</v>
      </c>
      <c r="W21" s="96">
        <v>3541.0233699965438</v>
      </c>
      <c r="DA21" s="171" t="s">
        <v>750</v>
      </c>
    </row>
    <row r="22" spans="1:105" ht="11.45" customHeight="1" x14ac:dyDescent="0.25">
      <c r="A22" s="111" t="s">
        <v>111</v>
      </c>
      <c r="B22" s="96">
        <v>512.13748676878936</v>
      </c>
      <c r="C22" s="96">
        <v>709.22420515125862</v>
      </c>
      <c r="D22" s="96">
        <v>894.29464446599127</v>
      </c>
      <c r="E22" s="96">
        <v>1053.5636637131131</v>
      </c>
      <c r="F22" s="96">
        <v>1228.1768453341931</v>
      </c>
      <c r="G22" s="96">
        <v>1614.0637922983033</v>
      </c>
      <c r="H22" s="96">
        <v>2079.0921064546915</v>
      </c>
      <c r="I22" s="96">
        <v>2312.6922217599526</v>
      </c>
      <c r="J22" s="96">
        <v>2962.5875070897309</v>
      </c>
      <c r="K22" s="96">
        <v>3303.3667245045949</v>
      </c>
      <c r="L22" s="96">
        <v>3396.446891366912</v>
      </c>
      <c r="M22" s="96">
        <v>3694.5101177597694</v>
      </c>
      <c r="N22" s="96">
        <v>4260.8595082329593</v>
      </c>
      <c r="O22" s="96">
        <v>4029.4083497725237</v>
      </c>
      <c r="P22" s="96">
        <v>4126.6263130296629</v>
      </c>
      <c r="Q22" s="96">
        <v>4318.8966902710581</v>
      </c>
      <c r="R22" s="96">
        <v>4755.5439782911635</v>
      </c>
      <c r="S22" s="96">
        <v>5207.2212237775602</v>
      </c>
      <c r="T22" s="96">
        <v>5629.9028037854341</v>
      </c>
      <c r="U22" s="96">
        <v>5753.2392323519252</v>
      </c>
      <c r="V22" s="96">
        <v>5534.7698458243676</v>
      </c>
      <c r="W22" s="96">
        <v>5870.92077098553</v>
      </c>
      <c r="DA22" s="171" t="s">
        <v>751</v>
      </c>
    </row>
    <row r="23" spans="1:105" ht="11.45" customHeight="1" x14ac:dyDescent="0.25">
      <c r="A23" s="111" t="s">
        <v>112</v>
      </c>
      <c r="B23" s="96">
        <v>0</v>
      </c>
      <c r="C23" s="96">
        <v>0</v>
      </c>
      <c r="D23" s="96">
        <v>8.9539657199999994</v>
      </c>
      <c r="E23" s="96">
        <v>20.892359520000003</v>
      </c>
      <c r="F23" s="96">
        <v>244.73968524</v>
      </c>
      <c r="G23" s="96">
        <v>145.79424107999998</v>
      </c>
      <c r="H23" s="96">
        <v>48.602244960000014</v>
      </c>
      <c r="I23" s="96">
        <v>97.196312160000019</v>
      </c>
      <c r="J23" s="96">
        <v>132.73149775059485</v>
      </c>
      <c r="K23" s="96">
        <v>196.40519308290752</v>
      </c>
      <c r="L23" s="96">
        <v>49.353311655433409</v>
      </c>
      <c r="M23" s="96">
        <v>215.83303256602818</v>
      </c>
      <c r="N23" s="96">
        <v>148.95013807908643</v>
      </c>
      <c r="O23" s="96">
        <v>136.67166831093309</v>
      </c>
      <c r="P23" s="96">
        <v>151.83241378102318</v>
      </c>
      <c r="Q23" s="96">
        <v>164.17604471528941</v>
      </c>
      <c r="R23" s="96">
        <v>194.77630487006411</v>
      </c>
      <c r="S23" s="96">
        <v>235.48189624037667</v>
      </c>
      <c r="T23" s="96">
        <v>245.95153522562549</v>
      </c>
      <c r="U23" s="96">
        <v>258.99621703859759</v>
      </c>
      <c r="V23" s="96">
        <v>232.19269698154272</v>
      </c>
      <c r="W23" s="96">
        <v>234.48620390455378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0.13588737793285666</v>
      </c>
      <c r="O25" s="96">
        <v>0.12406819356255278</v>
      </c>
      <c r="P25" s="96">
        <v>0.13948902671005686</v>
      </c>
      <c r="Q25" s="96">
        <v>0.15263421504249353</v>
      </c>
      <c r="R25" s="96">
        <v>7.4869558676729564E-2</v>
      </c>
      <c r="S25" s="96">
        <v>0.17069820808176844</v>
      </c>
      <c r="T25" s="96">
        <v>0.27890610071575034</v>
      </c>
      <c r="U25" s="96">
        <v>0.39602649906658349</v>
      </c>
      <c r="V25" s="96">
        <v>0.79884321823597393</v>
      </c>
      <c r="W25" s="96">
        <v>1.8317197955574434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1523.818646129143</v>
      </c>
      <c r="C27" s="130">
        <f t="shared" si="24"/>
        <v>1793.8383152874242</v>
      </c>
      <c r="D27" s="130">
        <f t="shared" si="24"/>
        <v>1711.804119919653</v>
      </c>
      <c r="E27" s="130">
        <f t="shared" si="24"/>
        <v>1923.3782779555047</v>
      </c>
      <c r="F27" s="130">
        <f t="shared" si="24"/>
        <v>2040.260505682191</v>
      </c>
      <c r="G27" s="130">
        <f t="shared" si="24"/>
        <v>1905.1114895251171</v>
      </c>
      <c r="H27" s="130">
        <f t="shared" si="24"/>
        <v>1762.638161775639</v>
      </c>
      <c r="I27" s="130">
        <f t="shared" si="24"/>
        <v>1917.5212251700989</v>
      </c>
      <c r="J27" s="130">
        <f t="shared" si="24"/>
        <v>2608.7102567714869</v>
      </c>
      <c r="K27" s="130">
        <f t="shared" si="24"/>
        <v>2645.7191520054685</v>
      </c>
      <c r="L27" s="130">
        <f t="shared" ref="L27" si="25">SUM(L28:L32)</f>
        <v>2751.1040355808013</v>
      </c>
      <c r="M27" s="130">
        <f t="shared" ref="M27:V27" si="26">SUM(M28:M32)</f>
        <v>2765.9259411424759</v>
      </c>
      <c r="N27" s="130">
        <f t="shared" si="26"/>
        <v>2884.8878439104087</v>
      </c>
      <c r="O27" s="130">
        <f t="shared" si="26"/>
        <v>2921.7812792904733</v>
      </c>
      <c r="P27" s="130">
        <f t="shared" si="26"/>
        <v>3073.9820603196968</v>
      </c>
      <c r="Q27" s="130">
        <f t="shared" si="26"/>
        <v>3170.5138403918086</v>
      </c>
      <c r="R27" s="130">
        <f t="shared" si="26"/>
        <v>3326.8178594476185</v>
      </c>
      <c r="S27" s="130">
        <f t="shared" si="26"/>
        <v>3496.7987752215909</v>
      </c>
      <c r="T27" s="130">
        <f t="shared" si="26"/>
        <v>3580.2729774504737</v>
      </c>
      <c r="U27" s="130">
        <f t="shared" si="26"/>
        <v>3578.2485787218056</v>
      </c>
      <c r="V27" s="130">
        <f t="shared" si="26"/>
        <v>3722.3650345290148</v>
      </c>
      <c r="W27" s="130">
        <f t="shared" ref="W27" si="27">SUM(W28:W32)</f>
        <v>3848.4727090203478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2.6460033352811494</v>
      </c>
      <c r="K28" s="97">
        <v>2.6555238684164477</v>
      </c>
      <c r="L28" s="97">
        <v>2.5915586440255174</v>
      </c>
      <c r="M28" s="97">
        <v>2.6229600868529368</v>
      </c>
      <c r="N28" s="97">
        <v>2.5352398802712743</v>
      </c>
      <c r="O28" s="97">
        <v>2.4773257670647864</v>
      </c>
      <c r="P28" s="97">
        <v>2.454511561359741</v>
      </c>
      <c r="Q28" s="97">
        <v>2.1946272601131951</v>
      </c>
      <c r="R28" s="97">
        <v>2.1237201269532369</v>
      </c>
      <c r="S28" s="97">
        <v>2.0309286649735987</v>
      </c>
      <c r="T28" s="97">
        <v>1.9230784190033103</v>
      </c>
      <c r="U28" s="97">
        <v>1.8507502964896985</v>
      </c>
      <c r="V28" s="97">
        <v>1.9078449205301411</v>
      </c>
      <c r="W28" s="97">
        <v>1.9165121634138595</v>
      </c>
      <c r="DA28" s="175" t="s">
        <v>756</v>
      </c>
    </row>
    <row r="29" spans="1:105" ht="11.45" customHeight="1" x14ac:dyDescent="0.25">
      <c r="A29" s="111" t="s">
        <v>111</v>
      </c>
      <c r="B29" s="97">
        <v>1523.818646129143</v>
      </c>
      <c r="C29" s="97">
        <v>1793.8383152874242</v>
      </c>
      <c r="D29" s="97">
        <v>1711.804119919653</v>
      </c>
      <c r="E29" s="97">
        <v>1923.3782779555047</v>
      </c>
      <c r="F29" s="97">
        <v>2040.260505682191</v>
      </c>
      <c r="G29" s="97">
        <v>1905.1114895251171</v>
      </c>
      <c r="H29" s="97">
        <v>1762.638161775639</v>
      </c>
      <c r="I29" s="97">
        <v>1917.5212251700989</v>
      </c>
      <c r="J29" s="97">
        <v>2605.1595842327561</v>
      </c>
      <c r="K29" s="97">
        <v>2642.0188335298185</v>
      </c>
      <c r="L29" s="97">
        <v>2746.2388499636336</v>
      </c>
      <c r="M29" s="97">
        <v>2760.4610761718054</v>
      </c>
      <c r="N29" s="97">
        <v>2879.4729682347793</v>
      </c>
      <c r="O29" s="97">
        <v>2916.2954009671253</v>
      </c>
      <c r="P29" s="97">
        <v>3068.4969297072084</v>
      </c>
      <c r="Q29" s="97">
        <v>3165.4742407415797</v>
      </c>
      <c r="R29" s="97">
        <v>3322.0803443626264</v>
      </c>
      <c r="S29" s="97">
        <v>3492.2053683119111</v>
      </c>
      <c r="T29" s="97">
        <v>3576.7433040462643</v>
      </c>
      <c r="U29" s="97">
        <v>3574.8740827109932</v>
      </c>
      <c r="V29" s="97">
        <v>3718.9343057250148</v>
      </c>
      <c r="W29" s="97">
        <v>3845.0231411657596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0.90466920344982127</v>
      </c>
      <c r="K30" s="97">
        <v>1.0447946072337893</v>
      </c>
      <c r="L30" s="97">
        <v>2.2736269731422172</v>
      </c>
      <c r="M30" s="97">
        <v>2.8419048838177274</v>
      </c>
      <c r="N30" s="97">
        <v>2.8796357953584057</v>
      </c>
      <c r="O30" s="97">
        <v>3.008552556283338</v>
      </c>
      <c r="P30" s="97">
        <v>3.0306190511288542</v>
      </c>
      <c r="Q30" s="97">
        <v>2.8449723901156108</v>
      </c>
      <c r="R30" s="97">
        <v>2.6137949580388051</v>
      </c>
      <c r="S30" s="97">
        <v>2.5624782447061349</v>
      </c>
      <c r="T30" s="97">
        <v>1.6065949852063448</v>
      </c>
      <c r="U30" s="97">
        <v>1.5237457143224036</v>
      </c>
      <c r="V30" s="97">
        <v>1.5228838834695173</v>
      </c>
      <c r="W30" s="97">
        <v>1.5330556911743773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2836.5793914547135</v>
      </c>
      <c r="C33" s="32">
        <f t="shared" si="28"/>
        <v>3653.3237965911435</v>
      </c>
      <c r="D33" s="32">
        <f t="shared" si="28"/>
        <v>3932.2175783261773</v>
      </c>
      <c r="E33" s="32">
        <f t="shared" si="28"/>
        <v>4351.8748762578198</v>
      </c>
      <c r="F33" s="32">
        <f t="shared" si="28"/>
        <v>4126.7522416735783</v>
      </c>
      <c r="G33" s="32">
        <f t="shared" si="28"/>
        <v>3758.0583117175029</v>
      </c>
      <c r="H33" s="32">
        <f t="shared" si="28"/>
        <v>4353.3192822654091</v>
      </c>
      <c r="I33" s="32">
        <f t="shared" si="28"/>
        <v>3887.3043183303962</v>
      </c>
      <c r="J33" s="32">
        <f t="shared" si="28"/>
        <v>4139.9513416247228</v>
      </c>
      <c r="K33" s="32">
        <f t="shared" si="28"/>
        <v>4074.6789450908836</v>
      </c>
      <c r="L33" s="32">
        <f t="shared" ref="L33" si="29">L34+L40</f>
        <v>3482.996998668285</v>
      </c>
      <c r="M33" s="32">
        <f t="shared" ref="M33:V33" si="30">M34+M40</f>
        <v>3618.3291276018381</v>
      </c>
      <c r="N33" s="32">
        <f t="shared" si="30"/>
        <v>3630.5487208835793</v>
      </c>
      <c r="O33" s="32">
        <f t="shared" si="30"/>
        <v>3667.997099826081</v>
      </c>
      <c r="P33" s="32">
        <f t="shared" si="30"/>
        <v>3726.2465298144339</v>
      </c>
      <c r="Q33" s="32">
        <f t="shared" si="30"/>
        <v>3696.4422064713794</v>
      </c>
      <c r="R33" s="32">
        <f t="shared" si="30"/>
        <v>4013.4526779317621</v>
      </c>
      <c r="S33" s="32">
        <f t="shared" si="30"/>
        <v>4377.4843856258294</v>
      </c>
      <c r="T33" s="32">
        <f t="shared" si="30"/>
        <v>4433.1019223610074</v>
      </c>
      <c r="U33" s="32">
        <f t="shared" si="30"/>
        <v>4602.5974874115873</v>
      </c>
      <c r="V33" s="32">
        <f t="shared" si="30"/>
        <v>4541.7202702597478</v>
      </c>
      <c r="W33" s="32">
        <f t="shared" ref="W33" si="31">W34+W40</f>
        <v>4871.6310199949558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1240.446433254725</v>
      </c>
      <c r="C34" s="141">
        <f t="shared" si="32"/>
        <v>1302.1907149567533</v>
      </c>
      <c r="D34" s="141">
        <f t="shared" si="32"/>
        <v>1330.1946492016421</v>
      </c>
      <c r="E34" s="141">
        <f t="shared" si="32"/>
        <v>1375.9799943621683</v>
      </c>
      <c r="F34" s="141">
        <f t="shared" si="32"/>
        <v>1390.2135933481272</v>
      </c>
      <c r="G34" s="141">
        <f t="shared" si="32"/>
        <v>1457.7162309887849</v>
      </c>
      <c r="H34" s="141">
        <f t="shared" si="32"/>
        <v>1614.6657174986397</v>
      </c>
      <c r="I34" s="141">
        <f t="shared" si="32"/>
        <v>1636.899922525464</v>
      </c>
      <c r="J34" s="141">
        <f t="shared" si="32"/>
        <v>1846.8652226979782</v>
      </c>
      <c r="K34" s="141">
        <f t="shared" si="32"/>
        <v>1872.3076018867525</v>
      </c>
      <c r="L34" s="141">
        <f t="shared" ref="L34" si="33">SUM(L35:L39)</f>
        <v>1883.8683951301191</v>
      </c>
      <c r="M34" s="141">
        <f t="shared" ref="M34:V34" si="34">SUM(M35:M39)</f>
        <v>1961.5158957868473</v>
      </c>
      <c r="N34" s="141">
        <f t="shared" si="34"/>
        <v>2104.505390488629</v>
      </c>
      <c r="O34" s="141">
        <f t="shared" si="34"/>
        <v>2154.2389766033498</v>
      </c>
      <c r="P34" s="141">
        <f t="shared" si="34"/>
        <v>2321.8294907627924</v>
      </c>
      <c r="Q34" s="141">
        <f t="shared" si="34"/>
        <v>2403.1722628876473</v>
      </c>
      <c r="R34" s="141">
        <f t="shared" si="34"/>
        <v>2478.9056365294946</v>
      </c>
      <c r="S34" s="141">
        <f t="shared" si="34"/>
        <v>2621.4193730938218</v>
      </c>
      <c r="T34" s="141">
        <f t="shared" si="34"/>
        <v>2790.2472487554542</v>
      </c>
      <c r="U34" s="141">
        <f t="shared" si="34"/>
        <v>2851.4465649779108</v>
      </c>
      <c r="V34" s="141">
        <f t="shared" si="34"/>
        <v>2900.9759855201273</v>
      </c>
      <c r="W34" s="141">
        <f t="shared" ref="W34" si="35">SUM(W35:W39)</f>
        <v>3042.3664971677003</v>
      </c>
      <c r="DA34" s="174" t="s">
        <v>411</v>
      </c>
    </row>
    <row r="35" spans="1:105" ht="11.45" customHeight="1" x14ac:dyDescent="0.25">
      <c r="A35" s="111" t="s">
        <v>110</v>
      </c>
      <c r="B35" s="96">
        <v>491.43233735264636</v>
      </c>
      <c r="C35" s="96">
        <v>487.95852810982751</v>
      </c>
      <c r="D35" s="96">
        <v>477.97383163182093</v>
      </c>
      <c r="E35" s="96">
        <v>471.89933648643677</v>
      </c>
      <c r="F35" s="96">
        <v>468.17345196996081</v>
      </c>
      <c r="G35" s="96">
        <v>459.14496654092358</v>
      </c>
      <c r="H35" s="96">
        <v>474.76345433573994</v>
      </c>
      <c r="I35" s="96">
        <v>473.58412454044833</v>
      </c>
      <c r="J35" s="96">
        <v>461.0471249812573</v>
      </c>
      <c r="K35" s="96">
        <v>442.03808797543803</v>
      </c>
      <c r="L35" s="96">
        <v>401.33557726740662</v>
      </c>
      <c r="M35" s="96">
        <v>380.55918378326203</v>
      </c>
      <c r="N35" s="96">
        <v>359.62233838576338</v>
      </c>
      <c r="O35" s="96">
        <v>331.36399807294561</v>
      </c>
      <c r="P35" s="96">
        <v>305.7187720634555</v>
      </c>
      <c r="Q35" s="96">
        <v>260.16051294942139</v>
      </c>
      <c r="R35" s="96">
        <v>267.96738689365407</v>
      </c>
      <c r="S35" s="96">
        <v>264.99934780038251</v>
      </c>
      <c r="T35" s="96">
        <v>262.56503180353758</v>
      </c>
      <c r="U35" s="96">
        <v>249.59354722742552</v>
      </c>
      <c r="V35" s="96">
        <v>241.46676099414486</v>
      </c>
      <c r="W35" s="96">
        <v>231.17538298197309</v>
      </c>
      <c r="DA35" s="171" t="s">
        <v>761</v>
      </c>
    </row>
    <row r="36" spans="1:105" ht="11.45" customHeight="1" x14ac:dyDescent="0.25">
      <c r="A36" s="111" t="s">
        <v>111</v>
      </c>
      <c r="B36" s="96">
        <v>749.01409590207868</v>
      </c>
      <c r="C36" s="96">
        <v>814.23218684692574</v>
      </c>
      <c r="D36" s="96">
        <v>852.22081756982118</v>
      </c>
      <c r="E36" s="96">
        <v>904.08065787573162</v>
      </c>
      <c r="F36" s="96">
        <v>922.04014137816637</v>
      </c>
      <c r="G36" s="96">
        <v>998.57126444786127</v>
      </c>
      <c r="H36" s="96">
        <v>1139.9022631628998</v>
      </c>
      <c r="I36" s="96">
        <v>1163.3157979850157</v>
      </c>
      <c r="J36" s="96">
        <v>1385.8094490307658</v>
      </c>
      <c r="K36" s="96">
        <v>1430.2608987614558</v>
      </c>
      <c r="L36" s="96">
        <v>1482.5242440512882</v>
      </c>
      <c r="M36" s="96">
        <v>1580.9401742534312</v>
      </c>
      <c r="N36" s="96">
        <v>1744.8436450173108</v>
      </c>
      <c r="O36" s="96">
        <v>1822.8356710376202</v>
      </c>
      <c r="P36" s="96">
        <v>2016.0672142114886</v>
      </c>
      <c r="Q36" s="96">
        <v>2142.9768042836308</v>
      </c>
      <c r="R36" s="96">
        <v>2210.8985959439433</v>
      </c>
      <c r="S36" s="96">
        <v>2356.380048218522</v>
      </c>
      <c r="T36" s="96">
        <v>2527.6457150427482</v>
      </c>
      <c r="U36" s="96">
        <v>2601.8165987834054</v>
      </c>
      <c r="V36" s="96">
        <v>2659.476711070995</v>
      </c>
      <c r="W36" s="96">
        <v>2811.1470647414553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8.6486859553241233E-3</v>
      </c>
      <c r="K37" s="96">
        <v>8.6151498586980891E-3</v>
      </c>
      <c r="L37" s="96">
        <v>8.5738114243810344E-3</v>
      </c>
      <c r="M37" s="96">
        <v>1.6537750154090414E-2</v>
      </c>
      <c r="N37" s="96">
        <v>3.9407085555168697E-2</v>
      </c>
      <c r="O37" s="96">
        <v>3.9307492783627697E-2</v>
      </c>
      <c r="P37" s="96">
        <v>4.3504487847968842E-2</v>
      </c>
      <c r="Q37" s="96">
        <v>3.4945654594976963E-2</v>
      </c>
      <c r="R37" s="96">
        <v>3.9653691897132345E-2</v>
      </c>
      <c r="S37" s="96">
        <v>3.9977074917190235E-2</v>
      </c>
      <c r="T37" s="96">
        <v>3.6501909168240546E-2</v>
      </c>
      <c r="U37" s="96">
        <v>3.6418967080032096E-2</v>
      </c>
      <c r="V37" s="96">
        <v>3.2513454987742378E-2</v>
      </c>
      <c r="W37" s="96">
        <v>4.4049444271896325E-2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1596.1329581999885</v>
      </c>
      <c r="C40" s="130">
        <f t="shared" si="36"/>
        <v>2351.1330816343902</v>
      </c>
      <c r="D40" s="130">
        <f t="shared" si="36"/>
        <v>2602.0229291245355</v>
      </c>
      <c r="E40" s="130">
        <f t="shared" si="36"/>
        <v>2975.8948818956515</v>
      </c>
      <c r="F40" s="130">
        <f t="shared" si="36"/>
        <v>2736.538648325451</v>
      </c>
      <c r="G40" s="130">
        <f t="shared" si="36"/>
        <v>2300.342080728718</v>
      </c>
      <c r="H40" s="130">
        <f t="shared" si="36"/>
        <v>2738.6535647667697</v>
      </c>
      <c r="I40" s="130">
        <f t="shared" si="36"/>
        <v>2250.4043958049324</v>
      </c>
      <c r="J40" s="130">
        <f t="shared" si="36"/>
        <v>2293.0861189267448</v>
      </c>
      <c r="K40" s="130">
        <f t="shared" si="36"/>
        <v>2202.3713432041313</v>
      </c>
      <c r="L40" s="130">
        <f t="shared" ref="L40" si="37">SUM(L41:L42)</f>
        <v>1599.1286035381659</v>
      </c>
      <c r="M40" s="130">
        <f t="shared" ref="M40:V40" si="38">SUM(M41:M42)</f>
        <v>1656.813231814991</v>
      </c>
      <c r="N40" s="130">
        <f t="shared" si="38"/>
        <v>1526.0433303949503</v>
      </c>
      <c r="O40" s="130">
        <f t="shared" si="38"/>
        <v>1513.7581232227312</v>
      </c>
      <c r="P40" s="130">
        <f t="shared" si="38"/>
        <v>1404.4170390516415</v>
      </c>
      <c r="Q40" s="130">
        <f t="shared" si="38"/>
        <v>1293.2699435837321</v>
      </c>
      <c r="R40" s="130">
        <f t="shared" si="38"/>
        <v>1534.5470414022675</v>
      </c>
      <c r="S40" s="130">
        <f t="shared" si="38"/>
        <v>1756.0650125320078</v>
      </c>
      <c r="T40" s="130">
        <f t="shared" si="38"/>
        <v>1642.8546736055534</v>
      </c>
      <c r="U40" s="130">
        <f t="shared" si="38"/>
        <v>1751.150922433676</v>
      </c>
      <c r="V40" s="130">
        <f t="shared" si="38"/>
        <v>1640.7442847396208</v>
      </c>
      <c r="W40" s="130">
        <f t="shared" ref="W40" si="39">SUM(W41:W42)</f>
        <v>1829.2645228272554</v>
      </c>
      <c r="DA40" s="176" t="s">
        <v>412</v>
      </c>
    </row>
    <row r="41" spans="1:105" ht="11.45" customHeight="1" x14ac:dyDescent="0.25">
      <c r="A41" s="128" t="s">
        <v>27</v>
      </c>
      <c r="B41" s="97">
        <v>817.76590930787472</v>
      </c>
      <c r="C41" s="97">
        <v>1007.2986158659161</v>
      </c>
      <c r="D41" s="97">
        <v>1068.6573778839099</v>
      </c>
      <c r="E41" s="97">
        <v>1328.3327514867269</v>
      </c>
      <c r="F41" s="97">
        <v>1299.39984411469</v>
      </c>
      <c r="G41" s="97">
        <v>1487.3269678191109</v>
      </c>
      <c r="H41" s="97">
        <v>1861.8542925103736</v>
      </c>
      <c r="I41" s="97">
        <v>1699.8626942229639</v>
      </c>
      <c r="J41" s="97">
        <v>1728.3070848916971</v>
      </c>
      <c r="K41" s="97">
        <v>1666.8983204551826</v>
      </c>
      <c r="L41" s="97">
        <v>1034.6478980064526</v>
      </c>
      <c r="M41" s="97">
        <v>1035.9592355563625</v>
      </c>
      <c r="N41" s="97">
        <v>1021.0138448130973</v>
      </c>
      <c r="O41" s="97">
        <v>1008.8342199023186</v>
      </c>
      <c r="P41" s="97">
        <v>962.37674104661767</v>
      </c>
      <c r="Q41" s="97">
        <v>921.23111536440786</v>
      </c>
      <c r="R41" s="97">
        <v>1020.5116943439307</v>
      </c>
      <c r="S41" s="97">
        <v>1082.4847646399962</v>
      </c>
      <c r="T41" s="97">
        <v>1102.8619845992075</v>
      </c>
      <c r="U41" s="97">
        <v>1218.8211942661162</v>
      </c>
      <c r="V41" s="97">
        <v>1190.2899264167297</v>
      </c>
      <c r="W41" s="97">
        <v>1313.90038316659</v>
      </c>
      <c r="DA41" s="175" t="s">
        <v>766</v>
      </c>
    </row>
    <row r="42" spans="1:105" ht="11.45" customHeight="1" x14ac:dyDescent="0.25">
      <c r="A42" s="138" t="s">
        <v>116</v>
      </c>
      <c r="B42" s="98">
        <v>778.36704889211387</v>
      </c>
      <c r="C42" s="98">
        <v>1343.8344657684743</v>
      </c>
      <c r="D42" s="98">
        <v>1533.3655512406256</v>
      </c>
      <c r="E42" s="98">
        <v>1647.5621304089243</v>
      </c>
      <c r="F42" s="98">
        <v>1437.138804210761</v>
      </c>
      <c r="G42" s="98">
        <v>813.01511290960707</v>
      </c>
      <c r="H42" s="98">
        <v>876.79927225639597</v>
      </c>
      <c r="I42" s="98">
        <v>550.54170158196837</v>
      </c>
      <c r="J42" s="98">
        <v>564.77903403504786</v>
      </c>
      <c r="K42" s="98">
        <v>535.47302274894878</v>
      </c>
      <c r="L42" s="98">
        <v>564.48070553171328</v>
      </c>
      <c r="M42" s="98">
        <v>620.85399625862863</v>
      </c>
      <c r="N42" s="98">
        <v>505.02948558185307</v>
      </c>
      <c r="O42" s="98">
        <v>504.92390332041248</v>
      </c>
      <c r="P42" s="98">
        <v>442.04029800502377</v>
      </c>
      <c r="Q42" s="98">
        <v>372.03882821932427</v>
      </c>
      <c r="R42" s="98">
        <v>514.03534705833692</v>
      </c>
      <c r="S42" s="98">
        <v>673.58024789201158</v>
      </c>
      <c r="T42" s="98">
        <v>539.99268900634593</v>
      </c>
      <c r="U42" s="98">
        <v>532.32972816755967</v>
      </c>
      <c r="V42" s="98">
        <v>450.45435832289098</v>
      </c>
      <c r="W42" s="98">
        <v>515.36413966066527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3.0060045100273838</v>
      </c>
      <c r="C47" s="145">
        <f>IF(C4=0,0,C4/TrRoad_ene!C4)</f>
        <v>3.0064608920086515</v>
      </c>
      <c r="D47" s="145">
        <f>IF(D4=0,0,D4/TrRoad_ene!D4)</f>
        <v>3.0106721799627287</v>
      </c>
      <c r="E47" s="145">
        <f>IF(E4=0,0,E4/TrRoad_ene!E4)</f>
        <v>3.0155999577338206</v>
      </c>
      <c r="F47" s="145">
        <f>IF(F4=0,0,F4/TrRoad_ene!F4)</f>
        <v>3.0065017150359625</v>
      </c>
      <c r="G47" s="145">
        <f>IF(G4=0,0,G4/TrRoad_ene!G4)</f>
        <v>3.0127061300399025</v>
      </c>
      <c r="H47" s="145">
        <f>IF(H4=0,0,H4/TrRoad_ene!H4)</f>
        <v>3.0252810704774311</v>
      </c>
      <c r="I47" s="145">
        <f>IF(I4=0,0,I4/TrRoad_ene!I4)</f>
        <v>2.9923639756052136</v>
      </c>
      <c r="J47" s="145">
        <f>IF(J4=0,0,J4/TrRoad_ene!J4)</f>
        <v>2.9606971738048693</v>
      </c>
      <c r="K47" s="145">
        <f>IF(K4=0,0,K4/TrRoad_ene!K4)</f>
        <v>2.9281170425136347</v>
      </c>
      <c r="L47" s="145">
        <f>IF(L4=0,0,L4/TrRoad_ene!L4)</f>
        <v>2.9579758146493269</v>
      </c>
      <c r="M47" s="145">
        <f>IF(M4=0,0,M4/TrRoad_ene!M4)</f>
        <v>2.9093532771894122</v>
      </c>
      <c r="N47" s="145">
        <f>IF(N4=0,0,N4/TrRoad_ene!N4)</f>
        <v>2.9247310571906002</v>
      </c>
      <c r="O47" s="145">
        <f>IF(O4=0,0,O4/TrRoad_ene!O4)</f>
        <v>2.9141628078149848</v>
      </c>
      <c r="P47" s="145">
        <f>IF(P4=0,0,P4/TrRoad_ene!P4)</f>
        <v>2.9390863109013989</v>
      </c>
      <c r="Q47" s="145">
        <f>IF(Q4=0,0,Q4/TrRoad_ene!Q4)</f>
        <v>2.9217637146076152</v>
      </c>
      <c r="R47" s="145">
        <f>IF(R4=0,0,R4/TrRoad_ene!R4)</f>
        <v>2.9013363768724534</v>
      </c>
      <c r="S47" s="145">
        <f>IF(S4=0,0,S4/TrRoad_ene!S4)</f>
        <v>2.8917047106601217</v>
      </c>
      <c r="T47" s="145">
        <f>IF(T4=0,0,T4/TrRoad_ene!T4)</f>
        <v>2.8977956643796068</v>
      </c>
      <c r="U47" s="145">
        <f>IF(U4=0,0,U4/TrRoad_ene!U4)</f>
        <v>2.8468738134482927</v>
      </c>
      <c r="V47" s="145">
        <f>IF(V4=0,0,V4/TrRoad_ene!V4)</f>
        <v>2.8107208422522563</v>
      </c>
      <c r="W47" s="145">
        <f>IF(W4=0,0,W4/TrRoad_ene!W4)</f>
        <v>2.817234934301263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2.901626838683848</v>
      </c>
      <c r="C48" s="97">
        <f>IF(C7=0,0,(C7+C12)/(TrRoad_ene!C7+TrRoad_ene!C12))</f>
        <v>2.9015205645866513</v>
      </c>
      <c r="D48" s="97">
        <f>IF(D7=0,0,(D7+D12)/(TrRoad_ene!D7+TrRoad_ene!D12))</f>
        <v>2.9017312395023103</v>
      </c>
      <c r="E48" s="97">
        <f>IF(E7=0,0,(E7+E12)/(TrRoad_ene!E7+TrRoad_ene!E12))</f>
        <v>2.9018637355793908</v>
      </c>
      <c r="F48" s="97">
        <f>IF(F7=0,0,(F7+F12)/(TrRoad_ene!F7+TrRoad_ene!F12))</f>
        <v>2.9017170143531876</v>
      </c>
      <c r="G48" s="97">
        <f>IF(G7=0,0,(G7+G12)/(TrRoad_ene!G7+TrRoad_ene!G12))</f>
        <v>2.9015919423504273</v>
      </c>
      <c r="H48" s="97">
        <f>IF(H7=0,0,(H7+H12)/(TrRoad_ene!H7+TrRoad_ene!H12))</f>
        <v>2.9017506568154996</v>
      </c>
      <c r="I48" s="97">
        <f>IF(I7=0,0,(I7+I12)/(TrRoad_ene!I7+TrRoad_ene!I12))</f>
        <v>2.9019365280705989</v>
      </c>
      <c r="J48" s="97">
        <f>IF(J7=0,0,(J7+J12)/(TrRoad_ene!J7+TrRoad_ene!J12))</f>
        <v>2.9018636652561582</v>
      </c>
      <c r="K48" s="97">
        <f>IF(K7=0,0,(K7+K12)/(TrRoad_ene!K7+TrRoad_ene!K12))</f>
        <v>2.8967383118034449</v>
      </c>
      <c r="L48" s="97">
        <f>IF(L7=0,0,(L7+L12)/(TrRoad_ene!L7+TrRoad_ene!L12))</f>
        <v>2.8078572991531909</v>
      </c>
      <c r="M48" s="97">
        <f>IF(M7=0,0,(M7+M12)/(TrRoad_ene!M7+TrRoad_ene!M12))</f>
        <v>2.802090743199531</v>
      </c>
      <c r="N48" s="97">
        <f>IF(N7=0,0,(N7+N12)/(TrRoad_ene!N7+TrRoad_ene!N12))</f>
        <v>2.7776604121155248</v>
      </c>
      <c r="O48" s="97">
        <f>IF(O7=0,0,(O7+O12)/(TrRoad_ene!O7+TrRoad_ene!O12))</f>
        <v>2.7793703634720384</v>
      </c>
      <c r="P48" s="97">
        <f>IF(P7=0,0,(P7+P12)/(TrRoad_ene!P7+TrRoad_ene!P12))</f>
        <v>2.8149582561531319</v>
      </c>
      <c r="Q48" s="97">
        <f>IF(Q7=0,0,(Q7+Q12)/(TrRoad_ene!Q7+TrRoad_ene!Q12))</f>
        <v>2.7674297862028161</v>
      </c>
      <c r="R48" s="97">
        <f>IF(R7=0,0,(R7+R12)/(TrRoad_ene!R7+TrRoad_ene!R12))</f>
        <v>2.73385254689846</v>
      </c>
      <c r="S48" s="97">
        <f>IF(S7=0,0,(S7+S12)/(TrRoad_ene!S7+TrRoad_ene!S12))</f>
        <v>2.7159074136747776</v>
      </c>
      <c r="T48" s="97">
        <f>IF(T7=0,0,(T7+T12)/(TrRoad_ene!T7+TrRoad_ene!T12))</f>
        <v>2.7154526498496283</v>
      </c>
      <c r="U48" s="97">
        <f>IF(U7=0,0,(U7+U12)/(TrRoad_ene!U7+TrRoad_ene!U12))</f>
        <v>2.7016157831053551</v>
      </c>
      <c r="V48" s="97">
        <f>IF(V7=0,0,(V7+V12)/(TrRoad_ene!V7+TrRoad_ene!V12))</f>
        <v>2.7009392288087408</v>
      </c>
      <c r="W48" s="97">
        <f>IF(W7=0,0,(W7+W12)/(TrRoad_ene!W7+TrRoad_ene!W12))</f>
        <v>2.6573563336291217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3.1025132097531682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3.1030255602976906</v>
      </c>
      <c r="H49" s="97">
        <f>IF(H8=0,0,(H8+H13+H14)/(TrRoad_ene!H8+TrRoad_ene!H13+TrRoad_ene!H14))</f>
        <v>3.102525951616935</v>
      </c>
      <c r="I49" s="97">
        <f>IF(I8=0,0,(I8+I13+I14)/(TrRoad_ene!I8+TrRoad_ene!I13+TrRoad_ene!I14))</f>
        <v>3.0523302720023633</v>
      </c>
      <c r="J49" s="97">
        <f>IF(J8=0,0,(J8+J13+J14)/(TrRoad_ene!J8+TrRoad_ene!J13+TrRoad_ene!J14))</f>
        <v>2.9947829520442251</v>
      </c>
      <c r="K49" s="97">
        <f>IF(K8=0,0,(K8+K13+K14)/(TrRoad_ene!K8+TrRoad_ene!K13+TrRoad_ene!K14))</f>
        <v>2.9492261923046121</v>
      </c>
      <c r="L49" s="97">
        <f>IF(L8=0,0,(L8+L13+L14)/(TrRoad_ene!L8+TrRoad_ene!L13+TrRoad_ene!L14))</f>
        <v>3.0320467028926963</v>
      </c>
      <c r="M49" s="97">
        <f>IF(M8=0,0,(M8+M13+M14)/(TrRoad_ene!M8+TrRoad_ene!M13+TrRoad_ene!M14))</f>
        <v>2.9618565157992114</v>
      </c>
      <c r="N49" s="97">
        <f>IF(N8=0,0,(N8+N13+N14)/(TrRoad_ene!N8+TrRoad_ene!N13+TrRoad_ene!N14))</f>
        <v>2.9882109799883407</v>
      </c>
      <c r="O49" s="97">
        <f>IF(O8=0,0,(O8+O13+O14)/(TrRoad_ene!O8+TrRoad_ene!O13+TrRoad_ene!O14))</f>
        <v>2.9700137878845077</v>
      </c>
      <c r="P49" s="97">
        <f>IF(P8=0,0,(P8+P13+P14)/(TrRoad_ene!P8+TrRoad_ene!P13+TrRoad_ene!P14))</f>
        <v>2.9930410958442626</v>
      </c>
      <c r="Q49" s="97">
        <f>IF(Q8=0,0,(Q8+Q13+Q14)/(TrRoad_ene!Q8+TrRoad_ene!Q13+TrRoad_ene!Q14))</f>
        <v>2.9829103539197188</v>
      </c>
      <c r="R49" s="97">
        <f>IF(R8=0,0,(R8+R13+R14)/(TrRoad_ene!R8+TrRoad_ene!R13+TrRoad_ene!R14))</f>
        <v>2.9655646906674531</v>
      </c>
      <c r="S49" s="97">
        <f>IF(S8=0,0,(S8+S13+S14)/(TrRoad_ene!S8+TrRoad_ene!S13+TrRoad_ene!S14))</f>
        <v>2.9549049745002023</v>
      </c>
      <c r="T49" s="97">
        <f>IF(T8=0,0,(T8+T13+T14)/(TrRoad_ene!T8+TrRoad_ene!T13+TrRoad_ene!T14))</f>
        <v>2.9605429216394867</v>
      </c>
      <c r="U49" s="97">
        <f>IF(U8=0,0,(U8+U13+U14)/(TrRoad_ene!U8+TrRoad_ene!U13+TrRoad_ene!U14))</f>
        <v>2.8958692486320996</v>
      </c>
      <c r="V49" s="97">
        <f>IF(V8=0,0,(V8+V13+V14)/(TrRoad_ene!V8+TrRoad_ene!V13+TrRoad_ene!V14))</f>
        <v>2.8471951015653745</v>
      </c>
      <c r="W49" s="97">
        <f>IF(W8=0,0,(W8+W13+W14)/(TrRoad_ene!W8+TrRoad_ene!W13+TrRoad_ene!W14))</f>
        <v>2.8699544250660649</v>
      </c>
      <c r="DA49" s="175"/>
    </row>
    <row r="50" spans="1:105" ht="11.45" customHeight="1" x14ac:dyDescent="0.25">
      <c r="A50" s="92" t="s">
        <v>127</v>
      </c>
      <c r="B50" s="97">
        <f>IF(B6=0,0,B6/TrRoad_ene!B6)</f>
        <v>0</v>
      </c>
      <c r="C50" s="97">
        <f>IF(C6=0,0,C6/TrRoad_ene!C6)</f>
        <v>0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2.6418708000000009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312.66101119779171</v>
      </c>
      <c r="C54" s="62">
        <f>IF(TrRoad_act!C30=0,0,C17/TrRoad_act!C30*1000
)</f>
        <v>327.86555070903785</v>
      </c>
      <c r="D54" s="62">
        <f>IF(TrRoad_act!D30=0,0,D17/TrRoad_act!D30*1000
)</f>
        <v>327.65124696943377</v>
      </c>
      <c r="E54" s="62">
        <f>IF(TrRoad_act!E30=0,0,E17/TrRoad_act!E30*1000
)</f>
        <v>329.24697989642436</v>
      </c>
      <c r="F54" s="62">
        <f>IF(TrRoad_act!F30=0,0,F17/TrRoad_act!F30*1000
)</f>
        <v>321.63334957808456</v>
      </c>
      <c r="G54" s="62">
        <f>IF(TrRoad_act!G30=0,0,G17/TrRoad_act!G30*1000
)</f>
        <v>304.06788166610164</v>
      </c>
      <c r="H54" s="62">
        <f>IF(TrRoad_act!H30=0,0,H17/TrRoad_act!H30*1000
)</f>
        <v>308.90106230862432</v>
      </c>
      <c r="I54" s="62">
        <f>IF(TrRoad_act!I30=0,0,I17/TrRoad_act!I30*1000
)</f>
        <v>286.04441313021692</v>
      </c>
      <c r="J54" s="62">
        <f>IF(TrRoad_act!J30=0,0,J17/TrRoad_act!J30*1000
)</f>
        <v>313.20760908672588</v>
      </c>
      <c r="K54" s="62">
        <f>IF(TrRoad_act!K30=0,0,K17/TrRoad_act!K30*1000
)</f>
        <v>308.66181559630661</v>
      </c>
      <c r="L54" s="62">
        <f>IF(TrRoad_act!L30=0,0,L17/TrRoad_act!L30*1000
)</f>
        <v>289.74475603613689</v>
      </c>
      <c r="M54" s="62">
        <f>IF(TrRoad_act!M30=0,0,M17/TrRoad_act!M30*1000
)</f>
        <v>285.83993289872137</v>
      </c>
      <c r="N54" s="62">
        <f>IF(TrRoad_act!N30=0,0,N17/TrRoad_act!N30*1000
)</f>
        <v>284.95392528374794</v>
      </c>
      <c r="O54" s="62">
        <f>IF(TrRoad_act!O30=0,0,O17/TrRoad_act!O30*1000
)</f>
        <v>265.78585217719848</v>
      </c>
      <c r="P54" s="62">
        <f>IF(TrRoad_act!P30=0,0,P17/TrRoad_act!P30*1000
)</f>
        <v>263.8855949032677</v>
      </c>
      <c r="Q54" s="62">
        <f>IF(TrRoad_act!Q30=0,0,Q17/TrRoad_act!Q30*1000
)</f>
        <v>253.17012966814318</v>
      </c>
      <c r="R54" s="62">
        <f>IF(TrRoad_act!R30=0,0,R17/TrRoad_act!R30*1000
)</f>
        <v>259.96047509809887</v>
      </c>
      <c r="S54" s="62">
        <f>IF(TrRoad_act!S30=0,0,S17/TrRoad_act!S30*1000
)</f>
        <v>269.73075479766908</v>
      </c>
      <c r="T54" s="62">
        <f>IF(TrRoad_act!T30=0,0,T17/TrRoad_act!T30*1000
)</f>
        <v>261.12318392315137</v>
      </c>
      <c r="U54" s="62">
        <f>IF(TrRoad_act!U30=0,0,U17/TrRoad_act!U30*1000
)</f>
        <v>248.15306674533747</v>
      </c>
      <c r="V54" s="62">
        <f>IF(TrRoad_act!V30=0,0,V17/TrRoad_act!V30*1000
)</f>
        <v>258.39791524895026</v>
      </c>
      <c r="W54" s="62">
        <f>IF(TrRoad_act!W30=0,0,W17/TrRoad_act!W30*1000
)</f>
        <v>250.62496482595438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256.01582832444961</v>
      </c>
      <c r="C55" s="29">
        <f>IF(TrRoad_act!C31=0,0,C18/TrRoad_act!C31*1000
)</f>
        <v>258.58561506182218</v>
      </c>
      <c r="D55" s="29">
        <f>IF(TrRoad_act!D31=0,0,D18/TrRoad_act!D31*1000
)</f>
        <v>252.03348321545215</v>
      </c>
      <c r="E55" s="29">
        <f>IF(TrRoad_act!E31=0,0,E18/TrRoad_act!E31*1000
)</f>
        <v>249.46640230701524</v>
      </c>
      <c r="F55" s="29">
        <f>IF(TrRoad_act!F31=0,0,F18/TrRoad_act!F31*1000
)</f>
        <v>256.69277300158183</v>
      </c>
      <c r="G55" s="29">
        <f>IF(TrRoad_act!G31=0,0,G18/TrRoad_act!G31*1000
)</f>
        <v>251.8679798116994</v>
      </c>
      <c r="H55" s="29">
        <f>IF(TrRoad_act!H31=0,0,H18/TrRoad_act!H31*1000
)</f>
        <v>244.71865287515743</v>
      </c>
      <c r="I55" s="29">
        <f>IF(TrRoad_act!I31=0,0,I18/TrRoad_act!I31*1000
)</f>
        <v>238.01033107538657</v>
      </c>
      <c r="J55" s="29">
        <f>IF(TrRoad_act!J31=0,0,J18/TrRoad_act!J31*1000
)</f>
        <v>270.50720204224245</v>
      </c>
      <c r="K55" s="29">
        <f>IF(TrRoad_act!K31=0,0,K18/TrRoad_act!K31*1000
)</f>
        <v>267.0069299978764</v>
      </c>
      <c r="L55" s="29">
        <f>IF(TrRoad_act!L31=0,0,L18/TrRoad_act!L31*1000
)</f>
        <v>255.58205834474145</v>
      </c>
      <c r="M55" s="29">
        <f>IF(TrRoad_act!M31=0,0,M18/TrRoad_act!M31*1000
)</f>
        <v>251.75719923319079</v>
      </c>
      <c r="N55" s="29">
        <f>IF(TrRoad_act!N31=0,0,N18/TrRoad_act!N31*1000
)</f>
        <v>254.63296404110486</v>
      </c>
      <c r="O55" s="29">
        <f>IF(TrRoad_act!O31=0,0,O18/TrRoad_act!O31*1000
)</f>
        <v>235.0850685552702</v>
      </c>
      <c r="P55" s="29">
        <f>IF(TrRoad_act!P31=0,0,P18/TrRoad_act!P31*1000
)</f>
        <v>236.25116687657655</v>
      </c>
      <c r="Q55" s="29">
        <f>IF(TrRoad_act!Q31=0,0,Q18/TrRoad_act!Q31*1000
)</f>
        <v>227.61825302587596</v>
      </c>
      <c r="R55" s="29">
        <f>IF(TrRoad_act!R31=0,0,R18/TrRoad_act!R31*1000
)</f>
        <v>232.69099640202779</v>
      </c>
      <c r="S55" s="29">
        <f>IF(TrRoad_act!S31=0,0,S18/TrRoad_act!S31*1000
)</f>
        <v>241.46236457571914</v>
      </c>
      <c r="T55" s="29">
        <f>IF(TrRoad_act!T31=0,0,T18/TrRoad_act!T31*1000
)</f>
        <v>235.93541346926131</v>
      </c>
      <c r="U55" s="29">
        <f>IF(TrRoad_act!U31=0,0,U18/TrRoad_act!U31*1000
)</f>
        <v>222.50870597607783</v>
      </c>
      <c r="V55" s="29">
        <f>IF(TrRoad_act!V31=0,0,V18/TrRoad_act!V31*1000
)</f>
        <v>236.15584479396213</v>
      </c>
      <c r="W55" s="29">
        <f>IF(TrRoad_act!W31=0,0,W18/TrRoad_act!W31*1000
)</f>
        <v>226.74376439813807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141.82618506481941</v>
      </c>
      <c r="C56" s="152">
        <f>IF(TrRoad_act!C32=0,0,C19/TrRoad_act!C32*1000
)</f>
        <v>141.61478982389841</v>
      </c>
      <c r="D56" s="152">
        <f>IF(TrRoad_act!D32=0,0,D19/TrRoad_act!D32*1000
)</f>
        <v>141.4157446332847</v>
      </c>
      <c r="E56" s="152">
        <f>IF(TrRoad_act!E32=0,0,E19/TrRoad_act!E32*1000
)</f>
        <v>140.91820884971494</v>
      </c>
      <c r="F56" s="152">
        <f>IF(TrRoad_act!F32=0,0,F19/TrRoad_act!F32*1000
)</f>
        <v>140.34525497625387</v>
      </c>
      <c r="G56" s="152">
        <f>IF(TrRoad_act!G32=0,0,G19/TrRoad_act!G32*1000
)</f>
        <v>132.94627117120567</v>
      </c>
      <c r="H56" s="152">
        <f>IF(TrRoad_act!H32=0,0,H19/TrRoad_act!H32*1000
)</f>
        <v>130.75483851263957</v>
      </c>
      <c r="I56" s="152">
        <f>IF(TrRoad_act!I32=0,0,I19/TrRoad_act!I32*1000
)</f>
        <v>128.94655321392611</v>
      </c>
      <c r="J56" s="152">
        <f>IF(TrRoad_act!J32=0,0,J19/TrRoad_act!J32*1000
)</f>
        <v>123.76020688521935</v>
      </c>
      <c r="K56" s="152">
        <f>IF(TrRoad_act!K32=0,0,K19/TrRoad_act!K32*1000
)</f>
        <v>120.66150916258067</v>
      </c>
      <c r="L56" s="152">
        <f>IF(TrRoad_act!L32=0,0,L19/TrRoad_act!L32*1000
)</f>
        <v>115.05427114261623</v>
      </c>
      <c r="M56" s="152">
        <f>IF(TrRoad_act!M32=0,0,M19/TrRoad_act!M32*1000
)</f>
        <v>112.88707046208246</v>
      </c>
      <c r="N56" s="152">
        <f>IF(TrRoad_act!N32=0,0,N19/TrRoad_act!N32*1000
)</f>
        <v>110.12319172428072</v>
      </c>
      <c r="O56" s="152">
        <f>IF(TrRoad_act!O32=0,0,O19/TrRoad_act!O32*1000
)</f>
        <v>108.11781372743603</v>
      </c>
      <c r="P56" s="152">
        <f>IF(TrRoad_act!P32=0,0,P19/TrRoad_act!P32*1000
)</f>
        <v>107.74889054737943</v>
      </c>
      <c r="Q56" s="152">
        <f>IF(TrRoad_act!Q32=0,0,Q19/TrRoad_act!Q32*1000
)</f>
        <v>104.41603261920488</v>
      </c>
      <c r="R56" s="152">
        <f>IF(TrRoad_act!R32=0,0,R19/TrRoad_act!R32*1000
)</f>
        <v>101.56313867723851</v>
      </c>
      <c r="S56" s="152">
        <f>IF(TrRoad_act!S32=0,0,S19/TrRoad_act!S32*1000
)</f>
        <v>99.360881561963808</v>
      </c>
      <c r="T56" s="152">
        <f>IF(TrRoad_act!T32=0,0,T19/TrRoad_act!T32*1000
)</f>
        <v>97.49977882231768</v>
      </c>
      <c r="U56" s="152">
        <f>IF(TrRoad_act!U32=0,0,U19/TrRoad_act!U32*1000
)</f>
        <v>95.306177020823583</v>
      </c>
      <c r="V56" s="152">
        <f>IF(TrRoad_act!V32=0,0,V19/TrRoad_act!V32*1000
)</f>
        <v>94.300624050789139</v>
      </c>
      <c r="W56" s="152">
        <f>IF(TrRoad_act!W32=0,0,W19/TrRoad_act!W32*1000
)</f>
        <v>81.171554563371089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190.93399928180341</v>
      </c>
      <c r="C57" s="116">
        <f>IF(TrRoad_act!C33=0,0,C20/TrRoad_act!C33*1000
)</f>
        <v>198.23650040230368</v>
      </c>
      <c r="D57" s="116">
        <f>IF(TrRoad_act!D33=0,0,D20/TrRoad_act!D33*1000
)</f>
        <v>195.86790272642267</v>
      </c>
      <c r="E57" s="116">
        <f>IF(TrRoad_act!E33=0,0,E20/TrRoad_act!E33*1000
)</f>
        <v>190.85994318145768</v>
      </c>
      <c r="F57" s="116">
        <f>IF(TrRoad_act!F33=0,0,F20/TrRoad_act!F33*1000
)</f>
        <v>199.09055097657651</v>
      </c>
      <c r="G57" s="116">
        <f>IF(TrRoad_act!G33=0,0,G20/TrRoad_act!G33*1000
)</f>
        <v>198.41138040617739</v>
      </c>
      <c r="H57" s="116">
        <f>IF(TrRoad_act!H33=0,0,H20/TrRoad_act!H33*1000
)</f>
        <v>195.97654073725923</v>
      </c>
      <c r="I57" s="116">
        <f>IF(TrRoad_act!I33=0,0,I20/TrRoad_act!I33*1000
)</f>
        <v>189.79677502192374</v>
      </c>
      <c r="J57" s="116">
        <f>IF(TrRoad_act!J33=0,0,J20/TrRoad_act!J33*1000
)</f>
        <v>207.59831263865925</v>
      </c>
      <c r="K57" s="116">
        <f>IF(TrRoad_act!K33=0,0,K20/TrRoad_act!K33*1000
)</f>
        <v>206.71257876907092</v>
      </c>
      <c r="L57" s="116">
        <f>IF(TrRoad_act!L33=0,0,L20/TrRoad_act!L33*1000
)</f>
        <v>193.76113016586243</v>
      </c>
      <c r="M57" s="116">
        <f>IF(TrRoad_act!M33=0,0,M20/TrRoad_act!M33*1000
)</f>
        <v>192.66123594371234</v>
      </c>
      <c r="N57" s="116">
        <f>IF(TrRoad_act!N33=0,0,N20/TrRoad_act!N33*1000
)</f>
        <v>195.92558313816616</v>
      </c>
      <c r="O57" s="116">
        <f>IF(TrRoad_act!O33=0,0,O20/TrRoad_act!O33*1000
)</f>
        <v>177.59541437886276</v>
      </c>
      <c r="P57" s="116">
        <f>IF(TrRoad_act!P33=0,0,P20/TrRoad_act!P33*1000
)</f>
        <v>178.42051180783452</v>
      </c>
      <c r="Q57" s="116">
        <f>IF(TrRoad_act!Q33=0,0,Q20/TrRoad_act!Q33*1000
)</f>
        <v>170.35362948620133</v>
      </c>
      <c r="R57" s="116">
        <f>IF(TrRoad_act!R33=0,0,R20/TrRoad_act!R33*1000
)</f>
        <v>175.57181152950065</v>
      </c>
      <c r="S57" s="116">
        <f>IF(TrRoad_act!S33=0,0,S20/TrRoad_act!S33*1000
)</f>
        <v>182.69119088656842</v>
      </c>
      <c r="T57" s="116">
        <f>IF(TrRoad_act!T33=0,0,T20/TrRoad_act!T33*1000
)</f>
        <v>179.11032459884629</v>
      </c>
      <c r="U57" s="116">
        <f>IF(TrRoad_act!U33=0,0,U20/TrRoad_act!U33*1000
)</f>
        <v>169.35026772895145</v>
      </c>
      <c r="V57" s="116">
        <f>IF(TrRoad_act!V33=0,0,V20/TrRoad_act!V33*1000
)</f>
        <v>176.03672123957946</v>
      </c>
      <c r="W57" s="116">
        <f>IF(TrRoad_act!W33=0,0,W20/TrRoad_act!W33*1000
)</f>
        <v>170.00754879638899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189.48551045037269</v>
      </c>
      <c r="C58" s="87">
        <f>IF(TrRoad_act!C34=0,0,C21/TrRoad_act!C34*1000
)</f>
        <v>196.99738510689772</v>
      </c>
      <c r="D58" s="87">
        <f>IF(TrRoad_act!D34=0,0,D21/TrRoad_act!D34*1000
)</f>
        <v>194.4798213254027</v>
      </c>
      <c r="E58" s="87">
        <f>IF(TrRoad_act!E34=0,0,E21/TrRoad_act!E34*1000
)</f>
        <v>192.59993599192254</v>
      </c>
      <c r="F58" s="87">
        <f>IF(TrRoad_act!F34=0,0,F21/TrRoad_act!F34*1000
)</f>
        <v>195.26642162295403</v>
      </c>
      <c r="G58" s="87">
        <f>IF(TrRoad_act!G34=0,0,G21/TrRoad_act!G34*1000
)</f>
        <v>199.58180052463626</v>
      </c>
      <c r="H58" s="87">
        <f>IF(TrRoad_act!H34=0,0,H21/TrRoad_act!H34*1000
)</f>
        <v>195.1187424096106</v>
      </c>
      <c r="I58" s="87">
        <f>IF(TrRoad_act!I34=0,0,I21/TrRoad_act!I34*1000
)</f>
        <v>199.08255281888154</v>
      </c>
      <c r="J58" s="87">
        <f>IF(TrRoad_act!J34=0,0,J21/TrRoad_act!J34*1000
)</f>
        <v>227.72802499147869</v>
      </c>
      <c r="K58" s="87">
        <f>IF(TrRoad_act!K34=0,0,K21/TrRoad_act!K34*1000
)</f>
        <v>225.42928356536484</v>
      </c>
      <c r="L58" s="87">
        <f>IF(TrRoad_act!L34=0,0,L21/TrRoad_act!L34*1000
)</f>
        <v>205.05462035367117</v>
      </c>
      <c r="M58" s="87">
        <f>IF(TrRoad_act!M34=0,0,M21/TrRoad_act!M34*1000
)</f>
        <v>214.33540853625968</v>
      </c>
      <c r="N58" s="87">
        <f>IF(TrRoad_act!N34=0,0,N21/TrRoad_act!N34*1000
)</f>
        <v>214.11642886518112</v>
      </c>
      <c r="O58" s="87">
        <f>IF(TrRoad_act!O34=0,0,O21/TrRoad_act!O34*1000
)</f>
        <v>186.6726377088977</v>
      </c>
      <c r="P58" s="87">
        <f>IF(TrRoad_act!P34=0,0,P21/TrRoad_act!P34*1000
)</f>
        <v>184.24607312181038</v>
      </c>
      <c r="Q58" s="87">
        <f>IF(TrRoad_act!Q34=0,0,Q21/TrRoad_act!Q34*1000
)</f>
        <v>173.5543482672374</v>
      </c>
      <c r="R58" s="87">
        <f>IF(TrRoad_act!R34=0,0,R21/TrRoad_act!R34*1000
)</f>
        <v>186.93625212629823</v>
      </c>
      <c r="S58" s="87">
        <f>IF(TrRoad_act!S34=0,0,S21/TrRoad_act!S34*1000
)</f>
        <v>191.70029363576543</v>
      </c>
      <c r="T58" s="87">
        <f>IF(TrRoad_act!T34=0,0,T21/TrRoad_act!T34*1000
)</f>
        <v>188.00020273187658</v>
      </c>
      <c r="U58" s="87">
        <f>IF(TrRoad_act!U34=0,0,U21/TrRoad_act!U34*1000
)</f>
        <v>183.19075790584921</v>
      </c>
      <c r="V58" s="87">
        <f>IF(TrRoad_act!V34=0,0,V21/TrRoad_act!V34*1000
)</f>
        <v>179.67403634966047</v>
      </c>
      <c r="W58" s="87">
        <f>IF(TrRoad_act!W34=0,0,W21/TrRoad_act!W34*1000
)</f>
        <v>173.24222329564384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200.71406222996998</v>
      </c>
      <c r="C59" s="87">
        <f>IF(TrRoad_act!C35=0,0,C22/TrRoad_act!C35*1000
)</f>
        <v>206.14789561026379</v>
      </c>
      <c r="D59" s="87">
        <f>IF(TrRoad_act!D35=0,0,D22/TrRoad_act!D35*1000
)</f>
        <v>202.60729811497492</v>
      </c>
      <c r="E59" s="87">
        <f>IF(TrRoad_act!E35=0,0,E22/TrRoad_act!E35*1000
)</f>
        <v>184.1059970914427</v>
      </c>
      <c r="F59" s="87">
        <f>IF(TrRoad_act!F35=0,0,F22/TrRoad_act!F35*1000
)</f>
        <v>183.66121084840839</v>
      </c>
      <c r="G59" s="87">
        <f>IF(TrRoad_act!G35=0,0,G22/TrRoad_act!G35*1000
)</f>
        <v>184.98760755995968</v>
      </c>
      <c r="H59" s="87">
        <f>IF(TrRoad_act!H35=0,0,H22/TrRoad_act!H35*1000
)</f>
        <v>197.93819915068201</v>
      </c>
      <c r="I59" s="87">
        <f>IF(TrRoad_act!I35=0,0,I22/TrRoad_act!I35*1000
)</f>
        <v>174.17211923927252</v>
      </c>
      <c r="J59" s="87">
        <f>IF(TrRoad_act!J35=0,0,J22/TrRoad_act!J35*1000
)</f>
        <v>182.42451697167789</v>
      </c>
      <c r="K59" s="87">
        <f>IF(TrRoad_act!K35=0,0,K22/TrRoad_act!K35*1000
)</f>
        <v>181.62669189319678</v>
      </c>
      <c r="L59" s="87">
        <f>IF(TrRoad_act!L35=0,0,L22/TrRoad_act!L35*1000
)</f>
        <v>182.95257541111545</v>
      </c>
      <c r="M59" s="87">
        <f>IF(TrRoad_act!M35=0,0,M22/TrRoad_act!M35*1000
)</f>
        <v>173.25877712844269</v>
      </c>
      <c r="N59" s="87">
        <f>IF(TrRoad_act!N35=0,0,N22/TrRoad_act!N35*1000
)</f>
        <v>182.84378156390986</v>
      </c>
      <c r="O59" s="87">
        <f>IF(TrRoad_act!O35=0,0,O22/TrRoad_act!O35*1000
)</f>
        <v>169.92059706061659</v>
      </c>
      <c r="P59" s="87">
        <f>IF(TrRoad_act!P35=0,0,P22/TrRoad_act!P35*1000
)</f>
        <v>172.72919962595145</v>
      </c>
      <c r="Q59" s="87">
        <f>IF(TrRoad_act!Q35=0,0,Q22/TrRoad_act!Q35*1000
)</f>
        <v>167.45351863774565</v>
      </c>
      <c r="R59" s="87">
        <f>IF(TrRoad_act!R35=0,0,R22/TrRoad_act!R35*1000
)</f>
        <v>166.87719461726945</v>
      </c>
      <c r="S59" s="87">
        <f>IF(TrRoad_act!S35=0,0,S22/TrRoad_act!S35*1000
)</f>
        <v>176.20911661017797</v>
      </c>
      <c r="T59" s="87">
        <f>IF(TrRoad_act!T35=0,0,T22/TrRoad_act!T35*1000
)</f>
        <v>173.43982487825812</v>
      </c>
      <c r="U59" s="87">
        <f>IF(TrRoad_act!U35=0,0,U22/TrRoad_act!U35*1000
)</f>
        <v>161.37443066526347</v>
      </c>
      <c r="V59" s="87">
        <f>IF(TrRoad_act!V35=0,0,V22/TrRoad_act!V35*1000
)</f>
        <v>175.64616116771265</v>
      </c>
      <c r="W59" s="87">
        <f>IF(TrRoad_act!W35=0,0,W22/TrRoad_act!W35*1000
)</f>
        <v>172.35950249694409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0</v>
      </c>
      <c r="C60" s="87">
        <f>IF(TrRoad_act!C36=0,0,C23/TrRoad_act!C36*1000
)</f>
        <v>0</v>
      </c>
      <c r="D60" s="87">
        <f>IF(TrRoad_act!D36=0,0,D23/TrRoad_act!D36*1000
)</f>
        <v>206.11457157192632</v>
      </c>
      <c r="E60" s="87">
        <f>IF(TrRoad_act!E36=0,0,E23/TrRoad_act!E36*1000
)</f>
        <v>187.78273811606491</v>
      </c>
      <c r="F60" s="87">
        <f>IF(TrRoad_act!F36=0,0,F23/TrRoad_act!F36*1000
)</f>
        <v>910.03898873206515</v>
      </c>
      <c r="G60" s="87">
        <f>IF(TrRoad_act!G36=0,0,G23/TrRoad_act!G36*1000
)</f>
        <v>545.28723597016472</v>
      </c>
      <c r="H60" s="87">
        <f>IF(TrRoad_act!H36=0,0,H23/TrRoad_act!H36*1000
)</f>
        <v>182.04977671368667</v>
      </c>
      <c r="I60" s="87">
        <f>IF(TrRoad_act!I36=0,0,I23/TrRoad_act!I36*1000
)</f>
        <v>258.16396519986222</v>
      </c>
      <c r="J60" s="87">
        <f>IF(TrRoad_act!J36=0,0,J23/TrRoad_act!J36*1000
)</f>
        <v>407.10630235280439</v>
      </c>
      <c r="K60" s="87">
        <f>IF(TrRoad_act!K36=0,0,K23/TrRoad_act!K36*1000
)</f>
        <v>666.37989020767566</v>
      </c>
      <c r="L60" s="87">
        <f>IF(TrRoad_act!L36=0,0,L23/TrRoad_act!L36*1000
)</f>
        <v>194.33041651448983</v>
      </c>
      <c r="M60" s="87">
        <f>IF(TrRoad_act!M36=0,0,M23/TrRoad_act!M36*1000
)</f>
        <v>272.80566539274611</v>
      </c>
      <c r="N60" s="87">
        <f>IF(TrRoad_act!N36=0,0,N23/TrRoad_act!N36*1000
)</f>
        <v>215.49962429086045</v>
      </c>
      <c r="O60" s="87">
        <f>IF(TrRoad_act!O36=0,0,O23/TrRoad_act!O36*1000
)</f>
        <v>215.62863894907946</v>
      </c>
      <c r="P60" s="87">
        <f>IF(TrRoad_act!P36=0,0,P23/TrRoad_act!P36*1000
)</f>
        <v>214.97381851577796</v>
      </c>
      <c r="Q60" s="87">
        <f>IF(TrRoad_act!Q36=0,0,Q23/TrRoad_act!Q36*1000
)</f>
        <v>188.13092458680455</v>
      </c>
      <c r="R60" s="87">
        <f>IF(TrRoad_act!R36=0,0,R23/TrRoad_act!R36*1000
)</f>
        <v>216.8791070052701</v>
      </c>
      <c r="S60" s="87">
        <f>IF(TrRoad_act!S36=0,0,S23/TrRoad_act!S36*1000
)</f>
        <v>208.39549817855573</v>
      </c>
      <c r="T60" s="87">
        <f>IF(TrRoad_act!T36=0,0,T23/TrRoad_act!T36*1000
)</f>
        <v>197.70724401002627</v>
      </c>
      <c r="U60" s="87">
        <f>IF(TrRoad_act!U36=0,0,U23/TrRoad_act!U36*1000
)</f>
        <v>187.74981218083127</v>
      </c>
      <c r="V60" s="87">
        <f>IF(TrRoad_act!V36=0,0,V23/TrRoad_act!V36*1000
)</f>
        <v>149.09390664469549</v>
      </c>
      <c r="W60" s="87">
        <f>IF(TrRoad_act!W36=0,0,W23/TrRoad_act!W36*1000
)</f>
        <v>113.01703520844241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136.58567269137342</v>
      </c>
      <c r="O62" s="87">
        <f>IF(TrRoad_act!O38=0,0,O25/TrRoad_act!O38*1000
)</f>
        <v>119.81923563845292</v>
      </c>
      <c r="P62" s="87">
        <f>IF(TrRoad_act!P38=0,0,P25/TrRoad_act!P38*1000
)</f>
        <v>113.91236406654275</v>
      </c>
      <c r="Q62" s="87">
        <f>IF(TrRoad_act!Q38=0,0,Q25/TrRoad_act!Q38*1000
)</f>
        <v>98.985567506050558</v>
      </c>
      <c r="R62" s="87">
        <f>IF(TrRoad_act!R38=0,0,R25/TrRoad_act!R38*1000
)</f>
        <v>60.995999180156836</v>
      </c>
      <c r="S62" s="87">
        <f>IF(TrRoad_act!S38=0,0,S25/TrRoad_act!S38*1000
)</f>
        <v>71.73840729349719</v>
      </c>
      <c r="T62" s="87">
        <f>IF(TrRoad_act!T38=0,0,T25/TrRoad_act!T38*1000
)</f>
        <v>63.996596292012114</v>
      </c>
      <c r="U62" s="87">
        <f>IF(TrRoad_act!U38=0,0,U25/TrRoad_act!U38*1000
)</f>
        <v>59.908656304813427</v>
      </c>
      <c r="V62" s="87">
        <f>IF(TrRoad_act!V38=0,0,V25/TrRoad_act!V38*1000
)</f>
        <v>53.198038903001589</v>
      </c>
      <c r="W62" s="87">
        <f>IF(TrRoad_act!W38=0,0,W25/TrRoad_act!W38*1000
)</f>
        <v>43.804094110629464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1855.5001692863725</v>
      </c>
      <c r="C64" s="116">
        <f>IF(TrRoad_act!C40=0,0,C27/TrRoad_act!C40*1000
)</f>
        <v>1983.9475040321886</v>
      </c>
      <c r="D64" s="116">
        <f>IF(TrRoad_act!D40=0,0,D27/TrRoad_act!D40*1000
)</f>
        <v>2010.7591994466172</v>
      </c>
      <c r="E64" s="116">
        <f>IF(TrRoad_act!E40=0,0,E27/TrRoad_act!E40*1000
)</f>
        <v>1973.032929994595</v>
      </c>
      <c r="F64" s="116">
        <f>IF(TrRoad_act!F40=0,0,F27/TrRoad_act!F40*1000
)</f>
        <v>1826.6705631124482</v>
      </c>
      <c r="G64" s="116">
        <f>IF(TrRoad_act!G40=0,0,G27/TrRoad_act!G40*1000
)</f>
        <v>1696.3373001632897</v>
      </c>
      <c r="H64" s="116">
        <f>IF(TrRoad_act!H40=0,0,H27/TrRoad_act!H40*1000
)</f>
        <v>1733.4922591729899</v>
      </c>
      <c r="I64" s="116">
        <f>IF(TrRoad_act!I40=0,0,I27/TrRoad_act!I40*1000
)</f>
        <v>1599.0488005478792</v>
      </c>
      <c r="J64" s="116">
        <f>IF(TrRoad_act!J40=0,0,J27/TrRoad_act!J40*1000
)</f>
        <v>1597.4955644650868</v>
      </c>
      <c r="K64" s="116">
        <f>IF(TrRoad_act!K40=0,0,K27/TrRoad_act!K40*1000
)</f>
        <v>1594.7674213414516</v>
      </c>
      <c r="L64" s="116">
        <f>IF(TrRoad_act!L40=0,0,L27/TrRoad_act!L40*1000
)</f>
        <v>1627.8722104028409</v>
      </c>
      <c r="M64" s="116">
        <f>IF(TrRoad_act!M40=0,0,M27/TrRoad_act!M40*1000
)</f>
        <v>1574.2321805022632</v>
      </c>
      <c r="N64" s="116">
        <f>IF(TrRoad_act!N40=0,0,N27/TrRoad_act!N40*1000
)</f>
        <v>1579.0300185607055</v>
      </c>
      <c r="O64" s="116">
        <f>IF(TrRoad_act!O40=0,0,O27/TrRoad_act!O40*1000
)</f>
        <v>1537.7796206791966</v>
      </c>
      <c r="P64" s="116">
        <f>IF(TrRoad_act!P40=0,0,P27/TrRoad_act!P40*1000
)</f>
        <v>1555.6589374087534</v>
      </c>
      <c r="Q64" s="116">
        <f>IF(TrRoad_act!Q40=0,0,Q27/TrRoad_act!Q40*1000
)</f>
        <v>1543.580253355311</v>
      </c>
      <c r="R64" s="116">
        <f>IF(TrRoad_act!R40=0,0,R27/TrRoad_act!R40*1000
)</f>
        <v>1559.7803661169187</v>
      </c>
      <c r="S64" s="116">
        <f>IF(TrRoad_act!S40=0,0,S27/TrRoad_act!S40*1000
)</f>
        <v>1601.4172224152255</v>
      </c>
      <c r="T64" s="116">
        <f>IF(TrRoad_act!T40=0,0,T27/TrRoad_act!T40*1000
)</f>
        <v>1600.1060019279223</v>
      </c>
      <c r="U64" s="116">
        <f>IF(TrRoad_act!U40=0,0,U27/TrRoad_act!U40*1000
)</f>
        <v>1559.0279804020738</v>
      </c>
      <c r="V64" s="116">
        <f>IF(TrRoad_act!V40=0,0,V27/TrRoad_act!V40*1000
)</f>
        <v>1579.5580546836384</v>
      </c>
      <c r="W64" s="116">
        <f>IF(TrRoad_act!W40=0,0,W27/TrRoad_act!W40*1000
)</f>
        <v>1588.4969311986083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482.70206938850316</v>
      </c>
      <c r="K65" s="101">
        <f>IF(TrRoad_act!K41=0,0,K28/TrRoad_act!K41*1000
)</f>
        <v>481.84950737892507</v>
      </c>
      <c r="L65" s="101">
        <f>IF(TrRoad_act!L41=0,0,L28/TrRoad_act!L41*1000
)</f>
        <v>466.67534223443408</v>
      </c>
      <c r="M65" s="101">
        <f>IF(TrRoad_act!M41=0,0,M28/TrRoad_act!M41*1000
)</f>
        <v>465.4131955888376</v>
      </c>
      <c r="N65" s="101">
        <f>IF(TrRoad_act!N41=0,0,N28/TrRoad_act!N41*1000
)</f>
        <v>461.34298066031772</v>
      </c>
      <c r="O65" s="101">
        <f>IF(TrRoad_act!O41=0,0,O28/TrRoad_act!O41*1000
)</f>
        <v>461.60964266788187</v>
      </c>
      <c r="P65" s="101">
        <f>IF(TrRoad_act!P41=0,0,P28/TrRoad_act!P41*1000
)</f>
        <v>467.49700806617352</v>
      </c>
      <c r="Q65" s="101">
        <f>IF(TrRoad_act!Q41=0,0,Q28/TrRoad_act!Q41*1000
)</f>
        <v>459.56913693929727</v>
      </c>
      <c r="R65" s="101">
        <f>IF(TrRoad_act!R41=0,0,R28/TrRoad_act!R41*1000
)</f>
        <v>453.95571139339984</v>
      </c>
      <c r="S65" s="101">
        <f>IF(TrRoad_act!S41=0,0,S28/TrRoad_act!S41*1000
)</f>
        <v>450.93484767911673</v>
      </c>
      <c r="T65" s="101">
        <f>IF(TrRoad_act!T41=0,0,T28/TrRoad_act!T41*1000
)</f>
        <v>450.7998446994884</v>
      </c>
      <c r="U65" s="101">
        <f>IF(TrRoad_act!U41=0,0,U28/TrRoad_act!U41*1000
)</f>
        <v>448.46606640466553</v>
      </c>
      <c r="V65" s="101">
        <f>IF(TrRoad_act!V41=0,0,V28/TrRoad_act!V41*1000
)</f>
        <v>448.34605855067059</v>
      </c>
      <c r="W65" s="101">
        <f>IF(TrRoad_act!W41=0,0,W28/TrRoad_act!W41*1000
)</f>
        <v>441.08795331836279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1855.5001692863725</v>
      </c>
      <c r="C66" s="101">
        <f>IF(TrRoad_act!C42=0,0,C29/TrRoad_act!C42*1000
)</f>
        <v>1983.9475040321886</v>
      </c>
      <c r="D66" s="101">
        <f>IF(TrRoad_act!D42=0,0,D29/TrRoad_act!D42*1000
)</f>
        <v>2010.7591994466172</v>
      </c>
      <c r="E66" s="101">
        <f>IF(TrRoad_act!E42=0,0,E29/TrRoad_act!E42*1000
)</f>
        <v>1973.032929994595</v>
      </c>
      <c r="F66" s="101">
        <f>IF(TrRoad_act!F42=0,0,F29/TrRoad_act!F42*1000
)</f>
        <v>1826.6705631124482</v>
      </c>
      <c r="G66" s="101">
        <f>IF(TrRoad_act!G42=0,0,G29/TrRoad_act!G42*1000
)</f>
        <v>1696.3373001632897</v>
      </c>
      <c r="H66" s="101">
        <f>IF(TrRoad_act!H42=0,0,H29/TrRoad_act!H42*1000
)</f>
        <v>1733.4922591729899</v>
      </c>
      <c r="I66" s="101">
        <f>IF(TrRoad_act!I42=0,0,I29/TrRoad_act!I42*1000
)</f>
        <v>1599.0488005478792</v>
      </c>
      <c r="J66" s="101">
        <f>IF(TrRoad_act!J42=0,0,J29/TrRoad_act!J42*1000
)</f>
        <v>1601.4459048032008</v>
      </c>
      <c r="K66" s="101">
        <f>IF(TrRoad_act!K42=0,0,K29/TrRoad_act!K42*1000
)</f>
        <v>1598.6977966535198</v>
      </c>
      <c r="L66" s="101">
        <f>IF(TrRoad_act!L42=0,0,L29/TrRoad_act!L42*1000
)</f>
        <v>1632.2076847426551</v>
      </c>
      <c r="M66" s="101">
        <f>IF(TrRoad_act!M42=0,0,M29/TrRoad_act!M42*1000
)</f>
        <v>1578.3352349731938</v>
      </c>
      <c r="N66" s="101">
        <f>IF(TrRoad_act!N42=0,0,N29/TrRoad_act!N42*1000
)</f>
        <v>1582.9293005140337</v>
      </c>
      <c r="O66" s="101">
        <f>IF(TrRoad_act!O42=0,0,O29/TrRoad_act!O42*1000
)</f>
        <v>1541.3401619080303</v>
      </c>
      <c r="P66" s="101">
        <f>IF(TrRoad_act!P42=0,0,P29/TrRoad_act!P42*1000
)</f>
        <v>1559.1142015220651</v>
      </c>
      <c r="Q66" s="101">
        <f>IF(TrRoad_act!Q42=0,0,Q29/TrRoad_act!Q42*1000
)</f>
        <v>1546.6704742148452</v>
      </c>
      <c r="R66" s="101">
        <f>IF(TrRoad_act!R42=0,0,R29/TrRoad_act!R42*1000
)</f>
        <v>1562.7746071451925</v>
      </c>
      <c r="S66" s="101">
        <f>IF(TrRoad_act!S42=0,0,S29/TrRoad_act!S42*1000
)</f>
        <v>1604.3835744828848</v>
      </c>
      <c r="T66" s="101">
        <f>IF(TrRoad_act!T42=0,0,T29/TrRoad_act!T42*1000
)</f>
        <v>1603.4136293281565</v>
      </c>
      <c r="U66" s="101">
        <f>IF(TrRoad_act!U42=0,0,U29/TrRoad_act!U42*1000
)</f>
        <v>1563.4975244763075</v>
      </c>
      <c r="V66" s="101">
        <f>IF(TrRoad_act!V42=0,0,V29/TrRoad_act!V42*1000
)</f>
        <v>1589.59684133729</v>
      </c>
      <c r="W66" s="101">
        <f>IF(TrRoad_act!W42=0,0,W29/TrRoad_act!W42*1000
)</f>
        <v>1598.8191293870259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1184.5971547364279</v>
      </c>
      <c r="K67" s="101">
        <f>IF(TrRoad_act!K43=0,0,K30/TrRoad_act!K43*1000
)</f>
        <v>1184.4348441140578</v>
      </c>
      <c r="L67" s="101">
        <f>IF(TrRoad_act!L43=0,0,L30/TrRoad_act!L43*1000
)</f>
        <v>1186.3525801089361</v>
      </c>
      <c r="M67" s="101">
        <f>IF(TrRoad_act!M43=0,0,M30/TrRoad_act!M43*1000
)</f>
        <v>1187.0104825433741</v>
      </c>
      <c r="N67" s="101">
        <f>IF(TrRoad_act!N43=0,0,N30/TrRoad_act!N43*1000
)</f>
        <v>1187.0104825433743</v>
      </c>
      <c r="O67" s="101">
        <f>IF(TrRoad_act!O43=0,0,O30/TrRoad_act!O43*1000
)</f>
        <v>1187.5023653051101</v>
      </c>
      <c r="P67" s="101">
        <f>IF(TrRoad_act!P43=0,0,P30/TrRoad_act!P43*1000
)</f>
        <v>1188.0494926150618</v>
      </c>
      <c r="Q67" s="101">
        <f>IF(TrRoad_act!Q43=0,0,Q30/TrRoad_act!Q43*1000
)</f>
        <v>1188.122748627505</v>
      </c>
      <c r="R67" s="101">
        <f>IF(TrRoad_act!R43=0,0,R30/TrRoad_act!R43*1000
)</f>
        <v>1188.3687899404258</v>
      </c>
      <c r="S67" s="101">
        <f>IF(TrRoad_act!S43=0,0,S30/TrRoad_act!S43*1000
)</f>
        <v>1188.4124557543778</v>
      </c>
      <c r="T67" s="101">
        <f>IF(TrRoad_act!T43=0,0,T30/TrRoad_act!T43*1000
)</f>
        <v>1189.7009845381888</v>
      </c>
      <c r="U67" s="101">
        <f>IF(TrRoad_act!U43=0,0,U30/TrRoad_act!U43*1000
)</f>
        <v>1189.8319289808446</v>
      </c>
      <c r="V67" s="101">
        <f>IF(TrRoad_act!V43=0,0,V30/TrRoad_act!V43*1000
)</f>
        <v>1189.825729955973</v>
      </c>
      <c r="W67" s="101">
        <f>IF(TrRoad_act!W43=0,0,W30/TrRoad_act!W43*1000
)</f>
        <v>1189.9279546791608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535.36397748293973</v>
      </c>
      <c r="C70" s="29">
        <f>IF(TrRoad_act!C46=0,0,C33/TrRoad_act!C46*1000
)</f>
        <v>660.0613155482572</v>
      </c>
      <c r="D70" s="29">
        <f>IF(TrRoad_act!D46=0,0,D33/TrRoad_act!D46*1000
)</f>
        <v>689.43574469966632</v>
      </c>
      <c r="E70" s="29">
        <f>IF(TrRoad_act!E46=0,0,E33/TrRoad_act!E46*1000
)</f>
        <v>715.5286191930378</v>
      </c>
      <c r="F70" s="29">
        <f>IF(TrRoad_act!F46=0,0,F33/TrRoad_act!F46*1000
)</f>
        <v>634.2628080724196</v>
      </c>
      <c r="G70" s="29">
        <f>IF(TrRoad_act!G46=0,0,G33/TrRoad_act!G46*1000
)</f>
        <v>536.39010169317953</v>
      </c>
      <c r="H70" s="29">
        <f>IF(TrRoad_act!H46=0,0,H33/TrRoad_act!H46*1000
)</f>
        <v>580.43735209273598</v>
      </c>
      <c r="I70" s="29">
        <f>IF(TrRoad_act!I46=0,0,I33/TrRoad_act!I46*1000
)</f>
        <v>500.77114735617658</v>
      </c>
      <c r="J70" s="29">
        <f>IF(TrRoad_act!J46=0,0,J33/TrRoad_act!J46*1000
)</f>
        <v>495.11423337519597</v>
      </c>
      <c r="K70" s="29">
        <f>IF(TrRoad_act!K46=0,0,K33/TrRoad_act!K46*1000
)</f>
        <v>501.848771208004</v>
      </c>
      <c r="L70" s="29">
        <f>IF(TrRoad_act!L46=0,0,L33/TrRoad_act!L46*1000
)</f>
        <v>467.00866747727054</v>
      </c>
      <c r="M70" s="29">
        <f>IF(TrRoad_act!M46=0,0,M33/TrRoad_act!M46*1000
)</f>
        <v>462.18802720676933</v>
      </c>
      <c r="N70" s="29">
        <f>IF(TrRoad_act!N46=0,0,N33/TrRoad_act!N46*1000
)</f>
        <v>441.14863302971941</v>
      </c>
      <c r="O70" s="29">
        <f>IF(TrRoad_act!O46=0,0,O33/TrRoad_act!O46*1000
)</f>
        <v>422.84881991475243</v>
      </c>
      <c r="P70" s="29">
        <f>IF(TrRoad_act!P46=0,0,P33/TrRoad_act!P46*1000
)</f>
        <v>402.54525790744498</v>
      </c>
      <c r="Q70" s="29">
        <f>IF(TrRoad_act!Q46=0,0,Q33/TrRoad_act!Q46*1000
)</f>
        <v>381.43667362573871</v>
      </c>
      <c r="R70" s="29">
        <f>IF(TrRoad_act!R46=0,0,R33/TrRoad_act!R46*1000
)</f>
        <v>397.58325768801291</v>
      </c>
      <c r="S70" s="29">
        <f>IF(TrRoad_act!S46=0,0,S33/TrRoad_act!S46*1000
)</f>
        <v>405.84161928724279</v>
      </c>
      <c r="T70" s="29">
        <f>IF(TrRoad_act!T46=0,0,T33/TrRoad_act!T46*1000
)</f>
        <v>380.42645592216786</v>
      </c>
      <c r="U70" s="29">
        <f>IF(TrRoad_act!U46=0,0,U33/TrRoad_act!U46*1000
)</f>
        <v>370.3371795283926</v>
      </c>
      <c r="V70" s="29">
        <f>IF(TrRoad_act!V46=0,0,V33/TrRoad_act!V46*1000
)</f>
        <v>352.04163703749572</v>
      </c>
      <c r="W70" s="29">
        <f>IF(TrRoad_act!W46=0,0,W33/TrRoad_act!W46*1000
)</f>
        <v>354.36469580586902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314.76515682695737</v>
      </c>
      <c r="C71" s="152">
        <f>IF(TrRoad_act!C47=0,0,C34/TrRoad_act!C47*1000
)</f>
        <v>319.5033905251293</v>
      </c>
      <c r="D71" s="152">
        <f>IF(TrRoad_act!D47=0,0,D34/TrRoad_act!D47*1000
)</f>
        <v>317.93830042911884</v>
      </c>
      <c r="E71" s="152">
        <f>IF(TrRoad_act!E47=0,0,E34/TrRoad_act!E47*1000
)</f>
        <v>315.65516297126698</v>
      </c>
      <c r="F71" s="152">
        <f>IF(TrRoad_act!F47=0,0,F34/TrRoad_act!F47*1000
)</f>
        <v>304.02383148350975</v>
      </c>
      <c r="G71" s="152">
        <f>IF(TrRoad_act!G47=0,0,G34/TrRoad_act!G47*1000
)</f>
        <v>309.67895582394573</v>
      </c>
      <c r="H71" s="152">
        <f>IF(TrRoad_act!H47=0,0,H34/TrRoad_act!H47*1000
)</f>
        <v>310.21579814888514</v>
      </c>
      <c r="I71" s="152">
        <f>IF(TrRoad_act!I47=0,0,I34/TrRoad_act!I47*1000
)</f>
        <v>299.55636356467915</v>
      </c>
      <c r="J71" s="152">
        <f>IF(TrRoad_act!J47=0,0,J34/TrRoad_act!J47*1000
)</f>
        <v>296.95647863098867</v>
      </c>
      <c r="K71" s="152">
        <f>IF(TrRoad_act!K47=0,0,K34/TrRoad_act!K47*1000
)</f>
        <v>294.27568133989001</v>
      </c>
      <c r="L71" s="152">
        <f>IF(TrRoad_act!L47=0,0,L34/TrRoad_act!L47*1000
)</f>
        <v>294.5888422496605</v>
      </c>
      <c r="M71" s="152">
        <f>IF(TrRoad_act!M47=0,0,M34/TrRoad_act!M47*1000
)</f>
        <v>290.21993068642661</v>
      </c>
      <c r="N71" s="152">
        <f>IF(TrRoad_act!N47=0,0,N34/TrRoad_act!N47*1000
)</f>
        <v>298.00883012629828</v>
      </c>
      <c r="O71" s="152">
        <f>IF(TrRoad_act!O47=0,0,O34/TrRoad_act!O47*1000
)</f>
        <v>288.26931364551638</v>
      </c>
      <c r="P71" s="152">
        <f>IF(TrRoad_act!P47=0,0,P34/TrRoad_act!P47*1000
)</f>
        <v>287.11298716685167</v>
      </c>
      <c r="Q71" s="152">
        <f>IF(TrRoad_act!Q47=0,0,Q34/TrRoad_act!Q47*1000
)</f>
        <v>281.9557682807208</v>
      </c>
      <c r="R71" s="152">
        <f>IF(TrRoad_act!R47=0,0,R34/TrRoad_act!R47*1000
)</f>
        <v>281.04448523794451</v>
      </c>
      <c r="S71" s="152">
        <f>IF(TrRoad_act!S47=0,0,S34/TrRoad_act!S47*1000
)</f>
        <v>278.89829660704731</v>
      </c>
      <c r="T71" s="152">
        <f>IF(TrRoad_act!T47=0,0,T34/TrRoad_act!T47*1000
)</f>
        <v>273.25645192393506</v>
      </c>
      <c r="U71" s="152">
        <f>IF(TrRoad_act!U47=0,0,U34/TrRoad_act!U47*1000
)</f>
        <v>263.55466405415063</v>
      </c>
      <c r="V71" s="152">
        <f>IF(TrRoad_act!V47=0,0,V34/TrRoad_act!V47*1000
)</f>
        <v>254.8157902372491</v>
      </c>
      <c r="W71" s="152">
        <f>IF(TrRoad_act!W47=0,0,W34/TrRoad_act!W47*1000
)</f>
        <v>255.3920428588516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357.09665866780699</v>
      </c>
      <c r="C72" s="87">
        <f>IF(TrRoad_act!C48=0,0,C35/TrRoad_act!C48*1000
)</f>
        <v>349.96099654029757</v>
      </c>
      <c r="D72" s="87">
        <f>IF(TrRoad_act!D48=0,0,D35/TrRoad_act!D48*1000
)</f>
        <v>342.84901892477791</v>
      </c>
      <c r="E72" s="87">
        <f>IF(TrRoad_act!E48=0,0,E35/TrRoad_act!E48*1000
)</f>
        <v>334.16117705052272</v>
      </c>
      <c r="F72" s="87">
        <f>IF(TrRoad_act!F48=0,0,F35/TrRoad_act!F48*1000
)</f>
        <v>325.34002647587687</v>
      </c>
      <c r="G72" s="87">
        <f>IF(TrRoad_act!G48=0,0,G35/TrRoad_act!G48*1000
)</f>
        <v>318.41410623036745</v>
      </c>
      <c r="H72" s="87">
        <f>IF(TrRoad_act!H48=0,0,H35/TrRoad_act!H48*1000
)</f>
        <v>308.66056910316013</v>
      </c>
      <c r="I72" s="87">
        <f>IF(TrRoad_act!I48=0,0,I35/TrRoad_act!I48*1000
)</f>
        <v>302.26392223084412</v>
      </c>
      <c r="J72" s="87">
        <f>IF(TrRoad_act!J48=0,0,J35/TrRoad_act!J48*1000
)</f>
        <v>297.44243170849956</v>
      </c>
      <c r="K72" s="87">
        <f>IF(TrRoad_act!K48=0,0,K35/TrRoad_act!K48*1000
)</f>
        <v>292.15718229015613</v>
      </c>
      <c r="L72" s="87">
        <f>IF(TrRoad_act!L48=0,0,L35/TrRoad_act!L48*1000
)</f>
        <v>279.33357228383034</v>
      </c>
      <c r="M72" s="87">
        <f>IF(TrRoad_act!M48=0,0,M35/TrRoad_act!M48*1000
)</f>
        <v>274.46723915076035</v>
      </c>
      <c r="N72" s="87">
        <f>IF(TrRoad_act!N48=0,0,N35/TrRoad_act!N48*1000
)</f>
        <v>267.59683981722139</v>
      </c>
      <c r="O72" s="87">
        <f>IF(TrRoad_act!O48=0,0,O35/TrRoad_act!O48*1000
)</f>
        <v>267.74980156174371</v>
      </c>
      <c r="P72" s="87">
        <f>IF(TrRoad_act!P48=0,0,P35/TrRoad_act!P48*1000
)</f>
        <v>266.87197597811183</v>
      </c>
      <c r="Q72" s="87">
        <f>IF(TrRoad_act!Q48=0,0,Q35/TrRoad_act!Q48*1000
)</f>
        <v>257.66685912972258</v>
      </c>
      <c r="R72" s="87">
        <f>IF(TrRoad_act!R48=0,0,R35/TrRoad_act!R48*1000
)</f>
        <v>249.24300036117643</v>
      </c>
      <c r="S72" s="87">
        <f>IF(TrRoad_act!S48=0,0,S35/TrRoad_act!S48*1000
)</f>
        <v>241.04857129969011</v>
      </c>
      <c r="T72" s="87">
        <f>IF(TrRoad_act!T48=0,0,T35/TrRoad_act!T48*1000
)</f>
        <v>237.08422084045282</v>
      </c>
      <c r="U72" s="87">
        <f>IF(TrRoad_act!U48=0,0,U35/TrRoad_act!U48*1000
)</f>
        <v>234.42759337775763</v>
      </c>
      <c r="V72" s="87">
        <f>IF(TrRoad_act!V48=0,0,V35/TrRoad_act!V48*1000
)</f>
        <v>233.19591028214512</v>
      </c>
      <c r="W72" s="87">
        <f>IF(TrRoad_act!W48=0,0,W35/TrRoad_act!W48*1000
)</f>
        <v>226.09230926226425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292.05033480402415</v>
      </c>
      <c r="C73" s="87">
        <f>IF(TrRoad_act!C49=0,0,C36/TrRoad_act!C49*1000
)</f>
        <v>303.66519209304602</v>
      </c>
      <c r="D73" s="87">
        <f>IF(TrRoad_act!D49=0,0,D36/TrRoad_act!D49*1000
)</f>
        <v>305.48938686984195</v>
      </c>
      <c r="E73" s="87">
        <f>IF(TrRoad_act!E49=0,0,E36/TrRoad_act!E49*1000
)</f>
        <v>306.78695292578573</v>
      </c>
      <c r="F73" s="87">
        <f>IF(TrRoad_act!F49=0,0,F36/TrRoad_act!F49*1000
)</f>
        <v>294.23516096432678</v>
      </c>
      <c r="G73" s="87">
        <f>IF(TrRoad_act!G49=0,0,G36/TrRoad_act!G49*1000
)</f>
        <v>305.82136049467027</v>
      </c>
      <c r="H73" s="87">
        <f>IF(TrRoad_act!H49=0,0,H36/TrRoad_act!H49*1000
)</f>
        <v>310.86817589206271</v>
      </c>
      <c r="I73" s="87">
        <f>IF(TrRoad_act!I49=0,0,I36/TrRoad_act!I49*1000
)</f>
        <v>298.46796291312472</v>
      </c>
      <c r="J73" s="87">
        <f>IF(TrRoad_act!J49=0,0,J36/TrRoad_act!J49*1000
)</f>
        <v>296.79446925737733</v>
      </c>
      <c r="K73" s="87">
        <f>IF(TrRoad_act!K49=0,0,K36/TrRoad_act!K49*1000
)</f>
        <v>294.93598362851537</v>
      </c>
      <c r="L73" s="87">
        <f>IF(TrRoad_act!L49=0,0,L36/TrRoad_act!L49*1000
)</f>
        <v>299.00996444728412</v>
      </c>
      <c r="M73" s="87">
        <f>IF(TrRoad_act!M49=0,0,M36/TrRoad_act!M49*1000
)</f>
        <v>294.28608074292447</v>
      </c>
      <c r="N73" s="87">
        <f>IF(TrRoad_act!N49=0,0,N36/TrRoad_act!N49*1000
)</f>
        <v>305.15752916009848</v>
      </c>
      <c r="O73" s="87">
        <f>IF(TrRoad_act!O49=0,0,O36/TrRoad_act!O49*1000
)</f>
        <v>292.34431785397572</v>
      </c>
      <c r="P73" s="87">
        <f>IF(TrRoad_act!P49=0,0,P36/TrRoad_act!P49*1000
)</f>
        <v>290.45688714926911</v>
      </c>
      <c r="Q73" s="87">
        <f>IF(TrRoad_act!Q49=0,0,Q36/TrRoad_act!Q49*1000
)</f>
        <v>285.22278332754689</v>
      </c>
      <c r="R73" s="87">
        <f>IF(TrRoad_act!R49=0,0,R36/TrRoad_act!R49*1000
)</f>
        <v>285.46195294553542</v>
      </c>
      <c r="S73" s="87">
        <f>IF(TrRoad_act!S49=0,0,S36/TrRoad_act!S49*1000
)</f>
        <v>283.91927071717259</v>
      </c>
      <c r="T73" s="87">
        <f>IF(TrRoad_act!T49=0,0,T36/TrRoad_act!T49*1000
)</f>
        <v>277.67553873559734</v>
      </c>
      <c r="U73" s="87">
        <f>IF(TrRoad_act!U49=0,0,U36/TrRoad_act!U49*1000
)</f>
        <v>266.76463642289366</v>
      </c>
      <c r="V73" s="87">
        <f>IF(TrRoad_act!V49=0,0,V36/TrRoad_act!V49*1000
)</f>
        <v>257.02707793908331</v>
      </c>
      <c r="W73" s="87">
        <f>IF(TrRoad_act!W49=0,0,W36/TrRoad_act!W49*1000
)</f>
        <v>258.20890420197827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472.87423634752867</v>
      </c>
      <c r="K74" s="87">
        <f>IF(TrRoad_act!K50=0,0,K37/TrRoad_act!K50*1000
)</f>
        <v>472.87423634752861</v>
      </c>
      <c r="L74" s="87">
        <f>IF(TrRoad_act!L50=0,0,L37/TrRoad_act!L50*1000
)</f>
        <v>472.87423634752867</v>
      </c>
      <c r="M74" s="87">
        <f>IF(TrRoad_act!M50=0,0,M37/TrRoad_act!M50*1000
)</f>
        <v>452.6319857935959</v>
      </c>
      <c r="N74" s="87">
        <f>IF(TrRoad_act!N50=0,0,N37/TrRoad_act!N50*1000
)</f>
        <v>428.39970899670431</v>
      </c>
      <c r="O74" s="87">
        <f>IF(TrRoad_act!O50=0,0,O37/TrRoad_act!O50*1000
)</f>
        <v>428.39970899670442</v>
      </c>
      <c r="P74" s="87">
        <f>IF(TrRoad_act!P50=0,0,P37/TrRoad_act!P50*1000
)</f>
        <v>395.68507544122605</v>
      </c>
      <c r="Q74" s="87">
        <f>IF(TrRoad_act!Q50=0,0,Q37/TrRoad_act!Q50*1000
)</f>
        <v>382.4657178204497</v>
      </c>
      <c r="R74" s="87">
        <f>IF(TrRoad_act!R50=0,0,R37/TrRoad_act!R50*1000
)</f>
        <v>331.61928303277432</v>
      </c>
      <c r="S74" s="87">
        <f>IF(TrRoad_act!S50=0,0,S37/TrRoad_act!S50*1000
)</f>
        <v>331.61928303277426</v>
      </c>
      <c r="T74" s="87">
        <f>IF(TrRoad_act!T50=0,0,T37/TrRoad_act!T50*1000
)</f>
        <v>325.08673014654698</v>
      </c>
      <c r="U74" s="87">
        <f>IF(TrRoad_act!U50=0,0,U37/TrRoad_act!U50*1000
)</f>
        <v>325.08673014654693</v>
      </c>
      <c r="V74" s="87">
        <f>IF(TrRoad_act!V50=0,0,V37/TrRoad_act!V50*1000
)</f>
        <v>317.42358147266776</v>
      </c>
      <c r="W74" s="87">
        <f>IF(TrRoad_act!W50=0,0,W37/TrRoad_act!W50*1000
)</f>
        <v>279.08118601772128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1175.7455542555074</v>
      </c>
      <c r="C77" s="116">
        <f>IF(TrRoad_act!C53=0,0,C40/TrRoad_act!C53*1000
)</f>
        <v>1611.2989597586466</v>
      </c>
      <c r="D77" s="116">
        <f>IF(TrRoad_act!D53=0,0,D40/TrRoad_act!D53*1000
)</f>
        <v>1712.1766679282773</v>
      </c>
      <c r="E77" s="116">
        <f>IF(TrRoad_act!E53=0,0,E40/TrRoad_act!E53*1000
)</f>
        <v>1727.2414843271317</v>
      </c>
      <c r="F77" s="116">
        <f>IF(TrRoad_act!F53=0,0,F40/TrRoad_act!F53*1000
)</f>
        <v>1415.2094680255652</v>
      </c>
      <c r="G77" s="116">
        <f>IF(TrRoad_act!G53=0,0,G40/TrRoad_act!G53*1000
)</f>
        <v>1000.5757652439351</v>
      </c>
      <c r="H77" s="116">
        <f>IF(TrRoad_act!H53=0,0,H40/TrRoad_act!H53*1000
)</f>
        <v>1193.2654477047438</v>
      </c>
      <c r="I77" s="116">
        <f>IF(TrRoad_act!I53=0,0,I40/TrRoad_act!I53*1000
)</f>
        <v>979.19340666688902</v>
      </c>
      <c r="J77" s="116">
        <f>IF(TrRoad_act!J53=0,0,J40/TrRoad_act!J53*1000
)</f>
        <v>1070.3873351988284</v>
      </c>
      <c r="K77" s="116">
        <f>IF(TrRoad_act!K53=0,0,K40/TrRoad_act!K53*1000
)</f>
        <v>1253.5488345039328</v>
      </c>
      <c r="L77" s="116">
        <f>IF(TrRoad_act!L53=0,0,L40/TrRoad_act!L53*1000
)</f>
        <v>1504.0829427645722</v>
      </c>
      <c r="M77" s="116">
        <f>IF(TrRoad_act!M53=0,0,M40/TrRoad_act!M53*1000
)</f>
        <v>1548.4628869289563</v>
      </c>
      <c r="N77" s="116">
        <f>IF(TrRoad_act!N53=0,0,N40/TrRoad_act!N53*1000
)</f>
        <v>1306.6852662791389</v>
      </c>
      <c r="O77" s="116">
        <f>IF(TrRoad_act!O53=0,0,O40/TrRoad_act!O53*1000
)</f>
        <v>1259.9113256056867</v>
      </c>
      <c r="P77" s="116">
        <f>IF(TrRoad_act!P53=0,0,P40/TrRoad_act!P53*1000
)</f>
        <v>1200.4591188953905</v>
      </c>
      <c r="Q77" s="116">
        <f>IF(TrRoad_act!Q53=0,0,Q40/TrRoad_act!Q53*1000
)</f>
        <v>1107.6150454000401</v>
      </c>
      <c r="R77" s="116">
        <f>IF(TrRoad_act!R53=0,0,R40/TrRoad_act!R53*1000
)</f>
        <v>1204.2368528347272</v>
      </c>
      <c r="S77" s="116">
        <f>IF(TrRoad_act!S53=0,0,S40/TrRoad_act!S53*1000
)</f>
        <v>1266.0938872961672</v>
      </c>
      <c r="T77" s="116">
        <f>IF(TrRoad_act!T53=0,0,T40/TrRoad_act!T53*1000
)</f>
        <v>1139.3787514457242</v>
      </c>
      <c r="U77" s="116">
        <f>IF(TrRoad_act!U53=0,0,U40/TrRoad_act!U53*1000
)</f>
        <v>1088.3863644101134</v>
      </c>
      <c r="V77" s="116">
        <f>IF(TrRoad_act!V53=0,0,V40/TrRoad_act!V53*1000
)</f>
        <v>1081.9369991505423</v>
      </c>
      <c r="W77" s="116">
        <f>IF(TrRoad_act!W53=0,0,W40/TrRoad_act!W53*1000
)</f>
        <v>996.88946525279891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1178.4328456010239</v>
      </c>
      <c r="C78" s="101">
        <f>IF(TrRoad_act!C54=0,0,C41/TrRoad_act!C54*1000
)</f>
        <v>1347.2411917723623</v>
      </c>
      <c r="D78" s="101">
        <f>IF(TrRoad_act!D54=0,0,D41/TrRoad_act!D54*1000
)</f>
        <v>1385.6990836412572</v>
      </c>
      <c r="E78" s="101">
        <f>IF(TrRoad_act!E54=0,0,E41/TrRoad_act!E54*1000
)</f>
        <v>1386.822316848112</v>
      </c>
      <c r="F78" s="101">
        <f>IF(TrRoad_act!F54=0,0,F41/TrRoad_act!F54*1000
)</f>
        <v>1262.7236756922896</v>
      </c>
      <c r="G78" s="101">
        <f>IF(TrRoad_act!G54=0,0,G41/TrRoad_act!G54*1000
)</f>
        <v>1091.5908608107741</v>
      </c>
      <c r="H78" s="101">
        <f>IF(TrRoad_act!H54=0,0,H41/TrRoad_act!H54*1000
)</f>
        <v>1166.5753712471012</v>
      </c>
      <c r="I78" s="101">
        <f>IF(TrRoad_act!I54=0,0,I41/TrRoad_act!I54*1000
)</f>
        <v>1068.424069279047</v>
      </c>
      <c r="J78" s="101">
        <f>IF(TrRoad_act!J54=0,0,J41/TrRoad_act!J54*1000
)</f>
        <v>1091.1029576336471</v>
      </c>
      <c r="K78" s="101">
        <f>IF(TrRoad_act!K54=0,0,K41/TrRoad_act!K54*1000
)</f>
        <v>1152.7650902179685</v>
      </c>
      <c r="L78" s="101">
        <f>IF(TrRoad_act!L54=0,0,L41/TrRoad_act!L54*1000
)</f>
        <v>1269.5066233208008</v>
      </c>
      <c r="M78" s="101">
        <f>IF(TrRoad_act!M54=0,0,M41/TrRoad_act!M54*1000
)</f>
        <v>1269.5578867112285</v>
      </c>
      <c r="N78" s="101">
        <f>IF(TrRoad_act!N54=0,0,N41/TrRoad_act!N54*1000
)</f>
        <v>1173.5791319690775</v>
      </c>
      <c r="O78" s="101">
        <f>IF(TrRoad_act!O54=0,0,O41/TrRoad_act!O54*1000
)</f>
        <v>1143.8029704107921</v>
      </c>
      <c r="P78" s="101">
        <f>IF(TrRoad_act!P54=0,0,P41/TrRoad_act!P54*1000
)</f>
        <v>1121.6512133410463</v>
      </c>
      <c r="Q78" s="101">
        <f>IF(TrRoad_act!Q54=0,0,Q41/TrRoad_act!Q54*1000
)</f>
        <v>1078.7249594431005</v>
      </c>
      <c r="R78" s="101">
        <f>IF(TrRoad_act!R54=0,0,R41/TrRoad_act!R54*1000
)</f>
        <v>1104.4498856536047</v>
      </c>
      <c r="S78" s="101">
        <f>IF(TrRoad_act!S54=0,0,S41/TrRoad_act!S54*1000
)</f>
        <v>1114.8143817095738</v>
      </c>
      <c r="T78" s="101">
        <f>IF(TrRoad_act!T54=0,0,T41/TrRoad_act!T54*1000
)</f>
        <v>1053.3543310403129</v>
      </c>
      <c r="U78" s="101">
        <f>IF(TrRoad_act!U54=0,0,U41/TrRoad_act!U54*1000
)</f>
        <v>1008.1234030323543</v>
      </c>
      <c r="V78" s="101">
        <f>IF(TrRoad_act!V54=0,0,V41/TrRoad_act!V54*1000
)</f>
        <v>991.90827201394143</v>
      </c>
      <c r="W78" s="101">
        <f>IF(TrRoad_act!W54=0,0,W41/TrRoad_act!W54*1000
)</f>
        <v>949.34998783713149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1172.9354102760813</v>
      </c>
      <c r="C79" s="88">
        <f>IF(TrRoad_act!C55=0,0,C42/TrRoad_act!C55*1000
)</f>
        <v>1888.7905742226553</v>
      </c>
      <c r="D79" s="88">
        <f>IF(TrRoad_act!D55=0,0,D42/TrRoad_act!D55*1000
)</f>
        <v>2048.5520720779577</v>
      </c>
      <c r="E79" s="88">
        <f>IF(TrRoad_act!E55=0,0,E42/TrRoad_act!E55*1000
)</f>
        <v>2153.4144371574189</v>
      </c>
      <c r="F79" s="88">
        <f>IF(TrRoad_act!F55=0,0,F42/TrRoad_act!F55*1000
)</f>
        <v>1588.6691805102405</v>
      </c>
      <c r="G79" s="88">
        <f>IF(TrRoad_act!G55=0,0,G42/TrRoad_act!G55*1000
)</f>
        <v>868.15432539958272</v>
      </c>
      <c r="H79" s="88">
        <f>IF(TrRoad_act!H55=0,0,H42/TrRoad_act!H55*1000
)</f>
        <v>1254.1978906135066</v>
      </c>
      <c r="I79" s="88">
        <f>IF(TrRoad_act!I55=0,0,I42/TrRoad_act!I55*1000
)</f>
        <v>778.45605953541747</v>
      </c>
      <c r="J79" s="88">
        <f>IF(TrRoad_act!J55=0,0,J42/TrRoad_act!J55*1000
)</f>
        <v>1011.6128370360127</v>
      </c>
      <c r="K79" s="88">
        <f>IF(TrRoad_act!K55=0,0,K42/TrRoad_act!K55*1000
)</f>
        <v>1722.2816522681806</v>
      </c>
      <c r="L79" s="88">
        <f>IF(TrRoad_act!L55=0,0,L42/TrRoad_act!L55*1000
)</f>
        <v>2274.3731972784599</v>
      </c>
      <c r="M79" s="88">
        <f>IF(TrRoad_act!M55=0,0,M42/TrRoad_act!M55*1000
)</f>
        <v>2444.56847335974</v>
      </c>
      <c r="N79" s="88">
        <f>IF(TrRoad_act!N55=0,0,N42/TrRoad_act!N55*1000
)</f>
        <v>1695.448506086999</v>
      </c>
      <c r="O79" s="88">
        <f>IF(TrRoad_act!O55=0,0,O42/TrRoad_act!O55*1000
)</f>
        <v>1580.4559730029398</v>
      </c>
      <c r="P79" s="88">
        <f>IF(TrRoad_act!P55=0,0,P42/TrRoad_act!P55*1000
)</f>
        <v>1417.2503922561832</v>
      </c>
      <c r="Q79" s="88">
        <f>IF(TrRoad_act!Q55=0,0,Q42/TrRoad_act!Q55*1000
)</f>
        <v>1186.2847237891642</v>
      </c>
      <c r="R79" s="88">
        <f>IF(TrRoad_act!R55=0,0,R42/TrRoad_act!R55*1000
)</f>
        <v>1467.4563112236381</v>
      </c>
      <c r="S79" s="88">
        <f>IF(TrRoad_act!S55=0,0,S42/TrRoad_act!S55*1000
)</f>
        <v>1619.2054511047904</v>
      </c>
      <c r="T79" s="88">
        <f>IF(TrRoad_act!T55=0,0,T42/TrRoad_act!T55*1000
)</f>
        <v>1367.4635340179038</v>
      </c>
      <c r="U79" s="88">
        <f>IF(TrRoad_act!U55=0,0,U42/TrRoad_act!U55*1000
)</f>
        <v>1331.0161299695212</v>
      </c>
      <c r="V79" s="88">
        <f>IF(TrRoad_act!V55=0,0,V42/TrRoad_act!V55*1000
)</f>
        <v>1423.2912776602232</v>
      </c>
      <c r="W79" s="88">
        <f>IF(TrRoad_act!W55=0,0,W42/TrRoad_act!W55*1000
)</f>
        <v>1142.7845489136844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90.425452089059448</v>
      </c>
      <c r="C82" s="29">
        <f>IF(TrRoad_act!C4=0,0,C18/TrRoad_act!C4*1000)</f>
        <v>114.66674814738526</v>
      </c>
      <c r="D82" s="29">
        <f>IF(TrRoad_act!D4=0,0,D18/TrRoad_act!D4*1000)</f>
        <v>112.26348285483505</v>
      </c>
      <c r="E82" s="29">
        <f>IF(TrRoad_act!E4=0,0,E18/TrRoad_act!E4*1000)</f>
        <v>111.76129276197626</v>
      </c>
      <c r="F82" s="29">
        <f>IF(TrRoad_act!F4=0,0,F18/TrRoad_act!F4*1000)</f>
        <v>118.7299608535218</v>
      </c>
      <c r="G82" s="29">
        <f>IF(TrRoad_act!G4=0,0,G18/TrRoad_act!G4*1000)</f>
        <v>107.44673600307974</v>
      </c>
      <c r="H82" s="29">
        <f>IF(TrRoad_act!H4=0,0,H18/TrRoad_act!H4*1000)</f>
        <v>101.97777235428248</v>
      </c>
      <c r="I82" s="29">
        <f>IF(TrRoad_act!I4=0,0,I18/TrRoad_act!I4*1000)</f>
        <v>103.25356058117281</v>
      </c>
      <c r="J82" s="29">
        <f>IF(TrRoad_act!J4=0,0,J18/TrRoad_act!J4*1000)</f>
        <v>105.76046793837527</v>
      </c>
      <c r="K82" s="29">
        <f>IF(TrRoad_act!K4=0,0,K18/TrRoad_act!K4*1000)</f>
        <v>108.0393672851884</v>
      </c>
      <c r="L82" s="29">
        <f>IF(TrRoad_act!L4=0,0,L18/TrRoad_act!L4*1000)</f>
        <v>107.75239391154547</v>
      </c>
      <c r="M82" s="29">
        <f>IF(TrRoad_act!M4=0,0,M18/TrRoad_act!M4*1000)</f>
        <v>112.04497533277257</v>
      </c>
      <c r="N82" s="29">
        <f>IF(TrRoad_act!N4=0,0,N18/TrRoad_act!N4*1000)</f>
        <v>114.26114381666665</v>
      </c>
      <c r="O82" s="29">
        <f>IF(TrRoad_act!O4=0,0,O18/TrRoad_act!O4*1000)</f>
        <v>106.4388727101006</v>
      </c>
      <c r="P82" s="29">
        <f>IF(TrRoad_act!P4=0,0,P18/TrRoad_act!P4*1000)</f>
        <v>105.37595816129897</v>
      </c>
      <c r="Q82" s="29">
        <f>IF(TrRoad_act!Q4=0,0,Q18/TrRoad_act!Q4*1000)</f>
        <v>95.979950436032411</v>
      </c>
      <c r="R82" s="29">
        <f>IF(TrRoad_act!R4=0,0,R18/TrRoad_act!R4*1000)</f>
        <v>97.237575449661392</v>
      </c>
      <c r="S82" s="29">
        <f>IF(TrRoad_act!S4=0,0,S18/TrRoad_act!S4*1000)</f>
        <v>101.9632564932374</v>
      </c>
      <c r="T82" s="29">
        <f>IF(TrRoad_act!T4=0,0,T18/TrRoad_act!T4*1000)</f>
        <v>99.284461195281409</v>
      </c>
      <c r="U82" s="29">
        <f>IF(TrRoad_act!U4=0,0,U18/TrRoad_act!U4*1000)</f>
        <v>95.554273529184144</v>
      </c>
      <c r="V82" s="29">
        <f>IF(TrRoad_act!V4=0,0,V18/TrRoad_act!V4*1000)</f>
        <v>108.29785689267979</v>
      </c>
      <c r="W82" s="29">
        <f>IF(TrRoad_act!W4=0,0,W18/TrRoad_act!W4*1000)</f>
        <v>104.67238588413272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117.68222185121742</v>
      </c>
      <c r="C83" s="152">
        <f>IF(TrRoad_act!C5=0,0,C19/TrRoad_act!C5*1000)</f>
        <v>117.50906760200118</v>
      </c>
      <c r="D83" s="152">
        <f>IF(TrRoad_act!D5=0,0,D19/TrRoad_act!D5*1000)</f>
        <v>117.36429754713414</v>
      </c>
      <c r="E83" s="152">
        <f>IF(TrRoad_act!E5=0,0,E19/TrRoad_act!E5*1000)</f>
        <v>116.90228534187646</v>
      </c>
      <c r="F83" s="152">
        <f>IF(TrRoad_act!F5=0,0,F19/TrRoad_act!F5*1000)</f>
        <v>116.41138727547828</v>
      </c>
      <c r="G83" s="152">
        <f>IF(TrRoad_act!G5=0,0,G19/TrRoad_act!G5*1000)</f>
        <v>110.3741406201059</v>
      </c>
      <c r="H83" s="152">
        <f>IF(TrRoad_act!H5=0,0,H19/TrRoad_act!H5*1000)</f>
        <v>108.52450549456586</v>
      </c>
      <c r="I83" s="152">
        <f>IF(TrRoad_act!I5=0,0,I19/TrRoad_act!I5*1000)</f>
        <v>106.85215152657673</v>
      </c>
      <c r="J83" s="152">
        <f>IF(TrRoad_act!J5=0,0,J19/TrRoad_act!J5*1000)</f>
        <v>102.50051835068042</v>
      </c>
      <c r="K83" s="152">
        <f>IF(TrRoad_act!K5=0,0,K19/TrRoad_act!K5*1000)</f>
        <v>99.886184475516501</v>
      </c>
      <c r="L83" s="152">
        <f>IF(TrRoad_act!L5=0,0,L19/TrRoad_act!L5*1000)</f>
        <v>95.408303262863299</v>
      </c>
      <c r="M83" s="152">
        <f>IF(TrRoad_act!M5=0,0,M19/TrRoad_act!M5*1000)</f>
        <v>93.693236076617296</v>
      </c>
      <c r="N83" s="152">
        <f>IF(TrRoad_act!N5=0,0,N19/TrRoad_act!N5*1000)</f>
        <v>91.966892002280247</v>
      </c>
      <c r="O83" s="152">
        <f>IF(TrRoad_act!O5=0,0,O19/TrRoad_act!O5*1000)</f>
        <v>90.338619541461654</v>
      </c>
      <c r="P83" s="152">
        <f>IF(TrRoad_act!P5=0,0,P19/TrRoad_act!P5*1000)</f>
        <v>89.835305728394673</v>
      </c>
      <c r="Q83" s="152">
        <f>IF(TrRoad_act!Q5=0,0,Q19/TrRoad_act!Q5*1000)</f>
        <v>86.906343296171329</v>
      </c>
      <c r="R83" s="152">
        <f>IF(TrRoad_act!R5=0,0,R19/TrRoad_act!R5*1000)</f>
        <v>84.397831688715769</v>
      </c>
      <c r="S83" s="152">
        <f>IF(TrRoad_act!S5=0,0,S19/TrRoad_act!S5*1000)</f>
        <v>82.666674628631924</v>
      </c>
      <c r="T83" s="152">
        <f>IF(TrRoad_act!T5=0,0,T19/TrRoad_act!T5*1000)</f>
        <v>81.200770110074046</v>
      </c>
      <c r="U83" s="152">
        <f>IF(TrRoad_act!U5=0,0,U19/TrRoad_act!U5*1000)</f>
        <v>79.297918568792284</v>
      </c>
      <c r="V83" s="152">
        <f>IF(TrRoad_act!V5=0,0,V19/TrRoad_act!V5*1000)</f>
        <v>78.541237786391065</v>
      </c>
      <c r="W83" s="152">
        <f>IF(TrRoad_act!W5=0,0,W19/TrRoad_act!W5*1000)</f>
        <v>67.592284438092435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74.050919164154053</v>
      </c>
      <c r="C84" s="116">
        <f>IF(TrRoad_act!C6=0,0,C20/TrRoad_act!C6*1000)</f>
        <v>95.93179445141979</v>
      </c>
      <c r="D84" s="116">
        <f>IF(TrRoad_act!D6=0,0,D20/TrRoad_act!D6*1000)</f>
        <v>95.06309845865394</v>
      </c>
      <c r="E84" s="116">
        <f>IF(TrRoad_act!E6=0,0,E20/TrRoad_act!E6*1000)</f>
        <v>96.259518241287836</v>
      </c>
      <c r="F84" s="116">
        <f>IF(TrRoad_act!F6=0,0,F20/TrRoad_act!F6*1000)</f>
        <v>102.88449232568257</v>
      </c>
      <c r="G84" s="116">
        <f>IF(TrRoad_act!G6=0,0,G20/TrRoad_act!G6*1000)</f>
        <v>97.005958212011052</v>
      </c>
      <c r="H84" s="116">
        <f>IF(TrRoad_act!H6=0,0,H20/TrRoad_act!H6*1000)</f>
        <v>93.117315754178236</v>
      </c>
      <c r="I84" s="116">
        <f>IF(TrRoad_act!I6=0,0,I20/TrRoad_act!I6*1000)</f>
        <v>93.422842128168639</v>
      </c>
      <c r="J84" s="116">
        <f>IF(TrRoad_act!J6=0,0,J20/TrRoad_act!J6*1000)</f>
        <v>99.070678762505651</v>
      </c>
      <c r="K84" s="116">
        <f>IF(TrRoad_act!K6=0,0,K20/TrRoad_act!K6*1000)</f>
        <v>97.527059546215241</v>
      </c>
      <c r="L84" s="116">
        <f>IF(TrRoad_act!L6=0,0,L20/TrRoad_act!L6*1000)</f>
        <v>93.958867553995034</v>
      </c>
      <c r="M84" s="116">
        <f>IF(TrRoad_act!M6=0,0,M20/TrRoad_act!M6*1000)</f>
        <v>98.485668100287</v>
      </c>
      <c r="N84" s="116">
        <f>IF(TrRoad_act!N6=0,0,N20/TrRoad_act!N6*1000)</f>
        <v>102.03556814664597</v>
      </c>
      <c r="O84" s="116">
        <f>IF(TrRoad_act!O6=0,0,O20/TrRoad_act!O6*1000)</f>
        <v>92.820481522133676</v>
      </c>
      <c r="P84" s="116">
        <f>IF(TrRoad_act!P6=0,0,P20/TrRoad_act!P6*1000)</f>
        <v>92.086694682569615</v>
      </c>
      <c r="Q84" s="116">
        <f>IF(TrRoad_act!Q6=0,0,Q20/TrRoad_act!Q6*1000)</f>
        <v>87.319583412635538</v>
      </c>
      <c r="R84" s="116">
        <f>IF(TrRoad_act!R6=0,0,R20/TrRoad_act!R6*1000)</f>
        <v>88.600808531964205</v>
      </c>
      <c r="S84" s="116">
        <f>IF(TrRoad_act!S6=0,0,S20/TrRoad_act!S6*1000)</f>
        <v>92.382884746896522</v>
      </c>
      <c r="T84" s="116">
        <f>IF(TrRoad_act!T6=0,0,T20/TrRoad_act!T6*1000)</f>
        <v>90.466702632513218</v>
      </c>
      <c r="U84" s="116">
        <f>IF(TrRoad_act!U6=0,0,U20/TrRoad_act!U6*1000)</f>
        <v>86.360457437175697</v>
      </c>
      <c r="V84" s="116">
        <f>IF(TrRoad_act!V6=0,0,V20/TrRoad_act!V6*1000)</f>
        <v>91.363454576055688</v>
      </c>
      <c r="W84" s="116">
        <f>IF(TrRoad_act!W6=0,0,W20/TrRoad_act!W6*1000)</f>
        <v>88.51717959356165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74.060845026780669</v>
      </c>
      <c r="C85" s="87">
        <f>IF(TrRoad_act!C7=0,0,C21/TrRoad_act!C7*1000)</f>
        <v>96.11065680387415</v>
      </c>
      <c r="D85" s="87">
        <f>IF(TrRoad_act!D7=0,0,D21/TrRoad_act!D7*1000)</f>
        <v>95.344896577541007</v>
      </c>
      <c r="E85" s="87">
        <f>IF(TrRoad_act!E7=0,0,E21/TrRoad_act!E7*1000)</f>
        <v>98.31700921540012</v>
      </c>
      <c r="F85" s="87">
        <f>IF(TrRoad_act!F7=0,0,F21/TrRoad_act!F7*1000)</f>
        <v>102.25048684106599</v>
      </c>
      <c r="G85" s="87">
        <f>IF(TrRoad_act!G7=0,0,G21/TrRoad_act!G7*1000)</f>
        <v>99.28838500403026</v>
      </c>
      <c r="H85" s="87">
        <f>IF(TrRoad_act!H7=0,0,H21/TrRoad_act!H7*1000)</f>
        <v>94.629826159131838</v>
      </c>
      <c r="I85" s="87">
        <f>IF(TrRoad_act!I7=0,0,I21/TrRoad_act!I7*1000)</f>
        <v>100.34779429160959</v>
      </c>
      <c r="J85" s="87">
        <f>IF(TrRoad_act!J7=0,0,J21/TrRoad_act!J7*1000)</f>
        <v>111.83867633927517</v>
      </c>
      <c r="K85" s="87">
        <f>IF(TrRoad_act!K7=0,0,K21/TrRoad_act!K7*1000)</f>
        <v>109.63235787473089</v>
      </c>
      <c r="L85" s="87">
        <f>IF(TrRoad_act!L7=0,0,L21/TrRoad_act!L7*1000)</f>
        <v>102.47470667813982</v>
      </c>
      <c r="M85" s="87">
        <f>IF(TrRoad_act!M7=0,0,M21/TrRoad_act!M7*1000)</f>
        <v>113.24452699168206</v>
      </c>
      <c r="N85" s="87">
        <f>IF(TrRoad_act!N7=0,0,N21/TrRoad_act!N7*1000)</f>
        <v>115.41780142991159</v>
      </c>
      <c r="O85" s="87">
        <f>IF(TrRoad_act!O7=0,0,O21/TrRoad_act!O7*1000)</f>
        <v>100.8859923522717</v>
      </c>
      <c r="P85" s="87">
        <f>IF(TrRoad_act!P7=0,0,P21/TrRoad_act!P7*1000)</f>
        <v>98.206540316772148</v>
      </c>
      <c r="Q85" s="87">
        <f>IF(TrRoad_act!Q7=0,0,Q21/TrRoad_act!Q7*1000)</f>
        <v>91.963432119636963</v>
      </c>
      <c r="R85" s="87">
        <f>IF(TrRoad_act!R7=0,0,R21/TrRoad_act!R7*1000)</f>
        <v>97.69856516195361</v>
      </c>
      <c r="S85" s="87">
        <f>IF(TrRoad_act!S7=0,0,S21/TrRoad_act!S7*1000)</f>
        <v>100.45388569223131</v>
      </c>
      <c r="T85" s="87">
        <f>IF(TrRoad_act!T7=0,0,T21/TrRoad_act!T7*1000)</f>
        <v>98.508078097103663</v>
      </c>
      <c r="U85" s="87">
        <f>IF(TrRoad_act!U7=0,0,U21/TrRoad_act!U7*1000)</f>
        <v>96.986702028999886</v>
      </c>
      <c r="V85" s="87">
        <f>IF(TrRoad_act!V7=0,0,V21/TrRoad_act!V7*1000)</f>
        <v>96.693474965071871</v>
      </c>
      <c r="W85" s="87">
        <f>IF(TrRoad_act!W7=0,0,W21/TrRoad_act!W7*1000)</f>
        <v>93.445078919890065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73.987712349953412</v>
      </c>
      <c r="C86" s="87">
        <f>IF(TrRoad_act!C8=0,0,C22/TrRoad_act!C8*1000)</f>
        <v>94.854760379810372</v>
      </c>
      <c r="D86" s="87">
        <f>IF(TrRoad_act!D8=0,0,D22/TrRoad_act!D8*1000)</f>
        <v>93.680053905579371</v>
      </c>
      <c r="E86" s="87">
        <f>IF(TrRoad_act!E8=0,0,E22/TrRoad_act!E8*1000)</f>
        <v>88.635887531730702</v>
      </c>
      <c r="F86" s="87">
        <f>IF(TrRoad_act!F8=0,0,F22/TrRoad_act!F8*1000)</f>
        <v>90.703574401465858</v>
      </c>
      <c r="G86" s="87">
        <f>IF(TrRoad_act!G8=0,0,G22/TrRoad_act!G8*1000)</f>
        <v>86.793916875222848</v>
      </c>
      <c r="H86" s="87">
        <f>IF(TrRoad_act!H8=0,0,H22/TrRoad_act!H8*1000)</f>
        <v>90.537356652883446</v>
      </c>
      <c r="I86" s="87">
        <f>IF(TrRoad_act!I8=0,0,I22/TrRoad_act!I8*1000)</f>
        <v>82.798488313982318</v>
      </c>
      <c r="J86" s="87">
        <f>IF(TrRoad_act!J8=0,0,J22/TrRoad_act!J8*1000)</f>
        <v>84.494392045697808</v>
      </c>
      <c r="K86" s="87">
        <f>IF(TrRoad_act!K8=0,0,K22/TrRoad_act!K8*1000)</f>
        <v>83.306183471691881</v>
      </c>
      <c r="L86" s="87">
        <f>IF(TrRoad_act!L8=0,0,L22/TrRoad_act!L8*1000)</f>
        <v>86.229286718388224</v>
      </c>
      <c r="M86" s="87">
        <f>IF(TrRoad_act!M8=0,0,M22/TrRoad_act!M8*1000)</f>
        <v>86.335157500107101</v>
      </c>
      <c r="N86" s="87">
        <f>IF(TrRoad_act!N8=0,0,N22/TrRoad_act!N8*1000)</f>
        <v>92.954868838821</v>
      </c>
      <c r="O86" s="87">
        <f>IF(TrRoad_act!O8=0,0,O22/TrRoad_act!O8*1000)</f>
        <v>86.609468464136597</v>
      </c>
      <c r="P86" s="87">
        <f>IF(TrRoad_act!P8=0,0,P22/TrRoad_act!P8*1000)</f>
        <v>86.831454067088231</v>
      </c>
      <c r="Q86" s="87">
        <f>IF(TrRoad_act!Q8=0,0,Q22/TrRoad_act!Q8*1000)</f>
        <v>83.684127281353597</v>
      </c>
      <c r="R86" s="87">
        <f>IF(TrRoad_act!R8=0,0,R22/TrRoad_act!R8*1000)</f>
        <v>82.25471202534051</v>
      </c>
      <c r="S86" s="87">
        <f>IF(TrRoad_act!S8=0,0,S22/TrRoad_act!S8*1000)</f>
        <v>87.084623414083495</v>
      </c>
      <c r="T86" s="87">
        <f>IF(TrRoad_act!T8=0,0,T22/TrRoad_act!T8*1000)</f>
        <v>85.710000289456502</v>
      </c>
      <c r="U86" s="87">
        <f>IF(TrRoad_act!U8=0,0,U22/TrRoad_act!U8*1000)</f>
        <v>80.577260335462256</v>
      </c>
      <c r="V86" s="87">
        <f>IF(TrRoad_act!V8=0,0,V22/TrRoad_act!V8*1000)</f>
        <v>89.149651172020029</v>
      </c>
      <c r="W86" s="87">
        <f>IF(TrRoad_act!W8=0,0,W22/TrRoad_act!W8*1000)</f>
        <v>87.681316147845848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0</v>
      </c>
      <c r="C87" s="87">
        <f>IF(TrRoad_act!C9=0,0,C23/TrRoad_act!C9*1000)</f>
        <v>0</v>
      </c>
      <c r="D87" s="87">
        <f>IF(TrRoad_act!D9=0,0,D23/TrRoad_act!D9*1000)</f>
        <v>103.13015109686154</v>
      </c>
      <c r="E87" s="87">
        <f>IF(TrRoad_act!E9=0,0,E23/TrRoad_act!E9*1000)</f>
        <v>97.636640265422372</v>
      </c>
      <c r="F87" s="87">
        <f>IF(TrRoad_act!F9=0,0,F23/TrRoad_act!F9*1000)</f>
        <v>484.82782349051558</v>
      </c>
      <c r="G87" s="87">
        <f>IF(TrRoad_act!G9=0,0,G23/TrRoad_act!G9*1000)</f>
        <v>274.84347372074359</v>
      </c>
      <c r="H87" s="87">
        <f>IF(TrRoad_act!H9=0,0,H23/TrRoad_act!H9*1000)</f>
        <v>89.175340676102024</v>
      </c>
      <c r="I87" s="87">
        <f>IF(TrRoad_act!I9=0,0,I23/TrRoad_act!I9*1000)</f>
        <v>131.00507956233329</v>
      </c>
      <c r="J87" s="87">
        <f>IF(TrRoad_act!J9=0,0,J23/TrRoad_act!J9*1000)</f>
        <v>200.28914409123479</v>
      </c>
      <c r="K87" s="87">
        <f>IF(TrRoad_act!K9=0,0,K23/TrRoad_act!K9*1000)</f>
        <v>324.12189831275936</v>
      </c>
      <c r="L87" s="87">
        <f>IF(TrRoad_act!L9=0,0,L23/TrRoad_act!L9*1000)</f>
        <v>97.149408801517751</v>
      </c>
      <c r="M87" s="87">
        <f>IF(TrRoad_act!M9=0,0,M23/TrRoad_act!M9*1000)</f>
        <v>143.76737535606151</v>
      </c>
      <c r="N87" s="87">
        <f>IF(TrRoad_act!N9=0,0,N23/TrRoad_act!N9*1000)</f>
        <v>115.70049634821176</v>
      </c>
      <c r="O87" s="87">
        <f>IF(TrRoad_act!O9=0,0,O23/TrRoad_act!O9*1000)</f>
        <v>116.18412098475686</v>
      </c>
      <c r="P87" s="87">
        <f>IF(TrRoad_act!P9=0,0,P23/TrRoad_act!P9*1000)</f>
        <v>114.38417404995765</v>
      </c>
      <c r="Q87" s="87">
        <f>IF(TrRoad_act!Q9=0,0,Q23/TrRoad_act!Q9*1000)</f>
        <v>99.414268161793373</v>
      </c>
      <c r="R87" s="87">
        <f>IF(TrRoad_act!R9=0,0,R23/TrRoad_act!R9*1000)</f>
        <v>112.83111426389095</v>
      </c>
      <c r="S87" s="87">
        <f>IF(TrRoad_act!S9=0,0,S23/TrRoad_act!S9*1000)</f>
        <v>108.64018871021055</v>
      </c>
      <c r="T87" s="87">
        <f>IF(TrRoad_act!T9=0,0,T23/TrRoad_act!T9*1000)</f>
        <v>102.94825467371382</v>
      </c>
      <c r="U87" s="87">
        <f>IF(TrRoad_act!U9=0,0,U23/TrRoad_act!U9*1000)</f>
        <v>98.704470582897798</v>
      </c>
      <c r="V87" s="87">
        <f>IF(TrRoad_act!V9=0,0,V23/TrRoad_act!V9*1000)</f>
        <v>79.773271292727046</v>
      </c>
      <c r="W87" s="87">
        <f>IF(TrRoad_act!W9=0,0,W23/TrRoad_act!W9*1000)</f>
        <v>60.664069133976582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74.942798161916471</v>
      </c>
      <c r="O89" s="87">
        <f>IF(TrRoad_act!O11=0,0,O25/TrRoad_act!O11*1000)</f>
        <v>65.978575316138134</v>
      </c>
      <c r="P89" s="87">
        <f>IF(TrRoad_act!P11=0,0,P25/TrRoad_act!P11*1000)</f>
        <v>61.942294490119394</v>
      </c>
      <c r="Q89" s="87">
        <f>IF(TrRoad_act!Q11=0,0,Q25/TrRoad_act!Q11*1000)</f>
        <v>53.456000339773944</v>
      </c>
      <c r="R89" s="87">
        <f>IF(TrRoad_act!R11=0,0,R25/TrRoad_act!R11*1000)</f>
        <v>32.430120649336025</v>
      </c>
      <c r="S89" s="87">
        <f>IF(TrRoad_act!S11=0,0,S25/TrRoad_act!S11*1000)</f>
        <v>38.219936623244791</v>
      </c>
      <c r="T89" s="87">
        <f>IF(TrRoad_act!T11=0,0,T25/TrRoad_act!T11*1000)</f>
        <v>34.055662730013402</v>
      </c>
      <c r="U89" s="87">
        <f>IF(TrRoad_act!U11=0,0,U25/TrRoad_act!U11*1000)</f>
        <v>32.187181199748899</v>
      </c>
      <c r="V89" s="87">
        <f>IF(TrRoad_act!V11=0,0,V25/TrRoad_act!V11*1000)</f>
        <v>29.089026258740041</v>
      </c>
      <c r="W89" s="87">
        <f>IF(TrRoad_act!W11=0,0,W25/TrRoad_act!W11*1000)</f>
        <v>24.029148693328167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197.89852547131727</v>
      </c>
      <c r="C91" s="116">
        <f>IF(TrRoad_act!C13=0,0,C27/TrRoad_act!C13*1000)</f>
        <v>253.61774569311808</v>
      </c>
      <c r="D91" s="116">
        <f>IF(TrRoad_act!D13=0,0,D27/TrRoad_act!D13*1000)</f>
        <v>244.99844281088494</v>
      </c>
      <c r="E91" s="116">
        <f>IF(TrRoad_act!E13=0,0,E27/TrRoad_act!E13*1000)</f>
        <v>203.42446091544207</v>
      </c>
      <c r="F91" s="116">
        <f>IF(TrRoad_act!F13=0,0,F27/TrRoad_act!F13*1000)</f>
        <v>216.17509066350823</v>
      </c>
      <c r="G91" s="116">
        <f>IF(TrRoad_act!G13=0,0,G27/TrRoad_act!G13*1000)</f>
        <v>161.29976204598401</v>
      </c>
      <c r="H91" s="116">
        <f>IF(TrRoad_act!H13=0,0,H27/TrRoad_act!H13*1000)</f>
        <v>150.20350760763858</v>
      </c>
      <c r="I91" s="116">
        <f>IF(TrRoad_act!I13=0,0,I27/TrRoad_act!I13*1000)</f>
        <v>157.74277929994233</v>
      </c>
      <c r="J91" s="116">
        <f>IF(TrRoad_act!J13=0,0,J27/TrRoad_act!J13*1000)</f>
        <v>129.18244314011523</v>
      </c>
      <c r="K91" s="116">
        <f>IF(TrRoad_act!K13=0,0,K27/TrRoad_act!K13*1000)</f>
        <v>154.64806827247301</v>
      </c>
      <c r="L91" s="116">
        <f>IF(TrRoad_act!L13=0,0,L27/TrRoad_act!L13*1000)</f>
        <v>173.98836551864417</v>
      </c>
      <c r="M91" s="116">
        <f>IF(TrRoad_act!M13=0,0,M27/TrRoad_act!M13*1000)</f>
        <v>178.11359013088259</v>
      </c>
      <c r="N91" s="116">
        <f>IF(TrRoad_act!N13=0,0,N27/TrRoad_act!N13*1000)</f>
        <v>170.69332251999342</v>
      </c>
      <c r="O91" s="116">
        <f>IF(TrRoad_act!O13=0,0,O27/TrRoad_act!O13*1000)</f>
        <v>171.04444908620027</v>
      </c>
      <c r="P91" s="116">
        <f>IF(TrRoad_act!P13=0,0,P27/TrRoad_act!P13*1000)</f>
        <v>167.61993894540035</v>
      </c>
      <c r="Q91" s="116">
        <f>IF(TrRoad_act!Q13=0,0,Q27/TrRoad_act!Q13*1000)</f>
        <v>127.51286020770087</v>
      </c>
      <c r="R91" s="116">
        <f>IF(TrRoad_act!R13=0,0,R27/TrRoad_act!R13*1000)</f>
        <v>129.79313113326336</v>
      </c>
      <c r="S91" s="116">
        <f>IF(TrRoad_act!S13=0,0,S27/TrRoad_act!S13*1000)</f>
        <v>139.71723875717404</v>
      </c>
      <c r="T91" s="116">
        <f>IF(TrRoad_act!T13=0,0,T27/TrRoad_act!T13*1000)</f>
        <v>133.96067713719549</v>
      </c>
      <c r="U91" s="116">
        <f>IF(TrRoad_act!U13=0,0,U27/TrRoad_act!U13*1000)</f>
        <v>134.02156925889895</v>
      </c>
      <c r="V91" s="116">
        <f>IF(TrRoad_act!V13=0,0,V27/TrRoad_act!V13*1000)</f>
        <v>199.03529399495906</v>
      </c>
      <c r="W91" s="116">
        <f>IF(TrRoad_act!W13=0,0,W27/TrRoad_act!W13*1000)</f>
        <v>195.23193952349615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74.541410414185791</v>
      </c>
      <c r="K92" s="101">
        <f>IF(TrRoad_act!K14=0,0,K28/TrRoad_act!K14*1000)</f>
        <v>75.328715863328</v>
      </c>
      <c r="L92" s="101">
        <f>IF(TrRoad_act!L14=0,0,L28/TrRoad_act!L14*1000)</f>
        <v>73.378306606433426</v>
      </c>
      <c r="M92" s="101">
        <f>IF(TrRoad_act!M14=0,0,M28/TrRoad_act!M14*1000)</f>
        <v>73.409751367785063</v>
      </c>
      <c r="N92" s="101">
        <f>IF(TrRoad_act!N14=0,0,N28/TrRoad_act!N14*1000)</f>
        <v>72.586189621932192</v>
      </c>
      <c r="O92" s="101">
        <f>IF(TrRoad_act!O14=0,0,O28/TrRoad_act!O14*1000)</f>
        <v>72.742665760054365</v>
      </c>
      <c r="P92" s="101">
        <f>IF(TrRoad_act!P14=0,0,P28/TrRoad_act!P14*1000)</f>
        <v>73.541010384138559</v>
      </c>
      <c r="Q92" s="101">
        <f>IF(TrRoad_act!Q14=0,0,Q28/TrRoad_act!Q14*1000)</f>
        <v>71.079247438727634</v>
      </c>
      <c r="R92" s="101">
        <f>IF(TrRoad_act!R14=0,0,R28/TrRoad_act!R14*1000)</f>
        <v>70.247760762472652</v>
      </c>
      <c r="S92" s="101">
        <f>IF(TrRoad_act!S14=0,0,S28/TrRoad_act!S14*1000)</f>
        <v>70.011805350667387</v>
      </c>
      <c r="T92" s="101">
        <f>IF(TrRoad_act!T14=0,0,T28/TrRoad_act!T14*1000)</f>
        <v>69.789658780427075</v>
      </c>
      <c r="U92" s="101">
        <f>IF(TrRoad_act!U14=0,0,U28/TrRoad_act!U14*1000)</f>
        <v>69.557551602580318</v>
      </c>
      <c r="V92" s="101">
        <f>IF(TrRoad_act!V14=0,0,V28/TrRoad_act!V14*1000)</f>
        <v>71.106971833180324</v>
      </c>
      <c r="W92" s="101">
        <f>IF(TrRoad_act!W14=0,0,W28/TrRoad_act!W14*1000)</f>
        <v>69.870440505286965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197.89852547131727</v>
      </c>
      <c r="C93" s="101">
        <f>IF(TrRoad_act!C15=0,0,C29/TrRoad_act!C15*1000)</f>
        <v>253.61774569311808</v>
      </c>
      <c r="D93" s="101">
        <f>IF(TrRoad_act!D15=0,0,D29/TrRoad_act!D15*1000)</f>
        <v>244.99844281088494</v>
      </c>
      <c r="E93" s="101">
        <f>IF(TrRoad_act!E15=0,0,E29/TrRoad_act!E15*1000)</f>
        <v>203.42446091544207</v>
      </c>
      <c r="F93" s="101">
        <f>IF(TrRoad_act!F15=0,0,F29/TrRoad_act!F15*1000)</f>
        <v>216.17509066350823</v>
      </c>
      <c r="G93" s="101">
        <f>IF(TrRoad_act!G15=0,0,G29/TrRoad_act!G15*1000)</f>
        <v>161.29976204598401</v>
      </c>
      <c r="H93" s="101">
        <f>IF(TrRoad_act!H15=0,0,H29/TrRoad_act!H15*1000)</f>
        <v>150.20350760763858</v>
      </c>
      <c r="I93" s="101">
        <f>IF(TrRoad_act!I15=0,0,I29/TrRoad_act!I15*1000)</f>
        <v>157.74277929994233</v>
      </c>
      <c r="J93" s="101">
        <f>IF(TrRoad_act!J15=0,0,J29/TrRoad_act!J15*1000)</f>
        <v>129.2944525735619</v>
      </c>
      <c r="K93" s="101">
        <f>IF(TrRoad_act!K15=0,0,K29/TrRoad_act!K15*1000)</f>
        <v>154.83325385317335</v>
      </c>
      <c r="L93" s="101">
        <f>IF(TrRoad_act!L15=0,0,L29/TrRoad_act!L15*1000)</f>
        <v>174.26775241165282</v>
      </c>
      <c r="M93" s="101">
        <f>IF(TrRoad_act!M15=0,0,M29/TrRoad_act!M15*1000)</f>
        <v>178.41552823570692</v>
      </c>
      <c r="N93" s="101">
        <f>IF(TrRoad_act!N15=0,0,N29/TrRoad_act!N15*1000)</f>
        <v>170.9534363901501</v>
      </c>
      <c r="O93" s="101">
        <f>IF(TrRoad_act!O15=0,0,O29/TrRoad_act!O15*1000)</f>
        <v>171.2977461282056</v>
      </c>
      <c r="P93" s="101">
        <f>IF(TrRoad_act!P15=0,0,P29/TrRoad_act!P15*1000)</f>
        <v>167.85135652006767</v>
      </c>
      <c r="Q93" s="101">
        <f>IF(TrRoad_act!Q15=0,0,Q29/TrRoad_act!Q15*1000)</f>
        <v>127.62957402310602</v>
      </c>
      <c r="R93" s="101">
        <f>IF(TrRoad_act!R15=0,0,R29/TrRoad_act!R15*1000)</f>
        <v>129.91027971110825</v>
      </c>
      <c r="S93" s="101">
        <f>IF(TrRoad_act!S15=0,0,S29/TrRoad_act!S15*1000)</f>
        <v>139.84941938795393</v>
      </c>
      <c r="T93" s="101">
        <f>IF(TrRoad_act!T15=0,0,T29/TrRoad_act!T15*1000)</f>
        <v>134.11994235016593</v>
      </c>
      <c r="U93" s="101">
        <f>IF(TrRoad_act!U15=0,0,U29/TrRoad_act!U15*1000)</f>
        <v>134.29796186621701</v>
      </c>
      <c r="V93" s="101">
        <f>IF(TrRoad_act!V15=0,0,V29/TrRoad_act!V15*1000)</f>
        <v>200.22581946863735</v>
      </c>
      <c r="W93" s="101">
        <f>IF(TrRoad_act!W15=0,0,W29/TrRoad_act!W15*1000)</f>
        <v>196.42148336506517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95.639721693045431</v>
      </c>
      <c r="K94" s="101">
        <f>IF(TrRoad_act!K16=0,0,K30/TrRoad_act!K16*1000)</f>
        <v>114.71204956630157</v>
      </c>
      <c r="L94" s="101">
        <f>IF(TrRoad_act!L16=0,0,L30/TrRoad_act!L16*1000)</f>
        <v>126.66463933230779</v>
      </c>
      <c r="M94" s="101">
        <f>IF(TrRoad_act!M16=0,0,M30/TrRoad_act!M16*1000)</f>
        <v>134.18005096230033</v>
      </c>
      <c r="N94" s="101">
        <f>IF(TrRoad_act!N16=0,0,N30/TrRoad_act!N16*1000)</f>
        <v>128.19493641063031</v>
      </c>
      <c r="O94" s="101">
        <f>IF(TrRoad_act!O16=0,0,O30/TrRoad_act!O16*1000)</f>
        <v>131.97377433341418</v>
      </c>
      <c r="P94" s="101">
        <f>IF(TrRoad_act!P16=0,0,P30/TrRoad_act!P16*1000)</f>
        <v>127.90321501384518</v>
      </c>
      <c r="Q94" s="101">
        <f>IF(TrRoad_act!Q16=0,0,Q30/TrRoad_act!Q16*1000)</f>
        <v>98.042603658978464</v>
      </c>
      <c r="R94" s="101">
        <f>IF(TrRoad_act!R16=0,0,R30/TrRoad_act!R16*1000)</f>
        <v>98.786684397904921</v>
      </c>
      <c r="S94" s="101">
        <f>IF(TrRoad_act!S16=0,0,S30/TrRoad_act!S16*1000)</f>
        <v>103.59043471523353</v>
      </c>
      <c r="T94" s="101">
        <f>IF(TrRoad_act!T16=0,0,T30/TrRoad_act!T16*1000)</f>
        <v>99.514326522879557</v>
      </c>
      <c r="U94" s="101">
        <f>IF(TrRoad_act!U16=0,0,U30/TrRoad_act!U16*1000)</f>
        <v>102.20163481166948</v>
      </c>
      <c r="V94" s="101">
        <f>IF(TrRoad_act!V16=0,0,V30/TrRoad_act!V16*1000)</f>
        <v>149.87059964518036</v>
      </c>
      <c r="W94" s="101">
        <f>IF(TrRoad_act!W16=0,0,W30/TrRoad_act!W16*1000)</f>
        <v>146.18752656859184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137.71686023600907</v>
      </c>
      <c r="C97" s="29">
        <f>IF(TrRoad_act!C19=0,0,C33/TrRoad_act!C19*1000)</f>
        <v>165.46098499442215</v>
      </c>
      <c r="D97" s="29">
        <f>IF(TrRoad_act!D19=0,0,D33/TrRoad_act!D19*1000)</f>
        <v>170.60332173888128</v>
      </c>
      <c r="E97" s="29">
        <f>IF(TrRoad_act!E19=0,0,E33/TrRoad_act!E19*1000)</f>
        <v>167.78521490707419</v>
      </c>
      <c r="F97" s="29">
        <f>IF(TrRoad_act!F19=0,0,F33/TrRoad_act!F19*1000)</f>
        <v>143.41793174417981</v>
      </c>
      <c r="G97" s="29">
        <f>IF(TrRoad_act!G19=0,0,G33/TrRoad_act!G19*1000)</f>
        <v>110.46854691973309</v>
      </c>
      <c r="H97" s="29">
        <f>IF(TrRoad_act!H19=0,0,H33/TrRoad_act!H19*1000)</f>
        <v>127.11343660040205</v>
      </c>
      <c r="I97" s="29">
        <f>IF(TrRoad_act!I19=0,0,I33/TrRoad_act!I19*1000)</f>
        <v>108.95251258866647</v>
      </c>
      <c r="J97" s="29">
        <f>IF(TrRoad_act!J19=0,0,J33/TrRoad_act!J19*1000)</f>
        <v>125.50519364576679</v>
      </c>
      <c r="K97" s="29">
        <f>IF(TrRoad_act!K19=0,0,K33/TrRoad_act!K19*1000)</f>
        <v>149.63576675186181</v>
      </c>
      <c r="L97" s="29">
        <f>IF(TrRoad_act!L19=0,0,L33/TrRoad_act!L19*1000)</f>
        <v>196.58506734540688</v>
      </c>
      <c r="M97" s="29">
        <f>IF(TrRoad_act!M19=0,0,M33/TrRoad_act!M19*1000)</f>
        <v>204.68616401224057</v>
      </c>
      <c r="N97" s="29">
        <f>IF(TrRoad_act!N19=0,0,N33/TrRoad_act!N19*1000)</f>
        <v>189.04446313514586</v>
      </c>
      <c r="O97" s="29">
        <f>IF(TrRoad_act!O19=0,0,O33/TrRoad_act!O19*1000)</f>
        <v>188.10740205774076</v>
      </c>
      <c r="P97" s="29">
        <f>IF(TrRoad_act!P19=0,0,P33/TrRoad_act!P19*1000)</f>
        <v>193.52337976372976</v>
      </c>
      <c r="Q97" s="29">
        <f>IF(TrRoad_act!Q19=0,0,Q33/TrRoad_act!Q19*1000)</f>
        <v>191.19753121114573</v>
      </c>
      <c r="R97" s="29">
        <f>IF(TrRoad_act!R19=0,0,R33/TrRoad_act!R19*1000)</f>
        <v>191.24520019438705</v>
      </c>
      <c r="S97" s="29">
        <f>IF(TrRoad_act!S19=0,0,S33/TrRoad_act!S19*1000)</f>
        <v>194.10389420147064</v>
      </c>
      <c r="T97" s="29">
        <f>IF(TrRoad_act!T19=0,0,T33/TrRoad_act!T19*1000)</f>
        <v>189.59689623713101</v>
      </c>
      <c r="U97" s="29">
        <f>IF(TrRoad_act!U19=0,0,U33/TrRoad_act!U19*1000)</f>
        <v>177.27028648629894</v>
      </c>
      <c r="V97" s="29">
        <f>IF(TrRoad_act!V19=0,0,V33/TrRoad_act!V19*1000)</f>
        <v>177.93659661401927</v>
      </c>
      <c r="W97" s="29">
        <f>IF(TrRoad_act!W19=0,0,W33/TrRoad_act!W19*1000)</f>
        <v>158.05066443332535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987.71765102623965</v>
      </c>
      <c r="C98" s="152">
        <f>IF(TrRoad_act!C20=0,0,C34/TrRoad_act!C20*1000)</f>
        <v>1001.9842683569726</v>
      </c>
      <c r="D98" s="152">
        <f>IF(TrRoad_act!D20=0,0,D34/TrRoad_act!D20*1000)</f>
        <v>995.44820031501638</v>
      </c>
      <c r="E98" s="152">
        <f>IF(TrRoad_act!E20=0,0,E34/TrRoad_act!E20*1000)</f>
        <v>986.771429424438</v>
      </c>
      <c r="F98" s="152">
        <f>IF(TrRoad_act!F20=0,0,F34/TrRoad_act!F20*1000)</f>
        <v>949.03775785626271</v>
      </c>
      <c r="G98" s="152">
        <f>IF(TrRoad_act!G20=0,0,G34/TrRoad_act!G20*1000)</f>
        <v>965.37288165403004</v>
      </c>
      <c r="H98" s="152">
        <f>IF(TrRoad_act!H20=0,0,H34/TrRoad_act!H20*1000)</f>
        <v>963.91167270933624</v>
      </c>
      <c r="I98" s="152">
        <f>IF(TrRoad_act!I20=0,0,I34/TrRoad_act!I20*1000)</f>
        <v>927.8140242229897</v>
      </c>
      <c r="J98" s="152">
        <f>IF(TrRoad_act!J20=0,0,J34/TrRoad_act!J20*1000)</f>
        <v>910.97005069261525</v>
      </c>
      <c r="K98" s="152">
        <f>IF(TrRoad_act!K20=0,0,K34/TrRoad_act!K20*1000)</f>
        <v>899.15086005848627</v>
      </c>
      <c r="L98" s="152">
        <f>IF(TrRoad_act!L20=0,0,L34/TrRoad_act!L20*1000)</f>
        <v>896.02681793692329</v>
      </c>
      <c r="M98" s="152">
        <f>IF(TrRoad_act!M20=0,0,M34/TrRoad_act!M20*1000)</f>
        <v>879.60407056635677</v>
      </c>
      <c r="N98" s="152">
        <f>IF(TrRoad_act!N20=0,0,N34/TrRoad_act!N20*1000)</f>
        <v>900.9942782579285</v>
      </c>
      <c r="O98" s="152">
        <f>IF(TrRoad_act!O20=0,0,O34/TrRoad_act!O20*1000)</f>
        <v>865.793889918633</v>
      </c>
      <c r="P98" s="152">
        <f>IF(TrRoad_act!P20=0,0,P34/TrRoad_act!P20*1000)</f>
        <v>857.06272285521129</v>
      </c>
      <c r="Q98" s="152">
        <f>IF(TrRoad_act!Q20=0,0,Q34/TrRoad_act!Q20*1000)</f>
        <v>836.54695075036466</v>
      </c>
      <c r="R98" s="152">
        <f>IF(TrRoad_act!R20=0,0,R34/TrRoad_act!R20*1000)</f>
        <v>835.77575065677161</v>
      </c>
      <c r="S98" s="152">
        <f>IF(TrRoad_act!S20=0,0,S34/TrRoad_act!S20*1000)</f>
        <v>829.64292447769651</v>
      </c>
      <c r="T98" s="152">
        <f>IF(TrRoad_act!T20=0,0,T34/TrRoad_act!T20*1000)</f>
        <v>812.60138069407276</v>
      </c>
      <c r="U98" s="152">
        <f>IF(TrRoad_act!U20=0,0,U34/TrRoad_act!U20*1000)</f>
        <v>781.49059728615669</v>
      </c>
      <c r="V98" s="152">
        <f>IF(TrRoad_act!V20=0,0,V34/TrRoad_act!V20*1000)</f>
        <v>753.81858895265623</v>
      </c>
      <c r="W98" s="152">
        <f>IF(TrRoad_act!W20=0,0,W34/TrRoad_act!W20*1000)</f>
        <v>754.32620654903189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1356.1943117607245</v>
      </c>
      <c r="C99" s="87">
        <f>IF(TrRoad_act!C21=0,0,C35/TrRoad_act!C21*1000)</f>
        <v>1330.7275379012422</v>
      </c>
      <c r="D99" s="87">
        <f>IF(TrRoad_act!D21=0,0,D35/TrRoad_act!D21*1000)</f>
        <v>1302.7558079774394</v>
      </c>
      <c r="E99" s="87">
        <f>IF(TrRoad_act!E21=0,0,E35/TrRoad_act!E21*1000)</f>
        <v>1269.0242099091006</v>
      </c>
      <c r="F99" s="87">
        <f>IF(TrRoad_act!F21=0,0,F35/TrRoad_act!F21*1000)</f>
        <v>1234.905804323193</v>
      </c>
      <c r="G99" s="87">
        <f>IF(TrRoad_act!G21=0,0,G35/TrRoad_act!G21*1000)</f>
        <v>1207.7853023163916</v>
      </c>
      <c r="H99" s="87">
        <f>IF(TrRoad_act!H21=0,0,H35/TrRoad_act!H21*1000)</f>
        <v>1168.4741201503307</v>
      </c>
      <c r="I99" s="87">
        <f>IF(TrRoad_act!I21=0,0,I35/TrRoad_act!I21*1000)</f>
        <v>1141.4104368403937</v>
      </c>
      <c r="J99" s="87">
        <f>IF(TrRoad_act!J21=0,0,J35/TrRoad_act!J21*1000)</f>
        <v>1121.2003738101253</v>
      </c>
      <c r="K99" s="87">
        <f>IF(TrRoad_act!K21=0,0,K35/TrRoad_act!K21*1000)</f>
        <v>1098.2346584985496</v>
      </c>
      <c r="L99" s="87">
        <f>IF(TrRoad_act!L21=0,0,L35/TrRoad_act!L21*1000)</f>
        <v>1046.9348501388999</v>
      </c>
      <c r="M99" s="87">
        <f>IF(TrRoad_act!M21=0,0,M35/TrRoad_act!M21*1000)</f>
        <v>1028.1993939363576</v>
      </c>
      <c r="N99" s="87">
        <f>IF(TrRoad_act!N21=0,0,N35/TrRoad_act!N21*1000)</f>
        <v>1001.8768147061361</v>
      </c>
      <c r="O99" s="87">
        <f>IF(TrRoad_act!O21=0,0,O35/TrRoad_act!O21*1000)</f>
        <v>999.95034415829502</v>
      </c>
      <c r="P99" s="87">
        <f>IF(TrRoad_act!P21=0,0,P35/TrRoad_act!P21*1000)</f>
        <v>994.40515433921564</v>
      </c>
      <c r="Q99" s="87">
        <f>IF(TrRoad_act!Q21=0,0,Q35/TrRoad_act!Q21*1000)</f>
        <v>957.66626414247401</v>
      </c>
      <c r="R99" s="87">
        <f>IF(TrRoad_act!R21=0,0,R35/TrRoad_act!R21*1000)</f>
        <v>929.44316300298499</v>
      </c>
      <c r="S99" s="87">
        <f>IF(TrRoad_act!S21=0,0,S35/TrRoad_act!S21*1000)</f>
        <v>898.53902588508402</v>
      </c>
      <c r="T99" s="87">
        <f>IF(TrRoad_act!T21=0,0,T35/TrRoad_act!T21*1000)</f>
        <v>883.57519089344089</v>
      </c>
      <c r="U99" s="87">
        <f>IF(TrRoad_act!U21=0,0,U35/TrRoad_act!U21*1000)</f>
        <v>871.52337476773687</v>
      </c>
      <c r="V99" s="87">
        <f>IF(TrRoad_act!V21=0,0,V35/TrRoad_act!V21*1000)</f>
        <v>864.75902195195715</v>
      </c>
      <c r="W99" s="87">
        <f>IF(TrRoad_act!W21=0,0,W35/TrRoad_act!W21*1000)</f>
        <v>839.59564487868124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838.28266375603994</v>
      </c>
      <c r="C100" s="87">
        <f>IF(TrRoad_act!C22=0,0,C36/TrRoad_act!C22*1000)</f>
        <v>872.77214860289519</v>
      </c>
      <c r="D100" s="87">
        <f>IF(TrRoad_act!D22=0,0,D36/TrRoad_act!D22*1000)</f>
        <v>879.13763952579222</v>
      </c>
      <c r="E100" s="87">
        <f>IF(TrRoad_act!E22=0,0,E36/TrRoad_act!E22*1000)</f>
        <v>884.12916445307621</v>
      </c>
      <c r="F100" s="87">
        <f>IF(TrRoad_act!F22=0,0,F36/TrRoad_act!F22*1000)</f>
        <v>849.21976558630115</v>
      </c>
      <c r="G100" s="87">
        <f>IF(TrRoad_act!G22=0,0,G36/TrRoad_act!G22*1000)</f>
        <v>883.80961464385177</v>
      </c>
      <c r="H100" s="87">
        <f>IF(TrRoad_act!H22=0,0,H36/TrRoad_act!H22*1000)</f>
        <v>898.4045644954781</v>
      </c>
      <c r="I100" s="87">
        <f>IF(TrRoad_act!I22=0,0,I36/TrRoad_act!I22*1000)</f>
        <v>862.13497060221437</v>
      </c>
      <c r="J100" s="87">
        <f>IF(TrRoad_act!J22=0,0,J36/TrRoad_act!J22*1000)</f>
        <v>857.47684961332732</v>
      </c>
      <c r="K100" s="87">
        <f>IF(TrRoad_act!K22=0,0,K36/TrRoad_act!K22*1000)</f>
        <v>851.4455962320244</v>
      </c>
      <c r="L100" s="87">
        <f>IF(TrRoad_act!L22=0,0,L36/TrRoad_act!L22*1000)</f>
        <v>862.37671435287189</v>
      </c>
      <c r="M100" s="87">
        <f>IF(TrRoad_act!M22=0,0,M36/TrRoad_act!M22*1000)</f>
        <v>850.03276134083922</v>
      </c>
      <c r="N100" s="87">
        <f>IF(TrRoad_act!N22=0,0,N36/TrRoad_act!N22*1000)</f>
        <v>882.67499533760258</v>
      </c>
      <c r="O100" s="87">
        <f>IF(TrRoad_act!O22=0,0,O36/TrRoad_act!O22*1000)</f>
        <v>845.18464154845447</v>
      </c>
      <c r="P100" s="87">
        <f>IF(TrRoad_act!P22=0,0,P36/TrRoad_act!P22*1000)</f>
        <v>839.4870708123982</v>
      </c>
      <c r="Q100" s="87">
        <f>IF(TrRoad_act!Q22=0,0,Q36/TrRoad_act!Q22*1000)</f>
        <v>823.90293728739914</v>
      </c>
      <c r="R100" s="87">
        <f>IF(TrRoad_act!R22=0,0,R36/TrRoad_act!R22*1000)</f>
        <v>825.69572635582745</v>
      </c>
      <c r="S100" s="87">
        <f>IF(TrRoad_act!S22=0,0,S36/TrRoad_act!S22*1000)</f>
        <v>822.56864747463987</v>
      </c>
      <c r="T100" s="87">
        <f>IF(TrRoad_act!T22=0,0,T36/TrRoad_act!T22*1000)</f>
        <v>805.92818781125948</v>
      </c>
      <c r="U100" s="87">
        <f>IF(TrRoad_act!U22=0,0,U36/TrRoad_act!U22*1000)</f>
        <v>773.90809319645268</v>
      </c>
      <c r="V100" s="87">
        <f>IF(TrRoad_act!V22=0,0,V36/TrRoad_act!V22*1000)</f>
        <v>745.27547998905561</v>
      </c>
      <c r="W100" s="87">
        <f>IF(TrRoad_act!W22=0,0,W36/TrRoad_act!W22*1000)</f>
        <v>748.26444469762907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1868.0187517793163</v>
      </c>
      <c r="K101" s="87">
        <f>IF(TrRoad_act!K23=0,0,K37/TrRoad_act!K23*1000)</f>
        <v>1866.5678157466471</v>
      </c>
      <c r="L101" s="87">
        <f>IF(TrRoad_act!L23=0,0,L37/TrRoad_act!L23*1000)</f>
        <v>1864.7730816316205</v>
      </c>
      <c r="M101" s="87">
        <f>IF(TrRoad_act!M23=0,0,M37/TrRoad_act!M23*1000)</f>
        <v>1787.6404054274597</v>
      </c>
      <c r="N101" s="87">
        <f>IF(TrRoad_act!N23=0,0,N37/TrRoad_act!N23*1000)</f>
        <v>1694.3178249522005</v>
      </c>
      <c r="O101" s="87">
        <f>IF(TrRoad_act!O23=0,0,O37/TrRoad_act!O23*1000)</f>
        <v>1693.4605544995488</v>
      </c>
      <c r="P101" s="87">
        <f>IF(TrRoad_act!P23=0,0,P37/TrRoad_act!P23*1000)</f>
        <v>1563.6911615138386</v>
      </c>
      <c r="Q101" s="87">
        <f>IF(TrRoad_act!Q23=0,0,Q37/TrRoad_act!Q23*1000)</f>
        <v>1510.6133883754576</v>
      </c>
      <c r="R101" s="87">
        <f>IF(TrRoad_act!R23=0,0,R37/TrRoad_act!R23*1000)</f>
        <v>1311.5370350901439</v>
      </c>
      <c r="S101" s="87">
        <f>IF(TrRoad_act!S23=0,0,S37/TrRoad_act!S23*1000)</f>
        <v>1313.6692552173658</v>
      </c>
      <c r="T101" s="87">
        <f>IF(TrRoad_act!T23=0,0,T37/TrRoad_act!T23*1000)</f>
        <v>1290.1105992812138</v>
      </c>
      <c r="U101" s="87">
        <f>IF(TrRoad_act!U23=0,0,U37/TrRoad_act!U23*1000)</f>
        <v>1289.5237704853198</v>
      </c>
      <c r="V101" s="87">
        <f>IF(TrRoad_act!V23=0,0,V37/TrRoad_act!V23*1000)</f>
        <v>1258.4794260753317</v>
      </c>
      <c r="W101" s="87">
        <f>IF(TrRoad_act!W23=0,0,W37/TrRoad_act!W23*1000)</f>
        <v>1105.81743541787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82.524545742002971</v>
      </c>
      <c r="C104" s="116">
        <f>IF(TrRoad_act!C26=0,0,C40/TrRoad_act!C26*1000)</f>
        <v>113.14372543862601</v>
      </c>
      <c r="D104" s="116">
        <f>IF(TrRoad_act!D26=0,0,D40/TrRoad_act!D26*1000)</f>
        <v>119.83922315635509</v>
      </c>
      <c r="E104" s="116">
        <f>IF(TrRoad_act!E26=0,0,E40/TrRoad_act!E26*1000)</f>
        <v>121.25351679956164</v>
      </c>
      <c r="F104" s="116">
        <f>IF(TrRoad_act!F26=0,0,F40/TrRoad_act!F26*1000)</f>
        <v>100.20484291638932</v>
      </c>
      <c r="G104" s="116">
        <f>IF(TrRoad_act!G26=0,0,G40/TrRoad_act!G26*1000)</f>
        <v>70.759600640365335</v>
      </c>
      <c r="H104" s="116">
        <f>IF(TrRoad_act!H26=0,0,H40/TrRoad_act!H26*1000)</f>
        <v>84.078969918087694</v>
      </c>
      <c r="I104" s="116">
        <f>IF(TrRoad_act!I26=0,0,I40/TrRoad_act!I26*1000)</f>
        <v>66.354970116746671</v>
      </c>
      <c r="J104" s="116">
        <f>IF(TrRoad_act!J26=0,0,J40/TrRoad_act!J26*1000)</f>
        <v>74.068639592123546</v>
      </c>
      <c r="K104" s="116">
        <f>IF(TrRoad_act!K26=0,0,K40/TrRoad_act!K26*1000)</f>
        <v>87.57521066969862</v>
      </c>
      <c r="L104" s="116">
        <f>IF(TrRoad_act!L26=0,0,L40/TrRoad_act!L26*1000)</f>
        <v>102.40953238376835</v>
      </c>
      <c r="M104" s="116">
        <f>IF(TrRoad_act!M26=0,0,M40/TrRoad_act!M26*1000)</f>
        <v>107.254805563649</v>
      </c>
      <c r="N104" s="116">
        <f>IF(TrRoad_act!N26=0,0,N40/TrRoad_act!N26*1000)</f>
        <v>90.464493298594036</v>
      </c>
      <c r="O104" s="116">
        <f>IF(TrRoad_act!O26=0,0,O40/TrRoad_act!O26*1000)</f>
        <v>88.985357438186668</v>
      </c>
      <c r="P104" s="116">
        <f>IF(TrRoad_act!P26=0,0,P40/TrRoad_act!P26*1000)</f>
        <v>84.881052361693037</v>
      </c>
      <c r="Q104" s="116">
        <f>IF(TrRoad_act!Q26=0,0,Q40/TrRoad_act!Q26*1000)</f>
        <v>78.568666787589336</v>
      </c>
      <c r="R104" s="116">
        <f>IF(TrRoad_act!R26=0,0,R40/TrRoad_act!R26*1000)</f>
        <v>85.158435597234728</v>
      </c>
      <c r="S104" s="116">
        <f>IF(TrRoad_act!S26=0,0,S40/TrRoad_act!S26*1000)</f>
        <v>90.553454149580318</v>
      </c>
      <c r="T104" s="116">
        <f>IF(TrRoad_act!T26=0,0,T40/TrRoad_act!T26*1000)</f>
        <v>82.356861520230268</v>
      </c>
      <c r="U104" s="116">
        <f>IF(TrRoad_act!U26=0,0,U40/TrRoad_act!U26*1000)</f>
        <v>78.474161883651178</v>
      </c>
      <c r="V104" s="116">
        <f>IF(TrRoad_act!V26=0,0,V40/TrRoad_act!V26*1000)</f>
        <v>75.694052626850933</v>
      </c>
      <c r="W104" s="116">
        <f>IF(TrRoad_act!W26=0,0,W40/TrRoad_act!W26*1000)</f>
        <v>68.281617126810573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82.769828877315248</v>
      </c>
      <c r="C105" s="101">
        <f>IF(TrRoad_act!C27=0,0,C41/TrRoad_act!C27*1000)</f>
        <v>94.626455224604612</v>
      </c>
      <c r="D105" s="101">
        <f>IF(TrRoad_act!D27=0,0,D41/TrRoad_act!D27*1000)</f>
        <v>97.327630044071938</v>
      </c>
      <c r="E105" s="101">
        <f>IF(TrRoad_act!E27=0,0,E41/TrRoad_act!E27*1000)</f>
        <v>97.406522804629091</v>
      </c>
      <c r="F105" s="101">
        <f>IF(TrRoad_act!F27=0,0,F41/TrRoad_act!F27*1000)</f>
        <v>88.690181155872637</v>
      </c>
      <c r="G105" s="101">
        <f>IF(TrRoad_act!G27=0,0,G41/TrRoad_act!G27*1000)</f>
        <v>76.670290624213152</v>
      </c>
      <c r="H105" s="101">
        <f>IF(TrRoad_act!H27=0,0,H41/TrRoad_act!H27*1000)</f>
        <v>81.936993025145156</v>
      </c>
      <c r="I105" s="101">
        <f>IF(TrRoad_act!I27=0,0,I41/TrRoad_act!I27*1000)</f>
        <v>71.028860697934306</v>
      </c>
      <c r="J105" s="101">
        <f>IF(TrRoad_act!J27=0,0,J41/TrRoad_act!J27*1000)</f>
        <v>74.528119227757529</v>
      </c>
      <c r="K105" s="101">
        <f>IF(TrRoad_act!K27=0,0,K41/TrRoad_act!K27*1000)</f>
        <v>79.836118609855959</v>
      </c>
      <c r="L105" s="101">
        <f>IF(TrRoad_act!L27=0,0,L41/TrRoad_act!L27*1000)</f>
        <v>85.536367229369432</v>
      </c>
      <c r="M105" s="101">
        <f>IF(TrRoad_act!M27=0,0,M41/TrRoad_act!M27*1000)</f>
        <v>87.363740559652769</v>
      </c>
      <c r="N105" s="101">
        <f>IF(TrRoad_act!N27=0,0,N41/TrRoad_act!N27*1000)</f>
        <v>80.566073132888604</v>
      </c>
      <c r="O105" s="101">
        <f>IF(TrRoad_act!O27=0,0,O41/TrRoad_act!O27*1000)</f>
        <v>80.674467805063458</v>
      </c>
      <c r="P105" s="101">
        <f>IF(TrRoad_act!P27=0,0,P41/TrRoad_act!P27*1000)</f>
        <v>79.29933594649124</v>
      </c>
      <c r="Q105" s="101">
        <f>IF(TrRoad_act!Q27=0,0,Q41/TrRoad_act!Q27*1000)</f>
        <v>76.336685064998989</v>
      </c>
      <c r="R105" s="101">
        <f>IF(TrRoad_act!R27=0,0,R41/TrRoad_act!R27*1000)</f>
        <v>77.664512507148459</v>
      </c>
      <c r="S105" s="101">
        <f>IF(TrRoad_act!S27=0,0,S41/TrRoad_act!S27*1000)</f>
        <v>79.899967865367302</v>
      </c>
      <c r="T105" s="101">
        <f>IF(TrRoad_act!T27=0,0,T41/TrRoad_act!T27*1000)</f>
        <v>76.811671862321191</v>
      </c>
      <c r="U105" s="101">
        <f>IF(TrRoad_act!U27=0,0,U41/TrRoad_act!U27*1000)</f>
        <v>73.092725293320314</v>
      </c>
      <c r="V105" s="101">
        <f>IF(TrRoad_act!V27=0,0,V41/TrRoad_act!V27*1000)</f>
        <v>68.878532863649653</v>
      </c>
      <c r="W105" s="101">
        <f>IF(TrRoad_act!W27=0,0,W41/TrRoad_act!W27*1000)</f>
        <v>64.224283075891577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82.26840817188355</v>
      </c>
      <c r="C106" s="88">
        <f>IF(TrRoad_act!C28=0,0,C42/TrRoad_act!C28*1000)</f>
        <v>132.59268742905184</v>
      </c>
      <c r="D106" s="88">
        <f>IF(TrRoad_act!D28=0,0,D42/TrRoad_act!D28*1000)</f>
        <v>142.86970449967879</v>
      </c>
      <c r="E106" s="88">
        <f>IF(TrRoad_act!E28=0,0,E42/TrRoad_act!E28*1000)</f>
        <v>151.07277953095462</v>
      </c>
      <c r="F106" s="88">
        <f>IF(TrRoad_act!F28=0,0,F42/TrRoad_act!F28*1000)</f>
        <v>113.53201771485496</v>
      </c>
      <c r="G106" s="88">
        <f>IF(TrRoad_act!G28=0,0,G42/TrRoad_act!G28*1000)</f>
        <v>62.013664518477448</v>
      </c>
      <c r="H106" s="88">
        <f>IF(TrRoad_act!H28=0,0,H42/TrRoad_act!H28*1000)</f>
        <v>89.020606677759631</v>
      </c>
      <c r="I106" s="88">
        <f>IF(TrRoad_act!I28=0,0,I42/TrRoad_act!I28*1000)</f>
        <v>55.149954355858902</v>
      </c>
      <c r="J106" s="88">
        <f>IF(TrRoad_act!J28=0,0,J42/TrRoad_act!J28*1000)</f>
        <v>72.697108716015308</v>
      </c>
      <c r="K106" s="88">
        <f>IF(TrRoad_act!K28=0,0,K42/TrRoad_act!K28*1000)</f>
        <v>125.42284748779825</v>
      </c>
      <c r="L106" s="88">
        <f>IF(TrRoad_act!L28=0,0,L42/TrRoad_act!L28*1000)</f>
        <v>160.40773610894823</v>
      </c>
      <c r="M106" s="88">
        <f>IF(TrRoad_act!M28=0,0,M42/TrRoad_act!M28*1000)</f>
        <v>172.96633731173895</v>
      </c>
      <c r="N106" s="88">
        <f>IF(TrRoad_act!N28=0,0,N42/TrRoad_act!N28*1000)</f>
        <v>120.36044375865771</v>
      </c>
      <c r="O106" s="88">
        <f>IF(TrRoad_act!O28=0,0,O42/TrRoad_act!O28*1000)</f>
        <v>112.04802147094044</v>
      </c>
      <c r="P106" s="88">
        <f>IF(TrRoad_act!P28=0,0,P42/TrRoad_act!P28*1000)</f>
        <v>100.24255083999159</v>
      </c>
      <c r="Q106" s="88">
        <f>IF(TrRoad_act!Q28=0,0,Q42/TrRoad_act!Q28*1000)</f>
        <v>84.701007005815839</v>
      </c>
      <c r="R106" s="88">
        <f>IF(TrRoad_act!R28=0,0,R42/TrRoad_act!R28*1000)</f>
        <v>105.33713180080274</v>
      </c>
      <c r="S106" s="88">
        <f>IF(TrRoad_act!S28=0,0,S42/TrRoad_act!S28*1000)</f>
        <v>115.24872003494812</v>
      </c>
      <c r="T106" s="88">
        <f>IF(TrRoad_act!T28=0,0,T42/TrRoad_act!T28*1000)</f>
        <v>96.599765475196051</v>
      </c>
      <c r="U106" s="88">
        <f>IF(TrRoad_act!U28=0,0,U42/TrRoad_act!U28*1000)</f>
        <v>94.384703575808459</v>
      </c>
      <c r="V106" s="88">
        <f>IF(TrRoad_act!V28=0,0,V42/TrRoad_act!V28*1000)</f>
        <v>102.49245923160204</v>
      </c>
      <c r="W106" s="88">
        <f>IF(TrRoad_act!W28=0,0,W42/TrRoad_act!W28*1000)</f>
        <v>81.390420034849228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709.82479356797205</v>
      </c>
      <c r="C110" s="152">
        <f>IF(C19=0,0,1000000*C19/TrRoad_act!C59)</f>
        <v>709.119238024163</v>
      </c>
      <c r="D110" s="152">
        <f>IF(D19=0,0,1000000*D19/TrRoad_act!D59)</f>
        <v>708.47643724282307</v>
      </c>
      <c r="E110" s="152">
        <f>IF(E19=0,0,1000000*E19/TrRoad_act!E59)</f>
        <v>705.38179778599226</v>
      </c>
      <c r="F110" s="152">
        <f>IF(F19=0,0,1000000*F19/TrRoad_act!F59)</f>
        <v>701.59618073746265</v>
      </c>
      <c r="G110" s="152">
        <f>IF(G19=0,0,1000000*G19/TrRoad_act!G59)</f>
        <v>663.76105592666465</v>
      </c>
      <c r="H110" s="152">
        <f>IF(H19=0,0,1000000*H19/TrRoad_act!H59)</f>
        <v>646.45545980730662</v>
      </c>
      <c r="I110" s="152">
        <f>IF(I19=0,0,1000000*I19/TrRoad_act!I59)</f>
        <v>632.21959964094981</v>
      </c>
      <c r="J110" s="152">
        <f>IF(J19=0,0,1000000*J19/TrRoad_act!J59)</f>
        <v>592.37834139165511</v>
      </c>
      <c r="K110" s="152">
        <f>IF(K19=0,0,1000000*K19/TrRoad_act!K59)</f>
        <v>567.05931396921278</v>
      </c>
      <c r="L110" s="152">
        <f>IF(L19=0,0,1000000*L19/TrRoad_act!L59)</f>
        <v>536.49486074238928</v>
      </c>
      <c r="M110" s="152">
        <f>IF(M19=0,0,1000000*M19/TrRoad_act!M59)</f>
        <v>528.50728332717586</v>
      </c>
      <c r="N110" s="152">
        <f>IF(N19=0,0,1000000*N19/TrRoad_act!N59)</f>
        <v>511.70076473078024</v>
      </c>
      <c r="O110" s="152">
        <f>IF(O19=0,0,1000000*O19/TrRoad_act!O59)</f>
        <v>506.42655462655284</v>
      </c>
      <c r="P110" s="152">
        <f>IF(P19=0,0,1000000*P19/TrRoad_act!P59)</f>
        <v>502.3958406263622</v>
      </c>
      <c r="Q110" s="152">
        <f>IF(Q19=0,0,1000000*Q19/TrRoad_act!Q59)</f>
        <v>489.39522314567171</v>
      </c>
      <c r="R110" s="152">
        <f>IF(R19=0,0,1000000*R19/TrRoad_act!R59)</f>
        <v>486.71455165910925</v>
      </c>
      <c r="S110" s="152">
        <f>IF(S19=0,0,1000000*S19/TrRoad_act!S59)</f>
        <v>427.14292458650726</v>
      </c>
      <c r="T110" s="152">
        <f>IF(T19=0,0,1000000*T19/TrRoad_act!T59)</f>
        <v>376.95083203240461</v>
      </c>
      <c r="U110" s="152">
        <f>IF(U19=0,0,1000000*U19/TrRoad_act!U59)</f>
        <v>362.63437551077448</v>
      </c>
      <c r="V110" s="152">
        <f>IF(V19=0,0,1000000*V19/TrRoad_act!V59)</f>
        <v>299.49382075710923</v>
      </c>
      <c r="W110" s="152">
        <f>IF(W19=0,0,1000000*W19/TrRoad_act!W59)</f>
        <v>251.289909138279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1207.0501803487289</v>
      </c>
      <c r="C111" s="116">
        <f>IF(C20=0,0,1000000*C20/TrRoad_act!C60)</f>
        <v>1561.4382913345341</v>
      </c>
      <c r="D111" s="116">
        <f>IF(D20=0,0,1000000*D20/TrRoad_act!D60)</f>
        <v>1727.8382082690384</v>
      </c>
      <c r="E111" s="116">
        <f>IF(E20=0,0,1000000*E20/TrRoad_act!E60)</f>
        <v>1747.2537836174104</v>
      </c>
      <c r="F111" s="116">
        <f>IF(F20=0,0,1000000*F20/TrRoad_act!F60)</f>
        <v>1850.1536461382163</v>
      </c>
      <c r="G111" s="116">
        <f>IF(G20=0,0,1000000*G20/TrRoad_act!G60)</f>
        <v>1759.0259961155393</v>
      </c>
      <c r="H111" s="116">
        <f>IF(H20=0,0,1000000*H20/TrRoad_act!H60)</f>
        <v>1853.0952933383496</v>
      </c>
      <c r="I111" s="116">
        <f>IF(I20=0,0,1000000*I20/TrRoad_act!I60)</f>
        <v>1780.8646833243101</v>
      </c>
      <c r="J111" s="116">
        <f>IF(J20=0,0,1000000*J20/TrRoad_act!J60)</f>
        <v>1734.3716460658011</v>
      </c>
      <c r="K111" s="116">
        <f>IF(K20=0,0,1000000*K20/TrRoad_act!K60)</f>
        <v>1734.5201463551796</v>
      </c>
      <c r="L111" s="116">
        <f>IF(L20=0,0,1000000*L20/TrRoad_act!L60)</f>
        <v>1642.0231072535782</v>
      </c>
      <c r="M111" s="116">
        <f>IF(M20=0,0,1000000*M20/TrRoad_act!M60)</f>
        <v>1703.2942878414424</v>
      </c>
      <c r="N111" s="116">
        <f>IF(N20=0,0,1000000*N20/TrRoad_act!N60)</f>
        <v>1751.8380431178523</v>
      </c>
      <c r="O111" s="116">
        <f>IF(O20=0,0,1000000*O20/TrRoad_act!O60)</f>
        <v>1588.1994890908934</v>
      </c>
      <c r="P111" s="116">
        <f>IF(P20=0,0,1000000*P20/TrRoad_act!P60)</f>
        <v>1598.2835107798528</v>
      </c>
      <c r="Q111" s="116">
        <f>IF(Q20=0,0,1000000*Q20/TrRoad_act!Q60)</f>
        <v>1521.4837071490374</v>
      </c>
      <c r="R111" s="116">
        <f>IF(R20=0,0,1000000*R20/TrRoad_act!R60)</f>
        <v>1547.6691700116382</v>
      </c>
      <c r="S111" s="116">
        <f>IF(S20=0,0,1000000*S20/TrRoad_act!S60)</f>
        <v>1498.6448165519016</v>
      </c>
      <c r="T111" s="116">
        <f>IF(T20=0,0,1000000*T20/TrRoad_act!T60)</f>
        <v>1455.3576854845935</v>
      </c>
      <c r="U111" s="116">
        <f>IF(U20=0,0,1000000*U20/TrRoad_act!U60)</f>
        <v>1382.5466523908633</v>
      </c>
      <c r="V111" s="116">
        <f>IF(V20=0,0,1000000*V20/TrRoad_act!V60)</f>
        <v>1244.8842437065091</v>
      </c>
      <c r="W111" s="116">
        <f>IF(W20=0,0,1000000*W20/TrRoad_act!W60)</f>
        <v>1267.6668802619699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1122.0136315793686</v>
      </c>
      <c r="C112" s="87">
        <f>IF(C21=0,0,1000000*C21/TrRoad_act!C61)</f>
        <v>1485.7439229728791</v>
      </c>
      <c r="D112" s="87">
        <f>IF(D21=0,0,1000000*D21/TrRoad_act!D61)</f>
        <v>1622.4493719213726</v>
      </c>
      <c r="E112" s="87">
        <f>IF(E21=0,0,1000000*E21/TrRoad_act!E61)</f>
        <v>1645.5211810479473</v>
      </c>
      <c r="F112" s="87">
        <f>IF(F21=0,0,1000000*F21/TrRoad_act!F61)</f>
        <v>1692.5762448412268</v>
      </c>
      <c r="G112" s="87">
        <f>IF(G21=0,0,1000000*G21/TrRoad_act!G61)</f>
        <v>1544.1926056222176</v>
      </c>
      <c r="H112" s="87">
        <f>IF(H21=0,0,1000000*H21/TrRoad_act!H61)</f>
        <v>1555.1745367942556</v>
      </c>
      <c r="I112" s="87">
        <f>IF(I21=0,0,1000000*I21/TrRoad_act!I61)</f>
        <v>1508.4519191087436</v>
      </c>
      <c r="J112" s="87">
        <f>IF(J21=0,0,1000000*J21/TrRoad_act!J61)</f>
        <v>1350.5358848958263</v>
      </c>
      <c r="K112" s="87">
        <f>IF(K21=0,0,1000000*K21/TrRoad_act!K61)</f>
        <v>1292.8315510587038</v>
      </c>
      <c r="L112" s="87">
        <f>IF(L21=0,0,1000000*L21/TrRoad_act!L61)</f>
        <v>1227.8213826245144</v>
      </c>
      <c r="M112" s="87">
        <f>IF(M21=0,0,1000000*M21/TrRoad_act!M61)</f>
        <v>1198.1727683626689</v>
      </c>
      <c r="N112" s="87">
        <f>IF(N21=0,0,1000000*N21/TrRoad_act!N61)</f>
        <v>1167.7103243209385</v>
      </c>
      <c r="O112" s="87">
        <f>IF(O21=0,0,1000000*O21/TrRoad_act!O61)</f>
        <v>1083.5695040221872</v>
      </c>
      <c r="P112" s="87">
        <f>IF(P21=0,0,1000000*P21/TrRoad_act!P61)</f>
        <v>1145.5083572974459</v>
      </c>
      <c r="Q112" s="87">
        <f>IF(Q21=0,0,1000000*Q21/TrRoad_act!Q61)</f>
        <v>1054.5285158589456</v>
      </c>
      <c r="R112" s="87">
        <f>IF(R21=0,0,1000000*R21/TrRoad_act!R61)</f>
        <v>1070.2178172231781</v>
      </c>
      <c r="S112" s="87">
        <f>IF(S21=0,0,1000000*S21/TrRoad_act!S61)</f>
        <v>1039.7270450543097</v>
      </c>
      <c r="T112" s="87">
        <f>IF(T21=0,0,1000000*T21/TrRoad_act!T61)</f>
        <v>1009.0061486804375</v>
      </c>
      <c r="U112" s="87">
        <f>IF(U21=0,0,1000000*U21/TrRoad_act!U61)</f>
        <v>986.51920416629684</v>
      </c>
      <c r="V112" s="87">
        <f>IF(V21=0,0,1000000*V21/TrRoad_act!V61)</f>
        <v>902.11103459898084</v>
      </c>
      <c r="W112" s="87">
        <f>IF(W21=0,0,1000000*W21/TrRoad_act!W61)</f>
        <v>961.34902087385365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2335.1472378738963</v>
      </c>
      <c r="C113" s="87">
        <f>IF(C22=0,0,1000000*C22/TrRoad_act!C62)</f>
        <v>2265.725538223257</v>
      </c>
      <c r="D113" s="87">
        <f>IF(D22=0,0,1000000*D22/TrRoad_act!D62)</f>
        <v>2491.5364273164942</v>
      </c>
      <c r="E113" s="87">
        <f>IF(E22=0,0,1000000*E22/TrRoad_act!E62)</f>
        <v>2335.1811151298025</v>
      </c>
      <c r="F113" s="87">
        <f>IF(F22=0,0,1000000*F22/TrRoad_act!F62)</f>
        <v>2255.6379989681996</v>
      </c>
      <c r="G113" s="87">
        <f>IF(G22=0,0,1000000*G22/TrRoad_act!G62)</f>
        <v>2492.3545987812086</v>
      </c>
      <c r="H113" s="87">
        <f>IF(H22=0,0,1000000*H22/TrRoad_act!H62)</f>
        <v>2858.8763648566178</v>
      </c>
      <c r="I113" s="87">
        <f>IF(I22=0,0,1000000*I22/TrRoad_act!I62)</f>
        <v>2496.0629935155812</v>
      </c>
      <c r="J113" s="87">
        <f>IF(J22=0,0,1000000*J22/TrRoad_act!J62)</f>
        <v>2652.6421837693811</v>
      </c>
      <c r="K113" s="87">
        <f>IF(K22=0,0,1000000*K22/TrRoad_act!K62)</f>
        <v>2692.888827345394</v>
      </c>
      <c r="L113" s="87">
        <f>IF(L22=0,0,1000000*L22/TrRoad_act!L62)</f>
        <v>2574.1949623106739</v>
      </c>
      <c r="M113" s="87">
        <f>IF(M22=0,0,1000000*M22/TrRoad_act!M62)</f>
        <v>2723.3760170779196</v>
      </c>
      <c r="N113" s="87">
        <f>IF(N22=0,0,1000000*N22/TrRoad_act!N62)</f>
        <v>2926.6516848432493</v>
      </c>
      <c r="O113" s="87">
        <f>IF(O22=0,0,1000000*O22/TrRoad_act!O62)</f>
        <v>2546.2086881893065</v>
      </c>
      <c r="P113" s="87">
        <f>IF(P22=0,0,1000000*P22/TrRoad_act!P62)</f>
        <v>2404.7952901077815</v>
      </c>
      <c r="Q113" s="87">
        <f>IF(Q22=0,0,1000000*Q22/TrRoad_act!Q62)</f>
        <v>2300.5110837701468</v>
      </c>
      <c r="R113" s="87">
        <f>IF(R22=0,0,1000000*R22/TrRoad_act!R62)</f>
        <v>2280.1649673866609</v>
      </c>
      <c r="S113" s="87">
        <f>IF(S22=0,0,1000000*S22/TrRoad_act!S62)</f>
        <v>2104.2755040237193</v>
      </c>
      <c r="T113" s="87">
        <f>IF(T22=0,0,1000000*T22/TrRoad_act!T62)</f>
        <v>1983.2728666979606</v>
      </c>
      <c r="U113" s="87">
        <f>IF(U22=0,0,1000000*U22/TrRoad_act!U62)</f>
        <v>1816.4542608658078</v>
      </c>
      <c r="V113" s="87">
        <f>IF(V22=0,0,1000000*V22/TrRoad_act!V62)</f>
        <v>1609.237098549698</v>
      </c>
      <c r="W113" s="87">
        <f>IF(W22=0,0,1000000*W22/TrRoad_act!W62)</f>
        <v>1594.5330410351405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0</v>
      </c>
      <c r="C114" s="87">
        <f>IF(C23=0,0,1000000*C23/TrRoad_act!C63)</f>
        <v>0</v>
      </c>
      <c r="D114" s="87">
        <f>IF(D23=0,0,1000000*D23/TrRoad_act!D63)</f>
        <v>1865.4095249999998</v>
      </c>
      <c r="E114" s="87">
        <f>IF(E23=0,0,1000000*E23/TrRoad_act!E63)</f>
        <v>1890.369120521173</v>
      </c>
      <c r="F114" s="87">
        <f>IF(F23=0,0,1000000*F23/TrRoad_act!F63)</f>
        <v>9613.8462992497152</v>
      </c>
      <c r="G114" s="87">
        <f>IF(G23=0,0,1000000*G23/TrRoad_act!G63)</f>
        <v>6063.3911865252649</v>
      </c>
      <c r="H114" s="87">
        <f>IF(H23=0,0,1000000*H23/TrRoad_act!H63)</f>
        <v>2037.0612749905702</v>
      </c>
      <c r="I114" s="87">
        <f>IF(I23=0,0,1000000*I23/TrRoad_act!I63)</f>
        <v>3077.5857184472175</v>
      </c>
      <c r="J114" s="87">
        <f>IF(J23=0,0,1000000*J23/TrRoad_act!J63)</f>
        <v>4347.0065419072134</v>
      </c>
      <c r="K114" s="87">
        <f>IF(K23=0,0,1000000*K23/TrRoad_act!K63)</f>
        <v>6540.7350833524551</v>
      </c>
      <c r="L114" s="87">
        <f>IF(L23=0,0,1000000*L23/TrRoad_act!L63)</f>
        <v>1677.8850770188824</v>
      </c>
      <c r="M114" s="87">
        <f>IF(M23=0,0,1000000*M23/TrRoad_act!M63)</f>
        <v>2735.977189727435</v>
      </c>
      <c r="N114" s="87">
        <f>IF(N23=0,0,1000000*N23/TrRoad_act!N63)</f>
        <v>1988.2021180651443</v>
      </c>
      <c r="O114" s="87">
        <f>IF(O23=0,0,1000000*O23/TrRoad_act!O63)</f>
        <v>1851.5683787754774</v>
      </c>
      <c r="P114" s="87">
        <f>IF(P23=0,0,1000000*P23/TrRoad_act!P63)</f>
        <v>1957.9910217425131</v>
      </c>
      <c r="Q114" s="87">
        <f>IF(Q23=0,0,1000000*Q23/TrRoad_act!Q63)</f>
        <v>1851.0389058480778</v>
      </c>
      <c r="R114" s="87">
        <f>IF(R23=0,0,1000000*R23/TrRoad_act!R63)</f>
        <v>2010.6148695218956</v>
      </c>
      <c r="S114" s="87">
        <f>IF(S23=0,0,1000000*S23/TrRoad_act!S63)</f>
        <v>2128.207434751434</v>
      </c>
      <c r="T114" s="87">
        <f>IF(T23=0,0,1000000*T23/TrRoad_act!T63)</f>
        <v>1925.5882439686325</v>
      </c>
      <c r="U114" s="87">
        <f>IF(U23=0,0,1000000*U23/TrRoad_act!U63)</f>
        <v>1705.5045604053601</v>
      </c>
      <c r="V114" s="87">
        <f>IF(V23=0,0,1000000*V23/TrRoad_act!V63)</f>
        <v>1271.0420846487157</v>
      </c>
      <c r="W114" s="87">
        <f>IF(W23=0,0,1000000*W23/TrRoad_act!W63)</f>
        <v>1023.8678015219359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899.9164101513685</v>
      </c>
      <c r="O116" s="87">
        <f>IF(O25=0,0,1000000*O25/TrRoad_act!O65)</f>
        <v>861.58467751772753</v>
      </c>
      <c r="P116" s="87">
        <f>IF(P25=0,0,1000000*P25/TrRoad_act!P65)</f>
        <v>911.69298503305151</v>
      </c>
      <c r="Q116" s="87">
        <f>IF(Q25=0,0,1000000*Q25/TrRoad_act!Q65)</f>
        <v>877.2081324281238</v>
      </c>
      <c r="R116" s="87">
        <f>IF(R25=0,0,1000000*R25/TrRoad_act!R65)</f>
        <v>509.31672569203783</v>
      </c>
      <c r="S116" s="87">
        <f>IF(S25=0,0,1000000*S25/TrRoad_act!S65)</f>
        <v>614.02233122938287</v>
      </c>
      <c r="T116" s="87">
        <f>IF(T25=0,0,1000000*T25/TrRoad_act!T65)</f>
        <v>546.87470728578501</v>
      </c>
      <c r="U116" s="87">
        <f>IF(U25=0,0,1000000*U25/TrRoad_act!U65)</f>
        <v>496.27380835411469</v>
      </c>
      <c r="V116" s="87">
        <f>IF(V25=0,0,1000000*V25/TrRoad_act!V65)</f>
        <v>432.50851014400325</v>
      </c>
      <c r="W116" s="87">
        <f>IF(W25=0,0,1000000*W25/TrRoad_act!W65)</f>
        <v>378.45450321434777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31652.58290326831</v>
      </c>
      <c r="C118" s="116">
        <f>IF(C27=0,0,1000000*C27/TrRoad_act!C67)</f>
        <v>37587.76119536133</v>
      </c>
      <c r="D118" s="116">
        <f>IF(D27=0,0,1000000*D27/TrRoad_act!D67)</f>
        <v>41996.126687756754</v>
      </c>
      <c r="E118" s="116">
        <f>IF(E27=0,0,1000000*E27/TrRoad_act!E67)</f>
        <v>45852.582495899696</v>
      </c>
      <c r="F118" s="116">
        <f>IF(F27=0,0,1000000*F27/TrRoad_act!F67)</f>
        <v>47237.000038946819</v>
      </c>
      <c r="G118" s="116">
        <f>IF(G27=0,0,1000000*G27/TrRoad_act!G67)</f>
        <v>48509.446426937517</v>
      </c>
      <c r="H118" s="116">
        <f>IF(H27=0,0,1000000*H27/TrRoad_act!H67)</f>
        <v>54545.510189560235</v>
      </c>
      <c r="I118" s="116">
        <f>IF(I27=0,0,1000000*I27/TrRoad_act!I67)</f>
        <v>56064.593449801148</v>
      </c>
      <c r="J118" s="116">
        <f>IF(J27=0,0,1000000*J27/TrRoad_act!J67)</f>
        <v>62839.289318578958</v>
      </c>
      <c r="K118" s="116">
        <f>IF(K27=0,0,1000000*K27/TrRoad_act!K67)</f>
        <v>64253.913736289789</v>
      </c>
      <c r="L118" s="116">
        <f>IF(L27=0,0,1000000*L27/TrRoad_act!L67)</f>
        <v>67277.316726518664</v>
      </c>
      <c r="M118" s="116">
        <f>IF(M27=0,0,1000000*M27/TrRoad_act!M67)</f>
        <v>67611.673253867761</v>
      </c>
      <c r="N118" s="116">
        <f>IF(N27=0,0,1000000*N27/TrRoad_act!N67)</f>
        <v>68632.246369853179</v>
      </c>
      <c r="O118" s="116">
        <f>IF(O27=0,0,1000000*O27/TrRoad_act!O67)</f>
        <v>68167.170904075247</v>
      </c>
      <c r="P118" s="116">
        <f>IF(P27=0,0,1000000*P27/TrRoad_act!P67)</f>
        <v>69385.415441836827</v>
      </c>
      <c r="Q118" s="116">
        <f>IF(Q27=0,0,1000000*Q27/TrRoad_act!Q67)</f>
        <v>66963.352279802493</v>
      </c>
      <c r="R118" s="116">
        <f>IF(R27=0,0,1000000*R27/TrRoad_act!R67)</f>
        <v>68168.306445251699</v>
      </c>
      <c r="S118" s="116">
        <f>IF(S27=0,0,1000000*S27/TrRoad_act!S67)</f>
        <v>69506.425793030896</v>
      </c>
      <c r="T118" s="116">
        <f>IF(T27=0,0,1000000*T27/TrRoad_act!T67)</f>
        <v>69114.570430687498</v>
      </c>
      <c r="U118" s="116">
        <f>IF(U27=0,0,1000000*U27/TrRoad_act!U67)</f>
        <v>66546.067187179069</v>
      </c>
      <c r="V118" s="116">
        <f>IF(V27=0,0,1000000*V27/TrRoad_act!V67)</f>
        <v>68663.119503597263</v>
      </c>
      <c r="W118" s="116">
        <f>IF(W27=0,0,1000000*W27/TrRoad_act!W67)</f>
        <v>70807.762672634315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15656.824469119229</v>
      </c>
      <c r="K119" s="101">
        <f>IF(K28=0,0,1000000*K28/TrRoad_act!K68)</f>
        <v>15713.158984712709</v>
      </c>
      <c r="L119" s="101">
        <f>IF(L28=0,0,1000000*L28/TrRoad_act!L68)</f>
        <v>15334.666532695368</v>
      </c>
      <c r="M119" s="101">
        <f>IF(M28=0,0,1000000*M28/TrRoad_act!M68)</f>
        <v>15612.85765983891</v>
      </c>
      <c r="N119" s="101">
        <f>IF(N28=0,0,1000000*N28/TrRoad_act!N68)</f>
        <v>15365.090183462267</v>
      </c>
      <c r="O119" s="101">
        <f>IF(O28=0,0,1000000*O28/TrRoad_act!O68)</f>
        <v>15387.116565619792</v>
      </c>
      <c r="P119" s="101">
        <f>IF(P28=0,0,1000000*P28/TrRoad_act!P68)</f>
        <v>15734.048470254749</v>
      </c>
      <c r="Q119" s="101">
        <f>IF(Q28=0,0,1000000*Q28/TrRoad_act!Q68)</f>
        <v>14729.042014182518</v>
      </c>
      <c r="R119" s="101">
        <f>IF(R28=0,0,1000000*R28/TrRoad_act!R68)</f>
        <v>14955.775541924202</v>
      </c>
      <c r="S119" s="101">
        <f>IF(S28=0,0,1000000*S28/TrRoad_act!S68)</f>
        <v>15043.916036841472</v>
      </c>
      <c r="T119" s="101">
        <f>IF(T28=0,0,1000000*T28/TrRoad_act!T68)</f>
        <v>15262.527134946908</v>
      </c>
      <c r="U119" s="101">
        <f>IF(U28=0,0,1000000*U28/TrRoad_act!U68)</f>
        <v>15295.456995782633</v>
      </c>
      <c r="V119" s="101">
        <f>IF(V28=0,0,1000000*V28/TrRoad_act!V68)</f>
        <v>15898.707671084509</v>
      </c>
      <c r="W119" s="101">
        <f>IF(W28=0,0,1000000*W28/TrRoad_act!W68)</f>
        <v>16380.445841144097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31652.58290326831</v>
      </c>
      <c r="C120" s="101">
        <f>IF(C29=0,0,1000000*C29/TrRoad_act!C69)</f>
        <v>37587.76119536133</v>
      </c>
      <c r="D120" s="101">
        <f>IF(D29=0,0,1000000*D29/TrRoad_act!D69)</f>
        <v>41996.126687756754</v>
      </c>
      <c r="E120" s="101">
        <f>IF(E29=0,0,1000000*E29/TrRoad_act!E69)</f>
        <v>45852.582495899696</v>
      </c>
      <c r="F120" s="101">
        <f>IF(F29=0,0,1000000*F29/TrRoad_act!F69)</f>
        <v>47237.000038946819</v>
      </c>
      <c r="G120" s="101">
        <f>IF(G29=0,0,1000000*G29/TrRoad_act!G69)</f>
        <v>48509.446426937517</v>
      </c>
      <c r="H120" s="101">
        <f>IF(H29=0,0,1000000*H29/TrRoad_act!H69)</f>
        <v>54545.510189560235</v>
      </c>
      <c r="I120" s="101">
        <f>IF(I29=0,0,1000000*I29/TrRoad_act!I69)</f>
        <v>56064.593449801148</v>
      </c>
      <c r="J120" s="101">
        <f>IF(J29=0,0,1000000*J29/TrRoad_act!J69)</f>
        <v>63059.075454040038</v>
      </c>
      <c r="K120" s="101">
        <f>IF(K29=0,0,1000000*K29/TrRoad_act!K69)</f>
        <v>64485.09515339676</v>
      </c>
      <c r="L120" s="101">
        <f>IF(L29=0,0,1000000*L29/TrRoad_act!L69)</f>
        <v>67563.137500027893</v>
      </c>
      <c r="M120" s="101">
        <f>IF(M29=0,0,1000000*M29/TrRoad_act!M69)</f>
        <v>67908.021554041959</v>
      </c>
      <c r="N120" s="101">
        <f>IF(N29=0,0,1000000*N29/TrRoad_act!N69)</f>
        <v>68923.188478021431</v>
      </c>
      <c r="O120" s="101">
        <f>IF(O29=0,0,1000000*O29/TrRoad_act!O69)</f>
        <v>68446.391460725354</v>
      </c>
      <c r="P120" s="101">
        <f>IF(P29=0,0,1000000*P29/TrRoad_act!P69)</f>
        <v>69656.245566766738</v>
      </c>
      <c r="Q120" s="101">
        <f>IF(Q29=0,0,1000000*Q29/TrRoad_act!Q69)</f>
        <v>67201.813874439104</v>
      </c>
      <c r="R120" s="101">
        <f>IF(R29=0,0,1000000*R29/TrRoad_act!R69)</f>
        <v>68392.151034764</v>
      </c>
      <c r="S120" s="101">
        <f>IF(S29=0,0,1000000*S29/TrRoad_act!S69)</f>
        <v>69721.39770627518</v>
      </c>
      <c r="T120" s="101">
        <f>IF(T29=0,0,1000000*T29/TrRoad_act!T69)</f>
        <v>69316.730698571017</v>
      </c>
      <c r="U120" s="101">
        <f>IF(U29=0,0,1000000*U29/TrRoad_act!U69)</f>
        <v>66780.133055200509</v>
      </c>
      <c r="V120" s="101">
        <f>IF(V29=0,0,1000000*V29/TrRoad_act!V69)</f>
        <v>69123.888138231909</v>
      </c>
      <c r="W120" s="101">
        <f>IF(W29=0,0,1000000*W29/TrRoad_act!W69)</f>
        <v>71292.587862083688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28270.912607806913</v>
      </c>
      <c r="K121" s="101">
        <f>IF(K30=0,0,1000000*K30/TrRoad_act!K70)</f>
        <v>29022.072423160815</v>
      </c>
      <c r="L121" s="101">
        <f>IF(L30=0,0,1000000*L30/TrRoad_act!L70)</f>
        <v>29916.144383450228</v>
      </c>
      <c r="M121" s="101">
        <f>IF(M30=0,0,1000000*M30/TrRoad_act!M70)</f>
        <v>31229.723997997004</v>
      </c>
      <c r="N121" s="101">
        <f>IF(N30=0,0,1000000*N30/TrRoad_act!N70)</f>
        <v>31644.349399542923</v>
      </c>
      <c r="O121" s="101">
        <f>IF(O30=0,0,1000000*O30/TrRoad_act!O70)</f>
        <v>32350.027486917614</v>
      </c>
      <c r="P121" s="101">
        <f>IF(P30=0,0,1000000*P30/TrRoad_act!P70)</f>
        <v>32587.30162504144</v>
      </c>
      <c r="Q121" s="101">
        <f>IF(Q30=0,0,1000000*Q30/TrRoad_act!Q70)</f>
        <v>31610.804334617897</v>
      </c>
      <c r="R121" s="101">
        <f>IF(R30=0,0,1000000*R30/TrRoad_act!R70)</f>
        <v>31875.548268765917</v>
      </c>
      <c r="S121" s="101">
        <f>IF(S30=0,0,1000000*S30/TrRoad_act!S70)</f>
        <v>31635.533885260924</v>
      </c>
      <c r="T121" s="101">
        <f>IF(T30=0,0,1000000*T30/TrRoad_act!T70)</f>
        <v>31501.86245502637</v>
      </c>
      <c r="U121" s="101">
        <f>IF(U30=0,0,1000000*U30/TrRoad_act!U70)</f>
        <v>31096.851312702114</v>
      </c>
      <c r="V121" s="101">
        <f>IF(V30=0,0,1000000*V30/TrRoad_act!V70)</f>
        <v>31726.747572281613</v>
      </c>
      <c r="W121" s="101">
        <f>IF(W30=0,0,1000000*W30/TrRoad_act!W70)</f>
        <v>32618.20619519952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3874.5183840787276</v>
      </c>
      <c r="C125" s="152">
        <f>IF(C34=0,0,1000000*C34/TrRoad_act!C74)</f>
        <v>3965.2700372313961</v>
      </c>
      <c r="D125" s="152">
        <f>IF(D34=0,0,1000000*D34/TrRoad_act!D74)</f>
        <v>3964.6590421284482</v>
      </c>
      <c r="E125" s="152">
        <f>IF(E34=0,0,1000000*E34/TrRoad_act!E74)</f>
        <v>3958.9141437203639</v>
      </c>
      <c r="F125" s="152">
        <f>IF(F34=0,0,1000000*F34/TrRoad_act!F74)</f>
        <v>3837.0195998744939</v>
      </c>
      <c r="G125" s="152">
        <f>IF(G34=0,0,1000000*G34/TrRoad_act!G74)</f>
        <v>3928.9636378525697</v>
      </c>
      <c r="H125" s="152">
        <f>IF(H34=0,0,1000000*H34/TrRoad_act!H74)</f>
        <v>3934.6966305654942</v>
      </c>
      <c r="I125" s="152">
        <f>IF(I34=0,0,1000000*I34/TrRoad_act!I74)</f>
        <v>3787.0863853797591</v>
      </c>
      <c r="J125" s="152">
        <f>IF(J34=0,0,1000000*J34/TrRoad_act!J74)</f>
        <v>3792.4089256411389</v>
      </c>
      <c r="K125" s="152">
        <f>IF(K34=0,0,1000000*K34/TrRoad_act!K74)</f>
        <v>3746.9233085315605</v>
      </c>
      <c r="L125" s="152">
        <f>IF(L34=0,0,1000000*L34/TrRoad_act!L74)</f>
        <v>3739.5183845305705</v>
      </c>
      <c r="M125" s="152">
        <f>IF(M34=0,0,1000000*M34/TrRoad_act!M74)</f>
        <v>3728.6710827160387</v>
      </c>
      <c r="N125" s="152">
        <f>IF(N34=0,0,1000000*N34/TrRoad_act!N74)</f>
        <v>3867.9432785603626</v>
      </c>
      <c r="O125" s="152">
        <f>IF(O34=0,0,1000000*O34/TrRoad_act!O74)</f>
        <v>3760.4128255361129</v>
      </c>
      <c r="P125" s="152">
        <f>IF(P34=0,0,1000000*P34/TrRoad_act!P74)</f>
        <v>3769.7973394557139</v>
      </c>
      <c r="Q125" s="152">
        <f>IF(Q34=0,0,1000000*Q34/TrRoad_act!Q74)</f>
        <v>3722.6798630121757</v>
      </c>
      <c r="R125" s="152">
        <f>IF(R34=0,0,1000000*R34/TrRoad_act!R74)</f>
        <v>3736.0880606862288</v>
      </c>
      <c r="S125" s="152">
        <f>IF(S34=0,0,1000000*S34/TrRoad_act!S74)</f>
        <v>3739.6119658336347</v>
      </c>
      <c r="T125" s="152">
        <f>IF(T34=0,0,1000000*T34/TrRoad_act!T74)</f>
        <v>3705.3649311719123</v>
      </c>
      <c r="U125" s="152">
        <f>IF(U34=0,0,1000000*U34/TrRoad_act!U74)</f>
        <v>3577.1187627916361</v>
      </c>
      <c r="V125" s="152">
        <f>IF(V34=0,0,1000000*V34/TrRoad_act!V74)</f>
        <v>3457.2346726446303</v>
      </c>
      <c r="W125" s="152">
        <f>IF(W34=0,0,1000000*W34/TrRoad_act!W74)</f>
        <v>3467.7996226773844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3774.7898220469347</v>
      </c>
      <c r="C126" s="87">
        <f>IF(C35=0,0,1000000*C35/TrRoad_act!C75)</f>
        <v>3722.1465804435493</v>
      </c>
      <c r="D126" s="87">
        <f>IF(D35=0,0,1000000*D35/TrRoad_act!D75)</f>
        <v>3633.5385733537641</v>
      </c>
      <c r="E126" s="87">
        <f>IF(E35=0,0,1000000*E35/TrRoad_act!E75)</f>
        <v>3531.4405400547548</v>
      </c>
      <c r="F126" s="87">
        <f>IF(F35=0,0,1000000*F35/TrRoad_act!F75)</f>
        <v>3429.6160104459104</v>
      </c>
      <c r="G126" s="87">
        <f>IF(G35=0,0,1000000*G35/TrRoad_act!G75)</f>
        <v>3345.0747963057233</v>
      </c>
      <c r="H126" s="87">
        <f>IF(H35=0,0,1000000*H35/TrRoad_act!H75)</f>
        <v>3210.6813710403726</v>
      </c>
      <c r="I126" s="87">
        <f>IF(I35=0,0,1000000*I35/TrRoad_act!I75)</f>
        <v>3105.2049631208374</v>
      </c>
      <c r="J126" s="87">
        <f>IF(J35=0,0,1000000*J35/TrRoad_act!J75)</f>
        <v>3028.5225144103347</v>
      </c>
      <c r="K126" s="87">
        <f>IF(K35=0,0,1000000*K35/TrRoad_act!K75)</f>
        <v>2933.8356793729172</v>
      </c>
      <c r="L126" s="87">
        <f>IF(L35=0,0,1000000*L35/TrRoad_act!L75)</f>
        <v>2763.9620205326792</v>
      </c>
      <c r="M126" s="87">
        <f>IF(M35=0,0,1000000*M35/TrRoad_act!M75)</f>
        <v>2709.2619123721188</v>
      </c>
      <c r="N126" s="87">
        <f>IF(N35=0,0,1000000*N35/TrRoad_act!N75)</f>
        <v>2633.746912246334</v>
      </c>
      <c r="O126" s="87">
        <f>IF(O35=0,0,1000000*O35/TrRoad_act!O75)</f>
        <v>2602.5667054628861</v>
      </c>
      <c r="P126" s="87">
        <f>IF(P35=0,0,1000000*P35/TrRoad_act!P75)</f>
        <v>2564.6687364807854</v>
      </c>
      <c r="Q126" s="87">
        <f>IF(Q35=0,0,1000000*Q35/TrRoad_act!Q75)</f>
        <v>2444.9107965437265</v>
      </c>
      <c r="R126" s="87">
        <f>IF(R35=0,0,1000000*R35/TrRoad_act!R75)</f>
        <v>2404.6320545384347</v>
      </c>
      <c r="S126" s="87">
        <f>IF(S35=0,0,1000000*S35/TrRoad_act!S75)</f>
        <v>2321.0944013346984</v>
      </c>
      <c r="T126" s="87">
        <f>IF(T35=0,0,1000000*T35/TrRoad_act!T75)</f>
        <v>2280.5168916526618</v>
      </c>
      <c r="U126" s="87">
        <f>IF(U35=0,0,1000000*U35/TrRoad_act!U75)</f>
        <v>2227.3404833830887</v>
      </c>
      <c r="V126" s="87">
        <f>IF(V35=0,0,1000000*V35/TrRoad_act!V75)</f>
        <v>2187.8528998173806</v>
      </c>
      <c r="W126" s="87">
        <f>IF(W35=0,0,1000000*W35/TrRoad_act!W75)</f>
        <v>2136.1613655698861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3942.864265383349</v>
      </c>
      <c r="C127" s="87">
        <f>IF(C36=0,0,1000000*C36/TrRoad_act!C76)</f>
        <v>4126.8109803040288</v>
      </c>
      <c r="D127" s="87">
        <f>IF(D36=0,0,1000000*D36/TrRoad_act!D76)</f>
        <v>4178.2084325473661</v>
      </c>
      <c r="E127" s="87">
        <f>IF(E36=0,0,1000000*E36/TrRoad_act!E76)</f>
        <v>4225.9200506491707</v>
      </c>
      <c r="F127" s="87">
        <f>IF(F36=0,0,1000000*F36/TrRoad_act!F76)</f>
        <v>4083.3107094915849</v>
      </c>
      <c r="G127" s="87">
        <f>IF(G36=0,0,1000000*G36/TrRoad_act!G76)</f>
        <v>4271.8164274500177</v>
      </c>
      <c r="H127" s="87">
        <f>IF(H36=0,0,1000000*H36/TrRoad_act!H76)</f>
        <v>4342.5509842546162</v>
      </c>
      <c r="I127" s="87">
        <f>IF(I36=0,0,1000000*I36/TrRoad_act!I76)</f>
        <v>4158.8730046404271</v>
      </c>
      <c r="J127" s="87">
        <f>IF(J36=0,0,1000000*J36/TrRoad_act!J76)</f>
        <v>4139.7969518742648</v>
      </c>
      <c r="K127" s="87">
        <f>IF(K36=0,0,1000000*K36/TrRoad_act!K76)</f>
        <v>4097.9221845145585</v>
      </c>
      <c r="L127" s="87">
        <f>IF(L36=0,0,1000000*L36/TrRoad_act!L76)</f>
        <v>4134.5923597086394</v>
      </c>
      <c r="M127" s="87">
        <f>IF(M36=0,0,1000000*M36/TrRoad_act!M76)</f>
        <v>4100.0549139070808</v>
      </c>
      <c r="N127" s="87">
        <f>IF(N36=0,0,1000000*N36/TrRoad_act!N76)</f>
        <v>4281.5201986050342</v>
      </c>
      <c r="O127" s="87">
        <f>IF(O36=0,0,1000000*O36/TrRoad_act!O76)</f>
        <v>4091.3778638021149</v>
      </c>
      <c r="P127" s="87">
        <f>IF(P36=0,0,1000000*P36/TrRoad_act!P76)</f>
        <v>4059.1357997630003</v>
      </c>
      <c r="Q127" s="87">
        <f>IF(Q36=0,0,1000000*Q36/TrRoad_act!Q76)</f>
        <v>3974.9680112398969</v>
      </c>
      <c r="R127" s="87">
        <f>IF(R36=0,0,1000000*R36/TrRoad_act!R76)</f>
        <v>4004.9536102281236</v>
      </c>
      <c r="S127" s="87">
        <f>IF(S36=0,0,1000000*S36/TrRoad_act!S76)</f>
        <v>4015.7948120388323</v>
      </c>
      <c r="T127" s="87">
        <f>IF(T36=0,0,1000000*T36/TrRoad_act!T76)</f>
        <v>3962.9762784549562</v>
      </c>
      <c r="U127" s="87">
        <f>IF(U36=0,0,1000000*U36/TrRoad_act!U76)</f>
        <v>3798.6051315201407</v>
      </c>
      <c r="V127" s="87">
        <f>IF(V36=0,0,1000000*V36/TrRoad_act!V76)</f>
        <v>3650.5549126384772</v>
      </c>
      <c r="W127" s="87">
        <f>IF(W36=0,0,1000000*W36/TrRoad_act!W76)</f>
        <v>3656.6292152660585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4324.3429776620615</v>
      </c>
      <c r="K128" s="87">
        <f>IF(K37=0,0,1000000*K37/TrRoad_act!K77)</f>
        <v>4307.5749293490444</v>
      </c>
      <c r="L128" s="87">
        <f>IF(L37=0,0,1000000*L37/TrRoad_act!L77)</f>
        <v>4286.9057121905171</v>
      </c>
      <c r="M128" s="87">
        <f>IF(M37=0,0,1000000*M37/TrRoad_act!M77)</f>
        <v>4134.437538522604</v>
      </c>
      <c r="N128" s="87">
        <f>IF(N37=0,0,1000000*N37/TrRoad_act!N77)</f>
        <v>3940.7085555168696</v>
      </c>
      <c r="O128" s="87">
        <f>IF(O37=0,0,1000000*O37/TrRoad_act!O77)</f>
        <v>3930.7492783627699</v>
      </c>
      <c r="P128" s="87">
        <f>IF(P37=0,0,1000000*P37/TrRoad_act!P77)</f>
        <v>3625.3739873307368</v>
      </c>
      <c r="Q128" s="87">
        <f>IF(Q37=0,0,1000000*Q37/TrRoad_act!Q77)</f>
        <v>3494.5654594976963</v>
      </c>
      <c r="R128" s="87">
        <f>IF(R37=0,0,1000000*R37/TrRoad_act!R77)</f>
        <v>3050.2839920871038</v>
      </c>
      <c r="S128" s="87">
        <f>IF(S37=0,0,1000000*S37/TrRoad_act!S77)</f>
        <v>3075.1596090146336</v>
      </c>
      <c r="T128" s="87">
        <f>IF(T37=0,0,1000000*T37/TrRoad_act!T77)</f>
        <v>3041.8257640200459</v>
      </c>
      <c r="U128" s="87">
        <f>IF(U37=0,0,1000000*U37/TrRoad_act!U77)</f>
        <v>3034.9139233360079</v>
      </c>
      <c r="V128" s="87">
        <f>IF(V37=0,0,1000000*V37/TrRoad_act!V77)</f>
        <v>2955.768635249307</v>
      </c>
      <c r="W128" s="87">
        <f>IF(W37=0,0,1000000*W37/TrRoad_act!W77)</f>
        <v>2591.1437806997837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27638.18735952604</v>
      </c>
      <c r="C131" s="116">
        <f>IF(C40=0,0,1000000*C40/TrRoad_act!C80)</f>
        <v>38245.35309694006</v>
      </c>
      <c r="D131" s="116">
        <f>IF(D40=0,0,1000000*D40/TrRoad_act!D80)</f>
        <v>42283.189722196621</v>
      </c>
      <c r="E131" s="116">
        <f>IF(E40=0,0,1000000*E40/TrRoad_act!E80)</f>
        <v>40355.494587828529</v>
      </c>
      <c r="F131" s="116">
        <f>IF(F40=0,0,1000000*F40/TrRoad_act!F80)</f>
        <v>35891.85573062078</v>
      </c>
      <c r="G131" s="116">
        <f>IF(G40=0,0,1000000*G40/TrRoad_act!G80)</f>
        <v>24734.595119716108</v>
      </c>
      <c r="H131" s="116">
        <f>IF(H40=0,0,1000000*H40/TrRoad_act!H80)</f>
        <v>27123.169670170344</v>
      </c>
      <c r="I131" s="116">
        <f>IF(I40=0,0,1000000*I40/TrRoad_act!I80)</f>
        <v>22449.04380073752</v>
      </c>
      <c r="J131" s="116">
        <f>IF(J40=0,0,1000000*J40/TrRoad_act!J80)</f>
        <v>21944.667817546891</v>
      </c>
      <c r="K131" s="116">
        <f>IF(K40=0,0,1000000*K40/TrRoad_act!K80)</f>
        <v>20484.698066318782</v>
      </c>
      <c r="L131" s="116">
        <f>IF(L40=0,0,1000000*L40/TrRoad_act!L80)</f>
        <v>15899.387575197019</v>
      </c>
      <c r="M131" s="116">
        <f>IF(M40=0,0,1000000*M40/TrRoad_act!M80)</f>
        <v>17564.756608093114</v>
      </c>
      <c r="N131" s="116">
        <f>IF(N40=0,0,1000000*N40/TrRoad_act!N80)</f>
        <v>17380.903535250003</v>
      </c>
      <c r="O131" s="116">
        <f>IF(O40=0,0,1000000*O40/TrRoad_act!O80)</f>
        <v>17712.231152564018</v>
      </c>
      <c r="P131" s="116">
        <f>IF(P40=0,0,1000000*P40/TrRoad_act!P80)</f>
        <v>17248.195115096794</v>
      </c>
      <c r="Q131" s="116">
        <f>IF(Q40=0,0,1000000*Q40/TrRoad_act!Q80)</f>
        <v>17680.665293846992</v>
      </c>
      <c r="R131" s="116">
        <f>IF(R40=0,0,1000000*R40/TrRoad_act!R80)</f>
        <v>23372.889214869658</v>
      </c>
      <c r="S131" s="116">
        <f>IF(S40=0,0,1000000*S40/TrRoad_act!S80)</f>
        <v>28485.352526148581</v>
      </c>
      <c r="T131" s="116">
        <f>IF(T40=0,0,1000000*T40/TrRoad_act!T80)</f>
        <v>27529.109600106462</v>
      </c>
      <c r="U131" s="116">
        <f>IF(U40=0,0,1000000*U40/TrRoad_act!U80)</f>
        <v>28784.780761944836</v>
      </c>
      <c r="V131" s="116">
        <f>IF(V40=0,0,1000000*V40/TrRoad_act!V80)</f>
        <v>25610.218910804804</v>
      </c>
      <c r="W131" s="116">
        <f>IF(W40=0,0,1000000*W40/TrRoad_act!W80)</f>
        <v>28227.648336943021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16373.656681640932</v>
      </c>
      <c r="C132" s="101">
        <f>IF(C41=0,0,1000000*C41/TrRoad_act!C81)</f>
        <v>18968.056037396029</v>
      </c>
      <c r="D132" s="101">
        <f>IF(D41=0,0,1000000*D41/TrRoad_act!D81)</f>
        <v>20265.822989530265</v>
      </c>
      <c r="E132" s="101">
        <f>IF(E41=0,0,1000000*E41/TrRoad_act!E81)</f>
        <v>20517.643401966714</v>
      </c>
      <c r="F132" s="101">
        <f>IF(F41=0,0,1000000*F41/TrRoad_act!F81)</f>
        <v>19807.622507502783</v>
      </c>
      <c r="G132" s="101">
        <f>IF(G41=0,0,1000000*G41/TrRoad_act!G81)</f>
        <v>18141.673592641378</v>
      </c>
      <c r="H132" s="101">
        <f>IF(H41=0,0,1000000*H41/TrRoad_act!H81)</f>
        <v>20074.766485998032</v>
      </c>
      <c r="I132" s="101">
        <f>IF(I41=0,0,1000000*I41/TrRoad_act!I81)</f>
        <v>18491.843287712414</v>
      </c>
      <c r="J132" s="101">
        <f>IF(J41=0,0,1000000*J41/TrRoad_act!J81)</f>
        <v>17649.113462121368</v>
      </c>
      <c r="K132" s="101">
        <f>IF(K41=0,0,1000000*K41/TrRoad_act!K81)</f>
        <v>16050.246213039165</v>
      </c>
      <c r="L132" s="101">
        <f>IF(L41=0,0,1000000*L41/TrRoad_act!L81)</f>
        <v>10594.604620271279</v>
      </c>
      <c r="M132" s="101">
        <f>IF(M41=0,0,1000000*M41/TrRoad_act!M81)</f>
        <v>11342.03984712127</v>
      </c>
      <c r="N132" s="101">
        <f>IF(N41=0,0,1000000*N41/TrRoad_act!N81)</f>
        <v>12112.245477995366</v>
      </c>
      <c r="O132" s="101">
        <f>IF(O41=0,0,1000000*O41/TrRoad_act!O81)</f>
        <v>12347.27642007611</v>
      </c>
      <c r="P132" s="101">
        <f>IF(P41=0,0,1000000*P41/TrRoad_act!P81)</f>
        <v>12377.039946583725</v>
      </c>
      <c r="Q132" s="101">
        <f>IF(Q41=0,0,1000000*Q41/TrRoad_act!Q81)</f>
        <v>13263.521011351186</v>
      </c>
      <c r="R132" s="101">
        <f>IF(R41=0,0,1000000*R41/TrRoad_act!R81)</f>
        <v>16584.517410601144</v>
      </c>
      <c r="S132" s="101">
        <f>IF(S41=0,0,1000000*S41/TrRoad_act!S81)</f>
        <v>19073.277031398604</v>
      </c>
      <c r="T132" s="101">
        <f>IF(T41=0,0,1000000*T41/TrRoad_act!T81)</f>
        <v>20040.740393581935</v>
      </c>
      <c r="U132" s="101">
        <f>IF(U41=0,0,1000000*U41/TrRoad_act!U81)</f>
        <v>21713.869239210351</v>
      </c>
      <c r="V132" s="101">
        <f>IF(V41=0,0,1000000*V41/TrRoad_act!V81)</f>
        <v>19725.401892791702</v>
      </c>
      <c r="W132" s="101">
        <f>IF(W41=0,0,1000000*W41/TrRoad_act!W81)</f>
        <v>22083.101670082859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99701.171883196352</v>
      </c>
      <c r="C133" s="88">
        <f>IF(C42=0,0,1000000*C42/TrRoad_act!C82)</f>
        <v>160553.6996139157</v>
      </c>
      <c r="D133" s="88">
        <f>IF(D42=0,0,1000000*D42/TrRoad_act!D82)</f>
        <v>174127.36216677557</v>
      </c>
      <c r="E133" s="88">
        <f>IF(E42=0,0,1000000*E42/TrRoad_act!E82)</f>
        <v>183042.12092088928</v>
      </c>
      <c r="F133" s="88">
        <f>IF(F42=0,0,1000000*F42/TrRoad_act!F82)</f>
        <v>135031.36373304154</v>
      </c>
      <c r="G133" s="88">
        <f>IF(G42=0,0,1000000*G42/TrRoad_act!G82)</f>
        <v>73796.415803722164</v>
      </c>
      <c r="H133" s="88">
        <f>IF(H42=0,0,1000000*H42/TrRoad_act!H82)</f>
        <v>106601.73522874115</v>
      </c>
      <c r="I133" s="88">
        <f>IF(I42=0,0,1000000*I42/TrRoad_act!I82)</f>
        <v>66170.877593986588</v>
      </c>
      <c r="J133" s="88">
        <f>IF(J42=0,0,1000000*J42/TrRoad_act!J82)</f>
        <v>85989.499700829459</v>
      </c>
      <c r="K133" s="88">
        <f>IF(K42=0,0,1000000*K42/TrRoad_act!K82)</f>
        <v>146384.09588544251</v>
      </c>
      <c r="L133" s="88">
        <f>IF(L42=0,0,1000000*L42/TrRoad_act!L82)</f>
        <v>193315.31011360043</v>
      </c>
      <c r="M133" s="88">
        <f>IF(M42=0,0,1000000*M42/TrRoad_act!M82)</f>
        <v>207782.46193394531</v>
      </c>
      <c r="N133" s="88">
        <f>IF(N42=0,0,1000000*N42/TrRoad_act!N82)</f>
        <v>144129.41940121379</v>
      </c>
      <c r="O133" s="88">
        <f>IF(O42=0,0,1000000*O42/TrRoad_act!O82)</f>
        <v>134323.99662687216</v>
      </c>
      <c r="P133" s="88">
        <f>IF(P42=0,0,1000000*P42/TrRoad_act!P82)</f>
        <v>120479.77596212149</v>
      </c>
      <c r="Q133" s="88">
        <f>IF(Q42=0,0,1000000*Q42/TrRoad_act!Q82)</f>
        <v>100823.53068274372</v>
      </c>
      <c r="R133" s="88">
        <f>IF(R42=0,0,1000000*R42/TrRoad_act!R82)</f>
        <v>124735.58530898736</v>
      </c>
      <c r="S133" s="88">
        <f>IF(S42=0,0,1000000*S42/TrRoad_act!S82)</f>
        <v>137633.88800408901</v>
      </c>
      <c r="T133" s="88">
        <f>IF(T42=0,0,1000000*T42/TrRoad_act!T82)</f>
        <v>116227.44059542529</v>
      </c>
      <c r="U133" s="88">
        <f>IF(U42=0,0,1000000*U42/TrRoad_act!U82)</f>
        <v>113141.28122583628</v>
      </c>
      <c r="V133" s="88">
        <f>IF(V42=0,0,1000000*V42/TrRoad_act!V82)</f>
        <v>120992.30682860354</v>
      </c>
      <c r="W133" s="88">
        <f>IF(W42=0,0,1000000*W42/TrRoad_act!W82)</f>
        <v>97128.560056665141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0.65278969787769636</v>
      </c>
      <c r="C136" s="46">
        <f t="shared" si="40"/>
        <v>0.65259448814350174</v>
      </c>
      <c r="D136" s="46">
        <f t="shared" si="40"/>
        <v>0.6362317617305141</v>
      </c>
      <c r="E136" s="46">
        <f t="shared" si="40"/>
        <v>0.62798668132238877</v>
      </c>
      <c r="F136" s="46">
        <f t="shared" si="40"/>
        <v>0.66082268937755284</v>
      </c>
      <c r="G136" s="46">
        <f t="shared" si="40"/>
        <v>0.67635876183726451</v>
      </c>
      <c r="H136" s="46">
        <f t="shared" si="40"/>
        <v>0.64076682615675873</v>
      </c>
      <c r="I136" s="46">
        <f t="shared" si="40"/>
        <v>0.67996702999718928</v>
      </c>
      <c r="J136" s="46">
        <f t="shared" si="40"/>
        <v>0.69947419135791156</v>
      </c>
      <c r="K136" s="46">
        <f t="shared" si="40"/>
        <v>0.71160984660498006</v>
      </c>
      <c r="L136" s="46">
        <f t="shared" si="41"/>
        <v>0.73956348838775998</v>
      </c>
      <c r="M136" s="46">
        <f t="shared" si="40"/>
        <v>0.7381088355441473</v>
      </c>
      <c r="N136" s="46">
        <f t="shared" si="40"/>
        <v>0.74832624030284778</v>
      </c>
      <c r="O136" s="46">
        <f t="shared" si="40"/>
        <v>0.73986968281168164</v>
      </c>
      <c r="P136" s="46">
        <f t="shared" si="40"/>
        <v>0.74650307595632592</v>
      </c>
      <c r="Q136" s="46">
        <f t="shared" si="40"/>
        <v>0.7497209851795793</v>
      </c>
      <c r="R136" s="46">
        <f t="shared" si="40"/>
        <v>0.74707175664347425</v>
      </c>
      <c r="S136" s="46">
        <f t="shared" si="40"/>
        <v>0.74125010325626395</v>
      </c>
      <c r="T136" s="46">
        <f t="shared" si="40"/>
        <v>0.74603487576565253</v>
      </c>
      <c r="U136" s="46">
        <f t="shared" si="40"/>
        <v>0.74111227836535454</v>
      </c>
      <c r="V136" s="46">
        <f t="shared" si="40"/>
        <v>0.73851303500113563</v>
      </c>
      <c r="W136" s="46">
        <f t="shared" si="42"/>
        <v>0.73541795877598182</v>
      </c>
      <c r="DA136" s="211"/>
    </row>
    <row r="137" spans="1:105" ht="11.45" customHeight="1" x14ac:dyDescent="0.25">
      <c r="A137" s="153" t="s">
        <v>180</v>
      </c>
      <c r="B137" s="154">
        <f t="shared" si="40"/>
        <v>3.9945748387746139E-3</v>
      </c>
      <c r="C137" s="154">
        <f t="shared" si="40"/>
        <v>3.0848242460737572E-3</v>
      </c>
      <c r="D137" s="154">
        <f t="shared" si="40"/>
        <v>2.9833579212570696E-3</v>
      </c>
      <c r="E137" s="154">
        <f t="shared" si="40"/>
        <v>2.7682427425760122E-3</v>
      </c>
      <c r="F137" s="154">
        <f t="shared" si="40"/>
        <v>2.6821308669894928E-3</v>
      </c>
      <c r="G137" s="154">
        <f t="shared" si="40"/>
        <v>2.6929309125423729E-3</v>
      </c>
      <c r="H137" s="154">
        <f t="shared" si="40"/>
        <v>2.7717579808445702E-3</v>
      </c>
      <c r="I137" s="154">
        <f t="shared" si="40"/>
        <v>2.9396872933551768E-3</v>
      </c>
      <c r="J137" s="154">
        <f t="shared" si="40"/>
        <v>3.0886837037998752E-3</v>
      </c>
      <c r="K137" s="154">
        <f t="shared" si="40"/>
        <v>3.2103413879287419E-3</v>
      </c>
      <c r="L137" s="154">
        <f t="shared" si="41"/>
        <v>3.4166939748798905E-3</v>
      </c>
      <c r="M137" s="154">
        <f t="shared" si="40"/>
        <v>3.4458928972344862E-3</v>
      </c>
      <c r="N137" s="154">
        <f t="shared" si="40"/>
        <v>3.3857716679711954E-3</v>
      </c>
      <c r="O137" s="154">
        <f t="shared" si="40"/>
        <v>3.649775863143535E-3</v>
      </c>
      <c r="P137" s="154">
        <f t="shared" si="40"/>
        <v>3.6686023798954996E-3</v>
      </c>
      <c r="Q137" s="154">
        <f t="shared" si="40"/>
        <v>3.7399291607967265E-3</v>
      </c>
      <c r="R137" s="154">
        <f t="shared" si="40"/>
        <v>3.6664432277513396E-3</v>
      </c>
      <c r="S137" s="154">
        <f t="shared" si="40"/>
        <v>3.214083831275204E-3</v>
      </c>
      <c r="T137" s="154">
        <f t="shared" si="40"/>
        <v>2.946407299896587E-3</v>
      </c>
      <c r="U137" s="154">
        <f t="shared" si="40"/>
        <v>3.026727218099236E-3</v>
      </c>
      <c r="V137" s="154">
        <f t="shared" si="40"/>
        <v>2.7947412020585564E-3</v>
      </c>
      <c r="W137" s="154">
        <f t="shared" si="42"/>
        <v>2.3998747649517558E-3</v>
      </c>
      <c r="DA137" s="212"/>
    </row>
    <row r="138" spans="1:105" ht="11.45" customHeight="1" x14ac:dyDescent="0.25">
      <c r="A138" s="155" t="s">
        <v>20</v>
      </c>
      <c r="B138" s="156">
        <f t="shared" si="40"/>
        <v>0.46227274538364199</v>
      </c>
      <c r="C138" s="156">
        <f t="shared" si="40"/>
        <v>0.47892820087690036</v>
      </c>
      <c r="D138" s="156">
        <f t="shared" si="40"/>
        <v>0.47488993137938612</v>
      </c>
      <c r="E138" s="156">
        <f t="shared" si="40"/>
        <v>0.4608014099197576</v>
      </c>
      <c r="F138" s="156">
        <f t="shared" si="40"/>
        <v>0.4904517730539788</v>
      </c>
      <c r="G138" s="156">
        <f t="shared" si="40"/>
        <v>0.50959902030991377</v>
      </c>
      <c r="H138" s="156">
        <f t="shared" si="40"/>
        <v>0.4925432737781526</v>
      </c>
      <c r="I138" s="156">
        <f t="shared" si="40"/>
        <v>0.51916215838037283</v>
      </c>
      <c r="J138" s="156">
        <f t="shared" si="40"/>
        <v>0.50701498255960986</v>
      </c>
      <c r="K138" s="156">
        <f t="shared" si="40"/>
        <v>0.52114564733795365</v>
      </c>
      <c r="L138" s="156">
        <f t="shared" si="41"/>
        <v>0.5304366148224392</v>
      </c>
      <c r="M138" s="156">
        <f t="shared" si="40"/>
        <v>0.53446789681796869</v>
      </c>
      <c r="N138" s="156">
        <f t="shared" si="40"/>
        <v>0.54495676760225642</v>
      </c>
      <c r="O138" s="156">
        <f t="shared" si="40"/>
        <v>0.5290103944402651</v>
      </c>
      <c r="P138" s="156">
        <f t="shared" si="40"/>
        <v>0.53371116661818552</v>
      </c>
      <c r="Q138" s="156">
        <f t="shared" si="40"/>
        <v>0.53131164253287355</v>
      </c>
      <c r="R138" s="156">
        <f t="shared" si="40"/>
        <v>0.53374887426447759</v>
      </c>
      <c r="S138" s="156">
        <f t="shared" si="40"/>
        <v>0.53134280425482094</v>
      </c>
      <c r="T138" s="156">
        <f t="shared" si="40"/>
        <v>0.5379805130351204</v>
      </c>
      <c r="U138" s="156">
        <f t="shared" si="40"/>
        <v>0.53681558901796511</v>
      </c>
      <c r="V138" s="156">
        <f t="shared" si="40"/>
        <v>0.52140524112813014</v>
      </c>
      <c r="W138" s="156">
        <f t="shared" si="42"/>
        <v>0.52400456045632859</v>
      </c>
      <c r="DA138" s="213"/>
    </row>
    <row r="139" spans="1:105" ht="11.45" customHeight="1" x14ac:dyDescent="0.25">
      <c r="A139" s="157" t="s">
        <v>110</v>
      </c>
      <c r="B139" s="103">
        <f t="shared" si="40"/>
        <v>0.39958477266381076</v>
      </c>
      <c r="C139" s="103">
        <f t="shared" si="40"/>
        <v>0.41148594507644487</v>
      </c>
      <c r="D139" s="103">
        <f t="shared" si="40"/>
        <v>0.39133068037105734</v>
      </c>
      <c r="E139" s="103">
        <f t="shared" si="40"/>
        <v>0.3689531922339101</v>
      </c>
      <c r="F139" s="103">
        <f t="shared" si="40"/>
        <v>0.36939292620425884</v>
      </c>
      <c r="G139" s="103">
        <f t="shared" si="40"/>
        <v>0.3580413312934041</v>
      </c>
      <c r="H139" s="103">
        <f t="shared" si="40"/>
        <v>0.31696727182010531</v>
      </c>
      <c r="I139" s="103">
        <f t="shared" si="40"/>
        <v>0.32076148744515459</v>
      </c>
      <c r="J139" s="103">
        <f t="shared" si="40"/>
        <v>0.28232073613646297</v>
      </c>
      <c r="K139" s="103">
        <f t="shared" si="40"/>
        <v>0.27344520915333714</v>
      </c>
      <c r="L139" s="103">
        <f t="shared" si="41"/>
        <v>0.27278144459662174</v>
      </c>
      <c r="M139" s="103">
        <f t="shared" si="40"/>
        <v>0.25144103968418019</v>
      </c>
      <c r="N139" s="103">
        <f t="shared" si="40"/>
        <v>0.23925433586259681</v>
      </c>
      <c r="O139" s="103">
        <f t="shared" si="40"/>
        <v>0.23354778611762067</v>
      </c>
      <c r="P139" s="103">
        <f t="shared" si="40"/>
        <v>0.24263770213983149</v>
      </c>
      <c r="Q139" s="103">
        <f t="shared" si="40"/>
        <v>0.2277610482189007</v>
      </c>
      <c r="R139" s="103">
        <f t="shared" si="40"/>
        <v>0.22177440978833407</v>
      </c>
      <c r="S139" s="103">
        <f t="shared" si="40"/>
        <v>0.20961851825172612</v>
      </c>
      <c r="T139" s="103">
        <f t="shared" si="40"/>
        <v>0.20134649564767557</v>
      </c>
      <c r="U139" s="103">
        <f t="shared" si="40"/>
        <v>0.19861602495023858</v>
      </c>
      <c r="V139" s="103">
        <f t="shared" si="40"/>
        <v>0.18932965524383244</v>
      </c>
      <c r="W139" s="103">
        <f t="shared" si="42"/>
        <v>0.19231571262484642</v>
      </c>
      <c r="DA139" s="191"/>
    </row>
    <row r="140" spans="1:105" ht="11.45" customHeight="1" x14ac:dyDescent="0.25">
      <c r="A140" s="157" t="s">
        <v>111</v>
      </c>
      <c r="B140" s="103">
        <f t="shared" si="40"/>
        <v>6.2687972719831259E-2</v>
      </c>
      <c r="C140" s="103">
        <f t="shared" si="40"/>
        <v>6.7442255800455486E-2</v>
      </c>
      <c r="D140" s="103">
        <f t="shared" si="40"/>
        <v>8.2730922394611425E-2</v>
      </c>
      <c r="E140" s="103">
        <f t="shared" si="40"/>
        <v>9.0062266522029949E-2</v>
      </c>
      <c r="F140" s="103">
        <f t="shared" si="40"/>
        <v>0.10094371917037495</v>
      </c>
      <c r="G140" s="103">
        <f t="shared" si="40"/>
        <v>0.13900199541457534</v>
      </c>
      <c r="H140" s="103">
        <f t="shared" si="40"/>
        <v>0.17156537521995929</v>
      </c>
      <c r="I140" s="103">
        <f t="shared" si="40"/>
        <v>0.19039871844922268</v>
      </c>
      <c r="J140" s="103">
        <f t="shared" si="40"/>
        <v>0.21505905088528865</v>
      </c>
      <c r="K140" s="103">
        <f t="shared" si="40"/>
        <v>0.23379963163665557</v>
      </c>
      <c r="L140" s="103">
        <f t="shared" si="41"/>
        <v>0.25396484137139486</v>
      </c>
      <c r="M140" s="103">
        <f t="shared" si="40"/>
        <v>0.26740507088013754</v>
      </c>
      <c r="N140" s="103">
        <f t="shared" si="40"/>
        <v>0.29536761917283039</v>
      </c>
      <c r="O140" s="103">
        <f t="shared" si="40"/>
        <v>0.28576120525212095</v>
      </c>
      <c r="P140" s="103">
        <f t="shared" si="40"/>
        <v>0.28073480073332724</v>
      </c>
      <c r="Q140" s="103">
        <f t="shared" si="40"/>
        <v>0.29242421452169004</v>
      </c>
      <c r="R140" s="103">
        <f t="shared" si="40"/>
        <v>0.2996949213448129</v>
      </c>
      <c r="S140" s="103">
        <f t="shared" si="40"/>
        <v>0.30779503369527322</v>
      </c>
      <c r="T140" s="103">
        <f t="shared" si="40"/>
        <v>0.32252788003330579</v>
      </c>
      <c r="U140" s="103">
        <f t="shared" si="40"/>
        <v>0.32360922304337353</v>
      </c>
      <c r="V140" s="103">
        <f t="shared" si="40"/>
        <v>0.31866123028952509</v>
      </c>
      <c r="W140" s="103">
        <f t="shared" si="42"/>
        <v>0.3188542389758916</v>
      </c>
      <c r="DA140" s="191"/>
    </row>
    <row r="141" spans="1:105" ht="11.45" customHeight="1" x14ac:dyDescent="0.25">
      <c r="A141" s="157" t="s">
        <v>112</v>
      </c>
      <c r="B141" s="103">
        <f t="shared" si="40"/>
        <v>0</v>
      </c>
      <c r="C141" s="103">
        <f t="shared" si="40"/>
        <v>0</v>
      </c>
      <c r="D141" s="103">
        <f t="shared" si="40"/>
        <v>8.2832861371731202E-4</v>
      </c>
      <c r="E141" s="103">
        <f t="shared" si="40"/>
        <v>1.785951163817544E-3</v>
      </c>
      <c r="F141" s="103">
        <f t="shared" si="40"/>
        <v>2.0115127679345056E-2</v>
      </c>
      <c r="G141" s="103">
        <f t="shared" si="40"/>
        <v>1.255569360193432E-2</v>
      </c>
      <c r="H141" s="103">
        <f t="shared" si="40"/>
        <v>4.0106267380879473E-3</v>
      </c>
      <c r="I141" s="103">
        <f t="shared" si="40"/>
        <v>8.0019524859955404E-3</v>
      </c>
      <c r="J141" s="103">
        <f t="shared" si="40"/>
        <v>9.6351955378583109E-3</v>
      </c>
      <c r="K141" s="103">
        <f t="shared" si="40"/>
        <v>1.390080654796101E-2</v>
      </c>
      <c r="L141" s="103">
        <f t="shared" si="41"/>
        <v>3.690328854422571E-3</v>
      </c>
      <c r="M141" s="103">
        <f t="shared" si="40"/>
        <v>1.5621786253650918E-2</v>
      </c>
      <c r="N141" s="103">
        <f t="shared" si="40"/>
        <v>1.0325392699495386E-2</v>
      </c>
      <c r="O141" s="103">
        <f t="shared" si="40"/>
        <v>9.6926042907900314E-3</v>
      </c>
      <c r="P141" s="103">
        <f t="shared" si="40"/>
        <v>1.0329174292591012E-2</v>
      </c>
      <c r="Q141" s="103">
        <f t="shared" si="40"/>
        <v>1.1116045222219305E-2</v>
      </c>
      <c r="R141" s="103">
        <f t="shared" si="40"/>
        <v>1.2274824843243871E-2</v>
      </c>
      <c r="S141" s="103">
        <f t="shared" si="40"/>
        <v>1.3919162461730998E-2</v>
      </c>
      <c r="T141" s="103">
        <f t="shared" si="40"/>
        <v>1.4090159281954309E-2</v>
      </c>
      <c r="U141" s="103">
        <f t="shared" si="40"/>
        <v>1.4568065255435331E-2</v>
      </c>
      <c r="V141" s="103">
        <f t="shared" si="40"/>
        <v>1.3368362650201738E-2</v>
      </c>
      <c r="W141" s="103">
        <f t="shared" si="42"/>
        <v>1.2735126739545728E-2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9.4198673338356024E-6</v>
      </c>
      <c r="O143" s="103">
        <f t="shared" si="40"/>
        <v>8.7987797334787451E-6</v>
      </c>
      <c r="P143" s="103">
        <f t="shared" si="40"/>
        <v>9.4894524358285616E-6</v>
      </c>
      <c r="Q143" s="103">
        <f t="shared" si="40"/>
        <v>1.0334570063572098E-5</v>
      </c>
      <c r="R143" s="103">
        <f t="shared" si="40"/>
        <v>4.7182880867408366E-6</v>
      </c>
      <c r="S143" s="103">
        <f t="shared" si="40"/>
        <v>1.0089846090720854E-5</v>
      </c>
      <c r="T143" s="103">
        <f t="shared" si="40"/>
        <v>1.5978072184784912E-5</v>
      </c>
      <c r="U143" s="103">
        <f t="shared" si="40"/>
        <v>2.2275768917596955E-5</v>
      </c>
      <c r="V143" s="103">
        <f t="shared" si="40"/>
        <v>4.5992944570869319E-5</v>
      </c>
      <c r="W143" s="103">
        <f t="shared" si="42"/>
        <v>9.9482116044891165E-5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0.18652237765527965</v>
      </c>
      <c r="C145" s="156">
        <f t="shared" si="40"/>
        <v>0.17058146302052771</v>
      </c>
      <c r="D145" s="156">
        <f t="shared" si="40"/>
        <v>0.15835847242987094</v>
      </c>
      <c r="E145" s="156">
        <f t="shared" si="40"/>
        <v>0.1644170286600552</v>
      </c>
      <c r="F145" s="156">
        <f t="shared" si="40"/>
        <v>0.1676887854565845</v>
      </c>
      <c r="G145" s="156">
        <f t="shared" si="40"/>
        <v>0.16406681061480838</v>
      </c>
      <c r="H145" s="156">
        <f t="shared" si="40"/>
        <v>0.1454517943977616</v>
      </c>
      <c r="I145" s="156">
        <f t="shared" si="40"/>
        <v>0.15786518432346133</v>
      </c>
      <c r="J145" s="156">
        <f t="shared" si="40"/>
        <v>0.18937052509450186</v>
      </c>
      <c r="K145" s="156">
        <f t="shared" si="40"/>
        <v>0.18725385787909751</v>
      </c>
      <c r="L145" s="156">
        <f t="shared" si="41"/>
        <v>0.20571017959044097</v>
      </c>
      <c r="M145" s="156">
        <f t="shared" si="40"/>
        <v>0.20019504582894415</v>
      </c>
      <c r="N145" s="156">
        <f t="shared" si="40"/>
        <v>0.19998370103262023</v>
      </c>
      <c r="O145" s="156">
        <f t="shared" si="40"/>
        <v>0.20720951250827299</v>
      </c>
      <c r="P145" s="156">
        <f t="shared" si="40"/>
        <v>0.20912330695824494</v>
      </c>
      <c r="Q145" s="156">
        <f t="shared" si="40"/>
        <v>0.21466941348590898</v>
      </c>
      <c r="R145" s="156">
        <f t="shared" si="40"/>
        <v>0.20965643915124541</v>
      </c>
      <c r="S145" s="156">
        <f t="shared" si="40"/>
        <v>0.20669321517016778</v>
      </c>
      <c r="T145" s="156">
        <f t="shared" si="40"/>
        <v>0.20510795543063556</v>
      </c>
      <c r="U145" s="156">
        <f t="shared" si="40"/>
        <v>0.2012699621292903</v>
      </c>
      <c r="V145" s="156">
        <f t="shared" si="40"/>
        <v>0.21431305267094691</v>
      </c>
      <c r="W145" s="156">
        <f t="shared" si="42"/>
        <v>0.2090135235547016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1.9207769038487234E-4</v>
      </c>
      <c r="K146" s="103">
        <f t="shared" si="40"/>
        <v>1.8794779811533713E-4</v>
      </c>
      <c r="L146" s="103">
        <f t="shared" si="41"/>
        <v>1.9378038314319908E-4</v>
      </c>
      <c r="M146" s="103">
        <f t="shared" si="40"/>
        <v>1.8984731549902563E-4</v>
      </c>
      <c r="N146" s="103">
        <f t="shared" si="40"/>
        <v>1.7574570717969709E-4</v>
      </c>
      <c r="O146" s="103">
        <f t="shared" si="40"/>
        <v>1.7568921676516938E-4</v>
      </c>
      <c r="P146" s="103">
        <f t="shared" si="40"/>
        <v>1.6698066696765659E-4</v>
      </c>
      <c r="Q146" s="103">
        <f t="shared" si="40"/>
        <v>1.4859400414743705E-4</v>
      </c>
      <c r="R146" s="103">
        <f t="shared" si="40"/>
        <v>1.338370834779562E-4</v>
      </c>
      <c r="S146" s="103">
        <f t="shared" si="40"/>
        <v>1.200467062958315E-4</v>
      </c>
      <c r="T146" s="103">
        <f t="shared" si="40"/>
        <v>1.1017000243803459E-4</v>
      </c>
      <c r="U146" s="103">
        <f t="shared" si="40"/>
        <v>1.0410133166833148E-4</v>
      </c>
      <c r="V146" s="103">
        <f t="shared" si="40"/>
        <v>1.0984308770064222E-4</v>
      </c>
      <c r="W146" s="103">
        <f t="shared" si="42"/>
        <v>1.0408725499642276E-4</v>
      </c>
      <c r="DA146" s="191"/>
    </row>
    <row r="147" spans="1:105" ht="11.45" customHeight="1" x14ac:dyDescent="0.25">
      <c r="A147" s="157" t="s">
        <v>111</v>
      </c>
      <c r="B147" s="103">
        <f t="shared" si="40"/>
        <v>0.18652237765527965</v>
      </c>
      <c r="C147" s="103">
        <f t="shared" si="40"/>
        <v>0.17058146302052771</v>
      </c>
      <c r="D147" s="103">
        <f t="shared" si="40"/>
        <v>0.15835847242987094</v>
      </c>
      <c r="E147" s="103">
        <f t="shared" si="40"/>
        <v>0.1644170286600552</v>
      </c>
      <c r="F147" s="103">
        <f t="shared" si="40"/>
        <v>0.1676887854565845</v>
      </c>
      <c r="G147" s="103">
        <f t="shared" si="40"/>
        <v>0.16406681061480838</v>
      </c>
      <c r="H147" s="103">
        <f t="shared" si="40"/>
        <v>0.1454517943977616</v>
      </c>
      <c r="I147" s="103">
        <f t="shared" si="40"/>
        <v>0.15786518432346133</v>
      </c>
      <c r="J147" s="103">
        <f t="shared" si="40"/>
        <v>0.18911277599363766</v>
      </c>
      <c r="K147" s="103">
        <f t="shared" si="40"/>
        <v>0.18699196352442968</v>
      </c>
      <c r="L147" s="103">
        <f t="shared" si="41"/>
        <v>0.20534639174595942</v>
      </c>
      <c r="M147" s="103">
        <f t="shared" si="40"/>
        <v>0.19979950418519341</v>
      </c>
      <c r="N147" s="103">
        <f t="shared" si="40"/>
        <v>0.19960833570237707</v>
      </c>
      <c r="O147" s="103">
        <f t="shared" si="40"/>
        <v>0.20682046005553886</v>
      </c>
      <c r="P147" s="103">
        <f t="shared" si="40"/>
        <v>0.20875015297417054</v>
      </c>
      <c r="Q147" s="103">
        <f t="shared" si="40"/>
        <v>0.2143281918557316</v>
      </c>
      <c r="R147" s="103">
        <f t="shared" ref="R147:V147" si="43">IF(R29=0,0,R29/R$17)</f>
        <v>0.20935788041280287</v>
      </c>
      <c r="S147" s="103">
        <f t="shared" si="43"/>
        <v>0.20642170225113046</v>
      </c>
      <c r="T147" s="103">
        <f t="shared" si="43"/>
        <v>0.20490574624160582</v>
      </c>
      <c r="U147" s="103">
        <f t="shared" si="43"/>
        <v>0.20108015287782005</v>
      </c>
      <c r="V147" s="103">
        <f t="shared" si="43"/>
        <v>0.21411553040860803</v>
      </c>
      <c r="W147" s="103">
        <f t="shared" ref="W147" si="44">IF(W29=0,0,W29/W$17)</f>
        <v>0.20882617486171529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6.5671410479344839E-5</v>
      </c>
      <c r="K148" s="103">
        <f t="shared" si="45"/>
        <v>7.3946556552499534E-5</v>
      </c>
      <c r="L148" s="103">
        <f t="shared" ref="L148:L150" si="46">IF(L30=0,0,L30/L$17)</f>
        <v>1.7000746133834073E-4</v>
      </c>
      <c r="M148" s="103">
        <f t="shared" ref="M148:V148" si="47">IF(M30=0,0,M30/M$17)</f>
        <v>2.056943282517497E-4</v>
      </c>
      <c r="N148" s="103">
        <f t="shared" si="47"/>
        <v>1.9961962306347156E-4</v>
      </c>
      <c r="O148" s="103">
        <f t="shared" si="47"/>
        <v>2.1336323596897572E-4</v>
      </c>
      <c r="P148" s="103">
        <f t="shared" si="47"/>
        <v>2.061733171067405E-4</v>
      </c>
      <c r="Q148" s="103">
        <f t="shared" si="47"/>
        <v>1.9262762602993388E-4</v>
      </c>
      <c r="R148" s="103">
        <f t="shared" si="47"/>
        <v>1.6472165496456844E-4</v>
      </c>
      <c r="S148" s="103">
        <f t="shared" si="47"/>
        <v>1.5146621274149681E-4</v>
      </c>
      <c r="T148" s="103">
        <f t="shared" si="47"/>
        <v>9.2039186591700022E-5</v>
      </c>
      <c r="U148" s="103">
        <f t="shared" si="47"/>
        <v>8.5707919801896471E-5</v>
      </c>
      <c r="V148" s="103">
        <f t="shared" si="47"/>
        <v>8.7679174638237613E-5</v>
      </c>
      <c r="W148" s="103">
        <f t="shared" ref="W148" si="48">IF(W30=0,0,W30/W$17)</f>
        <v>8.326143798990647E-5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0.34721030212230364</v>
      </c>
      <c r="C151" s="46">
        <f t="shared" si="55"/>
        <v>0.34740551185649821</v>
      </c>
      <c r="D151" s="46">
        <f t="shared" si="55"/>
        <v>0.36376823826948584</v>
      </c>
      <c r="E151" s="46">
        <f t="shared" si="55"/>
        <v>0.37201331867761112</v>
      </c>
      <c r="F151" s="46">
        <f t="shared" si="55"/>
        <v>0.33917731062244727</v>
      </c>
      <c r="G151" s="46">
        <f t="shared" si="55"/>
        <v>0.32364123816273543</v>
      </c>
      <c r="H151" s="46">
        <f t="shared" si="55"/>
        <v>0.35923317384324127</v>
      </c>
      <c r="I151" s="46">
        <f t="shared" si="55"/>
        <v>0.32003297000281072</v>
      </c>
      <c r="J151" s="46">
        <f t="shared" si="55"/>
        <v>0.30052580864208839</v>
      </c>
      <c r="K151" s="46">
        <f t="shared" si="55"/>
        <v>0.28839015339502</v>
      </c>
      <c r="L151" s="46">
        <f t="shared" ref="L151" si="56">IF(L33=0,0,L33/L$17)</f>
        <v>0.26043651161224002</v>
      </c>
      <c r="M151" s="46">
        <f t="shared" ref="M151:V151" si="57">IF(M33=0,0,M33/M$17)</f>
        <v>0.26189116445585275</v>
      </c>
      <c r="N151" s="46">
        <f t="shared" si="57"/>
        <v>0.25167375969715211</v>
      </c>
      <c r="O151" s="46">
        <f t="shared" si="57"/>
        <v>0.26013031718831836</v>
      </c>
      <c r="P151" s="46">
        <f t="shared" si="57"/>
        <v>0.25349692404367402</v>
      </c>
      <c r="Q151" s="46">
        <f t="shared" si="57"/>
        <v>0.25027901482042064</v>
      </c>
      <c r="R151" s="46">
        <f t="shared" si="57"/>
        <v>0.25292824335652575</v>
      </c>
      <c r="S151" s="46">
        <f t="shared" si="57"/>
        <v>0.25874989674373605</v>
      </c>
      <c r="T151" s="46">
        <f t="shared" si="57"/>
        <v>0.25396512423434736</v>
      </c>
      <c r="U151" s="46">
        <f t="shared" si="57"/>
        <v>0.25888772163464557</v>
      </c>
      <c r="V151" s="46">
        <f t="shared" si="57"/>
        <v>0.26148696499886426</v>
      </c>
      <c r="W151" s="46">
        <f t="shared" ref="W151" si="58">IF(W33=0,0,W33/W$17)</f>
        <v>0.26458204122401818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0.15183632164655497</v>
      </c>
      <c r="C152" s="154">
        <f t="shared" si="59"/>
        <v>0.12382921882983552</v>
      </c>
      <c r="D152" s="154">
        <f t="shared" si="59"/>
        <v>0.12305589771091757</v>
      </c>
      <c r="E152" s="154">
        <f t="shared" si="59"/>
        <v>0.11762352978696836</v>
      </c>
      <c r="F152" s="154">
        <f t="shared" si="59"/>
        <v>0.1142615015800805</v>
      </c>
      <c r="G152" s="154">
        <f t="shared" si="59"/>
        <v>0.12553745757912826</v>
      </c>
      <c r="H152" s="154">
        <f t="shared" si="59"/>
        <v>0.13324120120384667</v>
      </c>
      <c r="I152" s="154">
        <f t="shared" si="59"/>
        <v>0.13476226734628141</v>
      </c>
      <c r="J152" s="154">
        <f t="shared" si="59"/>
        <v>0.13406695361942078</v>
      </c>
      <c r="K152" s="154">
        <f t="shared" si="59"/>
        <v>0.13251475362526732</v>
      </c>
      <c r="L152" s="154">
        <f t="shared" ref="L152" si="60">IF(L34=0,0,L34/L$17)</f>
        <v>0.14086377718724066</v>
      </c>
      <c r="M152" s="154">
        <f t="shared" ref="M152:V152" si="61">IF(M34=0,0,M34/M$17)</f>
        <v>0.1419726243606689</v>
      </c>
      <c r="N152" s="154">
        <f t="shared" si="61"/>
        <v>0.1458867032634929</v>
      </c>
      <c r="O152" s="154">
        <f t="shared" si="61"/>
        <v>0.15277625718674598</v>
      </c>
      <c r="P152" s="154">
        <f t="shared" si="61"/>
        <v>0.15795429243689063</v>
      </c>
      <c r="Q152" s="154">
        <f t="shared" si="61"/>
        <v>0.16271418645374627</v>
      </c>
      <c r="R152" s="154">
        <f t="shared" si="61"/>
        <v>0.15622091461088247</v>
      </c>
      <c r="S152" s="154">
        <f t="shared" si="61"/>
        <v>0.15495017968249891</v>
      </c>
      <c r="T152" s="154">
        <f t="shared" si="61"/>
        <v>0.15984867967964989</v>
      </c>
      <c r="U152" s="154">
        <f t="shared" si="61"/>
        <v>0.1603886732631099</v>
      </c>
      <c r="V152" s="154">
        <f t="shared" si="61"/>
        <v>0.16702204469868498</v>
      </c>
      <c r="W152" s="154">
        <f t="shared" ref="W152" si="62">IF(W34=0,0,W34/W$17)</f>
        <v>0.16523327293638709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6.0153567652261611E-2</v>
      </c>
      <c r="C153" s="103">
        <f t="shared" si="63"/>
        <v>4.6401439254005888E-2</v>
      </c>
      <c r="D153" s="103">
        <f t="shared" si="63"/>
        <v>4.4217212096802419E-2</v>
      </c>
      <c r="E153" s="103">
        <f t="shared" si="63"/>
        <v>4.0339587704102384E-2</v>
      </c>
      <c r="F153" s="103">
        <f t="shared" si="63"/>
        <v>3.8479124271245557E-2</v>
      </c>
      <c r="G153" s="103">
        <f t="shared" si="63"/>
        <v>3.9541229310936385E-2</v>
      </c>
      <c r="H153" s="103">
        <f t="shared" si="63"/>
        <v>3.917718216088581E-2</v>
      </c>
      <c r="I153" s="103">
        <f t="shared" si="63"/>
        <v>3.8989109550331538E-2</v>
      </c>
      <c r="J153" s="103">
        <f t="shared" si="63"/>
        <v>3.3468161488759397E-2</v>
      </c>
      <c r="K153" s="103">
        <f t="shared" si="63"/>
        <v>3.1285761090763572E-2</v>
      </c>
      <c r="L153" s="103">
        <f t="shared" ref="L153" si="64">IF(L35=0,0,L35/L$17)</f>
        <v>3.00093390173382E-2</v>
      </c>
      <c r="M153" s="103">
        <f t="shared" ref="M153:V153" si="65">IF(M35=0,0,M35/M$17)</f>
        <v>2.7544505839750284E-2</v>
      </c>
      <c r="N153" s="103">
        <f t="shared" si="65"/>
        <v>2.4929428835925221E-2</v>
      </c>
      <c r="O153" s="103">
        <f t="shared" si="65"/>
        <v>2.3499970032035127E-2</v>
      </c>
      <c r="P153" s="103">
        <f t="shared" si="65"/>
        <v>2.0798078635004994E-2</v>
      </c>
      <c r="Q153" s="103">
        <f t="shared" si="65"/>
        <v>1.7614969540755521E-2</v>
      </c>
      <c r="R153" s="103">
        <f t="shared" si="65"/>
        <v>1.6887335140768983E-2</v>
      </c>
      <c r="S153" s="103">
        <f t="shared" si="65"/>
        <v>1.5663917410113942E-2</v>
      </c>
      <c r="T153" s="103">
        <f t="shared" si="65"/>
        <v>1.5041919200013951E-2</v>
      </c>
      <c r="U153" s="103">
        <f t="shared" si="65"/>
        <v>1.4039182212467746E-2</v>
      </c>
      <c r="V153" s="103">
        <f t="shared" si="65"/>
        <v>1.3902311618336192E-2</v>
      </c>
      <c r="W153" s="103">
        <f t="shared" ref="W153" si="66">IF(W35=0,0,W35/W$17)</f>
        <v>1.2555313499538791E-2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9.1682753994293362E-2</v>
      </c>
      <c r="C154" s="103">
        <f t="shared" si="67"/>
        <v>7.7427779575829636E-2</v>
      </c>
      <c r="D154" s="103">
        <f t="shared" si="67"/>
        <v>7.8838685614115167E-2</v>
      </c>
      <c r="E154" s="103">
        <f t="shared" si="67"/>
        <v>7.7283942082865972E-2</v>
      </c>
      <c r="F154" s="103">
        <f t="shared" si="67"/>
        <v>7.5782377308834942E-2</v>
      </c>
      <c r="G154" s="103">
        <f t="shared" si="67"/>
        <v>8.5996228268191865E-2</v>
      </c>
      <c r="H154" s="103">
        <f t="shared" si="67"/>
        <v>9.4064019042960856E-2</v>
      </c>
      <c r="I154" s="103">
        <f t="shared" si="67"/>
        <v>9.5773157795949873E-2</v>
      </c>
      <c r="J154" s="103">
        <f t="shared" si="67"/>
        <v>0.10059816430846595</v>
      </c>
      <c r="K154" s="103">
        <f t="shared" si="67"/>
        <v>0.10122838278722728</v>
      </c>
      <c r="L154" s="103">
        <f t="shared" ref="L154" si="68">IF(L36=0,0,L36/L$17)</f>
        <v>0.11085379707444949</v>
      </c>
      <c r="M154" s="103">
        <f t="shared" ref="M154:V154" si="69">IF(M36=0,0,M36/M$17)</f>
        <v>0.11442692153454934</v>
      </c>
      <c r="N154" s="103">
        <f t="shared" si="69"/>
        <v>0.12095454268365161</v>
      </c>
      <c r="O154" s="103">
        <f t="shared" si="69"/>
        <v>0.12927349951058587</v>
      </c>
      <c r="P154" s="103">
        <f t="shared" si="69"/>
        <v>0.1371532541872269</v>
      </c>
      <c r="Q154" s="103">
        <f t="shared" si="69"/>
        <v>0.14509685080971746</v>
      </c>
      <c r="R154" s="103">
        <f t="shared" si="69"/>
        <v>0.13933108048994877</v>
      </c>
      <c r="S154" s="103">
        <f t="shared" si="69"/>
        <v>0.13928389925675871</v>
      </c>
      <c r="T154" s="103">
        <f t="shared" si="69"/>
        <v>0.14480466934524311</v>
      </c>
      <c r="U154" s="103">
        <f t="shared" si="69"/>
        <v>0.14634744255010795</v>
      </c>
      <c r="V154" s="103">
        <f t="shared" si="69"/>
        <v>0.15311786113664458</v>
      </c>
      <c r="W154" s="103">
        <f t="shared" ref="W154" si="70">IF(W36=0,0,W36/W$17)</f>
        <v>0.15267556707752708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6.2782219546455298E-7</v>
      </c>
      <c r="K155" s="103">
        <f t="shared" si="71"/>
        <v>6.0974727647299604E-7</v>
      </c>
      <c r="L155" s="103">
        <f t="shared" ref="L155" si="72">IF(L37=0,0,L37/L$17)</f>
        <v>6.41095452979352E-7</v>
      </c>
      <c r="M155" s="103">
        <f t="shared" ref="M155:V155" si="73">IF(M37=0,0,M37/M$17)</f>
        <v>1.1969863692873247E-6</v>
      </c>
      <c r="N155" s="103">
        <f t="shared" si="73"/>
        <v>2.7317439160995277E-6</v>
      </c>
      <c r="O155" s="103">
        <f t="shared" si="73"/>
        <v>2.7876441249551239E-6</v>
      </c>
      <c r="P155" s="103">
        <f t="shared" si="73"/>
        <v>2.9596146586964288E-6</v>
      </c>
      <c r="Q155" s="103">
        <f t="shared" si="73"/>
        <v>2.366103273297115E-6</v>
      </c>
      <c r="R155" s="103">
        <f t="shared" si="73"/>
        <v>2.4989801647072291E-6</v>
      </c>
      <c r="S155" s="103">
        <f t="shared" si="73"/>
        <v>2.3630156262592194E-6</v>
      </c>
      <c r="T155" s="103">
        <f t="shared" si="73"/>
        <v>2.0911343928149274E-6</v>
      </c>
      <c r="U155" s="103">
        <f t="shared" si="73"/>
        <v>2.0485005341927118E-6</v>
      </c>
      <c r="V155" s="103">
        <f t="shared" si="73"/>
        <v>1.8719437042488102E-6</v>
      </c>
      <c r="W155" s="103">
        <f t="shared" ref="W155" si="74">IF(W37=0,0,W37/W$17)</f>
        <v>2.3923593212225735E-6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0.19537398047574867</v>
      </c>
      <c r="C158" s="156">
        <f t="shared" si="83"/>
        <v>0.22357629302666268</v>
      </c>
      <c r="D158" s="156">
        <f t="shared" si="83"/>
        <v>0.24071234055856833</v>
      </c>
      <c r="E158" s="156">
        <f t="shared" si="83"/>
        <v>0.25438978889064279</v>
      </c>
      <c r="F158" s="156">
        <f t="shared" si="83"/>
        <v>0.22491580904236674</v>
      </c>
      <c r="G158" s="156">
        <f t="shared" si="83"/>
        <v>0.19810378058360717</v>
      </c>
      <c r="H158" s="156">
        <f t="shared" si="83"/>
        <v>0.22599197263939463</v>
      </c>
      <c r="I158" s="156">
        <f t="shared" si="83"/>
        <v>0.18527070265652934</v>
      </c>
      <c r="J158" s="156">
        <f t="shared" si="83"/>
        <v>0.16645885502266763</v>
      </c>
      <c r="K158" s="156">
        <f t="shared" si="83"/>
        <v>0.1558753997697527</v>
      </c>
      <c r="L158" s="156">
        <f t="shared" ref="L158" si="84">IF(L40=0,0,L40/L$17)</f>
        <v>0.11957273442499937</v>
      </c>
      <c r="M158" s="156">
        <f t="shared" ref="M158:V158" si="85">IF(M40=0,0,M40/M$17)</f>
        <v>0.11991854009518388</v>
      </c>
      <c r="N158" s="156">
        <f t="shared" si="85"/>
        <v>0.1057870564336592</v>
      </c>
      <c r="O158" s="156">
        <f t="shared" si="85"/>
        <v>0.10735406000157238</v>
      </c>
      <c r="P158" s="156">
        <f t="shared" si="85"/>
        <v>9.5542631606783418E-2</v>
      </c>
      <c r="Q158" s="156">
        <f t="shared" si="85"/>
        <v>8.7564828366674383E-2</v>
      </c>
      <c r="R158" s="156">
        <f t="shared" si="85"/>
        <v>9.6707328745643292E-2</v>
      </c>
      <c r="S158" s="156">
        <f t="shared" si="85"/>
        <v>0.10379971706123713</v>
      </c>
      <c r="T158" s="156">
        <f t="shared" si="85"/>
        <v>9.4116444554697476E-2</v>
      </c>
      <c r="U158" s="156">
        <f t="shared" si="85"/>
        <v>9.8499048371535627E-2</v>
      </c>
      <c r="V158" s="156">
        <f t="shared" si="85"/>
        <v>9.4464920300179278E-2</v>
      </c>
      <c r="W158" s="156">
        <f t="shared" ref="W158" si="86">IF(W40=0,0,W40/W$17)</f>
        <v>9.9348768287631117E-2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0.10009829067061408</v>
      </c>
      <c r="C159" s="103">
        <f t="shared" si="87"/>
        <v>9.5787045091312473E-2</v>
      </c>
      <c r="D159" s="103">
        <f t="shared" si="87"/>
        <v>9.8861165213547056E-2</v>
      </c>
      <c r="E159" s="103">
        <f t="shared" si="87"/>
        <v>0.11355047864190115</v>
      </c>
      <c r="F159" s="103">
        <f t="shared" si="87"/>
        <v>0.10679752956802509</v>
      </c>
      <c r="G159" s="103">
        <f t="shared" si="87"/>
        <v>0.12808751261707096</v>
      </c>
      <c r="H159" s="103">
        <f t="shared" si="87"/>
        <v>0.15363904721091551</v>
      </c>
      <c r="I159" s="103">
        <f t="shared" si="87"/>
        <v>0.1399458498949753</v>
      </c>
      <c r="J159" s="103">
        <f t="shared" si="87"/>
        <v>0.12546062535727512</v>
      </c>
      <c r="K159" s="103">
        <f t="shared" si="87"/>
        <v>0.11797667222570567</v>
      </c>
      <c r="L159" s="103">
        <f t="shared" ref="L159" si="88">IF(L41=0,0,L41/L$17)</f>
        <v>7.7364433390773701E-2</v>
      </c>
      <c r="M159" s="103">
        <f t="shared" ref="M159:V159" si="89">IF(M41=0,0,M41/M$17)</f>
        <v>7.4981728018885113E-2</v>
      </c>
      <c r="N159" s="103">
        <f t="shared" si="89"/>
        <v>7.0777839049194463E-2</v>
      </c>
      <c r="O159" s="103">
        <f t="shared" si="89"/>
        <v>7.1545412515746795E-2</v>
      </c>
      <c r="P159" s="103">
        <f t="shared" si="89"/>
        <v>6.5470585929976594E-2</v>
      </c>
      <c r="Q159" s="103">
        <f t="shared" si="89"/>
        <v>6.2374792596965357E-2</v>
      </c>
      <c r="R159" s="103">
        <f t="shared" si="89"/>
        <v>6.4312762822512276E-2</v>
      </c>
      <c r="S159" s="103">
        <f t="shared" si="89"/>
        <v>6.398488181865275E-2</v>
      </c>
      <c r="T159" s="103">
        <f t="shared" si="89"/>
        <v>6.318115076923507E-2</v>
      </c>
      <c r="U159" s="103">
        <f t="shared" si="89"/>
        <v>6.8556471194057195E-2</v>
      </c>
      <c r="V159" s="103">
        <f t="shared" si="89"/>
        <v>6.8530266464348219E-2</v>
      </c>
      <c r="W159" s="103">
        <f t="shared" ref="W159" si="90">IF(W41=0,0,W41/W$17)</f>
        <v>7.1358944040798067E-2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9.5275689805134595E-2</v>
      </c>
      <c r="C160" s="105">
        <f t="shared" si="91"/>
        <v>0.12778924793535024</v>
      </c>
      <c r="D160" s="105">
        <f t="shared" si="91"/>
        <v>0.14185117534502126</v>
      </c>
      <c r="E160" s="105">
        <f t="shared" si="91"/>
        <v>0.14083931024874161</v>
      </c>
      <c r="F160" s="105">
        <f t="shared" si="91"/>
        <v>0.11811827947434167</v>
      </c>
      <c r="G160" s="105">
        <f t="shared" si="91"/>
        <v>7.0016267966536219E-2</v>
      </c>
      <c r="H160" s="105">
        <f t="shared" si="91"/>
        <v>7.2352925428479098E-2</v>
      </c>
      <c r="I160" s="105">
        <f t="shared" si="91"/>
        <v>4.5324852761554055E-2</v>
      </c>
      <c r="J160" s="105">
        <f t="shared" si="91"/>
        <v>4.0998229665392537E-2</v>
      </c>
      <c r="K160" s="105">
        <f t="shared" si="91"/>
        <v>3.789872754404703E-2</v>
      </c>
      <c r="L160" s="105">
        <f t="shared" ref="L160" si="92">IF(L42=0,0,L42/L$17)</f>
        <v>4.2208301034225675E-2</v>
      </c>
      <c r="M160" s="105">
        <f t="shared" ref="M160:V160" si="93">IF(M42=0,0,M42/M$17)</f>
        <v>4.4936812076298779E-2</v>
      </c>
      <c r="N160" s="105">
        <f t="shared" si="93"/>
        <v>3.500921738446474E-2</v>
      </c>
      <c r="O160" s="105">
        <f t="shared" si="93"/>
        <v>3.5808647485825573E-2</v>
      </c>
      <c r="P160" s="105">
        <f t="shared" si="93"/>
        <v>3.0072045676806818E-2</v>
      </c>
      <c r="Q160" s="105">
        <f t="shared" si="93"/>
        <v>2.5190035769709025E-2</v>
      </c>
      <c r="R160" s="105">
        <f t="shared" si="93"/>
        <v>3.239456592313103E-2</v>
      </c>
      <c r="S160" s="105">
        <f t="shared" si="93"/>
        <v>3.9814835242584383E-2</v>
      </c>
      <c r="T160" s="105">
        <f t="shared" si="93"/>
        <v>3.0935293785462413E-2</v>
      </c>
      <c r="U160" s="105">
        <f t="shared" si="93"/>
        <v>2.9942577177478422E-2</v>
      </c>
      <c r="V160" s="105">
        <f t="shared" si="93"/>
        <v>2.5934653835831063E-2</v>
      </c>
      <c r="W160" s="105">
        <f t="shared" ref="W160" si="94">IF(W42=0,0,W42/W$17)</f>
        <v>2.7989824246833047E-2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3600805</v>
      </c>
      <c r="C3" s="54">
        <f>TrRoad_act!C57</f>
        <v>3708845</v>
      </c>
      <c r="D3" s="54">
        <f>TrRoad_act!D57</f>
        <v>3454331</v>
      </c>
      <c r="E3" s="54">
        <f>TrRoad_act!E57</f>
        <v>3594309</v>
      </c>
      <c r="F3" s="54">
        <f>TrRoad_act!F57</f>
        <v>3753565</v>
      </c>
      <c r="G3" s="54">
        <f>TrRoad_act!G57</f>
        <v>3914402</v>
      </c>
      <c r="H3" s="54">
        <f>TrRoad_act!H57</f>
        <v>3816611</v>
      </c>
      <c r="I3" s="54">
        <f>TrRoad_act!I57</f>
        <v>4164158</v>
      </c>
      <c r="J3" s="54">
        <f>TrRoad_act!J57</f>
        <v>4731922</v>
      </c>
      <c r="K3" s="54">
        <f>TrRoad_act!K57</f>
        <v>4973518</v>
      </c>
      <c r="L3" s="54">
        <f>TrRoad_act!L57</f>
        <v>5050630</v>
      </c>
      <c r="M3" s="54">
        <f>TrRoad_act!M57</f>
        <v>5086680</v>
      </c>
      <c r="N3" s="54">
        <f>TrRoad_act!N57</f>
        <v>5256852</v>
      </c>
      <c r="O3" s="54">
        <f>TrRoad_act!O57</f>
        <v>5499568</v>
      </c>
      <c r="P3" s="54">
        <f>TrRoad_act!P57</f>
        <v>5757497</v>
      </c>
      <c r="Q3" s="54">
        <f>TrRoad_act!Q57</f>
        <v>6036435</v>
      </c>
      <c r="R3" s="54">
        <f>TrRoad_act!R57</f>
        <v>6369918</v>
      </c>
      <c r="S3" s="54">
        <f>TrRoad_act!S57</f>
        <v>6938438</v>
      </c>
      <c r="T3" s="54">
        <f>TrRoad_act!T57</f>
        <v>7453484</v>
      </c>
      <c r="U3" s="54">
        <f>TrRoad_act!U57</f>
        <v>7963113</v>
      </c>
      <c r="V3" s="54">
        <f>TrRoad_act!V57</f>
        <v>8394187</v>
      </c>
      <c r="W3" s="54">
        <f>TrRoad_act!W57</f>
        <v>8783357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3222899</v>
      </c>
      <c r="C4" s="28">
        <f>TrRoad_act!C58</f>
        <v>3318971</v>
      </c>
      <c r="D4" s="28">
        <f>TrRoad_act!D58</f>
        <v>3057280</v>
      </c>
      <c r="E4" s="28">
        <f>TrRoad_act!E58</f>
        <v>3173002</v>
      </c>
      <c r="F4" s="28">
        <f>TrRoad_act!F58</f>
        <v>3315005</v>
      </c>
      <c r="G4" s="28">
        <f>TrRoad_act!G58</f>
        <v>3450383</v>
      </c>
      <c r="H4" s="28">
        <f>TrRoad_act!H58</f>
        <v>3305274</v>
      </c>
      <c r="I4" s="28">
        <f>TrRoad_act!I58</f>
        <v>3631681</v>
      </c>
      <c r="J4" s="28">
        <f>TrRoad_act!J58</f>
        <v>4140438</v>
      </c>
      <c r="K4" s="28">
        <f>TrRoad_act!K58</f>
        <v>4366313</v>
      </c>
      <c r="L4" s="28">
        <f>TrRoad_act!L58</f>
        <v>4446279</v>
      </c>
      <c r="M4" s="28">
        <f>TrRoad_act!M58</f>
        <v>4466291</v>
      </c>
      <c r="N4" s="28">
        <f>TrRoad_act!N58</f>
        <v>4624963</v>
      </c>
      <c r="O4" s="28">
        <f>TrRoad_act!O58</f>
        <v>4841231</v>
      </c>
      <c r="P4" s="28">
        <f>TrRoad_act!P58</f>
        <v>5060170</v>
      </c>
      <c r="Q4" s="28">
        <f>TrRoad_act!Q58</f>
        <v>5317740</v>
      </c>
      <c r="R4" s="28">
        <f>TrRoad_act!R58</f>
        <v>5640760</v>
      </c>
      <c r="S4" s="28">
        <f>TrRoad_act!S58</f>
        <v>6175803</v>
      </c>
      <c r="T4" s="28">
        <f>TrRoad_act!T58</f>
        <v>6640778</v>
      </c>
      <c r="U4" s="28">
        <f>TrRoad_act!U58</f>
        <v>7105142</v>
      </c>
      <c r="V4" s="28">
        <f>TrRoad_act!V58</f>
        <v>7491018</v>
      </c>
      <c r="W4" s="28">
        <f>TrRoad_act!W58</f>
        <v>7841234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45975</v>
      </c>
      <c r="C5" s="137">
        <f>TrRoad_act!C59</f>
        <v>45747</v>
      </c>
      <c r="D5" s="137">
        <f>TrRoad_act!D59</f>
        <v>45519</v>
      </c>
      <c r="E5" s="137">
        <f>TrRoad_act!E59</f>
        <v>45909</v>
      </c>
      <c r="F5" s="137">
        <f>TrRoad_act!F59</f>
        <v>46513</v>
      </c>
      <c r="G5" s="137">
        <f>TrRoad_act!G59</f>
        <v>47110</v>
      </c>
      <c r="H5" s="137">
        <f>TrRoad_act!H59</f>
        <v>51959</v>
      </c>
      <c r="I5" s="137">
        <f>TrRoad_act!I59</f>
        <v>56479</v>
      </c>
      <c r="J5" s="137">
        <f>TrRoad_act!J59</f>
        <v>71827</v>
      </c>
      <c r="K5" s="137">
        <f>TrRoad_act!K59</f>
        <v>79990</v>
      </c>
      <c r="L5" s="137">
        <f>TrRoad_act!L59</f>
        <v>85171</v>
      </c>
      <c r="M5" s="137">
        <f>TrRoad_act!M59</f>
        <v>90082</v>
      </c>
      <c r="N5" s="137">
        <f>TrRoad_act!N59</f>
        <v>95450</v>
      </c>
      <c r="O5" s="137">
        <f>TrRoad_act!O59</f>
        <v>101622</v>
      </c>
      <c r="P5" s="137">
        <f>TrRoad_act!P59</f>
        <v>107338</v>
      </c>
      <c r="Q5" s="137">
        <f>TrRoad_act!Q59</f>
        <v>112866</v>
      </c>
      <c r="R5" s="137">
        <f>TrRoad_act!R59</f>
        <v>119534</v>
      </c>
      <c r="S5" s="137">
        <f>TrRoad_act!S59</f>
        <v>127300</v>
      </c>
      <c r="T5" s="137">
        <f>TrRoad_act!T59</f>
        <v>136440</v>
      </c>
      <c r="U5" s="137">
        <f>TrRoad_act!U59</f>
        <v>148387</v>
      </c>
      <c r="V5" s="137">
        <f>TrRoad_act!V59</f>
        <v>162078</v>
      </c>
      <c r="W5" s="137">
        <f>TrRoad_act!W59</f>
        <v>175844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3128782</v>
      </c>
      <c r="C6" s="110">
        <f>TrRoad_act!C60</f>
        <v>3225500</v>
      </c>
      <c r="D6" s="110">
        <f>TrRoad_act!D60</f>
        <v>2971000</v>
      </c>
      <c r="E6" s="110">
        <f>TrRoad_act!E60</f>
        <v>3085146</v>
      </c>
      <c r="F6" s="110">
        <f>TrRoad_act!F60</f>
        <v>3225300</v>
      </c>
      <c r="G6" s="110">
        <f>TrRoad_act!G60</f>
        <v>3364000</v>
      </c>
      <c r="H6" s="110">
        <f>TrRoad_act!H60</f>
        <v>3221000</v>
      </c>
      <c r="I6" s="110">
        <f>TrRoad_act!I60</f>
        <v>3541000</v>
      </c>
      <c r="J6" s="110">
        <f>TrRoad_act!J60</f>
        <v>4027097</v>
      </c>
      <c r="K6" s="110">
        <f>TrRoad_act!K60</f>
        <v>4245147</v>
      </c>
      <c r="L6" s="110">
        <f>TrRoad_act!L60</f>
        <v>4320216</v>
      </c>
      <c r="M6" s="110">
        <f>TrRoad_act!M60</f>
        <v>4335300</v>
      </c>
      <c r="N6" s="110">
        <f>TrRoad_act!N60</f>
        <v>4487479</v>
      </c>
      <c r="O6" s="110">
        <f>TrRoad_act!O60</f>
        <v>4696747</v>
      </c>
      <c r="P6" s="110">
        <f>TrRoad_act!P60</f>
        <v>4908529</v>
      </c>
      <c r="Q6" s="110">
        <f>TrRoad_act!Q60</f>
        <v>5157527</v>
      </c>
      <c r="R6" s="110">
        <f>TrRoad_act!R60</f>
        <v>5472423</v>
      </c>
      <c r="S6" s="110">
        <f>TrRoad_act!S60</f>
        <v>5998194</v>
      </c>
      <c r="T6" s="110">
        <f>TrRoad_act!T60</f>
        <v>6452536</v>
      </c>
      <c r="U6" s="110">
        <f>TrRoad_act!U60</f>
        <v>6902984</v>
      </c>
      <c r="V6" s="110">
        <f>TrRoad_act!V60</f>
        <v>7274728</v>
      </c>
      <c r="W6" s="110">
        <f>TrRoad_act!W60</f>
        <v>7611039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2909465</v>
      </c>
      <c r="C7" s="84">
        <f>TrRoad_act!C61</f>
        <v>2912477</v>
      </c>
      <c r="D7" s="84">
        <f>TrRoad_act!D61</f>
        <v>2607267</v>
      </c>
      <c r="E7" s="84">
        <f>TrRoad_act!E61</f>
        <v>2622924</v>
      </c>
      <c r="F7" s="84">
        <f>TrRoad_act!F61</f>
        <v>2655351</v>
      </c>
      <c r="G7" s="84">
        <f>TrRoad_act!G61</f>
        <v>2692349</v>
      </c>
      <c r="H7" s="84">
        <f>TrRoad_act!H61</f>
        <v>2469900</v>
      </c>
      <c r="I7" s="84">
        <f>TrRoad_act!I61</f>
        <v>2582882</v>
      </c>
      <c r="J7" s="84">
        <f>TrRoad_act!J61</f>
        <v>2879719</v>
      </c>
      <c r="K7" s="84">
        <f>TrRoad_act!K61</f>
        <v>2988418</v>
      </c>
      <c r="L7" s="84">
        <f>TrRoad_act!L61</f>
        <v>2971193</v>
      </c>
      <c r="M7" s="84">
        <f>TrRoad_act!M61</f>
        <v>2899372</v>
      </c>
      <c r="N7" s="84">
        <f>TrRoad_act!N61</f>
        <v>2955691</v>
      </c>
      <c r="O7" s="84">
        <f>TrRoad_act!O61</f>
        <v>3039184</v>
      </c>
      <c r="P7" s="84">
        <f>TrRoad_act!P61</f>
        <v>3113572</v>
      </c>
      <c r="Q7" s="84">
        <f>TrRoad_act!Q61</f>
        <v>3189926</v>
      </c>
      <c r="R7" s="84">
        <f>TrRoad_act!R61</f>
        <v>3288214</v>
      </c>
      <c r="S7" s="84">
        <f>TrRoad_act!S61</f>
        <v>3410788</v>
      </c>
      <c r="T7" s="84">
        <f>TrRoad_act!T61</f>
        <v>3483244</v>
      </c>
      <c r="U7" s="84">
        <f>TrRoad_act!U61</f>
        <v>3579318</v>
      </c>
      <c r="V7" s="84">
        <f>TrRoad_act!V61</f>
        <v>3645264</v>
      </c>
      <c r="W7" s="84">
        <f>TrRoad_act!W61</f>
        <v>3683390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219317</v>
      </c>
      <c r="C8" s="84">
        <f>TrRoad_act!C62</f>
        <v>313023</v>
      </c>
      <c r="D8" s="84">
        <f>TrRoad_act!D62</f>
        <v>358933</v>
      </c>
      <c r="E8" s="84">
        <f>TrRoad_act!E62</f>
        <v>451170</v>
      </c>
      <c r="F8" s="84">
        <f>TrRoad_act!F62</f>
        <v>544492</v>
      </c>
      <c r="G8" s="84">
        <f>TrRoad_act!G62</f>
        <v>647606</v>
      </c>
      <c r="H8" s="84">
        <f>TrRoad_act!H62</f>
        <v>727241</v>
      </c>
      <c r="I8" s="84">
        <f>TrRoad_act!I62</f>
        <v>926536</v>
      </c>
      <c r="J8" s="84">
        <f>TrRoad_act!J62</f>
        <v>1116844</v>
      </c>
      <c r="K8" s="84">
        <f>TrRoad_act!K62</f>
        <v>1226700</v>
      </c>
      <c r="L8" s="84">
        <f>TrRoad_act!L62</f>
        <v>1319421</v>
      </c>
      <c r="M8" s="84">
        <f>TrRoad_act!M62</f>
        <v>1356592</v>
      </c>
      <c r="N8" s="84">
        <f>TrRoad_act!N62</f>
        <v>1455882</v>
      </c>
      <c r="O8" s="84">
        <f>TrRoad_act!O62</f>
        <v>1582513</v>
      </c>
      <c r="P8" s="84">
        <f>TrRoad_act!P62</f>
        <v>1715999</v>
      </c>
      <c r="Q8" s="84">
        <f>TrRoad_act!Q62</f>
        <v>1877364</v>
      </c>
      <c r="R8" s="84">
        <f>TrRoad_act!R62</f>
        <v>2085614</v>
      </c>
      <c r="S8" s="84">
        <f>TrRoad_act!S62</f>
        <v>2474591</v>
      </c>
      <c r="T8" s="84">
        <f>TrRoad_act!T62</f>
        <v>2838693</v>
      </c>
      <c r="U8" s="84">
        <f>TrRoad_act!U62</f>
        <v>3167291</v>
      </c>
      <c r="V8" s="84">
        <f>TrRoad_act!V62</f>
        <v>3439375</v>
      </c>
      <c r="W8" s="84">
        <f>TrRoad_act!W62</f>
        <v>3681906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0</v>
      </c>
      <c r="C9" s="84">
        <f>TrRoad_act!C63</f>
        <v>0</v>
      </c>
      <c r="D9" s="84">
        <f>TrRoad_act!D63</f>
        <v>4800</v>
      </c>
      <c r="E9" s="84">
        <f>TrRoad_act!E63</f>
        <v>11052</v>
      </c>
      <c r="F9" s="84">
        <f>TrRoad_act!F63</f>
        <v>25457</v>
      </c>
      <c r="G9" s="84">
        <f>TrRoad_act!G63</f>
        <v>24045</v>
      </c>
      <c r="H9" s="84">
        <f>TrRoad_act!H63</f>
        <v>23859</v>
      </c>
      <c r="I9" s="84">
        <f>TrRoad_act!I63</f>
        <v>31582</v>
      </c>
      <c r="J9" s="84">
        <f>TrRoad_act!J63</f>
        <v>30534</v>
      </c>
      <c r="K9" s="84">
        <f>TrRoad_act!K63</f>
        <v>30028</v>
      </c>
      <c r="L9" s="84">
        <f>TrRoad_act!L63</f>
        <v>29414</v>
      </c>
      <c r="M9" s="84">
        <f>TrRoad_act!M63</f>
        <v>78887</v>
      </c>
      <c r="N9" s="84">
        <f>TrRoad_act!N63</f>
        <v>74917</v>
      </c>
      <c r="O9" s="84">
        <f>TrRoad_act!O63</f>
        <v>73814</v>
      </c>
      <c r="P9" s="84">
        <f>TrRoad_act!P63</f>
        <v>77545</v>
      </c>
      <c r="Q9" s="84">
        <f>TrRoad_act!Q63</f>
        <v>88694</v>
      </c>
      <c r="R9" s="84">
        <f>TrRoad_act!R63</f>
        <v>96874</v>
      </c>
      <c r="S9" s="84">
        <f>TrRoad_act!S63</f>
        <v>110648</v>
      </c>
      <c r="T9" s="84">
        <f>TrRoad_act!T63</f>
        <v>127728</v>
      </c>
      <c r="U9" s="84">
        <f>TrRoad_act!U63</f>
        <v>151859</v>
      </c>
      <c r="V9" s="84">
        <f>TrRoad_act!V63</f>
        <v>182679</v>
      </c>
      <c r="W9" s="84">
        <f>TrRoad_act!W63</f>
        <v>229020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151</v>
      </c>
      <c r="O11" s="84">
        <f>TrRoad_act!O65</f>
        <v>144</v>
      </c>
      <c r="P11" s="84">
        <f>TrRoad_act!P65</f>
        <v>153</v>
      </c>
      <c r="Q11" s="84">
        <f>TrRoad_act!Q65</f>
        <v>174</v>
      </c>
      <c r="R11" s="84">
        <f>TrRoad_act!R65</f>
        <v>147</v>
      </c>
      <c r="S11" s="84">
        <f>TrRoad_act!S65</f>
        <v>278</v>
      </c>
      <c r="T11" s="84">
        <f>TrRoad_act!T65</f>
        <v>510</v>
      </c>
      <c r="U11" s="84">
        <f>TrRoad_act!U65</f>
        <v>798</v>
      </c>
      <c r="V11" s="84">
        <f>TrRoad_act!V65</f>
        <v>1847</v>
      </c>
      <c r="W11" s="84">
        <f>TrRoad_act!W65</f>
        <v>4840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1</v>
      </c>
      <c r="L12" s="84">
        <f>TrRoad_act!L66</f>
        <v>188</v>
      </c>
      <c r="M12" s="84">
        <f>TrRoad_act!M66</f>
        <v>449</v>
      </c>
      <c r="N12" s="84">
        <f>TrRoad_act!N66</f>
        <v>838</v>
      </c>
      <c r="O12" s="84">
        <f>TrRoad_act!O66</f>
        <v>1092</v>
      </c>
      <c r="P12" s="84">
        <f>TrRoad_act!P66</f>
        <v>1260</v>
      </c>
      <c r="Q12" s="84">
        <f>TrRoad_act!Q66</f>
        <v>1369</v>
      </c>
      <c r="R12" s="84">
        <f>TrRoad_act!R66</f>
        <v>1574</v>
      </c>
      <c r="S12" s="84">
        <f>TrRoad_act!S66</f>
        <v>1889</v>
      </c>
      <c r="T12" s="84">
        <f>TrRoad_act!T66</f>
        <v>2361</v>
      </c>
      <c r="U12" s="84">
        <f>TrRoad_act!U66</f>
        <v>3718</v>
      </c>
      <c r="V12" s="84">
        <f>TrRoad_act!V66</f>
        <v>5563</v>
      </c>
      <c r="W12" s="84">
        <f>TrRoad_act!W66</f>
        <v>11883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48142</v>
      </c>
      <c r="C13" s="110">
        <f>TrRoad_act!C67</f>
        <v>47724</v>
      </c>
      <c r="D13" s="110">
        <f>TrRoad_act!D67</f>
        <v>40761</v>
      </c>
      <c r="E13" s="110">
        <f>TrRoad_act!E67</f>
        <v>41947</v>
      </c>
      <c r="F13" s="110">
        <f>TrRoad_act!F67</f>
        <v>43192</v>
      </c>
      <c r="G13" s="110">
        <f>TrRoad_act!G67</f>
        <v>39273</v>
      </c>
      <c r="H13" s="110">
        <f>TrRoad_act!H67</f>
        <v>32315</v>
      </c>
      <c r="I13" s="110">
        <f>TrRoad_act!I67</f>
        <v>34202</v>
      </c>
      <c r="J13" s="110">
        <f>TrRoad_act!J67</f>
        <v>41514</v>
      </c>
      <c r="K13" s="110">
        <f>TrRoad_act!K67</f>
        <v>41176</v>
      </c>
      <c r="L13" s="110">
        <f>TrRoad_act!L67</f>
        <v>40892</v>
      </c>
      <c r="M13" s="110">
        <f>TrRoad_act!M67</f>
        <v>40909</v>
      </c>
      <c r="N13" s="110">
        <f>TrRoad_act!N67</f>
        <v>42034</v>
      </c>
      <c r="O13" s="110">
        <f>TrRoad_act!O67</f>
        <v>42862</v>
      </c>
      <c r="P13" s="110">
        <f>TrRoad_act!P67</f>
        <v>44303</v>
      </c>
      <c r="Q13" s="110">
        <f>TrRoad_act!Q67</f>
        <v>47347</v>
      </c>
      <c r="R13" s="110">
        <f>TrRoad_act!R67</f>
        <v>48803</v>
      </c>
      <c r="S13" s="110">
        <f>TrRoad_act!S67</f>
        <v>50309</v>
      </c>
      <c r="T13" s="110">
        <f>TrRoad_act!T67</f>
        <v>51802</v>
      </c>
      <c r="U13" s="110">
        <f>TrRoad_act!U67</f>
        <v>53771</v>
      </c>
      <c r="V13" s="110">
        <f>TrRoad_act!V67</f>
        <v>54212</v>
      </c>
      <c r="W13" s="110">
        <f>TrRoad_act!W67</f>
        <v>54351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169</v>
      </c>
      <c r="K14" s="102">
        <f>TrRoad_act!K68</f>
        <v>169</v>
      </c>
      <c r="L14" s="102">
        <f>TrRoad_act!L68</f>
        <v>169</v>
      </c>
      <c r="M14" s="102">
        <f>TrRoad_act!M68</f>
        <v>168</v>
      </c>
      <c r="N14" s="102">
        <f>TrRoad_act!N68</f>
        <v>165</v>
      </c>
      <c r="O14" s="102">
        <f>TrRoad_act!O68</f>
        <v>161</v>
      </c>
      <c r="P14" s="102">
        <f>TrRoad_act!P68</f>
        <v>156</v>
      </c>
      <c r="Q14" s="102">
        <f>TrRoad_act!Q68</f>
        <v>149</v>
      </c>
      <c r="R14" s="102">
        <f>TrRoad_act!R68</f>
        <v>142</v>
      </c>
      <c r="S14" s="102">
        <f>TrRoad_act!S68</f>
        <v>135</v>
      </c>
      <c r="T14" s="102">
        <f>TrRoad_act!T68</f>
        <v>126</v>
      </c>
      <c r="U14" s="102">
        <f>TrRoad_act!U68</f>
        <v>121</v>
      </c>
      <c r="V14" s="102">
        <f>TrRoad_act!V68</f>
        <v>120</v>
      </c>
      <c r="W14" s="102">
        <f>TrRoad_act!W68</f>
        <v>117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48142</v>
      </c>
      <c r="C15" s="102">
        <f>TrRoad_act!C69</f>
        <v>47724</v>
      </c>
      <c r="D15" s="102">
        <f>TrRoad_act!D69</f>
        <v>40761</v>
      </c>
      <c r="E15" s="102">
        <f>TrRoad_act!E69</f>
        <v>41947</v>
      </c>
      <c r="F15" s="102">
        <f>TrRoad_act!F69</f>
        <v>43192</v>
      </c>
      <c r="G15" s="102">
        <f>TrRoad_act!G69</f>
        <v>39273</v>
      </c>
      <c r="H15" s="102">
        <f>TrRoad_act!H69</f>
        <v>32315</v>
      </c>
      <c r="I15" s="102">
        <f>TrRoad_act!I69</f>
        <v>34202</v>
      </c>
      <c r="J15" s="102">
        <f>TrRoad_act!J69</f>
        <v>41313</v>
      </c>
      <c r="K15" s="102">
        <f>TrRoad_act!K69</f>
        <v>40971</v>
      </c>
      <c r="L15" s="102">
        <f>TrRoad_act!L69</f>
        <v>40647</v>
      </c>
      <c r="M15" s="102">
        <f>TrRoad_act!M69</f>
        <v>40650</v>
      </c>
      <c r="N15" s="102">
        <f>TrRoad_act!N69</f>
        <v>41778</v>
      </c>
      <c r="O15" s="102">
        <f>TrRoad_act!O69</f>
        <v>42607</v>
      </c>
      <c r="P15" s="102">
        <f>TrRoad_act!P69</f>
        <v>44052</v>
      </c>
      <c r="Q15" s="102">
        <f>TrRoad_act!Q69</f>
        <v>47104</v>
      </c>
      <c r="R15" s="102">
        <f>TrRoad_act!R69</f>
        <v>48574</v>
      </c>
      <c r="S15" s="102">
        <f>TrRoad_act!S69</f>
        <v>50088</v>
      </c>
      <c r="T15" s="102">
        <f>TrRoad_act!T69</f>
        <v>51600</v>
      </c>
      <c r="U15" s="102">
        <f>TrRoad_act!U69</f>
        <v>53532</v>
      </c>
      <c r="V15" s="102">
        <f>TrRoad_act!V69</f>
        <v>53801</v>
      </c>
      <c r="W15" s="102">
        <f>TrRoad_act!W69</f>
        <v>53933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32</v>
      </c>
      <c r="K16" s="102">
        <f>TrRoad_act!K70</f>
        <v>36</v>
      </c>
      <c r="L16" s="102">
        <f>TrRoad_act!L70</f>
        <v>76</v>
      </c>
      <c r="M16" s="102">
        <f>TrRoad_act!M70</f>
        <v>91</v>
      </c>
      <c r="N16" s="102">
        <f>TrRoad_act!N70</f>
        <v>91</v>
      </c>
      <c r="O16" s="102">
        <f>TrRoad_act!O70</f>
        <v>93</v>
      </c>
      <c r="P16" s="102">
        <f>TrRoad_act!P70</f>
        <v>93</v>
      </c>
      <c r="Q16" s="102">
        <f>TrRoad_act!Q70</f>
        <v>90</v>
      </c>
      <c r="R16" s="102">
        <f>TrRoad_act!R70</f>
        <v>82</v>
      </c>
      <c r="S16" s="102">
        <f>TrRoad_act!S70</f>
        <v>81</v>
      </c>
      <c r="T16" s="102">
        <f>TrRoad_act!T70</f>
        <v>51</v>
      </c>
      <c r="U16" s="102">
        <f>TrRoad_act!U70</f>
        <v>49</v>
      </c>
      <c r="V16" s="102">
        <f>TrRoad_act!V70</f>
        <v>48</v>
      </c>
      <c r="W16" s="102">
        <f>TrRoad_act!W70</f>
        <v>47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1</v>
      </c>
      <c r="P18" s="102">
        <f>TrRoad_act!P72</f>
        <v>2</v>
      </c>
      <c r="Q18" s="102">
        <f>TrRoad_act!Q72</f>
        <v>4</v>
      </c>
      <c r="R18" s="102">
        <f>TrRoad_act!R72</f>
        <v>5</v>
      </c>
      <c r="S18" s="102">
        <f>TrRoad_act!S72</f>
        <v>5</v>
      </c>
      <c r="T18" s="102">
        <f>TrRoad_act!T72</f>
        <v>25</v>
      </c>
      <c r="U18" s="102">
        <f>TrRoad_act!U72</f>
        <v>69</v>
      </c>
      <c r="V18" s="102">
        <f>TrRoad_act!V72</f>
        <v>243</v>
      </c>
      <c r="W18" s="102">
        <f>TrRoad_act!W72</f>
        <v>254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377906</v>
      </c>
      <c r="C19" s="28">
        <f>TrRoad_act!C73</f>
        <v>389874</v>
      </c>
      <c r="D19" s="28">
        <f>TrRoad_act!D73</f>
        <v>397051</v>
      </c>
      <c r="E19" s="28">
        <f>TrRoad_act!E73</f>
        <v>421307</v>
      </c>
      <c r="F19" s="28">
        <f>TrRoad_act!F73</f>
        <v>438560</v>
      </c>
      <c r="G19" s="28">
        <f>TrRoad_act!G73</f>
        <v>464019</v>
      </c>
      <c r="H19" s="28">
        <f>TrRoad_act!H73</f>
        <v>511337</v>
      </c>
      <c r="I19" s="28">
        <f>TrRoad_act!I73</f>
        <v>532477</v>
      </c>
      <c r="J19" s="28">
        <f>TrRoad_act!J73</f>
        <v>591484</v>
      </c>
      <c r="K19" s="28">
        <f>TrRoad_act!K73</f>
        <v>607205</v>
      </c>
      <c r="L19" s="28">
        <f>TrRoad_act!L73</f>
        <v>604351</v>
      </c>
      <c r="M19" s="28">
        <f>TrRoad_act!M73</f>
        <v>620389</v>
      </c>
      <c r="N19" s="28">
        <f>TrRoad_act!N73</f>
        <v>631889</v>
      </c>
      <c r="O19" s="28">
        <f>TrRoad_act!O73</f>
        <v>658337</v>
      </c>
      <c r="P19" s="28">
        <f>TrRoad_act!P73</f>
        <v>697327</v>
      </c>
      <c r="Q19" s="28">
        <f>TrRoad_act!Q73</f>
        <v>718695</v>
      </c>
      <c r="R19" s="28">
        <f>TrRoad_act!R73</f>
        <v>729158</v>
      </c>
      <c r="S19" s="28">
        <f>TrRoad_act!S73</f>
        <v>762635</v>
      </c>
      <c r="T19" s="28">
        <f>TrRoad_act!T73</f>
        <v>812706</v>
      </c>
      <c r="U19" s="28">
        <f>TrRoad_act!U73</f>
        <v>857971</v>
      </c>
      <c r="V19" s="28">
        <f>TrRoad_act!V73</f>
        <v>903169</v>
      </c>
      <c r="W19" s="28">
        <f>TrRoad_act!W73</f>
        <v>942123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320155</v>
      </c>
      <c r="C20" s="137">
        <f>TrRoad_act!C74</f>
        <v>328399</v>
      </c>
      <c r="D20" s="137">
        <f>TrRoad_act!D74</f>
        <v>335513</v>
      </c>
      <c r="E20" s="137">
        <f>TrRoad_act!E74</f>
        <v>347565</v>
      </c>
      <c r="F20" s="137">
        <f>TrRoad_act!F74</f>
        <v>362316</v>
      </c>
      <c r="G20" s="137">
        <f>TrRoad_act!G74</f>
        <v>371018</v>
      </c>
      <c r="H20" s="137">
        <f>TrRoad_act!H74</f>
        <v>410366</v>
      </c>
      <c r="I20" s="137">
        <f>TrRoad_act!I74</f>
        <v>432232</v>
      </c>
      <c r="J20" s="137">
        <f>TrRoad_act!J74</f>
        <v>486990</v>
      </c>
      <c r="K20" s="137">
        <f>TrRoad_act!K74</f>
        <v>499692</v>
      </c>
      <c r="L20" s="137">
        <f>TrRoad_act!L74</f>
        <v>503773</v>
      </c>
      <c r="M20" s="137">
        <f>TrRoad_act!M74</f>
        <v>526063</v>
      </c>
      <c r="N20" s="137">
        <f>TrRoad_act!N74</f>
        <v>544089</v>
      </c>
      <c r="O20" s="137">
        <f>TrRoad_act!O74</f>
        <v>572873</v>
      </c>
      <c r="P20" s="137">
        <f>TrRoad_act!P74</f>
        <v>615903</v>
      </c>
      <c r="Q20" s="137">
        <f>TrRoad_act!Q74</f>
        <v>645549</v>
      </c>
      <c r="R20" s="137">
        <f>TrRoad_act!R74</f>
        <v>663503</v>
      </c>
      <c r="S20" s="137">
        <f>TrRoad_act!S74</f>
        <v>700987</v>
      </c>
      <c r="T20" s="137">
        <f>TrRoad_act!T74</f>
        <v>753029</v>
      </c>
      <c r="U20" s="137">
        <f>TrRoad_act!U74</f>
        <v>797135</v>
      </c>
      <c r="V20" s="137">
        <f>TrRoad_act!V74</f>
        <v>839103</v>
      </c>
      <c r="W20" s="137">
        <f>TrRoad_act!W74</f>
        <v>877319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130188</v>
      </c>
      <c r="C21" s="84">
        <f>TrRoad_act!C75</f>
        <v>131096</v>
      </c>
      <c r="D21" s="84">
        <f>TrRoad_act!D75</f>
        <v>131545</v>
      </c>
      <c r="E21" s="84">
        <f>TrRoad_act!E75</f>
        <v>133628</v>
      </c>
      <c r="F21" s="84">
        <f>TrRoad_act!F75</f>
        <v>136509</v>
      </c>
      <c r="G21" s="84">
        <f>TrRoad_act!G75</f>
        <v>137260</v>
      </c>
      <c r="H21" s="84">
        <f>TrRoad_act!H75</f>
        <v>147870</v>
      </c>
      <c r="I21" s="84">
        <f>TrRoad_act!I75</f>
        <v>152513</v>
      </c>
      <c r="J21" s="84">
        <f>TrRoad_act!J75</f>
        <v>152235</v>
      </c>
      <c r="K21" s="84">
        <f>TrRoad_act!K75</f>
        <v>150669</v>
      </c>
      <c r="L21" s="84">
        <f>TrRoad_act!L75</f>
        <v>145203</v>
      </c>
      <c r="M21" s="84">
        <f>TrRoad_act!M75</f>
        <v>140466</v>
      </c>
      <c r="N21" s="84">
        <f>TrRoad_act!N75</f>
        <v>136544</v>
      </c>
      <c r="O21" s="84">
        <f>TrRoad_act!O75</f>
        <v>127322</v>
      </c>
      <c r="P21" s="84">
        <f>TrRoad_act!P75</f>
        <v>119204</v>
      </c>
      <c r="Q21" s="84">
        <f>TrRoad_act!Q75</f>
        <v>106409</v>
      </c>
      <c r="R21" s="84">
        <f>TrRoad_act!R75</f>
        <v>111438</v>
      </c>
      <c r="S21" s="84">
        <f>TrRoad_act!S75</f>
        <v>114170</v>
      </c>
      <c r="T21" s="84">
        <f>TrRoad_act!T75</f>
        <v>115134</v>
      </c>
      <c r="U21" s="84">
        <f>TrRoad_act!U75</f>
        <v>112059</v>
      </c>
      <c r="V21" s="84">
        <f>TrRoad_act!V75</f>
        <v>110367</v>
      </c>
      <c r="W21" s="84">
        <f>TrRoad_act!W75</f>
        <v>108220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189967</v>
      </c>
      <c r="C22" s="84">
        <f>TrRoad_act!C76</f>
        <v>197303</v>
      </c>
      <c r="D22" s="84">
        <f>TrRoad_act!D76</f>
        <v>203968</v>
      </c>
      <c r="E22" s="84">
        <f>TrRoad_act!E76</f>
        <v>213937</v>
      </c>
      <c r="F22" s="84">
        <f>TrRoad_act!F76</f>
        <v>225807</v>
      </c>
      <c r="G22" s="84">
        <f>TrRoad_act!G76</f>
        <v>233758</v>
      </c>
      <c r="H22" s="84">
        <f>TrRoad_act!H76</f>
        <v>262496</v>
      </c>
      <c r="I22" s="84">
        <f>TrRoad_act!I76</f>
        <v>279719</v>
      </c>
      <c r="J22" s="84">
        <f>TrRoad_act!J76</f>
        <v>334753</v>
      </c>
      <c r="K22" s="84">
        <f>TrRoad_act!K76</f>
        <v>349021</v>
      </c>
      <c r="L22" s="84">
        <f>TrRoad_act!L76</f>
        <v>358566</v>
      </c>
      <c r="M22" s="84">
        <f>TrRoad_act!M76</f>
        <v>385590</v>
      </c>
      <c r="N22" s="84">
        <f>TrRoad_act!N76</f>
        <v>407529</v>
      </c>
      <c r="O22" s="84">
        <f>TrRoad_act!O76</f>
        <v>445531</v>
      </c>
      <c r="P22" s="84">
        <f>TrRoad_act!P76</f>
        <v>496674</v>
      </c>
      <c r="Q22" s="84">
        <f>TrRoad_act!Q76</f>
        <v>539118</v>
      </c>
      <c r="R22" s="84">
        <f>TrRoad_act!R76</f>
        <v>552041</v>
      </c>
      <c r="S22" s="84">
        <f>TrRoad_act!S76</f>
        <v>586778</v>
      </c>
      <c r="T22" s="84">
        <f>TrRoad_act!T76</f>
        <v>637815</v>
      </c>
      <c r="U22" s="84">
        <f>TrRoad_act!U76</f>
        <v>684940</v>
      </c>
      <c r="V22" s="84">
        <f>TrRoad_act!V76</f>
        <v>728513</v>
      </c>
      <c r="W22" s="84">
        <f>TrRoad_act!W76</f>
        <v>768781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2</v>
      </c>
      <c r="K23" s="84">
        <f>TrRoad_act!K77</f>
        <v>2</v>
      </c>
      <c r="L23" s="84">
        <f>TrRoad_act!L77</f>
        <v>2</v>
      </c>
      <c r="M23" s="84">
        <f>TrRoad_act!M77</f>
        <v>4</v>
      </c>
      <c r="N23" s="84">
        <f>TrRoad_act!N77</f>
        <v>10</v>
      </c>
      <c r="O23" s="84">
        <f>TrRoad_act!O77</f>
        <v>10</v>
      </c>
      <c r="P23" s="84">
        <f>TrRoad_act!P77</f>
        <v>12</v>
      </c>
      <c r="Q23" s="84">
        <f>TrRoad_act!Q77</f>
        <v>10</v>
      </c>
      <c r="R23" s="84">
        <f>TrRoad_act!R77</f>
        <v>13</v>
      </c>
      <c r="S23" s="84">
        <f>TrRoad_act!S77</f>
        <v>13</v>
      </c>
      <c r="T23" s="84">
        <f>TrRoad_act!T77</f>
        <v>12</v>
      </c>
      <c r="U23" s="84">
        <f>TrRoad_act!U77</f>
        <v>12</v>
      </c>
      <c r="V23" s="84">
        <f>TrRoad_act!V77</f>
        <v>11</v>
      </c>
      <c r="W23" s="84">
        <f>TrRoad_act!W77</f>
        <v>17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2</v>
      </c>
      <c r="M25" s="84">
        <f>TrRoad_act!M79</f>
        <v>3</v>
      </c>
      <c r="N25" s="84">
        <f>TrRoad_act!N79</f>
        <v>6</v>
      </c>
      <c r="O25" s="84">
        <f>TrRoad_act!O79</f>
        <v>10</v>
      </c>
      <c r="P25" s="84">
        <f>TrRoad_act!P79</f>
        <v>13</v>
      </c>
      <c r="Q25" s="84">
        <f>TrRoad_act!Q79</f>
        <v>12</v>
      </c>
      <c r="R25" s="84">
        <f>TrRoad_act!R79</f>
        <v>11</v>
      </c>
      <c r="S25" s="84">
        <f>TrRoad_act!S79</f>
        <v>26</v>
      </c>
      <c r="T25" s="84">
        <f>TrRoad_act!T79</f>
        <v>68</v>
      </c>
      <c r="U25" s="84">
        <f>TrRoad_act!U79</f>
        <v>124</v>
      </c>
      <c r="V25" s="84">
        <f>TrRoad_act!V79</f>
        <v>212</v>
      </c>
      <c r="W25" s="84">
        <f>TrRoad_act!W79</f>
        <v>301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57751</v>
      </c>
      <c r="C26" s="110">
        <f>TrRoad_act!C80</f>
        <v>61475</v>
      </c>
      <c r="D26" s="110">
        <f>TrRoad_act!D80</f>
        <v>61538</v>
      </c>
      <c r="E26" s="110">
        <f>TrRoad_act!E80</f>
        <v>73742</v>
      </c>
      <c r="F26" s="110">
        <f>TrRoad_act!F80</f>
        <v>76244</v>
      </c>
      <c r="G26" s="110">
        <f>TrRoad_act!G80</f>
        <v>93001</v>
      </c>
      <c r="H26" s="110">
        <f>TrRoad_act!H80</f>
        <v>100971</v>
      </c>
      <c r="I26" s="110">
        <f>TrRoad_act!I80</f>
        <v>100245</v>
      </c>
      <c r="J26" s="110">
        <f>TrRoad_act!J80</f>
        <v>104494</v>
      </c>
      <c r="K26" s="110">
        <f>TrRoad_act!K80</f>
        <v>107513</v>
      </c>
      <c r="L26" s="110">
        <f>TrRoad_act!L80</f>
        <v>100578</v>
      </c>
      <c r="M26" s="110">
        <f>TrRoad_act!M80</f>
        <v>94326</v>
      </c>
      <c r="N26" s="110">
        <f>TrRoad_act!N80</f>
        <v>87800</v>
      </c>
      <c r="O26" s="110">
        <f>TrRoad_act!O80</f>
        <v>85464</v>
      </c>
      <c r="P26" s="110">
        <f>TrRoad_act!P80</f>
        <v>81424</v>
      </c>
      <c r="Q26" s="110">
        <f>TrRoad_act!Q80</f>
        <v>73146</v>
      </c>
      <c r="R26" s="110">
        <f>TrRoad_act!R80</f>
        <v>65655</v>
      </c>
      <c r="S26" s="110">
        <f>TrRoad_act!S80</f>
        <v>61648</v>
      </c>
      <c r="T26" s="110">
        <f>TrRoad_act!T80</f>
        <v>59677</v>
      </c>
      <c r="U26" s="110">
        <f>TrRoad_act!U80</f>
        <v>60836</v>
      </c>
      <c r="V26" s="110">
        <f>TrRoad_act!V80</f>
        <v>64066</v>
      </c>
      <c r="W26" s="110">
        <f>TrRoad_act!W80</f>
        <v>64804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49944</v>
      </c>
      <c r="C27" s="102">
        <f>TrRoad_act!C81</f>
        <v>53105</v>
      </c>
      <c r="D27" s="102">
        <f>TrRoad_act!D81</f>
        <v>52732</v>
      </c>
      <c r="E27" s="102">
        <f>TrRoad_act!E81</f>
        <v>64741</v>
      </c>
      <c r="F27" s="102">
        <f>TrRoad_act!F81</f>
        <v>65601</v>
      </c>
      <c r="G27" s="102">
        <f>TrRoad_act!G81</f>
        <v>81984</v>
      </c>
      <c r="H27" s="102">
        <f>TrRoad_act!H81</f>
        <v>92746</v>
      </c>
      <c r="I27" s="102">
        <f>TrRoad_act!I81</f>
        <v>91925</v>
      </c>
      <c r="J27" s="102">
        <f>TrRoad_act!J81</f>
        <v>97926</v>
      </c>
      <c r="K27" s="102">
        <f>TrRoad_act!K81</f>
        <v>103855</v>
      </c>
      <c r="L27" s="102">
        <f>TrRoad_act!L81</f>
        <v>97658</v>
      </c>
      <c r="M27" s="102">
        <f>TrRoad_act!M81</f>
        <v>91338</v>
      </c>
      <c r="N27" s="102">
        <f>TrRoad_act!N81</f>
        <v>84296</v>
      </c>
      <c r="O27" s="102">
        <f>TrRoad_act!O81</f>
        <v>81705</v>
      </c>
      <c r="P27" s="102">
        <f>TrRoad_act!P81</f>
        <v>77755</v>
      </c>
      <c r="Q27" s="102">
        <f>TrRoad_act!Q81</f>
        <v>69456</v>
      </c>
      <c r="R27" s="102">
        <f>TrRoad_act!R81</f>
        <v>61534</v>
      </c>
      <c r="S27" s="102">
        <f>TrRoad_act!S81</f>
        <v>56754</v>
      </c>
      <c r="T27" s="102">
        <f>TrRoad_act!T81</f>
        <v>55031</v>
      </c>
      <c r="U27" s="102">
        <f>TrRoad_act!U81</f>
        <v>56131</v>
      </c>
      <c r="V27" s="102">
        <f>TrRoad_act!V81</f>
        <v>60343</v>
      </c>
      <c r="W27" s="102">
        <f>TrRoad_act!W81</f>
        <v>59498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7807</v>
      </c>
      <c r="C28" s="86">
        <f>TrRoad_act!C82</f>
        <v>8370</v>
      </c>
      <c r="D28" s="86">
        <f>TrRoad_act!D82</f>
        <v>8806</v>
      </c>
      <c r="E28" s="86">
        <f>TrRoad_act!E82</f>
        <v>9001</v>
      </c>
      <c r="F28" s="86">
        <f>TrRoad_act!F82</f>
        <v>10643</v>
      </c>
      <c r="G28" s="86">
        <f>TrRoad_act!G82</f>
        <v>11017</v>
      </c>
      <c r="H28" s="86">
        <f>TrRoad_act!H82</f>
        <v>8225</v>
      </c>
      <c r="I28" s="86">
        <f>TrRoad_act!I82</f>
        <v>8320</v>
      </c>
      <c r="J28" s="86">
        <f>TrRoad_act!J82</f>
        <v>6568</v>
      </c>
      <c r="K28" s="86">
        <f>TrRoad_act!K82</f>
        <v>3658</v>
      </c>
      <c r="L28" s="86">
        <f>TrRoad_act!L82</f>
        <v>2920</v>
      </c>
      <c r="M28" s="86">
        <f>TrRoad_act!M82</f>
        <v>2988</v>
      </c>
      <c r="N28" s="86">
        <f>TrRoad_act!N82</f>
        <v>3504</v>
      </c>
      <c r="O28" s="86">
        <f>TrRoad_act!O82</f>
        <v>3759</v>
      </c>
      <c r="P28" s="86">
        <f>TrRoad_act!P82</f>
        <v>3669</v>
      </c>
      <c r="Q28" s="86">
        <f>TrRoad_act!Q82</f>
        <v>3690</v>
      </c>
      <c r="R28" s="86">
        <f>TrRoad_act!R82</f>
        <v>4121</v>
      </c>
      <c r="S28" s="86">
        <f>TrRoad_act!S82</f>
        <v>4894</v>
      </c>
      <c r="T28" s="86">
        <f>TrRoad_act!T82</f>
        <v>4646</v>
      </c>
      <c r="U28" s="86">
        <f>TrRoad_act!U82</f>
        <v>4705</v>
      </c>
      <c r="V28" s="86">
        <f>TrRoad_act!V82</f>
        <v>3723</v>
      </c>
      <c r="W28" s="86">
        <f>TrRoad_act!W82</f>
        <v>5306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196081</v>
      </c>
      <c r="C30" s="54">
        <f>TrRoad_act!C111</f>
        <v>252731</v>
      </c>
      <c r="D30" s="54">
        <f>TrRoad_act!D111</f>
        <v>233999</v>
      </c>
      <c r="E30" s="54">
        <f>TrRoad_act!E111</f>
        <v>287793</v>
      </c>
      <c r="F30" s="54">
        <f>TrRoad_act!F111</f>
        <v>275034</v>
      </c>
      <c r="G30" s="54">
        <f>TrRoad_act!G111</f>
        <v>324403</v>
      </c>
      <c r="H30" s="54">
        <f>TrRoad_act!H111</f>
        <v>554267</v>
      </c>
      <c r="I30" s="54">
        <f>TrRoad_act!I111</f>
        <v>716944</v>
      </c>
      <c r="J30" s="54">
        <f>TrRoad_act!J111</f>
        <v>997270</v>
      </c>
      <c r="K30" s="54">
        <f>TrRoad_act!K111</f>
        <v>554880</v>
      </c>
      <c r="L30" s="54">
        <f>TrRoad_act!L111</f>
        <v>510372</v>
      </c>
      <c r="M30" s="54">
        <f>TrRoad_act!M111</f>
        <v>330429</v>
      </c>
      <c r="N30" s="54">
        <f>TrRoad_act!N111</f>
        <v>429793</v>
      </c>
      <c r="O30" s="54">
        <f>TrRoad_act!O111</f>
        <v>502368</v>
      </c>
      <c r="P30" s="54">
        <f>TrRoad_act!P111</f>
        <v>518798</v>
      </c>
      <c r="Q30" s="54">
        <f>TrRoad_act!Q111</f>
        <v>500845</v>
      </c>
      <c r="R30" s="54">
        <f>TrRoad_act!R111</f>
        <v>524120</v>
      </c>
      <c r="S30" s="54">
        <f>TrRoad_act!S111</f>
        <v>768066</v>
      </c>
      <c r="T30" s="54">
        <f>TrRoad_act!T111</f>
        <v>821940</v>
      </c>
      <c r="U30" s="54">
        <f>TrRoad_act!U111</f>
        <v>853769</v>
      </c>
      <c r="V30" s="54">
        <f>TrRoad_act!V111</f>
        <v>814483</v>
      </c>
      <c r="W30" s="54">
        <f>TrRoad_act!W111</f>
        <v>824839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195300</v>
      </c>
      <c r="C31" s="28">
        <f>TrRoad_act!C112</f>
        <v>222048</v>
      </c>
      <c r="D31" s="28">
        <f>TrRoad_act!D112</f>
        <v>203727</v>
      </c>
      <c r="E31" s="28">
        <f>TrRoad_act!E112</f>
        <v>242170</v>
      </c>
      <c r="F31" s="28">
        <f>TrRoad_act!F112</f>
        <v>231063</v>
      </c>
      <c r="G31" s="28">
        <f>TrRoad_act!G112</f>
        <v>271219</v>
      </c>
      <c r="H31" s="28">
        <f>TrRoad_act!H112</f>
        <v>478279</v>
      </c>
      <c r="I31" s="28">
        <f>TrRoad_act!I112</f>
        <v>665389</v>
      </c>
      <c r="J31" s="28">
        <f>TrRoad_act!J112</f>
        <v>908676</v>
      </c>
      <c r="K31" s="28">
        <f>TrRoad_act!K112</f>
        <v>508594</v>
      </c>
      <c r="L31" s="28">
        <f>TrRoad_act!L112</f>
        <v>476310</v>
      </c>
      <c r="M31" s="28">
        <f>TrRoad_act!M112</f>
        <v>276064</v>
      </c>
      <c r="N31" s="28">
        <f>TrRoad_act!N112</f>
        <v>377253</v>
      </c>
      <c r="O31" s="28">
        <f>TrRoad_act!O112</f>
        <v>433978</v>
      </c>
      <c r="P31" s="28">
        <f>TrRoad_act!P112</f>
        <v>438743</v>
      </c>
      <c r="Q31" s="28">
        <f>TrRoad_act!Q112</f>
        <v>431684</v>
      </c>
      <c r="R31" s="28">
        <f>TrRoad_act!R112</f>
        <v>468552</v>
      </c>
      <c r="S31" s="28">
        <f>TrRoad_act!S112</f>
        <v>687929</v>
      </c>
      <c r="T31" s="28">
        <f>TrRoad_act!T112</f>
        <v>726315</v>
      </c>
      <c r="U31" s="28">
        <f>TrRoad_act!U112</f>
        <v>763761</v>
      </c>
      <c r="V31" s="28">
        <f>TrRoad_act!V112</f>
        <v>730236</v>
      </c>
      <c r="W31" s="28">
        <f>TrRoad_act!W112</f>
        <v>737795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0</v>
      </c>
      <c r="C32" s="137">
        <f>TrRoad_act!C113</f>
        <v>604</v>
      </c>
      <c r="D32" s="137">
        <f>TrRoad_act!D113</f>
        <v>601</v>
      </c>
      <c r="E32" s="137">
        <f>TrRoad_act!E113</f>
        <v>1404</v>
      </c>
      <c r="F32" s="137">
        <f>TrRoad_act!F113</f>
        <v>1694</v>
      </c>
      <c r="G32" s="137">
        <f>TrRoad_act!G113</f>
        <v>1695</v>
      </c>
      <c r="H32" s="137">
        <f>TrRoad_act!H113</f>
        <v>7277</v>
      </c>
      <c r="I32" s="137">
        <f>TrRoad_act!I113</f>
        <v>6943</v>
      </c>
      <c r="J32" s="137">
        <f>TrRoad_act!J113</f>
        <v>21215</v>
      </c>
      <c r="K32" s="137">
        <f>TrRoad_act!K113</f>
        <v>12104</v>
      </c>
      <c r="L32" s="137">
        <f>TrRoad_act!L113</f>
        <v>8359</v>
      </c>
      <c r="M32" s="137">
        <f>TrRoad_act!M113</f>
        <v>8108</v>
      </c>
      <c r="N32" s="137">
        <f>TrRoad_act!N113</f>
        <v>8802</v>
      </c>
      <c r="O32" s="137">
        <f>TrRoad_act!O113</f>
        <v>9961</v>
      </c>
      <c r="P32" s="137">
        <f>TrRoad_act!P113</f>
        <v>9484</v>
      </c>
      <c r="Q32" s="137">
        <f>TrRoad_act!Q113</f>
        <v>9351</v>
      </c>
      <c r="R32" s="137">
        <f>TrRoad_act!R113</f>
        <v>10953</v>
      </c>
      <c r="S32" s="137">
        <f>TrRoad_act!S113</f>
        <v>12522</v>
      </c>
      <c r="T32" s="137">
        <f>TrRoad_act!T113</f>
        <v>14476</v>
      </c>
      <c r="U32" s="137">
        <f>TrRoad_act!U113</f>
        <v>18332</v>
      </c>
      <c r="V32" s="137">
        <f>TrRoad_act!V113</f>
        <v>20851</v>
      </c>
      <c r="W32" s="137">
        <f>TrRoad_act!W113</f>
        <v>21218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195000</v>
      </c>
      <c r="C33" s="110">
        <f>TrRoad_act!C114</f>
        <v>217892</v>
      </c>
      <c r="D33" s="110">
        <f>TrRoad_act!D114</f>
        <v>203126</v>
      </c>
      <c r="E33" s="110">
        <f>TrRoad_act!E114</f>
        <v>238259</v>
      </c>
      <c r="F33" s="110">
        <f>TrRoad_act!F114</f>
        <v>223935</v>
      </c>
      <c r="G33" s="110">
        <f>TrRoad_act!G114</f>
        <v>269297</v>
      </c>
      <c r="H33" s="110">
        <f>TrRoad_act!H114</f>
        <v>468773</v>
      </c>
      <c r="I33" s="110">
        <f>TrRoad_act!I114</f>
        <v>654524</v>
      </c>
      <c r="J33" s="110">
        <f>TrRoad_act!J114</f>
        <v>879714</v>
      </c>
      <c r="K33" s="110">
        <f>TrRoad_act!K114</f>
        <v>493320</v>
      </c>
      <c r="L33" s="110">
        <f>TrRoad_act!L114</f>
        <v>464928</v>
      </c>
      <c r="M33" s="110">
        <f>TrRoad_act!M114</f>
        <v>264833</v>
      </c>
      <c r="N33" s="110">
        <f>TrRoad_act!N114</f>
        <v>364407</v>
      </c>
      <c r="O33" s="110">
        <f>TrRoad_act!O114</f>
        <v>420431</v>
      </c>
      <c r="P33" s="110">
        <f>TrRoad_act!P114</f>
        <v>425182</v>
      </c>
      <c r="Q33" s="110">
        <f>TrRoad_act!Q114</f>
        <v>416733</v>
      </c>
      <c r="R33" s="110">
        <f>TrRoad_act!R114</f>
        <v>454389</v>
      </c>
      <c r="S33" s="110">
        <f>TrRoad_act!S114</f>
        <v>671934</v>
      </c>
      <c r="T33" s="110">
        <f>TrRoad_act!T114</f>
        <v>708129</v>
      </c>
      <c r="U33" s="110">
        <f>TrRoad_act!U114</f>
        <v>741059</v>
      </c>
      <c r="V33" s="110">
        <f>TrRoad_act!V114</f>
        <v>706287</v>
      </c>
      <c r="W33" s="110">
        <f>TrRoad_act!W114</f>
        <v>713574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105000</v>
      </c>
      <c r="C34" s="84">
        <f>TrRoad_act!C115</f>
        <v>113044</v>
      </c>
      <c r="D34" s="84">
        <f>TrRoad_act!D115</f>
        <v>101954</v>
      </c>
      <c r="E34" s="84">
        <f>TrRoad_act!E115</f>
        <v>120552</v>
      </c>
      <c r="F34" s="84">
        <f>TrRoad_act!F115</f>
        <v>106245</v>
      </c>
      <c r="G34" s="84">
        <f>TrRoad_act!G115</f>
        <v>146832</v>
      </c>
      <c r="H34" s="84">
        <f>TrRoad_act!H115</f>
        <v>258585</v>
      </c>
      <c r="I34" s="84">
        <f>TrRoad_act!I115</f>
        <v>357442</v>
      </c>
      <c r="J34" s="84">
        <f>TrRoad_act!J115</f>
        <v>624226</v>
      </c>
      <c r="K34" s="84">
        <f>TrRoad_act!K115</f>
        <v>368920</v>
      </c>
      <c r="L34" s="84">
        <f>TrRoad_act!L115</f>
        <v>351688</v>
      </c>
      <c r="M34" s="84">
        <f>TrRoad_act!M115</f>
        <v>146980</v>
      </c>
      <c r="N34" s="84">
        <f>TrRoad_act!N115</f>
        <v>247783</v>
      </c>
      <c r="O34" s="84">
        <f>TrRoad_act!O115</f>
        <v>282005</v>
      </c>
      <c r="P34" s="84">
        <f>TrRoad_act!P115</f>
        <v>256792</v>
      </c>
      <c r="Q34" s="84">
        <f>TrRoad_act!Q115</f>
        <v>222093</v>
      </c>
      <c r="R34" s="84">
        <f>TrRoad_act!R115</f>
        <v>195417</v>
      </c>
      <c r="S34" s="84">
        <f>TrRoad_act!S115</f>
        <v>201554</v>
      </c>
      <c r="T34" s="84">
        <f>TrRoad_act!T115</f>
        <v>233313</v>
      </c>
      <c r="U34" s="84">
        <f>TrRoad_act!U115</f>
        <v>267278</v>
      </c>
      <c r="V34" s="84">
        <f>TrRoad_act!V115</f>
        <v>232500</v>
      </c>
      <c r="W34" s="84">
        <f>TrRoad_act!W115</f>
        <v>230620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90000</v>
      </c>
      <c r="C35" s="84">
        <f>TrRoad_act!C116</f>
        <v>104848</v>
      </c>
      <c r="D35" s="84">
        <f>TrRoad_act!D116</f>
        <v>96372</v>
      </c>
      <c r="E35" s="84">
        <f>TrRoad_act!E116</f>
        <v>111455</v>
      </c>
      <c r="F35" s="84">
        <f>TrRoad_act!F116</f>
        <v>103285</v>
      </c>
      <c r="G35" s="84">
        <f>TrRoad_act!G116</f>
        <v>122465</v>
      </c>
      <c r="H35" s="84">
        <f>TrRoad_act!H116</f>
        <v>210188</v>
      </c>
      <c r="I35" s="84">
        <f>TrRoad_act!I116</f>
        <v>289359</v>
      </c>
      <c r="J35" s="84">
        <f>TrRoad_act!J116</f>
        <v>255488</v>
      </c>
      <c r="K35" s="84">
        <f>TrRoad_act!K116</f>
        <v>124399</v>
      </c>
      <c r="L35" s="84">
        <f>TrRoad_act!L116</f>
        <v>113037</v>
      </c>
      <c r="M35" s="84">
        <f>TrRoad_act!M116</f>
        <v>68110</v>
      </c>
      <c r="N35" s="84">
        <f>TrRoad_act!N116</f>
        <v>114490</v>
      </c>
      <c r="O35" s="84">
        <f>TrRoad_act!O116</f>
        <v>136673</v>
      </c>
      <c r="P35" s="84">
        <f>TrRoad_act!P116</f>
        <v>163005</v>
      </c>
      <c r="Q35" s="84">
        <f>TrRoad_act!Q116</f>
        <v>181809</v>
      </c>
      <c r="R35" s="84">
        <f>TrRoad_act!R116</f>
        <v>248696</v>
      </c>
      <c r="S35" s="84">
        <f>TrRoad_act!S116</f>
        <v>454195</v>
      </c>
      <c r="T35" s="84">
        <f>TrRoad_act!T116</f>
        <v>454648</v>
      </c>
      <c r="U35" s="84">
        <f>TrRoad_act!U116</f>
        <v>444912</v>
      </c>
      <c r="V35" s="84">
        <f>TrRoad_act!V116</f>
        <v>436034</v>
      </c>
      <c r="W35" s="84">
        <f>TrRoad_act!W116</f>
        <v>426109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4800</v>
      </c>
      <c r="E36" s="84">
        <f>TrRoad_act!E117</f>
        <v>6252</v>
      </c>
      <c r="F36" s="84">
        <f>TrRoad_act!F117</f>
        <v>14405</v>
      </c>
      <c r="G36" s="84">
        <f>TrRoad_act!G117</f>
        <v>0</v>
      </c>
      <c r="H36" s="84">
        <f>TrRoad_act!H117</f>
        <v>0</v>
      </c>
      <c r="I36" s="84">
        <f>TrRoad_act!I117</f>
        <v>7723</v>
      </c>
      <c r="J36" s="84">
        <f>TrRoad_act!J117</f>
        <v>0</v>
      </c>
      <c r="K36" s="84">
        <f>TrRoad_act!K117</f>
        <v>0</v>
      </c>
      <c r="L36" s="84">
        <f>TrRoad_act!L117</f>
        <v>16</v>
      </c>
      <c r="M36" s="84">
        <f>TrRoad_act!M117</f>
        <v>49473</v>
      </c>
      <c r="N36" s="84">
        <f>TrRoad_act!N117</f>
        <v>1578</v>
      </c>
      <c r="O36" s="84">
        <f>TrRoad_act!O117</f>
        <v>1498</v>
      </c>
      <c r="P36" s="84">
        <f>TrRoad_act!P117</f>
        <v>5207</v>
      </c>
      <c r="Q36" s="84">
        <f>TrRoad_act!Q117</f>
        <v>12700</v>
      </c>
      <c r="R36" s="84">
        <f>TrRoad_act!R117</f>
        <v>9954</v>
      </c>
      <c r="S36" s="84">
        <f>TrRoad_act!S117</f>
        <v>15711</v>
      </c>
      <c r="T36" s="84">
        <f>TrRoad_act!T117</f>
        <v>19293</v>
      </c>
      <c r="U36" s="84">
        <f>TrRoad_act!U117</f>
        <v>26686</v>
      </c>
      <c r="V36" s="84">
        <f>TrRoad_act!V117</f>
        <v>33857</v>
      </c>
      <c r="W36" s="84">
        <f>TrRoad_act!W117</f>
        <v>47492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151</v>
      </c>
      <c r="O38" s="84">
        <f>TrRoad_act!O119</f>
        <v>1</v>
      </c>
      <c r="P38" s="84">
        <f>TrRoad_act!P119</f>
        <v>10</v>
      </c>
      <c r="Q38" s="84">
        <f>TrRoad_act!Q119</f>
        <v>22</v>
      </c>
      <c r="R38" s="84">
        <f>TrRoad_act!R119</f>
        <v>117</v>
      </c>
      <c r="S38" s="84">
        <f>TrRoad_act!S119</f>
        <v>159</v>
      </c>
      <c r="T38" s="84">
        <f>TrRoad_act!T119</f>
        <v>330</v>
      </c>
      <c r="U38" s="84">
        <f>TrRoad_act!U119</f>
        <v>675</v>
      </c>
      <c r="V38" s="84">
        <f>TrRoad_act!V119</f>
        <v>1052</v>
      </c>
      <c r="W38" s="84">
        <f>TrRoad_act!W119</f>
        <v>3009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1</v>
      </c>
      <c r="L39" s="84">
        <f>TrRoad_act!L120</f>
        <v>187</v>
      </c>
      <c r="M39" s="84">
        <f>TrRoad_act!M120</f>
        <v>270</v>
      </c>
      <c r="N39" s="84">
        <f>TrRoad_act!N120</f>
        <v>405</v>
      </c>
      <c r="O39" s="84">
        <f>TrRoad_act!O120</f>
        <v>254</v>
      </c>
      <c r="P39" s="84">
        <f>TrRoad_act!P120</f>
        <v>168</v>
      </c>
      <c r="Q39" s="84">
        <f>TrRoad_act!Q120</f>
        <v>109</v>
      </c>
      <c r="R39" s="84">
        <f>TrRoad_act!R120</f>
        <v>205</v>
      </c>
      <c r="S39" s="84">
        <f>TrRoad_act!S120</f>
        <v>315</v>
      </c>
      <c r="T39" s="84">
        <f>TrRoad_act!T120</f>
        <v>545</v>
      </c>
      <c r="U39" s="84">
        <f>TrRoad_act!U120</f>
        <v>1508</v>
      </c>
      <c r="V39" s="84">
        <f>TrRoad_act!V120</f>
        <v>2844</v>
      </c>
      <c r="W39" s="84">
        <f>TrRoad_act!W120</f>
        <v>6344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300</v>
      </c>
      <c r="C40" s="110">
        <f>TrRoad_act!C121</f>
        <v>3552</v>
      </c>
      <c r="D40" s="110">
        <f>TrRoad_act!D121</f>
        <v>0</v>
      </c>
      <c r="E40" s="110">
        <f>TrRoad_act!E121</f>
        <v>2507</v>
      </c>
      <c r="F40" s="110">
        <f>TrRoad_act!F121</f>
        <v>5434</v>
      </c>
      <c r="G40" s="110">
        <f>TrRoad_act!G121</f>
        <v>227</v>
      </c>
      <c r="H40" s="110">
        <f>TrRoad_act!H121</f>
        <v>2229</v>
      </c>
      <c r="I40" s="110">
        <f>TrRoad_act!I121</f>
        <v>3922</v>
      </c>
      <c r="J40" s="110">
        <f>TrRoad_act!J121</f>
        <v>7747</v>
      </c>
      <c r="K40" s="110">
        <f>TrRoad_act!K121</f>
        <v>3170</v>
      </c>
      <c r="L40" s="110">
        <f>TrRoad_act!L121</f>
        <v>3023</v>
      </c>
      <c r="M40" s="110">
        <f>TrRoad_act!M121</f>
        <v>3123</v>
      </c>
      <c r="N40" s="110">
        <f>TrRoad_act!N121</f>
        <v>4044</v>
      </c>
      <c r="O40" s="110">
        <f>TrRoad_act!O121</f>
        <v>3586</v>
      </c>
      <c r="P40" s="110">
        <f>TrRoad_act!P121</f>
        <v>4077</v>
      </c>
      <c r="Q40" s="110">
        <f>TrRoad_act!Q121</f>
        <v>5600</v>
      </c>
      <c r="R40" s="110">
        <f>TrRoad_act!R121</f>
        <v>3210</v>
      </c>
      <c r="S40" s="110">
        <f>TrRoad_act!S121</f>
        <v>3473</v>
      </c>
      <c r="T40" s="110">
        <f>TrRoad_act!T121</f>
        <v>3710</v>
      </c>
      <c r="U40" s="110">
        <f>TrRoad_act!U121</f>
        <v>4370</v>
      </c>
      <c r="V40" s="110">
        <f>TrRoad_act!V121</f>
        <v>3098</v>
      </c>
      <c r="W40" s="110">
        <f>TrRoad_act!W121</f>
        <v>3003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169</v>
      </c>
      <c r="K41" s="102">
        <f>TrRoad_act!K122</f>
        <v>0</v>
      </c>
      <c r="L41" s="102">
        <f>TrRoad_act!L122</f>
        <v>2</v>
      </c>
      <c r="M41" s="102">
        <f>TrRoad_act!M122</f>
        <v>1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300</v>
      </c>
      <c r="C42" s="102">
        <f>TrRoad_act!C123</f>
        <v>3552</v>
      </c>
      <c r="D42" s="102">
        <f>TrRoad_act!D123</f>
        <v>0</v>
      </c>
      <c r="E42" s="102">
        <f>TrRoad_act!E123</f>
        <v>2507</v>
      </c>
      <c r="F42" s="102">
        <f>TrRoad_act!F123</f>
        <v>5434</v>
      </c>
      <c r="G42" s="102">
        <f>TrRoad_act!G123</f>
        <v>227</v>
      </c>
      <c r="H42" s="102">
        <f>TrRoad_act!H123</f>
        <v>2229</v>
      </c>
      <c r="I42" s="102">
        <f>TrRoad_act!I123</f>
        <v>3922</v>
      </c>
      <c r="J42" s="102">
        <f>TrRoad_act!J123</f>
        <v>7546</v>
      </c>
      <c r="K42" s="102">
        <f>TrRoad_act!K123</f>
        <v>3166</v>
      </c>
      <c r="L42" s="102">
        <f>TrRoad_act!L123</f>
        <v>2981</v>
      </c>
      <c r="M42" s="102">
        <f>TrRoad_act!M123</f>
        <v>3107</v>
      </c>
      <c r="N42" s="102">
        <f>TrRoad_act!N123</f>
        <v>4044</v>
      </c>
      <c r="O42" s="102">
        <f>TrRoad_act!O123</f>
        <v>3583</v>
      </c>
      <c r="P42" s="102">
        <f>TrRoad_act!P123</f>
        <v>4075</v>
      </c>
      <c r="Q42" s="102">
        <f>TrRoad_act!Q123</f>
        <v>5598</v>
      </c>
      <c r="R42" s="102">
        <f>TrRoad_act!R123</f>
        <v>3205</v>
      </c>
      <c r="S42" s="102">
        <f>TrRoad_act!S123</f>
        <v>3471</v>
      </c>
      <c r="T42" s="102">
        <f>TrRoad_act!T123</f>
        <v>3685</v>
      </c>
      <c r="U42" s="102">
        <f>TrRoad_act!U123</f>
        <v>4315</v>
      </c>
      <c r="V42" s="102">
        <f>TrRoad_act!V123</f>
        <v>2855</v>
      </c>
      <c r="W42" s="102">
        <f>TrRoad_act!W123</f>
        <v>2907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32</v>
      </c>
      <c r="K43" s="102">
        <f>TrRoad_act!K124</f>
        <v>4</v>
      </c>
      <c r="L43" s="102">
        <f>TrRoad_act!L124</f>
        <v>40</v>
      </c>
      <c r="M43" s="102">
        <f>TrRoad_act!M124</f>
        <v>15</v>
      </c>
      <c r="N43" s="102">
        <f>TrRoad_act!N124</f>
        <v>0</v>
      </c>
      <c r="O43" s="102">
        <f>TrRoad_act!O124</f>
        <v>2</v>
      </c>
      <c r="P43" s="102">
        <f>TrRoad_act!P124</f>
        <v>1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1</v>
      </c>
      <c r="P45" s="102">
        <f>TrRoad_act!P126</f>
        <v>1</v>
      </c>
      <c r="Q45" s="102">
        <f>TrRoad_act!Q126</f>
        <v>2</v>
      </c>
      <c r="R45" s="102">
        <f>TrRoad_act!R126</f>
        <v>5</v>
      </c>
      <c r="S45" s="102">
        <f>TrRoad_act!S126</f>
        <v>2</v>
      </c>
      <c r="T45" s="102">
        <f>TrRoad_act!T126</f>
        <v>25</v>
      </c>
      <c r="U45" s="102">
        <f>TrRoad_act!U126</f>
        <v>55</v>
      </c>
      <c r="V45" s="102">
        <f>TrRoad_act!V126</f>
        <v>243</v>
      </c>
      <c r="W45" s="102">
        <f>TrRoad_act!W126</f>
        <v>96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781</v>
      </c>
      <c r="C46" s="28">
        <f>TrRoad_act!C127</f>
        <v>30683</v>
      </c>
      <c r="D46" s="28">
        <f>TrRoad_act!D127</f>
        <v>30272</v>
      </c>
      <c r="E46" s="28">
        <f>TrRoad_act!E127</f>
        <v>45623</v>
      </c>
      <c r="F46" s="28">
        <f>TrRoad_act!F127</f>
        <v>43971</v>
      </c>
      <c r="G46" s="28">
        <f>TrRoad_act!G127</f>
        <v>53184</v>
      </c>
      <c r="H46" s="28">
        <f>TrRoad_act!H127</f>
        <v>75988</v>
      </c>
      <c r="I46" s="28">
        <f>TrRoad_act!I127</f>
        <v>51555</v>
      </c>
      <c r="J46" s="28">
        <f>TrRoad_act!J127</f>
        <v>88594</v>
      </c>
      <c r="K46" s="28">
        <f>TrRoad_act!K127</f>
        <v>46286</v>
      </c>
      <c r="L46" s="28">
        <f>TrRoad_act!L127</f>
        <v>34062</v>
      </c>
      <c r="M46" s="28">
        <f>TrRoad_act!M127</f>
        <v>54365</v>
      </c>
      <c r="N46" s="28">
        <f>TrRoad_act!N127</f>
        <v>52540</v>
      </c>
      <c r="O46" s="28">
        <f>TrRoad_act!O127</f>
        <v>68390</v>
      </c>
      <c r="P46" s="28">
        <f>TrRoad_act!P127</f>
        <v>80055</v>
      </c>
      <c r="Q46" s="28">
        <f>TrRoad_act!Q127</f>
        <v>69161</v>
      </c>
      <c r="R46" s="28">
        <f>TrRoad_act!R127</f>
        <v>55568</v>
      </c>
      <c r="S46" s="28">
        <f>TrRoad_act!S127</f>
        <v>80137</v>
      </c>
      <c r="T46" s="28">
        <f>TrRoad_act!T127</f>
        <v>95625</v>
      </c>
      <c r="U46" s="28">
        <f>TrRoad_act!U127</f>
        <v>90008</v>
      </c>
      <c r="V46" s="28">
        <f>TrRoad_act!V127</f>
        <v>84247</v>
      </c>
      <c r="W46" s="28">
        <f>TrRoad_act!W127</f>
        <v>87044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22274</v>
      </c>
      <c r="D47" s="137">
        <f>TrRoad_act!D128</f>
        <v>23210</v>
      </c>
      <c r="E47" s="137">
        <f>TrRoad_act!E128</f>
        <v>30146</v>
      </c>
      <c r="F47" s="137">
        <f>TrRoad_act!F128</f>
        <v>34742</v>
      </c>
      <c r="G47" s="137">
        <f>TrRoad_act!G128</f>
        <v>30477</v>
      </c>
      <c r="H47" s="137">
        <f>TrRoad_act!H128</f>
        <v>62743</v>
      </c>
      <c r="I47" s="137">
        <f>TrRoad_act!I128</f>
        <v>46763</v>
      </c>
      <c r="J47" s="137">
        <f>TrRoad_act!J128</f>
        <v>81060</v>
      </c>
      <c r="K47" s="137">
        <f>TrRoad_act!K128</f>
        <v>40357</v>
      </c>
      <c r="L47" s="137">
        <f>TrRoad_act!L128</f>
        <v>33023</v>
      </c>
      <c r="M47" s="137">
        <f>TrRoad_act!M128</f>
        <v>52337</v>
      </c>
      <c r="N47" s="137">
        <f>TrRoad_act!N128</f>
        <v>49048</v>
      </c>
      <c r="O47" s="137">
        <f>TrRoad_act!O128</f>
        <v>60724</v>
      </c>
      <c r="P47" s="137">
        <f>TrRoad_act!P128</f>
        <v>75893</v>
      </c>
      <c r="Q47" s="137">
        <f>TrRoad_act!Q128</f>
        <v>66407</v>
      </c>
      <c r="R47" s="137">
        <f>TrRoad_act!R128</f>
        <v>50229</v>
      </c>
      <c r="S47" s="137">
        <f>TrRoad_act!S128</f>
        <v>73967</v>
      </c>
      <c r="T47" s="137">
        <f>TrRoad_act!T128</f>
        <v>90050</v>
      </c>
      <c r="U47" s="137">
        <f>TrRoad_act!U128</f>
        <v>83910</v>
      </c>
      <c r="V47" s="137">
        <f>TrRoad_act!V128</f>
        <v>79982</v>
      </c>
      <c r="W47" s="137">
        <f>TrRoad_act!W128</f>
        <v>79647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6613</v>
      </c>
      <c r="D48" s="84">
        <f>TrRoad_act!D129</f>
        <v>6988</v>
      </c>
      <c r="E48" s="84">
        <f>TrRoad_act!E129</f>
        <v>9413</v>
      </c>
      <c r="F48" s="84">
        <f>TrRoad_act!F129</f>
        <v>10946</v>
      </c>
      <c r="G48" s="84">
        <f>TrRoad_act!G129</f>
        <v>9487</v>
      </c>
      <c r="H48" s="84">
        <f>TrRoad_act!H129</f>
        <v>19930</v>
      </c>
      <c r="I48" s="84">
        <f>TrRoad_act!I129</f>
        <v>14475</v>
      </c>
      <c r="J48" s="84">
        <f>TrRoad_act!J129</f>
        <v>9996</v>
      </c>
      <c r="K48" s="84">
        <f>TrRoad_act!K129</f>
        <v>9051</v>
      </c>
      <c r="L48" s="84">
        <f>TrRoad_act!L129</f>
        <v>5380</v>
      </c>
      <c r="M48" s="84">
        <f>TrRoad_act!M129</f>
        <v>6216</v>
      </c>
      <c r="N48" s="84">
        <f>TrRoad_act!N129</f>
        <v>7022</v>
      </c>
      <c r="O48" s="84">
        <f>TrRoad_act!O129</f>
        <v>1615</v>
      </c>
      <c r="P48" s="84">
        <f>TrRoad_act!P129</f>
        <v>2522</v>
      </c>
      <c r="Q48" s="84">
        <f>TrRoad_act!Q129</f>
        <v>419</v>
      </c>
      <c r="R48" s="84">
        <f>TrRoad_act!R129</f>
        <v>12196</v>
      </c>
      <c r="S48" s="84">
        <f>TrRoad_act!S129</f>
        <v>12393</v>
      </c>
      <c r="T48" s="84">
        <f>TrRoad_act!T129</f>
        <v>10300</v>
      </c>
      <c r="U48" s="84">
        <f>TrRoad_act!U129</f>
        <v>5978</v>
      </c>
      <c r="V48" s="84">
        <f>TrRoad_act!V129</f>
        <v>5537</v>
      </c>
      <c r="W48" s="84">
        <f>TrRoad_act!W129</f>
        <v>5306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15661</v>
      </c>
      <c r="D49" s="84">
        <f>TrRoad_act!D130</f>
        <v>16222</v>
      </c>
      <c r="E49" s="84">
        <f>TrRoad_act!E130</f>
        <v>20733</v>
      </c>
      <c r="F49" s="84">
        <f>TrRoad_act!F130</f>
        <v>23796</v>
      </c>
      <c r="G49" s="84">
        <f>TrRoad_act!G130</f>
        <v>20990</v>
      </c>
      <c r="H49" s="84">
        <f>TrRoad_act!H130</f>
        <v>42813</v>
      </c>
      <c r="I49" s="84">
        <f>TrRoad_act!I130</f>
        <v>32288</v>
      </c>
      <c r="J49" s="84">
        <f>TrRoad_act!J130</f>
        <v>71062</v>
      </c>
      <c r="K49" s="84">
        <f>TrRoad_act!K130</f>
        <v>31306</v>
      </c>
      <c r="L49" s="84">
        <f>TrRoad_act!L130</f>
        <v>27641</v>
      </c>
      <c r="M49" s="84">
        <f>TrRoad_act!M130</f>
        <v>46118</v>
      </c>
      <c r="N49" s="84">
        <f>TrRoad_act!N130</f>
        <v>42017</v>
      </c>
      <c r="O49" s="84">
        <f>TrRoad_act!O130</f>
        <v>59105</v>
      </c>
      <c r="P49" s="84">
        <f>TrRoad_act!P130</f>
        <v>73366</v>
      </c>
      <c r="Q49" s="84">
        <f>TrRoad_act!Q130</f>
        <v>65988</v>
      </c>
      <c r="R49" s="84">
        <f>TrRoad_act!R130</f>
        <v>38030</v>
      </c>
      <c r="S49" s="84">
        <f>TrRoad_act!S130</f>
        <v>61559</v>
      </c>
      <c r="T49" s="84">
        <f>TrRoad_act!T130</f>
        <v>79708</v>
      </c>
      <c r="U49" s="84">
        <f>TrRoad_act!U130</f>
        <v>77876</v>
      </c>
      <c r="V49" s="84">
        <f>TrRoad_act!V130</f>
        <v>74356</v>
      </c>
      <c r="W49" s="84">
        <f>TrRoad_act!W130</f>
        <v>74243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2</v>
      </c>
      <c r="K50" s="84">
        <f>TrRoad_act!K131</f>
        <v>0</v>
      </c>
      <c r="L50" s="84">
        <f>TrRoad_act!L131</f>
        <v>0</v>
      </c>
      <c r="M50" s="84">
        <f>TrRoad_act!M131</f>
        <v>2</v>
      </c>
      <c r="N50" s="84">
        <f>TrRoad_act!N131</f>
        <v>6</v>
      </c>
      <c r="O50" s="84">
        <f>TrRoad_act!O131</f>
        <v>0</v>
      </c>
      <c r="P50" s="84">
        <f>TrRoad_act!P131</f>
        <v>2</v>
      </c>
      <c r="Q50" s="84">
        <f>TrRoad_act!Q131</f>
        <v>0</v>
      </c>
      <c r="R50" s="84">
        <f>TrRoad_act!R131</f>
        <v>3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6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2</v>
      </c>
      <c r="M52" s="84">
        <f>TrRoad_act!M133</f>
        <v>1</v>
      </c>
      <c r="N52" s="84">
        <f>TrRoad_act!N133</f>
        <v>3</v>
      </c>
      <c r="O52" s="84">
        <f>TrRoad_act!O133</f>
        <v>4</v>
      </c>
      <c r="P52" s="84">
        <f>TrRoad_act!P133</f>
        <v>3</v>
      </c>
      <c r="Q52" s="84">
        <f>TrRoad_act!Q133</f>
        <v>0</v>
      </c>
      <c r="R52" s="84">
        <f>TrRoad_act!R133</f>
        <v>0</v>
      </c>
      <c r="S52" s="84">
        <f>TrRoad_act!S133</f>
        <v>15</v>
      </c>
      <c r="T52" s="84">
        <f>TrRoad_act!T133</f>
        <v>42</v>
      </c>
      <c r="U52" s="84">
        <f>TrRoad_act!U133</f>
        <v>56</v>
      </c>
      <c r="V52" s="84">
        <f>TrRoad_act!V133</f>
        <v>89</v>
      </c>
      <c r="W52" s="84">
        <f>TrRoad_act!W133</f>
        <v>92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781</v>
      </c>
      <c r="C53" s="110">
        <f>TrRoad_act!C134</f>
        <v>8409</v>
      </c>
      <c r="D53" s="110">
        <f>TrRoad_act!D134</f>
        <v>7062</v>
      </c>
      <c r="E53" s="110">
        <f>TrRoad_act!E134</f>
        <v>15477</v>
      </c>
      <c r="F53" s="110">
        <f>TrRoad_act!F134</f>
        <v>9229</v>
      </c>
      <c r="G53" s="110">
        <f>TrRoad_act!G134</f>
        <v>22707</v>
      </c>
      <c r="H53" s="110">
        <f>TrRoad_act!H134</f>
        <v>13245</v>
      </c>
      <c r="I53" s="110">
        <f>TrRoad_act!I134</f>
        <v>4792</v>
      </c>
      <c r="J53" s="110">
        <f>TrRoad_act!J134</f>
        <v>7534</v>
      </c>
      <c r="K53" s="110">
        <f>TrRoad_act!K134</f>
        <v>5929</v>
      </c>
      <c r="L53" s="110">
        <f>TrRoad_act!L134</f>
        <v>1039</v>
      </c>
      <c r="M53" s="110">
        <f>TrRoad_act!M134</f>
        <v>2028</v>
      </c>
      <c r="N53" s="110">
        <f>TrRoad_act!N134</f>
        <v>3492</v>
      </c>
      <c r="O53" s="110">
        <f>TrRoad_act!O134</f>
        <v>7666</v>
      </c>
      <c r="P53" s="110">
        <f>TrRoad_act!P134</f>
        <v>4162</v>
      </c>
      <c r="Q53" s="110">
        <f>TrRoad_act!Q134</f>
        <v>2754</v>
      </c>
      <c r="R53" s="110">
        <f>TrRoad_act!R134</f>
        <v>5339</v>
      </c>
      <c r="S53" s="110">
        <f>TrRoad_act!S134</f>
        <v>6170</v>
      </c>
      <c r="T53" s="110">
        <f>TrRoad_act!T134</f>
        <v>5575</v>
      </c>
      <c r="U53" s="110">
        <f>TrRoad_act!U134</f>
        <v>6098</v>
      </c>
      <c r="V53" s="110">
        <f>TrRoad_act!V134</f>
        <v>4265</v>
      </c>
      <c r="W53" s="110">
        <f>TrRoad_act!W134</f>
        <v>7397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7033</v>
      </c>
      <c r="D54" s="102">
        <f>TrRoad_act!D135</f>
        <v>5680</v>
      </c>
      <c r="E54" s="102">
        <f>TrRoad_act!E135</f>
        <v>14218</v>
      </c>
      <c r="F54" s="102">
        <f>TrRoad_act!F135</f>
        <v>6433</v>
      </c>
      <c r="G54" s="102">
        <f>TrRoad_act!G135</f>
        <v>21088</v>
      </c>
      <c r="H54" s="102">
        <f>TrRoad_act!H135</f>
        <v>13245</v>
      </c>
      <c r="I54" s="102">
        <f>TrRoad_act!I135</f>
        <v>3721</v>
      </c>
      <c r="J54" s="102">
        <f>TrRoad_act!J135</f>
        <v>7534</v>
      </c>
      <c r="K54" s="102">
        <f>TrRoad_act!K135</f>
        <v>5929</v>
      </c>
      <c r="L54" s="102">
        <f>TrRoad_act!L135</f>
        <v>1039</v>
      </c>
      <c r="M54" s="102">
        <f>TrRoad_act!M135</f>
        <v>1534</v>
      </c>
      <c r="N54" s="102">
        <f>TrRoad_act!N135</f>
        <v>2534</v>
      </c>
      <c r="O54" s="102">
        <f>TrRoad_act!O135</f>
        <v>6948</v>
      </c>
      <c r="P54" s="102">
        <f>TrRoad_act!P135</f>
        <v>3775</v>
      </c>
      <c r="Q54" s="102">
        <f>TrRoad_act!Q135</f>
        <v>2255</v>
      </c>
      <c r="R54" s="102">
        <f>TrRoad_act!R135</f>
        <v>4438</v>
      </c>
      <c r="S54" s="102">
        <f>TrRoad_act!S135</f>
        <v>4930</v>
      </c>
      <c r="T54" s="102">
        <f>TrRoad_act!T135</f>
        <v>5350</v>
      </c>
      <c r="U54" s="102">
        <f>TrRoad_act!U135</f>
        <v>5550</v>
      </c>
      <c r="V54" s="102">
        <f>TrRoad_act!V135</f>
        <v>4265</v>
      </c>
      <c r="W54" s="102">
        <f>TrRoad_act!W135</f>
        <v>5361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781</v>
      </c>
      <c r="C55" s="86">
        <f>TrRoad_act!C136</f>
        <v>1376</v>
      </c>
      <c r="D55" s="86">
        <f>TrRoad_act!D136</f>
        <v>1382</v>
      </c>
      <c r="E55" s="86">
        <f>TrRoad_act!E136</f>
        <v>1259</v>
      </c>
      <c r="F55" s="86">
        <f>TrRoad_act!F136</f>
        <v>2796</v>
      </c>
      <c r="G55" s="86">
        <f>TrRoad_act!G136</f>
        <v>1619</v>
      </c>
      <c r="H55" s="86">
        <f>TrRoad_act!H136</f>
        <v>0</v>
      </c>
      <c r="I55" s="86">
        <f>TrRoad_act!I136</f>
        <v>1071</v>
      </c>
      <c r="J55" s="86">
        <f>TrRoad_act!J136</f>
        <v>0</v>
      </c>
      <c r="K55" s="86">
        <f>TrRoad_act!K136</f>
        <v>0</v>
      </c>
      <c r="L55" s="86">
        <f>TrRoad_act!L136</f>
        <v>0</v>
      </c>
      <c r="M55" s="86">
        <f>TrRoad_act!M136</f>
        <v>494</v>
      </c>
      <c r="N55" s="86">
        <f>TrRoad_act!N136</f>
        <v>958</v>
      </c>
      <c r="O55" s="86">
        <f>TrRoad_act!O136</f>
        <v>718</v>
      </c>
      <c r="P55" s="86">
        <f>TrRoad_act!P136</f>
        <v>387</v>
      </c>
      <c r="Q55" s="86">
        <f>TrRoad_act!Q136</f>
        <v>499</v>
      </c>
      <c r="R55" s="86">
        <f>TrRoad_act!R136</f>
        <v>901</v>
      </c>
      <c r="S55" s="86">
        <f>TrRoad_act!S136</f>
        <v>1240</v>
      </c>
      <c r="T55" s="86">
        <f>TrRoad_act!T136</f>
        <v>225</v>
      </c>
      <c r="U55" s="86">
        <f>TrRoad_act!U136</f>
        <v>548</v>
      </c>
      <c r="V55" s="86">
        <f>TrRoad_act!V136</f>
        <v>0</v>
      </c>
      <c r="W55" s="86">
        <f>TrRoad_act!W136</f>
        <v>2036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0</v>
      </c>
      <c r="C59" s="54">
        <f t="shared" si="0"/>
        <v>0</v>
      </c>
      <c r="D59" s="54">
        <f t="shared" si="0"/>
        <v>478</v>
      </c>
      <c r="E59" s="54">
        <f t="shared" si="0"/>
        <v>3609</v>
      </c>
      <c r="F59" s="54">
        <f t="shared" si="0"/>
        <v>11627</v>
      </c>
      <c r="G59" s="54">
        <f t="shared" si="0"/>
        <v>6069</v>
      </c>
      <c r="H59" s="54">
        <f t="shared" si="0"/>
        <v>163915</v>
      </c>
      <c r="I59" s="54">
        <f t="shared" si="0"/>
        <v>406267</v>
      </c>
      <c r="J59" s="54">
        <f t="shared" si="0"/>
        <v>653391</v>
      </c>
      <c r="K59" s="54">
        <f t="shared" si="0"/>
        <v>408547</v>
      </c>
      <c r="L59" s="54">
        <f t="shared" ref="L59" si="1">L60+L75</f>
        <v>410622</v>
      </c>
      <c r="M59" s="54">
        <f t="shared" ref="M59:V59" si="2">M60+M75</f>
        <v>279663</v>
      </c>
      <c r="N59" s="54">
        <f t="shared" si="2"/>
        <v>386200</v>
      </c>
      <c r="O59" s="54">
        <f t="shared" si="2"/>
        <v>469972</v>
      </c>
      <c r="P59" s="54">
        <f t="shared" si="2"/>
        <v>497881</v>
      </c>
      <c r="Q59" s="54">
        <f t="shared" si="2"/>
        <v>489649</v>
      </c>
      <c r="R59" s="54">
        <f t="shared" si="2"/>
        <v>518574</v>
      </c>
      <c r="S59" s="54">
        <f t="shared" si="2"/>
        <v>764248</v>
      </c>
      <c r="T59" s="54">
        <f t="shared" si="2"/>
        <v>820230</v>
      </c>
      <c r="U59" s="54">
        <f t="shared" si="2"/>
        <v>853291</v>
      </c>
      <c r="V59" s="54">
        <f t="shared" si="2"/>
        <v>814285</v>
      </c>
      <c r="W59" s="54">
        <f t="shared" ref="W59" si="3">W60+W75</f>
        <v>824839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0</v>
      </c>
      <c r="C60" s="28">
        <f t="shared" si="4"/>
        <v>0</v>
      </c>
      <c r="D60" s="28">
        <f t="shared" si="4"/>
        <v>478</v>
      </c>
      <c r="E60" s="28">
        <f t="shared" si="4"/>
        <v>2619</v>
      </c>
      <c r="F60" s="28">
        <f t="shared" si="4"/>
        <v>7801</v>
      </c>
      <c r="G60" s="28">
        <f t="shared" si="4"/>
        <v>287</v>
      </c>
      <c r="H60" s="28">
        <f t="shared" si="4"/>
        <v>137636</v>
      </c>
      <c r="I60" s="28">
        <f t="shared" si="4"/>
        <v>380167</v>
      </c>
      <c r="J60" s="28">
        <f t="shared" si="4"/>
        <v>600955</v>
      </c>
      <c r="K60" s="28">
        <f t="shared" si="4"/>
        <v>377371</v>
      </c>
      <c r="L60" s="28">
        <f t="shared" ref="L60" si="5">L61+L62+L69</f>
        <v>386017</v>
      </c>
      <c r="M60" s="28">
        <f t="shared" ref="M60:V60" si="6">M61+M62+M69</f>
        <v>237642</v>
      </c>
      <c r="N60" s="28">
        <f t="shared" si="6"/>
        <v>343153</v>
      </c>
      <c r="O60" s="28">
        <f t="shared" si="6"/>
        <v>409816</v>
      </c>
      <c r="P60" s="28">
        <f t="shared" si="6"/>
        <v>424841</v>
      </c>
      <c r="Q60" s="28">
        <f t="shared" si="6"/>
        <v>424651</v>
      </c>
      <c r="R60" s="28">
        <f t="shared" si="6"/>
        <v>465109</v>
      </c>
      <c r="S60" s="28">
        <f t="shared" si="6"/>
        <v>685886</v>
      </c>
      <c r="T60" s="28">
        <f t="shared" si="6"/>
        <v>725427</v>
      </c>
      <c r="U60" s="28">
        <f t="shared" si="6"/>
        <v>763543</v>
      </c>
      <c r="V60" s="28">
        <f t="shared" si="6"/>
        <v>730040</v>
      </c>
      <c r="W60" s="28">
        <f t="shared" ref="W60" si="7">W61+W62+W69</f>
        <v>737795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0</v>
      </c>
      <c r="E61" s="137">
        <v>0</v>
      </c>
      <c r="F61" s="137">
        <v>0</v>
      </c>
      <c r="G61" s="137">
        <v>200</v>
      </c>
      <c r="H61" s="137">
        <v>3192</v>
      </c>
      <c r="I61" s="137">
        <v>3724</v>
      </c>
      <c r="J61" s="137">
        <v>13301</v>
      </c>
      <c r="K61" s="137">
        <v>8575</v>
      </c>
      <c r="L61" s="137">
        <v>6519</v>
      </c>
      <c r="M61" s="137">
        <v>6814</v>
      </c>
      <c r="N61" s="137">
        <v>7834</v>
      </c>
      <c r="O61" s="137">
        <v>9256</v>
      </c>
      <c r="P61" s="137">
        <v>9089</v>
      </c>
      <c r="Q61" s="137">
        <v>9151</v>
      </c>
      <c r="R61" s="137">
        <v>10854</v>
      </c>
      <c r="S61" s="137">
        <v>12484</v>
      </c>
      <c r="T61" s="137">
        <v>14461</v>
      </c>
      <c r="U61" s="137">
        <v>18325</v>
      </c>
      <c r="V61" s="137">
        <v>20847</v>
      </c>
      <c r="W61" s="137">
        <v>21218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0</v>
      </c>
      <c r="C62" s="110">
        <f t="shared" si="8"/>
        <v>0</v>
      </c>
      <c r="D62" s="110">
        <f t="shared" si="8"/>
        <v>478</v>
      </c>
      <c r="E62" s="110">
        <f t="shared" si="8"/>
        <v>2619</v>
      </c>
      <c r="F62" s="110">
        <f t="shared" si="8"/>
        <v>7080</v>
      </c>
      <c r="G62" s="110">
        <f t="shared" si="8"/>
        <v>0</v>
      </c>
      <c r="H62" s="110">
        <f t="shared" si="8"/>
        <v>133356</v>
      </c>
      <c r="I62" s="110">
        <f t="shared" si="8"/>
        <v>374138</v>
      </c>
      <c r="J62" s="110">
        <f t="shared" si="8"/>
        <v>582424</v>
      </c>
      <c r="K62" s="110">
        <f t="shared" si="8"/>
        <v>366400</v>
      </c>
      <c r="L62" s="110">
        <f t="shared" ref="L62" si="9">SUM(L63:L68)</f>
        <v>377018</v>
      </c>
      <c r="M62" s="110">
        <f t="shared" ref="M62:V62" si="10">SUM(M63:M68)</f>
        <v>228090</v>
      </c>
      <c r="N62" s="110">
        <f t="shared" si="10"/>
        <v>331599</v>
      </c>
      <c r="O62" s="110">
        <f t="shared" si="10"/>
        <v>397147</v>
      </c>
      <c r="P62" s="110">
        <f t="shared" si="10"/>
        <v>411780</v>
      </c>
      <c r="Q62" s="110">
        <f t="shared" si="10"/>
        <v>409968</v>
      </c>
      <c r="R62" s="110">
        <f t="shared" si="10"/>
        <v>451065</v>
      </c>
      <c r="S62" s="110">
        <f t="shared" si="10"/>
        <v>669937</v>
      </c>
      <c r="T62" s="110">
        <f t="shared" si="10"/>
        <v>707283</v>
      </c>
      <c r="U62" s="110">
        <f t="shared" si="10"/>
        <v>740903</v>
      </c>
      <c r="V62" s="110">
        <f t="shared" si="10"/>
        <v>706180</v>
      </c>
      <c r="W62" s="110">
        <f t="shared" ref="W62" si="11">SUM(W63:W68)</f>
        <v>713574</v>
      </c>
      <c r="DA62" s="176" t="s">
        <v>839</v>
      </c>
    </row>
    <row r="63" spans="1:105" ht="11.45" customHeight="1" x14ac:dyDescent="0.25">
      <c r="A63" s="111" t="s">
        <v>110</v>
      </c>
      <c r="B63" s="84">
        <v>0</v>
      </c>
      <c r="C63" s="84">
        <v>0</v>
      </c>
      <c r="D63" s="84">
        <v>0</v>
      </c>
      <c r="E63" s="84">
        <v>0</v>
      </c>
      <c r="F63" s="84">
        <v>0</v>
      </c>
      <c r="G63" s="84">
        <v>0</v>
      </c>
      <c r="H63" s="84">
        <v>55456</v>
      </c>
      <c r="I63" s="84">
        <v>203499</v>
      </c>
      <c r="J63" s="84">
        <v>413864</v>
      </c>
      <c r="K63" s="84">
        <v>274696</v>
      </c>
      <c r="L63" s="84">
        <v>286146</v>
      </c>
      <c r="M63" s="84">
        <v>127902</v>
      </c>
      <c r="N63" s="84">
        <v>226670</v>
      </c>
      <c r="O63" s="84">
        <v>267424</v>
      </c>
      <c r="P63" s="84">
        <v>249569</v>
      </c>
      <c r="Q63" s="84">
        <v>219166</v>
      </c>
      <c r="R63" s="84">
        <v>194351</v>
      </c>
      <c r="S63" s="84">
        <v>201122</v>
      </c>
      <c r="T63" s="84">
        <v>233162</v>
      </c>
      <c r="U63" s="84">
        <v>267245</v>
      </c>
      <c r="V63" s="84">
        <v>232498</v>
      </c>
      <c r="W63" s="84">
        <v>230620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77900</v>
      </c>
      <c r="I64" s="84">
        <v>165567</v>
      </c>
      <c r="J64" s="84">
        <v>168560</v>
      </c>
      <c r="K64" s="84">
        <v>91704</v>
      </c>
      <c r="L64" s="84">
        <v>90859</v>
      </c>
      <c r="M64" s="84">
        <v>58538</v>
      </c>
      <c r="N64" s="84">
        <v>103544</v>
      </c>
      <c r="O64" s="84">
        <v>128360</v>
      </c>
      <c r="P64" s="84">
        <v>157248</v>
      </c>
      <c r="Q64" s="84">
        <v>178543</v>
      </c>
      <c r="R64" s="84">
        <v>246820</v>
      </c>
      <c r="S64" s="84">
        <v>453006</v>
      </c>
      <c r="T64" s="84">
        <v>454276</v>
      </c>
      <c r="U64" s="84">
        <v>444842</v>
      </c>
      <c r="V64" s="84">
        <v>436030</v>
      </c>
      <c r="W64" s="84">
        <v>426109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478</v>
      </c>
      <c r="E65" s="84">
        <v>2619</v>
      </c>
      <c r="F65" s="84">
        <v>7080</v>
      </c>
      <c r="G65" s="84">
        <v>0</v>
      </c>
      <c r="H65" s="84">
        <v>0</v>
      </c>
      <c r="I65" s="84">
        <v>5072</v>
      </c>
      <c r="J65" s="84">
        <v>0</v>
      </c>
      <c r="K65" s="84">
        <v>0</v>
      </c>
      <c r="L65" s="84">
        <v>13</v>
      </c>
      <c r="M65" s="84">
        <v>41650</v>
      </c>
      <c r="N65" s="84">
        <v>1385</v>
      </c>
      <c r="O65" s="84">
        <v>1363</v>
      </c>
      <c r="P65" s="84">
        <v>4877</v>
      </c>
      <c r="Q65" s="84">
        <v>12170</v>
      </c>
      <c r="R65" s="84">
        <v>9705</v>
      </c>
      <c r="S65" s="84">
        <v>15504</v>
      </c>
      <c r="T65" s="84">
        <v>19185</v>
      </c>
      <c r="U65" s="84">
        <v>26642</v>
      </c>
      <c r="V65" s="84">
        <v>33785</v>
      </c>
      <c r="W65" s="84">
        <v>47492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120</v>
      </c>
      <c r="U67" s="84">
        <v>671</v>
      </c>
      <c r="V67" s="84">
        <v>1040</v>
      </c>
      <c r="W67" s="84">
        <v>3009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86</v>
      </c>
      <c r="Q68" s="84">
        <v>89</v>
      </c>
      <c r="R68" s="84">
        <v>189</v>
      </c>
      <c r="S68" s="84">
        <v>305</v>
      </c>
      <c r="T68" s="84">
        <v>540</v>
      </c>
      <c r="U68" s="84">
        <v>1503</v>
      </c>
      <c r="V68" s="84">
        <v>2827</v>
      </c>
      <c r="W68" s="84">
        <v>6344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721</v>
      </c>
      <c r="G69" s="110">
        <f t="shared" si="12"/>
        <v>87</v>
      </c>
      <c r="H69" s="110">
        <f t="shared" si="12"/>
        <v>1088</v>
      </c>
      <c r="I69" s="110">
        <f t="shared" si="12"/>
        <v>2305</v>
      </c>
      <c r="J69" s="110">
        <f t="shared" si="12"/>
        <v>5230</v>
      </c>
      <c r="K69" s="110">
        <f t="shared" si="12"/>
        <v>2396</v>
      </c>
      <c r="L69" s="110">
        <f t="shared" ref="L69" si="13">SUM(L70:L74)</f>
        <v>2480</v>
      </c>
      <c r="M69" s="110">
        <f t="shared" ref="M69:V69" si="14">SUM(M70:M74)</f>
        <v>2738</v>
      </c>
      <c r="N69" s="110">
        <f t="shared" si="14"/>
        <v>3720</v>
      </c>
      <c r="O69" s="110">
        <f t="shared" si="14"/>
        <v>3413</v>
      </c>
      <c r="P69" s="110">
        <f t="shared" si="14"/>
        <v>3972</v>
      </c>
      <c r="Q69" s="110">
        <f t="shared" si="14"/>
        <v>5532</v>
      </c>
      <c r="R69" s="110">
        <f t="shared" si="14"/>
        <v>3190</v>
      </c>
      <c r="S69" s="110">
        <f t="shared" si="14"/>
        <v>3465</v>
      </c>
      <c r="T69" s="110">
        <f t="shared" si="14"/>
        <v>3683</v>
      </c>
      <c r="U69" s="110">
        <f t="shared" si="14"/>
        <v>4315</v>
      </c>
      <c r="V69" s="110">
        <f t="shared" si="14"/>
        <v>3013</v>
      </c>
      <c r="W69" s="110">
        <f t="shared" ref="W69" si="15">SUM(W70:W74)</f>
        <v>3003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114</v>
      </c>
      <c r="K70" s="102">
        <v>0</v>
      </c>
      <c r="L70" s="102">
        <v>2</v>
      </c>
      <c r="M70" s="102">
        <v>1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721</v>
      </c>
      <c r="G71" s="102">
        <v>87</v>
      </c>
      <c r="H71" s="102">
        <v>1088</v>
      </c>
      <c r="I71" s="102">
        <v>2305</v>
      </c>
      <c r="J71" s="102">
        <v>5113</v>
      </c>
      <c r="K71" s="102">
        <v>2393</v>
      </c>
      <c r="L71" s="102">
        <v>2452</v>
      </c>
      <c r="M71" s="102">
        <v>2725</v>
      </c>
      <c r="N71" s="102">
        <v>3720</v>
      </c>
      <c r="O71" s="102">
        <v>3411</v>
      </c>
      <c r="P71" s="102">
        <v>3971</v>
      </c>
      <c r="Q71" s="102">
        <v>5532</v>
      </c>
      <c r="R71" s="102">
        <v>3190</v>
      </c>
      <c r="S71" s="102">
        <v>3465</v>
      </c>
      <c r="T71" s="102">
        <v>3683</v>
      </c>
      <c r="U71" s="102">
        <v>4315</v>
      </c>
      <c r="V71" s="102">
        <v>2855</v>
      </c>
      <c r="W71" s="102">
        <v>2907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3</v>
      </c>
      <c r="K72" s="102">
        <v>3</v>
      </c>
      <c r="L72" s="102">
        <v>26</v>
      </c>
      <c r="M72" s="102">
        <v>12</v>
      </c>
      <c r="N72" s="102">
        <v>0</v>
      </c>
      <c r="O72" s="102">
        <v>2</v>
      </c>
      <c r="P72" s="102">
        <v>1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158</v>
      </c>
      <c r="W74" s="102">
        <v>96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990</v>
      </c>
      <c r="F75" s="28">
        <f t="shared" si="16"/>
        <v>3826</v>
      </c>
      <c r="G75" s="28">
        <f t="shared" si="16"/>
        <v>5782</v>
      </c>
      <c r="H75" s="28">
        <f t="shared" si="16"/>
        <v>26279</v>
      </c>
      <c r="I75" s="28">
        <f t="shared" si="16"/>
        <v>26100</v>
      </c>
      <c r="J75" s="28">
        <f t="shared" si="16"/>
        <v>52436</v>
      </c>
      <c r="K75" s="28">
        <f t="shared" si="16"/>
        <v>31176</v>
      </c>
      <c r="L75" s="28">
        <f t="shared" ref="L75" si="17">L76+L82</f>
        <v>24605</v>
      </c>
      <c r="M75" s="28">
        <f t="shared" ref="M75:V75" si="18">M76+M82</f>
        <v>42021</v>
      </c>
      <c r="N75" s="28">
        <f t="shared" si="18"/>
        <v>43047</v>
      </c>
      <c r="O75" s="28">
        <f t="shared" si="18"/>
        <v>60156</v>
      </c>
      <c r="P75" s="28">
        <f t="shared" si="18"/>
        <v>73040</v>
      </c>
      <c r="Q75" s="28">
        <f t="shared" si="18"/>
        <v>64998</v>
      </c>
      <c r="R75" s="28">
        <f t="shared" si="18"/>
        <v>53465</v>
      </c>
      <c r="S75" s="28">
        <f t="shared" si="18"/>
        <v>78362</v>
      </c>
      <c r="T75" s="28">
        <f t="shared" si="18"/>
        <v>94803</v>
      </c>
      <c r="U75" s="28">
        <f t="shared" si="18"/>
        <v>89748</v>
      </c>
      <c r="V75" s="28">
        <f t="shared" si="18"/>
        <v>84245</v>
      </c>
      <c r="W75" s="28">
        <f t="shared" ref="W75" si="19">W76+W82</f>
        <v>87044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990</v>
      </c>
      <c r="F76" s="137">
        <f t="shared" si="20"/>
        <v>3826</v>
      </c>
      <c r="G76" s="137">
        <f t="shared" si="20"/>
        <v>5782</v>
      </c>
      <c r="H76" s="137">
        <f t="shared" si="20"/>
        <v>26279</v>
      </c>
      <c r="I76" s="137">
        <f t="shared" si="20"/>
        <v>24136</v>
      </c>
      <c r="J76" s="137">
        <f t="shared" si="20"/>
        <v>47119</v>
      </c>
      <c r="K76" s="137">
        <f t="shared" si="20"/>
        <v>26401</v>
      </c>
      <c r="L76" s="137">
        <f t="shared" ref="L76" si="21">SUM(L77:L81)</f>
        <v>23690</v>
      </c>
      <c r="M76" s="137">
        <f t="shared" ref="M76:V76" si="22">SUM(M77:M81)</f>
        <v>40596</v>
      </c>
      <c r="N76" s="137">
        <f t="shared" si="22"/>
        <v>40615</v>
      </c>
      <c r="O76" s="137">
        <f t="shared" si="22"/>
        <v>52967</v>
      </c>
      <c r="P76" s="137">
        <f t="shared" si="22"/>
        <v>69043</v>
      </c>
      <c r="Q76" s="137">
        <f t="shared" si="22"/>
        <v>62399</v>
      </c>
      <c r="R76" s="137">
        <f t="shared" si="22"/>
        <v>48366</v>
      </c>
      <c r="S76" s="137">
        <f t="shared" si="22"/>
        <v>72478</v>
      </c>
      <c r="T76" s="137">
        <f t="shared" si="22"/>
        <v>89272</v>
      </c>
      <c r="U76" s="137">
        <f t="shared" si="22"/>
        <v>83733</v>
      </c>
      <c r="V76" s="137">
        <f t="shared" si="22"/>
        <v>79980</v>
      </c>
      <c r="W76" s="137">
        <f t="shared" ref="W76" si="23">SUM(W77:W81)</f>
        <v>79647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990</v>
      </c>
      <c r="F77" s="84">
        <v>3826</v>
      </c>
      <c r="G77" s="84">
        <v>3931</v>
      </c>
      <c r="H77" s="84">
        <v>9582</v>
      </c>
      <c r="I77" s="84">
        <v>7924</v>
      </c>
      <c r="J77" s="84">
        <v>6125</v>
      </c>
      <c r="K77" s="84">
        <v>6112</v>
      </c>
      <c r="L77" s="84">
        <v>3948</v>
      </c>
      <c r="M77" s="84">
        <v>4894</v>
      </c>
      <c r="N77" s="84">
        <v>5866</v>
      </c>
      <c r="O77" s="84">
        <v>1416</v>
      </c>
      <c r="P77" s="84">
        <v>2300</v>
      </c>
      <c r="Q77" s="84">
        <v>394</v>
      </c>
      <c r="R77" s="84">
        <v>11748</v>
      </c>
      <c r="S77" s="84">
        <v>12145</v>
      </c>
      <c r="T77" s="84">
        <v>10211</v>
      </c>
      <c r="U77" s="84">
        <v>5965</v>
      </c>
      <c r="V77" s="84">
        <v>5537</v>
      </c>
      <c r="W77" s="84">
        <v>5306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1851</v>
      </c>
      <c r="H78" s="84">
        <v>16697</v>
      </c>
      <c r="I78" s="84">
        <v>16212</v>
      </c>
      <c r="J78" s="84">
        <v>40994</v>
      </c>
      <c r="K78" s="84">
        <v>20289</v>
      </c>
      <c r="L78" s="84">
        <v>19742</v>
      </c>
      <c r="M78" s="84">
        <v>35700</v>
      </c>
      <c r="N78" s="84">
        <v>34744</v>
      </c>
      <c r="O78" s="84">
        <v>51547</v>
      </c>
      <c r="P78" s="84">
        <v>66738</v>
      </c>
      <c r="Q78" s="84">
        <v>62005</v>
      </c>
      <c r="R78" s="84">
        <v>36615</v>
      </c>
      <c r="S78" s="84">
        <v>60318</v>
      </c>
      <c r="T78" s="84">
        <v>79019</v>
      </c>
      <c r="U78" s="84">
        <v>77712</v>
      </c>
      <c r="V78" s="84">
        <v>74355</v>
      </c>
      <c r="W78" s="84">
        <v>74243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4</v>
      </c>
      <c r="O79" s="84">
        <v>0</v>
      </c>
      <c r="P79" s="84">
        <v>2</v>
      </c>
      <c r="Q79" s="84">
        <v>0</v>
      </c>
      <c r="R79" s="84">
        <v>3</v>
      </c>
      <c r="S79" s="84">
        <v>0</v>
      </c>
      <c r="T79" s="84">
        <v>0</v>
      </c>
      <c r="U79" s="84">
        <v>0</v>
      </c>
      <c r="V79" s="84">
        <v>0</v>
      </c>
      <c r="W79" s="84">
        <v>6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</v>
      </c>
      <c r="O81" s="84">
        <v>4</v>
      </c>
      <c r="P81" s="84">
        <v>3</v>
      </c>
      <c r="Q81" s="84">
        <v>0</v>
      </c>
      <c r="R81" s="84">
        <v>0</v>
      </c>
      <c r="S81" s="84">
        <v>15</v>
      </c>
      <c r="T81" s="84">
        <v>42</v>
      </c>
      <c r="U81" s="84">
        <v>56</v>
      </c>
      <c r="V81" s="84">
        <v>88</v>
      </c>
      <c r="W81" s="84">
        <v>92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1964</v>
      </c>
      <c r="J82" s="110">
        <f t="shared" si="24"/>
        <v>5317</v>
      </c>
      <c r="K82" s="110">
        <f t="shared" si="24"/>
        <v>4775</v>
      </c>
      <c r="L82" s="110">
        <f t="shared" ref="L82" si="25">SUM(L83:L84)</f>
        <v>915</v>
      </c>
      <c r="M82" s="110">
        <f t="shared" ref="M82:V82" si="26">SUM(M83:M84)</f>
        <v>1425</v>
      </c>
      <c r="N82" s="110">
        <f t="shared" si="26"/>
        <v>2432</v>
      </c>
      <c r="O82" s="110">
        <f t="shared" si="26"/>
        <v>7189</v>
      </c>
      <c r="P82" s="110">
        <f t="shared" si="26"/>
        <v>3997</v>
      </c>
      <c r="Q82" s="110">
        <f t="shared" si="26"/>
        <v>2599</v>
      </c>
      <c r="R82" s="110">
        <f t="shared" si="26"/>
        <v>5099</v>
      </c>
      <c r="S82" s="110">
        <f t="shared" si="26"/>
        <v>5884</v>
      </c>
      <c r="T82" s="110">
        <f t="shared" si="26"/>
        <v>5531</v>
      </c>
      <c r="U82" s="110">
        <f t="shared" si="26"/>
        <v>6015</v>
      </c>
      <c r="V82" s="110">
        <f t="shared" si="26"/>
        <v>4265</v>
      </c>
      <c r="W82" s="110">
        <f t="shared" ref="W82" si="27">SUM(W83:W84)</f>
        <v>7397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1964</v>
      </c>
      <c r="J83" s="102">
        <v>5317</v>
      </c>
      <c r="K83" s="102">
        <v>4775</v>
      </c>
      <c r="L83" s="102">
        <v>915</v>
      </c>
      <c r="M83" s="102">
        <v>1425</v>
      </c>
      <c r="N83" s="102">
        <v>2432</v>
      </c>
      <c r="O83" s="102">
        <v>6803</v>
      </c>
      <c r="P83" s="102">
        <v>3738</v>
      </c>
      <c r="Q83" s="102">
        <v>2246</v>
      </c>
      <c r="R83" s="102">
        <v>4431</v>
      </c>
      <c r="S83" s="102">
        <v>4927</v>
      </c>
      <c r="T83" s="102">
        <v>5349</v>
      </c>
      <c r="U83" s="102">
        <v>5550</v>
      </c>
      <c r="V83" s="102">
        <v>4265</v>
      </c>
      <c r="W83" s="102">
        <v>5361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386</v>
      </c>
      <c r="P84" s="86">
        <v>259</v>
      </c>
      <c r="Q84" s="86">
        <v>353</v>
      </c>
      <c r="R84" s="86">
        <v>668</v>
      </c>
      <c r="S84" s="86">
        <v>957</v>
      </c>
      <c r="T84" s="86">
        <v>182</v>
      </c>
      <c r="U84" s="86">
        <v>465</v>
      </c>
      <c r="V84" s="86">
        <v>0</v>
      </c>
      <c r="W84" s="86">
        <v>2036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4.3350919238511629</v>
      </c>
      <c r="C90" s="141">
        <v>4.3286043715817115</v>
      </c>
      <c r="D90" s="141">
        <v>4.3217773209396437</v>
      </c>
      <c r="E90" s="141">
        <v>4.3047007264823804</v>
      </c>
      <c r="F90" s="141">
        <v>4.2844430243586533</v>
      </c>
      <c r="G90" s="141">
        <v>4.2628785150293389</v>
      </c>
      <c r="H90" s="141">
        <v>4.172705491479082</v>
      </c>
      <c r="I90" s="141">
        <v>4.0942151052031166</v>
      </c>
      <c r="J90" s="141">
        <v>3.8747052744184032</v>
      </c>
      <c r="K90" s="141">
        <v>3.755370848764076</v>
      </c>
      <c r="L90" s="141">
        <v>3.6726494726727279</v>
      </c>
      <c r="M90" s="141">
        <v>3.5888454810622279</v>
      </c>
      <c r="N90" s="141">
        <v>3.5064738933128532</v>
      </c>
      <c r="O90" s="141">
        <v>3.4118820746713392</v>
      </c>
      <c r="P90" s="141">
        <v>3.32903452419687</v>
      </c>
      <c r="Q90" s="141">
        <v>3.2528705366869222</v>
      </c>
      <c r="R90" s="141">
        <v>3.1717993550563723</v>
      </c>
      <c r="S90" s="141">
        <v>3.0895391741433436</v>
      </c>
      <c r="T90" s="141">
        <v>2.9883629646063956</v>
      </c>
      <c r="U90" s="141">
        <v>2.8843300105832497</v>
      </c>
      <c r="V90" s="141">
        <v>2.8059468230967282</v>
      </c>
      <c r="W90" s="141">
        <v>2.4431840679524384</v>
      </c>
      <c r="DA90" s="174" t="s">
        <v>862</v>
      </c>
    </row>
    <row r="91" spans="1:105" ht="11.45" customHeight="1" x14ac:dyDescent="0.25">
      <c r="A91" s="109" t="s">
        <v>20</v>
      </c>
      <c r="B91" s="130">
        <v>7.9215476170704147</v>
      </c>
      <c r="C91" s="130">
        <v>7.8324177441796516</v>
      </c>
      <c r="D91" s="130">
        <v>7.7765867763640157</v>
      </c>
      <c r="E91" s="130">
        <v>7.7279822836673349</v>
      </c>
      <c r="F91" s="130">
        <v>7.689795775905873</v>
      </c>
      <c r="G91" s="130">
        <v>7.6457125218653319</v>
      </c>
      <c r="H91" s="130">
        <v>7.5720689530101755</v>
      </c>
      <c r="I91" s="130">
        <v>7.5009332161380025</v>
      </c>
      <c r="J91" s="130">
        <v>7.4050255814113504</v>
      </c>
      <c r="K91" s="130">
        <v>7.3412451025113796</v>
      </c>
      <c r="L91" s="130">
        <v>7.2565175957387735</v>
      </c>
      <c r="M91" s="130">
        <v>7.2117624637664433</v>
      </c>
      <c r="N91" s="130">
        <v>7.150198830300015</v>
      </c>
      <c r="O91" s="130">
        <v>7.0733676011075488</v>
      </c>
      <c r="P91" s="130">
        <v>6.9817403303172441</v>
      </c>
      <c r="Q91" s="130">
        <v>6.8848511080415076</v>
      </c>
      <c r="R91" s="130">
        <v>6.7754787832549299</v>
      </c>
      <c r="S91" s="130">
        <v>6.6371661865078337</v>
      </c>
      <c r="T91" s="130">
        <v>6.4778908575139305</v>
      </c>
      <c r="U91" s="130">
        <v>6.3200813717567543</v>
      </c>
      <c r="V91" s="130">
        <v>6.1660250362871478</v>
      </c>
      <c r="W91" s="130">
        <v>6.0015253540512736</v>
      </c>
      <c r="DA91" s="176" t="s">
        <v>863</v>
      </c>
    </row>
    <row r="92" spans="1:105" ht="11.45" customHeight="1" x14ac:dyDescent="0.25">
      <c r="A92" s="111" t="s">
        <v>110</v>
      </c>
      <c r="B92" s="96">
        <v>7.9346446086100997</v>
      </c>
      <c r="C92" s="96">
        <v>7.8965059123820076</v>
      </c>
      <c r="D92" s="96">
        <v>7.873725657424254</v>
      </c>
      <c r="E92" s="96">
        <v>7.8507883886347001</v>
      </c>
      <c r="F92" s="96">
        <v>7.8315361116504159</v>
      </c>
      <c r="G92" s="96">
        <v>7.8047939787117526</v>
      </c>
      <c r="H92" s="96">
        <v>7.7456097217208457</v>
      </c>
      <c r="I92" s="96">
        <v>7.6784980556305218</v>
      </c>
      <c r="J92" s="96">
        <v>7.5613626834007786</v>
      </c>
      <c r="K92" s="96">
        <v>7.493070551103199</v>
      </c>
      <c r="L92" s="96">
        <v>7.4026935082357301</v>
      </c>
      <c r="M92" s="96">
        <v>7.3380294443482583</v>
      </c>
      <c r="N92" s="96">
        <v>7.2714941634972385</v>
      </c>
      <c r="O92" s="96">
        <v>7.1816064574838538</v>
      </c>
      <c r="P92" s="96">
        <v>7.0733130286085659</v>
      </c>
      <c r="Q92" s="96">
        <v>6.9658385498684376</v>
      </c>
      <c r="R92" s="96">
        <v>6.8655515414352184</v>
      </c>
      <c r="S92" s="96">
        <v>6.7586697206053312</v>
      </c>
      <c r="T92" s="96">
        <v>6.6117189117191524</v>
      </c>
      <c r="U92" s="96">
        <v>6.4537643250617558</v>
      </c>
      <c r="V92" s="96">
        <v>6.3131074489169485</v>
      </c>
      <c r="W92" s="96">
        <v>6.1686643330669098</v>
      </c>
      <c r="DA92" s="171" t="s">
        <v>864</v>
      </c>
    </row>
    <row r="93" spans="1:105" ht="11.45" customHeight="1" x14ac:dyDescent="0.25">
      <c r="A93" s="111" t="s">
        <v>111</v>
      </c>
      <c r="B93" s="96">
        <v>7.7478025882308215</v>
      </c>
      <c r="C93" s="96">
        <v>7.074942163013004</v>
      </c>
      <c r="D93" s="96">
        <v>6.9374347143681874</v>
      </c>
      <c r="E93" s="96">
        <v>6.8860490371302943</v>
      </c>
      <c r="F93" s="96">
        <v>6.8675868539260474</v>
      </c>
      <c r="G93" s="96">
        <v>6.8533994606255515</v>
      </c>
      <c r="H93" s="96">
        <v>6.8657420797718522</v>
      </c>
      <c r="I93" s="96">
        <v>6.8818271730745026</v>
      </c>
      <c r="J93" s="96">
        <v>6.8712003640524353</v>
      </c>
      <c r="K93" s="96">
        <v>6.8549416746297158</v>
      </c>
      <c r="L93" s="96">
        <v>6.8383253356452487</v>
      </c>
      <c r="M93" s="96">
        <v>6.8110145871552454</v>
      </c>
      <c r="N93" s="96">
        <v>6.784915964705533</v>
      </c>
      <c r="O93" s="96">
        <v>6.73644466509307</v>
      </c>
      <c r="P93" s="96">
        <v>6.6566921142470488</v>
      </c>
      <c r="Q93" s="96">
        <v>6.5575764668094116</v>
      </c>
      <c r="R93" s="96">
        <v>6.4123393378353066</v>
      </c>
      <c r="S93" s="96">
        <v>6.2344074948760237</v>
      </c>
      <c r="T93" s="96">
        <v>6.0676757229295468</v>
      </c>
      <c r="U93" s="96">
        <v>5.917755716619796</v>
      </c>
      <c r="V93" s="96">
        <v>5.7649186894839701</v>
      </c>
      <c r="W93" s="96">
        <v>5.6123473644990085</v>
      </c>
      <c r="DA93" s="171" t="s">
        <v>865</v>
      </c>
    </row>
    <row r="94" spans="1:105" ht="11.45" customHeight="1" x14ac:dyDescent="0.25">
      <c r="A94" s="111" t="s">
        <v>112</v>
      </c>
      <c r="B94" s="96">
        <v>0</v>
      </c>
      <c r="C94" s="96">
        <v>0</v>
      </c>
      <c r="D94" s="96">
        <v>7.5694858300086221</v>
      </c>
      <c r="E94" s="96">
        <v>7.6535402872984282</v>
      </c>
      <c r="F94" s="96">
        <v>7.7840903890431257</v>
      </c>
      <c r="G94" s="96">
        <v>7.7937415009624766</v>
      </c>
      <c r="H94" s="96">
        <v>7.7947815193561603</v>
      </c>
      <c r="I94" s="96">
        <v>7.991813846920623</v>
      </c>
      <c r="J94" s="96">
        <v>8.0009360388285113</v>
      </c>
      <c r="K94" s="96">
        <v>8.0014475430209213</v>
      </c>
      <c r="L94" s="96">
        <v>8.0067080294166839</v>
      </c>
      <c r="M94" s="96">
        <v>8.384939041596958</v>
      </c>
      <c r="N94" s="96">
        <v>8.4144515841044196</v>
      </c>
      <c r="O94" s="96">
        <v>8.4261191607830579</v>
      </c>
      <c r="P94" s="96">
        <v>8.4007584333872263</v>
      </c>
      <c r="Q94" s="96">
        <v>8.2229921993098518</v>
      </c>
      <c r="R94" s="96">
        <v>7.9148645135590989</v>
      </c>
      <c r="S94" s="96">
        <v>7.5356956529801167</v>
      </c>
      <c r="T94" s="96">
        <v>7.1250943697627127</v>
      </c>
      <c r="U94" s="96">
        <v>6.736791876194407</v>
      </c>
      <c r="V94" s="96">
        <v>6.3380110906856881</v>
      </c>
      <c r="W94" s="96">
        <v>5.8919960101157622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5.3974537246214611</v>
      </c>
      <c r="O96" s="96">
        <v>5.3797293593021127</v>
      </c>
      <c r="P96" s="96">
        <v>5.1936680924120813</v>
      </c>
      <c r="Q96" s="96">
        <v>4.8683796642553379</v>
      </c>
      <c r="R96" s="96">
        <v>3.2989624057525546</v>
      </c>
      <c r="S96" s="96">
        <v>3.6121680317280105</v>
      </c>
      <c r="T96" s="96">
        <v>3.4015132855830577</v>
      </c>
      <c r="U96" s="96">
        <v>3.1844790641553691</v>
      </c>
      <c r="V96" s="96">
        <v>3.1469496775285486</v>
      </c>
      <c r="W96" s="96">
        <v>2.9110772979134167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1.3221397492084079</v>
      </c>
      <c r="L97" s="96">
        <v>1.3089861515917216</v>
      </c>
      <c r="M97" s="96">
        <v>1.3089183517163239</v>
      </c>
      <c r="N97" s="96">
        <v>1.2587031409483957</v>
      </c>
      <c r="O97" s="96">
        <v>1.258415393443223</v>
      </c>
      <c r="P97" s="96">
        <v>1.2673148637474549</v>
      </c>
      <c r="Q97" s="96">
        <v>1.2916338452881795</v>
      </c>
      <c r="R97" s="96">
        <v>1.2812091747998025</v>
      </c>
      <c r="S97" s="96">
        <v>1.2625131596783195</v>
      </c>
      <c r="T97" s="96">
        <v>1.2472503301262472</v>
      </c>
      <c r="U97" s="96">
        <v>1.3913557062034829</v>
      </c>
      <c r="V97" s="96">
        <v>1.4288270800309435</v>
      </c>
      <c r="W97" s="96">
        <v>1.4147020338124352</v>
      </c>
      <c r="DA97" s="171" t="s">
        <v>869</v>
      </c>
    </row>
    <row r="98" spans="1:105" ht="11.45" customHeight="1" x14ac:dyDescent="0.25">
      <c r="A98" s="109" t="s">
        <v>21</v>
      </c>
      <c r="B98" s="130">
        <v>56.241593419046829</v>
      </c>
      <c r="C98" s="130">
        <v>55.532615499905994</v>
      </c>
      <c r="D98" s="130">
        <v>55.411504309037824</v>
      </c>
      <c r="E98" s="130">
        <v>54.896446971106961</v>
      </c>
      <c r="F98" s="130">
        <v>53.799736967059822</v>
      </c>
      <c r="G98" s="130">
        <v>53.503410095789469</v>
      </c>
      <c r="H98" s="130">
        <v>52.266203209619981</v>
      </c>
      <c r="I98" s="130">
        <v>51.385483753734825</v>
      </c>
      <c r="J98" s="130">
        <v>50.297177987048386</v>
      </c>
      <c r="K98" s="130">
        <v>49.418107770395984</v>
      </c>
      <c r="L98" s="130">
        <v>48.53972835003551</v>
      </c>
      <c r="M98" s="130">
        <v>47.651807207528549</v>
      </c>
      <c r="N98" s="130">
        <v>46.752268199281986</v>
      </c>
      <c r="O98" s="130">
        <v>45.914569212697351</v>
      </c>
      <c r="P98" s="130">
        <v>45.637063740334753</v>
      </c>
      <c r="Q98" s="130">
        <v>45.108140575876611</v>
      </c>
      <c r="R98" s="130">
        <v>44.936446447644109</v>
      </c>
      <c r="S98" s="130">
        <v>44.71607574423733</v>
      </c>
      <c r="T98" s="130">
        <v>44.478966054596221</v>
      </c>
      <c r="U98" s="130">
        <v>44.202628206774179</v>
      </c>
      <c r="V98" s="130">
        <v>43.920777347386377</v>
      </c>
      <c r="W98" s="130">
        <v>43.696385136928683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14.225378349307455</v>
      </c>
      <c r="K99" s="97">
        <v>14.225378349307455</v>
      </c>
      <c r="L99" s="97">
        <v>14.209191724696083</v>
      </c>
      <c r="M99" s="97">
        <v>14.196540168693556</v>
      </c>
      <c r="N99" s="97">
        <v>14.196016692628232</v>
      </c>
      <c r="O99" s="97">
        <v>14.195288428784213</v>
      </c>
      <c r="P99" s="97">
        <v>14.194325670470535</v>
      </c>
      <c r="Q99" s="97">
        <v>14.19286945208459</v>
      </c>
      <c r="R99" s="97">
        <v>14.191269934671986</v>
      </c>
      <c r="S99" s="97">
        <v>14.189504871656791</v>
      </c>
      <c r="T99" s="97">
        <v>14.186947946052154</v>
      </c>
      <c r="U99" s="97">
        <v>14.185363439842515</v>
      </c>
      <c r="V99" s="97">
        <v>14.185030729022586</v>
      </c>
      <c r="W99" s="97">
        <v>14.183998550750253</v>
      </c>
      <c r="DA99" s="175" t="s">
        <v>871</v>
      </c>
    </row>
    <row r="100" spans="1:105" ht="11.45" customHeight="1" x14ac:dyDescent="0.25">
      <c r="A100" s="111" t="s">
        <v>111</v>
      </c>
      <c r="B100" s="97">
        <v>56.241593419046829</v>
      </c>
      <c r="C100" s="97">
        <v>55.044984843467368</v>
      </c>
      <c r="D100" s="97">
        <v>54.854878706877194</v>
      </c>
      <c r="E100" s="97">
        <v>54.033889513337748</v>
      </c>
      <c r="F100" s="97">
        <v>52.485693962174928</v>
      </c>
      <c r="G100" s="97">
        <v>52.126426401736708</v>
      </c>
      <c r="H100" s="97">
        <v>50.751822062896402</v>
      </c>
      <c r="I100" s="97">
        <v>49.855625351932872</v>
      </c>
      <c r="J100" s="97">
        <v>48.924559544916363</v>
      </c>
      <c r="K100" s="97">
        <v>48.213242449510588</v>
      </c>
      <c r="L100" s="97">
        <v>47.566008109233564</v>
      </c>
      <c r="M100" s="97">
        <v>46.939179767378626</v>
      </c>
      <c r="N100" s="97">
        <v>46.327049916987768</v>
      </c>
      <c r="O100" s="97">
        <v>45.78555166326538</v>
      </c>
      <c r="P100" s="97">
        <v>45.469738288397195</v>
      </c>
      <c r="Q100" s="97">
        <v>45.017190182864447</v>
      </c>
      <c r="R100" s="97">
        <v>44.818705497908496</v>
      </c>
      <c r="S100" s="97">
        <v>44.581462763505002</v>
      </c>
      <c r="T100" s="97">
        <v>44.334811013950663</v>
      </c>
      <c r="U100" s="97">
        <v>44.066739521659862</v>
      </c>
      <c r="V100" s="97">
        <v>43.860928814248794</v>
      </c>
      <c r="W100" s="97">
        <v>43.649200271970038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38.34606291309845</v>
      </c>
      <c r="K101" s="97">
        <v>38.286344873014627</v>
      </c>
      <c r="L101" s="97">
        <v>37.843829824756462</v>
      </c>
      <c r="M101" s="97">
        <v>37.697546093535287</v>
      </c>
      <c r="N101" s="97">
        <v>37.697546093535287</v>
      </c>
      <c r="O101" s="97">
        <v>37.66533065994269</v>
      </c>
      <c r="P101" s="97">
        <v>37.642463802413154</v>
      </c>
      <c r="Q101" s="97">
        <v>37.629650612750666</v>
      </c>
      <c r="R101" s="97">
        <v>37.58433229377038</v>
      </c>
      <c r="S101" s="97">
        <v>37.575513416623977</v>
      </c>
      <c r="T101" s="97">
        <v>37.377187034687616</v>
      </c>
      <c r="U101" s="97">
        <v>37.357075726970336</v>
      </c>
      <c r="V101" s="97">
        <v>37.364597031353817</v>
      </c>
      <c r="W101" s="97">
        <v>37.345408232519347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23.66794140565489</v>
      </c>
      <c r="P103" s="97">
        <v>23.547425581529644</v>
      </c>
      <c r="Q103" s="97">
        <v>23.367369353138084</v>
      </c>
      <c r="R103" s="97">
        <v>22.988072056293397</v>
      </c>
      <c r="S103" s="97">
        <v>22.91186848197874</v>
      </c>
      <c r="T103" s="97">
        <v>22.635240552292604</v>
      </c>
      <c r="U103" s="97">
        <v>22.515783392976694</v>
      </c>
      <c r="V103" s="97">
        <v>22.353420684478042</v>
      </c>
      <c r="W103" s="97">
        <v>22.307381758919316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10.132914584115765</v>
      </c>
      <c r="C105" s="141">
        <v>10.027632657167286</v>
      </c>
      <c r="D105" s="141">
        <v>9.9252581205748012</v>
      </c>
      <c r="E105" s="141">
        <v>9.8051472498923822</v>
      </c>
      <c r="F105" s="141">
        <v>9.6833149882617491</v>
      </c>
      <c r="G105" s="141">
        <v>9.5853072067070517</v>
      </c>
      <c r="H105" s="141">
        <v>9.4451172408868231</v>
      </c>
      <c r="I105" s="141">
        <v>9.345708715104756</v>
      </c>
      <c r="J105" s="141">
        <v>9.2372576811395781</v>
      </c>
      <c r="K105" s="141">
        <v>9.1512852836056151</v>
      </c>
      <c r="L105" s="141">
        <v>9.0823308803881861</v>
      </c>
      <c r="M105" s="141">
        <v>9.0171108694952498</v>
      </c>
      <c r="N105" s="141">
        <v>8.9363636175045862</v>
      </c>
      <c r="O105" s="141">
        <v>8.8608726337730701</v>
      </c>
      <c r="P105" s="141">
        <v>8.7119730121793193</v>
      </c>
      <c r="Q105" s="141">
        <v>8.572411388930135</v>
      </c>
      <c r="R105" s="141">
        <v>8.4477818792445234</v>
      </c>
      <c r="S105" s="141">
        <v>8.2745811453768994</v>
      </c>
      <c r="T105" s="141">
        <v>8.0711565583784726</v>
      </c>
      <c r="U105" s="141">
        <v>7.9102229604555809</v>
      </c>
      <c r="V105" s="141">
        <v>7.7902134231088711</v>
      </c>
      <c r="W105" s="141">
        <v>7.649782551119106</v>
      </c>
      <c r="DA105" s="174" t="s">
        <v>876</v>
      </c>
    </row>
    <row r="106" spans="1:105" ht="11.45" customHeight="1" x14ac:dyDescent="0.25">
      <c r="A106" s="111" t="s">
        <v>110</v>
      </c>
      <c r="B106" s="96">
        <v>11.187976404536817</v>
      </c>
      <c r="C106" s="96">
        <v>10.964675003584951</v>
      </c>
      <c r="D106" s="96">
        <v>10.740725183034607</v>
      </c>
      <c r="E106" s="96">
        <v>10.467313184413245</v>
      </c>
      <c r="F106" s="96">
        <v>10.190242679529391</v>
      </c>
      <c r="G106" s="96">
        <v>9.9722498239674966</v>
      </c>
      <c r="H106" s="96">
        <v>9.6577072926048455</v>
      </c>
      <c r="I106" s="96">
        <v>9.4460339417242221</v>
      </c>
      <c r="J106" s="96">
        <v>9.2837069656876725</v>
      </c>
      <c r="K106" s="96">
        <v>9.1193207096690028</v>
      </c>
      <c r="L106" s="96">
        <v>8.9823202863665088</v>
      </c>
      <c r="M106" s="96">
        <v>8.8247535303613702</v>
      </c>
      <c r="N106" s="96">
        <v>8.6505854310646129</v>
      </c>
      <c r="O106" s="96">
        <v>8.6377001654371384</v>
      </c>
      <c r="P106" s="96">
        <v>8.4769549440932117</v>
      </c>
      <c r="Q106" s="96">
        <v>8.3051839545421711</v>
      </c>
      <c r="R106" s="96">
        <v>8.0452934737966881</v>
      </c>
      <c r="S106" s="96">
        <v>7.7318148862418292</v>
      </c>
      <c r="T106" s="96">
        <v>7.5152028529385531</v>
      </c>
      <c r="U106" s="96">
        <v>7.3991929540881847</v>
      </c>
      <c r="V106" s="96">
        <v>7.3015166100015101</v>
      </c>
      <c r="W106" s="96">
        <v>7.1288631147627637</v>
      </c>
      <c r="DA106" s="171" t="s">
        <v>877</v>
      </c>
    </row>
    <row r="107" spans="1:105" ht="11.45" customHeight="1" x14ac:dyDescent="0.25">
      <c r="A107" s="111" t="s">
        <v>111</v>
      </c>
      <c r="B107" s="96">
        <v>9.4098606417101074</v>
      </c>
      <c r="C107" s="96">
        <v>9.3521111781631436</v>
      </c>
      <c r="D107" s="96">
        <v>9.3003691081374438</v>
      </c>
      <c r="E107" s="96">
        <v>9.2462471741739005</v>
      </c>
      <c r="F107" s="96">
        <v>9.1966036736789452</v>
      </c>
      <c r="G107" s="96">
        <v>9.1615079032869531</v>
      </c>
      <c r="H107" s="96">
        <v>9.1210000145360333</v>
      </c>
      <c r="I107" s="96">
        <v>9.0936420614350251</v>
      </c>
      <c r="J107" s="96">
        <v>9.0527109083035882</v>
      </c>
      <c r="K107" s="96">
        <v>9.0229248887034554</v>
      </c>
      <c r="L107" s="96">
        <v>9.0082637245231822</v>
      </c>
      <c r="M107" s="96">
        <v>9.0018577088076075</v>
      </c>
      <c r="N107" s="96">
        <v>8.9563831296572776</v>
      </c>
      <c r="O107" s="96">
        <v>8.8453254192589448</v>
      </c>
      <c r="P107" s="96">
        <v>8.6951948301880488</v>
      </c>
      <c r="Q107" s="96">
        <v>8.5529710315104932</v>
      </c>
      <c r="R107" s="96">
        <v>8.4364175948069295</v>
      </c>
      <c r="S107" s="96">
        <v>8.2739066776386263</v>
      </c>
      <c r="T107" s="96">
        <v>8.0456114585058938</v>
      </c>
      <c r="U107" s="96">
        <v>7.8601224503735923</v>
      </c>
      <c r="V107" s="96">
        <v>7.7210145908045122</v>
      </c>
      <c r="W107" s="96">
        <v>7.581373864298512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15.740377078198769</v>
      </c>
      <c r="K108" s="96">
        <v>15.740377078198769</v>
      </c>
      <c r="L108" s="96">
        <v>15.740377078198769</v>
      </c>
      <c r="M108" s="96">
        <v>15.020914460170163</v>
      </c>
      <c r="N108" s="96">
        <v>13.944050343855062</v>
      </c>
      <c r="O108" s="96">
        <v>13.944050343855064</v>
      </c>
      <c r="P108" s="96">
        <v>12.746869302651074</v>
      </c>
      <c r="Q108" s="96">
        <v>12.234203413283842</v>
      </c>
      <c r="R108" s="96">
        <v>10.454192980788768</v>
      </c>
      <c r="S108" s="96">
        <v>10.45419298078877</v>
      </c>
      <c r="T108" s="96">
        <v>10.228481505952745</v>
      </c>
      <c r="U108" s="96">
        <v>10.228481505952745</v>
      </c>
      <c r="V108" s="96">
        <v>9.963705909154184</v>
      </c>
      <c r="W108" s="96">
        <v>8.4273935240786173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1.360325196948438</v>
      </c>
      <c r="M110" s="96">
        <v>1.3556789177155866</v>
      </c>
      <c r="N110" s="96">
        <v>1.3441241087513485</v>
      </c>
      <c r="O110" s="96">
        <v>1.3393949133989924</v>
      </c>
      <c r="P110" s="96">
        <v>1.3377720059135538</v>
      </c>
      <c r="Q110" s="96">
        <v>1.3360645471113182</v>
      </c>
      <c r="R110" s="96">
        <v>1.3340773748858465</v>
      </c>
      <c r="S110" s="96">
        <v>1.3332688133295136</v>
      </c>
      <c r="T110" s="96">
        <v>1.3352382660923285</v>
      </c>
      <c r="U110" s="96">
        <v>1.3977240207584825</v>
      </c>
      <c r="V110" s="96">
        <v>1.4941300050286082</v>
      </c>
      <c r="W110" s="96">
        <v>1.7420432427673038</v>
      </c>
      <c r="DA110" s="171" t="s">
        <v>881</v>
      </c>
    </row>
    <row r="111" spans="1:105" ht="11.45" customHeight="1" x14ac:dyDescent="0.25">
      <c r="A111" s="109" t="s">
        <v>158</v>
      </c>
      <c r="B111" s="130">
        <v>35.319520489458412</v>
      </c>
      <c r="C111" s="130">
        <v>35.046683004080386</v>
      </c>
      <c r="D111" s="130">
        <v>34.800855423018277</v>
      </c>
      <c r="E111" s="130">
        <v>34.365190447787299</v>
      </c>
      <c r="F111" s="130">
        <v>34.069661591599889</v>
      </c>
      <c r="G111" s="130">
        <v>33.527926679237218</v>
      </c>
      <c r="H111" s="130">
        <v>33.195128253262951</v>
      </c>
      <c r="I111" s="130">
        <v>32.999421585377384</v>
      </c>
      <c r="J111" s="130">
        <v>32.812338768732232</v>
      </c>
      <c r="K111" s="130">
        <v>32.653778651056946</v>
      </c>
      <c r="L111" s="130">
        <v>32.528376718846602</v>
      </c>
      <c r="M111" s="130">
        <v>32.340402009144107</v>
      </c>
      <c r="N111" s="130">
        <v>31.925383127068653</v>
      </c>
      <c r="O111" s="130">
        <v>31.276780888680328</v>
      </c>
      <c r="P111" s="130">
        <v>30.906479998719341</v>
      </c>
      <c r="Q111" s="130">
        <v>30.48287200680134</v>
      </c>
      <c r="R111" s="130">
        <v>29.653490398485822</v>
      </c>
      <c r="S111" s="130">
        <v>28.701315074983658</v>
      </c>
      <c r="T111" s="130">
        <v>27.75401123359995</v>
      </c>
      <c r="U111" s="130">
        <v>26.852120149913649</v>
      </c>
      <c r="V111" s="130">
        <v>26.439170287284135</v>
      </c>
      <c r="W111" s="130">
        <v>25.399904916533092</v>
      </c>
      <c r="DA111" s="176" t="s">
        <v>882</v>
      </c>
    </row>
    <row r="112" spans="1:105" ht="11.45" customHeight="1" x14ac:dyDescent="0.25">
      <c r="A112" s="128" t="s">
        <v>27</v>
      </c>
      <c r="B112" s="97">
        <v>35.097123602221401</v>
      </c>
      <c r="C112" s="97">
        <v>34.868950488927204</v>
      </c>
      <c r="D112" s="97">
        <v>34.657279581003166</v>
      </c>
      <c r="E112" s="97">
        <v>34.248454920772971</v>
      </c>
      <c r="F112" s="97">
        <v>34.007621911900358</v>
      </c>
      <c r="G112" s="97">
        <v>33.463457698197246</v>
      </c>
      <c r="H112" s="97">
        <v>33.166624163700412</v>
      </c>
      <c r="I112" s="97">
        <v>32.992610624981936</v>
      </c>
      <c r="J112" s="97">
        <v>32.814017420688856</v>
      </c>
      <c r="K112" s="97">
        <v>32.655976535107399</v>
      </c>
      <c r="L112" s="97">
        <v>32.528151268641118</v>
      </c>
      <c r="M112" s="97">
        <v>32.348042599730363</v>
      </c>
      <c r="N112" s="97">
        <v>31.948403975745762</v>
      </c>
      <c r="O112" s="97">
        <v>31.297213543569818</v>
      </c>
      <c r="P112" s="97">
        <v>30.927831439854536</v>
      </c>
      <c r="Q112" s="97">
        <v>30.511254930156081</v>
      </c>
      <c r="R112" s="97">
        <v>29.686823447493374</v>
      </c>
      <c r="S112" s="97">
        <v>28.735035144763369</v>
      </c>
      <c r="T112" s="97">
        <v>27.73198448228295</v>
      </c>
      <c r="U112" s="97">
        <v>26.794684873278797</v>
      </c>
      <c r="V112" s="97">
        <v>26.388674329661523</v>
      </c>
      <c r="W112" s="97">
        <v>25.335676261949697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36.174339541381407</v>
      </c>
      <c r="D113" s="98">
        <v>35.660614825827793</v>
      </c>
      <c r="E113" s="98">
        <v>35.204827683031688</v>
      </c>
      <c r="F113" s="98">
        <v>34.452059884183633</v>
      </c>
      <c r="G113" s="98">
        <v>34.00767842123426</v>
      </c>
      <c r="H113" s="98">
        <v>33.516543486158689</v>
      </c>
      <c r="I113" s="98">
        <v>33.074673692871521</v>
      </c>
      <c r="J113" s="98">
        <v>32.787310804130428</v>
      </c>
      <c r="K113" s="98">
        <v>32.591378091171919</v>
      </c>
      <c r="L113" s="98">
        <v>32.535916792876478</v>
      </c>
      <c r="M113" s="98">
        <v>32.10684234951659</v>
      </c>
      <c r="N113" s="98">
        <v>31.371568783436924</v>
      </c>
      <c r="O113" s="98">
        <v>30.832660093855736</v>
      </c>
      <c r="P113" s="98">
        <v>30.453991226447084</v>
      </c>
      <c r="Q113" s="98">
        <v>29.948626932403819</v>
      </c>
      <c r="R113" s="98">
        <v>29.15576755509084</v>
      </c>
      <c r="S113" s="98">
        <v>28.310275262912182</v>
      </c>
      <c r="T113" s="98">
        <v>28.014913978267618</v>
      </c>
      <c r="U113" s="98">
        <v>27.537327272717256</v>
      </c>
      <c r="V113" s="98">
        <v>27.257617123389764</v>
      </c>
      <c r="W113" s="98">
        <v>26.120122875523432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1.1275480687216355</v>
      </c>
      <c r="D117" s="150">
        <f>IF(TrRoad_act!D59=0,0,TrRoad_ene!D62/TrRoad_tech!D90)</f>
        <v>1.1276600459095187</v>
      </c>
      <c r="E117" s="150">
        <f>IF(TrRoad_act!E59=0,0,TrRoad_ene!E62/TrRoad_tech!E90)</f>
        <v>1.1280987958078474</v>
      </c>
      <c r="F117" s="150">
        <f>IF(TrRoad_act!F59=0,0,TrRoad_ene!F62/TrRoad_tech!F90)</f>
        <v>1.1288813696870073</v>
      </c>
      <c r="G117" s="150">
        <f>IF(TrRoad_act!G59=0,0,TrRoad_ene!G62/TrRoad_tech!G90)</f>
        <v>1.0748227944172815</v>
      </c>
      <c r="H117" s="150">
        <f>IF(TrRoad_act!H59=0,0,TrRoad_ene!H62/TrRoad_tech!H90)</f>
        <v>1.0798910550924159</v>
      </c>
      <c r="I117" s="150">
        <f>IF(TrRoad_act!I59=0,0,TrRoad_ene!I62/TrRoad_tech!I90)</f>
        <v>1.0853034219636721</v>
      </c>
      <c r="J117" s="150">
        <f>IF(TrRoad_act!J59=0,0,TrRoad_ene!J62/TrRoad_tech!J90)</f>
        <v>1.1006908294584083</v>
      </c>
      <c r="K117" s="150">
        <f>IF(TrRoad_act!K59=0,0,TrRoad_ene!K62/TrRoad_tech!K90)</f>
        <v>1.1091918220429831</v>
      </c>
      <c r="L117" s="150">
        <f>IF(TrRoad_act!L59=0,0,TrRoad_ene!L62/TrRoad_tech!L90)</f>
        <v>1.1157020553079791</v>
      </c>
      <c r="M117" s="150">
        <f>IF(TrRoad_act!M59=0,0,TrRoad_ene!M62/TrRoad_tech!M90)</f>
        <v>1.1225540144614587</v>
      </c>
      <c r="N117" s="150">
        <f>IF(TrRoad_act!N59=0,0,TrRoad_ene!N62/TrRoad_tech!N90)</f>
        <v>1.1306521975202901</v>
      </c>
      <c r="O117" s="150">
        <f>IF(TrRoad_act!O59=0,0,TrRoad_ene!O62/TrRoad_tech!O90)</f>
        <v>1.1401364249178636</v>
      </c>
      <c r="P117" s="150">
        <f>IF(TrRoad_act!P59=0,0,TrRoad_ene!P62/TrRoad_tech!P90)</f>
        <v>1.149800647911484</v>
      </c>
      <c r="Q117" s="150">
        <f>IF(TrRoad_act!Q59=0,0,TrRoad_ene!Q62/TrRoad_tech!Q90)</f>
        <v>1.1599086787494521</v>
      </c>
      <c r="R117" s="150">
        <f>IF(TrRoad_act!R59=0,0,TrRoad_ene!R62/TrRoad_tech!R90)</f>
        <v>1.1712654172224302</v>
      </c>
      <c r="S117" s="150">
        <f>IF(TrRoad_act!S59=0,0,TrRoad_ene!S62/TrRoad_tech!S90)</f>
        <v>1.1841501359731046</v>
      </c>
      <c r="T117" s="150">
        <f>IF(TrRoad_act!T59=0,0,TrRoad_ene!T62/TrRoad_tech!T90)</f>
        <v>1.2015118288050337</v>
      </c>
      <c r="U117" s="150">
        <f>IF(TrRoad_act!U59=0,0,TrRoad_ene!U62/TrRoad_tech!U90)</f>
        <v>1.2230733849988777</v>
      </c>
      <c r="V117" s="150">
        <f>IF(TrRoad_act!V59=0,0,TrRoad_ene!V62/TrRoad_tech!V90)</f>
        <v>1.244286295530483</v>
      </c>
      <c r="W117" s="150">
        <f>IF(TrRoad_act!W59=0,0,TrRoad_ene!W62/TrRoad_tech!W90)</f>
        <v>1.2502529314502495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0.8233822084878355</v>
      </c>
      <c r="C118" s="151">
        <f>IF(TrRoad_act!C60=0,0,TrRoad_ene!C63/TrRoad_tech!C91)</f>
        <v>0.86433822140547067</v>
      </c>
      <c r="D118" s="151">
        <f>IF(TrRoad_act!D60=0,0,TrRoad_ene!D63/TrRoad_tech!D91)</f>
        <v>0.85836195735285681</v>
      </c>
      <c r="E118" s="151">
        <f>IF(TrRoad_act!E60=0,0,TrRoad_ene!E63/TrRoad_tech!E91)</f>
        <v>0.84065400863412565</v>
      </c>
      <c r="F118" s="151">
        <f>IF(TrRoad_act!F60=0,0,TrRoad_ene!F63/TrRoad_tech!F91)</f>
        <v>0.88395744605861293</v>
      </c>
      <c r="G118" s="151">
        <f>IF(TrRoad_act!G60=0,0,TrRoad_ene!G63/TrRoad_tech!G91)</f>
        <v>0.88068991005587838</v>
      </c>
      <c r="H118" s="151">
        <f>IF(TrRoad_act!H60=0,0,TrRoad_ene!H63/TrRoad_tech!H91)</f>
        <v>0.87253643193796093</v>
      </c>
      <c r="I118" s="151">
        <f>IF(TrRoad_act!I60=0,0,TrRoad_ene!I63/TrRoad_tech!I91)</f>
        <v>0.85750504214684631</v>
      </c>
      <c r="J118" s="151">
        <f>IF(TrRoad_act!J60=0,0,TrRoad_ene!J63/TrRoad_tech!J91)</f>
        <v>0.95518827308181953</v>
      </c>
      <c r="K118" s="151">
        <f>IF(TrRoad_act!K60=0,0,TrRoad_ene!K63/TrRoad_tech!K91)</f>
        <v>0.966788750404043</v>
      </c>
      <c r="L118" s="151">
        <f>IF(TrRoad_act!L60=0,0,TrRoad_ene!L63/TrRoad_tech!L91)</f>
        <v>0.91772378788607045</v>
      </c>
      <c r="M118" s="151">
        <f>IF(TrRoad_act!M60=0,0,TrRoad_ene!M63/TrRoad_tech!M91)</f>
        <v>0.92937563565348036</v>
      </c>
      <c r="N118" s="151">
        <f>IF(TrRoad_act!N60=0,0,TrRoad_ene!N63/TrRoad_tech!N91)</f>
        <v>0.94982671488055881</v>
      </c>
      <c r="O118" s="151">
        <f>IF(TrRoad_act!O60=0,0,TrRoad_ene!O63/TrRoad_tech!O91)</f>
        <v>0.87295368631029191</v>
      </c>
      <c r="P118" s="151">
        <f>IF(TrRoad_act!P60=0,0,TrRoad_ene!P63/TrRoad_tech!P91)</f>
        <v>0.88064489657550427</v>
      </c>
      <c r="Q118" s="151">
        <f>IF(TrRoad_act!Q60=0,0,TrRoad_ene!Q63/TrRoad_tech!Q91)</f>
        <v>0.85950181841210138</v>
      </c>
      <c r="R118" s="151">
        <f>IF(TrRoad_act!R60=0,0,TrRoad_ene!R63/TrRoad_tech!R91)</f>
        <v>0.90710474516621664</v>
      </c>
      <c r="S118" s="151">
        <f>IF(TrRoad_act!S60=0,0,TrRoad_ene!S63/TrRoad_tech!S91)</f>
        <v>0.96684798611965572</v>
      </c>
      <c r="T118" s="151">
        <f>IF(TrRoad_act!T60=0,0,TrRoad_ene!T63/TrRoad_tech!T91)</f>
        <v>0.96855708445018907</v>
      </c>
      <c r="U118" s="151">
        <f>IF(TrRoad_act!U60=0,0,TrRoad_ene!U63/TrRoad_tech!U91)</f>
        <v>0.95253831886004114</v>
      </c>
      <c r="V118" s="151">
        <f>IF(TrRoad_act!V60=0,0,TrRoad_ene!V63/TrRoad_tech!V91)</f>
        <v>1.0248051130831539</v>
      </c>
      <c r="W118" s="151">
        <f>IF(TrRoad_act!W60=0,0,TrRoad_ene!W63/TrRoad_tech!W91)</f>
        <v>1.018899304199095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0.82301351475622686</v>
      </c>
      <c r="C119" s="91">
        <f>IF(TrRoad_act!C61=0,0,TrRoad_ene!C64/TrRoad_tech!C92)</f>
        <v>0.85980475707192006</v>
      </c>
      <c r="D119" s="91">
        <f>IF(TrRoad_act!D61=0,0,TrRoad_ene!D64/TrRoad_tech!D92)</f>
        <v>0.85121071695675887</v>
      </c>
      <c r="E119" s="91">
        <f>IF(TrRoad_act!E61=0,0,TrRoad_ene!E64/TrRoad_tech!E92)</f>
        <v>0.84540702398993761</v>
      </c>
      <c r="F119" s="91">
        <f>IF(TrRoad_act!F61=0,0,TrRoad_ene!F64/TrRoad_tech!F92)</f>
        <v>0.85926190220791043</v>
      </c>
      <c r="G119" s="91">
        <f>IF(TrRoad_act!G61=0,0,TrRoad_ene!G64/TrRoad_tech!G92)</f>
        <v>0.88129875410492198</v>
      </c>
      <c r="H119" s="91">
        <f>IF(TrRoad_act!H61=0,0,TrRoad_ene!H64/TrRoad_tech!H92)</f>
        <v>0.86812704548062813</v>
      </c>
      <c r="I119" s="91">
        <f>IF(TrRoad_act!I61=0,0,TrRoad_ene!I64/TrRoad_tech!I92)</f>
        <v>0.89344744907571416</v>
      </c>
      <c r="J119" s="91">
        <f>IF(TrRoad_act!J61=0,0,TrRoad_ene!J64/TrRoad_tech!J92)</f>
        <v>1.0378615083600415</v>
      </c>
      <c r="K119" s="91">
        <f>IF(TrRoad_act!K61=0,0,TrRoad_ene!K64/TrRoad_tech!K92)</f>
        <v>1.0385830866060051</v>
      </c>
      <c r="L119" s="91">
        <f>IF(TrRoad_act!L61=0,0,TrRoad_ene!L64/TrRoad_tech!L92)</f>
        <v>0.98651741963264161</v>
      </c>
      <c r="M119" s="91">
        <f>IF(TrRoad_act!M61=0,0,TrRoad_ene!M64/TrRoad_tech!M92)</f>
        <v>1.0423948993148806</v>
      </c>
      <c r="N119" s="91">
        <f>IF(TrRoad_act!N61=0,0,TrRoad_ene!N64/TrRoad_tech!N92)</f>
        <v>1.0601008490554626</v>
      </c>
      <c r="O119" s="91">
        <f>IF(TrRoad_act!O61=0,0,TrRoad_ene!O64/TrRoad_tech!O92)</f>
        <v>0.93521753084818304</v>
      </c>
      <c r="P119" s="91">
        <f>IF(TrRoad_act!P61=0,0,TrRoad_ene!P64/TrRoad_tech!P92)</f>
        <v>0.92534440481123215</v>
      </c>
      <c r="Q119" s="91">
        <f>IF(TrRoad_act!Q61=0,0,TrRoad_ene!Q64/TrRoad_tech!Q92)</f>
        <v>0.90029633800942765</v>
      </c>
      <c r="R119" s="91">
        <f>IF(TrRoad_act!R61=0,0,TrRoad_ene!R64/TrRoad_tech!R92)</f>
        <v>0.99596255968185476</v>
      </c>
      <c r="S119" s="91">
        <f>IF(TrRoad_act!S61=0,0,TrRoad_ene!S64/TrRoad_tech!S92)</f>
        <v>1.0443512561369614</v>
      </c>
      <c r="T119" s="91">
        <f>IF(TrRoad_act!T61=0,0,TrRoad_ene!T64/TrRoad_tech!T92)</f>
        <v>1.0471326504691274</v>
      </c>
      <c r="U119" s="91">
        <f>IF(TrRoad_act!U61=0,0,TrRoad_ene!U64/TrRoad_tech!U92)</f>
        <v>1.0506713079658567</v>
      </c>
      <c r="V119" s="91">
        <f>IF(TrRoad_act!V61=0,0,TrRoad_ene!V64/TrRoad_tech!V92)</f>
        <v>1.0537251130059599</v>
      </c>
      <c r="W119" s="91">
        <f>IF(TrRoad_act!W61=0,0,TrRoad_ene!W64/TrRoad_tech!W92)</f>
        <v>1.0568486950317877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0.83499834534979511</v>
      </c>
      <c r="C120" s="91">
        <f>IF(TrRoad_act!C62=0,0,TrRoad_ene!C65/TrRoad_tech!C93)</f>
        <v>0.93919460336730731</v>
      </c>
      <c r="D120" s="91">
        <f>IF(TrRoad_act!D62=0,0,TrRoad_ene!D65/TrRoad_tech!D93)</f>
        <v>0.94136002587242229</v>
      </c>
      <c r="E120" s="91">
        <f>IF(TrRoad_act!E62=0,0,TrRoad_ene!E65/TrRoad_tech!E93)</f>
        <v>0.8617819646246675</v>
      </c>
      <c r="F120" s="91">
        <f>IF(TrRoad_act!F62=0,0,TrRoad_ene!F65/TrRoad_tech!F93)</f>
        <v>0.86201110181550766</v>
      </c>
      <c r="G120" s="91">
        <f>IF(TrRoad_act!G62=0,0,TrRoad_ene!G65/TrRoad_tech!G93)</f>
        <v>0.8698637577916315</v>
      </c>
      <c r="H120" s="91">
        <f>IF(TrRoad_act!H62=0,0,TrRoad_ene!H65/TrRoad_tech!H93)</f>
        <v>0.92923745613200592</v>
      </c>
      <c r="I120" s="91">
        <f>IF(TrRoad_act!I62=0,0,TrRoad_ene!I65/TrRoad_tech!I93)</f>
        <v>0.82916956068269099</v>
      </c>
      <c r="J120" s="91">
        <f>IF(TrRoad_act!J62=0,0,TrRoad_ene!J65/TrRoad_tech!J93)</f>
        <v>0.88651326835530275</v>
      </c>
      <c r="K120" s="91">
        <f>IF(TrRoad_act!K62=0,0,TrRoad_ene!K65/TrRoad_tech!K93)</f>
        <v>0.89839603531141676</v>
      </c>
      <c r="L120" s="91">
        <f>IF(TrRoad_act!L62=0,0,TrRoad_ene!L65/TrRoad_tech!L93)</f>
        <v>0.88237436477107722</v>
      </c>
      <c r="M120" s="91">
        <f>IF(TrRoad_act!M62=0,0,TrRoad_ene!M65/TrRoad_tech!M93)</f>
        <v>0.85885415027779821</v>
      </c>
      <c r="N120" s="91">
        <f>IF(TrRoad_act!N62=0,0,TrRoad_ene!N65/TrRoad_tech!N93)</f>
        <v>0.90182955606183501</v>
      </c>
      <c r="O120" s="91">
        <f>IF(TrRoad_act!O62=0,0,TrRoad_ene!O65/TrRoad_tech!O93)</f>
        <v>0.84929156976052222</v>
      </c>
      <c r="P120" s="91">
        <f>IF(TrRoad_act!P62=0,0,TrRoad_ene!P65/TrRoad_tech!P93)</f>
        <v>0.86695111660425206</v>
      </c>
      <c r="Q120" s="91">
        <f>IF(TrRoad_act!Q62=0,0,TrRoad_ene!Q65/TrRoad_tech!Q93)</f>
        <v>0.85607282773649185</v>
      </c>
      <c r="R120" s="91">
        <f>IF(TrRoad_act!R62=0,0,TrRoad_ene!R65/TrRoad_tech!R93)</f>
        <v>0.87755246628066896</v>
      </c>
      <c r="S120" s="91">
        <f>IF(TrRoad_act!S62=0,0,TrRoad_ene!S65/TrRoad_tech!S93)</f>
        <v>0.9565103406420542</v>
      </c>
      <c r="T120" s="91">
        <f>IF(TrRoad_act!T62=0,0,TrRoad_ene!T65/TrRoad_tech!T93)</f>
        <v>0.96550627784172705</v>
      </c>
      <c r="U120" s="91">
        <f>IF(TrRoad_act!U62=0,0,TrRoad_ene!U65/TrRoad_tech!U93)</f>
        <v>0.94167001200520173</v>
      </c>
      <c r="V120" s="91">
        <f>IF(TrRoad_act!V62=0,0,TrRoad_ene!V65/TrRoad_tech!V93)</f>
        <v>1.0701095712211139</v>
      </c>
      <c r="W120" s="91">
        <f>IF(TrRoad_act!W62=0,0,TrRoad_ene!W65/TrRoad_tech!W93)</f>
        <v>1.0700786242588256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</v>
      </c>
      <c r="C121" s="91">
        <f>IF(TrRoad_act!C63=0,0,TrRoad_ene!C66/TrRoad_tech!C94)</f>
        <v>0</v>
      </c>
      <c r="D121" s="91">
        <f>IF(TrRoad_act!D63=0,0,TrRoad_ene!D66/TrRoad_tech!D94)</f>
        <v>1.0306963566539493</v>
      </c>
      <c r="E121" s="91">
        <f>IF(TrRoad_act!E63=0,0,TrRoad_ene!E66/TrRoad_tech!E94)</f>
        <v>0.92871341743650282</v>
      </c>
      <c r="F121" s="91">
        <f>IF(TrRoad_act!F63=0,0,TrRoad_ene!F66/TrRoad_tech!F94)</f>
        <v>4.425277953453481</v>
      </c>
      <c r="G121" s="91">
        <f>IF(TrRoad_act!G63=0,0,TrRoad_ene!G66/TrRoad_tech!G94)</f>
        <v>2.6483035330790563</v>
      </c>
      <c r="H121" s="91">
        <f>IF(TrRoad_act!H63=0,0,TrRoad_ene!H66/TrRoad_tech!H94)</f>
        <v>0.88404552283291105</v>
      </c>
      <c r="I121" s="91">
        <f>IF(TrRoad_act!I63=0,0,TrRoad_ene!I66/TrRoad_tech!I94)</f>
        <v>1.2227528642408678</v>
      </c>
      <c r="J121" s="91">
        <f>IF(TrRoad_act!J63=0,0,TrRoad_ene!J66/TrRoad_tech!J94)</f>
        <v>1.9259963172319077</v>
      </c>
      <c r="K121" s="91">
        <f>IF(TrRoad_act!K63=0,0,TrRoad_ene!K66/TrRoad_tech!K94)</f>
        <v>3.152403096918591</v>
      </c>
      <c r="L121" s="91">
        <f>IF(TrRoad_act!L63=0,0,TrRoad_ene!L66/TrRoad_tech!L94)</f>
        <v>0.91870316984590827</v>
      </c>
      <c r="M121" s="91">
        <f>IF(TrRoad_act!M63=0,0,TrRoad_ene!M66/TrRoad_tech!M94)</f>
        <v>1.2315212237039301</v>
      </c>
      <c r="N121" s="91">
        <f>IF(TrRoad_act!N63=0,0,TrRoad_ene!N66/TrRoad_tech!N94)</f>
        <v>0.96941364133955332</v>
      </c>
      <c r="O121" s="91">
        <f>IF(TrRoad_act!O63=0,0,TrRoad_ene!O66/TrRoad_tech!O94)</f>
        <v>0.96865086436059178</v>
      </c>
      <c r="P121" s="91">
        <f>IF(TrRoad_act!P63=0,0,TrRoad_ene!P66/TrRoad_tech!P94)</f>
        <v>0.96862461085624452</v>
      </c>
      <c r="Q121" s="91">
        <f>IF(TrRoad_act!Q63=0,0,TrRoad_ene!Q66/TrRoad_tech!Q94)</f>
        <v>0.86600168467474226</v>
      </c>
      <c r="R121" s="91">
        <f>IF(TrRoad_act!R63=0,0,TrRoad_ene!R66/TrRoad_tech!R94)</f>
        <v>1.0372003547036099</v>
      </c>
      <c r="S121" s="91">
        <f>IF(TrRoad_act!S63=0,0,TrRoad_ene!S66/TrRoad_tech!S94)</f>
        <v>1.0467751596077195</v>
      </c>
      <c r="T121" s="91">
        <f>IF(TrRoad_act!T63=0,0,TrRoad_ene!T66/TrRoad_tech!T94)</f>
        <v>1.0503169801142118</v>
      </c>
      <c r="U121" s="91">
        <f>IF(TrRoad_act!U63=0,0,TrRoad_ene!U66/TrRoad_tech!U94)</f>
        <v>1.0549085343548621</v>
      </c>
      <c r="V121" s="91">
        <f>IF(TrRoad_act!V63=0,0,TrRoad_ene!V66/TrRoad_tech!V94)</f>
        <v>0.89042085848030794</v>
      </c>
      <c r="W121" s="91">
        <f>IF(TrRoad_act!W63=0,0,TrRoad_ene!W66/TrRoad_tech!W94)</f>
        <v>0.72605561996123258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1.0867756555245005</v>
      </c>
      <c r="O123" s="91">
        <f>IF(TrRoad_act!O65=0,0,TrRoad_ene!O68/TrRoad_tech!O96)</f>
        <v>0.97825829429135225</v>
      </c>
      <c r="P123" s="91">
        <f>IF(TrRoad_act!P65=0,0,TrRoad_ene!P68/TrRoad_tech!P96)</f>
        <v>0.97036144956704407</v>
      </c>
      <c r="Q123" s="91">
        <f>IF(TrRoad_act!Q65=0,0,TrRoad_ene!Q68/TrRoad_tech!Q96)</f>
        <v>0.95279040938257786</v>
      </c>
      <c r="R123" s="91">
        <f>IF(TrRoad_act!R65=0,0,TrRoad_ene!R68/TrRoad_tech!R96)</f>
        <v>1.0557396788388496</v>
      </c>
      <c r="S123" s="91">
        <f>IF(TrRoad_act!S65=0,0,TrRoad_ene!S68/TrRoad_tech!S96)</f>
        <v>1.0903953790632843</v>
      </c>
      <c r="T123" s="91">
        <f>IF(TrRoad_act!T65=0,0,TrRoad_ene!T68/TrRoad_tech!T96)</f>
        <v>1.0932682157958953</v>
      </c>
      <c r="U123" s="91">
        <f>IF(TrRoad_act!U65=0,0,TrRoad_ene!U68/TrRoad_tech!U96)</f>
        <v>1.0960526988994974</v>
      </c>
      <c r="V123" s="91">
        <f>IF(TrRoad_act!V65=0,0,TrRoad_ene!V68/TrRoad_tech!V96)</f>
        <v>1.09700060764842</v>
      </c>
      <c r="W123" s="91">
        <f>IF(TrRoad_act!W65=0,0,TrRoad_ene!W68/TrRoad_tech!W96)</f>
        <v>1.0979824793387207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1.0555325352420659</v>
      </c>
      <c r="M124" s="91">
        <f>IF(TrRoad_act!M66=0,0,TrRoad_ene!M69/TrRoad_tech!M97)</f>
        <v>1.058493171638194</v>
      </c>
      <c r="N124" s="91">
        <f>IF(TrRoad_act!N66=0,0,TrRoad_ene!N69/TrRoad_tech!N97)</f>
        <v>1.06190339452566</v>
      </c>
      <c r="O124" s="91">
        <f>IF(TrRoad_act!O66=0,0,TrRoad_ene!O69/TrRoad_tech!O97)</f>
        <v>1.0641481005323004</v>
      </c>
      <c r="P124" s="91">
        <f>IF(TrRoad_act!P66=0,0,TrRoad_ene!P69/TrRoad_tech!P97)</f>
        <v>1.0660738829154219</v>
      </c>
      <c r="Q124" s="91">
        <f>IF(TrRoad_act!Q66=0,0,TrRoad_ene!Q69/TrRoad_tech!Q97)</f>
        <v>1.0678895414045688</v>
      </c>
      <c r="R124" s="91">
        <f>IF(TrRoad_act!R66=0,0,TrRoad_ene!R69/TrRoad_tech!R97)</f>
        <v>1.0707507457546981</v>
      </c>
      <c r="S124" s="91">
        <f>IF(TrRoad_act!S66=0,0,TrRoad_ene!S69/TrRoad_tech!S97)</f>
        <v>1.0744945107510788</v>
      </c>
      <c r="T124" s="91">
        <f>IF(TrRoad_act!T66=0,0,TrRoad_ene!T69/TrRoad_tech!T97)</f>
        <v>1.0797539755894048</v>
      </c>
      <c r="U124" s="91">
        <f>IF(TrRoad_act!U66=0,0,TrRoad_ene!U69/TrRoad_tech!U97)</f>
        <v>1.0886235546146439</v>
      </c>
      <c r="V124" s="91">
        <f>IF(TrRoad_act!V66=0,0,TrRoad_ene!V69/TrRoad_tech!V97)</f>
        <v>1.0962277901061295</v>
      </c>
      <c r="W124" s="91">
        <f>IF(TrRoad_act!W66=0,0,TrRoad_ene!W69/TrRoad_tech!W97)</f>
        <v>1.0977477542953764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1.0633830720840716</v>
      </c>
      <c r="C125" s="151">
        <f>IF(TrRoad_act!C67=0,0,TrRoad_ene!C70/TrRoad_tech!C98)</f>
        <v>1.1515468836314311</v>
      </c>
      <c r="D125" s="151">
        <f>IF(TrRoad_act!D67=0,0,TrRoad_ene!D70/TrRoad_tech!D98)</f>
        <v>1.1696601673887732</v>
      </c>
      <c r="E125" s="151">
        <f>IF(TrRoad_act!E67=0,0,TrRoad_ene!E70/TrRoad_tech!E98)</f>
        <v>1.1584830220481277</v>
      </c>
      <c r="F125" s="151">
        <f>IF(TrRoad_act!F67=0,0,TrRoad_ene!F70/TrRoad_tech!F98)</f>
        <v>1.0944089961166219</v>
      </c>
      <c r="G125" s="151">
        <f>IF(TrRoad_act!G67=0,0,TrRoad_ene!G70/TrRoad_tech!G98)</f>
        <v>1.0217517627633599</v>
      </c>
      <c r="H125" s="151">
        <f>IF(TrRoad_act!H67=0,0,TrRoad_ene!H70/TrRoad_tech!H98)</f>
        <v>1.0690192633339564</v>
      </c>
      <c r="I125" s="151">
        <f>IF(TrRoad_act!I67=0,0,TrRoad_ene!I70/TrRoad_tech!I98)</f>
        <v>1.0195059028388445</v>
      </c>
      <c r="J125" s="151">
        <f>IF(TrRoad_act!J67=0,0,TrRoad_ene!J70/TrRoad_tech!J98)</f>
        <v>1.0606324557433124</v>
      </c>
      <c r="K125" s="151">
        <f>IF(TrRoad_act!K67=0,0,TrRoad_ene!K70/TrRoad_tech!K98)</f>
        <v>1.0942864230034322</v>
      </c>
      <c r="L125" s="151">
        <f>IF(TrRoad_act!L67=0,0,TrRoad_ene!L70/TrRoad_tech!L98)</f>
        <v>1.1062995763118559</v>
      </c>
      <c r="M125" s="151">
        <f>IF(TrRoad_act!M67=0,0,TrRoad_ene!M70/TrRoad_tech!M98)</f>
        <v>1.1155856431216857</v>
      </c>
      <c r="N125" s="151">
        <f>IF(TrRoad_act!N67=0,0,TrRoad_ene!N70/TrRoad_tech!N98)</f>
        <v>1.1304782110537437</v>
      </c>
      <c r="O125" s="151">
        <f>IF(TrRoad_act!O67=0,0,TrRoad_ene!O70/TrRoad_tech!O98)</f>
        <v>1.127904200785713</v>
      </c>
      <c r="P125" s="151">
        <f>IF(TrRoad_act!P67=0,0,TrRoad_ene!P70/TrRoad_tech!P98)</f>
        <v>1.1391344028295609</v>
      </c>
      <c r="Q125" s="151">
        <f>IF(TrRoad_act!Q67=0,0,TrRoad_ene!Q70/TrRoad_tech!Q98)</f>
        <v>1.1474436316553562</v>
      </c>
      <c r="R125" s="151">
        <f>IF(TrRoad_act!R67=0,0,TrRoad_ene!R70/TrRoad_tech!R98)</f>
        <v>1.1707139266504227</v>
      </c>
      <c r="S125" s="151">
        <f>IF(TrRoad_act!S67=0,0,TrRoad_ene!S70/TrRoad_tech!S98)</f>
        <v>1.2122268609359812</v>
      </c>
      <c r="T125" s="151">
        <f>IF(TrRoad_act!T67=0,0,TrRoad_ene!T70/TrRoad_tech!T98)</f>
        <v>1.2156205990933757</v>
      </c>
      <c r="U125" s="151">
        <f>IF(TrRoad_act!U67=0,0,TrRoad_ene!U70/TrRoad_tech!U98)</f>
        <v>1.2190274577105664</v>
      </c>
      <c r="V125" s="151">
        <f>IF(TrRoad_act!V67=0,0,TrRoad_ene!V70/TrRoad_tech!V98)</f>
        <v>1.2665690400452745</v>
      </c>
      <c r="W125" s="151">
        <f>IF(TrRoad_act!W67=0,0,TrRoad_ene!W70/TrRoad_tech!W98)</f>
        <v>1.2702446016288524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1.1693333333396372</v>
      </c>
      <c r="K126" s="93">
        <f>IF(TrRoad_act!K68=0,0,TrRoad_ene!K71/TrRoad_tech!K99)</f>
        <v>1.1693333333396372</v>
      </c>
      <c r="L126" s="93">
        <f>IF(TrRoad_act!L68=0,0,TrRoad_ene!L71/TrRoad_tech!L99)</f>
        <v>1.1696891140760171</v>
      </c>
      <c r="M126" s="93">
        <f>IF(TrRoad_act!M68=0,0,TrRoad_ene!M71/TrRoad_tech!M99)</f>
        <v>1.1699679945163888</v>
      </c>
      <c r="N126" s="93">
        <f>IF(TrRoad_act!N68=0,0,TrRoad_ene!N71/TrRoad_tech!N99)</f>
        <v>1.1699795388330043</v>
      </c>
      <c r="O126" s="93">
        <f>IF(TrRoad_act!O68=0,0,TrRoad_ene!O71/TrRoad_tech!O99)</f>
        <v>1.1699956007894299</v>
      </c>
      <c r="P126" s="93">
        <f>IF(TrRoad_act!P68=0,0,TrRoad_ene!P71/TrRoad_tech!P99)</f>
        <v>1.1700168370823845</v>
      </c>
      <c r="Q126" s="93">
        <f>IF(TrRoad_act!Q68=0,0,TrRoad_ene!Q71/TrRoad_tech!Q99)</f>
        <v>1.1700489634743267</v>
      </c>
      <c r="R126" s="93">
        <f>IF(TrRoad_act!R68=0,0,TrRoad_ene!R71/TrRoad_tech!R99)</f>
        <v>1.1700842588590428</v>
      </c>
      <c r="S126" s="93">
        <f>IF(TrRoad_act!S68=0,0,TrRoad_ene!S71/TrRoad_tech!S99)</f>
        <v>1.1701232164532303</v>
      </c>
      <c r="T126" s="93">
        <f>IF(TrRoad_act!T68=0,0,TrRoad_ene!T71/TrRoad_tech!T99)</f>
        <v>1.1701796688379065</v>
      </c>
      <c r="U126" s="93">
        <f>IF(TrRoad_act!U68=0,0,TrRoad_ene!U71/TrRoad_tech!U99)</f>
        <v>1.1702146621395026</v>
      </c>
      <c r="V126" s="93">
        <f>IF(TrRoad_act!V68=0,0,TrRoad_ene!V71/TrRoad_tech!V99)</f>
        <v>1.1702220109422967</v>
      </c>
      <c r="W126" s="93">
        <f>IF(TrRoad_act!W68=0,0,TrRoad_ene!W71/TrRoad_tech!W99)</f>
        <v>1.1702448115367732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1.0633830720840716</v>
      </c>
      <c r="C127" s="93">
        <f>IF(TrRoad_act!C69=0,0,TrRoad_ene!C72/TrRoad_tech!C100)</f>
        <v>1.1617481683512267</v>
      </c>
      <c r="D127" s="93">
        <f>IF(TrRoad_act!D69=0,0,TrRoad_ene!D72/TrRoad_tech!D100)</f>
        <v>1.1815289894579113</v>
      </c>
      <c r="E127" s="93">
        <f>IF(TrRoad_act!E69=0,0,TrRoad_ene!E72/TrRoad_tech!E100)</f>
        <v>1.1769761969679151</v>
      </c>
      <c r="F127" s="93">
        <f>IF(TrRoad_act!F69=0,0,TrRoad_ene!F72/TrRoad_tech!F100)</f>
        <v>1.1218088526730874</v>
      </c>
      <c r="G127" s="93">
        <f>IF(TrRoad_act!G69=0,0,TrRoad_ene!G72/TrRoad_tech!G100)</f>
        <v>1.0487425928243275</v>
      </c>
      <c r="H127" s="93">
        <f>IF(TrRoad_act!H69=0,0,TrRoad_ene!H72/TrRoad_tech!H100)</f>
        <v>1.1009176770671811</v>
      </c>
      <c r="I127" s="93">
        <f>IF(TrRoad_act!I69=0,0,TrRoad_ene!I72/TrRoad_tech!I100)</f>
        <v>1.0507902295348734</v>
      </c>
      <c r="J127" s="93">
        <f>IF(TrRoad_act!J69=0,0,TrRoad_ene!J72/TrRoad_tech!J100)</f>
        <v>1.0929995836075075</v>
      </c>
      <c r="K127" s="93">
        <f>IF(TrRoad_act!K69=0,0,TrRoad_ene!K72/TrRoad_tech!K100)</f>
        <v>1.1243252248554849</v>
      </c>
      <c r="L127" s="93">
        <f>IF(TrRoad_act!L69=0,0,TrRoad_ene!L72/TrRoad_tech!L100)</f>
        <v>1.1317299943836685</v>
      </c>
      <c r="M127" s="93">
        <f>IF(TrRoad_act!M69=0,0,TrRoad_ene!M72/TrRoad_tech!M100)</f>
        <v>1.1352715115859309</v>
      </c>
      <c r="N127" s="93">
        <f>IF(TrRoad_act!N69=0,0,TrRoad_ene!N72/TrRoad_tech!N100)</f>
        <v>1.1434458838379029</v>
      </c>
      <c r="O127" s="93">
        <f>IF(TrRoad_act!O69=0,0,TrRoad_ene!O72/TrRoad_tech!O100)</f>
        <v>1.1334740401395504</v>
      </c>
      <c r="P127" s="93">
        <f>IF(TrRoad_act!P69=0,0,TrRoad_ene!P72/TrRoad_tech!P100)</f>
        <v>1.1456258194414877</v>
      </c>
      <c r="Q127" s="93">
        <f>IF(TrRoad_act!Q69=0,0,TrRoad_ene!Q72/TrRoad_tech!Q100)</f>
        <v>1.151805661795948</v>
      </c>
      <c r="R127" s="93">
        <f>IF(TrRoad_act!R69=0,0,TrRoad_ene!R72/TrRoad_tech!R100)</f>
        <v>1.1757896560243637</v>
      </c>
      <c r="S127" s="93">
        <f>IF(TrRoad_act!S69=0,0,TrRoad_ene!S72/TrRoad_tech!S100)</f>
        <v>1.21789647614716</v>
      </c>
      <c r="T127" s="93">
        <f>IF(TrRoad_act!T69=0,0,TrRoad_ene!T72/TrRoad_tech!T100)</f>
        <v>1.2216009098407279</v>
      </c>
      <c r="U127" s="93">
        <f>IF(TrRoad_act!U69=0,0,TrRoad_ene!U72/TrRoad_tech!U100)</f>
        <v>1.2252009654759071</v>
      </c>
      <c r="V127" s="93">
        <f>IF(TrRoad_act!V69=0,0,TrRoad_ene!V72/TrRoad_tech!V100)</f>
        <v>1.2728931199088438</v>
      </c>
      <c r="W127" s="93">
        <f>IF(TrRoad_act!W69=0,0,TrRoad_ene!W72/TrRoad_tech!W100)</f>
        <v>1.2762861151893445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1.1693333333396367</v>
      </c>
      <c r="K128" s="93">
        <f>IF(TrRoad_act!K70=0,0,TrRoad_ene!K73/TrRoad_tech!K101)</f>
        <v>1.1709967597949631</v>
      </c>
      <c r="L128" s="93">
        <f>IF(TrRoad_act!L70=0,0,TrRoad_ene!L73/TrRoad_tech!L101)</f>
        <v>1.1866075942532421</v>
      </c>
      <c r="M128" s="93">
        <f>IF(TrRoad_act!M70=0,0,TrRoad_ene!M73/TrRoad_tech!M101)</f>
        <v>1.1918727721390658</v>
      </c>
      <c r="N128" s="93">
        <f>IF(TrRoad_act!N70=0,0,TrRoad_ene!N73/TrRoad_tech!N101)</f>
        <v>1.1918727721390661</v>
      </c>
      <c r="O128" s="93">
        <f>IF(TrRoad_act!O70=0,0,TrRoad_ene!O73/TrRoad_tech!O101)</f>
        <v>1.1933865097334897</v>
      </c>
      <c r="P128" s="93">
        <f>IF(TrRoad_act!P70=0,0,TrRoad_ene!P73/TrRoad_tech!P101)</f>
        <v>1.1946616346327477</v>
      </c>
      <c r="Q128" s="93">
        <f>IF(TrRoad_act!Q70=0,0,TrRoad_ene!Q73/TrRoad_tech!Q101)</f>
        <v>1.1951421150465273</v>
      </c>
      <c r="R128" s="93">
        <f>IF(TrRoad_act!R70=0,0,TrRoad_ene!R73/TrRoad_tech!R101)</f>
        <v>1.1968309831144017</v>
      </c>
      <c r="S128" s="93">
        <f>IF(TrRoad_act!S70=0,0,TrRoad_ene!S73/TrRoad_tech!S101)</f>
        <v>1.1971558633659021</v>
      </c>
      <c r="T128" s="93">
        <f>IF(TrRoad_act!T70=0,0,TrRoad_ene!T73/TrRoad_tech!T101)</f>
        <v>1.204812965454426</v>
      </c>
      <c r="U128" s="93">
        <f>IF(TrRoad_act!U70=0,0,TrRoad_ene!U73/TrRoad_tech!U101)</f>
        <v>1.2055942597107361</v>
      </c>
      <c r="V128" s="93">
        <f>IF(TrRoad_act!V70=0,0,TrRoad_ene!V73/TrRoad_tech!V101)</f>
        <v>1.2053452998021776</v>
      </c>
      <c r="W128" s="93">
        <f>IF(TrRoad_act!W70=0,0,TrRoad_ene!W73/TrRoad_tech!W101)</f>
        <v>1.2060682410248107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1.2560000000062246</v>
      </c>
      <c r="P130" s="93">
        <f>IF(TrRoad_act!P72=0,0,TrRoad_ene!P75/TrRoad_tech!P103)</f>
        <v>1.2668092249753948</v>
      </c>
      <c r="Q130" s="93">
        <f>IF(TrRoad_act!Q72=0,0,TrRoad_ene!Q75/TrRoad_tech!Q103)</f>
        <v>1.283736538969686</v>
      </c>
      <c r="R130" s="93">
        <f>IF(TrRoad_act!R72=0,0,TrRoad_ene!R75/TrRoad_tech!R103)</f>
        <v>1.3172635731932034</v>
      </c>
      <c r="S130" s="93">
        <f>IF(TrRoad_act!S72=0,0,TrRoad_ene!S75/TrRoad_tech!S103)</f>
        <v>1.3225930433539896</v>
      </c>
      <c r="T130" s="93">
        <f>IF(TrRoad_act!T72=0,0,TrRoad_ene!T75/TrRoad_tech!T103)</f>
        <v>1.3402704049142138</v>
      </c>
      <c r="U130" s="93">
        <f>IF(TrRoad_act!U72=0,0,TrRoad_ene!U75/TrRoad_tech!U103)</f>
        <v>1.3462689603937981</v>
      </c>
      <c r="V130" s="93">
        <f>IF(TrRoad_act!V72=0,0,TrRoad_ene!V75/TrRoad_tech!V103)</f>
        <v>1.3533878856593007</v>
      </c>
      <c r="W130" s="93">
        <f>IF(TrRoad_act!W72=0,0,TrRoad_ene!W75/TrRoad_tech!W103)</f>
        <v>1.3550232281276038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1.0287030819152247</v>
      </c>
      <c r="C132" s="150">
        <f>IF(TrRoad_act!C74=0,0,TrRoad_ene!C77/TrRoad_tech!C105)</f>
        <v>1.0536608417185185</v>
      </c>
      <c r="D132" s="150">
        <f>IF(TrRoad_act!D74=0,0,TrRoad_ene!D77/TrRoad_tech!D105)</f>
        <v>1.0581848656094703</v>
      </c>
      <c r="E132" s="150">
        <f>IF(TrRoad_act!E74=0,0,TrRoad_ene!E77/TrRoad_tech!E105)</f>
        <v>1.0622631371575089</v>
      </c>
      <c r="F132" s="150">
        <f>IF(TrRoad_act!F74=0,0,TrRoad_ene!F77/TrRoad_tech!F105)</f>
        <v>1.0355785769468058</v>
      </c>
      <c r="G132" s="150">
        <f>IF(TrRoad_act!G74=0,0,TrRoad_ene!G77/TrRoad_tech!G105)</f>
        <v>1.0639331000052648</v>
      </c>
      <c r="H132" s="150">
        <f>IF(TrRoad_act!H74=0,0,TrRoad_ene!H77/TrRoad_tech!H105)</f>
        <v>1.0801595738690466</v>
      </c>
      <c r="I132" s="150">
        <f>IF(TrRoad_act!I74=0,0,TrRoad_ene!I77/TrRoad_tech!I105)</f>
        <v>1.0658553038130292</v>
      </c>
      <c r="J132" s="150">
        <f>IF(TrRoad_act!J74=0,0,TrRoad_ene!J77/TrRoad_tech!J105)</f>
        <v>1.0820377447910652</v>
      </c>
      <c r="K132" s="150">
        <f>IF(TrRoad_act!K74=0,0,TrRoad_ene!K77/TrRoad_tech!K105)</f>
        <v>1.0950106460854934</v>
      </c>
      <c r="L132" s="150">
        <f>IF(TrRoad_act!L74=0,0,TrRoad_ene!L77/TrRoad_tech!L105)</f>
        <v>1.0879493724679026</v>
      </c>
      <c r="M132" s="150">
        <f>IF(TrRoad_act!M74=0,0,TrRoad_ene!M77/TrRoad_tech!M105)</f>
        <v>1.0986878244047982</v>
      </c>
      <c r="N132" s="150">
        <f>IF(TrRoad_act!N74=0,0,TrRoad_ene!N77/TrRoad_tech!N105)</f>
        <v>1.1304412398375767</v>
      </c>
      <c r="O132" s="150">
        <f>IF(TrRoad_act!O74=0,0,TrRoad_ene!O77/TrRoad_tech!O105)</f>
        <v>1.1069385296591008</v>
      </c>
      <c r="P132" s="150">
        <f>IF(TrRoad_act!P74=0,0,TrRoad_ene!P77/TrRoad_tech!P105)</f>
        <v>1.1102697026593433</v>
      </c>
      <c r="Q132" s="150">
        <f>IF(TrRoad_act!Q74=0,0,TrRoad_ene!Q77/TrRoad_tech!Q105)</f>
        <v>1.1119493528815352</v>
      </c>
      <c r="R132" s="150">
        <f>IF(TrRoad_act!R74=0,0,TrRoad_ene!R77/TrRoad_tech!R105)</f>
        <v>1.1321074121959107</v>
      </c>
      <c r="S132" s="150">
        <f>IF(TrRoad_act!S74=0,0,TrRoad_ene!S77/TrRoad_tech!S105)</f>
        <v>1.150814860110777</v>
      </c>
      <c r="T132" s="150">
        <f>IF(TrRoad_act!T74=0,0,TrRoad_ene!T77/TrRoad_tech!T105)</f>
        <v>1.1532995012928984</v>
      </c>
      <c r="U132" s="150">
        <f>IF(TrRoad_act!U74=0,0,TrRoad_ene!U77/TrRoad_tech!U105)</f>
        <v>1.1578112867749424</v>
      </c>
      <c r="V132" s="150">
        <f>IF(TrRoad_act!V74=0,0,TrRoad_ene!V77/TrRoad_tech!V105)</f>
        <v>1.154064123672303</v>
      </c>
      <c r="W132" s="150">
        <f>IF(TrRoad_act!W74=0,0,TrRoad_ene!W77/TrRoad_tech!W105)</f>
        <v>1.1704225463245446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1.1000140392028224</v>
      </c>
      <c r="D133" s="91">
        <f>IF(TrRoad_act!D75=0,0,TrRoad_ene!D78/TrRoad_tech!D106)</f>
        <v>1.1000492292803989</v>
      </c>
      <c r="E133" s="91">
        <f>IF(TrRoad_act!E75=0,0,TrRoad_ene!E78/TrRoad_tech!E106)</f>
        <v>1.1001293678696997</v>
      </c>
      <c r="F133" s="91">
        <f>IF(TrRoad_act!F75=0,0,TrRoad_ene!F78/TrRoad_tech!F106)</f>
        <v>1.1002665620815293</v>
      </c>
      <c r="G133" s="91">
        <f>IF(TrRoad_act!G75=0,0,TrRoad_ene!G78/TrRoad_tech!G106)</f>
        <v>1.1004309915600916</v>
      </c>
      <c r="H133" s="91">
        <f>IF(TrRoad_act!H75=0,0,TrRoad_ene!H78/TrRoad_tech!H106)</f>
        <v>1.1014049464585072</v>
      </c>
      <c r="I133" s="91">
        <f>IF(TrRoad_act!I75=0,0,TrRoad_ene!I78/TrRoad_tech!I106)</f>
        <v>1.1026784892774832</v>
      </c>
      <c r="J133" s="91">
        <f>IF(TrRoad_act!J75=0,0,TrRoad_ene!J78/TrRoad_tech!J106)</f>
        <v>1.1040900461621401</v>
      </c>
      <c r="K133" s="91">
        <f>IF(TrRoad_act!K75=0,0,TrRoad_ene!K78/TrRoad_tech!K106)</f>
        <v>1.105973738544864</v>
      </c>
      <c r="L133" s="91">
        <f>IF(TrRoad_act!L75=0,0,TrRoad_ene!L78/TrRoad_tech!L106)</f>
        <v>1.1075403725554227</v>
      </c>
      <c r="M133" s="91">
        <f>IF(TrRoad_act!M75=0,0,TrRoad_ene!M78/TrRoad_tech!M106)</f>
        <v>1.1099559247183002</v>
      </c>
      <c r="N133" s="91">
        <f>IF(TrRoad_act!N75=0,0,TrRoad_ene!N78/TrRoad_tech!N106)</f>
        <v>1.1136695149671216</v>
      </c>
      <c r="O133" s="91">
        <f>IF(TrRoad_act!O75=0,0,TrRoad_ene!O78/TrRoad_tech!O106)</f>
        <v>1.1152817887108923</v>
      </c>
      <c r="P133" s="91">
        <f>IF(TrRoad_act!P75=0,0,TrRoad_ene!P78/TrRoad_tech!P106)</f>
        <v>1.1183844948961743</v>
      </c>
      <c r="Q133" s="91">
        <f>IF(TrRoad_act!Q75=0,0,TrRoad_ene!Q78/TrRoad_tech!Q106)</f>
        <v>1.1210699107291562</v>
      </c>
      <c r="R133" s="91">
        <f>IF(TrRoad_act!R75=0,0,TrRoad_ene!R78/TrRoad_tech!R106)</f>
        <v>1.1331985054479008</v>
      </c>
      <c r="S133" s="91">
        <f>IF(TrRoad_act!S75=0,0,TrRoad_ene!S78/TrRoad_tech!S106)</f>
        <v>1.1479108305581875</v>
      </c>
      <c r="T133" s="91">
        <f>IF(TrRoad_act!T75=0,0,TrRoad_ene!T78/TrRoad_tech!T106)</f>
        <v>1.1617687983890284</v>
      </c>
      <c r="U133" s="91">
        <f>IF(TrRoad_act!U75=0,0,TrRoad_ene!U78/TrRoad_tech!U106)</f>
        <v>1.1727374428857864</v>
      </c>
      <c r="V133" s="91">
        <f>IF(TrRoad_act!V75=0,0,TrRoad_ene!V78/TrRoad_tech!V106)</f>
        <v>1.182477918376218</v>
      </c>
      <c r="W133" s="91">
        <f>IF(TrRoad_act!W75=0,0,TrRoad_ene!W78/TrRoad_tech!W106)</f>
        <v>1.1934815776759433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1.0003705027465393</v>
      </c>
      <c r="C134" s="91">
        <f>IF(TrRoad_act!C76=0,0,TrRoad_ene!C79/TrRoad_tech!C107)</f>
        <v>1.0466101176913583</v>
      </c>
      <c r="D134" s="91">
        <f>IF(TrRoad_act!D76=0,0,TrRoad_ene!D79/TrRoad_tech!D107)</f>
        <v>1.0587551075302131</v>
      </c>
      <c r="E134" s="91">
        <f>IF(TrRoad_act!E76=0,0,TrRoad_ene!E79/TrRoad_tech!E107)</f>
        <v>1.0694758040373846</v>
      </c>
      <c r="F134" s="91">
        <f>IF(TrRoad_act!F76=0,0,TrRoad_ene!F79/TrRoad_tech!F107)</f>
        <v>1.0312564431418483</v>
      </c>
      <c r="G134" s="91">
        <f>IF(TrRoad_act!G76=0,0,TrRoad_ene!G79/TrRoad_tech!G107)</f>
        <v>1.0757602738903524</v>
      </c>
      <c r="H134" s="91">
        <f>IF(TrRoad_act!H76=0,0,TrRoad_ene!H79/TrRoad_tech!H107)</f>
        <v>1.0985463501608093</v>
      </c>
      <c r="I134" s="91">
        <f>IF(TrRoad_act!I76=0,0,TrRoad_ene!I79/TrRoad_tech!I107)</f>
        <v>1.0752967713762935</v>
      </c>
      <c r="J134" s="91">
        <f>IF(TrRoad_act!J76=0,0,TrRoad_ene!J79/TrRoad_tech!J107)</f>
        <v>1.0947420491598083</v>
      </c>
      <c r="K134" s="91">
        <f>IF(TrRoad_act!K76=0,0,TrRoad_ene!K79/TrRoad_tech!K107)</f>
        <v>1.1083382908160366</v>
      </c>
      <c r="L134" s="91">
        <f>IF(TrRoad_act!L76=0,0,TrRoad_ene!L79/TrRoad_tech!L107)</f>
        <v>1.094734192353882</v>
      </c>
      <c r="M134" s="91">
        <f>IF(TrRoad_act!M76=0,0,TrRoad_ene!M79/TrRoad_tech!M107)</f>
        <v>1.1037572305834569</v>
      </c>
      <c r="N134" s="91">
        <f>IF(TrRoad_act!N76=0,0,TrRoad_ene!N79/TrRoad_tech!N107)</f>
        <v>1.1401977229204907</v>
      </c>
      <c r="O134" s="91">
        <f>IF(TrRoad_act!O76=0,0,TrRoad_ene!O79/TrRoad_tech!O107)</f>
        <v>1.1128134763747228</v>
      </c>
      <c r="P134" s="91">
        <f>IF(TrRoad_act!P76=0,0,TrRoad_ene!P79/TrRoad_tech!P107)</f>
        <v>1.1160654944528929</v>
      </c>
      <c r="Q134" s="91">
        <f>IF(TrRoad_act!Q76=0,0,TrRoad_ene!Q79/TrRoad_tech!Q107)</f>
        <v>1.1179619200604261</v>
      </c>
      <c r="R134" s="91">
        <f>IF(TrRoad_act!R76=0,0,TrRoad_ene!R79/TrRoad_tech!R107)</f>
        <v>1.1409924264237863</v>
      </c>
      <c r="S134" s="91">
        <f>IF(TrRoad_act!S76=0,0,TrRoad_ene!S79/TrRoad_tech!S107)</f>
        <v>1.1612901262666275</v>
      </c>
      <c r="T134" s="91">
        <f>IF(TrRoad_act!T76=0,0,TrRoad_ene!T79/TrRoad_tech!T107)</f>
        <v>1.1657547821320402</v>
      </c>
      <c r="U134" s="91">
        <f>IF(TrRoad_act!U76=0,0,TrRoad_ene!U79/TrRoad_tech!U107)</f>
        <v>1.1719794481850361</v>
      </c>
      <c r="V134" s="91">
        <f>IF(TrRoad_act!V76=0,0,TrRoad_ene!V79/TrRoad_tech!V107)</f>
        <v>1.1691958842746841</v>
      </c>
      <c r="W134" s="91">
        <f>IF(TrRoad_act!W76=0,0,TrRoad_ene!W79/TrRoad_tech!W107)</f>
        <v>1.1867201065662696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1.1371531168323872</v>
      </c>
      <c r="K135" s="91">
        <f>IF(TrRoad_act!K77=0,0,TrRoad_ene!K80/TrRoad_tech!K108)</f>
        <v>1.137153116832387</v>
      </c>
      <c r="L135" s="91">
        <f>IF(TrRoad_act!L77=0,0,TrRoad_ene!L80/TrRoad_tech!L108)</f>
        <v>1.1371531168323872</v>
      </c>
      <c r="M135" s="91">
        <f>IF(TrRoad_act!M77=0,0,TrRoad_ene!M80/TrRoad_tech!M108)</f>
        <v>1.140610310286003</v>
      </c>
      <c r="N135" s="91">
        <f>IF(TrRoad_act!N77=0,0,TrRoad_ene!N80/TrRoad_tech!N108)</f>
        <v>1.1629168154030056</v>
      </c>
      <c r="O135" s="91">
        <f>IF(TrRoad_act!O77=0,0,TrRoad_ene!O80/TrRoad_tech!O108)</f>
        <v>1.1629168154030054</v>
      </c>
      <c r="P135" s="91">
        <f>IF(TrRoad_act!P77=0,0,TrRoad_ene!P80/TrRoad_tech!P108)</f>
        <v>1.1749910595951929</v>
      </c>
      <c r="Q135" s="91">
        <f>IF(TrRoad_act!Q77=0,0,TrRoad_ene!Q80/TrRoad_tech!Q108)</f>
        <v>1.1833282742401336</v>
      </c>
      <c r="R135" s="91">
        <f>IF(TrRoad_act!R77=0,0,TrRoad_ene!R80/TrRoad_tech!R108)</f>
        <v>1.2007087859559955</v>
      </c>
      <c r="S135" s="91">
        <f>IF(TrRoad_act!S77=0,0,TrRoad_ene!S80/TrRoad_tech!S108)</f>
        <v>1.2007087859559948</v>
      </c>
      <c r="T135" s="91">
        <f>IF(TrRoad_act!T77=0,0,TrRoad_ene!T80/TrRoad_tech!T108)</f>
        <v>1.2030301266471064</v>
      </c>
      <c r="U135" s="91">
        <f>IF(TrRoad_act!U77=0,0,TrRoad_ene!U80/TrRoad_tech!U108)</f>
        <v>1.2030301266471062</v>
      </c>
      <c r="V135" s="91">
        <f>IF(TrRoad_act!V77=0,0,TrRoad_ene!V80/TrRoad_tech!V108)</f>
        <v>1.2058872751497989</v>
      </c>
      <c r="W135" s="91">
        <f>IF(TrRoad_act!W77=0,0,TrRoad_ene!W80/TrRoad_tech!W108)</f>
        <v>1.2535039622336754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1.2000000000070943</v>
      </c>
      <c r="M137" s="91">
        <f>IF(TrRoad_act!M79=0,0,TrRoad_ene!M82/TrRoad_tech!M110)</f>
        <v>1.2058811972870149</v>
      </c>
      <c r="N137" s="91">
        <f>IF(TrRoad_act!N79=0,0,TrRoad_ene!N82/TrRoad_tech!N110)</f>
        <v>1.2212754080222952</v>
      </c>
      <c r="O137" s="91">
        <f>IF(TrRoad_act!O79=0,0,TrRoad_ene!O82/TrRoad_tech!O110)</f>
        <v>1.2356546603832161</v>
      </c>
      <c r="P137" s="91">
        <f>IF(TrRoad_act!P79=0,0,TrRoad_ene!P82/TrRoad_tech!P110)</f>
        <v>1.2458112761011284</v>
      </c>
      <c r="Q137" s="91">
        <f>IF(TrRoad_act!Q79=0,0,TrRoad_ene!Q82/TrRoad_tech!Q110)</f>
        <v>1.2493425379878236</v>
      </c>
      <c r="R137" s="91">
        <f>IF(TrRoad_act!R79=0,0,TrRoad_ene!R82/TrRoad_tech!R110)</f>
        <v>1.2534636677232511</v>
      </c>
      <c r="S137" s="91">
        <f>IF(TrRoad_act!S79=0,0,TrRoad_ene!S82/TrRoad_tech!S110)</f>
        <v>1.3006467476815913</v>
      </c>
      <c r="T137" s="91">
        <f>IF(TrRoad_act!T79=0,0,TrRoad_ene!T82/TrRoad_tech!T110)</f>
        <v>1.3260540429374637</v>
      </c>
      <c r="U137" s="91">
        <f>IF(TrRoad_act!U79=0,0,TrRoad_ene!U82/TrRoad_tech!U110)</f>
        <v>1.3367622871752649</v>
      </c>
      <c r="V137" s="91">
        <f>IF(TrRoad_act!V79=0,0,TrRoad_ene!V82/TrRoad_tech!V110)</f>
        <v>1.3450267490102734</v>
      </c>
      <c r="W137" s="91">
        <f>IF(TrRoad_act!W79=0,0,TrRoad_ene!W82/TrRoad_tech!W110)</f>
        <v>1.3506959884140057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1.0729633980669229</v>
      </c>
      <c r="C138" s="151">
        <f>IF(TrRoad_act!C80=0,0,TrRoad_ene!C83/TrRoad_tech!C111)</f>
        <v>1.4819337292911898</v>
      </c>
      <c r="D138" s="151">
        <f>IF(TrRoad_act!D80=0,0,TrRoad_ene!D83/TrRoad_tech!D111)</f>
        <v>1.5858358513765702</v>
      </c>
      <c r="E138" s="151">
        <f>IF(TrRoad_act!E80=0,0,TrRoad_ene!E83/TrRoad_tech!E111)</f>
        <v>1.6200703794235289</v>
      </c>
      <c r="F138" s="151">
        <f>IF(TrRoad_act!F80=0,0,TrRoad_ene!F83/TrRoad_tech!F111)</f>
        <v>1.3389133817683647</v>
      </c>
      <c r="G138" s="151">
        <f>IF(TrRoad_act!G80=0,0,TrRoad_ene!G83/TrRoad_tech!G111)</f>
        <v>0.96174055220465249</v>
      </c>
      <c r="H138" s="151">
        <f>IF(TrRoad_act!H80=0,0,TrRoad_ene!H83/TrRoad_tech!H111)</f>
        <v>1.1586367287061008</v>
      </c>
      <c r="I138" s="151">
        <f>IF(TrRoad_act!I80=0,0,TrRoad_ene!I83/TrRoad_tech!I111)</f>
        <v>0.97214406473891402</v>
      </c>
      <c r="J138" s="151">
        <f>IF(TrRoad_act!J80=0,0,TrRoad_ene!J83/TrRoad_tech!J111)</f>
        <v>1.0892772239552921</v>
      </c>
      <c r="K138" s="151">
        <f>IF(TrRoad_act!K80=0,0,TrRoad_ene!K83/TrRoad_tech!K111)</f>
        <v>1.3016665084191461</v>
      </c>
      <c r="L138" s="151">
        <f>IF(TrRoad_act!L80=0,0,TrRoad_ene!L83/TrRoad_tech!L111)</f>
        <v>1.5250128693310936</v>
      </c>
      <c r="M138" s="151">
        <f>IF(TrRoad_act!M80=0,0,TrRoad_ene!M83/TrRoad_tech!M111)</f>
        <v>1.6165582969646053</v>
      </c>
      <c r="N138" s="151">
        <f>IF(TrRoad_act!N80=0,0,TrRoad_ene!N83/TrRoad_tech!N111)</f>
        <v>1.3696942076717384</v>
      </c>
      <c r="O138" s="151">
        <f>IF(TrRoad_act!O80=0,0,TrRoad_ene!O83/TrRoad_tech!O111)</f>
        <v>1.3563115708895195</v>
      </c>
      <c r="P138" s="151">
        <f>IF(TrRoad_act!P80=0,0,TrRoad_ene!P83/TrRoad_tech!P111)</f>
        <v>1.2977324064192166</v>
      </c>
      <c r="Q138" s="151">
        <f>IF(TrRoad_act!Q80=0,0,TrRoad_ene!Q83/TrRoad_tech!Q111)</f>
        <v>1.2181275405648979</v>
      </c>
      <c r="R138" s="151">
        <f>IF(TrRoad_act!R80=0,0,TrRoad_ene!R83/TrRoad_tech!R111)</f>
        <v>1.3693948543990875</v>
      </c>
      <c r="S138" s="151">
        <f>IF(TrRoad_act!S80=0,0,TrRoad_ene!S83/TrRoad_tech!S111)</f>
        <v>1.4928652076381181</v>
      </c>
      <c r="T138" s="151">
        <f>IF(TrRoad_act!T80=0,0,TrRoad_ene!T83/TrRoad_tech!T111)</f>
        <v>1.3866632134287682</v>
      </c>
      <c r="U138" s="151">
        <f>IF(TrRoad_act!U80=0,0,TrRoad_ene!U83/TrRoad_tech!U111)</f>
        <v>1.3996697005254348</v>
      </c>
      <c r="V138" s="151">
        <f>IF(TrRoad_act!V80=0,0,TrRoad_ene!V83/TrRoad_tech!V111)</f>
        <v>1.4372652415469642</v>
      </c>
      <c r="W138" s="151">
        <f>IF(TrRoad_act!W80=0,0,TrRoad_ene!W83/TrRoad_tech!W111)</f>
        <v>1.3675396139129139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1.082230263350453</v>
      </c>
      <c r="C139" s="93">
        <f>IF(TrRoad_act!C81=0,0,TrRoad_ene!C84/TrRoad_tech!C112)</f>
        <v>1.2453919481243618</v>
      </c>
      <c r="D139" s="93">
        <f>IF(TrRoad_act!D81=0,0,TrRoad_ene!D84/TrRoad_tech!D112)</f>
        <v>1.2887659002626082</v>
      </c>
      <c r="E139" s="93">
        <f>IF(TrRoad_act!E81=0,0,TrRoad_ene!E84/TrRoad_tech!E112)</f>
        <v>1.3052070612592566</v>
      </c>
      <c r="F139" s="93">
        <f>IF(TrRoad_act!F81=0,0,TrRoad_ene!F84/TrRoad_tech!F112)</f>
        <v>1.1968277115128534</v>
      </c>
      <c r="G139" s="93">
        <f>IF(TrRoad_act!G81=0,0,TrRoad_ene!G84/TrRoad_tech!G112)</f>
        <v>1.0512444704544173</v>
      </c>
      <c r="H139" s="93">
        <f>IF(TrRoad_act!H81=0,0,TrRoad_ene!H84/TrRoad_tech!H112)</f>
        <v>1.1336946860100829</v>
      </c>
      <c r="I139" s="93">
        <f>IF(TrRoad_act!I81=0,0,TrRoad_ene!I84/TrRoad_tech!I112)</f>
        <v>1.0609513205800665</v>
      </c>
      <c r="J139" s="93">
        <f>IF(TrRoad_act!J81=0,0,TrRoad_ene!J84/TrRoad_tech!J112)</f>
        <v>1.110301627646934</v>
      </c>
      <c r="K139" s="93">
        <f>IF(TrRoad_act!K81=0,0,TrRoad_ene!K84/TrRoad_tech!K112)</f>
        <v>1.1969335998072776</v>
      </c>
      <c r="L139" s="93">
        <f>IF(TrRoad_act!L81=0,0,TrRoad_ene!L84/TrRoad_tech!L112)</f>
        <v>1.2871812461857237</v>
      </c>
      <c r="M139" s="93">
        <f>IF(TrRoad_act!M81=0,0,TrRoad_ene!M84/TrRoad_tech!M112)</f>
        <v>1.3250750773540574</v>
      </c>
      <c r="N139" s="93">
        <f>IF(TrRoad_act!N81=0,0,TrRoad_ene!N84/TrRoad_tech!N112)</f>
        <v>1.2292832215597913</v>
      </c>
      <c r="O139" s="93">
        <f>IF(TrRoad_act!O81=0,0,TrRoad_ene!O84/TrRoad_tech!O112)</f>
        <v>1.23051547978301</v>
      </c>
      <c r="P139" s="93">
        <f>IF(TrRoad_act!P81=0,0,TrRoad_ene!P84/TrRoad_tech!P112)</f>
        <v>1.2117015984246295</v>
      </c>
      <c r="Q139" s="93">
        <f>IF(TrRoad_act!Q81=0,0,TrRoad_ene!Q84/TrRoad_tech!Q112)</f>
        <v>1.1852513409466183</v>
      </c>
      <c r="R139" s="93">
        <f>IF(TrRoad_act!R81=0,0,TrRoad_ene!R84/TrRoad_tech!R112)</f>
        <v>1.2545121815721754</v>
      </c>
      <c r="S139" s="93">
        <f>IF(TrRoad_act!S81=0,0,TrRoad_ene!S84/TrRoad_tech!S112)</f>
        <v>1.3129473498646922</v>
      </c>
      <c r="T139" s="93">
        <f>IF(TrRoad_act!T81=0,0,TrRoad_ene!T84/TrRoad_tech!T112)</f>
        <v>1.2829867609311059</v>
      </c>
      <c r="U139" s="93">
        <f>IF(TrRoad_act!U81=0,0,TrRoad_ene!U84/TrRoad_tech!U112)</f>
        <v>1.2992301607415899</v>
      </c>
      <c r="V139" s="93">
        <f>IF(TrRoad_act!V81=0,0,TrRoad_ene!V84/TrRoad_tech!V112)</f>
        <v>1.3201908270207696</v>
      </c>
      <c r="W139" s="93">
        <f>IF(TrRoad_act!W81=0,0,TrRoad_ene!W84/TrRoad_tech!W112)</f>
        <v>1.3056261744248501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1.028950534728782</v>
      </c>
      <c r="C140" s="94">
        <f>IF(TrRoad_act!C82=0,0,TrRoad_ene!C85/TrRoad_tech!C113)</f>
        <v>1.6829947942573444</v>
      </c>
      <c r="D140" s="94">
        <f>IF(TrRoad_act!D82=0,0,TrRoad_ene!D85/TrRoad_tech!D113)</f>
        <v>1.8516451317803744</v>
      </c>
      <c r="E140" s="94">
        <f>IF(TrRoad_act!E82=0,0,TrRoad_ene!E85/TrRoad_tech!E113)</f>
        <v>1.9716279856257015</v>
      </c>
      <c r="F140" s="94">
        <f>IF(TrRoad_act!F82=0,0,TrRoad_ene!F85/TrRoad_tech!F113)</f>
        <v>1.4863389322856251</v>
      </c>
      <c r="G140" s="94">
        <f>IF(TrRoad_act!G82=0,0,TrRoad_ene!G85/TrRoad_tech!G113)</f>
        <v>0.82268692505899466</v>
      </c>
      <c r="H140" s="94">
        <f>IF(TrRoad_act!H82=0,0,TrRoad_ene!H85/TrRoad_tech!H113)</f>
        <v>1.2061224994033533</v>
      </c>
      <c r="I140" s="94">
        <f>IF(TrRoad_act!I82=0,0,TrRoad_ene!I85/TrRoad_tech!I113)</f>
        <v>0.77109344534582147</v>
      </c>
      <c r="J140" s="94">
        <f>IF(TrRoad_act!J82=0,0,TrRoad_ene!J85/TrRoad_tech!J113)</f>
        <v>1.0302513255912291</v>
      </c>
      <c r="K140" s="94">
        <f>IF(TrRoad_act!K82=0,0,TrRoad_ene!K85/TrRoad_tech!K113)</f>
        <v>1.7918158264254449</v>
      </c>
      <c r="L140" s="94">
        <f>IF(TrRoad_act!L82=0,0,TrRoad_ene!L85/TrRoad_tech!L113)</f>
        <v>2.3054876146086003</v>
      </c>
      <c r="M140" s="94">
        <f>IF(TrRoad_act!M82=0,0,TrRoad_ene!M85/TrRoad_tech!M113)</f>
        <v>2.5706360590689994</v>
      </c>
      <c r="N140" s="94">
        <f>IF(TrRoad_act!N82=0,0,TrRoad_ene!N85/TrRoad_tech!N113)</f>
        <v>1.8085774432651762</v>
      </c>
      <c r="O140" s="94">
        <f>IF(TrRoad_act!O82=0,0,TrRoad_ene!O85/TrRoad_tech!O113)</f>
        <v>1.7258893207480526</v>
      </c>
      <c r="P140" s="94">
        <f>IF(TrRoad_act!P82=0,0,TrRoad_ene!P85/TrRoad_tech!P113)</f>
        <v>1.5548542591620935</v>
      </c>
      <c r="Q140" s="94">
        <f>IF(TrRoad_act!Q82=0,0,TrRoad_ene!Q85/TrRoad_tech!Q113)</f>
        <v>1.3279197200538313</v>
      </c>
      <c r="R140" s="94">
        <f>IF(TrRoad_act!R82=0,0,TrRoad_ene!R85/TrRoad_tech!R113)</f>
        <v>1.6972010786032574</v>
      </c>
      <c r="S140" s="94">
        <f>IF(TrRoad_act!S82=0,0,TrRoad_ene!S85/TrRoad_tech!S113)</f>
        <v>1.9355943512334961</v>
      </c>
      <c r="T140" s="94">
        <f>IF(TrRoad_act!T82=0,0,TrRoad_ene!T85/TrRoad_tech!T113)</f>
        <v>1.6487511018416359</v>
      </c>
      <c r="U140" s="94">
        <f>IF(TrRoad_act!U82=0,0,TrRoad_ene!U85/TrRoad_tech!U113)</f>
        <v>1.669100869249152</v>
      </c>
      <c r="V140" s="94">
        <f>IF(TrRoad_act!V82=0,0,TrRoad_ene!V85/TrRoad_tech!V113)</f>
        <v>1.8339549917946929</v>
      </c>
      <c r="W140" s="94">
        <f>IF(TrRoad_act!W82=0,0,TrRoad_ene!W85/TrRoad_tech!W113)</f>
        <v>1.5244533676365379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0</v>
      </c>
      <c r="C144" s="141">
        <v>3.8437242853237188</v>
      </c>
      <c r="D144" s="141">
        <v>3.820480682155881</v>
      </c>
      <c r="E144" s="141">
        <v>3.7726607004092041</v>
      </c>
      <c r="F144" s="141">
        <v>3.7674362207980847</v>
      </c>
      <c r="G144" s="141">
        <v>3.7166841331472078</v>
      </c>
      <c r="H144" s="141">
        <v>3.6417288440325737</v>
      </c>
      <c r="I144" s="141">
        <v>3.5883112055596977</v>
      </c>
      <c r="J144" s="141">
        <v>3.4140908038337896</v>
      </c>
      <c r="K144" s="141">
        <v>3.226169470882803</v>
      </c>
      <c r="L144" s="141">
        <v>3.1088319236983724</v>
      </c>
      <c r="M144" s="141">
        <v>2.959614442097509</v>
      </c>
      <c r="N144" s="141">
        <v>2.9219281282341076</v>
      </c>
      <c r="O144" s="141">
        <v>2.767496147863663</v>
      </c>
      <c r="P144" s="141">
        <v>2.7149810364121909</v>
      </c>
      <c r="Q144" s="141">
        <v>2.6547160786120219</v>
      </c>
      <c r="R144" s="141">
        <v>2.5954162002661705</v>
      </c>
      <c r="S144" s="141">
        <v>2.5479762975894893</v>
      </c>
      <c r="T144" s="141">
        <v>2.5100243754481442</v>
      </c>
      <c r="U144" s="141">
        <v>2.4796628377350682</v>
      </c>
      <c r="V144" s="141">
        <v>2.4553736075646073</v>
      </c>
      <c r="W144" s="141">
        <v>2.4359422234282389</v>
      </c>
      <c r="DA144" s="174" t="s">
        <v>885</v>
      </c>
    </row>
    <row r="145" spans="1:105" ht="11.45" customHeight="1" x14ac:dyDescent="0.25">
      <c r="A145" s="109" t="s">
        <v>20</v>
      </c>
      <c r="B145" s="130">
        <v>7.2277775801201445</v>
      </c>
      <c r="C145" s="130">
        <v>7.2474754590540957</v>
      </c>
      <c r="D145" s="130">
        <v>7.2499668043363377</v>
      </c>
      <c r="E145" s="130">
        <v>7.2169342581463036</v>
      </c>
      <c r="F145" s="130">
        <v>7.2335570834309744</v>
      </c>
      <c r="G145" s="130">
        <v>7.1223709336759535</v>
      </c>
      <c r="H145" s="130">
        <v>7.0635118511325947</v>
      </c>
      <c r="I145" s="130">
        <v>6.9949579441770613</v>
      </c>
      <c r="J145" s="130">
        <v>6.6719447362274042</v>
      </c>
      <c r="K145" s="130">
        <v>6.3360740198644976</v>
      </c>
      <c r="L145" s="130">
        <v>6.1009285570748339</v>
      </c>
      <c r="M145" s="130">
        <v>5.8109457472266834</v>
      </c>
      <c r="N145" s="130">
        <v>5.7376659415539129</v>
      </c>
      <c r="O145" s="130">
        <v>5.4552460230850803</v>
      </c>
      <c r="P145" s="130">
        <v>5.3209270695630915</v>
      </c>
      <c r="Q145" s="130">
        <v>5.1827038650331412</v>
      </c>
      <c r="R145" s="130">
        <v>5.0322702378017086</v>
      </c>
      <c r="S145" s="130">
        <v>4.9752285289102067</v>
      </c>
      <c r="T145" s="130">
        <v>5.0286809223845639</v>
      </c>
      <c r="U145" s="130">
        <v>5.212075683945244</v>
      </c>
      <c r="V145" s="130">
        <v>4.7828715744607093</v>
      </c>
      <c r="W145" s="130">
        <v>4.7179934832199937</v>
      </c>
      <c r="DA145" s="176" t="s">
        <v>886</v>
      </c>
    </row>
    <row r="146" spans="1:105" ht="11.45" customHeight="1" x14ac:dyDescent="0.25">
      <c r="A146" s="111" t="s">
        <v>110</v>
      </c>
      <c r="B146" s="96">
        <v>7.5568043891524752</v>
      </c>
      <c r="C146" s="96">
        <v>7.5595426533314054</v>
      </c>
      <c r="D146" s="96">
        <v>7.5138289141240211</v>
      </c>
      <c r="E146" s="96">
        <v>7.4197802350666251</v>
      </c>
      <c r="F146" s="96">
        <v>7.4095051285475346</v>
      </c>
      <c r="G146" s="96">
        <v>7.3096898080763637</v>
      </c>
      <c r="H146" s="96">
        <v>7.162273483935115</v>
      </c>
      <c r="I146" s="96">
        <v>7.0572157621786946</v>
      </c>
      <c r="J146" s="96">
        <v>6.7145724141747127</v>
      </c>
      <c r="K146" s="96">
        <v>6.3449831235645417</v>
      </c>
      <c r="L146" s="96">
        <v>6.1142126189878088</v>
      </c>
      <c r="M146" s="96">
        <v>5.8179095207657161</v>
      </c>
      <c r="N146" s="96">
        <v>5.7423211117582875</v>
      </c>
      <c r="O146" s="96">
        <v>5.4415335028952523</v>
      </c>
      <c r="P146" s="96">
        <v>5.3406215755222615</v>
      </c>
      <c r="Q146" s="96">
        <v>5.223223474357118</v>
      </c>
      <c r="R146" s="96">
        <v>5.2000711008446299</v>
      </c>
      <c r="S146" s="96">
        <v>5.0550216262540415</v>
      </c>
      <c r="T146" s="96">
        <v>5.0328018481978987</v>
      </c>
      <c r="U146" s="96">
        <v>5.1498871268211088</v>
      </c>
      <c r="V146" s="96">
        <v>4.9375247542716734</v>
      </c>
      <c r="W146" s="96">
        <v>4.6560320343796677</v>
      </c>
      <c r="DA146" s="171" t="s">
        <v>887</v>
      </c>
    </row>
    <row r="147" spans="1:105" ht="11.45" customHeight="1" x14ac:dyDescent="0.25">
      <c r="A147" s="111" t="s">
        <v>111</v>
      </c>
      <c r="B147" s="96">
        <v>6.8730306455076491</v>
      </c>
      <c r="C147" s="96">
        <v>6.9110138774322802</v>
      </c>
      <c r="D147" s="96">
        <v>6.9071989968182148</v>
      </c>
      <c r="E147" s="96">
        <v>6.9229353793512249</v>
      </c>
      <c r="F147" s="96">
        <v>6.8772760270016606</v>
      </c>
      <c r="G147" s="96">
        <v>6.8977810103022472</v>
      </c>
      <c r="H147" s="96">
        <v>6.942009782421537</v>
      </c>
      <c r="I147" s="96">
        <v>6.8781105321359863</v>
      </c>
      <c r="J147" s="96">
        <v>6.5677938371858176</v>
      </c>
      <c r="K147" s="96">
        <v>6.3096933206406343</v>
      </c>
      <c r="L147" s="96">
        <v>6.0673291866285002</v>
      </c>
      <c r="M147" s="96">
        <v>5.761817411697554</v>
      </c>
      <c r="N147" s="96">
        <v>5.7436717776953685</v>
      </c>
      <c r="O147" s="96">
        <v>5.4925195764347663</v>
      </c>
      <c r="P147" s="96">
        <v>5.2939130377211505</v>
      </c>
      <c r="Q147" s="96">
        <v>5.1371033336643803</v>
      </c>
      <c r="R147" s="96">
        <v>4.9248205980061108</v>
      </c>
      <c r="S147" s="96">
        <v>4.9466646388374178</v>
      </c>
      <c r="T147" s="96">
        <v>5.0483922810103774</v>
      </c>
      <c r="U147" s="96">
        <v>5.3023375619086242</v>
      </c>
      <c r="V147" s="96">
        <v>4.7467876401269544</v>
      </c>
      <c r="W147" s="96">
        <v>4.8379903237419661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8.5273463053453114</v>
      </c>
      <c r="E148" s="96">
        <v>8.5467738017174533</v>
      </c>
      <c r="F148" s="96">
        <v>8.4904046266376731</v>
      </c>
      <c r="G148" s="96">
        <v>0</v>
      </c>
      <c r="H148" s="96">
        <v>0</v>
      </c>
      <c r="I148" s="96">
        <v>8.4914348726574094</v>
      </c>
      <c r="J148" s="96">
        <v>0</v>
      </c>
      <c r="K148" s="96">
        <v>0</v>
      </c>
      <c r="L148" s="96">
        <v>7.4904772754835989</v>
      </c>
      <c r="M148" s="96">
        <v>5.882462390545462</v>
      </c>
      <c r="N148" s="96">
        <v>5.7661469698026258</v>
      </c>
      <c r="O148" s="96">
        <v>5.3494055367745705</v>
      </c>
      <c r="P148" s="96">
        <v>5.3293942685001996</v>
      </c>
      <c r="Q148" s="96">
        <v>5.1621821243744757</v>
      </c>
      <c r="R148" s="96">
        <v>4.5200771577141676</v>
      </c>
      <c r="S148" s="96">
        <v>4.8656151469841147</v>
      </c>
      <c r="T148" s="96">
        <v>4.6530354348145782</v>
      </c>
      <c r="U148" s="96">
        <v>4.5871088120968633</v>
      </c>
      <c r="V148" s="96">
        <v>4.5189557328343604</v>
      </c>
      <c r="W148" s="96">
        <v>4.5081255631553203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5.3974537246214611</v>
      </c>
      <c r="O150" s="96">
        <v>2.9366775317412839</v>
      </c>
      <c r="P150" s="96">
        <v>2.72269308568724</v>
      </c>
      <c r="Q150" s="96">
        <v>2.8534251147941379</v>
      </c>
      <c r="R150" s="96">
        <v>3.4163216703274095</v>
      </c>
      <c r="S150" s="96">
        <v>3.7664365699316034</v>
      </c>
      <c r="T150" s="96">
        <v>3.2352575970732405</v>
      </c>
      <c r="U150" s="96">
        <v>3.1755602433582579</v>
      </c>
      <c r="V150" s="96">
        <v>3.119896357493392</v>
      </c>
      <c r="W150" s="96">
        <v>2.7751357980569527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1.3221397492084079</v>
      </c>
      <c r="L151" s="96">
        <v>1.3089183517163236</v>
      </c>
      <c r="M151" s="96">
        <v>1.3089183517163236</v>
      </c>
      <c r="N151" s="96">
        <v>1.2076628887008996</v>
      </c>
      <c r="O151" s="96">
        <v>1.2575236457437662</v>
      </c>
      <c r="P151" s="96">
        <v>1.3204765999262993</v>
      </c>
      <c r="Q151" s="96">
        <v>1.5435814146046303</v>
      </c>
      <c r="R151" s="96">
        <v>1.2205154423555109</v>
      </c>
      <c r="S151" s="96">
        <v>1.1825043209394026</v>
      </c>
      <c r="T151" s="96">
        <v>1.2047593595315005</v>
      </c>
      <c r="U151" s="96">
        <v>1.5751754101542363</v>
      </c>
      <c r="V151" s="96">
        <v>1.4290763900121739</v>
      </c>
      <c r="W151" s="96">
        <v>1.4031955084321754</v>
      </c>
      <c r="DA151" s="171" t="s">
        <v>892</v>
      </c>
    </row>
    <row r="152" spans="1:105" ht="11.45" customHeight="1" x14ac:dyDescent="0.25">
      <c r="A152" s="109" t="s">
        <v>21</v>
      </c>
      <c r="B152" s="130">
        <v>47.517670563138573</v>
      </c>
      <c r="C152" s="130">
        <v>47.45271803720432</v>
      </c>
      <c r="D152" s="130">
        <v>0</v>
      </c>
      <c r="E152" s="130">
        <v>47.230984787751844</v>
      </c>
      <c r="F152" s="130">
        <v>47.214616109905933</v>
      </c>
      <c r="G152" s="130">
        <v>47.053983151087301</v>
      </c>
      <c r="H152" s="130">
        <v>46.813102392629524</v>
      </c>
      <c r="I152" s="130">
        <v>46.639526771889976</v>
      </c>
      <c r="J152" s="130">
        <v>45.325894965631925</v>
      </c>
      <c r="K152" s="130">
        <v>45.381478262822952</v>
      </c>
      <c r="L152" s="130">
        <v>44.846380582743009</v>
      </c>
      <c r="M152" s="130">
        <v>44.361180476508167</v>
      </c>
      <c r="N152" s="130">
        <v>44.264272050676674</v>
      </c>
      <c r="O152" s="130">
        <v>43.645627088916491</v>
      </c>
      <c r="P152" s="130">
        <v>43.438535539854804</v>
      </c>
      <c r="Q152" s="130">
        <v>43.19285605325539</v>
      </c>
      <c r="R152" s="130">
        <v>42.949387644444826</v>
      </c>
      <c r="S152" s="130">
        <v>42.772450503807946</v>
      </c>
      <c r="T152" s="130">
        <v>42.4732266724642</v>
      </c>
      <c r="U152" s="130">
        <v>42.198646435120345</v>
      </c>
      <c r="V152" s="130">
        <v>40.743069947626672</v>
      </c>
      <c r="W152" s="130">
        <v>41.543567894262935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14.225378349307457</v>
      </c>
      <c r="K153" s="97">
        <v>0</v>
      </c>
      <c r="L153" s="97">
        <v>12.953466348743218</v>
      </c>
      <c r="M153" s="97">
        <v>12.331726842072955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47.517670563138573</v>
      </c>
      <c r="C154" s="97">
        <v>47.45271803720432</v>
      </c>
      <c r="D154" s="97">
        <v>0</v>
      </c>
      <c r="E154" s="97">
        <v>47.230984787751844</v>
      </c>
      <c r="F154" s="97">
        <v>47.214616109905933</v>
      </c>
      <c r="G154" s="97">
        <v>47.053983151087301</v>
      </c>
      <c r="H154" s="97">
        <v>46.813102392629524</v>
      </c>
      <c r="I154" s="97">
        <v>46.639526771889976</v>
      </c>
      <c r="J154" s="97">
        <v>46.052020321295842</v>
      </c>
      <c r="K154" s="97">
        <v>45.391024219546303</v>
      </c>
      <c r="L154" s="97">
        <v>44.966726164636057</v>
      </c>
      <c r="M154" s="97">
        <v>44.406999487511762</v>
      </c>
      <c r="N154" s="97">
        <v>44.264272050676674</v>
      </c>
      <c r="O154" s="97">
        <v>43.655258731480998</v>
      </c>
      <c r="P154" s="97">
        <v>43.445171809234452</v>
      </c>
      <c r="Q154" s="97">
        <v>43.199999999908329</v>
      </c>
      <c r="R154" s="97">
        <v>42.980528542398261</v>
      </c>
      <c r="S154" s="97">
        <v>42.783957711776793</v>
      </c>
      <c r="T154" s="97">
        <v>42.607812738408377</v>
      </c>
      <c r="U154" s="97">
        <v>42.449902396074499</v>
      </c>
      <c r="V154" s="97">
        <v>42.308283527642473</v>
      </c>
      <c r="W154" s="97">
        <v>42.181230544779929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38.34606291309845</v>
      </c>
      <c r="K155" s="97">
        <v>37.825853516288582</v>
      </c>
      <c r="L155" s="97">
        <v>37.472271803863379</v>
      </c>
      <c r="M155" s="97">
        <v>37.005832906259805</v>
      </c>
      <c r="N155" s="97">
        <v>0</v>
      </c>
      <c r="O155" s="97">
        <v>36.379382276234168</v>
      </c>
      <c r="P155" s="97">
        <v>36.403011366042769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23.66794140565489</v>
      </c>
      <c r="P157" s="97">
        <v>23.43126199159834</v>
      </c>
      <c r="Q157" s="97">
        <v>23.196949371682358</v>
      </c>
      <c r="R157" s="97">
        <v>22.988072056293397</v>
      </c>
      <c r="S157" s="97">
        <v>22.801691073880168</v>
      </c>
      <c r="T157" s="97">
        <v>22.635240552292604</v>
      </c>
      <c r="U157" s="97">
        <v>22.486474225717313</v>
      </c>
      <c r="V157" s="97">
        <v>22.353420684478042</v>
      </c>
      <c r="W157" s="97">
        <v>22.234345758295245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8.5806664062860492</v>
      </c>
      <c r="D159" s="141">
        <v>8.6181429481106466</v>
      </c>
      <c r="E159" s="141">
        <v>8.6566727653974684</v>
      </c>
      <c r="F159" s="141">
        <v>8.7048328404127151</v>
      </c>
      <c r="G159" s="141">
        <v>8.769191090564961</v>
      </c>
      <c r="H159" s="141">
        <v>8.8366173455731083</v>
      </c>
      <c r="I159" s="141">
        <v>8.8139850232806261</v>
      </c>
      <c r="J159" s="141">
        <v>8.8799905556545546</v>
      </c>
      <c r="K159" s="141">
        <v>8.7335641087045683</v>
      </c>
      <c r="L159" s="141">
        <v>8.8582211372880533</v>
      </c>
      <c r="M159" s="141">
        <v>8.9231255035976833</v>
      </c>
      <c r="N159" s="141">
        <v>8.5186723173264252</v>
      </c>
      <c r="O159" s="141">
        <v>8.2941277442075449</v>
      </c>
      <c r="P159" s="141">
        <v>8.0202358930906978</v>
      </c>
      <c r="Q159" s="141">
        <v>7.7723410870243663</v>
      </c>
      <c r="R159" s="141">
        <v>7.1544146763206315</v>
      </c>
      <c r="S159" s="141">
        <v>7.1443286739930238</v>
      </c>
      <c r="T159" s="141">
        <v>6.8359078226277799</v>
      </c>
      <c r="U159" s="141">
        <v>6.8644223416292744</v>
      </c>
      <c r="V159" s="141">
        <v>6.8491700016099735</v>
      </c>
      <c r="W159" s="141">
        <v>6.7444793434255645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8.5077325356785263</v>
      </c>
      <c r="D160" s="96">
        <v>8.4562849436458531</v>
      </c>
      <c r="E160" s="96">
        <v>8.3504397829731243</v>
      </c>
      <c r="F160" s="96">
        <v>8.3388758746722029</v>
      </c>
      <c r="G160" s="96">
        <v>8.226540765463243</v>
      </c>
      <c r="H160" s="96">
        <v>8.0606340810642987</v>
      </c>
      <c r="I160" s="96">
        <v>7.9423990186405842</v>
      </c>
      <c r="J160" s="96">
        <v>7.5567780765241137</v>
      </c>
      <c r="K160" s="96">
        <v>7.1408313748837973</v>
      </c>
      <c r="L160" s="96">
        <v>6.8811154343702272</v>
      </c>
      <c r="M160" s="96">
        <v>6.550836171636699</v>
      </c>
      <c r="N160" s="96">
        <v>6.467420958992669</v>
      </c>
      <c r="O160" s="96">
        <v>6.4009574372204119</v>
      </c>
      <c r="P160" s="96">
        <v>6.5024384843863654</v>
      </c>
      <c r="Q160" s="96">
        <v>6.4929210165709677</v>
      </c>
      <c r="R160" s="96">
        <v>5.416345795668021</v>
      </c>
      <c r="S160" s="96">
        <v>5.3351247990747828</v>
      </c>
      <c r="T160" s="96">
        <v>5.3730808487628874</v>
      </c>
      <c r="U160" s="96">
        <v>5.7660777064617701</v>
      </c>
      <c r="V160" s="96">
        <v>5.5543187259764997</v>
      </c>
      <c r="W160" s="96">
        <v>5.114310533382719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8.9989436453705824</v>
      </c>
      <c r="D161" s="96">
        <v>8.993976227236482</v>
      </c>
      <c r="E161" s="96">
        <v>9.0144668270396409</v>
      </c>
      <c r="F161" s="96">
        <v>8.9550130412471418</v>
      </c>
      <c r="G161" s="96">
        <v>8.9817129137179279</v>
      </c>
      <c r="H161" s="96">
        <v>9.0393039177101375</v>
      </c>
      <c r="I161" s="96">
        <v>8.9560996639639754</v>
      </c>
      <c r="J161" s="96">
        <v>8.5520312451183571</v>
      </c>
      <c r="K161" s="96">
        <v>8.2159543619832132</v>
      </c>
      <c r="L161" s="96">
        <v>7.900368078651228</v>
      </c>
      <c r="M161" s="96">
        <v>7.5025562243618822</v>
      </c>
      <c r="N161" s="96">
        <v>7.4784106765815226</v>
      </c>
      <c r="O161" s="96">
        <v>7.0054121197361852</v>
      </c>
      <c r="P161" s="96">
        <v>6.9777937353433748</v>
      </c>
      <c r="Q161" s="96">
        <v>6.927640255445751</v>
      </c>
      <c r="R161" s="96">
        <v>6.9536824146486964</v>
      </c>
      <c r="S161" s="96">
        <v>6.46182749766683</v>
      </c>
      <c r="T161" s="96">
        <v>6.2240753655352226</v>
      </c>
      <c r="U161" s="96">
        <v>6.4403850923524031</v>
      </c>
      <c r="V161" s="96">
        <v>6.6448015305063484</v>
      </c>
      <c r="W161" s="96">
        <v>6.4052370673713837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15.607407901200304</v>
      </c>
      <c r="K162" s="96">
        <v>0</v>
      </c>
      <c r="L162" s="96">
        <v>0</v>
      </c>
      <c r="M162" s="96">
        <v>11.322921486499814</v>
      </c>
      <c r="N162" s="96">
        <v>11.099030488257799</v>
      </c>
      <c r="O162" s="96">
        <v>0</v>
      </c>
      <c r="P162" s="96">
        <v>7.3778439098302817</v>
      </c>
      <c r="Q162" s="96">
        <v>0</v>
      </c>
      <c r="R162" s="96">
        <v>5.2913982560298809</v>
      </c>
      <c r="S162" s="96">
        <v>0</v>
      </c>
      <c r="T162" s="96">
        <v>0</v>
      </c>
      <c r="U162" s="96">
        <v>0</v>
      </c>
      <c r="V162" s="96">
        <v>0</v>
      </c>
      <c r="W162" s="96">
        <v>6.3023521059394714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1.360325196948438</v>
      </c>
      <c r="M164" s="96">
        <v>1.3467219449789536</v>
      </c>
      <c r="N164" s="96">
        <v>1.3332547255291642</v>
      </c>
      <c r="O164" s="96">
        <v>1.3327601031814273</v>
      </c>
      <c r="P164" s="96">
        <v>1.3327601031814273</v>
      </c>
      <c r="Q164" s="96">
        <v>0</v>
      </c>
      <c r="R164" s="96">
        <v>0</v>
      </c>
      <c r="S164" s="96">
        <v>1.3327601031814273</v>
      </c>
      <c r="T164" s="96">
        <v>1.3363427916308401</v>
      </c>
      <c r="U164" s="96">
        <v>1.4682295962237</v>
      </c>
      <c r="V164" s="96">
        <v>1.617383447250681</v>
      </c>
      <c r="W164" s="96">
        <v>2.2620543686751771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33.37878157048938</v>
      </c>
      <c r="D165" s="130">
        <v>33.165723805196095</v>
      </c>
      <c r="E165" s="130">
        <v>32.878710844861068</v>
      </c>
      <c r="F165" s="130">
        <v>32.61128114988832</v>
      </c>
      <c r="G165" s="130">
        <v>32.162425349060406</v>
      </c>
      <c r="H165" s="130">
        <v>31.688791088899176</v>
      </c>
      <c r="I165" s="130">
        <v>31.343401911951123</v>
      </c>
      <c r="J165" s="130">
        <v>30.643352965867241</v>
      </c>
      <c r="K165" s="130">
        <v>30.045703004756643</v>
      </c>
      <c r="L165" s="130">
        <v>29.399969387674155</v>
      </c>
      <c r="M165" s="130">
        <v>29.053929054431492</v>
      </c>
      <c r="N165" s="130">
        <v>28.420788919411972</v>
      </c>
      <c r="O165" s="130">
        <v>27.365468855967272</v>
      </c>
      <c r="P165" s="130">
        <v>26.564956904729684</v>
      </c>
      <c r="Q165" s="130">
        <v>25.936806298221846</v>
      </c>
      <c r="R165" s="130">
        <v>24.740329277058514</v>
      </c>
      <c r="S165" s="130">
        <v>24.025546920998288</v>
      </c>
      <c r="T165" s="130">
        <v>22.615133992412179</v>
      </c>
      <c r="U165" s="130">
        <v>21.707663078007577</v>
      </c>
      <c r="V165" s="130">
        <v>21.065029445695448</v>
      </c>
      <c r="W165" s="130">
        <v>21.893762442931148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33.374226804057258</v>
      </c>
      <c r="D166" s="97">
        <v>33.146996534370786</v>
      </c>
      <c r="E166" s="97">
        <v>32.864052552933678</v>
      </c>
      <c r="F166" s="97">
        <v>32.526113825731919</v>
      </c>
      <c r="G166" s="97">
        <v>32.134033000352971</v>
      </c>
      <c r="H166" s="97">
        <v>31.688791088899176</v>
      </c>
      <c r="I166" s="97">
        <v>31.191491425388975</v>
      </c>
      <c r="J166" s="97">
        <v>30.643352965867241</v>
      </c>
      <c r="K166" s="97">
        <v>30.045703004756639</v>
      </c>
      <c r="L166" s="97">
        <v>29.399969387674155</v>
      </c>
      <c r="M166" s="97">
        <v>28.707672302185937</v>
      </c>
      <c r="N166" s="97">
        <v>27.970415731130668</v>
      </c>
      <c r="O166" s="97">
        <v>27.18987865413046</v>
      </c>
      <c r="P166" s="97">
        <v>26.36780608089612</v>
      </c>
      <c r="Q166" s="97">
        <v>25.505999999945875</v>
      </c>
      <c r="R166" s="97">
        <v>24.260611288939344</v>
      </c>
      <c r="S166" s="97">
        <v>23.388839191234773</v>
      </c>
      <c r="T166" s="97">
        <v>22.473478488644975</v>
      </c>
      <c r="U166" s="97">
        <v>21.354704296590779</v>
      </c>
      <c r="V166" s="97">
        <v>21.065029445695448</v>
      </c>
      <c r="W166" s="97">
        <v>20.854379151238494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0</v>
      </c>
      <c r="I167" s="98">
        <v>31.871188018858444</v>
      </c>
      <c r="J167" s="98">
        <v>0</v>
      </c>
      <c r="K167" s="98">
        <v>0</v>
      </c>
      <c r="L167" s="98">
        <v>0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125.78062866678574</v>
      </c>
      <c r="C171" s="152">
        <v>125.59239542576249</v>
      </c>
      <c r="D171" s="152">
        <v>125.394311801059</v>
      </c>
      <c r="E171" s="152">
        <v>124.89884254134049</v>
      </c>
      <c r="F171" s="152">
        <v>124.31107495688676</v>
      </c>
      <c r="G171" s="152">
        <v>123.68539098340312</v>
      </c>
      <c r="H171" s="152">
        <v>121.06906362745163</v>
      </c>
      <c r="I171" s="152">
        <v>118.79170243107838</v>
      </c>
      <c r="J171" s="152">
        <v>112.42272917753935</v>
      </c>
      <c r="K171" s="152">
        <v>108.96029762036565</v>
      </c>
      <c r="L171" s="152">
        <v>106.56017626845022</v>
      </c>
      <c r="M171" s="152">
        <v>104.12864334257156</v>
      </c>
      <c r="N171" s="152">
        <v>101.73867093289924</v>
      </c>
      <c r="O171" s="152">
        <v>98.994134340721345</v>
      </c>
      <c r="P171" s="152">
        <v>96.59035209913867</v>
      </c>
      <c r="Q171" s="152">
        <v>94.380490255595589</v>
      </c>
      <c r="R171" s="152">
        <v>92.028248510467634</v>
      </c>
      <c r="S171" s="152">
        <v>89.641508517122219</v>
      </c>
      <c r="T171" s="152">
        <v>86.705928957283433</v>
      </c>
      <c r="U171" s="152">
        <v>83.687462315987958</v>
      </c>
      <c r="V171" s="152">
        <v>81.413211441463773</v>
      </c>
      <c r="W171" s="152">
        <v>70.887822776023654</v>
      </c>
      <c r="DA171" s="174" t="s">
        <v>908</v>
      </c>
    </row>
    <row r="172" spans="1:105" ht="11.45" customHeight="1" x14ac:dyDescent="0.25">
      <c r="A172" s="109" t="s">
        <v>20</v>
      </c>
      <c r="B172" s="116">
        <v>237.12436818037031</v>
      </c>
      <c r="C172" s="116">
        <v>234.47646611271472</v>
      </c>
      <c r="D172" s="116">
        <v>232.13710725598378</v>
      </c>
      <c r="E172" s="116">
        <v>230.56944877895921</v>
      </c>
      <c r="F172" s="116">
        <v>228.38531127887299</v>
      </c>
      <c r="G172" s="116">
        <v>228.60387348818784</v>
      </c>
      <c r="H172" s="116">
        <v>226.40573448912298</v>
      </c>
      <c r="I172" s="116">
        <v>223.91001882654217</v>
      </c>
      <c r="J172" s="116">
        <v>219.10776857498658</v>
      </c>
      <c r="K172" s="116">
        <v>216.70748122651557</v>
      </c>
      <c r="L172" s="116">
        <v>214.05148787887657</v>
      </c>
      <c r="M172" s="116">
        <v>209.35350219652264</v>
      </c>
      <c r="N172" s="116">
        <v>211.83633409295624</v>
      </c>
      <c r="O172" s="116">
        <v>209.79016776004775</v>
      </c>
      <c r="P172" s="116">
        <v>207.68064076463418</v>
      </c>
      <c r="Q172" s="116">
        <v>205.18369696704713</v>
      </c>
      <c r="R172" s="116">
        <v>203.5013561045335</v>
      </c>
      <c r="S172" s="116">
        <v>201.11220144718385</v>
      </c>
      <c r="T172" s="116">
        <v>195.86345505784584</v>
      </c>
      <c r="U172" s="116">
        <v>190.46234671780431</v>
      </c>
      <c r="V172" s="116">
        <v>185.47334457494881</v>
      </c>
      <c r="W172" s="116">
        <v>179.84211107966632</v>
      </c>
      <c r="DA172" s="176" t="s">
        <v>909</v>
      </c>
    </row>
    <row r="173" spans="1:105" ht="11.45" customHeight="1" x14ac:dyDescent="0.25">
      <c r="A173" s="111" t="s">
        <v>110</v>
      </c>
      <c r="B173" s="87">
        <v>230.21993642798836</v>
      </c>
      <c r="C173" s="87">
        <v>229.11336031094967</v>
      </c>
      <c r="D173" s="87">
        <v>228.45240205675182</v>
      </c>
      <c r="E173" s="87">
        <v>227.78688812096283</v>
      </c>
      <c r="F173" s="87">
        <v>227.22829246834769</v>
      </c>
      <c r="G173" s="87">
        <v>226.45238221038761</v>
      </c>
      <c r="H173" s="87">
        <v>224.73517916550281</v>
      </c>
      <c r="I173" s="87">
        <v>222.78796611904508</v>
      </c>
      <c r="J173" s="87">
        <v>219.38933905023632</v>
      </c>
      <c r="K173" s="87">
        <v>217.40787533867697</v>
      </c>
      <c r="L173" s="87">
        <v>214.78562845934979</v>
      </c>
      <c r="M173" s="87">
        <v>212.9094314257492</v>
      </c>
      <c r="N173" s="87">
        <v>210.97894192265056</v>
      </c>
      <c r="O173" s="87">
        <v>208.3708929192203</v>
      </c>
      <c r="P173" s="87">
        <v>205.22881062807591</v>
      </c>
      <c r="Q173" s="87">
        <v>202.11048978528297</v>
      </c>
      <c r="R173" s="87">
        <v>199.20070997220913</v>
      </c>
      <c r="S173" s="87">
        <v>196.09958481657668</v>
      </c>
      <c r="T173" s="87">
        <v>191.83587704532923</v>
      </c>
      <c r="U173" s="87">
        <v>187.2528998998481</v>
      </c>
      <c r="V173" s="87">
        <v>183.1718075911796</v>
      </c>
      <c r="W173" s="87">
        <v>178.98085933971385</v>
      </c>
      <c r="DA173" s="171" t="s">
        <v>910</v>
      </c>
    </row>
    <row r="174" spans="1:105" ht="11.45" customHeight="1" x14ac:dyDescent="0.25">
      <c r="A174" s="111" t="s">
        <v>111</v>
      </c>
      <c r="B174" s="87">
        <v>240.36928408415957</v>
      </c>
      <c r="C174" s="87">
        <v>219.49433575444209</v>
      </c>
      <c r="D174" s="87">
        <v>215.22827881628498</v>
      </c>
      <c r="E174" s="87">
        <v>213.63407990514924</v>
      </c>
      <c r="F174" s="87">
        <v>213.06130566253026</v>
      </c>
      <c r="G174" s="87">
        <v>212.62115330554573</v>
      </c>
      <c r="H174" s="87">
        <v>213.00407304235299</v>
      </c>
      <c r="I174" s="87">
        <v>213.50310000097193</v>
      </c>
      <c r="J174" s="87">
        <v>213.17341188003121</v>
      </c>
      <c r="K174" s="87">
        <v>212.66899924274713</v>
      </c>
      <c r="L174" s="87">
        <v>212.15349081822129</v>
      </c>
      <c r="M174" s="87">
        <v>211.30619702264673</v>
      </c>
      <c r="N174" s="87">
        <v>210.4965084532258</v>
      </c>
      <c r="O174" s="87">
        <v>208.99272574144445</v>
      </c>
      <c r="P174" s="87">
        <v>206.51846761051792</v>
      </c>
      <c r="Q174" s="87">
        <v>203.44348513067095</v>
      </c>
      <c r="R174" s="87">
        <v>198.9376211367981</v>
      </c>
      <c r="S174" s="87">
        <v>193.4174301896428</v>
      </c>
      <c r="T174" s="87">
        <v>188.2447123512022</v>
      </c>
      <c r="U174" s="87">
        <v>183.5935658904873</v>
      </c>
      <c r="V174" s="87">
        <v>178.85192122726431</v>
      </c>
      <c r="W174" s="87">
        <v>174.11851975752174</v>
      </c>
      <c r="DA174" s="171" t="s">
        <v>911</v>
      </c>
    </row>
    <row r="175" spans="1:105" ht="11.45" customHeight="1" x14ac:dyDescent="0.25">
      <c r="A175" s="111" t="s">
        <v>112</v>
      </c>
      <c r="B175" s="87">
        <v>0</v>
      </c>
      <c r="C175" s="87">
        <v>0</v>
      </c>
      <c r="D175" s="87">
        <v>199.97603585313547</v>
      </c>
      <c r="E175" s="87">
        <v>202.19664601637331</v>
      </c>
      <c r="F175" s="87">
        <v>205.64561103373677</v>
      </c>
      <c r="G175" s="87">
        <v>205.90058094140943</v>
      </c>
      <c r="H175" s="87">
        <v>205.92805688366678</v>
      </c>
      <c r="I175" s="87">
        <v>211.13339641215268</v>
      </c>
      <c r="J175" s="87">
        <v>211.37439293648711</v>
      </c>
      <c r="K175" s="87">
        <v>211.38790621638717</v>
      </c>
      <c r="L175" s="87">
        <v>211.52688147041479</v>
      </c>
      <c r="M175" s="87">
        <v>221.51925613774992</v>
      </c>
      <c r="N175" s="87">
        <v>222.29893938059212</v>
      </c>
      <c r="O175" s="87">
        <v>222.6071816819327</v>
      </c>
      <c r="P175" s="87">
        <v>221.93718403019463</v>
      </c>
      <c r="Q175" s="87">
        <v>217.24082979984479</v>
      </c>
      <c r="R175" s="87">
        <v>209.1004944432799</v>
      </c>
      <c r="S175" s="87">
        <v>199.08334303295106</v>
      </c>
      <c r="T175" s="87">
        <v>188.23578762720518</v>
      </c>
      <c r="U175" s="87">
        <v>177.97733743395224</v>
      </c>
      <c r="V175" s="87">
        <v>167.44206430558674</v>
      </c>
      <c r="W175" s="87">
        <v>155.65892212841339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130.77658995605887</v>
      </c>
      <c r="O177" s="87">
        <v>130.17532268320798</v>
      </c>
      <c r="P177" s="87">
        <v>123.66266111148379</v>
      </c>
      <c r="Q177" s="87">
        <v>112.39325251368371</v>
      </c>
      <c r="R177" s="87">
        <v>62.315041792284433</v>
      </c>
      <c r="S177" s="87">
        <v>70.287015448845381</v>
      </c>
      <c r="T177" s="87">
        <v>62.548369296825946</v>
      </c>
      <c r="U177" s="87">
        <v>58.704010137072679</v>
      </c>
      <c r="V177" s="87">
        <v>52.099636370319303</v>
      </c>
      <c r="W177" s="87">
        <v>43.570616151045513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1744.8497676520717</v>
      </c>
      <c r="C179" s="116">
        <v>1722.8543034007978</v>
      </c>
      <c r="D179" s="116">
        <v>1719.0969270464</v>
      </c>
      <c r="E179" s="116">
        <v>1703.117691363653</v>
      </c>
      <c r="F179" s="116">
        <v>1669.0931540166137</v>
      </c>
      <c r="G179" s="116">
        <v>1659.8998534528707</v>
      </c>
      <c r="H179" s="116">
        <v>1621.5165144214536</v>
      </c>
      <c r="I179" s="116">
        <v>1594.1929084468152</v>
      </c>
      <c r="J179" s="116">
        <v>1558.9275694586804</v>
      </c>
      <c r="K179" s="116">
        <v>1532.9172949045631</v>
      </c>
      <c r="L179" s="116">
        <v>1503.4154251065399</v>
      </c>
      <c r="M179" s="116">
        <v>1477.4707939622697</v>
      </c>
      <c r="N179" s="116">
        <v>1450.451158040946</v>
      </c>
      <c r="O179" s="116">
        <v>1424.1485185011952</v>
      </c>
      <c r="P179" s="116">
        <v>1415.6223163007878</v>
      </c>
      <c r="Q179" s="116">
        <v>1399.1750126923955</v>
      </c>
      <c r="R179" s="116">
        <v>1392.9544855075405</v>
      </c>
      <c r="S179" s="116">
        <v>1386.85405560974</v>
      </c>
      <c r="T179" s="116">
        <v>1374.9682640269323</v>
      </c>
      <c r="U179" s="116">
        <v>1362.1535114834744</v>
      </c>
      <c r="V179" s="116">
        <v>1303.9675901500323</v>
      </c>
      <c r="W179" s="116">
        <v>1332.4505071982142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412.74258152506161</v>
      </c>
      <c r="K180" s="101">
        <v>412.74258152506155</v>
      </c>
      <c r="L180" s="101">
        <v>412.2729343167959</v>
      </c>
      <c r="M180" s="101">
        <v>411.90585544152322</v>
      </c>
      <c r="N180" s="101">
        <v>411.89066703266246</v>
      </c>
      <c r="O180" s="101">
        <v>411.86953680388194</v>
      </c>
      <c r="P180" s="101">
        <v>411.8416028296835</v>
      </c>
      <c r="Q180" s="101">
        <v>411.79935134637515</v>
      </c>
      <c r="R180" s="101">
        <v>411.75294211001875</v>
      </c>
      <c r="S180" s="101">
        <v>411.7017296468029</v>
      </c>
      <c r="T180" s="101">
        <v>411.62754166748101</v>
      </c>
      <c r="U180" s="101">
        <v>411.58156797403331</v>
      </c>
      <c r="V180" s="101">
        <v>411.57191452796337</v>
      </c>
      <c r="W180" s="101">
        <v>411.54196636670844</v>
      </c>
      <c r="DA180" s="175" t="s">
        <v>917</v>
      </c>
    </row>
    <row r="181" spans="1:105" ht="11.45" customHeight="1" x14ac:dyDescent="0.25">
      <c r="A181" s="111" t="s">
        <v>111</v>
      </c>
      <c r="B181" s="101">
        <v>1744.8497676520717</v>
      </c>
      <c r="C181" s="101">
        <v>1707.7259582408826</v>
      </c>
      <c r="D181" s="101">
        <v>1701.8280697193552</v>
      </c>
      <c r="E181" s="101">
        <v>1676.357546633019</v>
      </c>
      <c r="F181" s="101">
        <v>1628.3260367929797</v>
      </c>
      <c r="G181" s="101">
        <v>1617.1800524556434</v>
      </c>
      <c r="H181" s="101">
        <v>1574.5340690218457</v>
      </c>
      <c r="I181" s="101">
        <v>1546.7302937759318</v>
      </c>
      <c r="J181" s="101">
        <v>1517.8447331386797</v>
      </c>
      <c r="K181" s="101">
        <v>1495.7766978431971</v>
      </c>
      <c r="L181" s="101">
        <v>1475.6967779903866</v>
      </c>
      <c r="M181" s="101">
        <v>1456.2499376689509</v>
      </c>
      <c r="N181" s="101">
        <v>1437.2591061100129</v>
      </c>
      <c r="O181" s="101">
        <v>1420.459562484858</v>
      </c>
      <c r="P181" s="101">
        <v>1410.661708970033</v>
      </c>
      <c r="Q181" s="101">
        <v>1396.6217714649413</v>
      </c>
      <c r="R181" s="101">
        <v>1390.4639452837469</v>
      </c>
      <c r="S181" s="101">
        <v>1383.1036820899787</v>
      </c>
      <c r="T181" s="101">
        <v>1375.451511841276</v>
      </c>
      <c r="U181" s="101">
        <v>1367.1348114670056</v>
      </c>
      <c r="V181" s="101">
        <v>1360.7497013878719</v>
      </c>
      <c r="W181" s="101">
        <v>1354.18099528725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1013.0534390507775</v>
      </c>
      <c r="K182" s="101">
        <v>1011.4757655874706</v>
      </c>
      <c r="L182" s="101">
        <v>999.78508974193221</v>
      </c>
      <c r="M182" s="101">
        <v>995.92046256164963</v>
      </c>
      <c r="N182" s="101">
        <v>995.92046256164952</v>
      </c>
      <c r="O182" s="101">
        <v>995.06937242847334</v>
      </c>
      <c r="P182" s="101">
        <v>994.46525959652286</v>
      </c>
      <c r="Q182" s="101">
        <v>994.12675168028102</v>
      </c>
      <c r="R182" s="101">
        <v>992.92950024409015</v>
      </c>
      <c r="S182" s="101">
        <v>992.69651690387138</v>
      </c>
      <c r="T182" s="101">
        <v>987.4569901307982</v>
      </c>
      <c r="U182" s="101">
        <v>986.92567536471711</v>
      </c>
      <c r="V182" s="101">
        <v>987.12437850900358</v>
      </c>
      <c r="W182" s="101">
        <v>986.61743523572477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317.05924884769911</v>
      </c>
      <c r="C186" s="152">
        <v>315.04450862789338</v>
      </c>
      <c r="D186" s="152">
        <v>309.67468517211643</v>
      </c>
      <c r="E186" s="152">
        <v>303.5485063837076</v>
      </c>
      <c r="F186" s="152">
        <v>296.47811143039121</v>
      </c>
      <c r="G186" s="152">
        <v>290.98635378264362</v>
      </c>
      <c r="H186" s="152">
        <v>283.93976996088332</v>
      </c>
      <c r="I186" s="152">
        <v>279.05714644712259</v>
      </c>
      <c r="J186" s="152">
        <v>270.08925731322978</v>
      </c>
      <c r="K186" s="152">
        <v>255.87390762635241</v>
      </c>
      <c r="L186" s="152">
        <v>243.6963526797004</v>
      </c>
      <c r="M186" s="152">
        <v>230.0866022516567</v>
      </c>
      <c r="N186" s="152">
        <v>236.71807545224723</v>
      </c>
      <c r="O186" s="152">
        <v>231.27444646161732</v>
      </c>
      <c r="P186" s="152">
        <v>234.13763299934178</v>
      </c>
      <c r="Q186" s="152">
        <v>236.8636703926224</v>
      </c>
      <c r="R186" s="152">
        <v>237.93191840443762</v>
      </c>
      <c r="S186" s="152">
        <v>223.27745451106367</v>
      </c>
      <c r="T186" s="152">
        <v>222.85938548328329</v>
      </c>
      <c r="U186" s="152">
        <v>227.42614717809406</v>
      </c>
      <c r="V186" s="152">
        <v>230.66984679849543</v>
      </c>
      <c r="W186" s="152">
        <v>221.32491465990822</v>
      </c>
      <c r="DA186" s="174" t="s">
        <v>922</v>
      </c>
    </row>
    <row r="187" spans="1:105" ht="11.45" customHeight="1" x14ac:dyDescent="0.25">
      <c r="A187" s="111" t="s">
        <v>110</v>
      </c>
      <c r="B187" s="87">
        <v>324.61380990086718</v>
      </c>
      <c r="C187" s="87">
        <v>318.13482604371569</v>
      </c>
      <c r="D187" s="87">
        <v>311.63702860056202</v>
      </c>
      <c r="E187" s="87">
        <v>303.7041096046745</v>
      </c>
      <c r="F187" s="87">
        <v>295.66504079102987</v>
      </c>
      <c r="G187" s="87">
        <v>289.34008185150077</v>
      </c>
      <c r="H187" s="87">
        <v>280.21378002625835</v>
      </c>
      <c r="I187" s="87">
        <v>274.07217850697208</v>
      </c>
      <c r="J187" s="87">
        <v>269.36233856491219</v>
      </c>
      <c r="K187" s="87">
        <v>264.59274959438835</v>
      </c>
      <c r="L187" s="87">
        <v>260.61774752446797</v>
      </c>
      <c r="M187" s="87">
        <v>256.04602310075472</v>
      </c>
      <c r="N187" s="87">
        <v>250.99261860367457</v>
      </c>
      <c r="O187" s="87">
        <v>250.61875875487979</v>
      </c>
      <c r="P187" s="87">
        <v>245.95481267231116</v>
      </c>
      <c r="Q187" s="87">
        <v>240.97095917347872</v>
      </c>
      <c r="R187" s="87">
        <v>233.43036058251738</v>
      </c>
      <c r="S187" s="87">
        <v>224.33492858042081</v>
      </c>
      <c r="T187" s="87">
        <v>218.05003354145413</v>
      </c>
      <c r="U187" s="87">
        <v>214.68406154702257</v>
      </c>
      <c r="V187" s="87">
        <v>211.85002891728749</v>
      </c>
      <c r="W187" s="87">
        <v>206.84056993599899</v>
      </c>
      <c r="DA187" s="171" t="s">
        <v>923</v>
      </c>
    </row>
    <row r="188" spans="1:105" ht="11.45" customHeight="1" x14ac:dyDescent="0.25">
      <c r="A188" s="111" t="s">
        <v>111</v>
      </c>
      <c r="B188" s="87">
        <v>291.93328560221505</v>
      </c>
      <c r="C188" s="87">
        <v>290.14165538823482</v>
      </c>
      <c r="D188" s="87">
        <v>288.53639968024839</v>
      </c>
      <c r="E188" s="87">
        <v>286.85731062603986</v>
      </c>
      <c r="F188" s="87">
        <v>285.31716133370628</v>
      </c>
      <c r="G188" s="87">
        <v>284.22834355506023</v>
      </c>
      <c r="H188" s="87">
        <v>282.97161919896865</v>
      </c>
      <c r="I188" s="87">
        <v>282.12286091866781</v>
      </c>
      <c r="J188" s="87">
        <v>280.85300512886124</v>
      </c>
      <c r="K188" s="87">
        <v>279.92891805701504</v>
      </c>
      <c r="L188" s="87">
        <v>279.47406734318741</v>
      </c>
      <c r="M188" s="87">
        <v>279.27532590729646</v>
      </c>
      <c r="N188" s="87">
        <v>277.86451401451575</v>
      </c>
      <c r="O188" s="87">
        <v>274.41903872826833</v>
      </c>
      <c r="P188" s="87">
        <v>269.76135910838207</v>
      </c>
      <c r="Q188" s="87">
        <v>265.34898124013546</v>
      </c>
      <c r="R188" s="87">
        <v>261.733005507798</v>
      </c>
      <c r="S188" s="87">
        <v>256.69123626151617</v>
      </c>
      <c r="T188" s="87">
        <v>249.60856246364111</v>
      </c>
      <c r="U188" s="87">
        <v>243.85391660341099</v>
      </c>
      <c r="V188" s="87">
        <v>239.53820821586226</v>
      </c>
      <c r="W188" s="87">
        <v>235.20596806428355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415.84042583882655</v>
      </c>
      <c r="K189" s="87">
        <v>415.84042583882655</v>
      </c>
      <c r="L189" s="87">
        <v>415.84042583882655</v>
      </c>
      <c r="M189" s="87">
        <v>396.83315301621326</v>
      </c>
      <c r="N189" s="87">
        <v>368.3837943716066</v>
      </c>
      <c r="O189" s="87">
        <v>368.38379437160654</v>
      </c>
      <c r="P189" s="87">
        <v>336.75581802090238</v>
      </c>
      <c r="Q189" s="87">
        <v>323.21184758814917</v>
      </c>
      <c r="R189" s="87">
        <v>276.18627173510816</v>
      </c>
      <c r="S189" s="87">
        <v>276.18627173510816</v>
      </c>
      <c r="T189" s="87">
        <v>270.22326618916583</v>
      </c>
      <c r="U189" s="87">
        <v>270.22326618916583</v>
      </c>
      <c r="V189" s="87">
        <v>263.22823701181892</v>
      </c>
      <c r="W189" s="87">
        <v>222.64084871372401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1095.7594437348098</v>
      </c>
      <c r="C192" s="116">
        <v>1087.2948822949947</v>
      </c>
      <c r="D192" s="116">
        <v>1079.6682812045387</v>
      </c>
      <c r="E192" s="116">
        <v>1066.1521291079571</v>
      </c>
      <c r="F192" s="116">
        <v>1056.9835863141741</v>
      </c>
      <c r="G192" s="116">
        <v>1040.1767005468712</v>
      </c>
      <c r="H192" s="116">
        <v>1029.8518996133414</v>
      </c>
      <c r="I192" s="116">
        <v>1023.780259156006</v>
      </c>
      <c r="J192" s="116">
        <v>1017.9761666808372</v>
      </c>
      <c r="K192" s="116">
        <v>1013.0569677807772</v>
      </c>
      <c r="L192" s="116">
        <v>1009.1664746603202</v>
      </c>
      <c r="M192" s="116">
        <v>1003.3347119272645</v>
      </c>
      <c r="N192" s="116">
        <v>990.45908810620585</v>
      </c>
      <c r="O192" s="116">
        <v>970.33673032522574</v>
      </c>
      <c r="P192" s="116">
        <v>958.84844589850854</v>
      </c>
      <c r="Q192" s="116">
        <v>945.70635191894212</v>
      </c>
      <c r="R192" s="116">
        <v>919.97546097881911</v>
      </c>
      <c r="S192" s="116">
        <v>890.43499473352711</v>
      </c>
      <c r="T192" s="116">
        <v>861.04566226531699</v>
      </c>
      <c r="U192" s="116">
        <v>833.06522372950917</v>
      </c>
      <c r="V192" s="116">
        <v>820.25378955671692</v>
      </c>
      <c r="W192" s="116">
        <v>788.01142531264691</v>
      </c>
      <c r="DA192" s="176" t="s">
        <v>928</v>
      </c>
    </row>
    <row r="193" spans="1:105" ht="11.45" customHeight="1" x14ac:dyDescent="0.25">
      <c r="A193" s="128" t="s">
        <v>27</v>
      </c>
      <c r="B193" s="101">
        <v>1018.3263350876193</v>
      </c>
      <c r="C193" s="101">
        <v>1011.7060008157902</v>
      </c>
      <c r="D193" s="101">
        <v>1005.5644701777265</v>
      </c>
      <c r="E193" s="101">
        <v>993.70261726168565</v>
      </c>
      <c r="F193" s="101">
        <v>986.71496214575893</v>
      </c>
      <c r="G193" s="101">
        <v>970.92629650732874</v>
      </c>
      <c r="H193" s="101">
        <v>962.31381279666562</v>
      </c>
      <c r="I193" s="101">
        <v>957.26489280119347</v>
      </c>
      <c r="J193" s="101">
        <v>952.08309598899507</v>
      </c>
      <c r="K193" s="101">
        <v>947.49761492131063</v>
      </c>
      <c r="L193" s="101">
        <v>943.78882565961806</v>
      </c>
      <c r="M193" s="101">
        <v>938.56305836289914</v>
      </c>
      <c r="N193" s="101">
        <v>926.96773391597094</v>
      </c>
      <c r="O193" s="101">
        <v>908.07375349303163</v>
      </c>
      <c r="P193" s="101">
        <v>897.35630757961405</v>
      </c>
      <c r="Q193" s="101">
        <v>885.269538441132</v>
      </c>
      <c r="R193" s="101">
        <v>861.34905140105923</v>
      </c>
      <c r="S193" s="101">
        <v>833.7333668485802</v>
      </c>
      <c r="T193" s="101">
        <v>804.63032932882629</v>
      </c>
      <c r="U193" s="101">
        <v>777.43502732818467</v>
      </c>
      <c r="V193" s="101">
        <v>765.65482466614822</v>
      </c>
      <c r="W193" s="101">
        <v>735.10258695856976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1049.5812428075601</v>
      </c>
      <c r="D194" s="88">
        <v>1034.6757647187364</v>
      </c>
      <c r="E194" s="88">
        <v>1021.4513177251873</v>
      </c>
      <c r="F194" s="88">
        <v>999.61011835908334</v>
      </c>
      <c r="G194" s="88">
        <v>986.71660173718362</v>
      </c>
      <c r="H194" s="88">
        <v>972.46655537619495</v>
      </c>
      <c r="I194" s="88">
        <v>959.6459136539894</v>
      </c>
      <c r="J194" s="88">
        <v>951.3082162219016</v>
      </c>
      <c r="K194" s="88">
        <v>945.623321819382</v>
      </c>
      <c r="L194" s="88">
        <v>944.01413864891776</v>
      </c>
      <c r="M194" s="88">
        <v>931.56474791426547</v>
      </c>
      <c r="N194" s="88">
        <v>910.23113538468158</v>
      </c>
      <c r="O194" s="88">
        <v>894.59495627701949</v>
      </c>
      <c r="P194" s="88">
        <v>883.60805933553843</v>
      </c>
      <c r="Q194" s="88">
        <v>868.94515489727689</v>
      </c>
      <c r="R194" s="88">
        <v>845.94071746560451</v>
      </c>
      <c r="S194" s="88">
        <v>821.40916106237182</v>
      </c>
      <c r="T194" s="88">
        <v>812.83939398038137</v>
      </c>
      <c r="U194" s="88">
        <v>798.98244305010951</v>
      </c>
      <c r="V194" s="88">
        <v>790.86678620940336</v>
      </c>
      <c r="W194" s="88">
        <v>757.86293205482366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1.1275677866147502</v>
      </c>
      <c r="C198" s="150">
        <f>IF(TrRoad_act!C59=0,0,TrRoad_emi!C56/TrRoad_tech!C171)</f>
        <v>1.127574558505867</v>
      </c>
      <c r="D198" s="150">
        <f>IF(TrRoad_act!D59=0,0,TrRoad_emi!D56/TrRoad_tech!D171)</f>
        <v>1.1277684178979672</v>
      </c>
      <c r="E198" s="150">
        <f>IF(TrRoad_act!E59=0,0,TrRoad_emi!E56/TrRoad_tech!E171)</f>
        <v>1.1282587250804361</v>
      </c>
      <c r="F198" s="150">
        <f>IF(TrRoad_act!F59=0,0,TrRoad_emi!F56/TrRoad_tech!F171)</f>
        <v>1.1289843244049498</v>
      </c>
      <c r="G198" s="150">
        <f>IF(TrRoad_act!G59=0,0,TrRoad_emi!G56/TrRoad_tech!G171)</f>
        <v>1.0748744869072309</v>
      </c>
      <c r="H198" s="150">
        <f>IF(TrRoad_act!H59=0,0,TrRoad_emi!H56/TrRoad_tech!H171)</f>
        <v>1.0800020632437746</v>
      </c>
      <c r="I198" s="150">
        <f>IF(TrRoad_act!I59=0,0,TrRoad_emi!I56/TrRoad_tech!I171)</f>
        <v>1.0854845125966559</v>
      </c>
      <c r="J198" s="150">
        <f>IF(TrRoad_act!J59=0,0,TrRoad_emi!J56/TrRoad_tech!J171)</f>
        <v>1.1008468464573185</v>
      </c>
      <c r="K198" s="150">
        <f>IF(TrRoad_act!K59=0,0,TrRoad_emi!K56/TrRoad_tech!K171)</f>
        <v>1.1073896804410708</v>
      </c>
      <c r="L198" s="150">
        <f>IF(TrRoad_act!L59=0,0,TrRoad_emi!L56/TrRoad_tech!L171)</f>
        <v>1.0797117194397969</v>
      </c>
      <c r="M198" s="150">
        <f>IF(TrRoad_act!M59=0,0,TrRoad_emi!M56/TrRoad_tech!M171)</f>
        <v>1.0841116030936526</v>
      </c>
      <c r="N198" s="150">
        <f>IF(TrRoad_act!N59=0,0,TrRoad_emi!N56/TrRoad_tech!N171)</f>
        <v>1.0824123287094187</v>
      </c>
      <c r="O198" s="150">
        <f>IF(TrRoad_act!O59=0,0,TrRoad_emi!O56/TrRoad_tech!O171)</f>
        <v>1.0921638382665431</v>
      </c>
      <c r="P198" s="150">
        <f>IF(TrRoad_act!P59=0,0,TrRoad_emi!P56/TrRoad_tech!P171)</f>
        <v>1.115524358341585</v>
      </c>
      <c r="Q198" s="150">
        <f>IF(TrRoad_act!Q59=0,0,TrRoad_emi!Q56/TrRoad_tech!Q171)</f>
        <v>1.1063306869505725</v>
      </c>
      <c r="R198" s="150">
        <f>IF(TrRoad_act!R59=0,0,TrRoad_emi!R56/TrRoad_tech!R171)</f>
        <v>1.1036082976814054</v>
      </c>
      <c r="S198" s="150">
        <f>IF(TrRoad_act!S59=0,0,TrRoad_emi!S56/TrRoad_tech!S171)</f>
        <v>1.1084249161534929</v>
      </c>
      <c r="T198" s="150">
        <f>IF(TrRoad_act!T59=0,0,TrRoad_emi!T56/TrRoad_tech!T171)</f>
        <v>1.1244880251539886</v>
      </c>
      <c r="U198" s="150">
        <f>IF(TrRoad_act!U59=0,0,TrRoad_emi!U56/TrRoad_tech!U171)</f>
        <v>1.1388345922232121</v>
      </c>
      <c r="V198" s="150">
        <f>IF(TrRoad_act!V59=0,0,TrRoad_emi!V56/TrRoad_tech!V171)</f>
        <v>1.1582963303025018</v>
      </c>
      <c r="W198" s="150">
        <f>IF(TrRoad_act!W59=0,0,TrRoad_emi!W56/TrRoad_tech!W171)</f>
        <v>1.145070498495063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0.80520614876902119</v>
      </c>
      <c r="C199" s="151">
        <f>IF(TrRoad_act!C60=0,0,TrRoad_emi!C57/TrRoad_tech!C172)</f>
        <v>0.84544305741545001</v>
      </c>
      <c r="D199" s="151">
        <f>IF(TrRoad_act!D60=0,0,TrRoad_emi!D57/TrRoad_tech!D172)</f>
        <v>0.84375955676243486</v>
      </c>
      <c r="E199" s="151">
        <f>IF(TrRoad_act!E60=0,0,TrRoad_emi!E57/TrRoad_tech!E172)</f>
        <v>0.82777637797291181</v>
      </c>
      <c r="F199" s="151">
        <f>IF(TrRoad_act!F60=0,0,TrRoad_emi!F57/TrRoad_tech!F172)</f>
        <v>0.87173097893968443</v>
      </c>
      <c r="G199" s="151">
        <f>IF(TrRoad_act!G60=0,0,TrRoad_emi!G57/TrRoad_tech!G172)</f>
        <v>0.86792659012590823</v>
      </c>
      <c r="H199" s="151">
        <f>IF(TrRoad_act!H60=0,0,TrRoad_emi!H57/TrRoad_tech!H172)</f>
        <v>0.86559883820731742</v>
      </c>
      <c r="I199" s="151">
        <f>IF(TrRoad_act!I60=0,0,TrRoad_emi!I57/TrRoad_tech!I172)</f>
        <v>0.84764753277500648</v>
      </c>
      <c r="J199" s="151">
        <f>IF(TrRoad_act!J60=0,0,TrRoad_emi!J57/TrRoad_tech!J172)</f>
        <v>0.94747125576066293</v>
      </c>
      <c r="K199" s="151">
        <f>IF(TrRoad_act!K60=0,0,TrRoad_emi!K57/TrRoad_tech!K172)</f>
        <v>0.95387836912285739</v>
      </c>
      <c r="L199" s="151">
        <f>IF(TrRoad_act!L60=0,0,TrRoad_emi!L57/TrRoad_tech!L172)</f>
        <v>0.90520805104379531</v>
      </c>
      <c r="M199" s="151">
        <f>IF(TrRoad_act!M60=0,0,TrRoad_emi!M57/TrRoad_tech!M172)</f>
        <v>0.92026755665572257</v>
      </c>
      <c r="N199" s="151">
        <f>IF(TrRoad_act!N60=0,0,TrRoad_emi!N57/TrRoad_tech!N172)</f>
        <v>0.92489130335965763</v>
      </c>
      <c r="O199" s="151">
        <f>IF(TrRoad_act!O60=0,0,TrRoad_emi!O57/TrRoad_tech!O172)</f>
        <v>0.84653831147125791</v>
      </c>
      <c r="P199" s="151">
        <f>IF(TrRoad_act!P60=0,0,TrRoad_emi!P57/TrRoad_tech!P172)</f>
        <v>0.85910998324605348</v>
      </c>
      <c r="Q199" s="151">
        <f>IF(TrRoad_act!Q60=0,0,TrRoad_emi!Q57/TrRoad_tech!Q172)</f>
        <v>0.83024934243952353</v>
      </c>
      <c r="R199" s="151">
        <f>IF(TrRoad_act!R60=0,0,TrRoad_emi!R57/TrRoad_tech!R172)</f>
        <v>0.86275499529995192</v>
      </c>
      <c r="S199" s="151">
        <f>IF(TrRoad_act!S60=0,0,TrRoad_emi!S57/TrRoad_tech!S172)</f>
        <v>0.90840431148354184</v>
      </c>
      <c r="T199" s="151">
        <f>IF(TrRoad_act!T60=0,0,TrRoad_emi!T57/TrRoad_tech!T172)</f>
        <v>0.91446525614463547</v>
      </c>
      <c r="U199" s="151">
        <f>IF(TrRoad_act!U60=0,0,TrRoad_emi!U57/TrRoad_tech!U172)</f>
        <v>0.88915352901677069</v>
      </c>
      <c r="V199" s="151">
        <f>IF(TrRoad_act!V60=0,0,TrRoad_emi!V57/TrRoad_tech!V172)</f>
        <v>0.94912140417268387</v>
      </c>
      <c r="W199" s="151">
        <f>IF(TrRoad_act!W60=0,0,TrRoad_emi!W57/TrRoad_tech!W172)</f>
        <v>0.94531557584463166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0.82306299528339422</v>
      </c>
      <c r="C200" s="91">
        <f>IF(TrRoad_act!C61=0,0,TrRoad_emi!C58/TrRoad_tech!C173)</f>
        <v>0.85982495669189885</v>
      </c>
      <c r="D200" s="91">
        <f>IF(TrRoad_act!D61=0,0,TrRoad_emi!D58/TrRoad_tech!D173)</f>
        <v>0.85129252121888521</v>
      </c>
      <c r="E200" s="91">
        <f>IF(TrRoad_act!E61=0,0,TrRoad_emi!E58/TrRoad_tech!E173)</f>
        <v>0.84552687637422397</v>
      </c>
      <c r="F200" s="91">
        <f>IF(TrRoad_act!F61=0,0,TrRoad_emi!F58/TrRoad_tech!F173)</f>
        <v>0.85934026745438896</v>
      </c>
      <c r="G200" s="91">
        <f>IF(TrRoad_act!G61=0,0,TrRoad_emi!G58/TrRoad_tech!G173)</f>
        <v>0.8813411392564332</v>
      </c>
      <c r="H200" s="91">
        <f>IF(TrRoad_act!H61=0,0,TrRoad_emi!H58/TrRoad_tech!H173)</f>
        <v>0.8682162852034766</v>
      </c>
      <c r="I200" s="91">
        <f>IF(TrRoad_act!I61=0,0,TrRoad_emi!I58/TrRoad_tech!I173)</f>
        <v>0.89359652716836269</v>
      </c>
      <c r="J200" s="91">
        <f>IF(TrRoad_act!J61=0,0,TrRoad_emi!J58/TrRoad_tech!J173)</f>
        <v>1.0380086196409615</v>
      </c>
      <c r="K200" s="91">
        <f>IF(TrRoad_act!K61=0,0,TrRoad_emi!K58/TrRoad_tech!K173)</f>
        <v>1.0368956654131878</v>
      </c>
      <c r="L200" s="91">
        <f>IF(TrRoad_act!L61=0,0,TrRoad_emi!L58/TrRoad_tech!L173)</f>
        <v>0.95469432393834341</v>
      </c>
      <c r="M200" s="91">
        <f>IF(TrRoad_act!M61=0,0,TrRoad_emi!M58/TrRoad_tech!M173)</f>
        <v>1.0066975760583334</v>
      </c>
      <c r="N200" s="91">
        <f>IF(TrRoad_act!N61=0,0,TrRoad_emi!N58/TrRoad_tech!N173)</f>
        <v>1.014871090517085</v>
      </c>
      <c r="O200" s="91">
        <f>IF(TrRoad_act!O61=0,0,TrRoad_emi!O58/TrRoad_tech!O173)</f>
        <v>0.89586714868695971</v>
      </c>
      <c r="P200" s="91">
        <f>IF(TrRoad_act!P61=0,0,TrRoad_emi!P58/TrRoad_tech!P173)</f>
        <v>0.89775929879410887</v>
      </c>
      <c r="Q200" s="91">
        <f>IF(TrRoad_act!Q61=0,0,TrRoad_emi!Q58/TrRoad_tech!Q173)</f>
        <v>0.85871024532975559</v>
      </c>
      <c r="R200" s="91">
        <f>IF(TrRoad_act!R61=0,0,TrRoad_emi!R58/TrRoad_tech!R173)</f>
        <v>0.93843165595332501</v>
      </c>
      <c r="S200" s="91">
        <f>IF(TrRoad_act!S61=0,0,TrRoad_emi!S58/TrRoad_tech!S173)</f>
        <v>0.97756603521151686</v>
      </c>
      <c r="T200" s="91">
        <f>IF(TrRoad_act!T61=0,0,TrRoad_emi!T58/TrRoad_tech!T173)</f>
        <v>0.98000543812487018</v>
      </c>
      <c r="U200" s="91">
        <f>IF(TrRoad_act!U61=0,0,TrRoad_emi!U58/TrRoad_tech!U173)</f>
        <v>0.97830665374917281</v>
      </c>
      <c r="V200" s="91">
        <f>IF(TrRoad_act!V61=0,0,TrRoad_emi!V58/TrRoad_tech!V173)</f>
        <v>0.98090442362546426</v>
      </c>
      <c r="W200" s="91">
        <f>IF(TrRoad_act!W61=0,0,TrRoad_emi!W58/TrRoad_tech!W173)</f>
        <v>0.96793715224499055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0.83502375519700234</v>
      </c>
      <c r="C201" s="91">
        <f>IF(TrRoad_act!C62=0,0,TrRoad_emi!C59/TrRoad_tech!C174)</f>
        <v>0.9391946033673072</v>
      </c>
      <c r="D201" s="91">
        <f>IF(TrRoad_act!D62=0,0,TrRoad_emi!D59/TrRoad_tech!D174)</f>
        <v>0.94136002587242218</v>
      </c>
      <c r="E201" s="91">
        <f>IF(TrRoad_act!E62=0,0,TrRoad_emi!E59/TrRoad_tech!E174)</f>
        <v>0.8617819646246675</v>
      </c>
      <c r="F201" s="91">
        <f>IF(TrRoad_act!F62=0,0,TrRoad_emi!F59/TrRoad_tech!F174)</f>
        <v>0.86201110181550777</v>
      </c>
      <c r="G201" s="91">
        <f>IF(TrRoad_act!G62=0,0,TrRoad_emi!G59/TrRoad_tech!G174)</f>
        <v>0.87003388272532101</v>
      </c>
      <c r="H201" s="91">
        <f>IF(TrRoad_act!H62=0,0,TrRoad_emi!H59/TrRoad_tech!H174)</f>
        <v>0.92926955021805935</v>
      </c>
      <c r="I201" s="91">
        <f>IF(TrRoad_act!I62=0,0,TrRoad_emi!I59/TrRoad_tech!I174)</f>
        <v>0.81578262441378901</v>
      </c>
      <c r="J201" s="91">
        <f>IF(TrRoad_act!J62=0,0,TrRoad_emi!J59/TrRoad_tech!J174)</f>
        <v>0.85575642554495468</v>
      </c>
      <c r="K201" s="91">
        <f>IF(TrRoad_act!K62=0,0,TrRoad_emi!K59/TrRoad_tech!K174)</f>
        <v>0.85403463852238437</v>
      </c>
      <c r="L201" s="91">
        <f>IF(TrRoad_act!L62=0,0,TrRoad_emi!L59/TrRoad_tech!L174)</f>
        <v>0.8623594865468136</v>
      </c>
      <c r="M201" s="91">
        <f>IF(TrRoad_act!M62=0,0,TrRoad_emi!M59/TrRoad_tech!M174)</f>
        <v>0.81994176966742571</v>
      </c>
      <c r="N201" s="91">
        <f>IF(TrRoad_act!N62=0,0,TrRoad_emi!N59/TrRoad_tech!N174)</f>
        <v>0.86863094740851421</v>
      </c>
      <c r="O201" s="91">
        <f>IF(TrRoad_act!O62=0,0,TrRoad_emi!O59/TrRoad_tech!O174)</f>
        <v>0.81304550891801863</v>
      </c>
      <c r="P201" s="91">
        <f>IF(TrRoad_act!P62=0,0,TrRoad_emi!P59/TrRoad_tech!P174)</f>
        <v>0.83638621584055572</v>
      </c>
      <c r="Q201" s="91">
        <f>IF(TrRoad_act!Q62=0,0,TrRoad_emi!Q59/TrRoad_tech!Q174)</f>
        <v>0.82309599902002717</v>
      </c>
      <c r="R201" s="91">
        <f>IF(TrRoad_act!R62=0,0,TrRoad_emi!R59/TrRoad_tech!R174)</f>
        <v>0.83884181214028641</v>
      </c>
      <c r="S201" s="91">
        <f>IF(TrRoad_act!S62=0,0,TrRoad_emi!S59/TrRoad_tech!S174)</f>
        <v>0.91103018190970508</v>
      </c>
      <c r="T201" s="91">
        <f>IF(TrRoad_act!T62=0,0,TrRoad_emi!T59/TrRoad_tech!T174)</f>
        <v>0.92135297035423203</v>
      </c>
      <c r="U201" s="91">
        <f>IF(TrRoad_act!U62=0,0,TrRoad_emi!U59/TrRoad_tech!U174)</f>
        <v>0.87897650379274495</v>
      </c>
      <c r="V201" s="91">
        <f>IF(TrRoad_act!V62=0,0,TrRoad_emi!V59/TrRoad_tech!V174)</f>
        <v>0.98207589810859142</v>
      </c>
      <c r="W201" s="91">
        <f>IF(TrRoad_act!W62=0,0,TrRoad_emi!W59/TrRoad_tech!W174)</f>
        <v>0.98989758663795635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</v>
      </c>
      <c r="C202" s="91">
        <f>IF(TrRoad_act!C63=0,0,TrRoad_emi!C60/TrRoad_tech!C175)</f>
        <v>0</v>
      </c>
      <c r="D202" s="91">
        <f>IF(TrRoad_act!D63=0,0,TrRoad_emi!D60/TrRoad_tech!D175)</f>
        <v>1.0306963566539495</v>
      </c>
      <c r="E202" s="91">
        <f>IF(TrRoad_act!E63=0,0,TrRoad_emi!E60/TrRoad_tech!E175)</f>
        <v>0.92871341743650282</v>
      </c>
      <c r="F202" s="91">
        <f>IF(TrRoad_act!F63=0,0,TrRoad_emi!F60/TrRoad_tech!F175)</f>
        <v>4.425277953453481</v>
      </c>
      <c r="G202" s="91">
        <f>IF(TrRoad_act!G63=0,0,TrRoad_emi!G60/TrRoad_tech!G175)</f>
        <v>2.6483035330790559</v>
      </c>
      <c r="H202" s="91">
        <f>IF(TrRoad_act!H63=0,0,TrRoad_emi!H60/TrRoad_tech!H175)</f>
        <v>0.88404552283291116</v>
      </c>
      <c r="I202" s="91">
        <f>IF(TrRoad_act!I63=0,0,TrRoad_emi!I60/TrRoad_tech!I175)</f>
        <v>1.2227528642408676</v>
      </c>
      <c r="J202" s="91">
        <f>IF(TrRoad_act!J63=0,0,TrRoad_emi!J60/TrRoad_tech!J175)</f>
        <v>1.9259963172319079</v>
      </c>
      <c r="K202" s="91">
        <f>IF(TrRoad_act!K63=0,0,TrRoad_emi!K60/TrRoad_tech!K175)</f>
        <v>3.1524030969185914</v>
      </c>
      <c r="L202" s="91">
        <f>IF(TrRoad_act!L63=0,0,TrRoad_emi!L60/TrRoad_tech!L175)</f>
        <v>0.9187031698459085</v>
      </c>
      <c r="M202" s="91">
        <f>IF(TrRoad_act!M63=0,0,TrRoad_emi!M60/TrRoad_tech!M175)</f>
        <v>1.2315212237039301</v>
      </c>
      <c r="N202" s="91">
        <f>IF(TrRoad_act!N63=0,0,TrRoad_emi!N60/TrRoad_tech!N175)</f>
        <v>0.96941364133955343</v>
      </c>
      <c r="O202" s="91">
        <f>IF(TrRoad_act!O63=0,0,TrRoad_emi!O60/TrRoad_tech!O175)</f>
        <v>0.968650864360592</v>
      </c>
      <c r="P202" s="91">
        <f>IF(TrRoad_act!P63=0,0,TrRoad_emi!P60/TrRoad_tech!P175)</f>
        <v>0.96862461085624441</v>
      </c>
      <c r="Q202" s="91">
        <f>IF(TrRoad_act!Q63=0,0,TrRoad_emi!Q60/TrRoad_tech!Q175)</f>
        <v>0.86600168467474237</v>
      </c>
      <c r="R202" s="91">
        <f>IF(TrRoad_act!R63=0,0,TrRoad_emi!R60/TrRoad_tech!R175)</f>
        <v>1.0372003547036097</v>
      </c>
      <c r="S202" s="91">
        <f>IF(TrRoad_act!S63=0,0,TrRoad_emi!S60/TrRoad_tech!S175)</f>
        <v>1.0467751596077195</v>
      </c>
      <c r="T202" s="91">
        <f>IF(TrRoad_act!T63=0,0,TrRoad_emi!T60/TrRoad_tech!T175)</f>
        <v>1.0503169801142118</v>
      </c>
      <c r="U202" s="91">
        <f>IF(TrRoad_act!U63=0,0,TrRoad_emi!U60/TrRoad_tech!U175)</f>
        <v>1.0549085343548619</v>
      </c>
      <c r="V202" s="91">
        <f>IF(TrRoad_act!V63=0,0,TrRoad_emi!V60/TrRoad_tech!V175)</f>
        <v>0.89042085848030805</v>
      </c>
      <c r="W202" s="91">
        <f>IF(TrRoad_act!W63=0,0,TrRoad_emi!W60/TrRoad_tech!W175)</f>
        <v>0.72605561996123258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1.0444198976075643</v>
      </c>
      <c r="O204" s="91">
        <f>IF(TrRoad_act!O65=0,0,TrRoad_emi!O62/TrRoad_tech!O177)</f>
        <v>0.92044508259098068</v>
      </c>
      <c r="P204" s="91">
        <f>IF(TrRoad_act!P65=0,0,TrRoad_emi!P62/TrRoad_tech!P177)</f>
        <v>0.92115407385458903</v>
      </c>
      <c r="Q204" s="91">
        <f>IF(TrRoad_act!Q65=0,0,TrRoad_emi!Q62/TrRoad_tech!Q177)</f>
        <v>0.88070738493842604</v>
      </c>
      <c r="R204" s="91">
        <f>IF(TrRoad_act!R65=0,0,TrRoad_emi!R62/TrRoad_tech!R177)</f>
        <v>0.97883267708422028</v>
      </c>
      <c r="S204" s="91">
        <f>IF(TrRoad_act!S65=0,0,TrRoad_emi!S62/TrRoad_tech!S177)</f>
        <v>1.0206495016950623</v>
      </c>
      <c r="T204" s="91">
        <f>IF(TrRoad_act!T65=0,0,TrRoad_emi!T62/TrRoad_tech!T177)</f>
        <v>1.0231537130618633</v>
      </c>
      <c r="U204" s="91">
        <f>IF(TrRoad_act!U65=0,0,TrRoad_emi!U62/TrRoad_tech!U177)</f>
        <v>1.0205206793356694</v>
      </c>
      <c r="V204" s="91">
        <f>IF(TrRoad_act!V65=0,0,TrRoad_emi!V62/TrRoad_tech!V177)</f>
        <v>1.0210827293471867</v>
      </c>
      <c r="W204" s="91">
        <f>IF(TrRoad_act!W65=0,0,TrRoad_emi!W62/TrRoad_tech!W177)</f>
        <v>1.0053586104629451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1.0634154319103333</v>
      </c>
      <c r="C206" s="151">
        <f>IF(TrRoad_act!C67=0,0,TrRoad_emi!C64/TrRoad_tech!C179)</f>
        <v>1.1515468836314311</v>
      </c>
      <c r="D206" s="151">
        <f>IF(TrRoad_act!D67=0,0,TrRoad_emi!D64/TrRoad_tech!D179)</f>
        <v>1.1696601673887728</v>
      </c>
      <c r="E206" s="151">
        <f>IF(TrRoad_act!E67=0,0,TrRoad_emi!E64/TrRoad_tech!E179)</f>
        <v>1.1584830220481277</v>
      </c>
      <c r="F206" s="151">
        <f>IF(TrRoad_act!F67=0,0,TrRoad_emi!F64/TrRoad_tech!F179)</f>
        <v>1.0944089961166219</v>
      </c>
      <c r="G206" s="151">
        <f>IF(TrRoad_act!G67=0,0,TrRoad_emi!G64/TrRoad_tech!G179)</f>
        <v>1.0219515934257257</v>
      </c>
      <c r="H206" s="151">
        <f>IF(TrRoad_act!H67=0,0,TrRoad_emi!H64/TrRoad_tech!H179)</f>
        <v>1.0690561852165215</v>
      </c>
      <c r="I206" s="151">
        <f>IF(TrRoad_act!I67=0,0,TrRoad_emi!I64/TrRoad_tech!I179)</f>
        <v>1.003045987769319</v>
      </c>
      <c r="J206" s="151">
        <f>IF(TrRoad_act!J67=0,0,TrRoad_emi!J64/TrRoad_tech!J179)</f>
        <v>1.0247400814264891</v>
      </c>
      <c r="K206" s="151">
        <f>IF(TrRoad_act!K67=0,0,TrRoad_emi!K64/TrRoad_tech!K179)</f>
        <v>1.0403479865759746</v>
      </c>
      <c r="L206" s="151">
        <f>IF(TrRoad_act!L67=0,0,TrRoad_emi!L64/TrRoad_tech!L179)</f>
        <v>1.0827826981271536</v>
      </c>
      <c r="M206" s="151">
        <f>IF(TrRoad_act!M67=0,0,TrRoad_emi!M64/TrRoad_tech!M179)</f>
        <v>1.0654912347069139</v>
      </c>
      <c r="N206" s="151">
        <f>IF(TrRoad_act!N67=0,0,TrRoad_emi!N64/TrRoad_tech!N179)</f>
        <v>1.0886474941310156</v>
      </c>
      <c r="O206" s="151">
        <f>IF(TrRoad_act!O67=0,0,TrRoad_emi!O64/TrRoad_tech!O179)</f>
        <v>1.0797888006073897</v>
      </c>
      <c r="P206" s="151">
        <f>IF(TrRoad_act!P67=0,0,TrRoad_emi!P64/TrRoad_tech!P179)</f>
        <v>1.0989223039898808</v>
      </c>
      <c r="Q206" s="151">
        <f>IF(TrRoad_act!Q67=0,0,TrRoad_emi!Q64/TrRoad_tech!Q179)</f>
        <v>1.1032074181949836</v>
      </c>
      <c r="R206" s="151">
        <f>IF(TrRoad_act!R67=0,0,TrRoad_emi!R64/TrRoad_tech!R179)</f>
        <v>1.1197640571497876</v>
      </c>
      <c r="S206" s="151">
        <f>IF(TrRoad_act!S67=0,0,TrRoad_emi!S64/TrRoad_tech!S179)</f>
        <v>1.1547121457644303</v>
      </c>
      <c r="T206" s="151">
        <f>IF(TrRoad_act!T67=0,0,TrRoad_emi!T64/TrRoad_tech!T179)</f>
        <v>1.1637403158976332</v>
      </c>
      <c r="U206" s="151">
        <f>IF(TrRoad_act!U67=0,0,TrRoad_emi!U64/TrRoad_tech!U179)</f>
        <v>1.1445317779962922</v>
      </c>
      <c r="V206" s="151">
        <f>IF(TrRoad_act!V67=0,0,TrRoad_emi!V64/TrRoad_tech!V179)</f>
        <v>1.2113476336493127</v>
      </c>
      <c r="W206" s="151">
        <f>IF(TrRoad_act!W67=0,0,TrRoad_emi!W64/TrRoad_tech!W179)</f>
        <v>1.1921620522617318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1.169499080043898</v>
      </c>
      <c r="K207" s="93">
        <f>IF(TrRoad_act!K68=0,0,TrRoad_emi!K65/TrRoad_tech!K180)</f>
        <v>1.1674334777829736</v>
      </c>
      <c r="L207" s="93">
        <f>IF(TrRoad_act!L68=0,0,TrRoad_emi!L65/TrRoad_tech!L180)</f>
        <v>1.1319572627482615</v>
      </c>
      <c r="M207" s="93">
        <f>IF(TrRoad_act!M68=0,0,TrRoad_emi!M65/TrRoad_tech!M180)</f>
        <v>1.1299018682071409</v>
      </c>
      <c r="N207" s="93">
        <f>IF(TrRoad_act!N68=0,0,TrRoad_emi!N65/TrRoad_tech!N180)</f>
        <v>1.1200617483856068</v>
      </c>
      <c r="O207" s="93">
        <f>IF(TrRoad_act!O68=0,0,TrRoad_emi!O65/TrRoad_tech!O180)</f>
        <v>1.1207666540477463</v>
      </c>
      <c r="P207" s="93">
        <f>IF(TrRoad_act!P68=0,0,TrRoad_emi!P65/TrRoad_tech!P180)</f>
        <v>1.1351378900385307</v>
      </c>
      <c r="Q207" s="93">
        <f>IF(TrRoad_act!Q68=0,0,TrRoad_emi!Q65/TrRoad_tech!Q180)</f>
        <v>1.116002576101053</v>
      </c>
      <c r="R207" s="93">
        <f>IF(TrRoad_act!R68=0,0,TrRoad_emi!R65/TrRoad_tech!R180)</f>
        <v>1.1024953678949176</v>
      </c>
      <c r="S207" s="93">
        <f>IF(TrRoad_act!S68=0,0,TrRoad_emi!S65/TrRoad_tech!S180)</f>
        <v>1.0952950041428577</v>
      </c>
      <c r="T207" s="93">
        <f>IF(TrRoad_act!T68=0,0,TrRoad_emi!T65/TrRoad_tech!T180)</f>
        <v>1.0951644364546709</v>
      </c>
      <c r="U207" s="93">
        <f>IF(TrRoad_act!U68=0,0,TrRoad_emi!U65/TrRoad_tech!U180)</f>
        <v>1.0896164971920201</v>
      </c>
      <c r="V207" s="93">
        <f>IF(TrRoad_act!V68=0,0,TrRoad_emi!V65/TrRoad_tech!V180)</f>
        <v>1.0893504700506202</v>
      </c>
      <c r="W207" s="93">
        <f>IF(TrRoad_act!W68=0,0,TrRoad_emi!W65/TrRoad_tech!W180)</f>
        <v>1.0717933755638596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1.0634154319103333</v>
      </c>
      <c r="C208" s="93">
        <f>IF(TrRoad_act!C69=0,0,TrRoad_emi!C66/TrRoad_tech!C181)</f>
        <v>1.1617481683512265</v>
      </c>
      <c r="D208" s="93">
        <f>IF(TrRoad_act!D69=0,0,TrRoad_emi!D66/TrRoad_tech!D181)</f>
        <v>1.1815289894579111</v>
      </c>
      <c r="E208" s="93">
        <f>IF(TrRoad_act!E69=0,0,TrRoad_emi!E66/TrRoad_tech!E181)</f>
        <v>1.1769761969679151</v>
      </c>
      <c r="F208" s="93">
        <f>IF(TrRoad_act!F69=0,0,TrRoad_emi!F66/TrRoad_tech!F181)</f>
        <v>1.1218088526730874</v>
      </c>
      <c r="G208" s="93">
        <f>IF(TrRoad_act!G69=0,0,TrRoad_emi!G66/TrRoad_tech!G181)</f>
        <v>1.0489477022595277</v>
      </c>
      <c r="H208" s="93">
        <f>IF(TrRoad_act!H69=0,0,TrRoad_emi!H66/TrRoad_tech!H181)</f>
        <v>1.1009557006600019</v>
      </c>
      <c r="I208" s="93">
        <f>IF(TrRoad_act!I69=0,0,TrRoad_emi!I66/TrRoad_tech!I181)</f>
        <v>1.0338252292480969</v>
      </c>
      <c r="J208" s="93">
        <f>IF(TrRoad_act!J69=0,0,TrRoad_emi!J66/TrRoad_tech!J181)</f>
        <v>1.0550788692935977</v>
      </c>
      <c r="K208" s="93">
        <f>IF(TrRoad_act!K69=0,0,TrRoad_emi!K66/TrRoad_tech!K181)</f>
        <v>1.0688077966174547</v>
      </c>
      <c r="L208" s="93">
        <f>IF(TrRoad_act!L69=0,0,TrRoad_emi!L66/TrRoad_tech!L181)</f>
        <v>1.1060589879212219</v>
      </c>
      <c r="M208" s="93">
        <f>IF(TrRoad_act!M69=0,0,TrRoad_emi!M66/TrRoad_tech!M181)</f>
        <v>1.0838354008788267</v>
      </c>
      <c r="N208" s="93">
        <f>IF(TrRoad_act!N69=0,0,TrRoad_emi!N66/TrRoad_tech!N181)</f>
        <v>1.101352771942619</v>
      </c>
      <c r="O208" s="93">
        <f>IF(TrRoad_act!O69=0,0,TrRoad_emi!O66/TrRoad_tech!O181)</f>
        <v>1.0850996414228868</v>
      </c>
      <c r="P208" s="93">
        <f>IF(TrRoad_act!P69=0,0,TrRoad_emi!P66/TrRoad_tech!P181)</f>
        <v>1.1052360687243874</v>
      </c>
      <c r="Q208" s="93">
        <f>IF(TrRoad_act!Q69=0,0,TrRoad_emi!Q66/TrRoad_tech!Q181)</f>
        <v>1.1074368922321145</v>
      </c>
      <c r="R208" s="93">
        <f>IF(TrRoad_act!R69=0,0,TrRoad_emi!R66/TrRoad_tech!R181)</f>
        <v>1.123923142664647</v>
      </c>
      <c r="S208" s="93">
        <f>IF(TrRoad_act!S69=0,0,TrRoad_emi!S66/TrRoad_tech!S181)</f>
        <v>1.1599879280622944</v>
      </c>
      <c r="T208" s="93">
        <f>IF(TrRoad_act!T69=0,0,TrRoad_emi!T66/TrRoad_tech!T181)</f>
        <v>1.1657362077284095</v>
      </c>
      <c r="U208" s="93">
        <f>IF(TrRoad_act!U69=0,0,TrRoad_emi!U66/TrRoad_tech!U181)</f>
        <v>1.1436308338887184</v>
      </c>
      <c r="V208" s="93">
        <f>IF(TrRoad_act!V69=0,0,TrRoad_emi!V66/TrRoad_tech!V181)</f>
        <v>1.1681772479655954</v>
      </c>
      <c r="W208" s="93">
        <f>IF(TrRoad_act!W69=0,0,TrRoad_emi!W66/TrRoad_tech!W181)</f>
        <v>1.1806539413499029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1.1693333333396365</v>
      </c>
      <c r="K209" s="93">
        <f>IF(TrRoad_act!K70=0,0,TrRoad_emi!K67/TrRoad_tech!K182)</f>
        <v>1.1709967597949631</v>
      </c>
      <c r="L209" s="93">
        <f>IF(TrRoad_act!L70=0,0,TrRoad_emi!L67/TrRoad_tech!L182)</f>
        <v>1.1866075942532421</v>
      </c>
      <c r="M209" s="93">
        <f>IF(TrRoad_act!M70=0,0,TrRoad_emi!M67/TrRoad_tech!M182)</f>
        <v>1.1918727721390658</v>
      </c>
      <c r="N209" s="93">
        <f>IF(TrRoad_act!N70=0,0,TrRoad_emi!N67/TrRoad_tech!N182)</f>
        <v>1.1918727721390663</v>
      </c>
      <c r="O209" s="93">
        <f>IF(TrRoad_act!O70=0,0,TrRoad_emi!O67/TrRoad_tech!O182)</f>
        <v>1.1933865097334899</v>
      </c>
      <c r="P209" s="93">
        <f>IF(TrRoad_act!P70=0,0,TrRoad_emi!P67/TrRoad_tech!P182)</f>
        <v>1.1946616346327477</v>
      </c>
      <c r="Q209" s="93">
        <f>IF(TrRoad_act!Q70=0,0,TrRoad_emi!Q67/TrRoad_tech!Q182)</f>
        <v>1.1951421150465273</v>
      </c>
      <c r="R209" s="93">
        <f>IF(TrRoad_act!R70=0,0,TrRoad_emi!R67/TrRoad_tech!R182)</f>
        <v>1.1968309831144015</v>
      </c>
      <c r="S209" s="93">
        <f>IF(TrRoad_act!S70=0,0,TrRoad_emi!S67/TrRoad_tech!S182)</f>
        <v>1.1971558633659019</v>
      </c>
      <c r="T209" s="93">
        <f>IF(TrRoad_act!T70=0,0,TrRoad_emi!T67/TrRoad_tech!T182)</f>
        <v>1.204812965454426</v>
      </c>
      <c r="U209" s="93">
        <f>IF(TrRoad_act!U70=0,0,TrRoad_emi!U67/TrRoad_tech!U182)</f>
        <v>1.2055942597107363</v>
      </c>
      <c r="V209" s="93">
        <f>IF(TrRoad_act!V70=0,0,TrRoad_emi!V67/TrRoad_tech!V182)</f>
        <v>1.2053452998021774</v>
      </c>
      <c r="W209" s="93">
        <f>IF(TrRoad_act!W70=0,0,TrRoad_emi!W67/TrRoad_tech!W182)</f>
        <v>1.2060682410248109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0.9927644690098798</v>
      </c>
      <c r="C213" s="150">
        <f>IF(TrRoad_act!C74=0,0,TrRoad_emi!C71/TrRoad_tech!C186)</f>
        <v>1.0141531808208801</v>
      </c>
      <c r="D213" s="150">
        <f>IF(TrRoad_act!D74=0,0,TrRoad_emi!D71/TrRoad_tech!D186)</f>
        <v>1.0266848265379185</v>
      </c>
      <c r="E213" s="150">
        <f>IF(TrRoad_act!E74=0,0,TrRoad_emi!E71/TrRoad_tech!E186)</f>
        <v>1.0398837626703907</v>
      </c>
      <c r="F213" s="150">
        <f>IF(TrRoad_act!F74=0,0,TrRoad_emi!F71/TrRoad_tech!F186)</f>
        <v>1.0254511876668175</v>
      </c>
      <c r="G213" s="150">
        <f>IF(TrRoad_act!G74=0,0,TrRoad_emi!G71/TrRoad_tech!G186)</f>
        <v>1.0642387582727155</v>
      </c>
      <c r="H213" s="150">
        <f>IF(TrRoad_act!H74=0,0,TrRoad_emi!H71/TrRoad_tech!H186)</f>
        <v>1.092540851856088</v>
      </c>
      <c r="I213" s="150">
        <f>IF(TrRoad_act!I74=0,0,TrRoad_emi!I71/TrRoad_tech!I186)</f>
        <v>1.0734588501980575</v>
      </c>
      <c r="J213" s="150">
        <f>IF(TrRoad_act!J74=0,0,TrRoad_emi!J71/TrRoad_tech!J186)</f>
        <v>1.0994753422813861</v>
      </c>
      <c r="K213" s="150">
        <f>IF(TrRoad_act!K74=0,0,TrRoad_emi!K71/TrRoad_tech!K186)</f>
        <v>1.1500808506415392</v>
      </c>
      <c r="L213" s="150">
        <f>IF(TrRoad_act!L74=0,0,TrRoad_emi!L71/TrRoad_tech!L186)</f>
        <v>1.2088356637690434</v>
      </c>
      <c r="M213" s="150">
        <f>IF(TrRoad_act!M74=0,0,TrRoad_emi!M71/TrRoad_tech!M186)</f>
        <v>1.2613508472301191</v>
      </c>
      <c r="N213" s="150">
        <f>IF(TrRoad_act!N74=0,0,TrRoad_emi!N71/TrRoad_tech!N186)</f>
        <v>1.2589187773555346</v>
      </c>
      <c r="O213" s="150">
        <f>IF(TrRoad_act!O74=0,0,TrRoad_emi!O71/TrRoad_tech!O186)</f>
        <v>1.2464382384474024</v>
      </c>
      <c r="P213" s="150">
        <f>IF(TrRoad_act!P74=0,0,TrRoad_emi!P71/TrRoad_tech!P186)</f>
        <v>1.2262573234763112</v>
      </c>
      <c r="Q213" s="150">
        <f>IF(TrRoad_act!Q74=0,0,TrRoad_emi!Q71/TrRoad_tech!Q186)</f>
        <v>1.190371523895388</v>
      </c>
      <c r="R213" s="150">
        <f>IF(TrRoad_act!R74=0,0,TrRoad_emi!R71/TrRoad_tech!R186)</f>
        <v>1.1811970715094391</v>
      </c>
      <c r="S213" s="150">
        <f>IF(TrRoad_act!S74=0,0,TrRoad_emi!S71/TrRoad_tech!S186)</f>
        <v>1.249110875156576</v>
      </c>
      <c r="T213" s="150">
        <f>IF(TrRoad_act!T74=0,0,TrRoad_emi!T71/TrRoad_tech!T186)</f>
        <v>1.2261384071007952</v>
      </c>
      <c r="U213" s="150">
        <f>IF(TrRoad_act!U74=0,0,TrRoad_emi!U71/TrRoad_tech!U186)</f>
        <v>1.1588582373853649</v>
      </c>
      <c r="V213" s="150">
        <f>IF(TrRoad_act!V74=0,0,TrRoad_emi!V71/TrRoad_tech!V186)</f>
        <v>1.1046775023865458</v>
      </c>
      <c r="W213" s="150">
        <f>IF(TrRoad_act!W74=0,0,TrRoad_emi!W71/TrRoad_tech!W186)</f>
        <v>1.1539236025518931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1.1000661332826833</v>
      </c>
      <c r="C214" s="91">
        <f>IF(TrRoad_act!C75=0,0,TrRoad_emi!C72/TrRoad_tech!C187)</f>
        <v>1.1000398821228348</v>
      </c>
      <c r="D214" s="91">
        <f>IF(TrRoad_act!D75=0,0,TrRoad_emi!D72/TrRoad_tech!D187)</f>
        <v>1.1001549477749051</v>
      </c>
      <c r="E214" s="91">
        <f>IF(TrRoad_act!E75=0,0,TrRoad_emi!E72/TrRoad_tech!E187)</f>
        <v>1.1002853319485653</v>
      </c>
      <c r="F214" s="91">
        <f>IF(TrRoad_act!F75=0,0,TrRoad_emi!F72/TrRoad_tech!F187)</f>
        <v>1.1003669071103359</v>
      </c>
      <c r="G214" s="91">
        <f>IF(TrRoad_act!G75=0,0,TrRoad_emi!G72/TrRoad_tech!G187)</f>
        <v>1.1004839156497801</v>
      </c>
      <c r="H214" s="91">
        <f>IF(TrRoad_act!H75=0,0,TrRoad_emi!H72/TrRoad_tech!H187)</f>
        <v>1.1015181661452769</v>
      </c>
      <c r="I214" s="91">
        <f>IF(TrRoad_act!I75=0,0,TrRoad_emi!I72/TrRoad_tech!I187)</f>
        <v>1.102862479064634</v>
      </c>
      <c r="J214" s="91">
        <f>IF(TrRoad_act!J75=0,0,TrRoad_emi!J72/TrRoad_tech!J187)</f>
        <v>1.104246544981716</v>
      </c>
      <c r="K214" s="91">
        <f>IF(TrRoad_act!K75=0,0,TrRoad_emi!K72/TrRoad_tech!K187)</f>
        <v>1.1041768254724407</v>
      </c>
      <c r="L214" s="91">
        <f>IF(TrRoad_act!L75=0,0,TrRoad_emi!L72/TrRoad_tech!L187)</f>
        <v>1.0718133163882295</v>
      </c>
      <c r="M214" s="91">
        <f>IF(TrRoad_act!M75=0,0,TrRoad_emi!M72/TrRoad_tech!M187)</f>
        <v>1.0719449410966122</v>
      </c>
      <c r="N214" s="91">
        <f>IF(TrRoad_act!N75=0,0,TrRoad_emi!N72/TrRoad_tech!N187)</f>
        <v>1.066154221211443</v>
      </c>
      <c r="O214" s="91">
        <f>IF(TrRoad_act!O75=0,0,TrRoad_emi!O72/TrRoad_tech!O187)</f>
        <v>1.0683549902328704</v>
      </c>
      <c r="P214" s="91">
        <f>IF(TrRoad_act!P75=0,0,TrRoad_emi!P72/TrRoad_tech!P187)</f>
        <v>1.0850447408551784</v>
      </c>
      <c r="Q214" s="91">
        <f>IF(TrRoad_act!Q75=0,0,TrRoad_emi!Q72/TrRoad_tech!Q187)</f>
        <v>1.0692859422293466</v>
      </c>
      <c r="R214" s="91">
        <f>IF(TrRoad_act!R75=0,0,TrRoad_emi!R72/TrRoad_tech!R187)</f>
        <v>1.0677402876780859</v>
      </c>
      <c r="S214" s="91">
        <f>IF(TrRoad_act!S75=0,0,TrRoad_emi!S72/TrRoad_tech!S187)</f>
        <v>1.074503078165457</v>
      </c>
      <c r="T214" s="91">
        <f>IF(TrRoad_act!T75=0,0,TrRoad_emi!T72/TrRoad_tech!T187)</f>
        <v>1.0872927510711896</v>
      </c>
      <c r="U214" s="91">
        <f>IF(TrRoad_act!U75=0,0,TrRoad_emi!U72/TrRoad_tech!U187)</f>
        <v>1.0919655222118603</v>
      </c>
      <c r="V214" s="91">
        <f>IF(TrRoad_act!V75=0,0,TrRoad_emi!V72/TrRoad_tech!V187)</f>
        <v>1.1007593979285775</v>
      </c>
      <c r="W214" s="91">
        <f>IF(TrRoad_act!W75=0,0,TrRoad_emi!W72/TrRoad_tech!W187)</f>
        <v>1.0930752575871463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1.0004009450363553</v>
      </c>
      <c r="C215" s="91">
        <f>IF(TrRoad_act!C76=0,0,TrRoad_emi!C73/TrRoad_tech!C188)</f>
        <v>1.0466101176913585</v>
      </c>
      <c r="D215" s="91">
        <f>IF(TrRoad_act!D76=0,0,TrRoad_emi!D73/TrRoad_tech!D188)</f>
        <v>1.0587551075302131</v>
      </c>
      <c r="E215" s="91">
        <f>IF(TrRoad_act!E76=0,0,TrRoad_emi!E73/TrRoad_tech!E188)</f>
        <v>1.0694758040373844</v>
      </c>
      <c r="F215" s="91">
        <f>IF(TrRoad_act!F76=0,0,TrRoad_emi!F73/TrRoad_tech!F188)</f>
        <v>1.0312564431418481</v>
      </c>
      <c r="G215" s="91">
        <f>IF(TrRoad_act!G76=0,0,TrRoad_emi!G73/TrRoad_tech!G188)</f>
        <v>1.0759706673498137</v>
      </c>
      <c r="H215" s="91">
        <f>IF(TrRoad_act!H76=0,0,TrRoad_emi!H73/TrRoad_tech!H188)</f>
        <v>1.0985842918525299</v>
      </c>
      <c r="I215" s="91">
        <f>IF(TrRoad_act!I76=0,0,TrRoad_emi!I73/TrRoad_tech!I188)</f>
        <v>1.0579361131573417</v>
      </c>
      <c r="J215" s="91">
        <f>IF(TrRoad_act!J76=0,0,TrRoad_emi!J73/TrRoad_tech!J188)</f>
        <v>1.0567608814482929</v>
      </c>
      <c r="K215" s="91">
        <f>IF(TrRoad_act!K76=0,0,TrRoad_emi!K73/TrRoad_tech!K188)</f>
        <v>1.0536102724779715</v>
      </c>
      <c r="L215" s="91">
        <f>IF(TrRoad_act!L76=0,0,TrRoad_emi!L73/TrRoad_tech!L188)</f>
        <v>1.0699023608516316</v>
      </c>
      <c r="M215" s="91">
        <f>IF(TrRoad_act!M76=0,0,TrRoad_emi!M73/TrRoad_tech!M188)</f>
        <v>1.0537489475193047</v>
      </c>
      <c r="N215" s="91">
        <f>IF(TrRoad_act!N76=0,0,TrRoad_emi!N73/TrRoad_tech!N188)</f>
        <v>1.0982241839782281</v>
      </c>
      <c r="O215" s="91">
        <f>IF(TrRoad_act!O76=0,0,TrRoad_emi!O73/TrRoad_tech!O188)</f>
        <v>1.0653208290823333</v>
      </c>
      <c r="P215" s="91">
        <f>IF(TrRoad_act!P76=0,0,TrRoad_emi!P73/TrRoad_tech!P188)</f>
        <v>1.0767179113765222</v>
      </c>
      <c r="Q215" s="91">
        <f>IF(TrRoad_act!Q76=0,0,TrRoad_emi!Q73/TrRoad_tech!Q188)</f>
        <v>1.0748968471426918</v>
      </c>
      <c r="R215" s="91">
        <f>IF(TrRoad_act!R76=0,0,TrRoad_emi!R73/TrRoad_tech!R188)</f>
        <v>1.0906608908253661</v>
      </c>
      <c r="S215" s="91">
        <f>IF(TrRoad_act!S76=0,0,TrRoad_emi!S73/TrRoad_tech!S188)</f>
        <v>1.1060730972050663</v>
      </c>
      <c r="T215" s="91">
        <f>IF(TrRoad_act!T76=0,0,TrRoad_emi!T73/TrRoad_tech!T188)</f>
        <v>1.112443964241189</v>
      </c>
      <c r="U215" s="91">
        <f>IF(TrRoad_act!U76=0,0,TrRoad_emi!U73/TrRoad_tech!U188)</f>
        <v>1.0939526423795081</v>
      </c>
      <c r="V215" s="91">
        <f>IF(TrRoad_act!V76=0,0,TrRoad_emi!V73/TrRoad_tech!V188)</f>
        <v>1.073010772909601</v>
      </c>
      <c r="W215" s="91">
        <f>IF(TrRoad_act!W76=0,0,TrRoad_emi!W73/TrRoad_tech!W188)</f>
        <v>1.0977991176287152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1.137153116832387</v>
      </c>
      <c r="K216" s="91">
        <f>IF(TrRoad_act!K77=0,0,TrRoad_emi!K74/TrRoad_tech!K189)</f>
        <v>1.1371531168323867</v>
      </c>
      <c r="L216" s="91">
        <f>IF(TrRoad_act!L77=0,0,TrRoad_emi!L74/TrRoad_tech!L189)</f>
        <v>1.137153116832387</v>
      </c>
      <c r="M216" s="91">
        <f>IF(TrRoad_act!M77=0,0,TrRoad_emi!M74/TrRoad_tech!M189)</f>
        <v>1.140610310286003</v>
      </c>
      <c r="N216" s="91">
        <f>IF(TrRoad_act!N77=0,0,TrRoad_emi!N74/TrRoad_tech!N189)</f>
        <v>1.1629168154030054</v>
      </c>
      <c r="O216" s="91">
        <f>IF(TrRoad_act!O77=0,0,TrRoad_emi!O74/TrRoad_tech!O189)</f>
        <v>1.1629168154030058</v>
      </c>
      <c r="P216" s="91">
        <f>IF(TrRoad_act!P77=0,0,TrRoad_emi!P74/TrRoad_tech!P189)</f>
        <v>1.1749910595951929</v>
      </c>
      <c r="Q216" s="91">
        <f>IF(TrRoad_act!Q77=0,0,TrRoad_emi!Q74/TrRoad_tech!Q189)</f>
        <v>1.1833282742401339</v>
      </c>
      <c r="R216" s="91">
        <f>IF(TrRoad_act!R77=0,0,TrRoad_emi!R74/TrRoad_tech!R189)</f>
        <v>1.2007087859559953</v>
      </c>
      <c r="S216" s="91">
        <f>IF(TrRoad_act!S77=0,0,TrRoad_emi!S74/TrRoad_tech!S189)</f>
        <v>1.2007087859559951</v>
      </c>
      <c r="T216" s="91">
        <f>IF(TrRoad_act!T77=0,0,TrRoad_emi!T74/TrRoad_tech!T189)</f>
        <v>1.2030301266471066</v>
      </c>
      <c r="U216" s="91">
        <f>IF(TrRoad_act!U77=0,0,TrRoad_emi!U74/TrRoad_tech!U189)</f>
        <v>1.2030301266471064</v>
      </c>
      <c r="V216" s="91">
        <f>IF(TrRoad_act!V77=0,0,TrRoad_emi!V74/TrRoad_tech!V189)</f>
        <v>1.2058872751497989</v>
      </c>
      <c r="W216" s="91">
        <f>IF(TrRoad_act!W77=0,0,TrRoad_emi!W74/TrRoad_tech!W189)</f>
        <v>1.2535039622336752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1.0729960494322286</v>
      </c>
      <c r="C219" s="151">
        <f>IF(TrRoad_act!C80=0,0,TrRoad_emi!C77/TrRoad_tech!C192)</f>
        <v>1.4819337292911896</v>
      </c>
      <c r="D219" s="151">
        <f>IF(TrRoad_act!D80=0,0,TrRoad_emi!D77/TrRoad_tech!D192)</f>
        <v>1.5858358513765696</v>
      </c>
      <c r="E219" s="151">
        <f>IF(TrRoad_act!E80=0,0,TrRoad_emi!E77/TrRoad_tech!E192)</f>
        <v>1.6200703794235294</v>
      </c>
      <c r="F219" s="151">
        <f>IF(TrRoad_act!F80=0,0,TrRoad_emi!F77/TrRoad_tech!F192)</f>
        <v>1.3389133817683649</v>
      </c>
      <c r="G219" s="151">
        <f>IF(TrRoad_act!G80=0,0,TrRoad_emi!G77/TrRoad_tech!G192)</f>
        <v>0.96192864608280881</v>
      </c>
      <c r="H219" s="151">
        <f>IF(TrRoad_act!H80=0,0,TrRoad_emi!H77/TrRoad_tech!H192)</f>
        <v>1.1586767458046696</v>
      </c>
      <c r="I219" s="151">
        <f>IF(TrRoad_act!I80=0,0,TrRoad_emi!I77/TrRoad_tech!I192)</f>
        <v>0.95644880618632566</v>
      </c>
      <c r="J219" s="151">
        <f>IF(TrRoad_act!J80=0,0,TrRoad_emi!J77/TrRoad_tech!J192)</f>
        <v>1.0514856538231936</v>
      </c>
      <c r="K219" s="151">
        <f>IF(TrRoad_act!K80=0,0,TrRoad_emi!K77/TrRoad_tech!K192)</f>
        <v>1.2373922438438796</v>
      </c>
      <c r="L219" s="151">
        <f>IF(TrRoad_act!L80=0,0,TrRoad_emi!L77/TrRoad_tech!L192)</f>
        <v>1.4904210361039174</v>
      </c>
      <c r="M219" s="151">
        <f>IF(TrRoad_act!M80=0,0,TrRoad_emi!M77/TrRoad_tech!M192)</f>
        <v>1.5433163714176474</v>
      </c>
      <c r="N219" s="151">
        <f>IF(TrRoad_act!N80=0,0,TrRoad_emi!N77/TrRoad_tech!N192)</f>
        <v>1.3192723273180007</v>
      </c>
      <c r="O219" s="151">
        <f>IF(TrRoad_act!O80=0,0,TrRoad_emi!O77/TrRoad_tech!O192)</f>
        <v>1.298426913287519</v>
      </c>
      <c r="P219" s="151">
        <f>IF(TrRoad_act!P80=0,0,TrRoad_emi!P77/TrRoad_tech!P192)</f>
        <v>1.2519800433847246</v>
      </c>
      <c r="Q219" s="151">
        <f>IF(TrRoad_act!Q80=0,0,TrRoad_emi!Q77/TrRoad_tech!Q192)</f>
        <v>1.1712039822430795</v>
      </c>
      <c r="R219" s="151">
        <f>IF(TrRoad_act!R80=0,0,TrRoad_emi!R77/TrRoad_tech!R192)</f>
        <v>1.3089880153471318</v>
      </c>
      <c r="S219" s="151">
        <f>IF(TrRoad_act!S80=0,0,TrRoad_emi!S77/TrRoad_tech!S192)</f>
        <v>1.4218824448550118</v>
      </c>
      <c r="T219" s="151">
        <f>IF(TrRoad_act!T80=0,0,TrRoad_emi!T77/TrRoad_tech!T192)</f>
        <v>1.3232500915783529</v>
      </c>
      <c r="U219" s="151">
        <f>IF(TrRoad_act!U80=0,0,TrRoad_emi!U77/TrRoad_tech!U192)</f>
        <v>1.3064839743730623</v>
      </c>
      <c r="V219" s="151">
        <f>IF(TrRoad_act!V80=0,0,TrRoad_emi!V77/TrRoad_tech!V192)</f>
        <v>1.3190271266350926</v>
      </c>
      <c r="W219" s="151">
        <f>IF(TrRoad_act!W80=0,0,TrRoad_emi!W77/TrRoad_tech!W192)</f>
        <v>1.2650698114653334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1.1572251497351569</v>
      </c>
      <c r="C220" s="93">
        <f>IF(TrRoad_act!C81=0,0,TrRoad_emi!C78/TrRoad_tech!C193)</f>
        <v>1.3316528622801613</v>
      </c>
      <c r="D220" s="93">
        <f>IF(TrRoad_act!D81=0,0,TrRoad_emi!D78/TrRoad_tech!D193)</f>
        <v>1.3780310708435675</v>
      </c>
      <c r="E220" s="93">
        <f>IF(TrRoad_act!E81=0,0,TrRoad_emi!E78/TrRoad_tech!E193)</f>
        <v>1.3956110135542701</v>
      </c>
      <c r="F220" s="93">
        <f>IF(TrRoad_act!F81=0,0,TrRoad_emi!F78/TrRoad_tech!F193)</f>
        <v>1.2797248690202372</v>
      </c>
      <c r="G220" s="93">
        <f>IF(TrRoad_act!G81=0,0,TrRoad_emi!G78/TrRoad_tech!G193)</f>
        <v>1.1242777796188101</v>
      </c>
      <c r="H220" s="93">
        <f>IF(TrRoad_act!H81=0,0,TrRoad_emi!H78/TrRoad_tech!H193)</f>
        <v>1.2122608609937884</v>
      </c>
      <c r="I220" s="93">
        <f>IF(TrRoad_act!I81=0,0,TrRoad_emi!I78/TrRoad_tech!I193)</f>
        <v>1.1161216475332907</v>
      </c>
      <c r="J220" s="93">
        <f>IF(TrRoad_act!J81=0,0,TrRoad_emi!J78/TrRoad_tech!J193)</f>
        <v>1.1460165212787885</v>
      </c>
      <c r="K220" s="93">
        <f>IF(TrRoad_act!K81=0,0,TrRoad_emi!K78/TrRoad_tech!K193)</f>
        <v>1.2166416802154223</v>
      </c>
      <c r="L220" s="93">
        <f>IF(TrRoad_act!L81=0,0,TrRoad_emi!L78/TrRoad_tech!L193)</f>
        <v>1.3451172431857701</v>
      </c>
      <c r="M220" s="93">
        <f>IF(TrRoad_act!M81=0,0,TrRoad_emi!M78/TrRoad_tech!M193)</f>
        <v>1.352661257439294</v>
      </c>
      <c r="N220" s="93">
        <f>IF(TrRoad_act!N81=0,0,TrRoad_emi!N78/TrRoad_tech!N193)</f>
        <v>1.2660409731968747</v>
      </c>
      <c r="O220" s="93">
        <f>IF(TrRoad_act!O81=0,0,TrRoad_emi!O78/TrRoad_tech!O193)</f>
        <v>1.2595925892704147</v>
      </c>
      <c r="P220" s="93">
        <f>IF(TrRoad_act!P81=0,0,TrRoad_emi!P78/TrRoad_tech!P193)</f>
        <v>1.2499507763715503</v>
      </c>
      <c r="Q220" s="93">
        <f>IF(TrRoad_act!Q81=0,0,TrRoad_emi!Q78/TrRoad_tech!Q193)</f>
        <v>1.2185271407199025</v>
      </c>
      <c r="R220" s="93">
        <f>IF(TrRoad_act!R81=0,0,TrRoad_emi!R78/TrRoad_tech!R193)</f>
        <v>1.2822326603333698</v>
      </c>
      <c r="S220" s="93">
        <f>IF(TrRoad_act!S81=0,0,TrRoad_emi!S78/TrRoad_tech!S193)</f>
        <v>1.3371353792921215</v>
      </c>
      <c r="T220" s="93">
        <f>IF(TrRoad_act!T81=0,0,TrRoad_emi!T78/TrRoad_tech!T193)</f>
        <v>1.3091158668092429</v>
      </c>
      <c r="U220" s="93">
        <f>IF(TrRoad_act!U81=0,0,TrRoad_emi!U78/TrRoad_tech!U193)</f>
        <v>1.2967301029604721</v>
      </c>
      <c r="V220" s="93">
        <f>IF(TrRoad_act!V81=0,0,TrRoad_emi!V78/TrRoad_tech!V193)</f>
        <v>1.2955031955116949</v>
      </c>
      <c r="W220" s="93">
        <f>IF(TrRoad_act!W81=0,0,TrRoad_emi!W78/TrRoad_tech!W193)</f>
        <v>1.2914523832176865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1.1002533166419106</v>
      </c>
      <c r="C221" s="94">
        <f>IF(TrRoad_act!C82=0,0,TrRoad_emi!C79/TrRoad_tech!C194)</f>
        <v>1.7995658622578525</v>
      </c>
      <c r="D221" s="94">
        <f>IF(TrRoad_act!D82=0,0,TrRoad_emi!D79/TrRoad_tech!D194)</f>
        <v>1.9798976084404865</v>
      </c>
      <c r="E221" s="94">
        <f>IF(TrRoad_act!E82=0,0,TrRoad_emi!E79/TrRoad_tech!E194)</f>
        <v>2.1081909629850579</v>
      </c>
      <c r="F221" s="94">
        <f>IF(TrRoad_act!F82=0,0,TrRoad_emi!F79/TrRoad_tech!F194)</f>
        <v>1.5892888150413393</v>
      </c>
      <c r="G221" s="94">
        <f>IF(TrRoad_act!G82=0,0,TrRoad_emi!G79/TrRoad_tech!G194)</f>
        <v>0.87984161193916899</v>
      </c>
      <c r="H221" s="94">
        <f>IF(TrRoad_act!H82=0,0,TrRoad_emi!H79/TrRoad_tech!H194)</f>
        <v>1.2897079942541829</v>
      </c>
      <c r="I221" s="94">
        <f>IF(TrRoad_act!I82=0,0,TrRoad_emi!I79/TrRoad_tech!I194)</f>
        <v>0.81119092829909989</v>
      </c>
      <c r="J221" s="94">
        <f>IF(TrRoad_act!J82=0,0,TrRoad_emi!J79/TrRoad_tech!J194)</f>
        <v>1.0633912540497228</v>
      </c>
      <c r="K221" s="94">
        <f>IF(TrRoad_act!K82=0,0,TrRoad_emi!K79/TrRoad_tech!K194)</f>
        <v>1.8213189253354134</v>
      </c>
      <c r="L221" s="94">
        <f>IF(TrRoad_act!L82=0,0,TrRoad_emi!L79/TrRoad_tech!L194)</f>
        <v>2.4092575568132539</v>
      </c>
      <c r="M221" s="94">
        <f>IF(TrRoad_act!M82=0,0,TrRoad_emi!M79/TrRoad_tech!M194)</f>
        <v>2.624153048763413</v>
      </c>
      <c r="N221" s="94">
        <f>IF(TrRoad_act!N82=0,0,TrRoad_emi!N79/TrRoad_tech!N194)</f>
        <v>1.862657121007478</v>
      </c>
      <c r="O221" s="94">
        <f>IF(TrRoad_act!O82=0,0,TrRoad_emi!O79/TrRoad_tech!O194)</f>
        <v>1.7666721256513962</v>
      </c>
      <c r="P221" s="94">
        <f>IF(TrRoad_act!P82=0,0,TrRoad_emi!P79/TrRoad_tech!P194)</f>
        <v>1.6039355654156626</v>
      </c>
      <c r="Q221" s="94">
        <f>IF(TrRoad_act!Q82=0,0,TrRoad_emi!Q79/TrRoad_tech!Q194)</f>
        <v>1.3652009187270304</v>
      </c>
      <c r="R221" s="94">
        <f>IF(TrRoad_act!R82=0,0,TrRoad_emi!R79/TrRoad_tech!R194)</f>
        <v>1.7347034856296584</v>
      </c>
      <c r="S221" s="94">
        <f>IF(TrRoad_act!S82=0,0,TrRoad_emi!S79/TrRoad_tech!S194)</f>
        <v>1.9712532168628196</v>
      </c>
      <c r="T221" s="94">
        <f>IF(TrRoad_act!T82=0,0,TrRoad_emi!T79/TrRoad_tech!T194)</f>
        <v>1.6823293065578326</v>
      </c>
      <c r="U221" s="94">
        <f>IF(TrRoad_act!U82=0,0,TrRoad_emi!U79/TrRoad_tech!U194)</f>
        <v>1.6658890837305225</v>
      </c>
      <c r="V221" s="94">
        <f>IF(TrRoad_act!V82=0,0,TrRoad_emi!V79/TrRoad_tech!V194)</f>
        <v>1.7996599458702875</v>
      </c>
      <c r="W221" s="94">
        <f>IF(TrRoad_act!W82=0,0,TrRoad_emi!W79/TrRoad_tech!W194)</f>
        <v>1.5079040029246549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0</v>
      </c>
      <c r="C225" s="152">
        <v>111.5238305259079</v>
      </c>
      <c r="D225" s="152">
        <v>110.84942844394818</v>
      </c>
      <c r="E225" s="152">
        <v>109.46195443587968</v>
      </c>
      <c r="F225" s="152">
        <v>109.31036864681535</v>
      </c>
      <c r="G225" s="152">
        <v>107.83782098161886</v>
      </c>
      <c r="H225" s="152">
        <v>105.66302894667537</v>
      </c>
      <c r="I225" s="152">
        <v>104.1131415931808</v>
      </c>
      <c r="J225" s="152">
        <v>99.058219566014785</v>
      </c>
      <c r="K225" s="152">
        <v>93.605771540996386</v>
      </c>
      <c r="L225" s="152">
        <v>90.201278462112597</v>
      </c>
      <c r="M225" s="152">
        <v>85.871804260984788</v>
      </c>
      <c r="N225" s="152">
        <v>84.778353802923604</v>
      </c>
      <c r="O225" s="152">
        <v>80.297583402097786</v>
      </c>
      <c r="P225" s="152">
        <v>78.773882440526393</v>
      </c>
      <c r="Q225" s="152">
        <v>77.025323376074397</v>
      </c>
      <c r="R225" s="152">
        <v>75.304765632611605</v>
      </c>
      <c r="S225" s="152">
        <v>73.928319437841381</v>
      </c>
      <c r="T225" s="152">
        <v>72.827162482025201</v>
      </c>
      <c r="U225" s="152">
        <v>71.946236917372246</v>
      </c>
      <c r="V225" s="152">
        <v>71.241496465649888</v>
      </c>
      <c r="W225" s="152">
        <v>70.677704104271996</v>
      </c>
      <c r="DA225" s="174" t="s">
        <v>931</v>
      </c>
    </row>
    <row r="226" spans="1:105" ht="11.45" customHeight="1" x14ac:dyDescent="0.25">
      <c r="A226" s="109" t="s">
        <v>20</v>
      </c>
      <c r="B226" s="116">
        <v>216.35698917480866</v>
      </c>
      <c r="C226" s="116">
        <v>216.96524488117893</v>
      </c>
      <c r="D226" s="116">
        <v>216.41709532204766</v>
      </c>
      <c r="E226" s="116">
        <v>215.32199385233611</v>
      </c>
      <c r="F226" s="116">
        <v>214.8351184213688</v>
      </c>
      <c r="G226" s="116">
        <v>212.95616061964753</v>
      </c>
      <c r="H226" s="116">
        <v>211.19981852417644</v>
      </c>
      <c r="I226" s="116">
        <v>208.80617382405725</v>
      </c>
      <c r="J226" s="116">
        <v>197.4165932498764</v>
      </c>
      <c r="K226" s="116">
        <v>187.03566255264806</v>
      </c>
      <c r="L226" s="116">
        <v>179.96412436889335</v>
      </c>
      <c r="M226" s="116">
        <v>168.68856252103171</v>
      </c>
      <c r="N226" s="116">
        <v>169.98773714629584</v>
      </c>
      <c r="O226" s="116">
        <v>161.79803495242535</v>
      </c>
      <c r="P226" s="116">
        <v>158.2776630162264</v>
      </c>
      <c r="Q226" s="116">
        <v>154.45596754748192</v>
      </c>
      <c r="R226" s="116">
        <v>151.14412581558813</v>
      </c>
      <c r="S226" s="116">
        <v>150.75397150458028</v>
      </c>
      <c r="T226" s="116">
        <v>152.04560272874244</v>
      </c>
      <c r="U226" s="116">
        <v>157.07142165466774</v>
      </c>
      <c r="V226" s="116">
        <v>143.86824289021061</v>
      </c>
      <c r="W226" s="116">
        <v>141.37970899508474</v>
      </c>
      <c r="DA226" s="176" t="s">
        <v>932</v>
      </c>
    </row>
    <row r="227" spans="1:105" ht="11.45" customHeight="1" x14ac:dyDescent="0.25">
      <c r="A227" s="111" t="s">
        <v>110</v>
      </c>
      <c r="B227" s="87">
        <v>219.25708231236985</v>
      </c>
      <c r="C227" s="87">
        <v>219.33653174410776</v>
      </c>
      <c r="D227" s="87">
        <v>218.01016936074535</v>
      </c>
      <c r="E227" s="87">
        <v>215.28139170506623</v>
      </c>
      <c r="F227" s="87">
        <v>214.98326438036554</v>
      </c>
      <c r="G227" s="87">
        <v>212.08717036898705</v>
      </c>
      <c r="H227" s="87">
        <v>207.80995589419902</v>
      </c>
      <c r="I227" s="87">
        <v>204.76175610491202</v>
      </c>
      <c r="J227" s="87">
        <v>194.82012246081015</v>
      </c>
      <c r="K227" s="87">
        <v>184.09666511825836</v>
      </c>
      <c r="L227" s="87">
        <v>177.40096877472465</v>
      </c>
      <c r="M227" s="87">
        <v>168.80387542008538</v>
      </c>
      <c r="N227" s="87">
        <v>166.61071371281753</v>
      </c>
      <c r="O227" s="87">
        <v>157.8835044165584</v>
      </c>
      <c r="P227" s="87">
        <v>154.95559287790846</v>
      </c>
      <c r="Q227" s="87">
        <v>151.54934285409797</v>
      </c>
      <c r="R227" s="87">
        <v>150.87758775716293</v>
      </c>
      <c r="S227" s="87">
        <v>146.66904629546693</v>
      </c>
      <c r="T227" s="87">
        <v>146.0243500117823</v>
      </c>
      <c r="U227" s="87">
        <v>149.4215236384421</v>
      </c>
      <c r="V227" s="87">
        <v>143.25993048340959</v>
      </c>
      <c r="W227" s="87">
        <v>135.0925532062777</v>
      </c>
      <c r="DA227" s="171" t="s">
        <v>933</v>
      </c>
    </row>
    <row r="228" spans="1:105" ht="11.45" customHeight="1" x14ac:dyDescent="0.25">
      <c r="A228" s="111" t="s">
        <v>111</v>
      </c>
      <c r="B228" s="87">
        <v>213.23019487599066</v>
      </c>
      <c r="C228" s="87">
        <v>214.40859380406803</v>
      </c>
      <c r="D228" s="87">
        <v>214.29024023069974</v>
      </c>
      <c r="E228" s="87">
        <v>214.77844872084373</v>
      </c>
      <c r="F228" s="87">
        <v>213.36190438959261</v>
      </c>
      <c r="G228" s="87">
        <v>213.99805484644688</v>
      </c>
      <c r="H228" s="87">
        <v>215.37021658768489</v>
      </c>
      <c r="I228" s="87">
        <v>213.3877942337669</v>
      </c>
      <c r="J228" s="87">
        <v>203.76047075009421</v>
      </c>
      <c r="K228" s="87">
        <v>195.75311180189931</v>
      </c>
      <c r="L228" s="87">
        <v>188.23396134384967</v>
      </c>
      <c r="M228" s="87">
        <v>178.75570660217832</v>
      </c>
      <c r="N228" s="87">
        <v>178.19275304151532</v>
      </c>
      <c r="O228" s="87">
        <v>170.40095993299258</v>
      </c>
      <c r="P228" s="87">
        <v>164.23935333791206</v>
      </c>
      <c r="Q228" s="87">
        <v>159.37445959903047</v>
      </c>
      <c r="R228" s="87">
        <v>152.78856009881403</v>
      </c>
      <c r="S228" s="87">
        <v>153.46625372824414</v>
      </c>
      <c r="T228" s="87">
        <v>156.62227122381481</v>
      </c>
      <c r="U228" s="87">
        <v>164.50071736011481</v>
      </c>
      <c r="V228" s="87">
        <v>147.26523214337499</v>
      </c>
      <c r="W228" s="87">
        <v>150.0947213459516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225.28147205579666</v>
      </c>
      <c r="E229" s="87">
        <v>225.79472140962332</v>
      </c>
      <c r="F229" s="87">
        <v>224.30552063298975</v>
      </c>
      <c r="G229" s="87">
        <v>0</v>
      </c>
      <c r="H229" s="87">
        <v>0</v>
      </c>
      <c r="I229" s="87">
        <v>224.33273840175335</v>
      </c>
      <c r="J229" s="87">
        <v>0</v>
      </c>
      <c r="K229" s="87">
        <v>0</v>
      </c>
      <c r="L229" s="87">
        <v>197.88873192163678</v>
      </c>
      <c r="M229" s="87">
        <v>155.40705621680254</v>
      </c>
      <c r="N229" s="87">
        <v>152.33415308030041</v>
      </c>
      <c r="O229" s="87">
        <v>141.32438284963067</v>
      </c>
      <c r="P229" s="87">
        <v>140.79571099638039</v>
      </c>
      <c r="Q229" s="87">
        <v>136.37818218666897</v>
      </c>
      <c r="R229" s="87">
        <v>119.41459856712055</v>
      </c>
      <c r="S229" s="87">
        <v>128.54326580855042</v>
      </c>
      <c r="T229" s="87">
        <v>122.9271844660194</v>
      </c>
      <c r="U229" s="87">
        <v>121.18548827101392</v>
      </c>
      <c r="V229" s="87">
        <v>119.384971970677</v>
      </c>
      <c r="W229" s="87">
        <v>119.098852880336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130.77658995605887</v>
      </c>
      <c r="O231" s="87">
        <v>57.647660952331215</v>
      </c>
      <c r="P231" s="87">
        <v>49.765225679257355</v>
      </c>
      <c r="Q231" s="87">
        <v>51.658293580660427</v>
      </c>
      <c r="R231" s="87">
        <v>65.179162444271924</v>
      </c>
      <c r="S231" s="87">
        <v>74.4513880762876</v>
      </c>
      <c r="T231" s="87">
        <v>57.226979196463859</v>
      </c>
      <c r="U231" s="87">
        <v>58.971204188481678</v>
      </c>
      <c r="V231" s="87">
        <v>47.215399610136451</v>
      </c>
      <c r="W231" s="87">
        <v>38.845299777942273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1474.1971448728771</v>
      </c>
      <c r="C233" s="116">
        <v>1472.182045497218</v>
      </c>
      <c r="D233" s="116">
        <v>0</v>
      </c>
      <c r="E233" s="116">
        <v>1465.3029514803534</v>
      </c>
      <c r="F233" s="116">
        <v>1464.7951265415502</v>
      </c>
      <c r="G233" s="116">
        <v>1459.8116194281649</v>
      </c>
      <c r="H233" s="116">
        <v>1452.338489492188</v>
      </c>
      <c r="I233" s="116">
        <v>1446.9534468021479</v>
      </c>
      <c r="J233" s="116">
        <v>1404.8459595587458</v>
      </c>
      <c r="K233" s="116">
        <v>1407.7036947798813</v>
      </c>
      <c r="L233" s="116">
        <v>1389.0217893698809</v>
      </c>
      <c r="M233" s="116">
        <v>1375.4430813984945</v>
      </c>
      <c r="N233" s="116">
        <v>1373.2630977833387</v>
      </c>
      <c r="O233" s="116">
        <v>1353.7719339103967</v>
      </c>
      <c r="P233" s="116">
        <v>1347.4258696291904</v>
      </c>
      <c r="Q233" s="116">
        <v>1339.7662626965857</v>
      </c>
      <c r="R233" s="116">
        <v>1331.3589947268315</v>
      </c>
      <c r="S233" s="116">
        <v>1326.5731722269372</v>
      </c>
      <c r="T233" s="116">
        <v>1312.9652940623114</v>
      </c>
      <c r="U233" s="116">
        <v>1300.3985679892139</v>
      </c>
      <c r="V233" s="116">
        <v>1209.624372417499</v>
      </c>
      <c r="W233" s="116">
        <v>1266.8038314398848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412.74258152506167</v>
      </c>
      <c r="K234" s="101">
        <v>0</v>
      </c>
      <c r="L234" s="101">
        <v>375.83866025880246</v>
      </c>
      <c r="M234" s="101">
        <v>357.79918442076996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1474.1971448728771</v>
      </c>
      <c r="C235" s="101">
        <v>1472.182045497218</v>
      </c>
      <c r="D235" s="101">
        <v>0</v>
      </c>
      <c r="E235" s="101">
        <v>1465.3029514803534</v>
      </c>
      <c r="F235" s="101">
        <v>1464.7951265415502</v>
      </c>
      <c r="G235" s="101">
        <v>1459.8116194281649</v>
      </c>
      <c r="H235" s="101">
        <v>1452.338489492188</v>
      </c>
      <c r="I235" s="101">
        <v>1446.9534468021479</v>
      </c>
      <c r="J235" s="101">
        <v>1428.7265362277026</v>
      </c>
      <c r="K235" s="101">
        <v>1408.2196688997578</v>
      </c>
      <c r="L235" s="101">
        <v>1395.0561662761879</v>
      </c>
      <c r="M235" s="101">
        <v>1377.6911006164687</v>
      </c>
      <c r="N235" s="101">
        <v>1373.2630977833387</v>
      </c>
      <c r="O235" s="101">
        <v>1354.3689540741082</v>
      </c>
      <c r="P235" s="101">
        <v>1347.85117790199</v>
      </c>
      <c r="Q235" s="101">
        <v>1340.2449215971562</v>
      </c>
      <c r="R235" s="101">
        <v>1333.4359978387297</v>
      </c>
      <c r="S235" s="101">
        <v>1327.3375474342131</v>
      </c>
      <c r="T235" s="101">
        <v>1321.8727926651763</v>
      </c>
      <c r="U235" s="101">
        <v>1316.9737525174658</v>
      </c>
      <c r="V235" s="101">
        <v>1312.5801421188835</v>
      </c>
      <c r="W235" s="101">
        <v>1308.6384264925953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1013.0534390507775</v>
      </c>
      <c r="K236" s="101">
        <v>999.31017889760142</v>
      </c>
      <c r="L236" s="101">
        <v>989.96900688289998</v>
      </c>
      <c r="M236" s="101">
        <v>977.64629384726936</v>
      </c>
      <c r="N236" s="101">
        <v>0</v>
      </c>
      <c r="O236" s="101">
        <v>961.09627757620592</v>
      </c>
      <c r="P236" s="101">
        <v>961.72052760016516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269.58425025033927</v>
      </c>
      <c r="D240" s="152">
        <v>268.89181840944411</v>
      </c>
      <c r="E240" s="152">
        <v>267.99394452926367</v>
      </c>
      <c r="F240" s="152">
        <v>266.51951361401365</v>
      </c>
      <c r="G240" s="152">
        <v>266.21107555960759</v>
      </c>
      <c r="H240" s="152">
        <v>265.64700387973141</v>
      </c>
      <c r="I240" s="152">
        <v>263.18020220864514</v>
      </c>
      <c r="J240" s="152">
        <v>259.64308206127146</v>
      </c>
      <c r="K240" s="152">
        <v>244.19424231074009</v>
      </c>
      <c r="L240" s="152">
        <v>237.68305854708754</v>
      </c>
      <c r="M240" s="152">
        <v>227.68840910379311</v>
      </c>
      <c r="N240" s="152">
        <v>225.65372255174034</v>
      </c>
      <c r="O240" s="152">
        <v>216.48204214247244</v>
      </c>
      <c r="P240" s="152">
        <v>215.54693127256056</v>
      </c>
      <c r="Q240" s="152">
        <v>214.75698655728385</v>
      </c>
      <c r="R240" s="152">
        <v>201.50420942805678</v>
      </c>
      <c r="S240" s="152">
        <v>192.77924676716754</v>
      </c>
      <c r="T240" s="152">
        <v>188.75191003323351</v>
      </c>
      <c r="U240" s="152">
        <v>197.35842258358591</v>
      </c>
      <c r="V240" s="152">
        <v>202.80535450821159</v>
      </c>
      <c r="W240" s="152">
        <v>195.13251587665101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246.8478098420255</v>
      </c>
      <c r="D241" s="87">
        <v>245.35508244825127</v>
      </c>
      <c r="E241" s="87">
        <v>242.28403549362852</v>
      </c>
      <c r="F241" s="87">
        <v>241.94851419869767</v>
      </c>
      <c r="G241" s="87">
        <v>238.68916447651168</v>
      </c>
      <c r="H241" s="87">
        <v>233.87546100025804</v>
      </c>
      <c r="I241" s="87">
        <v>230.44492694392369</v>
      </c>
      <c r="J241" s="87">
        <v>219.25631886398276</v>
      </c>
      <c r="K241" s="87">
        <v>207.18782330651894</v>
      </c>
      <c r="L241" s="87">
        <v>199.65228891730538</v>
      </c>
      <c r="M241" s="87">
        <v>190.06939332202114</v>
      </c>
      <c r="N241" s="87">
        <v>187.64914063279582</v>
      </c>
      <c r="O241" s="87">
        <v>185.72073318521012</v>
      </c>
      <c r="P241" s="87">
        <v>188.66515746375183</v>
      </c>
      <c r="Q241" s="87">
        <v>188.38901266540273</v>
      </c>
      <c r="R241" s="87">
        <v>157.1526950807089</v>
      </c>
      <c r="S241" s="87">
        <v>154.79610652575045</v>
      </c>
      <c r="T241" s="87">
        <v>155.89738324037117</v>
      </c>
      <c r="U241" s="87">
        <v>167.3</v>
      </c>
      <c r="V241" s="87">
        <v>161.1559139784946</v>
      </c>
      <c r="W241" s="87">
        <v>148.38928571428571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279.18491945538227</v>
      </c>
      <c r="D242" s="87">
        <v>279.03080934131538</v>
      </c>
      <c r="E242" s="87">
        <v>279.66651356184133</v>
      </c>
      <c r="F242" s="87">
        <v>277.8220081341031</v>
      </c>
      <c r="G242" s="87">
        <v>278.65034999721274</v>
      </c>
      <c r="H242" s="87">
        <v>280.43706413217586</v>
      </c>
      <c r="I242" s="87">
        <v>277.85571972155526</v>
      </c>
      <c r="J242" s="87">
        <v>265.31982513042595</v>
      </c>
      <c r="K242" s="87">
        <v>254.89331272558724</v>
      </c>
      <c r="L242" s="87">
        <v>245.1025045412745</v>
      </c>
      <c r="M242" s="87">
        <v>232.76071478517321</v>
      </c>
      <c r="N242" s="87">
        <v>232.01161877147237</v>
      </c>
      <c r="O242" s="87">
        <v>217.33722262017395</v>
      </c>
      <c r="P242" s="87">
        <v>216.48038467051509</v>
      </c>
      <c r="Q242" s="87">
        <v>214.92441368131699</v>
      </c>
      <c r="R242" s="87">
        <v>215.73235052435513</v>
      </c>
      <c r="S242" s="87">
        <v>200.47295111118532</v>
      </c>
      <c r="T242" s="87">
        <v>193.09688426653349</v>
      </c>
      <c r="U242" s="87">
        <v>199.80771789753831</v>
      </c>
      <c r="V242" s="87">
        <v>206.14957190511669</v>
      </c>
      <c r="W242" s="87">
        <v>198.71727896269849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412.32755197870375</v>
      </c>
      <c r="K243" s="87">
        <v>0</v>
      </c>
      <c r="L243" s="87">
        <v>0</v>
      </c>
      <c r="M243" s="87">
        <v>299.13695645876459</v>
      </c>
      <c r="N243" s="87">
        <v>293.22204555238028</v>
      </c>
      <c r="O243" s="87">
        <v>0</v>
      </c>
      <c r="P243" s="87">
        <v>194.91310392338457</v>
      </c>
      <c r="Q243" s="87">
        <v>0</v>
      </c>
      <c r="R243" s="87">
        <v>139.79190543776269</v>
      </c>
      <c r="S243" s="87">
        <v>0</v>
      </c>
      <c r="T243" s="87">
        <v>0</v>
      </c>
      <c r="U243" s="87">
        <v>0</v>
      </c>
      <c r="V243" s="87">
        <v>0</v>
      </c>
      <c r="W243" s="87">
        <v>166.5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1035.5495946537978</v>
      </c>
      <c r="D246" s="116">
        <v>1028.9396504884792</v>
      </c>
      <c r="E246" s="116">
        <v>1020.0353064486085</v>
      </c>
      <c r="F246" s="116">
        <v>1011.7385173149913</v>
      </c>
      <c r="G246" s="116">
        <v>997.81313056521572</v>
      </c>
      <c r="H246" s="116">
        <v>983.11901223473285</v>
      </c>
      <c r="I246" s="116">
        <v>972.40359347593107</v>
      </c>
      <c r="J246" s="116">
        <v>950.68514336342287</v>
      </c>
      <c r="K246" s="116">
        <v>932.14353861173504</v>
      </c>
      <c r="L246" s="116">
        <v>912.11017747744791</v>
      </c>
      <c r="M246" s="116">
        <v>901.37455712334486</v>
      </c>
      <c r="N246" s="116">
        <v>881.73189854415398</v>
      </c>
      <c r="O246" s="116">
        <v>848.99145049567369</v>
      </c>
      <c r="P246" s="116">
        <v>824.1562172242318</v>
      </c>
      <c r="Q246" s="116">
        <v>804.66835471561865</v>
      </c>
      <c r="R246" s="116">
        <v>767.54862667336749</v>
      </c>
      <c r="S246" s="116">
        <v>745.37308447987209</v>
      </c>
      <c r="T246" s="116">
        <v>701.61616862578614</v>
      </c>
      <c r="U246" s="116">
        <v>673.46262037276574</v>
      </c>
      <c r="V246" s="116">
        <v>653.52543374879133</v>
      </c>
      <c r="W246" s="116">
        <v>679.23620205683517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968.33730458776267</v>
      </c>
      <c r="D247" s="101">
        <v>961.74432647441813</v>
      </c>
      <c r="E247" s="101">
        <v>953.53484153435568</v>
      </c>
      <c r="F247" s="101">
        <v>943.72971022343063</v>
      </c>
      <c r="G247" s="101">
        <v>932.35367170553332</v>
      </c>
      <c r="H247" s="101">
        <v>919.43518957985134</v>
      </c>
      <c r="I247" s="101">
        <v>905.00627655774269</v>
      </c>
      <c r="J247" s="101">
        <v>889.10230006862639</v>
      </c>
      <c r="K247" s="101">
        <v>871.76177092838373</v>
      </c>
      <c r="L247" s="101">
        <v>853.02611739793701</v>
      </c>
      <c r="M247" s="101">
        <v>832.93944699590929</v>
      </c>
      <c r="N247" s="101">
        <v>811.54829852086834</v>
      </c>
      <c r="O247" s="101">
        <v>788.90138676735603</v>
      </c>
      <c r="P247" s="101">
        <v>765.04934236150643</v>
      </c>
      <c r="Q247" s="101">
        <v>740.04444914242958</v>
      </c>
      <c r="R247" s="101">
        <v>703.91008849760146</v>
      </c>
      <c r="S247" s="101">
        <v>678.61603604622189</v>
      </c>
      <c r="T247" s="101">
        <v>652.05728097227336</v>
      </c>
      <c r="U247" s="101">
        <v>619.59658032633627</v>
      </c>
      <c r="V247" s="101">
        <v>611.19180241283732</v>
      </c>
      <c r="W247" s="101">
        <v>605.07988438870893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0</v>
      </c>
      <c r="I248" s="88">
        <v>924.72734968168083</v>
      </c>
      <c r="J248" s="88">
        <v>0</v>
      </c>
      <c r="K248" s="88">
        <v>0</v>
      </c>
      <c r="L248" s="88">
        <v>0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17632</v>
      </c>
      <c r="C4" s="28">
        <f t="shared" ref="C4:V4" si="1">SUM(C5,C6,C9)</f>
        <v>16965</v>
      </c>
      <c r="D4" s="28">
        <f t="shared" si="1"/>
        <v>14502</v>
      </c>
      <c r="E4" s="28">
        <f t="shared" si="1"/>
        <v>14274.215</v>
      </c>
      <c r="F4" s="28">
        <f t="shared" si="1"/>
        <v>14830.045</v>
      </c>
      <c r="G4" s="28">
        <f t="shared" si="1"/>
        <v>14581.908000000001</v>
      </c>
      <c r="H4" s="28">
        <f t="shared" si="1"/>
        <v>14892</v>
      </c>
      <c r="I4" s="28">
        <f t="shared" si="1"/>
        <v>14376</v>
      </c>
      <c r="J4" s="28">
        <f t="shared" si="1"/>
        <v>13958</v>
      </c>
      <c r="K4" s="28">
        <f t="shared" si="1"/>
        <v>13175</v>
      </c>
      <c r="L4" s="28">
        <f t="shared" si="1"/>
        <v>12575.710097776035</v>
      </c>
      <c r="M4" s="28">
        <f t="shared" si="1"/>
        <v>12134.903365925345</v>
      </c>
      <c r="N4" s="28">
        <f t="shared" si="1"/>
        <v>12119.372713565321</v>
      </c>
      <c r="O4" s="28">
        <f t="shared" si="1"/>
        <v>12162.718100556631</v>
      </c>
      <c r="P4" s="28">
        <f t="shared" si="1"/>
        <v>12976</v>
      </c>
      <c r="Q4" s="28">
        <f t="shared" si="1"/>
        <v>10056.7016</v>
      </c>
      <c r="R4" s="28">
        <f t="shared" si="1"/>
        <v>10056.3649</v>
      </c>
      <c r="S4" s="28">
        <f t="shared" si="1"/>
        <v>10786.612999999999</v>
      </c>
      <c r="T4" s="28">
        <f t="shared" si="1"/>
        <v>10578.557000000001</v>
      </c>
      <c r="U4" s="28">
        <f t="shared" si="1"/>
        <v>10835.231</v>
      </c>
      <c r="V4" s="28">
        <f t="shared" si="1"/>
        <v>7156.1090000000004</v>
      </c>
      <c r="W4" s="28">
        <f t="shared" ref="W4" si="2">SUM(W5,W6,W9)</f>
        <v>7473.6129999999994</v>
      </c>
      <c r="DA4" s="173" t="s">
        <v>375</v>
      </c>
    </row>
    <row r="5" spans="1:105" ht="11.45" customHeight="1" x14ac:dyDescent="0.25">
      <c r="A5" s="107" t="s">
        <v>23</v>
      </c>
      <c r="B5" s="108">
        <v>6000</v>
      </c>
      <c r="C5" s="108">
        <v>6000</v>
      </c>
      <c r="D5" s="108">
        <v>6000</v>
      </c>
      <c r="E5" s="108">
        <v>5777.2150000000001</v>
      </c>
      <c r="F5" s="108">
        <v>6192.0450000000001</v>
      </c>
      <c r="G5" s="108">
        <v>6596.9080000000013</v>
      </c>
      <c r="H5" s="108">
        <v>6800</v>
      </c>
      <c r="I5" s="108">
        <v>6900</v>
      </c>
      <c r="J5" s="108">
        <v>7000</v>
      </c>
      <c r="K5" s="108">
        <v>7047</v>
      </c>
      <c r="L5" s="108">
        <v>7138.7100977760347</v>
      </c>
      <c r="M5" s="108">
        <v>7061.9033659253455</v>
      </c>
      <c r="N5" s="108">
        <v>7548.3727135653216</v>
      </c>
      <c r="O5" s="108">
        <v>7751.7181005566317</v>
      </c>
      <c r="P5" s="108">
        <v>8000</v>
      </c>
      <c r="Q5" s="108">
        <v>4907.7016000000003</v>
      </c>
      <c r="R5" s="108">
        <v>5068.3648999999996</v>
      </c>
      <c r="S5" s="108">
        <v>5123.6129999999994</v>
      </c>
      <c r="T5" s="108">
        <v>5001.5569999999998</v>
      </c>
      <c r="U5" s="108">
        <v>4929.2309999999998</v>
      </c>
      <c r="V5" s="108">
        <v>3436.1089999999999</v>
      </c>
      <c r="W5" s="108">
        <v>3202.6129999999998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11632</v>
      </c>
      <c r="C6" s="110">
        <f t="shared" ref="C6:V6" si="4">SUM(C7:C8)</f>
        <v>10965</v>
      </c>
      <c r="D6" s="110">
        <f t="shared" si="4"/>
        <v>8502</v>
      </c>
      <c r="E6" s="110">
        <f t="shared" si="4"/>
        <v>8497</v>
      </c>
      <c r="F6" s="110">
        <f t="shared" si="4"/>
        <v>8638</v>
      </c>
      <c r="G6" s="110">
        <f t="shared" si="4"/>
        <v>7985</v>
      </c>
      <c r="H6" s="110">
        <f t="shared" si="4"/>
        <v>8092.0000000000009</v>
      </c>
      <c r="I6" s="110">
        <f t="shared" si="4"/>
        <v>7476</v>
      </c>
      <c r="J6" s="110">
        <f t="shared" si="4"/>
        <v>6958</v>
      </c>
      <c r="K6" s="110">
        <f t="shared" si="4"/>
        <v>6128</v>
      </c>
      <c r="L6" s="110">
        <f t="shared" si="4"/>
        <v>5437</v>
      </c>
      <c r="M6" s="110">
        <f t="shared" si="4"/>
        <v>5073</v>
      </c>
      <c r="N6" s="110">
        <f t="shared" si="4"/>
        <v>4571</v>
      </c>
      <c r="O6" s="110">
        <f t="shared" si="4"/>
        <v>4411</v>
      </c>
      <c r="P6" s="110">
        <f t="shared" si="4"/>
        <v>4976</v>
      </c>
      <c r="Q6" s="110">
        <f t="shared" si="4"/>
        <v>5149</v>
      </c>
      <c r="R6" s="110">
        <f t="shared" si="4"/>
        <v>4988</v>
      </c>
      <c r="S6" s="110">
        <f t="shared" si="4"/>
        <v>5663</v>
      </c>
      <c r="T6" s="110">
        <f t="shared" si="4"/>
        <v>5577</v>
      </c>
      <c r="U6" s="110">
        <f t="shared" si="4"/>
        <v>5906</v>
      </c>
      <c r="V6" s="110">
        <f t="shared" si="4"/>
        <v>3720</v>
      </c>
      <c r="W6" s="110">
        <f t="shared" ref="W6" si="5">SUM(W7:W8)</f>
        <v>4271</v>
      </c>
      <c r="DA6" s="176" t="s">
        <v>377</v>
      </c>
    </row>
    <row r="7" spans="1:105" ht="11.45" customHeight="1" x14ac:dyDescent="0.25">
      <c r="A7" s="111" t="s">
        <v>90</v>
      </c>
      <c r="B7" s="84">
        <v>6415.8417031208419</v>
      </c>
      <c r="C7" s="84">
        <v>4196.6344785075653</v>
      </c>
      <c r="D7" s="84">
        <v>3996.2464996140593</v>
      </c>
      <c r="E7" s="84">
        <v>4042.501539359635</v>
      </c>
      <c r="F7" s="84">
        <v>4626.4589879693804</v>
      </c>
      <c r="G7" s="84">
        <v>2457.3583033359023</v>
      </c>
      <c r="H7" s="84">
        <v>2617.3902072524115</v>
      </c>
      <c r="I7" s="84">
        <v>4547.6416759801632</v>
      </c>
      <c r="J7" s="84">
        <v>4011.9867562041691</v>
      </c>
      <c r="K7" s="84">
        <v>2818.0722520532795</v>
      </c>
      <c r="L7" s="84">
        <v>3147.8421663876343</v>
      </c>
      <c r="M7" s="84">
        <v>3244.6181955190991</v>
      </c>
      <c r="N7" s="84">
        <v>2738.1628562024034</v>
      </c>
      <c r="O7" s="84">
        <v>2780.8436974380916</v>
      </c>
      <c r="P7" s="84">
        <v>2795.5568184762524</v>
      </c>
      <c r="Q7" s="84">
        <v>2117.3996293184164</v>
      </c>
      <c r="R7" s="84">
        <v>2077.0611931500189</v>
      </c>
      <c r="S7" s="84">
        <v>1942.2555554943294</v>
      </c>
      <c r="T7" s="84">
        <v>1945.8195967403399</v>
      </c>
      <c r="U7" s="84">
        <v>2307.2244556351206</v>
      </c>
      <c r="V7" s="84">
        <v>1308.2044355649748</v>
      </c>
      <c r="W7" s="84">
        <v>1386.1248172267515</v>
      </c>
      <c r="DA7" s="171" t="s">
        <v>1029</v>
      </c>
    </row>
    <row r="8" spans="1:105" ht="11.45" customHeight="1" x14ac:dyDescent="0.25">
      <c r="A8" s="111" t="s">
        <v>93</v>
      </c>
      <c r="B8" s="84">
        <v>5216.1582968791581</v>
      </c>
      <c r="C8" s="84">
        <v>6768.3655214924347</v>
      </c>
      <c r="D8" s="84">
        <v>4505.7535003859412</v>
      </c>
      <c r="E8" s="84">
        <v>4454.498460640365</v>
      </c>
      <c r="F8" s="84">
        <v>4011.5410120306196</v>
      </c>
      <c r="G8" s="84">
        <v>5527.6416966640973</v>
      </c>
      <c r="H8" s="84">
        <v>5474.6097927475894</v>
      </c>
      <c r="I8" s="84">
        <v>2928.3583240198368</v>
      </c>
      <c r="J8" s="84">
        <v>2946.0132437958309</v>
      </c>
      <c r="K8" s="84">
        <v>3309.9277479467205</v>
      </c>
      <c r="L8" s="84">
        <v>2289.1578336123657</v>
      </c>
      <c r="M8" s="84">
        <v>1828.3818044809009</v>
      </c>
      <c r="N8" s="84">
        <v>1832.8371437975966</v>
      </c>
      <c r="O8" s="84">
        <v>1630.1563025619084</v>
      </c>
      <c r="P8" s="84">
        <v>2180.4431815237476</v>
      </c>
      <c r="Q8" s="84">
        <v>3031.6003706815836</v>
      </c>
      <c r="R8" s="84">
        <v>2910.9388068499811</v>
      </c>
      <c r="S8" s="84">
        <v>3720.7444445056708</v>
      </c>
      <c r="T8" s="84">
        <v>3631.1804032596601</v>
      </c>
      <c r="U8" s="84">
        <v>3598.7755443648794</v>
      </c>
      <c r="V8" s="84">
        <v>2411.795564435025</v>
      </c>
      <c r="W8" s="84">
        <v>2884.8751827732485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16354</v>
      </c>
      <c r="C10" s="28">
        <f t="shared" ref="C10:V10" si="7">SUM(C11:C12)</f>
        <v>16102</v>
      </c>
      <c r="D10" s="28">
        <f t="shared" si="7"/>
        <v>15218</v>
      </c>
      <c r="E10" s="28">
        <f t="shared" si="7"/>
        <v>15039</v>
      </c>
      <c r="F10" s="28">
        <f t="shared" si="7"/>
        <v>17022</v>
      </c>
      <c r="G10" s="28">
        <f t="shared" si="7"/>
        <v>16582</v>
      </c>
      <c r="H10" s="28">
        <f t="shared" si="7"/>
        <v>15791</v>
      </c>
      <c r="I10" s="28">
        <f t="shared" si="7"/>
        <v>15757</v>
      </c>
      <c r="J10" s="28">
        <f t="shared" si="7"/>
        <v>15236</v>
      </c>
      <c r="K10" s="28">
        <f t="shared" si="7"/>
        <v>11088</v>
      </c>
      <c r="L10" s="28">
        <f t="shared" si="7"/>
        <v>12375</v>
      </c>
      <c r="M10" s="28">
        <f t="shared" si="7"/>
        <v>14719</v>
      </c>
      <c r="N10" s="28">
        <f t="shared" si="7"/>
        <v>13472</v>
      </c>
      <c r="O10" s="28">
        <f t="shared" si="7"/>
        <v>12941</v>
      </c>
      <c r="P10" s="28">
        <f t="shared" si="7"/>
        <v>12264</v>
      </c>
      <c r="Q10" s="28">
        <f t="shared" si="7"/>
        <v>13673</v>
      </c>
      <c r="R10" s="28">
        <f t="shared" si="7"/>
        <v>13535</v>
      </c>
      <c r="S10" s="28">
        <f t="shared" si="7"/>
        <v>13782</v>
      </c>
      <c r="T10" s="28">
        <f t="shared" si="7"/>
        <v>13076</v>
      </c>
      <c r="U10" s="28">
        <f t="shared" si="7"/>
        <v>13312</v>
      </c>
      <c r="V10" s="28">
        <f t="shared" si="7"/>
        <v>12291</v>
      </c>
      <c r="W10" s="28">
        <f t="shared" ref="W10" si="8">SUM(W11:W12)</f>
        <v>13625</v>
      </c>
      <c r="DA10" s="173" t="s">
        <v>383</v>
      </c>
    </row>
    <row r="11" spans="1:105" ht="11.45" customHeight="1" x14ac:dyDescent="0.25">
      <c r="A11" s="83" t="s">
        <v>90</v>
      </c>
      <c r="B11" s="84">
        <v>7636.8980512635553</v>
      </c>
      <c r="C11" s="84">
        <v>5533.0334578383681</v>
      </c>
      <c r="D11" s="84">
        <v>6078.7568531267452</v>
      </c>
      <c r="E11" s="84">
        <v>4717.9999730604568</v>
      </c>
      <c r="F11" s="84">
        <v>6089.4050464515421</v>
      </c>
      <c r="G11" s="84">
        <v>3415.7245286681155</v>
      </c>
      <c r="H11" s="84">
        <v>3440.9206053039275</v>
      </c>
      <c r="I11" s="84">
        <v>5733.31655850682</v>
      </c>
      <c r="J11" s="84">
        <v>5109.693869813229</v>
      </c>
      <c r="K11" s="84">
        <v>3100.1367422581957</v>
      </c>
      <c r="L11" s="84">
        <v>3895.7894680797372</v>
      </c>
      <c r="M11" s="84">
        <v>4824.9031768479017</v>
      </c>
      <c r="N11" s="84">
        <v>4190.5406842959064</v>
      </c>
      <c r="O11" s="84">
        <v>3966.3720798748004</v>
      </c>
      <c r="P11" s="84">
        <v>3287.1023656037414</v>
      </c>
      <c r="Q11" s="84">
        <v>3678.1620953035203</v>
      </c>
      <c r="R11" s="84">
        <v>3649.3025640265291</v>
      </c>
      <c r="S11" s="84">
        <v>3397.0467180878591</v>
      </c>
      <c r="T11" s="84">
        <v>3277.500854953721</v>
      </c>
      <c r="U11" s="84">
        <v>3819.1573187847025</v>
      </c>
      <c r="V11" s="84">
        <v>3021.543777031326</v>
      </c>
      <c r="W11" s="84">
        <v>3442.5962931928275</v>
      </c>
      <c r="DA11" s="171" t="s">
        <v>1031</v>
      </c>
    </row>
    <row r="12" spans="1:105" ht="11.45" customHeight="1" x14ac:dyDescent="0.25">
      <c r="A12" s="85" t="s">
        <v>93</v>
      </c>
      <c r="B12" s="86">
        <v>8717.1019487364447</v>
      </c>
      <c r="C12" s="86">
        <v>10568.966542161632</v>
      </c>
      <c r="D12" s="86">
        <v>9139.2431468732539</v>
      </c>
      <c r="E12" s="86">
        <v>10321.000026939542</v>
      </c>
      <c r="F12" s="86">
        <v>10932.594953548458</v>
      </c>
      <c r="G12" s="86">
        <v>13166.275471331885</v>
      </c>
      <c r="H12" s="86">
        <v>12350.079394696073</v>
      </c>
      <c r="I12" s="86">
        <v>10023.68344149318</v>
      </c>
      <c r="J12" s="86">
        <v>10126.306130186771</v>
      </c>
      <c r="K12" s="86">
        <v>7987.8632577418048</v>
      </c>
      <c r="L12" s="86">
        <v>8479.2105319202637</v>
      </c>
      <c r="M12" s="86">
        <v>9894.0968231520983</v>
      </c>
      <c r="N12" s="86">
        <v>9281.4593157040945</v>
      </c>
      <c r="O12" s="86">
        <v>8974.6279201252</v>
      </c>
      <c r="P12" s="86">
        <v>8976.8976343962586</v>
      </c>
      <c r="Q12" s="86">
        <v>9994.8379046964801</v>
      </c>
      <c r="R12" s="86">
        <v>9885.6974359734704</v>
      </c>
      <c r="S12" s="86">
        <v>10384.953281912141</v>
      </c>
      <c r="T12" s="86">
        <v>9798.4991450462785</v>
      </c>
      <c r="U12" s="86">
        <v>9492.8426812152975</v>
      </c>
      <c r="V12" s="86">
        <v>9269.4562229686744</v>
      </c>
      <c r="W12" s="86">
        <v>10182.403706807172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155.09210903751654</v>
      </c>
      <c r="C14" s="62">
        <f t="shared" ref="C14:V14" si="10">C15+C21</f>
        <v>126.37705549198067</v>
      </c>
      <c r="D14" s="62">
        <f t="shared" si="10"/>
        <v>166.42491946937514</v>
      </c>
      <c r="E14" s="62">
        <f t="shared" si="10"/>
        <v>156.87661674564117</v>
      </c>
      <c r="F14" s="62">
        <f t="shared" si="10"/>
        <v>157.69970923379307</v>
      </c>
      <c r="G14" s="62">
        <f t="shared" si="10"/>
        <v>130.75331032968356</v>
      </c>
      <c r="H14" s="62">
        <f t="shared" si="10"/>
        <v>126.14615500547605</v>
      </c>
      <c r="I14" s="62">
        <f t="shared" si="10"/>
        <v>165.94717486506968</v>
      </c>
      <c r="J14" s="62">
        <f t="shared" si="10"/>
        <v>162.28424200019569</v>
      </c>
      <c r="K14" s="62">
        <f t="shared" si="10"/>
        <v>156.00996931753474</v>
      </c>
      <c r="L14" s="62">
        <f t="shared" si="10"/>
        <v>166.99053774970199</v>
      </c>
      <c r="M14" s="62">
        <f t="shared" si="10"/>
        <v>193.91404451979602</v>
      </c>
      <c r="N14" s="62">
        <f t="shared" si="10"/>
        <v>205.10816465771401</v>
      </c>
      <c r="O14" s="62">
        <f t="shared" si="10"/>
        <v>196.42456510584935</v>
      </c>
      <c r="P14" s="62">
        <f t="shared" si="10"/>
        <v>177.02672128445093</v>
      </c>
      <c r="Q14" s="62">
        <f t="shared" si="10"/>
        <v>150.46601331971505</v>
      </c>
      <c r="R14" s="62">
        <f t="shared" si="10"/>
        <v>150.44732157459094</v>
      </c>
      <c r="S14" s="62">
        <f t="shared" si="10"/>
        <v>156.1617936108629</v>
      </c>
      <c r="T14" s="62">
        <f t="shared" si="10"/>
        <v>145.22423774491347</v>
      </c>
      <c r="U14" s="62">
        <f t="shared" si="10"/>
        <v>156.84712999106409</v>
      </c>
      <c r="V14" s="62">
        <f t="shared" si="10"/>
        <v>152.01736729129723</v>
      </c>
      <c r="W14" s="62">
        <f t="shared" ref="W14" si="11">W15+W21</f>
        <v>161.15123831775801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133.53067042134916</v>
      </c>
      <c r="C15" s="29">
        <f t="shared" ref="C15:V15" si="13">SUM(C16,C17,C20)</f>
        <v>107.45188008764208</v>
      </c>
      <c r="D15" s="29">
        <f t="shared" si="13"/>
        <v>135.94645095877087</v>
      </c>
      <c r="E15" s="29">
        <f t="shared" si="13"/>
        <v>128.63800142517627</v>
      </c>
      <c r="F15" s="29">
        <f t="shared" si="13"/>
        <v>126.71605339227128</v>
      </c>
      <c r="G15" s="29">
        <f t="shared" si="13"/>
        <v>108.38024731014704</v>
      </c>
      <c r="H15" s="29">
        <f t="shared" si="13"/>
        <v>106.40008121577378</v>
      </c>
      <c r="I15" s="29">
        <f t="shared" si="13"/>
        <v>138.16699263851419</v>
      </c>
      <c r="J15" s="29">
        <f t="shared" si="13"/>
        <v>137.85457113863475</v>
      </c>
      <c r="K15" s="29">
        <f t="shared" si="13"/>
        <v>137.75544885831562</v>
      </c>
      <c r="L15" s="29">
        <f t="shared" si="13"/>
        <v>145.67904797920926</v>
      </c>
      <c r="M15" s="29">
        <f t="shared" si="13"/>
        <v>163.76801578487004</v>
      </c>
      <c r="N15" s="29">
        <f t="shared" si="13"/>
        <v>176.7861706671128</v>
      </c>
      <c r="O15" s="29">
        <f t="shared" si="13"/>
        <v>169.54676821248566</v>
      </c>
      <c r="P15" s="29">
        <f t="shared" si="13"/>
        <v>155.38163124419171</v>
      </c>
      <c r="Q15" s="29">
        <f t="shared" si="13"/>
        <v>123.76319927319224</v>
      </c>
      <c r="R15" s="29">
        <f t="shared" si="13"/>
        <v>124.59915153063919</v>
      </c>
      <c r="S15" s="29">
        <f t="shared" si="13"/>
        <v>129.87744697120007</v>
      </c>
      <c r="T15" s="29">
        <f t="shared" si="13"/>
        <v>119.69012647764688</v>
      </c>
      <c r="U15" s="29">
        <f t="shared" si="13"/>
        <v>129.85898025825315</v>
      </c>
      <c r="V15" s="29">
        <f t="shared" si="13"/>
        <v>125.99039313015621</v>
      </c>
      <c r="W15" s="29">
        <f t="shared" ref="W15" si="14">SUM(W16,W17,W20)</f>
        <v>126.62902020639966</v>
      </c>
      <c r="DA15" s="173" t="s">
        <v>1034</v>
      </c>
    </row>
    <row r="16" spans="1:105" ht="11.45" customHeight="1" x14ac:dyDescent="0.25">
      <c r="A16" s="107" t="s">
        <v>23</v>
      </c>
      <c r="B16" s="115">
        <v>70.049972325617262</v>
      </c>
      <c r="C16" s="115">
        <v>70.049972325617262</v>
      </c>
      <c r="D16" s="115">
        <v>70.049972325617262</v>
      </c>
      <c r="E16" s="115">
        <v>67.448958478190164</v>
      </c>
      <c r="F16" s="115">
        <v>72.292096814829463</v>
      </c>
      <c r="G16" s="115">
        <v>77.799049369922926</v>
      </c>
      <c r="H16" s="115">
        <v>80.879834397755843</v>
      </c>
      <c r="I16" s="115">
        <v>83.901395516933093</v>
      </c>
      <c r="J16" s="115">
        <v>86.828488077364142</v>
      </c>
      <c r="K16" s="115">
        <v>90.868183729242361</v>
      </c>
      <c r="L16" s="115">
        <v>93.284954532905459</v>
      </c>
      <c r="M16" s="115">
        <v>95.230478249958438</v>
      </c>
      <c r="N16" s="115">
        <v>103.80486976882329</v>
      </c>
      <c r="O16" s="115">
        <v>105.24167519160127</v>
      </c>
      <c r="P16" s="115">
        <v>103.9247045434069</v>
      </c>
      <c r="Q16" s="115">
        <v>63.523936628723042</v>
      </c>
      <c r="R16" s="115">
        <v>66.775307037219193</v>
      </c>
      <c r="S16" s="115">
        <v>65.763034316527865</v>
      </c>
      <c r="T16" s="115">
        <v>63.883415660031694</v>
      </c>
      <c r="U16" s="115">
        <v>62.164023547339696</v>
      </c>
      <c r="V16" s="115">
        <v>62.040721784184719</v>
      </c>
      <c r="W16" s="115">
        <v>60.674763335178042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63.480698095731896</v>
      </c>
      <c r="C17" s="116">
        <f t="shared" ref="C17:V17" si="16">SUM(C18:C19)</f>
        <v>37.401907762024827</v>
      </c>
      <c r="D17" s="116">
        <f t="shared" si="16"/>
        <v>65.896478633153592</v>
      </c>
      <c r="E17" s="116">
        <f t="shared" si="16"/>
        <v>61.189042946986106</v>
      </c>
      <c r="F17" s="116">
        <f t="shared" si="16"/>
        <v>54.423956577441814</v>
      </c>
      <c r="G17" s="116">
        <f t="shared" si="16"/>
        <v>30.581197940224122</v>
      </c>
      <c r="H17" s="116">
        <f t="shared" si="16"/>
        <v>25.520246818017938</v>
      </c>
      <c r="I17" s="116">
        <f t="shared" si="16"/>
        <v>54.265597121581095</v>
      </c>
      <c r="J17" s="116">
        <f t="shared" si="16"/>
        <v>51.026083061270604</v>
      </c>
      <c r="K17" s="116">
        <f t="shared" si="16"/>
        <v>46.887265129073256</v>
      </c>
      <c r="L17" s="116">
        <f t="shared" si="16"/>
        <v>52.394093446303792</v>
      </c>
      <c r="M17" s="116">
        <f t="shared" si="16"/>
        <v>68.537537534911607</v>
      </c>
      <c r="N17" s="116">
        <f t="shared" si="16"/>
        <v>72.981300898289504</v>
      </c>
      <c r="O17" s="116">
        <f t="shared" si="16"/>
        <v>64.305093020884385</v>
      </c>
      <c r="P17" s="116">
        <f t="shared" si="16"/>
        <v>51.456926700784813</v>
      </c>
      <c r="Q17" s="116">
        <f t="shared" si="16"/>
        <v>60.239262644469207</v>
      </c>
      <c r="R17" s="116">
        <f t="shared" si="16"/>
        <v>57.823844493419998</v>
      </c>
      <c r="S17" s="116">
        <f t="shared" si="16"/>
        <v>64.114412654672194</v>
      </c>
      <c r="T17" s="116">
        <f t="shared" si="16"/>
        <v>55.806710817615198</v>
      </c>
      <c r="U17" s="116">
        <f t="shared" si="16"/>
        <v>67.694956710913459</v>
      </c>
      <c r="V17" s="116">
        <f t="shared" si="16"/>
        <v>63.949671345971481</v>
      </c>
      <c r="W17" s="116">
        <f t="shared" ref="W17" si="17">SUM(W18:W19)</f>
        <v>65.954256871221617</v>
      </c>
      <c r="DA17" s="176" t="s">
        <v>1036</v>
      </c>
    </row>
    <row r="18" spans="1:105" ht="11.45" customHeight="1" x14ac:dyDescent="0.25">
      <c r="A18" s="111" t="s">
        <v>92</v>
      </c>
      <c r="B18" s="87">
        <v>54.951928543280204</v>
      </c>
      <c r="C18" s="87">
        <v>26.350483326953213</v>
      </c>
      <c r="D18" s="87">
        <v>35.410172924584117</v>
      </c>
      <c r="E18" s="87">
        <v>36.407657284791114</v>
      </c>
      <c r="F18" s="87">
        <v>41.615943821552428</v>
      </c>
      <c r="G18" s="87">
        <v>15.695571516836987</v>
      </c>
      <c r="H18" s="87">
        <v>14.974076745870786</v>
      </c>
      <c r="I18" s="87">
        <v>43.555186163277632</v>
      </c>
      <c r="J18" s="87">
        <v>41.854917780843657</v>
      </c>
      <c r="K18" s="87">
        <v>35.058443111140079</v>
      </c>
      <c r="L18" s="87">
        <v>40.006186758958556</v>
      </c>
      <c r="M18" s="87">
        <v>51.972163539535231</v>
      </c>
      <c r="N18" s="87">
        <v>49.564828705340048</v>
      </c>
      <c r="O18" s="87">
        <v>44.367179251206942</v>
      </c>
      <c r="P18" s="87">
        <v>31.235388497933688</v>
      </c>
      <c r="Q18" s="87">
        <v>28.258198351163177</v>
      </c>
      <c r="R18" s="87">
        <v>27.445148784309868</v>
      </c>
      <c r="S18" s="87">
        <v>31.373303886727772</v>
      </c>
      <c r="T18" s="87">
        <v>23.999020561419282</v>
      </c>
      <c r="U18" s="87">
        <v>34.595288407842858</v>
      </c>
      <c r="V18" s="87">
        <v>31.985813989694631</v>
      </c>
      <c r="W18" s="87">
        <v>32.248897107795145</v>
      </c>
      <c r="DA18" s="171" t="s">
        <v>1037</v>
      </c>
    </row>
    <row r="19" spans="1:105" ht="11.45" customHeight="1" x14ac:dyDescent="0.25">
      <c r="A19" s="111" t="s">
        <v>93</v>
      </c>
      <c r="B19" s="87">
        <v>8.528769552451692</v>
      </c>
      <c r="C19" s="87">
        <v>11.051424435071613</v>
      </c>
      <c r="D19" s="87">
        <v>30.486305708569471</v>
      </c>
      <c r="E19" s="87">
        <v>24.781385662194996</v>
      </c>
      <c r="F19" s="87">
        <v>12.808012755889386</v>
      </c>
      <c r="G19" s="87">
        <v>14.885626423387135</v>
      </c>
      <c r="H19" s="87">
        <v>10.546170072147152</v>
      </c>
      <c r="I19" s="87">
        <v>10.710410958303463</v>
      </c>
      <c r="J19" s="87">
        <v>9.1711652804269477</v>
      </c>
      <c r="K19" s="87">
        <v>11.828822017933177</v>
      </c>
      <c r="L19" s="87">
        <v>12.387906687345236</v>
      </c>
      <c r="M19" s="87">
        <v>16.565373995376376</v>
      </c>
      <c r="N19" s="87">
        <v>23.416472192949456</v>
      </c>
      <c r="O19" s="87">
        <v>19.937913769677444</v>
      </c>
      <c r="P19" s="87">
        <v>20.221538202851125</v>
      </c>
      <c r="Q19" s="87">
        <v>31.98106429330603</v>
      </c>
      <c r="R19" s="87">
        <v>30.378695709110129</v>
      </c>
      <c r="S19" s="87">
        <v>32.741108767944425</v>
      </c>
      <c r="T19" s="87">
        <v>31.807690256195915</v>
      </c>
      <c r="U19" s="87">
        <v>33.099668303070601</v>
      </c>
      <c r="V19" s="87">
        <v>31.963857356276851</v>
      </c>
      <c r="W19" s="87">
        <v>33.705359763426472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21.561438616167393</v>
      </c>
      <c r="C21" s="29">
        <f t="shared" ref="C21:V21" si="19">SUM(C22:C23)</f>
        <v>18.925175404338592</v>
      </c>
      <c r="D21" s="29">
        <f t="shared" si="19"/>
        <v>30.478468510604266</v>
      </c>
      <c r="E21" s="29">
        <f t="shared" si="19"/>
        <v>28.238615320464895</v>
      </c>
      <c r="F21" s="29">
        <f t="shared" si="19"/>
        <v>30.983655841521792</v>
      </c>
      <c r="G21" s="29">
        <f t="shared" si="19"/>
        <v>22.373063019536509</v>
      </c>
      <c r="H21" s="29">
        <f t="shared" si="19"/>
        <v>19.746073789702265</v>
      </c>
      <c r="I21" s="29">
        <f t="shared" si="19"/>
        <v>27.780182226555507</v>
      </c>
      <c r="J21" s="29">
        <f t="shared" si="19"/>
        <v>24.429670861560929</v>
      </c>
      <c r="K21" s="29">
        <f t="shared" si="19"/>
        <v>18.254520459219123</v>
      </c>
      <c r="L21" s="29">
        <f t="shared" si="19"/>
        <v>21.311489770492731</v>
      </c>
      <c r="M21" s="29">
        <f t="shared" si="19"/>
        <v>30.146028734925984</v>
      </c>
      <c r="N21" s="29">
        <f t="shared" si="19"/>
        <v>28.321993990601221</v>
      </c>
      <c r="O21" s="29">
        <f t="shared" si="19"/>
        <v>26.877796893363701</v>
      </c>
      <c r="P21" s="29">
        <f t="shared" si="19"/>
        <v>21.645090040259227</v>
      </c>
      <c r="Q21" s="29">
        <f t="shared" si="19"/>
        <v>26.702814046522811</v>
      </c>
      <c r="R21" s="29">
        <f t="shared" si="19"/>
        <v>25.848170043951743</v>
      </c>
      <c r="S21" s="29">
        <f t="shared" si="19"/>
        <v>26.284346639662814</v>
      </c>
      <c r="T21" s="29">
        <f t="shared" si="19"/>
        <v>25.534111267266571</v>
      </c>
      <c r="U21" s="29">
        <f t="shared" si="19"/>
        <v>26.988149732810925</v>
      </c>
      <c r="V21" s="29">
        <f t="shared" si="19"/>
        <v>26.026974161141034</v>
      </c>
      <c r="W21" s="29">
        <f t="shared" ref="W21" si="20">SUM(W22:W23)</f>
        <v>34.522218111358349</v>
      </c>
      <c r="DA21" s="173" t="s">
        <v>1040</v>
      </c>
    </row>
    <row r="22" spans="1:105" ht="11.45" customHeight="1" x14ac:dyDescent="0.25">
      <c r="A22" s="83" t="s">
        <v>92</v>
      </c>
      <c r="B22" s="87">
        <v>12.419230795935484</v>
      </c>
      <c r="C22" s="87">
        <v>7.8825026765222512</v>
      </c>
      <c r="D22" s="87">
        <v>10.953062348328416</v>
      </c>
      <c r="E22" s="87">
        <v>6.8221630731526242</v>
      </c>
      <c r="F22" s="87">
        <v>8.4582752923775573</v>
      </c>
      <c r="G22" s="87">
        <v>4.4403789228468948</v>
      </c>
      <c r="H22" s="87">
        <v>4.705177582887738</v>
      </c>
      <c r="I22" s="87">
        <v>9.3626308587366047</v>
      </c>
      <c r="J22" s="87">
        <v>8.4084910294135575</v>
      </c>
      <c r="K22" s="87">
        <v>5.097850158647887</v>
      </c>
      <c r="L22" s="87">
        <v>6.1634670314281879</v>
      </c>
      <c r="M22" s="87">
        <v>9.2336950275439573</v>
      </c>
      <c r="N22" s="87">
        <v>8.220144961409444</v>
      </c>
      <c r="O22" s="87">
        <v>7.6836760674754521</v>
      </c>
      <c r="P22" s="87">
        <v>4.9141413278877115</v>
      </c>
      <c r="Q22" s="87">
        <v>7.0408646832269879</v>
      </c>
      <c r="R22" s="87">
        <v>7.024118729539528</v>
      </c>
      <c r="S22" s="87">
        <v>6.2612582224557602</v>
      </c>
      <c r="T22" s="87">
        <v>5.9120806002657273</v>
      </c>
      <c r="U22" s="87">
        <v>7.4168258124590194</v>
      </c>
      <c r="V22" s="87">
        <v>5.3968191961160583</v>
      </c>
      <c r="W22" s="87">
        <v>9.0151010527541935</v>
      </c>
      <c r="DA22" s="171" t="s">
        <v>1041</v>
      </c>
    </row>
    <row r="23" spans="1:105" ht="11.45" customHeight="1" x14ac:dyDescent="0.25">
      <c r="A23" s="85" t="s">
        <v>93</v>
      </c>
      <c r="B23" s="88">
        <v>9.1422078202319099</v>
      </c>
      <c r="C23" s="88">
        <v>11.042672727816342</v>
      </c>
      <c r="D23" s="88">
        <v>19.52540616227585</v>
      </c>
      <c r="E23" s="88">
        <v>21.416452247312272</v>
      </c>
      <c r="F23" s="88">
        <v>22.525380549144234</v>
      </c>
      <c r="G23" s="88">
        <v>17.932684096689613</v>
      </c>
      <c r="H23" s="88">
        <v>15.040896206814526</v>
      </c>
      <c r="I23" s="88">
        <v>18.417551367818902</v>
      </c>
      <c r="J23" s="88">
        <v>16.021179832147372</v>
      </c>
      <c r="K23" s="88">
        <v>13.156670300571234</v>
      </c>
      <c r="L23" s="88">
        <v>15.148022739064544</v>
      </c>
      <c r="M23" s="88">
        <v>20.912333707382025</v>
      </c>
      <c r="N23" s="88">
        <v>20.101849029191776</v>
      </c>
      <c r="O23" s="88">
        <v>19.194120825888248</v>
      </c>
      <c r="P23" s="88">
        <v>16.730948712371514</v>
      </c>
      <c r="Q23" s="88">
        <v>19.661949363295822</v>
      </c>
      <c r="R23" s="88">
        <v>18.824051314412216</v>
      </c>
      <c r="S23" s="88">
        <v>20.023088417207056</v>
      </c>
      <c r="T23" s="88">
        <v>19.622030667000843</v>
      </c>
      <c r="U23" s="88">
        <v>19.571323920351904</v>
      </c>
      <c r="V23" s="88">
        <v>20.630154965024975</v>
      </c>
      <c r="W23" s="88">
        <v>25.507117058604155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1167.82978</v>
      </c>
      <c r="C25" s="62">
        <f t="shared" ref="C25:V25" si="22">C26+C32</f>
        <v>1151.3055690000001</v>
      </c>
      <c r="D25" s="62">
        <f t="shared" si="22"/>
        <v>1285.529266</v>
      </c>
      <c r="E25" s="62">
        <f t="shared" si="22"/>
        <v>1222.8088359999999</v>
      </c>
      <c r="F25" s="62">
        <f t="shared" si="22"/>
        <v>1281.483839</v>
      </c>
      <c r="G25" s="62">
        <f t="shared" si="22"/>
        <v>1278.44586</v>
      </c>
      <c r="H25" s="62">
        <f t="shared" si="22"/>
        <v>1253.3518119999999</v>
      </c>
      <c r="I25" s="62">
        <f t="shared" si="22"/>
        <v>1373.6474230000001</v>
      </c>
      <c r="J25" s="62">
        <f t="shared" si="22"/>
        <v>1373.8945839999999</v>
      </c>
      <c r="K25" s="62">
        <f t="shared" si="22"/>
        <v>1357.5179059999998</v>
      </c>
      <c r="L25" s="62">
        <f t="shared" si="22"/>
        <v>1388.52584</v>
      </c>
      <c r="M25" s="62">
        <f t="shared" si="22"/>
        <v>1515.0122820000001</v>
      </c>
      <c r="N25" s="62">
        <f t="shared" si="22"/>
        <v>1571.8326130000003</v>
      </c>
      <c r="O25" s="62">
        <f t="shared" si="22"/>
        <v>1537.3366529999998</v>
      </c>
      <c r="P25" s="62">
        <f t="shared" si="22"/>
        <v>1472.263009</v>
      </c>
      <c r="Q25" s="62">
        <f t="shared" si="22"/>
        <v>1450.3213740000001</v>
      </c>
      <c r="R25" s="62">
        <f t="shared" si="22"/>
        <v>1340.0458960000001</v>
      </c>
      <c r="S25" s="62">
        <f t="shared" si="22"/>
        <v>1312.5758169999999</v>
      </c>
      <c r="T25" s="62">
        <f t="shared" si="22"/>
        <v>1202.8223820000001</v>
      </c>
      <c r="U25" s="62">
        <f t="shared" si="22"/>
        <v>1212.6015399999999</v>
      </c>
      <c r="V25" s="62">
        <f t="shared" si="22"/>
        <v>1126.2492219999999</v>
      </c>
      <c r="W25" s="62">
        <f t="shared" ref="W25" si="23">W26+W32</f>
        <v>1163.8948970000001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1060.022586</v>
      </c>
      <c r="C26" s="29">
        <f t="shared" ref="C26:V26" si="25">SUM(C27,C28,C31)</f>
        <v>1040.2056660000001</v>
      </c>
      <c r="D26" s="29">
        <f t="shared" si="25"/>
        <v>1133.136923</v>
      </c>
      <c r="E26" s="29">
        <f t="shared" si="25"/>
        <v>1067.170877</v>
      </c>
      <c r="F26" s="29">
        <f t="shared" si="25"/>
        <v>1126.5108540000001</v>
      </c>
      <c r="G26" s="29">
        <f t="shared" si="25"/>
        <v>1134.253594</v>
      </c>
      <c r="H26" s="29">
        <f t="shared" si="25"/>
        <v>1119.940265</v>
      </c>
      <c r="I26" s="29">
        <f t="shared" si="25"/>
        <v>1227.9206770000001</v>
      </c>
      <c r="J26" s="29">
        <f t="shared" si="25"/>
        <v>1237.5096409999999</v>
      </c>
      <c r="K26" s="29">
        <f t="shared" si="25"/>
        <v>1231.9136819999999</v>
      </c>
      <c r="L26" s="29">
        <f t="shared" si="25"/>
        <v>1272.508225</v>
      </c>
      <c r="M26" s="29">
        <f t="shared" si="25"/>
        <v>1364.2821370000001</v>
      </c>
      <c r="N26" s="29">
        <f t="shared" si="25"/>
        <v>1430.2226420000002</v>
      </c>
      <c r="O26" s="29">
        <f t="shared" si="25"/>
        <v>1402.9476669999999</v>
      </c>
      <c r="P26" s="29">
        <f t="shared" si="25"/>
        <v>1348.6547419999999</v>
      </c>
      <c r="Q26" s="29">
        <f t="shared" si="25"/>
        <v>1316.807303</v>
      </c>
      <c r="R26" s="29">
        <f t="shared" si="25"/>
        <v>1210.8050450000001</v>
      </c>
      <c r="S26" s="29">
        <f t="shared" si="25"/>
        <v>1181.154082</v>
      </c>
      <c r="T26" s="29">
        <f t="shared" si="25"/>
        <v>1075.151824</v>
      </c>
      <c r="U26" s="29">
        <f t="shared" si="25"/>
        <v>1077.6607899999999</v>
      </c>
      <c r="V26" s="29">
        <f t="shared" si="25"/>
        <v>992.22393199999999</v>
      </c>
      <c r="W26" s="29">
        <f t="shared" ref="W26" si="26">SUM(W27,W28,W31)</f>
        <v>991.28380500000003</v>
      </c>
      <c r="DA26" s="173" t="s">
        <v>1044</v>
      </c>
    </row>
    <row r="27" spans="1:105" ht="11.45" customHeight="1" x14ac:dyDescent="0.25">
      <c r="A27" s="107" t="s">
        <v>23</v>
      </c>
      <c r="B27" s="115">
        <v>636.81793100000004</v>
      </c>
      <c r="C27" s="115">
        <v>636.81793100000004</v>
      </c>
      <c r="D27" s="115">
        <v>636.81793100000004</v>
      </c>
      <c r="E27" s="115">
        <v>613.17235000000005</v>
      </c>
      <c r="F27" s="115">
        <v>657.20088099999998</v>
      </c>
      <c r="G27" s="115">
        <v>707.26408600000002</v>
      </c>
      <c r="H27" s="115">
        <v>735.27122199999997</v>
      </c>
      <c r="I27" s="115">
        <v>762.73996</v>
      </c>
      <c r="J27" s="115">
        <v>789.34989199999995</v>
      </c>
      <c r="K27" s="115">
        <v>826.07439799999997</v>
      </c>
      <c r="L27" s="115">
        <v>848.04504199999997</v>
      </c>
      <c r="M27" s="115">
        <v>865.73162100000002</v>
      </c>
      <c r="N27" s="115">
        <v>943.68063500000005</v>
      </c>
      <c r="O27" s="115">
        <v>956.74250199999994</v>
      </c>
      <c r="P27" s="115">
        <v>944.77004199999999</v>
      </c>
      <c r="Q27" s="115">
        <v>881.08824900000002</v>
      </c>
      <c r="R27" s="115">
        <v>817.40645600000005</v>
      </c>
      <c r="S27" s="115">
        <v>753.72466299999996</v>
      </c>
      <c r="T27" s="115">
        <v>690.04286999999999</v>
      </c>
      <c r="U27" s="115">
        <v>626.36107700000002</v>
      </c>
      <c r="V27" s="115">
        <v>564.00656200000003</v>
      </c>
      <c r="W27" s="115">
        <v>551.58875799999998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423.204655</v>
      </c>
      <c r="C28" s="116">
        <f t="shared" ref="C28:V28" si="28">SUM(C29:C30)</f>
        <v>403.38773500000002</v>
      </c>
      <c r="D28" s="116">
        <f t="shared" si="28"/>
        <v>496.31899199999998</v>
      </c>
      <c r="E28" s="116">
        <f t="shared" si="28"/>
        <v>453.99852700000002</v>
      </c>
      <c r="F28" s="116">
        <f t="shared" si="28"/>
        <v>469.30997300000001</v>
      </c>
      <c r="G28" s="116">
        <f t="shared" si="28"/>
        <v>426.989508</v>
      </c>
      <c r="H28" s="116">
        <f t="shared" si="28"/>
        <v>384.66904299999999</v>
      </c>
      <c r="I28" s="116">
        <f t="shared" si="28"/>
        <v>465.18071699999996</v>
      </c>
      <c r="J28" s="116">
        <f t="shared" si="28"/>
        <v>448.15974899999998</v>
      </c>
      <c r="K28" s="116">
        <f t="shared" si="28"/>
        <v>405.83928400000002</v>
      </c>
      <c r="L28" s="116">
        <f t="shared" si="28"/>
        <v>424.46318300000001</v>
      </c>
      <c r="M28" s="116">
        <f t="shared" si="28"/>
        <v>498.55051600000002</v>
      </c>
      <c r="N28" s="116">
        <f t="shared" si="28"/>
        <v>486.54200700000001</v>
      </c>
      <c r="O28" s="116">
        <f t="shared" si="28"/>
        <v>446.20516500000002</v>
      </c>
      <c r="P28" s="116">
        <f t="shared" si="28"/>
        <v>403.88469999999995</v>
      </c>
      <c r="Q28" s="116">
        <f t="shared" si="28"/>
        <v>435.71905400000003</v>
      </c>
      <c r="R28" s="116">
        <f t="shared" si="28"/>
        <v>393.39858900000002</v>
      </c>
      <c r="S28" s="116">
        <f t="shared" si="28"/>
        <v>427.429419</v>
      </c>
      <c r="T28" s="116">
        <f t="shared" si="28"/>
        <v>385.10895399999998</v>
      </c>
      <c r="U28" s="116">
        <f t="shared" si="28"/>
        <v>451.299713</v>
      </c>
      <c r="V28" s="116">
        <f t="shared" si="28"/>
        <v>428.21736999999996</v>
      </c>
      <c r="W28" s="116">
        <f t="shared" ref="W28" si="29">SUM(W29:W30)</f>
        <v>439.69504699999999</v>
      </c>
      <c r="DA28" s="176" t="s">
        <v>1046</v>
      </c>
    </row>
    <row r="29" spans="1:105" ht="11.45" customHeight="1" x14ac:dyDescent="0.25">
      <c r="A29" s="111" t="s">
        <v>92</v>
      </c>
      <c r="B29" s="87">
        <v>366.34619099999998</v>
      </c>
      <c r="C29" s="87">
        <v>329.71157199999999</v>
      </c>
      <c r="D29" s="87">
        <v>293.076953</v>
      </c>
      <c r="E29" s="87">
        <v>256.44233400000002</v>
      </c>
      <c r="F29" s="87">
        <v>277.43962599999998</v>
      </c>
      <c r="G29" s="87">
        <v>240.80500699999999</v>
      </c>
      <c r="H29" s="87">
        <v>204.170388</v>
      </c>
      <c r="I29" s="87">
        <v>290.367908</v>
      </c>
      <c r="J29" s="87">
        <v>279.03278599999999</v>
      </c>
      <c r="K29" s="87">
        <v>242.398167</v>
      </c>
      <c r="L29" s="87">
        <v>266.70791200000002</v>
      </c>
      <c r="M29" s="87">
        <v>346.48109099999999</v>
      </c>
      <c r="N29" s="87">
        <v>330.43219199999999</v>
      </c>
      <c r="O29" s="87">
        <v>295.78119600000002</v>
      </c>
      <c r="P29" s="87">
        <v>259.14657699999998</v>
      </c>
      <c r="Q29" s="87">
        <v>222.51195799999999</v>
      </c>
      <c r="R29" s="87">
        <v>185.87733900000001</v>
      </c>
      <c r="S29" s="87">
        <v>209.15536</v>
      </c>
      <c r="T29" s="87">
        <v>172.52074099999999</v>
      </c>
      <c r="U29" s="87">
        <v>230.635257</v>
      </c>
      <c r="V29" s="87">
        <v>213.23875999999998</v>
      </c>
      <c r="W29" s="87">
        <v>214.992648</v>
      </c>
      <c r="DA29" s="171" t="s">
        <v>1047</v>
      </c>
    </row>
    <row r="30" spans="1:105" ht="11.45" customHeight="1" x14ac:dyDescent="0.25">
      <c r="A30" s="111" t="s">
        <v>93</v>
      </c>
      <c r="B30" s="87">
        <v>56.858463999999998</v>
      </c>
      <c r="C30" s="87">
        <v>73.676163000000003</v>
      </c>
      <c r="D30" s="87">
        <v>203.24203900000001</v>
      </c>
      <c r="E30" s="87">
        <v>197.55619300000001</v>
      </c>
      <c r="F30" s="87">
        <v>191.87034700000001</v>
      </c>
      <c r="G30" s="87">
        <v>186.18450100000001</v>
      </c>
      <c r="H30" s="87">
        <v>180.49865499999999</v>
      </c>
      <c r="I30" s="87">
        <v>174.81280899999999</v>
      </c>
      <c r="J30" s="87">
        <v>169.12696299999999</v>
      </c>
      <c r="K30" s="87">
        <v>163.44111699999999</v>
      </c>
      <c r="L30" s="87">
        <v>157.75527099999999</v>
      </c>
      <c r="M30" s="87">
        <v>152.069425</v>
      </c>
      <c r="N30" s="87">
        <v>156.109815</v>
      </c>
      <c r="O30" s="87">
        <v>150.423969</v>
      </c>
      <c r="P30" s="87">
        <v>144.738123</v>
      </c>
      <c r="Q30" s="87">
        <v>213.20709600000001</v>
      </c>
      <c r="R30" s="87">
        <v>207.52125000000001</v>
      </c>
      <c r="S30" s="87">
        <v>218.27405899999999</v>
      </c>
      <c r="T30" s="87">
        <v>212.588213</v>
      </c>
      <c r="U30" s="87">
        <v>220.664456</v>
      </c>
      <c r="V30" s="87">
        <v>214.97861</v>
      </c>
      <c r="W30" s="87">
        <v>224.70239899999999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107.807194</v>
      </c>
      <c r="C32" s="29">
        <f t="shared" ref="C32:V32" si="31">SUM(C33:C34)</f>
        <v>111.099903</v>
      </c>
      <c r="D32" s="29">
        <f t="shared" si="31"/>
        <v>152.39234299999998</v>
      </c>
      <c r="E32" s="29">
        <f t="shared" si="31"/>
        <v>155.637959</v>
      </c>
      <c r="F32" s="29">
        <f t="shared" si="31"/>
        <v>154.97298499999999</v>
      </c>
      <c r="G32" s="29">
        <f t="shared" si="31"/>
        <v>144.19226599999999</v>
      </c>
      <c r="H32" s="29">
        <f t="shared" si="31"/>
        <v>133.41154700000001</v>
      </c>
      <c r="I32" s="29">
        <f t="shared" si="31"/>
        <v>145.72674599999999</v>
      </c>
      <c r="J32" s="29">
        <f t="shared" si="31"/>
        <v>136.38494299999999</v>
      </c>
      <c r="K32" s="29">
        <f t="shared" si="31"/>
        <v>125.60422399999999</v>
      </c>
      <c r="L32" s="29">
        <f t="shared" si="31"/>
        <v>116.01761499999999</v>
      </c>
      <c r="M32" s="29">
        <f t="shared" si="31"/>
        <v>150.73014499999999</v>
      </c>
      <c r="N32" s="29">
        <f t="shared" si="31"/>
        <v>141.609971</v>
      </c>
      <c r="O32" s="29">
        <f t="shared" si="31"/>
        <v>134.38898599999999</v>
      </c>
      <c r="P32" s="29">
        <f t="shared" si="31"/>
        <v>123.608267</v>
      </c>
      <c r="Q32" s="29">
        <f t="shared" si="31"/>
        <v>133.514071</v>
      </c>
      <c r="R32" s="29">
        <f t="shared" si="31"/>
        <v>129.24085099999999</v>
      </c>
      <c r="S32" s="29">
        <f t="shared" si="31"/>
        <v>131.42173500000001</v>
      </c>
      <c r="T32" s="29">
        <f t="shared" si="31"/>
        <v>127.670558</v>
      </c>
      <c r="U32" s="29">
        <f t="shared" si="31"/>
        <v>134.94074999999998</v>
      </c>
      <c r="V32" s="29">
        <f t="shared" si="31"/>
        <v>134.02528999999998</v>
      </c>
      <c r="W32" s="29">
        <f t="shared" ref="W32" si="32">SUM(W33:W34)</f>
        <v>172.61109199999999</v>
      </c>
      <c r="DA32" s="173" t="s">
        <v>1050</v>
      </c>
    </row>
    <row r="33" spans="1:105" ht="11.45" customHeight="1" x14ac:dyDescent="0.25">
      <c r="A33" s="83" t="s">
        <v>92</v>
      </c>
      <c r="B33" s="87">
        <v>62.096153999999999</v>
      </c>
      <c r="C33" s="87">
        <v>55.886538999999999</v>
      </c>
      <c r="D33" s="87">
        <v>54.765311999999994</v>
      </c>
      <c r="E33" s="87">
        <v>48.555696999999995</v>
      </c>
      <c r="F33" s="87">
        <v>42.346081999999996</v>
      </c>
      <c r="G33" s="87">
        <v>36.136466999999996</v>
      </c>
      <c r="H33" s="87">
        <v>29.926852</v>
      </c>
      <c r="I33" s="87">
        <v>46.813154999999995</v>
      </c>
      <c r="J33" s="87">
        <v>42.042455999999994</v>
      </c>
      <c r="K33" s="87">
        <v>35.832840999999995</v>
      </c>
      <c r="L33" s="87">
        <v>30.817336000000001</v>
      </c>
      <c r="M33" s="87">
        <v>46.168475999999998</v>
      </c>
      <c r="N33" s="87">
        <v>41.100724999999997</v>
      </c>
      <c r="O33" s="87">
        <v>38.418380999999997</v>
      </c>
      <c r="P33" s="87">
        <v>32.208765999999997</v>
      </c>
      <c r="Q33" s="87">
        <v>35.204324</v>
      </c>
      <c r="R33" s="87">
        <v>35.120593999999997</v>
      </c>
      <c r="S33" s="87">
        <v>31.306292000000003</v>
      </c>
      <c r="T33" s="87">
        <v>29.560404000000002</v>
      </c>
      <c r="U33" s="87">
        <v>37.084129999999995</v>
      </c>
      <c r="V33" s="87">
        <v>30.874515000000002</v>
      </c>
      <c r="W33" s="87">
        <v>45.075505999999997</v>
      </c>
      <c r="DA33" s="171" t="s">
        <v>1051</v>
      </c>
    </row>
    <row r="34" spans="1:105" ht="11.45" customHeight="1" x14ac:dyDescent="0.25">
      <c r="A34" s="85" t="s">
        <v>93</v>
      </c>
      <c r="B34" s="88">
        <v>45.711039999999997</v>
      </c>
      <c r="C34" s="88">
        <v>55.213363999999999</v>
      </c>
      <c r="D34" s="88">
        <v>97.627031000000002</v>
      </c>
      <c r="E34" s="88">
        <v>107.082262</v>
      </c>
      <c r="F34" s="88">
        <v>112.626903</v>
      </c>
      <c r="G34" s="88">
        <v>108.05579899999999</v>
      </c>
      <c r="H34" s="88">
        <v>103.484695</v>
      </c>
      <c r="I34" s="88">
        <v>98.913590999999997</v>
      </c>
      <c r="J34" s="88">
        <v>94.342487000000006</v>
      </c>
      <c r="K34" s="88">
        <v>89.771383</v>
      </c>
      <c r="L34" s="88">
        <v>85.200278999999995</v>
      </c>
      <c r="M34" s="88">
        <v>104.56166899999999</v>
      </c>
      <c r="N34" s="88">
        <v>100.509246</v>
      </c>
      <c r="O34" s="88">
        <v>95.970604999999992</v>
      </c>
      <c r="P34" s="88">
        <v>91.399501000000001</v>
      </c>
      <c r="Q34" s="88">
        <v>98.309747000000002</v>
      </c>
      <c r="R34" s="88">
        <v>94.120256999999995</v>
      </c>
      <c r="S34" s="88">
        <v>100.115443</v>
      </c>
      <c r="T34" s="88">
        <v>98.110153999999994</v>
      </c>
      <c r="U34" s="88">
        <v>97.856619999999992</v>
      </c>
      <c r="V34" s="88">
        <v>103.150775</v>
      </c>
      <c r="W34" s="88">
        <v>127.535586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51.492767999999998</v>
      </c>
      <c r="D36" s="54">
        <f t="shared" ref="D36:V36" si="34">D37+D43</f>
        <v>198.26652299999998</v>
      </c>
      <c r="E36" s="54">
        <f t="shared" si="34"/>
        <v>11.295676999999998</v>
      </c>
      <c r="F36" s="54">
        <f t="shared" si="34"/>
        <v>104.62856099999988</v>
      </c>
      <c r="G36" s="54">
        <f t="shared" si="34"/>
        <v>71.290470000000028</v>
      </c>
      <c r="H36" s="54">
        <f t="shared" si="34"/>
        <v>49.234400999999934</v>
      </c>
      <c r="I36" s="54">
        <f t="shared" si="34"/>
        <v>165.005674</v>
      </c>
      <c r="J36" s="54">
        <f t="shared" si="34"/>
        <v>47.837196999999946</v>
      </c>
      <c r="K36" s="54">
        <f t="shared" si="34"/>
        <v>57.951771000000008</v>
      </c>
      <c r="L36" s="54">
        <f t="shared" si="34"/>
        <v>78.498040000000003</v>
      </c>
      <c r="M36" s="54">
        <f t="shared" si="34"/>
        <v>168.465847</v>
      </c>
      <c r="N36" s="54">
        <f t="shared" si="34"/>
        <v>105.32170300000001</v>
      </c>
      <c r="O36" s="54">
        <f t="shared" si="34"/>
        <v>34.289131999999881</v>
      </c>
      <c r="P36" s="54">
        <f t="shared" si="34"/>
        <v>9.254805000000033</v>
      </c>
      <c r="Q36" s="54">
        <f t="shared" si="34"/>
        <v>84.555718999999996</v>
      </c>
      <c r="R36" s="54">
        <f t="shared" si="34"/>
        <v>2.1517319999999955</v>
      </c>
      <c r="S36" s="54">
        <f t="shared" si="34"/>
        <v>54.961881999999974</v>
      </c>
      <c r="T36" s="54">
        <f t="shared" si="34"/>
        <v>0.48957400000000106</v>
      </c>
      <c r="U36" s="54">
        <f t="shared" si="34"/>
        <v>90.632278999999997</v>
      </c>
      <c r="V36" s="54">
        <f t="shared" si="34"/>
        <v>7.1346010000000035</v>
      </c>
      <c r="W36" s="54">
        <f t="shared" ref="W36" si="35">W37+W43</f>
        <v>76.044267999999931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40.149997999999997</v>
      </c>
      <c r="D37" s="28">
        <f t="shared" ref="D37:V37" si="37">SUM(D38,D39,D42)</f>
        <v>152.89817499999998</v>
      </c>
      <c r="E37" s="28">
        <f t="shared" si="37"/>
        <v>0</v>
      </c>
      <c r="F37" s="28">
        <f t="shared" si="37"/>
        <v>97.243473999999878</v>
      </c>
      <c r="G37" s="28">
        <f t="shared" si="37"/>
        <v>71.290470000000028</v>
      </c>
      <c r="H37" s="28">
        <f t="shared" si="37"/>
        <v>49.234400999999934</v>
      </c>
      <c r="I37" s="28">
        <f t="shared" si="37"/>
        <v>145.88390900000002</v>
      </c>
      <c r="J37" s="28">
        <f t="shared" si="37"/>
        <v>47.837196999999946</v>
      </c>
      <c r="K37" s="28">
        <f t="shared" si="37"/>
        <v>57.951771000000008</v>
      </c>
      <c r="L37" s="28">
        <f t="shared" si="37"/>
        <v>78.498040000000003</v>
      </c>
      <c r="M37" s="28">
        <f t="shared" si="37"/>
        <v>129.67740900000001</v>
      </c>
      <c r="N37" s="28">
        <f t="shared" si="37"/>
        <v>105.32170300000001</v>
      </c>
      <c r="O37" s="28">
        <f t="shared" si="37"/>
        <v>34.289131999999881</v>
      </c>
      <c r="P37" s="28">
        <f t="shared" si="37"/>
        <v>9.254805000000033</v>
      </c>
      <c r="Q37" s="28">
        <f t="shared" si="37"/>
        <v>70.574006999999995</v>
      </c>
      <c r="R37" s="28">
        <f t="shared" si="37"/>
        <v>0</v>
      </c>
      <c r="S37" s="28">
        <f t="shared" si="37"/>
        <v>47.12624999999997</v>
      </c>
      <c r="T37" s="28">
        <f t="shared" si="37"/>
        <v>0</v>
      </c>
      <c r="U37" s="28">
        <f t="shared" si="37"/>
        <v>79.286179000000004</v>
      </c>
      <c r="V37" s="28">
        <f t="shared" si="37"/>
        <v>0</v>
      </c>
      <c r="W37" s="28">
        <f t="shared" ref="W37" si="38">SUM(W38,W39,W42)</f>
        <v>33.382557999999932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21.227264999999989</v>
      </c>
      <c r="D38" s="108">
        <v>21.227264999999989</v>
      </c>
      <c r="E38" s="108">
        <v>0</v>
      </c>
      <c r="F38" s="108">
        <v>65.255795999999918</v>
      </c>
      <c r="G38" s="108">
        <v>71.290470000000028</v>
      </c>
      <c r="H38" s="108">
        <v>49.234400999999934</v>
      </c>
      <c r="I38" s="108">
        <v>48.696003000000019</v>
      </c>
      <c r="J38" s="108">
        <v>47.837196999999946</v>
      </c>
      <c r="K38" s="108">
        <v>57.951771000000008</v>
      </c>
      <c r="L38" s="108">
        <v>43.197908999999981</v>
      </c>
      <c r="M38" s="108">
        <v>38.91384400000004</v>
      </c>
      <c r="N38" s="108">
        <v>99.176279000000022</v>
      </c>
      <c r="O38" s="108">
        <v>34.289131999999881</v>
      </c>
      <c r="P38" s="108">
        <v>9.254805000000033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8.809460999999942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18.922733000000008</v>
      </c>
      <c r="D39" s="110">
        <f t="shared" ref="D39:V39" si="40">SUM(D40:D41)</f>
        <v>131.67090999999999</v>
      </c>
      <c r="E39" s="110">
        <f t="shared" si="40"/>
        <v>0</v>
      </c>
      <c r="F39" s="110">
        <f t="shared" si="40"/>
        <v>31.98767799999996</v>
      </c>
      <c r="G39" s="110">
        <f t="shared" si="40"/>
        <v>0</v>
      </c>
      <c r="H39" s="110">
        <f t="shared" si="40"/>
        <v>0</v>
      </c>
      <c r="I39" s="110">
        <f t="shared" si="40"/>
        <v>97.187905999999998</v>
      </c>
      <c r="J39" s="110">
        <f t="shared" si="40"/>
        <v>0</v>
      </c>
      <c r="K39" s="110">
        <f t="shared" si="40"/>
        <v>0</v>
      </c>
      <c r="L39" s="110">
        <f t="shared" si="40"/>
        <v>35.300131000000022</v>
      </c>
      <c r="M39" s="110">
        <f t="shared" si="40"/>
        <v>90.763564999999971</v>
      </c>
      <c r="N39" s="110">
        <f t="shared" si="40"/>
        <v>6.1454239999999913</v>
      </c>
      <c r="O39" s="110">
        <f t="shared" si="40"/>
        <v>0</v>
      </c>
      <c r="P39" s="110">
        <f t="shared" si="40"/>
        <v>0</v>
      </c>
      <c r="Q39" s="110">
        <f t="shared" si="40"/>
        <v>70.574006999999995</v>
      </c>
      <c r="R39" s="110">
        <f t="shared" si="40"/>
        <v>0</v>
      </c>
      <c r="S39" s="110">
        <f t="shared" si="40"/>
        <v>47.12624999999997</v>
      </c>
      <c r="T39" s="110">
        <f t="shared" si="40"/>
        <v>0</v>
      </c>
      <c r="U39" s="110">
        <f t="shared" si="40"/>
        <v>79.286179000000004</v>
      </c>
      <c r="V39" s="110">
        <f t="shared" si="40"/>
        <v>0</v>
      </c>
      <c r="W39" s="110">
        <f t="shared" ref="W39" si="41">SUM(W40:W41)</f>
        <v>24.57309699999999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0</v>
      </c>
      <c r="E40" s="84">
        <v>0</v>
      </c>
      <c r="F40" s="84">
        <v>31.98767799999996</v>
      </c>
      <c r="G40" s="84">
        <v>0</v>
      </c>
      <c r="H40" s="84">
        <v>0</v>
      </c>
      <c r="I40" s="84">
        <v>97.187905999999998</v>
      </c>
      <c r="J40" s="84">
        <v>0</v>
      </c>
      <c r="K40" s="84">
        <v>0</v>
      </c>
      <c r="L40" s="84">
        <v>35.300131000000022</v>
      </c>
      <c r="M40" s="84">
        <v>90.763564999999971</v>
      </c>
      <c r="N40" s="84">
        <v>0</v>
      </c>
      <c r="O40" s="84">
        <v>0</v>
      </c>
      <c r="P40" s="84">
        <v>0</v>
      </c>
      <c r="Q40" s="84">
        <v>0</v>
      </c>
      <c r="R40" s="84">
        <v>0</v>
      </c>
      <c r="S40" s="84">
        <v>34.268406999999996</v>
      </c>
      <c r="T40" s="84">
        <v>0</v>
      </c>
      <c r="U40" s="84">
        <v>69.10490200000001</v>
      </c>
      <c r="V40" s="84">
        <v>0</v>
      </c>
      <c r="W40" s="84">
        <v>12.744274000000019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18.922733000000008</v>
      </c>
      <c r="D41" s="84">
        <v>131.67090999999999</v>
      </c>
      <c r="E41" s="84">
        <v>0</v>
      </c>
      <c r="F41" s="84">
        <v>0</v>
      </c>
      <c r="G41" s="84">
        <v>0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6.1454239999999913</v>
      </c>
      <c r="O41" s="84">
        <v>0</v>
      </c>
      <c r="P41" s="84">
        <v>0</v>
      </c>
      <c r="Q41" s="84">
        <v>70.574006999999995</v>
      </c>
      <c r="R41" s="84">
        <v>0</v>
      </c>
      <c r="S41" s="84">
        <v>12.857842999999974</v>
      </c>
      <c r="T41" s="84">
        <v>0</v>
      </c>
      <c r="U41" s="84">
        <v>10.181276999999994</v>
      </c>
      <c r="V41" s="84">
        <v>0</v>
      </c>
      <c r="W41" s="84">
        <v>11.828822999999971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11.342770000000002</v>
      </c>
      <c r="D43" s="28">
        <f t="shared" ref="D43:V43" si="43">SUM(D44:D45)</f>
        <v>45.368347999999997</v>
      </c>
      <c r="E43" s="28">
        <f t="shared" si="43"/>
        <v>11.295676999999998</v>
      </c>
      <c r="F43" s="28">
        <f t="shared" si="43"/>
        <v>7.3850869999999986</v>
      </c>
      <c r="G43" s="28">
        <f t="shared" si="43"/>
        <v>0</v>
      </c>
      <c r="H43" s="28">
        <f t="shared" si="43"/>
        <v>0</v>
      </c>
      <c r="I43" s="28">
        <f t="shared" si="43"/>
        <v>19.121764999999993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38.788437999999999</v>
      </c>
      <c r="N43" s="28">
        <f t="shared" si="43"/>
        <v>0</v>
      </c>
      <c r="O43" s="28">
        <f t="shared" si="43"/>
        <v>0</v>
      </c>
      <c r="P43" s="28">
        <f t="shared" si="43"/>
        <v>0</v>
      </c>
      <c r="Q43" s="28">
        <f t="shared" si="43"/>
        <v>13.981712000000002</v>
      </c>
      <c r="R43" s="28">
        <f t="shared" si="43"/>
        <v>2.1517319999999955</v>
      </c>
      <c r="S43" s="28">
        <f t="shared" si="43"/>
        <v>7.8356320000000039</v>
      </c>
      <c r="T43" s="28">
        <f t="shared" si="43"/>
        <v>0.48957400000000106</v>
      </c>
      <c r="U43" s="28">
        <f t="shared" si="43"/>
        <v>11.346099999999989</v>
      </c>
      <c r="V43" s="28">
        <f t="shared" si="43"/>
        <v>7.1346010000000035</v>
      </c>
      <c r="W43" s="28">
        <f t="shared" ref="W43" si="44">SUM(W44:W45)</f>
        <v>42.661710000000006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1.1142349999999936</v>
      </c>
      <c r="E44" s="84">
        <v>0</v>
      </c>
      <c r="F44" s="84">
        <v>0</v>
      </c>
      <c r="G44" s="84">
        <v>0</v>
      </c>
      <c r="H44" s="84">
        <v>0</v>
      </c>
      <c r="I44" s="84">
        <v>19.121764999999993</v>
      </c>
      <c r="J44" s="84">
        <v>0</v>
      </c>
      <c r="K44" s="84">
        <v>0</v>
      </c>
      <c r="L44" s="84">
        <v>0</v>
      </c>
      <c r="M44" s="84">
        <v>17.586601999999996</v>
      </c>
      <c r="N44" s="84">
        <v>0</v>
      </c>
      <c r="O44" s="84">
        <v>0</v>
      </c>
      <c r="P44" s="84">
        <v>0</v>
      </c>
      <c r="Q44" s="84">
        <v>5.2310200000000009</v>
      </c>
      <c r="R44" s="84">
        <v>2.1517319999999955</v>
      </c>
      <c r="S44" s="84">
        <v>0</v>
      </c>
      <c r="T44" s="84">
        <v>0.48957400000000106</v>
      </c>
      <c r="U44" s="84">
        <v>9.7591879999999911</v>
      </c>
      <c r="V44" s="84">
        <v>0</v>
      </c>
      <c r="W44" s="84">
        <v>16.436452999999993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11.342770000000002</v>
      </c>
      <c r="D45" s="86">
        <v>44.254113000000004</v>
      </c>
      <c r="E45" s="86">
        <v>11.295676999999998</v>
      </c>
      <c r="F45" s="86">
        <v>7.3850869999999986</v>
      </c>
      <c r="G45" s="86">
        <v>0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21.201836</v>
      </c>
      <c r="N45" s="86">
        <v>0</v>
      </c>
      <c r="O45" s="86">
        <v>0</v>
      </c>
      <c r="P45" s="86">
        <v>0</v>
      </c>
      <c r="Q45" s="86">
        <v>8.7506920000000008</v>
      </c>
      <c r="R45" s="86">
        <v>0</v>
      </c>
      <c r="S45" s="86">
        <v>7.8356320000000039</v>
      </c>
      <c r="T45" s="86">
        <v>0</v>
      </c>
      <c r="U45" s="86">
        <v>1.5869119999999981</v>
      </c>
      <c r="V45" s="86">
        <v>7.1346010000000035</v>
      </c>
      <c r="W45" s="86">
        <v>26.225257000000013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132.04457031753927</v>
      </c>
      <c r="C50" s="29">
        <f t="shared" si="45"/>
        <v>157.88462692474681</v>
      </c>
      <c r="D50" s="29">
        <f t="shared" si="45"/>
        <v>106.67435521651161</v>
      </c>
      <c r="E50" s="29">
        <f t="shared" si="45"/>
        <v>110.96421618694657</v>
      </c>
      <c r="F50" s="29">
        <f t="shared" si="45"/>
        <v>117.03367176446896</v>
      </c>
      <c r="G50" s="29">
        <f t="shared" si="45"/>
        <v>134.54396314737676</v>
      </c>
      <c r="H50" s="29">
        <f t="shared" si="45"/>
        <v>139.96229918095463</v>
      </c>
      <c r="I50" s="29">
        <f t="shared" si="45"/>
        <v>104.04800542783671</v>
      </c>
      <c r="J50" s="29">
        <f t="shared" si="45"/>
        <v>101.25162977702789</v>
      </c>
      <c r="K50" s="29">
        <f t="shared" ref="K50:V50" si="46">IF(K4=0,0,K4/K15)</f>
        <v>95.640499952570039</v>
      </c>
      <c r="L50" s="29">
        <f t="shared" si="46"/>
        <v>86.324768538923948</v>
      </c>
      <c r="M50" s="29">
        <f t="shared" si="46"/>
        <v>74.098127816765341</v>
      </c>
      <c r="N50" s="29">
        <f t="shared" si="46"/>
        <v>68.553850495387564</v>
      </c>
      <c r="O50" s="29">
        <f t="shared" si="46"/>
        <v>71.736655489142791</v>
      </c>
      <c r="P50" s="29">
        <f t="shared" si="46"/>
        <v>83.5105146991759</v>
      </c>
      <c r="Q50" s="29">
        <f t="shared" si="46"/>
        <v>81.257608554551439</v>
      </c>
      <c r="R50" s="29">
        <f t="shared" si="46"/>
        <v>80.709738200160373</v>
      </c>
      <c r="S50" s="29">
        <f t="shared" si="46"/>
        <v>83.052240797371837</v>
      </c>
      <c r="T50" s="29">
        <f t="shared" si="46"/>
        <v>88.382870929421514</v>
      </c>
      <c r="U50" s="29">
        <f t="shared" si="46"/>
        <v>83.438442058082998</v>
      </c>
      <c r="V50" s="29">
        <f t="shared" si="46"/>
        <v>56.79884650099693</v>
      </c>
      <c r="W50" s="29">
        <f t="shared" ref="W50" si="47">IF(W4=0,0,W4/W15)</f>
        <v>59.019749089255711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85.653138763707986</v>
      </c>
      <c r="C51" s="115">
        <f t="shared" si="48"/>
        <v>85.653138763707986</v>
      </c>
      <c r="D51" s="115">
        <f t="shared" si="48"/>
        <v>85.653138763707986</v>
      </c>
      <c r="E51" s="115">
        <f t="shared" si="48"/>
        <v>85.653138763707986</v>
      </c>
      <c r="F51" s="115">
        <f t="shared" si="48"/>
        <v>85.653138763707986</v>
      </c>
      <c r="G51" s="115">
        <f t="shared" si="48"/>
        <v>84.794198045180266</v>
      </c>
      <c r="H51" s="115">
        <f t="shared" si="48"/>
        <v>84.075345240675688</v>
      </c>
      <c r="I51" s="115">
        <f t="shared" si="48"/>
        <v>82.239394916946679</v>
      </c>
      <c r="J51" s="115">
        <f t="shared" si="48"/>
        <v>80.618701937583012</v>
      </c>
      <c r="K51" s="115">
        <f t="shared" ref="K51:V51" si="49">IF(K5=0,0,K5/K16)</f>
        <v>77.551896723255396</v>
      </c>
      <c r="L51" s="115">
        <f t="shared" si="49"/>
        <v>76.525846354547099</v>
      </c>
      <c r="M51" s="115">
        <f t="shared" si="49"/>
        <v>74.155916211923753</v>
      </c>
      <c r="N51" s="115">
        <f t="shared" si="49"/>
        <v>72.716942185619857</v>
      </c>
      <c r="O51" s="115">
        <f t="shared" si="49"/>
        <v>73.656354162397932</v>
      </c>
      <c r="P51" s="115">
        <f t="shared" si="49"/>
        <v>76.978809178702917</v>
      </c>
      <c r="Q51" s="115">
        <f t="shared" si="49"/>
        <v>77.257516779602881</v>
      </c>
      <c r="R51" s="115">
        <f t="shared" si="49"/>
        <v>75.90178353167282</v>
      </c>
      <c r="S51" s="115">
        <f t="shared" si="49"/>
        <v>77.91022803691267</v>
      </c>
      <c r="T51" s="115">
        <f t="shared" si="49"/>
        <v>78.291947109039697</v>
      </c>
      <c r="U51" s="115">
        <f t="shared" si="49"/>
        <v>79.29395040277997</v>
      </c>
      <c r="V51" s="115">
        <f t="shared" si="49"/>
        <v>55.384736044059451</v>
      </c>
      <c r="W51" s="115">
        <f t="shared" ref="W51" si="50">IF(W5=0,0,W5/W16)</f>
        <v>52.783279636513839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183.23680030201297</v>
      </c>
      <c r="C52" s="116">
        <f t="shared" si="51"/>
        <v>293.16686383396365</v>
      </c>
      <c r="D52" s="116">
        <f t="shared" si="51"/>
        <v>129.02055126998098</v>
      </c>
      <c r="E52" s="116">
        <f t="shared" si="51"/>
        <v>138.86473118008661</v>
      </c>
      <c r="F52" s="116">
        <f t="shared" si="51"/>
        <v>158.71686924688538</v>
      </c>
      <c r="G52" s="116">
        <f t="shared" si="51"/>
        <v>261.10814938015079</v>
      </c>
      <c r="H52" s="116">
        <f t="shared" si="51"/>
        <v>317.08157282737739</v>
      </c>
      <c r="I52" s="116">
        <f t="shared" si="51"/>
        <v>137.76684301934716</v>
      </c>
      <c r="J52" s="116">
        <f t="shared" si="51"/>
        <v>136.36163276818721</v>
      </c>
      <c r="K52" s="116">
        <f t="shared" ref="K52:V52" si="52">IF(K6=0,0,K6/K17)</f>
        <v>130.69646913998037</v>
      </c>
      <c r="L52" s="116">
        <f t="shared" si="52"/>
        <v>103.77123912969545</v>
      </c>
      <c r="M52" s="116">
        <f t="shared" si="52"/>
        <v>74.017832890712171</v>
      </c>
      <c r="N52" s="116">
        <f t="shared" si="52"/>
        <v>62.632481796541015</v>
      </c>
      <c r="O52" s="116">
        <f t="shared" si="52"/>
        <v>68.594877835997195</v>
      </c>
      <c r="P52" s="116">
        <f t="shared" si="52"/>
        <v>96.702238533109025</v>
      </c>
      <c r="Q52" s="116">
        <f t="shared" si="52"/>
        <v>85.475813845685394</v>
      </c>
      <c r="R52" s="116">
        <f t="shared" si="52"/>
        <v>86.261991808026607</v>
      </c>
      <c r="S52" s="116">
        <f t="shared" si="52"/>
        <v>88.326473963063307</v>
      </c>
      <c r="T52" s="116">
        <f t="shared" si="52"/>
        <v>99.934217915592313</v>
      </c>
      <c r="U52" s="116">
        <f t="shared" si="52"/>
        <v>87.244313121007764</v>
      </c>
      <c r="V52" s="116">
        <f t="shared" si="52"/>
        <v>58.170744613753861</v>
      </c>
      <c r="W52" s="116">
        <f t="shared" ref="W52" si="53">IF(W6=0,0,W6/W17)</f>
        <v>64.757002847280987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116.75371316709509</v>
      </c>
      <c r="C53" s="87">
        <f t="shared" si="54"/>
        <v>159.26214431956694</v>
      </c>
      <c r="D53" s="87">
        <f t="shared" si="54"/>
        <v>112.85588771693337</v>
      </c>
      <c r="E53" s="87">
        <f t="shared" si="54"/>
        <v>111.0343768547927</v>
      </c>
      <c r="F53" s="87">
        <f t="shared" si="54"/>
        <v>111.17034874440093</v>
      </c>
      <c r="G53" s="87">
        <f t="shared" si="54"/>
        <v>156.56379894799241</v>
      </c>
      <c r="H53" s="87">
        <f t="shared" si="54"/>
        <v>174.79476375558022</v>
      </c>
      <c r="I53" s="87">
        <f t="shared" si="54"/>
        <v>104.41102602413817</v>
      </c>
      <c r="J53" s="87">
        <f t="shared" si="54"/>
        <v>95.854608464680652</v>
      </c>
      <c r="K53" s="87">
        <f t="shared" ref="K53:V53" si="55">IF(K7=0,0,K7/K18)</f>
        <v>80.382127726539466</v>
      </c>
      <c r="L53" s="87">
        <f t="shared" si="55"/>
        <v>78.683884204053527</v>
      </c>
      <c r="M53" s="87">
        <f t="shared" si="55"/>
        <v>62.429923531101757</v>
      </c>
      <c r="N53" s="87">
        <f t="shared" si="55"/>
        <v>55.244069791517255</v>
      </c>
      <c r="O53" s="87">
        <f t="shared" si="55"/>
        <v>62.677946724829098</v>
      </c>
      <c r="P53" s="87">
        <f t="shared" si="55"/>
        <v>89.499665376698829</v>
      </c>
      <c r="Q53" s="87">
        <f t="shared" si="55"/>
        <v>74.930453916615633</v>
      </c>
      <c r="R53" s="87">
        <f t="shared" si="55"/>
        <v>75.680449374625184</v>
      </c>
      <c r="S53" s="87">
        <f t="shared" si="55"/>
        <v>61.907906241139791</v>
      </c>
      <c r="T53" s="87">
        <f t="shared" si="55"/>
        <v>81.079125365158887</v>
      </c>
      <c r="U53" s="87">
        <f t="shared" si="55"/>
        <v>66.691869379301536</v>
      </c>
      <c r="V53" s="87">
        <f t="shared" si="55"/>
        <v>40.899519892989417</v>
      </c>
      <c r="W53" s="87">
        <f t="shared" ref="W53" si="56">IF(W7=0,0,W7/W18)</f>
        <v>42.982084397909532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611.5956428181031</v>
      </c>
      <c r="C54" s="87">
        <f t="shared" si="57"/>
        <v>612.44281777949607</v>
      </c>
      <c r="D54" s="87">
        <f t="shared" si="57"/>
        <v>147.79598234886845</v>
      </c>
      <c r="E54" s="87">
        <f t="shared" si="57"/>
        <v>179.75179117751605</v>
      </c>
      <c r="F54" s="87">
        <f t="shared" si="57"/>
        <v>313.20557595369593</v>
      </c>
      <c r="G54" s="87">
        <f t="shared" si="57"/>
        <v>371.34088545843781</v>
      </c>
      <c r="H54" s="87">
        <f t="shared" si="57"/>
        <v>519.1088096716976</v>
      </c>
      <c r="I54" s="87">
        <f t="shared" si="57"/>
        <v>273.41232147115397</v>
      </c>
      <c r="J54" s="87">
        <f t="shared" si="57"/>
        <v>321.2256189606785</v>
      </c>
      <c r="K54" s="87">
        <f t="shared" ref="K54:V54" si="58">IF(K8=0,0,K8/K19)</f>
        <v>279.81888162056026</v>
      </c>
      <c r="L54" s="87">
        <f t="shared" si="58"/>
        <v>184.78972205617563</v>
      </c>
      <c r="M54" s="87">
        <f t="shared" si="58"/>
        <v>110.37371115141906</v>
      </c>
      <c r="N54" s="87">
        <f t="shared" si="58"/>
        <v>78.271275395166128</v>
      </c>
      <c r="O54" s="87">
        <f t="shared" si="58"/>
        <v>81.761628693626406</v>
      </c>
      <c r="P54" s="87">
        <f t="shared" si="58"/>
        <v>107.82776066047821</v>
      </c>
      <c r="Q54" s="87">
        <f t="shared" si="58"/>
        <v>94.793604830597502</v>
      </c>
      <c r="R54" s="87">
        <f t="shared" si="58"/>
        <v>95.821717782868234</v>
      </c>
      <c r="S54" s="87">
        <f t="shared" si="58"/>
        <v>113.64136965784465</v>
      </c>
      <c r="T54" s="87">
        <f t="shared" si="58"/>
        <v>114.16045534938934</v>
      </c>
      <c r="U54" s="87">
        <f t="shared" si="58"/>
        <v>108.7254262312661</v>
      </c>
      <c r="V54" s="87">
        <f t="shared" si="58"/>
        <v>75.453833295292583</v>
      </c>
      <c r="W54" s="87">
        <f t="shared" ref="W54" si="59">IF(W8=0,0,W8/W19)</f>
        <v>85.590992145516665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758.48371210895436</v>
      </c>
      <c r="C56" s="29">
        <f t="shared" si="63"/>
        <v>850.82434672223008</v>
      </c>
      <c r="D56" s="29">
        <f t="shared" si="63"/>
        <v>499.30330307460349</v>
      </c>
      <c r="E56" s="29">
        <f t="shared" si="63"/>
        <v>532.56860612074843</v>
      </c>
      <c r="F56" s="29">
        <f t="shared" si="63"/>
        <v>549.38642770452191</v>
      </c>
      <c r="G56" s="29">
        <f t="shared" si="63"/>
        <v>741.15913344186879</v>
      </c>
      <c r="H56" s="29">
        <f t="shared" si="63"/>
        <v>799.70328117760459</v>
      </c>
      <c r="I56" s="29">
        <f t="shared" si="63"/>
        <v>567.20290282824851</v>
      </c>
      <c r="J56" s="29">
        <f t="shared" si="63"/>
        <v>623.66783762008072</v>
      </c>
      <c r="K56" s="29">
        <f t="shared" ref="K56:V56" si="64">IF(K10=0,0,K10/K21)</f>
        <v>607.4111902731579</v>
      </c>
      <c r="L56" s="29">
        <f t="shared" si="64"/>
        <v>580.67268563899574</v>
      </c>
      <c r="M56" s="29">
        <f t="shared" si="64"/>
        <v>488.25668314139017</v>
      </c>
      <c r="N56" s="29">
        <f t="shared" si="64"/>
        <v>475.67272291882921</v>
      </c>
      <c r="O56" s="29">
        <f t="shared" si="64"/>
        <v>481.4754740257456</v>
      </c>
      <c r="P56" s="29">
        <f t="shared" si="64"/>
        <v>566.59500963910625</v>
      </c>
      <c r="Q56" s="29">
        <f t="shared" si="64"/>
        <v>512.04341146136517</v>
      </c>
      <c r="R56" s="29">
        <f t="shared" si="64"/>
        <v>523.6347477204514</v>
      </c>
      <c r="S56" s="29">
        <f t="shared" si="64"/>
        <v>524.34249893825017</v>
      </c>
      <c r="T56" s="29">
        <f t="shared" si="64"/>
        <v>512.09928017987318</v>
      </c>
      <c r="U56" s="29">
        <f t="shared" si="64"/>
        <v>493.25352540992816</v>
      </c>
      <c r="V56" s="29">
        <f t="shared" si="64"/>
        <v>472.24083460115736</v>
      </c>
      <c r="W56" s="29">
        <f t="shared" ref="W56" si="65">IF(W10=0,0,W10/W21)</f>
        <v>394.67336531070589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614.92520565467942</v>
      </c>
      <c r="C57" s="87">
        <f t="shared" si="66"/>
        <v>701.93867162497872</v>
      </c>
      <c r="D57" s="87">
        <f t="shared" si="66"/>
        <v>554.98240216394322</v>
      </c>
      <c r="E57" s="87">
        <f t="shared" si="66"/>
        <v>691.56950991501265</v>
      </c>
      <c r="F57" s="87">
        <f t="shared" si="66"/>
        <v>719.93460084459559</v>
      </c>
      <c r="G57" s="87">
        <f t="shared" si="66"/>
        <v>769.24167689683679</v>
      </c>
      <c r="H57" s="87">
        <f t="shared" si="66"/>
        <v>731.30515154586578</v>
      </c>
      <c r="I57" s="87">
        <f t="shared" si="66"/>
        <v>612.36170100168567</v>
      </c>
      <c r="J57" s="87">
        <f t="shared" si="66"/>
        <v>607.68262128592653</v>
      </c>
      <c r="K57" s="87">
        <f t="shared" ref="K57:V57" si="67">IF(K11=0,0,K11/K22)</f>
        <v>608.12629751370548</v>
      </c>
      <c r="L57" s="87">
        <f t="shared" si="67"/>
        <v>632.07760311115214</v>
      </c>
      <c r="M57" s="87">
        <f t="shared" si="67"/>
        <v>522.53222165723435</v>
      </c>
      <c r="N57" s="87">
        <f t="shared" si="67"/>
        <v>509.78914653804196</v>
      </c>
      <c r="O57" s="87">
        <f t="shared" si="67"/>
        <v>516.20761274205972</v>
      </c>
      <c r="P57" s="87">
        <f t="shared" si="67"/>
        <v>668.90676239803338</v>
      </c>
      <c r="Q57" s="87">
        <f t="shared" si="67"/>
        <v>522.40204304249391</v>
      </c>
      <c r="R57" s="87">
        <f t="shared" si="67"/>
        <v>519.53884957547723</v>
      </c>
      <c r="S57" s="87">
        <f t="shared" si="67"/>
        <v>542.55017081143251</v>
      </c>
      <c r="T57" s="87">
        <f t="shared" si="67"/>
        <v>554.3735068169417</v>
      </c>
      <c r="U57" s="87">
        <f t="shared" si="67"/>
        <v>514.93151050806136</v>
      </c>
      <c r="V57" s="87">
        <f t="shared" si="67"/>
        <v>559.87493136806359</v>
      </c>
      <c r="W57" s="87">
        <f t="shared" ref="W57" si="68">IF(W11=0,0,W11/W22)</f>
        <v>381.86996163965171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953.50074294365788</v>
      </c>
      <c r="C58" s="88">
        <f t="shared" si="69"/>
        <v>957.10221634464904</v>
      </c>
      <c r="D58" s="88">
        <f t="shared" si="69"/>
        <v>468.0692975560616</v>
      </c>
      <c r="E58" s="88">
        <f t="shared" si="69"/>
        <v>481.91922302326287</v>
      </c>
      <c r="F58" s="88">
        <f t="shared" si="69"/>
        <v>485.34562733342148</v>
      </c>
      <c r="G58" s="88">
        <f t="shared" si="69"/>
        <v>734.20550991373284</v>
      </c>
      <c r="H58" s="88">
        <f t="shared" si="69"/>
        <v>821.09996803918273</v>
      </c>
      <c r="I58" s="88">
        <f t="shared" si="69"/>
        <v>544.24625952218719</v>
      </c>
      <c r="J58" s="88">
        <f t="shared" si="69"/>
        <v>632.05745371310206</v>
      </c>
      <c r="K58" s="88">
        <f t="shared" ref="K58:V58" si="70">IF(K12=0,0,K12/K23)</f>
        <v>607.13410576192587</v>
      </c>
      <c r="L58" s="88">
        <f t="shared" si="70"/>
        <v>559.75691864084774</v>
      </c>
      <c r="M58" s="88">
        <f t="shared" si="70"/>
        <v>473.12255827571727</v>
      </c>
      <c r="N58" s="88">
        <f t="shared" si="70"/>
        <v>461.72167058988549</v>
      </c>
      <c r="O58" s="88">
        <f t="shared" si="70"/>
        <v>467.57171123048198</v>
      </c>
      <c r="P58" s="88">
        <f t="shared" si="70"/>
        <v>536.544447581648</v>
      </c>
      <c r="Q58" s="88">
        <f t="shared" si="70"/>
        <v>508.33402731442607</v>
      </c>
      <c r="R58" s="88">
        <f t="shared" si="70"/>
        <v>525.16311557250731</v>
      </c>
      <c r="S58" s="88">
        <f t="shared" si="70"/>
        <v>518.64892495743663</v>
      </c>
      <c r="T58" s="88">
        <f t="shared" si="70"/>
        <v>499.36213592433165</v>
      </c>
      <c r="U58" s="88">
        <f t="shared" si="70"/>
        <v>485.03835100004875</v>
      </c>
      <c r="V58" s="88">
        <f t="shared" si="70"/>
        <v>449.31587953088615</v>
      </c>
      <c r="W58" s="88">
        <f t="shared" ref="W58" si="71">IF(W12=0,0,W12/W23)</f>
        <v>399.19853284134302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368.06070658573685</v>
      </c>
      <c r="C61" s="29">
        <f t="shared" ref="C61" si="73">IF(C26=0,0,(C62*C27+C64*C29+C65*C30+C66*C31)/(C27+C29+C30+C31))</f>
        <v>368.97630934457914</v>
      </c>
      <c r="D61" s="29">
        <f t="shared" ref="D61" si="74">IF(D26=0,0,(D62*D27+D64*D29+D65*D30+D66*D31)/(D27+D29+D30+D31))</f>
        <v>364.9596456049822</v>
      </c>
      <c r="E61" s="29">
        <f t="shared" ref="E61" si="75">IF(E26=0,0,(E62*E27+E64*E29+E65*E30+E66*E31)/(E27+E29+E30+E31))</f>
        <v>365.96619815741093</v>
      </c>
      <c r="F61" s="29">
        <f t="shared" ref="F61" si="76">IF(F26=0,0,(F62*F27+F64*F29+F65*F30+F66*F31)/(F27+F29+F30+F31))</f>
        <v>366.6716057757576</v>
      </c>
      <c r="G61" s="29">
        <f t="shared" ref="G61" si="77">IF(G26=0,0,(G62*G27+G64*G29+G65*G30+G66*G31)/(G27+G29+G30+G31))</f>
        <v>369.88401815899374</v>
      </c>
      <c r="H61" s="29">
        <f t="shared" ref="H61" si="78">IF(H26=0,0,(H62*H27+H64*H29+H65*H30+H66*H31)/(H27+H29+H30+H31))</f>
        <v>372.52217426078522</v>
      </c>
      <c r="I61" s="29">
        <f t="shared" ref="I61" si="79">IF(I26=0,0,(I62*I27+I64*I29+I65*I30+I66*I31)/(I27+I29+I30+I31))</f>
        <v>369.69310961444131</v>
      </c>
      <c r="J61" s="29">
        <f t="shared" ref="J61" si="80">IF(J26=0,0,(J62*J27+J64*J29+J65*J30+J66*J31)/(J27+J29+J30+J31))</f>
        <v>371.02828234046865</v>
      </c>
      <c r="K61" s="29">
        <f t="shared" ref="K61" si="81">IF(K26=0,0,(K62*K27+K64*K29+K65*K30+K66*K31)/(K27+K29+K30+K31))</f>
        <v>373.64495321840246</v>
      </c>
      <c r="L61" s="29">
        <f t="shared" ref="L61" si="82">IF(L26=0,0,(L62*L27+L64*L29+L65*L30+L66*L31)/(L27+L29+L30+L31))</f>
        <v>373.31486431846048</v>
      </c>
      <c r="M61" s="29">
        <f t="shared" ref="M61" si="83">IF(M26=0,0,(M62*M27+M64*M29+M65*M30+M66*M31)/(M27+M29+M30+M31))</f>
        <v>370.76554753718074</v>
      </c>
      <c r="N61" s="29">
        <f t="shared" ref="N61" si="84">IF(N26=0,0,(N62*N27+N64*N29+N65*N30+N66*N31)/(N27+N29+N30+N31))</f>
        <v>372.78510392929445</v>
      </c>
      <c r="O61" s="29">
        <f t="shared" ref="O61" si="85">IF(O26=0,0,(O62*O27+O64*O29+O65*O30+O66*O31)/(O27+O29+O30+O31))</f>
        <v>374.55613346124903</v>
      </c>
      <c r="P61" s="29">
        <f t="shared" ref="P61" si="86">IF(P26=0,0,(P62*P27+P64*P29+P65*P30+P66*P31)/(P27+P29+P30+P31))</f>
        <v>376.04221822400257</v>
      </c>
      <c r="Q61" s="29">
        <f t="shared" ref="Q61" si="87">IF(Q26=0,0,(Q62*Q27+Q64*Q29+Q65*Q30+Q66*Q31)/(Q27+Q29+Q30+Q31))</f>
        <v>373.52875835318781</v>
      </c>
      <c r="R61" s="29">
        <f t="shared" ref="R61" si="88">IF(R26=0,0,(R62*R27+R64*R29+R65*R30+R66*R31)/(R27+R29+R30+R31))</f>
        <v>374.00746945186376</v>
      </c>
      <c r="S61" s="29">
        <f t="shared" ref="S61" si="89">IF(S26=0,0,(S62*S27+S64*S29+S65*S30+S66*S31)/(S27+S29+S30+S31))</f>
        <v>371.05004838818309</v>
      </c>
      <c r="T61" s="29">
        <f t="shared" ref="T61" si="90">IF(T26=0,0,(T62*T27+T64*T29+T65*T30+T66*T31)/(T27+T29+T30+T31))</f>
        <v>371.34477602858067</v>
      </c>
      <c r="U61" s="29">
        <f t="shared" ref="U61" si="91">IF(U26=0,0,(U62*U27+U64*U29+U65*U30+U66*U31)/(U27+U29+U30+U31))</f>
        <v>366.49782809672416</v>
      </c>
      <c r="V61" s="29">
        <f t="shared" ref="V61" si="92">IF(V26=0,0,(V62*V27+V64*V29+V65*V30+V66*V31)/(V27+V29+V30+V31))</f>
        <v>365.47413492542137</v>
      </c>
      <c r="W61" s="29">
        <f t="shared" ref="W61" si="93">IF(W26=0,0,(W62*W27+W64*W29+W65*W30+W66*W31)/(W27+W29+W30+W31))</f>
        <v>364.51510295782543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320.00000000000006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320.00000000000006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2099.9999999999995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2100.0000000000005</v>
      </c>
      <c r="K67" s="29">
        <f t="shared" ref="K67" si="125">IF(K32=0,0,(K68*K33+K69*K34)/(K33+K34))</f>
        <v>2100.0000000000005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2100.0000000000005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0.35875758524302165</v>
      </c>
      <c r="C72" s="30">
        <f t="shared" ref="C72:J72" si="138">IF(C50=0,0,C50/C61)</f>
        <v>0.42789908979576713</v>
      </c>
      <c r="D72" s="30">
        <f t="shared" si="138"/>
        <v>0.29229082311191112</v>
      </c>
      <c r="E72" s="30">
        <f t="shared" si="138"/>
        <v>0.30320892133108474</v>
      </c>
      <c r="F72" s="30">
        <f t="shared" si="138"/>
        <v>0.31917844174725191</v>
      </c>
      <c r="G72" s="30">
        <f t="shared" si="138"/>
        <v>0.36374635437626118</v>
      </c>
      <c r="H72" s="30">
        <f t="shared" si="138"/>
        <v>0.37571535025717318</v>
      </c>
      <c r="I72" s="30">
        <f t="shared" si="138"/>
        <v>0.28144426477504542</v>
      </c>
      <c r="J72" s="30">
        <f t="shared" si="138"/>
        <v>0.27289464064121077</v>
      </c>
      <c r="K72" s="30">
        <f t="shared" ref="K72:V72" si="139">IF(K50=0,0,K50/K61)</f>
        <v>0.25596625654586691</v>
      </c>
      <c r="L72" s="30">
        <f t="shared" si="139"/>
        <v>0.23123849808799368</v>
      </c>
      <c r="M72" s="30">
        <f t="shared" si="139"/>
        <v>0.19985170765990523</v>
      </c>
      <c r="N72" s="30">
        <f t="shared" si="139"/>
        <v>0.18389643194646013</v>
      </c>
      <c r="O72" s="30">
        <f t="shared" si="139"/>
        <v>0.19152444475072131</v>
      </c>
      <c r="P72" s="30">
        <f t="shared" si="139"/>
        <v>0.22207749729162052</v>
      </c>
      <c r="Q72" s="30">
        <f t="shared" si="139"/>
        <v>0.21754043493946673</v>
      </c>
      <c r="R72" s="30">
        <f t="shared" si="139"/>
        <v>0.21579712918152838</v>
      </c>
      <c r="S72" s="30">
        <f t="shared" si="139"/>
        <v>0.22383029232348922</v>
      </c>
      <c r="T72" s="30">
        <f t="shared" si="139"/>
        <v>0.23800757849524481</v>
      </c>
      <c r="U72" s="30">
        <f t="shared" si="139"/>
        <v>0.22766421970736037</v>
      </c>
      <c r="V72" s="30">
        <f t="shared" si="139"/>
        <v>0.15541139870975357</v>
      </c>
      <c r="W72" s="30">
        <f t="shared" ref="W72" si="140">IF(W50=0,0,W50/W61)</f>
        <v>0.16191304176519766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0.21413284690926995</v>
      </c>
      <c r="C73" s="118">
        <f t="shared" si="141"/>
        <v>0.21413284690926995</v>
      </c>
      <c r="D73" s="118">
        <f t="shared" si="141"/>
        <v>0.21413284690926995</v>
      </c>
      <c r="E73" s="118">
        <f t="shared" si="141"/>
        <v>0.21413284690926995</v>
      </c>
      <c r="F73" s="118">
        <f t="shared" si="141"/>
        <v>0.21413284690926995</v>
      </c>
      <c r="G73" s="118">
        <f t="shared" si="141"/>
        <v>0.21198549511295067</v>
      </c>
      <c r="H73" s="118">
        <f t="shared" si="141"/>
        <v>0.21018836310168923</v>
      </c>
      <c r="I73" s="118">
        <f t="shared" si="141"/>
        <v>0.20559848729236671</v>
      </c>
      <c r="J73" s="118">
        <f t="shared" si="141"/>
        <v>0.20154675484395754</v>
      </c>
      <c r="K73" s="118">
        <f t="shared" ref="K73:V73" si="142">IF(K51=0,0,K51/K62)</f>
        <v>0.19387974180813849</v>
      </c>
      <c r="L73" s="118">
        <f t="shared" si="142"/>
        <v>0.19131461588636775</v>
      </c>
      <c r="M73" s="118">
        <f t="shared" si="142"/>
        <v>0.18538979052980939</v>
      </c>
      <c r="N73" s="118">
        <f t="shared" si="142"/>
        <v>0.18179235546404965</v>
      </c>
      <c r="O73" s="118">
        <f t="shared" si="142"/>
        <v>0.18414088540599483</v>
      </c>
      <c r="P73" s="118">
        <f t="shared" si="142"/>
        <v>0.19244702294675731</v>
      </c>
      <c r="Q73" s="118">
        <f t="shared" si="142"/>
        <v>0.19314379194900722</v>
      </c>
      <c r="R73" s="118">
        <f t="shared" si="142"/>
        <v>0.18975445882918204</v>
      </c>
      <c r="S73" s="118">
        <f t="shared" si="142"/>
        <v>0.19477557009228166</v>
      </c>
      <c r="T73" s="118">
        <f t="shared" si="142"/>
        <v>0.19572986777259924</v>
      </c>
      <c r="U73" s="118">
        <f t="shared" si="142"/>
        <v>0.19823487600694992</v>
      </c>
      <c r="V73" s="118">
        <f t="shared" si="142"/>
        <v>0.13846184011014862</v>
      </c>
      <c r="W73" s="118">
        <f t="shared" ref="W73" si="143">IF(W51=0,0,W51/W62)</f>
        <v>0.13195819909128459</v>
      </c>
      <c r="DA73" s="203"/>
    </row>
    <row r="74" spans="1:105" ht="11.45" customHeight="1" x14ac:dyDescent="0.25">
      <c r="A74" s="109" t="s">
        <v>24</v>
      </c>
      <c r="B74" s="119">
        <f t="shared" si="141"/>
        <v>0.57261500094379048</v>
      </c>
      <c r="C74" s="119">
        <f t="shared" si="141"/>
        <v>0.91614644948113655</v>
      </c>
      <c r="D74" s="119">
        <f t="shared" si="141"/>
        <v>0.40318922271869057</v>
      </c>
      <c r="E74" s="119">
        <f t="shared" si="141"/>
        <v>0.43395228493777066</v>
      </c>
      <c r="F74" s="119">
        <f t="shared" si="141"/>
        <v>0.4959902163965168</v>
      </c>
      <c r="G74" s="119">
        <f t="shared" si="141"/>
        <v>0.8159629668129712</v>
      </c>
      <c r="H74" s="119">
        <f t="shared" si="141"/>
        <v>0.99087991508555429</v>
      </c>
      <c r="I74" s="119">
        <f t="shared" si="141"/>
        <v>0.43052138443545979</v>
      </c>
      <c r="J74" s="119">
        <f t="shared" si="141"/>
        <v>0.42613010240058502</v>
      </c>
      <c r="K74" s="119">
        <f t="shared" ref="K74:V74" si="144">IF(K52=0,0,K52/K63)</f>
        <v>0.40842646606243865</v>
      </c>
      <c r="L74" s="119">
        <f t="shared" si="144"/>
        <v>0.32428512228029827</v>
      </c>
      <c r="M74" s="119">
        <f t="shared" si="144"/>
        <v>0.2313057277834755</v>
      </c>
      <c r="N74" s="119">
        <f t="shared" si="144"/>
        <v>0.19572650561419067</v>
      </c>
      <c r="O74" s="119">
        <f t="shared" si="144"/>
        <v>0.21435899323749127</v>
      </c>
      <c r="P74" s="119">
        <f t="shared" si="144"/>
        <v>0.30219449541596571</v>
      </c>
      <c r="Q74" s="119">
        <f t="shared" si="144"/>
        <v>0.26711191826776692</v>
      </c>
      <c r="R74" s="119">
        <f t="shared" si="144"/>
        <v>0.26956872440008317</v>
      </c>
      <c r="S74" s="119">
        <f t="shared" si="144"/>
        <v>0.2760202311345728</v>
      </c>
      <c r="T74" s="119">
        <f t="shared" si="144"/>
        <v>0.312294430986226</v>
      </c>
      <c r="U74" s="119">
        <f t="shared" si="144"/>
        <v>0.27263847850314926</v>
      </c>
      <c r="V74" s="119">
        <f t="shared" si="144"/>
        <v>0.18178357691798078</v>
      </c>
      <c r="W74" s="119">
        <f t="shared" ref="W74" si="145">IF(W52=0,0,W52/W63)</f>
        <v>0.20236563389775308</v>
      </c>
      <c r="DA74" s="176"/>
    </row>
    <row r="75" spans="1:105" ht="11.45" customHeight="1" x14ac:dyDescent="0.25">
      <c r="A75" s="111" t="s">
        <v>92</v>
      </c>
      <c r="B75" s="120">
        <f t="shared" si="141"/>
        <v>0.36485535364717214</v>
      </c>
      <c r="C75" s="120">
        <f t="shared" si="141"/>
        <v>0.4976942009986467</v>
      </c>
      <c r="D75" s="120">
        <f t="shared" si="141"/>
        <v>0.35267464911541679</v>
      </c>
      <c r="E75" s="120">
        <f t="shared" si="141"/>
        <v>0.34698242767122717</v>
      </c>
      <c r="F75" s="120">
        <f t="shared" si="141"/>
        <v>0.34740733982625288</v>
      </c>
      <c r="G75" s="120">
        <f t="shared" si="141"/>
        <v>0.48926187171247626</v>
      </c>
      <c r="H75" s="120">
        <f t="shared" si="141"/>
        <v>0.54623363673618819</v>
      </c>
      <c r="I75" s="120">
        <f t="shared" si="141"/>
        <v>0.32628445632543179</v>
      </c>
      <c r="J75" s="120">
        <f t="shared" si="141"/>
        <v>0.29954565145212703</v>
      </c>
      <c r="K75" s="120">
        <f t="shared" ref="K75:V75" si="146">IF(K53=0,0,K53/K64)</f>
        <v>0.25119414914543581</v>
      </c>
      <c r="L75" s="120">
        <f t="shared" si="146"/>
        <v>0.24588713813766727</v>
      </c>
      <c r="M75" s="120">
        <f t="shared" si="146"/>
        <v>0.195093511034693</v>
      </c>
      <c r="N75" s="120">
        <f t="shared" si="146"/>
        <v>0.17263771809849143</v>
      </c>
      <c r="O75" s="120">
        <f t="shared" si="146"/>
        <v>0.19586858351509093</v>
      </c>
      <c r="P75" s="120">
        <f t="shared" si="146"/>
        <v>0.27968645430218386</v>
      </c>
      <c r="Q75" s="120">
        <f t="shared" si="146"/>
        <v>0.23415766848942385</v>
      </c>
      <c r="R75" s="120">
        <f t="shared" si="146"/>
        <v>0.23650140429570371</v>
      </c>
      <c r="S75" s="120">
        <f t="shared" si="146"/>
        <v>0.19346220700356184</v>
      </c>
      <c r="T75" s="120">
        <f t="shared" si="146"/>
        <v>0.25337226676612151</v>
      </c>
      <c r="U75" s="120">
        <f t="shared" si="146"/>
        <v>0.20841209181031731</v>
      </c>
      <c r="V75" s="120">
        <f t="shared" si="146"/>
        <v>0.12781099966559192</v>
      </c>
      <c r="W75" s="120">
        <f t="shared" ref="W75" si="147">IF(W53=0,0,W53/W64)</f>
        <v>0.13431901374346727</v>
      </c>
      <c r="DA75" s="171"/>
    </row>
    <row r="76" spans="1:105" ht="11.45" customHeight="1" x14ac:dyDescent="0.25">
      <c r="A76" s="111" t="s">
        <v>93</v>
      </c>
      <c r="B76" s="120">
        <f t="shared" si="141"/>
        <v>1.9112363838065722</v>
      </c>
      <c r="C76" s="120">
        <f t="shared" si="141"/>
        <v>1.9138838055609253</v>
      </c>
      <c r="D76" s="120">
        <f t="shared" si="141"/>
        <v>0.46186244484021388</v>
      </c>
      <c r="E76" s="120">
        <f t="shared" si="141"/>
        <v>0.56172434742973765</v>
      </c>
      <c r="F76" s="120">
        <f t="shared" si="141"/>
        <v>0.97876742485529977</v>
      </c>
      <c r="G76" s="120">
        <f t="shared" si="141"/>
        <v>1.1604402670576182</v>
      </c>
      <c r="H76" s="120">
        <f t="shared" si="141"/>
        <v>1.622215030224055</v>
      </c>
      <c r="I76" s="120">
        <f t="shared" si="141"/>
        <v>0.85441350459735621</v>
      </c>
      <c r="J76" s="120">
        <f t="shared" si="141"/>
        <v>1.0038300592521203</v>
      </c>
      <c r="K76" s="120">
        <f t="shared" ref="K76:V76" si="148">IF(K54=0,0,K54/K65)</f>
        <v>0.87443400506425084</v>
      </c>
      <c r="L76" s="120">
        <f t="shared" si="148"/>
        <v>0.57746788142554883</v>
      </c>
      <c r="M76" s="120">
        <f t="shared" si="148"/>
        <v>0.34491784734818454</v>
      </c>
      <c r="N76" s="120">
        <f t="shared" si="148"/>
        <v>0.24459773560989415</v>
      </c>
      <c r="O76" s="120">
        <f t="shared" si="148"/>
        <v>0.25550508966758251</v>
      </c>
      <c r="P76" s="120">
        <f t="shared" si="148"/>
        <v>0.33696175206399437</v>
      </c>
      <c r="Q76" s="120">
        <f t="shared" si="148"/>
        <v>0.29623001509561719</v>
      </c>
      <c r="R76" s="120">
        <f t="shared" si="148"/>
        <v>0.29944286807146325</v>
      </c>
      <c r="S76" s="120">
        <f t="shared" si="148"/>
        <v>0.35512928018076451</v>
      </c>
      <c r="T76" s="120">
        <f t="shared" si="148"/>
        <v>0.3567514229668417</v>
      </c>
      <c r="U76" s="120">
        <f t="shared" si="148"/>
        <v>0.33976695697270654</v>
      </c>
      <c r="V76" s="120">
        <f t="shared" si="148"/>
        <v>0.23579322904778932</v>
      </c>
      <c r="W76" s="120">
        <f t="shared" ref="W76" si="149">IF(W54=0,0,W54/W65)</f>
        <v>0.26747185045473959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0.36118272005188301</v>
      </c>
      <c r="C78" s="30">
        <f t="shared" si="141"/>
        <v>0.40515445082010954</v>
      </c>
      <c r="D78" s="30">
        <f t="shared" si="141"/>
        <v>0.23776347765457309</v>
      </c>
      <c r="E78" s="30">
        <f t="shared" si="141"/>
        <v>0.25360409815273732</v>
      </c>
      <c r="F78" s="30">
        <f t="shared" si="141"/>
        <v>0.26161258462120091</v>
      </c>
      <c r="G78" s="30">
        <f t="shared" si="141"/>
        <v>0.35293292068660426</v>
      </c>
      <c r="H78" s="30">
        <f t="shared" si="141"/>
        <v>0.38081108627504989</v>
      </c>
      <c r="I78" s="30">
        <f t="shared" si="141"/>
        <v>0.27009662039440407</v>
      </c>
      <c r="J78" s="30">
        <f t="shared" si="141"/>
        <v>0.29698468458099075</v>
      </c>
      <c r="K78" s="30">
        <f t="shared" ref="K78:V78" si="152">IF(K56=0,0,K56/K67)</f>
        <v>0.28924342393959895</v>
      </c>
      <c r="L78" s="30">
        <f t="shared" si="152"/>
        <v>0.27651080268523609</v>
      </c>
      <c r="M78" s="30">
        <f t="shared" si="152"/>
        <v>0.23250318244828103</v>
      </c>
      <c r="N78" s="30">
        <f t="shared" si="152"/>
        <v>0.22651082043753776</v>
      </c>
      <c r="O78" s="30">
        <f t="shared" si="152"/>
        <v>0.22927403525035506</v>
      </c>
      <c r="P78" s="30">
        <f t="shared" si="152"/>
        <v>0.26980714744719347</v>
      </c>
      <c r="Q78" s="30">
        <f t="shared" si="152"/>
        <v>0.24383019593398342</v>
      </c>
      <c r="R78" s="30">
        <f t="shared" si="152"/>
        <v>0.24934987986688162</v>
      </c>
      <c r="S78" s="30">
        <f t="shared" si="152"/>
        <v>0.2496869042563096</v>
      </c>
      <c r="T78" s="30">
        <f t="shared" si="152"/>
        <v>0.24385680008565389</v>
      </c>
      <c r="U78" s="30">
        <f t="shared" si="152"/>
        <v>0.23488263114758484</v>
      </c>
      <c r="V78" s="30">
        <f t="shared" si="152"/>
        <v>0.22487658790531304</v>
      </c>
      <c r="W78" s="30">
        <f t="shared" ref="W78" si="153">IF(W56=0,0,W56/W67)</f>
        <v>0.18793969776700276</v>
      </c>
      <c r="DA78" s="173"/>
    </row>
    <row r="79" spans="1:105" ht="11.45" customHeight="1" x14ac:dyDescent="0.25">
      <c r="A79" s="83" t="s">
        <v>92</v>
      </c>
      <c r="B79" s="120">
        <f t="shared" si="141"/>
        <v>0.29282152650222831</v>
      </c>
      <c r="C79" s="120">
        <f t="shared" si="141"/>
        <v>0.33425651029760889</v>
      </c>
      <c r="D79" s="120">
        <f t="shared" si="141"/>
        <v>0.26427733436378248</v>
      </c>
      <c r="E79" s="120">
        <f t="shared" si="141"/>
        <v>0.32931881424524412</v>
      </c>
      <c r="F79" s="120">
        <f t="shared" si="141"/>
        <v>0.34282600040218836</v>
      </c>
      <c r="G79" s="120">
        <f t="shared" si="141"/>
        <v>0.36630556042706514</v>
      </c>
      <c r="H79" s="120">
        <f t="shared" si="141"/>
        <v>0.34824054835517421</v>
      </c>
      <c r="I79" s="120">
        <f t="shared" si="141"/>
        <v>0.29160081000080268</v>
      </c>
      <c r="J79" s="120">
        <f t="shared" si="141"/>
        <v>0.28937267680282214</v>
      </c>
      <c r="K79" s="120">
        <f t="shared" ref="K79:V79" si="154">IF(K57=0,0,K57/K68)</f>
        <v>0.28958395119700259</v>
      </c>
      <c r="L79" s="120">
        <f t="shared" si="154"/>
        <v>0.30098933481483436</v>
      </c>
      <c r="M79" s="120">
        <f t="shared" si="154"/>
        <v>0.24882486745582588</v>
      </c>
      <c r="N79" s="120">
        <f t="shared" si="154"/>
        <v>0.24275673644668666</v>
      </c>
      <c r="O79" s="120">
        <f t="shared" si="154"/>
        <v>0.24581314892479034</v>
      </c>
      <c r="P79" s="120">
        <f t="shared" si="154"/>
        <v>0.31852702971334923</v>
      </c>
      <c r="Q79" s="120">
        <f t="shared" si="154"/>
        <v>0.24876287763928281</v>
      </c>
      <c r="R79" s="120">
        <f t="shared" si="154"/>
        <v>0.24739945217879869</v>
      </c>
      <c r="S79" s="120">
        <f t="shared" si="154"/>
        <v>0.25835722419592022</v>
      </c>
      <c r="T79" s="120">
        <f t="shared" si="154"/>
        <v>0.26398738419854367</v>
      </c>
      <c r="U79" s="120">
        <f t="shared" si="154"/>
        <v>0.24520548119431493</v>
      </c>
      <c r="V79" s="120">
        <f t="shared" si="154"/>
        <v>0.26660711017526839</v>
      </c>
      <c r="W79" s="120">
        <f t="shared" ref="W79" si="155">IF(W57=0,0,W57/W68)</f>
        <v>0.18184283887602462</v>
      </c>
      <c r="DA79" s="171"/>
    </row>
    <row r="80" spans="1:105" ht="11.45" customHeight="1" x14ac:dyDescent="0.25">
      <c r="A80" s="85" t="s">
        <v>93</v>
      </c>
      <c r="B80" s="122">
        <f t="shared" si="141"/>
        <v>0.45404797283031328</v>
      </c>
      <c r="C80" s="122">
        <f t="shared" si="141"/>
        <v>0.4557629601641186</v>
      </c>
      <c r="D80" s="122">
        <f t="shared" si="141"/>
        <v>0.22289014169336266</v>
      </c>
      <c r="E80" s="122">
        <f t="shared" si="141"/>
        <v>0.22948534429679185</v>
      </c>
      <c r="F80" s="122">
        <f t="shared" si="141"/>
        <v>0.23111696539686738</v>
      </c>
      <c r="G80" s="122">
        <f t="shared" si="141"/>
        <v>0.34962167138749184</v>
      </c>
      <c r="H80" s="122">
        <f t="shared" si="141"/>
        <v>0.39099998478056319</v>
      </c>
      <c r="I80" s="122">
        <f t="shared" si="141"/>
        <v>0.25916488548675581</v>
      </c>
      <c r="J80" s="122">
        <f t="shared" si="141"/>
        <v>0.30097973986338195</v>
      </c>
      <c r="K80" s="122">
        <f t="shared" ref="K80:V80" si="156">IF(K58=0,0,K58/K69)</f>
        <v>0.28911147893425043</v>
      </c>
      <c r="L80" s="122">
        <f t="shared" si="156"/>
        <v>0.26655091363849892</v>
      </c>
      <c r="M80" s="122">
        <f t="shared" si="156"/>
        <v>0.22529645632177012</v>
      </c>
      <c r="N80" s="122">
        <f t="shared" si="156"/>
        <v>0.21986746218565975</v>
      </c>
      <c r="O80" s="122">
        <f t="shared" si="156"/>
        <v>0.22265319582403903</v>
      </c>
      <c r="P80" s="122">
        <f t="shared" si="156"/>
        <v>0.25549735599126094</v>
      </c>
      <c r="Q80" s="122">
        <f t="shared" si="156"/>
        <v>0.24206382253067907</v>
      </c>
      <c r="R80" s="122">
        <f t="shared" si="156"/>
        <v>0.25007767408214632</v>
      </c>
      <c r="S80" s="122">
        <f t="shared" si="156"/>
        <v>0.24697567855116029</v>
      </c>
      <c r="T80" s="122">
        <f t="shared" si="156"/>
        <v>0.23779149329730079</v>
      </c>
      <c r="U80" s="122">
        <f t="shared" si="156"/>
        <v>0.23097064333335654</v>
      </c>
      <c r="V80" s="122">
        <f t="shared" si="156"/>
        <v>0.21395994263375531</v>
      </c>
      <c r="W80" s="122">
        <f t="shared" ref="W80" si="157">IF(W58=0,0,W58/W69)</f>
        <v>0.19009453944825858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132803.69424858864</v>
      </c>
      <c r="C82" s="54">
        <f t="shared" si="158"/>
        <v>109768.47406527281</v>
      </c>
      <c r="D82" s="54">
        <f t="shared" si="158"/>
        <v>129460.23390600517</v>
      </c>
      <c r="E82" s="54">
        <f t="shared" si="158"/>
        <v>128292.02090067427</v>
      </c>
      <c r="F82" s="54">
        <f t="shared" si="158"/>
        <v>123060.24035141428</v>
      </c>
      <c r="G82" s="54">
        <f t="shared" si="158"/>
        <v>102275.20337050765</v>
      </c>
      <c r="H82" s="54">
        <f t="shared" si="158"/>
        <v>100647.04402842963</v>
      </c>
      <c r="I82" s="54">
        <f t="shared" si="158"/>
        <v>120807.69205146296</v>
      </c>
      <c r="J82" s="54">
        <f t="shared" si="158"/>
        <v>118119.86442781967</v>
      </c>
      <c r="K82" s="54">
        <f t="shared" ref="K82:V82" si="159">IF(K14=0,0,K14/K25*1000000)</f>
        <v>114922.95506968787</v>
      </c>
      <c r="L82" s="54">
        <f t="shared" si="159"/>
        <v>120264.62377517007</v>
      </c>
      <c r="M82" s="54">
        <f t="shared" si="159"/>
        <v>127995.03134311621</v>
      </c>
      <c r="N82" s="54">
        <f t="shared" si="159"/>
        <v>130489.82630933235</v>
      </c>
      <c r="O82" s="54">
        <f t="shared" si="159"/>
        <v>127769.38917220323</v>
      </c>
      <c r="P82" s="54">
        <f t="shared" si="159"/>
        <v>120241.23421038213</v>
      </c>
      <c r="Q82" s="54">
        <f t="shared" si="159"/>
        <v>103746.67023263151</v>
      </c>
      <c r="R82" s="54">
        <f t="shared" si="159"/>
        <v>112270.27523734227</v>
      </c>
      <c r="S82" s="54">
        <f t="shared" si="159"/>
        <v>118973.54163341477</v>
      </c>
      <c r="T82" s="54">
        <f t="shared" si="159"/>
        <v>120736.22832278944</v>
      </c>
      <c r="U82" s="54">
        <f t="shared" si="159"/>
        <v>129347.62559435981</v>
      </c>
      <c r="V82" s="54">
        <f t="shared" si="159"/>
        <v>134976.66797171583</v>
      </c>
      <c r="W82" s="54">
        <f t="shared" ref="W82" si="160">IF(W14=0,0,W14/W25*1000000)</f>
        <v>138458.58310156161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125969.64648199407</v>
      </c>
      <c r="C83" s="28">
        <f t="shared" si="161"/>
        <v>103298.68755746816</v>
      </c>
      <c r="D83" s="28">
        <f t="shared" si="161"/>
        <v>119973.54264906507</v>
      </c>
      <c r="E83" s="28">
        <f t="shared" si="161"/>
        <v>120541.14687499691</v>
      </c>
      <c r="F83" s="28">
        <f t="shared" si="161"/>
        <v>112485.42607674802</v>
      </c>
      <c r="G83" s="28">
        <f t="shared" si="161"/>
        <v>95552.04222711685</v>
      </c>
      <c r="H83" s="28">
        <f t="shared" si="161"/>
        <v>95005.139596238892</v>
      </c>
      <c r="I83" s="28">
        <f t="shared" si="161"/>
        <v>112521.10598550836</v>
      </c>
      <c r="J83" s="28">
        <f t="shared" si="161"/>
        <v>111396.7653837735</v>
      </c>
      <c r="K83" s="28">
        <f t="shared" ref="K83:V83" si="162">IF(K15=0,0,K15/K26*1000000)</f>
        <v>111822.32235189644</v>
      </c>
      <c r="L83" s="28">
        <f t="shared" si="162"/>
        <v>114481.81246860645</v>
      </c>
      <c r="M83" s="28">
        <f t="shared" si="162"/>
        <v>120039.69805321142</v>
      </c>
      <c r="N83" s="28">
        <f t="shared" si="162"/>
        <v>123607.44787251996</v>
      </c>
      <c r="O83" s="28">
        <f t="shared" si="162"/>
        <v>120850.38679670557</v>
      </c>
      <c r="P83" s="28">
        <f t="shared" si="162"/>
        <v>115212.31224365628</v>
      </c>
      <c r="Q83" s="28">
        <f t="shared" si="162"/>
        <v>93987.327524103384</v>
      </c>
      <c r="R83" s="28">
        <f t="shared" si="162"/>
        <v>102906.03928780225</v>
      </c>
      <c r="S83" s="28">
        <f t="shared" si="162"/>
        <v>109958.09010055986</v>
      </c>
      <c r="T83" s="28">
        <f t="shared" si="162"/>
        <v>111323.93007747609</v>
      </c>
      <c r="U83" s="28">
        <f t="shared" si="162"/>
        <v>120500.79344378221</v>
      </c>
      <c r="V83" s="28">
        <f t="shared" si="162"/>
        <v>126977.78098962059</v>
      </c>
      <c r="W83" s="28">
        <f t="shared" ref="W83" si="163">IF(W15=0,0,W15/W26*1000000)</f>
        <v>127742.44829552084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109999.99986749314</v>
      </c>
      <c r="C84" s="108">
        <f t="shared" si="161"/>
        <v>109999.99986749314</v>
      </c>
      <c r="D84" s="108">
        <f t="shared" si="161"/>
        <v>109999.99986749314</v>
      </c>
      <c r="E84" s="108">
        <f t="shared" si="161"/>
        <v>109999.99996443113</v>
      </c>
      <c r="F84" s="108">
        <f t="shared" si="161"/>
        <v>109999.99985518806</v>
      </c>
      <c r="G84" s="108">
        <f t="shared" si="161"/>
        <v>109999.99987264011</v>
      </c>
      <c r="H84" s="108">
        <f t="shared" si="161"/>
        <v>109999.999969747</v>
      </c>
      <c r="I84" s="108">
        <f t="shared" si="161"/>
        <v>109999.99989109406</v>
      </c>
      <c r="J84" s="108">
        <f t="shared" si="161"/>
        <v>109999.99994598611</v>
      </c>
      <c r="K84" s="108">
        <f t="shared" ref="K84:V84" si="164">IF(K16=0,0,K16/K27*1000000)</f>
        <v>109999.99993855561</v>
      </c>
      <c r="L84" s="108">
        <f t="shared" si="164"/>
        <v>109999.99989729964</v>
      </c>
      <c r="M84" s="108">
        <f t="shared" si="164"/>
        <v>109999.99993064645</v>
      </c>
      <c r="N84" s="108">
        <f t="shared" si="164"/>
        <v>109999.99991397862</v>
      </c>
      <c r="O84" s="108">
        <f t="shared" si="164"/>
        <v>109999.99997031728</v>
      </c>
      <c r="P84" s="108">
        <f t="shared" si="164"/>
        <v>109999.99991892937</v>
      </c>
      <c r="Q84" s="108">
        <f t="shared" si="164"/>
        <v>72097.132949872132</v>
      </c>
      <c r="R84" s="108">
        <f t="shared" si="164"/>
        <v>81691.680493919645</v>
      </c>
      <c r="S84" s="108">
        <f t="shared" si="164"/>
        <v>87250.739619923872</v>
      </c>
      <c r="T84" s="108">
        <f t="shared" si="164"/>
        <v>92578.908409026379</v>
      </c>
      <c r="U84" s="108">
        <f t="shared" si="164"/>
        <v>99246.306691147882</v>
      </c>
      <c r="V84" s="108">
        <f t="shared" si="164"/>
        <v>109999.99993649847</v>
      </c>
      <c r="W84" s="108">
        <f t="shared" ref="W84" si="165">IF(W16=0,0,W16/W27*1000000)</f>
        <v>109999.99991874027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149999.99963547636</v>
      </c>
      <c r="C85" s="110">
        <f t="shared" si="161"/>
        <v>92719.496694724308</v>
      </c>
      <c r="D85" s="110">
        <f t="shared" si="161"/>
        <v>132770.4151872423</v>
      </c>
      <c r="E85" s="110">
        <f t="shared" si="161"/>
        <v>134778.0649230743</v>
      </c>
      <c r="F85" s="110">
        <f t="shared" si="161"/>
        <v>115965.90677488504</v>
      </c>
      <c r="G85" s="110">
        <f t="shared" si="161"/>
        <v>71620.490356929615</v>
      </c>
      <c r="H85" s="110">
        <f t="shared" si="161"/>
        <v>66343.386041641876</v>
      </c>
      <c r="I85" s="110">
        <f t="shared" si="161"/>
        <v>116654.87226458079</v>
      </c>
      <c r="J85" s="110">
        <f t="shared" si="161"/>
        <v>113856.90744232947</v>
      </c>
      <c r="K85" s="110">
        <f t="shared" ref="K85:V85" si="166">IF(K17=0,0,K17/K28*1000000)</f>
        <v>115531.60814533975</v>
      </c>
      <c r="L85" s="110">
        <f t="shared" si="166"/>
        <v>123436.13190664828</v>
      </c>
      <c r="M85" s="110">
        <f t="shared" si="166"/>
        <v>137473.6066563646</v>
      </c>
      <c r="N85" s="110">
        <f t="shared" si="166"/>
        <v>149999.99968818622</v>
      </c>
      <c r="O85" s="110">
        <f t="shared" si="166"/>
        <v>144115.52815818344</v>
      </c>
      <c r="P85" s="110">
        <f t="shared" si="166"/>
        <v>127404.99132743779</v>
      </c>
      <c r="Q85" s="110">
        <f t="shared" si="166"/>
        <v>138252.53243221538</v>
      </c>
      <c r="R85" s="110">
        <f t="shared" si="166"/>
        <v>146985.3886370192</v>
      </c>
      <c r="S85" s="110">
        <f t="shared" si="166"/>
        <v>149999.99954301742</v>
      </c>
      <c r="T85" s="110">
        <f t="shared" si="166"/>
        <v>144911.48605600899</v>
      </c>
      <c r="U85" s="110">
        <f t="shared" si="166"/>
        <v>149999.9994702267</v>
      </c>
      <c r="V85" s="110">
        <f t="shared" si="166"/>
        <v>149339.27445766967</v>
      </c>
      <c r="W85" s="110">
        <f t="shared" ref="W85" si="167">IF(W17=0,0,W17/W28*1000000)</f>
        <v>149999.99959340369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149999.99970869141</v>
      </c>
      <c r="C86" s="84">
        <f t="shared" si="161"/>
        <v>79919.801319418693</v>
      </c>
      <c r="D86" s="84">
        <f t="shared" si="161"/>
        <v>120822.10000519596</v>
      </c>
      <c r="E86" s="84">
        <f t="shared" si="161"/>
        <v>141972.10233155618</v>
      </c>
      <c r="F86" s="84">
        <f t="shared" si="161"/>
        <v>149999.99971724453</v>
      </c>
      <c r="G86" s="84">
        <f t="shared" si="161"/>
        <v>65179.589545814502</v>
      </c>
      <c r="H86" s="84">
        <f t="shared" si="161"/>
        <v>73341.079931095519</v>
      </c>
      <c r="I86" s="84">
        <f t="shared" si="161"/>
        <v>149999.9998735316</v>
      </c>
      <c r="J86" s="84">
        <f t="shared" si="161"/>
        <v>149999.99957296654</v>
      </c>
      <c r="K86" s="84">
        <f t="shared" ref="K86:V86" si="168">IF(K18=0,0,K18/K29*1000000)</f>
        <v>144631.63457477829</v>
      </c>
      <c r="L86" s="84">
        <f t="shared" si="168"/>
        <v>149999.99984611836</v>
      </c>
      <c r="M86" s="84">
        <f t="shared" si="168"/>
        <v>149999.99968118095</v>
      </c>
      <c r="N86" s="84">
        <f t="shared" si="168"/>
        <v>149999.99971352683</v>
      </c>
      <c r="O86" s="84">
        <f t="shared" si="168"/>
        <v>149999.99949694891</v>
      </c>
      <c r="P86" s="84">
        <f t="shared" si="168"/>
        <v>120531.74253555233</v>
      </c>
      <c r="Q86" s="84">
        <f t="shared" si="168"/>
        <v>126996.31338987713</v>
      </c>
      <c r="R86" s="84">
        <f t="shared" si="168"/>
        <v>147651.93504470101</v>
      </c>
      <c r="S86" s="84">
        <f t="shared" si="168"/>
        <v>149999.99945843022</v>
      </c>
      <c r="T86" s="84">
        <f t="shared" si="168"/>
        <v>139108.03085073282</v>
      </c>
      <c r="U86" s="84">
        <f t="shared" si="168"/>
        <v>149999.99938362787</v>
      </c>
      <c r="V86" s="84">
        <f t="shared" si="168"/>
        <v>149999.99995167219</v>
      </c>
      <c r="W86" s="84">
        <f t="shared" ref="W86" si="169">IF(W18=0,0,W18/W29*1000000)</f>
        <v>149999.99957112552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149999.99916374264</v>
      </c>
      <c r="C87" s="84">
        <f t="shared" si="161"/>
        <v>149999.99979737832</v>
      </c>
      <c r="D87" s="84">
        <f t="shared" si="161"/>
        <v>149999.99930412759</v>
      </c>
      <c r="E87" s="84">
        <f t="shared" si="161"/>
        <v>125439.68015315518</v>
      </c>
      <c r="F87" s="84">
        <f t="shared" si="161"/>
        <v>66753.476793834052</v>
      </c>
      <c r="G87" s="84">
        <f t="shared" si="161"/>
        <v>79950.942980947351</v>
      </c>
      <c r="H87" s="84">
        <f t="shared" si="161"/>
        <v>58427.97040314319</v>
      </c>
      <c r="I87" s="84">
        <f t="shared" si="161"/>
        <v>61267.884313348361</v>
      </c>
      <c r="J87" s="84">
        <f t="shared" si="161"/>
        <v>54226.511951420478</v>
      </c>
      <c r="K87" s="84">
        <f t="shared" ref="K87:V87" si="170">IF(K19=0,0,K19/K30*1000000)</f>
        <v>72373.599954858233</v>
      </c>
      <c r="L87" s="84">
        <f t="shared" si="170"/>
        <v>78526.103177530182</v>
      </c>
      <c r="M87" s="84">
        <f t="shared" si="170"/>
        <v>108932.96923675734</v>
      </c>
      <c r="N87" s="84">
        <f t="shared" si="170"/>
        <v>149999.99963454864</v>
      </c>
      <c r="O87" s="84">
        <f t="shared" si="170"/>
        <v>132544.79257675647</v>
      </c>
      <c r="P87" s="84">
        <f t="shared" si="170"/>
        <v>139711.20934635255</v>
      </c>
      <c r="Q87" s="84">
        <f t="shared" si="170"/>
        <v>149999.9994995759</v>
      </c>
      <c r="R87" s="84">
        <f t="shared" si="170"/>
        <v>146388.36123582584</v>
      </c>
      <c r="S87" s="84">
        <f t="shared" si="170"/>
        <v>149999.99962407089</v>
      </c>
      <c r="T87" s="84">
        <f t="shared" si="170"/>
        <v>149621.13753783665</v>
      </c>
      <c r="U87" s="84">
        <f t="shared" si="170"/>
        <v>149999.99956073851</v>
      </c>
      <c r="V87" s="84">
        <f t="shared" si="170"/>
        <v>148683.89630148251</v>
      </c>
      <c r="W87" s="84">
        <f t="shared" ref="W87" si="171">IF(W19=0,0,W19/W30*1000000)</f>
        <v>149999.99961471919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199999.99829480206</v>
      </c>
      <c r="C89" s="28">
        <f t="shared" si="161"/>
        <v>170343.76172532383</v>
      </c>
      <c r="D89" s="28">
        <f t="shared" si="161"/>
        <v>199999.99941338436</v>
      </c>
      <c r="E89" s="28">
        <f t="shared" si="161"/>
        <v>181437.84139745045</v>
      </c>
      <c r="F89" s="28">
        <f t="shared" si="161"/>
        <v>199929.39957581504</v>
      </c>
      <c r="G89" s="28">
        <f t="shared" si="161"/>
        <v>155161.32480736874</v>
      </c>
      <c r="H89" s="28">
        <f t="shared" si="161"/>
        <v>148008.73113106366</v>
      </c>
      <c r="I89" s="28">
        <f t="shared" si="161"/>
        <v>190632.00811850632</v>
      </c>
      <c r="J89" s="28">
        <f t="shared" si="161"/>
        <v>179122.93193216299</v>
      </c>
      <c r="K89" s="28">
        <f t="shared" ref="K89:V89" si="174">IF(K21=0,0,K21/K32*1000000)</f>
        <v>145333.65103405379</v>
      </c>
      <c r="L89" s="28">
        <f t="shared" si="174"/>
        <v>183691.84516069162</v>
      </c>
      <c r="M89" s="28">
        <f t="shared" si="174"/>
        <v>199999.99824140014</v>
      </c>
      <c r="N89" s="28">
        <f t="shared" si="174"/>
        <v>199999.99852129919</v>
      </c>
      <c r="O89" s="28">
        <f t="shared" si="174"/>
        <v>199999.99771829296</v>
      </c>
      <c r="P89" s="28">
        <f t="shared" si="174"/>
        <v>175110.37542706772</v>
      </c>
      <c r="Q89" s="28">
        <f t="shared" si="174"/>
        <v>199999.99885047929</v>
      </c>
      <c r="R89" s="28">
        <f t="shared" si="174"/>
        <v>199999.99879257794</v>
      </c>
      <c r="S89" s="28">
        <f t="shared" si="174"/>
        <v>199999.9972581614</v>
      </c>
      <c r="T89" s="28">
        <f t="shared" si="174"/>
        <v>199999.99739381234</v>
      </c>
      <c r="U89" s="28">
        <f t="shared" si="174"/>
        <v>199999.99801995268</v>
      </c>
      <c r="V89" s="28">
        <f t="shared" si="174"/>
        <v>194194.49986745813</v>
      </c>
      <c r="W89" s="28">
        <f t="shared" ref="W89" si="175">IF(W21=0,0,W21/W32*1000000)</f>
        <v>199999.99832779201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199999.99993454479</v>
      </c>
      <c r="C90" s="84">
        <f t="shared" si="161"/>
        <v>141044.74561436434</v>
      </c>
      <c r="D90" s="84">
        <f t="shared" si="161"/>
        <v>199999.99905649066</v>
      </c>
      <c r="E90" s="84">
        <f t="shared" si="161"/>
        <v>140501.80503335426</v>
      </c>
      <c r="F90" s="84">
        <f t="shared" si="161"/>
        <v>199741.62644793343</v>
      </c>
      <c r="G90" s="84">
        <f t="shared" si="161"/>
        <v>122878.05896594416</v>
      </c>
      <c r="H90" s="84">
        <f t="shared" si="161"/>
        <v>157222.60339603169</v>
      </c>
      <c r="I90" s="84">
        <f t="shared" si="161"/>
        <v>199999.99698239961</v>
      </c>
      <c r="J90" s="84">
        <f t="shared" si="161"/>
        <v>199999.9959425196</v>
      </c>
      <c r="K90" s="84">
        <f t="shared" ref="K90:V90" si="176">IF(K22=0,0,K22/K33*1000000)</f>
        <v>142267.54051256744</v>
      </c>
      <c r="L90" s="84">
        <f t="shared" si="176"/>
        <v>199999.99452996807</v>
      </c>
      <c r="M90" s="84">
        <f t="shared" si="176"/>
        <v>199999.99626463646</v>
      </c>
      <c r="N90" s="84">
        <f t="shared" si="176"/>
        <v>199999.99906107361</v>
      </c>
      <c r="O90" s="84">
        <f t="shared" si="176"/>
        <v>199999.99655049111</v>
      </c>
      <c r="P90" s="84">
        <f t="shared" si="176"/>
        <v>152571.54924493885</v>
      </c>
      <c r="Q90" s="84">
        <f t="shared" si="176"/>
        <v>199999.99668299235</v>
      </c>
      <c r="R90" s="84">
        <f t="shared" si="176"/>
        <v>199999.99799375629</v>
      </c>
      <c r="S90" s="84">
        <f t="shared" si="176"/>
        <v>199999.99432880009</v>
      </c>
      <c r="T90" s="84">
        <f t="shared" si="176"/>
        <v>199999.99324318187</v>
      </c>
      <c r="U90" s="84">
        <f t="shared" si="176"/>
        <v>199999.9949428238</v>
      </c>
      <c r="V90" s="84">
        <f t="shared" si="176"/>
        <v>174798.50925969391</v>
      </c>
      <c r="W90" s="84">
        <f t="shared" ref="W90" si="177">IF(W22=0,0,W22/W33*1000000)</f>
        <v>199999.99673335211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199999.99606729383</v>
      </c>
      <c r="C91" s="86">
        <f t="shared" si="161"/>
        <v>199999.99869264153</v>
      </c>
      <c r="D91" s="86">
        <f t="shared" si="161"/>
        <v>199999.99961358908</v>
      </c>
      <c r="E91" s="86">
        <f t="shared" si="161"/>
        <v>199999.99857410812</v>
      </c>
      <c r="F91" s="86">
        <f t="shared" si="161"/>
        <v>199999.99954845809</v>
      </c>
      <c r="G91" s="86">
        <f t="shared" si="161"/>
        <v>165957.62802780824</v>
      </c>
      <c r="H91" s="86">
        <f t="shared" si="161"/>
        <v>145344.16134496534</v>
      </c>
      <c r="I91" s="86">
        <f t="shared" si="161"/>
        <v>186198.38974220341</v>
      </c>
      <c r="J91" s="86">
        <f t="shared" si="161"/>
        <v>169819.35013168954</v>
      </c>
      <c r="K91" s="86">
        <f t="shared" ref="K91:V91" si="178">IF(K23=0,0,K23/K34*1000000)</f>
        <v>146557.50931865707</v>
      </c>
      <c r="L91" s="86">
        <f t="shared" si="178"/>
        <v>177793.11191063756</v>
      </c>
      <c r="M91" s="86">
        <f t="shared" si="178"/>
        <v>199999.99911422635</v>
      </c>
      <c r="N91" s="86">
        <f t="shared" si="178"/>
        <v>199999.99830057201</v>
      </c>
      <c r="O91" s="86">
        <f t="shared" si="178"/>
        <v>199999.99818578042</v>
      </c>
      <c r="P91" s="86">
        <f t="shared" si="178"/>
        <v>183052.95465859835</v>
      </c>
      <c r="Q91" s="86">
        <f t="shared" si="178"/>
        <v>199999.99962664759</v>
      </c>
      <c r="R91" s="86">
        <f t="shared" si="178"/>
        <v>199999.99909065504</v>
      </c>
      <c r="S91" s="86">
        <f t="shared" si="178"/>
        <v>199999.99817417836</v>
      </c>
      <c r="T91" s="86">
        <f t="shared" si="178"/>
        <v>199999.9986443895</v>
      </c>
      <c r="U91" s="86">
        <f t="shared" si="178"/>
        <v>199999.99918607352</v>
      </c>
      <c r="V91" s="86">
        <f t="shared" si="178"/>
        <v>199999.99966093298</v>
      </c>
      <c r="W91" s="86">
        <f t="shared" ref="W91" si="179">IF(W23=0,0,W23/W34*1000000)</f>
        <v>199999.99889132241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16633607.842767229</v>
      </c>
      <c r="C94" s="28">
        <f t="shared" si="180"/>
        <v>16309274.746826844</v>
      </c>
      <c r="D94" s="28">
        <f t="shared" si="180"/>
        <v>12798100.305129673</v>
      </c>
      <c r="E94" s="28">
        <f t="shared" si="180"/>
        <v>13375753.881259635</v>
      </c>
      <c r="F94" s="28">
        <f t="shared" si="180"/>
        <v>13164582.433752565</v>
      </c>
      <c r="G94" s="28">
        <f t="shared" si="180"/>
        <v>12855950.448061794</v>
      </c>
      <c r="H94" s="28">
        <f t="shared" si="180"/>
        <v>13297137.771897146</v>
      </c>
      <c r="I94" s="28">
        <f t="shared" si="180"/>
        <v>11707596.646326365</v>
      </c>
      <c r="J94" s="28">
        <f t="shared" si="180"/>
        <v>11279104.046996269</v>
      </c>
      <c r="K94" s="28">
        <f t="shared" ref="K94:V94" si="181">IF(K4=0,0,K4/K26*1000000)</f>
        <v>10694742.815592824</v>
      </c>
      <c r="L94" s="28">
        <f t="shared" si="181"/>
        <v>9882615.9632689487</v>
      </c>
      <c r="M94" s="28">
        <f t="shared" si="181"/>
        <v>8894716.8894327786</v>
      </c>
      <c r="N94" s="28">
        <f t="shared" si="181"/>
        <v>8473766.5015691444</v>
      </c>
      <c r="O94" s="28">
        <f t="shared" si="181"/>
        <v>8669402.5633649193</v>
      </c>
      <c r="P94" s="28">
        <f t="shared" si="181"/>
        <v>9621439.4951499011</v>
      </c>
      <c r="Q94" s="28">
        <f t="shared" si="181"/>
        <v>7637185.4690420106</v>
      </c>
      <c r="R94" s="28">
        <f t="shared" si="181"/>
        <v>8305519.4901339374</v>
      </c>
      <c r="S94" s="28">
        <f t="shared" si="181"/>
        <v>9132265.7766508069</v>
      </c>
      <c r="T94" s="28">
        <f t="shared" si="181"/>
        <v>9839128.5433935132</v>
      </c>
      <c r="U94" s="28">
        <f t="shared" si="181"/>
        <v>10054398.471712049</v>
      </c>
      <c r="V94" s="28">
        <f t="shared" si="181"/>
        <v>7212191.4914666666</v>
      </c>
      <c r="W94" s="28">
        <f t="shared" ref="W94" si="182">IF(W4=0,0,W4/W26*1000000)</f>
        <v>7539327.2464488605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9421845.2526582517</v>
      </c>
      <c r="C95" s="108">
        <f t="shared" si="180"/>
        <v>9421845.2526582517</v>
      </c>
      <c r="D95" s="108">
        <f t="shared" si="180"/>
        <v>9421845.2526582517</v>
      </c>
      <c r="E95" s="108">
        <f t="shared" si="180"/>
        <v>9421845.2609612923</v>
      </c>
      <c r="F95" s="108">
        <f t="shared" si="180"/>
        <v>9421845.2516042814</v>
      </c>
      <c r="G95" s="108">
        <f t="shared" si="180"/>
        <v>9327361.774170449</v>
      </c>
      <c r="H95" s="108">
        <f t="shared" si="180"/>
        <v>9248287.9739307947</v>
      </c>
      <c r="I95" s="108">
        <f t="shared" si="180"/>
        <v>9046333.4319077767</v>
      </c>
      <c r="J95" s="108">
        <f t="shared" si="180"/>
        <v>8868057.2087796014</v>
      </c>
      <c r="K95" s="108">
        <f t="shared" ref="K95:V95" si="183">IF(K5=0,0,K5/K27*1000000)</f>
        <v>8530708.6347929649</v>
      </c>
      <c r="L95" s="108">
        <f t="shared" si="183"/>
        <v>8417843.0911409482</v>
      </c>
      <c r="M95" s="108">
        <f t="shared" si="183"/>
        <v>8157150.7781686364</v>
      </c>
      <c r="N95" s="108">
        <f t="shared" si="183"/>
        <v>7998863.6341629717</v>
      </c>
      <c r="O95" s="108">
        <f t="shared" si="183"/>
        <v>8102198.9556774516</v>
      </c>
      <c r="P95" s="108">
        <f t="shared" si="183"/>
        <v>8467669.0034166016</v>
      </c>
      <c r="Q95" s="108">
        <f t="shared" si="183"/>
        <v>5570045.4586360063</v>
      </c>
      <c r="R95" s="108">
        <f t="shared" si="183"/>
        <v>6200544.2491880674</v>
      </c>
      <c r="S95" s="108">
        <f t="shared" si="183"/>
        <v>6797725.0201775599</v>
      </c>
      <c r="T95" s="108">
        <f t="shared" si="183"/>
        <v>7248183.0005721236</v>
      </c>
      <c r="U95" s="108">
        <f t="shared" si="183"/>
        <v>7869631.7204269692</v>
      </c>
      <c r="V95" s="108">
        <f t="shared" si="183"/>
        <v>6092320.9613295235</v>
      </c>
      <c r="W95" s="108">
        <f t="shared" ref="W95" si="184">IF(W5=0,0,W5/W27*1000000)</f>
        <v>5806160.7557273675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27485519.978507798</v>
      </c>
      <c r="C96" s="110">
        <f t="shared" si="180"/>
        <v>27182284.062255882</v>
      </c>
      <c r="D96" s="110">
        <f t="shared" si="180"/>
        <v>17130112.159802258</v>
      </c>
      <c r="E96" s="110">
        <f t="shared" si="180"/>
        <v>18715919.754514974</v>
      </c>
      <c r="F96" s="110">
        <f t="shared" si="180"/>
        <v>18405745.662685927</v>
      </c>
      <c r="G96" s="110">
        <f t="shared" si="180"/>
        <v>18700693.69479683</v>
      </c>
      <c r="H96" s="110">
        <f t="shared" si="180"/>
        <v>21036265.192777682</v>
      </c>
      <c r="I96" s="110">
        <f t="shared" si="180"/>
        <v>16071173.474716496</v>
      </c>
      <c r="J96" s="110">
        <f t="shared" si="180"/>
        <v>15525713.800772412</v>
      </c>
      <c r="K96" s="110">
        <f t="shared" ref="K96:V96" si="185">IF(K6=0,0,K6/K28*1000000)</f>
        <v>15099573.258659702</v>
      </c>
      <c r="L96" s="110">
        <f t="shared" si="185"/>
        <v>12809120.361329431</v>
      </c>
      <c r="M96" s="110">
        <f t="shared" si="185"/>
        <v>10175498.444374291</v>
      </c>
      <c r="N96" s="110">
        <f t="shared" si="185"/>
        <v>9394872.2499514837</v>
      </c>
      <c r="O96" s="110">
        <f t="shared" si="185"/>
        <v>9885587.0482808053</v>
      </c>
      <c r="P96" s="110">
        <f t="shared" si="185"/>
        <v>12320347.861654578</v>
      </c>
      <c r="Q96" s="110">
        <f t="shared" si="185"/>
        <v>11817247.725870624</v>
      </c>
      <c r="R96" s="110">
        <f t="shared" si="185"/>
        <v>12679252.39050616</v>
      </c>
      <c r="S96" s="110">
        <f t="shared" si="185"/>
        <v>13248971.054095834</v>
      </c>
      <c r="T96" s="110">
        <f t="shared" si="185"/>
        <v>14481616.025993517</v>
      </c>
      <c r="U96" s="110">
        <f t="shared" si="185"/>
        <v>13086646.921931457</v>
      </c>
      <c r="V96" s="110">
        <f t="shared" si="185"/>
        <v>8687176.7952803969</v>
      </c>
      <c r="W96" s="110">
        <f t="shared" ref="W96" si="186">IF(W6=0,0,W6/W28*1000000)</f>
        <v>9713550.400762191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17513056.941052902</v>
      </c>
      <c r="C97" s="84">
        <f t="shared" si="180"/>
        <v>12728198.931724379</v>
      </c>
      <c r="D97" s="84">
        <f t="shared" si="180"/>
        <v>13635485.351910491</v>
      </c>
      <c r="E97" s="84">
        <f t="shared" si="180"/>
        <v>15763783.913149202</v>
      </c>
      <c r="F97" s="84">
        <f t="shared" si="180"/>
        <v>16675552.280226117</v>
      </c>
      <c r="G97" s="84">
        <f t="shared" si="180"/>
        <v>10204764.153163569</v>
      </c>
      <c r="H97" s="84">
        <f t="shared" si="180"/>
        <v>12819636.740134967</v>
      </c>
      <c r="I97" s="84">
        <f t="shared" si="180"/>
        <v>15661653.890416028</v>
      </c>
      <c r="J97" s="84">
        <f t="shared" si="180"/>
        <v>14378191.228768971</v>
      </c>
      <c r="K97" s="84">
        <f t="shared" ref="K97:V97" si="187">IF(K7=0,0,K7/K29*1000000)</f>
        <v>11625798.523688009</v>
      </c>
      <c r="L97" s="84">
        <f t="shared" si="187"/>
        <v>11802582.618500024</v>
      </c>
      <c r="M97" s="84">
        <f t="shared" si="187"/>
        <v>9364488.5097614154</v>
      </c>
      <c r="N97" s="84">
        <f t="shared" si="187"/>
        <v>8286610.4529016465</v>
      </c>
      <c r="O97" s="84">
        <f t="shared" si="187"/>
        <v>9401691.9771941528</v>
      </c>
      <c r="P97" s="84">
        <f t="shared" si="187"/>
        <v>10787550.624202352</v>
      </c>
      <c r="Q97" s="84">
        <f t="shared" si="187"/>
        <v>9515891.4080402665</v>
      </c>
      <c r="R97" s="84">
        <f t="shared" si="187"/>
        <v>11174364.79521594</v>
      </c>
      <c r="S97" s="84">
        <f t="shared" si="187"/>
        <v>9286185.9026435148</v>
      </c>
      <c r="T97" s="84">
        <f t="shared" si="187"/>
        <v>11278757.472646955</v>
      </c>
      <c r="U97" s="84">
        <f t="shared" si="187"/>
        <v>10003780.365788221</v>
      </c>
      <c r="V97" s="84">
        <f t="shared" si="187"/>
        <v>6134927.9819718273</v>
      </c>
      <c r="W97" s="84">
        <f t="shared" ref="W97" si="188">IF(W7=0,0,W7/W29*1000000)</f>
        <v>6447312.6412525121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91739345.911264122</v>
      </c>
      <c r="C98" s="84">
        <f t="shared" si="180"/>
        <v>91866422.542830229</v>
      </c>
      <c r="D98" s="84">
        <f t="shared" si="180"/>
        <v>22169397.24948312</v>
      </c>
      <c r="E98" s="84">
        <f t="shared" si="180"/>
        <v>22548007.192264356</v>
      </c>
      <c r="F98" s="84">
        <f t="shared" si="180"/>
        <v>20907561.146124467</v>
      </c>
      <c r="G98" s="84">
        <f t="shared" si="180"/>
        <v>29689053.95978206</v>
      </c>
      <c r="H98" s="84">
        <f t="shared" si="180"/>
        <v>30330474.167508837</v>
      </c>
      <c r="I98" s="84">
        <f t="shared" si="180"/>
        <v>16751394.481738675</v>
      </c>
      <c r="J98" s="84">
        <f t="shared" si="180"/>
        <v>17418944.865673672</v>
      </c>
      <c r="K98" s="84">
        <f t="shared" ref="K98:V98" si="189">IF(K8=0,0,K8/K30*1000000)</f>
        <v>20251499.798222259</v>
      </c>
      <c r="L98" s="84">
        <f t="shared" si="189"/>
        <v>14510816.780330375</v>
      </c>
      <c r="M98" s="84">
        <f t="shared" si="189"/>
        <v>12023336.081404272</v>
      </c>
      <c r="N98" s="84">
        <f t="shared" si="189"/>
        <v>11740691.280670574</v>
      </c>
      <c r="O98" s="84">
        <f t="shared" si="189"/>
        <v>10837078.115934493</v>
      </c>
      <c r="P98" s="84">
        <f t="shared" si="189"/>
        <v>15064746.842984468</v>
      </c>
      <c r="Q98" s="84">
        <f t="shared" si="189"/>
        <v>14219040.677152621</v>
      </c>
      <c r="R98" s="84">
        <f t="shared" si="189"/>
        <v>14027184.237035876</v>
      </c>
      <c r="S98" s="84">
        <f t="shared" si="189"/>
        <v>17046205.405955598</v>
      </c>
      <c r="T98" s="84">
        <f t="shared" si="189"/>
        <v>17080817.191213042</v>
      </c>
      <c r="U98" s="84">
        <f t="shared" si="189"/>
        <v>16308813.886931021</v>
      </c>
      <c r="V98" s="84">
        <f t="shared" si="189"/>
        <v>11218769.925226629</v>
      </c>
      <c r="W98" s="84">
        <f t="shared" ref="W98" si="190">IF(W8=0,0,W8/W30*1000000)</f>
        <v>12838648.78885093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151696741.12842599</v>
      </c>
      <c r="C100" s="28">
        <f t="shared" si="180"/>
        <v>144932619.78815591</v>
      </c>
      <c r="D100" s="28">
        <f t="shared" si="180"/>
        <v>99860660.322021574</v>
      </c>
      <c r="E100" s="28">
        <f t="shared" si="180"/>
        <v>96628098.290597603</v>
      </c>
      <c r="F100" s="28">
        <f t="shared" si="180"/>
        <v>109838498.626067</v>
      </c>
      <c r="G100" s="28">
        <f t="shared" si="180"/>
        <v>114999233.03792176</v>
      </c>
      <c r="H100" s="28">
        <f t="shared" si="180"/>
        <v>118363067.92844549</v>
      </c>
      <c r="I100" s="28">
        <f t="shared" si="180"/>
        <v>108127028.37679502</v>
      </c>
      <c r="J100" s="28">
        <f t="shared" si="180"/>
        <v>111713211.62630102</v>
      </c>
      <c r="K100" s="28">
        <f t="shared" ref="K100:V100" si="193">IF(K10=0,0,K10/K32*1000000)</f>
        <v>88277285.961338386</v>
      </c>
      <c r="L100" s="28">
        <f t="shared" si="193"/>
        <v>106664837.05944137</v>
      </c>
      <c r="M100" s="28">
        <f t="shared" si="193"/>
        <v>97651335.769629896</v>
      </c>
      <c r="N100" s="28">
        <f t="shared" si="193"/>
        <v>95134543.8803882</v>
      </c>
      <c r="O100" s="28">
        <f t="shared" si="193"/>
        <v>96295093.70656313</v>
      </c>
      <c r="P100" s="28">
        <f t="shared" si="193"/>
        <v>99216664.853006959</v>
      </c>
      <c r="Q100" s="28">
        <f t="shared" si="193"/>
        <v>102408681.70366852</v>
      </c>
      <c r="R100" s="28">
        <f t="shared" si="193"/>
        <v>104726948.91184212</v>
      </c>
      <c r="S100" s="28">
        <f t="shared" si="193"/>
        <v>104868498.34998754</v>
      </c>
      <c r="T100" s="28">
        <f t="shared" si="193"/>
        <v>102419854.70134783</v>
      </c>
      <c r="U100" s="28">
        <f t="shared" si="193"/>
        <v>98650704.10532032</v>
      </c>
      <c r="V100" s="28">
        <f t="shared" si="193"/>
        <v>91706572.69236277</v>
      </c>
      <c r="W100" s="28">
        <f t="shared" ref="W100" si="194">IF(W10=0,0,W10/W32*1000000)</f>
        <v>78934672.402165219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122985041.09068584</v>
      </c>
      <c r="C101" s="84">
        <f t="shared" si="180"/>
        <v>99004761.376229942</v>
      </c>
      <c r="D101" s="84">
        <f t="shared" si="180"/>
        <v>110996479.90915757</v>
      </c>
      <c r="E101" s="84">
        <f t="shared" si="180"/>
        <v>97166764.449091479</v>
      </c>
      <c r="F101" s="84">
        <f t="shared" si="180"/>
        <v>143800908.1088433</v>
      </c>
      <c r="G101" s="84">
        <f t="shared" si="180"/>
        <v>94522924.132791296</v>
      </c>
      <c r="H101" s="84">
        <f t="shared" si="180"/>
        <v>114977699.8029705</v>
      </c>
      <c r="I101" s="84">
        <f t="shared" si="180"/>
        <v>122472338.35247423</v>
      </c>
      <c r="J101" s="84">
        <f t="shared" si="180"/>
        <v>121536521.79152496</v>
      </c>
      <c r="K101" s="84">
        <f t="shared" ref="K101:V101" si="195">IF(K11=0,0,K11/K33*1000000)</f>
        <v>86516632.668288738</v>
      </c>
      <c r="L101" s="84">
        <f t="shared" si="195"/>
        <v>126415517.16474575</v>
      </c>
      <c r="M101" s="84">
        <f t="shared" si="195"/>
        <v>104506442.37959905</v>
      </c>
      <c r="N101" s="84">
        <f t="shared" si="195"/>
        <v>101957828.82895391</v>
      </c>
      <c r="O101" s="84">
        <f t="shared" si="195"/>
        <v>103241520.76774919</v>
      </c>
      <c r="P101" s="84">
        <f t="shared" si="195"/>
        <v>102056141.03948414</v>
      </c>
      <c r="Q101" s="84">
        <f t="shared" si="195"/>
        <v>104480406.87568721</v>
      </c>
      <c r="R101" s="84">
        <f t="shared" si="195"/>
        <v>103907768.87277389</v>
      </c>
      <c r="S101" s="84">
        <f t="shared" si="195"/>
        <v>108510031.08537602</v>
      </c>
      <c r="T101" s="84">
        <f t="shared" si="195"/>
        <v>110874697.61758739</v>
      </c>
      <c r="U101" s="84">
        <f t="shared" si="195"/>
        <v>102986299.49751291</v>
      </c>
      <c r="V101" s="84">
        <f t="shared" si="195"/>
        <v>97865303.375010937</v>
      </c>
      <c r="W101" s="84">
        <f t="shared" ref="W101" si="196">IF(W11=0,0,W11/W33*1000000)</f>
        <v>76373991.080495641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190700144.83889329</v>
      </c>
      <c r="C102" s="86">
        <f t="shared" si="180"/>
        <v>191420442.01765412</v>
      </c>
      <c r="D102" s="86">
        <f t="shared" si="180"/>
        <v>93613859.330345228</v>
      </c>
      <c r="E102" s="86">
        <f t="shared" si="180"/>
        <v>96383843.91748786</v>
      </c>
      <c r="F102" s="86">
        <f t="shared" si="180"/>
        <v>97069125.247530416</v>
      </c>
      <c r="G102" s="86">
        <f t="shared" si="180"/>
        <v>121847004.91023055</v>
      </c>
      <c r="H102" s="86">
        <f t="shared" si="180"/>
        <v>119342086.23503286</v>
      </c>
      <c r="I102" s="86">
        <f t="shared" si="180"/>
        <v>101337777.14624859</v>
      </c>
      <c r="J102" s="86">
        <f t="shared" si="180"/>
        <v>107335586.03544945</v>
      </c>
      <c r="K102" s="86">
        <f t="shared" ref="K102:V102" si="197">IF(K12=0,0,K12/K34*1000000)</f>
        <v>88980062.362877995</v>
      </c>
      <c r="L102" s="86">
        <f t="shared" si="197"/>
        <v>99520924.478665903</v>
      </c>
      <c r="M102" s="86">
        <f t="shared" si="197"/>
        <v>94624511.236063942</v>
      </c>
      <c r="N102" s="86">
        <f t="shared" si="197"/>
        <v>92344333.333314374</v>
      </c>
      <c r="O102" s="86">
        <f t="shared" si="197"/>
        <v>93514341.39781864</v>
      </c>
      <c r="P102" s="86">
        <f t="shared" si="197"/>
        <v>98216046.435486108</v>
      </c>
      <c r="Q102" s="86">
        <f t="shared" si="197"/>
        <v>101666805.2730975</v>
      </c>
      <c r="R102" s="86">
        <f t="shared" si="197"/>
        <v>105032622.63694701</v>
      </c>
      <c r="S102" s="86">
        <f t="shared" si="197"/>
        <v>103729784.04452689</v>
      </c>
      <c r="T102" s="86">
        <f t="shared" si="197"/>
        <v>99872426.507925764</v>
      </c>
      <c r="U102" s="86">
        <f t="shared" si="197"/>
        <v>97007669.805224195</v>
      </c>
      <c r="V102" s="86">
        <f t="shared" si="197"/>
        <v>89863175.753829047</v>
      </c>
      <c r="W102" s="86">
        <f t="shared" ref="W102" si="198">IF(W12=0,0,W12/W34*1000000)</f>
        <v>79839706.125686154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0.34029038112522686</v>
      </c>
      <c r="C106" s="123">
        <f t="shared" si="199"/>
        <v>0.35366931918656058</v>
      </c>
      <c r="D106" s="123">
        <f t="shared" si="199"/>
        <v>0.41373603640877121</v>
      </c>
      <c r="E106" s="123">
        <f t="shared" si="199"/>
        <v>0.40473083808811905</v>
      </c>
      <c r="F106" s="123">
        <f t="shared" si="199"/>
        <v>0.4175337970990648</v>
      </c>
      <c r="G106" s="123">
        <f t="shared" si="199"/>
        <v>0.45240362235175263</v>
      </c>
      <c r="H106" s="123">
        <f t="shared" si="199"/>
        <v>0.45662100456621002</v>
      </c>
      <c r="I106" s="123">
        <f t="shared" si="199"/>
        <v>0.47996661101836396</v>
      </c>
      <c r="J106" s="123">
        <f t="shared" si="199"/>
        <v>0.50150451354062187</v>
      </c>
      <c r="K106" s="123">
        <f t="shared" ref="K106:V106" si="202">IF(K5=0,0,K5/K$4)</f>
        <v>0.53487666034155601</v>
      </c>
      <c r="L106" s="123">
        <f t="shared" si="202"/>
        <v>0.56765860872051177</v>
      </c>
      <c r="M106" s="123">
        <f t="shared" si="202"/>
        <v>0.5819496993898674</v>
      </c>
      <c r="N106" s="123">
        <f t="shared" si="202"/>
        <v>0.62283526482491636</v>
      </c>
      <c r="O106" s="123">
        <f t="shared" si="202"/>
        <v>0.63733435540217542</v>
      </c>
      <c r="P106" s="123">
        <f t="shared" si="202"/>
        <v>0.61652281134401976</v>
      </c>
      <c r="Q106" s="123">
        <f t="shared" si="202"/>
        <v>0.48800310431802013</v>
      </c>
      <c r="R106" s="123">
        <f t="shared" si="202"/>
        <v>0.50399572314644225</v>
      </c>
      <c r="S106" s="123">
        <f t="shared" si="202"/>
        <v>0.47499738796599078</v>
      </c>
      <c r="T106" s="123">
        <f t="shared" si="202"/>
        <v>0.47280144163329646</v>
      </c>
      <c r="U106" s="123">
        <f t="shared" si="202"/>
        <v>0.45492624938037773</v>
      </c>
      <c r="V106" s="123">
        <f t="shared" si="202"/>
        <v>0.48016443013933963</v>
      </c>
      <c r="W106" s="123">
        <f t="shared" ref="W106" si="203">IF(W5=0,0,W5/W$4)</f>
        <v>0.42852272388200996</v>
      </c>
      <c r="DA106" s="203"/>
    </row>
    <row r="107" spans="1:105" ht="11.45" customHeight="1" x14ac:dyDescent="0.25">
      <c r="A107" s="109" t="s">
        <v>24</v>
      </c>
      <c r="B107" s="124">
        <f t="shared" si="199"/>
        <v>0.65970961887477308</v>
      </c>
      <c r="C107" s="124">
        <f t="shared" si="199"/>
        <v>0.64633068081343947</v>
      </c>
      <c r="D107" s="124">
        <f t="shared" si="199"/>
        <v>0.58626396359122879</v>
      </c>
      <c r="E107" s="124">
        <f t="shared" si="199"/>
        <v>0.59526916191188095</v>
      </c>
      <c r="F107" s="124">
        <f t="shared" si="199"/>
        <v>0.5824662029009352</v>
      </c>
      <c r="G107" s="124">
        <f t="shared" si="199"/>
        <v>0.54759637764824731</v>
      </c>
      <c r="H107" s="124">
        <f t="shared" si="199"/>
        <v>0.54337899543378998</v>
      </c>
      <c r="I107" s="124">
        <f t="shared" si="199"/>
        <v>0.52003338898163609</v>
      </c>
      <c r="J107" s="124">
        <f t="shared" si="199"/>
        <v>0.49849548645937813</v>
      </c>
      <c r="K107" s="124">
        <f t="shared" ref="K107:V107" si="204">IF(K6=0,0,K6/K$4)</f>
        <v>0.46512333965844405</v>
      </c>
      <c r="L107" s="124">
        <f t="shared" si="204"/>
        <v>0.43234139127948823</v>
      </c>
      <c r="M107" s="124">
        <f t="shared" si="204"/>
        <v>0.41805030061013254</v>
      </c>
      <c r="N107" s="124">
        <f t="shared" si="204"/>
        <v>0.3771647351750837</v>
      </c>
      <c r="O107" s="124">
        <f t="shared" si="204"/>
        <v>0.36266564459782463</v>
      </c>
      <c r="P107" s="124">
        <f t="shared" si="204"/>
        <v>0.38347718865598029</v>
      </c>
      <c r="Q107" s="124">
        <f t="shared" si="204"/>
        <v>0.51199689568197981</v>
      </c>
      <c r="R107" s="124">
        <f t="shared" si="204"/>
        <v>0.49600427685355769</v>
      </c>
      <c r="S107" s="124">
        <f t="shared" si="204"/>
        <v>0.52500261203400922</v>
      </c>
      <c r="T107" s="124">
        <f t="shared" si="204"/>
        <v>0.52719855836670348</v>
      </c>
      <c r="U107" s="124">
        <f t="shared" si="204"/>
        <v>0.54507375061962227</v>
      </c>
      <c r="V107" s="124">
        <f t="shared" si="204"/>
        <v>0.51983556986066026</v>
      </c>
      <c r="W107" s="124">
        <f t="shared" ref="W107" si="205">IF(W6=0,0,W6/W$4)</f>
        <v>0.57147727611799015</v>
      </c>
      <c r="DA107" s="176"/>
    </row>
    <row r="108" spans="1:105" ht="11.45" customHeight="1" x14ac:dyDescent="0.25">
      <c r="A108" s="111" t="s">
        <v>92</v>
      </c>
      <c r="B108" s="125">
        <f t="shared" si="199"/>
        <v>0.36387486973235267</v>
      </c>
      <c r="C108" s="125">
        <f t="shared" si="199"/>
        <v>0.24737014314810288</v>
      </c>
      <c r="D108" s="125">
        <f t="shared" si="199"/>
        <v>0.27556519787712447</v>
      </c>
      <c r="E108" s="125">
        <f t="shared" si="199"/>
        <v>0.28320307206803563</v>
      </c>
      <c r="F108" s="125">
        <f t="shared" si="199"/>
        <v>0.31196526969199218</v>
      </c>
      <c r="G108" s="125">
        <f t="shared" si="199"/>
        <v>0.16852104013657898</v>
      </c>
      <c r="H108" s="125">
        <f t="shared" si="199"/>
        <v>0.17575813908490542</v>
      </c>
      <c r="I108" s="125">
        <f t="shared" si="199"/>
        <v>0.31633567584725675</v>
      </c>
      <c r="J108" s="125">
        <f t="shared" si="199"/>
        <v>0.28743278092879848</v>
      </c>
      <c r="K108" s="125">
        <f t="shared" ref="K108:V108" si="206">IF(K7=0,0,K7/K$4)</f>
        <v>0.21389542710081819</v>
      </c>
      <c r="L108" s="125">
        <f t="shared" si="206"/>
        <v>0.25031128595627516</v>
      </c>
      <c r="M108" s="125">
        <f t="shared" si="206"/>
        <v>0.26737898915865665</v>
      </c>
      <c r="N108" s="125">
        <f t="shared" si="206"/>
        <v>0.22593272118263627</v>
      </c>
      <c r="O108" s="125">
        <f t="shared" si="206"/>
        <v>0.2286366973605041</v>
      </c>
      <c r="P108" s="125">
        <f t="shared" si="206"/>
        <v>0.21544056862486533</v>
      </c>
      <c r="Q108" s="125">
        <f t="shared" si="206"/>
        <v>0.21054613267220898</v>
      </c>
      <c r="R108" s="125">
        <f t="shared" si="206"/>
        <v>0.20654194769225395</v>
      </c>
      <c r="S108" s="125">
        <f t="shared" si="206"/>
        <v>0.18006167047008451</v>
      </c>
      <c r="T108" s="125">
        <f t="shared" si="206"/>
        <v>0.1839399831886655</v>
      </c>
      <c r="U108" s="125">
        <f t="shared" si="206"/>
        <v>0.21293726507862368</v>
      </c>
      <c r="V108" s="125">
        <f t="shared" si="206"/>
        <v>0.18280946189681777</v>
      </c>
      <c r="W108" s="125">
        <f t="shared" ref="W108" si="207">IF(W7=0,0,W7/W$4)</f>
        <v>0.1854691723035099</v>
      </c>
      <c r="DA108" s="171"/>
    </row>
    <row r="109" spans="1:105" ht="11.45" customHeight="1" x14ac:dyDescent="0.25">
      <c r="A109" s="111" t="s">
        <v>93</v>
      </c>
      <c r="B109" s="125">
        <f t="shared" si="199"/>
        <v>0.29583474914242047</v>
      </c>
      <c r="C109" s="125">
        <f t="shared" si="199"/>
        <v>0.39896053766533657</v>
      </c>
      <c r="D109" s="125">
        <f t="shared" si="199"/>
        <v>0.31069876571410432</v>
      </c>
      <c r="E109" s="125">
        <f t="shared" si="199"/>
        <v>0.31206608984384537</v>
      </c>
      <c r="F109" s="125">
        <f t="shared" si="199"/>
        <v>0.27050093320894303</v>
      </c>
      <c r="G109" s="125">
        <f t="shared" si="199"/>
        <v>0.37907533751166833</v>
      </c>
      <c r="H109" s="125">
        <f t="shared" si="199"/>
        <v>0.36762085634888458</v>
      </c>
      <c r="I109" s="125">
        <f t="shared" si="199"/>
        <v>0.20369771313437929</v>
      </c>
      <c r="J109" s="125">
        <f t="shared" si="199"/>
        <v>0.21106270553057965</v>
      </c>
      <c r="K109" s="125">
        <f t="shared" ref="K109:V109" si="208">IF(K8=0,0,K8/K$4)</f>
        <v>0.25122791255762583</v>
      </c>
      <c r="L109" s="125">
        <f t="shared" si="208"/>
        <v>0.18203010532321307</v>
      </c>
      <c r="M109" s="125">
        <f t="shared" si="208"/>
        <v>0.15067131145147589</v>
      </c>
      <c r="N109" s="125">
        <f t="shared" si="208"/>
        <v>0.15123201399244746</v>
      </c>
      <c r="O109" s="125">
        <f t="shared" si="208"/>
        <v>0.13402894723732056</v>
      </c>
      <c r="P109" s="125">
        <f t="shared" si="208"/>
        <v>0.16803662003111494</v>
      </c>
      <c r="Q109" s="125">
        <f t="shared" si="208"/>
        <v>0.30145076300977086</v>
      </c>
      <c r="R109" s="125">
        <f t="shared" si="208"/>
        <v>0.28946232916130371</v>
      </c>
      <c r="S109" s="125">
        <f t="shared" si="208"/>
        <v>0.34494094156392474</v>
      </c>
      <c r="T109" s="125">
        <f t="shared" si="208"/>
        <v>0.34325857517803798</v>
      </c>
      <c r="U109" s="125">
        <f t="shared" si="208"/>
        <v>0.33213648554099856</v>
      </c>
      <c r="V109" s="125">
        <f t="shared" si="208"/>
        <v>0.33702610796384247</v>
      </c>
      <c r="W109" s="125">
        <f t="shared" ref="W109" si="209">IF(W8=0,0,W8/W$4)</f>
        <v>0.3860081038144802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0.46697432134423111</v>
      </c>
      <c r="C112" s="125">
        <f t="shared" si="212"/>
        <v>0.34362398819018558</v>
      </c>
      <c r="D112" s="125">
        <f t="shared" si="212"/>
        <v>0.39944518682657021</v>
      </c>
      <c r="E112" s="125">
        <f t="shared" si="212"/>
        <v>0.31371766560678616</v>
      </c>
      <c r="F112" s="125">
        <f t="shared" si="212"/>
        <v>0.35773734264196583</v>
      </c>
      <c r="G112" s="125">
        <f t="shared" si="212"/>
        <v>0.20598990041419102</v>
      </c>
      <c r="H112" s="125">
        <f t="shared" si="212"/>
        <v>0.21790390762484502</v>
      </c>
      <c r="I112" s="125">
        <f t="shared" si="212"/>
        <v>0.36385838411542931</v>
      </c>
      <c r="J112" s="125">
        <f t="shared" si="212"/>
        <v>0.3353697735503563</v>
      </c>
      <c r="K112" s="125">
        <f t="shared" ref="K112:V112" si="215">IF(K11=0,0,K11/K$10)</f>
        <v>0.27959386203627307</v>
      </c>
      <c r="L112" s="125">
        <f t="shared" si="215"/>
        <v>0.31481127014785754</v>
      </c>
      <c r="M112" s="125">
        <f t="shared" si="215"/>
        <v>0.32780101751803126</v>
      </c>
      <c r="N112" s="125">
        <f t="shared" si="215"/>
        <v>0.31105557335925671</v>
      </c>
      <c r="O112" s="125">
        <f t="shared" si="215"/>
        <v>0.30649656748897308</v>
      </c>
      <c r="P112" s="125">
        <f t="shared" si="215"/>
        <v>0.26802856862391888</v>
      </c>
      <c r="Q112" s="125">
        <f t="shared" si="215"/>
        <v>0.26900914907507645</v>
      </c>
      <c r="R112" s="125">
        <f t="shared" si="215"/>
        <v>0.26961969442382927</v>
      </c>
      <c r="S112" s="125">
        <f t="shared" si="215"/>
        <v>0.24648430692844719</v>
      </c>
      <c r="T112" s="125">
        <f t="shared" si="215"/>
        <v>0.2506501112690212</v>
      </c>
      <c r="U112" s="125">
        <f t="shared" si="215"/>
        <v>0.28689583224043741</v>
      </c>
      <c r="V112" s="125">
        <f t="shared" si="215"/>
        <v>0.24583384403476741</v>
      </c>
      <c r="W112" s="125">
        <f t="shared" ref="W112" si="216">IF(W11=0,0,W11/W$10)</f>
        <v>0.25266761784901487</v>
      </c>
      <c r="DA112" s="171"/>
    </row>
    <row r="113" spans="1:105" ht="11.45" customHeight="1" x14ac:dyDescent="0.25">
      <c r="A113" s="85" t="s">
        <v>93</v>
      </c>
      <c r="B113" s="127">
        <f t="shared" si="212"/>
        <v>0.53302567865576889</v>
      </c>
      <c r="C113" s="127">
        <f t="shared" si="212"/>
        <v>0.65637601180981442</v>
      </c>
      <c r="D113" s="127">
        <f t="shared" si="212"/>
        <v>0.60055481317342974</v>
      </c>
      <c r="E113" s="127">
        <f t="shared" si="212"/>
        <v>0.68628233439321384</v>
      </c>
      <c r="F113" s="127">
        <f t="shared" si="212"/>
        <v>0.64226265735803423</v>
      </c>
      <c r="G113" s="127">
        <f t="shared" si="212"/>
        <v>0.79401009958580904</v>
      </c>
      <c r="H113" s="127">
        <f t="shared" si="212"/>
        <v>0.78209609237515498</v>
      </c>
      <c r="I113" s="127">
        <f t="shared" si="212"/>
        <v>0.63614161588457063</v>
      </c>
      <c r="J113" s="127">
        <f t="shared" si="212"/>
        <v>0.66463022644964365</v>
      </c>
      <c r="K113" s="127">
        <f t="shared" ref="K113:V113" si="217">IF(K12=0,0,K12/K$10)</f>
        <v>0.72040613796372699</v>
      </c>
      <c r="L113" s="127">
        <f t="shared" si="217"/>
        <v>0.68518872985214252</v>
      </c>
      <c r="M113" s="127">
        <f t="shared" si="217"/>
        <v>0.67219898248196874</v>
      </c>
      <c r="N113" s="127">
        <f t="shared" si="217"/>
        <v>0.6889444266407434</v>
      </c>
      <c r="O113" s="127">
        <f t="shared" si="217"/>
        <v>0.69350343251102697</v>
      </c>
      <c r="P113" s="127">
        <f t="shared" si="217"/>
        <v>0.73197143137608112</v>
      </c>
      <c r="Q113" s="127">
        <f t="shared" si="217"/>
        <v>0.73099085092492355</v>
      </c>
      <c r="R113" s="127">
        <f t="shared" si="217"/>
        <v>0.73038030557617073</v>
      </c>
      <c r="S113" s="127">
        <f t="shared" si="217"/>
        <v>0.75351569307155286</v>
      </c>
      <c r="T113" s="127">
        <f t="shared" si="217"/>
        <v>0.74934988873097874</v>
      </c>
      <c r="U113" s="127">
        <f t="shared" si="217"/>
        <v>0.71310416775956265</v>
      </c>
      <c r="V113" s="127">
        <f t="shared" si="217"/>
        <v>0.75416615596523262</v>
      </c>
      <c r="W113" s="127">
        <f t="shared" ref="W113" si="218">IF(W12=0,0,W12/W$10)</f>
        <v>0.74733238215098508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0.52459837207870053</v>
      </c>
      <c r="C117" s="123">
        <f t="shared" si="219"/>
        <v>0.65191946635537401</v>
      </c>
      <c r="D117" s="123">
        <f t="shared" si="219"/>
        <v>0.51527621229966236</v>
      </c>
      <c r="E117" s="123">
        <f t="shared" si="219"/>
        <v>0.52433151736598305</v>
      </c>
      <c r="F117" s="123">
        <f t="shared" si="219"/>
        <v>0.57050464309393289</v>
      </c>
      <c r="G117" s="123">
        <f t="shared" si="219"/>
        <v>0.7178342114987869</v>
      </c>
      <c r="H117" s="123">
        <f t="shared" si="219"/>
        <v>0.76014823930195863</v>
      </c>
      <c r="I117" s="123">
        <f t="shared" si="219"/>
        <v>0.60724630329360951</v>
      </c>
      <c r="J117" s="123">
        <f t="shared" si="219"/>
        <v>0.62985570489384968</v>
      </c>
      <c r="K117" s="123">
        <f t="shared" ref="K117:V117" si="222">IF(K16=0,0,K16/K$15)</f>
        <v>0.65963404338874609</v>
      </c>
      <c r="L117" s="123">
        <f t="shared" si="222"/>
        <v>0.6403457177055325</v>
      </c>
      <c r="M117" s="123">
        <f t="shared" si="222"/>
        <v>0.58149619627226656</v>
      </c>
      <c r="N117" s="123">
        <f t="shared" si="222"/>
        <v>0.58717754548961398</v>
      </c>
      <c r="O117" s="123">
        <f t="shared" si="222"/>
        <v>0.62072356967433562</v>
      </c>
      <c r="P117" s="123">
        <f t="shared" si="222"/>
        <v>0.668835200861567</v>
      </c>
      <c r="Q117" s="123">
        <f t="shared" si="222"/>
        <v>0.51326999464923062</v>
      </c>
      <c r="R117" s="123">
        <f t="shared" si="222"/>
        <v>0.53592104133067875</v>
      </c>
      <c r="S117" s="123">
        <f t="shared" si="222"/>
        <v>0.50634683580676343</v>
      </c>
      <c r="T117" s="123">
        <f t="shared" si="222"/>
        <v>0.53374006311174249</v>
      </c>
      <c r="U117" s="123">
        <f t="shared" si="222"/>
        <v>0.47870407902258938</v>
      </c>
      <c r="V117" s="123">
        <f t="shared" si="222"/>
        <v>0.49242422571134176</v>
      </c>
      <c r="W117" s="123">
        <f t="shared" ref="W117" si="223">IF(W16=0,0,W16/W$15)</f>
        <v>0.47915369823031784</v>
      </c>
      <c r="DA117" s="203"/>
    </row>
    <row r="118" spans="1:105" ht="11.45" customHeight="1" x14ac:dyDescent="0.25">
      <c r="A118" s="109" t="s">
        <v>24</v>
      </c>
      <c r="B118" s="124">
        <f t="shared" si="219"/>
        <v>0.47540162792129942</v>
      </c>
      <c r="C118" s="124">
        <f t="shared" si="219"/>
        <v>0.3480805336446261</v>
      </c>
      <c r="D118" s="124">
        <f t="shared" si="219"/>
        <v>0.48472378770033747</v>
      </c>
      <c r="E118" s="124">
        <f t="shared" si="219"/>
        <v>0.47566848263401695</v>
      </c>
      <c r="F118" s="124">
        <f t="shared" si="219"/>
        <v>0.42949535690606716</v>
      </c>
      <c r="G118" s="124">
        <f t="shared" si="219"/>
        <v>0.2821657885012131</v>
      </c>
      <c r="H118" s="124">
        <f t="shared" si="219"/>
        <v>0.23985176069804134</v>
      </c>
      <c r="I118" s="124">
        <f t="shared" si="219"/>
        <v>0.39275369670639054</v>
      </c>
      <c r="J118" s="124">
        <f t="shared" si="219"/>
        <v>0.37014429510615027</v>
      </c>
      <c r="K118" s="124">
        <f t="shared" ref="K118:V118" si="224">IF(K17=0,0,K17/K$15)</f>
        <v>0.34036595661125391</v>
      </c>
      <c r="L118" s="124">
        <f t="shared" si="224"/>
        <v>0.35965428229446744</v>
      </c>
      <c r="M118" s="124">
        <f t="shared" si="224"/>
        <v>0.41850380372773344</v>
      </c>
      <c r="N118" s="124">
        <f t="shared" si="224"/>
        <v>0.41282245451038596</v>
      </c>
      <c r="O118" s="124">
        <f t="shared" si="224"/>
        <v>0.37927643032566438</v>
      </c>
      <c r="P118" s="124">
        <f t="shared" si="224"/>
        <v>0.331164799138433</v>
      </c>
      <c r="Q118" s="124">
        <f t="shared" si="224"/>
        <v>0.48673000535076943</v>
      </c>
      <c r="R118" s="124">
        <f t="shared" si="224"/>
        <v>0.46407895866932125</v>
      </c>
      <c r="S118" s="124">
        <f t="shared" si="224"/>
        <v>0.49365316419323646</v>
      </c>
      <c r="T118" s="124">
        <f t="shared" si="224"/>
        <v>0.46625993688825751</v>
      </c>
      <c r="U118" s="124">
        <f t="shared" si="224"/>
        <v>0.52129592097741062</v>
      </c>
      <c r="V118" s="124">
        <f t="shared" si="224"/>
        <v>0.50757577428865819</v>
      </c>
      <c r="W118" s="124">
        <f t="shared" ref="W118" si="225">IF(W17=0,0,W17/W$15)</f>
        <v>0.52084630176968216</v>
      </c>
      <c r="DA118" s="176"/>
    </row>
    <row r="119" spans="1:105" ht="11.45" customHeight="1" x14ac:dyDescent="0.25">
      <c r="A119" s="111" t="s">
        <v>92</v>
      </c>
      <c r="B119" s="125">
        <f t="shared" si="219"/>
        <v>0.41153038751233872</v>
      </c>
      <c r="C119" s="125">
        <f t="shared" si="219"/>
        <v>0.24523054697098551</v>
      </c>
      <c r="D119" s="125">
        <f t="shared" si="219"/>
        <v>0.26047147737106524</v>
      </c>
      <c r="E119" s="125">
        <f t="shared" si="219"/>
        <v>0.28302412103291291</v>
      </c>
      <c r="F119" s="125">
        <f t="shared" si="219"/>
        <v>0.32841887596296215</v>
      </c>
      <c r="G119" s="125">
        <f t="shared" si="219"/>
        <v>0.14481948423610488</v>
      </c>
      <c r="H119" s="125">
        <f t="shared" si="219"/>
        <v>0.14073369657964963</v>
      </c>
      <c r="I119" s="125">
        <f t="shared" si="219"/>
        <v>0.31523582681741441</v>
      </c>
      <c r="J119" s="125">
        <f t="shared" si="219"/>
        <v>0.30361646650622753</v>
      </c>
      <c r="K119" s="125">
        <f t="shared" ref="K119:V119" si="226">IF(K18=0,0,K18/K$15)</f>
        <v>0.25449768703667341</v>
      </c>
      <c r="L119" s="125">
        <f t="shared" si="226"/>
        <v>0.274618672444016</v>
      </c>
      <c r="M119" s="125">
        <f t="shared" si="226"/>
        <v>0.31735234313278377</v>
      </c>
      <c r="N119" s="125">
        <f t="shared" si="226"/>
        <v>0.28036598404900287</v>
      </c>
      <c r="O119" s="125">
        <f t="shared" si="226"/>
        <v>0.26168106722980095</v>
      </c>
      <c r="P119" s="125">
        <f t="shared" si="226"/>
        <v>0.20102368759950376</v>
      </c>
      <c r="Q119" s="125">
        <f t="shared" si="226"/>
        <v>0.22832472428889491</v>
      </c>
      <c r="R119" s="125">
        <f t="shared" si="226"/>
        <v>0.22026754152945455</v>
      </c>
      <c r="S119" s="125">
        <f t="shared" si="226"/>
        <v>0.24156082998524531</v>
      </c>
      <c r="T119" s="125">
        <f t="shared" si="226"/>
        <v>0.20050960983737701</v>
      </c>
      <c r="U119" s="125">
        <f t="shared" si="226"/>
        <v>0.26640659228220115</v>
      </c>
      <c r="V119" s="125">
        <f t="shared" si="226"/>
        <v>0.25387502328571371</v>
      </c>
      <c r="W119" s="125">
        <f t="shared" ref="W119" si="227">IF(W18=0,0,W18/W$15)</f>
        <v>0.25467224697175167</v>
      </c>
      <c r="DA119" s="171"/>
    </row>
    <row r="120" spans="1:105" ht="11.45" customHeight="1" x14ac:dyDescent="0.25">
      <c r="A120" s="111" t="s">
        <v>93</v>
      </c>
      <c r="B120" s="125">
        <f t="shared" si="219"/>
        <v>6.3871240408960722E-2</v>
      </c>
      <c r="C120" s="125">
        <f t="shared" si="219"/>
        <v>0.10284998667364058</v>
      </c>
      <c r="D120" s="125">
        <f t="shared" si="219"/>
        <v>0.22425231032927223</v>
      </c>
      <c r="E120" s="125">
        <f t="shared" si="219"/>
        <v>0.19264436160110404</v>
      </c>
      <c r="F120" s="125">
        <f t="shared" si="219"/>
        <v>0.10107648094310502</v>
      </c>
      <c r="G120" s="125">
        <f t="shared" si="219"/>
        <v>0.13734630426510824</v>
      </c>
      <c r="H120" s="125">
        <f t="shared" si="219"/>
        <v>9.9118064118391719E-2</v>
      </c>
      <c r="I120" s="125">
        <f t="shared" si="219"/>
        <v>7.7517869888976104E-2</v>
      </c>
      <c r="J120" s="125">
        <f t="shared" si="219"/>
        <v>6.6527828599922734E-2</v>
      </c>
      <c r="K120" s="125">
        <f t="shared" ref="K120:V120" si="228">IF(K19=0,0,K19/K$15)</f>
        <v>8.5868269574580464E-2</v>
      </c>
      <c r="L120" s="125">
        <f t="shared" si="228"/>
        <v>8.5035609850451443E-2</v>
      </c>
      <c r="M120" s="125">
        <f t="shared" si="228"/>
        <v>0.10115146059494966</v>
      </c>
      <c r="N120" s="125">
        <f t="shared" si="228"/>
        <v>0.13245647046138309</v>
      </c>
      <c r="O120" s="125">
        <f t="shared" si="228"/>
        <v>0.11759536309586341</v>
      </c>
      <c r="P120" s="125">
        <f t="shared" si="228"/>
        <v>0.13014111153892924</v>
      </c>
      <c r="Q120" s="125">
        <f t="shared" si="228"/>
        <v>0.25840528106187455</v>
      </c>
      <c r="R120" s="125">
        <f t="shared" si="228"/>
        <v>0.24381141713986668</v>
      </c>
      <c r="S120" s="125">
        <f t="shared" si="228"/>
        <v>0.25209233420799121</v>
      </c>
      <c r="T120" s="125">
        <f t="shared" si="228"/>
        <v>0.26575032705088053</v>
      </c>
      <c r="U120" s="125">
        <f t="shared" si="228"/>
        <v>0.25488932869520942</v>
      </c>
      <c r="V120" s="125">
        <f t="shared" si="228"/>
        <v>0.25370075100294454</v>
      </c>
      <c r="W120" s="125">
        <f t="shared" ref="W120" si="229">IF(W19=0,0,W19/W$15)</f>
        <v>0.26617405479793049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0.57599267920013386</v>
      </c>
      <c r="C123" s="125">
        <f t="shared" si="232"/>
        <v>0.41650883059795524</v>
      </c>
      <c r="D123" s="125">
        <f t="shared" si="232"/>
        <v>0.35937049607717514</v>
      </c>
      <c r="E123" s="125">
        <f t="shared" si="232"/>
        <v>0.24158985827497403</v>
      </c>
      <c r="F123" s="125">
        <f t="shared" si="232"/>
        <v>0.27299151964638274</v>
      </c>
      <c r="G123" s="125">
        <f t="shared" si="232"/>
        <v>0.19846987061939111</v>
      </c>
      <c r="H123" s="125">
        <f t="shared" si="232"/>
        <v>0.2382842094584659</v>
      </c>
      <c r="I123" s="125">
        <f t="shared" si="232"/>
        <v>0.33702553793137902</v>
      </c>
      <c r="J123" s="125">
        <f t="shared" si="232"/>
        <v>0.34419174441862693</v>
      </c>
      <c r="K123" s="125">
        <f t="shared" ref="K123:V123" si="235">IF(K22=0,0,K22/K$21)</f>
        <v>0.27926508231408009</v>
      </c>
      <c r="L123" s="125">
        <f t="shared" si="235"/>
        <v>0.28920864274640928</v>
      </c>
      <c r="M123" s="125">
        <f t="shared" si="235"/>
        <v>0.30629888628899787</v>
      </c>
      <c r="N123" s="125">
        <f t="shared" si="235"/>
        <v>0.29023892047068917</v>
      </c>
      <c r="O123" s="125">
        <f t="shared" si="235"/>
        <v>0.28587447468109267</v>
      </c>
      <c r="P123" s="125">
        <f t="shared" si="235"/>
        <v>0.22703261195714844</v>
      </c>
      <c r="Q123" s="125">
        <f t="shared" si="235"/>
        <v>0.26367500709700803</v>
      </c>
      <c r="R123" s="125">
        <f t="shared" si="235"/>
        <v>0.2717453002512692</v>
      </c>
      <c r="S123" s="125">
        <f t="shared" si="235"/>
        <v>0.23821243526774924</v>
      </c>
      <c r="T123" s="125">
        <f t="shared" si="235"/>
        <v>0.23153657232804156</v>
      </c>
      <c r="U123" s="125">
        <f t="shared" si="235"/>
        <v>0.27481786954227511</v>
      </c>
      <c r="V123" s="125">
        <f t="shared" si="235"/>
        <v>0.20735484511963181</v>
      </c>
      <c r="W123" s="125">
        <f t="shared" ref="W123" si="236">IF(W22=0,0,W22/W$21)</f>
        <v>0.26113910246653832</v>
      </c>
      <c r="DA123" s="171"/>
    </row>
    <row r="124" spans="1:105" ht="11.45" customHeight="1" x14ac:dyDescent="0.25">
      <c r="A124" s="85" t="s">
        <v>93</v>
      </c>
      <c r="B124" s="127">
        <f t="shared" si="232"/>
        <v>0.42400732079986614</v>
      </c>
      <c r="C124" s="127">
        <f t="shared" si="232"/>
        <v>0.58349116940204482</v>
      </c>
      <c r="D124" s="127">
        <f t="shared" si="232"/>
        <v>0.64062950392282492</v>
      </c>
      <c r="E124" s="127">
        <f t="shared" si="232"/>
        <v>0.75841014172502597</v>
      </c>
      <c r="F124" s="127">
        <f t="shared" si="232"/>
        <v>0.72700848035361731</v>
      </c>
      <c r="G124" s="127">
        <f t="shared" si="232"/>
        <v>0.80153012938060886</v>
      </c>
      <c r="H124" s="127">
        <f t="shared" si="232"/>
        <v>0.76171579054153404</v>
      </c>
      <c r="I124" s="127">
        <f t="shared" si="232"/>
        <v>0.66297446206862098</v>
      </c>
      <c r="J124" s="127">
        <f t="shared" si="232"/>
        <v>0.65580825558137301</v>
      </c>
      <c r="K124" s="127">
        <f t="shared" ref="K124:V124" si="237">IF(K23=0,0,K23/K$21)</f>
        <v>0.7207349176859198</v>
      </c>
      <c r="L124" s="127">
        <f t="shared" si="237"/>
        <v>0.71079135725359077</v>
      </c>
      <c r="M124" s="127">
        <f t="shared" si="237"/>
        <v>0.69370111371100207</v>
      </c>
      <c r="N124" s="127">
        <f t="shared" si="237"/>
        <v>0.70976107952931078</v>
      </c>
      <c r="O124" s="127">
        <f t="shared" si="237"/>
        <v>0.71412552531890727</v>
      </c>
      <c r="P124" s="127">
        <f t="shared" si="237"/>
        <v>0.77296738804285148</v>
      </c>
      <c r="Q124" s="127">
        <f t="shared" si="237"/>
        <v>0.73632499290299191</v>
      </c>
      <c r="R124" s="127">
        <f t="shared" si="237"/>
        <v>0.7282546997487308</v>
      </c>
      <c r="S124" s="127">
        <f t="shared" si="237"/>
        <v>0.76178756473225084</v>
      </c>
      <c r="T124" s="127">
        <f t="shared" si="237"/>
        <v>0.76846342767195841</v>
      </c>
      <c r="U124" s="127">
        <f t="shared" si="237"/>
        <v>0.72518213045772484</v>
      </c>
      <c r="V124" s="127">
        <f t="shared" si="237"/>
        <v>0.79264515488036813</v>
      </c>
      <c r="W124" s="127">
        <f t="shared" ref="W124" si="238">IF(W23=0,0,W23/W$21)</f>
        <v>0.73886089753346162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360.02674118658638</v>
      </c>
      <c r="C4" s="146">
        <f t="shared" ref="C4:V4" si="0">SUM(C5,C8)</f>
        <v>218.0632846087704</v>
      </c>
      <c r="D4" s="146">
        <f t="shared" si="0"/>
        <v>313.65717970765263</v>
      </c>
      <c r="E4" s="146">
        <f t="shared" si="0"/>
        <v>283.19415305245059</v>
      </c>
      <c r="F4" s="146">
        <f t="shared" si="0"/>
        <v>292.09905417024936</v>
      </c>
      <c r="G4" s="146">
        <f t="shared" si="0"/>
        <v>160.36113499570075</v>
      </c>
      <c r="H4" s="146">
        <f t="shared" si="0"/>
        <v>147.29148753224419</v>
      </c>
      <c r="I4" s="146">
        <f t="shared" si="0"/>
        <v>266.04565778159923</v>
      </c>
      <c r="J4" s="146">
        <f t="shared" si="0"/>
        <v>246.65141874462597</v>
      </c>
      <c r="K4" s="146">
        <f t="shared" si="0"/>
        <v>201.01745485812552</v>
      </c>
      <c r="L4" s="146">
        <f t="shared" si="0"/>
        <v>222.61874462596734</v>
      </c>
      <c r="M4" s="146">
        <f t="shared" si="0"/>
        <v>288.26792777300085</v>
      </c>
      <c r="N4" s="146">
        <f t="shared" si="0"/>
        <v>283.11289767841777</v>
      </c>
      <c r="O4" s="146">
        <f t="shared" si="0"/>
        <v>254.72046431642303</v>
      </c>
      <c r="P4" s="146">
        <f t="shared" si="0"/>
        <v>194.40017196904552</v>
      </c>
      <c r="Q4" s="146">
        <f t="shared" si="0"/>
        <v>200.42725709372317</v>
      </c>
      <c r="R4" s="146">
        <f t="shared" si="0"/>
        <v>194.73061049011176</v>
      </c>
      <c r="S4" s="146">
        <f t="shared" si="0"/>
        <v>204.10197764402403</v>
      </c>
      <c r="T4" s="146">
        <f t="shared" si="0"/>
        <v>179.69578675838346</v>
      </c>
      <c r="U4" s="146">
        <f t="shared" si="0"/>
        <v>215.5369733447979</v>
      </c>
      <c r="V4" s="146">
        <f t="shared" si="0"/>
        <v>198.01444539982796</v>
      </c>
      <c r="W4" s="146">
        <f t="shared" ref="W4" si="1">SUM(W5,W8)</f>
        <v>225.41023215821156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297.00008598452274</v>
      </c>
      <c r="C5" s="101">
        <f t="shared" ref="C5:V5" si="2">SUM(C6:C7)</f>
        <v>148.8457437661221</v>
      </c>
      <c r="D5" s="101">
        <f t="shared" si="2"/>
        <v>200.8454858125537</v>
      </c>
      <c r="E5" s="101">
        <f t="shared" si="2"/>
        <v>177.86311263972487</v>
      </c>
      <c r="F5" s="101">
        <f t="shared" si="2"/>
        <v>200.95546001719688</v>
      </c>
      <c r="G5" s="101">
        <f t="shared" si="2"/>
        <v>75.580395528804814</v>
      </c>
      <c r="H5" s="101">
        <f t="shared" si="2"/>
        <v>73.516766981943249</v>
      </c>
      <c r="I5" s="101">
        <f t="shared" si="2"/>
        <v>186.25202063628541</v>
      </c>
      <c r="J5" s="101">
        <f t="shared" si="2"/>
        <v>173.65055889939813</v>
      </c>
      <c r="K5" s="101">
        <f t="shared" si="2"/>
        <v>129.47833190025796</v>
      </c>
      <c r="L5" s="101">
        <f t="shared" si="2"/>
        <v>146.86638005159071</v>
      </c>
      <c r="M5" s="101">
        <f t="shared" si="2"/>
        <v>198.24213241616508</v>
      </c>
      <c r="N5" s="101">
        <f t="shared" si="2"/>
        <v>184.48865004299216</v>
      </c>
      <c r="O5" s="101">
        <f t="shared" si="2"/>
        <v>163.49088564058468</v>
      </c>
      <c r="P5" s="101">
        <f t="shared" si="2"/>
        <v>108.75958727429058</v>
      </c>
      <c r="Q5" s="101">
        <f t="shared" si="2"/>
        <v>112.55107480653487</v>
      </c>
      <c r="R5" s="101">
        <f t="shared" si="2"/>
        <v>109.60593293207219</v>
      </c>
      <c r="S5" s="101">
        <f t="shared" si="2"/>
        <v>115.54015477214099</v>
      </c>
      <c r="T5" s="101">
        <f t="shared" si="2"/>
        <v>93.876784178847799</v>
      </c>
      <c r="U5" s="101">
        <f t="shared" si="2"/>
        <v>129.27927773000857</v>
      </c>
      <c r="V5" s="101">
        <f t="shared" si="2"/>
        <v>111.79148753224413</v>
      </c>
      <c r="W5" s="101">
        <f t="shared" ref="W5" si="3">SUM(W6:W7)</f>
        <v>130.87884780739469</v>
      </c>
      <c r="DA5" s="175"/>
    </row>
    <row r="6" spans="1:105" ht="11.45" customHeight="1" x14ac:dyDescent="0.25">
      <c r="A6" s="164" t="s">
        <v>182</v>
      </c>
      <c r="B6" s="165">
        <v>296.68959587274287</v>
      </c>
      <c r="C6" s="165">
        <v>147.46044711951848</v>
      </c>
      <c r="D6" s="165">
        <v>197.191143594153</v>
      </c>
      <c r="E6" s="165">
        <v>174.78202923473776</v>
      </c>
      <c r="F6" s="165">
        <v>200.85993121238175</v>
      </c>
      <c r="G6" s="165">
        <v>74.911607910576095</v>
      </c>
      <c r="H6" s="165">
        <v>72.919690455717969</v>
      </c>
      <c r="I6" s="165">
        <v>184.86672398968179</v>
      </c>
      <c r="J6" s="165">
        <v>173.50722269991405</v>
      </c>
      <c r="K6" s="165">
        <v>129.4067067927773</v>
      </c>
      <c r="L6" s="165">
        <v>146.86638005159071</v>
      </c>
      <c r="M6" s="165">
        <v>198.2182287188306</v>
      </c>
      <c r="N6" s="165">
        <v>184.46474634565769</v>
      </c>
      <c r="O6" s="165">
        <v>163.18039552880481</v>
      </c>
      <c r="P6" s="165">
        <v>108.4490971625107</v>
      </c>
      <c r="Q6" s="165">
        <v>112.50326741186591</v>
      </c>
      <c r="R6" s="165">
        <v>109.4625967325881</v>
      </c>
      <c r="S6" s="165">
        <v>115.4121238177128</v>
      </c>
      <c r="T6" s="165">
        <v>93.834823731728278</v>
      </c>
      <c r="U6" s="165">
        <v>129.24428202923471</v>
      </c>
      <c r="V6" s="165">
        <v>111.7551160791057</v>
      </c>
      <c r="W6" s="165">
        <v>130.85012897678419</v>
      </c>
      <c r="DA6" s="207" t="s">
        <v>1102</v>
      </c>
    </row>
    <row r="7" spans="1:105" ht="11.45" customHeight="1" x14ac:dyDescent="0.25">
      <c r="A7" s="166" t="s">
        <v>183</v>
      </c>
      <c r="B7" s="167">
        <v>0.31049011177987962</v>
      </c>
      <c r="C7" s="167">
        <v>1.385296646603611</v>
      </c>
      <c r="D7" s="167">
        <v>3.654342218400688</v>
      </c>
      <c r="E7" s="167">
        <v>3.0810834049871021</v>
      </c>
      <c r="F7" s="167">
        <v>9.5528804815133275E-2</v>
      </c>
      <c r="G7" s="167">
        <v>0.66878761822871879</v>
      </c>
      <c r="H7" s="167">
        <v>0.5970765262252794</v>
      </c>
      <c r="I7" s="167">
        <v>1.385296646603611</v>
      </c>
      <c r="J7" s="167">
        <v>0.14333619948409279</v>
      </c>
      <c r="K7" s="167">
        <v>7.1625107480653469E-2</v>
      </c>
      <c r="L7" s="167">
        <v>0</v>
      </c>
      <c r="M7" s="167">
        <v>2.3903697334479789E-2</v>
      </c>
      <c r="N7" s="167">
        <v>2.3903697334479789E-2</v>
      </c>
      <c r="O7" s="167">
        <v>0.31049011177987962</v>
      </c>
      <c r="P7" s="167">
        <v>0.31049011177987962</v>
      </c>
      <c r="Q7" s="167">
        <v>4.7807394668959592E-2</v>
      </c>
      <c r="R7" s="167">
        <v>0.14333619948409279</v>
      </c>
      <c r="S7" s="167">
        <v>0.12803095442820289</v>
      </c>
      <c r="T7" s="167">
        <v>4.1960447119518483E-2</v>
      </c>
      <c r="U7" s="167">
        <v>3.4995700773860702E-2</v>
      </c>
      <c r="V7" s="167">
        <v>3.6371453138435081E-2</v>
      </c>
      <c r="W7" s="167">
        <v>2.8718830610490111E-2</v>
      </c>
      <c r="DA7" s="177" t="s">
        <v>1103</v>
      </c>
    </row>
    <row r="8" spans="1:105" ht="11.45" customHeight="1" x14ac:dyDescent="0.25">
      <c r="A8" s="85" t="s">
        <v>91</v>
      </c>
      <c r="B8" s="88">
        <v>63.026655202063623</v>
      </c>
      <c r="C8" s="88">
        <v>69.217540842648319</v>
      </c>
      <c r="D8" s="88">
        <v>112.8116938950989</v>
      </c>
      <c r="E8" s="88">
        <v>105.3310404127257</v>
      </c>
      <c r="F8" s="88">
        <v>91.143594153052447</v>
      </c>
      <c r="G8" s="88">
        <v>84.780739466895952</v>
      </c>
      <c r="H8" s="88">
        <v>73.774720550300941</v>
      </c>
      <c r="I8" s="88">
        <v>79.793637145313838</v>
      </c>
      <c r="J8" s="88">
        <v>73.000859845227851</v>
      </c>
      <c r="K8" s="88">
        <v>71.539122957867576</v>
      </c>
      <c r="L8" s="88">
        <v>75.752364574376614</v>
      </c>
      <c r="M8" s="88">
        <v>90.025795356835758</v>
      </c>
      <c r="N8" s="88">
        <v>98.624247635425618</v>
      </c>
      <c r="O8" s="88">
        <v>91.22957867583834</v>
      </c>
      <c r="P8" s="88">
        <v>85.640584694754935</v>
      </c>
      <c r="Q8" s="88">
        <v>87.8761822871883</v>
      </c>
      <c r="R8" s="88">
        <v>85.124677558039551</v>
      </c>
      <c r="S8" s="88">
        <v>88.561822871883052</v>
      </c>
      <c r="T8" s="88">
        <v>85.819002579535677</v>
      </c>
      <c r="U8" s="88">
        <v>86.257695614789327</v>
      </c>
      <c r="V8" s="88">
        <v>86.22295786758383</v>
      </c>
      <c r="W8" s="88">
        <v>94.53138435081685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360.02674118658638</v>
      </c>
      <c r="C10" s="62">
        <f t="shared" ref="C10:V10" si="5">SUM(C11,C17)</f>
        <v>218.0632846087704</v>
      </c>
      <c r="D10" s="62">
        <f t="shared" si="5"/>
        <v>313.65717970765263</v>
      </c>
      <c r="E10" s="62">
        <f t="shared" si="5"/>
        <v>283.19415305245059</v>
      </c>
      <c r="F10" s="62">
        <f t="shared" si="5"/>
        <v>292.0990541702493</v>
      </c>
      <c r="G10" s="62">
        <f t="shared" si="5"/>
        <v>160.36113499570078</v>
      </c>
      <c r="H10" s="62">
        <f t="shared" si="5"/>
        <v>147.29148753224416</v>
      </c>
      <c r="I10" s="62">
        <f t="shared" si="5"/>
        <v>266.04565778159923</v>
      </c>
      <c r="J10" s="62">
        <f t="shared" si="5"/>
        <v>246.651418744626</v>
      </c>
      <c r="K10" s="62">
        <f t="shared" si="5"/>
        <v>201.01745485812552</v>
      </c>
      <c r="L10" s="62">
        <f t="shared" si="5"/>
        <v>222.61874462596731</v>
      </c>
      <c r="M10" s="62">
        <f t="shared" si="5"/>
        <v>288.26792777300085</v>
      </c>
      <c r="N10" s="62">
        <f t="shared" si="5"/>
        <v>283.11289767841777</v>
      </c>
      <c r="O10" s="62">
        <f t="shared" si="5"/>
        <v>254.72046431642303</v>
      </c>
      <c r="P10" s="62">
        <f t="shared" si="5"/>
        <v>194.40017196904552</v>
      </c>
      <c r="Q10" s="62">
        <f t="shared" si="5"/>
        <v>200.4272570937232</v>
      </c>
      <c r="R10" s="62">
        <f t="shared" si="5"/>
        <v>194.73061049011173</v>
      </c>
      <c r="S10" s="62">
        <f t="shared" si="5"/>
        <v>204.10197764402403</v>
      </c>
      <c r="T10" s="62">
        <f t="shared" si="5"/>
        <v>179.69578675838346</v>
      </c>
      <c r="U10" s="62">
        <f t="shared" si="5"/>
        <v>215.5369733447979</v>
      </c>
      <c r="V10" s="62">
        <f t="shared" si="5"/>
        <v>198.01444539982793</v>
      </c>
      <c r="W10" s="62">
        <f t="shared" ref="W10" si="6">SUM(W11,W17)</f>
        <v>225.41023215821156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260.99613731546702</v>
      </c>
      <c r="C11" s="29">
        <f t="shared" ref="C11:V11" si="8">SUM(C12,C13,C16)</f>
        <v>145.75659879991056</v>
      </c>
      <c r="D11" s="29">
        <f t="shared" si="8"/>
        <v>205.72351964221383</v>
      </c>
      <c r="E11" s="29">
        <f t="shared" si="8"/>
        <v>198.97298575527159</v>
      </c>
      <c r="F11" s="29">
        <f t="shared" si="8"/>
        <v>197.50085389806486</v>
      </c>
      <c r="G11" s="29">
        <f t="shared" si="8"/>
        <v>100.49224972550448</v>
      </c>
      <c r="H11" s="29">
        <f t="shared" si="8"/>
        <v>92.059000588834436</v>
      </c>
      <c r="I11" s="29">
        <f t="shared" si="8"/>
        <v>178.44542445100183</v>
      </c>
      <c r="J11" s="29">
        <f t="shared" si="8"/>
        <v>170.26016802467933</v>
      </c>
      <c r="K11" s="29">
        <f t="shared" si="8"/>
        <v>149.92854145201832</v>
      </c>
      <c r="L11" s="29">
        <f t="shared" si="8"/>
        <v>162.83832311189707</v>
      </c>
      <c r="M11" s="29">
        <f t="shared" si="8"/>
        <v>201.77576444130048</v>
      </c>
      <c r="N11" s="29">
        <f t="shared" si="8"/>
        <v>205.39559016433691</v>
      </c>
      <c r="O11" s="29">
        <f t="shared" si="8"/>
        <v>183.36647768181976</v>
      </c>
      <c r="P11" s="29">
        <f t="shared" si="8"/>
        <v>143.5230729758714</v>
      </c>
      <c r="Q11" s="29">
        <f t="shared" si="8"/>
        <v>134.2368551801091</v>
      </c>
      <c r="R11" s="29">
        <f t="shared" si="8"/>
        <v>130.39677127576414</v>
      </c>
      <c r="S11" s="29">
        <f t="shared" si="8"/>
        <v>142.36260863467939</v>
      </c>
      <c r="T11" s="29">
        <f t="shared" si="8"/>
        <v>120.62720561822871</v>
      </c>
      <c r="U11" s="29">
        <f t="shared" si="8"/>
        <v>148.99729259691668</v>
      </c>
      <c r="V11" s="29">
        <f t="shared" si="8"/>
        <v>140.49443979755148</v>
      </c>
      <c r="W11" s="29">
        <f t="shared" ref="W11" si="9">SUM(W12,W13,W16)</f>
        <v>142.41777364635621</v>
      </c>
      <c r="DA11" s="173" t="s">
        <v>394</v>
      </c>
    </row>
    <row r="12" spans="1:105" ht="11.45" customHeight="1" x14ac:dyDescent="0.25">
      <c r="A12" s="107" t="s">
        <v>23</v>
      </c>
      <c r="B12" s="115">
        <v>31.080091243056913</v>
      </c>
      <c r="C12" s="115">
        <v>30.446470249286968</v>
      </c>
      <c r="D12" s="115">
        <v>30.041630743973609</v>
      </c>
      <c r="E12" s="115">
        <v>28.35734002312282</v>
      </c>
      <c r="F12" s="115">
        <v>29.739389647028094</v>
      </c>
      <c r="G12" s="115">
        <v>31.160788945721517</v>
      </c>
      <c r="H12" s="115">
        <v>32.456958668576526</v>
      </c>
      <c r="I12" s="115">
        <v>32.98257380286875</v>
      </c>
      <c r="J12" s="115">
        <v>33.492719549749964</v>
      </c>
      <c r="K12" s="115">
        <v>34.499769065241736</v>
      </c>
      <c r="L12" s="115">
        <v>35.049451734708775</v>
      </c>
      <c r="M12" s="115">
        <v>35.22562880307219</v>
      </c>
      <c r="N12" s="115">
        <v>38.097189802315029</v>
      </c>
      <c r="O12" s="115">
        <v>37.936971808194379</v>
      </c>
      <c r="P12" s="115">
        <v>37.320114138586419</v>
      </c>
      <c r="Q12" s="115">
        <v>22.365994632316912</v>
      </c>
      <c r="R12" s="115">
        <v>23.165234019544521</v>
      </c>
      <c r="S12" s="115">
        <v>22.562131754009453</v>
      </c>
      <c r="T12" s="115">
        <v>21.735494897822633</v>
      </c>
      <c r="U12" s="115">
        <v>21.018797137020705</v>
      </c>
      <c r="V12" s="115">
        <v>20.879067044428496</v>
      </c>
      <c r="W12" s="115">
        <v>20.347753327573255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229.9160460724101</v>
      </c>
      <c r="C13" s="116">
        <f t="shared" ref="C13:V13" si="11">SUM(C14:C15)</f>
        <v>115.31012855062359</v>
      </c>
      <c r="D13" s="116">
        <f t="shared" si="11"/>
        <v>175.68188889824023</v>
      </c>
      <c r="E13" s="116">
        <f t="shared" si="11"/>
        <v>170.61564573214878</v>
      </c>
      <c r="F13" s="116">
        <f t="shared" si="11"/>
        <v>167.76146425103676</v>
      </c>
      <c r="G13" s="116">
        <f t="shared" si="11"/>
        <v>69.331460779782958</v>
      </c>
      <c r="H13" s="116">
        <f t="shared" si="11"/>
        <v>59.602041920257918</v>
      </c>
      <c r="I13" s="116">
        <f t="shared" si="11"/>
        <v>145.46285064813307</v>
      </c>
      <c r="J13" s="116">
        <f t="shared" si="11"/>
        <v>136.76744847492935</v>
      </c>
      <c r="K13" s="116">
        <f t="shared" si="11"/>
        <v>115.42877238677659</v>
      </c>
      <c r="L13" s="116">
        <f t="shared" si="11"/>
        <v>127.7888713771883</v>
      </c>
      <c r="M13" s="116">
        <f t="shared" si="11"/>
        <v>166.55013563822828</v>
      </c>
      <c r="N13" s="116">
        <f t="shared" si="11"/>
        <v>167.29840036202188</v>
      </c>
      <c r="O13" s="116">
        <f t="shared" si="11"/>
        <v>145.42950587362537</v>
      </c>
      <c r="P13" s="116">
        <f t="shared" si="11"/>
        <v>106.20295883728498</v>
      </c>
      <c r="Q13" s="116">
        <f t="shared" si="11"/>
        <v>111.87086054779218</v>
      </c>
      <c r="R13" s="116">
        <f t="shared" si="11"/>
        <v>107.23153725621962</v>
      </c>
      <c r="S13" s="116">
        <f t="shared" si="11"/>
        <v>119.80047688066995</v>
      </c>
      <c r="T13" s="116">
        <f t="shared" si="11"/>
        <v>98.891710720406081</v>
      </c>
      <c r="U13" s="116">
        <f t="shared" si="11"/>
        <v>127.97849545989597</v>
      </c>
      <c r="V13" s="116">
        <f t="shared" si="11"/>
        <v>119.615372753123</v>
      </c>
      <c r="W13" s="116">
        <f t="shared" ref="W13" si="12">SUM(W14:W15)</f>
        <v>122.07002031878295</v>
      </c>
      <c r="DA13" s="176" t="s">
        <v>396</v>
      </c>
    </row>
    <row r="14" spans="1:105" ht="11.45" customHeight="1" x14ac:dyDescent="0.25">
      <c r="A14" s="111" t="s">
        <v>95</v>
      </c>
      <c r="B14" s="87">
        <v>217.51450035570232</v>
      </c>
      <c r="C14" s="87">
        <v>99.249141519501606</v>
      </c>
      <c r="D14" s="87">
        <v>132.42066582004355</v>
      </c>
      <c r="E14" s="87">
        <v>136.13621007894687</v>
      </c>
      <c r="F14" s="87">
        <v>149.98576296081217</v>
      </c>
      <c r="G14" s="87">
        <v>49.152301995086425</v>
      </c>
      <c r="H14" s="87">
        <v>45.742085584266256</v>
      </c>
      <c r="I14" s="87">
        <v>131.40371397118176</v>
      </c>
      <c r="J14" s="87">
        <v>125.17657316560845</v>
      </c>
      <c r="K14" s="87">
        <v>100.55237043912807</v>
      </c>
      <c r="L14" s="87">
        <v>112.24904113675463</v>
      </c>
      <c r="M14" s="87">
        <v>146.50562646224338</v>
      </c>
      <c r="N14" s="87">
        <v>139.31840701027002</v>
      </c>
      <c r="O14" s="87">
        <v>122.12678416623537</v>
      </c>
      <c r="P14" s="87">
        <v>83.040451296033112</v>
      </c>
      <c r="Q14" s="87">
        <v>75.564717976322186</v>
      </c>
      <c r="R14" s="87">
        <v>72.975022326455672</v>
      </c>
      <c r="S14" s="87">
        <v>83.065262342097228</v>
      </c>
      <c r="T14" s="87">
        <v>63.338183812225509</v>
      </c>
      <c r="U14" s="87">
        <v>91.085389809216494</v>
      </c>
      <c r="V14" s="87">
        <v>84.063783233933364</v>
      </c>
      <c r="W14" s="87">
        <v>84.64108252101299</v>
      </c>
      <c r="DA14" s="171" t="s">
        <v>1106</v>
      </c>
    </row>
    <row r="15" spans="1:105" ht="11.45" customHeight="1" x14ac:dyDescent="0.25">
      <c r="A15" s="111" t="s">
        <v>93</v>
      </c>
      <c r="B15" s="87">
        <v>12.401545716707783</v>
      </c>
      <c r="C15" s="87">
        <v>16.060987031121986</v>
      </c>
      <c r="D15" s="87">
        <v>43.261223078196664</v>
      </c>
      <c r="E15" s="87">
        <v>34.479435653201911</v>
      </c>
      <c r="F15" s="87">
        <v>17.7757012902246</v>
      </c>
      <c r="G15" s="87">
        <v>20.179158784696526</v>
      </c>
      <c r="H15" s="87">
        <v>13.859956335991658</v>
      </c>
      <c r="I15" s="87">
        <v>14.059136676951315</v>
      </c>
      <c r="J15" s="87">
        <v>11.590875309320907</v>
      </c>
      <c r="K15" s="87">
        <v>14.876401947648525</v>
      </c>
      <c r="L15" s="87">
        <v>15.53983024043367</v>
      </c>
      <c r="M15" s="87">
        <v>20.044509175984899</v>
      </c>
      <c r="N15" s="87">
        <v>27.979993351751844</v>
      </c>
      <c r="O15" s="87">
        <v>23.302721707389995</v>
      </c>
      <c r="P15" s="87">
        <v>23.162507541251873</v>
      </c>
      <c r="Q15" s="87">
        <v>36.306142571469998</v>
      </c>
      <c r="R15" s="87">
        <v>34.256514929763952</v>
      </c>
      <c r="S15" s="87">
        <v>36.73521453857272</v>
      </c>
      <c r="T15" s="87">
        <v>35.553526908180579</v>
      </c>
      <c r="U15" s="87">
        <v>36.893105650679473</v>
      </c>
      <c r="V15" s="87">
        <v>35.551589519189633</v>
      </c>
      <c r="W15" s="87">
        <v>37.428937797769962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99.030603871119325</v>
      </c>
      <c r="C17" s="29">
        <f t="shared" si="13"/>
        <v>72.306685808859839</v>
      </c>
      <c r="D17" s="29">
        <f t="shared" si="13"/>
        <v>107.93366006543879</v>
      </c>
      <c r="E17" s="29">
        <f t="shared" si="13"/>
        <v>84.221167297178965</v>
      </c>
      <c r="F17" s="29">
        <f t="shared" si="13"/>
        <v>94.598200272184442</v>
      </c>
      <c r="G17" s="29">
        <f t="shared" si="13"/>
        <v>59.868885270196301</v>
      </c>
      <c r="H17" s="29">
        <f t="shared" si="13"/>
        <v>55.232486943409739</v>
      </c>
      <c r="I17" s="29">
        <f t="shared" si="13"/>
        <v>87.600233330597419</v>
      </c>
      <c r="J17" s="29">
        <f t="shared" si="13"/>
        <v>76.391250719946669</v>
      </c>
      <c r="K17" s="29">
        <f t="shared" si="13"/>
        <v>51.08891340610721</v>
      </c>
      <c r="L17" s="29">
        <f t="shared" si="13"/>
        <v>59.780421514070248</v>
      </c>
      <c r="M17" s="29">
        <f t="shared" si="13"/>
        <v>86.492163331700354</v>
      </c>
      <c r="N17" s="29">
        <f t="shared" si="13"/>
        <v>77.717307514080886</v>
      </c>
      <c r="O17" s="29">
        <f t="shared" si="13"/>
        <v>71.353986634603288</v>
      </c>
      <c r="P17" s="29">
        <f t="shared" si="13"/>
        <v>50.877098993174101</v>
      </c>
      <c r="Q17" s="29">
        <f t="shared" si="13"/>
        <v>66.190401913614082</v>
      </c>
      <c r="R17" s="29">
        <f t="shared" si="13"/>
        <v>64.333839214347591</v>
      </c>
      <c r="S17" s="29">
        <f t="shared" si="13"/>
        <v>61.739369009344657</v>
      </c>
      <c r="T17" s="29">
        <f t="shared" si="13"/>
        <v>59.068581140154748</v>
      </c>
      <c r="U17" s="29">
        <f t="shared" si="13"/>
        <v>66.539680747881221</v>
      </c>
      <c r="V17" s="29">
        <f t="shared" si="13"/>
        <v>57.52000560227647</v>
      </c>
      <c r="W17" s="29">
        <f t="shared" si="13"/>
        <v>82.992458511855347</v>
      </c>
      <c r="DA17" s="173" t="s">
        <v>401</v>
      </c>
    </row>
    <row r="18" spans="1:105" ht="11.45" customHeight="1" x14ac:dyDescent="0.25">
      <c r="A18" s="83" t="s">
        <v>95</v>
      </c>
      <c r="B18" s="87">
        <v>79.485585628820402</v>
      </c>
      <c r="C18" s="87">
        <v>49.596602246620478</v>
      </c>
      <c r="D18" s="87">
        <v>68.424819992510166</v>
      </c>
      <c r="E18" s="87">
        <v>41.726902560778001</v>
      </c>
      <c r="F18" s="87">
        <v>50.969697056384703</v>
      </c>
      <c r="G18" s="87">
        <v>26.428093533718393</v>
      </c>
      <c r="H18" s="87">
        <v>27.774681397676986</v>
      </c>
      <c r="I18" s="87">
        <v>54.848306665103664</v>
      </c>
      <c r="J18" s="87">
        <v>48.473985733789696</v>
      </c>
      <c r="K18" s="87">
        <v>28.925961461129894</v>
      </c>
      <c r="L18" s="87">
        <v>34.617338914836076</v>
      </c>
      <c r="M18" s="87">
        <v>51.736505953921679</v>
      </c>
      <c r="N18" s="87">
        <v>45.170243032722141</v>
      </c>
      <c r="O18" s="87">
        <v>41.364101474349326</v>
      </c>
      <c r="P18" s="87">
        <v>25.719135978257466</v>
      </c>
      <c r="Q18" s="87">
        <v>36.986356830212692</v>
      </c>
      <c r="R18" s="87">
        <v>36.630910605616513</v>
      </c>
      <c r="S18" s="87">
        <v>32.474892430043774</v>
      </c>
      <c r="T18" s="87">
        <v>30.538600366622287</v>
      </c>
      <c r="U18" s="87">
        <v>38.193887920792079</v>
      </c>
      <c r="V18" s="87">
        <v>27.727704298310769</v>
      </c>
      <c r="W18" s="87">
        <v>46.237765286381709</v>
      </c>
      <c r="DA18" s="171" t="s">
        <v>1108</v>
      </c>
    </row>
    <row r="19" spans="1:105" ht="11.45" customHeight="1" x14ac:dyDescent="0.25">
      <c r="A19" s="85" t="s">
        <v>93</v>
      </c>
      <c r="B19" s="88">
        <v>19.545018242298926</v>
      </c>
      <c r="C19" s="88">
        <v>22.710083562239362</v>
      </c>
      <c r="D19" s="88">
        <v>39.508840072928621</v>
      </c>
      <c r="E19" s="88">
        <v>42.494264736400972</v>
      </c>
      <c r="F19" s="88">
        <v>43.628503215799746</v>
      </c>
      <c r="G19" s="88">
        <v>33.440791736477905</v>
      </c>
      <c r="H19" s="88">
        <v>27.457805545732757</v>
      </c>
      <c r="I19" s="88">
        <v>32.751926665493755</v>
      </c>
      <c r="J19" s="88">
        <v>27.917264986156979</v>
      </c>
      <c r="K19" s="88">
        <v>22.162951944977312</v>
      </c>
      <c r="L19" s="88">
        <v>25.163082599234173</v>
      </c>
      <c r="M19" s="88">
        <v>34.755657377778675</v>
      </c>
      <c r="N19" s="88">
        <v>32.547064481358746</v>
      </c>
      <c r="O19" s="88">
        <v>29.989885160253966</v>
      </c>
      <c r="P19" s="88">
        <v>25.157963014916639</v>
      </c>
      <c r="Q19" s="88">
        <v>29.204045083401386</v>
      </c>
      <c r="R19" s="88">
        <v>27.702928608731078</v>
      </c>
      <c r="S19" s="88">
        <v>29.264476579300879</v>
      </c>
      <c r="T19" s="88">
        <v>28.529980773532461</v>
      </c>
      <c r="U19" s="88">
        <v>28.345792827089145</v>
      </c>
      <c r="V19" s="88">
        <v>29.792301303965697</v>
      </c>
      <c r="W19" s="88">
        <v>36.754693225473645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232.137368832541</v>
      </c>
      <c r="C23" s="62">
        <f>IF(C10=0,0,C10/TrRail_act!C14*100)</f>
        <v>172.54974311583621</v>
      </c>
      <c r="D23" s="62">
        <f>IF(D10=0,0,D10/TrRail_act!D14*100)</f>
        <v>188.46767702079049</v>
      </c>
      <c r="E23" s="62">
        <f>IF(E10=0,0,E10/TrRail_act!E14*100)</f>
        <v>180.52030884349065</v>
      </c>
      <c r="F23" s="62">
        <f>IF(F10=0,0,F10/TrRail_act!F14*100)</f>
        <v>185.22485272132394</v>
      </c>
      <c r="G23" s="62">
        <f>IF(G10=0,0,G10/TrRail_act!G14*100)</f>
        <v>122.64403447328679</v>
      </c>
      <c r="H23" s="62">
        <f>IF(H10=0,0,H10/TrRail_act!H14*100)</f>
        <v>116.76256602973764</v>
      </c>
      <c r="I23" s="62">
        <f>IF(I10=0,0,I10/TrRail_act!I14*100)</f>
        <v>160.31948600385564</v>
      </c>
      <c r="J23" s="62">
        <f>IF(J10=0,0,J10/TrRail_act!J14*100)</f>
        <v>151.98728829403447</v>
      </c>
      <c r="K23" s="62">
        <f>IF(K10=0,0,K10/TrRail_act!K14*100)</f>
        <v>128.8491086418874</v>
      </c>
      <c r="L23" s="62">
        <f>IF(L10=0,0,L10/TrRail_act!L14*100)</f>
        <v>133.3121909935071</v>
      </c>
      <c r="M23" s="62">
        <f>IF(M10=0,0,M10/TrRail_act!M14*100)</f>
        <v>148.65758098484329</v>
      </c>
      <c r="N23" s="62">
        <f>IF(N10=0,0,N10/TrRail_act!N14*100)</f>
        <v>138.03102287560253</v>
      </c>
      <c r="O23" s="62">
        <f>IF(O10=0,0,O10/TrRail_act!O14*100)</f>
        <v>129.67851764322816</v>
      </c>
      <c r="P23" s="62">
        <f>IF(P10=0,0,P10/TrRail_act!P14*100)</f>
        <v>109.81402726014369</v>
      </c>
      <c r="Q23" s="62">
        <f>IF(Q10=0,0,Q10/TrRail_act!Q14*100)</f>
        <v>133.20433809052207</v>
      </c>
      <c r="R23" s="62">
        <f>IF(R10=0,0,R10/TrRail_act!R14*100)</f>
        <v>129.4344149513924</v>
      </c>
      <c r="S23" s="62">
        <f>IF(S10=0,0,S10/TrRail_act!S14*100)</f>
        <v>130.69904803515675</v>
      </c>
      <c r="T23" s="62">
        <f>IF(T10=0,0,T10/TrRail_act!T14*100)</f>
        <v>123.73677393578014</v>
      </c>
      <c r="U23" s="62">
        <f>IF(U10=0,0,U10/TrRail_act!U14*100)</f>
        <v>137.41850001149368</v>
      </c>
      <c r="V23" s="62">
        <f>IF(V10=0,0,V10/TrRail_act!V14*100)</f>
        <v>130.25777838948537</v>
      </c>
      <c r="W23" s="62">
        <f>IF(W10=0,0,W10/TrRail_act!W14*100)</f>
        <v>139.87496125456241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195.45781990901952</v>
      </c>
      <c r="C24" s="29">
        <f>IF(C11=0,0,C11/TrRail_act!C15*100)</f>
        <v>135.64825360061229</v>
      </c>
      <c r="D24" s="29">
        <f>IF(D11=0,0,D11/TrRail_act!D15*100)</f>
        <v>151.32687774585935</v>
      </c>
      <c r="E24" s="29">
        <f>IF(E11=0,0,E11/TrRail_act!E15*100)</f>
        <v>154.67667683799212</v>
      </c>
      <c r="F24" s="29">
        <f>IF(F11=0,0,F11/TrRail_act!F15*100)</f>
        <v>155.86095732216901</v>
      </c>
      <c r="G24" s="29">
        <f>IF(G11=0,0,G11/TrRail_act!G15*100)</f>
        <v>92.721923246705813</v>
      </c>
      <c r="H24" s="29">
        <f>IF(H11=0,0,H11/TrRail_act!H15*100)</f>
        <v>86.521551052337657</v>
      </c>
      <c r="I24" s="29">
        <f>IF(I11=0,0,I11/TrRail_act!I15*100)</f>
        <v>129.15199284815293</v>
      </c>
      <c r="J24" s="29">
        <f>IF(J11=0,0,J11/TrRail_act!J15*100)</f>
        <v>123.50708911455361</v>
      </c>
      <c r="K24" s="29">
        <f>IF(K11=0,0,K11/TrRail_act!K15*100)</f>
        <v>108.83674126474881</v>
      </c>
      <c r="L24" s="29">
        <f>IF(L11=0,0,L11/TrRail_act!L15*100)</f>
        <v>111.77882157435344</v>
      </c>
      <c r="M24" s="29">
        <f>IF(M11=0,0,M11/TrRail_act!M15*100)</f>
        <v>123.20828549718672</v>
      </c>
      <c r="N24" s="29">
        <f>IF(N11=0,0,N11/TrRail_act!N15*100)</f>
        <v>116.18306420081663</v>
      </c>
      <c r="O24" s="29">
        <f>IF(O11=0,0,O11/TrRail_act!O15*100)</f>
        <v>108.15097192062927</v>
      </c>
      <c r="P24" s="29">
        <f>IF(P11=0,0,P11/TrRail_act!P15*100)</f>
        <v>92.368108010345267</v>
      </c>
      <c r="Q24" s="29">
        <f>IF(Q11=0,0,Q11/TrRail_act!Q15*100)</f>
        <v>108.46265769503707</v>
      </c>
      <c r="R24" s="29">
        <f>IF(R11=0,0,R11/TrRail_act!R15*100)</f>
        <v>104.65301703414833</v>
      </c>
      <c r="S24" s="29">
        <f>IF(S11=0,0,S11/TrRail_act!S15*100)</f>
        <v>109.61303286647438</v>
      </c>
      <c r="T24" s="29">
        <f>IF(T11=0,0,T11/TrRail_act!T15*100)</f>
        <v>100.78292100456325</v>
      </c>
      <c r="U24" s="29">
        <f>IF(U11=0,0,U11/TrRail_act!U15*100)</f>
        <v>114.73776576760635</v>
      </c>
      <c r="V24" s="29">
        <f>IF(V11=0,0,V11/TrRail_act!V15*100)</f>
        <v>111.51202588312559</v>
      </c>
      <c r="W24" s="29">
        <f>IF(W11=0,0,W11/TrRail_act!W15*100)</f>
        <v>112.46851109976336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44.368456133837661</v>
      </c>
      <c r="C25" s="115">
        <f>IF(C12=0,0,C12/TrRail_act!C16*100)</f>
        <v>43.463929018788065</v>
      </c>
      <c r="D25" s="115">
        <f>IF(D12=0,0,D12/TrRail_act!D16*100)</f>
        <v>42.885999446694129</v>
      </c>
      <c r="E25" s="115">
        <f>IF(E12=0,0,E12/TrRail_act!E16*100)</f>
        <v>42.042665539887111</v>
      </c>
      <c r="F25" s="115">
        <f>IF(F12=0,0,F12/TrRail_act!F16*100)</f>
        <v>41.1378158295826</v>
      </c>
      <c r="G25" s="115">
        <f>IF(G12=0,0,G12/TrRail_act!G16*100)</f>
        <v>40.05291735321417</v>
      </c>
      <c r="H25" s="115">
        <f>IF(H12=0,0,H12/TrRail_act!H16*100)</f>
        <v>40.129853022395785</v>
      </c>
      <c r="I25" s="115">
        <f>IF(I12=0,0,I12/TrRail_act!I16*100)</f>
        <v>39.311114671760336</v>
      </c>
      <c r="J25" s="115">
        <f>IF(J12=0,0,J12/TrRail_act!J16*100)</f>
        <v>38.573422492290746</v>
      </c>
      <c r="K25" s="115">
        <f>IF(K12=0,0,K12/TrRail_act!K16*100)</f>
        <v>37.966830247251146</v>
      </c>
      <c r="L25" s="115">
        <f>IF(L12=0,0,L12/TrRail_act!L16*100)</f>
        <v>37.572459471313117</v>
      </c>
      <c r="M25" s="115">
        <f>IF(M12=0,0,M12/TrRail_act!M16*100)</f>
        <v>36.989868632826663</v>
      </c>
      <c r="N25" s="115">
        <f>IF(N12=0,0,N12/TrRail_act!N16*100)</f>
        <v>36.700773178713739</v>
      </c>
      <c r="O25" s="115">
        <f>IF(O12=0,0,O12/TrRail_act!O16*100)</f>
        <v>36.047479992243517</v>
      </c>
      <c r="P25" s="115">
        <f>IF(P12=0,0,P12/TrRail_act!P16*100)</f>
        <v>35.910724310020711</v>
      </c>
      <c r="Q25" s="115">
        <f>IF(Q12=0,0,Q12/TrRail_act!Q16*100)</f>
        <v>35.208766678046025</v>
      </c>
      <c r="R25" s="115">
        <f>IF(R12=0,0,R12/TrRail_act!R16*100)</f>
        <v>34.691317864899808</v>
      </c>
      <c r="S25" s="115">
        <f>IF(S12=0,0,S12/TrRail_act!S16*100)</f>
        <v>34.308228001485382</v>
      </c>
      <c r="T25" s="115">
        <f>IF(T12=0,0,T12/TrRail_act!T16*100)</f>
        <v>34.023689361715398</v>
      </c>
      <c r="U25" s="115">
        <f>IF(U12=0,0,U12/TrRail_act!U16*100)</f>
        <v>33.81183510590219</v>
      </c>
      <c r="V25" s="115">
        <f>IF(V12=0,0,V12/TrRail_act!V16*100)</f>
        <v>33.653810664967054</v>
      </c>
      <c r="W25" s="115">
        <f>IF(W12=0,0,W12/TrRail_act!W16*100)</f>
        <v>33.535777000346414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362.18260505844756</v>
      </c>
      <c r="C26" s="116">
        <f>IF(C13=0,0,C13/TrRail_act!C17*100)</f>
        <v>308.30012544895129</v>
      </c>
      <c r="D26" s="116">
        <f>IF(D13=0,0,D13/TrRail_act!D17*100)</f>
        <v>266.60284819810056</v>
      </c>
      <c r="E26" s="116">
        <f>IF(E13=0,0,E13/TrRail_act!E17*100)</f>
        <v>278.83365634590717</v>
      </c>
      <c r="F26" s="116">
        <f>IF(F13=0,0,F13/TrRail_act!F17*100)</f>
        <v>308.24929828893073</v>
      </c>
      <c r="G26" s="116">
        <f>IF(G13=0,0,G13/TrRail_act!G17*100)</f>
        <v>226.71270404548071</v>
      </c>
      <c r="H26" s="116">
        <f>IF(H13=0,0,H13/TrRail_act!H17*100)</f>
        <v>233.54806223181734</v>
      </c>
      <c r="I26" s="116">
        <f>IF(I13=0,0,I13/TrRail_act!I17*100)</f>
        <v>268.05721924007611</v>
      </c>
      <c r="J26" s="116">
        <f>IF(J13=0,0,J13/TrRail_act!J17*100)</f>
        <v>268.03438608192414</v>
      </c>
      <c r="K26" s="116">
        <f>IF(K13=0,0,K13/TrRail_act!K17*100)</f>
        <v>246.18363231256794</v>
      </c>
      <c r="L26" s="116">
        <f>IF(L13=0,0,L13/TrRail_act!L17*100)</f>
        <v>243.89938439941332</v>
      </c>
      <c r="M26" s="116">
        <f>IF(M13=0,0,M13/TrRail_act!M17*100)</f>
        <v>243.00571865948802</v>
      </c>
      <c r="N26" s="116">
        <f>IF(N13=0,0,N13/TrRail_act!N17*100)</f>
        <v>229.23460982858819</v>
      </c>
      <c r="O26" s="116">
        <f>IF(O13=0,0,O13/TrRail_act!O17*100)</f>
        <v>226.15550190774809</v>
      </c>
      <c r="P26" s="116">
        <f>IF(P13=0,0,P13/TrRail_act!P17*100)</f>
        <v>206.39195856923416</v>
      </c>
      <c r="Q26" s="116">
        <f>IF(Q13=0,0,Q13/TrRail_act!Q17*100)</f>
        <v>185.71087300329609</v>
      </c>
      <c r="R26" s="116">
        <f>IF(R13=0,0,R13/TrRail_act!R17*100)</f>
        <v>185.44518821888767</v>
      </c>
      <c r="S26" s="116">
        <f>IF(S13=0,0,S13/TrRail_act!S17*100)</f>
        <v>186.85420628576836</v>
      </c>
      <c r="T26" s="116">
        <f>IF(T13=0,0,T13/TrRail_act!T17*100)</f>
        <v>177.20397649594366</v>
      </c>
      <c r="U26" s="116">
        <f>IF(U13=0,0,U13/TrRail_act!U17*100)</f>
        <v>189.05174281508016</v>
      </c>
      <c r="V26" s="116">
        <f>IF(V13=0,0,V13/TrRail_act!V17*100)</f>
        <v>187.04611022314219</v>
      </c>
      <c r="W26" s="116">
        <f>IF(W13=0,0,W13/TrRail_act!W17*100)</f>
        <v>185.08285304029678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395.82687290835963</v>
      </c>
      <c r="C27" s="87">
        <f>IF(C14=0,0,C14/TrRail_act!C18*100)</f>
        <v>376.65017482993295</v>
      </c>
      <c r="D27" s="87">
        <f>IF(D14=0,0,D14/TrRail_act!D18*100)</f>
        <v>373.96221165615447</v>
      </c>
      <c r="E27" s="87">
        <f>IF(E14=0,0,E14/TrRail_act!E18*100)</f>
        <v>373.92191706829823</v>
      </c>
      <c r="F27" s="87">
        <f>IF(F14=0,0,F14/TrRail_act!F18*100)</f>
        <v>360.40456898910037</v>
      </c>
      <c r="G27" s="87">
        <f>IF(G14=0,0,G14/TrRail_act!G18*100)</f>
        <v>313.16032004543234</v>
      </c>
      <c r="H27" s="87">
        <f>IF(H14=0,0,H14/TrRail_act!H18*100)</f>
        <v>305.47516458321866</v>
      </c>
      <c r="I27" s="87">
        <f>IF(I14=0,0,I14/TrRail_act!I18*100)</f>
        <v>301.69475910074567</v>
      </c>
      <c r="J27" s="87">
        <f>IF(J14=0,0,J14/TrRail_act!J18*100)</f>
        <v>299.07255778411735</v>
      </c>
      <c r="K27" s="87">
        <f>IF(K14=0,0,K14/TrRail_act!K18*100)</f>
        <v>286.81356476773152</v>
      </c>
      <c r="L27" s="87">
        <f>IF(L14=0,0,L14/TrRail_act!L18*100)</f>
        <v>280.57920594398757</v>
      </c>
      <c r="M27" s="87">
        <f>IF(M14=0,0,M14/TrRail_act!M18*100)</f>
        <v>281.89249106552307</v>
      </c>
      <c r="N27" s="87">
        <f>IF(N14=0,0,N14/TrRail_act!N18*100)</f>
        <v>281.08320082877646</v>
      </c>
      <c r="O27" s="87">
        <f>IF(O14=0,0,O14/TrRail_act!O18*100)</f>
        <v>275.26380136711776</v>
      </c>
      <c r="P27" s="87">
        <f>IF(P14=0,0,P14/TrRail_act!P18*100)</f>
        <v>265.85374887053661</v>
      </c>
      <c r="Q27" s="87">
        <f>IF(Q14=0,0,Q14/TrRail_act!Q18*100)</f>
        <v>267.40812360817671</v>
      </c>
      <c r="R27" s="87">
        <f>IF(R14=0,0,R14/TrRail_act!R18*100)</f>
        <v>265.89406710804496</v>
      </c>
      <c r="S27" s="87">
        <f>IF(S14=0,0,S14/TrRail_act!S18*100)</f>
        <v>264.76415312203483</v>
      </c>
      <c r="T27" s="87">
        <f>IF(T14=0,0,T14/TrRail_act!T18*100)</f>
        <v>263.91986977188429</v>
      </c>
      <c r="U27" s="87">
        <f>IF(U14=0,0,U14/TrRail_act!U18*100)</f>
        <v>263.2884245259454</v>
      </c>
      <c r="V27" s="87">
        <f>IF(V14=0,0,V14/TrRail_act!V18*100)</f>
        <v>262.81583223430709</v>
      </c>
      <c r="W27" s="87">
        <f>IF(W14=0,0,W14/TrRail_act!W18*100)</f>
        <v>262.4619447855589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145.40838089760342</v>
      </c>
      <c r="C28" s="87">
        <f>IF(C15=0,0,C15/TrRail_act!C19*100)</f>
        <v>145.32956475866189</v>
      </c>
      <c r="D28" s="87">
        <f>IF(D15=0,0,D15/TrRail_act!D19*100)</f>
        <v>141.90378949731604</v>
      </c>
      <c r="E28" s="87">
        <f>IF(E15=0,0,E15/TrRail_act!E19*100)</f>
        <v>139.1344137216737</v>
      </c>
      <c r="F28" s="87">
        <f>IF(F15=0,0,F15/TrRail_act!F19*100)</f>
        <v>138.7857869055523</v>
      </c>
      <c r="G28" s="87">
        <f>IF(G15=0,0,G15/TrRail_act!G19*100)</f>
        <v>135.56136779700856</v>
      </c>
      <c r="H28" s="87">
        <f>IF(H15=0,0,H15/TrRail_act!H19*100)</f>
        <v>131.42170324558245</v>
      </c>
      <c r="I28" s="87">
        <f>IF(I15=0,0,I15/TrRail_act!I19*100)</f>
        <v>131.26608056109822</v>
      </c>
      <c r="J28" s="87">
        <f>IF(J15=0,0,J15/TrRail_act!J19*100)</f>
        <v>126.38388857802063</v>
      </c>
      <c r="K28" s="87">
        <f>IF(K15=0,0,K15/TrRail_act!K19*100)</f>
        <v>125.76401881011516</v>
      </c>
      <c r="L28" s="87">
        <f>IF(L15=0,0,L15/TrRail_act!L19*100)</f>
        <v>125.44355259237024</v>
      </c>
      <c r="M28" s="87">
        <f>IF(M15=0,0,M15/TrRail_act!M19*100)</f>
        <v>121.00245476848031</v>
      </c>
      <c r="N28" s="87">
        <f>IF(N15=0,0,N15/TrRail_act!N19*100)</f>
        <v>119.48850843628117</v>
      </c>
      <c r="O28" s="87">
        <f>IF(O15=0,0,O15/TrRail_act!O19*100)</f>
        <v>116.87642938264642</v>
      </c>
      <c r="P28" s="87">
        <f>IF(P15=0,0,P15/TrRail_act!P19*100)</f>
        <v>114.54374691429798</v>
      </c>
      <c r="Q28" s="87">
        <f>IF(Q15=0,0,Q15/TrRail_act!Q19*100)</f>
        <v>113.5238722467071</v>
      </c>
      <c r="R28" s="87">
        <f>IF(R15=0,0,R15/TrRail_act!R19*100)</f>
        <v>112.76492992913757</v>
      </c>
      <c r="S28" s="87">
        <f>IF(S15=0,0,S15/TrRail_act!S19*100)</f>
        <v>112.19905470806404</v>
      </c>
      <c r="T28" s="87">
        <f>IF(T15=0,0,T15/TrRail_act!T19*100)</f>
        <v>111.77651260375625</v>
      </c>
      <c r="U28" s="87">
        <f>IF(U15=0,0,U15/TrRail_act!U19*100)</f>
        <v>111.46065064119377</v>
      </c>
      <c r="V28" s="87">
        <f>IF(V15=0,0,V15/TrRail_act!V19*100)</f>
        <v>111.22434042588496</v>
      </c>
      <c r="W28" s="87">
        <f>IF(W15=0,0,W15/TrRail_act!W19*100)</f>
        <v>111.04743595819417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459.29497393027987</v>
      </c>
      <c r="C30" s="29">
        <f>IF(C17=0,0,C17/TrRail_act!C21*100)</f>
        <v>382.06613288394436</v>
      </c>
      <c r="D30" s="29">
        <f>IF(D17=0,0,D17/TrRail_act!D21*100)</f>
        <v>354.13085151534369</v>
      </c>
      <c r="E30" s="29">
        <f>IF(E17=0,0,E17/TrRail_act!E21*100)</f>
        <v>298.24821911909675</v>
      </c>
      <c r="F30" s="29">
        <f>IF(F17=0,0,F17/TrRail_act!F21*100)</f>
        <v>305.316457025099</v>
      </c>
      <c r="G30" s="29">
        <f>IF(G17=0,0,G17/TrRail_act!G21*100)</f>
        <v>267.59360226142417</v>
      </c>
      <c r="H30" s="29">
        <f>IF(H17=0,0,H17/TrRail_act!H21*100)</f>
        <v>279.71376756534721</v>
      </c>
      <c r="I30" s="29">
        <f>IF(I17=0,0,I17/TrRail_act!I21*100)</f>
        <v>315.33354466933264</v>
      </c>
      <c r="J30" s="29">
        <f>IF(J17=0,0,J17/TrRail_act!J21*100)</f>
        <v>312.69864892099355</v>
      </c>
      <c r="K30" s="29">
        <f>IF(K17=0,0,K17/TrRail_act!K21*100)</f>
        <v>279.86992876772973</v>
      </c>
      <c r="L30" s="29">
        <f>IF(L17=0,0,L17/TrRail_act!L21*100)</f>
        <v>280.50794270065757</v>
      </c>
      <c r="M30" s="29">
        <f>IF(M17=0,0,M17/TrRail_act!M21*100)</f>
        <v>286.91063785623606</v>
      </c>
      <c r="N30" s="29">
        <f>IF(N17=0,0,N17/TrRail_act!N21*100)</f>
        <v>274.40620014209355</v>
      </c>
      <c r="O30" s="29">
        <f>IF(O17=0,0,O17/TrRail_act!O21*100)</f>
        <v>265.47557791918967</v>
      </c>
      <c r="P30" s="29">
        <f>IF(P17=0,0,P17/TrRail_act!P21*100)</f>
        <v>235.05145461878053</v>
      </c>
      <c r="Q30" s="29">
        <f>IF(Q17=0,0,Q17/TrRail_act!Q21*100)</f>
        <v>247.87800191505758</v>
      </c>
      <c r="R30" s="29">
        <f>IF(R17=0,0,R17/TrRail_act!R21*100)</f>
        <v>248.89127201250818</v>
      </c>
      <c r="S30" s="29">
        <f>IF(S17=0,0,S17/TrRail_act!S21*100)</f>
        <v>234.89025561769364</v>
      </c>
      <c r="T30" s="29">
        <f>IF(T17=0,0,T17/TrRail_act!T21*100)</f>
        <v>231.33204254450655</v>
      </c>
      <c r="U30" s="29">
        <f>IF(U17=0,0,U17/TrRail_act!U21*100)</f>
        <v>246.55147317115041</v>
      </c>
      <c r="V30" s="29">
        <f>IF(V17=0,0,V17/TrRail_act!V21*100)</f>
        <v>221.00150884291182</v>
      </c>
      <c r="W30" s="29">
        <f>IF(W17=0,0,W17/TrRail_act!W21*100)</f>
        <v>240.40303043143547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640.02019879390696</v>
      </c>
      <c r="C31" s="87">
        <f>IF(C18=0,0,C18/TrRail_act!C22*100)</f>
        <v>629.19867308567063</v>
      </c>
      <c r="D31" s="87">
        <f>IF(D18=0,0,D18/TrRail_act!D22*100)</f>
        <v>624.70949051935884</v>
      </c>
      <c r="E31" s="87">
        <f>IF(E18=0,0,E18/TrRail_act!E22*100)</f>
        <v>611.63742515898809</v>
      </c>
      <c r="F31" s="87">
        <f>IF(F18=0,0,F18/TrRail_act!F22*100)</f>
        <v>602.60153866495284</v>
      </c>
      <c r="G31" s="87">
        <f>IF(G18=0,0,G18/TrRail_act!G22*100)</f>
        <v>595.17653769904712</v>
      </c>
      <c r="H31" s="87">
        <f>IF(H18=0,0,H18/TrRail_act!H22*100)</f>
        <v>590.30038523287055</v>
      </c>
      <c r="I31" s="87">
        <f>IF(I18=0,0,I18/TrRail_act!I22*100)</f>
        <v>585.82152273922827</v>
      </c>
      <c r="J31" s="87">
        <f>IF(J18=0,0,J18/TrRail_act!J22*100)</f>
        <v>576.48852290171817</v>
      </c>
      <c r="K31" s="87">
        <f>IF(K18=0,0,K18/TrRail_act!K22*100)</f>
        <v>567.41490159455736</v>
      </c>
      <c r="L31" s="87">
        <f>IF(L18=0,0,L18/TrRail_act!L22*100)</f>
        <v>561.65367216728021</v>
      </c>
      <c r="M31" s="87">
        <f>IF(M18=0,0,M18/TrRail_act!M22*100)</f>
        <v>560.30122068784544</v>
      </c>
      <c r="N31" s="87">
        <f>IF(N18=0,0,N18/TrRail_act!N22*100)</f>
        <v>549.50664793358033</v>
      </c>
      <c r="O31" s="87">
        <f>IF(O18=0,0,O18/TrRail_act!O22*100)</f>
        <v>538.33739360045558</v>
      </c>
      <c r="P31" s="87">
        <f>IF(P18=0,0,P18/TrRail_act!P22*100)</f>
        <v>523.36988829160407</v>
      </c>
      <c r="Q31" s="87">
        <f>IF(Q18=0,0,Q18/TrRail_act!Q22*100)</f>
        <v>525.3098659646588</v>
      </c>
      <c r="R31" s="87">
        <f>IF(R18=0,0,R18/TrRail_act!R22*100)</f>
        <v>521.50187113961101</v>
      </c>
      <c r="S31" s="87">
        <f>IF(S18=0,0,S18/TrRail_act!S22*100)</f>
        <v>518.6640013276218</v>
      </c>
      <c r="T31" s="87">
        <f>IF(T18=0,0,T18/TrRail_act!T22*100)</f>
        <v>516.54573798012291</v>
      </c>
      <c r="U31" s="87">
        <f>IF(U18=0,0,U18/TrRail_act!U22*100)</f>
        <v>514.96271972078375</v>
      </c>
      <c r="V31" s="87">
        <f>IF(V18=0,0,V18/TrRail_act!V22*100)</f>
        <v>513.77864054192571</v>
      </c>
      <c r="W31" s="87">
        <f>IF(W18=0,0,W18/TrRail_act!W22*100)</f>
        <v>512.89236821428267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213.78882023492579</v>
      </c>
      <c r="C32" s="88">
        <f>IF(C19=0,0,C19/TrRail_act!C23*100)</f>
        <v>205.65749001175203</v>
      </c>
      <c r="D32" s="88">
        <f>IF(D19=0,0,D19/TrRail_act!D23*100)</f>
        <v>202.34580394676684</v>
      </c>
      <c r="E32" s="88">
        <f>IF(E19=0,0,E19/TrRail_act!E23*100)</f>
        <v>198.41878685454978</v>
      </c>
      <c r="F32" s="88">
        <f>IF(F19=0,0,F19/TrRail_act!F23*100)</f>
        <v>193.68597622852258</v>
      </c>
      <c r="G32" s="88">
        <f>IF(G19=0,0,G19/TrRail_act!G23*100)</f>
        <v>186.4795674544398</v>
      </c>
      <c r="H32" s="88">
        <f>IF(H19=0,0,H19/TrRail_act!H23*100)</f>
        <v>182.55431836098001</v>
      </c>
      <c r="I32" s="88">
        <f>IF(I19=0,0,I19/TrRail_act!I23*100)</f>
        <v>177.82997322174649</v>
      </c>
      <c r="J32" s="88">
        <f>IF(J19=0,0,J19/TrRail_act!J23*100)</f>
        <v>174.25224158672427</v>
      </c>
      <c r="K32" s="88">
        <f>IF(K19=0,0,K19/TrRail_act!K23*100)</f>
        <v>168.45411064237922</v>
      </c>
      <c r="L32" s="88">
        <f>IF(L19=0,0,L19/TrRail_act!L23*100)</f>
        <v>166.11463444890566</v>
      </c>
      <c r="M32" s="88">
        <f>IF(M19=0,0,M19/TrRail_act!M23*100)</f>
        <v>166.19693365695468</v>
      </c>
      <c r="N32" s="88">
        <f>IF(N19=0,0,N19/TrRail_act!N23*100)</f>
        <v>161.91079951945767</v>
      </c>
      <c r="O32" s="88">
        <f>IF(O19=0,0,O19/TrRail_act!O23*100)</f>
        <v>156.24516190293451</v>
      </c>
      <c r="P32" s="88">
        <f>IF(P19=0,0,P19/TrRail_act!P23*100)</f>
        <v>150.36782102089563</v>
      </c>
      <c r="Q32" s="88">
        <f>IF(Q19=0,0,Q19/TrRail_act!Q23*100)</f>
        <v>148.53077151097941</v>
      </c>
      <c r="R32" s="88">
        <f>IF(R19=0,0,R19/TrRail_act!R23*100)</f>
        <v>147.16772784996047</v>
      </c>
      <c r="S32" s="88">
        <f>IF(S19=0,0,S19/TrRail_act!S23*100)</f>
        <v>146.15366006251131</v>
      </c>
      <c r="T32" s="88">
        <f>IF(T19=0,0,T19/TrRail_act!T23*100)</f>
        <v>145.39769740301384</v>
      </c>
      <c r="U32" s="88">
        <f>IF(U19=0,0,U19/TrRail_act!U23*100)</f>
        <v>144.83329253782782</v>
      </c>
      <c r="V32" s="88">
        <f>IF(V19=0,0,V19/TrRail_act!V23*100)</f>
        <v>144.41142761396426</v>
      </c>
      <c r="W32" s="88">
        <f>IF(W19=0,0,W19/TrRail_act!W23*100)</f>
        <v>144.09583466852604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14.802412506548718</v>
      </c>
      <c r="C35" s="29">
        <f>IF(C11=0,0,C11/TrRail_act!C4*1000)</f>
        <v>8.5916061774188357</v>
      </c>
      <c r="D35" s="29">
        <f>IF(D11=0,0,D11/TrRail_act!D4*1000)</f>
        <v>14.185872268805257</v>
      </c>
      <c r="E35" s="29">
        <f>IF(E11=0,0,E11/TrRail_act!E4*1000)</f>
        <v>13.939329466122768</v>
      </c>
      <c r="F35" s="29">
        <f>IF(F11=0,0,F11/TrRail_act!F4*1000)</f>
        <v>13.317616628814333</v>
      </c>
      <c r="G35" s="29">
        <f>IF(G11=0,0,G11/TrRail_act!G4*1000)</f>
        <v>6.8915706864632851</v>
      </c>
      <c r="H35" s="29">
        <f>IF(H11=0,0,H11/TrRail_act!H4*1000)</f>
        <v>6.1817754894463093</v>
      </c>
      <c r="I35" s="29">
        <f>IF(I11=0,0,I11/TrRail_act!I4*1000)</f>
        <v>12.412731250069687</v>
      </c>
      <c r="J35" s="29">
        <f>IF(J11=0,0,J11/TrRail_act!J4*1000)</f>
        <v>12.198034677223051</v>
      </c>
      <c r="K35" s="29">
        <f>IF(K11=0,0,K11/TrRail_act!K4*1000)</f>
        <v>11.379775442278431</v>
      </c>
      <c r="L35" s="29">
        <f>IF(L11=0,0,L11/TrRail_act!L4*1000)</f>
        <v>12.948638434396987</v>
      </c>
      <c r="M35" s="29">
        <f>IF(M11=0,0,M11/TrRail_act!M4*1000)</f>
        <v>16.627719097284636</v>
      </c>
      <c r="N35" s="29">
        <f>IF(N11=0,0,N11/TrRail_act!N4*1000)</f>
        <v>16.9477080224157</v>
      </c>
      <c r="O35" s="29">
        <f>IF(O11=0,0,O11/TrRail_act!O4*1000)</f>
        <v>15.076110139675762</v>
      </c>
      <c r="P35" s="29">
        <f>IF(P11=0,0,P11/TrRail_act!P4*1000)</f>
        <v>11.060656055477143</v>
      </c>
      <c r="Q35" s="29">
        <f>IF(Q11=0,0,Q11/TrRail_act!Q4*1000)</f>
        <v>13.348000221077365</v>
      </c>
      <c r="R35" s="29">
        <f>IF(R11=0,0,R11/TrRail_act!R4*1000)</f>
        <v>12.966591066694898</v>
      </c>
      <c r="S35" s="29">
        <f>IF(S11=0,0,S11/TrRail_act!S4*1000)</f>
        <v>13.198082533848149</v>
      </c>
      <c r="T35" s="29">
        <f>IF(T11=0,0,T11/TrRail_act!T4*1000)</f>
        <v>11.402992451449542</v>
      </c>
      <c r="U35" s="29">
        <f>IF(U11=0,0,U11/TrRail_act!U4*1000)</f>
        <v>13.751187454786766</v>
      </c>
      <c r="V35" s="29">
        <f>IF(V11=0,0,V11/TrRail_act!V4*1000)</f>
        <v>19.632797627530753</v>
      </c>
      <c r="W35" s="29">
        <f>IF(W11=0,0,W11/TrRail_act!W4*1000)</f>
        <v>19.056080860268818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5.1800152071761518</v>
      </c>
      <c r="C36" s="115">
        <f>IF(C12=0,0,C12/TrRail_act!C5*1000)</f>
        <v>5.0744117082144946</v>
      </c>
      <c r="D36" s="115">
        <f>IF(D12=0,0,D12/TrRail_act!D5*1000)</f>
        <v>5.0069384573289346</v>
      </c>
      <c r="E36" s="115">
        <f>IF(E12=0,0,E12/TrRail_act!E5*1000)</f>
        <v>4.9084792626071243</v>
      </c>
      <c r="F36" s="115">
        <f>IF(F12=0,0,F12/TrRail_act!F5*1000)</f>
        <v>4.8028381006643359</v>
      </c>
      <c r="G36" s="115">
        <f>IF(G12=0,0,G12/TrRail_act!G5*1000)</f>
        <v>4.7235445675036711</v>
      </c>
      <c r="H36" s="115">
        <f>IF(H12=0,0,H12/TrRail_act!H5*1000)</f>
        <v>4.7730821571436071</v>
      </c>
      <c r="I36" s="115">
        <f>IF(I12=0,0,I12/TrRail_act!I5*1000)</f>
        <v>4.7800831598360505</v>
      </c>
      <c r="J36" s="115">
        <f>IF(J12=0,0,J12/TrRail_act!J5*1000)</f>
        <v>4.7846742213928524</v>
      </c>
      <c r="K36" s="115">
        <f>IF(K12=0,0,K12/TrRail_act!K5*1000)</f>
        <v>4.8956675273508923</v>
      </c>
      <c r="L36" s="115">
        <f>IF(L12=0,0,L12/TrRail_act!L5*1000)</f>
        <v>4.9097737903137348</v>
      </c>
      <c r="M36" s="115">
        <f>IF(M12=0,0,M12/TrRail_act!M5*1000)</f>
        <v>4.9881210458133269</v>
      </c>
      <c r="N36" s="115">
        <f>IF(N12=0,0,N12/TrRail_act!N5*1000)</f>
        <v>5.047073223325321</v>
      </c>
      <c r="O36" s="115">
        <f>IF(O12=0,0,O12/TrRail_act!O5*1000)</f>
        <v>4.8940081819371395</v>
      </c>
      <c r="P36" s="115">
        <f>IF(P12=0,0,P12/TrRail_act!P5*1000)</f>
        <v>4.6650142673233024</v>
      </c>
      <c r="Q36" s="115">
        <f>IF(Q12=0,0,Q12/TrRail_act!Q5*1000)</f>
        <v>4.5573257005513357</v>
      </c>
      <c r="R36" s="115">
        <f>IF(R12=0,0,R12/TrRail_act!R5*1000)</f>
        <v>4.5705537143832169</v>
      </c>
      <c r="S36" s="115">
        <f>IF(S12=0,0,S12/TrRail_act!S5*1000)</f>
        <v>4.4035589249245515</v>
      </c>
      <c r="T36" s="115">
        <f>IF(T12=0,0,T12/TrRail_act!T5*1000)</f>
        <v>4.3457457143490785</v>
      </c>
      <c r="U36" s="115">
        <f>IF(U12=0,0,U12/TrRail_act!U5*1000)</f>
        <v>4.2641128275426139</v>
      </c>
      <c r="V36" s="115">
        <f>IF(V12=0,0,V12/TrRail_act!V5*1000)</f>
        <v>6.0763692433588394</v>
      </c>
      <c r="W36" s="115">
        <f>IF(W12=0,0,W12/TrRail_act!W5*1000)</f>
        <v>6.3534848973551465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19.765822392745022</v>
      </c>
      <c r="C37" s="116">
        <f>IF(C13=0,0,C13/TrRail_act!C6*1000)</f>
        <v>10.516199594220119</v>
      </c>
      <c r="D37" s="116">
        <f>IF(D13=0,0,D13/TrRail_act!D6*1000)</f>
        <v>20.663595494970622</v>
      </c>
      <c r="E37" s="116">
        <f>IF(E13=0,0,E13/TrRail_act!E6*1000)</f>
        <v>20.079515797593121</v>
      </c>
      <c r="F37" s="116">
        <f>IF(F13=0,0,F13/TrRail_act!F6*1000)</f>
        <v>19.421331818828058</v>
      </c>
      <c r="G37" s="116">
        <f>IF(G13=0,0,G13/TrRail_act!G6*1000)</f>
        <v>8.6827126837549109</v>
      </c>
      <c r="H37" s="116">
        <f>IF(H13=0,0,H13/TrRail_act!H6*1000)</f>
        <v>7.3655513989443779</v>
      </c>
      <c r="I37" s="116">
        <f>IF(I13=0,0,I13/TrRail_act!I6*1000)</f>
        <v>19.457310145550171</v>
      </c>
      <c r="J37" s="116">
        <f>IF(J13=0,0,J13/TrRail_act!J6*1000)</f>
        <v>19.656143787716207</v>
      </c>
      <c r="K37" s="116">
        <f>IF(K13=0,0,K13/TrRail_act!K6*1000)</f>
        <v>18.836287922124118</v>
      </c>
      <c r="L37" s="116">
        <f>IF(L13=0,0,L13/TrRail_act!L6*1000)</f>
        <v>23.503562879747712</v>
      </c>
      <c r="M37" s="116">
        <f>IF(M13=0,0,M13/TrRail_act!M6*1000)</f>
        <v>32.830698923364537</v>
      </c>
      <c r="N37" s="116">
        <f>IF(N13=0,0,N13/TrRail_act!N6*1000)</f>
        <v>36.599956325097764</v>
      </c>
      <c r="O37" s="116">
        <f>IF(O13=0,0,O13/TrRail_act!O6*1000)</f>
        <v>32.969736085609924</v>
      </c>
      <c r="P37" s="116">
        <f>IF(P13=0,0,P13/TrRail_act!P6*1000)</f>
        <v>21.343038351544411</v>
      </c>
      <c r="Q37" s="116">
        <f>IF(Q13=0,0,Q13/TrRail_act!Q6*1000)</f>
        <v>21.726715973546742</v>
      </c>
      <c r="R37" s="116">
        <f>IF(R13=0,0,R13/TrRail_act!R6*1000)</f>
        <v>21.497902417044831</v>
      </c>
      <c r="S37" s="116">
        <f>IF(S13=0,0,S13/TrRail_act!S6*1000)</f>
        <v>21.154949122491605</v>
      </c>
      <c r="T37" s="116">
        <f>IF(T13=0,0,T13/TrRail_act!T6*1000)</f>
        <v>17.732062169698061</v>
      </c>
      <c r="U37" s="116">
        <f>IF(U13=0,0,U13/TrRail_act!U6*1000)</f>
        <v>21.669233907872666</v>
      </c>
      <c r="V37" s="116">
        <f>IF(V13=0,0,V13/TrRail_act!V6*1000)</f>
        <v>32.154670094925535</v>
      </c>
      <c r="W37" s="116">
        <f>IF(W13=0,0,W13/TrRail_act!W6*1000)</f>
        <v>28.581133298708256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33.902722420644707</v>
      </c>
      <c r="C38" s="87">
        <f>IF(C14=0,0,C14/TrRail_act!C7*1000)</f>
        <v>23.649698830763366</v>
      </c>
      <c r="D38" s="87">
        <f>IF(D14=0,0,D14/TrRail_act!D7*1000)</f>
        <v>33.136260696839443</v>
      </c>
      <c r="E38" s="87">
        <f>IF(E14=0,0,E14/TrRail_act!E7*1000)</f>
        <v>33.67622962006638</v>
      </c>
      <c r="F38" s="87">
        <f>IF(F14=0,0,F14/TrRail_act!F7*1000)</f>
        <v>32.41912731763847</v>
      </c>
      <c r="G38" s="87">
        <f>IF(G14=0,0,G14/TrRail_act!G7*1000)</f>
        <v>20.002090020149446</v>
      </c>
      <c r="H38" s="87">
        <f>IF(H14=0,0,H14/TrRail_act!H7*1000)</f>
        <v>17.47621942556426</v>
      </c>
      <c r="I38" s="87">
        <f>IF(I14=0,0,I14/TrRail_act!I7*1000)</f>
        <v>28.894913745124835</v>
      </c>
      <c r="J38" s="87">
        <f>IF(J14=0,0,J14/TrRail_act!J7*1000)</f>
        <v>31.200644661160549</v>
      </c>
      <c r="K38" s="87">
        <f>IF(K14=0,0,K14/TrRail_act!K7*1000)</f>
        <v>35.681260608511529</v>
      </c>
      <c r="L38" s="87">
        <f>IF(L14=0,0,L14/TrRail_act!L7*1000)</f>
        <v>35.659043625293364</v>
      </c>
      <c r="M38" s="87">
        <f>IF(M14=0,0,M14/TrRail_act!M7*1000)</f>
        <v>45.153425652537919</v>
      </c>
      <c r="N38" s="87">
        <f>IF(N14=0,0,N14/TrRail_act!N7*1000)</f>
        <v>50.880248665520462</v>
      </c>
      <c r="O38" s="87">
        <f>IF(O14=0,0,O14/TrRail_act!O7*1000)</f>
        <v>43.917169554961731</v>
      </c>
      <c r="P38" s="87">
        <f>IF(P14=0,0,P14/TrRail_act!P7*1000)</f>
        <v>29.704440541936535</v>
      </c>
      <c r="Q38" s="87">
        <f>IF(Q14=0,0,Q14/TrRail_act!Q7*1000)</f>
        <v>35.687508833958852</v>
      </c>
      <c r="R38" s="87">
        <f>IF(R14=0,0,R14/TrRail_act!R7*1000)</f>
        <v>35.133785449904622</v>
      </c>
      <c r="S38" s="87">
        <f>IF(S14=0,0,S14/TrRail_act!S7*1000)</f>
        <v>42.767421674824881</v>
      </c>
      <c r="T38" s="87">
        <f>IF(T14=0,0,T14/TrRail_act!T7*1000)</f>
        <v>32.550902415789409</v>
      </c>
      <c r="U38" s="87">
        <f>IF(U14=0,0,U14/TrRail_act!U7*1000)</f>
        <v>39.478339260296629</v>
      </c>
      <c r="V38" s="87">
        <f>IF(V14=0,0,V14/TrRail_act!V7*1000)</f>
        <v>64.258903997392963</v>
      </c>
      <c r="W38" s="87">
        <f>IF(W14=0,0,W14/TrRail_act!W7*1000)</f>
        <v>61.06310302585603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2.3775248009876662</v>
      </c>
      <c r="C39" s="87">
        <f>IF(C15=0,0,C15/TrRail_act!C8*1000)</f>
        <v>2.3729491234067561</v>
      </c>
      <c r="D39" s="87">
        <f>IF(D15=0,0,D15/TrRail_act!D8*1000)</f>
        <v>9.6013292947541657</v>
      </c>
      <c r="E39" s="87">
        <f>IF(E15=0,0,E15/TrRail_act!E8*1000)</f>
        <v>7.7403631313064256</v>
      </c>
      <c r="F39" s="87">
        <f>IF(F15=0,0,F15/TrRail_act!F8*1000)</f>
        <v>4.4311403615007885</v>
      </c>
      <c r="G39" s="87">
        <f>IF(G15=0,0,G15/TrRail_act!G8*1000)</f>
        <v>3.6505909557912446</v>
      </c>
      <c r="H39" s="87">
        <f>IF(H15=0,0,H15/TrRail_act!H8*1000)</f>
        <v>2.5316793087888083</v>
      </c>
      <c r="I39" s="87">
        <f>IF(I15=0,0,I15/TrRail_act!I8*1000)</f>
        <v>4.8010301750408599</v>
      </c>
      <c r="J39" s="87">
        <f>IF(J15=0,0,J15/TrRail_act!J8*1000)</f>
        <v>3.9344274278911548</v>
      </c>
      <c r="K39" s="87">
        <f>IF(K15=0,0,K15/TrRail_act!K8*1000)</f>
        <v>4.4944793604262046</v>
      </c>
      <c r="L39" s="87">
        <f>IF(L15=0,0,L15/TrRail_act!L8*1000)</f>
        <v>6.7884485780132131</v>
      </c>
      <c r="M39" s="87">
        <f>IF(M15=0,0,M15/TrRail_act!M8*1000)</f>
        <v>10.962977823811679</v>
      </c>
      <c r="N39" s="87">
        <f>IF(N15=0,0,N15/TrRail_act!N8*1000)</f>
        <v>15.265946266113932</v>
      </c>
      <c r="O39" s="87">
        <f>IF(O15=0,0,O15/TrRail_act!O8*1000)</f>
        <v>14.294777544195046</v>
      </c>
      <c r="P39" s="87">
        <f>IF(P15=0,0,P15/TrRail_act!P8*1000)</f>
        <v>10.622843895920893</v>
      </c>
      <c r="Q39" s="87">
        <f>IF(Q15=0,0,Q15/TrRail_act!Q8*1000)</f>
        <v>11.975899898477524</v>
      </c>
      <c r="R39" s="87">
        <f>IF(R15=0,0,R15/TrRail_act!R8*1000)</f>
        <v>11.768201670592317</v>
      </c>
      <c r="S39" s="87">
        <f>IF(S15=0,0,S15/TrRail_act!S8*1000)</f>
        <v>9.8730818755420522</v>
      </c>
      <c r="T39" s="87">
        <f>IF(T15=0,0,T15/TrRail_act!T8*1000)</f>
        <v>9.7911761355246014</v>
      </c>
      <c r="U39" s="87">
        <f>IF(U15=0,0,U15/TrRail_act!U8*1000)</f>
        <v>10.251571734849737</v>
      </c>
      <c r="V39" s="87">
        <f>IF(V15=0,0,V15/TrRail_act!V8*1000)</f>
        <v>14.740714363788861</v>
      </c>
      <c r="W39" s="87">
        <f>IF(W15=0,0,W15/TrRail_act!W8*1000)</f>
        <v>12.974196603469439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6.0554362156731889</v>
      </c>
      <c r="C41" s="29">
        <f>IF(C17=0,0,C17/TrRail_act!C10*1000)</f>
        <v>4.490540666306039</v>
      </c>
      <c r="D41" s="29">
        <f>IF(D17=0,0,D17/TrRail_act!D10*1000)</f>
        <v>7.0924996757418048</v>
      </c>
      <c r="E41" s="29">
        <f>IF(E17=0,0,E17/TrRail_act!E10*1000)</f>
        <v>5.6001840080576475</v>
      </c>
      <c r="F41" s="29">
        <f>IF(F17=0,0,F17/TrRail_act!F10*1000)</f>
        <v>5.557408076147599</v>
      </c>
      <c r="G41" s="29">
        <f>IF(G17=0,0,G17/TrRail_act!G10*1000)</f>
        <v>3.6104743257867749</v>
      </c>
      <c r="H41" s="29">
        <f>IF(H17=0,0,H17/TrRail_act!H10*1000)</f>
        <v>3.497719393541241</v>
      </c>
      <c r="I41" s="29">
        <f>IF(I17=0,0,I17/TrRail_act!I10*1000)</f>
        <v>5.559448710452334</v>
      </c>
      <c r="J41" s="29">
        <f>IF(J17=0,0,J17/TrRail_act!J10*1000)</f>
        <v>5.0138652349663078</v>
      </c>
      <c r="K41" s="29">
        <f>IF(K17=0,0,K17/TrRail_act!K10*1000)</f>
        <v>4.6075859853992798</v>
      </c>
      <c r="L41" s="29">
        <f>IF(L17=0,0,L17/TrRail_act!L10*1000)</f>
        <v>4.8307411324501208</v>
      </c>
      <c r="M41" s="29">
        <f>IF(M17=0,0,M17/TrRail_act!M10*1000)</f>
        <v>5.8762255133976726</v>
      </c>
      <c r="N41" s="29">
        <f>IF(N17=0,0,N17/TrRail_act!N10*1000)</f>
        <v>5.768802517375363</v>
      </c>
      <c r="O41" s="29">
        <f>IF(O17=0,0,O17/TrRail_act!O10*1000)</f>
        <v>5.5137923371148512</v>
      </c>
      <c r="P41" s="29">
        <f>IF(P17=0,0,P17/TrRail_act!P10*1000)</f>
        <v>4.148491437799585</v>
      </c>
      <c r="Q41" s="29">
        <f>IF(Q17=0,0,Q17/TrRail_act!Q10*1000)</f>
        <v>4.840956769810143</v>
      </c>
      <c r="R41" s="29">
        <f>IF(R17=0,0,R17/TrRail_act!R10*1000)</f>
        <v>4.7531465987696775</v>
      </c>
      <c r="S41" s="29">
        <f>IF(S17=0,0,S17/TrRail_act!S10*1000)</f>
        <v>4.4797104200656408</v>
      </c>
      <c r="T41" s="29">
        <f>IF(T17=0,0,T17/TrRail_act!T10*1000)</f>
        <v>4.5173280162247442</v>
      </c>
      <c r="U41" s="29">
        <f>IF(U17=0,0,U17/TrRail_act!U10*1000)</f>
        <v>4.9984736138732888</v>
      </c>
      <c r="V41" s="29">
        <f>IF(V17=0,0,V17/TrRail_act!V10*1000)</f>
        <v>4.679847498354607</v>
      </c>
      <c r="W41" s="29">
        <f>IF(W17=0,0,W17/TrRail_act!W10*1000)</f>
        <v>6.0911896155490162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10.408098300548767</v>
      </c>
      <c r="C42" s="87">
        <f>IF(C18=0,0,C18/TrRail_act!C11*1000)</f>
        <v>8.9637271533862641</v>
      </c>
      <c r="D42" s="87">
        <f>IF(D18=0,0,D18/TrRail_act!D11*1000)</f>
        <v>11.256383771513137</v>
      </c>
      <c r="E42" s="87">
        <f>IF(E18=0,0,E18/TrRail_act!E11*1000)</f>
        <v>8.8441930476974395</v>
      </c>
      <c r="F42" s="87">
        <f>IF(F18=0,0,F18/TrRail_act!F11*1000)</f>
        <v>8.370226100509786</v>
      </c>
      <c r="G42" s="87">
        <f>IF(G18=0,0,G18/TrRail_act!G11*1000)</f>
        <v>7.7371852770643157</v>
      </c>
      <c r="H42" s="87">
        <f>IF(H18=0,0,H18/TrRail_act!H11*1000)</f>
        <v>8.0718751123941512</v>
      </c>
      <c r="I42" s="87">
        <f>IF(I18=0,0,I18/TrRail_act!I11*1000)</f>
        <v>9.5665931063447704</v>
      </c>
      <c r="J42" s="87">
        <f>IF(J18=0,0,J18/TrRail_act!J11*1000)</f>
        <v>9.4866712113932437</v>
      </c>
      <c r="K42" s="87">
        <f>IF(K18=0,0,K18/TrRail_act!K11*1000)</f>
        <v>9.3305437359707231</v>
      </c>
      <c r="L42" s="87">
        <f>IF(L18=0,0,L18/TrRail_act!L11*1000)</f>
        <v>8.8858341033246884</v>
      </c>
      <c r="M42" s="87">
        <f>IF(M18=0,0,M18/TrRail_act!M11*1000)</f>
        <v>10.722807081845117</v>
      </c>
      <c r="N42" s="87">
        <f>IF(N18=0,0,N18/TrRail_act!N11*1000)</f>
        <v>10.779096645451524</v>
      </c>
      <c r="O42" s="87">
        <f>IF(O18=0,0,O18/TrRail_act!O11*1000)</f>
        <v>10.428699234806786</v>
      </c>
      <c r="P42" s="87">
        <f>IF(P18=0,0,P18/TrRail_act!P11*1000)</f>
        <v>7.8242576949786109</v>
      </c>
      <c r="Q42" s="87">
        <f>IF(Q18=0,0,Q18/TrRail_act!Q11*1000)</f>
        <v>10.055662548814505</v>
      </c>
      <c r="R42" s="87">
        <f>IF(R18=0,0,R18/TrRail_act!R11*1000)</f>
        <v>10.037783922525483</v>
      </c>
      <c r="S42" s="87">
        <f>IF(S18=0,0,S18/TrRail_act!S11*1000)</f>
        <v>9.5597426603315441</v>
      </c>
      <c r="T42" s="87">
        <f>IF(T18=0,0,T18/TrRail_act!T11*1000)</f>
        <v>9.3176483296610755</v>
      </c>
      <c r="U42" s="87">
        <f>IF(U18=0,0,U18/TrRail_act!U11*1000)</f>
        <v>10.000606084733318</v>
      </c>
      <c r="V42" s="87">
        <f>IF(V18=0,0,V18/TrRail_act!V11*1000)</f>
        <v>9.1766680691792928</v>
      </c>
      <c r="W42" s="87">
        <f>IF(W18=0,0,W18/TrRail_act!W11*1000)</f>
        <v>13.431073918777331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2.242146341437707</v>
      </c>
      <c r="C43" s="88">
        <f>IF(C19=0,0,C19/TrRail_act!C12*1000)</f>
        <v>2.1487515805490052</v>
      </c>
      <c r="D43" s="88">
        <f>IF(D19=0,0,D19/TrRail_act!D12*1000)</f>
        <v>4.3229881772480807</v>
      </c>
      <c r="E43" s="88">
        <f>IF(E19=0,0,E19/TrRail_act!E12*1000)</f>
        <v>4.1172623413897691</v>
      </c>
      <c r="F43" s="88">
        <f>IF(F19=0,0,F19/TrRail_act!F12*1000)</f>
        <v>3.9906813891096355</v>
      </c>
      <c r="G43" s="88">
        <f>IF(G19=0,0,G19/TrRail_act!G12*1000)</f>
        <v>2.5398824298710405</v>
      </c>
      <c r="H43" s="88">
        <f>IF(H19=0,0,H19/TrRail_act!H12*1000)</f>
        <v>2.2232897998635477</v>
      </c>
      <c r="I43" s="88">
        <f>IF(I19=0,0,I19/TrRail_act!I12*1000)</f>
        <v>3.2674542104868047</v>
      </c>
      <c r="J43" s="88">
        <f>IF(J19=0,0,J19/TrRail_act!J12*1000)</f>
        <v>2.7569050972036995</v>
      </c>
      <c r="K43" s="88">
        <f>IF(K19=0,0,K19/TrRail_act!K12*1000)</f>
        <v>2.7745782858134271</v>
      </c>
      <c r="L43" s="88">
        <f>IF(L19=0,0,L19/TrRail_act!L12*1000)</f>
        <v>2.9676209246729903</v>
      </c>
      <c r="M43" s="88">
        <f>IF(M19=0,0,M19/TrRail_act!M12*1000)</f>
        <v>3.512767056862709</v>
      </c>
      <c r="N43" s="88">
        <f>IF(N19=0,0,N19/TrRail_act!N12*1000)</f>
        <v>3.5066753378199462</v>
      </c>
      <c r="O43" s="88">
        <f>IF(O19=0,0,O19/TrRail_act!O12*1000)</f>
        <v>3.3416299179382127</v>
      </c>
      <c r="P43" s="88">
        <f>IF(P19=0,0,P19/TrRail_act!P12*1000)</f>
        <v>2.8025231031398117</v>
      </c>
      <c r="Q43" s="88">
        <f>IF(Q19=0,0,Q19/TrRail_act!Q12*1000)</f>
        <v>2.9219128275885975</v>
      </c>
      <c r="R43" s="88">
        <f>IF(R19=0,0,R19/TrRail_act!R12*1000)</f>
        <v>2.8023241443665627</v>
      </c>
      <c r="S43" s="88">
        <f>IF(S19=0,0,S19/TrRail_act!S12*1000)</f>
        <v>2.8179690158329267</v>
      </c>
      <c r="T43" s="88">
        <f>IF(T19=0,0,T19/TrRail_act!T12*1000)</f>
        <v>2.9116684454635133</v>
      </c>
      <c r="U43" s="88">
        <f>IF(U19=0,0,U19/TrRail_act!U12*1000)</f>
        <v>2.9860173373757255</v>
      </c>
      <c r="V43" s="88">
        <f>IF(V19=0,0,V19/TrRail_act!V12*1000)</f>
        <v>3.2140290204018345</v>
      </c>
      <c r="W43" s="88">
        <f>IF(W19=0,0,W19/TrRail_act!W12*1000)</f>
        <v>3.6096283631832708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308287.00154108624</v>
      </c>
      <c r="C45" s="54">
        <f>IF(C10=0,0,1000000*C10/TrRail_act!C25)</f>
        <v>189405.22002180151</v>
      </c>
      <c r="D45" s="54">
        <f>IF(D10=0,0,1000000*D10/TrRail_act!D25)</f>
        <v>243990.69550832975</v>
      </c>
      <c r="E45" s="54">
        <f>IF(E10=0,0,1000000*E10/TrRail_act!E25)</f>
        <v>231593.15235145277</v>
      </c>
      <c r="F45" s="54">
        <f>IF(F10=0,0,1000000*F10/TrRail_act!F25)</f>
        <v>227938.14894941432</v>
      </c>
      <c r="G45" s="54">
        <f>IF(G10=0,0,1000000*G10/TrRail_act!G25)</f>
        <v>125434.4356793496</v>
      </c>
      <c r="H45" s="54">
        <f>IF(H10=0,0,1000000*H10/TrRail_act!H25)</f>
        <v>117518.07124067427</v>
      </c>
      <c r="I45" s="54">
        <f>IF(I10=0,0,1000000*I10/TrRail_act!I25)</f>
        <v>193678.27095002617</v>
      </c>
      <c r="J45" s="54">
        <f>IF(J10=0,0,1000000*J10/TrRail_act!J25)</f>
        <v>179527.17888043294</v>
      </c>
      <c r="K45" s="54">
        <f>IF(K10=0,0,1000000*K10/TrRail_act!K25)</f>
        <v>148077.20323220955</v>
      </c>
      <c r="L45" s="54">
        <f>IF(L10=0,0,1000000*L10/TrRail_act!L25)</f>
        <v>160327.40494477749</v>
      </c>
      <c r="M45" s="54">
        <f>IF(M10=0,0,1000000*M10/TrRail_act!M25)</f>
        <v>190274.31737546853</v>
      </c>
      <c r="N45" s="54">
        <f>IF(N10=0,0,1000000*N10/TrRail_act!N25)</f>
        <v>180116.44200336852</v>
      </c>
      <c r="O45" s="54">
        <f>IF(O10=0,0,1000000*O10/TrRail_act!O25)</f>
        <v>165689.44988032043</v>
      </c>
      <c r="P45" s="54">
        <f>IF(P10=0,0,1000000*P10/TrRail_act!P25)</f>
        <v>132041.74171372224</v>
      </c>
      <c r="Q45" s="54">
        <f>IF(Q10=0,0,1000000*Q10/TrRail_act!Q25)</f>
        <v>138195.0653743335</v>
      </c>
      <c r="R45" s="54">
        <f>IF(R10=0,0,1000000*R10/TrRail_act!R25)</f>
        <v>145316.37391777194</v>
      </c>
      <c r="S45" s="54">
        <f>IF(S10=0,0,1000000*S10/TrRail_act!S25)</f>
        <v>155497.28632858398</v>
      </c>
      <c r="T45" s="54">
        <f>IF(T10=0,0,1000000*T10/TrRail_act!T25)</f>
        <v>149395.11389835732</v>
      </c>
      <c r="U45" s="54">
        <f>IF(U10=0,0,1000000*U10/TrRail_act!U25)</f>
        <v>177747.56689225213</v>
      </c>
      <c r="V45" s="54">
        <f>IF(V10=0,0,1000000*V10/TrRail_act!V25)</f>
        <v>175817.60904410901</v>
      </c>
      <c r="W45" s="54">
        <f>IF(W10=0,0,1000000*W10/TrRail_act!W25)</f>
        <v>193668.88946692541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246217.52476080449</v>
      </c>
      <c r="C46" s="28">
        <f>IF(C11=0,0,1000000*C11/TrRail_act!C26)</f>
        <v>140122.86566405857</v>
      </c>
      <c r="D46" s="28">
        <f>IF(D11=0,0,1000000*D11/TrRail_act!D26)</f>
        <v>181552.21621192712</v>
      </c>
      <c r="E46" s="28">
        <f>IF(E11=0,0,1000000*E11/TrRail_act!E26)</f>
        <v>186449.0402086484</v>
      </c>
      <c r="F46" s="28">
        <f>IF(F11=0,0,1000000*F11/TrRail_act!F26)</f>
        <v>175320.86193114019</v>
      </c>
      <c r="G46" s="28">
        <f>IF(G11=0,0,1000000*G11/TrRail_act!G26)</f>
        <v>88597.691254487203</v>
      </c>
      <c r="H46" s="28">
        <f>IF(H11=0,0,1000000*H11/TrRail_act!H26)</f>
        <v>82199.920358104486</v>
      </c>
      <c r="I46" s="28">
        <f>IF(I11=0,0,1000000*I11/TrRail_act!I26)</f>
        <v>145323.25075506634</v>
      </c>
      <c r="J46" s="28">
        <f>IF(J11=0,0,1000000*J11/TrRail_act!J26)</f>
        <v>137582.90229326734</v>
      </c>
      <c r="K46" s="28">
        <f>IF(K11=0,0,1000000*K11/TrRail_act!K26)</f>
        <v>121703.77165436688</v>
      </c>
      <c r="L46" s="28">
        <f>IF(L11=0,0,1000000*L11/TrRail_act!L26)</f>
        <v>127966.42089436953</v>
      </c>
      <c r="M46" s="28">
        <f>IF(M11=0,0,1000000*M11/TrRail_act!M26)</f>
        <v>147898.85388736162</v>
      </c>
      <c r="N46" s="28">
        <f>IF(N11=0,0,1000000*N11/TrRail_act!N26)</f>
        <v>143610.92051872081</v>
      </c>
      <c r="O46" s="28">
        <f>IF(O11=0,0,1000000*O11/TrRail_act!O26)</f>
        <v>130700.8678904769</v>
      </c>
      <c r="P46" s="28">
        <f>IF(P11=0,0,1000000*P11/TrRail_act!P26)</f>
        <v>106419.43301443671</v>
      </c>
      <c r="Q46" s="28">
        <f>IF(Q11=0,0,1000000*Q11/TrRail_act!Q26)</f>
        <v>101941.15332918162</v>
      </c>
      <c r="R46" s="28">
        <f>IF(R11=0,0,1000000*R11/TrRail_act!R26)</f>
        <v>107694.27482503108</v>
      </c>
      <c r="S46" s="28">
        <f>IF(S11=0,0,1000000*S11/TrRail_act!S26)</f>
        <v>120528.3974412742</v>
      </c>
      <c r="T46" s="28">
        <f>IF(T11=0,0,1000000*T11/TrRail_act!T26)</f>
        <v>112195.50850915797</v>
      </c>
      <c r="U46" s="28">
        <f>IF(U11=0,0,1000000*U11/TrRail_act!U26)</f>
        <v>138259.918129634</v>
      </c>
      <c r="V46" s="28">
        <f>IF(V11=0,0,1000000*V11/TrRail_act!V26)</f>
        <v>141595.49600296427</v>
      </c>
      <c r="W46" s="28">
        <f>IF(W11=0,0,1000000*W11/TrRail_act!W26)</f>
        <v>143670.02964035733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48805.301688430176</v>
      </c>
      <c r="C47" s="108">
        <f>IF(C12=0,0,1000000*C12/TrRail_act!C27)</f>
        <v>47810.321863074183</v>
      </c>
      <c r="D47" s="108">
        <f>IF(D12=0,0,1000000*D12/TrRail_act!D27)</f>
        <v>47174.599334536651</v>
      </c>
      <c r="E47" s="108">
        <f>IF(E12=0,0,1000000*E12/TrRail_act!E27)</f>
        <v>46246.932078921724</v>
      </c>
      <c r="F47" s="108">
        <f>IF(F12=0,0,1000000*F12/TrRail_act!F27)</f>
        <v>45251.597352968398</v>
      </c>
      <c r="G47" s="108">
        <f>IF(G12=0,0,1000000*G12/TrRail_act!G27)</f>
        <v>44058.209037524233</v>
      </c>
      <c r="H47" s="108">
        <f>IF(H12=0,0,1000000*H12/TrRail_act!H27)</f>
        <v>44142.838312494881</v>
      </c>
      <c r="I47" s="108">
        <f>IF(I12=0,0,1000000*I12/TrRail_act!I27)</f>
        <v>43242.226096124228</v>
      </c>
      <c r="J47" s="108">
        <f>IF(J12=0,0,1000000*J12/TrRail_act!J27)</f>
        <v>42430.764720684812</v>
      </c>
      <c r="K47" s="108">
        <f>IF(K12=0,0,1000000*K12/TrRail_act!K27)</f>
        <v>41763.513248647781</v>
      </c>
      <c r="L47" s="108">
        <f>IF(L12=0,0,1000000*L12/TrRail_act!L27)</f>
        <v>41329.705379857383</v>
      </c>
      <c r="M47" s="108">
        <f>IF(M12=0,0,1000000*M12/TrRail_act!M27)</f>
        <v>40688.855470455535</v>
      </c>
      <c r="N47" s="108">
        <f>IF(N12=0,0,1000000*N12/TrRail_act!N27)</f>
        <v>40370.850465014599</v>
      </c>
      <c r="O47" s="108">
        <f>IF(O12=0,0,1000000*O12/TrRail_act!O27)</f>
        <v>39652.227980767995</v>
      </c>
      <c r="P47" s="108">
        <f>IF(P12=0,0,1000000*P12/TrRail_act!P27)</f>
        <v>39501.79671190973</v>
      </c>
      <c r="Q47" s="108">
        <f>IF(Q12=0,0,1000000*Q12/TrRail_act!Q27)</f>
        <v>25384.51132188112</v>
      </c>
      <c r="R47" s="108">
        <f>IF(R12=0,0,1000000*R12/TrRail_act!R27)</f>
        <v>28339.920549324019</v>
      </c>
      <c r="S47" s="108">
        <f>IF(S12=0,0,1000000*S12/TrRail_act!S27)</f>
        <v>29934.18268178582</v>
      </c>
      <c r="T47" s="108">
        <f>IF(T12=0,0,1000000*T12/TrRail_act!T27)</f>
        <v>31498.760211554152</v>
      </c>
      <c r="U47" s="108">
        <f>IF(U12=0,0,1000000*U12/TrRail_act!U27)</f>
        <v>33556.997567108891</v>
      </c>
      <c r="V47" s="108">
        <f>IF(V12=0,0,1000000*V12/TrRail_act!V27)</f>
        <v>37019.191710093066</v>
      </c>
      <c r="W47" s="108">
        <f>IF(W12=0,0,1000000*W12/TrRail_act!W27)</f>
        <v>36889.354673129972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543273.90626743017</v>
      </c>
      <c r="C48" s="110">
        <f>IF(C13=0,0,1000000*C13/TrRail_act!C28)</f>
        <v>285854.32462547126</v>
      </c>
      <c r="D48" s="110">
        <f>IF(D13=0,0,1000000*D13/TrRail_act!D28)</f>
        <v>353969.70845363144</v>
      </c>
      <c r="E48" s="110">
        <f>IF(E13=0,0,1000000*E13/TrRail_act!E28)</f>
        <v>375806.60637726862</v>
      </c>
      <c r="F48" s="110">
        <f>IF(F13=0,0,1000000*F13/TrRail_act!F28)</f>
        <v>357464.0938879787</v>
      </c>
      <c r="G48" s="110">
        <f>IF(G13=0,0,1000000*G13/TrRail_act!G28)</f>
        <v>162372.75033882787</v>
      </c>
      <c r="H48" s="110">
        <f>IF(H13=0,0,1000000*H13/TrRail_act!H28)</f>
        <v>154943.69251922859</v>
      </c>
      <c r="I48" s="110">
        <f>IF(I13=0,0,1000000*I13/TrRail_act!I28)</f>
        <v>312701.80670049804</v>
      </c>
      <c r="J48" s="110">
        <f>IF(J13=0,0,1000000*J13/TrRail_act!J28)</f>
        <v>305175.66287491244</v>
      </c>
      <c r="K48" s="110">
        <f>IF(K13=0,0,1000000*K13/TrRail_act!K28)</f>
        <v>284419.90940131998</v>
      </c>
      <c r="L48" s="110">
        <f>IF(L13=0,0,1000000*L13/TrRail_act!L28)</f>
        <v>301059.96584676293</v>
      </c>
      <c r="M48" s="110">
        <f>IF(M13=0,0,1000000*M13/TrRail_act!M28)</f>
        <v>334068.72582241654</v>
      </c>
      <c r="N48" s="110">
        <f>IF(N13=0,0,1000000*N13/TrRail_act!N28)</f>
        <v>343851.91402809724</v>
      </c>
      <c r="O48" s="110">
        <f>IF(O13=0,0,1000000*O13/TrRail_act!O28)</f>
        <v>325925.19603314175</v>
      </c>
      <c r="P48" s="110">
        <f>IF(P13=0,0,1000000*P13/TrRail_act!P28)</f>
        <v>262953.65691566182</v>
      </c>
      <c r="Q48" s="110">
        <f>IF(Q13=0,0,1000000*Q13/TrRail_act!Q28)</f>
        <v>256749.98492903222</v>
      </c>
      <c r="R48" s="110">
        <f>IF(R13=0,0,1000000*R13/TrRail_act!R28)</f>
        <v>272577.33061218384</v>
      </c>
      <c r="S48" s="110">
        <f>IF(S13=0,0,1000000*S13/TrRail_act!S28)</f>
        <v>280281.30857476132</v>
      </c>
      <c r="T48" s="110">
        <f>IF(T13=0,0,1000000*T13/TrRail_act!T28)</f>
        <v>256788.9156906128</v>
      </c>
      <c r="U48" s="110">
        <f>IF(U13=0,0,1000000*U13/TrRail_act!U28)</f>
        <v>283577.61322107457</v>
      </c>
      <c r="V48" s="110">
        <f>IF(V13=0,0,1000000*V13/TrRail_act!V28)</f>
        <v>279333.30390853365</v>
      </c>
      <c r="W48" s="110">
        <f>IF(W13=0,0,1000000*W13/TrRail_act!W28)</f>
        <v>277624.27880790515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593740.30820946174</v>
      </c>
      <c r="C49" s="84">
        <f>IF(C14=0,0,1000000*C14/TrRail_act!C29)</f>
        <v>301018.07139332558</v>
      </c>
      <c r="D49" s="84">
        <f>IF(D14=0,0,1000000*D14/TrRail_act!D29)</f>
        <v>451828.99734884151</v>
      </c>
      <c r="E49" s="84">
        <f>IF(E14=0,0,1000000*E14/TrRail_act!E29)</f>
        <v>530864.8067403211</v>
      </c>
      <c r="F49" s="84">
        <f>IF(F14=0,0,1000000*F14/TrRail_act!F29)</f>
        <v>540606.85246458696</v>
      </c>
      <c r="G49" s="84">
        <f>IF(G14=0,0,1000000*G14/TrRail_act!G29)</f>
        <v>204116.61122597184</v>
      </c>
      <c r="H49" s="84">
        <f>IF(H14=0,0,1000000*H14/TrRail_act!H29)</f>
        <v>224038.78462662396</v>
      </c>
      <c r="I49" s="84">
        <f>IF(I14=0,0,1000000*I14/TrRail_act!I29)</f>
        <v>452542.13826956996</v>
      </c>
      <c r="J49" s="84">
        <f>IF(J14=0,0,1000000*J14/TrRail_act!J29)</f>
        <v>448608.83539903606</v>
      </c>
      <c r="K49" s="84">
        <f>IF(K14=0,0,1000000*K14/TrRail_act!K29)</f>
        <v>414823.14690576051</v>
      </c>
      <c r="L49" s="84">
        <f>IF(L14=0,0,1000000*L14/TrRail_act!L29)</f>
        <v>420868.80848422158</v>
      </c>
      <c r="M49" s="84">
        <f>IF(M14=0,0,1000000*M14/TrRail_act!M29)</f>
        <v>422838.73569955764</v>
      </c>
      <c r="N49" s="84">
        <f>IF(N14=0,0,1000000*N14/TrRail_act!N29)</f>
        <v>421624.80043793685</v>
      </c>
      <c r="O49" s="84">
        <f>IF(O14=0,0,1000000*O14/TrRail_act!O29)</f>
        <v>412895.70066595904</v>
      </c>
      <c r="P49" s="84">
        <f>IF(P14=0,0,1000000*P14/TrRail_act!P29)</f>
        <v>320438.15610974911</v>
      </c>
      <c r="Q49" s="84">
        <f>IF(Q14=0,0,1000000*Q14/TrRail_act!Q29)</f>
        <v>339598.45868743013</v>
      </c>
      <c r="R49" s="84">
        <f>IF(R14=0,0,1000000*R14/TrRail_act!R29)</f>
        <v>392597.73525408423</v>
      </c>
      <c r="S49" s="84">
        <f>IF(S14=0,0,1000000*S14/TrRail_act!S29)</f>
        <v>397146.22824916954</v>
      </c>
      <c r="T49" s="84">
        <f>IF(T14=0,0,1000000*T14/TrRail_act!T29)</f>
        <v>367133.73386348668</v>
      </c>
      <c r="U49" s="84">
        <f>IF(U14=0,0,1000000*U14/TrRail_act!U29)</f>
        <v>394932.63516608172</v>
      </c>
      <c r="V49" s="84">
        <f>IF(V14=0,0,1000000*V14/TrRail_act!V29)</f>
        <v>394223.74822444742</v>
      </c>
      <c r="W49" s="84">
        <f>IF(W14=0,0,1000000*W14/TrRail_act!W29)</f>
        <v>393692.91605270607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218112.57013041689</v>
      </c>
      <c r="C50" s="84">
        <f>IF(C15=0,0,1000000*C15/TrRail_act!C30)</f>
        <v>217994.34684352367</v>
      </c>
      <c r="D50" s="84">
        <f>IF(D15=0,0,1000000*D15/TrRail_act!D30)</f>
        <v>212855.68325850472</v>
      </c>
      <c r="E50" s="84">
        <f>IF(E15=0,0,1000000*E15/TrRail_act!E30)</f>
        <v>174529.76355543511</v>
      </c>
      <c r="F50" s="84">
        <f>IF(F15=0,0,1000000*F15/TrRail_act!F30)</f>
        <v>92644.338055137821</v>
      </c>
      <c r="G50" s="84">
        <f>IF(G15=0,0,1000000*G15/TrRail_act!G30)</f>
        <v>108382.59187157864</v>
      </c>
      <c r="H50" s="84">
        <f>IF(H15=0,0,1000000*H15/TrRail_act!H30)</f>
        <v>76787.033875635578</v>
      </c>
      <c r="I50" s="84">
        <f>IF(I15=0,0,1000000*I15/TrRail_act!I30)</f>
        <v>80423.950380840324</v>
      </c>
      <c r="J50" s="84">
        <f>IF(J15=0,0,1000000*J15/TrRail_act!J30)</f>
        <v>68533.574444430298</v>
      </c>
      <c r="K50" s="84">
        <f>IF(K15=0,0,1000000*K15/TrRail_act!K30)</f>
        <v>91019.947860785396</v>
      </c>
      <c r="L50" s="84">
        <f>IF(L15=0,0,1000000*L15/TrRail_act!L30)</f>
        <v>98505.933538244004</v>
      </c>
      <c r="M50" s="84">
        <f>IF(M15=0,0,1000000*M15/TrRail_act!M30)</f>
        <v>131811.56682866986</v>
      </c>
      <c r="N50" s="84">
        <f>IF(N15=0,0,1000000*N15/TrRail_act!N30)</f>
        <v>179232.76221774938</v>
      </c>
      <c r="O50" s="84">
        <f>IF(O15=0,0,1000000*O15/TrRail_act!O30)</f>
        <v>154913.62089634794</v>
      </c>
      <c r="P50" s="84">
        <f>IF(P15=0,0,1000000*P15/TrRail_act!P30)</f>
        <v>160030.45404459108</v>
      </c>
      <c r="Q50" s="84">
        <f>IF(Q15=0,0,1000000*Q15/TrRail_act!Q30)</f>
        <v>170285.80780195983</v>
      </c>
      <c r="R50" s="84">
        <f>IF(R15=0,0,1000000*R15/TrRail_act!R30)</f>
        <v>165074.73297199179</v>
      </c>
      <c r="S50" s="84">
        <f>IF(S15=0,0,1000000*S15/TrRail_act!S30)</f>
        <v>168298.58164030715</v>
      </c>
      <c r="T50" s="84">
        <f>IF(T15=0,0,1000000*T15/TrRail_act!T30)</f>
        <v>167241.2896578635</v>
      </c>
      <c r="U50" s="84">
        <f>IF(U15=0,0,1000000*U15/TrRail_act!U30)</f>
        <v>167190.97547218695</v>
      </c>
      <c r="V50" s="84">
        <f>IF(V15=0,0,1000000*V15/TrRail_act!V30)</f>
        <v>165372.68298083066</v>
      </c>
      <c r="W50" s="84">
        <f>IF(W15=0,0,1000000*W15/TrRail_act!W30)</f>
        <v>166571.1535094468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918589.94002867118</v>
      </c>
      <c r="C52" s="28">
        <f>IF(C17=0,0,1000000*C17/TrRail_act!C32)</f>
        <v>650825.82303298532</v>
      </c>
      <c r="D52" s="28">
        <f>IF(D17=0,0,1000000*D17/TrRail_act!D32)</f>
        <v>708261.70095330058</v>
      </c>
      <c r="E52" s="28">
        <f>IF(E17=0,0,1000000*E17/TrRail_act!E32)</f>
        <v>541135.13077602733</v>
      </c>
      <c r="F52" s="28">
        <f>IF(F17=0,0,1000000*F17/TrRail_act!F32)</f>
        <v>610417.35933643172</v>
      </c>
      <c r="G52" s="28">
        <f>IF(G17=0,0,1000000*G17/TrRail_act!G32)</f>
        <v>415201.77836858673</v>
      </c>
      <c r="H52" s="28">
        <f>IF(H17=0,0,1000000*H17/TrRail_act!H32)</f>
        <v>414000.79817236314</v>
      </c>
      <c r="I52" s="28">
        <f>IF(I17=0,0,1000000*I17/TrRail_act!I32)</f>
        <v>601126.6684744159</v>
      </c>
      <c r="J52" s="28">
        <f>IF(J17=0,0,1000000*J17/TrRail_act!J32)</f>
        <v>560114.98805954459</v>
      </c>
      <c r="K52" s="28">
        <f>IF(K17=0,0,1000000*K17/TrRail_act!K32)</f>
        <v>406745.18562454724</v>
      </c>
      <c r="L52" s="28">
        <f>IF(L17=0,0,1000000*L17/TrRail_act!L32)</f>
        <v>515270.21576913347</v>
      </c>
      <c r="M52" s="28">
        <f>IF(M17=0,0,1000000*M17/TrRail_act!M32)</f>
        <v>573821.27066686202</v>
      </c>
      <c r="N52" s="28">
        <f>IF(N17=0,0,1000000*N17/TrRail_act!N32)</f>
        <v>548812.39622654032</v>
      </c>
      <c r="O52" s="28">
        <f>IF(O17=0,0,1000000*O17/TrRail_act!O32)</f>
        <v>530951.14978100441</v>
      </c>
      <c r="P52" s="28">
        <f>IF(P17=0,0,1000000*P17/TrRail_act!P32)</f>
        <v>411599.48462973029</v>
      </c>
      <c r="Q52" s="28">
        <f>IF(Q17=0,0,1000000*Q17/TrRail_act!Q32)</f>
        <v>495756.00098070619</v>
      </c>
      <c r="R52" s="28">
        <f>IF(R17=0,0,1000000*R17/TrRail_act!R32)</f>
        <v>497782.54101984826</v>
      </c>
      <c r="S52" s="28">
        <f>IF(S17=0,0,1000000*S17/TrRail_act!S32)</f>
        <v>469780.50479507557</v>
      </c>
      <c r="T52" s="28">
        <f>IF(T17=0,0,1000000*T17/TrRail_act!T32)</f>
        <v>462664.07906006608</v>
      </c>
      <c r="U52" s="28">
        <f>IF(U17=0,0,1000000*U17/TrRail_act!U32)</f>
        <v>493102.94146046491</v>
      </c>
      <c r="V52" s="28">
        <f>IF(V17=0,0,1000000*V17/TrRail_act!V32)</f>
        <v>429172.7747970288</v>
      </c>
      <c r="W52" s="28">
        <f>IF(W17=0,0,1000000*W17/TrRail_act!W32)</f>
        <v>480806.0568428323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1280040.3971688875</v>
      </c>
      <c r="C53" s="84">
        <f>IF(C18=0,0,1000000*C18/TrRail_act!C33)</f>
        <v>887451.66786264</v>
      </c>
      <c r="D53" s="84">
        <f>IF(D18=0,0,1000000*D18/TrRail_act!D33)</f>
        <v>1249418.9751445253</v>
      </c>
      <c r="E53" s="84">
        <f>IF(E18=0,0,1000000*E18/TrRail_act!E33)</f>
        <v>859361.62260790949</v>
      </c>
      <c r="F53" s="84">
        <f>IF(F18=0,0,1000000*F18/TrRail_act!F33)</f>
        <v>1203646.1143296494</v>
      </c>
      <c r="G53" s="84">
        <f>IF(G18=0,0,1000000*G18/TrRail_act!G33)</f>
        <v>731341.37694530003</v>
      </c>
      <c r="H53" s="84">
        <f>IF(H18=0,0,1000000*H18/TrRail_act!H33)</f>
        <v>928085.63351992331</v>
      </c>
      <c r="I53" s="84">
        <f>IF(I18=0,0,1000000*I18/TrRail_act!I33)</f>
        <v>1171643.0278007041</v>
      </c>
      <c r="J53" s="84">
        <f>IF(J18=0,0,1000000*J18/TrRail_act!J33)</f>
        <v>1152977.0224125276</v>
      </c>
      <c r="K53" s="84">
        <f>IF(K18=0,0,1000000*K18/TrRail_act!K33)</f>
        <v>807247.22500038159</v>
      </c>
      <c r="L53" s="84">
        <f>IF(L18=0,0,1000000*L18/TrRail_act!L33)</f>
        <v>1123307.3136119253</v>
      </c>
      <c r="M53" s="84">
        <f>IF(M18=0,0,1000000*M18/TrRail_act!M33)</f>
        <v>1120602.4204464033</v>
      </c>
      <c r="N53" s="84">
        <f>IF(N18=0,0,1000000*N18/TrRail_act!N33)</f>
        <v>1099013.2907076979</v>
      </c>
      <c r="O53" s="84">
        <f>IF(O18=0,0,1000000*O18/TrRail_act!O33)</f>
        <v>1076674.7686309149</v>
      </c>
      <c r="P53" s="84">
        <f>IF(P18=0,0,1000000*P18/TrRail_act!P33)</f>
        <v>798513.5468480062</v>
      </c>
      <c r="Q53" s="84">
        <f>IF(Q18=0,0,1000000*Q18/TrRail_act!Q33)</f>
        <v>1050619.7145047493</v>
      </c>
      <c r="R53" s="84">
        <f>IF(R18=0,0,1000000*R18/TrRail_act!R33)</f>
        <v>1043003.7318166234</v>
      </c>
      <c r="S53" s="84">
        <f>IF(S18=0,0,1000000*S18/TrRail_act!S33)</f>
        <v>1037327.9732407712</v>
      </c>
      <c r="T53" s="84">
        <f>IF(T18=0,0,1000000*T18/TrRail_act!T33)</f>
        <v>1033091.4410581901</v>
      </c>
      <c r="U53" s="84">
        <f>IF(U18=0,0,1000000*U18/TrRail_act!U33)</f>
        <v>1029925.4133989954</v>
      </c>
      <c r="V53" s="84">
        <f>IF(V18=0,0,1000000*V18/TrRail_act!V33)</f>
        <v>898077.4045620074</v>
      </c>
      <c r="W53" s="84">
        <f>IF(W18=0,0,1000000*W18/TrRail_act!W33)</f>
        <v>1025784.7196741776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427577.63206216547</v>
      </c>
      <c r="C54" s="86">
        <f>IF(C19=0,0,1000000*C19/TrRail_act!C34)</f>
        <v>411314.97733482352</v>
      </c>
      <c r="D54" s="86">
        <f>IF(D19=0,0,1000000*D19/TrRail_act!D34)</f>
        <v>404691.60711164738</v>
      </c>
      <c r="E54" s="86">
        <f>IF(E19=0,0,1000000*E19/TrRail_act!E34)</f>
        <v>396837.57087986218</v>
      </c>
      <c r="F54" s="86">
        <f>IF(F19=0,0,1000000*F19/TrRail_act!F34)</f>
        <v>387371.95158247184</v>
      </c>
      <c r="G54" s="86">
        <f>IF(G19=0,0,1000000*G19/TrRail_act!G34)</f>
        <v>309477.06690390495</v>
      </c>
      <c r="H54" s="86">
        <f>IF(H19=0,0,1000000*H19/TrRail_act!H34)</f>
        <v>265332.04302078445</v>
      </c>
      <c r="I54" s="86">
        <f>IF(I19=0,0,1000000*I19/TrRail_act!I34)</f>
        <v>331116.54661788343</v>
      </c>
      <c r="J54" s="86">
        <f>IF(J19=0,0,1000000*J19/TrRail_act!J34)</f>
        <v>295914.02425247681</v>
      </c>
      <c r="K54" s="86">
        <f>IF(K19=0,0,1000000*K19/TrRail_act!K34)</f>
        <v>246882.14890236585</v>
      </c>
      <c r="L54" s="86">
        <f>IF(L19=0,0,1000000*L19/TrRail_act!L34)</f>
        <v>295340.37792568933</v>
      </c>
      <c r="M54" s="86">
        <f>IF(M19=0,0,1000000*M19/TrRail_act!M34)</f>
        <v>332393.86584178061</v>
      </c>
      <c r="N54" s="86">
        <f>IF(N19=0,0,1000000*N19/TrRail_act!N34)</f>
        <v>323821.59628735791</v>
      </c>
      <c r="O54" s="86">
        <f>IF(O19=0,0,1000000*O19/TrRail_act!O34)</f>
        <v>312490.32097123872</v>
      </c>
      <c r="P54" s="86">
        <f>IF(P19=0,0,1000000*P19/TrRail_act!P34)</f>
        <v>275252.73923450237</v>
      </c>
      <c r="Q54" s="86">
        <f>IF(Q19=0,0,1000000*Q19/TrRail_act!Q34)</f>
        <v>297061.54246741562</v>
      </c>
      <c r="R54" s="86">
        <f>IF(R19=0,0,1000000*R19/TrRail_act!R34)</f>
        <v>294335.45436165866</v>
      </c>
      <c r="S54" s="86">
        <f>IF(S19=0,0,1000000*S19/TrRail_act!S34)</f>
        <v>292307.31745651748</v>
      </c>
      <c r="T54" s="86">
        <f>IF(T19=0,0,1000000*T19/TrRail_act!T34)</f>
        <v>290795.39283500117</v>
      </c>
      <c r="U54" s="86">
        <f>IF(U19=0,0,1000000*U19/TrRail_act!U34)</f>
        <v>289666.58389681909</v>
      </c>
      <c r="V54" s="86">
        <f>IF(V19=0,0,1000000*V19/TrRail_act!V34)</f>
        <v>288822.85473827703</v>
      </c>
      <c r="W54" s="86">
        <f>IF(W19=0,0,1000000*W19/TrRail_act!W34)</f>
        <v>288191.66773949383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0.72493542133917199</v>
      </c>
      <c r="C57" s="31">
        <f t="shared" ref="C57:V57" si="17">IF(C11=0,0,C11/C$10)</f>
        <v>0.66841421315566252</v>
      </c>
      <c r="D57" s="31">
        <f t="shared" si="17"/>
        <v>0.65588653138423458</v>
      </c>
      <c r="E57" s="31">
        <f t="shared" si="17"/>
        <v>0.70260273247385752</v>
      </c>
      <c r="F57" s="31">
        <f t="shared" si="17"/>
        <v>0.67614342148109774</v>
      </c>
      <c r="G57" s="31">
        <f t="shared" si="17"/>
        <v>0.62666212563411106</v>
      </c>
      <c r="H57" s="31">
        <f t="shared" si="17"/>
        <v>0.62501236243324265</v>
      </c>
      <c r="I57" s="31">
        <f t="shared" si="17"/>
        <v>0.6707323319574352</v>
      </c>
      <c r="J57" s="31">
        <f t="shared" si="17"/>
        <v>0.69028659511162427</v>
      </c>
      <c r="K57" s="31">
        <f t="shared" si="17"/>
        <v>0.74584837201244625</v>
      </c>
      <c r="L57" s="31">
        <f t="shared" si="17"/>
        <v>0.73146725980100968</v>
      </c>
      <c r="M57" s="31">
        <f t="shared" si="17"/>
        <v>0.69995911789462273</v>
      </c>
      <c r="N57" s="31">
        <f t="shared" si="17"/>
        <v>0.72549004954780127</v>
      </c>
      <c r="O57" s="31">
        <f t="shared" si="17"/>
        <v>0.71987336460738882</v>
      </c>
      <c r="P57" s="31">
        <f t="shared" si="17"/>
        <v>0.73828675932819998</v>
      </c>
      <c r="Q57" s="31">
        <f t="shared" si="17"/>
        <v>0.66975349124963413</v>
      </c>
      <c r="R57" s="31">
        <f t="shared" si="17"/>
        <v>0.66962646985788388</v>
      </c>
      <c r="S57" s="31">
        <f t="shared" si="17"/>
        <v>0.69750724749455983</v>
      </c>
      <c r="T57" s="31">
        <f t="shared" si="17"/>
        <v>0.67128566447928151</v>
      </c>
      <c r="U57" s="31">
        <f t="shared" si="17"/>
        <v>0.69128414621728662</v>
      </c>
      <c r="V57" s="31">
        <f t="shared" si="17"/>
        <v>0.70951611390707947</v>
      </c>
      <c r="W57" s="31">
        <f t="shared" ref="W57" si="18">IF(W11=0,0,W11/W$10)</f>
        <v>0.63181592194268998</v>
      </c>
      <c r="DA57" s="173"/>
    </row>
    <row r="58" spans="1:105" ht="11.45" customHeight="1" x14ac:dyDescent="0.25">
      <c r="A58" s="107" t="s">
        <v>23</v>
      </c>
      <c r="B58" s="123">
        <f t="shared" si="14"/>
        <v>8.6327174311058852E-2</v>
      </c>
      <c r="C58" s="123">
        <f t="shared" ref="C58:V58" si="19">IF(C12=0,0,C12/C$10)</f>
        <v>0.13962217575467276</v>
      </c>
      <c r="D58" s="123">
        <f t="shared" si="19"/>
        <v>9.5778552788028687E-2</v>
      </c>
      <c r="E58" s="123">
        <f t="shared" si="19"/>
        <v>0.10013391772912324</v>
      </c>
      <c r="F58" s="123">
        <f t="shared" si="19"/>
        <v>0.1018126872457949</v>
      </c>
      <c r="G58" s="123">
        <f t="shared" si="19"/>
        <v>0.19431634071782372</v>
      </c>
      <c r="H58" s="123">
        <f t="shared" si="19"/>
        <v>0.22035868611532111</v>
      </c>
      <c r="I58" s="123">
        <f t="shared" si="19"/>
        <v>0.12397335885085042</v>
      </c>
      <c r="J58" s="123">
        <f t="shared" si="19"/>
        <v>0.13578968943384478</v>
      </c>
      <c r="K58" s="123">
        <f t="shared" si="19"/>
        <v>0.17162573812105544</v>
      </c>
      <c r="L58" s="123">
        <f t="shared" si="19"/>
        <v>0.15744160175549046</v>
      </c>
      <c r="M58" s="123">
        <f t="shared" si="19"/>
        <v>0.12219753017689476</v>
      </c>
      <c r="N58" s="123">
        <f t="shared" si="19"/>
        <v>0.13456536284542167</v>
      </c>
      <c r="O58" s="123">
        <f t="shared" si="19"/>
        <v>0.14893570451829771</v>
      </c>
      <c r="P58" s="123">
        <f t="shared" si="19"/>
        <v>0.1919757259501238</v>
      </c>
      <c r="Q58" s="123">
        <f t="shared" si="19"/>
        <v>0.11159158168720631</v>
      </c>
      <c r="R58" s="123">
        <f t="shared" si="19"/>
        <v>0.11896041388275129</v>
      </c>
      <c r="S58" s="123">
        <f t="shared" si="19"/>
        <v>0.1105434254701846</v>
      </c>
      <c r="T58" s="123">
        <f t="shared" si="19"/>
        <v>0.12095717595787533</v>
      </c>
      <c r="U58" s="123">
        <f t="shared" si="19"/>
        <v>9.7518290299996951E-2</v>
      </c>
      <c r="V58" s="123">
        <f t="shared" si="19"/>
        <v>0.10544214086133859</v>
      </c>
      <c r="W58" s="123">
        <f t="shared" ref="W58" si="20">IF(W12=0,0,W12/W$10)</f>
        <v>9.0269874320929311E-2</v>
      </c>
      <c r="DA58" s="203"/>
    </row>
    <row r="59" spans="1:105" ht="11.45" customHeight="1" x14ac:dyDescent="0.25">
      <c r="A59" s="109" t="s">
        <v>24</v>
      </c>
      <c r="B59" s="124">
        <f t="shared" si="14"/>
        <v>0.63860824702811314</v>
      </c>
      <c r="C59" s="124">
        <f t="shared" ref="C59:V59" si="21">IF(C13=0,0,C13/C$10)</f>
        <v>0.52879203740098979</v>
      </c>
      <c r="D59" s="124">
        <f t="shared" si="21"/>
        <v>0.56010797859620598</v>
      </c>
      <c r="E59" s="124">
        <f t="shared" si="21"/>
        <v>0.60246881474473424</v>
      </c>
      <c r="F59" s="124">
        <f t="shared" si="21"/>
        <v>0.57433073423530279</v>
      </c>
      <c r="G59" s="124">
        <f t="shared" si="21"/>
        <v>0.43234578491628728</v>
      </c>
      <c r="H59" s="124">
        <f t="shared" si="21"/>
        <v>0.40465367631792165</v>
      </c>
      <c r="I59" s="124">
        <f t="shared" si="21"/>
        <v>0.54675897310658472</v>
      </c>
      <c r="J59" s="124">
        <f t="shared" si="21"/>
        <v>0.55449690567777943</v>
      </c>
      <c r="K59" s="124">
        <f t="shared" si="21"/>
        <v>0.57422263389139083</v>
      </c>
      <c r="L59" s="124">
        <f t="shared" si="21"/>
        <v>0.5740256580455193</v>
      </c>
      <c r="M59" s="124">
        <f t="shared" si="21"/>
        <v>0.5777615877177279</v>
      </c>
      <c r="N59" s="124">
        <f t="shared" si="21"/>
        <v>0.59092468670237963</v>
      </c>
      <c r="O59" s="124">
        <f t="shared" si="21"/>
        <v>0.57093766008909097</v>
      </c>
      <c r="P59" s="124">
        <f t="shared" si="21"/>
        <v>0.54631103337807618</v>
      </c>
      <c r="Q59" s="124">
        <f t="shared" si="21"/>
        <v>0.55816190956242773</v>
      </c>
      <c r="R59" s="124">
        <f t="shared" si="21"/>
        <v>0.55066605597513263</v>
      </c>
      <c r="S59" s="124">
        <f t="shared" si="21"/>
        <v>0.58696382202437525</v>
      </c>
      <c r="T59" s="124">
        <f t="shared" si="21"/>
        <v>0.55032848852140615</v>
      </c>
      <c r="U59" s="124">
        <f t="shared" si="21"/>
        <v>0.59376585591728959</v>
      </c>
      <c r="V59" s="124">
        <f t="shared" si="21"/>
        <v>0.60407397304574095</v>
      </c>
      <c r="W59" s="124">
        <f t="shared" ref="W59" si="22">IF(W13=0,0,W13/W$10)</f>
        <v>0.54154604762176062</v>
      </c>
      <c r="DA59" s="176"/>
    </row>
    <row r="60" spans="1:105" ht="11.45" customHeight="1" x14ac:dyDescent="0.25">
      <c r="A60" s="111" t="s">
        <v>92</v>
      </c>
      <c r="B60" s="125">
        <f t="shared" si="14"/>
        <v>0.60416206762534319</v>
      </c>
      <c r="C60" s="125">
        <f t="shared" ref="C60:V60" si="23">IF(C14=0,0,C14/C$10)</f>
        <v>0.45513916612585892</v>
      </c>
      <c r="D60" s="125">
        <f t="shared" si="23"/>
        <v>0.42218279824956528</v>
      </c>
      <c r="E60" s="125">
        <f t="shared" si="23"/>
        <v>0.48071688137478247</v>
      </c>
      <c r="F60" s="125">
        <f t="shared" si="23"/>
        <v>0.51347568853609948</v>
      </c>
      <c r="G60" s="125">
        <f t="shared" si="23"/>
        <v>0.30651006552431909</v>
      </c>
      <c r="H60" s="125">
        <f t="shared" si="23"/>
        <v>0.31055484842090875</v>
      </c>
      <c r="I60" s="125">
        <f t="shared" si="23"/>
        <v>0.49391414641712733</v>
      </c>
      <c r="J60" s="125">
        <f t="shared" si="23"/>
        <v>0.50750396572910761</v>
      </c>
      <c r="K60" s="125">
        <f t="shared" si="23"/>
        <v>0.50021711054941032</v>
      </c>
      <c r="L60" s="125">
        <f t="shared" si="23"/>
        <v>0.50422097800142462</v>
      </c>
      <c r="M60" s="125">
        <f t="shared" si="23"/>
        <v>0.50822728561607644</v>
      </c>
      <c r="N60" s="125">
        <f t="shared" si="23"/>
        <v>0.49209487858980905</v>
      </c>
      <c r="O60" s="125">
        <f t="shared" si="23"/>
        <v>0.4794541518051138</v>
      </c>
      <c r="P60" s="125">
        <f t="shared" si="23"/>
        <v>0.42716243743475546</v>
      </c>
      <c r="Q60" s="125">
        <f t="shared" si="23"/>
        <v>0.37701817144055827</v>
      </c>
      <c r="R60" s="125">
        <f t="shared" si="23"/>
        <v>0.37474859316050513</v>
      </c>
      <c r="S60" s="125">
        <f t="shared" si="23"/>
        <v>0.40697921353301164</v>
      </c>
      <c r="T60" s="125">
        <f t="shared" si="23"/>
        <v>0.35247450680292897</v>
      </c>
      <c r="U60" s="125">
        <f t="shared" si="23"/>
        <v>0.42259751724130301</v>
      </c>
      <c r="V60" s="125">
        <f t="shared" si="23"/>
        <v>0.42453358927523177</v>
      </c>
      <c r="W60" s="125">
        <f t="shared" ref="W60" si="24">IF(W14=0,0,W14/W$10)</f>
        <v>0.37549796080953801</v>
      </c>
      <c r="DA60" s="171"/>
    </row>
    <row r="61" spans="1:105" ht="11.45" customHeight="1" x14ac:dyDescent="0.25">
      <c r="A61" s="111" t="s">
        <v>93</v>
      </c>
      <c r="B61" s="125">
        <f t="shared" si="14"/>
        <v>3.4446179402769964E-2</v>
      </c>
      <c r="C61" s="125">
        <f t="shared" ref="C61:V61" si="25">IF(C15=0,0,C15/C$10)</f>
        <v>7.365287127513083E-2</v>
      </c>
      <c r="D61" s="125">
        <f t="shared" si="25"/>
        <v>0.13792518034664064</v>
      </c>
      <c r="E61" s="125">
        <f t="shared" si="25"/>
        <v>0.12175193336995185</v>
      </c>
      <c r="F61" s="125">
        <f t="shared" si="25"/>
        <v>6.0855045699203358E-2</v>
      </c>
      <c r="G61" s="125">
        <f t="shared" si="25"/>
        <v>0.12583571939196814</v>
      </c>
      <c r="H61" s="125">
        <f t="shared" si="25"/>
        <v>9.4098827897012849E-2</v>
      </c>
      <c r="I61" s="125">
        <f t="shared" si="25"/>
        <v>5.284482668945744E-2</v>
      </c>
      <c r="J61" s="125">
        <f t="shared" si="25"/>
        <v>4.6992939948671784E-2</v>
      </c>
      <c r="K61" s="125">
        <f t="shared" si="25"/>
        <v>7.4005523341980531E-2</v>
      </c>
      <c r="L61" s="125">
        <f t="shared" si="25"/>
        <v>6.980468004409468E-2</v>
      </c>
      <c r="M61" s="125">
        <f t="shared" si="25"/>
        <v>6.9534302101651513E-2</v>
      </c>
      <c r="N61" s="125">
        <f t="shared" si="25"/>
        <v>9.8829808112570541E-2</v>
      </c>
      <c r="O61" s="125">
        <f t="shared" si="25"/>
        <v>9.1483508283977166E-2</v>
      </c>
      <c r="P61" s="125">
        <f t="shared" si="25"/>
        <v>0.11914859594332075</v>
      </c>
      <c r="Q61" s="125">
        <f t="shared" si="25"/>
        <v>0.18114373812186946</v>
      </c>
      <c r="R61" s="125">
        <f t="shared" si="25"/>
        <v>0.17591746281462756</v>
      </c>
      <c r="S61" s="125">
        <f t="shared" si="25"/>
        <v>0.17998460849136363</v>
      </c>
      <c r="T61" s="125">
        <f t="shared" si="25"/>
        <v>0.19785398171847721</v>
      </c>
      <c r="U61" s="125">
        <f t="shared" si="25"/>
        <v>0.17116833867598666</v>
      </c>
      <c r="V61" s="125">
        <f t="shared" si="25"/>
        <v>0.17954038377050913</v>
      </c>
      <c r="W61" s="125">
        <f t="shared" ref="W61" si="26">IF(W15=0,0,W15/W$10)</f>
        <v>0.16604808681222261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0.2750645786608279</v>
      </c>
      <c r="C63" s="31">
        <f t="shared" ref="C63:V63" si="29">IF(C17=0,0,C17/C$10)</f>
        <v>0.33158578684433748</v>
      </c>
      <c r="D63" s="31">
        <f t="shared" si="29"/>
        <v>0.34411346861576531</v>
      </c>
      <c r="E63" s="31">
        <f t="shared" si="29"/>
        <v>0.29739726752614243</v>
      </c>
      <c r="F63" s="31">
        <f t="shared" si="29"/>
        <v>0.32385657851890232</v>
      </c>
      <c r="G63" s="31">
        <f t="shared" si="29"/>
        <v>0.373337874365889</v>
      </c>
      <c r="H63" s="31">
        <f t="shared" si="29"/>
        <v>0.3749876375667574</v>
      </c>
      <c r="I63" s="31">
        <f t="shared" si="29"/>
        <v>0.3292676680425648</v>
      </c>
      <c r="J63" s="31">
        <f t="shared" si="29"/>
        <v>0.30971340488837579</v>
      </c>
      <c r="K63" s="31">
        <f t="shared" si="29"/>
        <v>0.25415162798755381</v>
      </c>
      <c r="L63" s="31">
        <f t="shared" si="29"/>
        <v>0.26853274019899032</v>
      </c>
      <c r="M63" s="31">
        <f t="shared" si="29"/>
        <v>0.30004088210537727</v>
      </c>
      <c r="N63" s="31">
        <f t="shared" si="29"/>
        <v>0.27450995045219878</v>
      </c>
      <c r="O63" s="31">
        <f t="shared" si="29"/>
        <v>0.28012663539261129</v>
      </c>
      <c r="P63" s="31">
        <f t="shared" si="29"/>
        <v>0.26171324067179991</v>
      </c>
      <c r="Q63" s="31">
        <f t="shared" si="29"/>
        <v>0.33024650875036582</v>
      </c>
      <c r="R63" s="31">
        <f t="shared" si="29"/>
        <v>0.33037353014211607</v>
      </c>
      <c r="S63" s="31">
        <f t="shared" si="29"/>
        <v>0.30249275250544022</v>
      </c>
      <c r="T63" s="31">
        <f t="shared" si="29"/>
        <v>0.32871433552071849</v>
      </c>
      <c r="U63" s="31">
        <f t="shared" si="29"/>
        <v>0.30871585378271338</v>
      </c>
      <c r="V63" s="31">
        <f t="shared" si="29"/>
        <v>0.29048388609292064</v>
      </c>
      <c r="W63" s="31">
        <f t="shared" ref="W63" si="30">IF(W17=0,0,W17/W$10)</f>
        <v>0.36818407805731007</v>
      </c>
      <c r="DA63" s="173"/>
    </row>
    <row r="64" spans="1:105" ht="11.45" customHeight="1" x14ac:dyDescent="0.25">
      <c r="A64" s="83" t="s">
        <v>92</v>
      </c>
      <c r="B64" s="125">
        <f t="shared" si="14"/>
        <v>0.22077689386863195</v>
      </c>
      <c r="C64" s="125">
        <f t="shared" ref="C64:V64" si="31">IF(C18=0,0,C18/C$10)</f>
        <v>0.22744132436417372</v>
      </c>
      <c r="D64" s="125">
        <f t="shared" si="31"/>
        <v>0.21815161398915278</v>
      </c>
      <c r="E64" s="125">
        <f t="shared" si="31"/>
        <v>0.14734379969013603</v>
      </c>
      <c r="F64" s="125">
        <f t="shared" si="31"/>
        <v>0.1744945638429802</v>
      </c>
      <c r="G64" s="125">
        <f t="shared" si="31"/>
        <v>0.16480360739793293</v>
      </c>
      <c r="H64" s="125">
        <f t="shared" si="31"/>
        <v>0.1885694948365344</v>
      </c>
      <c r="I64" s="125">
        <f t="shared" si="31"/>
        <v>0.20616125488554088</v>
      </c>
      <c r="J64" s="125">
        <f t="shared" si="31"/>
        <v>0.19652830695443077</v>
      </c>
      <c r="K64" s="125">
        <f t="shared" si="31"/>
        <v>0.14389775993107323</v>
      </c>
      <c r="L64" s="125">
        <f t="shared" si="31"/>
        <v>0.15550055756984152</v>
      </c>
      <c r="M64" s="125">
        <f t="shared" si="31"/>
        <v>0.17947368045279755</v>
      </c>
      <c r="N64" s="125">
        <f t="shared" si="31"/>
        <v>0.15954851722802862</v>
      </c>
      <c r="O64" s="125">
        <f t="shared" si="31"/>
        <v>0.16239017773996098</v>
      </c>
      <c r="P64" s="125">
        <f t="shared" si="31"/>
        <v>0.13229996515822395</v>
      </c>
      <c r="Q64" s="125">
        <f t="shared" si="31"/>
        <v>0.18453755924483486</v>
      </c>
      <c r="R64" s="125">
        <f t="shared" si="31"/>
        <v>0.18811069566012892</v>
      </c>
      <c r="S64" s="125">
        <f t="shared" si="31"/>
        <v>0.15911111104804435</v>
      </c>
      <c r="T64" s="125">
        <f t="shared" si="31"/>
        <v>0.16994611235757062</v>
      </c>
      <c r="U64" s="125">
        <f t="shared" si="31"/>
        <v>0.17720341585985211</v>
      </c>
      <c r="V64" s="125">
        <f t="shared" si="31"/>
        <v>0.14002869458500053</v>
      </c>
      <c r="W64" s="125">
        <f t="shared" ref="W64" si="32">IF(W18=0,0,W18/W$10)</f>
        <v>0.20512718009148856</v>
      </c>
      <c r="DA64" s="171"/>
    </row>
    <row r="65" spans="1:105" ht="11.45" customHeight="1" x14ac:dyDescent="0.25">
      <c r="A65" s="85" t="s">
        <v>93</v>
      </c>
      <c r="B65" s="127">
        <f t="shared" si="14"/>
        <v>5.4287684792195992E-2</v>
      </c>
      <c r="C65" s="127">
        <f t="shared" ref="C65:V65" si="33">IF(C19=0,0,C19/C$10)</f>
        <v>0.10414446248016376</v>
      </c>
      <c r="D65" s="127">
        <f t="shared" si="33"/>
        <v>0.12596185462661252</v>
      </c>
      <c r="E65" s="127">
        <f t="shared" si="33"/>
        <v>0.1500534678360064</v>
      </c>
      <c r="F65" s="127">
        <f t="shared" si="33"/>
        <v>0.14936201467592211</v>
      </c>
      <c r="G65" s="127">
        <f t="shared" si="33"/>
        <v>0.20853426696795604</v>
      </c>
      <c r="H65" s="127">
        <f t="shared" si="33"/>
        <v>0.18641814273022303</v>
      </c>
      <c r="I65" s="127">
        <f t="shared" si="33"/>
        <v>0.12310641315702393</v>
      </c>
      <c r="J65" s="127">
        <f t="shared" si="33"/>
        <v>0.11318509793394503</v>
      </c>
      <c r="K65" s="127">
        <f t="shared" si="33"/>
        <v>0.11025386805648058</v>
      </c>
      <c r="L65" s="127">
        <f t="shared" si="33"/>
        <v>0.11303218262914878</v>
      </c>
      <c r="M65" s="127">
        <f t="shared" si="33"/>
        <v>0.12056720165257971</v>
      </c>
      <c r="N65" s="127">
        <f t="shared" si="33"/>
        <v>0.11496143322417017</v>
      </c>
      <c r="O65" s="127">
        <f t="shared" si="33"/>
        <v>0.11773645765265031</v>
      </c>
      <c r="P65" s="127">
        <f t="shared" si="33"/>
        <v>0.12941327551357598</v>
      </c>
      <c r="Q65" s="127">
        <f t="shared" si="33"/>
        <v>0.14570894950553095</v>
      </c>
      <c r="R65" s="127">
        <f t="shared" si="33"/>
        <v>0.14226283448198715</v>
      </c>
      <c r="S65" s="127">
        <f t="shared" si="33"/>
        <v>0.14338164145739585</v>
      </c>
      <c r="T65" s="127">
        <f t="shared" si="33"/>
        <v>0.1587682231631479</v>
      </c>
      <c r="U65" s="127">
        <f t="shared" si="33"/>
        <v>0.1315124379228613</v>
      </c>
      <c r="V65" s="127">
        <f t="shared" si="33"/>
        <v>0.15045519150792008</v>
      </c>
      <c r="W65" s="127">
        <f t="shared" ref="W65" si="34">IF(W19=0,0,W19/W$10)</f>
        <v>0.16305689796582154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920.72201471999995</v>
      </c>
      <c r="C4" s="26">
        <f t="shared" ref="C4:W4" si="0">SUM(C5:C6)</f>
        <v>458.00638814825811</v>
      </c>
      <c r="D4" s="26">
        <f t="shared" si="0"/>
        <v>611.76951107999992</v>
      </c>
      <c r="E4" s="26">
        <f t="shared" si="0"/>
        <v>542.45188399085578</v>
      </c>
      <c r="F4" s="26">
        <f t="shared" si="0"/>
        <v>623.62456371726876</v>
      </c>
      <c r="G4" s="26">
        <f t="shared" si="0"/>
        <v>232.54049807999999</v>
      </c>
      <c r="H4" s="26">
        <f t="shared" si="0"/>
        <v>226.22741856000002</v>
      </c>
      <c r="I4" s="26">
        <f t="shared" si="0"/>
        <v>573.53399999999976</v>
      </c>
      <c r="J4" s="26">
        <f t="shared" si="0"/>
        <v>538.42538700000023</v>
      </c>
      <c r="K4" s="26">
        <f t="shared" si="0"/>
        <v>401.47380000000004</v>
      </c>
      <c r="L4" s="26">
        <f t="shared" si="0"/>
        <v>455.64101856000002</v>
      </c>
      <c r="M4" s="26">
        <f t="shared" si="0"/>
        <v>614.95595928</v>
      </c>
      <c r="N4" s="26">
        <f t="shared" si="0"/>
        <v>572.28689699999973</v>
      </c>
      <c r="O4" s="26">
        <f t="shared" si="0"/>
        <v>506.25392687999999</v>
      </c>
      <c r="P4" s="26">
        <f t="shared" si="0"/>
        <v>336.45451787999986</v>
      </c>
      <c r="Q4" s="26">
        <f t="shared" si="0"/>
        <v>349.03225188000016</v>
      </c>
      <c r="R4" s="26">
        <f t="shared" si="0"/>
        <v>339.59881799999988</v>
      </c>
      <c r="S4" s="26">
        <f t="shared" si="0"/>
        <v>358.05674267999996</v>
      </c>
      <c r="T4" s="26">
        <f t="shared" si="0"/>
        <v>291.11492124</v>
      </c>
      <c r="U4" s="26">
        <f t="shared" si="0"/>
        <v>400.96989035999991</v>
      </c>
      <c r="V4" s="26">
        <f t="shared" si="0"/>
        <v>346.71117311999984</v>
      </c>
      <c r="W4" s="26">
        <f t="shared" si="0"/>
        <v>405.95190012000006</v>
      </c>
      <c r="DA4" s="202" t="s">
        <v>1135</v>
      </c>
    </row>
    <row r="5" spans="1:105" ht="11.45" customHeight="1" x14ac:dyDescent="0.25">
      <c r="A5" s="107" t="s">
        <v>92</v>
      </c>
      <c r="B5" s="129">
        <v>920.72201471999995</v>
      </c>
      <c r="C5" s="129">
        <v>458.00638814825811</v>
      </c>
      <c r="D5" s="129">
        <v>611.76951107999992</v>
      </c>
      <c r="E5" s="129">
        <v>542.45188399085578</v>
      </c>
      <c r="F5" s="129">
        <v>623.62456371726876</v>
      </c>
      <c r="G5" s="129">
        <v>232.54049807999999</v>
      </c>
      <c r="H5" s="129">
        <v>226.22741856000002</v>
      </c>
      <c r="I5" s="129">
        <v>573.53399999999976</v>
      </c>
      <c r="J5" s="129">
        <v>538.42538700000023</v>
      </c>
      <c r="K5" s="129">
        <v>401.47380000000004</v>
      </c>
      <c r="L5" s="129">
        <v>455.64101856000002</v>
      </c>
      <c r="M5" s="129">
        <v>614.95595928</v>
      </c>
      <c r="N5" s="129">
        <v>572.28689699999973</v>
      </c>
      <c r="O5" s="129">
        <v>506.25392687999999</v>
      </c>
      <c r="P5" s="129">
        <v>336.45451787999986</v>
      </c>
      <c r="Q5" s="129">
        <v>349.03225188000016</v>
      </c>
      <c r="R5" s="129">
        <v>339.59881799999988</v>
      </c>
      <c r="S5" s="129">
        <v>358.05674267999996</v>
      </c>
      <c r="T5" s="129">
        <v>291.11492124</v>
      </c>
      <c r="U5" s="129">
        <v>400.96989035999991</v>
      </c>
      <c r="V5" s="129">
        <v>346.71117311999984</v>
      </c>
      <c r="W5" s="129">
        <v>405.95190012000006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920.72201471999995</v>
      </c>
      <c r="C8" s="79">
        <f t="shared" si="1"/>
        <v>458.00638814825811</v>
      </c>
      <c r="D8" s="79">
        <f t="shared" si="1"/>
        <v>611.7695110799998</v>
      </c>
      <c r="E8" s="79">
        <f t="shared" si="1"/>
        <v>542.45188399085578</v>
      </c>
      <c r="F8" s="79">
        <f t="shared" si="1"/>
        <v>623.62456371726876</v>
      </c>
      <c r="G8" s="79">
        <f t="shared" si="1"/>
        <v>232.54049807999999</v>
      </c>
      <c r="H8" s="79">
        <f t="shared" si="1"/>
        <v>226.22741855999999</v>
      </c>
      <c r="I8" s="79">
        <f t="shared" si="1"/>
        <v>573.53399999999976</v>
      </c>
      <c r="J8" s="79">
        <f t="shared" si="1"/>
        <v>538.42538700000023</v>
      </c>
      <c r="K8" s="79">
        <f t="shared" si="1"/>
        <v>401.47380000000004</v>
      </c>
      <c r="L8" s="79">
        <f t="shared" si="1"/>
        <v>455.64101855999996</v>
      </c>
      <c r="M8" s="79">
        <f t="shared" si="1"/>
        <v>614.95595927999989</v>
      </c>
      <c r="N8" s="79">
        <f t="shared" si="1"/>
        <v>572.28689699999973</v>
      </c>
      <c r="O8" s="79">
        <f t="shared" si="1"/>
        <v>506.25392688000005</v>
      </c>
      <c r="P8" s="79">
        <f t="shared" si="1"/>
        <v>336.45451787999991</v>
      </c>
      <c r="Q8" s="79">
        <f t="shared" si="1"/>
        <v>349.03225188000016</v>
      </c>
      <c r="R8" s="79">
        <f t="shared" si="1"/>
        <v>339.59881799999988</v>
      </c>
      <c r="S8" s="79">
        <f t="shared" si="1"/>
        <v>358.05674267999996</v>
      </c>
      <c r="T8" s="79">
        <f t="shared" si="1"/>
        <v>291.11492124000006</v>
      </c>
      <c r="U8" s="79">
        <f t="shared" si="1"/>
        <v>400.96989035999997</v>
      </c>
      <c r="V8" s="79">
        <f t="shared" si="1"/>
        <v>346.71117311999984</v>
      </c>
      <c r="W8" s="79">
        <f t="shared" si="1"/>
        <v>405.95190012000006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674.3108788485431</v>
      </c>
      <c r="C9" s="32">
        <f t="shared" si="2"/>
        <v>305.39496584858608</v>
      </c>
      <c r="D9" s="32">
        <f t="shared" si="2"/>
        <v>403.34949853551825</v>
      </c>
      <c r="E9" s="32">
        <f t="shared" si="2"/>
        <v>415.19201222056097</v>
      </c>
      <c r="F9" s="32">
        <f t="shared" si="2"/>
        <v>465.45043355494732</v>
      </c>
      <c r="G9" s="32">
        <f t="shared" si="2"/>
        <v>151.22838016056517</v>
      </c>
      <c r="H9" s="32">
        <f t="shared" si="2"/>
        <v>140.75855571587891</v>
      </c>
      <c r="I9" s="32">
        <f t="shared" si="2"/>
        <v>404.63720839797054</v>
      </c>
      <c r="J9" s="32">
        <f t="shared" si="2"/>
        <v>388.12570070144568</v>
      </c>
      <c r="K9" s="32">
        <f t="shared" si="2"/>
        <v>311.78299617191772</v>
      </c>
      <c r="L9" s="32">
        <f t="shared" si="2"/>
        <v>348.24353550464093</v>
      </c>
      <c r="M9" s="32">
        <f t="shared" si="2"/>
        <v>454.46700437963881</v>
      </c>
      <c r="N9" s="32">
        <f t="shared" si="2"/>
        <v>432.16804298969396</v>
      </c>
      <c r="O9" s="32">
        <f t="shared" si="2"/>
        <v>378.16887356829511</v>
      </c>
      <c r="P9" s="32">
        <f t="shared" si="2"/>
        <v>256.89077814245206</v>
      </c>
      <c r="Q9" s="32">
        <f t="shared" si="2"/>
        <v>234.33382331788729</v>
      </c>
      <c r="R9" s="32">
        <f t="shared" si="2"/>
        <v>226.10300977910231</v>
      </c>
      <c r="S9" s="32">
        <f t="shared" si="2"/>
        <v>257.4176685389242</v>
      </c>
      <c r="T9" s="32">
        <f t="shared" si="2"/>
        <v>196.41374119561348</v>
      </c>
      <c r="U9" s="32">
        <f t="shared" si="2"/>
        <v>282.50853041950216</v>
      </c>
      <c r="V9" s="32">
        <f t="shared" si="2"/>
        <v>260.71620966252766</v>
      </c>
      <c r="W9" s="32">
        <f t="shared" si="2"/>
        <v>262.5344649135701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674.3108788485431</v>
      </c>
      <c r="C11" s="130">
        <f t="shared" si="3"/>
        <v>305.39496584858608</v>
      </c>
      <c r="D11" s="130">
        <f t="shared" si="3"/>
        <v>403.34949853551825</v>
      </c>
      <c r="E11" s="130">
        <f t="shared" si="3"/>
        <v>415.19201222056097</v>
      </c>
      <c r="F11" s="130">
        <f t="shared" si="3"/>
        <v>465.45043355494732</v>
      </c>
      <c r="G11" s="130">
        <f t="shared" si="3"/>
        <v>151.22838016056517</v>
      </c>
      <c r="H11" s="130">
        <f t="shared" si="3"/>
        <v>140.75855571587891</v>
      </c>
      <c r="I11" s="130">
        <f t="shared" si="3"/>
        <v>404.63720839797054</v>
      </c>
      <c r="J11" s="130">
        <f t="shared" si="3"/>
        <v>388.12570070144568</v>
      </c>
      <c r="K11" s="130">
        <f t="shared" si="3"/>
        <v>311.78299617191772</v>
      </c>
      <c r="L11" s="130">
        <f t="shared" si="3"/>
        <v>348.24353550464093</v>
      </c>
      <c r="M11" s="130">
        <f t="shared" si="3"/>
        <v>454.46700437963881</v>
      </c>
      <c r="N11" s="130">
        <f t="shared" si="3"/>
        <v>432.16804298969396</v>
      </c>
      <c r="O11" s="130">
        <f t="shared" si="3"/>
        <v>378.16887356829511</v>
      </c>
      <c r="P11" s="130">
        <f t="shared" si="3"/>
        <v>256.89077814245206</v>
      </c>
      <c r="Q11" s="130">
        <f t="shared" si="3"/>
        <v>234.33382331788729</v>
      </c>
      <c r="R11" s="130">
        <f t="shared" si="3"/>
        <v>226.10300977910231</v>
      </c>
      <c r="S11" s="130">
        <f t="shared" si="3"/>
        <v>257.4176685389242</v>
      </c>
      <c r="T11" s="130">
        <f t="shared" si="3"/>
        <v>196.41374119561348</v>
      </c>
      <c r="U11" s="130">
        <f t="shared" si="3"/>
        <v>282.50853041950216</v>
      </c>
      <c r="V11" s="130">
        <f t="shared" si="3"/>
        <v>260.71620966252766</v>
      </c>
      <c r="W11" s="130">
        <f t="shared" si="3"/>
        <v>262.5344649135701</v>
      </c>
      <c r="DA11" s="176" t="s">
        <v>408</v>
      </c>
    </row>
    <row r="12" spans="1:105" ht="11.45" customHeight="1" x14ac:dyDescent="0.25">
      <c r="A12" s="111" t="s">
        <v>92</v>
      </c>
      <c r="B12" s="96">
        <v>674.3108788485431</v>
      </c>
      <c r="C12" s="96">
        <v>305.39496584858608</v>
      </c>
      <c r="D12" s="96">
        <v>403.34949853551825</v>
      </c>
      <c r="E12" s="96">
        <v>415.19201222056097</v>
      </c>
      <c r="F12" s="96">
        <v>465.45043355494732</v>
      </c>
      <c r="G12" s="96">
        <v>151.22838016056517</v>
      </c>
      <c r="H12" s="96">
        <v>140.75855571587891</v>
      </c>
      <c r="I12" s="96">
        <v>404.63720839797054</v>
      </c>
      <c r="J12" s="96">
        <v>388.12570070144568</v>
      </c>
      <c r="K12" s="96">
        <v>311.78299617191772</v>
      </c>
      <c r="L12" s="96">
        <v>348.24353550464093</v>
      </c>
      <c r="M12" s="96">
        <v>454.46700437963881</v>
      </c>
      <c r="N12" s="96">
        <v>432.16804298969396</v>
      </c>
      <c r="O12" s="96">
        <v>378.16887356829511</v>
      </c>
      <c r="P12" s="96">
        <v>256.89077814245206</v>
      </c>
      <c r="Q12" s="96">
        <v>234.33382331788729</v>
      </c>
      <c r="R12" s="96">
        <v>226.10300977910231</v>
      </c>
      <c r="S12" s="96">
        <v>257.4176685389242</v>
      </c>
      <c r="T12" s="96">
        <v>196.41374119561348</v>
      </c>
      <c r="U12" s="96">
        <v>282.50853041950216</v>
      </c>
      <c r="V12" s="96">
        <v>260.71620966252766</v>
      </c>
      <c r="W12" s="96">
        <v>262.5344649135701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246.41113587145688</v>
      </c>
      <c r="C15" s="32">
        <f t="shared" si="4"/>
        <v>152.611422299672</v>
      </c>
      <c r="D15" s="32">
        <f t="shared" si="4"/>
        <v>208.42001254448158</v>
      </c>
      <c r="E15" s="32">
        <f t="shared" si="4"/>
        <v>127.25987177029481</v>
      </c>
      <c r="F15" s="32">
        <f t="shared" si="4"/>
        <v>158.17413016232138</v>
      </c>
      <c r="G15" s="32">
        <f t="shared" si="4"/>
        <v>81.312117919434826</v>
      </c>
      <c r="H15" s="32">
        <f t="shared" si="4"/>
        <v>85.468862844121077</v>
      </c>
      <c r="I15" s="32">
        <f t="shared" si="4"/>
        <v>168.89679160202925</v>
      </c>
      <c r="J15" s="32">
        <f t="shared" si="4"/>
        <v>150.29968629855455</v>
      </c>
      <c r="K15" s="32">
        <f t="shared" si="4"/>
        <v>89.690803828082338</v>
      </c>
      <c r="L15" s="32">
        <f t="shared" si="4"/>
        <v>107.39748305535905</v>
      </c>
      <c r="M15" s="32">
        <f t="shared" si="4"/>
        <v>160.48895490036114</v>
      </c>
      <c r="N15" s="32">
        <f t="shared" si="4"/>
        <v>140.11885401030577</v>
      </c>
      <c r="O15" s="32">
        <f t="shared" si="4"/>
        <v>128.08505331170494</v>
      </c>
      <c r="P15" s="32">
        <f t="shared" si="4"/>
        <v>79.56373973754782</v>
      </c>
      <c r="Q15" s="32">
        <f t="shared" si="4"/>
        <v>114.69842856211287</v>
      </c>
      <c r="R15" s="32">
        <f t="shared" si="4"/>
        <v>113.49580822089759</v>
      </c>
      <c r="S15" s="32">
        <f t="shared" si="4"/>
        <v>100.63907414107572</v>
      </c>
      <c r="T15" s="32">
        <f t="shared" si="4"/>
        <v>94.701180044386547</v>
      </c>
      <c r="U15" s="32">
        <f t="shared" si="4"/>
        <v>118.46135994049779</v>
      </c>
      <c r="V15" s="32">
        <f t="shared" si="4"/>
        <v>85.994963457472167</v>
      </c>
      <c r="W15" s="32">
        <f t="shared" si="4"/>
        <v>143.41743520642996</v>
      </c>
      <c r="DA15" s="173" t="s">
        <v>413</v>
      </c>
    </row>
    <row r="16" spans="1:105" ht="11.45" customHeight="1" x14ac:dyDescent="0.25">
      <c r="A16" s="83" t="s">
        <v>92</v>
      </c>
      <c r="B16" s="96">
        <v>246.41113587145688</v>
      </c>
      <c r="C16" s="96">
        <v>152.611422299672</v>
      </c>
      <c r="D16" s="96">
        <v>208.42001254448158</v>
      </c>
      <c r="E16" s="96">
        <v>127.25987177029481</v>
      </c>
      <c r="F16" s="96">
        <v>158.17413016232138</v>
      </c>
      <c r="G16" s="96">
        <v>81.312117919434826</v>
      </c>
      <c r="H16" s="96">
        <v>85.468862844121077</v>
      </c>
      <c r="I16" s="96">
        <v>168.89679160202925</v>
      </c>
      <c r="J16" s="96">
        <v>150.29968629855455</v>
      </c>
      <c r="K16" s="96">
        <v>89.690803828082338</v>
      </c>
      <c r="L16" s="96">
        <v>107.39748305535905</v>
      </c>
      <c r="M16" s="96">
        <v>160.48895490036114</v>
      </c>
      <c r="N16" s="96">
        <v>140.11885401030577</v>
      </c>
      <c r="O16" s="96">
        <v>128.08505331170494</v>
      </c>
      <c r="P16" s="96">
        <v>79.56373973754782</v>
      </c>
      <c r="Q16" s="96">
        <v>114.69842856211287</v>
      </c>
      <c r="R16" s="96">
        <v>113.49580822089759</v>
      </c>
      <c r="S16" s="96">
        <v>100.63907414107572</v>
      </c>
      <c r="T16" s="96">
        <v>94.701180044386547</v>
      </c>
      <c r="U16" s="96">
        <v>118.46135994049779</v>
      </c>
      <c r="V16" s="96">
        <v>85.994963457472167</v>
      </c>
      <c r="W16" s="96">
        <v>143.41743520642996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2.5573711877219401</v>
      </c>
      <c r="C22" s="134">
        <f>IF(C4=0,0,C4/TrRail_ene!C4)</f>
        <v>2.1003370144129128</v>
      </c>
      <c r="D22" s="134">
        <f>IF(D4=0,0,D4/TrRail_ene!D4)</f>
        <v>1.9504400047536163</v>
      </c>
      <c r="E22" s="134">
        <f>IF(E4=0,0,E4/TrRail_ene!E4)</f>
        <v>1.9154769904108433</v>
      </c>
      <c r="F22" s="134">
        <f>IF(F4=0,0,F4/TrRail_ene!F4)</f>
        <v>2.1349763198952036</v>
      </c>
      <c r="G22" s="134">
        <f>IF(G4=0,0,G4/TrRail_ene!G4)</f>
        <v>1.4501050899036998</v>
      </c>
      <c r="H22" s="134">
        <f>IF(H4=0,0,H4/TrRail_ene!H4)</f>
        <v>1.5359164494178636</v>
      </c>
      <c r="I22" s="134">
        <f>IF(I4=0,0,I4/TrRail_ene!I4)</f>
        <v>2.1557728278009418</v>
      </c>
      <c r="J22" s="134">
        <f>IF(J4=0,0,J4/TrRail_ene!J4)</f>
        <v>2.1829405634089079</v>
      </c>
      <c r="K22" s="134">
        <f>IF(K4=0,0,K4/TrRail_ene!K4)</f>
        <v>1.9972086517728174</v>
      </c>
      <c r="L22" s="134">
        <f>IF(L4=0,0,L4/TrRail_ene!L4)</f>
        <v>2.0467324947211649</v>
      </c>
      <c r="M22" s="134">
        <f>IF(M4=0,0,M4/TrRail_ene!M4)</f>
        <v>2.1332791477387403</v>
      </c>
      <c r="N22" s="134">
        <f>IF(N4=0,0,N4/TrRail_ene!N4)</f>
        <v>2.0214087796524511</v>
      </c>
      <c r="O22" s="134">
        <f>IF(O4=0,0,O4/TrRail_ene!O4)</f>
        <v>1.9874882382874151</v>
      </c>
      <c r="P22" s="134">
        <f>IF(P4=0,0,P4/TrRail_ene!P4)</f>
        <v>1.730731585636528</v>
      </c>
      <c r="Q22" s="134">
        <f>IF(Q4=0,0,Q4/TrRail_ene!Q4)</f>
        <v>1.7414410442028192</v>
      </c>
      <c r="R22" s="134">
        <f>IF(R4=0,0,R4/TrRail_ene!R4)</f>
        <v>1.7439416286184981</v>
      </c>
      <c r="S22" s="134">
        <f>IF(S4=0,0,S4/TrRail_ene!S4)</f>
        <v>1.7543031518513246</v>
      </c>
      <c r="T22" s="134">
        <f>IF(T4=0,0,T4/TrRail_ene!T4)</f>
        <v>1.6200431100336772</v>
      </c>
      <c r="U22" s="134">
        <f>IF(U4=0,0,U4/TrRail_ene!U4)</f>
        <v>1.8603299663049553</v>
      </c>
      <c r="V22" s="134">
        <f>IF(V4=0,0,V4/TrRail_ene!V4)</f>
        <v>1.7509387884299328</v>
      </c>
      <c r="W22" s="134">
        <f>IF(W4=0,0,W4/TrRail_ene!W4)</f>
        <v>1.8009470831611114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1.5500366130668064</v>
      </c>
      <c r="C23" s="129">
        <f>IF(C5=0,0,C5/SUM(TrRail_ene!C5:C7))</f>
        <v>1.5385269896192431</v>
      </c>
      <c r="D23" s="129">
        <f>IF(D5=0,0,D5/SUM(TrRail_ene!D5:D7))</f>
        <v>1.5229854646844188</v>
      </c>
      <c r="E23" s="129">
        <f>IF(E5=0,0,E5/SUM(TrRail_ene!E5:E7))</f>
        <v>1.5249139519154624</v>
      </c>
      <c r="F23" s="129">
        <f>IF(F5=0,0,F5/SUM(TrRail_ene!F5:F7))</f>
        <v>1.5516487177404925</v>
      </c>
      <c r="G23" s="129">
        <f>IF(G5=0,0,G5/SUM(TrRail_ene!G5:G7))</f>
        <v>1.5383651835440273</v>
      </c>
      <c r="H23" s="129">
        <f>IF(H5=0,0,H5/SUM(TrRail_ene!H5:H7))</f>
        <v>1.5386110396800003</v>
      </c>
      <c r="I23" s="129">
        <f>IF(I5=0,0,I5/SUM(TrRail_ene!I5:I7))</f>
        <v>1.5396718866207686</v>
      </c>
      <c r="J23" s="129">
        <f>IF(J5=0,0,J5/SUM(TrRail_ene!J5:J7))</f>
        <v>1.5503128536198056</v>
      </c>
      <c r="K23" s="129">
        <f>IF(K5=0,0,K5/SUM(TrRail_ene!K5:K7))</f>
        <v>1.5503512985835748</v>
      </c>
      <c r="L23" s="129">
        <f>IF(L5=0,0,L5/SUM(TrRail_ene!L5:L7))</f>
        <v>1.5512094000000001</v>
      </c>
      <c r="M23" s="129">
        <f>IF(M5=0,0,M5/SUM(TrRail_ene!M5:M7))</f>
        <v>1.5510223578231022</v>
      </c>
      <c r="N23" s="129">
        <f>IF(N5=0,0,N5/SUM(TrRail_ene!N5:N7))</f>
        <v>1.5510084139773295</v>
      </c>
      <c r="O23" s="129">
        <f>IF(O5=0,0,O5/SUM(TrRail_ene!O5:O7))</f>
        <v>1.5482634548599217</v>
      </c>
      <c r="P23" s="129">
        <f>IF(P5=0,0,P5/SUM(TrRail_ene!P5:P7))</f>
        <v>1.5467809611646695</v>
      </c>
      <c r="Q23" s="129">
        <f>IF(Q5=0,0,Q5/SUM(TrRail_ene!Q5:Q7))</f>
        <v>1.5505505055369533</v>
      </c>
      <c r="R23" s="129">
        <f>IF(R5=0,0,R5/SUM(TrRail_ene!R5:R7))</f>
        <v>1.5491808194838541</v>
      </c>
      <c r="S23" s="129">
        <f>IF(S5=0,0,S5/SUM(TrRail_ene!S5:S7))</f>
        <v>1.5494904926608879</v>
      </c>
      <c r="T23" s="129">
        <f>IF(T5=0,0,T5/SUM(TrRail_ene!T5:T7))</f>
        <v>1.55051605030157</v>
      </c>
      <c r="U23" s="129">
        <f>IF(U5=0,0,U5/SUM(TrRail_ene!U5:U7))</f>
        <v>1.5507894900116925</v>
      </c>
      <c r="V23" s="129">
        <f>IF(V5=0,0,V5/SUM(TrRail_ene!V5:V7))</f>
        <v>1.5507047127358315</v>
      </c>
      <c r="W23" s="129">
        <f>IF(W5=0,0,W5/SUM(TrRail_ene!W5:W7))</f>
        <v>1.5508690171134882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5936.6141864592137</v>
      </c>
      <c r="C26" s="54">
        <f>IF(C8=0,0,C8/TrRail_act!C14*1000)</f>
        <v>3624.1261229363045</v>
      </c>
      <c r="D26" s="54">
        <f>IF(D8=0,0,D8/TrRail_act!D14*1000)</f>
        <v>3675.9489686433362</v>
      </c>
      <c r="E26" s="54">
        <f>IF(E8=0,0,E8/TrRail_act!E14*1000)</f>
        <v>3457.8249789156539</v>
      </c>
      <c r="F26" s="54">
        <f>IF(F8=0,0,F8/TrRail_act!F14*1000)</f>
        <v>3954.506744161034</v>
      </c>
      <c r="G26" s="54">
        <f>IF(G8=0,0,G8/TrRail_act!G14*1000)</f>
        <v>1778.46738636038</v>
      </c>
      <c r="H26" s="54">
        <f>IF(H8=0,0,H8/TrRail_act!H14*1000)</f>
        <v>1793.375458413135</v>
      </c>
      <c r="I26" s="54">
        <f>IF(I8=0,0,I8/TrRail_act!I14*1000)</f>
        <v>3456.1239169412534</v>
      </c>
      <c r="J26" s="54">
        <f>IF(J8=0,0,J8/TrRail_act!J14*1000)</f>
        <v>3317.7921673957167</v>
      </c>
      <c r="K26" s="54">
        <f>IF(K8=0,0,K8/TrRail_act!K14*1000)</f>
        <v>2573.3855455279318</v>
      </c>
      <c r="L26" s="54">
        <f>IF(L8=0,0,L8/TrRail_act!L14*1000)</f>
        <v>2728.5439324888521</v>
      </c>
      <c r="M26" s="54">
        <f>IF(M8=0,0,M8/TrRail_act!M14*1000)</f>
        <v>3171.2811766824921</v>
      </c>
      <c r="N26" s="54">
        <f>IF(N8=0,0,N8/TrRail_act!N14*1000)</f>
        <v>2790.1712150515132</v>
      </c>
      <c r="O26" s="54">
        <f>IF(O8=0,0,O8/TrRail_act!O14*1000)</f>
        <v>2577.3452857446305</v>
      </c>
      <c r="P26" s="54">
        <f>IF(P8=0,0,P8/TrRail_act!P14*1000)</f>
        <v>1900.5860552508141</v>
      </c>
      <c r="Q26" s="54">
        <f>IF(Q8=0,0,Q8/TrRail_act!Q14*1000)</f>
        <v>2319.6750161670407</v>
      </c>
      <c r="R26" s="54">
        <f>IF(R8=0,0,R8/TrRail_act!R14*1000)</f>
        <v>2257.2606440961372</v>
      </c>
      <c r="S26" s="54">
        <f>IF(S8=0,0,S8/TrRail_act!S14*1000)</f>
        <v>2292.8575191204318</v>
      </c>
      <c r="T26" s="54">
        <f>IF(T8=0,0,T8/TrRail_act!T14*1000)</f>
        <v>2004.5890807245535</v>
      </c>
      <c r="U26" s="54">
        <f>IF(U8=0,0,U8/TrRail_act!U14*1000)</f>
        <v>2556.4375349605953</v>
      </c>
      <c r="V26" s="54">
        <f>IF(V8=0,0,V8/TrRail_act!V14*1000)</f>
        <v>2280.7339667686019</v>
      </c>
      <c r="W26" s="54">
        <f>IF(W8=0,0,W8/TrRail_act!W14*1000)</f>
        <v>2519.0740347867763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5049.8576598229438</v>
      </c>
      <c r="C27" s="28">
        <f>IF(C9=0,0,C9/TrRail_act!C15*1000)</f>
        <v>2842.1556291010788</v>
      </c>
      <c r="D27" s="28">
        <f>IF(D9=0,0,D9/TrRail_act!D15*1000)</f>
        <v>2966.9733611349957</v>
      </c>
      <c r="E27" s="28">
        <f>IF(E9=0,0,E9/TrRail_act!E15*1000)</f>
        <v>3227.5999908321182</v>
      </c>
      <c r="F27" s="28">
        <f>IF(F9=0,0,F9/TrRail_act!F15*1000)</f>
        <v>3673.1765320536438</v>
      </c>
      <c r="G27" s="28">
        <f>IF(G9=0,0,G9/TrRail_act!G15*1000)</f>
        <v>1395.3500191580251</v>
      </c>
      <c r="H27" s="28">
        <f>IF(H9=0,0,H9/TrRail_act!H15*1000)</f>
        <v>1322.9177469369401</v>
      </c>
      <c r="I27" s="28">
        <f>IF(I9=0,0,I9/TrRail_act!I15*1000)</f>
        <v>2928.6097979755659</v>
      </c>
      <c r="J27" s="28">
        <f>IF(J9=0,0,J9/TrRail_act!J15*1000)</f>
        <v>2815.4721130801195</v>
      </c>
      <c r="K27" s="28">
        <f>IF(K9=0,0,K9/TrRail_act!K15*1000)</f>
        <v>2263.30790365028</v>
      </c>
      <c r="L27" s="28">
        <f>IF(L9=0,0,L9/TrRail_act!L15*1000)</f>
        <v>2390.4847013713388</v>
      </c>
      <c r="M27" s="28">
        <f>IF(M9=0,0,M9/TrRail_act!M15*1000)</f>
        <v>2775.065706216033</v>
      </c>
      <c r="N27" s="28">
        <f>IF(N9=0,0,N9/TrRail_act!N15*1000)</f>
        <v>2444.5805990303593</v>
      </c>
      <c r="O27" s="28">
        <f>IF(O9=0,0,O9/TrRail_act!O15*1000)</f>
        <v>2230.4693716977981</v>
      </c>
      <c r="P27" s="28">
        <f>IF(P9=0,0,P9/TrRail_act!P15*1000)</f>
        <v>1653.2892342900723</v>
      </c>
      <c r="Q27" s="28">
        <f>IF(Q9=0,0,Q9/TrRail_act!Q15*1000)</f>
        <v>1893.4047010260604</v>
      </c>
      <c r="R27" s="28">
        <f>IF(R9=0,0,R9/TrRail_act!R15*1000)</f>
        <v>1814.6432539992306</v>
      </c>
      <c r="S27" s="28">
        <f>IF(S9=0,0,S9/TrRail_act!S15*1000)</f>
        <v>1982.004378296763</v>
      </c>
      <c r="T27" s="28">
        <f>IF(T9=0,0,T9/TrRail_act!T15*1000)</f>
        <v>1641.0187454542909</v>
      </c>
      <c r="U27" s="28">
        <f>IF(U9=0,0,U9/TrRail_act!U15*1000)</f>
        <v>2175.5024554918868</v>
      </c>
      <c r="V27" s="28">
        <f>IF(V9=0,0,V9/TrRail_act!V15*1000)</f>
        <v>2069.3340435345017</v>
      </c>
      <c r="W27" s="28">
        <f>IF(W9=0,0,W9/TrRail_act!W15*1000)</f>
        <v>2073.2567028130729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10622.297786197159</v>
      </c>
      <c r="C29" s="110">
        <f>IF(C11=0,0,C11/TrRail_act!C17*1000)</f>
        <v>8165.2242926138088</v>
      </c>
      <c r="D29" s="110">
        <f>IF(D11=0,0,D11/TrRail_act!D17*1000)</f>
        <v>6120.9567931690135</v>
      </c>
      <c r="E29" s="110">
        <f>IF(E11=0,0,E11/TrRail_act!E17*1000)</f>
        <v>6785.3980422652039</v>
      </c>
      <c r="F29" s="110">
        <f>IF(F11=0,0,F11/TrRail_act!F17*1000)</f>
        <v>8552.307895745158</v>
      </c>
      <c r="G29" s="110">
        <f>IF(G11=0,0,G11/TrRail_act!G17*1000)</f>
        <v>4945.142451782478</v>
      </c>
      <c r="H29" s="110">
        <f>IF(H11=0,0,H11/TrRail_act!H17*1000)</f>
        <v>5515.5640429190444</v>
      </c>
      <c r="I29" s="110">
        <f>IF(I11=0,0,I11/TrRail_act!I17*1000)</f>
        <v>7456.6065769328616</v>
      </c>
      <c r="J29" s="110">
        <f>IF(J11=0,0,J11/TrRail_act!J17*1000)</f>
        <v>7606.4176871149584</v>
      </c>
      <c r="K29" s="110">
        <f>IF(K11=0,0,K11/TrRail_act!K17*1000)</f>
        <v>6649.630668660845</v>
      </c>
      <c r="L29" s="110">
        <f>IF(L11=0,0,L11/TrRail_act!L17*1000)</f>
        <v>6646.61820824401</v>
      </c>
      <c r="M29" s="110">
        <f>IF(M11=0,0,M11/TrRail_act!M17*1000)</f>
        <v>6630.9211087156827</v>
      </c>
      <c r="N29" s="110">
        <f>IF(N11=0,0,N11/TrRail_act!N17*1000)</f>
        <v>5921.627015007386</v>
      </c>
      <c r="O29" s="110">
        <f>IF(O11=0,0,O11/TrRail_act!O17*1000)</f>
        <v>5880.8541563803838</v>
      </c>
      <c r="P29" s="110">
        <f>IF(P11=0,0,P11/TrRail_act!P17*1000)</f>
        <v>4992.3459214001987</v>
      </c>
      <c r="Q29" s="110">
        <f>IF(Q11=0,0,Q11/TrRail_act!Q17*1000)</f>
        <v>3890.0513225223276</v>
      </c>
      <c r="R29" s="110">
        <f>IF(R11=0,0,R11/TrRail_act!R17*1000)</f>
        <v>3910.2036843093592</v>
      </c>
      <c r="S29" s="110">
        <f>IF(S11=0,0,S11/TrRail_act!S17*1000)</f>
        <v>4014.9735118904737</v>
      </c>
      <c r="T29" s="110">
        <f>IF(T11=0,0,T11/TrRail_act!T17*1000)</f>
        <v>3519.5362406776385</v>
      </c>
      <c r="U29" s="110">
        <f>IF(U11=0,0,U11/TrRail_act!U17*1000)</f>
        <v>4173.2581590373848</v>
      </c>
      <c r="V29" s="110">
        <f>IF(V11=0,0,V11/TrRail_act!V17*1000)</f>
        <v>4076.8967873507531</v>
      </c>
      <c r="W29" s="110">
        <f>IF(W11=0,0,W11/TrRail_act!W17*1000)</f>
        <v>3980.553756009705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12270.922908873981</v>
      </c>
      <c r="C30" s="84">
        <f>IF(C12=0,0,C12/TrRail_act!C18*1000)</f>
        <v>11589.729192413166</v>
      </c>
      <c r="D30" s="84">
        <f>IF(D12=0,0,D12/TrRail_act!D18*1000)</f>
        <v>11390.780253871226</v>
      </c>
      <c r="E30" s="84">
        <f>IF(E12=0,0,E12/TrRail_act!E18*1000)</f>
        <v>11403.974965288489</v>
      </c>
      <c r="F30" s="84">
        <f>IF(F12=0,0,F12/TrRail_act!F18*1000)</f>
        <v>11184.42574679505</v>
      </c>
      <c r="G30" s="84">
        <f>IF(G12=0,0,G12/TrRail_act!G18*1000)</f>
        <v>9635.0986645079556</v>
      </c>
      <c r="H30" s="84">
        <f>IF(H12=0,0,H12/TrRail_act!H18*1000)</f>
        <v>9400.1492115161054</v>
      </c>
      <c r="I30" s="84">
        <f>IF(I12=0,0,I12/TrRail_act!I18*1000)</f>
        <v>9290.2187785648675</v>
      </c>
      <c r="J30" s="84">
        <f>IF(J12=0,0,J12/TrRail_act!J18*1000)</f>
        <v>9273.1206099533847</v>
      </c>
      <c r="K30" s="84">
        <f>IF(K12=0,0,K12/TrRail_act!K18*1000)</f>
        <v>8893.2356517807366</v>
      </c>
      <c r="L30" s="84">
        <f>IF(L12=0,0,L12/TrRail_act!L18*1000)</f>
        <v>8704.7420340969893</v>
      </c>
      <c r="M30" s="84">
        <f>IF(M12=0,0,M12/TrRail_act!M18*1000)</f>
        <v>8744.4311229015057</v>
      </c>
      <c r="N30" s="84">
        <f>IF(N12=0,0,N12/TrRail_act!N18*1000)</f>
        <v>8719.2481902622367</v>
      </c>
      <c r="O30" s="84">
        <f>IF(O12=0,0,O12/TrRail_act!O18*1000)</f>
        <v>8523.6176820505807</v>
      </c>
      <c r="P30" s="84">
        <f>IF(P12=0,0,P12/TrRail_act!P18*1000)</f>
        <v>8224.350344143988</v>
      </c>
      <c r="Q30" s="84">
        <f>IF(Q12=0,0,Q12/TrRail_act!Q18*1000)</f>
        <v>8292.5960249069303</v>
      </c>
      <c r="R30" s="84">
        <f>IF(R12=0,0,R12/TrRail_act!R18*1000)</f>
        <v>8238.3597755667215</v>
      </c>
      <c r="S30" s="84">
        <f>IF(S12=0,0,S12/TrRail_act!S18*1000)</f>
        <v>8204.9907612000879</v>
      </c>
      <c r="T30" s="84">
        <f>IF(T12=0,0,T12/TrRail_act!T18*1000)</f>
        <v>8184.2398814961361</v>
      </c>
      <c r="U30" s="84">
        <f>IF(U12=0,0,U12/TrRail_act!U18*1000)</f>
        <v>8166.0984319314593</v>
      </c>
      <c r="V30" s="84">
        <f>IF(V12=0,0,V12/TrRail_act!V18*1000)</f>
        <v>8150.9949925465917</v>
      </c>
      <c r="W30" s="84">
        <f>IF(W12=0,0,W12/TrRail_act!W18*1000)</f>
        <v>8140.8819667854859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11428.32536631812</v>
      </c>
      <c r="C33" s="28">
        <f>IF(C15=0,0,C15/TrRail_act!C21*1000)</f>
        <v>8063.9370066121483</v>
      </c>
      <c r="D33" s="28">
        <f>IF(D15=0,0,D15/TrRail_act!D21*1000)</f>
        <v>6838.2705145426426</v>
      </c>
      <c r="E33" s="28">
        <f>IF(E15=0,0,E15/TrRail_act!E21*1000)</f>
        <v>4506.5903666341565</v>
      </c>
      <c r="F33" s="28">
        <f>IF(F15=0,0,F15/TrRail_act!F21*1000)</f>
        <v>5105.0828530811777</v>
      </c>
      <c r="G33" s="28">
        <f>IF(G15=0,0,G15/TrRail_act!G21*1000)</f>
        <v>3634.3757601912534</v>
      </c>
      <c r="H33" s="28">
        <f>IF(H15=0,0,H15/TrRail_act!H21*1000)</f>
        <v>4328.3978250245254</v>
      </c>
      <c r="I33" s="28">
        <f>IF(I15=0,0,I15/TrRail_act!I21*1000)</f>
        <v>6079.7582328519857</v>
      </c>
      <c r="J33" s="28">
        <f>IF(J15=0,0,J15/TrRail_act!J21*1000)</f>
        <v>6152.3418448934099</v>
      </c>
      <c r="K33" s="28">
        <f>IF(K15=0,0,K15/TrRail_act!K21*1000)</f>
        <v>4913.3475748351193</v>
      </c>
      <c r="L33" s="28">
        <f>IF(L15=0,0,L15/TrRail_act!L21*1000)</f>
        <v>5039.4169629595053</v>
      </c>
      <c r="M33" s="28">
        <f>IF(M15=0,0,M15/TrRail_act!M21*1000)</f>
        <v>5323.7179700032939</v>
      </c>
      <c r="N33" s="28">
        <f>IF(N15=0,0,N15/TrRail_act!N21*1000)</f>
        <v>4947.3513078494698</v>
      </c>
      <c r="O33" s="28">
        <f>IF(O15=0,0,O15/TrRail_act!O21*1000)</f>
        <v>4765.4595285423093</v>
      </c>
      <c r="P33" s="28">
        <f>IF(P15=0,0,P15/TrRail_act!P21*1000)</f>
        <v>3675.8331607566251</v>
      </c>
      <c r="Q33" s="28">
        <f>IF(Q15=0,0,Q15/TrRail_act!Q21*1000)</f>
        <v>4295.368584085566</v>
      </c>
      <c r="R33" s="28">
        <f>IF(R15=0,0,R15/TrRail_act!R21*1000)</f>
        <v>4390.8643446677825</v>
      </c>
      <c r="S33" s="28">
        <f>IF(S15=0,0,S15/TrRail_act!S21*1000)</f>
        <v>3828.859644896494</v>
      </c>
      <c r="T33" s="28">
        <f>IF(T15=0,0,T15/TrRail_act!T21*1000)</f>
        <v>3708.8105026701528</v>
      </c>
      <c r="U33" s="28">
        <f>IF(U15=0,0,U15/TrRail_act!U21*1000)</f>
        <v>4389.3842709964674</v>
      </c>
      <c r="V33" s="28">
        <f>IF(V15=0,0,V15/TrRail_act!V21*1000)</f>
        <v>3304.0707277400279</v>
      </c>
      <c r="W33" s="28">
        <f>IF(W15=0,0,W15/TrRail_act!W21*1000)</f>
        <v>4154.3516915340779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19841.094824657041</v>
      </c>
      <c r="C34" s="84">
        <f>IF(C16=0,0,C16/TrRail_act!C22*1000)</f>
        <v>19360.782807498384</v>
      </c>
      <c r="D34" s="84">
        <f>IF(D16=0,0,D16/TrRail_act!D22*1000)</f>
        <v>19028.469474227841</v>
      </c>
      <c r="E34" s="84">
        <f>IF(E16=0,0,E16/TrRail_act!E22*1000)</f>
        <v>18653.888862771804</v>
      </c>
      <c r="F34" s="84">
        <f>IF(F16=0,0,F16/TrRail_act!F22*1000)</f>
        <v>18700.51809555844</v>
      </c>
      <c r="G34" s="84">
        <f>IF(G16=0,0,G16/TrRail_act!G22*1000)</f>
        <v>18311.977273169865</v>
      </c>
      <c r="H34" s="84">
        <f>IF(H16=0,0,H16/TrRail_act!H22*1000)</f>
        <v>18164.853788933029</v>
      </c>
      <c r="I34" s="84">
        <f>IF(I16=0,0,I16/TrRail_act!I22*1000)</f>
        <v>18039.458582779178</v>
      </c>
      <c r="J34" s="84">
        <f>IF(J16=0,0,J16/TrRail_act!J22*1000)</f>
        <v>17874.751340376595</v>
      </c>
      <c r="K34" s="84">
        <f>IF(K16=0,0,K16/TrRail_act!K22*1000)</f>
        <v>17593.848590455866</v>
      </c>
      <c r="L34" s="84">
        <f>IF(L16=0,0,L16/TrRail_act!L22*1000)</f>
        <v>17424.849116208072</v>
      </c>
      <c r="M34" s="84">
        <f>IF(M16=0,0,M16/TrRail_act!M22*1000)</f>
        <v>17380.794408048489</v>
      </c>
      <c r="N34" s="84">
        <f>IF(N16=0,0,N16/TrRail_act!N22*1000)</f>
        <v>17045.788689629226</v>
      </c>
      <c r="O34" s="84">
        <f>IF(O16=0,0,O16/TrRail_act!O22*1000)</f>
        <v>16669.762257922535</v>
      </c>
      <c r="P34" s="84">
        <f>IF(P16=0,0,P16/TrRail_act!P22*1000)</f>
        <v>16190.771577126661</v>
      </c>
      <c r="Q34" s="84">
        <f>IF(Q16=0,0,Q16/TrRail_act!Q22*1000)</f>
        <v>16290.389564701019</v>
      </c>
      <c r="R34" s="84">
        <f>IF(R16=0,0,R16/TrRail_act!R22*1000)</f>
        <v>16158.013921888518</v>
      </c>
      <c r="S34" s="84">
        <f>IF(S16=0,0,S16/TrRail_act!S22*1000)</f>
        <v>16073.29877885208</v>
      </c>
      <c r="T34" s="84">
        <f>IF(T16=0,0,T16/TrRail_act!T22*1000)</f>
        <v>16018.249149061003</v>
      </c>
      <c r="U34" s="84">
        <f>IF(U16=0,0,U16/TrRail_act!U22*1000)</f>
        <v>15971.975469816567</v>
      </c>
      <c r="V34" s="84">
        <f>IF(V16=0,0,V16/TrRail_act!V22*1000)</f>
        <v>15934.379183827459</v>
      </c>
      <c r="W34" s="84">
        <f>IF(W16=0,0,W16/TrRail_act!W22*1000)</f>
        <v>15908.577659549879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38.243584326709566</v>
      </c>
      <c r="C38" s="29">
        <f>IF(C9=0,0,C9/TrRail_act!C4*1000)</f>
        <v>18.001471609112059</v>
      </c>
      <c r="D38" s="29">
        <f>IF(D9=0,0,D9/TrRail_act!D4*1000)</f>
        <v>27.813370468591799</v>
      </c>
      <c r="E38" s="29">
        <f>IF(E9=0,0,E9/TrRail_act!E4*1000)</f>
        <v>29.086854318823203</v>
      </c>
      <c r="F38" s="29">
        <f>IF(F9=0,0,F9/TrRail_act!F4*1000)</f>
        <v>31.385638651463793</v>
      </c>
      <c r="G38" s="29">
        <f>IF(G9=0,0,G9/TrRail_act!G4*1000)</f>
        <v>10.370959696122425</v>
      </c>
      <c r="H38" s="29">
        <f>IF(H9=0,0,H9/TrRail_act!H4*1000)</f>
        <v>9.4519578106284516</v>
      </c>
      <c r="I38" s="29">
        <f>IF(I9=0,0,I9/TrRail_act!I4*1000)</f>
        <v>28.14671733430513</v>
      </c>
      <c r="J38" s="29">
        <f>IF(J9=0,0,J9/TrRail_act!J4*1000)</f>
        <v>27.806684388984504</v>
      </c>
      <c r="K38" s="29">
        <f>IF(K9=0,0,K9/TrRail_act!K4*1000)</f>
        <v>23.664743542460545</v>
      </c>
      <c r="L38" s="29">
        <f>IF(L9=0,0,L9/TrRail_act!L4*1000)</f>
        <v>27.69175917678211</v>
      </c>
      <c r="M38" s="29">
        <f>IF(M9=0,0,M9/TrRail_act!M4*1000)</f>
        <v>37.451225664950606</v>
      </c>
      <c r="N38" s="29">
        <f>IF(N9=0,0,N9/TrRail_act!N4*1000)</f>
        <v>35.659274881938771</v>
      </c>
      <c r="O38" s="29">
        <f>IF(O9=0,0,O9/TrRail_act!O4*1000)</f>
        <v>31.092463908292679</v>
      </c>
      <c r="P38" s="29">
        <f>IF(P9=0,0,P9/TrRail_act!P4*1000)</f>
        <v>19.797378093592176</v>
      </c>
      <c r="Q38" s="29">
        <f>IF(Q9=0,0,Q9/TrRail_act!Q4*1000)</f>
        <v>23.301260456797017</v>
      </c>
      <c r="R38" s="29">
        <f>IF(R9=0,0,R9/TrRail_act!R4*1000)</f>
        <v>22.483572546089921</v>
      </c>
      <c r="S38" s="29">
        <f>IF(S9=0,0,S9/TrRail_act!S4*1000)</f>
        <v>23.864550303132614</v>
      </c>
      <c r="T38" s="29">
        <f>IF(T9=0,0,T9/TrRail_act!T4*1000)</f>
        <v>18.567158185716014</v>
      </c>
      <c r="U38" s="29">
        <f>IF(U9=0,0,U9/TrRail_act!U4*1000)</f>
        <v>26.073143287808279</v>
      </c>
      <c r="V38" s="29">
        <f>IF(V9=0,0,V9/TrRail_act!V4*1000)</f>
        <v>36.432677263933186</v>
      </c>
      <c r="W38" s="29">
        <f>IF(W9=0,0,W9/TrRail_act!W4*1000)</f>
        <v>35.128185646429657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57.970330024805975</v>
      </c>
      <c r="C40" s="116">
        <f>IF(C11=0,0,C11/TrRail_act!C6*1000)</f>
        <v>27.851798071006481</v>
      </c>
      <c r="D40" s="116">
        <f>IF(D11=0,0,D11/TrRail_act!D6*1000)</f>
        <v>47.441719423137876</v>
      </c>
      <c r="E40" s="116">
        <f>IF(E11=0,0,E11/TrRail_act!E6*1000)</f>
        <v>48.863364978293625</v>
      </c>
      <c r="F40" s="116">
        <f>IF(F11=0,0,F11/TrRail_act!F6*1000)</f>
        <v>53.884051117729491</v>
      </c>
      <c r="G40" s="116">
        <f>IF(G11=0,0,G11/TrRail_act!G6*1000)</f>
        <v>18.939058254297453</v>
      </c>
      <c r="H40" s="116">
        <f>IF(H11=0,0,H11/TrRail_act!H6*1000)</f>
        <v>17.394779500232193</v>
      </c>
      <c r="I40" s="116">
        <f>IF(I11=0,0,I11/TrRail_act!I6*1000)</f>
        <v>54.124827233543414</v>
      </c>
      <c r="J40" s="116">
        <f>IF(J11=0,0,J11/TrRail_act!J6*1000)</f>
        <v>55.781215967439735</v>
      </c>
      <c r="K40" s="116">
        <f>IF(K11=0,0,K11/TrRail_act!K6*1000)</f>
        <v>50.878426268263333</v>
      </c>
      <c r="L40" s="116">
        <f>IF(L11=0,0,L11/TrRail_act!L6*1000)</f>
        <v>64.050677856288573</v>
      </c>
      <c r="M40" s="116">
        <f>IF(M11=0,0,M11/TrRail_act!M6*1000)</f>
        <v>89.585453258355756</v>
      </c>
      <c r="N40" s="116">
        <f>IF(N11=0,0,N11/TrRail_act!N6*1000)</f>
        <v>94.545623056157069</v>
      </c>
      <c r="O40" s="116">
        <f>IF(O11=0,0,O11/TrRail_act!O6*1000)</f>
        <v>85.733138419472922</v>
      </c>
      <c r="P40" s="116">
        <f>IF(P11=0,0,P11/TrRail_act!P6*1000)</f>
        <v>51.625960237631041</v>
      </c>
      <c r="Q40" s="116">
        <f>IF(Q11=0,0,Q11/TrRail_act!Q6*1000)</f>
        <v>45.510550265660768</v>
      </c>
      <c r="R40" s="116">
        <f>IF(R11=0,0,R11/TrRail_act!R6*1000)</f>
        <v>45.329392497815213</v>
      </c>
      <c r="S40" s="116">
        <f>IF(S11=0,0,S11/TrRail_act!S6*1000)</f>
        <v>45.456060134014514</v>
      </c>
      <c r="T40" s="116">
        <f>IF(T11=0,0,T11/TrRail_act!T6*1000)</f>
        <v>35.218529889835665</v>
      </c>
      <c r="U40" s="116">
        <f>IF(U11=0,0,U11/TrRail_act!U6*1000)</f>
        <v>47.834156860735213</v>
      </c>
      <c r="V40" s="116">
        <f>IF(V11=0,0,V11/TrRail_act!V6*1000)</f>
        <v>70.085002597453681</v>
      </c>
      <c r="W40" s="116">
        <f>IF(W11=0,0,W11/TrRail_act!W6*1000)</f>
        <v>61.469085673980359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105.10092206928044</v>
      </c>
      <c r="C41" s="87">
        <f>IF(C12=0,0,C12/TrRail_act!C7*1000)</f>
        <v>72.7713998949922</v>
      </c>
      <c r="D41" s="87">
        <f>IF(D12=0,0,D12/TrRail_act!D7*1000)</f>
        <v>100.93208679056011</v>
      </c>
      <c r="E41" s="87">
        <f>IF(E12=0,0,E12/TrRail_act!E7*1000)</f>
        <v>102.70670479109594</v>
      </c>
      <c r="F41" s="87">
        <f>IF(F12=0,0,F12/TrRail_act!F7*1000)</f>
        <v>100.60619466535901</v>
      </c>
      <c r="G41" s="87">
        <f>IF(G12=0,0,G12/TrRail_act!G7*1000)</f>
        <v>61.541037770222715</v>
      </c>
      <c r="H41" s="87">
        <f>IF(H12=0,0,H12/TrRail_act!H7*1000)</f>
        <v>53.778208280086481</v>
      </c>
      <c r="I41" s="87">
        <f>IF(I12=0,0,I12/TrRail_act!I7*1000)</f>
        <v>88.977372719401473</v>
      </c>
      <c r="J41" s="87">
        <f>IF(J12=0,0,J12/TrRail_act!J7*1000)</f>
        <v>96.741520918842753</v>
      </c>
      <c r="K41" s="87">
        <f>IF(K12=0,0,K12/TrRail_act!K7*1000)</f>
        <v>110.63697743900961</v>
      </c>
      <c r="L41" s="87">
        <f>IF(L12=0,0,L12/TrRail_act!L7*1000)</f>
        <v>110.62928733313029</v>
      </c>
      <c r="M41" s="87">
        <f>IF(M12=0,0,M12/TrRail_act!M7*1000)</f>
        <v>140.06794543877902</v>
      </c>
      <c r="N41" s="87">
        <f>IF(N12=0,0,N12/TrRail_act!N7*1000)</f>
        <v>157.83138757096205</v>
      </c>
      <c r="O41" s="87">
        <f>IF(O12=0,0,O12/TrRail_act!O7*1000)</f>
        <v>135.99069732566804</v>
      </c>
      <c r="P41" s="87">
        <f>IF(P12=0,0,P12/TrRail_act!P7*1000)</f>
        <v>91.892526184630754</v>
      </c>
      <c r="Q41" s="87">
        <f>IF(Q12=0,0,Q12/TrRail_act!Q7*1000)</f>
        <v>110.67056972769876</v>
      </c>
      <c r="R41" s="87">
        <f>IF(R12=0,0,R12/TrRail_act!R7*1000)</f>
        <v>108.85717306970631</v>
      </c>
      <c r="S41" s="87">
        <f>IF(S12=0,0,S12/TrRail_act!S7*1000)</f>
        <v>132.53542656152064</v>
      </c>
      <c r="T41" s="87">
        <f>IF(T12=0,0,T12/TrRail_act!T7*1000)</f>
        <v>100.94139329496326</v>
      </c>
      <c r="U41" s="87">
        <f>IF(U12=0,0,U12/TrRail_act!U7*1000)</f>
        <v>122.44518721596799</v>
      </c>
      <c r="V41" s="87">
        <f>IF(V12=0,0,V12/TrRail_act!V7*1000)</f>
        <v>199.29317052799323</v>
      </c>
      <c r="W41" s="87">
        <f>IF(W12=0,0,W12/TrRail_act!W7*1000)</f>
        <v>189.40174914321804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15.067331287235959</v>
      </c>
      <c r="C44" s="29">
        <f>IF(C15=0,0,C15/TrRail_act!C10*1000)</f>
        <v>9.4777929635866354</v>
      </c>
      <c r="D44" s="29">
        <f>IF(D15=0,0,D15/TrRail_act!D10*1000)</f>
        <v>13.695624427945958</v>
      </c>
      <c r="E44" s="29">
        <f>IF(E15=0,0,E15/TrRail_act!E10*1000)</f>
        <v>8.46199027663374</v>
      </c>
      <c r="F44" s="29">
        <f>IF(F15=0,0,F15/TrRail_act!F10*1000)</f>
        <v>9.2923352227894132</v>
      </c>
      <c r="G44" s="29">
        <f>IF(G15=0,0,G15/TrRail_act!G10*1000)</f>
        <v>4.9036375539401051</v>
      </c>
      <c r="H44" s="29">
        <f>IF(H15=0,0,H15/TrRail_act!H10*1000)</f>
        <v>5.412504771333106</v>
      </c>
      <c r="I44" s="29">
        <f>IF(I15=0,0,I15/TrRail_act!I10*1000)</f>
        <v>10.718841886274625</v>
      </c>
      <c r="J44" s="29">
        <f>IF(J15=0,0,J15/TrRail_act!J10*1000)</f>
        <v>9.8647733196740965</v>
      </c>
      <c r="K44" s="29">
        <f>IF(K15=0,0,K15/TrRail_act!K10*1000)</f>
        <v>8.0889974592426359</v>
      </c>
      <c r="L44" s="29">
        <f>IF(L15=0,0,L15/TrRail_act!L10*1000)</f>
        <v>8.6785844893219437</v>
      </c>
      <c r="M44" s="29">
        <f>IF(M15=0,0,M15/TrRail_act!M10*1000)</f>
        <v>10.903522990716837</v>
      </c>
      <c r="N44" s="29">
        <f>IF(N15=0,0,N15/TrRail_act!N10*1000)</f>
        <v>10.400746289363552</v>
      </c>
      <c r="O44" s="29">
        <f>IF(O15=0,0,O15/TrRail_act!O10*1000)</f>
        <v>9.8976163597639228</v>
      </c>
      <c r="P44" s="29">
        <f>IF(P15=0,0,P15/TrRail_act!P10*1000)</f>
        <v>6.4875847796434947</v>
      </c>
      <c r="Q44" s="29">
        <f>IF(Q15=0,0,Q15/TrRail_act!Q10*1000)</f>
        <v>8.3886805062614531</v>
      </c>
      <c r="R44" s="29">
        <f>IF(R15=0,0,R15/TrRail_act!R10*1000)</f>
        <v>8.3853570905724126</v>
      </c>
      <c r="S44" s="29">
        <f>IF(S15=0,0,S15/TrRail_act!S10*1000)</f>
        <v>7.3022111552079325</v>
      </c>
      <c r="T44" s="29">
        <f>IF(T15=0,0,T15/TrRail_act!T10*1000)</f>
        <v>7.2423661704180597</v>
      </c>
      <c r="U44" s="29">
        <f>IF(U15=0,0,U15/TrRail_act!U10*1000)</f>
        <v>8.8988401397609511</v>
      </c>
      <c r="V44" s="29">
        <f>IF(V15=0,0,V15/TrRail_act!V10*1000)</f>
        <v>6.9965798923986791</v>
      </c>
      <c r="W44" s="29">
        <f>IF(W15=0,0,W15/TrRail_act!W10*1000)</f>
        <v>10.52605029038018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32.265866876498002</v>
      </c>
      <c r="C45" s="87">
        <f>IF(C16=0,0,C16/TrRail_act!C11*1000)</f>
        <v>27.581872306135278</v>
      </c>
      <c r="D45" s="87">
        <f>IF(D16=0,0,D16/TrRail_act!D11*1000)</f>
        <v>34.286617737848168</v>
      </c>
      <c r="E45" s="87">
        <f>IF(E16=0,0,E16/TrRail_act!E11*1000)</f>
        <v>26.973266743735117</v>
      </c>
      <c r="F45" s="87">
        <f>IF(F16=0,0,F16/TrRail_act!F11*1000)</f>
        <v>25.975301192108027</v>
      </c>
      <c r="G45" s="87">
        <f>IF(G16=0,0,G16/TrRail_act!G11*1000)</f>
        <v>23.805232897730381</v>
      </c>
      <c r="H45" s="87">
        <f>IF(H16=0,0,H16/TrRail_act!H11*1000)</f>
        <v>24.838952317695757</v>
      </c>
      <c r="I45" s="87">
        <f>IF(I16=0,0,I16/TrRail_act!I11*1000)</f>
        <v>29.458828913158175</v>
      </c>
      <c r="J45" s="87">
        <f>IF(J16=0,0,J16/TrRail_act!J11*1000)</f>
        <v>29.414616634175847</v>
      </c>
      <c r="K45" s="87">
        <f>IF(K16=0,0,K16/TrRail_act!K11*1000)</f>
        <v>28.9312411951061</v>
      </c>
      <c r="L45" s="87">
        <f>IF(L16=0,0,L16/TrRail_act!L11*1000)</f>
        <v>27.56757877583566</v>
      </c>
      <c r="M45" s="87">
        <f>IF(M16=0,0,M16/TrRail_act!M11*1000)</f>
        <v>33.262627045131339</v>
      </c>
      <c r="N45" s="87">
        <f>IF(N16=0,0,N16/TrRail_act!N11*1000)</f>
        <v>33.436939184340247</v>
      </c>
      <c r="O45" s="87">
        <f>IF(O16=0,0,O16/TrRail_act!O11*1000)</f>
        <v>32.292747813953952</v>
      </c>
      <c r="P45" s="87">
        <f>IF(P16=0,0,P16/TrRail_act!P11*1000)</f>
        <v>24.204825675678148</v>
      </c>
      <c r="Q45" s="87">
        <f>IF(Q16=0,0,Q16/TrRail_act!Q11*1000)</f>
        <v>31.183625297146673</v>
      </c>
      <c r="R45" s="87">
        <f>IF(R16=0,0,R16/TrRail_act!R11*1000)</f>
        <v>31.100684645799763</v>
      </c>
      <c r="S45" s="87">
        <f>IF(S16=0,0,S16/TrRail_act!S11*1000)</f>
        <v>29.625460728936865</v>
      </c>
      <c r="T45" s="87">
        <f>IF(T16=0,0,T16/TrRail_act!T11*1000)</f>
        <v>28.894326572410229</v>
      </c>
      <c r="U45" s="87">
        <f>IF(U16=0,0,U16/TrRail_act!U11*1000)</f>
        <v>31.017669619902822</v>
      </c>
      <c r="V45" s="87">
        <f>IF(V16=0,0,V16/TrRail_act!V11*1000)</f>
        <v>28.46060484417751</v>
      </c>
      <c r="W45" s="87">
        <f>IF(W16=0,0,W16/TrRail_act!W11*1000)</f>
        <v>41.659672814385623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788.40429529036328</v>
      </c>
      <c r="C48" s="62">
        <f>IF(C8=0,0,1000000*C8/TrRail_act!C25/1000)</f>
        <v>397.81479433481144</v>
      </c>
      <c r="D48" s="62">
        <f>IF(D8=0,0,1000000*D8/TrRail_act!D25/1000)</f>
        <v>475.8892133071048</v>
      </c>
      <c r="E48" s="62">
        <f>IF(E8=0,0,1000000*E8/TrRail_act!E25/1000)</f>
        <v>443.61135446592067</v>
      </c>
      <c r="F48" s="62">
        <f>IF(F8=0,0,1000000*F8/TrRail_act!F25/1000)</f>
        <v>486.64255040774549</v>
      </c>
      <c r="G48" s="62">
        <f>IF(G8=0,0,1000000*G8/TrRail_act!G25/1000)</f>
        <v>181.89311362782308</v>
      </c>
      <c r="H48" s="62">
        <f>IF(H8=0,0,1000000*H8/TrRail_act!H25/1000)</f>
        <v>180.49793872241199</v>
      </c>
      <c r="I48" s="62">
        <f>IF(I8=0,0,1000000*I8/TrRail_act!I25/1000)</f>
        <v>417.52635384953487</v>
      </c>
      <c r="J48" s="62">
        <f>IF(J8=0,0,1000000*J8/TrRail_act!J25/1000)</f>
        <v>391.89716101246404</v>
      </c>
      <c r="K48" s="62">
        <f>IF(K8=0,0,1000000*K8/TrRail_act!K25/1000)</f>
        <v>295.74107142569073</v>
      </c>
      <c r="L48" s="62">
        <f>IF(L8=0,0,1000000*L8/TrRail_act!L25/1000)</f>
        <v>328.1473094947948</v>
      </c>
      <c r="M48" s="62">
        <f>IF(M8=0,0,1000000*M8/TrRail_act!M25/1000)</f>
        <v>405.90823360730997</v>
      </c>
      <c r="N48" s="62">
        <f>IF(N8=0,0,1000000*N8/TrRail_act!N25/1000)</f>
        <v>364.08895722537068</v>
      </c>
      <c r="O48" s="62">
        <f>IF(O8=0,0,1000000*O8/TrRail_act!O25/1000)</f>
        <v>329.30583284544906</v>
      </c>
      <c r="P48" s="62">
        <f>IF(P8=0,0,1000000*P8/TrRail_act!P25/1000)</f>
        <v>228.52881300639939</v>
      </c>
      <c r="Q48" s="62">
        <f>IF(Q8=0,0,1000000*Q8/TrRail_act!Q25/1000)</f>
        <v>240.65855894915614</v>
      </c>
      <c r="R48" s="62">
        <f>IF(R8=0,0,1000000*R8/TrRail_act!R25/1000)</f>
        <v>253.42327379509385</v>
      </c>
      <c r="S48" s="62">
        <f>IF(S8=0,0,1000000*S8/TrRail_act!S25/1000)</f>
        <v>272.78937951056275</v>
      </c>
      <c r="T48" s="62">
        <f>IF(T8=0,0,1000000*T8/TrRail_act!T25/1000)</f>
        <v>242.02652494373027</v>
      </c>
      <c r="U48" s="62">
        <f>IF(U8=0,0,1000000*U8/TrRail_act!U25/1000)</f>
        <v>330.6691251274512</v>
      </c>
      <c r="V48" s="62">
        <f>IF(V8=0,0,1000000*V8/TrRail_act!V25/1000)</f>
        <v>307.84587136433981</v>
      </c>
      <c r="W48" s="62">
        <f>IF(W8=0,0,1000000*W8/TrRail_act!W25/1000)</f>
        <v>348.78742158451098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636.12878419228605</v>
      </c>
      <c r="C49" s="29">
        <f>IF(C9=0,0,1000000*C9/TrRail_act!C26/1000)</f>
        <v>293.59094632021169</v>
      </c>
      <c r="D49" s="29">
        <f>IF(D9=0,0,1000000*D9/TrRail_act!D26/1000)</f>
        <v>355.95830508076938</v>
      </c>
      <c r="E49" s="29">
        <f>IF(E9=0,0,1000000*E9/TrRail_act!E26/1000)</f>
        <v>389.05860454863307</v>
      </c>
      <c r="F49" s="29">
        <f>IF(F9=0,0,1000000*F9/TrRail_act!F26/1000)</f>
        <v>413.17882726316566</v>
      </c>
      <c r="G49" s="29">
        <f>IF(G9=0,0,1000000*G9/TrRail_act!G26/1000)</f>
        <v>133.3285439521959</v>
      </c>
      <c r="H49" s="29">
        <f>IF(H9=0,0,1000000*H9/TrRail_act!H26/1000)</f>
        <v>125.68398522208585</v>
      </c>
      <c r="I49" s="29">
        <f>IF(I9=0,0,1000000*I9/TrRail_act!I26/1000)</f>
        <v>329.53041346820686</v>
      </c>
      <c r="J49" s="29">
        <f>IF(J9=0,0,1000000*J9/TrRail_act!J26/1000)</f>
        <v>313.63448642534314</v>
      </c>
      <c r="K49" s="29">
        <f>IF(K9=0,0,1000000*K9/TrRail_act!K26/1000)</f>
        <v>253.0883459835766</v>
      </c>
      <c r="L49" s="29">
        <f>IF(L9=0,0,1000000*L9/TrRail_act!L26/1000)</f>
        <v>273.66702129146626</v>
      </c>
      <c r="M49" s="29">
        <f>IF(M9=0,0,1000000*M9/TrRail_act!M26/1000)</f>
        <v>333.11804945199447</v>
      </c>
      <c r="N49" s="29">
        <f>IF(N9=0,0,1000000*N9/TrRail_act!N26/1000)</f>
        <v>302.1683689648188</v>
      </c>
      <c r="O49" s="29">
        <f>IF(O9=0,0,1000000*O9/TrRail_act!O26/1000)</f>
        <v>269.55308630788375</v>
      </c>
      <c r="P49" s="29">
        <f>IF(P9=0,0,1000000*P9/TrRail_act!P26/1000)</f>
        <v>190.47927549010319</v>
      </c>
      <c r="Q49" s="29">
        <f>IF(Q9=0,0,1000000*Q9/TrRail_act!Q26/1000)</f>
        <v>177.9560477710134</v>
      </c>
      <c r="R49" s="29">
        <f>IF(R9=0,0,1000000*R9/TrRail_act!R26/1000)</f>
        <v>186.73774998939015</v>
      </c>
      <c r="S49" s="29">
        <f>IF(S9=0,0,1000000*S9/TrRail_act!S26/1000)</f>
        <v>217.93741600845962</v>
      </c>
      <c r="T49" s="29">
        <f>IF(T9=0,0,1000000*T9/TrRail_act!T26/1000)</f>
        <v>182.684656074781</v>
      </c>
      <c r="U49" s="29">
        <f>IF(U9=0,0,1000000*U9/TrRail_act!U26/1000)</f>
        <v>262.14977202566882</v>
      </c>
      <c r="V49" s="29">
        <f>IF(V9=0,0,1000000*V9/TrRail_act!V26/1000)</f>
        <v>262.75944497428998</v>
      </c>
      <c r="W49" s="29">
        <f>IF(W9=0,0,1000000*W9/TrRail_act!W26/1000)</f>
        <v>264.84288716244095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1593.3446640574948</v>
      </c>
      <c r="C51" s="116">
        <f>IF(C11=0,0,1000000*C11/TrRail_act!C28/1000)</f>
        <v>757.07548681068863</v>
      </c>
      <c r="D51" s="116">
        <f>IF(D11=0,0,1000000*D11/TrRail_act!D28/1000)</f>
        <v>812.68197477222122</v>
      </c>
      <c r="E51" s="116">
        <f>IF(E11=0,0,1000000*E11/TrRail_act!E28/1000)</f>
        <v>914.52281786932087</v>
      </c>
      <c r="F51" s="116">
        <f>IF(F11=0,0,1000000*F11/TrRail_act!F28/1000)</f>
        <v>991.77614014809637</v>
      </c>
      <c r="G51" s="116">
        <f>IF(G11=0,0,1000000*G11/TrRail_act!G28/1000)</f>
        <v>354.1735272815302</v>
      </c>
      <c r="H51" s="116">
        <f>IF(H11=0,0,1000000*H11/TrRail_act!H28/1000)</f>
        <v>365.92119453677719</v>
      </c>
      <c r="I51" s="116">
        <f>IF(I11=0,0,1000000*I11/TrRail_act!I28/1000)</f>
        <v>869.84948775933594</v>
      </c>
      <c r="J51" s="116">
        <f>IF(J11=0,0,1000000*J11/TrRail_act!J28/1000)</f>
        <v>866.04319456954556</v>
      </c>
      <c r="K51" s="116">
        <f>IF(K11=0,0,1000000*K11/TrRail_act!K28/1000)</f>
        <v>768.24252472295836</v>
      </c>
      <c r="L51" s="116">
        <f>IF(L11=0,0,1000000*L11/TrRail_act!L28/1000)</f>
        <v>820.43284188593782</v>
      </c>
      <c r="M51" s="116">
        <f>IF(M11=0,0,1000000*M11/TrRail_act!M28/1000)</f>
        <v>911.57664026896487</v>
      </c>
      <c r="N51" s="116">
        <f>IF(N11=0,0,1000000*N11/TrRail_act!N28/1000)</f>
        <v>888.24405040466308</v>
      </c>
      <c r="O51" s="116">
        <f>IF(O11=0,0,1000000*O11/TrRail_act!O28/1000)</f>
        <v>847.52240276800717</v>
      </c>
      <c r="P51" s="116">
        <f>IF(P11=0,0,1000000*P11/TrRail_act!P28/1000)</f>
        <v>636.04978881956185</v>
      </c>
      <c r="Q51" s="116">
        <f>IF(Q11=0,0,1000000*Q11/TrRail_act!Q28/1000)</f>
        <v>537.80944663000048</v>
      </c>
      <c r="R51" s="116">
        <f>IF(R11=0,0,1000000*R11/TrRail_act!R28/1000)</f>
        <v>574.74280818811553</v>
      </c>
      <c r="S51" s="116">
        <f>IF(S11=0,0,1000000*S11/TrRail_act!S28/1000)</f>
        <v>602.24602494879798</v>
      </c>
      <c r="T51" s="116">
        <f>IF(T11=0,0,1000000*T11/TrRail_act!T28/1000)</f>
        <v>510.02122686457579</v>
      </c>
      <c r="U51" s="116">
        <f>IF(U11=0,0,1000000*U11/TrRail_act!U28/1000)</f>
        <v>625.98872164472698</v>
      </c>
      <c r="V51" s="116">
        <f>IF(V11=0,0,1000000*V11/TrRail_act!V28/1000)</f>
        <v>608.84080826176591</v>
      </c>
      <c r="W51" s="116">
        <f>IF(W11=0,0,1000000*W11/TrRail_act!W28/1000)</f>
        <v>597.08306178297732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1840.638432756472</v>
      </c>
      <c r="C52" s="87">
        <f>IF(C12=0,0,1000000*C12/TrRail_act!C29/1000)</f>
        <v>926.24885440352728</v>
      </c>
      <c r="D52" s="87">
        <f>IF(D12=0,0,1000000*D12/TrRail_act!D29/1000)</f>
        <v>1376.2579909704405</v>
      </c>
      <c r="E52" s="87">
        <f>IF(E12=0,0,1000000*E12/TrRail_act!E29/1000)</f>
        <v>1619.0463007584424</v>
      </c>
      <c r="F52" s="87">
        <f>IF(F12=0,0,1000000*F12/TrRail_act!F29/1000)</f>
        <v>1677.6638588568001</v>
      </c>
      <c r="G52" s="87">
        <f>IF(G12=0,0,1000000*G12/TrRail_act!G29/1000)</f>
        <v>628.01177618605402</v>
      </c>
      <c r="H52" s="87">
        <f>IF(H12=0,0,1000000*H12/TrRail_act!H29/1000)</f>
        <v>689.4170946860271</v>
      </c>
      <c r="I52" s="87">
        <f>IF(I12=0,0,1000000*I12/TrRail_act!I29/1000)</f>
        <v>1393.5328156098108</v>
      </c>
      <c r="J52" s="87">
        <f>IF(J12=0,0,1000000*J12/TrRail_act!J29/1000)</f>
        <v>1390.9680875330746</v>
      </c>
      <c r="K52" s="87">
        <f>IF(K12=0,0,1000000*K12/TrRail_act!K29/1000)</f>
        <v>1286.2432089757417</v>
      </c>
      <c r="L52" s="87">
        <f>IF(L12=0,0,1000000*L12/TrRail_act!L29/1000)</f>
        <v>1305.7113037750487</v>
      </c>
      <c r="M52" s="87">
        <f>IF(M12=0,0,1000000*M12/TrRail_act!M29/1000)</f>
        <v>1311.6646656473349</v>
      </c>
      <c r="N52" s="87">
        <f>IF(N12=0,0,1000000*N12/TrRail_act!N29/1000)</f>
        <v>1307.8872260415048</v>
      </c>
      <c r="O52" s="87">
        <f>IF(O12=0,0,1000000*O12/TrRail_act!O29/1000)</f>
        <v>1278.5426480197716</v>
      </c>
      <c r="P52" s="87">
        <f>IF(P12=0,0,1000000*P12/TrRail_act!P29/1000)</f>
        <v>991.2952782025443</v>
      </c>
      <c r="Q52" s="87">
        <f>IF(Q12=0,0,1000000*Q12/TrRail_act!Q29/1000)</f>
        <v>1053.1291235947297</v>
      </c>
      <c r="R52" s="87">
        <f>IF(R12=0,0,1000000*R12/TrRail_act!R29/1000)</f>
        <v>1216.4097624568549</v>
      </c>
      <c r="S52" s="87">
        <f>IF(S12=0,0,1000000*S12/TrRail_act!S29/1000)</f>
        <v>1230.7486097364381</v>
      </c>
      <c r="T52" s="87">
        <f>IF(T12=0,0,1000000*T12/TrRail_act!T29/1000)</f>
        <v>1138.4934939249624</v>
      </c>
      <c r="U52" s="87">
        <f>IF(U12=0,0,1000000*U12/TrRail_act!U29/1000)</f>
        <v>1224.9147597563635</v>
      </c>
      <c r="V52" s="87">
        <f>IF(V12=0,0,1000000*V12/TrRail_act!V29/1000)</f>
        <v>1222.6492484880689</v>
      </c>
      <c r="W52" s="87">
        <f>IF(W12=0,0,1000000*W12/TrRail_act!W29/1000)</f>
        <v>1221.1322915264066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2285.665053776067</v>
      </c>
      <c r="C55" s="29">
        <f>IF(C15=0,0,1000000*C15/TrRail_act!C32/1000)</f>
        <v>1373.6413640223611</v>
      </c>
      <c r="D55" s="29">
        <f>IF(D15=0,0,1000000*D15/TrRail_act!D32/1000)</f>
        <v>1367.6540988970924</v>
      </c>
      <c r="E55" s="29">
        <f>IF(E15=0,0,1000000*E15/TrRail_act!E32/1000)</f>
        <v>817.66602818464628</v>
      </c>
      <c r="F55" s="29">
        <f>IF(F15=0,0,1000000*F15/TrRail_act!F32/1000)</f>
        <v>1020.6561496013088</v>
      </c>
      <c r="G55" s="29">
        <f>IF(G15=0,0,1000000*G15/TrRail_act!G32/1000)</f>
        <v>563.91455779906278</v>
      </c>
      <c r="H55" s="29">
        <f>IF(H15=0,0,1000000*H15/TrRail_act!H32/1000)</f>
        <v>640.64066991233585</v>
      </c>
      <c r="I55" s="29">
        <f>IF(I15=0,0,1000000*I15/TrRail_act!I32/1000)</f>
        <v>1158.9965208035953</v>
      </c>
      <c r="J55" s="29">
        <f>IF(J15=0,0,1000000*J15/TrRail_act!J32/1000)</f>
        <v>1102.0255095062403</v>
      </c>
      <c r="K55" s="29">
        <f>IF(K15=0,0,1000000*K15/TrRail_act!K32/1000)</f>
        <v>714.07474185010176</v>
      </c>
      <c r="L55" s="29">
        <f>IF(L15=0,0,1000000*L15/TrRail_act!L32/1000)</f>
        <v>925.69980046012029</v>
      </c>
      <c r="M55" s="29">
        <f>IF(M15=0,0,1000000*M15/TrRail_act!M32/1000)</f>
        <v>1064.7435846383692</v>
      </c>
      <c r="N55" s="29">
        <f>IF(N15=0,0,1000000*N15/TrRail_act!N32/1000)</f>
        <v>989.47025425424147</v>
      </c>
      <c r="O55" s="29">
        <f>IF(O15=0,0,1000000*O15/TrRail_act!O32/1000)</f>
        <v>953.0918948350793</v>
      </c>
      <c r="P55" s="29">
        <f>IF(P15=0,0,1000000*P15/TrRail_act!P32/1000)</f>
        <v>643.67652478735749</v>
      </c>
      <c r="Q55" s="29">
        <f>IF(Q15=0,0,1000000*Q15/TrRail_act!Q32/1000)</f>
        <v>859.07371187949821</v>
      </c>
      <c r="R55" s="29">
        <f>IF(R15=0,0,1000000*R15/TrRail_act!R32/1000)</f>
        <v>878.17286363193011</v>
      </c>
      <c r="S55" s="29">
        <f>IF(S15=0,0,1000000*S15/TrRail_act!S32/1000)</f>
        <v>765.77191848118366</v>
      </c>
      <c r="T55" s="29">
        <f>IF(T15=0,0,1000000*T15/TrRail_act!T32/1000)</f>
        <v>741.7620908681746</v>
      </c>
      <c r="U55" s="29">
        <f>IF(U15=0,0,1000000*U15/TrRail_act!U32/1000)</f>
        <v>877.87684550810491</v>
      </c>
      <c r="V55" s="29">
        <f>IF(V15=0,0,1000000*V15/TrRail_act!V32/1000)</f>
        <v>641.63236250018315</v>
      </c>
      <c r="W55" s="29">
        <f>IF(W15=0,0,1000000*W15/TrRail_act!W32/1000)</f>
        <v>830.87033135987565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3968.2189636327057</v>
      </c>
      <c r="C56" s="87">
        <f>IF(C16=0,0,1000000*C16/TrRail_act!C33/1000)</f>
        <v>2730.7366859785679</v>
      </c>
      <c r="D56" s="87">
        <f>IF(D16=0,0,1000000*D16/TrRail_act!D33/1000)</f>
        <v>3805.6938768920299</v>
      </c>
      <c r="E56" s="87">
        <f>IF(E16=0,0,1000000*E16/TrRail_act!E33/1000)</f>
        <v>2620.905056111023</v>
      </c>
      <c r="F56" s="87">
        <f>IF(F16=0,0,1000000*F16/TrRail_act!F33/1000)</f>
        <v>3735.2718998258542</v>
      </c>
      <c r="G56" s="87">
        <f>IF(G16=0,0,1000000*G16/TrRail_act!G33/1000)</f>
        <v>2250.1402231555962</v>
      </c>
      <c r="H56" s="87">
        <f>IF(H16=0,0,1000000*H16/TrRail_act!H33/1000)</f>
        <v>2855.9256030043216</v>
      </c>
      <c r="I56" s="87">
        <f>IF(I16=0,0,1000000*I16/TrRail_act!I33/1000)</f>
        <v>3607.8916621199596</v>
      </c>
      <c r="J56" s="87">
        <f>IF(J16=0,0,1000000*J16/TrRail_act!J33/1000)</f>
        <v>3574.9501955488649</v>
      </c>
      <c r="K56" s="87">
        <f>IF(K16=0,0,1000000*K16/TrRail_act!K33/1000)</f>
        <v>2503.0335671146577</v>
      </c>
      <c r="L56" s="87">
        <f>IF(L16=0,0,1000000*L16/TrRail_act!L33/1000)</f>
        <v>3484.9697279271331</v>
      </c>
      <c r="M56" s="87">
        <f>IF(M16=0,0,1000000*M16/TrRail_act!M33/1000)</f>
        <v>3476.158816686112</v>
      </c>
      <c r="N56" s="87">
        <f>IF(N16=0,0,1000000*N16/TrRail_act!N33/1000)</f>
        <v>3409.157721921104</v>
      </c>
      <c r="O56" s="87">
        <f>IF(O16=0,0,1000000*O16/TrRail_act!O33/1000)</f>
        <v>3333.9523940820136</v>
      </c>
      <c r="P56" s="87">
        <f>IF(P16=0,0,1000000*P16/TrRail_act!P33/1000)</f>
        <v>2470.2511029931361</v>
      </c>
      <c r="Q56" s="87">
        <f>IF(Q16=0,0,1000000*Q16/TrRail_act!Q33/1000)</f>
        <v>3258.0778589048568</v>
      </c>
      <c r="R56" s="87">
        <f>IF(R16=0,0,1000000*R16/TrRail_act!R33/1000)</f>
        <v>3231.6027519607896</v>
      </c>
      <c r="S56" s="87">
        <f>IF(S16=0,0,1000000*S16/TrRail_act!S33/1000)</f>
        <v>3214.6596646155258</v>
      </c>
      <c r="T56" s="87">
        <f>IF(T16=0,0,1000000*T16/TrRail_act!T33/1000)</f>
        <v>3203.6497215798045</v>
      </c>
      <c r="U56" s="87">
        <f>IF(U16=0,0,1000000*U16/TrRail_act!U33/1000)</f>
        <v>3194.3950131902193</v>
      </c>
      <c r="V56" s="87">
        <f>IF(V16=0,0,1000000*V16/TrRail_act!V33/1000)</f>
        <v>2785.3057273117379</v>
      </c>
      <c r="W56" s="87">
        <f>IF(W16=0,0,1000000*W16/TrRail_act!W33/1000)</f>
        <v>3181.7154799422542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0.73237184304060254</v>
      </c>
      <c r="C60" s="31">
        <f t="shared" ref="C60:V60" si="8">IF(C9=0,0,C9/C$8)</f>
        <v>0.66679193511538704</v>
      </c>
      <c r="D60" s="31">
        <f t="shared" si="8"/>
        <v>0.65931611698572057</v>
      </c>
      <c r="E60" s="31">
        <f t="shared" si="8"/>
        <v>0.76539878369665681</v>
      </c>
      <c r="F60" s="31">
        <f t="shared" si="8"/>
        <v>0.74636321375879533</v>
      </c>
      <c r="G60" s="31">
        <f t="shared" si="8"/>
        <v>0.65033136769380562</v>
      </c>
      <c r="H60" s="31">
        <f t="shared" si="8"/>
        <v>0.6221993629766277</v>
      </c>
      <c r="I60" s="31">
        <f t="shared" si="8"/>
        <v>0.70551564231234887</v>
      </c>
      <c r="J60" s="31">
        <f t="shared" si="8"/>
        <v>0.72085326968701335</v>
      </c>
      <c r="K60" s="31">
        <f t="shared" si="8"/>
        <v>0.77659612201821804</v>
      </c>
      <c r="L60" s="31">
        <f t="shared" si="8"/>
        <v>0.7642936463561244</v>
      </c>
      <c r="M60" s="31">
        <f t="shared" si="8"/>
        <v>0.73902366099799399</v>
      </c>
      <c r="N60" s="31">
        <f t="shared" si="8"/>
        <v>0.75515977258115374</v>
      </c>
      <c r="O60" s="31">
        <f t="shared" si="8"/>
        <v>0.74699444979897289</v>
      </c>
      <c r="P60" s="31">
        <f t="shared" si="8"/>
        <v>0.76352304543603988</v>
      </c>
      <c r="Q60" s="31">
        <f t="shared" si="8"/>
        <v>0.67138157593084824</v>
      </c>
      <c r="R60" s="31">
        <f t="shared" si="8"/>
        <v>0.66579445449984576</v>
      </c>
      <c r="S60" s="31">
        <f t="shared" si="8"/>
        <v>0.7189298171351064</v>
      </c>
      <c r="T60" s="31">
        <f t="shared" si="8"/>
        <v>0.67469486056912442</v>
      </c>
      <c r="U60" s="31">
        <f t="shared" si="8"/>
        <v>0.70456295400599667</v>
      </c>
      <c r="V60" s="31">
        <f t="shared" si="8"/>
        <v>0.75196944856545322</v>
      </c>
      <c r="W60" s="31">
        <f t="shared" ref="W60" si="9">IF(W9=0,0,W9/W$8)</f>
        <v>0.64671323089253796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0.73237184304060254</v>
      </c>
      <c r="C62" s="124">
        <f t="shared" ref="C62:V62" si="12">IF(C11=0,0,C11/C$8)</f>
        <v>0.66679193511538704</v>
      </c>
      <c r="D62" s="124">
        <f t="shared" si="12"/>
        <v>0.65931611698572057</v>
      </c>
      <c r="E62" s="124">
        <f t="shared" si="12"/>
        <v>0.76539878369665681</v>
      </c>
      <c r="F62" s="124">
        <f t="shared" si="12"/>
        <v>0.74636321375879533</v>
      </c>
      <c r="G62" s="124">
        <f t="shared" si="12"/>
        <v>0.65033136769380562</v>
      </c>
      <c r="H62" s="124">
        <f t="shared" si="12"/>
        <v>0.6221993629766277</v>
      </c>
      <c r="I62" s="124">
        <f t="shared" si="12"/>
        <v>0.70551564231234887</v>
      </c>
      <c r="J62" s="124">
        <f t="shared" si="12"/>
        <v>0.72085326968701335</v>
      </c>
      <c r="K62" s="124">
        <f t="shared" si="12"/>
        <v>0.77659612201821804</v>
      </c>
      <c r="L62" s="124">
        <f t="shared" si="12"/>
        <v>0.7642936463561244</v>
      </c>
      <c r="M62" s="124">
        <f t="shared" si="12"/>
        <v>0.73902366099799399</v>
      </c>
      <c r="N62" s="124">
        <f t="shared" si="12"/>
        <v>0.75515977258115374</v>
      </c>
      <c r="O62" s="124">
        <f t="shared" si="12"/>
        <v>0.74699444979897289</v>
      </c>
      <c r="P62" s="124">
        <f t="shared" si="12"/>
        <v>0.76352304543603988</v>
      </c>
      <c r="Q62" s="124">
        <f t="shared" si="12"/>
        <v>0.67138157593084824</v>
      </c>
      <c r="R62" s="124">
        <f t="shared" si="12"/>
        <v>0.66579445449984576</v>
      </c>
      <c r="S62" s="124">
        <f t="shared" si="12"/>
        <v>0.7189298171351064</v>
      </c>
      <c r="T62" s="124">
        <f t="shared" si="12"/>
        <v>0.67469486056912442</v>
      </c>
      <c r="U62" s="124">
        <f t="shared" si="12"/>
        <v>0.70456295400599667</v>
      </c>
      <c r="V62" s="124">
        <f t="shared" si="12"/>
        <v>0.75196944856545322</v>
      </c>
      <c r="W62" s="124">
        <f t="shared" ref="W62" si="13">IF(W11=0,0,W11/W$8)</f>
        <v>0.64671323089253796</v>
      </c>
      <c r="DA62" s="176"/>
    </row>
    <row r="63" spans="1:105" ht="11.45" customHeight="1" x14ac:dyDescent="0.25">
      <c r="A63" s="111" t="s">
        <v>92</v>
      </c>
      <c r="B63" s="125">
        <f t="shared" si="5"/>
        <v>0.73237184304060254</v>
      </c>
      <c r="C63" s="125">
        <f t="shared" ref="C63:V63" si="14">IF(C12=0,0,C12/C$8)</f>
        <v>0.66679193511538704</v>
      </c>
      <c r="D63" s="125">
        <f t="shared" si="14"/>
        <v>0.65931611698572057</v>
      </c>
      <c r="E63" s="125">
        <f t="shared" si="14"/>
        <v>0.76539878369665681</v>
      </c>
      <c r="F63" s="125">
        <f t="shared" si="14"/>
        <v>0.74636321375879533</v>
      </c>
      <c r="G63" s="125">
        <f t="shared" si="14"/>
        <v>0.65033136769380562</v>
      </c>
      <c r="H63" s="125">
        <f t="shared" si="14"/>
        <v>0.6221993629766277</v>
      </c>
      <c r="I63" s="125">
        <f t="shared" si="14"/>
        <v>0.70551564231234887</v>
      </c>
      <c r="J63" s="125">
        <f t="shared" si="14"/>
        <v>0.72085326968701335</v>
      </c>
      <c r="K63" s="125">
        <f t="shared" si="14"/>
        <v>0.77659612201821804</v>
      </c>
      <c r="L63" s="125">
        <f t="shared" si="14"/>
        <v>0.7642936463561244</v>
      </c>
      <c r="M63" s="125">
        <f t="shared" si="14"/>
        <v>0.73902366099799399</v>
      </c>
      <c r="N63" s="125">
        <f t="shared" si="14"/>
        <v>0.75515977258115374</v>
      </c>
      <c r="O63" s="125">
        <f t="shared" si="14"/>
        <v>0.74699444979897289</v>
      </c>
      <c r="P63" s="125">
        <f t="shared" si="14"/>
        <v>0.76352304543603988</v>
      </c>
      <c r="Q63" s="125">
        <f t="shared" si="14"/>
        <v>0.67138157593084824</v>
      </c>
      <c r="R63" s="125">
        <f t="shared" si="14"/>
        <v>0.66579445449984576</v>
      </c>
      <c r="S63" s="125">
        <f t="shared" si="14"/>
        <v>0.7189298171351064</v>
      </c>
      <c r="T63" s="125">
        <f t="shared" si="14"/>
        <v>0.67469486056912442</v>
      </c>
      <c r="U63" s="125">
        <f t="shared" si="14"/>
        <v>0.70456295400599667</v>
      </c>
      <c r="V63" s="125">
        <f t="shared" si="14"/>
        <v>0.75196944856545322</v>
      </c>
      <c r="W63" s="125">
        <f t="shared" ref="W63" si="15">IF(W12=0,0,W12/W$8)</f>
        <v>0.64671323089253796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0.26762815695939757</v>
      </c>
      <c r="C66" s="31">
        <f t="shared" ref="C66:V66" si="20">IF(C15=0,0,C15/C$8)</f>
        <v>0.33320806488461291</v>
      </c>
      <c r="D66" s="31">
        <f t="shared" si="20"/>
        <v>0.34068388301427943</v>
      </c>
      <c r="E66" s="31">
        <f t="shared" si="20"/>
        <v>0.23460121630334324</v>
      </c>
      <c r="F66" s="31">
        <f t="shared" si="20"/>
        <v>0.25363678624120461</v>
      </c>
      <c r="G66" s="31">
        <f t="shared" si="20"/>
        <v>0.34966863230619444</v>
      </c>
      <c r="H66" s="31">
        <f t="shared" si="20"/>
        <v>0.3778006370233723</v>
      </c>
      <c r="I66" s="31">
        <f t="shared" si="20"/>
        <v>0.29448435768765119</v>
      </c>
      <c r="J66" s="31">
        <f t="shared" si="20"/>
        <v>0.2791467303129867</v>
      </c>
      <c r="K66" s="31">
        <f t="shared" si="20"/>
        <v>0.22340387798178193</v>
      </c>
      <c r="L66" s="31">
        <f t="shared" si="20"/>
        <v>0.23570635364387563</v>
      </c>
      <c r="M66" s="31">
        <f t="shared" si="20"/>
        <v>0.26097633900200612</v>
      </c>
      <c r="N66" s="31">
        <f t="shared" si="20"/>
        <v>0.24484022741884623</v>
      </c>
      <c r="O66" s="31">
        <f t="shared" si="20"/>
        <v>0.25300555020102705</v>
      </c>
      <c r="P66" s="31">
        <f t="shared" si="20"/>
        <v>0.23647695456396003</v>
      </c>
      <c r="Q66" s="31">
        <f t="shared" si="20"/>
        <v>0.3286184240691517</v>
      </c>
      <c r="R66" s="31">
        <f t="shared" si="20"/>
        <v>0.3342055455001543</v>
      </c>
      <c r="S66" s="31">
        <f t="shared" si="20"/>
        <v>0.28107018286489355</v>
      </c>
      <c r="T66" s="31">
        <f t="shared" si="20"/>
        <v>0.32530513943087547</v>
      </c>
      <c r="U66" s="31">
        <f t="shared" si="20"/>
        <v>0.29543704599400333</v>
      </c>
      <c r="V66" s="31">
        <f t="shared" si="20"/>
        <v>0.24803055143454675</v>
      </c>
      <c r="W66" s="31">
        <f t="shared" ref="W66" si="21">IF(W15=0,0,W15/W$8)</f>
        <v>0.35328676910746204</v>
      </c>
      <c r="DA66" s="173"/>
    </row>
    <row r="67" spans="1:105" ht="11.45" customHeight="1" x14ac:dyDescent="0.25">
      <c r="A67" s="83" t="s">
        <v>92</v>
      </c>
      <c r="B67" s="125">
        <f t="shared" si="5"/>
        <v>0.26762815695939757</v>
      </c>
      <c r="C67" s="125">
        <f t="shared" ref="C67:V67" si="22">IF(C16=0,0,C16/C$8)</f>
        <v>0.33320806488461291</v>
      </c>
      <c r="D67" s="125">
        <f t="shared" si="22"/>
        <v>0.34068388301427943</v>
      </c>
      <c r="E67" s="125">
        <f t="shared" si="22"/>
        <v>0.23460121630334324</v>
      </c>
      <c r="F67" s="125">
        <f t="shared" si="22"/>
        <v>0.25363678624120461</v>
      </c>
      <c r="G67" s="125">
        <f t="shared" si="22"/>
        <v>0.34966863230619444</v>
      </c>
      <c r="H67" s="125">
        <f t="shared" si="22"/>
        <v>0.3778006370233723</v>
      </c>
      <c r="I67" s="125">
        <f t="shared" si="22"/>
        <v>0.29448435768765119</v>
      </c>
      <c r="J67" s="125">
        <f t="shared" si="22"/>
        <v>0.2791467303129867</v>
      </c>
      <c r="K67" s="125">
        <f t="shared" si="22"/>
        <v>0.22340387798178193</v>
      </c>
      <c r="L67" s="125">
        <f t="shared" si="22"/>
        <v>0.23570635364387563</v>
      </c>
      <c r="M67" s="125">
        <f t="shared" si="22"/>
        <v>0.26097633900200612</v>
      </c>
      <c r="N67" s="125">
        <f t="shared" si="22"/>
        <v>0.24484022741884623</v>
      </c>
      <c r="O67" s="125">
        <f t="shared" si="22"/>
        <v>0.25300555020102705</v>
      </c>
      <c r="P67" s="125">
        <f t="shared" si="22"/>
        <v>0.23647695456396003</v>
      </c>
      <c r="Q67" s="125">
        <f t="shared" si="22"/>
        <v>0.3286184240691517</v>
      </c>
      <c r="R67" s="125">
        <f t="shared" si="22"/>
        <v>0.3342055455001543</v>
      </c>
      <c r="S67" s="125">
        <f t="shared" si="22"/>
        <v>0.28107018286489355</v>
      </c>
      <c r="T67" s="125">
        <f t="shared" si="22"/>
        <v>0.32530513943087547</v>
      </c>
      <c r="U67" s="125">
        <f t="shared" si="22"/>
        <v>0.29543704599400333</v>
      </c>
      <c r="V67" s="125">
        <f t="shared" si="22"/>
        <v>0.24803055143454675</v>
      </c>
      <c r="W67" s="125">
        <f t="shared" ref="W67" si="23">IF(W16=0,0,W16/W$8)</f>
        <v>0.35328676910746204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2385.4480287378956</v>
      </c>
      <c r="C4" s="11">
        <f t="shared" si="0"/>
        <v>2151.0780570452498</v>
      </c>
      <c r="D4" s="11">
        <f t="shared" ref="D4:V4" si="1">SUM(D5:D7)</f>
        <v>1850.1003789188162</v>
      </c>
      <c r="E4" s="11">
        <f t="shared" si="1"/>
        <v>2240.7370715412499</v>
      </c>
      <c r="F4" s="11">
        <f t="shared" si="1"/>
        <v>2687.6061335992331</v>
      </c>
      <c r="G4" s="11">
        <f t="shared" si="1"/>
        <v>3501.1152478164117</v>
      </c>
      <c r="H4" s="11">
        <f t="shared" si="1"/>
        <v>3991.1148572418165</v>
      </c>
      <c r="I4" s="11">
        <f t="shared" si="1"/>
        <v>5020.5466217925386</v>
      </c>
      <c r="J4" s="11">
        <f t="shared" si="1"/>
        <v>5731.5781531831244</v>
      </c>
      <c r="K4" s="11">
        <f t="shared" si="1"/>
        <v>5750.0073702159298</v>
      </c>
      <c r="L4" s="11">
        <f t="shared" si="1"/>
        <v>6406.7553260972682</v>
      </c>
      <c r="M4" s="11">
        <f t="shared" si="1"/>
        <v>7020.2696884198731</v>
      </c>
      <c r="N4" s="11">
        <f t="shared" si="1"/>
        <v>6969.0930105755879</v>
      </c>
      <c r="O4" s="11">
        <f t="shared" si="1"/>
        <v>7431.9148629750462</v>
      </c>
      <c r="P4" s="11">
        <f t="shared" si="1"/>
        <v>8294.9166490020307</v>
      </c>
      <c r="Q4" s="11">
        <f t="shared" si="1"/>
        <v>9486.9103714265621</v>
      </c>
      <c r="R4" s="11">
        <f t="shared" si="1"/>
        <v>11512.368668556333</v>
      </c>
      <c r="S4" s="11">
        <f t="shared" si="1"/>
        <v>13620.313324899294</v>
      </c>
      <c r="T4" s="11">
        <f t="shared" si="1"/>
        <v>15263.201632772811</v>
      </c>
      <c r="U4" s="11">
        <f t="shared" si="1"/>
        <v>16825.686609188611</v>
      </c>
      <c r="V4" s="11">
        <f t="shared" si="1"/>
        <v>5381.0355081116795</v>
      </c>
      <c r="W4" s="11">
        <f t="shared" ref="W4" si="2">SUM(W5:W7)</f>
        <v>8321.2896964904303</v>
      </c>
      <c r="DA4" s="189" t="s">
        <v>189</v>
      </c>
    </row>
    <row r="5" spans="1:105" ht="11.45" customHeight="1" x14ac:dyDescent="0.25">
      <c r="A5" s="83" t="s">
        <v>27</v>
      </c>
      <c r="B5" s="84">
        <v>48.233402877309544</v>
      </c>
      <c r="C5" s="84">
        <v>24.216685747957502</v>
      </c>
      <c r="D5" s="84">
        <v>16.273140674500176</v>
      </c>
      <c r="E5" s="84">
        <v>16.407494590125719</v>
      </c>
      <c r="F5" s="84">
        <v>97.148296029484541</v>
      </c>
      <c r="G5" s="84">
        <v>116.55234124135319</v>
      </c>
      <c r="H5" s="84">
        <v>126.11270827223295</v>
      </c>
      <c r="I5" s="84">
        <v>148.307932058229</v>
      </c>
      <c r="J5" s="84">
        <v>186.33984036548279</v>
      </c>
      <c r="K5" s="84">
        <v>175.13869463932971</v>
      </c>
      <c r="L5" s="84">
        <v>221.58644563984157</v>
      </c>
      <c r="M5" s="84">
        <v>228.52431003139014</v>
      </c>
      <c r="N5" s="84">
        <v>207.46565117877802</v>
      </c>
      <c r="O5" s="84">
        <v>195.63433856519737</v>
      </c>
      <c r="P5" s="84">
        <v>177.32177307416197</v>
      </c>
      <c r="Q5" s="84">
        <v>185.43963246210336</v>
      </c>
      <c r="R5" s="84">
        <v>324.08229509248582</v>
      </c>
      <c r="S5" s="84">
        <v>498.04271219933332</v>
      </c>
      <c r="T5" s="84">
        <v>506.45205080587749</v>
      </c>
      <c r="U5" s="84">
        <v>489.28929636191077</v>
      </c>
      <c r="V5" s="84">
        <v>155.82112013628782</v>
      </c>
      <c r="W5" s="84">
        <v>231.11612366199344</v>
      </c>
      <c r="DA5" s="171" t="s">
        <v>190</v>
      </c>
    </row>
    <row r="6" spans="1:105" ht="11.45" customHeight="1" x14ac:dyDescent="0.25">
      <c r="A6" s="83" t="s">
        <v>173</v>
      </c>
      <c r="B6" s="84">
        <v>1953.1930280190511</v>
      </c>
      <c r="C6" s="84">
        <v>1780.877221078473</v>
      </c>
      <c r="D6" s="84">
        <v>1537.0973124210343</v>
      </c>
      <c r="E6" s="84">
        <v>1862.4146548598933</v>
      </c>
      <c r="F6" s="84">
        <v>2163.271679111373</v>
      </c>
      <c r="G6" s="84">
        <v>2901.3341168193565</v>
      </c>
      <c r="H6" s="84">
        <v>3298.1211498107277</v>
      </c>
      <c r="I6" s="84">
        <v>4088.9784784029653</v>
      </c>
      <c r="J6" s="84">
        <v>4674.6390069421113</v>
      </c>
      <c r="K6" s="84">
        <v>4804.7184605059392</v>
      </c>
      <c r="L6" s="84">
        <v>5337.2216011195587</v>
      </c>
      <c r="M6" s="84">
        <v>6059.493201860837</v>
      </c>
      <c r="N6" s="84">
        <v>5927.4502972865539</v>
      </c>
      <c r="O6" s="84">
        <v>6295.2132315020981</v>
      </c>
      <c r="P6" s="84">
        <v>6841.3340043875041</v>
      </c>
      <c r="Q6" s="84">
        <v>7848.2465535793872</v>
      </c>
      <c r="R6" s="84">
        <v>9569.0649654087811</v>
      </c>
      <c r="S6" s="84">
        <v>11256.792913068803</v>
      </c>
      <c r="T6" s="84">
        <v>12286.006586098985</v>
      </c>
      <c r="U6" s="84">
        <v>13344.27169892247</v>
      </c>
      <c r="V6" s="84">
        <v>4537.5408666992234</v>
      </c>
      <c r="W6" s="84">
        <v>6648.175842202696</v>
      </c>
      <c r="DA6" s="171" t="s">
        <v>191</v>
      </c>
    </row>
    <row r="7" spans="1:105" ht="11.45" customHeight="1" x14ac:dyDescent="0.25">
      <c r="A7" s="83" t="s">
        <v>174</v>
      </c>
      <c r="B7" s="84">
        <v>384.02159784153503</v>
      </c>
      <c r="C7" s="84">
        <v>345.9841502188192</v>
      </c>
      <c r="D7" s="84">
        <v>296.72992582328186</v>
      </c>
      <c r="E7" s="84">
        <v>361.91492209123066</v>
      </c>
      <c r="F7" s="84">
        <v>427.18615845837536</v>
      </c>
      <c r="G7" s="84">
        <v>483.228789755702</v>
      </c>
      <c r="H7" s="84">
        <v>566.88099915885607</v>
      </c>
      <c r="I7" s="84">
        <v>783.26021133134452</v>
      </c>
      <c r="J7" s="84">
        <v>870.59930587552992</v>
      </c>
      <c r="K7" s="84">
        <v>770.15021507066126</v>
      </c>
      <c r="L7" s="84">
        <v>847.94727933786839</v>
      </c>
      <c r="M7" s="84">
        <v>732.2521765276457</v>
      </c>
      <c r="N7" s="84">
        <v>834.17706211025597</v>
      </c>
      <c r="O7" s="84">
        <v>941.06729290775115</v>
      </c>
      <c r="P7" s="84">
        <v>1276.2608715403655</v>
      </c>
      <c r="Q7" s="84">
        <v>1453.2241853850726</v>
      </c>
      <c r="R7" s="84">
        <v>1619.2214080550648</v>
      </c>
      <c r="S7" s="84">
        <v>1865.4776996311593</v>
      </c>
      <c r="T7" s="84">
        <v>2470.7429958679481</v>
      </c>
      <c r="U7" s="84">
        <v>2992.1256139042293</v>
      </c>
      <c r="V7" s="84">
        <v>687.67352127616891</v>
      </c>
      <c r="W7" s="84">
        <v>1441.9977306257413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11.997278245949712</v>
      </c>
      <c r="C8" s="13">
        <f t="shared" si="3"/>
        <v>11.462034791370254</v>
      </c>
      <c r="D8" s="13">
        <f t="shared" ref="D8:V8" si="4">SUM(D9:D11)</f>
        <v>10.611606507906561</v>
      </c>
      <c r="E8" s="13">
        <f t="shared" si="4"/>
        <v>10.421226114018861</v>
      </c>
      <c r="F8" s="13">
        <f t="shared" si="4"/>
        <v>10.280017455328917</v>
      </c>
      <c r="G8" s="13">
        <f t="shared" si="4"/>
        <v>7.009449416418418</v>
      </c>
      <c r="H8" s="13">
        <f t="shared" si="4"/>
        <v>6.9569715951451645</v>
      </c>
      <c r="I8" s="13">
        <f t="shared" si="4"/>
        <v>8.0608435128544897</v>
      </c>
      <c r="J8" s="13">
        <f t="shared" si="4"/>
        <v>11.840434220567376</v>
      </c>
      <c r="K8" s="13">
        <f t="shared" si="4"/>
        <v>12.365668839608144</v>
      </c>
      <c r="L8" s="13">
        <f t="shared" si="4"/>
        <v>14.069629684564958</v>
      </c>
      <c r="M8" s="13">
        <f t="shared" si="4"/>
        <v>18.494783009681065</v>
      </c>
      <c r="N8" s="13">
        <f t="shared" si="4"/>
        <v>27.515691223901342</v>
      </c>
      <c r="O8" s="13">
        <f t="shared" si="4"/>
        <v>29.654378255085497</v>
      </c>
      <c r="P8" s="13">
        <f t="shared" si="4"/>
        <v>24.943572929938206</v>
      </c>
      <c r="Q8" s="13">
        <f t="shared" si="4"/>
        <v>24.754512416125099</v>
      </c>
      <c r="R8" s="13">
        <f t="shared" si="4"/>
        <v>26.535513582953975</v>
      </c>
      <c r="S8" s="13">
        <f t="shared" si="4"/>
        <v>27.058213492743189</v>
      </c>
      <c r="T8" s="13">
        <f t="shared" si="4"/>
        <v>24.628049373171145</v>
      </c>
      <c r="U8" s="13">
        <f t="shared" si="4"/>
        <v>21.099691667935708</v>
      </c>
      <c r="V8" s="13">
        <f t="shared" si="4"/>
        <v>15.238925071963529</v>
      </c>
      <c r="W8" s="13">
        <f t="shared" ref="W8" si="5">SUM(W9:W11)</f>
        <v>15.20861862171439</v>
      </c>
      <c r="DA8" s="193" t="s">
        <v>193</v>
      </c>
    </row>
    <row r="9" spans="1:105" ht="11.45" customHeight="1" x14ac:dyDescent="0.25">
      <c r="A9" s="92" t="s">
        <v>27</v>
      </c>
      <c r="B9" s="102">
        <v>0.13721549537919039</v>
      </c>
      <c r="C9" s="102">
        <v>0.11760073759958296</v>
      </c>
      <c r="D9" s="102">
        <v>0.10820254336769441</v>
      </c>
      <c r="E9" s="102">
        <v>0.11170857765033576</v>
      </c>
      <c r="F9" s="102">
        <v>0.11794175148072025</v>
      </c>
      <c r="G9" s="102">
        <v>5.8163602465796473E-2</v>
      </c>
      <c r="H9" s="102">
        <v>0.12937240214330964</v>
      </c>
      <c r="I9" s="102">
        <v>0.12090907554631625</v>
      </c>
      <c r="J9" s="102">
        <v>6.9749502764536522E-2</v>
      </c>
      <c r="K9" s="102">
        <v>4.8420953007603976E-2</v>
      </c>
      <c r="L9" s="102">
        <v>3.6292609536368682E-2</v>
      </c>
      <c r="M9" s="102">
        <v>2.963580208765489E-2</v>
      </c>
      <c r="N9" s="102">
        <v>2.3662293835182174E-2</v>
      </c>
      <c r="O9" s="102">
        <v>1.6835587356580181E-2</v>
      </c>
      <c r="P9" s="102">
        <v>1.1744861357854077E-2</v>
      </c>
      <c r="Q9" s="102">
        <v>8.3636165506890039E-3</v>
      </c>
      <c r="R9" s="102">
        <v>2.0034923549921781E-2</v>
      </c>
      <c r="S9" s="102">
        <v>6.7231202608109608E-2</v>
      </c>
      <c r="T9" s="102">
        <v>0.1216548406517742</v>
      </c>
      <c r="U9" s="102">
        <v>0.19681577589116078</v>
      </c>
      <c r="V9" s="102">
        <v>0.22975663599726021</v>
      </c>
      <c r="W9" s="102">
        <v>0.33530705155785001</v>
      </c>
      <c r="DA9" s="175" t="s">
        <v>194</v>
      </c>
    </row>
    <row r="10" spans="1:105" ht="11.45" customHeight="1" x14ac:dyDescent="0.25">
      <c r="A10" s="92" t="s">
        <v>173</v>
      </c>
      <c r="B10" s="102">
        <v>5.836542550062755</v>
      </c>
      <c r="C10" s="102">
        <v>5.2049240257509926</v>
      </c>
      <c r="D10" s="102">
        <v>4.5440528254867498</v>
      </c>
      <c r="E10" s="102">
        <v>4.4547050838336935</v>
      </c>
      <c r="F10" s="102">
        <v>4.6209985594210599</v>
      </c>
      <c r="G10" s="102">
        <v>4.5003536435741411</v>
      </c>
      <c r="H10" s="102">
        <v>4.307415397225423</v>
      </c>
      <c r="I10" s="102">
        <v>4.1256861894401347</v>
      </c>
      <c r="J10" s="102">
        <v>6.5432063986038758</v>
      </c>
      <c r="K10" s="102">
        <v>8.2298114197155687</v>
      </c>
      <c r="L10" s="102">
        <v>9.1667453629634625</v>
      </c>
      <c r="M10" s="102">
        <v>10.041152721768064</v>
      </c>
      <c r="N10" s="102">
        <v>11.082910234317705</v>
      </c>
      <c r="O10" s="102">
        <v>11.752371823566595</v>
      </c>
      <c r="P10" s="102">
        <v>13.307735742264613</v>
      </c>
      <c r="Q10" s="102">
        <v>15.300741993344641</v>
      </c>
      <c r="R10" s="102">
        <v>17.798043762795199</v>
      </c>
      <c r="S10" s="102">
        <v>19.325401149732585</v>
      </c>
      <c r="T10" s="102">
        <v>20.269370287955546</v>
      </c>
      <c r="U10" s="102">
        <v>13.966237374342487</v>
      </c>
      <c r="V10" s="102">
        <v>10.658674455655083</v>
      </c>
      <c r="W10" s="102">
        <v>11.113338182810651</v>
      </c>
      <c r="DA10" s="175" t="s">
        <v>195</v>
      </c>
    </row>
    <row r="11" spans="1:105" ht="11.45" customHeight="1" x14ac:dyDescent="0.25">
      <c r="A11" s="85" t="s">
        <v>174</v>
      </c>
      <c r="B11" s="86">
        <v>6.0235202005077655</v>
      </c>
      <c r="C11" s="86">
        <v>6.1395100280196777</v>
      </c>
      <c r="D11" s="86">
        <v>5.9593511390521163</v>
      </c>
      <c r="E11" s="86">
        <v>5.8548124525348317</v>
      </c>
      <c r="F11" s="86">
        <v>5.5410771444271356</v>
      </c>
      <c r="G11" s="86">
        <v>2.4509321703784797</v>
      </c>
      <c r="H11" s="86">
        <v>2.5201837957764321</v>
      </c>
      <c r="I11" s="86">
        <v>3.8142482478680382</v>
      </c>
      <c r="J11" s="86">
        <v>5.2274783191989638</v>
      </c>
      <c r="K11" s="86">
        <v>4.087436466884971</v>
      </c>
      <c r="L11" s="86">
        <v>4.8665917120651265</v>
      </c>
      <c r="M11" s="86">
        <v>8.4239944858253448</v>
      </c>
      <c r="N11" s="86">
        <v>16.409118695748457</v>
      </c>
      <c r="O11" s="86">
        <v>17.885170844162321</v>
      </c>
      <c r="P11" s="86">
        <v>11.62409232631574</v>
      </c>
      <c r="Q11" s="86">
        <v>9.4454068062297694</v>
      </c>
      <c r="R11" s="86">
        <v>8.7174348966088555</v>
      </c>
      <c r="S11" s="86">
        <v>7.6655811404024954</v>
      </c>
      <c r="T11" s="86">
        <v>4.2370242445638215</v>
      </c>
      <c r="U11" s="86">
        <v>6.9366385177020593</v>
      </c>
      <c r="V11" s="86">
        <v>4.3504939803111853</v>
      </c>
      <c r="W11" s="86">
        <v>3.7599733873458887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28.696559386955482</v>
      </c>
      <c r="C13" s="54">
        <f t="shared" si="6"/>
        <v>25.192448248781883</v>
      </c>
      <c r="D13" s="54">
        <f t="shared" ref="D13:V13" si="7">SUM(D14,D18)</f>
        <v>21.463460087863972</v>
      </c>
      <c r="E13" s="54">
        <f t="shared" si="7"/>
        <v>25.90602742158266</v>
      </c>
      <c r="F13" s="54">
        <f t="shared" si="7"/>
        <v>32.176592564610658</v>
      </c>
      <c r="G13" s="54">
        <f t="shared" si="7"/>
        <v>41.086568139998363</v>
      </c>
      <c r="H13" s="54">
        <f t="shared" si="7"/>
        <v>47.584941946084392</v>
      </c>
      <c r="I13" s="54">
        <f t="shared" si="7"/>
        <v>61.335211692717458</v>
      </c>
      <c r="J13" s="54">
        <f t="shared" si="7"/>
        <v>70.047086959533146</v>
      </c>
      <c r="K13" s="54">
        <f t="shared" si="7"/>
        <v>71.703915183470784</v>
      </c>
      <c r="L13" s="54">
        <f t="shared" si="7"/>
        <v>74.044720932164367</v>
      </c>
      <c r="M13" s="54">
        <f t="shared" si="7"/>
        <v>74.476540948617654</v>
      </c>
      <c r="N13" s="54">
        <f t="shared" si="7"/>
        <v>69.540513835178103</v>
      </c>
      <c r="O13" s="54">
        <f t="shared" si="7"/>
        <v>69.781860080854244</v>
      </c>
      <c r="P13" s="54">
        <f t="shared" si="7"/>
        <v>74.397970630788137</v>
      </c>
      <c r="Q13" s="54">
        <f t="shared" si="7"/>
        <v>81.936990770630018</v>
      </c>
      <c r="R13" s="54">
        <f t="shared" si="7"/>
        <v>95.147178631599587</v>
      </c>
      <c r="S13" s="54">
        <f t="shared" si="7"/>
        <v>106.73447963607764</v>
      </c>
      <c r="T13" s="54">
        <f t="shared" si="7"/>
        <v>116.09325023312198</v>
      </c>
      <c r="U13" s="54">
        <f t="shared" si="7"/>
        <v>121.54569561908181</v>
      </c>
      <c r="V13" s="54">
        <f t="shared" si="7"/>
        <v>48.148653134165471</v>
      </c>
      <c r="W13" s="54">
        <f t="shared" ref="W13" si="8">SUM(W14,W18)</f>
        <v>73.318723902595352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28.345536823132459</v>
      </c>
      <c r="C14" s="11">
        <f t="shared" si="9"/>
        <v>24.887338573541996</v>
      </c>
      <c r="D14" s="11">
        <f t="shared" ref="D14:V14" si="10">SUM(D15:D17)</f>
        <v>21.173060521601297</v>
      </c>
      <c r="E14" s="11">
        <f t="shared" si="10"/>
        <v>25.616141093402369</v>
      </c>
      <c r="F14" s="11">
        <f t="shared" si="10"/>
        <v>31.859377212663258</v>
      </c>
      <c r="G14" s="11">
        <f t="shared" si="10"/>
        <v>40.826659297743738</v>
      </c>
      <c r="H14" s="11">
        <f t="shared" si="10"/>
        <v>47.304404946414884</v>
      </c>
      <c r="I14" s="11">
        <f t="shared" si="10"/>
        <v>61.034331024468962</v>
      </c>
      <c r="J14" s="11">
        <f t="shared" si="10"/>
        <v>69.587075330915653</v>
      </c>
      <c r="K14" s="11">
        <f t="shared" si="10"/>
        <v>71.190582579258617</v>
      </c>
      <c r="L14" s="11">
        <f t="shared" si="10"/>
        <v>73.473898476584154</v>
      </c>
      <c r="M14" s="11">
        <f t="shared" si="10"/>
        <v>73.82931419905286</v>
      </c>
      <c r="N14" s="11">
        <f t="shared" si="10"/>
        <v>68.794190522152888</v>
      </c>
      <c r="O14" s="11">
        <f t="shared" si="10"/>
        <v>68.982632069190146</v>
      </c>
      <c r="P14" s="11">
        <f t="shared" si="10"/>
        <v>73.710388299092031</v>
      </c>
      <c r="Q14" s="11">
        <f t="shared" si="10"/>
        <v>81.185025206232666</v>
      </c>
      <c r="R14" s="11">
        <f t="shared" si="10"/>
        <v>94.369696563483629</v>
      </c>
      <c r="S14" s="11">
        <f t="shared" si="10"/>
        <v>105.83710941707895</v>
      </c>
      <c r="T14" s="11">
        <f t="shared" si="10"/>
        <v>115.21183995988605</v>
      </c>
      <c r="U14" s="11">
        <f t="shared" si="10"/>
        <v>120.92006728846575</v>
      </c>
      <c r="V14" s="11">
        <f t="shared" si="10"/>
        <v>47.554032491801046</v>
      </c>
      <c r="W14" s="11">
        <f t="shared" ref="W14" si="11">SUM(W15:W17)</f>
        <v>72.667678073903744</v>
      </c>
      <c r="DA14" s="189" t="s">
        <v>198</v>
      </c>
    </row>
    <row r="15" spans="1:105" ht="11.45" customHeight="1" x14ac:dyDescent="0.25">
      <c r="A15" s="83" t="s">
        <v>27</v>
      </c>
      <c r="B15" s="84">
        <v>1.233587190135027</v>
      </c>
      <c r="C15" s="84">
        <v>0.61747816065582373</v>
      </c>
      <c r="D15" s="84">
        <v>0.41210848416275597</v>
      </c>
      <c r="E15" s="84">
        <v>0.41245076695691107</v>
      </c>
      <c r="F15" s="84">
        <v>2.4226776170298896</v>
      </c>
      <c r="G15" s="84">
        <v>2.8852780860382712</v>
      </c>
      <c r="H15" s="84">
        <v>3.092422992828423</v>
      </c>
      <c r="I15" s="84">
        <v>3.5606111650534991</v>
      </c>
      <c r="J15" s="84">
        <v>4.1273574806760962</v>
      </c>
      <c r="K15" s="84">
        <v>4.5443775930017489</v>
      </c>
      <c r="L15" s="84">
        <v>5.3182591268389654</v>
      </c>
      <c r="M15" s="84">
        <v>5.083071428699391</v>
      </c>
      <c r="N15" s="84">
        <v>4.6306006836472875</v>
      </c>
      <c r="O15" s="84">
        <v>4.2839367508850881</v>
      </c>
      <c r="P15" s="84">
        <v>3.9095498161899509</v>
      </c>
      <c r="Q15" s="84">
        <v>3.8654967029733558</v>
      </c>
      <c r="R15" s="84">
        <v>5.2323969510150743</v>
      </c>
      <c r="S15" s="84">
        <v>6.2758011941866672</v>
      </c>
      <c r="T15" s="84">
        <v>6.4327386036026972</v>
      </c>
      <c r="U15" s="84">
        <v>6.2476263657079647</v>
      </c>
      <c r="V15" s="84">
        <v>2.6958065764974539</v>
      </c>
      <c r="W15" s="84">
        <v>3.2451593829715994</v>
      </c>
      <c r="DA15" s="171" t="s">
        <v>199</v>
      </c>
    </row>
    <row r="16" spans="1:105" ht="11.45" customHeight="1" x14ac:dyDescent="0.25">
      <c r="A16" s="83" t="s">
        <v>173</v>
      </c>
      <c r="B16" s="84">
        <v>21.653114408202921</v>
      </c>
      <c r="C16" s="84">
        <v>19.383501141977415</v>
      </c>
      <c r="D16" s="84">
        <v>16.5812620085307</v>
      </c>
      <c r="E16" s="84">
        <v>20.128967999742034</v>
      </c>
      <c r="F16" s="84">
        <v>23.510034559061246</v>
      </c>
      <c r="G16" s="84">
        <v>31.347610760062274</v>
      </c>
      <c r="H16" s="84">
        <v>36.635225103675673</v>
      </c>
      <c r="I16" s="84">
        <v>47.188919542264976</v>
      </c>
      <c r="J16" s="84">
        <v>53.592829701168831</v>
      </c>
      <c r="K16" s="84">
        <v>55.941159752785218</v>
      </c>
      <c r="L16" s="84">
        <v>57.636312268552999</v>
      </c>
      <c r="M16" s="84">
        <v>59.060423979983291</v>
      </c>
      <c r="N16" s="84">
        <v>53.714939935433222</v>
      </c>
      <c r="O16" s="84">
        <v>54.502429923736912</v>
      </c>
      <c r="P16" s="84">
        <v>57.942231141723838</v>
      </c>
      <c r="Q16" s="84">
        <v>64.70579647198042</v>
      </c>
      <c r="R16" s="84">
        <v>74.801634633156752</v>
      </c>
      <c r="S16" s="84">
        <v>83.577938243138703</v>
      </c>
      <c r="T16" s="84">
        <v>88.493037085354175</v>
      </c>
      <c r="U16" s="84">
        <v>92.027562150185389</v>
      </c>
      <c r="V16" s="84">
        <v>37.978206072022239</v>
      </c>
      <c r="W16" s="84">
        <v>55.681730964034038</v>
      </c>
      <c r="DA16" s="171" t="s">
        <v>200</v>
      </c>
    </row>
    <row r="17" spans="1:105" ht="11.45" customHeight="1" x14ac:dyDescent="0.25">
      <c r="A17" s="83" t="s">
        <v>174</v>
      </c>
      <c r="B17" s="84">
        <v>5.4588352247945116</v>
      </c>
      <c r="C17" s="84">
        <v>4.8863592709087547</v>
      </c>
      <c r="D17" s="84">
        <v>4.1796900289078414</v>
      </c>
      <c r="E17" s="84">
        <v>5.0747223267034238</v>
      </c>
      <c r="F17" s="84">
        <v>5.9266650365721203</v>
      </c>
      <c r="G17" s="84">
        <v>6.5937704516431923</v>
      </c>
      <c r="H17" s="84">
        <v>7.576756849910784</v>
      </c>
      <c r="I17" s="84">
        <v>10.284800317150482</v>
      </c>
      <c r="J17" s="84">
        <v>11.86688814907073</v>
      </c>
      <c r="K17" s="84">
        <v>10.705045233471653</v>
      </c>
      <c r="L17" s="84">
        <v>10.51932708119219</v>
      </c>
      <c r="M17" s="84">
        <v>9.6858187903701758</v>
      </c>
      <c r="N17" s="84">
        <v>10.448649903072374</v>
      </c>
      <c r="O17" s="84">
        <v>10.196265394568151</v>
      </c>
      <c r="P17" s="84">
        <v>11.858607341178248</v>
      </c>
      <c r="Q17" s="84">
        <v>12.613732031278884</v>
      </c>
      <c r="R17" s="84">
        <v>14.335664979311796</v>
      </c>
      <c r="S17" s="84">
        <v>15.983369979753574</v>
      </c>
      <c r="T17" s="84">
        <v>20.286064270929167</v>
      </c>
      <c r="U17" s="84">
        <v>22.644878772572401</v>
      </c>
      <c r="V17" s="84">
        <v>6.8800198432813513</v>
      </c>
      <c r="W17" s="84">
        <v>13.740787726898109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0.35102256382302294</v>
      </c>
      <c r="C18" s="13">
        <f t="shared" si="12"/>
        <v>0.30510967523988847</v>
      </c>
      <c r="D18" s="13">
        <f t="shared" ref="D18:V18" si="13">SUM(D19:D21)</f>
        <v>0.29039956626267632</v>
      </c>
      <c r="E18" s="13">
        <f t="shared" si="13"/>
        <v>0.2898863281802912</v>
      </c>
      <c r="F18" s="13">
        <f t="shared" si="13"/>
        <v>0.31721535194740302</v>
      </c>
      <c r="G18" s="13">
        <f t="shared" si="13"/>
        <v>0.25990884225462368</v>
      </c>
      <c r="H18" s="13">
        <f t="shared" si="13"/>
        <v>0.28053699966950468</v>
      </c>
      <c r="I18" s="13">
        <f t="shared" si="13"/>
        <v>0.30088066824849746</v>
      </c>
      <c r="J18" s="13">
        <f t="shared" si="13"/>
        <v>0.46001162861749001</v>
      </c>
      <c r="K18" s="13">
        <f t="shared" si="13"/>
        <v>0.51333260421216087</v>
      </c>
      <c r="L18" s="13">
        <f t="shared" si="13"/>
        <v>0.57082245558021816</v>
      </c>
      <c r="M18" s="13">
        <f t="shared" si="13"/>
        <v>0.64722674956479664</v>
      </c>
      <c r="N18" s="13">
        <f t="shared" si="13"/>
        <v>0.74632331302521004</v>
      </c>
      <c r="O18" s="13">
        <f t="shared" si="13"/>
        <v>0.79922801166410529</v>
      </c>
      <c r="P18" s="13">
        <f t="shared" si="13"/>
        <v>0.68758233169610772</v>
      </c>
      <c r="Q18" s="13">
        <f t="shared" si="13"/>
        <v>0.75196556439734619</v>
      </c>
      <c r="R18" s="13">
        <f t="shared" si="13"/>
        <v>0.77748206811595599</v>
      </c>
      <c r="S18" s="13">
        <f t="shared" si="13"/>
        <v>0.89737021899868885</v>
      </c>
      <c r="T18" s="13">
        <f t="shared" si="13"/>
        <v>0.88141027323592613</v>
      </c>
      <c r="U18" s="13">
        <f t="shared" si="13"/>
        <v>0.62562833061606871</v>
      </c>
      <c r="V18" s="13">
        <f t="shared" si="13"/>
        <v>0.59462064236442524</v>
      </c>
      <c r="W18" s="13">
        <f t="shared" ref="W18" si="14">SUM(W19:W21)</f>
        <v>0.65104582869160588</v>
      </c>
      <c r="DA18" s="193" t="s">
        <v>202</v>
      </c>
    </row>
    <row r="19" spans="1:105" ht="11.45" customHeight="1" x14ac:dyDescent="0.25">
      <c r="A19" s="92" t="s">
        <v>27</v>
      </c>
      <c r="B19" s="102">
        <v>1.3497080444090533E-2</v>
      </c>
      <c r="C19" s="102">
        <v>1.1656569474441825E-2</v>
      </c>
      <c r="D19" s="102">
        <v>1.0429562161342687E-2</v>
      </c>
      <c r="E19" s="102">
        <v>1.0122810333067901E-2</v>
      </c>
      <c r="F19" s="102">
        <v>1.1349817646167042E-2</v>
      </c>
      <c r="G19" s="102">
        <v>5.719439075630251E-3</v>
      </c>
      <c r="H19" s="102">
        <v>1.3225641006010513E-2</v>
      </c>
      <c r="I19" s="102">
        <v>1.2406506022907908E-2</v>
      </c>
      <c r="J19" s="102">
        <v>7.4390074060301089E-3</v>
      </c>
      <c r="K19" s="102">
        <v>5.1200188666135947E-3</v>
      </c>
      <c r="L19" s="102">
        <v>3.5879932659932659E-3</v>
      </c>
      <c r="M19" s="102">
        <v>2.7004218977315976E-3</v>
      </c>
      <c r="N19" s="102">
        <v>2.1456521739130433E-3</v>
      </c>
      <c r="O19" s="102">
        <v>1.4907446074713042E-3</v>
      </c>
      <c r="P19" s="102">
        <v>9.2851062545234097E-4</v>
      </c>
      <c r="Q19" s="102">
        <v>6.4023856271449014E-4</v>
      </c>
      <c r="R19" s="102">
        <v>1.328349384423344E-3</v>
      </c>
      <c r="S19" s="102">
        <v>4.8434192367956342E-3</v>
      </c>
      <c r="T19" s="102">
        <v>8.5725000000000003E-3</v>
      </c>
      <c r="U19" s="102">
        <v>1.2510719999999999E-2</v>
      </c>
      <c r="V19" s="102">
        <v>1.6057442291986721E-2</v>
      </c>
      <c r="W19" s="102">
        <v>2.2678920966822703E-2</v>
      </c>
      <c r="DA19" s="175" t="s">
        <v>203</v>
      </c>
    </row>
    <row r="20" spans="1:105" ht="11.45" customHeight="1" x14ac:dyDescent="0.25">
      <c r="A20" s="92" t="s">
        <v>173</v>
      </c>
      <c r="B20" s="102">
        <v>0.25561313587716261</v>
      </c>
      <c r="C20" s="102">
        <v>0.21375460549345443</v>
      </c>
      <c r="D20" s="102">
        <v>0.19805765659956387</v>
      </c>
      <c r="E20" s="102">
        <v>0.19120962865612084</v>
      </c>
      <c r="F20" s="102">
        <v>0.21952549233991109</v>
      </c>
      <c r="G20" s="102">
        <v>0.21358089593261664</v>
      </c>
      <c r="H20" s="102">
        <v>0.22411649446180684</v>
      </c>
      <c r="I20" s="102">
        <v>0.22199224974123949</v>
      </c>
      <c r="J20" s="102">
        <v>0.35958224850963172</v>
      </c>
      <c r="K20" s="102">
        <v>0.443739957284431</v>
      </c>
      <c r="L20" s="102">
        <v>0.49172937898089164</v>
      </c>
      <c r="M20" s="102">
        <v>0.52044323880247889</v>
      </c>
      <c r="N20" s="102">
        <v>0.52385170496894407</v>
      </c>
      <c r="O20" s="102">
        <v>0.56243613950423599</v>
      </c>
      <c r="P20" s="102">
        <v>0.55612733076941601</v>
      </c>
      <c r="Q20" s="102">
        <v>0.64133089259995013</v>
      </c>
      <c r="R20" s="102">
        <v>0.6848084410594637</v>
      </c>
      <c r="S20" s="102">
        <v>0.81220731116800982</v>
      </c>
      <c r="T20" s="102">
        <v>0.82806753631284924</v>
      </c>
      <c r="U20" s="102">
        <v>0.54420677340676638</v>
      </c>
      <c r="V20" s="102">
        <v>0.50403018823683277</v>
      </c>
      <c r="W20" s="102">
        <v>0.56334972139257811</v>
      </c>
      <c r="DA20" s="175" t="s">
        <v>204</v>
      </c>
    </row>
    <row r="21" spans="1:105" ht="11.45" customHeight="1" x14ac:dyDescent="0.25">
      <c r="A21" s="85" t="s">
        <v>174</v>
      </c>
      <c r="B21" s="86">
        <v>8.1912347501769775E-2</v>
      </c>
      <c r="C21" s="86">
        <v>7.9698500271992226E-2</v>
      </c>
      <c r="D21" s="86">
        <v>8.1912347501769775E-2</v>
      </c>
      <c r="E21" s="86">
        <v>8.8553889191102464E-2</v>
      </c>
      <c r="F21" s="86">
        <v>8.6340041961324901E-2</v>
      </c>
      <c r="G21" s="86">
        <v>4.060850724637681E-2</v>
      </c>
      <c r="H21" s="86">
        <v>4.3194864201687333E-2</v>
      </c>
      <c r="I21" s="86">
        <v>6.648191248435005E-2</v>
      </c>
      <c r="J21" s="86">
        <v>9.2990372701828222E-2</v>
      </c>
      <c r="K21" s="86">
        <v>6.4472628061116199E-2</v>
      </c>
      <c r="L21" s="86">
        <v>7.5505083333333334E-2</v>
      </c>
      <c r="M21" s="86">
        <v>0.12408308886458616</v>
      </c>
      <c r="N21" s="86">
        <v>0.22032595588235293</v>
      </c>
      <c r="O21" s="86">
        <v>0.2353011275523979</v>
      </c>
      <c r="P21" s="86">
        <v>0.13052649030123939</v>
      </c>
      <c r="Q21" s="86">
        <v>0.10999443323468158</v>
      </c>
      <c r="R21" s="86">
        <v>9.1345277672068917E-2</v>
      </c>
      <c r="S21" s="86">
        <v>8.0319488593883367E-2</v>
      </c>
      <c r="T21" s="86">
        <v>4.4770236923076925E-2</v>
      </c>
      <c r="U21" s="86">
        <v>6.8910837209302314E-2</v>
      </c>
      <c r="V21" s="86">
        <v>7.4533011835605803E-2</v>
      </c>
      <c r="W21" s="86">
        <v>6.5017186332205115E-2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26058</v>
      </c>
      <c r="C23" s="54">
        <f t="shared" si="15"/>
        <v>21886</v>
      </c>
      <c r="D23" s="54">
        <f t="shared" ref="D23:V23" si="16">SUM(D24,D28)</f>
        <v>18411</v>
      </c>
      <c r="E23" s="54">
        <f t="shared" si="16"/>
        <v>22013</v>
      </c>
      <c r="F23" s="54">
        <f t="shared" si="16"/>
        <v>31366</v>
      </c>
      <c r="G23" s="54">
        <f t="shared" si="16"/>
        <v>39633</v>
      </c>
      <c r="H23" s="54">
        <f t="shared" si="16"/>
        <v>45583</v>
      </c>
      <c r="I23" s="54">
        <f t="shared" si="16"/>
        <v>54717</v>
      </c>
      <c r="J23" s="54">
        <f t="shared" si="16"/>
        <v>60589</v>
      </c>
      <c r="K23" s="54">
        <f t="shared" si="16"/>
        <v>62026</v>
      </c>
      <c r="L23" s="54">
        <f t="shared" si="16"/>
        <v>64822</v>
      </c>
      <c r="M23" s="54">
        <f t="shared" si="16"/>
        <v>65433</v>
      </c>
      <c r="N23" s="54">
        <f t="shared" si="16"/>
        <v>60222</v>
      </c>
      <c r="O23" s="54">
        <f t="shared" si="16"/>
        <v>58299</v>
      </c>
      <c r="P23" s="54">
        <f t="shared" si="16"/>
        <v>59403</v>
      </c>
      <c r="Q23" s="54">
        <f t="shared" si="16"/>
        <v>63805</v>
      </c>
      <c r="R23" s="54">
        <f t="shared" si="16"/>
        <v>74249</v>
      </c>
      <c r="S23" s="54">
        <f t="shared" si="16"/>
        <v>83380</v>
      </c>
      <c r="T23" s="54">
        <f t="shared" si="16"/>
        <v>88559</v>
      </c>
      <c r="U23" s="54">
        <f t="shared" si="16"/>
        <v>90895</v>
      </c>
      <c r="V23" s="54">
        <f t="shared" si="16"/>
        <v>36294</v>
      </c>
      <c r="W23" s="54">
        <f t="shared" ref="W23" si="17">SUM(W24,W28)</f>
        <v>53446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25630</v>
      </c>
      <c r="C24" s="11">
        <f t="shared" si="18"/>
        <v>21521</v>
      </c>
      <c r="D24" s="11">
        <f t="shared" ref="D24:V24" si="19">SUM(D25:D27)</f>
        <v>18070</v>
      </c>
      <c r="E24" s="11">
        <f t="shared" si="19"/>
        <v>21680</v>
      </c>
      <c r="F24" s="11">
        <f t="shared" si="19"/>
        <v>30991</v>
      </c>
      <c r="G24" s="11">
        <f t="shared" si="19"/>
        <v>39303</v>
      </c>
      <c r="H24" s="11">
        <f t="shared" si="19"/>
        <v>45175</v>
      </c>
      <c r="I24" s="11">
        <f t="shared" si="19"/>
        <v>54343</v>
      </c>
      <c r="J24" s="11">
        <f t="shared" si="19"/>
        <v>60070</v>
      </c>
      <c r="K24" s="11">
        <f t="shared" si="19"/>
        <v>61460</v>
      </c>
      <c r="L24" s="11">
        <f t="shared" si="19"/>
        <v>64232</v>
      </c>
      <c r="M24" s="11">
        <f t="shared" si="19"/>
        <v>64862</v>
      </c>
      <c r="N24" s="11">
        <f t="shared" si="19"/>
        <v>59645</v>
      </c>
      <c r="O24" s="11">
        <f t="shared" si="19"/>
        <v>57689</v>
      </c>
      <c r="P24" s="11">
        <f t="shared" si="19"/>
        <v>58836</v>
      </c>
      <c r="Q24" s="11">
        <f t="shared" si="19"/>
        <v>63147</v>
      </c>
      <c r="R24" s="11">
        <f t="shared" si="19"/>
        <v>73550</v>
      </c>
      <c r="S24" s="11">
        <f t="shared" si="19"/>
        <v>82552</v>
      </c>
      <c r="T24" s="11">
        <f t="shared" si="19"/>
        <v>87681</v>
      </c>
      <c r="U24" s="11">
        <f t="shared" si="19"/>
        <v>90218</v>
      </c>
      <c r="V24" s="11">
        <f t="shared" si="19"/>
        <v>35641</v>
      </c>
      <c r="W24" s="11">
        <f t="shared" ref="W24" si="20">SUM(W25:W27)</f>
        <v>52731</v>
      </c>
      <c r="DA24" s="189" t="s">
        <v>207</v>
      </c>
    </row>
    <row r="25" spans="1:105" ht="11.45" customHeight="1" x14ac:dyDescent="0.25">
      <c r="A25" s="83" t="s">
        <v>27</v>
      </c>
      <c r="B25" s="84">
        <v>3604</v>
      </c>
      <c r="C25" s="84">
        <v>1804</v>
      </c>
      <c r="D25" s="84">
        <v>1204</v>
      </c>
      <c r="E25" s="84">
        <v>1205</v>
      </c>
      <c r="F25" s="84">
        <v>7078</v>
      </c>
      <c r="G25" s="84">
        <v>8573</v>
      </c>
      <c r="H25" s="84">
        <v>9254</v>
      </c>
      <c r="I25" s="84">
        <v>10438</v>
      </c>
      <c r="J25" s="84">
        <v>11653</v>
      </c>
      <c r="K25" s="84">
        <v>12492</v>
      </c>
      <c r="L25" s="84">
        <v>14451</v>
      </c>
      <c r="M25" s="84">
        <v>13439</v>
      </c>
      <c r="N25" s="84">
        <v>11788</v>
      </c>
      <c r="O25" s="84">
        <v>11451</v>
      </c>
      <c r="P25" s="84">
        <v>10422</v>
      </c>
      <c r="Q25" s="84">
        <v>10297</v>
      </c>
      <c r="R25" s="84">
        <v>13878</v>
      </c>
      <c r="S25" s="84">
        <v>16491</v>
      </c>
      <c r="T25" s="84">
        <v>16864</v>
      </c>
      <c r="U25" s="84">
        <v>16209</v>
      </c>
      <c r="V25" s="84">
        <v>7238</v>
      </c>
      <c r="W25" s="84">
        <v>8852</v>
      </c>
      <c r="DA25" s="171" t="s">
        <v>208</v>
      </c>
    </row>
    <row r="26" spans="1:105" ht="11.45" customHeight="1" x14ac:dyDescent="0.25">
      <c r="A26" s="83" t="s">
        <v>173</v>
      </c>
      <c r="B26" s="84">
        <v>17592</v>
      </c>
      <c r="C26" s="84">
        <v>15748</v>
      </c>
      <c r="D26" s="84">
        <v>13471</v>
      </c>
      <c r="E26" s="84">
        <v>16353</v>
      </c>
      <c r="F26" s="84">
        <v>19099</v>
      </c>
      <c r="G26" s="84">
        <v>25019</v>
      </c>
      <c r="H26" s="84">
        <v>29376</v>
      </c>
      <c r="I26" s="84">
        <v>36043</v>
      </c>
      <c r="J26" s="84">
        <v>39647</v>
      </c>
      <c r="K26" s="84">
        <v>40658</v>
      </c>
      <c r="L26" s="84">
        <v>41406</v>
      </c>
      <c r="M26" s="84">
        <v>43020</v>
      </c>
      <c r="N26" s="84">
        <v>38826</v>
      </c>
      <c r="O26" s="84">
        <v>38193</v>
      </c>
      <c r="P26" s="84">
        <v>39851</v>
      </c>
      <c r="Q26" s="84">
        <v>43855</v>
      </c>
      <c r="R26" s="84">
        <v>50008</v>
      </c>
      <c r="S26" s="84">
        <v>55224</v>
      </c>
      <c r="T26" s="84">
        <v>58167</v>
      </c>
      <c r="U26" s="84">
        <v>60077</v>
      </c>
      <c r="V26" s="84">
        <v>24411</v>
      </c>
      <c r="W26" s="84">
        <v>35605</v>
      </c>
      <c r="DA26" s="171" t="s">
        <v>209</v>
      </c>
    </row>
    <row r="27" spans="1:105" ht="11.45" customHeight="1" x14ac:dyDescent="0.25">
      <c r="A27" s="83" t="s">
        <v>174</v>
      </c>
      <c r="B27" s="84">
        <v>4434</v>
      </c>
      <c r="C27" s="84">
        <v>3969</v>
      </c>
      <c r="D27" s="84">
        <v>3395</v>
      </c>
      <c r="E27" s="84">
        <v>4122</v>
      </c>
      <c r="F27" s="84">
        <v>4814</v>
      </c>
      <c r="G27" s="84">
        <v>5711</v>
      </c>
      <c r="H27" s="84">
        <v>6545</v>
      </c>
      <c r="I27" s="84">
        <v>7862</v>
      </c>
      <c r="J27" s="84">
        <v>8770</v>
      </c>
      <c r="K27" s="84">
        <v>8310</v>
      </c>
      <c r="L27" s="84">
        <v>8375</v>
      </c>
      <c r="M27" s="84">
        <v>8403</v>
      </c>
      <c r="N27" s="84">
        <v>9031</v>
      </c>
      <c r="O27" s="84">
        <v>8045</v>
      </c>
      <c r="P27" s="84">
        <v>8563</v>
      </c>
      <c r="Q27" s="84">
        <v>8995</v>
      </c>
      <c r="R27" s="84">
        <v>9664</v>
      </c>
      <c r="S27" s="84">
        <v>10837</v>
      </c>
      <c r="T27" s="84">
        <v>12650</v>
      </c>
      <c r="U27" s="84">
        <v>13932</v>
      </c>
      <c r="V27" s="84">
        <v>3992</v>
      </c>
      <c r="W27" s="84">
        <v>8274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428</v>
      </c>
      <c r="C28" s="13">
        <f t="shared" si="21"/>
        <v>365</v>
      </c>
      <c r="D28" s="13">
        <f t="shared" ref="D28:V28" si="22">SUM(D29:D31)</f>
        <v>341</v>
      </c>
      <c r="E28" s="13">
        <f t="shared" si="22"/>
        <v>333</v>
      </c>
      <c r="F28" s="13">
        <f t="shared" si="22"/>
        <v>375</v>
      </c>
      <c r="G28" s="13">
        <f t="shared" si="22"/>
        <v>330</v>
      </c>
      <c r="H28" s="13">
        <f t="shared" si="22"/>
        <v>408</v>
      </c>
      <c r="I28" s="13">
        <f t="shared" si="22"/>
        <v>374</v>
      </c>
      <c r="J28" s="13">
        <f t="shared" si="22"/>
        <v>519</v>
      </c>
      <c r="K28" s="13">
        <f t="shared" si="22"/>
        <v>566</v>
      </c>
      <c r="L28" s="13">
        <f t="shared" si="22"/>
        <v>590</v>
      </c>
      <c r="M28" s="13">
        <f t="shared" si="22"/>
        <v>571</v>
      </c>
      <c r="N28" s="13">
        <f t="shared" si="22"/>
        <v>577</v>
      </c>
      <c r="O28" s="13">
        <f t="shared" si="22"/>
        <v>610</v>
      </c>
      <c r="P28" s="13">
        <f t="shared" si="22"/>
        <v>567</v>
      </c>
      <c r="Q28" s="13">
        <f t="shared" si="22"/>
        <v>658</v>
      </c>
      <c r="R28" s="13">
        <f t="shared" si="22"/>
        <v>699</v>
      </c>
      <c r="S28" s="13">
        <f t="shared" si="22"/>
        <v>828</v>
      </c>
      <c r="T28" s="13">
        <f t="shared" si="22"/>
        <v>878</v>
      </c>
      <c r="U28" s="13">
        <f t="shared" si="22"/>
        <v>677</v>
      </c>
      <c r="V28" s="13">
        <f t="shared" si="22"/>
        <v>653</v>
      </c>
      <c r="W28" s="13">
        <f t="shared" ref="W28" si="23">SUM(W29:W31)</f>
        <v>715</v>
      </c>
      <c r="DA28" s="193" t="s">
        <v>211</v>
      </c>
    </row>
    <row r="29" spans="1:105" ht="11.45" customHeight="1" x14ac:dyDescent="0.25">
      <c r="A29" s="92" t="s">
        <v>27</v>
      </c>
      <c r="B29" s="102">
        <v>44</v>
      </c>
      <c r="C29" s="102">
        <v>38</v>
      </c>
      <c r="D29" s="102">
        <v>34</v>
      </c>
      <c r="E29" s="102">
        <v>33</v>
      </c>
      <c r="F29" s="102">
        <v>37</v>
      </c>
      <c r="G29" s="102">
        <v>19</v>
      </c>
      <c r="H29" s="102">
        <v>49</v>
      </c>
      <c r="I29" s="102">
        <v>50</v>
      </c>
      <c r="J29" s="102">
        <v>32</v>
      </c>
      <c r="K29" s="102">
        <v>24</v>
      </c>
      <c r="L29" s="102">
        <v>19</v>
      </c>
      <c r="M29" s="102">
        <v>11</v>
      </c>
      <c r="N29" s="102">
        <v>7</v>
      </c>
      <c r="O29" s="102">
        <v>5</v>
      </c>
      <c r="P29" s="102">
        <v>3</v>
      </c>
      <c r="Q29" s="102">
        <v>2</v>
      </c>
      <c r="R29" s="102">
        <v>4</v>
      </c>
      <c r="S29" s="102">
        <v>14</v>
      </c>
      <c r="T29" s="102">
        <v>24</v>
      </c>
      <c r="U29" s="102">
        <v>36</v>
      </c>
      <c r="V29" s="102">
        <v>48</v>
      </c>
      <c r="W29" s="102">
        <v>69</v>
      </c>
      <c r="DA29" s="175" t="s">
        <v>212</v>
      </c>
    </row>
    <row r="30" spans="1:105" ht="11.45" customHeight="1" x14ac:dyDescent="0.25">
      <c r="A30" s="92" t="s">
        <v>173</v>
      </c>
      <c r="B30" s="102">
        <v>347</v>
      </c>
      <c r="C30" s="102">
        <v>291</v>
      </c>
      <c r="D30" s="102">
        <v>270</v>
      </c>
      <c r="E30" s="102">
        <v>260</v>
      </c>
      <c r="F30" s="102">
        <v>299</v>
      </c>
      <c r="G30" s="102">
        <v>292</v>
      </c>
      <c r="H30" s="102">
        <v>340</v>
      </c>
      <c r="I30" s="102">
        <v>298</v>
      </c>
      <c r="J30" s="102">
        <v>453</v>
      </c>
      <c r="K30" s="102">
        <v>519</v>
      </c>
      <c r="L30" s="102">
        <v>545</v>
      </c>
      <c r="M30" s="102">
        <v>522</v>
      </c>
      <c r="N30" s="102">
        <v>511</v>
      </c>
      <c r="O30" s="102">
        <v>532</v>
      </c>
      <c r="P30" s="102">
        <v>516</v>
      </c>
      <c r="Q30" s="102">
        <v>604</v>
      </c>
      <c r="R30" s="102">
        <v>637</v>
      </c>
      <c r="S30" s="102">
        <v>729</v>
      </c>
      <c r="T30" s="102">
        <v>755</v>
      </c>
      <c r="U30" s="102">
        <v>517</v>
      </c>
      <c r="V30" s="102">
        <v>491</v>
      </c>
      <c r="W30" s="102">
        <v>536</v>
      </c>
      <c r="DA30" s="175" t="s">
        <v>213</v>
      </c>
    </row>
    <row r="31" spans="1:105" ht="11.45" customHeight="1" x14ac:dyDescent="0.25">
      <c r="A31" s="85" t="s">
        <v>174</v>
      </c>
      <c r="B31" s="86">
        <v>37</v>
      </c>
      <c r="C31" s="86">
        <v>36</v>
      </c>
      <c r="D31" s="86">
        <v>37</v>
      </c>
      <c r="E31" s="86">
        <v>40</v>
      </c>
      <c r="F31" s="86">
        <v>39</v>
      </c>
      <c r="G31" s="86">
        <v>19</v>
      </c>
      <c r="H31" s="86">
        <v>19</v>
      </c>
      <c r="I31" s="86">
        <v>26</v>
      </c>
      <c r="J31" s="86">
        <v>34</v>
      </c>
      <c r="K31" s="86">
        <v>23</v>
      </c>
      <c r="L31" s="86">
        <v>26</v>
      </c>
      <c r="M31" s="86">
        <v>38</v>
      </c>
      <c r="N31" s="86">
        <v>59</v>
      </c>
      <c r="O31" s="86">
        <v>73</v>
      </c>
      <c r="P31" s="86">
        <v>48</v>
      </c>
      <c r="Q31" s="86">
        <v>52</v>
      </c>
      <c r="R31" s="86">
        <v>58</v>
      </c>
      <c r="S31" s="86">
        <v>85</v>
      </c>
      <c r="T31" s="86">
        <v>99</v>
      </c>
      <c r="U31" s="86">
        <v>124</v>
      </c>
      <c r="V31" s="86">
        <v>114</v>
      </c>
      <c r="W31" s="86">
        <v>110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1576487</v>
      </c>
      <c r="C34" s="11">
        <f t="shared" si="24"/>
        <v>1370512</v>
      </c>
      <c r="D34" s="11">
        <f t="shared" ref="D34:V34" si="25">SUM(D35:D37)</f>
        <v>1174452</v>
      </c>
      <c r="E34" s="11">
        <f t="shared" si="25"/>
        <v>1438517</v>
      </c>
      <c r="F34" s="11">
        <f t="shared" si="25"/>
        <v>1936069</v>
      </c>
      <c r="G34" s="11">
        <f t="shared" si="25"/>
        <v>2511707</v>
      </c>
      <c r="H34" s="11">
        <f t="shared" si="25"/>
        <v>2968195</v>
      </c>
      <c r="I34" s="11">
        <f t="shared" si="25"/>
        <v>3684357</v>
      </c>
      <c r="J34" s="11">
        <f t="shared" si="25"/>
        <v>4252925</v>
      </c>
      <c r="K34" s="11">
        <f t="shared" si="25"/>
        <v>4192315</v>
      </c>
      <c r="L34" s="11">
        <f t="shared" si="25"/>
        <v>4717092</v>
      </c>
      <c r="M34" s="11">
        <f t="shared" si="25"/>
        <v>5194048</v>
      </c>
      <c r="N34" s="11">
        <f t="shared" si="25"/>
        <v>5120674</v>
      </c>
      <c r="O34" s="11">
        <f t="shared" si="25"/>
        <v>5324379</v>
      </c>
      <c r="P34" s="11">
        <f t="shared" si="25"/>
        <v>5762135</v>
      </c>
      <c r="Q34" s="11">
        <f t="shared" si="25"/>
        <v>6609995</v>
      </c>
      <c r="R34" s="11">
        <f t="shared" si="25"/>
        <v>8064879</v>
      </c>
      <c r="S34" s="11">
        <f t="shared" si="25"/>
        <v>9690988</v>
      </c>
      <c r="T34" s="11">
        <f t="shared" si="25"/>
        <v>10616352</v>
      </c>
      <c r="U34" s="11">
        <f t="shared" si="25"/>
        <v>11451472</v>
      </c>
      <c r="V34" s="11">
        <f t="shared" si="25"/>
        <v>3573161</v>
      </c>
      <c r="W34" s="11">
        <f t="shared" ref="W34" si="26">SUM(W35:W37)</f>
        <v>5598454</v>
      </c>
      <c r="DA34" s="189" t="s">
        <v>215</v>
      </c>
    </row>
    <row r="35" spans="1:105" ht="11.45" customHeight="1" x14ac:dyDescent="0.25">
      <c r="A35" s="83" t="s">
        <v>27</v>
      </c>
      <c r="B35" s="84">
        <v>138934</v>
      </c>
      <c r="C35" s="84">
        <v>69755</v>
      </c>
      <c r="D35" s="84">
        <v>46874</v>
      </c>
      <c r="E35" s="84">
        <v>47261</v>
      </c>
      <c r="F35" s="84">
        <v>279831</v>
      </c>
      <c r="G35" s="84">
        <v>341438</v>
      </c>
      <c r="H35" s="84">
        <v>372079</v>
      </c>
      <c r="I35" s="84">
        <v>428650</v>
      </c>
      <c r="J35" s="84">
        <v>518701</v>
      </c>
      <c r="K35" s="84">
        <v>474663</v>
      </c>
      <c r="L35" s="84">
        <v>593632</v>
      </c>
      <c r="M35" s="84">
        <v>599835</v>
      </c>
      <c r="N35" s="84">
        <v>535960</v>
      </c>
      <c r="O35" s="84">
        <v>531225</v>
      </c>
      <c r="P35" s="84">
        <v>480843</v>
      </c>
      <c r="Q35" s="84">
        <v>500670</v>
      </c>
      <c r="R35" s="84">
        <v>869758</v>
      </c>
      <c r="S35" s="84">
        <v>1323455</v>
      </c>
      <c r="T35" s="84">
        <v>1336741</v>
      </c>
      <c r="U35" s="84">
        <v>1275198</v>
      </c>
      <c r="V35" s="84">
        <v>425882</v>
      </c>
      <c r="W35" s="84">
        <v>628250</v>
      </c>
      <c r="DA35" s="171" t="s">
        <v>216</v>
      </c>
    </row>
    <row r="36" spans="1:105" ht="11.45" customHeight="1" x14ac:dyDescent="0.25">
      <c r="A36" s="83" t="s">
        <v>173</v>
      </c>
      <c r="B36" s="84">
        <v>1161471</v>
      </c>
      <c r="C36" s="84">
        <v>1052021</v>
      </c>
      <c r="D36" s="84">
        <v>914252</v>
      </c>
      <c r="E36" s="84">
        <v>1131067</v>
      </c>
      <c r="F36" s="84">
        <v>1349124</v>
      </c>
      <c r="G36" s="84">
        <v>1799829</v>
      </c>
      <c r="H36" s="84">
        <v>2162700</v>
      </c>
      <c r="I36" s="84">
        <v>2725763</v>
      </c>
      <c r="J36" s="84">
        <v>3164758</v>
      </c>
      <c r="K36" s="84">
        <v>3188507</v>
      </c>
      <c r="L36" s="84">
        <v>3525940</v>
      </c>
      <c r="M36" s="84">
        <v>4037581</v>
      </c>
      <c r="N36" s="84">
        <v>3960344</v>
      </c>
      <c r="O36" s="84">
        <v>4158473</v>
      </c>
      <c r="P36" s="84">
        <v>4507063</v>
      </c>
      <c r="Q36" s="84">
        <v>5208200</v>
      </c>
      <c r="R36" s="84">
        <v>6266410</v>
      </c>
      <c r="S36" s="84">
        <v>7297298</v>
      </c>
      <c r="T36" s="84">
        <v>7941581</v>
      </c>
      <c r="U36" s="84">
        <v>8608847</v>
      </c>
      <c r="V36" s="84">
        <v>2769569</v>
      </c>
      <c r="W36" s="84">
        <v>4136926</v>
      </c>
      <c r="DA36" s="171" t="s">
        <v>217</v>
      </c>
    </row>
    <row r="37" spans="1:105" ht="11.45" customHeight="1" x14ac:dyDescent="0.25">
      <c r="A37" s="83" t="s">
        <v>174</v>
      </c>
      <c r="B37" s="84">
        <v>276082</v>
      </c>
      <c r="C37" s="84">
        <v>248736</v>
      </c>
      <c r="D37" s="84">
        <v>213326</v>
      </c>
      <c r="E37" s="84">
        <v>260189</v>
      </c>
      <c r="F37" s="84">
        <v>307114</v>
      </c>
      <c r="G37" s="84">
        <v>370440</v>
      </c>
      <c r="H37" s="84">
        <v>433416</v>
      </c>
      <c r="I37" s="84">
        <v>529944</v>
      </c>
      <c r="J37" s="84">
        <v>569466</v>
      </c>
      <c r="K37" s="84">
        <v>529145</v>
      </c>
      <c r="L37" s="84">
        <v>597520</v>
      </c>
      <c r="M37" s="84">
        <v>556632</v>
      </c>
      <c r="N37" s="84">
        <v>624370</v>
      </c>
      <c r="O37" s="84">
        <v>634681</v>
      </c>
      <c r="P37" s="84">
        <v>774229</v>
      </c>
      <c r="Q37" s="84">
        <v>901125</v>
      </c>
      <c r="R37" s="84">
        <v>928711</v>
      </c>
      <c r="S37" s="84">
        <v>1070235</v>
      </c>
      <c r="T37" s="84">
        <v>1338030</v>
      </c>
      <c r="U37" s="84">
        <v>1567427</v>
      </c>
      <c r="V37" s="84">
        <v>377710</v>
      </c>
      <c r="W37" s="84">
        <v>833278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7948.19923743661</v>
      </c>
      <c r="C38" s="13">
        <f t="shared" si="27"/>
        <v>7045.2880701784652</v>
      </c>
      <c r="D38" s="13">
        <f t="shared" ref="D38:V38" si="28">SUM(D39:D41)</f>
        <v>6704.5176675815219</v>
      </c>
      <c r="E38" s="13">
        <f t="shared" si="28"/>
        <v>6771.4332576281313</v>
      </c>
      <c r="F38" s="13">
        <f t="shared" si="28"/>
        <v>7046.0894860642684</v>
      </c>
      <c r="G38" s="13">
        <f t="shared" si="28"/>
        <v>5463.4625341966312</v>
      </c>
      <c r="H38" s="13">
        <f t="shared" si="28"/>
        <v>6085.6763757065592</v>
      </c>
      <c r="I38" s="13">
        <f t="shared" si="28"/>
        <v>5754.4661220642984</v>
      </c>
      <c r="J38" s="13">
        <f t="shared" si="28"/>
        <v>8009.3060530616121</v>
      </c>
      <c r="K38" s="13">
        <f t="shared" si="28"/>
        <v>8443.7392628728612</v>
      </c>
      <c r="L38" s="13">
        <f t="shared" si="28"/>
        <v>9414.613023242322</v>
      </c>
      <c r="M38" s="13">
        <f t="shared" si="28"/>
        <v>10297.96294478404</v>
      </c>
      <c r="N38" s="13">
        <f t="shared" si="28"/>
        <v>11956.402133454279</v>
      </c>
      <c r="O38" s="13">
        <f t="shared" si="28"/>
        <v>13190.002777424668</v>
      </c>
      <c r="P38" s="13">
        <f t="shared" si="28"/>
        <v>12602.877583099518</v>
      </c>
      <c r="Q38" s="13">
        <f t="shared" si="28"/>
        <v>14433.345987886438</v>
      </c>
      <c r="R38" s="13">
        <f t="shared" si="28"/>
        <v>17401.081627145959</v>
      </c>
      <c r="S38" s="13">
        <f t="shared" si="28"/>
        <v>20335.394104626088</v>
      </c>
      <c r="T38" s="13">
        <f t="shared" si="28"/>
        <v>21934.805584376703</v>
      </c>
      <c r="U38" s="13">
        <f t="shared" si="28"/>
        <v>19936.140812299549</v>
      </c>
      <c r="V38" s="13">
        <f t="shared" si="28"/>
        <v>15027.472827587808</v>
      </c>
      <c r="W38" s="13">
        <f t="shared" ref="W38" si="29">SUM(W39:W41)</f>
        <v>16335.942315447352</v>
      </c>
      <c r="DA38" s="193" t="s">
        <v>219</v>
      </c>
    </row>
    <row r="39" spans="1:105" ht="11.45" customHeight="1" x14ac:dyDescent="0.25">
      <c r="A39" s="92" t="s">
        <v>27</v>
      </c>
      <c r="B39" s="102">
        <v>441.02347158791065</v>
      </c>
      <c r="C39" s="102">
        <v>377.97980041642319</v>
      </c>
      <c r="D39" s="102">
        <v>347.77312269864154</v>
      </c>
      <c r="E39" s="102">
        <v>359.041845713952</v>
      </c>
      <c r="F39" s="102">
        <v>379.07585101408512</v>
      </c>
      <c r="G39" s="102">
        <v>190.50095878130622</v>
      </c>
      <c r="H39" s="102">
        <v>472.57059792497046</v>
      </c>
      <c r="I39" s="102">
        <v>480.42447009714533</v>
      </c>
      <c r="J39" s="102">
        <v>295.81610110594801</v>
      </c>
      <c r="K39" s="102">
        <v>223.77868569648879</v>
      </c>
      <c r="L39" s="102">
        <v>189.48109397726259</v>
      </c>
      <c r="M39" s="102">
        <v>119.84954930243558</v>
      </c>
      <c r="N39" s="102">
        <v>78.339165579868592</v>
      </c>
      <c r="O39" s="102">
        <v>57.362501786034166</v>
      </c>
      <c r="P39" s="102">
        <v>38.601056079636251</v>
      </c>
      <c r="Q39" s="102">
        <v>26.480482009775589</v>
      </c>
      <c r="R39" s="102">
        <v>61.045307976405397</v>
      </c>
      <c r="S39" s="102">
        <v>196.52220508480943</v>
      </c>
      <c r="T39" s="102">
        <v>342.90781845804702</v>
      </c>
      <c r="U39" s="102">
        <v>568.91952326358739</v>
      </c>
      <c r="V39" s="102">
        <v>699.14304856982301</v>
      </c>
      <c r="W39" s="102">
        <v>1016.6378362549539</v>
      </c>
      <c r="DA39" s="175" t="s">
        <v>220</v>
      </c>
    </row>
    <row r="40" spans="1:105" ht="11.45" customHeight="1" x14ac:dyDescent="0.25">
      <c r="A40" s="92" t="s">
        <v>173</v>
      </c>
      <c r="B40" s="102">
        <v>5578.3981837189731</v>
      </c>
      <c r="C40" s="102">
        <v>4729.1108257397018</v>
      </c>
      <c r="D40" s="102">
        <v>4399.8915533157442</v>
      </c>
      <c r="E40" s="102">
        <v>4463.5513703300639</v>
      </c>
      <c r="F40" s="102">
        <v>4792.6959577299494</v>
      </c>
      <c r="G40" s="102">
        <v>4432.8584164369659</v>
      </c>
      <c r="H40" s="102">
        <v>4754.9930045875954</v>
      </c>
      <c r="I40" s="102">
        <v>4099.1792705402395</v>
      </c>
      <c r="J40" s="102">
        <v>6186.4511019835772</v>
      </c>
      <c r="K40" s="102">
        <v>7072.2885931657947</v>
      </c>
      <c r="L40" s="102">
        <v>7859.3288390123516</v>
      </c>
      <c r="M40" s="102">
        <v>8085.625246425253</v>
      </c>
      <c r="N40" s="102">
        <v>8411.99110122604</v>
      </c>
      <c r="O40" s="102">
        <v>8800.366968977165</v>
      </c>
      <c r="P40" s="102">
        <v>9390.0405531715478</v>
      </c>
      <c r="Q40" s="102">
        <v>10978.162520863534</v>
      </c>
      <c r="R40" s="102">
        <v>13105.327108002442</v>
      </c>
      <c r="S40" s="102">
        <v>13944.380582904078</v>
      </c>
      <c r="T40" s="102">
        <v>14353.323453756275</v>
      </c>
      <c r="U40" s="102">
        <v>10077.695322524485</v>
      </c>
      <c r="V40" s="102">
        <v>8601.9097273443276</v>
      </c>
      <c r="W40" s="102">
        <v>9460.5762166400364</v>
      </c>
      <c r="DA40" s="175" t="s">
        <v>221</v>
      </c>
    </row>
    <row r="41" spans="1:105" ht="11.45" customHeight="1" x14ac:dyDescent="0.25">
      <c r="A41" s="85" t="s">
        <v>174</v>
      </c>
      <c r="B41" s="86">
        <v>1928.7775821297264</v>
      </c>
      <c r="C41" s="86">
        <v>1938.1974440223398</v>
      </c>
      <c r="D41" s="86">
        <v>1956.8529915671359</v>
      </c>
      <c r="E41" s="86">
        <v>1948.8400415841152</v>
      </c>
      <c r="F41" s="86">
        <v>1874.317677320234</v>
      </c>
      <c r="G41" s="86">
        <v>840.10315897835835</v>
      </c>
      <c r="H41" s="86">
        <v>858.11277319399289</v>
      </c>
      <c r="I41" s="86">
        <v>1174.8623814269129</v>
      </c>
      <c r="J41" s="86">
        <v>1527.0388499720868</v>
      </c>
      <c r="K41" s="86">
        <v>1147.6719840105773</v>
      </c>
      <c r="L41" s="86">
        <v>1365.8030902527078</v>
      </c>
      <c r="M41" s="86">
        <v>2092.4881490563512</v>
      </c>
      <c r="N41" s="86">
        <v>3466.0718666483717</v>
      </c>
      <c r="O41" s="86">
        <v>4332.2733066614692</v>
      </c>
      <c r="P41" s="86">
        <v>3174.2359738483342</v>
      </c>
      <c r="Q41" s="86">
        <v>3428.702985013128</v>
      </c>
      <c r="R41" s="86">
        <v>4234.7092111671127</v>
      </c>
      <c r="S41" s="86">
        <v>6194.4913166372007</v>
      </c>
      <c r="T41" s="86">
        <v>7238.5743121623818</v>
      </c>
      <c r="U41" s="86">
        <v>9289.5259665114791</v>
      </c>
      <c r="V41" s="86">
        <v>5726.4200516736573</v>
      </c>
      <c r="W41" s="86">
        <v>5858.728262552363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20.134610727977957</v>
      </c>
      <c r="C43" s="54">
        <f t="shared" si="30"/>
        <v>18.125692327239921</v>
      </c>
      <c r="D43" s="54">
        <f t="shared" ref="D43:V43" si="31">SUM(D44,D48)</f>
        <v>16.119958639877677</v>
      </c>
      <c r="E43" s="54">
        <f t="shared" si="31"/>
        <v>18.317895083227288</v>
      </c>
      <c r="F43" s="54">
        <f t="shared" si="31"/>
        <v>23.123547898032239</v>
      </c>
      <c r="G43" s="54">
        <f t="shared" si="31"/>
        <v>29.23226552062869</v>
      </c>
      <c r="H43" s="54">
        <f t="shared" si="31"/>
        <v>33.763389373940328</v>
      </c>
      <c r="I43" s="54">
        <f t="shared" si="31"/>
        <v>42.035735316981949</v>
      </c>
      <c r="J43" s="54">
        <f t="shared" si="31"/>
        <v>47.313682326616814</v>
      </c>
      <c r="K43" s="54">
        <f t="shared" si="31"/>
        <v>48.467286182201711</v>
      </c>
      <c r="L43" s="54">
        <f t="shared" si="31"/>
        <v>49.83259256073525</v>
      </c>
      <c r="M43" s="54">
        <f t="shared" si="31"/>
        <v>50.419079834466928</v>
      </c>
      <c r="N43" s="54">
        <f t="shared" si="31"/>
        <v>49.922911868529525</v>
      </c>
      <c r="O43" s="54">
        <f t="shared" si="31"/>
        <v>48.395201216876217</v>
      </c>
      <c r="P43" s="54">
        <f t="shared" si="31"/>
        <v>49.49227628458344</v>
      </c>
      <c r="Q43" s="54">
        <f t="shared" si="31"/>
        <v>53.666722070553071</v>
      </c>
      <c r="R43" s="54">
        <f t="shared" si="31"/>
        <v>60.962978276156562</v>
      </c>
      <c r="S43" s="54">
        <f t="shared" si="31"/>
        <v>68.296133759470464</v>
      </c>
      <c r="T43" s="54">
        <f t="shared" si="31"/>
        <v>73.98918576106135</v>
      </c>
      <c r="U43" s="54">
        <f t="shared" si="31"/>
        <v>77.335336273848526</v>
      </c>
      <c r="V43" s="54">
        <f t="shared" si="31"/>
        <v>76.003287288487215</v>
      </c>
      <c r="W43" s="54">
        <f t="shared" ref="W43" si="32">SUM(W44,W48)</f>
        <v>74.677588117948147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19.752879521950039</v>
      </c>
      <c r="C44" s="11">
        <f t="shared" si="33"/>
        <v>17.777834878757467</v>
      </c>
      <c r="D44" s="11">
        <f t="shared" ref="D44:V44" si="34">SUM(D45:D47)</f>
        <v>15.802790235564895</v>
      </c>
      <c r="E44" s="11">
        <f t="shared" si="34"/>
        <v>18.01241247422805</v>
      </c>
      <c r="F44" s="11">
        <f t="shared" si="34"/>
        <v>22.784174890818377</v>
      </c>
      <c r="G44" s="11">
        <f t="shared" si="34"/>
        <v>28.905217160428897</v>
      </c>
      <c r="H44" s="11">
        <f t="shared" si="34"/>
        <v>33.383885507420665</v>
      </c>
      <c r="I44" s="11">
        <f t="shared" si="34"/>
        <v>41.689534348794311</v>
      </c>
      <c r="J44" s="11">
        <f t="shared" si="34"/>
        <v>46.823508669988705</v>
      </c>
      <c r="K44" s="11">
        <f t="shared" si="34"/>
        <v>47.924444807445951</v>
      </c>
      <c r="L44" s="11">
        <f t="shared" si="34"/>
        <v>49.266850269004216</v>
      </c>
      <c r="M44" s="11">
        <f t="shared" si="34"/>
        <v>49.826024192221318</v>
      </c>
      <c r="N44" s="11">
        <f t="shared" si="34"/>
        <v>49.270265223221124</v>
      </c>
      <c r="O44" s="11">
        <f t="shared" si="34"/>
        <v>47.710464234207983</v>
      </c>
      <c r="P44" s="11">
        <f t="shared" si="34"/>
        <v>48.838614427049947</v>
      </c>
      <c r="Q44" s="11">
        <f t="shared" si="34"/>
        <v>52.935663843765973</v>
      </c>
      <c r="R44" s="11">
        <f t="shared" si="34"/>
        <v>60.212808314525489</v>
      </c>
      <c r="S44" s="11">
        <f t="shared" si="34"/>
        <v>67.449189564506469</v>
      </c>
      <c r="T44" s="11">
        <f t="shared" si="34"/>
        <v>73.106148762207539</v>
      </c>
      <c r="U44" s="11">
        <f t="shared" si="34"/>
        <v>76.4790350480325</v>
      </c>
      <c r="V44" s="11">
        <f t="shared" si="34"/>
        <v>75.162176413235827</v>
      </c>
      <c r="W44" s="11">
        <f t="shared" ref="W44" si="35">SUM(W45:W47)</f>
        <v>73.845317778439153</v>
      </c>
      <c r="DA44" s="189" t="s">
        <v>224</v>
      </c>
    </row>
    <row r="45" spans="1:105" ht="11.45" customHeight="1" x14ac:dyDescent="0.25">
      <c r="A45" s="83" t="s">
        <v>27</v>
      </c>
      <c r="B45" s="84">
        <v>1.523890063424947</v>
      </c>
      <c r="C45" s="84">
        <v>1.3715010570824524</v>
      </c>
      <c r="D45" s="84">
        <v>1.2191120507399578</v>
      </c>
      <c r="E45" s="84">
        <v>1.0667230443974631</v>
      </c>
      <c r="F45" s="84">
        <v>2.9928118393234673</v>
      </c>
      <c r="G45" s="84">
        <v>3.6081649831649831</v>
      </c>
      <c r="H45" s="84">
        <v>3.888235294117647</v>
      </c>
      <c r="I45" s="84">
        <v>4.4098014364174061</v>
      </c>
      <c r="J45" s="84">
        <v>4.9756618274978655</v>
      </c>
      <c r="K45" s="84">
        <v>5.3752151462994835</v>
      </c>
      <c r="L45" s="84">
        <v>6.2369443245576175</v>
      </c>
      <c r="M45" s="84">
        <v>6.0845553182151226</v>
      </c>
      <c r="N45" s="84">
        <v>5.9321663118726278</v>
      </c>
      <c r="O45" s="84">
        <v>5.7797773055301329</v>
      </c>
      <c r="P45" s="84">
        <v>5.6273882991876381</v>
      </c>
      <c r="Q45" s="84">
        <v>5.4749992928451432</v>
      </c>
      <c r="R45" s="84">
        <v>6.0339130434782611</v>
      </c>
      <c r="S45" s="84">
        <v>7.1887532693984308</v>
      </c>
      <c r="T45" s="84">
        <v>7.3577661431064572</v>
      </c>
      <c r="U45" s="84">
        <v>7.2053771367639623</v>
      </c>
      <c r="V45" s="84">
        <v>7.1037844658689657</v>
      </c>
      <c r="W45" s="84">
        <v>7.0021917949739692</v>
      </c>
      <c r="DA45" s="171" t="s">
        <v>225</v>
      </c>
    </row>
    <row r="46" spans="1:105" ht="11.45" customHeight="1" x14ac:dyDescent="0.25">
      <c r="A46" s="83" t="s">
        <v>173</v>
      </c>
      <c r="B46" s="84">
        <v>13.777182229609428</v>
      </c>
      <c r="C46" s="84">
        <v>12.399707315650918</v>
      </c>
      <c r="D46" s="84">
        <v>11.022232401692408</v>
      </c>
      <c r="E46" s="84">
        <v>12.807135212963118</v>
      </c>
      <c r="F46" s="84">
        <v>14.958029718161578</v>
      </c>
      <c r="G46" s="84">
        <v>19.763137448581745</v>
      </c>
      <c r="H46" s="84">
        <v>23.147444587696814</v>
      </c>
      <c r="I46" s="84">
        <v>29.107175739819738</v>
      </c>
      <c r="J46" s="84">
        <v>32.54774079795213</v>
      </c>
      <c r="K46" s="84">
        <v>33.694304339499332</v>
      </c>
      <c r="L46" s="84">
        <v>34.527367873380605</v>
      </c>
      <c r="M46" s="84">
        <v>35.606909338672217</v>
      </c>
      <c r="N46" s="84">
        <v>34.57864207332716</v>
      </c>
      <c r="O46" s="84">
        <v>33.616410813548079</v>
      </c>
      <c r="P46" s="84">
        <v>34.003699246141885</v>
      </c>
      <c r="Q46" s="84">
        <v>37.715269101300031</v>
      </c>
      <c r="R46" s="84">
        <v>43.344814553558436</v>
      </c>
      <c r="S46" s="84">
        <v>48.152056406839883</v>
      </c>
      <c r="T46" s="84">
        <v>50.866029677924608</v>
      </c>
      <c r="U46" s="84">
        <v>52.746967519809459</v>
      </c>
      <c r="V46" s="84">
        <v>51.828488704502163</v>
      </c>
      <c r="W46" s="84">
        <v>50.910009889194868</v>
      </c>
      <c r="DA46" s="171" t="s">
        <v>226</v>
      </c>
    </row>
    <row r="47" spans="1:105" ht="11.45" customHeight="1" x14ac:dyDescent="0.25">
      <c r="A47" s="83" t="s">
        <v>174</v>
      </c>
      <c r="B47" s="84">
        <v>4.4518072289156629</v>
      </c>
      <c r="C47" s="84">
        <v>4.0066265060240962</v>
      </c>
      <c r="D47" s="84">
        <v>3.5614457831325299</v>
      </c>
      <c r="E47" s="84">
        <v>4.1385542168674698</v>
      </c>
      <c r="F47" s="84">
        <v>4.833333333333333</v>
      </c>
      <c r="G47" s="84">
        <v>5.5339147286821708</v>
      </c>
      <c r="H47" s="84">
        <v>6.3482056256062078</v>
      </c>
      <c r="I47" s="84">
        <v>8.1725571725571733</v>
      </c>
      <c r="J47" s="84">
        <v>9.3001060445387065</v>
      </c>
      <c r="K47" s="84">
        <v>8.8549253216471406</v>
      </c>
      <c r="L47" s="84">
        <v>8.5025380710659899</v>
      </c>
      <c r="M47" s="84">
        <v>8.1345595353339792</v>
      </c>
      <c r="N47" s="84">
        <v>8.7594568380213378</v>
      </c>
      <c r="O47" s="84">
        <v>8.3142761151297719</v>
      </c>
      <c r="P47" s="84">
        <v>9.2075268817204297</v>
      </c>
      <c r="Q47" s="84">
        <v>9.7453954496208013</v>
      </c>
      <c r="R47" s="84">
        <v>10.834080717488789</v>
      </c>
      <c r="S47" s="84">
        <v>12.108379888268157</v>
      </c>
      <c r="T47" s="84">
        <v>14.882352941176471</v>
      </c>
      <c r="U47" s="84">
        <v>16.526690391459073</v>
      </c>
      <c r="V47" s="84">
        <v>16.229903242864697</v>
      </c>
      <c r="W47" s="84">
        <v>15.93311609427032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0.38173120602792032</v>
      </c>
      <c r="C48" s="13">
        <f t="shared" si="36"/>
        <v>0.34785744848245315</v>
      </c>
      <c r="D48" s="13">
        <f t="shared" ref="D48:V48" si="37">SUM(D49:D51)</f>
        <v>0.31716840431278215</v>
      </c>
      <c r="E48" s="13">
        <f t="shared" si="37"/>
        <v>0.30548260899923829</v>
      </c>
      <c r="F48" s="13">
        <f t="shared" si="37"/>
        <v>0.3393730072138631</v>
      </c>
      <c r="G48" s="13">
        <f t="shared" si="37"/>
        <v>0.32704836019979272</v>
      </c>
      <c r="H48" s="13">
        <f t="shared" si="37"/>
        <v>0.37950386651966567</v>
      </c>
      <c r="I48" s="13">
        <f t="shared" si="37"/>
        <v>0.34620096818764101</v>
      </c>
      <c r="J48" s="13">
        <f t="shared" si="37"/>
        <v>0.49017365662811108</v>
      </c>
      <c r="K48" s="13">
        <f t="shared" si="37"/>
        <v>0.54284137475575811</v>
      </c>
      <c r="L48" s="13">
        <f t="shared" si="37"/>
        <v>0.56574229173103341</v>
      </c>
      <c r="M48" s="13">
        <f t="shared" si="37"/>
        <v>0.59305564224560869</v>
      </c>
      <c r="N48" s="13">
        <f t="shared" si="37"/>
        <v>0.65264664530840455</v>
      </c>
      <c r="O48" s="13">
        <f t="shared" si="37"/>
        <v>0.6847369826682308</v>
      </c>
      <c r="P48" s="13">
        <f t="shared" si="37"/>
        <v>0.65366185753349515</v>
      </c>
      <c r="Q48" s="13">
        <f t="shared" si="37"/>
        <v>0.7310582267871002</v>
      </c>
      <c r="R48" s="13">
        <f t="shared" si="37"/>
        <v>0.75016996163107041</v>
      </c>
      <c r="S48" s="13">
        <f t="shared" si="37"/>
        <v>0.84694419496399265</v>
      </c>
      <c r="T48" s="13">
        <f t="shared" si="37"/>
        <v>0.88303699885381448</v>
      </c>
      <c r="U48" s="13">
        <f t="shared" si="37"/>
        <v>0.85630122581601942</v>
      </c>
      <c r="V48" s="13">
        <f t="shared" si="37"/>
        <v>0.84111087525138806</v>
      </c>
      <c r="W48" s="13">
        <f t="shared" ref="W48" si="38">SUM(W49:W51)</f>
        <v>0.83227033950899654</v>
      </c>
      <c r="DA48" s="193" t="s">
        <v>228</v>
      </c>
    </row>
    <row r="49" spans="1:105" ht="11.45" customHeight="1" x14ac:dyDescent="0.25">
      <c r="A49" s="92" t="s">
        <v>27</v>
      </c>
      <c r="B49" s="102">
        <v>3.04077401520387E-2</v>
      </c>
      <c r="C49" s="102">
        <v>2.7366966136834831E-2</v>
      </c>
      <c r="D49" s="102">
        <v>2.4326192121630962E-2</v>
      </c>
      <c r="E49" s="102">
        <v>2.2805805114029024E-2</v>
      </c>
      <c r="F49" s="102">
        <v>2.5570145127850726E-2</v>
      </c>
      <c r="G49" s="102">
        <v>2.2529371112646857E-2</v>
      </c>
      <c r="H49" s="102">
        <v>3.3220338983050844E-2</v>
      </c>
      <c r="I49" s="102">
        <v>3.351206434316354E-2</v>
      </c>
      <c r="J49" s="102">
        <v>3.0471290327959671E-2</v>
      </c>
      <c r="K49" s="102">
        <v>2.7430516312755802E-2</v>
      </c>
      <c r="L49" s="102">
        <v>2.4389742297551933E-2</v>
      </c>
      <c r="M49" s="102">
        <v>2.1348968282348064E-2</v>
      </c>
      <c r="N49" s="102">
        <v>1.8308194267144196E-2</v>
      </c>
      <c r="O49" s="102">
        <v>1.5267420251940325E-2</v>
      </c>
      <c r="P49" s="102">
        <v>1.2226646236736454E-2</v>
      </c>
      <c r="Q49" s="102">
        <v>9.1858722215325834E-3</v>
      </c>
      <c r="R49" s="102">
        <v>6.1450982063287127E-3</v>
      </c>
      <c r="S49" s="102">
        <v>9.8661028893587029E-3</v>
      </c>
      <c r="T49" s="102">
        <v>1.7009213323883769E-2</v>
      </c>
      <c r="U49" s="102">
        <v>2.5405786873676783E-2</v>
      </c>
      <c r="V49" s="102">
        <v>3.3637000700770851E-2</v>
      </c>
      <c r="W49" s="102">
        <v>4.8218029350104823E-2</v>
      </c>
      <c r="DA49" s="175" t="s">
        <v>229</v>
      </c>
    </row>
    <row r="50" spans="1:105" ht="11.45" customHeight="1" x14ac:dyDescent="0.25">
      <c r="A50" s="92" t="s">
        <v>173</v>
      </c>
      <c r="B50" s="102">
        <v>0.29240626842365236</v>
      </c>
      <c r="C50" s="102">
        <v>0.26316564158128714</v>
      </c>
      <c r="D50" s="102">
        <v>0.23392501473892188</v>
      </c>
      <c r="E50" s="102">
        <v>0.21898253636928569</v>
      </c>
      <c r="F50" s="102">
        <v>0.25170095125798692</v>
      </c>
      <c r="G50" s="102">
        <v>0.2483087980043433</v>
      </c>
      <c r="H50" s="102">
        <v>0.29596505619903524</v>
      </c>
      <c r="I50" s="102">
        <v>0.26731368569439018</v>
      </c>
      <c r="J50" s="102">
        <v>0.39765857067971344</v>
      </c>
      <c r="K50" s="102">
        <v>0.45925878256778735</v>
      </c>
      <c r="L50" s="102">
        <v>0.49109219330348935</v>
      </c>
      <c r="M50" s="102">
        <v>0.49351737355173797</v>
      </c>
      <c r="N50" s="102">
        <v>0.50085428814533273</v>
      </c>
      <c r="O50" s="102">
        <v>0.52079339133686076</v>
      </c>
      <c r="P50" s="102">
        <v>0.49865075996255187</v>
      </c>
      <c r="Q50" s="102">
        <v>0.58497962297658379</v>
      </c>
      <c r="R50" s="102">
        <v>0.61302385158098072</v>
      </c>
      <c r="S50" s="102">
        <v>0.71196879997609586</v>
      </c>
      <c r="T50" s="102">
        <v>0.74681021317661567</v>
      </c>
      <c r="U50" s="102">
        <v>0.7175695863342505</v>
      </c>
      <c r="V50" s="102">
        <v>0.69807583510600701</v>
      </c>
      <c r="W50" s="102">
        <v>0.67858208387776353</v>
      </c>
      <c r="DA50" s="175" t="s">
        <v>230</v>
      </c>
    </row>
    <row r="51" spans="1:105" ht="11.45" customHeight="1" x14ac:dyDescent="0.25">
      <c r="A51" s="85" t="s">
        <v>174</v>
      </c>
      <c r="B51" s="86">
        <v>5.89171974522293E-2</v>
      </c>
      <c r="C51" s="86">
        <v>5.7324840764331211E-2</v>
      </c>
      <c r="D51" s="86">
        <v>5.89171974522293E-2</v>
      </c>
      <c r="E51" s="86">
        <v>6.3694267515923567E-2</v>
      </c>
      <c r="F51" s="86">
        <v>6.2101910828025478E-2</v>
      </c>
      <c r="G51" s="86">
        <v>5.6210191082802549E-2</v>
      </c>
      <c r="H51" s="86">
        <v>5.0318471337579621E-2</v>
      </c>
      <c r="I51" s="86">
        <v>4.5375218150087257E-2</v>
      </c>
      <c r="J51" s="86">
        <v>6.2043795620437957E-2</v>
      </c>
      <c r="K51" s="86">
        <v>5.6152075875215028E-2</v>
      </c>
      <c r="L51" s="86">
        <v>5.02603561299921E-2</v>
      </c>
      <c r="M51" s="86">
        <v>7.8189300411522639E-2</v>
      </c>
      <c r="N51" s="86">
        <v>0.1334841628959276</v>
      </c>
      <c r="O51" s="86">
        <v>0.14867617107942974</v>
      </c>
      <c r="P51" s="86">
        <v>0.14278445133420681</v>
      </c>
      <c r="Q51" s="86">
        <v>0.13689273158898388</v>
      </c>
      <c r="R51" s="86">
        <v>0.13100101184376095</v>
      </c>
      <c r="S51" s="86">
        <v>0.12510929209853802</v>
      </c>
      <c r="T51" s="86">
        <v>0.11921757235331509</v>
      </c>
      <c r="U51" s="86">
        <v>0.11332585260809216</v>
      </c>
      <c r="V51" s="86">
        <v>0.10939803944461021</v>
      </c>
      <c r="W51" s="86">
        <v>0.10547022628112826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1.9158585911108004E-2</v>
      </c>
      <c r="C53" s="54">
        <f t="shared" si="39"/>
        <v>3.9957433810190951E-4</v>
      </c>
      <c r="D53" s="54">
        <f t="shared" ref="D53:V53" si="40">SUM(D54,D58)</f>
        <v>3.5842877138980872E-3</v>
      </c>
      <c r="E53" s="54">
        <f t="shared" si="40"/>
        <v>2.9155769371493445</v>
      </c>
      <c r="F53" s="54">
        <f t="shared" si="40"/>
        <v>5.409842559044951</v>
      </c>
      <c r="G53" s="54">
        <f t="shared" si="40"/>
        <v>6.7232564910888044</v>
      </c>
      <c r="H53" s="54">
        <f t="shared" si="40"/>
        <v>5.1435341799937948</v>
      </c>
      <c r="I53" s="54">
        <f t="shared" si="40"/>
        <v>8.8996095008981957</v>
      </c>
      <c r="J53" s="54">
        <f t="shared" si="40"/>
        <v>5.8886671924084162</v>
      </c>
      <c r="K53" s="54">
        <f t="shared" si="40"/>
        <v>2.0755295393798967</v>
      </c>
      <c r="L53" s="54">
        <f t="shared" si="40"/>
        <v>2.1946007960195399</v>
      </c>
      <c r="M53" s="54">
        <f t="shared" si="40"/>
        <v>1.5502931371562656</v>
      </c>
      <c r="N53" s="54">
        <f t="shared" si="40"/>
        <v>1.1291229046478399</v>
      </c>
      <c r="O53" s="54">
        <f t="shared" si="40"/>
        <v>0.40904451895505556</v>
      </c>
      <c r="P53" s="54">
        <f t="shared" si="40"/>
        <v>1.9893974893131645</v>
      </c>
      <c r="Q53" s="54">
        <f t="shared" si="40"/>
        <v>4.8958191649029112</v>
      </c>
      <c r="R53" s="54">
        <f t="shared" si="40"/>
        <v>7.9065553833739015</v>
      </c>
      <c r="S53" s="54">
        <f t="shared" si="40"/>
        <v>7.9413261192741347</v>
      </c>
      <c r="T53" s="54">
        <f t="shared" si="40"/>
        <v>6.3054623282730375</v>
      </c>
      <c r="U53" s="54">
        <f t="shared" si="40"/>
        <v>4.0816240979786809</v>
      </c>
      <c r="V53" s="54">
        <f t="shared" si="40"/>
        <v>9.14344603209407E-3</v>
      </c>
      <c r="W53" s="54">
        <f t="shared" ref="W53" si="41">SUM(W54,W58)</f>
        <v>1.5493260854333973E-2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8.11030009999999E-5</v>
      </c>
      <c r="C54" s="11">
        <f t="shared" si="42"/>
        <v>8.11030009999999E-5</v>
      </c>
      <c r="D54" s="11">
        <f t="shared" ref="D54:V54" si="43">SUM(D55:D57)</f>
        <v>8.11030009999999E-5</v>
      </c>
      <c r="E54" s="11">
        <f t="shared" si="43"/>
        <v>2.9088890390606501</v>
      </c>
      <c r="F54" s="11">
        <f t="shared" si="43"/>
        <v>5.3643569125483266</v>
      </c>
      <c r="G54" s="11">
        <f t="shared" si="43"/>
        <v>6.7136367655685198</v>
      </c>
      <c r="H54" s="11">
        <f t="shared" si="43"/>
        <v>5.0712628429497713</v>
      </c>
      <c r="I54" s="11">
        <f t="shared" si="43"/>
        <v>8.8984055433330838</v>
      </c>
      <c r="J54" s="11">
        <f t="shared" si="43"/>
        <v>5.726731023153814</v>
      </c>
      <c r="K54" s="11">
        <f t="shared" si="43"/>
        <v>2.0051571394398229</v>
      </c>
      <c r="L54" s="11">
        <f t="shared" si="43"/>
        <v>2.1539951972318381</v>
      </c>
      <c r="M54" s="11">
        <f t="shared" si="43"/>
        <v>1.4930272484810492</v>
      </c>
      <c r="N54" s="11">
        <f t="shared" si="43"/>
        <v>1.0515684207709124</v>
      </c>
      <c r="O54" s="11">
        <f t="shared" si="43"/>
        <v>0.35899070078109752</v>
      </c>
      <c r="P54" s="11">
        <f t="shared" si="43"/>
        <v>1.9893974893131645</v>
      </c>
      <c r="Q54" s="11">
        <f t="shared" si="43"/>
        <v>4.7964784231149515</v>
      </c>
      <c r="R54" s="11">
        <f t="shared" si="43"/>
        <v>7.8697389667175051</v>
      </c>
      <c r="S54" s="11">
        <f t="shared" si="43"/>
        <v>7.8289757459389895</v>
      </c>
      <c r="T54" s="11">
        <f t="shared" si="43"/>
        <v>6.249553693659065</v>
      </c>
      <c r="U54" s="11">
        <f t="shared" si="43"/>
        <v>4.0723152922238874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1.971805496829004</v>
      </c>
      <c r="G55" s="84">
        <v>0.66106984574451566</v>
      </c>
      <c r="H55" s="84">
        <v>0.32578701285566369</v>
      </c>
      <c r="I55" s="84">
        <v>0.56728284420275932</v>
      </c>
      <c r="J55" s="84">
        <v>0.61157709298345964</v>
      </c>
      <c r="K55" s="84">
        <v>0.4452700207046183</v>
      </c>
      <c r="L55" s="84">
        <v>0.90744588016113426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0.60463045253611813</v>
      </c>
      <c r="S55" s="84">
        <v>1.20055692782317</v>
      </c>
      <c r="T55" s="84">
        <v>0.21472957561102657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8.11030009999999E-5</v>
      </c>
      <c r="C56" s="84">
        <v>8.11030009999999E-5</v>
      </c>
      <c r="D56" s="84">
        <v>8.11030009999999E-5</v>
      </c>
      <c r="E56" s="84">
        <v>2.1982263884587101</v>
      </c>
      <c r="F56" s="84">
        <v>2.5642180823864598</v>
      </c>
      <c r="G56" s="84">
        <v>5.2184313076081663</v>
      </c>
      <c r="H56" s="84">
        <v>3.7976307163030705</v>
      </c>
      <c r="I56" s="84">
        <v>6.3732169353123584</v>
      </c>
      <c r="J56" s="84">
        <v>3.8540508413218224</v>
      </c>
      <c r="K56" s="84">
        <v>1.5598871187352044</v>
      </c>
      <c r="L56" s="84">
        <v>1.2465493170707038</v>
      </c>
      <c r="M56" s="84">
        <v>1.4930272484810492</v>
      </c>
      <c r="N56" s="84">
        <v>0.29311690121655465</v>
      </c>
      <c r="O56" s="84">
        <v>0.35899070078109752</v>
      </c>
      <c r="P56" s="84">
        <v>0.9625925058555076</v>
      </c>
      <c r="Q56" s="84">
        <v>4.1250556383475807</v>
      </c>
      <c r="R56" s="84">
        <v>6.0428690294464005</v>
      </c>
      <c r="S56" s="84">
        <v>5.2205654304694518</v>
      </c>
      <c r="T56" s="84">
        <v>3.1272968482727252</v>
      </c>
      <c r="U56" s="84">
        <v>2.294423625074284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</v>
      </c>
      <c r="D57" s="84">
        <v>0</v>
      </c>
      <c r="E57" s="84">
        <v>0.71066265060194</v>
      </c>
      <c r="F57" s="84">
        <v>0.8283333333328633</v>
      </c>
      <c r="G57" s="84">
        <v>0.83413561221583787</v>
      </c>
      <c r="H57" s="84">
        <v>0.94784511379103709</v>
      </c>
      <c r="I57" s="84">
        <v>1.9579057638179647</v>
      </c>
      <c r="J57" s="84">
        <v>1.2611030888485324</v>
      </c>
      <c r="K57" s="84">
        <v>0</v>
      </c>
      <c r="L57" s="84">
        <v>0</v>
      </c>
      <c r="M57" s="84">
        <v>0</v>
      </c>
      <c r="N57" s="84">
        <v>0.75845151955435774</v>
      </c>
      <c r="O57" s="84">
        <v>0</v>
      </c>
      <c r="P57" s="84">
        <v>1.0268049834576569</v>
      </c>
      <c r="Q57" s="84">
        <v>0.67142278476737083</v>
      </c>
      <c r="R57" s="84">
        <v>1.2222394847349864</v>
      </c>
      <c r="S57" s="84">
        <v>1.4078533876463677</v>
      </c>
      <c r="T57" s="84">
        <v>2.9075272697753132</v>
      </c>
      <c r="U57" s="84">
        <v>1.7778916671496034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1.9077482910108003E-2</v>
      </c>
      <c r="C58" s="13">
        <f t="shared" si="45"/>
        <v>3.1847133710190961E-4</v>
      </c>
      <c r="D58" s="13">
        <f t="shared" ref="D58:V58" si="46">SUM(D59:D61)</f>
        <v>3.5031847128980872E-3</v>
      </c>
      <c r="E58" s="13">
        <f t="shared" si="46"/>
        <v>6.6878980886942718E-3</v>
      </c>
      <c r="F58" s="13">
        <f t="shared" si="46"/>
        <v>4.5485646496624836E-2</v>
      </c>
      <c r="G58" s="13">
        <f t="shared" si="46"/>
        <v>9.619725520284228E-3</v>
      </c>
      <c r="H58" s="13">
        <f t="shared" si="46"/>
        <v>7.227133704402372E-2</v>
      </c>
      <c r="I58" s="13">
        <f t="shared" si="46"/>
        <v>1.2039575651126982E-3</v>
      </c>
      <c r="J58" s="13">
        <f t="shared" si="46"/>
        <v>0.16193616925460175</v>
      </c>
      <c r="K58" s="13">
        <f t="shared" si="46"/>
        <v>7.037239994007391E-2</v>
      </c>
      <c r="L58" s="13">
        <f t="shared" si="46"/>
        <v>4.060559878770198E-2</v>
      </c>
      <c r="M58" s="13">
        <f t="shared" si="46"/>
        <v>5.7265888675216529E-2</v>
      </c>
      <c r="N58" s="13">
        <f t="shared" si="46"/>
        <v>7.7554483876927566E-2</v>
      </c>
      <c r="O58" s="13">
        <f t="shared" si="46"/>
        <v>5.0053818173958015E-2</v>
      </c>
      <c r="P58" s="13">
        <f t="shared" si="46"/>
        <v>0</v>
      </c>
      <c r="Q58" s="13">
        <f t="shared" si="46"/>
        <v>9.9340741787959819E-2</v>
      </c>
      <c r="R58" s="13">
        <f t="shared" si="46"/>
        <v>3.6816416656396858E-2</v>
      </c>
      <c r="S58" s="13">
        <f t="shared" si="46"/>
        <v>0.11235037333514525</v>
      </c>
      <c r="T58" s="13">
        <f t="shared" si="46"/>
        <v>5.5908634613972719E-2</v>
      </c>
      <c r="U58" s="13">
        <f t="shared" si="46"/>
        <v>9.3088057547930127E-3</v>
      </c>
      <c r="V58" s="13">
        <f t="shared" si="46"/>
        <v>9.14344603209407E-3</v>
      </c>
      <c r="W58" s="13">
        <f t="shared" ref="W58" si="47">SUM(W59:W61)</f>
        <v>1.5493260854333973E-2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3.6765722188216998E-3</v>
      </c>
      <c r="G59" s="102">
        <v>0</v>
      </c>
      <c r="H59" s="102">
        <v>1.160320007540399E-2</v>
      </c>
      <c r="I59" s="102">
        <v>1.2039575651126982E-3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4.6332368880299905E-3</v>
      </c>
      <c r="T59" s="102">
        <v>8.0553426395250649E-3</v>
      </c>
      <c r="U59" s="102">
        <v>9.3088057547930127E-3</v>
      </c>
      <c r="V59" s="102">
        <v>9.14344603209407E-3</v>
      </c>
      <c r="W59" s="102">
        <v>1.5493260854333973E-2</v>
      </c>
      <c r="DA59" s="175" t="s">
        <v>238</v>
      </c>
    </row>
    <row r="60" spans="1:105" ht="11.45" customHeight="1" x14ac:dyDescent="0.25">
      <c r="A60" s="92" t="s">
        <v>173</v>
      </c>
      <c r="B60" s="102">
        <v>1.9077482910108003E-2</v>
      </c>
      <c r="C60" s="102">
        <v>0</v>
      </c>
      <c r="D60" s="102">
        <v>0</v>
      </c>
      <c r="E60" s="102">
        <v>0</v>
      </c>
      <c r="F60" s="102">
        <v>4.149060294070122E-2</v>
      </c>
      <c r="G60" s="102">
        <v>9.619725520284228E-3</v>
      </c>
      <c r="H60" s="102">
        <v>6.0668136968619724E-2</v>
      </c>
      <c r="I60" s="102">
        <v>0</v>
      </c>
      <c r="J60" s="102">
        <v>0.14335676375925105</v>
      </c>
      <c r="K60" s="102">
        <v>7.037239994007391E-2</v>
      </c>
      <c r="L60" s="102">
        <v>4.060559878770198E-2</v>
      </c>
      <c r="M60" s="102">
        <v>2.7426116368685985E-2</v>
      </c>
      <c r="N60" s="102">
        <v>2.03487933675226E-2</v>
      </c>
      <c r="O60" s="102">
        <v>3.2950981965455872E-2</v>
      </c>
      <c r="P60" s="102">
        <v>0</v>
      </c>
      <c r="Q60" s="102">
        <v>9.9340741787959819E-2</v>
      </c>
      <c r="R60" s="102">
        <v>3.6816416656396858E-2</v>
      </c>
      <c r="S60" s="102">
        <v>0.10771713644711525</v>
      </c>
      <c r="T60" s="102">
        <v>4.7853291974447654E-2</v>
      </c>
      <c r="U60" s="102">
        <v>0</v>
      </c>
      <c r="V60" s="102">
        <v>0</v>
      </c>
      <c r="W60" s="102">
        <v>0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3.1847133710190961E-4</v>
      </c>
      <c r="D61" s="86">
        <v>3.5031847128980872E-3</v>
      </c>
      <c r="E61" s="86">
        <v>6.6878980886942718E-3</v>
      </c>
      <c r="F61" s="86">
        <v>3.1847133710191655E-4</v>
      </c>
      <c r="G61" s="86">
        <v>0</v>
      </c>
      <c r="H61" s="86">
        <v>0</v>
      </c>
      <c r="I61" s="86">
        <v>0</v>
      </c>
      <c r="J61" s="86">
        <v>1.8579405495350698E-2</v>
      </c>
      <c r="K61" s="86">
        <v>0</v>
      </c>
      <c r="L61" s="86">
        <v>0</v>
      </c>
      <c r="M61" s="86">
        <v>2.9839772306530545E-2</v>
      </c>
      <c r="N61" s="86">
        <v>5.7205690509404966E-2</v>
      </c>
      <c r="O61" s="86">
        <v>1.7102836208502142E-2</v>
      </c>
      <c r="P61" s="86">
        <v>0</v>
      </c>
      <c r="Q61" s="86">
        <v>0</v>
      </c>
      <c r="R61" s="86">
        <v>0</v>
      </c>
      <c r="S61" s="86">
        <v>0</v>
      </c>
      <c r="T61" s="86">
        <v>0</v>
      </c>
      <c r="U61" s="86">
        <v>0</v>
      </c>
      <c r="V61" s="86">
        <v>0</v>
      </c>
      <c r="W61" s="86">
        <v>0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61.509442060085838</v>
      </c>
      <c r="C66" s="14">
        <f t="shared" si="48"/>
        <v>63.682542632777285</v>
      </c>
      <c r="D66" s="14">
        <f t="shared" ref="D66:V66" si="49">IF(D34=0,0,D34/D24)</f>
        <v>64.994576646375208</v>
      </c>
      <c r="E66" s="14">
        <f t="shared" si="49"/>
        <v>66.35226014760147</v>
      </c>
      <c r="F66" s="14">
        <f t="shared" si="49"/>
        <v>62.471975734890776</v>
      </c>
      <c r="G66" s="14">
        <f t="shared" si="49"/>
        <v>63.906241253848307</v>
      </c>
      <c r="H66" s="14">
        <f t="shared" si="49"/>
        <v>65.704371887105694</v>
      </c>
      <c r="I66" s="14">
        <f t="shared" si="49"/>
        <v>67.798189279207989</v>
      </c>
      <c r="J66" s="14">
        <f t="shared" si="49"/>
        <v>70.799483935408688</v>
      </c>
      <c r="K66" s="14">
        <f t="shared" si="49"/>
        <v>68.2120891636837</v>
      </c>
      <c r="L66" s="14">
        <f t="shared" si="49"/>
        <v>73.438348486735578</v>
      </c>
      <c r="M66" s="14">
        <f t="shared" si="49"/>
        <v>80.078443464586357</v>
      </c>
      <c r="N66" s="14">
        <f t="shared" si="49"/>
        <v>85.852527454103452</v>
      </c>
      <c r="O66" s="14">
        <f t="shared" si="49"/>
        <v>92.294527552913038</v>
      </c>
      <c r="P66" s="14">
        <f t="shared" si="49"/>
        <v>97.935532667074582</v>
      </c>
      <c r="Q66" s="14">
        <f t="shared" si="49"/>
        <v>104.67631083028489</v>
      </c>
      <c r="R66" s="14">
        <f t="shared" si="49"/>
        <v>109.65165193745752</v>
      </c>
      <c r="S66" s="14">
        <f t="shared" si="49"/>
        <v>117.39252834576993</v>
      </c>
      <c r="T66" s="14">
        <f t="shared" si="49"/>
        <v>121.0792760119068</v>
      </c>
      <c r="U66" s="14">
        <f t="shared" si="49"/>
        <v>126.93112239242723</v>
      </c>
      <c r="V66" s="14">
        <f t="shared" si="49"/>
        <v>100.25422967930193</v>
      </c>
      <c r="W66" s="14">
        <f t="shared" ref="W66" si="50">IF(W34=0,0,W34/W24)</f>
        <v>106.17007073637897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38.549944506104332</v>
      </c>
      <c r="C67" s="87">
        <f t="shared" si="48"/>
        <v>38.666851441241683</v>
      </c>
      <c r="D67" s="87">
        <f t="shared" ref="D67:V67" si="51">IF(D35=0,0,D35/D25)</f>
        <v>38.931893687707642</v>
      </c>
      <c r="E67" s="87">
        <f t="shared" si="51"/>
        <v>39.220746887966804</v>
      </c>
      <c r="F67" s="87">
        <f t="shared" si="51"/>
        <v>39.535320712065555</v>
      </c>
      <c r="G67" s="87">
        <f t="shared" si="51"/>
        <v>39.827131692523039</v>
      </c>
      <c r="H67" s="87">
        <f t="shared" si="51"/>
        <v>40.20736978603847</v>
      </c>
      <c r="I67" s="87">
        <f t="shared" si="51"/>
        <v>41.066296225330525</v>
      </c>
      <c r="J67" s="87">
        <f t="shared" si="51"/>
        <v>44.512228610658198</v>
      </c>
      <c r="K67" s="87">
        <f t="shared" si="51"/>
        <v>37.997358309317967</v>
      </c>
      <c r="L67" s="87">
        <f t="shared" si="51"/>
        <v>41.078956473600442</v>
      </c>
      <c r="M67" s="87">
        <f t="shared" si="51"/>
        <v>44.633901331944344</v>
      </c>
      <c r="N67" s="87">
        <f t="shared" si="51"/>
        <v>45.466576179165251</v>
      </c>
      <c r="O67" s="87">
        <f t="shared" si="51"/>
        <v>46.391144878176576</v>
      </c>
      <c r="P67" s="87">
        <f t="shared" si="51"/>
        <v>46.137305699481864</v>
      </c>
      <c r="Q67" s="87">
        <f t="shared" si="51"/>
        <v>48.622899873749638</v>
      </c>
      <c r="R67" s="87">
        <f t="shared" si="51"/>
        <v>62.671710621126962</v>
      </c>
      <c r="S67" s="87">
        <f t="shared" si="51"/>
        <v>80.253168394882053</v>
      </c>
      <c r="T67" s="87">
        <f t="shared" si="51"/>
        <v>79.265951138519924</v>
      </c>
      <c r="U67" s="87">
        <f t="shared" si="51"/>
        <v>78.672219137516194</v>
      </c>
      <c r="V67" s="87">
        <f t="shared" si="51"/>
        <v>58.839734733351754</v>
      </c>
      <c r="W67" s="87">
        <f t="shared" ref="W67" si="52">IF(W35=0,0,W35/W25)</f>
        <v>70.972661545413459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66.02268076398363</v>
      </c>
      <c r="C68" s="87">
        <f t="shared" si="48"/>
        <v>66.803467106934221</v>
      </c>
      <c r="D68" s="87">
        <f t="shared" ref="D68:V68" si="53">IF(D36=0,0,D36/D26)</f>
        <v>67.868161235246077</v>
      </c>
      <c r="E68" s="87">
        <f t="shared" si="53"/>
        <v>69.16571882834954</v>
      </c>
      <c r="F68" s="87">
        <f t="shared" si="53"/>
        <v>70.638462746740672</v>
      </c>
      <c r="G68" s="87">
        <f t="shared" si="53"/>
        <v>71.938486750069941</v>
      </c>
      <c r="H68" s="87">
        <f t="shared" si="53"/>
        <v>73.621323529411768</v>
      </c>
      <c r="I68" s="87">
        <f t="shared" si="53"/>
        <v>75.625308659101634</v>
      </c>
      <c r="J68" s="87">
        <f t="shared" si="53"/>
        <v>79.823391429364136</v>
      </c>
      <c r="K68" s="87">
        <f t="shared" si="53"/>
        <v>78.422622854050857</v>
      </c>
      <c r="L68" s="87">
        <f t="shared" si="53"/>
        <v>85.155291503646808</v>
      </c>
      <c r="M68" s="87">
        <f t="shared" si="53"/>
        <v>93.853579730357978</v>
      </c>
      <c r="N68" s="87">
        <f t="shared" si="53"/>
        <v>102.00236954618039</v>
      </c>
      <c r="O68" s="87">
        <f t="shared" si="53"/>
        <v>108.88050166260832</v>
      </c>
      <c r="P68" s="87">
        <f t="shared" si="53"/>
        <v>113.09786454543173</v>
      </c>
      <c r="Q68" s="87">
        <f t="shared" si="53"/>
        <v>118.75954851214229</v>
      </c>
      <c r="R68" s="87">
        <f t="shared" si="53"/>
        <v>125.30815069588866</v>
      </c>
      <c r="S68" s="87">
        <f t="shared" si="53"/>
        <v>132.13997537302623</v>
      </c>
      <c r="T68" s="87">
        <f t="shared" si="53"/>
        <v>136.53069609916275</v>
      </c>
      <c r="U68" s="87">
        <f t="shared" si="53"/>
        <v>143.29688566339863</v>
      </c>
      <c r="V68" s="87">
        <f t="shared" si="53"/>
        <v>113.45577813280897</v>
      </c>
      <c r="W68" s="87">
        <f t="shared" ref="W68" si="54">IF(W36=0,0,W36/W26)</f>
        <v>116.18946777138042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62.264772214704557</v>
      </c>
      <c r="C69" s="87">
        <f t="shared" si="48"/>
        <v>62.669690098261526</v>
      </c>
      <c r="D69" s="87">
        <f t="shared" ref="D69:V69" si="55">IF(D37=0,0,D37/D27)</f>
        <v>62.835346097201764</v>
      </c>
      <c r="E69" s="87">
        <f t="shared" si="55"/>
        <v>63.122028141678797</v>
      </c>
      <c r="F69" s="87">
        <f t="shared" si="55"/>
        <v>63.796011632737851</v>
      </c>
      <c r="G69" s="87">
        <f t="shared" si="55"/>
        <v>64.86429697075819</v>
      </c>
      <c r="H69" s="87">
        <f t="shared" si="55"/>
        <v>66.220932009167299</v>
      </c>
      <c r="I69" s="87">
        <f t="shared" si="55"/>
        <v>67.405749173238362</v>
      </c>
      <c r="J69" s="87">
        <f t="shared" si="55"/>
        <v>64.933409350057019</v>
      </c>
      <c r="K69" s="87">
        <f t="shared" si="55"/>
        <v>63.675691937424787</v>
      </c>
      <c r="L69" s="87">
        <f t="shared" si="55"/>
        <v>71.345671641791043</v>
      </c>
      <c r="M69" s="87">
        <f t="shared" si="55"/>
        <v>66.242056408425569</v>
      </c>
      <c r="N69" s="87">
        <f t="shared" si="55"/>
        <v>69.13630827150925</v>
      </c>
      <c r="O69" s="87">
        <f t="shared" si="55"/>
        <v>78.891361093847109</v>
      </c>
      <c r="P69" s="87">
        <f t="shared" si="55"/>
        <v>90.415625364942187</v>
      </c>
      <c r="Q69" s="87">
        <f t="shared" si="55"/>
        <v>100.18065591995553</v>
      </c>
      <c r="R69" s="87">
        <f t="shared" si="55"/>
        <v>96.10006208609272</v>
      </c>
      <c r="S69" s="87">
        <f t="shared" si="55"/>
        <v>98.757497462397339</v>
      </c>
      <c r="T69" s="87">
        <f t="shared" si="55"/>
        <v>105.77312252964427</v>
      </c>
      <c r="U69" s="87">
        <f t="shared" si="55"/>
        <v>112.50552684467414</v>
      </c>
      <c r="V69" s="87">
        <f t="shared" si="55"/>
        <v>94.616733466933866</v>
      </c>
      <c r="W69" s="87">
        <f t="shared" ref="W69" si="56">IF(W37=0,0,W37/W27)</f>
        <v>100.71041817742325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18.570558965973387</v>
      </c>
      <c r="C70" s="15">
        <f t="shared" si="48"/>
        <v>19.302159096379356</v>
      </c>
      <c r="D70" s="15">
        <f t="shared" ref="D70:V70" si="57">IF(D38=0,0,D38/D28)</f>
        <v>19.661342133670153</v>
      </c>
      <c r="E70" s="15">
        <f t="shared" si="57"/>
        <v>20.334634407291684</v>
      </c>
      <c r="F70" s="15">
        <f t="shared" si="57"/>
        <v>18.78957196283805</v>
      </c>
      <c r="G70" s="15">
        <f t="shared" si="57"/>
        <v>16.555947073323125</v>
      </c>
      <c r="H70" s="15">
        <f t="shared" si="57"/>
        <v>14.915873469869018</v>
      </c>
      <c r="I70" s="15">
        <f t="shared" si="57"/>
        <v>15.386273053647857</v>
      </c>
      <c r="J70" s="15">
        <f t="shared" si="57"/>
        <v>15.432188926900986</v>
      </c>
      <c r="K70" s="15">
        <f t="shared" si="57"/>
        <v>14.918267248891981</v>
      </c>
      <c r="L70" s="15">
        <f t="shared" si="57"/>
        <v>15.956971225834444</v>
      </c>
      <c r="M70" s="15">
        <f t="shared" si="57"/>
        <v>18.034961374402872</v>
      </c>
      <c r="N70" s="15">
        <f t="shared" si="57"/>
        <v>20.72166747565733</v>
      </c>
      <c r="O70" s="15">
        <f t="shared" si="57"/>
        <v>21.622955372827324</v>
      </c>
      <c r="P70" s="15">
        <f t="shared" si="57"/>
        <v>22.227297324690507</v>
      </c>
      <c r="Q70" s="15">
        <f t="shared" si="57"/>
        <v>21.935176273383643</v>
      </c>
      <c r="R70" s="15">
        <f t="shared" si="57"/>
        <v>24.894251254858311</v>
      </c>
      <c r="S70" s="15">
        <f t="shared" si="57"/>
        <v>24.559654715731991</v>
      </c>
      <c r="T70" s="15">
        <f t="shared" si="57"/>
        <v>24.982694287444993</v>
      </c>
      <c r="U70" s="15">
        <f t="shared" si="57"/>
        <v>29.447770771491211</v>
      </c>
      <c r="V70" s="15">
        <f t="shared" si="57"/>
        <v>23.012975233671987</v>
      </c>
      <c r="W70" s="15">
        <f t="shared" ref="W70" si="58">IF(W38=0,0,W38/W28)</f>
        <v>22.847471769856437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14.287825769085293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15.181021974099199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13.656624949191119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19.492640855946778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49.898781913503356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59.346209680294095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50.231754839242605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1101.2571719608366</v>
      </c>
      <c r="C75" s="62">
        <f t="shared" si="65"/>
        <v>1151.0759503235804</v>
      </c>
      <c r="D75" s="62">
        <f t="shared" ref="D75:V75" si="66">IF(D13=0,0,D13*1000000/D23)</f>
        <v>1165.7954531456178</v>
      </c>
      <c r="E75" s="62">
        <f t="shared" si="66"/>
        <v>1176.8512888557971</v>
      </c>
      <c r="F75" s="62">
        <f t="shared" si="66"/>
        <v>1025.8430327300471</v>
      </c>
      <c r="G75" s="62">
        <f t="shared" si="66"/>
        <v>1036.6757030756785</v>
      </c>
      <c r="H75" s="62">
        <f t="shared" si="66"/>
        <v>1043.9186088253164</v>
      </c>
      <c r="I75" s="62">
        <f t="shared" si="66"/>
        <v>1120.9534823312217</v>
      </c>
      <c r="J75" s="62">
        <f t="shared" si="66"/>
        <v>1156.1023776516058</v>
      </c>
      <c r="K75" s="62">
        <f t="shared" si="66"/>
        <v>1156.0299742603229</v>
      </c>
      <c r="L75" s="62">
        <f t="shared" si="66"/>
        <v>1142.27763617544</v>
      </c>
      <c r="M75" s="62">
        <f t="shared" si="66"/>
        <v>1138.2107032937149</v>
      </c>
      <c r="N75" s="62">
        <f t="shared" si="66"/>
        <v>1154.7360405695279</v>
      </c>
      <c r="O75" s="62">
        <f t="shared" si="66"/>
        <v>1196.9649579041534</v>
      </c>
      <c r="P75" s="62">
        <f t="shared" si="66"/>
        <v>1252.4278341293896</v>
      </c>
      <c r="Q75" s="62">
        <f t="shared" si="66"/>
        <v>1284.1782112785834</v>
      </c>
      <c r="R75" s="62">
        <f t="shared" si="66"/>
        <v>1281.4607419843983</v>
      </c>
      <c r="S75" s="62">
        <f t="shared" si="66"/>
        <v>1280.0969013681656</v>
      </c>
      <c r="T75" s="62">
        <f t="shared" si="66"/>
        <v>1310.9141954304134</v>
      </c>
      <c r="U75" s="62">
        <f t="shared" si="66"/>
        <v>1337.2099193473987</v>
      </c>
      <c r="V75" s="62">
        <f t="shared" si="66"/>
        <v>1326.6284546802633</v>
      </c>
      <c r="W75" s="62">
        <f t="shared" ref="W75" si="67">IF(W13=0,0,W13*1000000/W23)</f>
        <v>1371.828086341267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1105.9514952451214</v>
      </c>
      <c r="C76" s="14">
        <f t="shared" si="65"/>
        <v>1156.4211037378373</v>
      </c>
      <c r="D76" s="14">
        <f t="shared" ref="D76:V76" si="68">IF(D14=0,0,D14*1000000/D24)</f>
        <v>1171.7244339569063</v>
      </c>
      <c r="E76" s="14">
        <f t="shared" si="68"/>
        <v>1181.5563234964193</v>
      </c>
      <c r="F76" s="14">
        <f t="shared" si="68"/>
        <v>1028.0203030771274</v>
      </c>
      <c r="G76" s="14">
        <f t="shared" si="68"/>
        <v>1038.7669973728148</v>
      </c>
      <c r="H76" s="14">
        <f t="shared" si="68"/>
        <v>1047.1368001420008</v>
      </c>
      <c r="I76" s="14">
        <f t="shared" si="68"/>
        <v>1123.1314249207619</v>
      </c>
      <c r="J76" s="14">
        <f t="shared" si="68"/>
        <v>1158.4330835844125</v>
      </c>
      <c r="K76" s="14">
        <f t="shared" si="68"/>
        <v>1158.3238297959424</v>
      </c>
      <c r="L76" s="14">
        <f t="shared" si="68"/>
        <v>1143.8830875044239</v>
      </c>
      <c r="M76" s="14">
        <f t="shared" si="68"/>
        <v>1138.2522000409001</v>
      </c>
      <c r="N76" s="14">
        <f t="shared" si="68"/>
        <v>1153.3940904041058</v>
      </c>
      <c r="O76" s="14">
        <f t="shared" si="68"/>
        <v>1195.7675132033862</v>
      </c>
      <c r="P76" s="14">
        <f t="shared" si="68"/>
        <v>1252.8110051514723</v>
      </c>
      <c r="Q76" s="14">
        <f t="shared" si="68"/>
        <v>1285.6513406216077</v>
      </c>
      <c r="R76" s="14">
        <f t="shared" si="68"/>
        <v>1283.0686140514429</v>
      </c>
      <c r="S76" s="14">
        <f t="shared" si="68"/>
        <v>1282.065963478522</v>
      </c>
      <c r="T76" s="14">
        <f t="shared" si="68"/>
        <v>1313.9886629929636</v>
      </c>
      <c r="U76" s="14">
        <f t="shared" si="68"/>
        <v>1340.3097750833065</v>
      </c>
      <c r="V76" s="14">
        <f t="shared" si="68"/>
        <v>1334.2507923964267</v>
      </c>
      <c r="W76" s="14">
        <f t="shared" ref="W76" si="69">IF(W14=0,0,W14*1000000/W24)</f>
        <v>1378.0826852118059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342.28279415511292</v>
      </c>
      <c r="C77" s="39">
        <f t="shared" si="65"/>
        <v>342.28279415511298</v>
      </c>
      <c r="D77" s="39">
        <f t="shared" ref="D77:V77" si="70">IF(D15=0,0,D15*1000000/D25)</f>
        <v>342.28279415511292</v>
      </c>
      <c r="E77" s="39">
        <f t="shared" si="70"/>
        <v>342.28279415511292</v>
      </c>
      <c r="F77" s="39">
        <f t="shared" si="70"/>
        <v>342.28279415511298</v>
      </c>
      <c r="G77" s="39">
        <f t="shared" si="70"/>
        <v>336.55407512402553</v>
      </c>
      <c r="H77" s="39">
        <f t="shared" si="70"/>
        <v>334.17149263328542</v>
      </c>
      <c r="I77" s="39">
        <f t="shared" si="70"/>
        <v>341.12005796642069</v>
      </c>
      <c r="J77" s="39">
        <f t="shared" si="70"/>
        <v>354.18840476067078</v>
      </c>
      <c r="K77" s="39">
        <f t="shared" si="70"/>
        <v>363.78302857843016</v>
      </c>
      <c r="L77" s="39">
        <f t="shared" si="70"/>
        <v>368.02014579191513</v>
      </c>
      <c r="M77" s="39">
        <f t="shared" si="70"/>
        <v>378.23286172329722</v>
      </c>
      <c r="N77" s="39">
        <f t="shared" si="70"/>
        <v>392.82326803930158</v>
      </c>
      <c r="O77" s="39">
        <f t="shared" si="70"/>
        <v>374.11027428915276</v>
      </c>
      <c r="P77" s="39">
        <f t="shared" si="70"/>
        <v>375.12471849836413</v>
      </c>
      <c r="Q77" s="39">
        <f t="shared" si="70"/>
        <v>375.40028192418725</v>
      </c>
      <c r="R77" s="39">
        <f t="shared" si="70"/>
        <v>377.02817055880348</v>
      </c>
      <c r="S77" s="39">
        <f t="shared" si="70"/>
        <v>380.5591652529663</v>
      </c>
      <c r="T77" s="39">
        <f t="shared" si="70"/>
        <v>381.44797222501762</v>
      </c>
      <c r="U77" s="39">
        <f t="shared" si="70"/>
        <v>385.44181415929205</v>
      </c>
      <c r="V77" s="39">
        <f t="shared" si="70"/>
        <v>372.45186190901546</v>
      </c>
      <c r="W77" s="39">
        <f t="shared" ref="W77" si="71">IF(W15=0,0,W15*1000000/W25)</f>
        <v>366.60182817121546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1230.850068679111</v>
      </c>
      <c r="C78" s="39">
        <f t="shared" si="65"/>
        <v>1230.8547842251344</v>
      </c>
      <c r="D78" s="39">
        <f t="shared" ref="D78:V78" si="72">IF(D16=0,0,D16*1000000/D26)</f>
        <v>1230.8857552171851</v>
      </c>
      <c r="E78" s="39">
        <f t="shared" si="72"/>
        <v>1230.903687381033</v>
      </c>
      <c r="F78" s="39">
        <f t="shared" si="72"/>
        <v>1230.9563097052855</v>
      </c>
      <c r="G78" s="39">
        <f t="shared" si="72"/>
        <v>1252.9521867405681</v>
      </c>
      <c r="H78" s="39">
        <f t="shared" si="72"/>
        <v>1247.1141443244715</v>
      </c>
      <c r="I78" s="39">
        <f t="shared" si="72"/>
        <v>1309.239506763171</v>
      </c>
      <c r="J78" s="39">
        <f t="shared" si="72"/>
        <v>1351.7499357118782</v>
      </c>
      <c r="K78" s="39">
        <f t="shared" si="72"/>
        <v>1375.8955126367559</v>
      </c>
      <c r="L78" s="39">
        <f t="shared" si="72"/>
        <v>1391.9797195709075</v>
      </c>
      <c r="M78" s="39">
        <f t="shared" si="72"/>
        <v>1372.8596927006809</v>
      </c>
      <c r="N78" s="39">
        <f t="shared" si="72"/>
        <v>1383.4785951535885</v>
      </c>
      <c r="O78" s="39">
        <f t="shared" si="72"/>
        <v>1427.0266782849453</v>
      </c>
      <c r="P78" s="39">
        <f t="shared" si="72"/>
        <v>1453.9718235859534</v>
      </c>
      <c r="Q78" s="39">
        <f t="shared" si="72"/>
        <v>1475.4485571082071</v>
      </c>
      <c r="R78" s="39">
        <f t="shared" si="72"/>
        <v>1495.793365724619</v>
      </c>
      <c r="S78" s="39">
        <f t="shared" si="72"/>
        <v>1513.4350688674979</v>
      </c>
      <c r="T78" s="39">
        <f t="shared" si="72"/>
        <v>1521.3615466734434</v>
      </c>
      <c r="U78" s="39">
        <f t="shared" si="72"/>
        <v>1531.8268580352778</v>
      </c>
      <c r="V78" s="39">
        <f t="shared" si="72"/>
        <v>1555.7824780640792</v>
      </c>
      <c r="W78" s="39">
        <f t="shared" ref="W78" si="73">IF(W16=0,0,W16*1000000/W26)</f>
        <v>1563.8739211917998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1231.1310836252846</v>
      </c>
      <c r="C79" s="39">
        <f t="shared" si="65"/>
        <v>1231.1310836252846</v>
      </c>
      <c r="D79" s="39">
        <f t="shared" ref="D79:V79" si="74">IF(D17=0,0,D17*1000000/D27)</f>
        <v>1231.1310836252846</v>
      </c>
      <c r="E79" s="39">
        <f t="shared" si="74"/>
        <v>1231.1310836252846</v>
      </c>
      <c r="F79" s="39">
        <f t="shared" si="74"/>
        <v>1231.1310836252846</v>
      </c>
      <c r="G79" s="39">
        <f t="shared" si="74"/>
        <v>1154.5737089201878</v>
      </c>
      <c r="H79" s="39">
        <f t="shared" si="74"/>
        <v>1157.6404659909524</v>
      </c>
      <c r="I79" s="39">
        <f t="shared" si="74"/>
        <v>1308.1659014437143</v>
      </c>
      <c r="J79" s="39">
        <f t="shared" si="74"/>
        <v>1353.1229360399921</v>
      </c>
      <c r="K79" s="39">
        <f t="shared" si="74"/>
        <v>1288.2124228004395</v>
      </c>
      <c r="L79" s="39">
        <f t="shared" si="74"/>
        <v>1256.0390544707093</v>
      </c>
      <c r="M79" s="39">
        <f t="shared" si="74"/>
        <v>1152.6620005200732</v>
      </c>
      <c r="N79" s="39">
        <f t="shared" si="74"/>
        <v>1156.9759609204268</v>
      </c>
      <c r="O79" s="39">
        <f t="shared" si="74"/>
        <v>1267.4040266709944</v>
      </c>
      <c r="P79" s="39">
        <f t="shared" si="74"/>
        <v>1384.8659746792302</v>
      </c>
      <c r="Q79" s="39">
        <f t="shared" si="74"/>
        <v>1402.3048394973746</v>
      </c>
      <c r="R79" s="39">
        <f t="shared" si="74"/>
        <v>1483.4090417334226</v>
      </c>
      <c r="S79" s="39">
        <f t="shared" si="74"/>
        <v>1474.8888049971001</v>
      </c>
      <c r="T79" s="39">
        <f t="shared" si="74"/>
        <v>1603.6414443422266</v>
      </c>
      <c r="U79" s="39">
        <f t="shared" si="74"/>
        <v>1625.386073253833</v>
      </c>
      <c r="V79" s="39">
        <f t="shared" si="74"/>
        <v>1723.4518645494366</v>
      </c>
      <c r="W79" s="39">
        <f t="shared" ref="W79" si="75">IF(W17=0,0,W17*1000000/W27)</f>
        <v>1660.7188454070715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820.14617715659563</v>
      </c>
      <c r="C80" s="15">
        <f t="shared" si="65"/>
        <v>835.91691846544791</v>
      </c>
      <c r="D80" s="15">
        <f t="shared" ref="D80:V80" si="76">IF(D18=0,0,D18*1000000/D28)</f>
        <v>851.61163126884549</v>
      </c>
      <c r="E80" s="15">
        <f t="shared" si="76"/>
        <v>870.52951405492865</v>
      </c>
      <c r="F80" s="15">
        <f t="shared" si="76"/>
        <v>845.9076051930748</v>
      </c>
      <c r="G80" s="15">
        <f t="shared" si="76"/>
        <v>787.60255228673839</v>
      </c>
      <c r="H80" s="15">
        <f t="shared" si="76"/>
        <v>687.59068546447236</v>
      </c>
      <c r="I80" s="15">
        <f t="shared" si="76"/>
        <v>804.49376537031412</v>
      </c>
      <c r="J80" s="15">
        <f t="shared" si="76"/>
        <v>886.3422516714644</v>
      </c>
      <c r="K80" s="15">
        <f t="shared" si="76"/>
        <v>906.9480639790828</v>
      </c>
      <c r="L80" s="15">
        <f t="shared" si="76"/>
        <v>967.49568742409849</v>
      </c>
      <c r="M80" s="15">
        <f t="shared" si="76"/>
        <v>1133.4969344392237</v>
      </c>
      <c r="N80" s="15">
        <f t="shared" si="76"/>
        <v>1293.4546152949915</v>
      </c>
      <c r="O80" s="15">
        <f t="shared" si="76"/>
        <v>1310.2098551870577</v>
      </c>
      <c r="P80" s="15">
        <f t="shared" si="76"/>
        <v>1212.6672516686203</v>
      </c>
      <c r="Q80" s="15">
        <f t="shared" si="76"/>
        <v>1142.8048091145079</v>
      </c>
      <c r="R80" s="15">
        <f t="shared" si="76"/>
        <v>1112.2776367896367</v>
      </c>
      <c r="S80" s="15">
        <f t="shared" si="76"/>
        <v>1083.7804577278851</v>
      </c>
      <c r="T80" s="15">
        <f t="shared" si="76"/>
        <v>1003.8841380819205</v>
      </c>
      <c r="U80" s="15">
        <f t="shared" si="76"/>
        <v>924.11865674456226</v>
      </c>
      <c r="V80" s="15">
        <f t="shared" si="76"/>
        <v>910.59822720432658</v>
      </c>
      <c r="W80" s="15">
        <f t="shared" ref="W80" si="77">IF(W18=0,0,W18*1000000/W28)</f>
        <v>910.55360656168648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306.75182827478488</v>
      </c>
      <c r="C81" s="41">
        <f t="shared" si="65"/>
        <v>306.75182827478488</v>
      </c>
      <c r="D81" s="41">
        <f t="shared" ref="D81:V81" si="78">IF(D19=0,0,D19*1000000/D29)</f>
        <v>306.75182827478488</v>
      </c>
      <c r="E81" s="41">
        <f t="shared" si="78"/>
        <v>306.75182827478488</v>
      </c>
      <c r="F81" s="41">
        <f t="shared" si="78"/>
        <v>306.75182827478488</v>
      </c>
      <c r="G81" s="41">
        <f t="shared" si="78"/>
        <v>301.02310924369743</v>
      </c>
      <c r="H81" s="41">
        <f t="shared" si="78"/>
        <v>269.91104093899008</v>
      </c>
      <c r="I81" s="41">
        <f t="shared" si="78"/>
        <v>248.13012045815816</v>
      </c>
      <c r="J81" s="41">
        <f t="shared" si="78"/>
        <v>232.46898143844089</v>
      </c>
      <c r="K81" s="41">
        <f t="shared" si="78"/>
        <v>213.33411944223312</v>
      </c>
      <c r="L81" s="41">
        <f t="shared" si="78"/>
        <v>188.84175084175084</v>
      </c>
      <c r="M81" s="41">
        <f t="shared" si="78"/>
        <v>245.49289979378162</v>
      </c>
      <c r="N81" s="41">
        <f t="shared" si="78"/>
        <v>306.52173913043481</v>
      </c>
      <c r="O81" s="41">
        <f t="shared" si="78"/>
        <v>298.14892149426083</v>
      </c>
      <c r="P81" s="41">
        <f t="shared" si="78"/>
        <v>309.503541817447</v>
      </c>
      <c r="Q81" s="41">
        <f t="shared" si="78"/>
        <v>320.11928135724509</v>
      </c>
      <c r="R81" s="41">
        <f t="shared" si="78"/>
        <v>332.08734610583599</v>
      </c>
      <c r="S81" s="41">
        <f t="shared" si="78"/>
        <v>345.95851691397382</v>
      </c>
      <c r="T81" s="41">
        <f t="shared" si="78"/>
        <v>357.1875</v>
      </c>
      <c r="U81" s="41">
        <f t="shared" si="78"/>
        <v>347.52</v>
      </c>
      <c r="V81" s="41">
        <f t="shared" si="78"/>
        <v>334.53004774972334</v>
      </c>
      <c r="W81" s="41">
        <f t="shared" ref="W81" si="79">IF(W19=0,0,W19*1000000/W29)</f>
        <v>328.68001401192328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736.63727918490667</v>
      </c>
      <c r="C82" s="41">
        <f t="shared" si="65"/>
        <v>734.55190891221457</v>
      </c>
      <c r="D82" s="41">
        <f t="shared" ref="D82:V82" si="80">IF(D20=0,0,D20*1000000/D30)</f>
        <v>733.54687629468094</v>
      </c>
      <c r="E82" s="41">
        <f t="shared" si="80"/>
        <v>735.42164867738791</v>
      </c>
      <c r="F82" s="41">
        <f t="shared" si="80"/>
        <v>734.19897103649191</v>
      </c>
      <c r="G82" s="41">
        <f t="shared" si="80"/>
        <v>731.44142442676934</v>
      </c>
      <c r="H82" s="41">
        <f t="shared" si="80"/>
        <v>659.16616018178479</v>
      </c>
      <c r="I82" s="41">
        <f t="shared" si="80"/>
        <v>744.94043537328696</v>
      </c>
      <c r="J82" s="41">
        <f t="shared" si="80"/>
        <v>793.77979803450717</v>
      </c>
      <c r="K82" s="41">
        <f t="shared" si="80"/>
        <v>854.99028378503078</v>
      </c>
      <c r="L82" s="41">
        <f t="shared" si="80"/>
        <v>902.25574124934246</v>
      </c>
      <c r="M82" s="41">
        <f t="shared" si="80"/>
        <v>997.01769885532349</v>
      </c>
      <c r="N82" s="41">
        <f t="shared" si="80"/>
        <v>1025.150107571319</v>
      </c>
      <c r="O82" s="41">
        <f t="shared" si="80"/>
        <v>1057.2107885417968</v>
      </c>
      <c r="P82" s="41">
        <f t="shared" si="80"/>
        <v>1077.766144901969</v>
      </c>
      <c r="Q82" s="41">
        <f t="shared" si="80"/>
        <v>1061.8061135760763</v>
      </c>
      <c r="R82" s="41">
        <f t="shared" si="80"/>
        <v>1075.0524977385614</v>
      </c>
      <c r="S82" s="41">
        <f t="shared" si="80"/>
        <v>1114.1389727956239</v>
      </c>
      <c r="T82" s="41">
        <f t="shared" si="80"/>
        <v>1096.7781937918533</v>
      </c>
      <c r="U82" s="41">
        <f t="shared" si="80"/>
        <v>1052.6243199357182</v>
      </c>
      <c r="V82" s="41">
        <f t="shared" si="80"/>
        <v>1026.5380615821441</v>
      </c>
      <c r="W82" s="41">
        <f t="shared" ref="W82" si="81">IF(W20=0,0,W20*1000000/W30)</f>
        <v>1051.0255996130188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2213.8472297775616</v>
      </c>
      <c r="C83" s="40">
        <f t="shared" si="65"/>
        <v>2213.8472297775616</v>
      </c>
      <c r="D83" s="40">
        <f t="shared" ref="D83:V83" si="82">IF(D21=0,0,D21*1000000/D31)</f>
        <v>2213.8472297775616</v>
      </c>
      <c r="E83" s="40">
        <f t="shared" si="82"/>
        <v>2213.8472297775616</v>
      </c>
      <c r="F83" s="40">
        <f t="shared" si="82"/>
        <v>2213.8472297775616</v>
      </c>
      <c r="G83" s="40">
        <f t="shared" si="82"/>
        <v>2137.2898550724635</v>
      </c>
      <c r="H83" s="40">
        <f t="shared" si="82"/>
        <v>2273.4139053519648</v>
      </c>
      <c r="I83" s="40">
        <f t="shared" si="82"/>
        <v>2556.9966340134633</v>
      </c>
      <c r="J83" s="40">
        <f t="shared" si="82"/>
        <v>2735.010961818477</v>
      </c>
      <c r="K83" s="40">
        <f t="shared" si="82"/>
        <v>2803.1577417876611</v>
      </c>
      <c r="L83" s="40">
        <f t="shared" si="82"/>
        <v>2904.0416666666665</v>
      </c>
      <c r="M83" s="40">
        <f t="shared" si="82"/>
        <v>3265.3444438048987</v>
      </c>
      <c r="N83" s="40">
        <f t="shared" si="82"/>
        <v>3734.3382352941171</v>
      </c>
      <c r="O83" s="40">
        <f t="shared" si="82"/>
        <v>3223.3031171561356</v>
      </c>
      <c r="P83" s="40">
        <f t="shared" si="82"/>
        <v>2719.3018812758205</v>
      </c>
      <c r="Q83" s="40">
        <f t="shared" si="82"/>
        <v>2115.2775622054151</v>
      </c>
      <c r="R83" s="40">
        <f t="shared" si="82"/>
        <v>1574.9185805529123</v>
      </c>
      <c r="S83" s="40">
        <f t="shared" si="82"/>
        <v>944.93515992803952</v>
      </c>
      <c r="T83" s="40">
        <f t="shared" si="82"/>
        <v>452.22461538461539</v>
      </c>
      <c r="U83" s="40">
        <f t="shared" si="82"/>
        <v>555.73255813953483</v>
      </c>
      <c r="V83" s="40">
        <f t="shared" si="82"/>
        <v>653.79834943513868</v>
      </c>
      <c r="W83" s="40">
        <f t="shared" ref="W83" si="83">IF(W21=0,0,W21*1000000/W31)</f>
        <v>591.06533029277375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93072.494293324053</v>
      </c>
      <c r="C86" s="11">
        <f t="shared" si="84"/>
        <v>99952.514151073367</v>
      </c>
      <c r="D86" s="11">
        <f t="shared" ref="D86:V86" si="85">IF(D4=0,0,D4*1000000/D24)</f>
        <v>102385.18975754378</v>
      </c>
      <c r="E86" s="11">
        <f t="shared" si="85"/>
        <v>103355.0309751499</v>
      </c>
      <c r="F86" s="11">
        <f t="shared" si="85"/>
        <v>86722.149449815537</v>
      </c>
      <c r="G86" s="11">
        <f t="shared" si="85"/>
        <v>89080.101972277233</v>
      </c>
      <c r="H86" s="11">
        <f t="shared" si="85"/>
        <v>88347.866236675516</v>
      </c>
      <c r="I86" s="11">
        <f t="shared" si="85"/>
        <v>92386.261741025315</v>
      </c>
      <c r="J86" s="11">
        <f t="shared" si="85"/>
        <v>95414.985070469862</v>
      </c>
      <c r="K86" s="11">
        <f t="shared" si="85"/>
        <v>93556.904819653922</v>
      </c>
      <c r="L86" s="11">
        <f t="shared" si="85"/>
        <v>99743.980042615338</v>
      </c>
      <c r="M86" s="11">
        <f t="shared" si="85"/>
        <v>108233.93802873598</v>
      </c>
      <c r="N86" s="11">
        <f t="shared" si="85"/>
        <v>116842.87049334543</v>
      </c>
      <c r="O86" s="11">
        <f t="shared" si="85"/>
        <v>128827.24372020742</v>
      </c>
      <c r="P86" s="11">
        <f t="shared" si="85"/>
        <v>140983.69448980267</v>
      </c>
      <c r="Q86" s="11">
        <f t="shared" si="85"/>
        <v>150235.32980864588</v>
      </c>
      <c r="R86" s="11">
        <f t="shared" si="85"/>
        <v>156524.38706398822</v>
      </c>
      <c r="S86" s="11">
        <f t="shared" si="85"/>
        <v>164990.7128222126</v>
      </c>
      <c r="T86" s="11">
        <f t="shared" si="85"/>
        <v>174076.50041369066</v>
      </c>
      <c r="U86" s="11">
        <f t="shared" si="85"/>
        <v>186500.32819602088</v>
      </c>
      <c r="V86" s="11">
        <f t="shared" si="85"/>
        <v>150978.80273032965</v>
      </c>
      <c r="W86" s="11">
        <f t="shared" ref="W86" si="86">IF(W4=0,0,W4*1000000/W24)</f>
        <v>157806.40792874078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13383.297135768464</v>
      </c>
      <c r="C87" s="36">
        <f t="shared" si="84"/>
        <v>13423.883452304603</v>
      </c>
      <c r="D87" s="36">
        <f t="shared" ref="D87:V87" si="87">IF(D5=0,0,D5*1000000/D25)</f>
        <v>13515.897570182871</v>
      </c>
      <c r="E87" s="36">
        <f t="shared" si="87"/>
        <v>13616.178083091883</v>
      </c>
      <c r="F87" s="36">
        <f t="shared" si="87"/>
        <v>13725.387966866989</v>
      </c>
      <c r="G87" s="36">
        <f t="shared" si="87"/>
        <v>13595.280676700477</v>
      </c>
      <c r="H87" s="36">
        <f t="shared" si="87"/>
        <v>13627.913148069261</v>
      </c>
      <c r="I87" s="36">
        <f t="shared" si="87"/>
        <v>14208.462546295172</v>
      </c>
      <c r="J87" s="36">
        <f t="shared" si="87"/>
        <v>15990.718301337232</v>
      </c>
      <c r="K87" s="36">
        <f t="shared" si="87"/>
        <v>14020.068414931933</v>
      </c>
      <c r="L87" s="36">
        <f t="shared" si="87"/>
        <v>15333.640968780122</v>
      </c>
      <c r="M87" s="36">
        <f t="shared" si="87"/>
        <v>17004.562097729751</v>
      </c>
      <c r="N87" s="36">
        <f t="shared" si="87"/>
        <v>17599.732879095522</v>
      </c>
      <c r="O87" s="36">
        <f t="shared" si="87"/>
        <v>17084.47633963823</v>
      </c>
      <c r="P87" s="36">
        <f t="shared" si="87"/>
        <v>17014.178955494335</v>
      </c>
      <c r="Q87" s="36">
        <f t="shared" si="87"/>
        <v>18009.093178799976</v>
      </c>
      <c r="R87" s="36">
        <f t="shared" si="87"/>
        <v>23352.233397642733</v>
      </c>
      <c r="S87" s="36">
        <f t="shared" si="87"/>
        <v>30200.880007236268</v>
      </c>
      <c r="T87" s="36">
        <f t="shared" si="87"/>
        <v>30031.549502246056</v>
      </c>
      <c r="U87" s="36">
        <f t="shared" si="87"/>
        <v>30186.272833728839</v>
      </c>
      <c r="V87" s="36">
        <f t="shared" si="87"/>
        <v>21528.20117937107</v>
      </c>
      <c r="W87" s="36">
        <f t="shared" ref="W87" si="88">IF(W5=0,0,W5*1000000/W25)</f>
        <v>26108.915913013268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111027.34356633987</v>
      </c>
      <c r="C88" s="36">
        <f t="shared" si="84"/>
        <v>113085.92971034246</v>
      </c>
      <c r="D88" s="36">
        <f t="shared" ref="D88:V88" si="89">IF(D6=0,0,D6*1000000/D26)</f>
        <v>114104.172846933</v>
      </c>
      <c r="E88" s="36">
        <f t="shared" si="89"/>
        <v>113888.25627468314</v>
      </c>
      <c r="F88" s="36">
        <f t="shared" si="89"/>
        <v>113266.22750465327</v>
      </c>
      <c r="G88" s="36">
        <f t="shared" si="89"/>
        <v>115965.23109714044</v>
      </c>
      <c r="H88" s="36">
        <f t="shared" si="89"/>
        <v>112272.64262699916</v>
      </c>
      <c r="I88" s="36">
        <f t="shared" si="89"/>
        <v>113447.22909865897</v>
      </c>
      <c r="J88" s="36">
        <f t="shared" si="89"/>
        <v>117906.50003637378</v>
      </c>
      <c r="K88" s="36">
        <f t="shared" si="89"/>
        <v>118173.99922539081</v>
      </c>
      <c r="L88" s="36">
        <f t="shared" si="89"/>
        <v>128899.71504418582</v>
      </c>
      <c r="M88" s="36">
        <f t="shared" si="89"/>
        <v>140852.93356254851</v>
      </c>
      <c r="N88" s="36">
        <f t="shared" si="89"/>
        <v>152667.03490667476</v>
      </c>
      <c r="O88" s="36">
        <f t="shared" si="89"/>
        <v>164826.36167627832</v>
      </c>
      <c r="P88" s="36">
        <f t="shared" si="89"/>
        <v>171672.83140667749</v>
      </c>
      <c r="Q88" s="36">
        <f t="shared" si="89"/>
        <v>178958.99107466394</v>
      </c>
      <c r="R88" s="36">
        <f t="shared" si="89"/>
        <v>191350.68319886382</v>
      </c>
      <c r="S88" s="36">
        <f t="shared" si="89"/>
        <v>203838.78228793282</v>
      </c>
      <c r="T88" s="36">
        <f t="shared" si="89"/>
        <v>211219.53317343144</v>
      </c>
      <c r="U88" s="36">
        <f t="shared" si="89"/>
        <v>222119.47498913843</v>
      </c>
      <c r="V88" s="36">
        <f t="shared" si="89"/>
        <v>185880.9908114876</v>
      </c>
      <c r="W88" s="36">
        <f t="shared" ref="W88" si="90">IF(W6=0,0,W6*1000000/W26)</f>
        <v>186720.28766192097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86608.389229033608</v>
      </c>
      <c r="C89" s="36">
        <f t="shared" si="84"/>
        <v>87171.617591035319</v>
      </c>
      <c r="D89" s="36">
        <f t="shared" ref="D89:V89" si="91">IF(D7=0,0,D7*1000000/D27)</f>
        <v>87402.0400068577</v>
      </c>
      <c r="E89" s="36">
        <f t="shared" si="91"/>
        <v>87800.805941589206</v>
      </c>
      <c r="F89" s="36">
        <f t="shared" si="91"/>
        <v>88738.296314577339</v>
      </c>
      <c r="G89" s="36">
        <f t="shared" si="91"/>
        <v>84613.691079618628</v>
      </c>
      <c r="H89" s="36">
        <f t="shared" si="91"/>
        <v>86612.834096081904</v>
      </c>
      <c r="I89" s="36">
        <f t="shared" si="91"/>
        <v>99626.076231409883</v>
      </c>
      <c r="J89" s="36">
        <f t="shared" si="91"/>
        <v>99270.16030507753</v>
      </c>
      <c r="K89" s="36">
        <f t="shared" si="91"/>
        <v>92677.522872522415</v>
      </c>
      <c r="L89" s="36">
        <f t="shared" si="91"/>
        <v>101247.43633884996</v>
      </c>
      <c r="M89" s="36">
        <f t="shared" si="91"/>
        <v>87141.756102302243</v>
      </c>
      <c r="N89" s="36">
        <f t="shared" si="91"/>
        <v>92368.183159146938</v>
      </c>
      <c r="O89" s="36">
        <f t="shared" si="91"/>
        <v>116975.42484869499</v>
      </c>
      <c r="P89" s="36">
        <f t="shared" si="91"/>
        <v>149043.66127996793</v>
      </c>
      <c r="Q89" s="36">
        <f t="shared" si="91"/>
        <v>161559.10899222596</v>
      </c>
      <c r="R89" s="36">
        <f t="shared" si="91"/>
        <v>167551.88411165818</v>
      </c>
      <c r="S89" s="36">
        <f t="shared" si="91"/>
        <v>172139.67884388292</v>
      </c>
      <c r="T89" s="36">
        <f t="shared" si="91"/>
        <v>195315.65184726863</v>
      </c>
      <c r="U89" s="36">
        <f t="shared" si="91"/>
        <v>214766.40926674055</v>
      </c>
      <c r="V89" s="36">
        <f t="shared" si="91"/>
        <v>172262.90613130486</v>
      </c>
      <c r="W89" s="36">
        <f t="shared" ref="W89" si="92">IF(W7=0,0,W7*1000000/W27)</f>
        <v>174280.60558686746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28031.02393913484</v>
      </c>
      <c r="C90" s="13">
        <f t="shared" si="84"/>
        <v>31402.83504485001</v>
      </c>
      <c r="D90" s="13">
        <f t="shared" ref="D90:V90" si="93">IF(D8=0,0,D8*1000000/D28)</f>
        <v>31119.080668347688</v>
      </c>
      <c r="E90" s="13">
        <f t="shared" si="93"/>
        <v>31294.973315371957</v>
      </c>
      <c r="F90" s="13">
        <f t="shared" si="93"/>
        <v>27413.379880877113</v>
      </c>
      <c r="G90" s="13">
        <f t="shared" si="93"/>
        <v>21240.75580732854</v>
      </c>
      <c r="H90" s="13">
        <f t="shared" si="93"/>
        <v>17051.40096849305</v>
      </c>
      <c r="I90" s="13">
        <f t="shared" si="93"/>
        <v>21553.057521001308</v>
      </c>
      <c r="J90" s="13">
        <f t="shared" si="93"/>
        <v>22813.938767952553</v>
      </c>
      <c r="K90" s="13">
        <f t="shared" si="93"/>
        <v>21847.471448070926</v>
      </c>
      <c r="L90" s="13">
        <f t="shared" si="93"/>
        <v>23846.829973838914</v>
      </c>
      <c r="M90" s="13">
        <f t="shared" si="93"/>
        <v>32390.162889108695</v>
      </c>
      <c r="N90" s="13">
        <f t="shared" si="93"/>
        <v>47687.506453901806</v>
      </c>
      <c r="O90" s="13">
        <f t="shared" si="93"/>
        <v>48613.734844402454</v>
      </c>
      <c r="P90" s="13">
        <f t="shared" si="93"/>
        <v>43992.192116293132</v>
      </c>
      <c r="Q90" s="13">
        <f t="shared" si="93"/>
        <v>37620.839538184046</v>
      </c>
      <c r="R90" s="13">
        <f t="shared" si="93"/>
        <v>37962.108130120134</v>
      </c>
      <c r="S90" s="13">
        <f t="shared" si="93"/>
        <v>32679.001802829942</v>
      </c>
      <c r="T90" s="13">
        <f t="shared" si="93"/>
        <v>28050.17012889652</v>
      </c>
      <c r="U90" s="13">
        <f t="shared" si="93"/>
        <v>31166.457412017291</v>
      </c>
      <c r="V90" s="13">
        <f t="shared" si="93"/>
        <v>23336.791840679216</v>
      </c>
      <c r="W90" s="13">
        <f t="shared" ref="W90" si="94">IF(W8=0,0,W8*1000000/W28)</f>
        <v>21270.79527512502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3118.5339858906909</v>
      </c>
      <c r="C91" s="34">
        <f t="shared" si="84"/>
        <v>3094.7562526206043</v>
      </c>
      <c r="D91" s="34">
        <f t="shared" ref="D91:V91" si="95">IF(D9=0,0,D9*1000000/D29)</f>
        <v>3182.427746108659</v>
      </c>
      <c r="E91" s="34">
        <f t="shared" si="95"/>
        <v>3385.1084136465383</v>
      </c>
      <c r="F91" s="34">
        <f t="shared" si="95"/>
        <v>3187.6149048843313</v>
      </c>
      <c r="G91" s="34">
        <f t="shared" si="95"/>
        <v>3061.2422350419197</v>
      </c>
      <c r="H91" s="34">
        <f t="shared" si="95"/>
        <v>2640.2531049655026</v>
      </c>
      <c r="I91" s="34">
        <f t="shared" si="95"/>
        <v>2418.1815109263248</v>
      </c>
      <c r="J91" s="34">
        <f t="shared" si="95"/>
        <v>2179.6719613917662</v>
      </c>
      <c r="K91" s="34">
        <f t="shared" si="95"/>
        <v>2017.5397086501655</v>
      </c>
      <c r="L91" s="34">
        <f t="shared" si="95"/>
        <v>1910.1373440194045</v>
      </c>
      <c r="M91" s="34">
        <f t="shared" si="95"/>
        <v>2694.1638261504445</v>
      </c>
      <c r="N91" s="34">
        <f t="shared" si="95"/>
        <v>3380.327690740311</v>
      </c>
      <c r="O91" s="34">
        <f t="shared" si="95"/>
        <v>3367.1174713160362</v>
      </c>
      <c r="P91" s="34">
        <f t="shared" si="95"/>
        <v>3914.9537859513589</v>
      </c>
      <c r="Q91" s="34">
        <f t="shared" si="95"/>
        <v>4181.8082753445024</v>
      </c>
      <c r="R91" s="34">
        <f t="shared" si="95"/>
        <v>5008.7308874804457</v>
      </c>
      <c r="S91" s="34">
        <f t="shared" si="95"/>
        <v>4802.228757722115</v>
      </c>
      <c r="T91" s="34">
        <f t="shared" si="95"/>
        <v>5068.9516938239258</v>
      </c>
      <c r="U91" s="34">
        <f t="shared" si="95"/>
        <v>5467.1048858655777</v>
      </c>
      <c r="V91" s="34">
        <f t="shared" si="95"/>
        <v>4786.596583276254</v>
      </c>
      <c r="W91" s="34">
        <f t="shared" ref="W91" si="96">IF(W9=0,0,W9*1000000/W29)</f>
        <v>4859.5224863456524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16820.007348884021</v>
      </c>
      <c r="C92" s="34">
        <f t="shared" si="84"/>
        <v>17886.336858250834</v>
      </c>
      <c r="D92" s="34">
        <f t="shared" ref="D92:V92" si="97">IF(D10=0,0,D10*1000000/D30)</f>
        <v>16829.825279580553</v>
      </c>
      <c r="E92" s="34">
        <f t="shared" si="97"/>
        <v>17133.481091668051</v>
      </c>
      <c r="F92" s="34">
        <f t="shared" si="97"/>
        <v>15454.844680337992</v>
      </c>
      <c r="G92" s="34">
        <f t="shared" si="97"/>
        <v>15412.170012240209</v>
      </c>
      <c r="H92" s="34">
        <f t="shared" si="97"/>
        <v>12668.868815368891</v>
      </c>
      <c r="I92" s="34">
        <f t="shared" si="97"/>
        <v>13844.584528322599</v>
      </c>
      <c r="J92" s="34">
        <f t="shared" si="97"/>
        <v>14444.164235328644</v>
      </c>
      <c r="K92" s="34">
        <f t="shared" si="97"/>
        <v>15857.054758604178</v>
      </c>
      <c r="L92" s="34">
        <f t="shared" si="97"/>
        <v>16819.716262318278</v>
      </c>
      <c r="M92" s="34">
        <f t="shared" si="97"/>
        <v>19235.924754344953</v>
      </c>
      <c r="N92" s="34">
        <f t="shared" si="97"/>
        <v>21688.669734476916</v>
      </c>
      <c r="O92" s="34">
        <f t="shared" si="97"/>
        <v>22090.924480388338</v>
      </c>
      <c r="P92" s="34">
        <f t="shared" si="97"/>
        <v>25790.185547024445</v>
      </c>
      <c r="Q92" s="34">
        <f t="shared" si="97"/>
        <v>25332.354293616954</v>
      </c>
      <c r="R92" s="34">
        <f t="shared" si="97"/>
        <v>27940.414070322135</v>
      </c>
      <c r="S92" s="34">
        <f t="shared" si="97"/>
        <v>26509.466597712737</v>
      </c>
      <c r="T92" s="34">
        <f t="shared" si="97"/>
        <v>26846.848063517278</v>
      </c>
      <c r="U92" s="34">
        <f t="shared" si="97"/>
        <v>27013.99878983073</v>
      </c>
      <c r="V92" s="34">
        <f t="shared" si="97"/>
        <v>21708.094614368805</v>
      </c>
      <c r="W92" s="34">
        <f t="shared" ref="W92" si="98">IF(W10=0,0,W10*1000000/W30)</f>
        <v>20733.839893303455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162797.84325696665</v>
      </c>
      <c r="C93" s="35">
        <f t="shared" si="84"/>
        <v>170541.94522276882</v>
      </c>
      <c r="D93" s="35">
        <f t="shared" ref="D93:V93" si="99">IF(D11=0,0,D11*1000000/D31)</f>
        <v>161063.54429870585</v>
      </c>
      <c r="E93" s="35">
        <f t="shared" si="99"/>
        <v>146370.3113133708</v>
      </c>
      <c r="F93" s="35">
        <f t="shared" si="99"/>
        <v>142078.90113915733</v>
      </c>
      <c r="G93" s="35">
        <f t="shared" si="99"/>
        <v>128996.43001991998</v>
      </c>
      <c r="H93" s="35">
        <f t="shared" si="99"/>
        <v>132641.25240928589</v>
      </c>
      <c r="I93" s="35">
        <f t="shared" si="99"/>
        <v>146701.85568723225</v>
      </c>
      <c r="J93" s="35">
        <f t="shared" si="99"/>
        <v>153749.36232938129</v>
      </c>
      <c r="K93" s="35">
        <f t="shared" si="99"/>
        <v>177714.62899499875</v>
      </c>
      <c r="L93" s="35">
        <f t="shared" si="99"/>
        <v>187176.60431019717</v>
      </c>
      <c r="M93" s="35">
        <f t="shared" si="99"/>
        <v>221684.06541645643</v>
      </c>
      <c r="N93" s="35">
        <f t="shared" si="99"/>
        <v>278120.65586014336</v>
      </c>
      <c r="O93" s="35">
        <f t="shared" si="99"/>
        <v>245002.34033099073</v>
      </c>
      <c r="P93" s="35">
        <f t="shared" si="99"/>
        <v>242168.59013157792</v>
      </c>
      <c r="Q93" s="35">
        <f t="shared" si="99"/>
        <v>181642.43858134173</v>
      </c>
      <c r="R93" s="35">
        <f t="shared" si="99"/>
        <v>150300.60166566994</v>
      </c>
      <c r="S93" s="35">
        <f t="shared" si="99"/>
        <v>90183.307534146996</v>
      </c>
      <c r="T93" s="35">
        <f t="shared" si="99"/>
        <v>42798.224692563854</v>
      </c>
      <c r="U93" s="35">
        <f t="shared" si="99"/>
        <v>55940.633207274666</v>
      </c>
      <c r="V93" s="35">
        <f t="shared" si="99"/>
        <v>38162.227897466539</v>
      </c>
      <c r="W93" s="35">
        <f t="shared" ref="W93" si="100">IF(W11=0,0,W11*1000000/W31)</f>
        <v>34181.576248598991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1294.1894110617804</v>
      </c>
      <c r="C95" s="62">
        <f t="shared" si="101"/>
        <v>1207.4573265876834</v>
      </c>
      <c r="D95" s="62">
        <f t="shared" ref="D95:V95" si="102">IF(D23=0,0,D23/D43)</f>
        <v>1142.1245185117739</v>
      </c>
      <c r="E95" s="62">
        <f t="shared" si="102"/>
        <v>1201.7210438199377</v>
      </c>
      <c r="F95" s="62">
        <f t="shared" si="102"/>
        <v>1356.4527441167095</v>
      </c>
      <c r="G95" s="62">
        <f t="shared" si="102"/>
        <v>1355.796387797302</v>
      </c>
      <c r="H95" s="62">
        <f t="shared" si="102"/>
        <v>1350.0718039635685</v>
      </c>
      <c r="I95" s="62">
        <f t="shared" si="102"/>
        <v>1301.678193265599</v>
      </c>
      <c r="J95" s="62">
        <f t="shared" si="102"/>
        <v>1280.5809444663539</v>
      </c>
      <c r="K95" s="62">
        <f t="shared" si="102"/>
        <v>1279.7498041633153</v>
      </c>
      <c r="L95" s="62">
        <f t="shared" si="102"/>
        <v>1300.7952560564829</v>
      </c>
      <c r="M95" s="62">
        <f t="shared" si="102"/>
        <v>1297.7825104072888</v>
      </c>
      <c r="N95" s="62">
        <f t="shared" si="102"/>
        <v>1206.2998279946653</v>
      </c>
      <c r="O95" s="62">
        <f t="shared" si="102"/>
        <v>1204.6442319506291</v>
      </c>
      <c r="P95" s="62">
        <f t="shared" si="102"/>
        <v>1200.2478863253193</v>
      </c>
      <c r="Q95" s="62">
        <f t="shared" si="102"/>
        <v>1188.9118160807104</v>
      </c>
      <c r="R95" s="62">
        <f t="shared" si="102"/>
        <v>1217.9359030600344</v>
      </c>
      <c r="S95" s="62">
        <f t="shared" si="102"/>
        <v>1220.8597384685468</v>
      </c>
      <c r="T95" s="62">
        <f t="shared" si="102"/>
        <v>1196.9181589048703</v>
      </c>
      <c r="U95" s="62">
        <f t="shared" si="102"/>
        <v>1175.3359380003985</v>
      </c>
      <c r="V95" s="62">
        <f t="shared" si="102"/>
        <v>477.5319765083072</v>
      </c>
      <c r="W95" s="62">
        <f t="shared" ref="W95" si="103">IF(W23=0,0,W23/W43)</f>
        <v>715.6899592898701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1297.5323406149021</v>
      </c>
      <c r="C96" s="11">
        <f t="shared" si="104"/>
        <v>1210.5523617904225</v>
      </c>
      <c r="D96" s="11">
        <f t="shared" ref="D96:V96" si="105">IF(D24=0,0,D24/D44)</f>
        <v>1143.46895267474</v>
      </c>
      <c r="E96" s="11">
        <f t="shared" si="105"/>
        <v>1203.6144537007185</v>
      </c>
      <c r="F96" s="11">
        <f t="shared" si="105"/>
        <v>1360.1984776059996</v>
      </c>
      <c r="G96" s="11">
        <f t="shared" si="105"/>
        <v>1359.7199350505352</v>
      </c>
      <c r="H96" s="11">
        <f t="shared" si="105"/>
        <v>1353.1977872964599</v>
      </c>
      <c r="I96" s="11">
        <f t="shared" si="105"/>
        <v>1303.5165983227548</v>
      </c>
      <c r="J96" s="11">
        <f t="shared" si="105"/>
        <v>1282.9025783473926</v>
      </c>
      <c r="K96" s="11">
        <f t="shared" si="105"/>
        <v>1282.4353051336977</v>
      </c>
      <c r="L96" s="11">
        <f t="shared" si="105"/>
        <v>1303.7569816069806</v>
      </c>
      <c r="M96" s="11">
        <f t="shared" si="105"/>
        <v>1301.7695281038709</v>
      </c>
      <c r="N96" s="11">
        <f t="shared" si="105"/>
        <v>1210.5678694802166</v>
      </c>
      <c r="O96" s="11">
        <f t="shared" si="105"/>
        <v>1209.1477399341147</v>
      </c>
      <c r="P96" s="11">
        <f t="shared" si="105"/>
        <v>1204.7024816374164</v>
      </c>
      <c r="Q96" s="11">
        <f t="shared" si="105"/>
        <v>1192.9008803284626</v>
      </c>
      <c r="R96" s="11">
        <f t="shared" si="105"/>
        <v>1221.5009075113526</v>
      </c>
      <c r="S96" s="11">
        <f t="shared" si="105"/>
        <v>1223.9138903374019</v>
      </c>
      <c r="T96" s="11">
        <f t="shared" si="105"/>
        <v>1199.3656003573667</v>
      </c>
      <c r="U96" s="11">
        <f t="shared" si="105"/>
        <v>1179.6435447091974</v>
      </c>
      <c r="V96" s="11">
        <f t="shared" si="105"/>
        <v>474.187971940149</v>
      </c>
      <c r="W96" s="11">
        <f t="shared" ref="W96" si="106">IF(W24=0,0,W24/W44)</f>
        <v>714.07370956423767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2365</v>
      </c>
      <c r="C97" s="36">
        <f t="shared" si="104"/>
        <v>1315.3471451473672</v>
      </c>
      <c r="D97" s="36">
        <f t="shared" ref="D97:V97" si="107">IF(D25=0,0,D25/D45)</f>
        <v>987.60405105438394</v>
      </c>
      <c r="E97" s="36">
        <f t="shared" si="107"/>
        <v>1129.6277945140318</v>
      </c>
      <c r="F97" s="36">
        <f t="shared" si="107"/>
        <v>2365</v>
      </c>
      <c r="G97" s="36">
        <f t="shared" si="107"/>
        <v>2376</v>
      </c>
      <c r="H97" s="36">
        <f t="shared" si="107"/>
        <v>2380</v>
      </c>
      <c r="I97" s="36">
        <f t="shared" si="107"/>
        <v>2367</v>
      </c>
      <c r="J97" s="36">
        <f t="shared" si="107"/>
        <v>2342</v>
      </c>
      <c r="K97" s="36">
        <f t="shared" si="107"/>
        <v>2324</v>
      </c>
      <c r="L97" s="36">
        <f t="shared" si="107"/>
        <v>2317</v>
      </c>
      <c r="M97" s="36">
        <f t="shared" si="107"/>
        <v>2208.7070126173612</v>
      </c>
      <c r="N97" s="36">
        <f t="shared" si="107"/>
        <v>1987.1324201426241</v>
      </c>
      <c r="O97" s="36">
        <f t="shared" si="107"/>
        <v>1981.2182017884322</v>
      </c>
      <c r="P97" s="36">
        <f t="shared" si="107"/>
        <v>1852.0136599609637</v>
      </c>
      <c r="Q97" s="36">
        <f t="shared" si="107"/>
        <v>1880.7308365238257</v>
      </c>
      <c r="R97" s="36">
        <f t="shared" si="107"/>
        <v>2300</v>
      </c>
      <c r="S97" s="36">
        <f t="shared" si="107"/>
        <v>2294</v>
      </c>
      <c r="T97" s="36">
        <f t="shared" si="107"/>
        <v>2292</v>
      </c>
      <c r="U97" s="36">
        <f t="shared" si="107"/>
        <v>2249.5699659212692</v>
      </c>
      <c r="V97" s="36">
        <f t="shared" si="107"/>
        <v>1018.8935256659165</v>
      </c>
      <c r="W97" s="36">
        <f t="shared" ref="W97" si="108">IF(W25=0,0,W25/W45)</f>
        <v>1264.1755980397145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1276.8939037615328</v>
      </c>
      <c r="C98" s="36">
        <f t="shared" si="104"/>
        <v>1270.0299772497747</v>
      </c>
      <c r="D98" s="36">
        <f t="shared" ref="D98:V98" si="109">IF(D26=0,0,D26/D46)</f>
        <v>1222.1662099895113</v>
      </c>
      <c r="E98" s="36">
        <f t="shared" si="109"/>
        <v>1276.8663505205934</v>
      </c>
      <c r="F98" s="36">
        <f t="shared" si="109"/>
        <v>1276.8392869824684</v>
      </c>
      <c r="G98" s="36">
        <f t="shared" si="109"/>
        <v>1265.9427211439765</v>
      </c>
      <c r="H98" s="36">
        <f t="shared" si="109"/>
        <v>1269.0817722321603</v>
      </c>
      <c r="I98" s="36">
        <f t="shared" si="109"/>
        <v>1238.2857176586799</v>
      </c>
      <c r="J98" s="36">
        <f t="shared" si="109"/>
        <v>1218.1183402595657</v>
      </c>
      <c r="K98" s="36">
        <f t="shared" si="109"/>
        <v>1206.6727833385546</v>
      </c>
      <c r="L98" s="36">
        <f t="shared" si="109"/>
        <v>1199.2226036993275</v>
      </c>
      <c r="M98" s="36">
        <f t="shared" si="109"/>
        <v>1208.1924772189234</v>
      </c>
      <c r="N98" s="36">
        <f t="shared" si="109"/>
        <v>1122.8318312114725</v>
      </c>
      <c r="O98" s="36">
        <f t="shared" si="109"/>
        <v>1136.1415176604</v>
      </c>
      <c r="P98" s="36">
        <f t="shared" si="109"/>
        <v>1171.9607243768207</v>
      </c>
      <c r="Q98" s="36">
        <f t="shared" si="109"/>
        <v>1162.7916503050574</v>
      </c>
      <c r="R98" s="36">
        <f t="shared" si="109"/>
        <v>1153.7250883426502</v>
      </c>
      <c r="S98" s="36">
        <f t="shared" si="109"/>
        <v>1146.8669070622614</v>
      </c>
      <c r="T98" s="36">
        <f t="shared" si="109"/>
        <v>1143.5333240731377</v>
      </c>
      <c r="U98" s="36">
        <f t="shared" si="109"/>
        <v>1138.9659505532275</v>
      </c>
      <c r="V98" s="36">
        <f t="shared" si="109"/>
        <v>470.99579034955536</v>
      </c>
      <c r="W98" s="36">
        <f t="shared" ref="W98" si="110">IF(W26=0,0,W26/W46)</f>
        <v>699.37130394383996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995.99999999999989</v>
      </c>
      <c r="C99" s="36">
        <f t="shared" si="104"/>
        <v>990.6089309878214</v>
      </c>
      <c r="D99" s="36">
        <f t="shared" ref="D99:V99" si="111">IF(D27=0,0,D27/D47)</f>
        <v>953.2645466847091</v>
      </c>
      <c r="E99" s="36">
        <f t="shared" si="111"/>
        <v>996</v>
      </c>
      <c r="F99" s="36">
        <f t="shared" si="111"/>
        <v>996.00000000000011</v>
      </c>
      <c r="G99" s="36">
        <f t="shared" si="111"/>
        <v>1032</v>
      </c>
      <c r="H99" s="36">
        <f t="shared" si="111"/>
        <v>1031</v>
      </c>
      <c r="I99" s="36">
        <f t="shared" si="111"/>
        <v>961.99999999999989</v>
      </c>
      <c r="J99" s="36">
        <f t="shared" si="111"/>
        <v>943</v>
      </c>
      <c r="K99" s="36">
        <f t="shared" si="111"/>
        <v>938.46076597450326</v>
      </c>
      <c r="L99" s="36">
        <f t="shared" si="111"/>
        <v>985</v>
      </c>
      <c r="M99" s="36">
        <f t="shared" si="111"/>
        <v>1033</v>
      </c>
      <c r="N99" s="36">
        <f t="shared" si="111"/>
        <v>1031</v>
      </c>
      <c r="O99" s="36">
        <f t="shared" si="111"/>
        <v>967.61280099421276</v>
      </c>
      <c r="P99" s="36">
        <f t="shared" si="111"/>
        <v>930</v>
      </c>
      <c r="Q99" s="36">
        <f t="shared" si="111"/>
        <v>923</v>
      </c>
      <c r="R99" s="36">
        <f t="shared" si="111"/>
        <v>892.00000000000011</v>
      </c>
      <c r="S99" s="36">
        <f t="shared" si="111"/>
        <v>895</v>
      </c>
      <c r="T99" s="36">
        <f t="shared" si="111"/>
        <v>850</v>
      </c>
      <c r="U99" s="36">
        <f t="shared" si="111"/>
        <v>843.00000000000011</v>
      </c>
      <c r="V99" s="36">
        <f t="shared" si="111"/>
        <v>245.96573006404336</v>
      </c>
      <c r="W99" s="36">
        <f t="shared" ref="W99" si="112">IF(W27=0,0,W27/W47)</f>
        <v>519.29578313782565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1121.2077850630203</v>
      </c>
      <c r="C100" s="13">
        <f t="shared" si="104"/>
        <v>1049.2803922765838</v>
      </c>
      <c r="D100" s="13">
        <f t="shared" ref="D100:V100" si="113">IF(D28=0,0,D28/D48)</f>
        <v>1075.1386183590841</v>
      </c>
      <c r="E100" s="13">
        <f t="shared" si="113"/>
        <v>1090.0784208008067</v>
      </c>
      <c r="F100" s="13">
        <f t="shared" si="113"/>
        <v>1104.9788640488009</v>
      </c>
      <c r="G100" s="13">
        <f t="shared" si="113"/>
        <v>1009.025086682606</v>
      </c>
      <c r="H100" s="13">
        <f t="shared" si="113"/>
        <v>1075.0878607421453</v>
      </c>
      <c r="I100" s="13">
        <f t="shared" si="113"/>
        <v>1080.2973832161322</v>
      </c>
      <c r="J100" s="13">
        <f t="shared" si="113"/>
        <v>1058.8084304044089</v>
      </c>
      <c r="K100" s="13">
        <f t="shared" si="113"/>
        <v>1042.6618646278789</v>
      </c>
      <c r="L100" s="13">
        <f t="shared" si="113"/>
        <v>1042.8776646602535</v>
      </c>
      <c r="M100" s="13">
        <f t="shared" si="113"/>
        <v>962.81016371061764</v>
      </c>
      <c r="N100" s="13">
        <f t="shared" si="113"/>
        <v>884.09249346151444</v>
      </c>
      <c r="O100" s="13">
        <f t="shared" si="113"/>
        <v>890.85300697940772</v>
      </c>
      <c r="P100" s="13">
        <f t="shared" si="113"/>
        <v>867.42096615442426</v>
      </c>
      <c r="Q100" s="13">
        <f t="shared" si="113"/>
        <v>900.06510547295113</v>
      </c>
      <c r="R100" s="13">
        <f t="shared" si="113"/>
        <v>931.78884219808901</v>
      </c>
      <c r="S100" s="13">
        <f t="shared" si="113"/>
        <v>977.63229847180423</v>
      </c>
      <c r="T100" s="13">
        <f t="shared" si="113"/>
        <v>994.29582354946331</v>
      </c>
      <c r="U100" s="13">
        <f t="shared" si="113"/>
        <v>790.60963547593565</v>
      </c>
      <c r="V100" s="13">
        <f t="shared" si="113"/>
        <v>776.35424676304865</v>
      </c>
      <c r="W100" s="13">
        <f t="shared" ref="W100" si="114">IF(W28=0,0,W28/W48)</f>
        <v>859.0958563077221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1447</v>
      </c>
      <c r="C101" s="34">
        <f t="shared" si="104"/>
        <v>1388.5353535353536</v>
      </c>
      <c r="D101" s="34">
        <f t="shared" ref="D101:V101" si="115">IF(D29=0,0,D29/D49)</f>
        <v>1397.6704545454545</v>
      </c>
      <c r="E101" s="34">
        <f t="shared" si="115"/>
        <v>1447</v>
      </c>
      <c r="F101" s="34">
        <f t="shared" si="115"/>
        <v>1447</v>
      </c>
      <c r="G101" s="34">
        <f t="shared" si="115"/>
        <v>843.34355828220851</v>
      </c>
      <c r="H101" s="34">
        <f t="shared" si="115"/>
        <v>1475.0000000000002</v>
      </c>
      <c r="I101" s="34">
        <f t="shared" si="115"/>
        <v>1492</v>
      </c>
      <c r="J101" s="34">
        <f t="shared" si="115"/>
        <v>1050.1688525686627</v>
      </c>
      <c r="K101" s="34">
        <f t="shared" si="115"/>
        <v>874.93796056764211</v>
      </c>
      <c r="L101" s="34">
        <f t="shared" si="115"/>
        <v>779.01602108797533</v>
      </c>
      <c r="M101" s="34">
        <f t="shared" si="115"/>
        <v>515.24738125612907</v>
      </c>
      <c r="N101" s="34">
        <f t="shared" si="115"/>
        <v>382.34245812882642</v>
      </c>
      <c r="O101" s="34">
        <f t="shared" si="115"/>
        <v>327.49475140468172</v>
      </c>
      <c r="P101" s="34">
        <f t="shared" si="115"/>
        <v>245.36573169068498</v>
      </c>
      <c r="Q101" s="34">
        <f t="shared" si="115"/>
        <v>217.72564997277061</v>
      </c>
      <c r="R101" s="34">
        <f t="shared" si="115"/>
        <v>650.92531733349369</v>
      </c>
      <c r="S101" s="34">
        <f t="shared" si="115"/>
        <v>1419</v>
      </c>
      <c r="T101" s="34">
        <f t="shared" si="115"/>
        <v>1411</v>
      </c>
      <c r="U101" s="34">
        <f t="shared" si="115"/>
        <v>1417</v>
      </c>
      <c r="V101" s="34">
        <f t="shared" si="115"/>
        <v>1426.9999999999998</v>
      </c>
      <c r="W101" s="34">
        <f t="shared" ref="W101" si="116">IF(W29=0,0,W29/W49)</f>
        <v>1431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1186.705065765723</v>
      </c>
      <c r="C102" s="34">
        <f t="shared" si="104"/>
        <v>1105.7674484080223</v>
      </c>
      <c r="D102" s="34">
        <f t="shared" ref="D102:V102" si="117">IF(D30=0,0,D30/D50)</f>
        <v>1154.216022178477</v>
      </c>
      <c r="E102" s="34">
        <f t="shared" si="117"/>
        <v>1187.3092910091409</v>
      </c>
      <c r="F102" s="34">
        <f t="shared" si="117"/>
        <v>1187.9176399835405</v>
      </c>
      <c r="G102" s="34">
        <f t="shared" si="117"/>
        <v>1175.9551105188486</v>
      </c>
      <c r="H102" s="34">
        <f t="shared" si="117"/>
        <v>1148.7842665160831</v>
      </c>
      <c r="I102" s="34">
        <f t="shared" si="117"/>
        <v>1114.7951487253531</v>
      </c>
      <c r="J102" s="34">
        <f t="shared" si="117"/>
        <v>1139.1682045873979</v>
      </c>
      <c r="K102" s="34">
        <f t="shared" si="117"/>
        <v>1130.081818137892</v>
      </c>
      <c r="L102" s="34">
        <f t="shared" si="117"/>
        <v>1109.7712556452639</v>
      </c>
      <c r="M102" s="34">
        <f t="shared" si="117"/>
        <v>1057.7135233219424</v>
      </c>
      <c r="N102" s="34">
        <f t="shared" si="117"/>
        <v>1020.2568133982379</v>
      </c>
      <c r="O102" s="34">
        <f t="shared" si="117"/>
        <v>1021.5183388452227</v>
      </c>
      <c r="P102" s="34">
        <f t="shared" si="117"/>
        <v>1034.7923665828787</v>
      </c>
      <c r="Q102" s="34">
        <f t="shared" si="117"/>
        <v>1032.514597562619</v>
      </c>
      <c r="R102" s="34">
        <f t="shared" si="117"/>
        <v>1039.1112814895948</v>
      </c>
      <c r="S102" s="34">
        <f t="shared" si="117"/>
        <v>1023.9212729890354</v>
      </c>
      <c r="T102" s="34">
        <f t="shared" si="117"/>
        <v>1010.9663562159233</v>
      </c>
      <c r="U102" s="34">
        <f t="shared" si="117"/>
        <v>720.48761520276673</v>
      </c>
      <c r="V102" s="34">
        <f t="shared" si="117"/>
        <v>703.36197775051005</v>
      </c>
      <c r="W102" s="34">
        <f t="shared" ref="W102" si="118">IF(W30=0,0,W30/W50)</f>
        <v>789.88233366997122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628</v>
      </c>
      <c r="C103" s="35">
        <f t="shared" si="104"/>
        <v>628</v>
      </c>
      <c r="D103" s="35">
        <f t="shared" ref="D103:V103" si="119">IF(D31=0,0,D31/D51)</f>
        <v>628</v>
      </c>
      <c r="E103" s="35">
        <f t="shared" si="119"/>
        <v>628</v>
      </c>
      <c r="F103" s="35">
        <f t="shared" si="119"/>
        <v>628</v>
      </c>
      <c r="G103" s="35">
        <f t="shared" si="119"/>
        <v>338.01699716713881</v>
      </c>
      <c r="H103" s="35">
        <f t="shared" si="119"/>
        <v>377.59493670886076</v>
      </c>
      <c r="I103" s="35">
        <f t="shared" si="119"/>
        <v>573</v>
      </c>
      <c r="J103" s="35">
        <f t="shared" si="119"/>
        <v>548</v>
      </c>
      <c r="K103" s="35">
        <f t="shared" si="119"/>
        <v>409.60195400633393</v>
      </c>
      <c r="L103" s="35">
        <f t="shared" si="119"/>
        <v>517.30632255677347</v>
      </c>
      <c r="M103" s="35">
        <f t="shared" si="119"/>
        <v>485.99999999999994</v>
      </c>
      <c r="N103" s="35">
        <f t="shared" si="119"/>
        <v>442</v>
      </c>
      <c r="O103" s="35">
        <f t="shared" si="119"/>
        <v>491</v>
      </c>
      <c r="P103" s="35">
        <f t="shared" si="119"/>
        <v>336.17105750295838</v>
      </c>
      <c r="Q103" s="35">
        <f t="shared" si="119"/>
        <v>379.85946657948477</v>
      </c>
      <c r="R103" s="35">
        <f t="shared" si="119"/>
        <v>442.74467184401601</v>
      </c>
      <c r="S103" s="35">
        <f t="shared" si="119"/>
        <v>679.40597036591555</v>
      </c>
      <c r="T103" s="35">
        <f t="shared" si="119"/>
        <v>830.41449381809275</v>
      </c>
      <c r="U103" s="35">
        <f t="shared" si="119"/>
        <v>1094.1898705922081</v>
      </c>
      <c r="V103" s="35">
        <f t="shared" si="119"/>
        <v>1042.0662068420324</v>
      </c>
      <c r="W103" s="35">
        <f t="shared" ref="W103" si="120">IF(W31=0,0,W31/W51)</f>
        <v>1042.9483644682598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2.0219850651212512E-2</v>
      </c>
      <c r="C107" s="43">
        <f t="shared" si="124"/>
        <v>1.1257929794152553E-2</v>
      </c>
      <c r="D107" s="43">
        <f t="shared" ref="D107:V107" si="125">IF(D5=0,0,D5/D$4)</f>
        <v>8.7958150054593624E-3</v>
      </c>
      <c r="E107" s="43">
        <f t="shared" si="125"/>
        <v>7.322364947905345E-3</v>
      </c>
      <c r="F107" s="43">
        <f t="shared" si="125"/>
        <v>3.6146775680774276E-2</v>
      </c>
      <c r="G107" s="43">
        <f t="shared" si="125"/>
        <v>3.3290061306620794E-2</v>
      </c>
      <c r="H107" s="43">
        <f t="shared" si="125"/>
        <v>3.1598366066414599E-2</v>
      </c>
      <c r="I107" s="43">
        <f t="shared" si="125"/>
        <v>2.9540196163994004E-2</v>
      </c>
      <c r="J107" s="43">
        <f t="shared" si="125"/>
        <v>3.2511087764195618E-2</v>
      </c>
      <c r="K107" s="43">
        <f t="shared" si="125"/>
        <v>3.0458864374073445E-2</v>
      </c>
      <c r="L107" s="43">
        <f t="shared" si="125"/>
        <v>3.4586375530407984E-2</v>
      </c>
      <c r="M107" s="43">
        <f t="shared" si="125"/>
        <v>3.2552069959412989E-2</v>
      </c>
      <c r="N107" s="43">
        <f t="shared" si="125"/>
        <v>2.9769390487965824E-2</v>
      </c>
      <c r="O107" s="43">
        <f t="shared" si="125"/>
        <v>2.6323544089535439E-2</v>
      </c>
      <c r="P107" s="43">
        <f t="shared" si="125"/>
        <v>2.1377161528861863E-2</v>
      </c>
      <c r="Q107" s="43">
        <f t="shared" si="125"/>
        <v>1.9546894110080908E-2</v>
      </c>
      <c r="R107" s="43">
        <f t="shared" si="125"/>
        <v>2.8150791937166669E-2</v>
      </c>
      <c r="S107" s="43">
        <f t="shared" si="125"/>
        <v>3.6566171446941784E-2</v>
      </c>
      <c r="T107" s="43">
        <f t="shared" si="125"/>
        <v>3.318124617566702E-2</v>
      </c>
      <c r="U107" s="43">
        <f t="shared" si="125"/>
        <v>2.9079900733127103E-2</v>
      </c>
      <c r="V107" s="43">
        <f t="shared" si="125"/>
        <v>2.895745993524744E-2</v>
      </c>
      <c r="W107" s="43">
        <f t="shared" ref="W107" si="126">IF(W5=0,0,W5/W$4)</f>
        <v>2.7774074944112149E-2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0.81879504583147678</v>
      </c>
      <c r="C108" s="43">
        <f t="shared" si="127"/>
        <v>0.82789985944290201</v>
      </c>
      <c r="D108" s="43">
        <f t="shared" ref="D108:V108" si="128">IF(D6=0,0,D6/D$4)</f>
        <v>0.8308183328513784</v>
      </c>
      <c r="E108" s="43">
        <f t="shared" si="128"/>
        <v>0.83116162021582729</v>
      </c>
      <c r="F108" s="43">
        <f t="shared" si="128"/>
        <v>0.80490651218090759</v>
      </c>
      <c r="G108" s="43">
        <f t="shared" si="128"/>
        <v>0.82868854963539718</v>
      </c>
      <c r="H108" s="43">
        <f t="shared" si="128"/>
        <v>0.82636588216105522</v>
      </c>
      <c r="I108" s="43">
        <f t="shared" si="128"/>
        <v>0.81444886113676485</v>
      </c>
      <c r="J108" s="43">
        <f t="shared" si="128"/>
        <v>0.81559369548960525</v>
      </c>
      <c r="K108" s="43">
        <f t="shared" si="128"/>
        <v>0.835602139467433</v>
      </c>
      <c r="L108" s="43">
        <f t="shared" si="128"/>
        <v>0.83306156228238148</v>
      </c>
      <c r="M108" s="43">
        <f t="shared" si="128"/>
        <v>0.86314251030215217</v>
      </c>
      <c r="N108" s="43">
        <f t="shared" si="128"/>
        <v>0.8505339630697506</v>
      </c>
      <c r="O108" s="43">
        <f t="shared" si="128"/>
        <v>0.84705131148153134</v>
      </c>
      <c r="P108" s="43">
        <f t="shared" si="128"/>
        <v>0.82476223618360189</v>
      </c>
      <c r="Q108" s="43">
        <f t="shared" si="128"/>
        <v>0.82727107628394658</v>
      </c>
      <c r="R108" s="43">
        <f t="shared" si="128"/>
        <v>0.83119862131801892</v>
      </c>
      <c r="S108" s="43">
        <f t="shared" si="128"/>
        <v>0.82647092211089301</v>
      </c>
      <c r="T108" s="43">
        <f t="shared" si="128"/>
        <v>0.80494295244837377</v>
      </c>
      <c r="U108" s="43">
        <f t="shared" si="128"/>
        <v>0.79308928122048117</v>
      </c>
      <c r="V108" s="43">
        <f t="shared" si="128"/>
        <v>0.84324678026358979</v>
      </c>
      <c r="W108" s="43">
        <f t="shared" ref="W108" si="129">IF(W6=0,0,W6/W$4)</f>
        <v>0.79893575211143253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0.16098510351731077</v>
      </c>
      <c r="C109" s="43">
        <f t="shared" si="130"/>
        <v>0.16084221076294541</v>
      </c>
      <c r="D109" s="43">
        <f t="shared" ref="D109:V109" si="131">IF(D7=0,0,D7/D$4)</f>
        <v>0.16038585214316234</v>
      </c>
      <c r="E109" s="43">
        <f t="shared" si="131"/>
        <v>0.16151601483626729</v>
      </c>
      <c r="F109" s="43">
        <f t="shared" si="131"/>
        <v>0.1589467121383181</v>
      </c>
      <c r="G109" s="43">
        <f t="shared" si="131"/>
        <v>0.138021389057982</v>
      </c>
      <c r="H109" s="43">
        <f t="shared" si="131"/>
        <v>0.14203575177253022</v>
      </c>
      <c r="I109" s="43">
        <f t="shared" si="131"/>
        <v>0.15601094269924115</v>
      </c>
      <c r="J109" s="43">
        <f t="shared" si="131"/>
        <v>0.15189521674619905</v>
      </c>
      <c r="K109" s="43">
        <f t="shared" si="131"/>
        <v>0.13393899615849358</v>
      </c>
      <c r="L109" s="43">
        <f t="shared" si="131"/>
        <v>0.1323520621872106</v>
      </c>
      <c r="M109" s="43">
        <f t="shared" si="131"/>
        <v>0.1043054197384348</v>
      </c>
      <c r="N109" s="43">
        <f t="shared" si="131"/>
        <v>0.1196966464422836</v>
      </c>
      <c r="O109" s="43">
        <f t="shared" si="131"/>
        <v>0.12662514442893327</v>
      </c>
      <c r="P109" s="43">
        <f t="shared" si="131"/>
        <v>0.1538606022875364</v>
      </c>
      <c r="Q109" s="43">
        <f t="shared" si="131"/>
        <v>0.15318202960597266</v>
      </c>
      <c r="R109" s="43">
        <f t="shared" si="131"/>
        <v>0.14065058674481429</v>
      </c>
      <c r="S109" s="43">
        <f t="shared" si="131"/>
        <v>0.1369629064421653</v>
      </c>
      <c r="T109" s="43">
        <f t="shared" si="131"/>
        <v>0.16187580137595922</v>
      </c>
      <c r="U109" s="43">
        <f t="shared" si="131"/>
        <v>0.1778308180463917</v>
      </c>
      <c r="V109" s="43">
        <f t="shared" si="131"/>
        <v>0.12779575980116292</v>
      </c>
      <c r="W109" s="43">
        <f t="shared" ref="W109" si="132">IF(W7=0,0,W7/W$4)</f>
        <v>0.17329017294445537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1.1437218722964472E-2</v>
      </c>
      <c r="C111" s="44">
        <f t="shared" si="136"/>
        <v>1.026002273942881E-2</v>
      </c>
      <c r="D111" s="44">
        <f t="shared" ref="D111:V111" si="137">IF(D9=0,0,D9/D$8)</f>
        <v>1.0196622282127988E-2</v>
      </c>
      <c r="E111" s="44">
        <f t="shared" si="137"/>
        <v>1.0719331528567732E-2</v>
      </c>
      <c r="F111" s="44">
        <f t="shared" si="137"/>
        <v>1.1472913542533145E-2</v>
      </c>
      <c r="G111" s="44">
        <f t="shared" si="137"/>
        <v>8.2978846140979827E-3</v>
      </c>
      <c r="H111" s="44">
        <f t="shared" si="137"/>
        <v>1.8596080259058487E-2</v>
      </c>
      <c r="I111" s="44">
        <f t="shared" si="137"/>
        <v>1.4999556231739843E-2</v>
      </c>
      <c r="J111" s="44">
        <f t="shared" si="137"/>
        <v>5.8907892620507487E-3</v>
      </c>
      <c r="K111" s="44">
        <f t="shared" si="137"/>
        <v>3.915756893998981E-3</v>
      </c>
      <c r="L111" s="44">
        <f t="shared" si="137"/>
        <v>2.5794999832997288E-3</v>
      </c>
      <c r="M111" s="44">
        <f t="shared" si="137"/>
        <v>1.6023871203107425E-3</v>
      </c>
      <c r="N111" s="44">
        <f t="shared" si="137"/>
        <v>8.5995636608351175E-4</v>
      </c>
      <c r="O111" s="44">
        <f t="shared" si="137"/>
        <v>5.6772687027059848E-4</v>
      </c>
      <c r="P111" s="44">
        <f t="shared" si="137"/>
        <v>4.7085721804342856E-4</v>
      </c>
      <c r="Q111" s="44">
        <f t="shared" si="137"/>
        <v>3.3786230203592863E-4</v>
      </c>
      <c r="R111" s="44">
        <f t="shared" si="137"/>
        <v>7.5502301801280843E-4</v>
      </c>
      <c r="S111" s="44">
        <f t="shared" si="137"/>
        <v>2.4846874175983762E-3</v>
      </c>
      <c r="T111" s="44">
        <f t="shared" si="137"/>
        <v>4.9396864042468725E-3</v>
      </c>
      <c r="U111" s="44">
        <f t="shared" si="137"/>
        <v>9.3278981981643472E-3</v>
      </c>
      <c r="V111" s="44">
        <f t="shared" si="137"/>
        <v>1.5076958178629338E-2</v>
      </c>
      <c r="W111" s="44">
        <f t="shared" ref="W111" si="138">IF(W9=0,0,W9/W$8)</f>
        <v>2.2047173375700873E-2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0.48648888776362048</v>
      </c>
      <c r="C112" s="44">
        <f t="shared" si="139"/>
        <v>0.45410122377832696</v>
      </c>
      <c r="D112" s="44">
        <f t="shared" ref="D112:V112" si="140">IF(D10=0,0,D10/D$8)</f>
        <v>0.42821535288752355</v>
      </c>
      <c r="E112" s="44">
        <f t="shared" si="140"/>
        <v>0.42746458383060387</v>
      </c>
      <c r="F112" s="44">
        <f t="shared" si="140"/>
        <v>0.44951271527517145</v>
      </c>
      <c r="G112" s="44">
        <f t="shared" si="140"/>
        <v>0.64204096159576307</v>
      </c>
      <c r="H112" s="44">
        <f t="shared" si="140"/>
        <v>0.61915092484081702</v>
      </c>
      <c r="I112" s="44">
        <f t="shared" si="140"/>
        <v>0.51181817174108057</v>
      </c>
      <c r="J112" s="44">
        <f t="shared" si="140"/>
        <v>0.55261540892123928</v>
      </c>
      <c r="K112" s="44">
        <f t="shared" si="140"/>
        <v>0.66553710328671256</v>
      </c>
      <c r="L112" s="44">
        <f t="shared" si="140"/>
        <v>0.6515271239171142</v>
      </c>
      <c r="M112" s="44">
        <f t="shared" si="140"/>
        <v>0.54291811461167394</v>
      </c>
      <c r="N112" s="44">
        <f t="shared" si="140"/>
        <v>0.4027850924817255</v>
      </c>
      <c r="O112" s="44">
        <f t="shared" si="140"/>
        <v>0.3963115234611656</v>
      </c>
      <c r="P112" s="44">
        <f t="shared" si="140"/>
        <v>0.53351361409384035</v>
      </c>
      <c r="Q112" s="44">
        <f t="shared" si="140"/>
        <v>0.61809910597866313</v>
      </c>
      <c r="R112" s="44">
        <f t="shared" si="140"/>
        <v>0.67072543017326036</v>
      </c>
      <c r="S112" s="44">
        <f t="shared" si="140"/>
        <v>0.71421570958169556</v>
      </c>
      <c r="T112" s="44">
        <f t="shared" si="140"/>
        <v>0.82301971954125697</v>
      </c>
      <c r="U112" s="44">
        <f t="shared" si="140"/>
        <v>0.66191665708396941</v>
      </c>
      <c r="V112" s="44">
        <f t="shared" si="140"/>
        <v>0.69943742129586561</v>
      </c>
      <c r="W112" s="44">
        <f t="shared" ref="W112" si="141">IF(W10=0,0,W10/W$8)</f>
        <v>0.73072633742971072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0.50207389351341492</v>
      </c>
      <c r="C113" s="45">
        <f t="shared" si="142"/>
        <v>0.53563875348224421</v>
      </c>
      <c r="D113" s="45">
        <f t="shared" ref="D113:V113" si="143">IF(D11=0,0,D11/D$8)</f>
        <v>0.56158802483034842</v>
      </c>
      <c r="E113" s="45">
        <f t="shared" si="143"/>
        <v>0.56181608464082844</v>
      </c>
      <c r="F113" s="45">
        <f t="shared" si="143"/>
        <v>0.53901437118229534</v>
      </c>
      <c r="G113" s="45">
        <f t="shared" si="143"/>
        <v>0.3496611537901389</v>
      </c>
      <c r="H113" s="45">
        <f t="shared" si="143"/>
        <v>0.36225299490012447</v>
      </c>
      <c r="I113" s="45">
        <f t="shared" si="143"/>
        <v>0.4731822720271795</v>
      </c>
      <c r="J113" s="45">
        <f t="shared" si="143"/>
        <v>0.44149380181670994</v>
      </c>
      <c r="K113" s="45">
        <f t="shared" si="143"/>
        <v>0.3305471398192884</v>
      </c>
      <c r="L113" s="45">
        <f t="shared" si="143"/>
        <v>0.34589337609958598</v>
      </c>
      <c r="M113" s="45">
        <f t="shared" si="143"/>
        <v>0.45547949826801526</v>
      </c>
      <c r="N113" s="45">
        <f t="shared" si="143"/>
        <v>0.59635495115219106</v>
      </c>
      <c r="O113" s="45">
        <f t="shared" si="143"/>
        <v>0.60312074966856377</v>
      </c>
      <c r="P113" s="45">
        <f t="shared" si="143"/>
        <v>0.4660155286881163</v>
      </c>
      <c r="Q113" s="45">
        <f t="shared" si="143"/>
        <v>0.38156303171930089</v>
      </c>
      <c r="R113" s="45">
        <f t="shared" si="143"/>
        <v>0.32851954680872686</v>
      </c>
      <c r="S113" s="45">
        <f t="shared" si="143"/>
        <v>0.28329960300070611</v>
      </c>
      <c r="T113" s="45">
        <f t="shared" si="143"/>
        <v>0.17204059405449601</v>
      </c>
      <c r="U113" s="45">
        <f t="shared" si="143"/>
        <v>0.32875544471786616</v>
      </c>
      <c r="V113" s="45">
        <f t="shared" si="143"/>
        <v>0.28548562052550508</v>
      </c>
      <c r="W113" s="45">
        <f t="shared" ref="W113" si="144">IF(W11=0,0,W11/W$8)</f>
        <v>0.24722648919458842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4.3519627016847008E-2</v>
      </c>
      <c r="C117" s="43">
        <f t="shared" si="148"/>
        <v>2.4810935843187009E-2</v>
      </c>
      <c r="D117" s="43">
        <f t="shared" ref="D117:V117" si="149">IF(D15=0,0,D15/D$14)</f>
        <v>1.9463812694547035E-2</v>
      </c>
      <c r="E117" s="43">
        <f t="shared" si="149"/>
        <v>1.6101206089278643E-2</v>
      </c>
      <c r="F117" s="43">
        <f t="shared" si="149"/>
        <v>7.6042842923713508E-2</v>
      </c>
      <c r="G117" s="43">
        <f t="shared" si="149"/>
        <v>7.0671422439840051E-2</v>
      </c>
      <c r="H117" s="43">
        <f t="shared" si="149"/>
        <v>6.5372833594068758E-2</v>
      </c>
      <c r="I117" s="43">
        <f t="shared" si="149"/>
        <v>5.8337842084744608E-2</v>
      </c>
      <c r="J117" s="43">
        <f t="shared" si="149"/>
        <v>5.9312127446782104E-2</v>
      </c>
      <c r="K117" s="43">
        <f t="shared" si="149"/>
        <v>6.3833971128728392E-2</v>
      </c>
      <c r="L117" s="43">
        <f t="shared" si="149"/>
        <v>7.2382971873118637E-2</v>
      </c>
      <c r="M117" s="43">
        <f t="shared" si="149"/>
        <v>6.8848959032652104E-2</v>
      </c>
      <c r="N117" s="43">
        <f t="shared" si="149"/>
        <v>6.7310926235205223E-2</v>
      </c>
      <c r="O117" s="43">
        <f t="shared" si="149"/>
        <v>6.2101671426341987E-2</v>
      </c>
      <c r="P117" s="43">
        <f t="shared" si="149"/>
        <v>5.3039332805117093E-2</v>
      </c>
      <c r="Q117" s="43">
        <f t="shared" si="149"/>
        <v>4.7613420001458559E-2</v>
      </c>
      <c r="R117" s="43">
        <f t="shared" si="149"/>
        <v>5.5445732492052445E-2</v>
      </c>
      <c r="S117" s="43">
        <f t="shared" si="149"/>
        <v>5.9296793239649273E-2</v>
      </c>
      <c r="T117" s="43">
        <f t="shared" si="149"/>
        <v>5.583400634728531E-2</v>
      </c>
      <c r="U117" s="43">
        <f t="shared" si="149"/>
        <v>5.1667407286531589E-2</v>
      </c>
      <c r="V117" s="43">
        <f t="shared" si="149"/>
        <v>5.6689337060158822E-2</v>
      </c>
      <c r="W117" s="43">
        <f t="shared" ref="W117" si="150">IF(W15=0,0,W15/W$14)</f>
        <v>4.4657535082808626E-2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0.76389854753190167</v>
      </c>
      <c r="C118" s="43">
        <f t="shared" si="151"/>
        <v>0.77884989930519244</v>
      </c>
      <c r="D118" s="43">
        <f t="shared" ref="D118:V118" si="152">IF(D16=0,0,D16/D$14)</f>
        <v>0.78313014746328591</v>
      </c>
      <c r="E118" s="43">
        <f t="shared" si="152"/>
        <v>0.78579236140007058</v>
      </c>
      <c r="F118" s="43">
        <f t="shared" si="152"/>
        <v>0.73793139150619147</v>
      </c>
      <c r="G118" s="43">
        <f t="shared" si="152"/>
        <v>0.76782208731427315</v>
      </c>
      <c r="H118" s="43">
        <f t="shared" si="152"/>
        <v>0.77445694846336277</v>
      </c>
      <c r="I118" s="43">
        <f t="shared" si="152"/>
        <v>0.77315371120143361</v>
      </c>
      <c r="J118" s="43">
        <f t="shared" si="152"/>
        <v>0.77015493820242487</v>
      </c>
      <c r="K118" s="43">
        <f t="shared" si="152"/>
        <v>0.78579438074557462</v>
      </c>
      <c r="L118" s="43">
        <f t="shared" si="152"/>
        <v>0.78444608852382414</v>
      </c>
      <c r="M118" s="43">
        <f t="shared" si="152"/>
        <v>0.79995899488852307</v>
      </c>
      <c r="N118" s="43">
        <f t="shared" si="152"/>
        <v>0.78080633739176142</v>
      </c>
      <c r="O118" s="43">
        <f t="shared" si="152"/>
        <v>0.79008916141486929</v>
      </c>
      <c r="P118" s="43">
        <f t="shared" si="152"/>
        <v>0.78607958089453689</v>
      </c>
      <c r="Q118" s="43">
        <f t="shared" si="152"/>
        <v>0.79701639936194646</v>
      </c>
      <c r="R118" s="43">
        <f t="shared" si="152"/>
        <v>0.79264464501946119</v>
      </c>
      <c r="S118" s="43">
        <f t="shared" si="152"/>
        <v>0.78968462671989526</v>
      </c>
      <c r="T118" s="43">
        <f t="shared" si="152"/>
        <v>0.7680897824057431</v>
      </c>
      <c r="U118" s="43">
        <f t="shared" si="152"/>
        <v>0.76106112255664993</v>
      </c>
      <c r="V118" s="43">
        <f t="shared" si="152"/>
        <v>0.79863271487166088</v>
      </c>
      <c r="W118" s="43">
        <f t="shared" ref="W118" si="153">IF(W16=0,0,W16/W$14)</f>
        <v>0.76625168768162877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0.1925818254512513</v>
      </c>
      <c r="C119" s="43">
        <f t="shared" si="154"/>
        <v>0.19633916485162045</v>
      </c>
      <c r="D119" s="43">
        <f t="shared" ref="D119:V119" si="155">IF(D17=0,0,D17/D$14)</f>
        <v>0.19740603984216712</v>
      </c>
      <c r="E119" s="43">
        <f t="shared" si="155"/>
        <v>0.19810643251065074</v>
      </c>
      <c r="F119" s="43">
        <f t="shared" si="155"/>
        <v>0.18602576557009495</v>
      </c>
      <c r="G119" s="43">
        <f t="shared" si="155"/>
        <v>0.16150649024588679</v>
      </c>
      <c r="H119" s="43">
        <f t="shared" si="155"/>
        <v>0.16017021794256842</v>
      </c>
      <c r="I119" s="43">
        <f t="shared" si="155"/>
        <v>0.1685084467138217</v>
      </c>
      <c r="J119" s="43">
        <f t="shared" si="155"/>
        <v>0.17053293435079306</v>
      </c>
      <c r="K119" s="43">
        <f t="shared" si="155"/>
        <v>0.15037164812569701</v>
      </c>
      <c r="L119" s="43">
        <f t="shared" si="155"/>
        <v>0.14317093960305724</v>
      </c>
      <c r="M119" s="43">
        <f t="shared" si="155"/>
        <v>0.13119204607882479</v>
      </c>
      <c r="N119" s="43">
        <f t="shared" si="155"/>
        <v>0.15188273637303332</v>
      </c>
      <c r="O119" s="43">
        <f t="shared" si="155"/>
        <v>0.14780916715878881</v>
      </c>
      <c r="P119" s="43">
        <f t="shared" si="155"/>
        <v>0.16088108630034612</v>
      </c>
      <c r="Q119" s="43">
        <f t="shared" si="155"/>
        <v>0.15537018063659497</v>
      </c>
      <c r="R119" s="43">
        <f t="shared" si="155"/>
        <v>0.15190962248848625</v>
      </c>
      <c r="S119" s="43">
        <f t="shared" si="155"/>
        <v>0.1510185800404554</v>
      </c>
      <c r="T119" s="43">
        <f t="shared" si="155"/>
        <v>0.17607621124697148</v>
      </c>
      <c r="U119" s="43">
        <f t="shared" si="155"/>
        <v>0.18727147015681853</v>
      </c>
      <c r="V119" s="43">
        <f t="shared" si="155"/>
        <v>0.14467794806818032</v>
      </c>
      <c r="W119" s="43">
        <f t="shared" ref="W119" si="156">IF(W17=0,0,W17/W$14)</f>
        <v>0.18909077723556258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3.8450748855265705E-2</v>
      </c>
      <c r="C121" s="44">
        <f t="shared" si="160"/>
        <v>3.8204522571357334E-2</v>
      </c>
      <c r="D121" s="44">
        <f t="shared" ref="D121:V121" si="161">IF(D19=0,0,D19/D$18)</f>
        <v>3.5914523893981275E-2</v>
      </c>
      <c r="E121" s="44">
        <f t="shared" si="161"/>
        <v>3.491993015542335E-2</v>
      </c>
      <c r="F121" s="44">
        <f t="shared" si="161"/>
        <v>3.5779534554333102E-2</v>
      </c>
      <c r="G121" s="44">
        <f t="shared" si="161"/>
        <v>2.2005557894898838E-2</v>
      </c>
      <c r="H121" s="44">
        <f t="shared" si="161"/>
        <v>4.7144016730739223E-2</v>
      </c>
      <c r="I121" s="44">
        <f t="shared" si="161"/>
        <v>4.1233975233867036E-2</v>
      </c>
      <c r="J121" s="44">
        <f t="shared" si="161"/>
        <v>1.6171346425278763E-2</v>
      </c>
      <c r="K121" s="44">
        <f t="shared" si="161"/>
        <v>9.9740768940082478E-3</v>
      </c>
      <c r="L121" s="44">
        <f t="shared" si="161"/>
        <v>6.2856554273889144E-3</v>
      </c>
      <c r="M121" s="44">
        <f t="shared" si="161"/>
        <v>4.1722964935355265E-3</v>
      </c>
      <c r="N121" s="44">
        <f t="shared" si="161"/>
        <v>2.8749633522979138E-3</v>
      </c>
      <c r="O121" s="44">
        <f t="shared" si="161"/>
        <v>1.86523067974978E-3</v>
      </c>
      <c r="P121" s="44">
        <f t="shared" si="161"/>
        <v>1.3503991924311354E-3</v>
      </c>
      <c r="Q121" s="44">
        <f t="shared" si="161"/>
        <v>8.5142005568779159E-4</v>
      </c>
      <c r="R121" s="44">
        <f t="shared" si="161"/>
        <v>1.7085273588910992E-3</v>
      </c>
      <c r="S121" s="44">
        <f t="shared" si="161"/>
        <v>5.3973478663021145E-3</v>
      </c>
      <c r="T121" s="44">
        <f t="shared" si="161"/>
        <v>9.7258907234286443E-3</v>
      </c>
      <c r="U121" s="44">
        <f t="shared" si="161"/>
        <v>1.9997048387627274E-2</v>
      </c>
      <c r="V121" s="44">
        <f t="shared" si="161"/>
        <v>2.7004515396802511E-2</v>
      </c>
      <c r="W121" s="44">
        <f t="shared" ref="W121" si="162">IF(W19=0,0,W19/W$18)</f>
        <v>3.4834599911960251E-2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0.72819574073316995</v>
      </c>
      <c r="C122" s="44">
        <f t="shared" si="163"/>
        <v>0.70058284885719435</v>
      </c>
      <c r="D122" s="44">
        <f t="shared" ref="D122:V122" si="164">IF(D20=0,0,D20/D$18)</f>
        <v>0.68201774247973201</v>
      </c>
      <c r="E122" s="44">
        <f t="shared" si="164"/>
        <v>0.65960209250434332</v>
      </c>
      <c r="F122" s="44">
        <f t="shared" si="164"/>
        <v>0.69203930702669858</v>
      </c>
      <c r="G122" s="44">
        <f t="shared" si="164"/>
        <v>0.82175309650827055</v>
      </c>
      <c r="H122" s="44">
        <f t="shared" si="164"/>
        <v>0.79888390738417481</v>
      </c>
      <c r="I122" s="44">
        <f t="shared" si="164"/>
        <v>0.7378082847047388</v>
      </c>
      <c r="J122" s="44">
        <f t="shared" si="164"/>
        <v>0.78168077965836036</v>
      </c>
      <c r="K122" s="44">
        <f t="shared" si="164"/>
        <v>0.86442971602293317</v>
      </c>
      <c r="L122" s="44">
        <f t="shared" si="164"/>
        <v>0.86144014513421419</v>
      </c>
      <c r="M122" s="44">
        <f t="shared" si="164"/>
        <v>0.80411268408240455</v>
      </c>
      <c r="N122" s="44">
        <f t="shared" si="164"/>
        <v>0.70190987716237785</v>
      </c>
      <c r="O122" s="44">
        <f t="shared" si="164"/>
        <v>0.7037242580289006</v>
      </c>
      <c r="P122" s="44">
        <f t="shared" si="164"/>
        <v>0.80881562124724404</v>
      </c>
      <c r="Q122" s="44">
        <f t="shared" si="164"/>
        <v>0.85287268854383924</v>
      </c>
      <c r="R122" s="44">
        <f t="shared" si="164"/>
        <v>0.88080287525979228</v>
      </c>
      <c r="S122" s="44">
        <f t="shared" si="164"/>
        <v>0.90509724300221794</v>
      </c>
      <c r="T122" s="44">
        <f t="shared" si="164"/>
        <v>0.93948024144620024</v>
      </c>
      <c r="U122" s="44">
        <f t="shared" si="164"/>
        <v>0.86985634565313741</v>
      </c>
      <c r="V122" s="44">
        <f t="shared" si="164"/>
        <v>0.84765000123881962</v>
      </c>
      <c r="W122" s="44">
        <f t="shared" ref="W122" si="165">IF(W20=0,0,W20/W$18)</f>
        <v>0.86529964031062312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0.2333535104115643</v>
      </c>
      <c r="C123" s="45">
        <f t="shared" si="166"/>
        <v>0.26121262857144839</v>
      </c>
      <c r="D123" s="45">
        <f t="shared" ref="D123:V123" si="167">IF(D21=0,0,D21/D$18)</f>
        <v>0.28206773362628668</v>
      </c>
      <c r="E123" s="45">
        <f t="shared" si="167"/>
        <v>0.30547797734023341</v>
      </c>
      <c r="F123" s="45">
        <f t="shared" si="167"/>
        <v>0.27218115841896834</v>
      </c>
      <c r="G123" s="45">
        <f t="shared" si="167"/>
        <v>0.1562413455968307</v>
      </c>
      <c r="H123" s="45">
        <f t="shared" si="167"/>
        <v>0.15397207588508605</v>
      </c>
      <c r="I123" s="45">
        <f t="shared" si="167"/>
        <v>0.22095774006139407</v>
      </c>
      <c r="J123" s="45">
        <f t="shared" si="167"/>
        <v>0.20214787391636094</v>
      </c>
      <c r="K123" s="45">
        <f t="shared" si="167"/>
        <v>0.12559620708305838</v>
      </c>
      <c r="L123" s="45">
        <f t="shared" si="167"/>
        <v>0.13227419943839708</v>
      </c>
      <c r="M123" s="45">
        <f t="shared" si="167"/>
        <v>0.19171501942405994</v>
      </c>
      <c r="N123" s="45">
        <f t="shared" si="167"/>
        <v>0.29521515948532423</v>
      </c>
      <c r="O123" s="45">
        <f t="shared" si="167"/>
        <v>0.29441051129134954</v>
      </c>
      <c r="P123" s="45">
        <f t="shared" si="167"/>
        <v>0.18983397956032483</v>
      </c>
      <c r="Q123" s="45">
        <f t="shared" si="167"/>
        <v>0.14627589140047298</v>
      </c>
      <c r="R123" s="45">
        <f t="shared" si="167"/>
        <v>0.11748859738131659</v>
      </c>
      <c r="S123" s="45">
        <f t="shared" si="167"/>
        <v>8.9505409131479904E-2</v>
      </c>
      <c r="T123" s="45">
        <f t="shared" si="167"/>
        <v>5.0793867830371119E-2</v>
      </c>
      <c r="U123" s="45">
        <f t="shared" si="167"/>
        <v>0.11014660595923531</v>
      </c>
      <c r="V123" s="45">
        <f t="shared" si="167"/>
        <v>0.12534548336437795</v>
      </c>
      <c r="W123" s="45">
        <f t="shared" ref="W123" si="168">IF(W21=0,0,W21/W$18)</f>
        <v>9.9865759777416727E-2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135.90567497850387</v>
      </c>
      <c r="C3" s="79">
        <f t="shared" si="0"/>
        <v>119.03843508168532</v>
      </c>
      <c r="D3" s="79">
        <f t="shared" ref="D3" si="1">SUM(D4:D5)</f>
        <v>101.12734307824591</v>
      </c>
      <c r="E3" s="79">
        <f t="shared" ref="E3" si="2">SUM(E4:E5)</f>
        <v>122.19355116079105</v>
      </c>
      <c r="F3" s="79">
        <f t="shared" ref="F3" si="3">SUM(F4:F5)</f>
        <v>152.50791057609632</v>
      </c>
      <c r="G3" s="79">
        <f t="shared" ref="G3" si="4">SUM(G4:G5)</f>
        <v>137.48839208942394</v>
      </c>
      <c r="H3" s="79">
        <f t="shared" ref="H3" si="5">SUM(H4:H5)</f>
        <v>157.07798796216679</v>
      </c>
      <c r="I3" s="79">
        <f t="shared" ref="I3" si="6">SUM(I4:I5)</f>
        <v>207.27678417884778</v>
      </c>
      <c r="J3" s="79">
        <f t="shared" ref="J3" si="7">SUM(J4:J5)</f>
        <v>215.66526225279443</v>
      </c>
      <c r="K3" s="79">
        <f t="shared" ref="K3" si="8">SUM(K4:K5)</f>
        <v>234.19664660361144</v>
      </c>
      <c r="L3" s="79">
        <f t="shared" ref="L3" si="9">SUM(L4:L5)</f>
        <v>277.48099742046429</v>
      </c>
      <c r="M3" s="79">
        <f t="shared" ref="M3" si="10">SUM(M4:M5)</f>
        <v>226.64049871023212</v>
      </c>
      <c r="N3" s="79">
        <f t="shared" ref="N3" si="11">SUM(N4:N5)</f>
        <v>173.55941530524501</v>
      </c>
      <c r="O3" s="79">
        <f t="shared" ref="O3" si="12">SUM(O4:O5)</f>
        <v>211.02046431642307</v>
      </c>
      <c r="P3" s="79">
        <f t="shared" ref="P3" si="13">SUM(P4:P5)</f>
        <v>230.97644024075663</v>
      </c>
      <c r="Q3" s="79">
        <f t="shared" ref="Q3" si="14">SUM(Q4:Q5)</f>
        <v>272.0010318142734</v>
      </c>
      <c r="R3" s="79">
        <f t="shared" ref="R3" si="15">SUM(R4:R5)</f>
        <v>318.5564918314704</v>
      </c>
      <c r="S3" s="79">
        <f t="shared" ref="S3" si="16">SUM(S4:S5)</f>
        <v>385.24531384350814</v>
      </c>
      <c r="T3" s="79">
        <f t="shared" ref="T3" si="17">SUM(T4:T5)</f>
        <v>192.9</v>
      </c>
      <c r="U3" s="79">
        <f t="shared" ref="U3" si="18">SUM(U4:U5)</f>
        <v>217.29380911435936</v>
      </c>
      <c r="V3" s="79">
        <f t="shared" ref="V3:W3" si="19">SUM(V4:V5)</f>
        <v>85.963370593293206</v>
      </c>
      <c r="W3" s="79">
        <f t="shared" si="19"/>
        <v>128.98822012037834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6.3484952708512461</v>
      </c>
      <c r="C4" s="96">
        <f t="shared" si="20"/>
        <v>3.1742906276870162</v>
      </c>
      <c r="D4" s="96">
        <f t="shared" ref="D4:V4" si="21">SUM(D7,D11)</f>
        <v>2.116165090283749</v>
      </c>
      <c r="E4" s="96">
        <f t="shared" si="21"/>
        <v>2.116165090283749</v>
      </c>
      <c r="F4" s="96">
        <f t="shared" si="21"/>
        <v>12.417626827171109</v>
      </c>
      <c r="G4" s="96">
        <f t="shared" si="21"/>
        <v>11.663800515907131</v>
      </c>
      <c r="H4" s="96">
        <f t="shared" si="21"/>
        <v>2.1273430782459162</v>
      </c>
      <c r="I4" s="96">
        <f t="shared" si="21"/>
        <v>83.515735167669817</v>
      </c>
      <c r="J4" s="96">
        <f t="shared" si="21"/>
        <v>81.08933791917454</v>
      </c>
      <c r="K4" s="96">
        <f t="shared" si="21"/>
        <v>85.484264832330169</v>
      </c>
      <c r="L4" s="96">
        <f t="shared" si="21"/>
        <v>111.31392949269132</v>
      </c>
      <c r="M4" s="96">
        <f t="shared" si="21"/>
        <v>81.35288048151331</v>
      </c>
      <c r="N4" s="96">
        <f t="shared" si="21"/>
        <v>40.414531384350802</v>
      </c>
      <c r="O4" s="96">
        <f t="shared" si="21"/>
        <v>45.624677558039558</v>
      </c>
      <c r="P4" s="96">
        <f t="shared" si="21"/>
        <v>24.274892519346515</v>
      </c>
      <c r="Q4" s="96">
        <f t="shared" si="21"/>
        <v>32.719604471195176</v>
      </c>
      <c r="R4" s="96">
        <f t="shared" si="21"/>
        <v>27.996990541702495</v>
      </c>
      <c r="S4" s="96">
        <f t="shared" si="21"/>
        <v>49.301891659501287</v>
      </c>
      <c r="T4" s="96">
        <f t="shared" si="21"/>
        <v>55.534135855545998</v>
      </c>
      <c r="U4" s="96">
        <f t="shared" si="21"/>
        <v>64.675924333619946</v>
      </c>
      <c r="V4" s="96">
        <f t="shared" si="21"/>
        <v>38.652880481513314</v>
      </c>
      <c r="W4" s="96">
        <f t="shared" ref="W4" si="22">SUM(W7,W11)</f>
        <v>46.709028374892519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129.55717970765261</v>
      </c>
      <c r="C5" s="96">
        <f t="shared" si="23"/>
        <v>115.86414445399831</v>
      </c>
      <c r="D5" s="96">
        <f t="shared" ref="D5:V5" si="24">SUM(D8:D9,D12:D13)</f>
        <v>99.011177987962171</v>
      </c>
      <c r="E5" s="96">
        <f t="shared" si="24"/>
        <v>120.0773860705073</v>
      </c>
      <c r="F5" s="96">
        <f t="shared" si="24"/>
        <v>140.0902837489252</v>
      </c>
      <c r="G5" s="96">
        <f t="shared" si="24"/>
        <v>125.8245915735168</v>
      </c>
      <c r="H5" s="96">
        <f t="shared" si="24"/>
        <v>154.95064488392086</v>
      </c>
      <c r="I5" s="96">
        <f t="shared" si="24"/>
        <v>123.76104901117795</v>
      </c>
      <c r="J5" s="96">
        <f t="shared" si="24"/>
        <v>134.57592433361989</v>
      </c>
      <c r="K5" s="96">
        <f t="shared" si="24"/>
        <v>148.71238177128126</v>
      </c>
      <c r="L5" s="96">
        <f t="shared" si="24"/>
        <v>166.16706792777299</v>
      </c>
      <c r="M5" s="96">
        <f t="shared" si="24"/>
        <v>145.2876182287188</v>
      </c>
      <c r="N5" s="96">
        <f t="shared" si="24"/>
        <v>133.14488392089422</v>
      </c>
      <c r="O5" s="96">
        <f t="shared" si="24"/>
        <v>165.39578675838351</v>
      </c>
      <c r="P5" s="96">
        <f t="shared" si="24"/>
        <v>206.70154772141012</v>
      </c>
      <c r="Q5" s="96">
        <f t="shared" si="24"/>
        <v>239.28142734307824</v>
      </c>
      <c r="R5" s="96">
        <f t="shared" si="24"/>
        <v>290.55950128976792</v>
      </c>
      <c r="S5" s="96">
        <f t="shared" si="24"/>
        <v>335.94342218400686</v>
      </c>
      <c r="T5" s="96">
        <f t="shared" si="24"/>
        <v>137.36586414445401</v>
      </c>
      <c r="U5" s="96">
        <f t="shared" si="24"/>
        <v>152.61788478073942</v>
      </c>
      <c r="V5" s="96">
        <f t="shared" si="24"/>
        <v>47.310490111779892</v>
      </c>
      <c r="W5" s="96">
        <f t="shared" ref="W5" si="25">SUM(W8:W9,W12:W13)</f>
        <v>82.279191745485818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133.87978633475311</v>
      </c>
      <c r="C6" s="21">
        <f t="shared" si="26"/>
        <v>117.28938134781963</v>
      </c>
      <c r="D6" s="21">
        <f t="shared" ref="D6:V6" si="27">SUM(D7:D9)</f>
        <v>99.475145382624277</v>
      </c>
      <c r="E6" s="21">
        <f t="shared" si="27"/>
        <v>120.55251368944306</v>
      </c>
      <c r="F6" s="21">
        <f t="shared" si="27"/>
        <v>150.69759645131882</v>
      </c>
      <c r="G6" s="21">
        <f t="shared" si="27"/>
        <v>136.37109186618096</v>
      </c>
      <c r="H6" s="21">
        <f t="shared" si="27"/>
        <v>155.86606052009233</v>
      </c>
      <c r="I6" s="21">
        <f t="shared" si="27"/>
        <v>206.13329066897126</v>
      </c>
      <c r="J6" s="21">
        <f t="shared" si="27"/>
        <v>214.36202403138611</v>
      </c>
      <c r="K6" s="21">
        <f t="shared" si="27"/>
        <v>232.72793265748339</v>
      </c>
      <c r="L6" s="21">
        <f t="shared" si="27"/>
        <v>275.76445080859531</v>
      </c>
      <c r="M6" s="21">
        <f t="shared" si="27"/>
        <v>224.8817023567178</v>
      </c>
      <c r="N6" s="21">
        <f t="shared" si="27"/>
        <v>171.7553086735283</v>
      </c>
      <c r="O6" s="21">
        <f t="shared" si="27"/>
        <v>208.84114973279233</v>
      </c>
      <c r="P6" s="21">
        <f t="shared" si="27"/>
        <v>228.95165558597682</v>
      </c>
      <c r="Q6" s="21">
        <f t="shared" si="27"/>
        <v>269.89506310636693</v>
      </c>
      <c r="R6" s="21">
        <f t="shared" si="27"/>
        <v>316.31601433937459</v>
      </c>
      <c r="S6" s="21">
        <f t="shared" si="27"/>
        <v>382.39000043197814</v>
      </c>
      <c r="T6" s="21">
        <f t="shared" si="27"/>
        <v>191.81465040449683</v>
      </c>
      <c r="U6" s="21">
        <f t="shared" si="27"/>
        <v>216.43051341113556</v>
      </c>
      <c r="V6" s="21">
        <f t="shared" si="27"/>
        <v>85.133208983407457</v>
      </c>
      <c r="W6" s="21">
        <f t="shared" ref="W6" si="28">SUM(W7:W9)</f>
        <v>127.92943635220368</v>
      </c>
      <c r="DA6" s="189" t="s">
        <v>279</v>
      </c>
    </row>
    <row r="7" spans="1:105" ht="11.45" customHeight="1" x14ac:dyDescent="0.25">
      <c r="A7" s="83" t="s">
        <v>27</v>
      </c>
      <c r="B7" s="96">
        <v>6.2737625907928596</v>
      </c>
      <c r="C7" s="96">
        <v>3.1103652882637642</v>
      </c>
      <c r="D7" s="96">
        <v>2.05942207928361</v>
      </c>
      <c r="E7" s="96">
        <v>2.0610920732631324</v>
      </c>
      <c r="F7" s="96">
        <v>12.354613139019866</v>
      </c>
      <c r="G7" s="96">
        <v>11.638633174516047</v>
      </c>
      <c r="H7" s="96">
        <v>2.1166078043896532</v>
      </c>
      <c r="I7" s="96">
        <v>83.141222197109784</v>
      </c>
      <c r="J7" s="96">
        <v>80.884285093823308</v>
      </c>
      <c r="K7" s="96">
        <v>85.335674373643755</v>
      </c>
      <c r="L7" s="96">
        <v>111.18386157906802</v>
      </c>
      <c r="M7" s="96">
        <v>81.291820594573764</v>
      </c>
      <c r="N7" s="96">
        <v>40.391830360947417</v>
      </c>
      <c r="O7" s="96">
        <v>45.605705111205616</v>
      </c>
      <c r="P7" s="96">
        <v>24.26819261217339</v>
      </c>
      <c r="Q7" s="96">
        <v>32.713469809147178</v>
      </c>
      <c r="R7" s="96">
        <v>27.989149908369363</v>
      </c>
      <c r="S7" s="96">
        <v>49.260975397179315</v>
      </c>
      <c r="T7" s="96">
        <v>55.456404215728199</v>
      </c>
      <c r="U7" s="96">
        <v>64.536091106046669</v>
      </c>
      <c r="V7" s="96">
        <v>38.404415456495357</v>
      </c>
      <c r="W7" s="96">
        <v>46.356511526767903</v>
      </c>
      <c r="DA7" s="171" t="s">
        <v>280</v>
      </c>
    </row>
    <row r="8" spans="1:105" ht="11.45" customHeight="1" x14ac:dyDescent="0.25">
      <c r="A8" s="83" t="s">
        <v>173</v>
      </c>
      <c r="B8" s="96">
        <v>106.48056590162719</v>
      </c>
      <c r="C8" s="96">
        <v>95.282826098564854</v>
      </c>
      <c r="D8" s="96">
        <v>81.302077647429073</v>
      </c>
      <c r="E8" s="96">
        <v>98.903993607113279</v>
      </c>
      <c r="F8" s="96">
        <v>115.48820675856604</v>
      </c>
      <c r="G8" s="96">
        <v>104.40652238119232</v>
      </c>
      <c r="H8" s="96">
        <v>129.60021097424678</v>
      </c>
      <c r="I8" s="96">
        <v>104.89982290593353</v>
      </c>
      <c r="J8" s="96">
        <v>114.14382029354324</v>
      </c>
      <c r="K8" s="96">
        <v>125.58721090150577</v>
      </c>
      <c r="L8" s="96">
        <v>140.54173703136885</v>
      </c>
      <c r="M8" s="96">
        <v>122.60442070189279</v>
      </c>
      <c r="N8" s="96">
        <v>112.16218497984467</v>
      </c>
      <c r="O8" s="96">
        <v>139.53992088882853</v>
      </c>
      <c r="P8" s="96">
        <v>177.22125495364185</v>
      </c>
      <c r="Q8" s="96">
        <v>207.40394668314454</v>
      </c>
      <c r="R8" s="96">
        <v>257.18476083680252</v>
      </c>
      <c r="S8" s="96">
        <v>300.80993195469131</v>
      </c>
      <c r="T8" s="96">
        <v>123.00473734987678</v>
      </c>
      <c r="U8" s="96">
        <v>137.45258672305053</v>
      </c>
      <c r="V8" s="96">
        <v>40.521051147611203</v>
      </c>
      <c r="W8" s="96">
        <v>72.148420388983538</v>
      </c>
      <c r="DA8" s="171" t="s">
        <v>281</v>
      </c>
    </row>
    <row r="9" spans="1:105" ht="11.45" customHeight="1" x14ac:dyDescent="0.25">
      <c r="A9" s="83" t="s">
        <v>174</v>
      </c>
      <c r="B9" s="96">
        <v>21.125457842333063</v>
      </c>
      <c r="C9" s="96">
        <v>18.896189960991013</v>
      </c>
      <c r="D9" s="96">
        <v>16.11364565591159</v>
      </c>
      <c r="E9" s="96">
        <v>19.587428009066656</v>
      </c>
      <c r="F9" s="96">
        <v>22.854776553732915</v>
      </c>
      <c r="G9" s="96">
        <v>20.325936310472592</v>
      </c>
      <c r="H9" s="96">
        <v>24.149241741455917</v>
      </c>
      <c r="I9" s="96">
        <v>18.092245565927946</v>
      </c>
      <c r="J9" s="96">
        <v>19.333918644019555</v>
      </c>
      <c r="K9" s="96">
        <v>21.805047382333871</v>
      </c>
      <c r="L9" s="96">
        <v>24.03885219815847</v>
      </c>
      <c r="M9" s="96">
        <v>20.985461060251254</v>
      </c>
      <c r="N9" s="96">
        <v>19.201293332736224</v>
      </c>
      <c r="O9" s="96">
        <v>23.695523732758186</v>
      </c>
      <c r="P9" s="96">
        <v>27.462208020161611</v>
      </c>
      <c r="Q9" s="96">
        <v>29.777646614075195</v>
      </c>
      <c r="R9" s="96">
        <v>31.142103594202684</v>
      </c>
      <c r="S9" s="96">
        <v>32.319093080107535</v>
      </c>
      <c r="T9" s="96">
        <v>13.353508838891855</v>
      </c>
      <c r="U9" s="96">
        <v>14.441835582038367</v>
      </c>
      <c r="V9" s="96">
        <v>6.2077423793008899</v>
      </c>
      <c r="W9" s="96">
        <v>9.4245044364522439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2.0258886437507524</v>
      </c>
      <c r="C10" s="22">
        <f t="shared" si="29"/>
        <v>1.7490537338656935</v>
      </c>
      <c r="D10" s="22">
        <f t="shared" ref="D10:V10" si="30">SUM(D11:D13)</f>
        <v>1.6521976956216553</v>
      </c>
      <c r="E10" s="22">
        <f t="shared" si="30"/>
        <v>1.6410374713479894</v>
      </c>
      <c r="F10" s="22">
        <f t="shared" si="30"/>
        <v>1.8103141247775003</v>
      </c>
      <c r="G10" s="22">
        <f t="shared" si="30"/>
        <v>1.1173002232429756</v>
      </c>
      <c r="H10" s="22">
        <f t="shared" si="30"/>
        <v>1.2119274420744326</v>
      </c>
      <c r="I10" s="22">
        <f t="shared" si="30"/>
        <v>1.1434935098764996</v>
      </c>
      <c r="J10" s="22">
        <f t="shared" si="30"/>
        <v>1.3032382214083138</v>
      </c>
      <c r="K10" s="22">
        <f t="shared" si="30"/>
        <v>1.4687139461280057</v>
      </c>
      <c r="L10" s="22">
        <f t="shared" si="30"/>
        <v>1.7165466118689523</v>
      </c>
      <c r="M10" s="22">
        <f t="shared" si="30"/>
        <v>1.7587963535143201</v>
      </c>
      <c r="N10" s="22">
        <f t="shared" si="30"/>
        <v>1.8041066317166927</v>
      </c>
      <c r="O10" s="22">
        <f t="shared" si="30"/>
        <v>2.1793145836307204</v>
      </c>
      <c r="P10" s="22">
        <f t="shared" si="30"/>
        <v>2.0247846547797939</v>
      </c>
      <c r="Q10" s="22">
        <f t="shared" si="30"/>
        <v>2.1059687079064844</v>
      </c>
      <c r="R10" s="22">
        <f t="shared" si="30"/>
        <v>2.2404774920958079</v>
      </c>
      <c r="S10" s="22">
        <f t="shared" si="30"/>
        <v>2.8553134115300303</v>
      </c>
      <c r="T10" s="22">
        <f t="shared" si="30"/>
        <v>1.0853495955031616</v>
      </c>
      <c r="U10" s="22">
        <f t="shared" si="30"/>
        <v>0.86329570322377458</v>
      </c>
      <c r="V10" s="22">
        <f t="shared" si="30"/>
        <v>0.8301616098857505</v>
      </c>
      <c r="W10" s="22">
        <f t="shared" ref="W10" si="31">SUM(W11:W13)</f>
        <v>1.0587837681746588</v>
      </c>
      <c r="DA10" s="193" t="s">
        <v>283</v>
      </c>
    </row>
    <row r="11" spans="1:105" ht="11.45" customHeight="1" x14ac:dyDescent="0.25">
      <c r="A11" s="92" t="s">
        <v>27</v>
      </c>
      <c r="B11" s="97">
        <v>7.4732680058386736E-2</v>
      </c>
      <c r="C11" s="97">
        <v>6.3925339423252167E-2</v>
      </c>
      <c r="D11" s="97">
        <v>5.6743011000139197E-2</v>
      </c>
      <c r="E11" s="97">
        <v>5.5073017020616767E-2</v>
      </c>
      <c r="F11" s="97">
        <v>6.3013688151242406E-2</v>
      </c>
      <c r="G11" s="97">
        <v>2.5167341391084831E-2</v>
      </c>
      <c r="H11" s="97">
        <v>1.0735273856263014E-2</v>
      </c>
      <c r="I11" s="97">
        <v>0.37451297056002664</v>
      </c>
      <c r="J11" s="97">
        <v>0.20505282535122701</v>
      </c>
      <c r="K11" s="97">
        <v>0.14859045868641249</v>
      </c>
      <c r="L11" s="97">
        <v>0.13006791362329062</v>
      </c>
      <c r="M11" s="97">
        <v>6.1059886939551389E-2</v>
      </c>
      <c r="N11" s="97">
        <v>2.2701023403387588E-2</v>
      </c>
      <c r="O11" s="97">
        <v>1.8972446833940997E-2</v>
      </c>
      <c r="P11" s="97">
        <v>6.699907173126963E-3</v>
      </c>
      <c r="Q11" s="97">
        <v>6.134662048001057E-3</v>
      </c>
      <c r="R11" s="97">
        <v>7.8406333331302487E-3</v>
      </c>
      <c r="S11" s="97">
        <v>4.091626232197175E-2</v>
      </c>
      <c r="T11" s="97">
        <v>7.7731639817798667E-2</v>
      </c>
      <c r="U11" s="97">
        <v>0.1398332275732766</v>
      </c>
      <c r="V11" s="97">
        <v>0.24846502501795631</v>
      </c>
      <c r="W11" s="97">
        <v>0.35251684812461492</v>
      </c>
      <c r="DA11" s="175" t="s">
        <v>284</v>
      </c>
    </row>
    <row r="12" spans="1:105" ht="11.45" customHeight="1" x14ac:dyDescent="0.25">
      <c r="A12" s="92" t="s">
        <v>173</v>
      </c>
      <c r="B12" s="97">
        <v>1.5612457491609431</v>
      </c>
      <c r="C12" s="97">
        <v>1.3060333604259189</v>
      </c>
      <c r="D12" s="97">
        <v>1.2070287656296463</v>
      </c>
      <c r="E12" s="97">
        <v>1.1655459096673568</v>
      </c>
      <c r="F12" s="97">
        <v>1.3377683369066717</v>
      </c>
      <c r="G12" s="97">
        <v>0.94256289738893928</v>
      </c>
      <c r="H12" s="97">
        <v>1.0333587105143305</v>
      </c>
      <c r="I12" s="97">
        <v>0.61390812887553481</v>
      </c>
      <c r="J12" s="97">
        <v>0.88782717273749523</v>
      </c>
      <c r="K12" s="97">
        <v>1.1366866205965962</v>
      </c>
      <c r="L12" s="97">
        <v>1.3407658735936072</v>
      </c>
      <c r="M12" s="97">
        <v>1.3107888056298218</v>
      </c>
      <c r="N12" s="97">
        <v>1.1530462735109324</v>
      </c>
      <c r="O12" s="97">
        <v>1.4781295843070201</v>
      </c>
      <c r="P12" s="97">
        <v>1.7091380747274858</v>
      </c>
      <c r="Q12" s="97">
        <v>1.8816518670351885</v>
      </c>
      <c r="R12" s="97">
        <v>2.0832934409906363</v>
      </c>
      <c r="S12" s="97">
        <v>2.686946567252916</v>
      </c>
      <c r="T12" s="97">
        <v>0.97462726202674999</v>
      </c>
      <c r="U12" s="97">
        <v>0.67324407579979817</v>
      </c>
      <c r="V12" s="97">
        <v>0.51243694024780762</v>
      </c>
      <c r="W12" s="97">
        <v>0.6573152011348945</v>
      </c>
      <c r="DA12" s="175" t="s">
        <v>285</v>
      </c>
    </row>
    <row r="13" spans="1:105" ht="11.45" customHeight="1" x14ac:dyDescent="0.25">
      <c r="A13" s="85" t="s">
        <v>174</v>
      </c>
      <c r="B13" s="98">
        <v>0.38991021453142277</v>
      </c>
      <c r="C13" s="98">
        <v>0.37909503401652256</v>
      </c>
      <c r="D13" s="98">
        <v>0.38842591899186973</v>
      </c>
      <c r="E13" s="98">
        <v>0.42041854466001582</v>
      </c>
      <c r="F13" s="98">
        <v>0.40953209971958615</v>
      </c>
      <c r="G13" s="98">
        <v>0.14956998446295147</v>
      </c>
      <c r="H13" s="98">
        <v>0.16783345770383915</v>
      </c>
      <c r="I13" s="98">
        <v>0.15507241044093814</v>
      </c>
      <c r="J13" s="98">
        <v>0.21035822331959145</v>
      </c>
      <c r="K13" s="98">
        <v>0.18343686684499705</v>
      </c>
      <c r="L13" s="98">
        <v>0.24571282465205455</v>
      </c>
      <c r="M13" s="98">
        <v>0.38694766094494693</v>
      </c>
      <c r="N13" s="98">
        <v>0.62835933480237294</v>
      </c>
      <c r="O13" s="98">
        <v>0.68221255248975943</v>
      </c>
      <c r="P13" s="98">
        <v>0.30894667287918087</v>
      </c>
      <c r="Q13" s="98">
        <v>0.21818217882329494</v>
      </c>
      <c r="R13" s="98">
        <v>0.14934341777204119</v>
      </c>
      <c r="S13" s="98">
        <v>0.1274505819551425</v>
      </c>
      <c r="T13" s="98">
        <v>3.2990693658612791E-2</v>
      </c>
      <c r="U13" s="98">
        <v>5.0218399850699855E-2</v>
      </c>
      <c r="V13" s="98">
        <v>6.9259644619986557E-2</v>
      </c>
      <c r="W13" s="98">
        <v>4.8951718915149336E-2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473.59571280270671</v>
      </c>
      <c r="C17" s="62">
        <f>IF(C3=0,0,C3/TrAvia_act!C13*100)</f>
        <v>472.51634262041654</v>
      </c>
      <c r="D17" s="62">
        <f>IF(D3=0,0,D3/TrAvia_act!D13*100)</f>
        <v>471.16048700566262</v>
      </c>
      <c r="E17" s="62">
        <f>IF(E3=0,0,E3/TrAvia_act!E13*100)</f>
        <v>471.68000393217352</v>
      </c>
      <c r="F17" s="62">
        <f>IF(F3=0,0,F3/TrAvia_act!F13*100)</f>
        <v>473.97159991338469</v>
      </c>
      <c r="G17" s="62">
        <f>IF(G3=0,0,G3/TrAvia_act!G13*100)</f>
        <v>334.6309957574116</v>
      </c>
      <c r="H17" s="62">
        <f>IF(H3=0,0,H3/TrAvia_act!H13*100)</f>
        <v>330.10019879848193</v>
      </c>
      <c r="I17" s="62">
        <f>IF(I3=0,0,I3/TrAvia_act!I13*100)</f>
        <v>337.94092896798213</v>
      </c>
      <c r="J17" s="62">
        <f>IF(J3=0,0,J3/TrAvia_act!J13*100)</f>
        <v>307.88612576763722</v>
      </c>
      <c r="K17" s="62">
        <f>IF(K3=0,0,K3/TrAvia_act!K13*100)</f>
        <v>326.61626077790316</v>
      </c>
      <c r="L17" s="62">
        <f>IF(L3=0,0,L3/TrAvia_act!L13*100)</f>
        <v>374.74784687847887</v>
      </c>
      <c r="M17" s="62">
        <f>IF(M3=0,0,M3/TrAvia_act!M13*100)</f>
        <v>304.31125804646911</v>
      </c>
      <c r="N17" s="62">
        <f>IF(N3=0,0,N3/TrAvia_act!N13*100)</f>
        <v>249.58028886097674</v>
      </c>
      <c r="O17" s="62">
        <f>IF(O3=0,0,O3/TrAvia_act!O13*100)</f>
        <v>302.40017115038165</v>
      </c>
      <c r="P17" s="62">
        <f>IF(P3=0,0,P3/TrAvia_act!P13*100)</f>
        <v>310.46067289525172</v>
      </c>
      <c r="Q17" s="62">
        <f>IF(Q3=0,0,Q3/TrAvia_act!Q13*100)</f>
        <v>331.9636579962991</v>
      </c>
      <c r="R17" s="62">
        <f>IF(R3=0,0,R3/TrAvia_act!R13*100)</f>
        <v>334.80392841167628</v>
      </c>
      <c r="S17" s="62">
        <f>IF(S3=0,0,S3/TrAvia_act!S13*100)</f>
        <v>360.93801661566374</v>
      </c>
      <c r="T17" s="62">
        <f>IF(T3=0,0,T3/TrAvia_act!T13*100)</f>
        <v>166.15953090523834</v>
      </c>
      <c r="U17" s="62">
        <f>IF(U3=0,0,U3/TrAvia_act!U13*100)</f>
        <v>178.7754045979114</v>
      </c>
      <c r="V17" s="62">
        <f>IF(V3=0,0,V3/TrAvia_act!V13*100)</f>
        <v>178.53743562412353</v>
      </c>
      <c r="W17" s="62">
        <f>IF(W3=0,0,W3/TrAvia_act!W13*100)</f>
        <v>175.92807574193526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472.3134621514572</v>
      </c>
      <c r="C18" s="14">
        <f>IF(C6=0,0,C6/TrAvia_act!C14*100)</f>
        <v>471.28133448753442</v>
      </c>
      <c r="D18" s="14">
        <f>IF(D6=0,0,D6/TrAvia_act!D14*100)</f>
        <v>469.81939753649311</v>
      </c>
      <c r="E18" s="14">
        <f>IF(E6=0,0,E6/TrAvia_act!E14*100)</f>
        <v>470.6115306356283</v>
      </c>
      <c r="F18" s="14">
        <f>IF(F6=0,0,F6/TrAvia_act!F14*100)</f>
        <v>473.00860731019094</v>
      </c>
      <c r="G18" s="14">
        <f>IF(G6=0,0,G6/TrAvia_act!G14*100)</f>
        <v>334.02461580714595</v>
      </c>
      <c r="H18" s="14">
        <f>IF(H6=0,0,H6/TrAvia_act!H14*100)</f>
        <v>329.4958697750306</v>
      </c>
      <c r="I18" s="14">
        <f>IF(I6=0,0,I6/TrAvia_act!I14*100)</f>
        <v>337.73334975414315</v>
      </c>
      <c r="J18" s="14">
        <f>IF(J6=0,0,J6/TrAvia_act!J14*100)</f>
        <v>308.04861824125391</v>
      </c>
      <c r="K18" s="14">
        <f>IF(K6=0,0,K6/TrAvia_act!K14*100)</f>
        <v>326.90831318648134</v>
      </c>
      <c r="L18" s="14">
        <f>IF(L6=0,0,L6/TrAvia_act!L14*100)</f>
        <v>375.32301473901015</v>
      </c>
      <c r="M18" s="14">
        <f>IF(M6=0,0,M6/TrAvia_act!M14*100)</f>
        <v>304.59676457295706</v>
      </c>
      <c r="N18" s="14">
        <f>IF(N6=0,0,N6/TrAvia_act!N14*100)</f>
        <v>249.66542577199192</v>
      </c>
      <c r="O18" s="14">
        <f>IF(O6=0,0,O6/TrAvia_act!O14*100)</f>
        <v>302.74453651365889</v>
      </c>
      <c r="P18" s="14">
        <f>IF(P6=0,0,P6/TrAvia_act!P14*100)</f>
        <v>310.60975375271096</v>
      </c>
      <c r="Q18" s="14">
        <f>IF(Q6=0,0,Q6/TrAvia_act!Q14*100)</f>
        <v>332.44439158669718</v>
      </c>
      <c r="R18" s="14">
        <f>IF(R6=0,0,R6/TrAvia_act!R14*100)</f>
        <v>335.18812273236989</v>
      </c>
      <c r="S18" s="14">
        <f>IF(S6=0,0,S6/TrAvia_act!S14*100)</f>
        <v>361.30049520255682</v>
      </c>
      <c r="T18" s="14">
        <f>IF(T6=0,0,T6/TrAvia_act!T14*100)</f>
        <v>166.48866164387445</v>
      </c>
      <c r="U18" s="14">
        <f>IF(U6=0,0,U6/TrAvia_act!U14*100)</f>
        <v>178.98643150340052</v>
      </c>
      <c r="V18" s="14">
        <f>IF(V6=0,0,V6/TrAvia_act!V14*100)</f>
        <v>179.02416371962897</v>
      </c>
      <c r="W18" s="14">
        <f>IF(W6=0,0,W6/TrAvia_act!W14*100)</f>
        <v>176.0472327491986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508.57877262053444</v>
      </c>
      <c r="C19" s="87">
        <f>IF(C7=0,0,C7/TrAvia_act!C15*100)</f>
        <v>503.72069596117279</v>
      </c>
      <c r="D19" s="87">
        <f>IF(D7=0,0,D7/TrAvia_act!D15*100)</f>
        <v>499.72814402682195</v>
      </c>
      <c r="E19" s="87">
        <f>IF(E7=0,0,E7/TrAvia_act!E15*100)</f>
        <v>499.71832722484805</v>
      </c>
      <c r="F19" s="87">
        <f>IF(F7=0,0,F7/TrAvia_act!F15*100)</f>
        <v>509.95696052065529</v>
      </c>
      <c r="G19" s="87">
        <f>IF(G7=0,0,G7/TrAvia_act!G15*100)</f>
        <v>403.37994562239459</v>
      </c>
      <c r="H19" s="87">
        <f>IF(H7=0,0,H7/TrAvia_act!H15*100)</f>
        <v>68.444964007130864</v>
      </c>
      <c r="I19" s="87">
        <f>IF(I7=0,0,I7/TrAvia_act!I15*100)</f>
        <v>2335.026722746924</v>
      </c>
      <c r="J19" s="87">
        <f>IF(J7=0,0,J7/TrAvia_act!J15*100)</f>
        <v>1959.7111583504943</v>
      </c>
      <c r="K19" s="87">
        <f>IF(K7=0,0,K7/TrAvia_act!K15*100)</f>
        <v>1877.8297495582012</v>
      </c>
      <c r="L19" s="87">
        <f>IF(L7=0,0,L7/TrAvia_act!L15*100)</f>
        <v>2090.6063229971423</v>
      </c>
      <c r="M19" s="87">
        <f>IF(M7=0,0,M7/TrAvia_act!M15*100)</f>
        <v>1599.2657536857389</v>
      </c>
      <c r="N19" s="87">
        <f>IF(N7=0,0,N7/TrAvia_act!N15*100)</f>
        <v>872.28057697976305</v>
      </c>
      <c r="O19" s="87">
        <f>IF(O7=0,0,O7/TrAvia_act!O15*100)</f>
        <v>1064.5746602534034</v>
      </c>
      <c r="P19" s="87">
        <f>IF(P7=0,0,P7/TrAvia_act!P15*100)</f>
        <v>620.74135778180062</v>
      </c>
      <c r="Q19" s="87">
        <f>IF(Q7=0,0,Q7/TrAvia_act!Q15*100)</f>
        <v>846.29408127508793</v>
      </c>
      <c r="R19" s="87">
        <f>IF(R7=0,0,R7/TrAvia_act!R15*100)</f>
        <v>534.92023197780372</v>
      </c>
      <c r="S19" s="87">
        <f>IF(S7=0,0,S7/TrAvia_act!S15*100)</f>
        <v>784.93524369143836</v>
      </c>
      <c r="T19" s="87">
        <f>IF(T7=0,0,T7/TrAvia_act!T15*100)</f>
        <v>862.09634236761121</v>
      </c>
      <c r="U19" s="87">
        <f>IF(U7=0,0,U7/TrAvia_act!U15*100)</f>
        <v>1032.9697604881276</v>
      </c>
      <c r="V19" s="87">
        <f>IF(V7=0,0,V7/TrAvia_act!V15*100)</f>
        <v>1424.5983295430851</v>
      </c>
      <c r="W19" s="87">
        <f>IF(W7=0,0,W7/TrAvia_act!W15*100)</f>
        <v>1428.4818110942565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491.75635381711561</v>
      </c>
      <c r="C20" s="87">
        <f>IF(C8=0,0,C8/TrAvia_act!C16*100)</f>
        <v>491.56664423341914</v>
      </c>
      <c r="D20" s="87">
        <f>IF(D8=0,0,D8/TrAvia_act!D16*100)</f>
        <v>490.32502836998117</v>
      </c>
      <c r="E20" s="87">
        <f>IF(E8=0,0,E8/TrAvia_act!E16*100)</f>
        <v>491.35153679205416</v>
      </c>
      <c r="F20" s="87">
        <f>IF(F8=0,0,F8/TrAvia_act!F16*100)</f>
        <v>491.22942149846619</v>
      </c>
      <c r="G20" s="87">
        <f>IF(G8=0,0,G8/TrAvia_act!G16*100)</f>
        <v>333.06054225417756</v>
      </c>
      <c r="H20" s="87">
        <f>IF(H8=0,0,H8/TrAvia_act!H16*100)</f>
        <v>353.7584677246702</v>
      </c>
      <c r="I20" s="87">
        <f>IF(I8=0,0,I8/TrAvia_act!I16*100)</f>
        <v>222.29757308170517</v>
      </c>
      <c r="J20" s="87">
        <f>IF(J8=0,0,J8/TrAvia_act!J16*100)</f>
        <v>212.98338029546855</v>
      </c>
      <c r="K20" s="87">
        <f>IF(K8=0,0,K8/TrAvia_act!K16*100)</f>
        <v>224.49876165689071</v>
      </c>
      <c r="L20" s="87">
        <f>IF(L8=0,0,L8/TrAvia_act!L16*100)</f>
        <v>243.84234781802644</v>
      </c>
      <c r="M20" s="87">
        <f>IF(M8=0,0,M8/TrAvia_act!M16*100)</f>
        <v>207.59150110985618</v>
      </c>
      <c r="N20" s="87">
        <f>IF(N8=0,0,N8/TrAvia_act!N16*100)</f>
        <v>208.81003518698256</v>
      </c>
      <c r="O20" s="87">
        <f>IF(O8=0,0,O8/TrAvia_act!O16*100)</f>
        <v>256.02513701514084</v>
      </c>
      <c r="P20" s="87">
        <f>IF(P8=0,0,P8/TrAvia_act!P16*100)</f>
        <v>305.85852747052041</v>
      </c>
      <c r="Q20" s="87">
        <f>IF(Q8=0,0,Q8/TrAvia_act!Q16*100)</f>
        <v>320.53379757554916</v>
      </c>
      <c r="R20" s="87">
        <f>IF(R8=0,0,R8/TrAvia_act!R16*100)</f>
        <v>343.82238048418554</v>
      </c>
      <c r="S20" s="87">
        <f>IF(S8=0,0,S8/TrAvia_act!S16*100)</f>
        <v>359.91547324318708</v>
      </c>
      <c r="T20" s="87">
        <f>IF(T8=0,0,T8/TrAvia_act!T16*100)</f>
        <v>138.99933983646085</v>
      </c>
      <c r="U20" s="87">
        <f>IF(U8=0,0,U8/TrAvia_act!U16*100)</f>
        <v>149.3602389452991</v>
      </c>
      <c r="V20" s="87">
        <f>IF(V8=0,0,V8/TrAvia_act!V16*100)</f>
        <v>106.69553762167357</v>
      </c>
      <c r="W20" s="87">
        <f>IF(W8=0,0,W8/TrAvia_act!W16*100)</f>
        <v>129.572876309441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386.99570462173631</v>
      </c>
      <c r="C21" s="87">
        <f>IF(C9=0,0,C9/TrAvia_act!C17*100)</f>
        <v>386.71307027075682</v>
      </c>
      <c r="D21" s="87">
        <f>IF(D9=0,0,D9/TrAvia_act!D17*100)</f>
        <v>385.5225039288884</v>
      </c>
      <c r="E21" s="87">
        <f>IF(E9=0,0,E9/TrAvia_act!E17*100)</f>
        <v>385.98029109881941</v>
      </c>
      <c r="F21" s="87">
        <f>IF(F9=0,0,F9/TrAvia_act!F17*100)</f>
        <v>385.62625713957539</v>
      </c>
      <c r="G21" s="87">
        <f>IF(G9=0,0,G9/TrAvia_act!G17*100)</f>
        <v>308.25968934674233</v>
      </c>
      <c r="H21" s="87">
        <f>IF(H9=0,0,H9/TrAvia_act!H17*100)</f>
        <v>318.72794943578361</v>
      </c>
      <c r="I21" s="87">
        <f>IF(I9=0,0,I9/TrAvia_act!I17*100)</f>
        <v>175.91246313025749</v>
      </c>
      <c r="J21" s="87">
        <f>IF(J9=0,0,J9/TrAvia_act!J17*100)</f>
        <v>162.92323986835211</v>
      </c>
      <c r="K21" s="87">
        <f>IF(K9=0,0,K9/TrAvia_act!K17*100)</f>
        <v>203.68944648786393</v>
      </c>
      <c r="L21" s="87">
        <f>IF(L9=0,0,L9/TrAvia_act!L17*100)</f>
        <v>228.52081708855914</v>
      </c>
      <c r="M21" s="87">
        <f>IF(M9=0,0,M9/TrAvia_act!M17*100)</f>
        <v>216.66171455856059</v>
      </c>
      <c r="N21" s="87">
        <f>IF(N9=0,0,N9/TrAvia_act!N17*100)</f>
        <v>183.76817589696617</v>
      </c>
      <c r="O21" s="87">
        <f>IF(O9=0,0,O9/TrAvia_act!O17*100)</f>
        <v>232.39414448138515</v>
      </c>
      <c r="P21" s="87">
        <f>IF(P9=0,0,P9/TrAvia_act!P17*100)</f>
        <v>231.58038064723564</v>
      </c>
      <c r="Q21" s="87">
        <f>IF(Q9=0,0,Q9/TrAvia_act!Q17*100)</f>
        <v>236.07324573119291</v>
      </c>
      <c r="R21" s="87">
        <f>IF(R9=0,0,R9/TrAvia_act!R17*100)</f>
        <v>217.23515190362454</v>
      </c>
      <c r="S21" s="87">
        <f>IF(S9=0,0,S9/TrAvia_act!S17*100)</f>
        <v>202.20449830696978</v>
      </c>
      <c r="T21" s="87">
        <f>IF(T9=0,0,T9/TrAvia_act!T17*100)</f>
        <v>65.826020565398821</v>
      </c>
      <c r="U21" s="87">
        <f>IF(U9=0,0,U9/TrAvia_act!U17*100)</f>
        <v>63.775283264180672</v>
      </c>
      <c r="V21" s="87">
        <f>IF(V9=0,0,V9/TrAvia_act!V17*100)</f>
        <v>90.228553415627573</v>
      </c>
      <c r="W21" s="87">
        <f>IF(W9=0,0,W9/TrAvia_act!W17*100)</f>
        <v>68.587803143217343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577.13915073908368</v>
      </c>
      <c r="C22" s="15">
        <f>IF(C10=0,0,C10/TrAvia_act!C18*100)</f>
        <v>573.25410362372907</v>
      </c>
      <c r="D22" s="15">
        <f>IF(D10=0,0,D10/TrAvia_act!D18*100)</f>
        <v>568.93945018057843</v>
      </c>
      <c r="E22" s="15">
        <f>IF(E10=0,0,E10/TrAvia_act!E18*100)</f>
        <v>566.09688413017068</v>
      </c>
      <c r="F22" s="15">
        <f>IF(F10=0,0,F10/TrAvia_act!F18*100)</f>
        <v>570.68931678869865</v>
      </c>
      <c r="G22" s="15">
        <f>IF(G10=0,0,G10/TrAvia_act!G18*100)</f>
        <v>429.88157445924651</v>
      </c>
      <c r="H22" s="15">
        <f>IF(H10=0,0,H10/TrAvia_act!H18*100)</f>
        <v>432.00271033845138</v>
      </c>
      <c r="I22" s="15">
        <f>IF(I10=0,0,I10/TrAvia_act!I18*100)</f>
        <v>380.04884678469534</v>
      </c>
      <c r="J22" s="15">
        <f>IF(J10=0,0,J10/TrAvia_act!J18*100)</f>
        <v>283.30549497738582</v>
      </c>
      <c r="K22" s="15">
        <f>IF(K10=0,0,K10/TrAvia_act!K18*100)</f>
        <v>286.11351277445544</v>
      </c>
      <c r="L22" s="15">
        <f>IF(L10=0,0,L10/TrAvia_act!L18*100)</f>
        <v>300.71462590310176</v>
      </c>
      <c r="M22" s="15">
        <f>IF(M10=0,0,M10/TrAvia_act!M18*100)</f>
        <v>271.74345848606481</v>
      </c>
      <c r="N22" s="15">
        <f>IF(N10=0,0,N10/TrAvia_act!N18*100)</f>
        <v>241.73258428760241</v>
      </c>
      <c r="O22" s="15">
        <f>IF(O10=0,0,O10/TrAvia_act!O18*100)</f>
        <v>272.67745272004174</v>
      </c>
      <c r="P22" s="15">
        <f>IF(P10=0,0,P10/TrAvia_act!P18*100)</f>
        <v>294.47886623047964</v>
      </c>
      <c r="Q22" s="15">
        <f>IF(Q10=0,0,Q10/TrAvia_act!Q18*100)</f>
        <v>280.06185490612035</v>
      </c>
      <c r="R22" s="15">
        <f>IF(R10=0,0,R10/TrAvia_act!R18*100)</f>
        <v>288.17095390059291</v>
      </c>
      <c r="S22" s="15">
        <f>IF(S10=0,0,S10/TrAvia_act!S18*100)</f>
        <v>318.18678078219153</v>
      </c>
      <c r="T22" s="15">
        <f>IF(T10=0,0,T10/TrAvia_act!T18*100)</f>
        <v>123.13784266644771</v>
      </c>
      <c r="U22" s="15">
        <f>IF(U10=0,0,U10/TrAvia_act!U18*100)</f>
        <v>137.9885885879992</v>
      </c>
      <c r="V22" s="15">
        <f>IF(V10=0,0,V10/TrAvia_act!V18*100)</f>
        <v>139.61197286806757</v>
      </c>
      <c r="W22" s="15">
        <f>IF(W10=0,0,W10/TrAvia_act!W18*100)</f>
        <v>162.62814713097478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553.69515183638964</v>
      </c>
      <c r="C23" s="101">
        <f>IF(C11=0,0,C11/TrAvia_act!C19*100)</f>
        <v>548.40611179313748</v>
      </c>
      <c r="D23" s="101">
        <f>IF(D11=0,0,D11/TrAvia_act!D19*100)</f>
        <v>544.05937777961503</v>
      </c>
      <c r="E23" s="101">
        <f>IF(E11=0,0,E11/TrAvia_act!E19*100)</f>
        <v>544.04869012226072</v>
      </c>
      <c r="F23" s="101">
        <f>IF(F11=0,0,F11/TrAvia_act!F19*100)</f>
        <v>555.1955997506517</v>
      </c>
      <c r="G23" s="101">
        <f>IF(G11=0,0,G11/TrAvia_act!G19*100)</f>
        <v>440.03163698900886</v>
      </c>
      <c r="H23" s="101">
        <f>IF(H11=0,0,H11/TrAvia_act!H19*100)</f>
        <v>81.170159173262533</v>
      </c>
      <c r="I23" s="101">
        <f>IF(I11=0,0,I11/TrAvia_act!I19*100)</f>
        <v>3018.6820517276155</v>
      </c>
      <c r="J23" s="101">
        <f>IF(J11=0,0,J11/TrAvia_act!J19*100)</f>
        <v>2756.4541095228624</v>
      </c>
      <c r="K23" s="101">
        <f>IF(K11=0,0,K11/TrAvia_act!K19*100)</f>
        <v>2902.1467021407861</v>
      </c>
      <c r="L23" s="101">
        <f>IF(L11=0,0,L11/TrAvia_act!L19*100)</f>
        <v>3625.0880082765107</v>
      </c>
      <c r="M23" s="101">
        <f>IF(M11=0,0,M11/TrAvia_act!M19*100)</f>
        <v>2261.1239743998071</v>
      </c>
      <c r="N23" s="101">
        <f>IF(N11=0,0,N11/TrAvia_act!N19*100)</f>
        <v>1058.0010907353892</v>
      </c>
      <c r="O23" s="101">
        <f>IF(O11=0,0,O11/TrAvia_act!O19*100)</f>
        <v>1272.6825734505435</v>
      </c>
      <c r="P23" s="101">
        <f>IF(P11=0,0,P11/TrAvia_act!P19*100)</f>
        <v>721.57571377957902</v>
      </c>
      <c r="Q23" s="101">
        <f>IF(Q11=0,0,Q11/TrAvia_act!Q19*100)</f>
        <v>958.18377793290881</v>
      </c>
      <c r="R23" s="101">
        <f>IF(R11=0,0,R11/TrAvia_act!R19*100)</f>
        <v>590.25384624497588</v>
      </c>
      <c r="S23" s="101">
        <f>IF(S11=0,0,S11/TrAvia_act!S19*100)</f>
        <v>844.78052222135545</v>
      </c>
      <c r="T23" s="101">
        <f>IF(T11=0,0,T11/TrAvia_act!T19*100)</f>
        <v>906.75578673430925</v>
      </c>
      <c r="U23" s="101">
        <f>IF(U11=0,0,U11/TrAvia_act!U19*100)</f>
        <v>1117.707274827321</v>
      </c>
      <c r="V23" s="101">
        <f>IF(V11=0,0,V11/TrAvia_act!V19*100)</f>
        <v>1547.3511939192824</v>
      </c>
      <c r="W23" s="101">
        <f>IF(W11=0,0,W11/TrAvia_act!W19*100)</f>
        <v>1554.3810423799109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610.78463115886768</v>
      </c>
      <c r="C24" s="101">
        <f>IF(C12=0,0,C12/TrAvia_act!C20*100)</f>
        <v>610.99659462818545</v>
      </c>
      <c r="D24" s="101">
        <f>IF(D12=0,0,D12/TrAvia_act!D20*100)</f>
        <v>609.43302387447534</v>
      </c>
      <c r="E24" s="101">
        <f>IF(E12=0,0,E12/TrAvia_act!E20*100)</f>
        <v>609.56444393473612</v>
      </c>
      <c r="F24" s="101">
        <f>IF(F12=0,0,F12/TrAvia_act!F20*100)</f>
        <v>609.39088333089103</v>
      </c>
      <c r="G24" s="101">
        <f>IF(G12=0,0,G12/TrAvia_act!G20*100)</f>
        <v>441.31423518623671</v>
      </c>
      <c r="H24" s="101">
        <f>IF(H12=0,0,H12/TrAvia_act!H20*100)</f>
        <v>461.08106098832093</v>
      </c>
      <c r="I24" s="101">
        <f>IF(I12=0,0,I12/TrAvia_act!I20*100)</f>
        <v>276.54484766523319</v>
      </c>
      <c r="J24" s="101">
        <f>IF(J12=0,0,J12/TrAvia_act!J20*100)</f>
        <v>246.9051729937425</v>
      </c>
      <c r="K24" s="101">
        <f>IF(K12=0,0,K12/TrAvia_act!K20*100)</f>
        <v>256.1605286918068</v>
      </c>
      <c r="L24" s="101">
        <f>IF(L12=0,0,L12/TrAvia_act!L20*100)</f>
        <v>272.66336544144309</v>
      </c>
      <c r="M24" s="101">
        <f>IF(M12=0,0,M12/TrAvia_act!M20*100)</f>
        <v>251.86008922815475</v>
      </c>
      <c r="N24" s="101">
        <f>IF(N12=0,0,N12/TrAvia_act!N20*100)</f>
        <v>220.10929096418411</v>
      </c>
      <c r="O24" s="101">
        <f>IF(O12=0,0,O12/TrAvia_act!O20*100)</f>
        <v>262.80842934629516</v>
      </c>
      <c r="P24" s="101">
        <f>IF(P12=0,0,P12/TrAvia_act!P20*100)</f>
        <v>307.3285523232334</v>
      </c>
      <c r="Q24" s="101">
        <f>IF(Q12=0,0,Q12/TrAvia_act!Q20*100)</f>
        <v>293.39797735409053</v>
      </c>
      <c r="R24" s="101">
        <f>IF(R12=0,0,R12/TrAvia_act!R20*100)</f>
        <v>304.21550262546174</v>
      </c>
      <c r="S24" s="101">
        <f>IF(S12=0,0,S12/TrAvia_act!S20*100)</f>
        <v>330.82028815880795</v>
      </c>
      <c r="T24" s="101">
        <f>IF(T12=0,0,T12/TrAvia_act!T20*100)</f>
        <v>117.69900633546024</v>
      </c>
      <c r="U24" s="101">
        <f>IF(U12=0,0,U12/TrAvia_act!U20*100)</f>
        <v>123.71107981351477</v>
      </c>
      <c r="V24" s="101">
        <f>IF(V12=0,0,V12/TrAvia_act!V20*100)</f>
        <v>101.66790644829882</v>
      </c>
      <c r="W24" s="101">
        <f>IF(W12=0,0,W12/TrAvia_act!W20*100)</f>
        <v>116.67977744091849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476.00908339612477</v>
      </c>
      <c r="C25" s="88">
        <f>IF(C13=0,0,C13/TrAvia_act!C21*100)</f>
        <v>475.66143995528199</v>
      </c>
      <c r="D25" s="88">
        <f>IF(D13=0,0,D13/TrAvia_act!D21*100)</f>
        <v>474.19702992088889</v>
      </c>
      <c r="E25" s="88">
        <f>IF(E13=0,0,E13/TrAvia_act!E21*100)</f>
        <v>474.76011330539933</v>
      </c>
      <c r="F25" s="88">
        <f>IF(F13=0,0,F13/TrAvia_act!F21*100)</f>
        <v>474.32464754074556</v>
      </c>
      <c r="G25" s="88">
        <f>IF(G13=0,0,G13/TrAvia_act!G21*100)</f>
        <v>368.32179906415166</v>
      </c>
      <c r="H25" s="88">
        <f>IF(H13=0,0,H13/TrAvia_act!H21*100)</f>
        <v>388.54956672669203</v>
      </c>
      <c r="I25" s="88">
        <f>IF(I13=0,0,I13/TrAvia_act!I21*100)</f>
        <v>233.2550383195466</v>
      </c>
      <c r="J25" s="88">
        <f>IF(J13=0,0,J13/TrAvia_act!J21*100)</f>
        <v>226.21505561021991</v>
      </c>
      <c r="K25" s="88">
        <f>IF(K13=0,0,K13/TrAvia_act!K21*100)</f>
        <v>284.51898481803761</v>
      </c>
      <c r="L25" s="88">
        <f>IF(L13=0,0,L13/TrAvia_act!L21*100)</f>
        <v>325.42553932071399</v>
      </c>
      <c r="M25" s="88">
        <f>IF(M13=0,0,M13/TrAvia_act!M21*100)</f>
        <v>311.84560642847072</v>
      </c>
      <c r="N25" s="88">
        <f>IF(N13=0,0,N13/TrAvia_act!N21*100)</f>
        <v>285.19532902328444</v>
      </c>
      <c r="O25" s="88">
        <f>IF(O13=0,0,O13/TrAvia_act!O21*100)</f>
        <v>289.93169713470297</v>
      </c>
      <c r="P25" s="88">
        <f>IF(P13=0,0,P13/TrAvia_act!P21*100)</f>
        <v>236.69269905761601</v>
      </c>
      <c r="Q25" s="88">
        <f>IF(Q13=0,0,Q13/TrAvia_act!Q21*100)</f>
        <v>198.35747356212698</v>
      </c>
      <c r="R25" s="88">
        <f>IF(R13=0,0,R13/TrAvia_act!R21*100)</f>
        <v>163.49330975618309</v>
      </c>
      <c r="S25" s="88">
        <f>IF(S13=0,0,S13/TrAvia_act!S21*100)</f>
        <v>158.67952372003566</v>
      </c>
      <c r="T25" s="88">
        <f>IF(T13=0,0,T13/TrAvia_act!T21*100)</f>
        <v>73.688896744720282</v>
      </c>
      <c r="U25" s="88">
        <f>IF(U13=0,0,U13/TrAvia_act!U21*100)</f>
        <v>72.874459061021028</v>
      </c>
      <c r="V25" s="88">
        <f>IF(V13=0,0,V13/TrAvia_act!V21*100)</f>
        <v>92.924789853856325</v>
      </c>
      <c r="W25" s="88">
        <f>IF(W13=0,0,W13/TrAvia_act!W21*100)</f>
        <v>75.290429618148465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56.123539361109813</v>
      </c>
      <c r="C28" s="14">
        <f>IF(C6=0,0,C6/TrAvia_act!C4*1000)</f>
        <v>54.525860167496631</v>
      </c>
      <c r="D28" s="14">
        <f>IF(D6=0,0,D6/TrAvia_act!D4*1000)</f>
        <v>53.76743149512609</v>
      </c>
      <c r="E28" s="14">
        <f>IF(E6=0,0,E6/TrAvia_act!E4*1000)</f>
        <v>53.800383463341028</v>
      </c>
      <c r="F28" s="14">
        <f>IF(F6=0,0,F6/TrAvia_act!F4*1000)</f>
        <v>56.071309916793915</v>
      </c>
      <c r="G28" s="14">
        <f>IF(G6=0,0,G6/TrAvia_act!G4*1000)</f>
        <v>38.950757748187065</v>
      </c>
      <c r="H28" s="14">
        <f>IF(H6=0,0,H6/TrAvia_act!H4*1000)</f>
        <v>39.05326358555574</v>
      </c>
      <c r="I28" s="14">
        <f>IF(I6=0,0,I6/TrAvia_act!I4*1000)</f>
        <v>41.057937750087724</v>
      </c>
      <c r="J28" s="14">
        <f>IF(J6=0,0,J6/TrAvia_act!J4*1000)</f>
        <v>37.40017466434383</v>
      </c>
      <c r="K28" s="14">
        <f>IF(K6=0,0,K6/TrAvia_act!K4*1000)</f>
        <v>40.474371191761406</v>
      </c>
      <c r="L28" s="14">
        <f>IF(L6=0,0,L6/TrAvia_act!L4*1000)</f>
        <v>43.042762954485987</v>
      </c>
      <c r="M28" s="14">
        <f>IF(M6=0,0,M6/TrAvia_act!M4*1000)</f>
        <v>32.033199910776403</v>
      </c>
      <c r="N28" s="14">
        <f>IF(N6=0,0,N6/TrAvia_act!N4*1000)</f>
        <v>24.645288621186413</v>
      </c>
      <c r="O28" s="14">
        <f>IF(O6=0,0,O6/TrAvia_act!O4*1000)</f>
        <v>28.100584248242019</v>
      </c>
      <c r="P28" s="14">
        <f>IF(P6=0,0,P6/TrAvia_act!P4*1000)</f>
        <v>27.601441373557652</v>
      </c>
      <c r="Q28" s="14">
        <f>IF(Q6=0,0,Q6/TrAvia_act!Q4*1000)</f>
        <v>28.449205541064092</v>
      </c>
      <c r="R28" s="14">
        <f>IF(R6=0,0,R6/TrAvia_act!R4*1000)</f>
        <v>27.476188736322065</v>
      </c>
      <c r="S28" s="14">
        <f>IF(S6=0,0,S6/TrAvia_act!S4*1000)</f>
        <v>28.074978255671329</v>
      </c>
      <c r="T28" s="14">
        <f>IF(T6=0,0,T6/TrAvia_act!T4*1000)</f>
        <v>12.567130738326657</v>
      </c>
      <c r="U28" s="14">
        <f>IF(U6=0,0,U6/TrAvia_act!U4*1000)</f>
        <v>12.863101425705951</v>
      </c>
      <c r="V28" s="14">
        <f>IF(V6=0,0,V6/TrAvia_act!V4*1000)</f>
        <v>15.820971419919605</v>
      </c>
      <c r="W28" s="14">
        <f>IF(W6=0,0,W6/TrAvia_act!W4*1000)</f>
        <v>15.37375106723648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130.07090971274241</v>
      </c>
      <c r="C29" s="87">
        <f>IF(C7=0,0,C7/TrAvia_act!C5*1000)</f>
        <v>128.43893341292997</v>
      </c>
      <c r="D29" s="87">
        <f>IF(D7=0,0,D7/TrAvia_act!D5*1000)</f>
        <v>126.55344905305837</v>
      </c>
      <c r="E29" s="87">
        <f>IF(E7=0,0,E7/TrAvia_act!E5*1000)</f>
        <v>125.61893968281598</v>
      </c>
      <c r="F29" s="87">
        <f>IF(F7=0,0,F7/TrAvia_act!F5*1000)</f>
        <v>127.1727209221481</v>
      </c>
      <c r="G29" s="87">
        <f>IF(G7=0,0,G7/TrAvia_act!G5*1000)</f>
        <v>99.857566571014686</v>
      </c>
      <c r="H29" s="87">
        <f>IF(H7=0,0,H7/TrAvia_act!H5*1000)</f>
        <v>16.783461662092307</v>
      </c>
      <c r="I29" s="87">
        <f>IF(I7=0,0,I7/TrAvia_act!I5*1000)</f>
        <v>560.59862101284432</v>
      </c>
      <c r="J29" s="87">
        <f>IF(J7=0,0,J7/TrAvia_act!J5*1000)</f>
        <v>434.06866151209897</v>
      </c>
      <c r="K29" s="87">
        <f>IF(K7=0,0,K7/TrAvia_act!K5*1000)</f>
        <v>487.24626245147596</v>
      </c>
      <c r="L29" s="87">
        <f>IF(L7=0,0,L7/TrAvia_act!L5*1000)</f>
        <v>501.7629181154075</v>
      </c>
      <c r="M29" s="87">
        <f>IF(M7=0,0,M7/TrAvia_act!M5*1000)</f>
        <v>355.72504554726584</v>
      </c>
      <c r="N29" s="87">
        <f>IF(N7=0,0,N7/TrAvia_act!N5*1000)</f>
        <v>194.69165199853168</v>
      </c>
      <c r="O29" s="87">
        <f>IF(O7=0,0,O7/TrAvia_act!O5*1000)</f>
        <v>233.11707671405034</v>
      </c>
      <c r="P29" s="87">
        <f>IF(P7=0,0,P7/TrAvia_act!P5*1000)</f>
        <v>136.85963202061831</v>
      </c>
      <c r="Q29" s="87">
        <f>IF(Q7=0,0,Q7/TrAvia_act!Q5*1000)</f>
        <v>176.41034645510601</v>
      </c>
      <c r="R29" s="87">
        <f>IF(R7=0,0,R7/TrAvia_act!R5*1000)</f>
        <v>86.3643288516637</v>
      </c>
      <c r="S29" s="87">
        <f>IF(S7=0,0,S7/TrAvia_act!S5*1000)</f>
        <v>98.909138093086739</v>
      </c>
      <c r="T29" s="87">
        <f>IF(T7=0,0,T7/TrAvia_act!T5*1000)</f>
        <v>109.49981173436807</v>
      </c>
      <c r="U29" s="87">
        <f>IF(U7=0,0,U7/TrAvia_act!U5*1000)</f>
        <v>131.89761473611208</v>
      </c>
      <c r="V29" s="87">
        <f>IF(V7=0,0,V7/TrAvia_act!V5*1000)</f>
        <v>246.46476307515448</v>
      </c>
      <c r="W29" s="87">
        <f>IF(W7=0,0,W7/TrAvia_act!W5*1000)</f>
        <v>200.57670919820438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54.516150925247203</v>
      </c>
      <c r="C30" s="87">
        <f>IF(C8=0,0,C8/TrAvia_act!C6*1000)</f>
        <v>53.503310037770589</v>
      </c>
      <c r="D30" s="87">
        <f>IF(D8=0,0,D8/TrAvia_act!D6*1000)</f>
        <v>52.89325340070544</v>
      </c>
      <c r="E30" s="87">
        <f>IF(E8=0,0,E8/TrAvia_act!E6*1000)</f>
        <v>53.105248795711219</v>
      </c>
      <c r="F30" s="87">
        <f>IF(F8=0,0,F8/TrAvia_act!F6*1000)</f>
        <v>53.385900566130552</v>
      </c>
      <c r="G30" s="87">
        <f>IF(G8=0,0,G8/TrAvia_act!G6*1000)</f>
        <v>35.985694228022929</v>
      </c>
      <c r="H30" s="87">
        <f>IF(H8=0,0,H8/TrAvia_act!H6*1000)</f>
        <v>39.295163848570041</v>
      </c>
      <c r="I30" s="87">
        <f>IF(I8=0,0,I8/TrAvia_act!I6*1000)</f>
        <v>25.654285895606947</v>
      </c>
      <c r="J30" s="87">
        <f>IF(J8=0,0,J8/TrAvia_act!J6*1000)</f>
        <v>24.417675915516259</v>
      </c>
      <c r="K30" s="87">
        <f>IF(K8=0,0,K8/TrAvia_act!K6*1000)</f>
        <v>26.138307984913936</v>
      </c>
      <c r="L30" s="87">
        <f>IF(L8=0,0,L8/TrAvia_act!L6*1000)</f>
        <v>26.332378067623836</v>
      </c>
      <c r="M30" s="87">
        <f>IF(M8=0,0,M8/TrAvia_act!M6*1000)</f>
        <v>20.233444715185364</v>
      </c>
      <c r="N30" s="87">
        <f>IF(N8=0,0,N8/TrAvia_act!N6*1000)</f>
        <v>18.92250113530093</v>
      </c>
      <c r="O30" s="87">
        <f>IF(O8=0,0,O8/TrAvia_act!O6*1000)</f>
        <v>22.166035646028938</v>
      </c>
      <c r="P30" s="87">
        <f>IF(P8=0,0,P8/TrAvia_act!P6*1000)</f>
        <v>25.904488048673812</v>
      </c>
      <c r="Q30" s="87">
        <f>IF(Q8=0,0,Q8/TrAvia_act!Q6*1000)</f>
        <v>26.426787852192643</v>
      </c>
      <c r="R30" s="87">
        <f>IF(R8=0,0,R8/TrAvia_act!R6*1000)</f>
        <v>26.876686673828623</v>
      </c>
      <c r="S30" s="87">
        <f>IF(S8=0,0,S8/TrAvia_act!S6*1000)</f>
        <v>26.722525170153915</v>
      </c>
      <c r="T30" s="87">
        <f>IF(T8=0,0,T8/TrAvia_act!T6*1000)</f>
        <v>10.011775306147941</v>
      </c>
      <c r="U30" s="87">
        <f>IF(U8=0,0,U8/TrAvia_act!U6*1000)</f>
        <v>10.300493711781185</v>
      </c>
      <c r="V30" s="87">
        <f>IF(V8=0,0,V8/TrAvia_act!V6*1000)</f>
        <v>8.9301787770096119</v>
      </c>
      <c r="W30" s="87">
        <f>IF(W8=0,0,W8/TrAvia_act!W6*1000)</f>
        <v>10.852363430429223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55.011119064845921</v>
      </c>
      <c r="C31" s="87">
        <f>IF(C9=0,0,C9/TrAvia_act!C7*1000)</f>
        <v>54.615767655946186</v>
      </c>
      <c r="D31" s="87">
        <f>IF(D9=0,0,D9/TrAvia_act!D7*1000)</f>
        <v>54.304080086307529</v>
      </c>
      <c r="E31" s="87">
        <f>IF(E9=0,0,E9/TrAvia_act!E7*1000)</f>
        <v>54.121636919212477</v>
      </c>
      <c r="F31" s="87">
        <f>IF(F9=0,0,F9/TrAvia_act!F7*1000)</f>
        <v>53.500742243641454</v>
      </c>
      <c r="G31" s="87">
        <f>IF(G9=0,0,G9/TrAvia_act!G7*1000)</f>
        <v>42.062759383083197</v>
      </c>
      <c r="H31" s="87">
        <f>IF(H9=0,0,H9/TrAvia_act!H7*1000)</f>
        <v>42.600196121035651</v>
      </c>
      <c r="I31" s="87">
        <f>IF(I9=0,0,I9/TrAvia_act!I7*1000)</f>
        <v>23.098639895387635</v>
      </c>
      <c r="J31" s="87">
        <f>IF(J9=0,0,J9/TrAvia_act!J7*1000)</f>
        <v>22.207597127103309</v>
      </c>
      <c r="K31" s="87">
        <f>IF(K9=0,0,K9/TrAvia_act!K7*1000)</f>
        <v>28.312719980651124</v>
      </c>
      <c r="L31" s="87">
        <f>IF(L9=0,0,L9/TrAvia_act!L7*1000)</f>
        <v>28.349465566927165</v>
      </c>
      <c r="M31" s="87">
        <f>IF(M9=0,0,M9/TrAvia_act!M7*1000)</f>
        <v>28.65878959863899</v>
      </c>
      <c r="N31" s="87">
        <f>IF(N9=0,0,N9/TrAvia_act!N7*1000)</f>
        <v>23.018246610811659</v>
      </c>
      <c r="O31" s="87">
        <f>IF(O9=0,0,O9/TrAvia_act!O7*1000)</f>
        <v>25.179414810542095</v>
      </c>
      <c r="P31" s="87">
        <f>IF(P9=0,0,P9/TrAvia_act!P7*1000)</f>
        <v>21.517707415895682</v>
      </c>
      <c r="Q31" s="87">
        <f>IF(Q9=0,0,Q9/TrAvia_act!Q7*1000)</f>
        <v>20.490745277670129</v>
      </c>
      <c r="R31" s="87">
        <f>IF(R9=0,0,R9/TrAvia_act!R7*1000)</f>
        <v>19.232764240443906</v>
      </c>
      <c r="S31" s="87">
        <f>IF(S9=0,0,S9/TrAvia_act!S7*1000)</f>
        <v>17.324834859455912</v>
      </c>
      <c r="T31" s="87">
        <f>IF(T9=0,0,T9/TrAvia_act!T7*1000)</f>
        <v>5.404653119010824</v>
      </c>
      <c r="U31" s="87">
        <f>IF(U9=0,0,U9/TrAvia_act!U7*1000)</f>
        <v>4.8266140682490128</v>
      </c>
      <c r="V31" s="87">
        <f>IF(V9=0,0,V9/TrAvia_act!V7*1000)</f>
        <v>9.0271650532373311</v>
      </c>
      <c r="W31" s="87">
        <f>IF(W9=0,0,W9/TrAvia_act!W7*1000)</f>
        <v>6.5357276480335162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168.86235379551138</v>
      </c>
      <c r="C32" s="15">
        <f>IF(C10=0,0,C10/TrAvia_act!C8*1000)</f>
        <v>152.59539564323717</v>
      </c>
      <c r="D32" s="15">
        <f>IF(D10=0,0,D10/TrAvia_act!D8*1000)</f>
        <v>155.69722589983201</v>
      </c>
      <c r="E32" s="15">
        <f>IF(E10=0,0,E10/TrAvia_act!E8*1000)</f>
        <v>157.47067124284254</v>
      </c>
      <c r="F32" s="15">
        <f>IF(F10=0,0,F10/TrAvia_act!F8*1000)</f>
        <v>176.10029677907565</v>
      </c>
      <c r="G32" s="15">
        <f>IF(G10=0,0,G10/TrAvia_act!G8*1000)</f>
        <v>159.39914205328225</v>
      </c>
      <c r="H32" s="15">
        <f>IF(H10=0,0,H10/TrAvia_act!H8*1000)</f>
        <v>174.20330462757113</v>
      </c>
      <c r="I32" s="15">
        <f>IF(I10=0,0,I10/TrAvia_act!I8*1000)</f>
        <v>141.85779789087704</v>
      </c>
      <c r="J32" s="15">
        <f>IF(J10=0,0,J10/TrAvia_act!J8*1000)</f>
        <v>110.06675913494198</v>
      </c>
      <c r="K32" s="15">
        <f>IF(K10=0,0,K10/TrAvia_act!K8*1000)</f>
        <v>118.7735144114168</v>
      </c>
      <c r="L32" s="15">
        <f>IF(L10=0,0,L10/TrAvia_act!L8*1000)</f>
        <v>122.00368100320965</v>
      </c>
      <c r="M32" s="15">
        <f>IF(M10=0,0,M10/TrAvia_act!M8*1000)</f>
        <v>95.096890436274961</v>
      </c>
      <c r="N32" s="15">
        <f>IF(N10=0,0,N10/TrAvia_act!N8*1000)</f>
        <v>65.566465949783804</v>
      </c>
      <c r="O32" s="15">
        <f>IF(O10=0,0,O10/TrAvia_act!O8*1000)</f>
        <v>73.490483087669688</v>
      </c>
      <c r="P32" s="15">
        <f>IF(P10=0,0,P10/TrAvia_act!P8*1000)</f>
        <v>81.174603993863755</v>
      </c>
      <c r="Q32" s="15">
        <f>IF(Q10=0,0,Q10/TrAvia_act!Q8*1000)</f>
        <v>85.074134061095691</v>
      </c>
      <c r="R32" s="15">
        <f>IF(R10=0,0,R10/TrAvia_act!R8*1000)</f>
        <v>84.433168594673745</v>
      </c>
      <c r="S32" s="15">
        <f>IF(S10=0,0,S10/TrAvia_act!S8*1000)</f>
        <v>105.52483120497975</v>
      </c>
      <c r="T32" s="15">
        <f>IF(T10=0,0,T10/TrAvia_act!T8*1000)</f>
        <v>44.069653225784904</v>
      </c>
      <c r="U32" s="15">
        <f>IF(U10=0,0,U10/TrAvia_act!U8*1000)</f>
        <v>40.915086192263551</v>
      </c>
      <c r="V32" s="15">
        <f>IF(V10=0,0,V10/TrAvia_act!V8*1000)</f>
        <v>54.476388981863053</v>
      </c>
      <c r="W32" s="15">
        <f>IF(W10=0,0,W10/TrAvia_act!W8*1000)</f>
        <v>69.617352799087243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544.63732286113532</v>
      </c>
      <c r="C33" s="101">
        <f>IF(C11=0,0,C11/TrAvia_act!C9*1000)</f>
        <v>543.57940883764365</v>
      </c>
      <c r="D33" s="101">
        <f>IF(D11=0,0,D11/TrAvia_act!D9*1000)</f>
        <v>524.41476174284389</v>
      </c>
      <c r="E33" s="101">
        <f>IF(E11=0,0,E11/TrAvia_act!E9*1000)</f>
        <v>493.00616102197085</v>
      </c>
      <c r="F33" s="101">
        <f>IF(F11=0,0,F11/TrAvia_act!F9*1000)</f>
        <v>534.27804284849162</v>
      </c>
      <c r="G33" s="101">
        <f>IF(G11=0,0,G11/TrAvia_act!G9*1000)</f>
        <v>432.69915074267738</v>
      </c>
      <c r="H33" s="101">
        <f>IF(H11=0,0,H11/TrAvia_act!H9*1000)</f>
        <v>82.979628409243205</v>
      </c>
      <c r="I33" s="101">
        <f>IF(I11=0,0,I11/TrAvia_act!I9*1000)</f>
        <v>3097.4760899281141</v>
      </c>
      <c r="J33" s="101">
        <f>IF(J11=0,0,J11/TrAvia_act!J9*1000)</f>
        <v>2939.8464107113923</v>
      </c>
      <c r="K33" s="101">
        <f>IF(K11=0,0,K11/TrAvia_act!K9*1000)</f>
        <v>3068.7223083584909</v>
      </c>
      <c r="L33" s="101">
        <f>IF(L11=0,0,L11/TrAvia_act!L9*1000)</f>
        <v>3583.867770460266</v>
      </c>
      <c r="M33" s="101">
        <f>IF(M11=0,0,M11/TrAvia_act!M9*1000)</f>
        <v>2060.3419728257177</v>
      </c>
      <c r="N33" s="101">
        <f>IF(N11=0,0,N11/TrAvia_act!N9*1000)</f>
        <v>959.37543340091031</v>
      </c>
      <c r="O33" s="101">
        <f>IF(O11=0,0,O11/TrAvia_act!O9*1000)</f>
        <v>1126.9251515911992</v>
      </c>
      <c r="P33" s="101">
        <f>IF(P11=0,0,P11/TrAvia_act!P9*1000)</f>
        <v>570.45434330704722</v>
      </c>
      <c r="Q33" s="101">
        <f>IF(Q11=0,0,Q11/TrAvia_act!Q9*1000)</f>
        <v>733.49393899409188</v>
      </c>
      <c r="R33" s="101">
        <f>IF(R11=0,0,R11/TrAvia_act!R9*1000)</f>
        <v>391.34830305658244</v>
      </c>
      <c r="S33" s="101">
        <f>IF(S11=0,0,S11/TrAvia_act!S9*1000)</f>
        <v>608.59036778610778</v>
      </c>
      <c r="T33" s="101">
        <f>IF(T11=0,0,T11/TrAvia_act!T9*1000)</f>
        <v>638.95229652470914</v>
      </c>
      <c r="U33" s="101">
        <f>IF(U11=0,0,U11/TrAvia_act!U9*1000)</f>
        <v>710.47773960256336</v>
      </c>
      <c r="V33" s="101">
        <f>IF(V11=0,0,V11/TrAvia_act!V9*1000)</f>
        <v>1081.4269800717277</v>
      </c>
      <c r="W33" s="101">
        <f>IF(W11=0,0,W11/TrAvia_act!W9*1000)</f>
        <v>1051.3254835733621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267.49496568720406</v>
      </c>
      <c r="C34" s="101">
        <f>IF(C12=0,0,C12/TrAvia_act!C10*1000)</f>
        <v>250.92265592435382</v>
      </c>
      <c r="D34" s="101">
        <f>IF(D12=0,0,D12/TrAvia_act!D10*1000)</f>
        <v>265.62824244904147</v>
      </c>
      <c r="E34" s="101">
        <f>IF(E12=0,0,E12/TrAvia_act!E10*1000)</f>
        <v>261.64378735130424</v>
      </c>
      <c r="F34" s="101">
        <f>IF(F12=0,0,F12/TrAvia_act!F10*1000)</f>
        <v>289.49767451870264</v>
      </c>
      <c r="G34" s="101">
        <f>IF(G12=0,0,G12/TrAvia_act!G10*1000)</f>
        <v>209.44196212997258</v>
      </c>
      <c r="H34" s="101">
        <f>IF(H12=0,0,H12/TrAvia_act!H10*1000)</f>
        <v>239.90226509845272</v>
      </c>
      <c r="I34" s="101">
        <f>IF(I12=0,0,I12/TrAvia_act!I10*1000)</f>
        <v>148.80146009331932</v>
      </c>
      <c r="J34" s="101">
        <f>IF(J12=0,0,J12/TrAvia_act!J10*1000)</f>
        <v>135.68686644623207</v>
      </c>
      <c r="K34" s="101">
        <f>IF(K12=0,0,K12/TrAvia_act!K10*1000)</f>
        <v>138.11818553624664</v>
      </c>
      <c r="L34" s="101">
        <f>IF(L12=0,0,L12/TrAvia_act!L10*1000)</f>
        <v>146.26411234359398</v>
      </c>
      <c r="M34" s="101">
        <f>IF(M12=0,0,M12/TrAvia_act!M10*1000)</f>
        <v>130.54166607666292</v>
      </c>
      <c r="N34" s="101">
        <f>IF(N12=0,0,N12/TrAvia_act!N10*1000)</f>
        <v>104.03822183279797</v>
      </c>
      <c r="O34" s="101">
        <f>IF(O12=0,0,O12/TrAvia_act!O10*1000)</f>
        <v>125.77287431827011</v>
      </c>
      <c r="P34" s="101">
        <f>IF(P12=0,0,P12/TrAvia_act!P10*1000)</f>
        <v>128.43192169043155</v>
      </c>
      <c r="Q34" s="101">
        <f>IF(Q12=0,0,Q12/TrAvia_act!Q10*1000)</f>
        <v>122.97781819036292</v>
      </c>
      <c r="R34" s="101">
        <f>IF(R12=0,0,R12/TrAvia_act!R10*1000)</f>
        <v>117.0518214673416</v>
      </c>
      <c r="S34" s="101">
        <f>IF(S12=0,0,S12/TrAvia_act!S10*1000)</f>
        <v>139.03703971961775</v>
      </c>
      <c r="T34" s="101">
        <f>IF(T12=0,0,T12/TrAvia_act!T10*1000)</f>
        <v>48.083746469711123</v>
      </c>
      <c r="U34" s="101">
        <f>IF(U12=0,0,U12/TrAvia_act!U10*1000)</f>
        <v>48.205114788942474</v>
      </c>
      <c r="V34" s="101">
        <f>IF(V12=0,0,V12/TrAvia_act!V10*1000)</f>
        <v>48.076985780903392</v>
      </c>
      <c r="W34" s="101">
        <f>IF(W12=0,0,W12/TrAvia_act!W10*1000)</f>
        <v>59.146512984872949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64.731286947216432</v>
      </c>
      <c r="C35" s="88">
        <f>IF(C13=0,0,C13/TrAvia_act!C11*1000)</f>
        <v>61.746789611287774</v>
      </c>
      <c r="D35" s="88">
        <f>IF(D13=0,0,D13/TrAvia_act!D11*1000)</f>
        <v>65.179230075315218</v>
      </c>
      <c r="E35" s="88">
        <f>IF(E13=0,0,E13/TrAvia_act!E11*1000)</f>
        <v>71.807346190567785</v>
      </c>
      <c r="F35" s="88">
        <f>IF(F13=0,0,F13/TrAvia_act!F11*1000)</f>
        <v>73.908391643936525</v>
      </c>
      <c r="G35" s="88">
        <f>IF(G13=0,0,G13/TrAvia_act!G11*1000)</f>
        <v>61.025754311207422</v>
      </c>
      <c r="H35" s="88">
        <f>IF(H13=0,0,H13/TrAvia_act!H11*1000)</f>
        <v>66.595721306164535</v>
      </c>
      <c r="I35" s="88">
        <f>IF(I13=0,0,I13/TrAvia_act!I11*1000)</f>
        <v>40.656087481357666</v>
      </c>
      <c r="J35" s="88">
        <f>IF(J13=0,0,J13/TrAvia_act!J11*1000)</f>
        <v>40.240860023657802</v>
      </c>
      <c r="K35" s="88">
        <f>IF(K13=0,0,K13/TrAvia_act!K11*1000)</f>
        <v>44.878218494927218</v>
      </c>
      <c r="L35" s="88">
        <f>IF(L13=0,0,L13/TrAvia_act!L11*1000)</f>
        <v>50.489714196259726</v>
      </c>
      <c r="M35" s="88">
        <f>IF(M13=0,0,M13/TrAvia_act!M11*1000)</f>
        <v>45.933987919394461</v>
      </c>
      <c r="N35" s="88">
        <f>IF(N13=0,0,N13/TrAvia_act!N11*1000)</f>
        <v>38.293301819139046</v>
      </c>
      <c r="O35" s="88">
        <f>IF(O13=0,0,O13/TrAvia_act!O11*1000)</f>
        <v>38.144033313074672</v>
      </c>
      <c r="P35" s="88">
        <f>IF(P13=0,0,P13/TrAvia_act!P11*1000)</f>
        <v>26.578133088271986</v>
      </c>
      <c r="Q35" s="88">
        <f>IF(Q13=0,0,Q13/TrAvia_act!Q11*1000)</f>
        <v>23.099288712413287</v>
      </c>
      <c r="R35" s="88">
        <f>IF(R13=0,0,R13/TrAvia_act!R11*1000)</f>
        <v>17.131578215758953</v>
      </c>
      <c r="S35" s="88">
        <f>IF(S13=0,0,S13/TrAvia_act!S11*1000)</f>
        <v>16.626343080943563</v>
      </c>
      <c r="T35" s="88">
        <f>IF(T13=0,0,T13/TrAvia_act!T11*1000)</f>
        <v>7.7862886201183397</v>
      </c>
      <c r="U35" s="88">
        <f>IF(U13=0,0,U13/TrAvia_act!U11*1000)</f>
        <v>7.2395872615452355</v>
      </c>
      <c r="V35" s="88">
        <f>IF(V13=0,0,V13/TrAvia_act!V11*1000)</f>
        <v>15.919949535255419</v>
      </c>
      <c r="W35" s="88">
        <f>IF(W13=0,0,W13/TrAvia_act!W11*1000)</f>
        <v>13.019166327053091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5215.5067533388547</v>
      </c>
      <c r="C37" s="62">
        <f>IF(C3=0,0,C3/TrAvia_act!C23*1000000)</f>
        <v>5439.0219812521855</v>
      </c>
      <c r="D37" s="62">
        <f>IF(D3=0,0,D3/TrAvia_act!D23*1000000)</f>
        <v>5492.7675345307653</v>
      </c>
      <c r="E37" s="62">
        <f>IF(E3=0,0,E3/TrAvia_act!E23*1000000)</f>
        <v>5550.9722055508582</v>
      </c>
      <c r="F37" s="62">
        <f>IF(F3=0,0,F3/TrAvia_act!F23*1000000)</f>
        <v>4862.2046348305912</v>
      </c>
      <c r="G37" s="62">
        <f>IF(G3=0,0,G3/TrAvia_act!G23*1000000)</f>
        <v>3469.0382279772903</v>
      </c>
      <c r="H37" s="62">
        <f>IF(H3=0,0,H3/TrAvia_act!H23*1000000)</f>
        <v>3445.9774030267158</v>
      </c>
      <c r="I37" s="62">
        <f>IF(I3=0,0,I3/TrAvia_act!I23*1000000)</f>
        <v>3788.160611489076</v>
      </c>
      <c r="J37" s="62">
        <f>IF(J3=0,0,J3/TrAvia_act!J23*1000000)</f>
        <v>3559.4788204590673</v>
      </c>
      <c r="K37" s="62">
        <f>IF(K3=0,0,K3/TrAvia_act!K23*1000000)</f>
        <v>3775.7818754008226</v>
      </c>
      <c r="L37" s="62">
        <f>IF(L3=0,0,L3/TrAvia_act!L23*1000000)</f>
        <v>4280.6608469418452</v>
      </c>
      <c r="M37" s="62">
        <f>IF(M3=0,0,M3/TrAvia_act!M23*1000000)</f>
        <v>3463.7033104126681</v>
      </c>
      <c r="N37" s="62">
        <f>IF(N3=0,0,N3/TrAvia_act!N23*1000000)</f>
        <v>2881.9935456352327</v>
      </c>
      <c r="O37" s="62">
        <f>IF(O3=0,0,O3/TrAvia_act!O23*1000000)</f>
        <v>3619.6240813122536</v>
      </c>
      <c r="P37" s="62">
        <f>IF(P3=0,0,P3/TrAvia_act!P23*1000000)</f>
        <v>3888.2958813655309</v>
      </c>
      <c r="Q37" s="62">
        <f>IF(Q3=0,0,Q3/TrAvia_act!Q23*1000000)</f>
        <v>4263.0049653518281</v>
      </c>
      <c r="R37" s="62">
        <f>IF(R3=0,0,R3/TrAvia_act!R23*1000000)</f>
        <v>4290.38090521718</v>
      </c>
      <c r="S37" s="62">
        <f>IF(S3=0,0,S3/TrAvia_act!S23*1000000)</f>
        <v>4620.3563665568254</v>
      </c>
      <c r="T37" s="62">
        <f>IF(T3=0,0,T3/TrAvia_act!T23*1000000)</f>
        <v>2178.2088776973546</v>
      </c>
      <c r="U37" s="62">
        <f>IF(U3=0,0,U3/TrAvia_act!U23*1000000)</f>
        <v>2390.6024436367165</v>
      </c>
      <c r="V37" s="62">
        <f>IF(V3=0,0,V3/TrAvia_act!V23*1000000)</f>
        <v>2368.528423246079</v>
      </c>
      <c r="W37" s="62">
        <f>IF(W3=0,0,W3/TrAvia_act!W23*1000000)</f>
        <v>2413.4307547876051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5223.5577969080414</v>
      </c>
      <c r="C38" s="14">
        <f>IF(C6=0,0,C6/TrAvia_act!C24*1000000)</f>
        <v>5449.9968099911548</v>
      </c>
      <c r="D38" s="14">
        <f>IF(D6=0,0,D6/TrAvia_act!D24*1000000)</f>
        <v>5504.9886764042212</v>
      </c>
      <c r="E38" s="14">
        <f>IF(E6=0,0,E6/TrAvia_act!E24*1000000)</f>
        <v>5560.5402993285543</v>
      </c>
      <c r="F38" s="14">
        <f>IF(F6=0,0,F6/TrAvia_act!F24*1000000)</f>
        <v>4862.6245184511254</v>
      </c>
      <c r="G38" s="14">
        <f>IF(G6=0,0,G6/TrAvia_act!G24*1000000)</f>
        <v>3469.7374721059709</v>
      </c>
      <c r="H38" s="14">
        <f>IF(H6=0,0,H6/TrAvia_act!H24*1000000)</f>
        <v>3450.2725073623096</v>
      </c>
      <c r="I38" s="14">
        <f>IF(I6=0,0,I6/TrAvia_act!I24*1000000)</f>
        <v>3793.1893835263281</v>
      </c>
      <c r="J38" s="14">
        <f>IF(J6=0,0,J6/TrAvia_act!J24*1000000)</f>
        <v>3568.5371072313319</v>
      </c>
      <c r="K38" s="14">
        <f>IF(K6=0,0,K6/TrAvia_act!K24*1000000)</f>
        <v>3786.6568932229648</v>
      </c>
      <c r="L38" s="14">
        <f>IF(L6=0,0,L6/TrAvia_act!L24*1000000)</f>
        <v>4293.2564891112734</v>
      </c>
      <c r="M38" s="14">
        <f>IF(M6=0,0,M6/TrAvia_act!M24*1000000)</f>
        <v>3467.0793740050844</v>
      </c>
      <c r="N38" s="14">
        <f>IF(N6=0,0,N6/TrAvia_act!N24*1000000)</f>
        <v>2879.6262666364037</v>
      </c>
      <c r="O38" s="14">
        <f>IF(O6=0,0,O6/TrAvia_act!O24*1000000)</f>
        <v>3620.1208156284961</v>
      </c>
      <c r="P38" s="14">
        <f>IF(P6=0,0,P6/TrAvia_act!P24*1000000)</f>
        <v>3891.3531780878516</v>
      </c>
      <c r="Q38" s="14">
        <f>IF(Q6=0,0,Q6/TrAvia_act!Q24*1000000)</f>
        <v>4274.075777255719</v>
      </c>
      <c r="R38" s="14">
        <f>IF(R6=0,0,R6/TrAvia_act!R24*1000000)</f>
        <v>4300.693600807268</v>
      </c>
      <c r="S38" s="14">
        <f>IF(S6=0,0,S6/TrAvia_act!S24*1000000)</f>
        <v>4632.1106748713319</v>
      </c>
      <c r="T38" s="14">
        <f>IF(T6=0,0,T6/TrAvia_act!T24*1000000)</f>
        <v>2187.6421391692252</v>
      </c>
      <c r="U38" s="14">
        <f>IF(U6=0,0,U6/TrAvia_act!U24*1000000)</f>
        <v>2398.9726375128644</v>
      </c>
      <c r="V38" s="14">
        <f>IF(V6=0,0,V6/TrAvia_act!V24*1000000)</f>
        <v>2388.631323010226</v>
      </c>
      <c r="W38" s="14">
        <f>IF(W6=0,0,W6/TrAvia_act!W24*1000000)</f>
        <v>2426.0764323112344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1740.777633405344</v>
      </c>
      <c r="C39" s="87">
        <f>IF(C7=0,0,C7/TrAvia_act!C25*1000000)</f>
        <v>1724.1492728734834</v>
      </c>
      <c r="D39" s="87">
        <f>IF(D7=0,0,D7/TrAvia_act!D25*1000000)</f>
        <v>1710.4834545544932</v>
      </c>
      <c r="E39" s="87">
        <f>IF(E7=0,0,E7/TrAvia_act!E25*1000000)</f>
        <v>1710.4498533304002</v>
      </c>
      <c r="F39" s="87">
        <f>IF(F7=0,0,F7/TrAvia_act!F25*1000000)</f>
        <v>1745.4949334585851</v>
      </c>
      <c r="G39" s="87">
        <f>IF(G7=0,0,G7/TrAvia_act!G25*1000000)</f>
        <v>1357.5916452252475</v>
      </c>
      <c r="H39" s="87">
        <f>IF(H7=0,0,H7/TrAvia_act!H25*1000000)</f>
        <v>228.72355785494418</v>
      </c>
      <c r="I39" s="87">
        <f>IF(I7=0,0,I7/TrAvia_act!I25*1000000)</f>
        <v>7965.2445101657204</v>
      </c>
      <c r="J39" s="87">
        <f>IF(J7=0,0,J7/TrAvia_act!J25*1000000)</f>
        <v>6941.0696896784784</v>
      </c>
      <c r="K39" s="87">
        <f>IF(K7=0,0,K7/TrAvia_act!K25*1000000)</f>
        <v>6831.2259344895738</v>
      </c>
      <c r="L39" s="87">
        <f>IF(L7=0,0,L7/TrAvia_act!L25*1000000)</f>
        <v>7693.8524378290786</v>
      </c>
      <c r="M39" s="87">
        <f>IF(M7=0,0,M7/TrAvia_act!M25*1000000)</f>
        <v>6048.9486267262264</v>
      </c>
      <c r="N39" s="87">
        <f>IF(N7=0,0,N7/TrAvia_act!N25*1000000)</f>
        <v>3426.5210689639816</v>
      </c>
      <c r="O39" s="87">
        <f>IF(O7=0,0,O7/TrAvia_act!O25*1000000)</f>
        <v>3982.6831814868237</v>
      </c>
      <c r="P39" s="87">
        <f>IF(P7=0,0,P7/TrAvia_act!P25*1000000)</f>
        <v>2328.5542709819028</v>
      </c>
      <c r="Q39" s="87">
        <f>IF(Q7=0,0,Q7/TrAvia_act!Q25*1000000)</f>
        <v>3176.9903670143904</v>
      </c>
      <c r="R39" s="87">
        <f>IF(R7=0,0,R7/TrAvia_act!R25*1000000)</f>
        <v>2016.7999645748207</v>
      </c>
      <c r="S39" s="87">
        <f>IF(S7=0,0,S7/TrAvia_act!S25*1000000)</f>
        <v>2987.1430111684749</v>
      </c>
      <c r="T39" s="87">
        <f>IF(T7=0,0,T7/TrAvia_act!T25*1000000)</f>
        <v>3288.4490165872985</v>
      </c>
      <c r="U39" s="87">
        <f>IF(U7=0,0,U7/TrAvia_act!U25*1000000)</f>
        <v>3981.4973845423324</v>
      </c>
      <c r="V39" s="87">
        <f>IF(V7=0,0,V7/TrAvia_act!V25*1000000)</f>
        <v>5305.9430031079519</v>
      </c>
      <c r="W39" s="87">
        <f>IF(W7=0,0,W7/TrAvia_act!W25*1000000)</f>
        <v>5236.8404345648332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6052.783418691859</v>
      </c>
      <c r="C40" s="87">
        <f>IF(C8=0,0,C8/TrAvia_act!C26*1000000)</f>
        <v>6050.4715582019844</v>
      </c>
      <c r="D40" s="87">
        <f>IF(D8=0,0,D8/TrAvia_act!D26*1000000)</f>
        <v>6035.3409284707204</v>
      </c>
      <c r="E40" s="87">
        <f>IF(E8=0,0,E8/TrAvia_act!E26*1000000)</f>
        <v>6048.064184376768</v>
      </c>
      <c r="F40" s="87">
        <f>IF(F8=0,0,F8/TrAvia_act!F26*1000000)</f>
        <v>6046.8195590641417</v>
      </c>
      <c r="G40" s="87">
        <f>IF(G8=0,0,G8/TrAvia_act!G26*1000000)</f>
        <v>4173.0893473437118</v>
      </c>
      <c r="H40" s="87">
        <f>IF(H8=0,0,H8/TrAvia_act!H26*1000000)</f>
        <v>4411.7718877398829</v>
      </c>
      <c r="I40" s="87">
        <f>IF(I8=0,0,I8/TrAvia_act!I26*1000000)</f>
        <v>2910.4076493614166</v>
      </c>
      <c r="J40" s="87">
        <f>IF(J8=0,0,J8/TrAvia_act!J26*1000000)</f>
        <v>2879.0027062209815</v>
      </c>
      <c r="K40" s="87">
        <f>IF(K8=0,0,K8/TrAvia_act!K26*1000000)</f>
        <v>3088.8683875622451</v>
      </c>
      <c r="L40" s="87">
        <f>IF(L8=0,0,L8/TrAvia_act!L26*1000000)</f>
        <v>3394.2360293524816</v>
      </c>
      <c r="M40" s="87">
        <f>IF(M8=0,0,M8/TrAvia_act!M26*1000000)</f>
        <v>2849.9400442095025</v>
      </c>
      <c r="N40" s="87">
        <f>IF(N8=0,0,N8/TrAvia_act!N26*1000000)</f>
        <v>2888.8421413445799</v>
      </c>
      <c r="O40" s="87">
        <f>IF(O8=0,0,O8/TrAvia_act!O26*1000000)</f>
        <v>3653.5470083216437</v>
      </c>
      <c r="P40" s="87">
        <f>IF(P8=0,0,P8/TrAvia_act!P26*1000000)</f>
        <v>4447.0968094562704</v>
      </c>
      <c r="Q40" s="87">
        <f>IF(Q8=0,0,Q8/TrAvia_act!Q26*1000000)</f>
        <v>4729.3112913725818</v>
      </c>
      <c r="R40" s="87">
        <f>IF(R8=0,0,R8/TrAvia_act!R26*1000000)</f>
        <v>5142.8723571589053</v>
      </c>
      <c r="S40" s="87">
        <f>IF(S8=0,0,S8/TrAvia_act!S26*1000000)</f>
        <v>5447.0869903428102</v>
      </c>
      <c r="T40" s="87">
        <f>IF(T8=0,0,T8/TrAvia_act!T26*1000000)</f>
        <v>2114.6825064018562</v>
      </c>
      <c r="U40" s="87">
        <f>IF(U8=0,0,U8/TrAvia_act!U26*1000000)</f>
        <v>2287.9402553897589</v>
      </c>
      <c r="V40" s="87">
        <f>IF(V8=0,0,V8/TrAvia_act!V26*1000000)</f>
        <v>1659.9504791942652</v>
      </c>
      <c r="W40" s="87">
        <f>IF(W8=0,0,W8/TrAvia_act!W26*1000000)</f>
        <v>2026.3564215414558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4764.4244118928873</v>
      </c>
      <c r="C41" s="87">
        <f>IF(C9=0,0,C9/TrAvia_act!C27*1000000)</f>
        <v>4760.9448125449771</v>
      </c>
      <c r="D41" s="87">
        <f>IF(D9=0,0,D9/TrAvia_act!D27*1000000)</f>
        <v>4746.287380239055</v>
      </c>
      <c r="E41" s="87">
        <f>IF(E9=0,0,E9/TrAvia_act!E27*1000000)</f>
        <v>4751.9233403849239</v>
      </c>
      <c r="F41" s="87">
        <f>IF(F9=0,0,F9/TrAvia_act!F27*1000000)</f>
        <v>4747.5647182660814</v>
      </c>
      <c r="G41" s="87">
        <f>IF(G9=0,0,G9/TrAvia_act!G27*1000000)</f>
        <v>3559.0853283965316</v>
      </c>
      <c r="H41" s="87">
        <f>IF(H9=0,0,H9/TrAvia_act!H27*1000000)</f>
        <v>3689.7237190918131</v>
      </c>
      <c r="I41" s="87">
        <f>IF(I9=0,0,I9/TrAvia_act!I27*1000000)</f>
        <v>2301.2268590597741</v>
      </c>
      <c r="J41" s="87">
        <f>IF(J9=0,0,J9/TrAvia_act!J27*1000000)</f>
        <v>2204.5517267981245</v>
      </c>
      <c r="K41" s="87">
        <f>IF(K9=0,0,K9/TrAvia_act!K27*1000000)</f>
        <v>2623.9527535901166</v>
      </c>
      <c r="L41" s="87">
        <f>IF(L9=0,0,L9/TrAvia_act!L27*1000000)</f>
        <v>2870.3107102278768</v>
      </c>
      <c r="M41" s="87">
        <f>IF(M9=0,0,M9/TrAvia_act!M27*1000000)</f>
        <v>2497.3772533917954</v>
      </c>
      <c r="N41" s="87">
        <f>IF(N9=0,0,N9/TrAvia_act!N27*1000000)</f>
        <v>2126.1536189498643</v>
      </c>
      <c r="O41" s="87">
        <f>IF(O9=0,0,O9/TrAvia_act!O27*1000000)</f>
        <v>2945.3727449046842</v>
      </c>
      <c r="P41" s="87">
        <f>IF(P9=0,0,P9/TrAvia_act!P27*1000000)</f>
        <v>3207.0778956162108</v>
      </c>
      <c r="Q41" s="87">
        <f>IF(Q9=0,0,Q9/TrAvia_act!Q27*1000000)</f>
        <v>3310.4665496470475</v>
      </c>
      <c r="R41" s="87">
        <f>IF(R9=0,0,R9/TrAvia_act!R27*1000000)</f>
        <v>3222.4858851617014</v>
      </c>
      <c r="S41" s="87">
        <f>IF(S9=0,0,S9/TrAvia_act!S27*1000000)</f>
        <v>2982.2915087300485</v>
      </c>
      <c r="T41" s="87">
        <f>IF(T9=0,0,T9/TrAvia_act!T27*1000000)</f>
        <v>1055.6133469479728</v>
      </c>
      <c r="U41" s="87">
        <f>IF(U9=0,0,U9/TrAvia_act!U27*1000000)</f>
        <v>1036.5945723541749</v>
      </c>
      <c r="V41" s="87">
        <f>IF(V9=0,0,V9/TrAvia_act!V27*1000000)</f>
        <v>1555.0456861976177</v>
      </c>
      <c r="W41" s="87">
        <f>IF(W9=0,0,W9/TrAvia_act!W27*1000000)</f>
        <v>1139.0505724501143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4733.3846816606365</v>
      </c>
      <c r="C42" s="15">
        <f>IF(C10=0,0,C10/TrAvia_act!C28*1000000)</f>
        <v>4791.9280379882011</v>
      </c>
      <c r="D42" s="15">
        <f>IF(D10=0,0,D10/TrAvia_act!D28*1000000)</f>
        <v>4845.1545326148243</v>
      </c>
      <c r="E42" s="15">
        <f>IF(E10=0,0,E10/TrAvia_act!E28*1000000)</f>
        <v>4928.0404544984667</v>
      </c>
      <c r="F42" s="15">
        <f>IF(F10=0,0,F10/TrAvia_act!F28*1000000)</f>
        <v>4827.5043327400008</v>
      </c>
      <c r="G42" s="15">
        <f>IF(G10=0,0,G10/TrAvia_act!G28*1000000)</f>
        <v>3385.7582522514413</v>
      </c>
      <c r="H42" s="15">
        <f>IF(H10=0,0,H10/TrAvia_act!H28*1000000)</f>
        <v>2970.4103972412568</v>
      </c>
      <c r="I42" s="15">
        <f>IF(I10=0,0,I10/TrAvia_act!I28*1000000)</f>
        <v>3057.4692777446512</v>
      </c>
      <c r="J42" s="15">
        <f>IF(J10=0,0,J10/TrAvia_act!J28*1000000)</f>
        <v>2511.0563032915488</v>
      </c>
      <c r="K42" s="15">
        <f>IF(K10=0,0,K10/TrAvia_act!K28*1000000)</f>
        <v>2594.9009648904694</v>
      </c>
      <c r="L42" s="15">
        <f>IF(L10=0,0,L10/TrAvia_act!L28*1000000)</f>
        <v>2909.4010370660208</v>
      </c>
      <c r="M42" s="15">
        <f>IF(M10=0,0,M10/TrAvia_act!M28*1000000)</f>
        <v>3080.2037714786693</v>
      </c>
      <c r="N42" s="15">
        <f>IF(N10=0,0,N10/TrAvia_act!N28*1000000)</f>
        <v>3126.7012681398487</v>
      </c>
      <c r="O42" s="15">
        <f>IF(O10=0,0,O10/TrAvia_act!O28*1000000)</f>
        <v>3572.6468584110171</v>
      </c>
      <c r="P42" s="15">
        <f>IF(P10=0,0,P10/TrAvia_act!P28*1000000)</f>
        <v>3571.04877386207</v>
      </c>
      <c r="Q42" s="15">
        <f>IF(Q10=0,0,Q10/TrAvia_act!Q28*1000000)</f>
        <v>3200.5603463624379</v>
      </c>
      <c r="R42" s="15">
        <f>IF(R10=0,0,R10/TrAvia_act!R28*1000000)</f>
        <v>3205.2610759596678</v>
      </c>
      <c r="S42" s="15">
        <f>IF(S10=0,0,S10/TrAvia_act!S28*1000000)</f>
        <v>3448.4461491908578</v>
      </c>
      <c r="T42" s="15">
        <f>IF(T10=0,0,T10/TrAvia_act!T28*1000000)</f>
        <v>1236.1612705047398</v>
      </c>
      <c r="U42" s="15">
        <f>IF(U10=0,0,U10/TrAvia_act!U28*1000000)</f>
        <v>1275.1782913201987</v>
      </c>
      <c r="V42" s="15">
        <f>IF(V10=0,0,V10/TrAvia_act!V28*1000000)</f>
        <v>1271.3041499016088</v>
      </c>
      <c r="W42" s="15">
        <f>IF(W10=0,0,W10/TrAvia_act!W28*1000000)</f>
        <v>1480.8164589855367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1698.4700013269712</v>
      </c>
      <c r="C43" s="101">
        <f>IF(C11=0,0,C11/TrAvia_act!C29*1000000)</f>
        <v>1682.2457742961096</v>
      </c>
      <c r="D43" s="101">
        <f>IF(D11=0,0,D11/TrAvia_act!D29*1000000)</f>
        <v>1668.9120882393881</v>
      </c>
      <c r="E43" s="101">
        <f>IF(E11=0,0,E11/TrAvia_act!E29*1000000)</f>
        <v>1668.8793036550537</v>
      </c>
      <c r="F43" s="101">
        <f>IF(F11=0,0,F11/TrAvia_act!F29*1000000)</f>
        <v>1703.0726527362813</v>
      </c>
      <c r="G43" s="101">
        <f>IF(G11=0,0,G11/TrAvia_act!G29*1000000)</f>
        <v>1324.5969153202543</v>
      </c>
      <c r="H43" s="101">
        <f>IF(H11=0,0,H11/TrAvia_act!H29*1000000)</f>
        <v>219.08722155638804</v>
      </c>
      <c r="I43" s="101">
        <f>IF(I11=0,0,I11/TrAvia_act!I29*1000000)</f>
        <v>7490.2594112005327</v>
      </c>
      <c r="J43" s="101">
        <f>IF(J11=0,0,J11/TrAvia_act!J29*1000000)</f>
        <v>6407.9007922258443</v>
      </c>
      <c r="K43" s="101">
        <f>IF(K11=0,0,K11/TrAvia_act!K29*1000000)</f>
        <v>6191.2691119338542</v>
      </c>
      <c r="L43" s="101">
        <f>IF(L11=0,0,L11/TrAvia_act!L29*1000000)</f>
        <v>6845.679664383717</v>
      </c>
      <c r="M43" s="101">
        <f>IF(M11=0,0,M11/TrAvia_act!M29*1000000)</f>
        <v>5550.8988126864897</v>
      </c>
      <c r="N43" s="101">
        <f>IF(N11=0,0,N11/TrAvia_act!N29*1000000)</f>
        <v>3243.003343341084</v>
      </c>
      <c r="O43" s="101">
        <f>IF(O11=0,0,O11/TrAvia_act!O29*1000000)</f>
        <v>3794.4893667881993</v>
      </c>
      <c r="P43" s="101">
        <f>IF(P11=0,0,P11/TrAvia_act!P29*1000000)</f>
        <v>2233.3023910423208</v>
      </c>
      <c r="Q43" s="101">
        <f>IF(Q11=0,0,Q11/TrAvia_act!Q29*1000000)</f>
        <v>3067.3310240005285</v>
      </c>
      <c r="R43" s="101">
        <f>IF(R11=0,0,R11/TrAvia_act!R29*1000000)</f>
        <v>1960.1583332825621</v>
      </c>
      <c r="S43" s="101">
        <f>IF(S11=0,0,S11/TrAvia_act!S29*1000000)</f>
        <v>2922.5901658551247</v>
      </c>
      <c r="T43" s="101">
        <f>IF(T11=0,0,T11/TrAvia_act!T29*1000000)</f>
        <v>3238.8183257416113</v>
      </c>
      <c r="U43" s="101">
        <f>IF(U11=0,0,U11/TrAvia_act!U29*1000000)</f>
        <v>3884.2563214799056</v>
      </c>
      <c r="V43" s="101">
        <f>IF(V11=0,0,V11/TrAvia_act!V29*1000000)</f>
        <v>5176.3546878740899</v>
      </c>
      <c r="W43" s="101">
        <f>IF(W11=0,0,W11/TrAvia_act!W29*1000000)</f>
        <v>5108.9398278929702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4499.2672886482505</v>
      </c>
      <c r="C44" s="101">
        <f>IF(C12=0,0,C12/TrAvia_act!C30*1000000)</f>
        <v>4488.0871492299621</v>
      </c>
      <c r="D44" s="101">
        <f>IF(D12=0,0,D12/TrAvia_act!D30*1000000)</f>
        <v>4470.476909739431</v>
      </c>
      <c r="E44" s="101">
        <f>IF(E12=0,0,E12/TrAvia_act!E30*1000000)</f>
        <v>4482.8688833359874</v>
      </c>
      <c r="F44" s="101">
        <f>IF(F12=0,0,F12/TrAvia_act!F30*1000000)</f>
        <v>4474.1415950055907</v>
      </c>
      <c r="G44" s="101">
        <f>IF(G12=0,0,G12/TrAvia_act!G30*1000000)</f>
        <v>3227.9551280443129</v>
      </c>
      <c r="H44" s="101">
        <f>IF(H12=0,0,H12/TrAvia_act!H30*1000000)</f>
        <v>3039.2903250421487</v>
      </c>
      <c r="I44" s="101">
        <f>IF(I12=0,0,I12/TrAvia_act!I30*1000000)</f>
        <v>2060.0943921997809</v>
      </c>
      <c r="J44" s="101">
        <f>IF(J12=0,0,J12/TrAvia_act!J30*1000000)</f>
        <v>1959.8833835264795</v>
      </c>
      <c r="K44" s="101">
        <f>IF(K12=0,0,K12/TrAvia_act!K30*1000000)</f>
        <v>2190.1476312073146</v>
      </c>
      <c r="L44" s="101">
        <f>IF(L12=0,0,L12/TrAvia_act!L30*1000000)</f>
        <v>2460.120868979096</v>
      </c>
      <c r="M44" s="101">
        <f>IF(M12=0,0,M12/TrAvia_act!M30*1000000)</f>
        <v>2511.0896659575128</v>
      </c>
      <c r="N44" s="101">
        <f>IF(N12=0,0,N12/TrAvia_act!N30*1000000)</f>
        <v>2256.4506330938011</v>
      </c>
      <c r="O44" s="101">
        <f>IF(O12=0,0,O12/TrAvia_act!O30*1000000)</f>
        <v>2778.4390682462786</v>
      </c>
      <c r="P44" s="101">
        <f>IF(P12=0,0,P12/TrAvia_act!P30*1000000)</f>
        <v>3312.2830905571432</v>
      </c>
      <c r="Q44" s="101">
        <f>IF(Q12=0,0,Q12/TrAvia_act!Q30*1000000)</f>
        <v>3115.3176606542856</v>
      </c>
      <c r="R44" s="101">
        <f>IF(R12=0,0,R12/TrAvia_act!R30*1000000)</f>
        <v>3270.4763594829456</v>
      </c>
      <c r="S44" s="101">
        <f>IF(S12=0,0,S12/TrAvia_act!S30*1000000)</f>
        <v>3685.797760292066</v>
      </c>
      <c r="T44" s="101">
        <f>IF(T12=0,0,T12/TrAvia_act!T30*1000000)</f>
        <v>1290.89703579702</v>
      </c>
      <c r="U44" s="101">
        <f>IF(U12=0,0,U12/TrAvia_act!U30*1000000)</f>
        <v>1302.2129125721433</v>
      </c>
      <c r="V44" s="101">
        <f>IF(V12=0,0,V12/TrAvia_act!V30*1000000)</f>
        <v>1043.6597561055146</v>
      </c>
      <c r="W44" s="101">
        <f>IF(W12=0,0,W12/TrAvia_act!W30*1000000)</f>
        <v>1226.3343304755495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10538.11390625467</v>
      </c>
      <c r="C45" s="88">
        <f>IF(C13=0,0,C13/TrAvia_act!C31*1000000)</f>
        <v>10530.41761157007</v>
      </c>
      <c r="D45" s="88">
        <f>IF(D13=0,0,D13/TrAvia_act!D31*1000000)</f>
        <v>10497.997810591074</v>
      </c>
      <c r="E45" s="88">
        <f>IF(E13=0,0,E13/TrAvia_act!E31*1000000)</f>
        <v>10510.463616500396</v>
      </c>
      <c r="F45" s="88">
        <f>IF(F13=0,0,F13/TrAvia_act!F31*1000000)</f>
        <v>10500.823069732978</v>
      </c>
      <c r="G45" s="88">
        <f>IF(G13=0,0,G13/TrAvia_act!G31*1000000)</f>
        <v>7872.1044454184985</v>
      </c>
      <c r="H45" s="88">
        <f>IF(H13=0,0,H13/TrAvia_act!H31*1000000)</f>
        <v>8833.3398791494292</v>
      </c>
      <c r="I45" s="88">
        <f>IF(I13=0,0,I13/TrAvia_act!I31*1000000)</f>
        <v>5964.3234784976203</v>
      </c>
      <c r="J45" s="88">
        <f>IF(J13=0,0,J13/TrAvia_act!J31*1000000)</f>
        <v>6187.006568223278</v>
      </c>
      <c r="K45" s="88">
        <f>IF(K13=0,0,K13/TrAvia_act!K31*1000000)</f>
        <v>7975.5159497824807</v>
      </c>
      <c r="L45" s="88">
        <f>IF(L13=0,0,L13/TrAvia_act!L31*1000000)</f>
        <v>9450.4932558482506</v>
      </c>
      <c r="M45" s="88">
        <f>IF(M13=0,0,M13/TrAvia_act!M31*1000000)</f>
        <v>10182.83318276176</v>
      </c>
      <c r="N45" s="88">
        <f>IF(N13=0,0,N13/TrAvia_act!N31*1000000)</f>
        <v>10650.158216989372</v>
      </c>
      <c r="O45" s="88">
        <f>IF(O13=0,0,O13/TrAvia_act!O31*1000000)</f>
        <v>9345.3774313665672</v>
      </c>
      <c r="P45" s="88">
        <f>IF(P13=0,0,P13/TrAvia_act!P31*1000000)</f>
        <v>6436.3890183162684</v>
      </c>
      <c r="Q45" s="88">
        <f>IF(Q13=0,0,Q13/TrAvia_act!Q31*1000000)</f>
        <v>4195.8111312172105</v>
      </c>
      <c r="R45" s="88">
        <f>IF(R13=0,0,R13/TrAvia_act!R31*1000000)</f>
        <v>2574.8865133110548</v>
      </c>
      <c r="S45" s="88">
        <f>IF(S13=0,0,S13/TrAvia_act!S31*1000000)</f>
        <v>1499.4186112369705</v>
      </c>
      <c r="T45" s="88">
        <f>IF(T13=0,0,T13/TrAvia_act!T31*1000000)</f>
        <v>333.23932988497768</v>
      </c>
      <c r="U45" s="88">
        <f>IF(U13=0,0,U13/TrAvia_act!U31*1000000)</f>
        <v>404.98709557016014</v>
      </c>
      <c r="V45" s="88">
        <f>IF(V13=0,0,V13/TrAvia_act!V31*1000000)</f>
        <v>607.5407422805838</v>
      </c>
      <c r="W45" s="88">
        <f>IF(W13=0,0,W13/TrAvia_act!W31*1000000)</f>
        <v>445.01562650135764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0.98509342127125155</v>
      </c>
      <c r="C48" s="16">
        <f t="shared" si="35"/>
        <v>0.9853068151251696</v>
      </c>
      <c r="D48" s="16">
        <f t="shared" ref="D48:V48" si="36">IF(D6=0,0,D6/D$3)</f>
        <v>0.98366220603320631</v>
      </c>
      <c r="E48" s="16">
        <f t="shared" si="36"/>
        <v>0.98657017939360325</v>
      </c>
      <c r="F48" s="16">
        <f t="shared" si="36"/>
        <v>0.9881297034498796</v>
      </c>
      <c r="G48" s="16">
        <f t="shared" si="36"/>
        <v>0.99187349414548198</v>
      </c>
      <c r="H48" s="16">
        <f t="shared" si="36"/>
        <v>0.99228454949164258</v>
      </c>
      <c r="I48" s="16">
        <f t="shared" si="36"/>
        <v>0.99448325332522591</v>
      </c>
      <c r="J48" s="16">
        <f t="shared" si="36"/>
        <v>0.99395712500105504</v>
      </c>
      <c r="K48" s="16">
        <f t="shared" si="36"/>
        <v>0.99372871487517955</v>
      </c>
      <c r="L48" s="16">
        <f t="shared" si="36"/>
        <v>0.99381382282813435</v>
      </c>
      <c r="M48" s="16">
        <f t="shared" si="36"/>
        <v>0.99223970842138409</v>
      </c>
      <c r="N48" s="16">
        <f t="shared" si="36"/>
        <v>0.98960525057921078</v>
      </c>
      <c r="O48" s="16">
        <f t="shared" si="36"/>
        <v>0.98967249650079969</v>
      </c>
      <c r="P48" s="16">
        <f t="shared" si="36"/>
        <v>0.9912338043972394</v>
      </c>
      <c r="Q48" s="16">
        <f t="shared" si="36"/>
        <v>0.99225749735631719</v>
      </c>
      <c r="R48" s="16">
        <f t="shared" si="36"/>
        <v>0.99296678124744953</v>
      </c>
      <c r="S48" s="16">
        <f t="shared" si="36"/>
        <v>0.992588324091361</v>
      </c>
      <c r="T48" s="16">
        <f t="shared" si="36"/>
        <v>0.9943735116873863</v>
      </c>
      <c r="U48" s="16">
        <f t="shared" si="36"/>
        <v>0.99602705798778901</v>
      </c>
      <c r="V48" s="16">
        <f t="shared" si="36"/>
        <v>0.99034284481685364</v>
      </c>
      <c r="W48" s="16">
        <f t="shared" ref="W48" si="37">IF(W6=0,0,W6/W$3)</f>
        <v>0.99179162432672885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4.6162624127249856E-2</v>
      </c>
      <c r="C49" s="103">
        <f t="shared" si="38"/>
        <v>2.6129084157813412E-2</v>
      </c>
      <c r="D49" s="103">
        <f t="shared" ref="D49:V49" si="39">IF(D7=0,0,D7/D$3)</f>
        <v>2.0364641417407358E-2</v>
      </c>
      <c r="E49" s="103">
        <f t="shared" si="39"/>
        <v>1.6867437386699723E-2</v>
      </c>
      <c r="F49" s="103">
        <f t="shared" si="39"/>
        <v>8.1009654465466763E-2</v>
      </c>
      <c r="G49" s="103">
        <f t="shared" si="39"/>
        <v>8.4651751305274942E-2</v>
      </c>
      <c r="H49" s="103">
        <f t="shared" si="39"/>
        <v>1.3474884876291206E-2</v>
      </c>
      <c r="I49" s="103">
        <f t="shared" si="39"/>
        <v>0.40111208076912164</v>
      </c>
      <c r="J49" s="103">
        <f t="shared" si="39"/>
        <v>0.37504549526856068</v>
      </c>
      <c r="K49" s="103">
        <f t="shared" si="39"/>
        <v>0.36437615828922731</v>
      </c>
      <c r="L49" s="103">
        <f t="shared" si="39"/>
        <v>0.40069000260436638</v>
      </c>
      <c r="M49" s="103">
        <f t="shared" si="39"/>
        <v>0.3586817936652541</v>
      </c>
      <c r="N49" s="103">
        <f t="shared" si="39"/>
        <v>0.23272624126964758</v>
      </c>
      <c r="O49" s="103">
        <f t="shared" si="39"/>
        <v>0.21611982164355548</v>
      </c>
      <c r="P49" s="103">
        <f t="shared" si="39"/>
        <v>0.10506782677435679</v>
      </c>
      <c r="Q49" s="103">
        <f t="shared" si="39"/>
        <v>0.12026965335736098</v>
      </c>
      <c r="R49" s="103">
        <f t="shared" si="39"/>
        <v>8.7862437671421822E-2</v>
      </c>
      <c r="S49" s="103">
        <f t="shared" si="39"/>
        <v>0.12786910995934864</v>
      </c>
      <c r="T49" s="103">
        <f t="shared" si="39"/>
        <v>0.28748783937650696</v>
      </c>
      <c r="U49" s="103">
        <f t="shared" si="39"/>
        <v>0.29699921672449503</v>
      </c>
      <c r="V49" s="103">
        <f t="shared" si="39"/>
        <v>0.44675325305929359</v>
      </c>
      <c r="W49" s="103">
        <f t="shared" ref="W49" si="40">IF(W7=0,0,W7/W$3)</f>
        <v>0.35938562051252165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0.78348873892476645</v>
      </c>
      <c r="C50" s="103">
        <f t="shared" si="41"/>
        <v>0.80043748922926328</v>
      </c>
      <c r="D50" s="103">
        <f t="shared" ref="D50:V50" si="42">IF(D8=0,0,D8/D$3)</f>
        <v>0.80395741816852329</v>
      </c>
      <c r="E50" s="103">
        <f t="shared" si="42"/>
        <v>0.80940436436754593</v>
      </c>
      <c r="F50" s="103">
        <f t="shared" si="42"/>
        <v>0.75726043535913046</v>
      </c>
      <c r="G50" s="103">
        <f t="shared" si="42"/>
        <v>0.75938427087928406</v>
      </c>
      <c r="H50" s="103">
        <f t="shared" si="42"/>
        <v>0.82506920705822762</v>
      </c>
      <c r="I50" s="103">
        <f t="shared" si="42"/>
        <v>0.50608573131577161</v>
      </c>
      <c r="J50" s="103">
        <f t="shared" si="42"/>
        <v>0.52926381885158813</v>
      </c>
      <c r="K50" s="103">
        <f t="shared" si="42"/>
        <v>0.53624683667682005</v>
      </c>
      <c r="L50" s="103">
        <f t="shared" si="42"/>
        <v>0.5064913934211045</v>
      </c>
      <c r="M50" s="103">
        <f t="shared" si="42"/>
        <v>0.54096430867215339</v>
      </c>
      <c r="N50" s="103">
        <f t="shared" si="42"/>
        <v>0.64624661694429608</v>
      </c>
      <c r="O50" s="103">
        <f t="shared" si="42"/>
        <v>0.66126250523072405</v>
      </c>
      <c r="P50" s="103">
        <f t="shared" si="42"/>
        <v>0.76726983396625448</v>
      </c>
      <c r="Q50" s="103">
        <f t="shared" si="42"/>
        <v>0.76251161732637551</v>
      </c>
      <c r="R50" s="103">
        <f t="shared" si="42"/>
        <v>0.80734427780195395</v>
      </c>
      <c r="S50" s="103">
        <f t="shared" si="42"/>
        <v>0.78082697217930175</v>
      </c>
      <c r="T50" s="103">
        <f t="shared" si="42"/>
        <v>0.63766063944985363</v>
      </c>
      <c r="U50" s="103">
        <f t="shared" si="42"/>
        <v>0.63256559072380536</v>
      </c>
      <c r="V50" s="103">
        <f t="shared" si="42"/>
        <v>0.47137578328940749</v>
      </c>
      <c r="W50" s="103">
        <f t="shared" ref="W50" si="43">IF(W8=0,0,W8/W$3)</f>
        <v>0.55934115783325777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0.15544205821923526</v>
      </c>
      <c r="C51" s="103">
        <f t="shared" si="44"/>
        <v>0.15874024173809295</v>
      </c>
      <c r="D51" s="103">
        <f t="shared" ref="D51:V51" si="45">IF(D9=0,0,D9/D$3)</f>
        <v>0.15934014644727562</v>
      </c>
      <c r="E51" s="103">
        <f t="shared" si="45"/>
        <v>0.16029837763935767</v>
      </c>
      <c r="F51" s="103">
        <f t="shared" si="45"/>
        <v>0.14985961362528241</v>
      </c>
      <c r="G51" s="103">
        <f t="shared" si="45"/>
        <v>0.14783747196092295</v>
      </c>
      <c r="H51" s="103">
        <f t="shared" si="45"/>
        <v>0.15374045755712387</v>
      </c>
      <c r="I51" s="103">
        <f t="shared" si="45"/>
        <v>8.7285441240332731E-2</v>
      </c>
      <c r="J51" s="103">
        <f t="shared" si="45"/>
        <v>8.9647810880906204E-2</v>
      </c>
      <c r="K51" s="103">
        <f t="shared" si="45"/>
        <v>9.3105719909132231E-2</v>
      </c>
      <c r="L51" s="103">
        <f t="shared" si="45"/>
        <v>8.6632426802663628E-2</v>
      </c>
      <c r="M51" s="103">
        <f t="shared" si="45"/>
        <v>9.2593606083976668E-2</v>
      </c>
      <c r="N51" s="103">
        <f t="shared" si="45"/>
        <v>0.11063239236526719</v>
      </c>
      <c r="O51" s="103">
        <f t="shared" si="45"/>
        <v>0.11229016962652014</v>
      </c>
      <c r="P51" s="103">
        <f t="shared" si="45"/>
        <v>0.11889614365662825</v>
      </c>
      <c r="Q51" s="103">
        <f t="shared" si="45"/>
        <v>0.10947622667258057</v>
      </c>
      <c r="R51" s="103">
        <f t="shared" si="45"/>
        <v>9.776006577407359E-2</v>
      </c>
      <c r="S51" s="103">
        <f t="shared" si="45"/>
        <v>8.3892241952710653E-2</v>
      </c>
      <c r="T51" s="103">
        <f t="shared" si="45"/>
        <v>6.9225032861025687E-2</v>
      </c>
      <c r="U51" s="103">
        <f t="shared" si="45"/>
        <v>6.6462250539488621E-2</v>
      </c>
      <c r="V51" s="103">
        <f t="shared" si="45"/>
        <v>7.2213808468152521E-2</v>
      </c>
      <c r="W51" s="103">
        <f t="shared" ref="W51" si="46">IF(W9=0,0,W9/W$3)</f>
        <v>7.3064845980949408E-2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1.4906578728748348E-2</v>
      </c>
      <c r="C52" s="17">
        <f t="shared" si="47"/>
        <v>1.4693184874830352E-2</v>
      </c>
      <c r="D52" s="17">
        <f t="shared" ref="D52:V52" si="48">IF(D10=0,0,D10/D$3)</f>
        <v>1.6337793966793825E-2</v>
      </c>
      <c r="E52" s="17">
        <f t="shared" si="48"/>
        <v>1.3429820606396768E-2</v>
      </c>
      <c r="F52" s="17">
        <f t="shared" si="48"/>
        <v>1.1870296550120358E-2</v>
      </c>
      <c r="G52" s="17">
        <f t="shared" si="48"/>
        <v>8.1265058545180423E-3</v>
      </c>
      <c r="H52" s="17">
        <f t="shared" si="48"/>
        <v>7.715450508357243E-3</v>
      </c>
      <c r="I52" s="17">
        <f t="shared" si="48"/>
        <v>5.5167466747739662E-3</v>
      </c>
      <c r="J52" s="17">
        <f t="shared" si="48"/>
        <v>6.042874998944933E-3</v>
      </c>
      <c r="K52" s="17">
        <f t="shared" si="48"/>
        <v>6.2712851248202172E-3</v>
      </c>
      <c r="L52" s="17">
        <f t="shared" si="48"/>
        <v>6.1861771718655229E-3</v>
      </c>
      <c r="M52" s="17">
        <f t="shared" si="48"/>
        <v>7.7602915786158912E-3</v>
      </c>
      <c r="N52" s="17">
        <f t="shared" si="48"/>
        <v>1.0394749420789114E-2</v>
      </c>
      <c r="O52" s="17">
        <f t="shared" si="48"/>
        <v>1.0327503499200249E-2</v>
      </c>
      <c r="P52" s="17">
        <f t="shared" si="48"/>
        <v>8.7661956027604987E-3</v>
      </c>
      <c r="Q52" s="17">
        <f t="shared" si="48"/>
        <v>7.7425026436828848E-3</v>
      </c>
      <c r="R52" s="17">
        <f t="shared" si="48"/>
        <v>7.0332187525505322E-3</v>
      </c>
      <c r="S52" s="17">
        <f t="shared" si="48"/>
        <v>7.4116759086390784E-3</v>
      </c>
      <c r="T52" s="17">
        <f t="shared" si="48"/>
        <v>5.6264883126135902E-3</v>
      </c>
      <c r="U52" s="17">
        <f t="shared" si="48"/>
        <v>3.9729420122109026E-3</v>
      </c>
      <c r="V52" s="17">
        <f t="shared" si="48"/>
        <v>9.657155183146332E-3</v>
      </c>
      <c r="W52" s="17">
        <f t="shared" ref="W52" si="49">IF(W10=0,0,W10/W$3)</f>
        <v>8.208375673271158E-3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5.4988638311245775E-4</v>
      </c>
      <c r="C53" s="104">
        <f t="shared" si="50"/>
        <v>5.3701427929043241E-4</v>
      </c>
      <c r="D53" s="104">
        <f t="shared" ref="D53:V53" si="51">IF(D11=0,0,D11/D$3)</f>
        <v>5.6110453684356232E-4</v>
      </c>
      <c r="E53" s="104">
        <f t="shared" si="51"/>
        <v>4.5070313856537109E-4</v>
      </c>
      <c r="F53" s="104">
        <f t="shared" si="51"/>
        <v>4.1318307957409652E-4</v>
      </c>
      <c r="G53" s="104">
        <f t="shared" si="51"/>
        <v>1.8305066346776183E-4</v>
      </c>
      <c r="H53" s="104">
        <f t="shared" si="51"/>
        <v>6.8343591584892665E-5</v>
      </c>
      <c r="I53" s="104">
        <f t="shared" si="51"/>
        <v>1.806825458257206E-3</v>
      </c>
      <c r="J53" s="104">
        <f t="shared" si="51"/>
        <v>9.5079208959888994E-4</v>
      </c>
      <c r="K53" s="104">
        <f t="shared" si="51"/>
        <v>6.344687716127236E-4</v>
      </c>
      <c r="L53" s="104">
        <f t="shared" si="51"/>
        <v>4.6874530087622526E-4</v>
      </c>
      <c r="M53" s="104">
        <f t="shared" si="51"/>
        <v>2.6941295702679604E-4</v>
      </c>
      <c r="N53" s="104">
        <f t="shared" si="51"/>
        <v>1.3079684189683691E-4</v>
      </c>
      <c r="O53" s="104">
        <f t="shared" si="51"/>
        <v>8.9908089698314769E-5</v>
      </c>
      <c r="P53" s="104">
        <f t="shared" si="51"/>
        <v>2.9006885577348767E-5</v>
      </c>
      <c r="Q53" s="104">
        <f t="shared" si="51"/>
        <v>2.2553819031796546E-5</v>
      </c>
      <c r="R53" s="104">
        <f t="shared" si="51"/>
        <v>2.4613007532988118E-5</v>
      </c>
      <c r="S53" s="104">
        <f t="shared" si="51"/>
        <v>1.0620833233183075E-4</v>
      </c>
      <c r="T53" s="104">
        <f t="shared" si="51"/>
        <v>4.0296339978122689E-4</v>
      </c>
      <c r="U53" s="104">
        <f t="shared" si="51"/>
        <v>6.4352145209845295E-4</v>
      </c>
      <c r="V53" s="104">
        <f t="shared" si="51"/>
        <v>2.8903592693390891E-3</v>
      </c>
      <c r="W53" s="104">
        <f t="shared" ref="W53" si="52">IF(W11=0,0,W11/W$3)</f>
        <v>2.732938308596152E-3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1.1487715648429578E-2</v>
      </c>
      <c r="C54" s="104">
        <f t="shared" si="53"/>
        <v>1.0971526629442887E-2</v>
      </c>
      <c r="D54" s="104">
        <f t="shared" ref="D54:V54" si="54">IF(D12=0,0,D12/D$3)</f>
        <v>1.193573101881777E-2</v>
      </c>
      <c r="E54" s="104">
        <f t="shared" si="54"/>
        <v>9.5385222754811975E-3</v>
      </c>
      <c r="F54" s="104">
        <f t="shared" si="54"/>
        <v>8.7717963734030065E-3</v>
      </c>
      <c r="G54" s="104">
        <f t="shared" si="54"/>
        <v>6.8555816463100839E-3</v>
      </c>
      <c r="H54" s="104">
        <f t="shared" si="54"/>
        <v>6.5786347528415078E-3</v>
      </c>
      <c r="I54" s="104">
        <f t="shared" si="54"/>
        <v>2.9617794935771829E-3</v>
      </c>
      <c r="J54" s="104">
        <f t="shared" si="54"/>
        <v>4.1166906689720792E-3</v>
      </c>
      <c r="K54" s="104">
        <f t="shared" si="54"/>
        <v>4.8535563471175163E-3</v>
      </c>
      <c r="L54" s="104">
        <f t="shared" si="54"/>
        <v>4.8319196127220116E-3</v>
      </c>
      <c r="M54" s="104">
        <f t="shared" si="54"/>
        <v>5.7835594833636136E-3</v>
      </c>
      <c r="N54" s="104">
        <f t="shared" si="54"/>
        <v>6.6435247634536541E-3</v>
      </c>
      <c r="O54" s="104">
        <f t="shared" si="54"/>
        <v>7.0046741158268878E-3</v>
      </c>
      <c r="P54" s="104">
        <f t="shared" si="54"/>
        <v>7.399620813906293E-3</v>
      </c>
      <c r="Q54" s="104">
        <f t="shared" si="54"/>
        <v>6.917811504185801E-3</v>
      </c>
      <c r="R54" s="104">
        <f t="shared" si="54"/>
        <v>6.5397927664672577E-3</v>
      </c>
      <c r="S54" s="104">
        <f t="shared" si="54"/>
        <v>6.9746379013565108E-3</v>
      </c>
      <c r="T54" s="104">
        <f t="shared" si="54"/>
        <v>5.0525000623470708E-3</v>
      </c>
      <c r="U54" s="104">
        <f t="shared" si="54"/>
        <v>3.0983122738001117E-3</v>
      </c>
      <c r="V54" s="104">
        <f t="shared" si="54"/>
        <v>5.9611080476617275E-3</v>
      </c>
      <c r="W54" s="104">
        <f t="shared" ref="W54" si="55">IF(W12=0,0,W12/W$3)</f>
        <v>5.0959320201600941E-3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2.8689766972063136E-3</v>
      </c>
      <c r="C55" s="105">
        <f t="shared" si="56"/>
        <v>3.1846439660970331E-3</v>
      </c>
      <c r="D55" s="105">
        <f t="shared" ref="D55:V55" si="57">IF(D13=0,0,D13/D$3)</f>
        <v>3.8409584111324911E-3</v>
      </c>
      <c r="E55" s="105">
        <f t="shared" si="57"/>
        <v>3.4405951923501994E-3</v>
      </c>
      <c r="F55" s="105">
        <f t="shared" si="57"/>
        <v>2.6853170971432552E-3</v>
      </c>
      <c r="G55" s="105">
        <f t="shared" si="57"/>
        <v>1.0878735447401955E-3</v>
      </c>
      <c r="H55" s="105">
        <f t="shared" si="57"/>
        <v>1.0684721639308422E-3</v>
      </c>
      <c r="I55" s="105">
        <f t="shared" si="57"/>
        <v>7.4814172293957758E-4</v>
      </c>
      <c r="J55" s="105">
        <f t="shared" si="57"/>
        <v>9.7539224037396309E-4</v>
      </c>
      <c r="K55" s="105">
        <f t="shared" si="57"/>
        <v>7.8326000608997773E-4</v>
      </c>
      <c r="L55" s="105">
        <f t="shared" si="57"/>
        <v>8.8551225826728687E-4</v>
      </c>
      <c r="M55" s="105">
        <f t="shared" si="57"/>
        <v>1.7073191382254817E-3</v>
      </c>
      <c r="N55" s="105">
        <f t="shared" si="57"/>
        <v>3.6204278154386232E-3</v>
      </c>
      <c r="O55" s="105">
        <f t="shared" si="57"/>
        <v>3.2329212936750462E-3</v>
      </c>
      <c r="P55" s="105">
        <f t="shared" si="57"/>
        <v>1.3375679032768559E-3</v>
      </c>
      <c r="Q55" s="105">
        <f t="shared" si="57"/>
        <v>8.0213732046528839E-4</v>
      </c>
      <c r="R55" s="105">
        <f t="shared" si="57"/>
        <v>4.6881297855028506E-4</v>
      </c>
      <c r="S55" s="105">
        <f t="shared" si="57"/>
        <v>3.3082967495073711E-4</v>
      </c>
      <c r="T55" s="105">
        <f t="shared" si="57"/>
        <v>1.7102485048529182E-4</v>
      </c>
      <c r="U55" s="105">
        <f t="shared" si="57"/>
        <v>2.3110828631233788E-4</v>
      </c>
      <c r="V55" s="105">
        <f t="shared" si="57"/>
        <v>8.0568786614551547E-4</v>
      </c>
      <c r="W55" s="105">
        <f t="shared" ref="W55" si="58">IF(W13=0,0,W13/W$3)</f>
        <v>3.7950534451491083E-4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342.93624268006914</v>
      </c>
      <c r="C57" s="62">
        <v>337.64493777415265</v>
      </c>
      <c r="D57" s="62">
        <v>336.28022914260566</v>
      </c>
      <c r="E57" s="62">
        <v>335.13717584386279</v>
      </c>
      <c r="F57" s="62">
        <v>352.05450301973582</v>
      </c>
      <c r="G57" s="62">
        <v>349.55756372132288</v>
      </c>
      <c r="H57" s="62">
        <v>350.47270770181774</v>
      </c>
      <c r="I57" s="62">
        <v>346.35641636880337</v>
      </c>
      <c r="J57" s="62">
        <v>346.19925362905502</v>
      </c>
      <c r="K57" s="62">
        <v>347.24920868103749</v>
      </c>
      <c r="L57" s="62">
        <v>350.36625893767484</v>
      </c>
      <c r="M57" s="62">
        <v>348.93477702926992</v>
      </c>
      <c r="N57" s="62">
        <v>349.09367335281036</v>
      </c>
      <c r="O57" s="62">
        <v>347.62474018904174</v>
      </c>
      <c r="P57" s="62">
        <v>345.61783598667677</v>
      </c>
      <c r="Q57" s="62">
        <v>344.28445212761267</v>
      </c>
      <c r="R57" s="62">
        <v>346.48739813815598</v>
      </c>
      <c r="S57" s="62">
        <v>347.84933252857701</v>
      </c>
      <c r="T57" s="62">
        <v>350.48217085642642</v>
      </c>
      <c r="U57" s="62">
        <v>348.62112034256654</v>
      </c>
      <c r="V57" s="62">
        <v>346.81400225839559</v>
      </c>
      <c r="W57" s="62">
        <v>347.91096654618406</v>
      </c>
      <c r="DA57" s="172" t="s">
        <v>313</v>
      </c>
    </row>
    <row r="58" spans="1:105" ht="11.45" customHeight="1" x14ac:dyDescent="0.25">
      <c r="A58" s="10" t="s">
        <v>33</v>
      </c>
      <c r="B58" s="14">
        <v>341.97365879606525</v>
      </c>
      <c r="C58" s="14">
        <v>336.59642130026623</v>
      </c>
      <c r="D58" s="14">
        <v>335.06068280166392</v>
      </c>
      <c r="E58" s="14">
        <v>334.09786233238867</v>
      </c>
      <c r="F58" s="14">
        <v>351.32984935115178</v>
      </c>
      <c r="G58" s="14">
        <v>349.15704481014171</v>
      </c>
      <c r="H58" s="14">
        <v>350.0228471558749</v>
      </c>
      <c r="I58" s="14">
        <v>345.98088025563385</v>
      </c>
      <c r="J58" s="14">
        <v>345.7234482615919</v>
      </c>
      <c r="K58" s="14">
        <v>346.88942471758196</v>
      </c>
      <c r="L58" s="14">
        <v>350.00455062139133</v>
      </c>
      <c r="M58" s="14">
        <v>348.42983681379837</v>
      </c>
      <c r="N58" s="14">
        <v>348.03680828320842</v>
      </c>
      <c r="O58" s="14">
        <v>346.98146153633473</v>
      </c>
      <c r="P58" s="14">
        <v>345.46881473413896</v>
      </c>
      <c r="Q58" s="14">
        <v>344.26959153793069</v>
      </c>
      <c r="R58" s="14">
        <v>346.53777660039617</v>
      </c>
      <c r="S58" s="14">
        <v>347.91150609698542</v>
      </c>
      <c r="T58" s="14">
        <v>350.49908373188674</v>
      </c>
      <c r="U58" s="14">
        <v>348.53584130207162</v>
      </c>
      <c r="V58" s="14">
        <v>346.61520403821112</v>
      </c>
      <c r="W58" s="14">
        <v>347.8081136036094</v>
      </c>
      <c r="DA58" s="189" t="s">
        <v>314</v>
      </c>
    </row>
    <row r="59" spans="1:105" ht="11.45" customHeight="1" x14ac:dyDescent="0.25">
      <c r="A59" s="83" t="s">
        <v>27</v>
      </c>
      <c r="B59" s="87">
        <v>616.92492486232481</v>
      </c>
      <c r="C59" s="87">
        <v>616.92492486232481</v>
      </c>
      <c r="D59" s="87">
        <v>616.92492486232481</v>
      </c>
      <c r="E59" s="87">
        <v>616.92492486232481</v>
      </c>
      <c r="F59" s="87">
        <v>616.92492486232481</v>
      </c>
      <c r="G59" s="87">
        <v>625.10139576200288</v>
      </c>
      <c r="H59" s="87">
        <v>628.40719494471875</v>
      </c>
      <c r="I59" s="87">
        <v>618.20749792195181</v>
      </c>
      <c r="J59" s="87">
        <v>600.28879359013945</v>
      </c>
      <c r="K59" s="87">
        <v>587.93274502024917</v>
      </c>
      <c r="L59" s="87">
        <v>582.59447063330833</v>
      </c>
      <c r="M59" s="87">
        <v>570.50105775683744</v>
      </c>
      <c r="N59" s="87">
        <v>554.40626780090588</v>
      </c>
      <c r="O59" s="87">
        <v>575.09792718501592</v>
      </c>
      <c r="P59" s="87">
        <v>573.89595485614529</v>
      </c>
      <c r="Q59" s="87">
        <v>573.55324075731539</v>
      </c>
      <c r="R59" s="87">
        <v>571.65573127773735</v>
      </c>
      <c r="S59" s="87">
        <v>567.62529567363606</v>
      </c>
      <c r="T59" s="87">
        <v>566.60534541569064</v>
      </c>
      <c r="U59" s="87">
        <v>562.05849856982275</v>
      </c>
      <c r="V59" s="87">
        <v>576.78614465697694</v>
      </c>
      <c r="W59" s="87">
        <v>583.77318379917131</v>
      </c>
      <c r="DA59" s="171" t="s">
        <v>315</v>
      </c>
    </row>
    <row r="60" spans="1:105" ht="11.45" customHeight="1" x14ac:dyDescent="0.25">
      <c r="A60" s="83" t="s">
        <v>173</v>
      </c>
      <c r="B60" s="87">
        <v>322.32039306258935</v>
      </c>
      <c r="C60" s="87">
        <v>322.32184307186014</v>
      </c>
      <c r="D60" s="87">
        <v>322.32400452466851</v>
      </c>
      <c r="E60" s="87">
        <v>322.32777316916304</v>
      </c>
      <c r="F60" s="87">
        <v>322.33027442558733</v>
      </c>
      <c r="G60" s="87">
        <v>320.83471304677761</v>
      </c>
      <c r="H60" s="87">
        <v>322.4466881328915</v>
      </c>
      <c r="I60" s="87">
        <v>320.75746940123366</v>
      </c>
      <c r="J60" s="87">
        <v>320.19414261362397</v>
      </c>
      <c r="K60" s="87">
        <v>320.60812760172109</v>
      </c>
      <c r="L60" s="87">
        <v>321.16965238960358</v>
      </c>
      <c r="M60" s="87">
        <v>321.10277027385837</v>
      </c>
      <c r="N60" s="87">
        <v>320.3705880623462</v>
      </c>
      <c r="O60" s="87">
        <v>319.74479415908422</v>
      </c>
      <c r="P60" s="87">
        <v>319.43067218135332</v>
      </c>
      <c r="Q60" s="87">
        <v>319.22249662717968</v>
      </c>
      <c r="R60" s="87">
        <v>319.2830499062984</v>
      </c>
      <c r="S60" s="87">
        <v>319.10937732935838</v>
      </c>
      <c r="T60" s="87">
        <v>319.38333535066857</v>
      </c>
      <c r="U60" s="87">
        <v>317.76196231158531</v>
      </c>
      <c r="V60" s="87">
        <v>317.57152477246109</v>
      </c>
      <c r="W60" s="87">
        <v>317.40924746814289</v>
      </c>
      <c r="DA60" s="171" t="s">
        <v>316</v>
      </c>
    </row>
    <row r="61" spans="1:105" ht="11.45" customHeight="1" x14ac:dyDescent="0.25">
      <c r="A61" s="83" t="s">
        <v>174</v>
      </c>
      <c r="B61" s="87">
        <v>357.79719039831724</v>
      </c>
      <c r="C61" s="87">
        <v>357.79719039831724</v>
      </c>
      <c r="D61" s="87">
        <v>357.79719039831724</v>
      </c>
      <c r="E61" s="87">
        <v>357.79719039831718</v>
      </c>
      <c r="F61" s="87">
        <v>357.79719039831724</v>
      </c>
      <c r="G61" s="87">
        <v>363.05823288455906</v>
      </c>
      <c r="H61" s="87">
        <v>369.73796251657865</v>
      </c>
      <c r="I61" s="87">
        <v>367.46621436891354</v>
      </c>
      <c r="J61" s="87">
        <v>372.47903436213323</v>
      </c>
      <c r="K61" s="87">
        <v>381.90229655213159</v>
      </c>
      <c r="L61" s="87">
        <v>390.40292691724284</v>
      </c>
      <c r="M61" s="87">
        <v>398.5179365569474</v>
      </c>
      <c r="N61" s="87">
        <v>398.80650599520931</v>
      </c>
      <c r="O61" s="87">
        <v>396.72791524089803</v>
      </c>
      <c r="P61" s="87">
        <v>397.38560166408729</v>
      </c>
      <c r="Q61" s="87">
        <v>402.49161762704409</v>
      </c>
      <c r="R61" s="87">
        <v>406.58323732846259</v>
      </c>
      <c r="S61" s="87">
        <v>412.24978254994005</v>
      </c>
      <c r="T61" s="87">
        <v>417.70640227409365</v>
      </c>
      <c r="U61" s="87">
        <v>414.68922164127935</v>
      </c>
      <c r="V61" s="87">
        <v>416.75024896499446</v>
      </c>
      <c r="W61" s="87">
        <v>415.2654706773655</v>
      </c>
      <c r="DA61" s="171" t="s">
        <v>317</v>
      </c>
    </row>
    <row r="62" spans="1:105" ht="11.45" customHeight="1" x14ac:dyDescent="0.25">
      <c r="A62" s="12" t="s">
        <v>34</v>
      </c>
      <c r="B62" s="15">
        <v>423.77445571287706</v>
      </c>
      <c r="C62" s="15">
        <v>426.56812165896565</v>
      </c>
      <c r="D62" s="15">
        <v>428.50985412882989</v>
      </c>
      <c r="E62" s="15">
        <v>430.30041140460997</v>
      </c>
      <c r="F62" s="15">
        <v>427.53543168566347</v>
      </c>
      <c r="G62" s="15">
        <v>413.88695324188427</v>
      </c>
      <c r="H62" s="15">
        <v>430.08169080337541</v>
      </c>
      <c r="I62" s="15">
        <v>425.81100344862233</v>
      </c>
      <c r="J62" s="15">
        <v>419.35857082300669</v>
      </c>
      <c r="K62" s="15">
        <v>397.64786211789152</v>
      </c>
      <c r="L62" s="15">
        <v>397.21834898934293</v>
      </c>
      <c r="M62" s="15">
        <v>406.77475690212896</v>
      </c>
      <c r="N62" s="15">
        <v>446.79369954176957</v>
      </c>
      <c r="O62" s="15">
        <v>403.25089236992511</v>
      </c>
      <c r="P62" s="15">
        <v>361.61485523031212</v>
      </c>
      <c r="Q62" s="15">
        <v>345.89022436292402</v>
      </c>
      <c r="R62" s="15">
        <v>340.36206486948907</v>
      </c>
      <c r="S62" s="15">
        <v>340.47670151710548</v>
      </c>
      <c r="T62" s="15">
        <v>348.24972450664723</v>
      </c>
      <c r="U62" s="15">
        <v>365.43999348598271</v>
      </c>
      <c r="V62" s="15">
        <v>363.15388875787528</v>
      </c>
      <c r="W62" s="15">
        <v>359.80542570385717</v>
      </c>
      <c r="DA62" s="193" t="s">
        <v>318</v>
      </c>
    </row>
    <row r="63" spans="1:105" ht="11.45" customHeight="1" x14ac:dyDescent="0.25">
      <c r="A63" s="92" t="s">
        <v>27</v>
      </c>
      <c r="B63" s="101">
        <v>671.65276714796607</v>
      </c>
      <c r="C63" s="101">
        <v>671.65276714796607</v>
      </c>
      <c r="D63" s="101">
        <v>671.65276714796607</v>
      </c>
      <c r="E63" s="101">
        <v>671.65276714796596</v>
      </c>
      <c r="F63" s="101">
        <v>671.65276714796607</v>
      </c>
      <c r="G63" s="101">
        <v>681.89902211637775</v>
      </c>
      <c r="H63" s="101">
        <v>745.23981098115632</v>
      </c>
      <c r="I63" s="101">
        <v>799.20793198677802</v>
      </c>
      <c r="J63" s="101">
        <v>844.34305787430947</v>
      </c>
      <c r="K63" s="101">
        <v>908.63779181394432</v>
      </c>
      <c r="L63" s="101">
        <v>1010.212303459055</v>
      </c>
      <c r="M63" s="101">
        <v>806.60366555183452</v>
      </c>
      <c r="N63" s="101">
        <v>672.44697580547302</v>
      </c>
      <c r="O63" s="101">
        <v>687.52069467976935</v>
      </c>
      <c r="P63" s="101">
        <v>667.12065833722238</v>
      </c>
      <c r="Q63" s="101">
        <v>649.38349828287426</v>
      </c>
      <c r="R63" s="101">
        <v>630.78936623333766</v>
      </c>
      <c r="S63" s="101">
        <v>610.90236112996672</v>
      </c>
      <c r="T63" s="101">
        <v>595.95737796459537</v>
      </c>
      <c r="U63" s="101">
        <v>608.16579222333644</v>
      </c>
      <c r="V63" s="101">
        <v>626.48587399181076</v>
      </c>
      <c r="W63" s="101">
        <v>635.22402798541566</v>
      </c>
      <c r="DA63" s="175" t="s">
        <v>319</v>
      </c>
    </row>
    <row r="64" spans="1:105" ht="11.45" customHeight="1" x14ac:dyDescent="0.25">
      <c r="A64" s="92" t="s">
        <v>173</v>
      </c>
      <c r="B64" s="101">
        <v>402.87457407070463</v>
      </c>
      <c r="C64" s="101">
        <v>403.29261268649987</v>
      </c>
      <c r="D64" s="101">
        <v>403.49493286563819</v>
      </c>
      <c r="E64" s="101">
        <v>403.11797425064384</v>
      </c>
      <c r="F64" s="101">
        <v>403.36359847522453</v>
      </c>
      <c r="G64" s="101">
        <v>400.93704378191944</v>
      </c>
      <c r="H64" s="101">
        <v>416.44887039330388</v>
      </c>
      <c r="I64" s="101">
        <v>391.19791159269744</v>
      </c>
      <c r="J64" s="101">
        <v>379.20109234594071</v>
      </c>
      <c r="K64" s="101">
        <v>369.3045307000998</v>
      </c>
      <c r="L64" s="101">
        <v>363.35926467737386</v>
      </c>
      <c r="M64" s="101">
        <v>351.8067538715926</v>
      </c>
      <c r="N64" s="101">
        <v>345.47609361887942</v>
      </c>
      <c r="O64" s="101">
        <v>341.87905610567935</v>
      </c>
      <c r="P64" s="101">
        <v>340.56827969793864</v>
      </c>
      <c r="Q64" s="101">
        <v>340.7664416544124</v>
      </c>
      <c r="R64" s="101">
        <v>340.41057649657478</v>
      </c>
      <c r="S64" s="101">
        <v>338.59964619192107</v>
      </c>
      <c r="T64" s="101">
        <v>338.98784634914625</v>
      </c>
      <c r="U64" s="101">
        <v>345.04483799599046</v>
      </c>
      <c r="V64" s="101">
        <v>346.33481912736465</v>
      </c>
      <c r="W64" s="101">
        <v>342.87558398305981</v>
      </c>
      <c r="DA64" s="175" t="s">
        <v>320</v>
      </c>
    </row>
    <row r="65" spans="1:105" ht="11.45" customHeight="1" x14ac:dyDescent="0.25">
      <c r="A65" s="85" t="s">
        <v>174</v>
      </c>
      <c r="B65" s="88">
        <v>488.99397937384651</v>
      </c>
      <c r="C65" s="88">
        <v>488.99397937384651</v>
      </c>
      <c r="D65" s="88">
        <v>488.99397937384651</v>
      </c>
      <c r="E65" s="88">
        <v>488.99397937384646</v>
      </c>
      <c r="F65" s="88">
        <v>488.99397937384651</v>
      </c>
      <c r="G65" s="88">
        <v>481.99714621018995</v>
      </c>
      <c r="H65" s="88">
        <v>500.81556105393332</v>
      </c>
      <c r="I65" s="88">
        <v>541.38887785778161</v>
      </c>
      <c r="J65" s="88">
        <v>574.6425640548847</v>
      </c>
      <c r="K65" s="88">
        <v>592.7239595387548</v>
      </c>
      <c r="L65" s="88">
        <v>617.72676731772663</v>
      </c>
      <c r="M65" s="88">
        <v>637.32773385885878</v>
      </c>
      <c r="N65" s="88">
        <v>687.68860633349664</v>
      </c>
      <c r="O65" s="88">
        <v>549.94691130447904</v>
      </c>
      <c r="P65" s="88">
        <v>451.2868892032094</v>
      </c>
      <c r="Q65" s="88">
        <v>375.76482838881071</v>
      </c>
      <c r="R65" s="88">
        <v>339.99837697489312</v>
      </c>
      <c r="S65" s="88">
        <v>359.45787389844611</v>
      </c>
      <c r="T65" s="88">
        <v>519.55685072733547</v>
      </c>
      <c r="U65" s="88">
        <v>526.5058317753444</v>
      </c>
      <c r="V65" s="88">
        <v>476.89300412507288</v>
      </c>
      <c r="W65" s="88">
        <v>506.49620324535528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1.3810022210003972</v>
      </c>
      <c r="C67" s="59">
        <f t="shared" ref="C67:W67" si="60">IF(C3=0,0,C17/C57)</f>
        <v>1.3994474365153315</v>
      </c>
      <c r="D67" s="59">
        <f t="shared" si="60"/>
        <v>1.4010948196596433</v>
      </c>
      <c r="E67" s="59">
        <f t="shared" si="60"/>
        <v>1.4074236996970002</v>
      </c>
      <c r="F67" s="59">
        <f t="shared" si="60"/>
        <v>1.3463017681862013</v>
      </c>
      <c r="G67" s="59">
        <f t="shared" si="60"/>
        <v>0.95729868407078389</v>
      </c>
      <c r="H67" s="59">
        <f t="shared" si="60"/>
        <v>0.94187133989141103</v>
      </c>
      <c r="I67" s="59">
        <f t="shared" si="60"/>
        <v>0.9757028107374216</v>
      </c>
      <c r="J67" s="59">
        <f t="shared" si="60"/>
        <v>0.88933214771609681</v>
      </c>
      <c r="K67" s="59">
        <f t="shared" si="60"/>
        <v>0.94058172808656704</v>
      </c>
      <c r="L67" s="59">
        <f t="shared" si="60"/>
        <v>1.069588858284271</v>
      </c>
      <c r="M67" s="59">
        <f t="shared" si="60"/>
        <v>0.87211501426509397</v>
      </c>
      <c r="N67" s="59">
        <f t="shared" si="60"/>
        <v>0.71493787459373193</v>
      </c>
      <c r="O67" s="59">
        <f t="shared" si="60"/>
        <v>0.86990405511970603</v>
      </c>
      <c r="P67" s="59">
        <f t="shared" si="60"/>
        <v>0.89827734731612541</v>
      </c>
      <c r="Q67" s="59">
        <f t="shared" si="60"/>
        <v>0.96421332983475327</v>
      </c>
      <c r="R67" s="59">
        <f t="shared" si="60"/>
        <v>0.96628024629680442</v>
      </c>
      <c r="S67" s="59">
        <f t="shared" si="60"/>
        <v>1.0376274520693853</v>
      </c>
      <c r="T67" s="59">
        <f t="shared" si="60"/>
        <v>0.4740883979895939</v>
      </c>
      <c r="U67" s="59">
        <f t="shared" si="60"/>
        <v>0.51280715414556877</v>
      </c>
      <c r="V67" s="59">
        <f t="shared" si="60"/>
        <v>0.51479304313412144</v>
      </c>
      <c r="W67" s="59">
        <f t="shared" si="60"/>
        <v>0.50566981974849989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1.3811398919269382</v>
      </c>
      <c r="C68" s="23">
        <f t="shared" ref="C68:W68" si="62">IF(C6=0,0,C18/C58)</f>
        <v>1.4001376861553747</v>
      </c>
      <c r="D68" s="23">
        <f t="shared" si="62"/>
        <v>1.4021919659687387</v>
      </c>
      <c r="E68" s="23">
        <f t="shared" si="62"/>
        <v>1.4086038364634141</v>
      </c>
      <c r="F68" s="23">
        <f t="shared" si="62"/>
        <v>1.3463376601326638</v>
      </c>
      <c r="G68" s="23">
        <f t="shared" si="62"/>
        <v>0.95666010688335334</v>
      </c>
      <c r="H68" s="23">
        <f t="shared" si="62"/>
        <v>0.94135532138076961</v>
      </c>
      <c r="I68" s="23">
        <f t="shared" si="62"/>
        <v>0.97616188936395309</v>
      </c>
      <c r="J68" s="23">
        <f t="shared" si="62"/>
        <v>0.89102610711023766</v>
      </c>
      <c r="K68" s="23">
        <f t="shared" si="62"/>
        <v>0.94239919090249546</v>
      </c>
      <c r="L68" s="23">
        <f t="shared" si="62"/>
        <v>1.0723375283911849</v>
      </c>
      <c r="M68" s="23">
        <f t="shared" si="62"/>
        <v>0.87419828152011614</v>
      </c>
      <c r="N68" s="23">
        <f t="shared" si="62"/>
        <v>0.71735350925535257</v>
      </c>
      <c r="O68" s="23">
        <f t="shared" si="62"/>
        <v>0.87250925502818688</v>
      </c>
      <c r="P68" s="23">
        <f t="shared" si="62"/>
        <v>0.899096359802391</v>
      </c>
      <c r="Q68" s="23">
        <f t="shared" si="62"/>
        <v>0.9656513376670659</v>
      </c>
      <c r="R68" s="23">
        <f t="shared" si="62"/>
        <v>0.96724843686778217</v>
      </c>
      <c r="S68" s="23">
        <f t="shared" si="62"/>
        <v>1.0384838928030136</v>
      </c>
      <c r="T68" s="23">
        <f t="shared" si="62"/>
        <v>0.47500455599258989</v>
      </c>
      <c r="U68" s="23">
        <f t="shared" si="62"/>
        <v>0.51353809362829705</v>
      </c>
      <c r="V68" s="23">
        <f t="shared" si="62"/>
        <v>0.51649253014271468</v>
      </c>
      <c r="W68" s="23">
        <f t="shared" si="62"/>
        <v>0.5061619492575623</v>
      </c>
      <c r="DA68" s="189"/>
    </row>
    <row r="69" spans="1:105" ht="11.45" customHeight="1" x14ac:dyDescent="0.25">
      <c r="A69" s="83" t="s">
        <v>27</v>
      </c>
      <c r="B69" s="91">
        <f t="shared" si="61"/>
        <v>0.82437708726719172</v>
      </c>
      <c r="C69" s="91">
        <f t="shared" ref="C69:W69" si="63">IF(C7=0,0,C19/C59)</f>
        <v>0.81650242300322828</v>
      </c>
      <c r="D69" s="91">
        <f t="shared" si="63"/>
        <v>0.81003072478931382</v>
      </c>
      <c r="E69" s="91">
        <f t="shared" si="63"/>
        <v>0.81001481231507544</v>
      </c>
      <c r="F69" s="91">
        <f t="shared" si="63"/>
        <v>0.82661105098721555</v>
      </c>
      <c r="G69" s="91">
        <f t="shared" si="63"/>
        <v>0.64530322337653989</v>
      </c>
      <c r="H69" s="91">
        <f t="shared" si="63"/>
        <v>0.10891817369015323</v>
      </c>
      <c r="I69" s="91">
        <f t="shared" si="63"/>
        <v>3.7770922070597712</v>
      </c>
      <c r="J69" s="91">
        <f t="shared" si="63"/>
        <v>3.2646139312880971</v>
      </c>
      <c r="K69" s="91">
        <f t="shared" si="63"/>
        <v>3.1939533313347366</v>
      </c>
      <c r="L69" s="91">
        <f t="shared" si="63"/>
        <v>3.5884417521583276</v>
      </c>
      <c r="M69" s="91">
        <f t="shared" si="63"/>
        <v>2.8032651858244022</v>
      </c>
      <c r="N69" s="91">
        <f t="shared" si="63"/>
        <v>1.5733598763948493</v>
      </c>
      <c r="O69" s="91">
        <f t="shared" si="63"/>
        <v>1.8511189311084353</v>
      </c>
      <c r="P69" s="91">
        <f t="shared" si="63"/>
        <v>1.0816269961989848</v>
      </c>
      <c r="Q69" s="91">
        <f t="shared" si="63"/>
        <v>1.4755283749380399</v>
      </c>
      <c r="R69" s="91">
        <f t="shared" si="63"/>
        <v>0.93573842211321101</v>
      </c>
      <c r="S69" s="91">
        <f t="shared" si="63"/>
        <v>1.3828404929697631</v>
      </c>
      <c r="T69" s="91">
        <f t="shared" si="63"/>
        <v>1.5215111352949438</v>
      </c>
      <c r="U69" s="91">
        <f t="shared" si="63"/>
        <v>1.8378331848313918</v>
      </c>
      <c r="V69" s="91">
        <f t="shared" si="63"/>
        <v>2.46988999777433</v>
      </c>
      <c r="W69" s="91">
        <f t="shared" si="63"/>
        <v>2.4469808664347288</v>
      </c>
      <c r="DA69" s="171"/>
    </row>
    <row r="70" spans="1:105" ht="11.45" customHeight="1" x14ac:dyDescent="0.25">
      <c r="A70" s="83" t="s">
        <v>173</v>
      </c>
      <c r="B70" s="91">
        <f t="shared" si="61"/>
        <v>1.5256755836780844</v>
      </c>
      <c r="C70" s="91">
        <f t="shared" ref="C70:W70" si="64">IF(C8=0,0,C20/C60)</f>
        <v>1.5250801483032803</v>
      </c>
      <c r="D70" s="91">
        <f t="shared" si="64"/>
        <v>1.5212178475291156</v>
      </c>
      <c r="E70" s="91">
        <f t="shared" si="64"/>
        <v>1.5243847340892485</v>
      </c>
      <c r="F70" s="91">
        <f t="shared" si="64"/>
        <v>1.5239940535336549</v>
      </c>
      <c r="G70" s="91">
        <f t="shared" si="64"/>
        <v>1.0381063167738256</v>
      </c>
      <c r="H70" s="91">
        <f t="shared" si="64"/>
        <v>1.0971068419808798</v>
      </c>
      <c r="I70" s="91">
        <f t="shared" si="64"/>
        <v>0.69303942787887007</v>
      </c>
      <c r="J70" s="91">
        <f t="shared" si="64"/>
        <v>0.66516950796465413</v>
      </c>
      <c r="K70" s="91">
        <f t="shared" si="64"/>
        <v>0.70022791791409833</v>
      </c>
      <c r="L70" s="91">
        <f t="shared" si="64"/>
        <v>0.75923221887174708</v>
      </c>
      <c r="M70" s="91">
        <f t="shared" si="64"/>
        <v>0.646495515852473</v>
      </c>
      <c r="N70" s="91">
        <f t="shared" si="64"/>
        <v>0.65177654556212494</v>
      </c>
      <c r="O70" s="91">
        <f t="shared" si="64"/>
        <v>0.8007171397066104</v>
      </c>
      <c r="P70" s="91">
        <f t="shared" si="64"/>
        <v>0.95751145430665641</v>
      </c>
      <c r="Q70" s="91">
        <f t="shared" si="64"/>
        <v>1.004107796167953</v>
      </c>
      <c r="R70" s="91">
        <f t="shared" si="64"/>
        <v>1.0768576051409207</v>
      </c>
      <c r="S70" s="91">
        <f t="shared" si="64"/>
        <v>1.1278749507624528</v>
      </c>
      <c r="T70" s="91">
        <f t="shared" si="64"/>
        <v>0.43521162331104662</v>
      </c>
      <c r="U70" s="91">
        <f t="shared" si="64"/>
        <v>0.47003813124379601</v>
      </c>
      <c r="V70" s="91">
        <f t="shared" si="64"/>
        <v>0.33597325105933395</v>
      </c>
      <c r="W70" s="91">
        <f t="shared" si="64"/>
        <v>0.40822023095734072</v>
      </c>
      <c r="DA70" s="171"/>
    </row>
    <row r="71" spans="1:105" ht="11.45" customHeight="1" x14ac:dyDescent="0.25">
      <c r="A71" s="83" t="s">
        <v>174</v>
      </c>
      <c r="B71" s="91">
        <f t="shared" si="61"/>
        <v>1.0816063261729749</v>
      </c>
      <c r="C71" s="91">
        <f t="shared" ref="C71:W71" si="65">IF(C9=0,0,C21/C61)</f>
        <v>1.0808163972451796</v>
      </c>
      <c r="D71" s="91">
        <f t="shared" si="65"/>
        <v>1.0774889078913839</v>
      </c>
      <c r="E71" s="91">
        <f t="shared" si="65"/>
        <v>1.0787683678262745</v>
      </c>
      <c r="F71" s="91">
        <f t="shared" si="65"/>
        <v>1.0777788856035384</v>
      </c>
      <c r="G71" s="91">
        <f t="shared" si="65"/>
        <v>0.84906403828820232</v>
      </c>
      <c r="H71" s="91">
        <f t="shared" si="65"/>
        <v>0.86203739336474594</v>
      </c>
      <c r="I71" s="91">
        <f t="shared" si="65"/>
        <v>0.47871737931708785</v>
      </c>
      <c r="J71" s="91">
        <f t="shared" si="65"/>
        <v>0.43740244373044135</v>
      </c>
      <c r="K71" s="91">
        <f t="shared" si="65"/>
        <v>0.53335486150987133</v>
      </c>
      <c r="L71" s="91">
        <f t="shared" si="65"/>
        <v>0.58534606513593257</v>
      </c>
      <c r="M71" s="91">
        <f t="shared" si="65"/>
        <v>0.54366866503033817</v>
      </c>
      <c r="N71" s="91">
        <f t="shared" si="65"/>
        <v>0.46079533090459085</v>
      </c>
      <c r="O71" s="91">
        <f t="shared" si="65"/>
        <v>0.5857771423527699</v>
      </c>
      <c r="P71" s="91">
        <f t="shared" si="65"/>
        <v>0.58275986768889554</v>
      </c>
      <c r="Q71" s="91">
        <f t="shared" si="65"/>
        <v>0.58652959562984641</v>
      </c>
      <c r="R71" s="91">
        <f t="shared" si="65"/>
        <v>0.53429441245785747</v>
      </c>
      <c r="S71" s="91">
        <f t="shared" si="65"/>
        <v>0.49049024854846268</v>
      </c>
      <c r="T71" s="91">
        <f t="shared" si="65"/>
        <v>0.15758920669404683</v>
      </c>
      <c r="U71" s="91">
        <f t="shared" si="65"/>
        <v>0.15379054949093546</v>
      </c>
      <c r="V71" s="91">
        <f t="shared" si="65"/>
        <v>0.21650509781268648</v>
      </c>
      <c r="W71" s="91">
        <f t="shared" si="65"/>
        <v>0.16516615992979017</v>
      </c>
      <c r="DA71" s="171"/>
    </row>
    <row r="72" spans="1:105" ht="11.45" customHeight="1" x14ac:dyDescent="0.25">
      <c r="A72" s="12" t="s">
        <v>34</v>
      </c>
      <c r="B72" s="24">
        <f t="shared" si="61"/>
        <v>1.3619016978458864</v>
      </c>
      <c r="C72" s="24">
        <f t="shared" ref="C72:W72" si="66">IF(C10=0,0,C22/C62)</f>
        <v>1.3438746932009056</v>
      </c>
      <c r="D72" s="24">
        <f t="shared" si="66"/>
        <v>1.327716141644502</v>
      </c>
      <c r="E72" s="24">
        <f t="shared" si="66"/>
        <v>1.3155852728150701</v>
      </c>
      <c r="F72" s="24">
        <f t="shared" si="66"/>
        <v>1.3348351376133103</v>
      </c>
      <c r="G72" s="24">
        <f t="shared" si="66"/>
        <v>1.0386449031361824</v>
      </c>
      <c r="H72" s="24">
        <f t="shared" si="66"/>
        <v>1.0044666387250467</v>
      </c>
      <c r="I72" s="24">
        <f t="shared" si="66"/>
        <v>0.8925294172924102</v>
      </c>
      <c r="J72" s="24">
        <f t="shared" si="66"/>
        <v>0.6755686295415122</v>
      </c>
      <c r="K72" s="24">
        <f t="shared" si="66"/>
        <v>0.7195147768445207</v>
      </c>
      <c r="L72" s="24">
        <f t="shared" si="66"/>
        <v>0.75705119531416643</v>
      </c>
      <c r="M72" s="24">
        <f t="shared" si="66"/>
        <v>0.66804405601660033</v>
      </c>
      <c r="N72" s="24">
        <f t="shared" si="66"/>
        <v>0.54103848047884895</v>
      </c>
      <c r="O72" s="24">
        <f t="shared" si="66"/>
        <v>0.67619801438628713</v>
      </c>
      <c r="P72" s="24">
        <f t="shared" si="66"/>
        <v>0.81434394071816096</v>
      </c>
      <c r="Q72" s="24">
        <f t="shared" si="66"/>
        <v>0.80968421533725243</v>
      </c>
      <c r="R72" s="24">
        <f t="shared" si="66"/>
        <v>0.84666002367535076</v>
      </c>
      <c r="S72" s="24">
        <f t="shared" si="66"/>
        <v>0.93453319820242065</v>
      </c>
      <c r="T72" s="24">
        <f t="shared" si="66"/>
        <v>0.35359063913372119</v>
      </c>
      <c r="U72" s="24">
        <f t="shared" si="66"/>
        <v>0.37759575045880156</v>
      </c>
      <c r="V72" s="24">
        <f t="shared" si="66"/>
        <v>0.38444300664270381</v>
      </c>
      <c r="W72" s="24">
        <f t="shared" si="66"/>
        <v>0.45198914611373348</v>
      </c>
      <c r="DA72" s="193"/>
    </row>
    <row r="73" spans="1:105" ht="11.45" customHeight="1" x14ac:dyDescent="0.25">
      <c r="A73" s="92" t="s">
        <v>27</v>
      </c>
      <c r="B73" s="93">
        <f t="shared" si="61"/>
        <v>0.82437708726719172</v>
      </c>
      <c r="C73" s="93">
        <f t="shared" ref="C73:W73" si="67">IF(C11=0,0,C23/C63)</f>
        <v>0.81650242300322839</v>
      </c>
      <c r="D73" s="93">
        <f t="shared" si="67"/>
        <v>0.81003072478931359</v>
      </c>
      <c r="E73" s="93">
        <f t="shared" si="67"/>
        <v>0.81001481231507544</v>
      </c>
      <c r="F73" s="93">
        <f t="shared" si="67"/>
        <v>0.82661105098721543</v>
      </c>
      <c r="G73" s="93">
        <f t="shared" si="67"/>
        <v>0.64530322337653967</v>
      </c>
      <c r="H73" s="93">
        <f t="shared" si="67"/>
        <v>0.10891817369015321</v>
      </c>
      <c r="I73" s="93">
        <f t="shared" si="67"/>
        <v>3.7770922070597721</v>
      </c>
      <c r="J73" s="93">
        <f t="shared" si="67"/>
        <v>3.2646139312880966</v>
      </c>
      <c r="K73" s="93">
        <f t="shared" si="67"/>
        <v>3.1939533313347366</v>
      </c>
      <c r="L73" s="93">
        <f t="shared" si="67"/>
        <v>3.5884417521583267</v>
      </c>
      <c r="M73" s="93">
        <f t="shared" si="67"/>
        <v>2.8032651858244018</v>
      </c>
      <c r="N73" s="93">
        <f t="shared" si="67"/>
        <v>1.5733598763948493</v>
      </c>
      <c r="O73" s="93">
        <f t="shared" si="67"/>
        <v>1.8511189311084353</v>
      </c>
      <c r="P73" s="93">
        <f t="shared" si="67"/>
        <v>1.0816269961989846</v>
      </c>
      <c r="Q73" s="93">
        <f t="shared" si="67"/>
        <v>1.4755283749380399</v>
      </c>
      <c r="R73" s="93">
        <f t="shared" si="67"/>
        <v>0.93573842211321123</v>
      </c>
      <c r="S73" s="93">
        <f t="shared" si="67"/>
        <v>1.3828404929697631</v>
      </c>
      <c r="T73" s="93">
        <f t="shared" si="67"/>
        <v>1.5215111352949435</v>
      </c>
      <c r="U73" s="93">
        <f t="shared" si="67"/>
        <v>1.837833184831392</v>
      </c>
      <c r="V73" s="93">
        <f t="shared" si="67"/>
        <v>2.4698899977743296</v>
      </c>
      <c r="W73" s="93">
        <f t="shared" si="67"/>
        <v>2.4469808664347288</v>
      </c>
      <c r="DA73" s="175"/>
    </row>
    <row r="74" spans="1:105" ht="11.45" customHeight="1" x14ac:dyDescent="0.25">
      <c r="A74" s="92" t="s">
        <v>173</v>
      </c>
      <c r="B74" s="93">
        <f t="shared" si="61"/>
        <v>1.5160664645261896</v>
      </c>
      <c r="C74" s="93">
        <f t="shared" ref="C74:W74" si="68">IF(C12=0,0,C24/C64)</f>
        <v>1.5150205468879852</v>
      </c>
      <c r="D74" s="93">
        <f t="shared" si="68"/>
        <v>1.5103858171061928</v>
      </c>
      <c r="E74" s="93">
        <f t="shared" si="68"/>
        <v>1.5121241990458394</v>
      </c>
      <c r="F74" s="93">
        <f t="shared" si="68"/>
        <v>1.5107731228957715</v>
      </c>
      <c r="G74" s="93">
        <f t="shared" si="68"/>
        <v>1.100707061197068</v>
      </c>
      <c r="H74" s="93">
        <f t="shared" si="68"/>
        <v>1.1071732780854115</v>
      </c>
      <c r="I74" s="93">
        <f t="shared" si="68"/>
        <v>0.70691800612975331</v>
      </c>
      <c r="J74" s="93">
        <f t="shared" si="68"/>
        <v>0.65111936114491409</v>
      </c>
      <c r="K74" s="93">
        <f t="shared" si="68"/>
        <v>0.69362953172060171</v>
      </c>
      <c r="L74" s="93">
        <f t="shared" si="68"/>
        <v>0.75039607338357117</v>
      </c>
      <c r="M74" s="93">
        <f t="shared" si="68"/>
        <v>0.71590464496904516</v>
      </c>
      <c r="N74" s="93">
        <f t="shared" si="68"/>
        <v>0.63711873275666697</v>
      </c>
      <c r="O74" s="93">
        <f t="shared" si="68"/>
        <v>0.7687175469007308</v>
      </c>
      <c r="P74" s="93">
        <f t="shared" si="68"/>
        <v>0.90239922695035879</v>
      </c>
      <c r="Q74" s="93">
        <f t="shared" si="68"/>
        <v>0.86099433949437865</v>
      </c>
      <c r="R74" s="93">
        <f t="shared" si="68"/>
        <v>0.89367229936383241</v>
      </c>
      <c r="S74" s="93">
        <f t="shared" si="68"/>
        <v>0.97702490796843977</v>
      </c>
      <c r="T74" s="93">
        <f t="shared" si="68"/>
        <v>0.34720715684371223</v>
      </c>
      <c r="U74" s="93">
        <f t="shared" si="68"/>
        <v>0.3585362428026016</v>
      </c>
      <c r="V74" s="93">
        <f t="shared" si="68"/>
        <v>0.29355381218805621</v>
      </c>
      <c r="W74" s="93">
        <f t="shared" si="68"/>
        <v>0.34029771407311171</v>
      </c>
      <c r="DA74" s="175"/>
    </row>
    <row r="75" spans="1:105" ht="11.45" customHeight="1" x14ac:dyDescent="0.25">
      <c r="A75" s="85" t="s">
        <v>174</v>
      </c>
      <c r="B75" s="94">
        <f t="shared" si="61"/>
        <v>0.97344569355567767</v>
      </c>
      <c r="C75" s="94">
        <f t="shared" ref="C75:W75" si="69">IF(C13=0,0,C25/C65)</f>
        <v>0.97273475752066163</v>
      </c>
      <c r="D75" s="94">
        <f t="shared" si="69"/>
        <v>0.96974001710224533</v>
      </c>
      <c r="E75" s="94">
        <f t="shared" si="69"/>
        <v>0.970891531043647</v>
      </c>
      <c r="F75" s="94">
        <f t="shared" si="69"/>
        <v>0.97000099704318454</v>
      </c>
      <c r="G75" s="94">
        <f t="shared" si="69"/>
        <v>0.76415763445938201</v>
      </c>
      <c r="H75" s="94">
        <f t="shared" si="69"/>
        <v>0.77583365402827165</v>
      </c>
      <c r="I75" s="94">
        <f t="shared" si="69"/>
        <v>0.43084564138537912</v>
      </c>
      <c r="J75" s="94">
        <f t="shared" si="69"/>
        <v>0.39366219935739721</v>
      </c>
      <c r="K75" s="94">
        <f t="shared" si="69"/>
        <v>0.48001937535888417</v>
      </c>
      <c r="L75" s="94">
        <f t="shared" si="69"/>
        <v>0.52681145862233936</v>
      </c>
      <c r="M75" s="94">
        <f t="shared" si="69"/>
        <v>0.48930179852730427</v>
      </c>
      <c r="N75" s="94">
        <f t="shared" si="69"/>
        <v>0.41471579781413176</v>
      </c>
      <c r="O75" s="94">
        <f t="shared" si="69"/>
        <v>0.52719942811749299</v>
      </c>
      <c r="P75" s="94">
        <f t="shared" si="69"/>
        <v>0.52448388092000597</v>
      </c>
      <c r="Q75" s="94">
        <f t="shared" si="69"/>
        <v>0.52787663606686175</v>
      </c>
      <c r="R75" s="94">
        <f t="shared" si="69"/>
        <v>0.48086497121207172</v>
      </c>
      <c r="S75" s="94">
        <f t="shared" si="69"/>
        <v>0.44144122369361627</v>
      </c>
      <c r="T75" s="94">
        <f t="shared" si="69"/>
        <v>0.14183028602464212</v>
      </c>
      <c r="U75" s="94">
        <f t="shared" si="69"/>
        <v>0.13841149454184193</v>
      </c>
      <c r="V75" s="94">
        <f t="shared" si="69"/>
        <v>0.19485458803141784</v>
      </c>
      <c r="W75" s="94">
        <f t="shared" si="69"/>
        <v>0.14864954393681115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408.61308600000001</v>
      </c>
      <c r="C3" s="79">
        <f t="shared" si="0"/>
        <v>358.08998400000002</v>
      </c>
      <c r="D3" s="79">
        <f t="shared" ref="D3" si="1">SUM(D4:D5)</f>
        <v>304.25623199999995</v>
      </c>
      <c r="E3" s="79">
        <f t="shared" ref="E3" si="2">SUM(E4:E5)</f>
        <v>367.67203200000006</v>
      </c>
      <c r="F3" s="79">
        <f t="shared" ref="F3" si="3">SUM(F4:F5)</f>
        <v>459.69485400000013</v>
      </c>
      <c r="G3" s="79">
        <f t="shared" ref="G3" si="4">SUM(G4:G5)</f>
        <v>413.13101904000018</v>
      </c>
      <c r="H3" s="79">
        <f t="shared" ref="H3" si="5">SUM(H4:H5)</f>
        <v>472.68408384000008</v>
      </c>
      <c r="I3" s="79">
        <f t="shared" ref="I3" si="6">SUM(I4:I5)</f>
        <v>623.58396731999994</v>
      </c>
      <c r="J3" s="79">
        <f t="shared" ref="J3" si="7">SUM(J4:J5)</f>
        <v>648.81255276000002</v>
      </c>
      <c r="K3" s="79">
        <f t="shared" ref="K3" si="8">SUM(K4:K5)</f>
        <v>704.76482340000018</v>
      </c>
      <c r="L3" s="79">
        <f t="shared" ref="L3" si="9">SUM(L4:L5)</f>
        <v>834.88597632000017</v>
      </c>
      <c r="M3" s="79">
        <f t="shared" ref="M3" si="10">SUM(M4:M5)</f>
        <v>681.84035531999984</v>
      </c>
      <c r="N3" s="79">
        <f t="shared" ref="N3" si="11">SUM(N4:N5)</f>
        <v>522.38398139999981</v>
      </c>
      <c r="O3" s="79">
        <f t="shared" ref="O3" si="12">SUM(O4:O5)</f>
        <v>635.15332188000014</v>
      </c>
      <c r="P3" s="79">
        <f t="shared" ref="P3" si="13">SUM(P4:P5)</f>
        <v>695.22697979999998</v>
      </c>
      <c r="Q3" s="79">
        <f t="shared" ref="Q3" si="14">SUM(Q4:Q5)</f>
        <v>818.7236852399999</v>
      </c>
      <c r="R3" s="79">
        <f t="shared" ref="R3" si="15">SUM(R4:R5)</f>
        <v>958.87001483999984</v>
      </c>
      <c r="S3" s="79">
        <f t="shared" ref="S3" si="16">SUM(S4:S5)</f>
        <v>1159.6354189200003</v>
      </c>
      <c r="T3" s="79">
        <f t="shared" ref="T3" si="17">SUM(T4:T5)</f>
        <v>580.60004616000015</v>
      </c>
      <c r="U3" s="79">
        <f t="shared" ref="U3" si="18">SUM(U4:U5)</f>
        <v>653.98179779999987</v>
      </c>
      <c r="V3" s="79">
        <f t="shared" ref="V3:W3" si="19">SUM(V4:V5)</f>
        <v>258.68873231999999</v>
      </c>
      <c r="W3" s="79">
        <f t="shared" si="19"/>
        <v>388.17553968000004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18.605916000000001</v>
      </c>
      <c r="C4" s="96">
        <f t="shared" si="20"/>
        <v>9.3030840000000001</v>
      </c>
      <c r="D4" s="96">
        <f t="shared" ref="D4:V4" si="21">SUM(D7,D11)</f>
        <v>6.2019720000000014</v>
      </c>
      <c r="E4" s="96">
        <f t="shared" si="21"/>
        <v>6.2019720000000005</v>
      </c>
      <c r="F4" s="96">
        <f t="shared" si="21"/>
        <v>37.979784000000002</v>
      </c>
      <c r="G4" s="96">
        <f t="shared" si="21"/>
        <v>34.360093439999986</v>
      </c>
      <c r="H4" s="96">
        <f t="shared" si="21"/>
        <v>6.2347320000000019</v>
      </c>
      <c r="I4" s="96">
        <f t="shared" si="21"/>
        <v>251.10850032000005</v>
      </c>
      <c r="J4" s="96">
        <f t="shared" si="21"/>
        <v>243.86446296000003</v>
      </c>
      <c r="K4" s="96">
        <f t="shared" si="21"/>
        <v>257.0945724</v>
      </c>
      <c r="L4" s="96">
        <f t="shared" si="21"/>
        <v>334.6717230000001</v>
      </c>
      <c r="M4" s="96">
        <f t="shared" si="21"/>
        <v>244.47970151999999</v>
      </c>
      <c r="N4" s="96">
        <f t="shared" si="21"/>
        <v>121.57671239999998</v>
      </c>
      <c r="O4" s="96">
        <f t="shared" si="21"/>
        <v>137.26086336000003</v>
      </c>
      <c r="P4" s="96">
        <f t="shared" si="21"/>
        <v>72.991409040000008</v>
      </c>
      <c r="Q4" s="96">
        <f t="shared" si="21"/>
        <v>98.41260312</v>
      </c>
      <c r="R4" s="96">
        <f t="shared" si="21"/>
        <v>84.196074960000018</v>
      </c>
      <c r="S4" s="96">
        <f t="shared" si="21"/>
        <v>148.34184444000002</v>
      </c>
      <c r="T4" s="96">
        <f t="shared" si="21"/>
        <v>167.08632156000004</v>
      </c>
      <c r="U4" s="96">
        <f t="shared" si="21"/>
        <v>194.55477516000002</v>
      </c>
      <c r="V4" s="96">
        <f t="shared" si="21"/>
        <v>116.26952867999998</v>
      </c>
      <c r="W4" s="96">
        <f t="shared" ref="W4" si="22">SUM(W7,W11)</f>
        <v>140.48973180000002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390.00717000000003</v>
      </c>
      <c r="C5" s="96">
        <f t="shared" si="23"/>
        <v>348.7869</v>
      </c>
      <c r="D5" s="96">
        <f t="shared" ref="D5:V5" si="24">SUM(D8:D9,D12:D13)</f>
        <v>298.05425999999994</v>
      </c>
      <c r="E5" s="96">
        <f t="shared" si="24"/>
        <v>361.47006000000005</v>
      </c>
      <c r="F5" s="96">
        <f t="shared" si="24"/>
        <v>421.71507000000014</v>
      </c>
      <c r="G5" s="96">
        <f t="shared" si="24"/>
        <v>378.77092560000017</v>
      </c>
      <c r="H5" s="96">
        <f t="shared" si="24"/>
        <v>466.44935184000008</v>
      </c>
      <c r="I5" s="96">
        <f t="shared" si="24"/>
        <v>372.47546699999987</v>
      </c>
      <c r="J5" s="96">
        <f t="shared" si="24"/>
        <v>404.94808979999993</v>
      </c>
      <c r="K5" s="96">
        <f t="shared" si="24"/>
        <v>447.67025100000018</v>
      </c>
      <c r="L5" s="96">
        <f t="shared" si="24"/>
        <v>500.21425332000007</v>
      </c>
      <c r="M5" s="96">
        <f t="shared" si="24"/>
        <v>437.36065379999991</v>
      </c>
      <c r="N5" s="96">
        <f t="shared" si="24"/>
        <v>400.80726899999979</v>
      </c>
      <c r="O5" s="96">
        <f t="shared" si="24"/>
        <v>497.8924585200001</v>
      </c>
      <c r="P5" s="96">
        <f t="shared" si="24"/>
        <v>622.23557075999997</v>
      </c>
      <c r="Q5" s="96">
        <f t="shared" si="24"/>
        <v>720.31108211999992</v>
      </c>
      <c r="R5" s="96">
        <f t="shared" si="24"/>
        <v>874.67393987999981</v>
      </c>
      <c r="S5" s="96">
        <f t="shared" si="24"/>
        <v>1011.2935744800004</v>
      </c>
      <c r="T5" s="96">
        <f t="shared" si="24"/>
        <v>413.5137246000001</v>
      </c>
      <c r="U5" s="96">
        <f t="shared" si="24"/>
        <v>459.42702263999979</v>
      </c>
      <c r="V5" s="96">
        <f t="shared" si="24"/>
        <v>142.41920363999998</v>
      </c>
      <c r="W5" s="96">
        <f t="shared" ref="W5" si="25">SUM(W8:W9,W12:W13)</f>
        <v>247.68580788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402.52047970245411</v>
      </c>
      <c r="C6" s="21">
        <f t="shared" si="26"/>
        <v>352.82987666326062</v>
      </c>
      <c r="D6" s="21">
        <f t="shared" ref="D6:V6" si="27">SUM(D7:D9)</f>
        <v>299.28711993778194</v>
      </c>
      <c r="E6" s="21">
        <f t="shared" si="27"/>
        <v>362.73638281690205</v>
      </c>
      <c r="F6" s="21">
        <f t="shared" si="27"/>
        <v>454.24220965829716</v>
      </c>
      <c r="G6" s="21">
        <f t="shared" si="27"/>
        <v>409.76922154690169</v>
      </c>
      <c r="H6" s="21">
        <f t="shared" si="27"/>
        <v>469.03666149383798</v>
      </c>
      <c r="I6" s="21">
        <f t="shared" si="27"/>
        <v>620.14356135752257</v>
      </c>
      <c r="J6" s="21">
        <f t="shared" si="27"/>
        <v>644.89137163749842</v>
      </c>
      <c r="K6" s="21">
        <f t="shared" si="27"/>
        <v>700.34395659337383</v>
      </c>
      <c r="L6" s="21">
        <f t="shared" si="27"/>
        <v>829.71912824553146</v>
      </c>
      <c r="M6" s="21">
        <f t="shared" si="27"/>
        <v>676.54614792553878</v>
      </c>
      <c r="N6" s="21">
        <f t="shared" si="27"/>
        <v>516.95310952414025</v>
      </c>
      <c r="O6" s="21">
        <f t="shared" si="27"/>
        <v>628.59294587128852</v>
      </c>
      <c r="P6" s="21">
        <f t="shared" si="27"/>
        <v>689.13177497823858</v>
      </c>
      <c r="Q6" s="21">
        <f t="shared" si="27"/>
        <v>812.38408392361112</v>
      </c>
      <c r="R6" s="21">
        <f t="shared" si="27"/>
        <v>952.12550822406138</v>
      </c>
      <c r="S6" s="21">
        <f t="shared" si="27"/>
        <v>1151.0401025197771</v>
      </c>
      <c r="T6" s="21">
        <f t="shared" si="27"/>
        <v>577.33293229960259</v>
      </c>
      <c r="U6" s="21">
        <f t="shared" si="27"/>
        <v>651.38331296069771</v>
      </c>
      <c r="V6" s="21">
        <f t="shared" si="27"/>
        <v>256.19025224610061</v>
      </c>
      <c r="W6" s="21">
        <f t="shared" ref="W6" si="28">SUM(W7:W9)</f>
        <v>384.98917040449697</v>
      </c>
      <c r="DA6" s="189" t="s">
        <v>326</v>
      </c>
    </row>
    <row r="7" spans="1:105" ht="11.45" customHeight="1" x14ac:dyDescent="0.25">
      <c r="A7" s="83" t="s">
        <v>27</v>
      </c>
      <c r="B7" s="96">
        <v>18.386892450592082</v>
      </c>
      <c r="C7" s="96">
        <v>9.1157341722319103</v>
      </c>
      <c r="D7" s="96">
        <v>6.035671853081233</v>
      </c>
      <c r="E7" s="96">
        <v>6.0405662046366579</v>
      </c>
      <c r="F7" s="96">
        <v>37.787054237837168</v>
      </c>
      <c r="G7" s="96">
        <v>34.28595360876276</v>
      </c>
      <c r="H7" s="96">
        <v>6.2032694887930209</v>
      </c>
      <c r="I7" s="96">
        <v>249.98244437139454</v>
      </c>
      <c r="J7" s="96">
        <v>243.24779622654427</v>
      </c>
      <c r="K7" s="96">
        <v>256.6476854727552</v>
      </c>
      <c r="L7" s="96">
        <v>334.28066634646439</v>
      </c>
      <c r="M7" s="96">
        <v>244.29620583004444</v>
      </c>
      <c r="N7" s="96">
        <v>121.50842221577757</v>
      </c>
      <c r="O7" s="96">
        <v>137.20378516083542</v>
      </c>
      <c r="P7" s="96">
        <v>72.971263300338592</v>
      </c>
      <c r="Q7" s="96">
        <v>98.39415155033214</v>
      </c>
      <c r="R7" s="96">
        <v>84.172495620253954</v>
      </c>
      <c r="S7" s="96">
        <v>148.21873367049139</v>
      </c>
      <c r="T7" s="96">
        <v>166.8524493016873</v>
      </c>
      <c r="U7" s="96">
        <v>194.13413606700334</v>
      </c>
      <c r="V7" s="96">
        <v>115.52213518713677</v>
      </c>
      <c r="W7" s="96">
        <v>139.42944433157925</v>
      </c>
      <c r="DA7" s="171" t="s">
        <v>327</v>
      </c>
    </row>
    <row r="8" spans="1:105" ht="11.45" customHeight="1" x14ac:dyDescent="0.25">
      <c r="A8" s="83" t="s">
        <v>173</v>
      </c>
      <c r="B8" s="96">
        <v>320.53942715487466</v>
      </c>
      <c r="C8" s="96">
        <v>286.83076800650986</v>
      </c>
      <c r="D8" s="96">
        <v>244.74439232117004</v>
      </c>
      <c r="E8" s="96">
        <v>297.73160187223436</v>
      </c>
      <c r="F8" s="96">
        <v>347.65521129681355</v>
      </c>
      <c r="G8" s="96">
        <v>314.29591486410919</v>
      </c>
      <c r="H8" s="96">
        <v>390.1367074177162</v>
      </c>
      <c r="I8" s="96">
        <v>315.71007871447409</v>
      </c>
      <c r="J8" s="96">
        <v>343.46650204502811</v>
      </c>
      <c r="K8" s="96">
        <v>378.05633637914309</v>
      </c>
      <c r="L8" s="96">
        <v>423.07408396951041</v>
      </c>
      <c r="M8" s="96">
        <v>369.07721559957827</v>
      </c>
      <c r="N8" s="96">
        <v>337.64285733692816</v>
      </c>
      <c r="O8" s="96">
        <v>420.05830761891281</v>
      </c>
      <c r="P8" s="96">
        <v>533.49077422249366</v>
      </c>
      <c r="Q8" s="96">
        <v>624.35000881657959</v>
      </c>
      <c r="R8" s="96">
        <v>774.20565164682603</v>
      </c>
      <c r="S8" s="96">
        <v>905.53090561458157</v>
      </c>
      <c r="T8" s="96">
        <v>370.2822924879178</v>
      </c>
      <c r="U8" s="96">
        <v>413.77478637619686</v>
      </c>
      <c r="V8" s="96">
        <v>121.98089306332453</v>
      </c>
      <c r="W8" s="96">
        <v>217.1890536624247</v>
      </c>
      <c r="DA8" s="171" t="s">
        <v>328</v>
      </c>
    </row>
    <row r="9" spans="1:105" ht="11.45" customHeight="1" x14ac:dyDescent="0.25">
      <c r="A9" s="83" t="s">
        <v>174</v>
      </c>
      <c r="B9" s="96">
        <v>63.594160096987373</v>
      </c>
      <c r="C9" s="96">
        <v>56.883374484518896</v>
      </c>
      <c r="D9" s="96">
        <v>48.507055763530687</v>
      </c>
      <c r="E9" s="96">
        <v>58.964214740031046</v>
      </c>
      <c r="F9" s="96">
        <v>68.799944123646497</v>
      </c>
      <c r="G9" s="96">
        <v>61.187353074029716</v>
      </c>
      <c r="H9" s="96">
        <v>72.696684587328789</v>
      </c>
      <c r="I9" s="96">
        <v>54.451038271653943</v>
      </c>
      <c r="J9" s="96">
        <v>58.177073365926098</v>
      </c>
      <c r="K9" s="96">
        <v>65.639934741475571</v>
      </c>
      <c r="L9" s="96">
        <v>72.364377929556667</v>
      </c>
      <c r="M9" s="96">
        <v>63.172726495916102</v>
      </c>
      <c r="N9" s="96">
        <v>57.801829971434508</v>
      </c>
      <c r="O9" s="96">
        <v>71.33085309154032</v>
      </c>
      <c r="P9" s="96">
        <v>82.669737455406292</v>
      </c>
      <c r="Q9" s="96">
        <v>89.639923556699429</v>
      </c>
      <c r="R9" s="96">
        <v>93.747360956981382</v>
      </c>
      <c r="S9" s="96">
        <v>97.290463234704092</v>
      </c>
      <c r="T9" s="96">
        <v>40.198190509997474</v>
      </c>
      <c r="U9" s="96">
        <v>43.474390517497447</v>
      </c>
      <c r="V9" s="96">
        <v>18.687223995639354</v>
      </c>
      <c r="W9" s="96">
        <v>28.370672410493004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6.0926062975459141</v>
      </c>
      <c r="C10" s="22">
        <f t="shared" si="29"/>
        <v>5.2601073367394013</v>
      </c>
      <c r="D10" s="22">
        <f t="shared" ref="D10:V10" si="30">SUM(D11:D13)</f>
        <v>4.9691120622180165</v>
      </c>
      <c r="E10" s="22">
        <f t="shared" si="30"/>
        <v>4.9356491830980129</v>
      </c>
      <c r="F10" s="22">
        <f t="shared" si="30"/>
        <v>5.4526443417028778</v>
      </c>
      <c r="G10" s="22">
        <f t="shared" si="30"/>
        <v>3.3617974930984884</v>
      </c>
      <c r="H10" s="22">
        <f t="shared" si="30"/>
        <v>3.6474223461620867</v>
      </c>
      <c r="I10" s="22">
        <f t="shared" si="30"/>
        <v>3.4404059624773606</v>
      </c>
      <c r="J10" s="22">
        <f t="shared" si="30"/>
        <v>3.9211811225014697</v>
      </c>
      <c r="K10" s="22">
        <f t="shared" si="30"/>
        <v>4.4208668066263401</v>
      </c>
      <c r="L10" s="22">
        <f t="shared" si="30"/>
        <v>5.1668480744686498</v>
      </c>
      <c r="M10" s="22">
        <f t="shared" si="30"/>
        <v>5.2942073944610657</v>
      </c>
      <c r="N10" s="22">
        <f t="shared" si="30"/>
        <v>5.4308718758595411</v>
      </c>
      <c r="O10" s="22">
        <f t="shared" si="30"/>
        <v>6.5603760087116054</v>
      </c>
      <c r="P10" s="22">
        <f t="shared" si="30"/>
        <v>6.0952048217614481</v>
      </c>
      <c r="Q10" s="22">
        <f t="shared" si="30"/>
        <v>6.3396013163888814</v>
      </c>
      <c r="R10" s="22">
        <f t="shared" si="30"/>
        <v>6.744506615938449</v>
      </c>
      <c r="S10" s="22">
        <f t="shared" si="30"/>
        <v>8.5953164002234193</v>
      </c>
      <c r="T10" s="22">
        <f t="shared" si="30"/>
        <v>3.2671138603975765</v>
      </c>
      <c r="U10" s="22">
        <f t="shared" si="30"/>
        <v>2.5984848393021527</v>
      </c>
      <c r="V10" s="22">
        <f t="shared" si="30"/>
        <v>2.4984800738993052</v>
      </c>
      <c r="W10" s="22">
        <f t="shared" ref="W10" si="31">SUM(W11:W13)</f>
        <v>3.1863692755030768</v>
      </c>
      <c r="DA10" s="193" t="s">
        <v>330</v>
      </c>
    </row>
    <row r="11" spans="1:105" ht="11.45" customHeight="1" x14ac:dyDescent="0.25">
      <c r="A11" s="92" t="s">
        <v>27</v>
      </c>
      <c r="B11" s="97">
        <v>0.21902354940791752</v>
      </c>
      <c r="C11" s="97">
        <v>0.1873498277680905</v>
      </c>
      <c r="D11" s="97">
        <v>0.16630014691876796</v>
      </c>
      <c r="E11" s="97">
        <v>0.16140579536334279</v>
      </c>
      <c r="F11" s="97">
        <v>0.19272976216283652</v>
      </c>
      <c r="G11" s="97">
        <v>7.413983123722856E-2</v>
      </c>
      <c r="H11" s="97">
        <v>3.1462511206981396E-2</v>
      </c>
      <c r="I11" s="97">
        <v>1.1260559486055055</v>
      </c>
      <c r="J11" s="97">
        <v>0.61666673345575995</v>
      </c>
      <c r="K11" s="97">
        <v>0.44688692724482737</v>
      </c>
      <c r="L11" s="97">
        <v>0.39105665353571012</v>
      </c>
      <c r="M11" s="97">
        <v>0.18349568995554741</v>
      </c>
      <c r="N11" s="97">
        <v>6.8290184222400949E-2</v>
      </c>
      <c r="O11" s="97">
        <v>5.7078199164600052E-2</v>
      </c>
      <c r="P11" s="97">
        <v>2.0145739661421382E-2</v>
      </c>
      <c r="Q11" s="97">
        <v>1.8451569667865288E-2</v>
      </c>
      <c r="R11" s="97">
        <v>2.3579339746062775E-2</v>
      </c>
      <c r="S11" s="97">
        <v>0.12311076950862708</v>
      </c>
      <c r="T11" s="97">
        <v>0.23387225831273567</v>
      </c>
      <c r="U11" s="97">
        <v>0.42063909299668223</v>
      </c>
      <c r="V11" s="97">
        <v>0.74739349286320367</v>
      </c>
      <c r="W11" s="97">
        <v>1.0602874684207655</v>
      </c>
      <c r="DA11" s="175" t="s">
        <v>331</v>
      </c>
    </row>
    <row r="12" spans="1:105" ht="11.45" customHeight="1" x14ac:dyDescent="0.25">
      <c r="A12" s="92" t="s">
        <v>173</v>
      </c>
      <c r="B12" s="97">
        <v>4.6998324421600808</v>
      </c>
      <c r="C12" s="97">
        <v>3.9315642403970599</v>
      </c>
      <c r="D12" s="97">
        <v>3.6335297978395684</v>
      </c>
      <c r="E12" s="97">
        <v>3.5086535748940135</v>
      </c>
      <c r="F12" s="97">
        <v>4.0270963320588535</v>
      </c>
      <c r="G12" s="97">
        <v>2.8374057615885802</v>
      </c>
      <c r="H12" s="97">
        <v>3.1107292331614271</v>
      </c>
      <c r="I12" s="97">
        <v>1.8476388074034356</v>
      </c>
      <c r="J12" s="97">
        <v>2.6715322183580694</v>
      </c>
      <c r="K12" s="97">
        <v>3.4217781914988432</v>
      </c>
      <c r="L12" s="97">
        <v>4.0361198443248734</v>
      </c>
      <c r="M12" s="97">
        <v>3.9458796008444641</v>
      </c>
      <c r="N12" s="97">
        <v>3.4710258051756764</v>
      </c>
      <c r="O12" s="97">
        <v>4.4496270864315992</v>
      </c>
      <c r="P12" s="97">
        <v>5.1450340704224384</v>
      </c>
      <c r="Q12" s="97">
        <v>5.6643539265332059</v>
      </c>
      <c r="R12" s="97">
        <v>6.2713574117137671</v>
      </c>
      <c r="S12" s="97">
        <v>8.0885399713098742</v>
      </c>
      <c r="T12" s="97">
        <v>2.933929413449937</v>
      </c>
      <c r="U12" s="97">
        <v>2.02667283522563</v>
      </c>
      <c r="V12" s="97">
        <v>1.5425936356478251</v>
      </c>
      <c r="W12" s="97">
        <v>1.9787219972762231</v>
      </c>
      <c r="DA12" s="175" t="s">
        <v>332</v>
      </c>
    </row>
    <row r="13" spans="1:105" ht="11.45" customHeight="1" x14ac:dyDescent="0.25">
      <c r="A13" s="85" t="s">
        <v>174</v>
      </c>
      <c r="B13" s="98">
        <v>1.173750305977916</v>
      </c>
      <c r="C13" s="98">
        <v>1.141193268574251</v>
      </c>
      <c r="D13" s="98">
        <v>1.1692821174596801</v>
      </c>
      <c r="E13" s="98">
        <v>1.2655898128406569</v>
      </c>
      <c r="F13" s="98">
        <v>1.2328182474811877</v>
      </c>
      <c r="G13" s="98">
        <v>0.45025190027267992</v>
      </c>
      <c r="H13" s="98">
        <v>0.50523060179367807</v>
      </c>
      <c r="I13" s="98">
        <v>0.4667112064684199</v>
      </c>
      <c r="J13" s="98">
        <v>0.63298217068764029</v>
      </c>
      <c r="K13" s="98">
        <v>0.55220168788266955</v>
      </c>
      <c r="L13" s="98">
        <v>0.73967157660806671</v>
      </c>
      <c r="M13" s="98">
        <v>1.1648321036610545</v>
      </c>
      <c r="N13" s="98">
        <v>1.8915558864614634</v>
      </c>
      <c r="O13" s="98">
        <v>2.0536707231154061</v>
      </c>
      <c r="P13" s="98">
        <v>0.93002501167758866</v>
      </c>
      <c r="Q13" s="98">
        <v>0.65679582018781002</v>
      </c>
      <c r="R13" s="98">
        <v>0.44956986447861896</v>
      </c>
      <c r="S13" s="98">
        <v>0.38366565940491959</v>
      </c>
      <c r="T13" s="98">
        <v>9.9312188634903764E-2</v>
      </c>
      <c r="U13" s="98">
        <v>0.15117291107984038</v>
      </c>
      <c r="V13" s="98">
        <v>0.20849294538827601</v>
      </c>
      <c r="W13" s="98">
        <v>0.14735980980608804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2.9307600000000003</v>
      </c>
      <c r="C18" s="97">
        <f>IF(C4=0,0,C4/TrAvia_ene!C4)</f>
        <v>2.9307600000000003</v>
      </c>
      <c r="D18" s="97">
        <f>IF(D4=0,0,D4/TrAvia_ene!D4)</f>
        <v>2.9307600000000007</v>
      </c>
      <c r="E18" s="97">
        <f>IF(E4=0,0,E4/TrAvia_ene!E4)</f>
        <v>2.9307600000000003</v>
      </c>
      <c r="F18" s="97">
        <f>IF(F4=0,0,F4/TrAvia_ene!F4)</f>
        <v>3.0585380385965646</v>
      </c>
      <c r="G18" s="97">
        <f>IF(G4=0,0,G4/TrAvia_ene!G4)</f>
        <v>2.9458745794854408</v>
      </c>
      <c r="H18" s="97">
        <f>IF(H4=0,0,H4/TrAvia_ene!H4)</f>
        <v>2.9307600000000003</v>
      </c>
      <c r="I18" s="97">
        <f>IF(I4=0,0,I4/TrAvia_ene!I4)</f>
        <v>3.0067208271095707</v>
      </c>
      <c r="J18" s="97">
        <f>IF(J4=0,0,J4/TrAvia_ene!J4)</f>
        <v>3.0073554577923787</v>
      </c>
      <c r="K18" s="97">
        <f>IF(K4=0,0,K4/TrAvia_ene!K4)</f>
        <v>3.0075075559726492</v>
      </c>
      <c r="L18" s="97">
        <f>IF(L4=0,0,L4/TrAvia_ene!L4)</f>
        <v>3.0065574409712497</v>
      </c>
      <c r="M18" s="97">
        <f>IF(M4=0,0,M4/TrAvia_ene!M4)</f>
        <v>3.0051757242394848</v>
      </c>
      <c r="N18" s="97">
        <f>IF(N4=0,0,N4/TrAvia_ene!N4)</f>
        <v>3.0082425364228413</v>
      </c>
      <c r="O18" s="97">
        <f>IF(O4=0,0,O4/TrAvia_ene!O4)</f>
        <v>3.0084785407061623</v>
      </c>
      <c r="P18" s="97">
        <f>IF(P4=0,0,P4/TrAvia_ene!P4)</f>
        <v>3.006868474570076</v>
      </c>
      <c r="Q18" s="97">
        <f>IF(Q4=0,0,Q4/TrAvia_ene!Q4)</f>
        <v>3.0077565028830926</v>
      </c>
      <c r="R18" s="97">
        <f>IF(R4=0,0,R4/TrAvia_ene!R4)</f>
        <v>3.0073259064965225</v>
      </c>
      <c r="S18" s="97">
        <f>IF(S4=0,0,S4/TrAvia_ene!S4)</f>
        <v>3.008846911280981</v>
      </c>
      <c r="T18" s="97">
        <f>IF(T4=0,0,T4/TrAvia_ene!T4)</f>
        <v>3.0087138115306375</v>
      </c>
      <c r="U18" s="97">
        <f>IF(U4=0,0,U4/TrAvia_ene!U4)</f>
        <v>3.0081483514085043</v>
      </c>
      <c r="V18" s="97">
        <f>IF(V4=0,0,V4/TrAvia_ene!V4)</f>
        <v>3.008043054788859</v>
      </c>
      <c r="W18" s="97">
        <f>IF(W4=0,0,W4/TrAvia_ene!W4)</f>
        <v>3.00776395245073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3.0103091999999991</v>
      </c>
      <c r="D19" s="98">
        <f>IF(D5=0,0,D5/TrAvia_ene!D5)</f>
        <v>3.0103091999999991</v>
      </c>
      <c r="E19" s="98">
        <f>IF(E5=0,0,E5/TrAvia_ene!E5)</f>
        <v>3.0103092000000005</v>
      </c>
      <c r="F19" s="98">
        <f>IF(F5=0,0,F5/TrAvia_ene!F5)</f>
        <v>3.0103092000000009</v>
      </c>
      <c r="G19" s="98">
        <f>IF(G5=0,0,G5/TrAvia_ene!G5)</f>
        <v>3.0103092000000005</v>
      </c>
      <c r="H19" s="98">
        <f>IF(H5=0,0,H5/TrAvia_ene!H5)</f>
        <v>3.0103092000000014</v>
      </c>
      <c r="I19" s="98">
        <f>IF(I5=0,0,I5/TrAvia_ene!I5)</f>
        <v>3.0096340486444837</v>
      </c>
      <c r="J19" s="98">
        <f>IF(J5=0,0,J5/TrAvia_ene!J5)</f>
        <v>3.009067868604157</v>
      </c>
      <c r="K19" s="98">
        <f>IF(K5=0,0,K5/TrAvia_ene!K5)</f>
        <v>3.0103091999999996</v>
      </c>
      <c r="L19" s="98">
        <f>IF(L5=0,0,L5/TrAvia_ene!L5)</f>
        <v>3.0103092000000005</v>
      </c>
      <c r="M19" s="98">
        <f>IF(M5=0,0,M5/TrAvia_ene!M5)</f>
        <v>3.0103092</v>
      </c>
      <c r="N19" s="98">
        <f>IF(N5=0,0,N5/TrAvia_ene!N5)</f>
        <v>3.0103091999999991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</v>
      </c>
      <c r="R19" s="98">
        <f>IF(R5=0,0,R5/TrAvia_ene!R5)</f>
        <v>3.0103091999999987</v>
      </c>
      <c r="S19" s="98">
        <f>IF(S5=0,0,S5/TrAvia_ene!S5)</f>
        <v>3.0103092000000014</v>
      </c>
      <c r="T19" s="98">
        <f>IF(T5=0,0,T5/TrAvia_ene!T5)</f>
        <v>3.0103092000000005</v>
      </c>
      <c r="U19" s="98">
        <f>IF(U5=0,0,U5/TrAvia_ene!U5)</f>
        <v>3.0103091999999996</v>
      </c>
      <c r="V19" s="98">
        <f>IF(V5=0,0,V5/TrAvia_ene!V5)</f>
        <v>3.0103091999999987</v>
      </c>
      <c r="W19" s="98">
        <f>IF(W5=0,0,W5/TrAvia_ene!W5)</f>
        <v>3.0103091999999996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14239.096767319854</v>
      </c>
      <c r="C21" s="54">
        <f>IF(C3=0,0,C3/TrAvia_act!C13*1000)</f>
        <v>14214.179601115764</v>
      </c>
      <c r="D21" s="54">
        <f>IF(D3=0,0,D3/TrAvia_act!D13*1000)</f>
        <v>14175.54442547848</v>
      </c>
      <c r="E21" s="54">
        <f>IF(E3=0,0,E3/TrAvia_act!E13*1000)</f>
        <v>14192.528480599365</v>
      </c>
      <c r="F21" s="54">
        <f>IF(F3=0,0,F3/TrAvia_act!F13*1000)</f>
        <v>14286.623205267369</v>
      </c>
      <c r="G21" s="54">
        <f>IF(G3=0,0,G3/TrAvia_act!G13*1000)</f>
        <v>10055.135723000705</v>
      </c>
      <c r="H21" s="54">
        <f>IF(H3=0,0,H3/TrAvia_act!H13*1000)</f>
        <v>9933.4803092871207</v>
      </c>
      <c r="I21" s="54">
        <f>IF(I3=0,0,I3/TrAvia_act!I13*1000)</f>
        <v>10166.818538820504</v>
      </c>
      <c r="J21" s="54">
        <f>IF(J3=0,0,J3/TrAvia_act!J13*1000)</f>
        <v>9262.5201264233165</v>
      </c>
      <c r="K21" s="54">
        <f>IF(K3=0,0,K3/TrAvia_act!K13*1000)</f>
        <v>9828.8192715376699</v>
      </c>
      <c r="L21" s="54">
        <f>IF(L3=0,0,L3/TrAvia_act!L13*1000)</f>
        <v>11275.428765338667</v>
      </c>
      <c r="M21" s="54">
        <f>IF(M3=0,0,M3/TrAvia_act!M13*1000)</f>
        <v>9155.1023535103541</v>
      </c>
      <c r="N21" s="54">
        <f>IF(N3=0,0,N3/TrAvia_act!N13*1000)</f>
        <v>7511.9373238761445</v>
      </c>
      <c r="O21" s="54">
        <f>IF(O3=0,0,O3/TrAvia_act!O13*1000)</f>
        <v>9101.9832538723695</v>
      </c>
      <c r="P21" s="54">
        <f>IF(P3=0,0,P3/TrAvia_act!P13*1000)</f>
        <v>9344.7035437320646</v>
      </c>
      <c r="Q21" s="54">
        <f>IF(Q3=0,0,Q3/TrAvia_act!Q13*1000)</f>
        <v>9992.1131779404823</v>
      </c>
      <c r="R21" s="54">
        <f>IF(R3=0,0,R3/TrAvia_act!R13*1000)</f>
        <v>10077.755626918262</v>
      </c>
      <c r="S21" s="54">
        <f>IF(S3=0,0,S3/TrAvia_act!S13*1000)</f>
        <v>10864.674872392674</v>
      </c>
      <c r="T21" s="54">
        <f>IF(T3=0,0,T3/TrAvia_act!T13*1000)</f>
        <v>5001.1524786679811</v>
      </c>
      <c r="U21" s="54">
        <f>IF(U3=0,0,U3/TrAvia_act!U13*1000)</f>
        <v>5380.5426384620514</v>
      </c>
      <c r="V21" s="54">
        <f>IF(V3=0,0,V3/TrAvia_act!V13*1000)</f>
        <v>5372.7096290558302</v>
      </c>
      <c r="W21" s="54">
        <f>IF(W3=0,0,W3/TrAvia_act!W13*1000)</f>
        <v>5294.3575531360184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14200.488853467819</v>
      </c>
      <c r="C22" s="11">
        <f>IF(C6=0,0,C6/TrAvia_act!C14*1000)</f>
        <v>14177.083484465389</v>
      </c>
      <c r="D22" s="11">
        <f>IF(D6=0,0,D6/TrAvia_act!D14*1000)</f>
        <v>14135.279103011186</v>
      </c>
      <c r="E22" s="11">
        <f>IF(E6=0,0,E6/TrAvia_act!E14*1000)</f>
        <v>14160.461620440072</v>
      </c>
      <c r="F22" s="11">
        <f>IF(F6=0,0,F6/TrAvia_act!F14*1000)</f>
        <v>14257.724079984462</v>
      </c>
      <c r="G22" s="11">
        <f>IF(G6=0,0,G6/TrAvia_act!G14*1000)</f>
        <v>10036.805082642344</v>
      </c>
      <c r="H22" s="11">
        <f>IF(H6=0,0,H6/TrAvia_act!H14*1000)</f>
        <v>9915.2850992449785</v>
      </c>
      <c r="I22" s="11">
        <f>IF(I6=0,0,I6/TrAvia_act!I14*1000)</f>
        <v>10160.569485211592</v>
      </c>
      <c r="J22" s="11">
        <f>IF(J6=0,0,J6/TrAvia_act!J14*1000)</f>
        <v>9267.4015766688026</v>
      </c>
      <c r="K22" s="11">
        <f>IF(K6=0,0,K6/TrAvia_act!K14*1000)</f>
        <v>9837.5927154923884</v>
      </c>
      <c r="L22" s="11">
        <f>IF(L6=0,0,L6/TrAvia_act!L14*1000)</f>
        <v>11292.705919367538</v>
      </c>
      <c r="M22" s="11">
        <f>IF(M6=0,0,M6/TrAvia_act!M14*1000)</f>
        <v>9163.6520705242856</v>
      </c>
      <c r="N22" s="11">
        <f>IF(N6=0,0,N6/TrAvia_act!N14*1000)</f>
        <v>7514.487860100231</v>
      </c>
      <c r="O22" s="11">
        <f>IF(O6=0,0,O6/TrAvia_act!O14*1000)</f>
        <v>9112.3363521531719</v>
      </c>
      <c r="P22" s="11">
        <f>IF(P6=0,0,P6/TrAvia_act!P14*1000)</f>
        <v>9349.1811789401108</v>
      </c>
      <c r="Q22" s="11">
        <f>IF(Q6=0,0,Q6/TrAvia_act!Q14*1000)</f>
        <v>10006.575496650132</v>
      </c>
      <c r="R22" s="11">
        <f>IF(R6=0,0,R6/TrAvia_act!R14*1000)</f>
        <v>10089.314079584383</v>
      </c>
      <c r="S22" s="11">
        <f>IF(S6=0,0,S6/TrAvia_act!S14*1000)</f>
        <v>10875.581436977845</v>
      </c>
      <c r="T22" s="11">
        <f>IF(T6=0,0,T6/TrAvia_act!T14*1000)</f>
        <v>5011.0555694676505</v>
      </c>
      <c r="U22" s="11">
        <f>IF(U6=0,0,U6/TrAvia_act!U14*1000)</f>
        <v>5386.8917506203834</v>
      </c>
      <c r="V22" s="11">
        <f>IF(V6=0,0,V6/TrAvia_act!V14*1000)</f>
        <v>5387.3507423428555</v>
      </c>
      <c r="W22" s="11">
        <f>IF(W6=0,0,W6/TrAvia_act!W14*1000)</f>
        <v>5297.9423673474084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14905.223236453578</v>
      </c>
      <c r="C23" s="84">
        <f>IF(C7=0,0,C7/TrAvia_act!C15*1000)</f>
        <v>14762.84466895167</v>
      </c>
      <c r="D23" s="84">
        <f>IF(D7=0,0,D7/TrAvia_act!D15*1000)</f>
        <v>14645.832553880489</v>
      </c>
      <c r="E23" s="84">
        <f>IF(E7=0,0,E7/TrAvia_act!E15*1000)</f>
        <v>14645.544846974957</v>
      </c>
      <c r="F23" s="84">
        <f>IF(F7=0,0,F7/TrAvia_act!F15*1000)</f>
        <v>15597.227617995108</v>
      </c>
      <c r="G23" s="84">
        <f>IF(G7=0,0,G7/TrAvia_act!G15*1000)</f>
        <v>11883.067276832318</v>
      </c>
      <c r="H23" s="84">
        <f>IF(H7=0,0,H7/TrAvia_act!H15*1000)</f>
        <v>2005.957627135389</v>
      </c>
      <c r="I23" s="84">
        <f>IF(I7=0,0,I7/TrAvia_act!I15*1000)</f>
        <v>70207.734791405819</v>
      </c>
      <c r="J23" s="84">
        <f>IF(J7=0,0,J7/TrAvia_act!J15*1000)</f>
        <v>58935.480477619843</v>
      </c>
      <c r="K23" s="84">
        <f>IF(K7=0,0,K7/TrAvia_act!K15*1000)</f>
        <v>56475.871606265187</v>
      </c>
      <c r="L23" s="84">
        <f>IF(L7=0,0,L7/TrAvia_act!L15*1000)</f>
        <v>62855.279965486021</v>
      </c>
      <c r="M23" s="84">
        <f>IF(M7=0,0,M7/TrAvia_act!M15*1000)</f>
        <v>48060.746195839449</v>
      </c>
      <c r="N23" s="84">
        <f>IF(N7=0,0,N7/TrAvia_act!N15*1000)</f>
        <v>26240.315353659822</v>
      </c>
      <c r="O23" s="84">
        <f>IF(O7=0,0,O7/TrAvia_act!O15*1000)</f>
        <v>32027.500203519176</v>
      </c>
      <c r="P23" s="84">
        <f>IF(P7=0,0,P7/TrAvia_act!P15*1000)</f>
        <v>18664.876195759207</v>
      </c>
      <c r="Q23" s="84">
        <f>IF(Q7=0,0,Q7/TrAvia_act!Q15*1000)</f>
        <v>25454.465263066184</v>
      </c>
      <c r="R23" s="84">
        <f>IF(R7=0,0,R7/TrAvia_act!R15*1000)</f>
        <v>16086.794715359787</v>
      </c>
      <c r="S23" s="84">
        <f>IF(S7=0,0,S7/TrAvia_act!S15*1000)</f>
        <v>23617.499835365685</v>
      </c>
      <c r="T23" s="84">
        <f>IF(T7=0,0,T7/TrAvia_act!T15*1000)</f>
        <v>25938.011721514769</v>
      </c>
      <c r="U23" s="84">
        <f>IF(U7=0,0,U7/TrAvia_act!U15*1000)</f>
        <v>31073.262820671986</v>
      </c>
      <c r="V23" s="84">
        <f>IF(V7=0,0,V7/TrAvia_act!V15*1000)</f>
        <v>42852.531110458869</v>
      </c>
      <c r="W23" s="84">
        <f>IF(W7=0,0,W7/TrAvia_act!W15*1000)</f>
        <v>42965.360981408383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14803.386760541183</v>
      </c>
      <c r="C24" s="84">
        <f>IF(C8=0,0,C8/TrAvia_act!C16*1000)</f>
        <v>14797.675915489883</v>
      </c>
      <c r="D24" s="84">
        <f>IF(D8=0,0,D8/TrAvia_act!D16*1000)</f>
        <v>14760.299438924152</v>
      </c>
      <c r="E24" s="84">
        <f>IF(E8=0,0,E8/TrAvia_act!E16*1000)</f>
        <v>14791.200516392593</v>
      </c>
      <c r="F24" s="84">
        <f>IF(F8=0,0,F8/TrAvia_act!F16*1000)</f>
        <v>14787.524468475107</v>
      </c>
      <c r="G24" s="84">
        <f>IF(G8=0,0,G8/TrAvia_act!G16*1000)</f>
        <v>10026.152145047396</v>
      </c>
      <c r="H24" s="84">
        <f>IF(H8=0,0,H8/TrAvia_act!H16*1000)</f>
        <v>10649.223699694781</v>
      </c>
      <c r="I24" s="84">
        <f>IF(I8=0,0,I8/TrAvia_act!I16*1000)</f>
        <v>6690.3434487773538</v>
      </c>
      <c r="J24" s="84">
        <f>IF(J8=0,0,J8/TrAvia_act!J16*1000)</f>
        <v>6408.8144619379427</v>
      </c>
      <c r="K24" s="84">
        <f>IF(K8=0,0,K8/TrAvia_act!K16*1000)</f>
        <v>6758.1068760434537</v>
      </c>
      <c r="L24" s="84">
        <f>IF(L8=0,0,L8/TrAvia_act!L16*1000)</f>
        <v>7340.4086298620505</v>
      </c>
      <c r="M24" s="84">
        <f>IF(M8=0,0,M8/TrAvia_act!M16*1000)</f>
        <v>6249.1460563281025</v>
      </c>
      <c r="N24" s="84">
        <f>IF(N8=0,0,N8/TrAvia_act!N16*1000)</f>
        <v>6285.8276997569728</v>
      </c>
      <c r="O24" s="84">
        <f>IF(O8=0,0,O8/TrAvia_act!O16*1000)</f>
        <v>7707.1482538793907</v>
      </c>
      <c r="P24" s="84">
        <f>IF(P8=0,0,P8/TrAvia_act!P16*1000)</f>
        <v>9207.2873914296051</v>
      </c>
      <c r="Q24" s="84">
        <f>IF(Q8=0,0,Q8/TrAvia_act!Q16*1000)</f>
        <v>9649.0583975261343</v>
      </c>
      <c r="R24" s="84">
        <f>IF(R8=0,0,R8/TrAvia_act!R16*1000)</f>
        <v>10350.116751374439</v>
      </c>
      <c r="S24" s="84">
        <f>IF(S8=0,0,S8/TrAvia_act!S16*1000)</f>
        <v>10834.568603263204</v>
      </c>
      <c r="T24" s="84">
        <f>IF(T8=0,0,T8/TrAvia_act!T16*1000)</f>
        <v>4184.3099150362477</v>
      </c>
      <c r="U24" s="84">
        <f>IF(U8=0,0,U8/TrAvia_act!U16*1000)</f>
        <v>4496.2050141123218</v>
      </c>
      <c r="V24" s="84">
        <f>IF(V8=0,0,V8/TrAvia_act!V16*1000)</f>
        <v>3211.8655850146997</v>
      </c>
      <c r="W24" s="84">
        <f>IF(W8=0,0,W8/TrAvia_act!W16*1000)</f>
        <v>3900.5442162477229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11649.767299832954</v>
      </c>
      <c r="C25" s="84">
        <f>IF(C9=0,0,C9/TrAvia_act!C17*1000)</f>
        <v>11641.259131963059</v>
      </c>
      <c r="D25" s="84">
        <f>IF(D9=0,0,D9/TrAvia_act!D17*1000)</f>
        <v>11605.419403841688</v>
      </c>
      <c r="E25" s="84">
        <f>IF(E9=0,0,E9/TrAvia_act!E17*1000)</f>
        <v>11619.200213134542</v>
      </c>
      <c r="F25" s="84">
        <f>IF(F9=0,0,F9/TrAvia_act!F17*1000)</f>
        <v>11608.542696288296</v>
      </c>
      <c r="G25" s="84">
        <f>IF(G9=0,0,G9/TrAvia_act!G17*1000)</f>
        <v>9279.5697882964068</v>
      </c>
      <c r="H25" s="84">
        <f>IF(H9=0,0,H9/TrAvia_act!H17*1000)</f>
        <v>9594.6967848367458</v>
      </c>
      <c r="I25" s="84">
        <f>IF(I9=0,0,I9/TrAvia_act!I17*1000)</f>
        <v>5294.3213861774038</v>
      </c>
      <c r="J25" s="84">
        <f>IF(J9=0,0,J9/TrAvia_act!J17*1000)</f>
        <v>4902.4708613674611</v>
      </c>
      <c r="K25" s="84">
        <f>IF(K9=0,0,K9/TrAvia_act!K17*1000)</f>
        <v>6131.682147053245</v>
      </c>
      <c r="L25" s="84">
        <f>IF(L9=0,0,L9/TrAvia_act!L17*1000)</f>
        <v>6879.1831807320677</v>
      </c>
      <c r="M25" s="84">
        <f>IF(M9=0,0,M9/TrAvia_act!M17*1000)</f>
        <v>6522.1875262340882</v>
      </c>
      <c r="N25" s="84">
        <f>IF(N9=0,0,N9/TrAvia_act!N17*1000)</f>
        <v>5531.990305698554</v>
      </c>
      <c r="O25" s="84">
        <f>IF(O9=0,0,O9/TrAvia_act!O17*1000)</f>
        <v>6995.7823115844312</v>
      </c>
      <c r="P25" s="84">
        <f>IF(P9=0,0,P9/TrAvia_act!P17*1000)</f>
        <v>6971.2855040187542</v>
      </c>
      <c r="Q25" s="84">
        <f>IF(Q9=0,0,Q9/TrAvia_act!Q17*1000)</f>
        <v>7106.5346349847105</v>
      </c>
      <c r="R25" s="84">
        <f>IF(R9=0,0,R9/TrAvia_act!R17*1000)</f>
        <v>6539.4497633887831</v>
      </c>
      <c r="S25" s="84">
        <f>IF(S9=0,0,S9/TrAvia_act!S17*1000)</f>
        <v>6086.9806153485588</v>
      </c>
      <c r="T25" s="84">
        <f>IF(T9=0,0,T9/TrAvia_act!T17*1000)</f>
        <v>1981.5667530740927</v>
      </c>
      <c r="U25" s="84">
        <f>IF(U9=0,0,U9/TrAvia_act!U17*1000)</f>
        <v>1919.8332194276909</v>
      </c>
      <c r="V25" s="84">
        <f>IF(V9=0,0,V9/TrAvia_act!V17*1000)</f>
        <v>2716.1584444975501</v>
      </c>
      <c r="W25" s="84">
        <f>IF(W9=0,0,W9/TrAvia_act!W17*1000)</f>
        <v>2064.7049480981609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17356.736932209456</v>
      </c>
      <c r="C26" s="13">
        <f>IF(C10=0,0,C10/TrAvia_act!C18*1000)</f>
        <v>17240.054195605928</v>
      </c>
      <c r="D26" s="13">
        <f>IF(D10=0,0,D10/TrAvia_act!D18*1000)</f>
        <v>17111.292989064881</v>
      </c>
      <c r="E26" s="13">
        <f>IF(E10=0,0,E10/TrAvia_act!E18*1000)</f>
        <v>17026.153713701002</v>
      </c>
      <c r="F26" s="13">
        <f>IF(F10=0,0,F10/TrAvia_act!F18*1000)</f>
        <v>17189.093491940996</v>
      </c>
      <c r="G26" s="13">
        <f>IF(G10=0,0,G10/TrAvia_act!G18*1000)</f>
        <v>12934.525289466881</v>
      </c>
      <c r="H26" s="13">
        <f>IF(H10=0,0,H10/TrAvia_act!H18*1000)</f>
        <v>13001.573234400617</v>
      </c>
      <c r="I26" s="13">
        <f>IF(I10=0,0,I10/TrAvia_act!I18*1000)</f>
        <v>11434.453341601622</v>
      </c>
      <c r="J26" s="13">
        <f>IF(J10=0,0,J10/TrAvia_act!J18*1000)</f>
        <v>8524.0913024005749</v>
      </c>
      <c r="K26" s="13">
        <f>IF(K10=0,0,K10/TrAvia_act!K18*1000)</f>
        <v>8612.0904270463834</v>
      </c>
      <c r="L26" s="13">
        <f>IF(L10=0,0,L10/TrAvia_act!L18*1000)</f>
        <v>9051.5851714641376</v>
      </c>
      <c r="M26" s="13">
        <f>IF(M10=0,0,M10/TrAvia_act!M18*1000)</f>
        <v>8179.8340350131657</v>
      </c>
      <c r="N26" s="13">
        <f>IF(N10=0,0,N10/TrAvia_act!N18*1000)</f>
        <v>7276.8353622045997</v>
      </c>
      <c r="O26" s="13">
        <f>IF(O10=0,0,O10/TrAvia_act!O18*1000)</f>
        <v>8208.3909885140019</v>
      </c>
      <c r="P26" s="13">
        <f>IF(P10=0,0,P10/TrAvia_act!P18*1000)</f>
        <v>8864.6908752381369</v>
      </c>
      <c r="Q26" s="13">
        <f>IF(Q10=0,0,Q10/TrAvia_act!Q18*1000)</f>
        <v>8430.706958595476</v>
      </c>
      <c r="R26" s="13">
        <f>IF(R10=0,0,R10/TrAvia_act!R18*1000)</f>
        <v>8674.8066515310984</v>
      </c>
      <c r="S26" s="13">
        <f>IF(S10=0,0,S10/TrAvia_act!S18*1000)</f>
        <v>9578.3392609288039</v>
      </c>
      <c r="T26" s="13">
        <f>IF(T10=0,0,T10/TrAvia_act!T18*1000)</f>
        <v>3706.6891090377289</v>
      </c>
      <c r="U26" s="13">
        <f>IF(U10=0,0,U10/TrAvia_act!U18*1000)</f>
        <v>4153.4002092638175</v>
      </c>
      <c r="V26" s="13">
        <f>IF(V10=0,0,V10/TrAvia_act!V18*1000)</f>
        <v>4201.8051441410626</v>
      </c>
      <c r="W26" s="13">
        <f>IF(W10=0,0,W10/TrAvia_act!W18*1000)</f>
        <v>4894.2319189828177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16227.476031960176</v>
      </c>
      <c r="C27" s="102">
        <f>IF(C11=0,0,C11/TrAvia_act!C19*1000)</f>
        <v>16072.466961988554</v>
      </c>
      <c r="D27" s="102">
        <f>IF(D11=0,0,D11/TrAvia_act!D19*1000)</f>
        <v>15945.074620213847</v>
      </c>
      <c r="E27" s="102">
        <f>IF(E11=0,0,E11/TrAvia_act!E19*1000)</f>
        <v>15944.761390627165</v>
      </c>
      <c r="F27" s="102">
        <f>IF(F11=0,0,F11/TrAvia_act!F19*1000)</f>
        <v>16980.868606988013</v>
      </c>
      <c r="G27" s="102">
        <f>IF(G11=0,0,G11/TrAvia_act!G19*1000)</f>
        <v>12962.780135752868</v>
      </c>
      <c r="H27" s="102">
        <f>IF(H11=0,0,H11/TrAvia_act!H19*1000)</f>
        <v>2378.9025569863097</v>
      </c>
      <c r="I27" s="102">
        <f>IF(I11=0,0,I11/TrAvia_act!I19*1000)</f>
        <v>90763.341953512718</v>
      </c>
      <c r="J27" s="102">
        <f>IF(J11=0,0,J11/TrAvia_act!J19*1000)</f>
        <v>82896.3731042781</v>
      </c>
      <c r="K27" s="102">
        <f>IF(K11=0,0,K11/TrAvia_act!K19*1000)</f>
        <v>87282.281352295206</v>
      </c>
      <c r="L27" s="102">
        <f>IF(L11=0,0,L11/TrAvia_act!L19*1000)</f>
        <v>108990.35325459389</v>
      </c>
      <c r="M27" s="102">
        <f>IF(M11=0,0,M11/TrAvia_act!M19*1000)</f>
        <v>67950.748773622021</v>
      </c>
      <c r="N27" s="102">
        <f>IF(N11=0,0,N11/TrAvia_act!N19*1000)</f>
        <v>31827.238847319593</v>
      </c>
      <c r="O27" s="102">
        <f>IF(O11=0,0,O11/TrAvia_act!O19*1000)</f>
        <v>38288.382113566535</v>
      </c>
      <c r="P27" s="102">
        <f>IF(P11=0,0,P11/TrAvia_act!P19*1000)</f>
        <v>21696.832657792169</v>
      </c>
      <c r="Q27" s="102">
        <f>IF(Q11=0,0,Q11/TrAvia_act!Q19*1000)</f>
        <v>28819.834890347953</v>
      </c>
      <c r="R27" s="102">
        <f>IF(R11=0,0,R11/TrAvia_act!R19*1000)</f>
        <v>17750.856832217312</v>
      </c>
      <c r="S27" s="102">
        <f>IF(S11=0,0,S11/TrAvia_act!S19*1000)</f>
        <v>25418.152649960597</v>
      </c>
      <c r="T27" s="102">
        <f>IF(T11=0,0,T11/TrAvia_act!T19*1000)</f>
        <v>27281.686592328453</v>
      </c>
      <c r="U27" s="102">
        <f>IF(U11=0,0,U11/TrAvia_act!U19*1000)</f>
        <v>33622.292961290972</v>
      </c>
      <c r="V27" s="102">
        <f>IF(V11=0,0,V11/TrAvia_act!V19*1000)</f>
        <v>46544.99012188147</v>
      </c>
      <c r="W27" s="102">
        <f>IF(W11=0,0,W11/TrAvia_act!W19*1000)</f>
        <v>46752.112676430872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18386.505943961467</v>
      </c>
      <c r="C28" s="102">
        <f>IF(C12=0,0,C12/TrAvia_act!C20*1000)</f>
        <v>18392.886699778977</v>
      </c>
      <c r="D28" s="102">
        <f>IF(D12=0,0,D12/TrAvia_act!D20*1000)</f>
        <v>18345.818385531526</v>
      </c>
      <c r="E28" s="102">
        <f>IF(E12=0,0,E12/TrAvia_act!E20*1000)</f>
        <v>18349.774535696204</v>
      </c>
      <c r="F28" s="102">
        <f>IF(F12=0,0,F12/TrAvia_act!F20*1000)</f>
        <v>18344.549824871079</v>
      </c>
      <c r="G28" s="102">
        <f>IF(G12=0,0,G12/TrAvia_act!G20*1000)</f>
        <v>13284.923022720921</v>
      </c>
      <c r="H28" s="102">
        <f>IF(H12=0,0,H12/TrAvia_act!H20*1000)</f>
        <v>13879.965598389042</v>
      </c>
      <c r="I28" s="102">
        <f>IF(I12=0,0,I12/TrAvia_act!I20*1000)</f>
        <v>8322.9878951048777</v>
      </c>
      <c r="J28" s="102">
        <f>IF(J12=0,0,J12/TrAvia_act!J20*1000)</f>
        <v>7429.5442264762141</v>
      </c>
      <c r="K28" s="102">
        <f>IF(K12=0,0,K12/TrAvia_act!K20*1000)</f>
        <v>7711.2239619781012</v>
      </c>
      <c r="L28" s="102">
        <f>IF(L12=0,0,L12/TrAvia_act!L20*1000)</f>
        <v>8208.0103749133832</v>
      </c>
      <c r="M28" s="102">
        <f>IF(M12=0,0,M12/TrAvia_act!M20*1000)</f>
        <v>7581.7674371633511</v>
      </c>
      <c r="N28" s="102">
        <f>IF(N12=0,0,N12/TrAvia_act!N20*1000)</f>
        <v>6625.9702359496032</v>
      </c>
      <c r="O28" s="102">
        <f>IF(O12=0,0,O12/TrAvia_act!O20*1000)</f>
        <v>7911.3463269870253</v>
      </c>
      <c r="P28" s="102">
        <f>IF(P12=0,0,P12/TrAvia_act!P20*1000)</f>
        <v>9251.5396848131095</v>
      </c>
      <c r="Q28" s="102">
        <f>IF(Q12=0,0,Q12/TrAvia_act!Q20*1000)</f>
        <v>8832.1863049041058</v>
      </c>
      <c r="R28" s="102">
        <f>IF(R12=0,0,R12/TrAvia_act!R20*1000)</f>
        <v>9157.8272633605138</v>
      </c>
      <c r="S28" s="102">
        <f>IF(S12=0,0,S12/TrAvia_act!S20*1000)</f>
        <v>9958.7135699111095</v>
      </c>
      <c r="T28" s="102">
        <f>IF(T12=0,0,T12/TrAvia_act!T20*1000)</f>
        <v>3543.1040160249436</v>
      </c>
      <c r="U28" s="102">
        <f>IF(U12=0,0,U12/TrAvia_act!U20*1000)</f>
        <v>3724.086017045578</v>
      </c>
      <c r="V28" s="102">
        <f>IF(V12=0,0,V12/TrAvia_act!V20*1000)</f>
        <v>3060.518341260532</v>
      </c>
      <c r="W28" s="102">
        <f>IF(W12=0,0,W12/TrAvia_act!W20*1000)</f>
        <v>3512.4220748434936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14329.345230309218</v>
      </c>
      <c r="C29" s="86">
        <f>IF(C13=0,0,C13/TrAvia_act!C21*1000)</f>
        <v>14318.880087826332</v>
      </c>
      <c r="D29" s="86">
        <f>IF(D13=0,0,D13/TrAvia_act!D21*1000)</f>
        <v>14274.796817835271</v>
      </c>
      <c r="E29" s="86">
        <f>IF(E13=0,0,E13/TrAvia_act!E21*1000)</f>
        <v>14291.747368762864</v>
      </c>
      <c r="F29" s="86">
        <f>IF(F13=0,0,F13/TrAvia_act!F21*1000)</f>
        <v>14278.638502786638</v>
      </c>
      <c r="G29" s="86">
        <f>IF(G13=0,0,G13/TrAvia_act!G21*1000)</f>
        <v>11087.625002833674</v>
      </c>
      <c r="H29" s="86">
        <f>IF(H13=0,0,H13/TrAvia_act!H21*1000)</f>
        <v>11696.543353733756</v>
      </c>
      <c r="I29" s="86">
        <f>IF(I13=0,0,I13/TrAvia_act!I21*1000)</f>
        <v>7020.1230534438137</v>
      </c>
      <c r="J29" s="86">
        <f>IF(J13=0,0,J13/TrAvia_act!J21*1000)</f>
        <v>6806.9645523121526</v>
      </c>
      <c r="K29" s="86">
        <f>IF(K13=0,0,K13/TrAvia_act!K21*1000)</f>
        <v>8564.9011757239896</v>
      </c>
      <c r="L29" s="86">
        <f>IF(L13=0,0,L13/TrAvia_act!L21*1000)</f>
        <v>9796.3149493210731</v>
      </c>
      <c r="M29" s="86">
        <f>IF(M13=0,0,M13/TrAvia_act!M21*1000)</f>
        <v>9387.5169801120464</v>
      </c>
      <c r="N29" s="86">
        <f>IF(N13=0,0,N13/TrAvia_act!N21*1000)</f>
        <v>8585.2612275582014</v>
      </c>
      <c r="O29" s="86">
        <f>IF(O13=0,0,O13/TrAvia_act!O21*1000)</f>
        <v>8727.8405525621019</v>
      </c>
      <c r="P29" s="86">
        <f>IF(P13=0,0,P13/TrAvia_act!P21*1000)</f>
        <v>7125.1820954597279</v>
      </c>
      <c r="Q29" s="86">
        <f>IF(Q13=0,0,Q13/TrAvia_act!Q21*1000)</f>
        <v>5971.1732755282774</v>
      </c>
      <c r="R29" s="86">
        <f>IF(R13=0,0,R13/TrAvia_act!R21*1000)</f>
        <v>4921.6541449748756</v>
      </c>
      <c r="S29" s="86">
        <f>IF(S13=0,0,S13/TrAvia_act!S21*1000)</f>
        <v>4776.7443010604175</v>
      </c>
      <c r="T29" s="86">
        <f>IF(T13=0,0,T13/TrAvia_act!T21*1000)</f>
        <v>2218.2636380848157</v>
      </c>
      <c r="U29" s="86">
        <f>IF(U13=0,0,U13/TrAvia_act!U21*1000)</f>
        <v>2193.7465455641491</v>
      </c>
      <c r="V29" s="86">
        <f>IF(V13=0,0,V13/TrAvia_act!V21*1000)</f>
        <v>2797.3234980513034</v>
      </c>
      <c r="W29" s="86">
        <f>IF(W13=0,0,W13/TrAvia_act!W21*1000)</f>
        <v>2266.4747295146481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168.73999133631162</v>
      </c>
      <c r="C32" s="14">
        <f>IF(C6=0,0,C6/TrAvia_act!C4*1000)</f>
        <v>164.02467381770077</v>
      </c>
      <c r="D32" s="14">
        <f>IF(D6=0,0,D6/TrAvia_act!D4*1000)</f>
        <v>161.76804423589326</v>
      </c>
      <c r="E32" s="14">
        <f>IF(E6=0,0,E6/TrAvia_act!E4*1000)</f>
        <v>161.88261774390179</v>
      </c>
      <c r="F32" s="14">
        <f>IF(F6=0,0,F6/TrAvia_act!F4*1000)</f>
        <v>169.01368246617949</v>
      </c>
      <c r="G32" s="14">
        <f>IF(G6=0,0,G6/TrAvia_act!G4*1000)</f>
        <v>117.03962667394855</v>
      </c>
      <c r="H32" s="14">
        <f>IF(H6=0,0,H6/TrAvia_act!H4*1000)</f>
        <v>117.52021133713508</v>
      </c>
      <c r="I32" s="14">
        <f>IF(I6=0,0,I6/TrAvia_act!I4*1000)</f>
        <v>123.52112390823814</v>
      </c>
      <c r="J32" s="14">
        <f>IF(J6=0,0,J6/TrAvia_act!J4*1000)</f>
        <v>112.51549824533886</v>
      </c>
      <c r="K32" s="14">
        <f>IF(K6=0,0,K6/TrAvia_act!K4*1000)</f>
        <v>121.79879285390793</v>
      </c>
      <c r="L32" s="14">
        <f>IF(L6=0,0,L6/TrAvia_act!L4*1000)</f>
        <v>129.50691668616633</v>
      </c>
      <c r="M32" s="14">
        <f>IF(M6=0,0,M6/TrAvia_act!M4*1000)</f>
        <v>96.370392869880789</v>
      </c>
      <c r="N32" s="14">
        <f>IF(N6=0,0,N6/TrAvia_act!N4*1000)</f>
        <v>74.177960997172036</v>
      </c>
      <c r="O32" s="14">
        <f>IF(O6=0,0,O6/TrAvia_act!O4*1000)</f>
        <v>84.580213506328903</v>
      </c>
      <c r="P32" s="14">
        <f>IF(P6=0,0,P6/TrAvia_act!P4*1000)</f>
        <v>83.078806471328278</v>
      </c>
      <c r="Q32" s="14">
        <f>IF(Q6=0,0,Q6/TrAvia_act!Q4*1000)</f>
        <v>85.63210277293382</v>
      </c>
      <c r="R32" s="14">
        <f>IF(R6=0,0,R6/TrAvia_act!R4*1000)</f>
        <v>82.704570678369279</v>
      </c>
      <c r="S32" s="14">
        <f>IF(S6=0,0,S6/TrAvia_act!S4*1000)</f>
        <v>84.509076631560347</v>
      </c>
      <c r="T32" s="14">
        <f>IF(T6=0,0,T6/TrAvia_act!T4*1000)</f>
        <v>37.825152690112283</v>
      </c>
      <c r="U32" s="14">
        <f>IF(U6=0,0,U6/TrAvia_act!U4*1000)</f>
        <v>38.713624477290175</v>
      </c>
      <c r="V32" s="14">
        <f>IF(V6=0,0,V6/TrAvia_act!V4*1000)</f>
        <v>47.609842354674079</v>
      </c>
      <c r="W32" s="14">
        <f>IF(W6=0,0,W6/TrAvia_act!W4*1000)</f>
        <v>46.265565128308083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381.20661934971696</v>
      </c>
      <c r="C33" s="87">
        <f>IF(C7=0,0,C7/TrAvia_act!C5*1000)</f>
        <v>376.42368848927873</v>
      </c>
      <c r="D33" s="87">
        <f>IF(D7=0,0,D7/TrAvia_act!D5*1000)</f>
        <v>370.89778634674138</v>
      </c>
      <c r="E33" s="87">
        <f>IF(E7=0,0,E7/TrAvia_act!E5*1000)</f>
        <v>368.15896366480985</v>
      </c>
      <c r="F33" s="87">
        <f>IF(F7=0,0,F7/TrAvia_act!F5*1000)</f>
        <v>388.96260441221511</v>
      </c>
      <c r="G33" s="87">
        <f>IF(G7=0,0,G7/TrAvia_act!G5*1000)</f>
        <v>294.1678669308273</v>
      </c>
      <c r="H33" s="87">
        <f>IF(H7=0,0,H7/TrAvia_act!H5*1000)</f>
        <v>49.188298100793659</v>
      </c>
      <c r="I33" s="87">
        <f>IF(I7=0,0,I7/TrAvia_act!I5*1000)</f>
        <v>1685.5635494482242</v>
      </c>
      <c r="J33" s="87">
        <f>IF(J7=0,0,J7/TrAvia_act!J5*1000)</f>
        <v>1305.3987582550435</v>
      </c>
      <c r="K33" s="87">
        <f>IF(K7=0,0,K7/TrAvia_act!K5*1000)</f>
        <v>1465.3968159422468</v>
      </c>
      <c r="L33" s="87">
        <f>IF(L7=0,0,L7/TrAvia_act!L5*1000)</f>
        <v>1508.579035063326</v>
      </c>
      <c r="M33" s="87">
        <f>IF(M7=0,0,M7/TrAvia_act!M5*1000)</f>
        <v>1069.0162713826282</v>
      </c>
      <c r="N33" s="87">
        <f>IF(N7=0,0,N7/TrAvia_act!N5*1000)</f>
        <v>585.67970902841603</v>
      </c>
      <c r="O33" s="87">
        <f>IF(O7=0,0,O7/TrAvia_act!O5*1000)</f>
        <v>701.32772276637263</v>
      </c>
      <c r="P33" s="87">
        <f>IF(P7=0,0,P7/TrAvia_act!P5*1000)</f>
        <v>411.51891296405853</v>
      </c>
      <c r="Q33" s="87">
        <f>IF(Q7=0,0,Q7/TrAvia_act!Q5*1000)</f>
        <v>530.59936672620449</v>
      </c>
      <c r="R33" s="87">
        <f>IF(R7=0,0,R7/TrAvia_act!R5*1000)</f>
        <v>259.72568355279327</v>
      </c>
      <c r="S33" s="87">
        <f>IF(S7=0,0,S7/TrAvia_act!S5*1000)</f>
        <v>297.60245464884804</v>
      </c>
      <c r="T33" s="87">
        <f>IF(T7=0,0,T7/TrAvia_act!T5*1000)</f>
        <v>329.45359592519782</v>
      </c>
      <c r="U33" s="87">
        <f>IF(U7=0,0,U7/TrAvia_act!U5*1000)</f>
        <v>396.76759232314964</v>
      </c>
      <c r="V33" s="87">
        <f>IF(V7=0,0,V7/TrAvia_act!V5*1000)</f>
        <v>741.37661881839995</v>
      </c>
      <c r="W33" s="87">
        <f>IF(W7=0,0,W7/TrAvia_act!W5*1000)</f>
        <v>603.28739562755197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164.1104706788602</v>
      </c>
      <c r="C34" s="87">
        <f>IF(C8=0,0,C8/TrAvia_act!C6*1000)</f>
        <v>161.06150643715313</v>
      </c>
      <c r="D34" s="87">
        <f>IF(D8=0,0,D8/TrAvia_act!D6*1000)</f>
        <v>159.22504733007486</v>
      </c>
      <c r="E34" s="87">
        <f>IF(E8=0,0,E8/TrAvia_act!E6*1000)</f>
        <v>159.86321901801844</v>
      </c>
      <c r="F34" s="87">
        <f>IF(F8=0,0,F8/TrAvia_act!F6*1000)</f>
        <v>160.708067624508</v>
      </c>
      <c r="G34" s="87">
        <f>IF(G8=0,0,G8/TrAvia_act!G6*1000)</f>
        <v>108.32806640300434</v>
      </c>
      <c r="H34" s="87">
        <f>IF(H8=0,0,H8/TrAvia_act!H6*1000)</f>
        <v>118.29059324885786</v>
      </c>
      <c r="I34" s="87">
        <f>IF(I8=0,0,I8/TrAvia_act!I6*1000)</f>
        <v>77.210012325078594</v>
      </c>
      <c r="J34" s="87">
        <f>IF(J8=0,0,J8/TrAvia_act!J6*1000)</f>
        <v>73.474444023369585</v>
      </c>
      <c r="K34" s="87">
        <f>IF(K8=0,0,K8/TrAvia_act!K6*1000)</f>
        <v>78.68438899941988</v>
      </c>
      <c r="L34" s="87">
        <f>IF(L8=0,0,L8/TrAvia_act!L6*1000)</f>
        <v>79.26859995484628</v>
      </c>
      <c r="M34" s="87">
        <f>IF(M8=0,0,M8/TrAvia_act!M6*1000)</f>
        <v>60.908924773813872</v>
      </c>
      <c r="N34" s="87">
        <f>IF(N8=0,0,N8/TrAvia_act!N6*1000)</f>
        <v>56.962579254606837</v>
      </c>
      <c r="O34" s="87">
        <f>IF(O8=0,0,O8/TrAvia_act!O6*1000)</f>
        <v>66.726621032768875</v>
      </c>
      <c r="P34" s="87">
        <f>IF(P8=0,0,P8/TrAvia_act!P6*1000)</f>
        <v>77.980518694212819</v>
      </c>
      <c r="Q34" s="87">
        <f>IF(Q8=0,0,Q8/TrAvia_act!Q6*1000)</f>
        <v>79.552802597903778</v>
      </c>
      <c r="R34" s="87">
        <f>IF(R8=0,0,R8/TrAvia_act!R6*1000)</f>
        <v>80.907137159743669</v>
      </c>
      <c r="S34" s="87">
        <f>IF(S8=0,0,S8/TrAvia_act!S6*1000)</f>
        <v>80.443063366945921</v>
      </c>
      <c r="T34" s="87">
        <f>IF(T8=0,0,T8/TrAvia_act!T6*1000)</f>
        <v>30.13853931242997</v>
      </c>
      <c r="U34" s="87">
        <f>IF(U8=0,0,U8/TrAvia_act!U6*1000)</f>
        <v>31.007670985117048</v>
      </c>
      <c r="V34" s="87">
        <f>IF(V8=0,0,V8/TrAvia_act!V6*1000)</f>
        <v>26.882599330076776</v>
      </c>
      <c r="W34" s="87">
        <f>IF(W8=0,0,W8/TrAvia_act!W6*1000)</f>
        <v>32.668969476364651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165.60047782320112</v>
      </c>
      <c r="C35" s="87">
        <f>IF(C9=0,0,C9/TrAvia_act!C7*1000)</f>
        <v>164.41034783975726</v>
      </c>
      <c r="D35" s="87">
        <f>IF(D9=0,0,D9/TrAvia_act!D7*1000)</f>
        <v>163.47207188134831</v>
      </c>
      <c r="E35" s="87">
        <f>IF(E9=0,0,E9/TrAvia_act!E7*1000)</f>
        <v>162.922861536965</v>
      </c>
      <c r="F35" s="87">
        <f>IF(F9=0,0,F9/TrAvia_act!F7*1000)</f>
        <v>161.05377658286255</v>
      </c>
      <c r="G35" s="87">
        <f>IF(G9=0,0,G9/TrAvia_act!G7*1000)</f>
        <v>126.6219115482817</v>
      </c>
      <c r="H35" s="87">
        <f>IF(H9=0,0,H9/TrAvia_act!H7*1000)</f>
        <v>128.23976230495799</v>
      </c>
      <c r="I35" s="87">
        <f>IF(I9=0,0,I9/TrAvia_act!I7*1000)</f>
        <v>69.518453106536498</v>
      </c>
      <c r="J35" s="87">
        <f>IF(J9=0,0,J9/TrAvia_act!J7*1000)</f>
        <v>66.824166954072567</v>
      </c>
      <c r="K35" s="87">
        <f>IF(K9=0,0,K9/TrAvia_act!K7*1000)</f>
        <v>85.230041434777903</v>
      </c>
      <c r="L35" s="87">
        <f>IF(L9=0,0,L9/TrAvia_act!L7*1000)</f>
        <v>85.340657011204073</v>
      </c>
      <c r="M35" s="87">
        <f>IF(M9=0,0,M9/TrAvia_act!M7*1000)</f>
        <v>86.271817989647261</v>
      </c>
      <c r="N35" s="87">
        <f>IF(N9=0,0,N9/TrAvia_act!N7*1000)</f>
        <v>69.292039540395137</v>
      </c>
      <c r="O35" s="87">
        <f>IF(O9=0,0,O9/TrAvia_act!O7*1000)</f>
        <v>75.79782405479115</v>
      </c>
      <c r="P35" s="87">
        <f>IF(P9=0,0,P9/TrAvia_act!P7*1000)</f>
        <v>64.774952596979006</v>
      </c>
      <c r="Q35" s="87">
        <f>IF(Q9=0,0,Q9/TrAvia_act!Q7*1000)</f>
        <v>61.683479024226955</v>
      </c>
      <c r="R35" s="87">
        <f>IF(R9=0,0,R9/TrAvia_act!R7*1000)</f>
        <v>57.896567134439294</v>
      </c>
      <c r="S35" s="87">
        <f>IF(S9=0,0,S9/TrAvia_act!S7*1000)</f>
        <v>52.153109765900858</v>
      </c>
      <c r="T35" s="87">
        <f>IF(T9=0,0,T9/TrAvia_act!T7*1000)</f>
        <v>16.269677006966983</v>
      </c>
      <c r="U35" s="87">
        <f>IF(U9=0,0,U9/TrAvia_act!U7*1000)</f>
        <v>14.52960073449943</v>
      </c>
      <c r="V35" s="87">
        <f>IF(V9=0,0,V9/TrAvia_act!V7*1000)</f>
        <v>27.174558009678819</v>
      </c>
      <c r="W35" s="87">
        <f>IF(W9=0,0,W9/TrAvia_act!W7*1000)</f>
        <v>19.674561067569655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507.83237436397553</v>
      </c>
      <c r="C36" s="15">
        <f>IF(C10=0,0,C10/TrAvia_act!C8*1000)</f>
        <v>458.9156665882507</v>
      </c>
      <c r="D36" s="15">
        <f>IF(D10=0,0,D10/TrAvia_act!D8*1000)</f>
        <v>468.27142134563695</v>
      </c>
      <c r="E36" s="15">
        <f>IF(E10=0,0,E10/TrAvia_act!E8*1000)</f>
        <v>473.6150169948304</v>
      </c>
      <c r="F36" s="15">
        <f>IF(F10=0,0,F10/TrAvia_act!F8*1000)</f>
        <v>530.41197307270681</v>
      </c>
      <c r="G36" s="15">
        <f>IF(G10=0,0,G10/TrAvia_act!G8*1000)</f>
        <v>479.60935208749225</v>
      </c>
      <c r="H36" s="15">
        <f>IF(H10=0,0,H10/TrAvia_act!H8*1000)</f>
        <v>524.28305855199903</v>
      </c>
      <c r="I36" s="15">
        <f>IF(I10=0,0,I10/TrAvia_act!I8*1000)</f>
        <v>426.80470809177774</v>
      </c>
      <c r="J36" s="15">
        <f>IF(J10=0,0,J10/TrAvia_act!J8*1000)</f>
        <v>331.16869275707802</v>
      </c>
      <c r="K36" s="15">
        <f>IF(K10=0,0,K10/TrAvia_act!K8*1000)</f>
        <v>357.5113375562816</v>
      </c>
      <c r="L36" s="15">
        <f>IF(L10=0,0,L10/TrAvia_act!L8*1000)</f>
        <v>367.2341198956305</v>
      </c>
      <c r="M36" s="15">
        <f>IF(M10=0,0,M10/TrAvia_act!M8*1000)</f>
        <v>286.25409617889659</v>
      </c>
      <c r="N36" s="15">
        <f>IF(N10=0,0,N10/TrAvia_act!N8*1000)</f>
        <v>197.37363061924631</v>
      </c>
      <c r="O36" s="15">
        <f>IF(O10=0,0,O10/TrAvia_act!O8*1000)</f>
        <v>221.22790612163826</v>
      </c>
      <c r="P36" s="15">
        <f>IF(P10=0,0,P10/TrAvia_act!P8*1000)</f>
        <v>244.3597330214773</v>
      </c>
      <c r="Q36" s="15">
        <f>IF(Q10=0,0,Q10/TrAvia_act!Q8*1000)</f>
        <v>256.09881583687599</v>
      </c>
      <c r="R36" s="15">
        <f>IF(R10=0,0,R10/TrAvia_act!R8*1000)</f>
        <v>254.16906271115181</v>
      </c>
      <c r="S36" s="15">
        <f>IF(S10=0,0,S10/TrAvia_act!S8*1000)</f>
        <v>317.6601589949247</v>
      </c>
      <c r="T36" s="15">
        <f>IF(T10=0,0,T10/TrAvia_act!T8*1000)</f>
        <v>132.65824714305816</v>
      </c>
      <c r="U36" s="15">
        <f>IF(U10=0,0,U10/TrAvia_act!U8*1000)</f>
        <v>123.15273986922558</v>
      </c>
      <c r="V36" s="15">
        <f>IF(V10=0,0,V10/TrAvia_act!V8*1000)</f>
        <v>163.953826277156</v>
      </c>
      <c r="W36" s="15">
        <f>IF(W10=0,0,W10/TrAvia_act!W8*1000)</f>
        <v>209.51076194084308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1596.2012803485009</v>
      </c>
      <c r="C37" s="101">
        <f>IF(C11=0,0,C11/TrAvia_act!C9*1000)</f>
        <v>1593.1007882450126</v>
      </c>
      <c r="D37" s="101">
        <f>IF(D11=0,0,D11/TrAvia_act!D9*1000)</f>
        <v>1536.9338071254572</v>
      </c>
      <c r="E37" s="101">
        <f>IF(E11=0,0,E11/TrAvia_act!E9*1000)</f>
        <v>1444.8827364767515</v>
      </c>
      <c r="F37" s="101">
        <f>IF(F11=0,0,F11/TrAvia_act!F9*1000)</f>
        <v>1634.1097172390369</v>
      </c>
      <c r="G37" s="101">
        <f>IF(G11=0,0,G11/TrAvia_act!G9*1000)</f>
        <v>1274.6774287377923</v>
      </c>
      <c r="H37" s="101">
        <f>IF(H11=0,0,H11/TrAvia_act!H9*1000)</f>
        <v>243.19337575667367</v>
      </c>
      <c r="I37" s="101">
        <f>IF(I11=0,0,I11/TrAvia_act!I9*1000)</f>
        <v>9313.2458710607771</v>
      </c>
      <c r="J37" s="101">
        <f>IF(J11=0,0,J11/TrAvia_act!J9*1000)</f>
        <v>8841.16314832424</v>
      </c>
      <c r="K37" s="101">
        <f>IF(K11=0,0,K11/TrAvia_act!K9*1000)</f>
        <v>9229.205529569992</v>
      </c>
      <c r="L37" s="101">
        <f>IF(L11=0,0,L11/TrAvia_act!L9*1000)</f>
        <v>10775.104312734353</v>
      </c>
      <c r="M37" s="101">
        <f>IF(M11=0,0,M11/TrAvia_act!M9*1000)</f>
        <v>6191.6896803675345</v>
      </c>
      <c r="N37" s="101">
        <f>IF(N11=0,0,N11/TrAvia_act!N9*1000)</f>
        <v>2886.0339871557171</v>
      </c>
      <c r="O37" s="101">
        <f>IF(O11=0,0,O11/TrAvia_act!O9*1000)</f>
        <v>3390.3301355441613</v>
      </c>
      <c r="P37" s="101">
        <f>IF(P11=0,0,P11/TrAvia_act!P9*1000)</f>
        <v>1715.2811810715359</v>
      </c>
      <c r="Q37" s="101">
        <f>IF(Q11=0,0,Q11/TrAvia_act!Q9*1000)</f>
        <v>2206.1711648348141</v>
      </c>
      <c r="R37" s="101">
        <f>IF(R11=0,0,R11/TrAvia_act!R9*1000)</f>
        <v>1176.9118902455125</v>
      </c>
      <c r="S37" s="101">
        <f>IF(S11=0,0,S11/TrAvia_act!S9*1000)</f>
        <v>1831.1552483485864</v>
      </c>
      <c r="T37" s="101">
        <f>IF(T11=0,0,T11/TrAvia_act!T9*1000)</f>
        <v>1922.4245994631115</v>
      </c>
      <c r="U37" s="101">
        <f>IF(U11=0,0,U11/TrAvia_act!U9*1000)</f>
        <v>2137.2224410978915</v>
      </c>
      <c r="V37" s="101">
        <f>IF(V11=0,0,V11/TrAvia_act!V9*1000)</f>
        <v>3252.9789166660507</v>
      </c>
      <c r="W37" s="101">
        <f>IF(W11=0,0,W11/TrAvia_act!W9*1000)</f>
        <v>3162.1388917847908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805.24255616187486</v>
      </c>
      <c r="C38" s="101">
        <f>IF(C12=0,0,C12/TrAvia_act!C10*1000)</f>
        <v>755.35477961751701</v>
      </c>
      <c r="D38" s="101">
        <f>IF(D12=0,0,D12/TrAvia_act!D10*1000)</f>
        <v>799.6231420241802</v>
      </c>
      <c r="E38" s="101">
        <f>IF(E12=0,0,E12/TrAvia_act!E10*1000)</f>
        <v>787.62870018647493</v>
      </c>
      <c r="F38" s="101">
        <f>IF(F12=0,0,F12/TrAvia_act!F10*1000)</f>
        <v>871.47751298225614</v>
      </c>
      <c r="G38" s="101">
        <f>IF(G12=0,0,G12/TrAvia_act!G10*1000)</f>
        <v>630.48506546590795</v>
      </c>
      <c r="H38" s="101">
        <f>IF(H12=0,0,H12/TrAvia_act!H10*1000)</f>
        <v>722.17999572671147</v>
      </c>
      <c r="I38" s="101">
        <f>IF(I12=0,0,I12/TrAvia_act!I10*1000)</f>
        <v>447.83794078486721</v>
      </c>
      <c r="J38" s="101">
        <f>IF(J12=0,0,J12/TrAvia_act!J10*1000)</f>
        <v>408.29099001494046</v>
      </c>
      <c r="K38" s="101">
        <f>IF(K12=0,0,K12/TrAvia_act!K10*1000)</f>
        <v>415.77844460707018</v>
      </c>
      <c r="L38" s="101">
        <f>IF(L12=0,0,L12/TrAvia_act!L10*1000)</f>
        <v>440.30020301775465</v>
      </c>
      <c r="M38" s="101">
        <f>IF(M12=0,0,M12/TrAvia_act!M10*1000)</f>
        <v>392.97077837390634</v>
      </c>
      <c r="N38" s="101">
        <f>IF(N12=0,0,N12/TrAvia_act!N10*1000)</f>
        <v>313.18721633491265</v>
      </c>
      <c r="O38" s="101">
        <f>IF(O12=0,0,O12/TrAvia_act!O10*1000)</f>
        <v>378.61524067073231</v>
      </c>
      <c r="P38" s="101">
        <f>IF(P12=0,0,P12/TrAvia_act!P10*1000)</f>
        <v>386.61979543838572</v>
      </c>
      <c r="Q38" s="101">
        <f>IF(Q12=0,0,Q12/TrAvia_act!Q10*1000)</f>
        <v>370.20125749437693</v>
      </c>
      <c r="R38" s="101">
        <f>IF(R12=0,0,R12/TrAvia_act!R10*1000)</f>
        <v>352.36217503989576</v>
      </c>
      <c r="S38" s="101">
        <f>IF(S12=0,0,S12/TrAvia_act!S10*1000)</f>
        <v>418.5444798087309</v>
      </c>
      <c r="T38" s="101">
        <f>IF(T12=0,0,T12/TrAvia_act!T10*1000)</f>
        <v>144.74694436823896</v>
      </c>
      <c r="U38" s="101">
        <f>IF(U12=0,0,U12/TrAvia_act!U10*1000)</f>
        <v>145.1123005362096</v>
      </c>
      <c r="V38" s="101">
        <f>IF(V12=0,0,V12/TrAvia_act!V10*1000)</f>
        <v>144.72659260452261</v>
      </c>
      <c r="W38" s="101">
        <f>IF(W12=0,0,W12/TrAvia_act!W10*1000)</f>
        <v>178.04929218628249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194.86118862504557</v>
      </c>
      <c r="C39" s="88">
        <f>IF(C13=0,0,C13/TrAvia_act!C11*1000)</f>
        <v>185.87692883732404</v>
      </c>
      <c r="D39" s="88">
        <f>IF(D13=0,0,D13/TrAvia_act!D11*1000)</f>
        <v>196.20963594463811</v>
      </c>
      <c r="E39" s="88">
        <f>IF(E13=0,0,E13/TrAvia_act!E11*1000)</f>
        <v>216.1623148650512</v>
      </c>
      <c r="F39" s="88">
        <f>IF(F13=0,0,F13/TrAvia_act!F11*1000)</f>
        <v>222.48711132294528</v>
      </c>
      <c r="G39" s="88">
        <f>IF(G13=0,0,G13/TrAvia_act!G11*1000)</f>
        <v>183.70638963996737</v>
      </c>
      <c r="H39" s="88">
        <f>IF(H13=0,0,H13/TrAvia_act!H11*1000)</f>
        <v>200.47371252858321</v>
      </c>
      <c r="I39" s="88">
        <f>IF(I13=0,0,I13/TrAvia_act!I11*1000)</f>
        <v>122.3599451685628</v>
      </c>
      <c r="J39" s="88">
        <f>IF(J13=0,0,J13/TrAvia_act!J11*1000)</f>
        <v>121.08747890218621</v>
      </c>
      <c r="K39" s="88">
        <f>IF(K13=0,0,K13/TrAvia_act!K11*1000)</f>
        <v>135.09731401488952</v>
      </c>
      <c r="L39" s="88">
        <f>IF(L13=0,0,L13/TrAvia_act!L11*1000)</f>
        <v>151.98965115037129</v>
      </c>
      <c r="M39" s="88">
        <f>IF(M13=0,0,M13/TrAvia_act!M11*1000)</f>
        <v>138.27550642644201</v>
      </c>
      <c r="N39" s="88">
        <f>IF(N13=0,0,N13/TrAvia_act!N11*1000)</f>
        <v>115.27467876453102</v>
      </c>
      <c r="O39" s="88">
        <f>IF(O13=0,0,O13/TrAvia_act!O11*1000)</f>
        <v>114.82533440745519</v>
      </c>
      <c r="P39" s="88">
        <f>IF(P13=0,0,P13/TrAvia_act!P11*1000)</f>
        <v>80.008398554449585</v>
      </c>
      <c r="Q39" s="88">
        <f>IF(Q13=0,0,Q13/TrAvia_act!Q11*1000)</f>
        <v>69.536001324433883</v>
      </c>
      <c r="R39" s="88">
        <f>IF(R13=0,0,R13/TrAvia_act!R11*1000)</f>
        <v>51.571347513418758</v>
      </c>
      <c r="S39" s="88">
        <f>IF(S13=0,0,S13/TrAvia_act!S11*1000)</f>
        <v>50.050433538920771</v>
      </c>
      <c r="T39" s="88">
        <f>IF(T13=0,0,T13/TrAvia_act!T11*1000)</f>
        <v>23.439136266997547</v>
      </c>
      <c r="U39" s="88">
        <f>IF(U13=0,0,U13/TrAvia_act!U11*1000)</f>
        <v>21.793396137632428</v>
      </c>
      <c r="V39" s="88">
        <f>IF(V13=0,0,V13/TrAvia_act!V11*1000)</f>
        <v>47.923970549515111</v>
      </c>
      <c r="W39" s="88">
        <f>IF(W13=0,0,W13/TrAvia_act!W11*1000)</f>
        <v>39.191716170658111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15680.907437255355</v>
      </c>
      <c r="C41" s="54">
        <f>IF(C3=0,0,C3/TrAvia_act!C23*1000000)</f>
        <v>16361.60029242438</v>
      </c>
      <c r="D41" s="54">
        <f>IF(D3=0,0,D3/TrAvia_act!D23*1000000)</f>
        <v>16525.785237086522</v>
      </c>
      <c r="E41" s="54">
        <f>IF(E3=0,0,E3/TrAvia_act!E23*1000000)</f>
        <v>16702.495434515971</v>
      </c>
      <c r="F41" s="54">
        <f>IF(F3=0,0,F3/TrAvia_act!F23*1000000)</f>
        <v>14655.832876362945</v>
      </c>
      <c r="G41" s="54">
        <f>IF(G3=0,0,G3/TrAvia_act!G23*1000000)</f>
        <v>10423.914895163127</v>
      </c>
      <c r="H41" s="54">
        <f>IF(H3=0,0,H3/TrAvia_act!H23*1000000)</f>
        <v>10369.744945264685</v>
      </c>
      <c r="I41" s="54">
        <f>IF(I3=0,0,I3/TrAvia_act!I23*1000000)</f>
        <v>11396.530645320465</v>
      </c>
      <c r="J41" s="54">
        <f>IF(J3=0,0,J3/TrAvia_act!J23*1000000)</f>
        <v>10708.421541203848</v>
      </c>
      <c r="K41" s="54">
        <f>IF(K3=0,0,K3/TrAvia_act!K23*1000000)</f>
        <v>11362.409689485057</v>
      </c>
      <c r="L41" s="54">
        <f>IF(L3=0,0,L3/TrAvia_act!L23*1000000)</f>
        <v>12879.670116935611</v>
      </c>
      <c r="M41" s="54">
        <f>IF(M3=0,0,M3/TrAvia_act!M23*1000000)</f>
        <v>10420.435488514966</v>
      </c>
      <c r="N41" s="54">
        <f>IF(N3=0,0,N3/TrAvia_act!N23*1000000)</f>
        <v>8674.3047623791936</v>
      </c>
      <c r="O41" s="54">
        <f>IF(O3=0,0,O3/TrAvia_act!O23*1000000)</f>
        <v>10894.755002315651</v>
      </c>
      <c r="P41" s="54">
        <f>IF(P3=0,0,P3/TrAvia_act!P23*1000000)</f>
        <v>11703.566819857584</v>
      </c>
      <c r="Q41" s="54">
        <f>IF(Q3=0,0,Q3/TrAvia_act!Q23*1000000)</f>
        <v>12831.654027740771</v>
      </c>
      <c r="R41" s="54">
        <f>IF(R3=0,0,R3/TrAvia_act!R23*1000000)</f>
        <v>12914.248203208123</v>
      </c>
      <c r="S41" s="54">
        <f>IF(S3=0,0,S3/TrAvia_act!S23*1000000)</f>
        <v>13907.836638522431</v>
      </c>
      <c r="T41" s="54">
        <f>IF(T3=0,0,T3/TrAvia_act!T23*1000000)</f>
        <v>6556.0817777978536</v>
      </c>
      <c r="U41" s="54">
        <f>IF(U3=0,0,U3/TrAvia_act!U23*1000000)</f>
        <v>7194.9149876230795</v>
      </c>
      <c r="V41" s="54">
        <f>IF(V3=0,0,V3/TrAvia_act!V23*1000000)</f>
        <v>7127.5894726401048</v>
      </c>
      <c r="W41" s="54">
        <f>IF(W3=0,0,W3/TrAvia_act!W23*1000000)</f>
        <v>7262.9483905250172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15705.051880704414</v>
      </c>
      <c r="C42" s="11">
        <f>IF(C6=0,0,C6/TrAvia_act!C24*1000000)</f>
        <v>16394.67853088893</v>
      </c>
      <c r="D42" s="11">
        <f>IF(D6=0,0,D6/TrAvia_act!D24*1000000)</f>
        <v>16562.65190579867</v>
      </c>
      <c r="E42" s="11">
        <f>IF(E6=0,0,E6/TrAvia_act!E24*1000000)</f>
        <v>16731.382971259318</v>
      </c>
      <c r="F42" s="11">
        <f>IF(F6=0,0,F6/TrAvia_act!F24*1000000)</f>
        <v>14657.229829895685</v>
      </c>
      <c r="G42" s="11">
        <f>IF(G6=0,0,G6/TrAvia_act!G24*1000000)</f>
        <v>10425.901878912595</v>
      </c>
      <c r="H42" s="11">
        <f>IF(H6=0,0,H6/TrAvia_act!H24*1000000)</f>
        <v>10382.659911319048</v>
      </c>
      <c r="I42" s="11">
        <f>IF(I6=0,0,I6/TrAvia_act!I24*1000000)</f>
        <v>11411.654883932108</v>
      </c>
      <c r="J42" s="11">
        <f>IF(J6=0,0,J6/TrAvia_act!J24*1000000)</f>
        <v>10735.664585275485</v>
      </c>
      <c r="K42" s="11">
        <f>IF(K6=0,0,K6/TrAvia_act!K24*1000000)</f>
        <v>11395.118070181807</v>
      </c>
      <c r="L42" s="11">
        <f>IF(L6=0,0,L6/TrAvia_act!L24*1000000)</f>
        <v>12917.535313325623</v>
      </c>
      <c r="M42" s="11">
        <f>IF(M6=0,0,M6/TrAvia_act!M24*1000000)</f>
        <v>10430.547129683617</v>
      </c>
      <c r="N42" s="11">
        <f>IF(N6=0,0,N6/TrAvia_act!N24*1000000)</f>
        <v>8667.1658902530016</v>
      </c>
      <c r="O42" s="11">
        <f>IF(O6=0,0,O6/TrAvia_act!O24*1000000)</f>
        <v>10896.235779287013</v>
      </c>
      <c r="P42" s="11">
        <f>IF(P6=0,0,P6/TrAvia_act!P24*1000000)</f>
        <v>11712.757070131189</v>
      </c>
      <c r="Q42" s="11">
        <f>IF(Q6=0,0,Q6/TrAvia_act!Q24*1000000)</f>
        <v>12864.967202299573</v>
      </c>
      <c r="R42" s="11">
        <f>IF(R6=0,0,R6/TrAvia_act!R24*1000000)</f>
        <v>12945.282232822045</v>
      </c>
      <c r="S42" s="11">
        <f>IF(S6=0,0,S6/TrAvia_act!S24*1000000)</f>
        <v>13943.212793388131</v>
      </c>
      <c r="T42" s="11">
        <f>IF(T6=0,0,T6/TrAvia_act!T24*1000000)</f>
        <v>6584.4702079082417</v>
      </c>
      <c r="U42" s="11">
        <f>IF(U6=0,0,U6/TrAvia_act!U24*1000000)</f>
        <v>7220.1036706721243</v>
      </c>
      <c r="V42" s="11">
        <f>IF(V6=0,0,V6/TrAvia_act!V24*1000000)</f>
        <v>7188.0769968884315</v>
      </c>
      <c r="W42" s="11">
        <f>IF(W6=0,0,W6/TrAvia_act!W24*1000000)</f>
        <v>7301.0026436915086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5101.8014568790459</v>
      </c>
      <c r="C43" s="84">
        <f>IF(C7=0,0,C7/TrAvia_act!C25*1000000)</f>
        <v>5053.0677229666908</v>
      </c>
      <c r="D43" s="84">
        <f>IF(D7=0,0,D7/TrAvia_act!D25*1000000)</f>
        <v>5013.0164892701277</v>
      </c>
      <c r="E43" s="84">
        <f>IF(E7=0,0,E7/TrAvia_act!E25*1000000)</f>
        <v>5012.9180121466043</v>
      </c>
      <c r="F43" s="84">
        <f>IF(F7=0,0,F7/TrAvia_act!F25*1000000)</f>
        <v>5338.6626501606625</v>
      </c>
      <c r="G43" s="84">
        <f>IF(G7=0,0,G7/TrAvia_act!G25*1000000)</f>
        <v>3999.2947169908734</v>
      </c>
      <c r="H43" s="84">
        <f>IF(H7=0,0,H7/TrAvia_act!H25*1000000)</f>
        <v>670.33385441895621</v>
      </c>
      <c r="I43" s="84">
        <f>IF(I7=0,0,I7/TrAvia_act!I25*1000000)</f>
        <v>23949.26656173544</v>
      </c>
      <c r="J43" s="84">
        <f>IF(J7=0,0,J7/TrAvia_act!J25*1000000)</f>
        <v>20874.263814171823</v>
      </c>
      <c r="K43" s="84">
        <f>IF(K7=0,0,K7/TrAvia_act!K25*1000000)</f>
        <v>20544.963614533717</v>
      </c>
      <c r="L43" s="84">
        <f>IF(L7=0,0,L7/TrAvia_act!L25*1000000)</f>
        <v>23132.009296689808</v>
      </c>
      <c r="M43" s="84">
        <f>IF(M7=0,0,M7/TrAvia_act!M25*1000000)</f>
        <v>18178.153570209422</v>
      </c>
      <c r="N43" s="84">
        <f>IF(N7=0,0,N7/TrAvia_act!N25*1000000)</f>
        <v>10307.806431606512</v>
      </c>
      <c r="O43" s="84">
        <f>IF(O7=0,0,O7/TrAvia_act!O25*1000000)</f>
        <v>11981.816885934453</v>
      </c>
      <c r="P43" s="84">
        <f>IF(P7=0,0,P7/TrAvia_act!P25*1000000)</f>
        <v>7001.6564287409892</v>
      </c>
      <c r="Q43" s="84">
        <f>IF(Q7=0,0,Q7/TrAvia_act!Q25*1000000)</f>
        <v>9555.6134359844746</v>
      </c>
      <c r="R43" s="84">
        <f>IF(R7=0,0,R7/TrAvia_act!R25*1000000)</f>
        <v>6065.1747816871275</v>
      </c>
      <c r="S43" s="84">
        <f>IF(S7=0,0,S7/TrAvia_act!S25*1000000)</f>
        <v>8987.8560227088346</v>
      </c>
      <c r="T43" s="84">
        <f>IF(T7=0,0,T7/TrAvia_act!T25*1000000)</f>
        <v>9894.0019747205461</v>
      </c>
      <c r="U43" s="84">
        <f>IF(U7=0,0,U7/TrAvia_act!U25*1000000)</f>
        <v>11976.934793448292</v>
      </c>
      <c r="V43" s="84">
        <f>IF(V7=0,0,V7/TrAvia_act!V25*1000000)</f>
        <v>15960.504999604416</v>
      </c>
      <c r="W43" s="84">
        <f>IF(W7=0,0,W7/TrAvia_act!W25*1000000)</f>
        <v>15751.179883820521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18220.749610895557</v>
      </c>
      <c r="C44" s="84">
        <f>IF(C8=0,0,C8/TrAvia_act!C26*1000000)</f>
        <v>18213.790195993766</v>
      </c>
      <c r="D44" s="84">
        <f>IF(D8=0,0,D8/TrAvia_act!D26*1000000)</f>
        <v>18168.242322111946</v>
      </c>
      <c r="E44" s="84">
        <f>IF(E8=0,0,E8/TrAvia_act!E26*1000000)</f>
        <v>18206.543256419885</v>
      </c>
      <c r="F44" s="84">
        <f>IF(F8=0,0,F8/TrAvia_act!F26*1000000)</f>
        <v>18202.796549390732</v>
      </c>
      <c r="G44" s="84">
        <f>IF(G8=0,0,G8/TrAvia_act!G26*1000000)</f>
        <v>12562.289254730773</v>
      </c>
      <c r="H44" s="84">
        <f>IF(H8=0,0,H8/TrAvia_act!H26*1000000)</f>
        <v>13280.79750196474</v>
      </c>
      <c r="I44" s="84">
        <f>IF(I8=0,0,I8/TrAvia_act!I26*1000000)</f>
        <v>8759.2619569534763</v>
      </c>
      <c r="J44" s="84">
        <f>IF(J8=0,0,J8/TrAvia_act!J26*1000000)</f>
        <v>8663.1145369139685</v>
      </c>
      <c r="K44" s="84">
        <f>IF(K8=0,0,K8/TrAvia_act!K26*1000000)</f>
        <v>9298.4489246677931</v>
      </c>
      <c r="L44" s="84">
        <f>IF(L8=0,0,L8/TrAvia_act!L26*1000000)</f>
        <v>10217.699946131246</v>
      </c>
      <c r="M44" s="84">
        <f>IF(M8=0,0,M8/TrAvia_act!M26*1000000)</f>
        <v>8579.2007345322709</v>
      </c>
      <c r="N44" s="84">
        <f>IF(N8=0,0,N8/TrAvia_act!N26*1000000)</f>
        <v>8696.3080754372877</v>
      </c>
      <c r="O44" s="84">
        <f>IF(O8=0,0,O8/TrAvia_act!O26*1000000)</f>
        <v>10998.306171783124</v>
      </c>
      <c r="P44" s="84">
        <f>IF(P8=0,0,P8/TrAvia_act!P26*1000000)</f>
        <v>13387.136438796859</v>
      </c>
      <c r="Q44" s="84">
        <f>IF(Q8=0,0,Q8/TrAvia_act!Q26*1000000)</f>
        <v>14236.689290082764</v>
      </c>
      <c r="R44" s="84">
        <f>IF(R8=0,0,R8/TrAvia_act!R26*1000000)</f>
        <v>15481.635971181131</v>
      </c>
      <c r="S44" s="84">
        <f>IF(S8=0,0,S8/TrAvia_act!S26*1000000)</f>
        <v>16397.416080229275</v>
      </c>
      <c r="T44" s="84">
        <f>IF(T8=0,0,T8/TrAvia_act!T26*1000000)</f>
        <v>6365.8482041005691</v>
      </c>
      <c r="U44" s="84">
        <f>IF(U8=0,0,U8/TrAvia_act!U26*1000000)</f>
        <v>6887.4075998501403</v>
      </c>
      <c r="V44" s="84">
        <f>IF(V8=0,0,V8/TrAvia_act!V26*1000000)</f>
        <v>4996.9641990629025</v>
      </c>
      <c r="W44" s="84">
        <f>IF(W8=0,0,W8/TrAvia_act!W26*1000000)</f>
        <v>6099.9593782453221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14342.39063982575</v>
      </c>
      <c r="C45" s="84">
        <f>IF(C9=0,0,C9/TrAvia_act!C27*1000000)</f>
        <v>14331.915969896421</v>
      </c>
      <c r="D45" s="84">
        <f>IF(D9=0,0,D9/TrAvia_act!D27*1000000)</f>
        <v>14287.792566577522</v>
      </c>
      <c r="E45" s="84">
        <f>IF(E9=0,0,E9/TrAvia_act!E27*1000000)</f>
        <v>14304.75854925547</v>
      </c>
      <c r="F45" s="84">
        <f>IF(F9=0,0,F9/TrAvia_act!F27*1000000)</f>
        <v>14291.637748991796</v>
      </c>
      <c r="G45" s="84">
        <f>IF(G9=0,0,G9/TrAvia_act!G27*1000000)</f>
        <v>10713.947307657103</v>
      </c>
      <c r="H45" s="84">
        <f>IF(H9=0,0,H9/TrAvia_act!H27*1000000)</f>
        <v>11107.209257040304</v>
      </c>
      <c r="I45" s="84">
        <f>IF(I9=0,0,I9/TrAvia_act!I27*1000000)</f>
        <v>6925.8507086814989</v>
      </c>
      <c r="J45" s="84">
        <f>IF(J9=0,0,J9/TrAvia_act!J27*1000000)</f>
        <v>6633.6457657840474</v>
      </c>
      <c r="K45" s="84">
        <f>IF(K9=0,0,K9/TrAvia_act!K27*1000000)</f>
        <v>7898.9091144976619</v>
      </c>
      <c r="L45" s="84">
        <f>IF(L9=0,0,L9/TrAvia_act!L27*1000000)</f>
        <v>8640.5227378575128</v>
      </c>
      <c r="M45" s="84">
        <f>IF(M9=0,0,M9/TrAvia_act!M27*1000000)</f>
        <v>7517.8777217560519</v>
      </c>
      <c r="N45" s="84">
        <f>IF(N9=0,0,N9/TrAvia_act!N27*1000000)</f>
        <v>6400.3797997380698</v>
      </c>
      <c r="O45" s="84">
        <f>IF(O9=0,0,O9/TrAvia_act!O27*1000000)</f>
        <v>8866.4826714158262</v>
      </c>
      <c r="P45" s="84">
        <f>IF(P9=0,0,P9/TrAvia_act!P27*1000000)</f>
        <v>9654.2960942901191</v>
      </c>
      <c r="Q45" s="84">
        <f>IF(Q9=0,0,Q9/TrAvia_act!Q27*1000000)</f>
        <v>9965.5279106947655</v>
      </c>
      <c r="R45" s="84">
        <f>IF(R9=0,0,R9/TrAvia_act!R27*1000000)</f>
        <v>9700.6789069724109</v>
      </c>
      <c r="S45" s="84">
        <f>IF(S9=0,0,S9/TrAvia_act!S27*1000000)</f>
        <v>8977.6195658119486</v>
      </c>
      <c r="T45" s="84">
        <f>IF(T9=0,0,T9/TrAvia_act!T27*1000000)</f>
        <v>3177.7225699602745</v>
      </c>
      <c r="U45" s="84">
        <f>IF(U9=0,0,U9/TrAvia_act!U27*1000000)</f>
        <v>3120.4701778278386</v>
      </c>
      <c r="V45" s="84">
        <f>IF(V9=0,0,V9/TrAvia_act!V27*1000000)</f>
        <v>4681.168335581001</v>
      </c>
      <c r="W45" s="84">
        <f>IF(W9=0,0,W9/TrAvia_act!W27*1000000)</f>
        <v>3428.8944175118449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14235.061442864286</v>
      </c>
      <c r="C46" s="13">
        <f>IF(C10=0,0,C10/TrAvia_act!C28*1000000)</f>
        <v>14411.252977368222</v>
      </c>
      <c r="D46" s="13">
        <f>IF(D10=0,0,D10/TrAvia_act!D28*1000000)</f>
        <v>14572.176135536705</v>
      </c>
      <c r="E46" s="13">
        <f>IF(E10=0,0,E10/TrAvia_act!E28*1000000)</f>
        <v>14821.769318612653</v>
      </c>
      <c r="F46" s="13">
        <f>IF(F10=0,0,F10/TrAvia_act!F28*1000000)</f>
        <v>14540.384911207673</v>
      </c>
      <c r="G46" s="13">
        <f>IF(G10=0,0,G10/TrAvia_act!G28*1000000)</f>
        <v>10187.26513060148</v>
      </c>
      <c r="H46" s="13">
        <f>IF(H10=0,0,H10/TrAvia_act!H28*1000000)</f>
        <v>8939.7606523580562</v>
      </c>
      <c r="I46" s="13">
        <f>IF(I10=0,0,I10/TrAvia_act!I28*1000000)</f>
        <v>9198.946423736259</v>
      </c>
      <c r="J46" s="13">
        <f>IF(J10=0,0,J10/TrAvia_act!J28*1000000)</f>
        <v>7555.2622784228697</v>
      </c>
      <c r="K46" s="13">
        <f>IF(K10=0,0,K10/TrAvia_act!K28*1000000)</f>
        <v>7810.718739622509</v>
      </c>
      <c r="L46" s="13">
        <f>IF(L10=0,0,L10/TrAvia_act!L28*1000000)</f>
        <v>8757.369617743474</v>
      </c>
      <c r="M46" s="13">
        <f>IF(M10=0,0,M10/TrAvia_act!M28*1000000)</f>
        <v>9271.8168029090466</v>
      </c>
      <c r="N46" s="13">
        <f>IF(N10=0,0,N10/TrAvia_act!N28*1000000)</f>
        <v>9412.2562839853399</v>
      </c>
      <c r="O46" s="13">
        <f>IF(O10=0,0,O10/TrAvia_act!O28*1000000)</f>
        <v>10754.714768379681</v>
      </c>
      <c r="P46" s="13">
        <f>IF(P10=0,0,P10/TrAvia_act!P28*1000000)</f>
        <v>10749.920320566929</v>
      </c>
      <c r="Q46" s="13">
        <f>IF(Q10=0,0,Q10/TrAvia_act!Q28*1000000)</f>
        <v>9634.6524565180571</v>
      </c>
      <c r="R46" s="13">
        <f>IF(R10=0,0,R10/TrAvia_act!R28*1000000)</f>
        <v>9648.7934419720295</v>
      </c>
      <c r="S46" s="13">
        <f>IF(S10=0,0,S10/TrAvia_act!S28*1000000)</f>
        <v>10380.816908482391</v>
      </c>
      <c r="T46" s="13">
        <f>IF(T10=0,0,T10/TrAvia_act!T28*1000000)</f>
        <v>3721.0864013639821</v>
      </c>
      <c r="U46" s="13">
        <f>IF(U10=0,0,U10/TrAvia_act!U28*1000000)</f>
        <v>3838.2346223074633</v>
      </c>
      <c r="V46" s="13">
        <f>IF(V10=0,0,V10/TrAvia_act!V28*1000000)</f>
        <v>3826.1563153128714</v>
      </c>
      <c r="W46" s="13">
        <f>IF(W10=0,0,W10/TrAvia_act!W28*1000000)</f>
        <v>4456.4605251791281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4977.807941089035</v>
      </c>
      <c r="C47" s="102">
        <f>IF(C11=0,0,C11/TrAvia_act!C29*1000000)</f>
        <v>4930.2586254760654</v>
      </c>
      <c r="D47" s="102">
        <f>IF(D11=0,0,D11/TrAvia_act!D29*1000000)</f>
        <v>4891.1807917284696</v>
      </c>
      <c r="E47" s="102">
        <f>IF(E11=0,0,E11/TrAvia_act!E29*1000000)</f>
        <v>4891.0847079800851</v>
      </c>
      <c r="F47" s="102">
        <f>IF(F11=0,0,F11/TrAvia_act!F29*1000000)</f>
        <v>5208.9124908874737</v>
      </c>
      <c r="G47" s="102">
        <f>IF(G11=0,0,G11/TrAvia_act!G29*1000000)</f>
        <v>3902.0963809067666</v>
      </c>
      <c r="H47" s="102">
        <f>IF(H11=0,0,H11/TrAvia_act!H29*1000000)</f>
        <v>642.0920654485999</v>
      </c>
      <c r="I47" s="102">
        <f>IF(I11=0,0,I11/TrAvia_act!I29*1000000)</f>
        <v>22521.118972110111</v>
      </c>
      <c r="J47" s="102">
        <f>IF(J11=0,0,J11/TrAvia_act!J29*1000000)</f>
        <v>19270.835420492498</v>
      </c>
      <c r="K47" s="102">
        <f>IF(K11=0,0,K11/TrAvia_act!K29*1000000)</f>
        <v>18620.288635201141</v>
      </c>
      <c r="L47" s="102">
        <f>IF(L11=0,0,L11/TrAvia_act!L29*1000000)</f>
        <v>20581.929133458427</v>
      </c>
      <c r="M47" s="102">
        <f>IF(M11=0,0,M11/TrAvia_act!M29*1000000)</f>
        <v>16681.426359595218</v>
      </c>
      <c r="N47" s="102">
        <f>IF(N11=0,0,N11/TrAvia_act!N29*1000000)</f>
        <v>9755.7406032001363</v>
      </c>
      <c r="O47" s="102">
        <f>IF(O11=0,0,O11/TrAvia_act!O29*1000000)</f>
        <v>11415.639832920011</v>
      </c>
      <c r="P47" s="102">
        <f>IF(P11=0,0,P11/TrAvia_act!P29*1000000)</f>
        <v>6715.2465538071274</v>
      </c>
      <c r="Q47" s="102">
        <f>IF(Q11=0,0,Q11/TrAvia_act!Q29*1000000)</f>
        <v>9225.7848339326447</v>
      </c>
      <c r="R47" s="102">
        <f>IF(R11=0,0,R11/TrAvia_act!R29*1000000)</f>
        <v>5894.8349365156937</v>
      </c>
      <c r="S47" s="102">
        <f>IF(S11=0,0,S11/TrAvia_act!S29*1000000)</f>
        <v>8793.6263934733615</v>
      </c>
      <c r="T47" s="102">
        <f>IF(T11=0,0,T11/TrAvia_act!T29*1000000)</f>
        <v>9744.6774296973199</v>
      </c>
      <c r="U47" s="102">
        <f>IF(U11=0,0,U11/TrAvia_act!U29*1000000)</f>
        <v>11684.419249907838</v>
      </c>
      <c r="V47" s="102">
        <f>IF(V11=0,0,V11/TrAvia_act!V29*1000000)</f>
        <v>15570.697767983409</v>
      </c>
      <c r="W47" s="102">
        <f>IF(W11=0,0,W11/TrAvia_act!W29*1000000)</f>
        <v>15366.485049576311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13544.185712276891</v>
      </c>
      <c r="C48" s="102">
        <f>IF(C12=0,0,C12/TrAvia_act!C30*1000000)</f>
        <v>13510.530035728729</v>
      </c>
      <c r="D48" s="102">
        <f>IF(D12=0,0,D12/TrAvia_act!D30*1000000)</f>
        <v>13457.517769776179</v>
      </c>
      <c r="E48" s="102">
        <f>IF(E12=0,0,E12/TrAvia_act!E30*1000000)</f>
        <v>13494.821441900052</v>
      </c>
      <c r="F48" s="102">
        <f>IF(F12=0,0,F12/TrAvia_act!F30*1000000)</f>
        <v>13468.549605548005</v>
      </c>
      <c r="G48" s="102">
        <f>IF(G12=0,0,G12/TrAvia_act!G30*1000000)</f>
        <v>9717.1430191389718</v>
      </c>
      <c r="H48" s="102">
        <f>IF(H12=0,0,H12/TrAvia_act!H30*1000000)</f>
        <v>9149.2036269453747</v>
      </c>
      <c r="I48" s="102">
        <f>IF(I12=0,0,I12/TrAvia_act!I30*1000000)</f>
        <v>6200.1302261860255</v>
      </c>
      <c r="J48" s="102">
        <f>IF(J12=0,0,J12/TrAvia_act!J30*1000000)</f>
        <v>5897.4221155807272</v>
      </c>
      <c r="K48" s="102">
        <f>IF(K12=0,0,K12/TrAvia_act!K30*1000000)</f>
        <v>6593.0215635815857</v>
      </c>
      <c r="L48" s="102">
        <f>IF(L12=0,0,L12/TrAvia_act!L30*1000000)</f>
        <v>7405.7244849997678</v>
      </c>
      <c r="M48" s="102">
        <f>IF(M12=0,0,M12/TrAvia_act!M30*1000000)</f>
        <v>7559.1563234568284</v>
      </c>
      <c r="N48" s="102">
        <f>IF(N12=0,0,N12/TrAvia_act!N30*1000000)</f>
        <v>6792.6141001480946</v>
      </c>
      <c r="O48" s="102">
        <f>IF(O12=0,0,O12/TrAvia_act!O30*1000000)</f>
        <v>8363.9606887812024</v>
      </c>
      <c r="P48" s="102">
        <f>IF(P12=0,0,P12/TrAvia_act!P30*1000000)</f>
        <v>9970.9962605086021</v>
      </c>
      <c r="Q48" s="102">
        <f>IF(Q12=0,0,Q12/TrAvia_act!Q30*1000000)</f>
        <v>9378.0694147900758</v>
      </c>
      <c r="R48" s="102">
        <f>IF(R12=0,0,R12/TrAvia_act!R30*1000000)</f>
        <v>9845.1450733340134</v>
      </c>
      <c r="S48" s="102">
        <f>IF(S12=0,0,S12/TrAvia_act!S30*1000000)</f>
        <v>11095.390907146604</v>
      </c>
      <c r="T48" s="102">
        <f>IF(T12=0,0,T12/TrAvia_act!T30*1000000)</f>
        <v>3885.9992231124993</v>
      </c>
      <c r="U48" s="102">
        <f>IF(U12=0,0,U12/TrAvia_act!U30*1000000)</f>
        <v>3920.0635110747194</v>
      </c>
      <c r="V48" s="102">
        <f>IF(V12=0,0,V12/TrAvia_act!V30*1000000)</f>
        <v>3141.7385654741856</v>
      </c>
      <c r="W48" s="102">
        <f>IF(W12=0,0,W12/TrAvia_act!W30*1000000)</f>
        <v>3691.6455173063864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31722.98124264638</v>
      </c>
      <c r="C49" s="86">
        <f>IF(C13=0,0,C13/TrAvia_act!C31*1000000)</f>
        <v>31699.813015951415</v>
      </c>
      <c r="D49" s="86">
        <f>IF(D13=0,0,D13/TrAvia_act!D31*1000000)</f>
        <v>31602.219390802169</v>
      </c>
      <c r="E49" s="86">
        <f>IF(E13=0,0,E13/TrAvia_act!E31*1000000)</f>
        <v>31639.74532101642</v>
      </c>
      <c r="F49" s="86">
        <f>IF(F13=0,0,F13/TrAvia_act!F31*1000000)</f>
        <v>31610.724294389431</v>
      </c>
      <c r="G49" s="86">
        <f>IF(G13=0,0,G13/TrAvia_act!G31*1000000)</f>
        <v>23697.468435404204</v>
      </c>
      <c r="H49" s="86">
        <f>IF(H13=0,0,H13/TrAvia_act!H31*1000000)</f>
        <v>26591.084304930424</v>
      </c>
      <c r="I49" s="86">
        <f>IF(I13=0,0,I13/TrAvia_act!I31*1000000)</f>
        <v>17950.431018016152</v>
      </c>
      <c r="J49" s="86">
        <f>IF(J13=0,0,J13/TrAvia_act!J31*1000000)</f>
        <v>18617.122667283536</v>
      </c>
      <c r="K49" s="86">
        <f>IF(K13=0,0,K13/TrAvia_act!K31*1000000)</f>
        <v>24008.769038376937</v>
      </c>
      <c r="L49" s="86">
        <f>IF(L13=0,0,L13/TrAvia_act!L31*1000000)</f>
        <v>28448.906792617949</v>
      </c>
      <c r="M49" s="86">
        <f>IF(M13=0,0,M13/TrAvia_act!M31*1000000)</f>
        <v>30653.476412133015</v>
      </c>
      <c r="N49" s="86">
        <f>IF(N13=0,0,N13/TrAvia_act!N31*1000000)</f>
        <v>32060.269262058704</v>
      </c>
      <c r="O49" s="86">
        <f>IF(O13=0,0,O13/TrAvia_act!O31*1000000)</f>
        <v>28132.475659115153</v>
      </c>
      <c r="P49" s="86">
        <f>IF(P13=0,0,P13/TrAvia_act!P31*1000000)</f>
        <v>19375.521076616431</v>
      </c>
      <c r="Q49" s="86">
        <f>IF(Q13=0,0,Q13/TrAvia_act!Q31*1000000)</f>
        <v>12630.688849765576</v>
      </c>
      <c r="R49" s="86">
        <f>IF(R13=0,0,R13/TrAvia_act!R31*1000000)</f>
        <v>7751.2045599761886</v>
      </c>
      <c r="S49" s="86">
        <f>IF(S13=0,0,S13/TrAvia_act!S31*1000000)</f>
        <v>4513.7136400578775</v>
      </c>
      <c r="T49" s="86">
        <f>IF(T13=0,0,T13/TrAvia_act!T31*1000000)</f>
        <v>1003.1534205545835</v>
      </c>
      <c r="U49" s="86">
        <f>IF(U13=0,0,U13/TrAvia_act!U31*1000000)</f>
        <v>1219.136379676132</v>
      </c>
      <c r="V49" s="86">
        <f>IF(V13=0,0,V13/TrAvia_act!V31*1000000)</f>
        <v>1828.8854858620703</v>
      </c>
      <c r="W49" s="86">
        <f>IF(W13=0,0,W13/TrAvia_act!W31*1000000)</f>
        <v>1339.6346346008004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0.98508954679550842</v>
      </c>
      <c r="C52" s="16">
        <f t="shared" si="35"/>
        <v>0.98531065494214043</v>
      </c>
      <c r="D52" s="16">
        <f t="shared" ref="D52:V52" si="36">IF(D6=0,0,D6/D$3)</f>
        <v>0.98366800236250207</v>
      </c>
      <c r="E52" s="16">
        <f t="shared" si="36"/>
        <v>0.98657594607822108</v>
      </c>
      <c r="F52" s="16">
        <f t="shared" si="36"/>
        <v>0.98813855692693275</v>
      </c>
      <c r="G52" s="16">
        <f t="shared" si="36"/>
        <v>0.99186263597221447</v>
      </c>
      <c r="H52" s="16">
        <f t="shared" si="36"/>
        <v>0.99228359390371024</v>
      </c>
      <c r="I52" s="16">
        <f t="shared" si="36"/>
        <v>0.99448285051768837</v>
      </c>
      <c r="J52" s="16">
        <f t="shared" si="36"/>
        <v>0.9939563729064409</v>
      </c>
      <c r="K52" s="16">
        <f t="shared" si="36"/>
        <v>0.99372717442777758</v>
      </c>
      <c r="L52" s="16">
        <f t="shared" si="36"/>
        <v>0.99381131289659086</v>
      </c>
      <c r="M52" s="16">
        <f t="shared" si="36"/>
        <v>0.99223541500124846</v>
      </c>
      <c r="N52" s="16">
        <f t="shared" si="36"/>
        <v>0.98960367838748664</v>
      </c>
      <c r="O52" s="16">
        <f t="shared" si="36"/>
        <v>0.98967119310768392</v>
      </c>
      <c r="P52" s="16">
        <f t="shared" si="36"/>
        <v>0.99123278440155638</v>
      </c>
      <c r="Q52" s="16">
        <f t="shared" si="36"/>
        <v>0.99225672662135045</v>
      </c>
      <c r="R52" s="16">
        <f t="shared" si="36"/>
        <v>0.99296619300681344</v>
      </c>
      <c r="S52" s="16">
        <f t="shared" si="36"/>
        <v>0.99258791490843878</v>
      </c>
      <c r="T52" s="16">
        <f t="shared" si="36"/>
        <v>0.99437286668851343</v>
      </c>
      <c r="U52" s="16">
        <f t="shared" si="36"/>
        <v>0.99602667100515108</v>
      </c>
      <c r="V52" s="16">
        <f t="shared" si="36"/>
        <v>0.99034175144973557</v>
      </c>
      <c r="W52" s="16">
        <f t="shared" ref="W52" si="37">IF(W6=0,0,W6/W$3)</f>
        <v>0.99179142179301194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4.4998295650746929E-2</v>
      </c>
      <c r="C53" s="103">
        <f t="shared" si="38"/>
        <v>2.5456546062544744E-2</v>
      </c>
      <c r="D53" s="103">
        <f t="shared" ref="D53:V53" si="39">IF(D7=0,0,D7/D$3)</f>
        <v>1.9837463355824488E-2</v>
      </c>
      <c r="E53" s="103">
        <f t="shared" si="39"/>
        <v>1.642922408804991E-2</v>
      </c>
      <c r="F53" s="103">
        <f t="shared" si="39"/>
        <v>8.220029854377521E-2</v>
      </c>
      <c r="G53" s="103">
        <f t="shared" si="39"/>
        <v>8.299050913299523E-2</v>
      </c>
      <c r="H53" s="103">
        <f t="shared" si="39"/>
        <v>1.312349981915782E-2</v>
      </c>
      <c r="I53" s="103">
        <f t="shared" si="39"/>
        <v>0.40088016605967824</v>
      </c>
      <c r="J53" s="103">
        <f t="shared" si="39"/>
        <v>0.3749122842827044</v>
      </c>
      <c r="K53" s="103">
        <f t="shared" si="39"/>
        <v>0.3641607483112006</v>
      </c>
      <c r="L53" s="103">
        <f t="shared" si="39"/>
        <v>0.40039080284939327</v>
      </c>
      <c r="M53" s="103">
        <f t="shared" si="39"/>
        <v>0.35828944990413758</v>
      </c>
      <c r="N53" s="103">
        <f t="shared" si="39"/>
        <v>0.23260365275775208</v>
      </c>
      <c r="O53" s="103">
        <f t="shared" si="39"/>
        <v>0.21601679536953977</v>
      </c>
      <c r="P53" s="103">
        <f t="shared" si="39"/>
        <v>0.10496034449257229</v>
      </c>
      <c r="Q53" s="103">
        <f t="shared" si="39"/>
        <v>0.12017992556486133</v>
      </c>
      <c r="R53" s="103">
        <f t="shared" si="39"/>
        <v>8.7783009498215714E-2</v>
      </c>
      <c r="S53" s="103">
        <f t="shared" si="39"/>
        <v>0.12781494187934642</v>
      </c>
      <c r="T53" s="103">
        <f t="shared" si="39"/>
        <v>0.28737932489882473</v>
      </c>
      <c r="U53" s="103">
        <f t="shared" si="39"/>
        <v>0.29684944859332807</v>
      </c>
      <c r="V53" s="103">
        <f t="shared" si="39"/>
        <v>0.44656809808103659</v>
      </c>
      <c r="W53" s="103">
        <f t="shared" ref="W53" si="40">IF(W7=0,0,W7/W$3)</f>
        <v>0.35919173177815528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0.78445707721380864</v>
      </c>
      <c r="C54" s="103">
        <f t="shared" si="41"/>
        <v>0.80100192918691027</v>
      </c>
      <c r="D54" s="103">
        <f t="shared" ref="D54:V54" si="42">IF(D8=0,0,D8/D$3)</f>
        <v>0.80440223265885336</v>
      </c>
      <c r="E54" s="103">
        <f t="shared" si="42"/>
        <v>0.80977495147695733</v>
      </c>
      <c r="F54" s="103">
        <f t="shared" si="42"/>
        <v>0.75627388097064374</v>
      </c>
      <c r="G54" s="103">
        <f t="shared" si="42"/>
        <v>0.76076571445650376</v>
      </c>
      <c r="H54" s="103">
        <f t="shared" si="42"/>
        <v>0.82536459499189407</v>
      </c>
      <c r="I54" s="103">
        <f t="shared" si="42"/>
        <v>0.50628318760553304</v>
      </c>
      <c r="J54" s="103">
        <f t="shared" si="42"/>
        <v>0.52937709140174205</v>
      </c>
      <c r="K54" s="103">
        <f t="shared" si="42"/>
        <v>0.53642906658604805</v>
      </c>
      <c r="L54" s="103">
        <f t="shared" si="42"/>
        <v>0.50674474834794925</v>
      </c>
      <c r="M54" s="103">
        <f t="shared" si="42"/>
        <v>0.54129564599672864</v>
      </c>
      <c r="N54" s="103">
        <f t="shared" si="42"/>
        <v>0.64634994440686788</v>
      </c>
      <c r="O54" s="103">
        <f t="shared" si="42"/>
        <v>0.66134946185210164</v>
      </c>
      <c r="P54" s="103">
        <f t="shared" si="42"/>
        <v>0.76736201229699985</v>
      </c>
      <c r="Q54" s="103">
        <f t="shared" si="42"/>
        <v>0.76258940601377401</v>
      </c>
      <c r="R54" s="103">
        <f t="shared" si="42"/>
        <v>0.80741460225556483</v>
      </c>
      <c r="S54" s="103">
        <f t="shared" si="42"/>
        <v>0.78087551556326806</v>
      </c>
      <c r="T54" s="103">
        <f t="shared" si="42"/>
        <v>0.63775794531348773</v>
      </c>
      <c r="U54" s="103">
        <f t="shared" si="42"/>
        <v>0.63270076899408922</v>
      </c>
      <c r="V54" s="103">
        <f t="shared" si="42"/>
        <v>0.47153539301600972</v>
      </c>
      <c r="W54" s="103">
        <f t="shared" ref="W54" si="43">IF(W8=0,0,W8/W$3)</f>
        <v>0.55951246655435494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0.1556341739309528</v>
      </c>
      <c r="C55" s="103">
        <f t="shared" si="44"/>
        <v>0.15885217969268556</v>
      </c>
      <c r="D55" s="103">
        <f t="shared" ref="D55:V55" si="45">IF(D9=0,0,D9/D$3)</f>
        <v>0.15942830634782426</v>
      </c>
      <c r="E55" s="103">
        <f t="shared" si="45"/>
        <v>0.16037177051321388</v>
      </c>
      <c r="F55" s="103">
        <f t="shared" si="45"/>
        <v>0.1496643774125139</v>
      </c>
      <c r="G55" s="103">
        <f t="shared" si="45"/>
        <v>0.14810641238271541</v>
      </c>
      <c r="H55" s="103">
        <f t="shared" si="45"/>
        <v>0.15379549909265838</v>
      </c>
      <c r="I55" s="103">
        <f t="shared" si="45"/>
        <v>8.7319496852477141E-2</v>
      </c>
      <c r="J55" s="103">
        <f t="shared" si="45"/>
        <v>8.9666997221994532E-2</v>
      </c>
      <c r="K55" s="103">
        <f t="shared" si="45"/>
        <v>9.3137359530528971E-2</v>
      </c>
      <c r="L55" s="103">
        <f t="shared" si="45"/>
        <v>8.6675761699248385E-2</v>
      </c>
      <c r="M55" s="103">
        <f t="shared" si="45"/>
        <v>9.2650319100382392E-2</v>
      </c>
      <c r="N55" s="103">
        <f t="shared" si="45"/>
        <v>0.11065008122286678</v>
      </c>
      <c r="O55" s="103">
        <f t="shared" si="45"/>
        <v>0.11230493588604248</v>
      </c>
      <c r="P55" s="103">
        <f t="shared" si="45"/>
        <v>0.11891042761198418</v>
      </c>
      <c r="Q55" s="103">
        <f t="shared" si="45"/>
        <v>0.10948739504271514</v>
      </c>
      <c r="R55" s="103">
        <f t="shared" si="45"/>
        <v>9.7768581253032893E-2</v>
      </c>
      <c r="S55" s="103">
        <f t="shared" si="45"/>
        <v>8.3897457465824318E-2</v>
      </c>
      <c r="T55" s="103">
        <f t="shared" si="45"/>
        <v>6.9235596476201047E-2</v>
      </c>
      <c r="U55" s="103">
        <f t="shared" si="45"/>
        <v>6.6476453417733727E-2</v>
      </c>
      <c r="V55" s="103">
        <f t="shared" si="45"/>
        <v>7.2238260352689473E-2</v>
      </c>
      <c r="W55" s="103">
        <f t="shared" ref="W55" si="46">IF(W9=0,0,W9/W$3)</f>
        <v>7.3087223460501685E-2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1.4910453204491629E-2</v>
      </c>
      <c r="C56" s="17">
        <f t="shared" si="47"/>
        <v>1.4689345057859538E-2</v>
      </c>
      <c r="D56" s="17">
        <f t="shared" ref="D56:V56" si="48">IF(D10=0,0,D10/D$3)</f>
        <v>1.6331997637497913E-2</v>
      </c>
      <c r="E56" s="17">
        <f t="shared" si="48"/>
        <v>1.3424053921778886E-2</v>
      </c>
      <c r="F56" s="17">
        <f t="shared" si="48"/>
        <v>1.1861443073067066E-2</v>
      </c>
      <c r="G56" s="17">
        <f t="shared" si="48"/>
        <v>8.1373640277855597E-3</v>
      </c>
      <c r="H56" s="17">
        <f t="shared" si="48"/>
        <v>7.716406096289697E-3</v>
      </c>
      <c r="I56" s="17">
        <f t="shared" si="48"/>
        <v>5.517149482311615E-3</v>
      </c>
      <c r="J56" s="17">
        <f t="shared" si="48"/>
        <v>6.0436270935589316E-3</v>
      </c>
      <c r="K56" s="17">
        <f t="shared" si="48"/>
        <v>6.2728255722224215E-3</v>
      </c>
      <c r="L56" s="17">
        <f t="shared" si="48"/>
        <v>6.1886871034090392E-3</v>
      </c>
      <c r="M56" s="17">
        <f t="shared" si="48"/>
        <v>7.7645849987515031E-3</v>
      </c>
      <c r="N56" s="17">
        <f t="shared" si="48"/>
        <v>1.0396321612513257E-2</v>
      </c>
      <c r="O56" s="17">
        <f t="shared" si="48"/>
        <v>1.032880689231609E-2</v>
      </c>
      <c r="P56" s="17">
        <f t="shared" si="48"/>
        <v>8.7672155984436784E-3</v>
      </c>
      <c r="Q56" s="17">
        <f t="shared" si="48"/>
        <v>7.7432733786497168E-3</v>
      </c>
      <c r="R56" s="17">
        <f t="shared" si="48"/>
        <v>7.0338069931865158E-3</v>
      </c>
      <c r="S56" s="17">
        <f t="shared" si="48"/>
        <v>7.4120850915613363E-3</v>
      </c>
      <c r="T56" s="17">
        <f t="shared" si="48"/>
        <v>5.6271333114865686E-3</v>
      </c>
      <c r="U56" s="17">
        <f t="shared" si="48"/>
        <v>3.9733289948489037E-3</v>
      </c>
      <c r="V56" s="17">
        <f t="shared" si="48"/>
        <v>9.6582485502641289E-3</v>
      </c>
      <c r="W56" s="17">
        <f t="shared" ref="W56" si="49">IF(W10=0,0,W10/W$3)</f>
        <v>8.208578206988058E-3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5.3601697280913202E-4</v>
      </c>
      <c r="C57" s="104">
        <f t="shared" si="50"/>
        <v>5.2319203591042211E-4</v>
      </c>
      <c r="D57" s="104">
        <f t="shared" ref="D57:V57" si="51">IF(D11=0,0,D11/D$3)</f>
        <v>5.4657926256960934E-4</v>
      </c>
      <c r="E57" s="104">
        <f t="shared" si="51"/>
        <v>4.3899394382911007E-4</v>
      </c>
      <c r="F57" s="104">
        <f t="shared" si="51"/>
        <v>4.1925586176528413E-4</v>
      </c>
      <c r="G57" s="104">
        <f t="shared" si="51"/>
        <v>1.7945839895902417E-4</v>
      </c>
      <c r="H57" s="104">
        <f t="shared" si="51"/>
        <v>6.6561393291235111E-5</v>
      </c>
      <c r="I57" s="104">
        <f t="shared" si="51"/>
        <v>1.8057807891453627E-3</v>
      </c>
      <c r="J57" s="104">
        <f t="shared" si="51"/>
        <v>9.5045438136562841E-4</v>
      </c>
      <c r="K57" s="104">
        <f t="shared" si="51"/>
        <v>6.340936897061756E-4</v>
      </c>
      <c r="L57" s="104">
        <f t="shared" si="51"/>
        <v>4.6839528346062859E-4</v>
      </c>
      <c r="M57" s="104">
        <f t="shared" si="51"/>
        <v>2.6911825990327251E-4</v>
      </c>
      <c r="N57" s="104">
        <f t="shared" si="51"/>
        <v>1.3072794468042809E-4</v>
      </c>
      <c r="O57" s="104">
        <f t="shared" si="51"/>
        <v>8.9865229698639389E-5</v>
      </c>
      <c r="P57" s="104">
        <f t="shared" si="51"/>
        <v>2.8977212114548294E-5</v>
      </c>
      <c r="Q57" s="104">
        <f t="shared" si="51"/>
        <v>2.2536992639288812E-5</v>
      </c>
      <c r="R57" s="104">
        <f t="shared" si="51"/>
        <v>2.4590757225834516E-5</v>
      </c>
      <c r="S57" s="104">
        <f t="shared" si="51"/>
        <v>1.0616334021884521E-4</v>
      </c>
      <c r="T57" s="104">
        <f t="shared" si="51"/>
        <v>4.0281129817252166E-4</v>
      </c>
      <c r="U57" s="104">
        <f t="shared" si="51"/>
        <v>6.4319694280745359E-4</v>
      </c>
      <c r="V57" s="104">
        <f t="shared" si="51"/>
        <v>2.8891613722806919E-3</v>
      </c>
      <c r="W57" s="104">
        <f t="shared" ref="W57" si="52">IF(W11=0,0,W11/W$3)</f>
        <v>2.731463886917846E-3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1.1501913676254805E-2</v>
      </c>
      <c r="C58" s="104">
        <f t="shared" si="53"/>
        <v>1.0979263358555875E-2</v>
      </c>
      <c r="D58" s="104">
        <f t="shared" ref="D58:V58" si="54">IF(D12=0,0,D12/D$3)</f>
        <v>1.1942334833882939E-2</v>
      </c>
      <c r="E58" s="104">
        <f t="shared" si="54"/>
        <v>9.5428895034746965E-3</v>
      </c>
      <c r="F58" s="104">
        <f t="shared" si="54"/>
        <v>8.760368529291504E-3</v>
      </c>
      <c r="G58" s="104">
        <f t="shared" si="54"/>
        <v>6.8680530650588999E-3</v>
      </c>
      <c r="H58" s="104">
        <f t="shared" si="54"/>
        <v>6.580990008993798E-3</v>
      </c>
      <c r="I58" s="104">
        <f t="shared" si="54"/>
        <v>2.9629350724716379E-3</v>
      </c>
      <c r="J58" s="104">
        <f t="shared" si="54"/>
        <v>4.1175717192794307E-3</v>
      </c>
      <c r="K58" s="104">
        <f t="shared" si="54"/>
        <v>4.8552057053459947E-3</v>
      </c>
      <c r="L58" s="104">
        <f t="shared" si="54"/>
        <v>4.8343366145820674E-3</v>
      </c>
      <c r="M58" s="104">
        <f t="shared" si="54"/>
        <v>5.7871018781113243E-3</v>
      </c>
      <c r="N58" s="104">
        <f t="shared" si="54"/>
        <v>6.6445869872832925E-3</v>
      </c>
      <c r="O58" s="104">
        <f t="shared" si="54"/>
        <v>7.0055952368493941E-3</v>
      </c>
      <c r="P58" s="104">
        <f t="shared" si="54"/>
        <v>7.4005097902019572E-3</v>
      </c>
      <c r="Q58" s="104">
        <f t="shared" si="54"/>
        <v>6.9185172343863028E-3</v>
      </c>
      <c r="R58" s="104">
        <f t="shared" si="54"/>
        <v>6.5403624210318293E-3</v>
      </c>
      <c r="S58" s="104">
        <f t="shared" si="54"/>
        <v>6.9750715089773206E-3</v>
      </c>
      <c r="T58" s="104">
        <f t="shared" si="54"/>
        <v>5.0532710647449948E-3</v>
      </c>
      <c r="U58" s="104">
        <f t="shared" si="54"/>
        <v>3.0989743782523825E-3</v>
      </c>
      <c r="V58" s="104">
        <f t="shared" si="54"/>
        <v>5.9631265027021924E-3</v>
      </c>
      <c r="W58" s="104">
        <f t="shared" ref="W58" si="55">IF(W12=0,0,W12/W$3)</f>
        <v>5.0974927449251965E-3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2.8725225554276936E-3</v>
      </c>
      <c r="C59" s="105">
        <f t="shared" si="56"/>
        <v>3.1868896633932406E-3</v>
      </c>
      <c r="D59" s="105">
        <f t="shared" ref="D59:V59" si="57">IF(D13=0,0,D13/D$3)</f>
        <v>3.8430835410453658E-3</v>
      </c>
      <c r="E59" s="105">
        <f t="shared" si="57"/>
        <v>3.4421704744750795E-3</v>
      </c>
      <c r="F59" s="105">
        <f t="shared" si="57"/>
        <v>2.6818186820102784E-3</v>
      </c>
      <c r="G59" s="105">
        <f t="shared" si="57"/>
        <v>1.0898525637676353E-3</v>
      </c>
      <c r="H59" s="105">
        <f t="shared" si="57"/>
        <v>1.0688546940046636E-3</v>
      </c>
      <c r="I59" s="105">
        <f t="shared" si="57"/>
        <v>7.484336206946148E-4</v>
      </c>
      <c r="J59" s="105">
        <f t="shared" si="57"/>
        <v>9.7560099291387251E-4</v>
      </c>
      <c r="K59" s="105">
        <f t="shared" si="57"/>
        <v>7.8352617717025144E-4</v>
      </c>
      <c r="L59" s="105">
        <f t="shared" si="57"/>
        <v>8.8595520536634438E-4</v>
      </c>
      <c r="M59" s="105">
        <f t="shared" si="57"/>
        <v>1.7083648607369066E-3</v>
      </c>
      <c r="N59" s="105">
        <f t="shared" si="57"/>
        <v>3.6210066805495351E-3</v>
      </c>
      <c r="O59" s="105">
        <f t="shared" si="57"/>
        <v>3.233346425768056E-3</v>
      </c>
      <c r="P59" s="105">
        <f t="shared" si="57"/>
        <v>1.3377285961271733E-3</v>
      </c>
      <c r="Q59" s="105">
        <f t="shared" si="57"/>
        <v>8.0221915162412521E-4</v>
      </c>
      <c r="R59" s="105">
        <f t="shared" si="57"/>
        <v>4.6885381492885213E-4</v>
      </c>
      <c r="S59" s="105">
        <f t="shared" si="57"/>
        <v>3.3085024236517176E-4</v>
      </c>
      <c r="T59" s="105">
        <f t="shared" si="57"/>
        <v>1.7105094856905263E-4</v>
      </c>
      <c r="U59" s="105">
        <f t="shared" si="57"/>
        <v>2.3115767378906765E-4</v>
      </c>
      <c r="V59" s="105">
        <f t="shared" si="57"/>
        <v>8.0596067528124345E-4</v>
      </c>
      <c r="W59" s="105">
        <f t="shared" ref="W59" si="58">IF(W13=0,0,W13/W$3)</f>
        <v>3.796215751450154E-4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2141340</v>
      </c>
      <c r="C4" s="11">
        <f t="shared" si="0"/>
        <v>1836054</v>
      </c>
      <c r="D4" s="11">
        <f t="shared" ref="D4" si="1">SUM(D5:D7)</f>
        <v>1568818</v>
      </c>
      <c r="E4" s="11">
        <f t="shared" ref="E4" si="2">SUM(E5:E7)</f>
        <v>1929036</v>
      </c>
      <c r="F4" s="11">
        <f t="shared" ref="F4" si="3">SUM(F5:F7)</f>
        <v>2783314</v>
      </c>
      <c r="G4" s="11">
        <f t="shared" ref="G4" si="4">SUM(G5:G7)</f>
        <v>3595029</v>
      </c>
      <c r="H4" s="11">
        <f t="shared" ref="H4" si="5">SUM(H5:H7)</f>
        <v>4234962</v>
      </c>
      <c r="I4" s="11">
        <f t="shared" ref="I4" si="6">SUM(I5:I7)</f>
        <v>5215712</v>
      </c>
      <c r="J4" s="11">
        <f t="shared" ref="J4" si="7">SUM(J5:J7)</f>
        <v>6537798</v>
      </c>
      <c r="K4" s="11">
        <f t="shared" ref="K4" si="8">SUM(K5:K7)</f>
        <v>7784597</v>
      </c>
      <c r="L4" s="11">
        <f t="shared" ref="L4" si="9">SUM(L5:L7)</f>
        <v>6641621</v>
      </c>
      <c r="M4" s="11">
        <f t="shared" ref="M4" si="10">SUM(M5:M7)</f>
        <v>7470444</v>
      </c>
      <c r="N4" s="11">
        <f t="shared" ref="N4" si="11">SUM(N5:N7)</f>
        <v>6832605</v>
      </c>
      <c r="O4" s="11">
        <f t="shared" ref="O4" si="12">SUM(O5:O7)</f>
        <v>6819437</v>
      </c>
      <c r="P4" s="11">
        <f t="shared" ref="P4" si="13">SUM(P5:P7)</f>
        <v>7282295</v>
      </c>
      <c r="Q4" s="11">
        <f t="shared" ref="Q4" si="14">SUM(Q5:Q7)</f>
        <v>8004830</v>
      </c>
      <c r="R4" s="11">
        <f t="shared" ref="R4" si="15">SUM(R5:R7)</f>
        <v>9548985</v>
      </c>
      <c r="S4" s="11">
        <f t="shared" ref="S4" si="16">SUM(S5:S7)</f>
        <v>10920585</v>
      </c>
      <c r="T4" s="11">
        <f t="shared" ref="T4" si="17">SUM(T5:T7)</f>
        <v>12513228</v>
      </c>
      <c r="U4" s="11">
        <f t="shared" ref="U4" si="18">SUM(U5:U7)</f>
        <v>13008988</v>
      </c>
      <c r="V4" s="11">
        <f t="shared" ref="V4:W4" si="19">SUM(V5:V7)</f>
        <v>5835749</v>
      </c>
      <c r="W4" s="11">
        <f t="shared" si="19"/>
        <v>7823834</v>
      </c>
      <c r="DA4" s="189" t="s">
        <v>361</v>
      </c>
    </row>
    <row r="5" spans="1:105" ht="11.45" customHeight="1" x14ac:dyDescent="0.25">
      <c r="A5" s="83" t="s">
        <v>27</v>
      </c>
      <c r="B5" s="84">
        <v>261914</v>
      </c>
      <c r="C5" s="84">
        <v>131986</v>
      </c>
      <c r="D5" s="84">
        <v>88936</v>
      </c>
      <c r="E5" s="84">
        <v>90699</v>
      </c>
      <c r="F5" s="84">
        <v>557982</v>
      </c>
      <c r="G5" s="84">
        <v>676859</v>
      </c>
      <c r="H5" s="84">
        <v>739524</v>
      </c>
      <c r="I5" s="84">
        <v>843667</v>
      </c>
      <c r="J5" s="84">
        <v>1158910</v>
      </c>
      <c r="K5" s="84">
        <v>1576714</v>
      </c>
      <c r="L5" s="84">
        <v>1088588</v>
      </c>
      <c r="M5" s="84">
        <v>1234310</v>
      </c>
      <c r="N5" s="84">
        <v>925862</v>
      </c>
      <c r="O5" s="84">
        <v>832110</v>
      </c>
      <c r="P5" s="84">
        <v>791728</v>
      </c>
      <c r="Q5" s="84">
        <v>795412</v>
      </c>
      <c r="R5" s="84">
        <v>1269257</v>
      </c>
      <c r="S5" s="84">
        <v>1766502</v>
      </c>
      <c r="T5" s="84">
        <v>1898172</v>
      </c>
      <c r="U5" s="84">
        <v>1627660</v>
      </c>
      <c r="V5" s="84">
        <v>632244</v>
      </c>
      <c r="W5" s="84">
        <v>1026382</v>
      </c>
      <c r="DA5" s="171" t="s">
        <v>362</v>
      </c>
    </row>
    <row r="6" spans="1:105" ht="11.45" customHeight="1" x14ac:dyDescent="0.25">
      <c r="A6" s="83" t="s">
        <v>173</v>
      </c>
      <c r="B6" s="84">
        <v>1543494</v>
      </c>
      <c r="C6" s="84">
        <v>1399628</v>
      </c>
      <c r="D6" s="84">
        <v>1217261</v>
      </c>
      <c r="E6" s="84">
        <v>1511386</v>
      </c>
      <c r="F6" s="84">
        <v>1829564</v>
      </c>
      <c r="G6" s="84">
        <v>2433399</v>
      </c>
      <c r="H6" s="84">
        <v>2921774</v>
      </c>
      <c r="I6" s="84">
        <v>3667108</v>
      </c>
      <c r="J6" s="84">
        <v>4438209</v>
      </c>
      <c r="K6" s="84">
        <v>5253612</v>
      </c>
      <c r="L6" s="84">
        <v>4593180</v>
      </c>
      <c r="M6" s="84">
        <v>5378891</v>
      </c>
      <c r="N6" s="84">
        <v>5019055</v>
      </c>
      <c r="O6" s="84">
        <v>5121517</v>
      </c>
      <c r="P6" s="84">
        <v>5490902</v>
      </c>
      <c r="Q6" s="84">
        <v>6100732</v>
      </c>
      <c r="R6" s="84">
        <v>7103881</v>
      </c>
      <c r="S6" s="84">
        <v>7954337</v>
      </c>
      <c r="T6" s="84">
        <v>8994950</v>
      </c>
      <c r="U6" s="84">
        <v>9533741</v>
      </c>
      <c r="V6" s="84">
        <v>4678367</v>
      </c>
      <c r="W6" s="84">
        <v>5733605</v>
      </c>
      <c r="DA6" s="171" t="s">
        <v>363</v>
      </c>
    </row>
    <row r="7" spans="1:105" ht="11.45" customHeight="1" x14ac:dyDescent="0.25">
      <c r="A7" s="85" t="s">
        <v>174</v>
      </c>
      <c r="B7" s="86">
        <v>335932</v>
      </c>
      <c r="C7" s="86">
        <v>304440</v>
      </c>
      <c r="D7" s="86">
        <v>262621</v>
      </c>
      <c r="E7" s="86">
        <v>326951</v>
      </c>
      <c r="F7" s="86">
        <v>395768</v>
      </c>
      <c r="G7" s="86">
        <v>484771</v>
      </c>
      <c r="H7" s="86">
        <v>573664</v>
      </c>
      <c r="I7" s="86">
        <v>704937</v>
      </c>
      <c r="J7" s="86">
        <v>940679</v>
      </c>
      <c r="K7" s="86">
        <v>954271</v>
      </c>
      <c r="L7" s="86">
        <v>959853</v>
      </c>
      <c r="M7" s="86">
        <v>857243</v>
      </c>
      <c r="N7" s="86">
        <v>887688</v>
      </c>
      <c r="O7" s="86">
        <v>865810</v>
      </c>
      <c r="P7" s="86">
        <v>999665</v>
      </c>
      <c r="Q7" s="86">
        <v>1108686</v>
      </c>
      <c r="R7" s="86">
        <v>1175847</v>
      </c>
      <c r="S7" s="86">
        <v>1199746</v>
      </c>
      <c r="T7" s="86">
        <v>1620106</v>
      </c>
      <c r="U7" s="86">
        <v>1847587</v>
      </c>
      <c r="V7" s="86">
        <v>525138</v>
      </c>
      <c r="W7" s="86">
        <v>1063847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83.548185719859546</v>
      </c>
      <c r="C12" s="14">
        <f>IF(C4=0,0,C4/TrAvia_act!C24)</f>
        <v>85.314529993959383</v>
      </c>
      <c r="D12" s="14">
        <f>IF(D4=0,0,D4/TrAvia_act!D24)</f>
        <v>86.81892639734366</v>
      </c>
      <c r="E12" s="14">
        <f>IF(E4=0,0,E4/TrAvia_act!E24)</f>
        <v>88.977675276752763</v>
      </c>
      <c r="F12" s="14">
        <f>IF(F4=0,0,F4/TrAvia_act!F24)</f>
        <v>89.810396566745183</v>
      </c>
      <c r="G12" s="14">
        <f>IF(G4=0,0,G4/TrAvia_act!G24)</f>
        <v>91.469582474620253</v>
      </c>
      <c r="H12" s="14">
        <f>IF(H4=0,0,H4/TrAvia_act!H24)</f>
        <v>93.745700055340336</v>
      </c>
      <c r="I12" s="14">
        <f>IF(I4=0,0,I4/TrAvia_act!I24)</f>
        <v>95.977623612976828</v>
      </c>
      <c r="J12" s="14">
        <f>IF(J4=0,0,J4/TrAvia_act!J24)</f>
        <v>108.83632428833027</v>
      </c>
      <c r="K12" s="14">
        <f>IF(K4=0,0,K4/TrAvia_act!K24)</f>
        <v>126.66119427269768</v>
      </c>
      <c r="L12" s="14">
        <f>IF(L4=0,0,L4/TrAvia_act!L24)</f>
        <v>103.40050130775937</v>
      </c>
      <c r="M12" s="14">
        <f>IF(M4=0,0,M4/TrAvia_act!M24)</f>
        <v>115.17443187074096</v>
      </c>
      <c r="N12" s="14">
        <f>IF(N4=0,0,N4/TrAvia_act!N24)</f>
        <v>114.55453097493503</v>
      </c>
      <c r="O12" s="14">
        <f>IF(O4=0,0,O4/TrAvia_act!O24)</f>
        <v>118.21035206018479</v>
      </c>
      <c r="P12" s="14">
        <f>IF(P4=0,0,P4/TrAvia_act!P24)</f>
        <v>123.77277517166361</v>
      </c>
      <c r="Q12" s="14">
        <f>IF(Q4=0,0,Q4/TrAvia_act!Q24)</f>
        <v>126.76500863065546</v>
      </c>
      <c r="R12" s="14">
        <f>IF(R4=0,0,R4/TrAvia_act!R24)</f>
        <v>129.82984364377975</v>
      </c>
      <c r="S12" s="14">
        <f>IF(S4=0,0,S4/TrAvia_act!S24)</f>
        <v>132.28734615757341</v>
      </c>
      <c r="T12" s="14">
        <f>IF(T4=0,0,T4/TrAvia_act!T24)</f>
        <v>142.71310774284052</v>
      </c>
      <c r="U12" s="14">
        <f>IF(U4=0,0,U4/TrAvia_act!U24)</f>
        <v>144.19503868407634</v>
      </c>
      <c r="V12" s="14">
        <f>IF(V4=0,0,V4/TrAvia_act!V24)</f>
        <v>163.73696024241744</v>
      </c>
      <c r="W12" s="14">
        <f>IF(W4=0,0,W4/TrAvia_act!W24)</f>
        <v>148.37257021486411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72.673140954495011</v>
      </c>
      <c r="C13" s="87">
        <f>IF(C5=0,0,C5/TrAvia_act!C25)</f>
        <v>73.162971175166291</v>
      </c>
      <c r="D13" s="87">
        <f>IF(D5=0,0,D5/TrAvia_act!D25)</f>
        <v>73.867109634551497</v>
      </c>
      <c r="E13" s="87">
        <f>IF(E5=0,0,E5/TrAvia_act!E25)</f>
        <v>75.268879668049792</v>
      </c>
      <c r="F13" s="87">
        <f>IF(F5=0,0,F5/TrAvia_act!F25)</f>
        <v>78.83328623905058</v>
      </c>
      <c r="G13" s="87">
        <f>IF(G5=0,0,G5/TrAvia_act!G25)</f>
        <v>78.952408725067073</v>
      </c>
      <c r="H13" s="87">
        <f>IF(H5=0,0,H5/TrAvia_act!H25)</f>
        <v>79.913983142424897</v>
      </c>
      <c r="I13" s="87">
        <f>IF(I5=0,0,I5/TrAvia_act!I25)</f>
        <v>80.826499329373448</v>
      </c>
      <c r="J13" s="87">
        <f>IF(J5=0,0,J5/TrAvia_act!J25)</f>
        <v>99.451643353642837</v>
      </c>
      <c r="K13" s="87">
        <f>IF(K5=0,0,K5/TrAvia_act!K25)</f>
        <v>126.21789945565162</v>
      </c>
      <c r="L13" s="87">
        <f>IF(L5=0,0,L5/TrAvia_act!L25)</f>
        <v>75.329596567711576</v>
      </c>
      <c r="M13" s="87">
        <f>IF(M5=0,0,M5/TrAvia_act!M25)</f>
        <v>91.845375399955358</v>
      </c>
      <c r="N13" s="87">
        <f>IF(N5=0,0,N5/TrAvia_act!N25)</f>
        <v>78.542755344418055</v>
      </c>
      <c r="O13" s="87">
        <f>IF(O5=0,0,O5/TrAvia_act!O25)</f>
        <v>72.667015981137013</v>
      </c>
      <c r="P13" s="87">
        <f>IF(P5=0,0,P5/TrAvia_act!P25)</f>
        <v>75.966992899635386</v>
      </c>
      <c r="Q13" s="87">
        <f>IF(Q5=0,0,Q5/TrAvia_act!Q25)</f>
        <v>77.246965135476358</v>
      </c>
      <c r="R13" s="87">
        <f>IF(R5=0,0,R5/TrAvia_act!R25)</f>
        <v>91.458207234471828</v>
      </c>
      <c r="S13" s="87">
        <f>IF(S5=0,0,S5/TrAvia_act!S25)</f>
        <v>107.11915590321993</v>
      </c>
      <c r="T13" s="87">
        <f>IF(T5=0,0,T5/TrAvia_act!T25)</f>
        <v>112.5576375711575</v>
      </c>
      <c r="U13" s="87">
        <f>IF(U5=0,0,U5/TrAvia_act!U25)</f>
        <v>100.41705225492011</v>
      </c>
      <c r="V13" s="87">
        <f>IF(V5=0,0,V5/TrAvia_act!V25)</f>
        <v>87.350649350649348</v>
      </c>
      <c r="W13" s="87">
        <f>IF(W5=0,0,W5/TrAvia_act!W25)</f>
        <v>115.94916403072752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87.738403819918148</v>
      </c>
      <c r="C14" s="87">
        <f>IF(C6=0,0,C6/TrAvia_act!C26)</f>
        <v>88.876555753111504</v>
      </c>
      <c r="D14" s="87">
        <f>IF(D6=0,0,D6/TrAvia_act!D26)</f>
        <v>90.361591567070008</v>
      </c>
      <c r="E14" s="87">
        <f>IF(E6=0,0,E6/TrAvia_act!E26)</f>
        <v>92.422552436861736</v>
      </c>
      <c r="F14" s="87">
        <f>IF(F6=0,0,F6/TrAvia_act!F26)</f>
        <v>95.793706476778894</v>
      </c>
      <c r="G14" s="87">
        <f>IF(G6=0,0,G6/TrAvia_act!G26)</f>
        <v>97.262040848954797</v>
      </c>
      <c r="H14" s="87">
        <f>IF(H6=0,0,H6/TrAvia_act!H26)</f>
        <v>99.461260893246191</v>
      </c>
      <c r="I14" s="87">
        <f>IF(I6=0,0,I6/TrAvia_act!I26)</f>
        <v>101.74258524540133</v>
      </c>
      <c r="J14" s="87">
        <f>IF(J6=0,0,J6/TrAvia_act!J26)</f>
        <v>111.94312306101344</v>
      </c>
      <c r="K14" s="87">
        <f>IF(K6=0,0,K6/TrAvia_act!K26)</f>
        <v>129.21471789069801</v>
      </c>
      <c r="L14" s="87">
        <f>IF(L6=0,0,L6/TrAvia_act!L26)</f>
        <v>110.93029995652805</v>
      </c>
      <c r="M14" s="87">
        <f>IF(M6=0,0,M6/TrAvia_act!M26)</f>
        <v>125.03233379823338</v>
      </c>
      <c r="N14" s="87">
        <f>IF(N6=0,0,N6/TrAvia_act!N26)</f>
        <v>129.27046309174264</v>
      </c>
      <c r="O14" s="87">
        <f>IF(O6=0,0,O6/TrAvia_act!O26)</f>
        <v>134.09569816458514</v>
      </c>
      <c r="P14" s="87">
        <f>IF(P6=0,0,P6/TrAvia_act!P26)</f>
        <v>137.78580211287044</v>
      </c>
      <c r="Q14" s="87">
        <f>IF(Q6=0,0,Q6/TrAvia_act!Q26)</f>
        <v>139.1114354121537</v>
      </c>
      <c r="R14" s="87">
        <f>IF(R6=0,0,R6/TrAvia_act!R26)</f>
        <v>142.05489121740521</v>
      </c>
      <c r="S14" s="87">
        <f>IF(S6=0,0,S6/TrAvia_act!S26)</f>
        <v>144.03768289149644</v>
      </c>
      <c r="T14" s="87">
        <f>IF(T6=0,0,T6/TrAvia_act!T26)</f>
        <v>154.64008802241821</v>
      </c>
      <c r="U14" s="87">
        <f>IF(U6=0,0,U6/TrAvia_act!U26)</f>
        <v>158.69202856334371</v>
      </c>
      <c r="V14" s="87">
        <f>IF(V6=0,0,V6/TrAvia_act!V26)</f>
        <v>191.64995289009053</v>
      </c>
      <c r="W14" s="87">
        <f>IF(W6=0,0,W6/TrAvia_act!W26)</f>
        <v>161.03370313158266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75.762742444745157</v>
      </c>
      <c r="C15" s="88">
        <f>IF(C7=0,0,C7/TrAvia_act!C27)</f>
        <v>76.70445956160242</v>
      </c>
      <c r="D15" s="88">
        <f>IF(D7=0,0,D7/TrAvia_act!D27)</f>
        <v>77.355228276877767</v>
      </c>
      <c r="E15" s="88">
        <f>IF(E7=0,0,E7/TrAvia_act!E27)</f>
        <v>79.318534691897142</v>
      </c>
      <c r="F15" s="88">
        <f>IF(F7=0,0,F7/TrAvia_act!F27)</f>
        <v>82.21188201080183</v>
      </c>
      <c r="G15" s="88">
        <f>IF(G7=0,0,G7/TrAvia_act!G27)</f>
        <v>84.883733146559265</v>
      </c>
      <c r="H15" s="88">
        <f>IF(H7=0,0,H7/TrAvia_act!H27)</f>
        <v>87.649197860962573</v>
      </c>
      <c r="I15" s="88">
        <f>IF(I7=0,0,I7/TrAvia_act!I27)</f>
        <v>89.663825998473669</v>
      </c>
      <c r="J15" s="88">
        <f>IF(J7=0,0,J7/TrAvia_act!J27)</f>
        <v>107.26100342075256</v>
      </c>
      <c r="K15" s="88">
        <f>IF(K7=0,0,K7/TrAvia_act!K27)</f>
        <v>114.83405535499398</v>
      </c>
      <c r="L15" s="88">
        <f>IF(L7=0,0,L7/TrAvia_act!L27)</f>
        <v>114.60931343283582</v>
      </c>
      <c r="M15" s="88">
        <f>IF(M7=0,0,M7/TrAvia_act!M27)</f>
        <v>102.01630370105914</v>
      </c>
      <c r="N15" s="88">
        <f>IF(N7=0,0,N7/TrAvia_act!N27)</f>
        <v>98.293433728269292</v>
      </c>
      <c r="O15" s="88">
        <f>IF(O7=0,0,O7/TrAvia_act!O27)</f>
        <v>107.62088253573648</v>
      </c>
      <c r="P15" s="88">
        <f>IF(P7=0,0,P7/TrAvia_act!P27)</f>
        <v>116.74238000700689</v>
      </c>
      <c r="Q15" s="88">
        <f>IF(Q7=0,0,Q7/TrAvia_act!Q27)</f>
        <v>123.25580878265703</v>
      </c>
      <c r="R15" s="88">
        <f>IF(R7=0,0,R7/TrAvia_act!R27)</f>
        <v>121.67290976821192</v>
      </c>
      <c r="S15" s="88">
        <f>IF(S7=0,0,S7/TrAvia_act!S27)</f>
        <v>110.70831410907077</v>
      </c>
      <c r="T15" s="88">
        <f>IF(T7=0,0,T7/TrAvia_act!T27)</f>
        <v>128.07162055335968</v>
      </c>
      <c r="U15" s="88">
        <f>IF(U7=0,0,U7/TrAvia_act!U27)</f>
        <v>132.61462819408555</v>
      </c>
      <c r="V15" s="88">
        <f>IF(V7=0,0,V7/TrAvia_act!V27)</f>
        <v>131.54759519038078</v>
      </c>
      <c r="W15" s="88">
        <f>IF(W7=0,0,W7/TrAvia_act!W27)</f>
        <v>128.57710901619532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0.73621517367629608</v>
      </c>
      <c r="C18" s="25">
        <f>IF(TrAvia_act!C34=0,0,(TrAvia_act!C34/TrAvia_act!C24)/TrAvia_png!C12)</f>
        <v>0.74644427669338709</v>
      </c>
      <c r="D18" s="25">
        <f>IF(TrAvia_act!D34=0,0,(TrAvia_act!D34/TrAvia_act!D24)/TrAvia_png!D12)</f>
        <v>0.74862221111690463</v>
      </c>
      <c r="E18" s="25">
        <f>IF(TrAvia_act!E34=0,0,(TrAvia_act!E34/TrAvia_act!E24)/TrAvia_png!E12)</f>
        <v>0.7457180685067567</v>
      </c>
      <c r="F18" s="25">
        <f>IF(TrAvia_act!F34=0,0,(TrAvia_act!F34/TrAvia_act!F24)/TrAvia_png!F12)</f>
        <v>0.69559848439665806</v>
      </c>
      <c r="G18" s="25">
        <f>IF(TrAvia_act!G34=0,0,(TrAvia_act!G34/TrAvia_act!G24)/TrAvia_png!G12)</f>
        <v>0.69866112345686227</v>
      </c>
      <c r="H18" s="25">
        <f>IF(TrAvia_act!H34=0,0,(TrAvia_act!H34/TrAvia_act!H24)/TrAvia_png!H12)</f>
        <v>0.70087878002211113</v>
      </c>
      <c r="I18" s="25">
        <f>IF(TrAvia_act!I34=0,0,(TrAvia_act!I34/TrAvia_act!I24)/TrAvia_png!I12)</f>
        <v>0.70639579025835786</v>
      </c>
      <c r="J18" s="25">
        <f>IF(TrAvia_act!J34=0,0,(TrAvia_act!J34/TrAvia_act!J24)/TrAvia_png!J12)</f>
        <v>0.65051336856843855</v>
      </c>
      <c r="K18" s="25">
        <f>IF(TrAvia_act!K34=0,0,(TrAvia_act!K34/TrAvia_act!K24)/TrAvia_png!K12)</f>
        <v>0.5385397599901447</v>
      </c>
      <c r="L18" s="25">
        <f>IF(TrAvia_act!L34=0,0,(TrAvia_act!L34/TrAvia_act!L24)/TrAvia_png!L12)</f>
        <v>0.7102320352215219</v>
      </c>
      <c r="M18" s="25">
        <f>IF(TrAvia_act!M34=0,0,(TrAvia_act!M34/TrAvia_act!M24)/TrAvia_png!M12)</f>
        <v>0.69527969154176117</v>
      </c>
      <c r="N18" s="25">
        <f>IF(TrAvia_act!N34=0,0,(TrAvia_act!N34/TrAvia_act!N24)/TrAvia_png!N12)</f>
        <v>0.74944680689136867</v>
      </c>
      <c r="O18" s="25">
        <f>IF(TrAvia_act!O34=0,0,(TrAvia_act!O34/TrAvia_act!O24)/TrAvia_png!O12)</f>
        <v>0.78076518633429715</v>
      </c>
      <c r="P18" s="25">
        <f>IF(TrAvia_act!P34=0,0,(TrAvia_act!P34/TrAvia_act!P24)/TrAvia_png!P12)</f>
        <v>0.79125262022480547</v>
      </c>
      <c r="Q18" s="25">
        <f>IF(TrAvia_act!Q34=0,0,(TrAvia_act!Q34/TrAvia_act!Q24)/TrAvia_png!Q12)</f>
        <v>0.82575082793763266</v>
      </c>
      <c r="R18" s="25">
        <f>IF(TrAvia_act!R34=0,0,(TrAvia_act!R34/TrAvia_act!R24)/TrAvia_png!R12)</f>
        <v>0.84457971187513636</v>
      </c>
      <c r="S18" s="25">
        <f>IF(TrAvia_act!S34=0,0,(TrAvia_act!S34/TrAvia_act!S24)/TrAvia_png!S12)</f>
        <v>0.88740557396879371</v>
      </c>
      <c r="T18" s="25">
        <f>IF(TrAvia_act!T34=0,0,(TrAvia_act!T34/TrAvia_act!T24)/TrAvia_png!T12)</f>
        <v>0.84841033824365708</v>
      </c>
      <c r="U18" s="25">
        <f>IF(TrAvia_act!U34=0,0,(TrAvia_act!U34/TrAvia_act!U24)/TrAvia_png!U12)</f>
        <v>0.88027385373866129</v>
      </c>
      <c r="V18" s="25">
        <f>IF(TrAvia_act!V34=0,0,(TrAvia_act!V34/TrAvia_act!V24)/TrAvia_png!V12)</f>
        <v>0.61228832837053138</v>
      </c>
      <c r="W18" s="25">
        <f>IF(TrAvia_act!W34=0,0,(TrAvia_act!W34/TrAvia_act!W24)/TrAvia_png!W12)</f>
        <v>0.71556400608704118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0.53045656207762859</v>
      </c>
      <c r="C19" s="89">
        <f>IF(TrAvia_act!C35=0,0,(TrAvia_act!C35/TrAvia_act!C25)/TrAvia_png!C13)</f>
        <v>0.52850302304789898</v>
      </c>
      <c r="D19" s="89">
        <f>IF(TrAvia_act!D35=0,0,(TrAvia_act!D35/TrAvia_act!D25)/TrAvia_png!D13)</f>
        <v>0.52705316182423312</v>
      </c>
      <c r="E19" s="89">
        <f>IF(TrAvia_act!E35=0,0,(TrAvia_act!E35/TrAvia_act!E25)/TrAvia_png!E13)</f>
        <v>0.52107520479828884</v>
      </c>
      <c r="F19" s="89">
        <f>IF(TrAvia_act!F35=0,0,(TrAvia_act!F35/TrAvia_act!F25)/TrAvia_png!F13)</f>
        <v>0.50150542490617978</v>
      </c>
      <c r="G19" s="89">
        <f>IF(TrAvia_act!G35=0,0,(TrAvia_act!G35/TrAvia_act!G25)/TrAvia_png!G13)</f>
        <v>0.50444479574032408</v>
      </c>
      <c r="H19" s="89">
        <f>IF(TrAvia_act!H35=0,0,(TrAvia_act!H35/TrAvia_act!H25)/TrAvia_png!H13)</f>
        <v>0.50313309642418635</v>
      </c>
      <c r="I19" s="89">
        <f>IF(TrAvia_act!I35=0,0,(TrAvia_act!I35/TrAvia_act!I25)/TrAvia_png!I13)</f>
        <v>0.50807960960900445</v>
      </c>
      <c r="J19" s="89">
        <f>IF(TrAvia_act!J35=0,0,(TrAvia_act!J35/TrAvia_act!J25)/TrAvia_png!J13)</f>
        <v>0.44757660215202216</v>
      </c>
      <c r="K19" s="89">
        <f>IF(TrAvia_act!K35=0,0,(TrAvia_act!K35/TrAvia_act!K25)/TrAvia_png!K13)</f>
        <v>0.301045719134859</v>
      </c>
      <c r="L19" s="89">
        <f>IF(TrAvia_act!L35=0,0,(TrAvia_act!L35/TrAvia_act!L25)/TrAvia_png!L13)</f>
        <v>0.54532293209184746</v>
      </c>
      <c r="M19" s="89">
        <f>IF(TrAvia_act!M35=0,0,(TrAvia_act!M35/TrAvia_act!M25)/TrAvia_png!M13)</f>
        <v>0.48596786868776887</v>
      </c>
      <c r="N19" s="89">
        <f>IF(TrAvia_act!N35=0,0,(TrAvia_act!N35/TrAvia_act!N25)/TrAvia_png!N13)</f>
        <v>0.5788767656519006</v>
      </c>
      <c r="O19" s="89">
        <f>IF(TrAvia_act!O35=0,0,(TrAvia_act!O35/TrAvia_act!O25)/TrAvia_png!O13)</f>
        <v>0.63840718174279842</v>
      </c>
      <c r="P19" s="89">
        <f>IF(TrAvia_act!P35=0,0,(TrAvia_act!P35/TrAvia_act!P25)/TrAvia_png!P13)</f>
        <v>0.60733357920902131</v>
      </c>
      <c r="Q19" s="89">
        <f>IF(TrAvia_act!Q35=0,0,(TrAvia_act!Q35/TrAvia_act!Q25)/TrAvia_png!Q13)</f>
        <v>0.62944738072847783</v>
      </c>
      <c r="R19" s="89">
        <f>IF(TrAvia_act!R35=0,0,(TrAvia_act!R35/TrAvia_act!R25)/TrAvia_png!R13)</f>
        <v>0.68524971696039494</v>
      </c>
      <c r="S19" s="89">
        <f>IF(TrAvia_act!S35=0,0,(TrAvia_act!S35/TrAvia_act!S25)/TrAvia_png!S13)</f>
        <v>0.74919530235459686</v>
      </c>
      <c r="T19" s="89">
        <f>IF(TrAvia_act!T35=0,0,(TrAvia_act!T35/TrAvia_act!T25)/TrAvia_png!T13)</f>
        <v>0.70422543373308633</v>
      </c>
      <c r="U19" s="89">
        <f>IF(TrAvia_act!U35=0,0,(TrAvia_act!U35/TrAvia_act!U25)/TrAvia_png!U13)</f>
        <v>0.78345477556737897</v>
      </c>
      <c r="V19" s="89">
        <f>IF(TrAvia_act!V35=0,0,(TrAvia_act!V35/TrAvia_act!V25)/TrAvia_png!V13)</f>
        <v>0.67360386180019105</v>
      </c>
      <c r="W19" s="89">
        <f>IF(TrAvia_act!W35=0,0,(TrAvia_act!W35/TrAvia_act!W25)/TrAvia_png!W13)</f>
        <v>0.61210153724441774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0.75249466470229232</v>
      </c>
      <c r="C20" s="89">
        <f>IF(TrAvia_act!C36=0,0,(TrAvia_act!C36/TrAvia_act!C26)/TrAvia_png!C14)</f>
        <v>0.75164329378949268</v>
      </c>
      <c r="D20" s="89">
        <f>IF(TrAvia_act!D36=0,0,(TrAvia_act!D36/TrAvia_act!D26)/TrAvia_png!D14)</f>
        <v>0.75107310593208843</v>
      </c>
      <c r="E20" s="89">
        <f>IF(TrAvia_act!E36=0,0,(TrAvia_act!E36/TrAvia_act!E26)/TrAvia_png!E14)</f>
        <v>0.74836408435700741</v>
      </c>
      <c r="F20" s="89">
        <f>IF(TrAvia_act!F36=0,0,(TrAvia_act!F36/TrAvia_act!F26)/TrAvia_png!F14)</f>
        <v>0.73740191652218778</v>
      </c>
      <c r="G20" s="89">
        <f>IF(TrAvia_act!G36=0,0,(TrAvia_act!G36/TrAvia_act!G26)/TrAvia_png!G14)</f>
        <v>0.73963579339023311</v>
      </c>
      <c r="H20" s="89">
        <f>IF(TrAvia_act!H36=0,0,(TrAvia_act!H36/TrAvia_act!H26)/TrAvia_png!H14)</f>
        <v>0.74020098748226248</v>
      </c>
      <c r="I20" s="89">
        <f>IF(TrAvia_act!I36=0,0,(TrAvia_act!I36/TrAvia_act!I26)/TrAvia_png!I14)</f>
        <v>0.74330044274670948</v>
      </c>
      <c r="J20" s="89">
        <f>IF(TrAvia_act!J36=0,0,(TrAvia_act!J36/TrAvia_act!J26)/TrAvia_png!J14)</f>
        <v>0.71307097074518122</v>
      </c>
      <c r="K20" s="89">
        <f>IF(TrAvia_act!K36=0,0,(TrAvia_act!K36/TrAvia_act!K26)/TrAvia_png!K14)</f>
        <v>0.60691710769657137</v>
      </c>
      <c r="L20" s="89">
        <f>IF(TrAvia_act!L36=0,0,(TrAvia_act!L36/TrAvia_act!L26)/TrAvia_png!L14)</f>
        <v>0.76764681549601788</v>
      </c>
      <c r="M20" s="89">
        <f>IF(TrAvia_act!M36=0,0,(TrAvia_act!M36/TrAvia_act!M26)/TrAvia_png!M14)</f>
        <v>0.7506344709346221</v>
      </c>
      <c r="N20" s="89">
        <f>IF(TrAvia_act!N36=0,0,(TrAvia_act!N36/TrAvia_act!N26)/TrAvia_png!N14)</f>
        <v>0.78906168591497805</v>
      </c>
      <c r="O20" s="89">
        <f>IF(TrAvia_act!O36=0,0,(TrAvia_act!O36/TrAvia_act!O26)/TrAvia_png!O14)</f>
        <v>0.81196118259492245</v>
      </c>
      <c r="P20" s="89">
        <f>IF(TrAvia_act!P36=0,0,(TrAvia_act!P36/TrAvia_act!P26)/TrAvia_png!P14)</f>
        <v>0.82082379179231391</v>
      </c>
      <c r="Q20" s="89">
        <f>IF(TrAvia_act!Q36=0,0,(TrAvia_act!Q36/TrAvia_act!Q26)/TrAvia_png!Q14)</f>
        <v>0.85370083458837398</v>
      </c>
      <c r="R20" s="89">
        <f>IF(TrAvia_act!R36=0,0,(TrAvia_act!R36/TrAvia_act!R26)/TrAvia_png!R14)</f>
        <v>0.88211077860116183</v>
      </c>
      <c r="S20" s="89">
        <f>IF(TrAvia_act!S36=0,0,(TrAvia_act!S36/TrAvia_act!S26)/TrAvia_png!S14)</f>
        <v>0.91739864680111005</v>
      </c>
      <c r="T20" s="89">
        <f>IF(TrAvia_act!T36=0,0,(TrAvia_act!T36/TrAvia_act!T26)/TrAvia_png!T14)</f>
        <v>0.88289329012390283</v>
      </c>
      <c r="U20" s="89">
        <f>IF(TrAvia_act!U36=0,0,(TrAvia_act!U36/TrAvia_act!U26)/TrAvia_png!U14)</f>
        <v>0.90298729533348965</v>
      </c>
      <c r="V20" s="89">
        <f>IF(TrAvia_act!V36=0,0,(TrAvia_act!V36/TrAvia_act!V26)/TrAvia_png!V14)</f>
        <v>0.59199481357490757</v>
      </c>
      <c r="W20" s="89">
        <f>IF(TrAvia_act!W36=0,0,(TrAvia_act!W36/TrAvia_act!W26)/TrAvia_png!W14)</f>
        <v>0.72152267203617959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0.82183894359572762</v>
      </c>
      <c r="C21" s="90">
        <f>IF(TrAvia_act!C37=0,0,(TrAvia_act!C37/TrAvia_act!C27)/TrAvia_png!C15)</f>
        <v>0.81702798581001179</v>
      </c>
      <c r="D21" s="90">
        <f>IF(TrAvia_act!D37=0,0,(TrAvia_act!D37/TrAvia_act!D27)/TrAvia_png!D15)</f>
        <v>0.81229604639385267</v>
      </c>
      <c r="E21" s="90">
        <f>IF(TrAvia_act!E37=0,0,(TrAvia_act!E37/TrAvia_act!E27)/TrAvia_png!E15)</f>
        <v>0.7958042642475478</v>
      </c>
      <c r="F21" s="90">
        <f>IF(TrAvia_act!F37=0,0,(TrAvia_act!F37/TrAvia_act!F27)/TrAvia_png!F15)</f>
        <v>0.77599502738978399</v>
      </c>
      <c r="G21" s="90">
        <f>IF(TrAvia_act!G37=0,0,(TrAvia_act!G37/TrAvia_act!G27)/TrAvia_png!G15)</f>
        <v>0.76415462146044222</v>
      </c>
      <c r="H21" s="90">
        <f>IF(TrAvia_act!H37=0,0,(TrAvia_act!H37/TrAvia_act!H27)/TrAvia_png!H15)</f>
        <v>0.75552239638534047</v>
      </c>
      <c r="I21" s="90">
        <f>IF(TrAvia_act!I37=0,0,(TrAvia_act!I37/TrAvia_act!I27)/TrAvia_png!I15)</f>
        <v>0.7517607956455683</v>
      </c>
      <c r="J21" s="90">
        <f>IF(TrAvia_act!J37=0,0,(TrAvia_act!J37/TrAvia_act!J27)/TrAvia_png!J15)</f>
        <v>0.60537760490029024</v>
      </c>
      <c r="K21" s="90">
        <f>IF(TrAvia_act!K37=0,0,(TrAvia_act!K37/TrAvia_act!K27)/TrAvia_png!K15)</f>
        <v>0.55450181342616511</v>
      </c>
      <c r="L21" s="90">
        <f>IF(TrAvia_act!L37=0,0,(TrAvia_act!L37/TrAvia_act!L27)/TrAvia_png!L15)</f>
        <v>0.62251198881495395</v>
      </c>
      <c r="M21" s="90">
        <f>IF(TrAvia_act!M37=0,0,(TrAvia_act!M37/TrAvia_act!M27)/TrAvia_png!M15)</f>
        <v>0.6493281368293472</v>
      </c>
      <c r="N21" s="90">
        <f>IF(TrAvia_act!N37=0,0,(TrAvia_act!N37/TrAvia_act!N27)/TrAvia_png!N15)</f>
        <v>0.70336649813898589</v>
      </c>
      <c r="O21" s="90">
        <f>IF(TrAvia_act!O37=0,0,(TrAvia_act!O37/TrAvia_act!O27)/TrAvia_png!O15)</f>
        <v>0.73304882133493487</v>
      </c>
      <c r="P21" s="90">
        <f>IF(TrAvia_act!P37=0,0,(TrAvia_act!P37/TrAvia_act!P27)/TrAvia_png!P15)</f>
        <v>0.77448845363196672</v>
      </c>
      <c r="Q21" s="90">
        <f>IF(TrAvia_act!Q37=0,0,(TrAvia_act!Q37/TrAvia_act!Q27)/TrAvia_png!Q15)</f>
        <v>0.81278648778824658</v>
      </c>
      <c r="R21" s="90">
        <f>IF(TrAvia_act!R37=0,0,(TrAvia_act!R37/TrAvia_act!R27)/TrAvia_png!R15)</f>
        <v>0.78982299567885961</v>
      </c>
      <c r="S21" s="90">
        <f>IF(TrAvia_act!S37=0,0,(TrAvia_act!S37/TrAvia_act!S27)/TrAvia_png!S15)</f>
        <v>0.89205131752887701</v>
      </c>
      <c r="T21" s="90">
        <f>IF(TrAvia_act!T37=0,0,(TrAvia_act!T37/TrAvia_act!T27)/TrAvia_png!T15)</f>
        <v>0.82589040470191455</v>
      </c>
      <c r="U21" s="90">
        <f>IF(TrAvia_act!U37=0,0,(TrAvia_act!U37/TrAvia_act!U27)/TrAvia_png!U15)</f>
        <v>0.84836438013473792</v>
      </c>
      <c r="V21" s="90">
        <f>IF(TrAvia_act!V37=0,0,(TrAvia_act!V37/TrAvia_act!V27)/TrAvia_png!V15)</f>
        <v>0.71925855679840334</v>
      </c>
      <c r="W21" s="90">
        <f>IF(TrAvia_act!W37=0,0,(TrAvia_act!W37/TrAvia_act!W27)/TrAvia_png!W15)</f>
        <v>0.7832686467132961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5.6531863389008043E-2</v>
      </c>
      <c r="C24" s="23">
        <f>IF(TrAvia_ene!C6=0,0,TrAvia_ene!C6/(C12*TrAvia_act!C14))</f>
        <v>5.5240453709456412E-2</v>
      </c>
      <c r="D24" s="23">
        <f>IF(TrAvia_ene!D6=0,0,TrAvia_ene!D6/(D12*TrAvia_act!D14))</f>
        <v>5.4114859170945454E-2</v>
      </c>
      <c r="E24" s="23">
        <f>IF(TrAvia_ene!E6=0,0,TrAvia_ene!E6/(E12*TrAvia_act!E14))</f>
        <v>5.2890967219794874E-2</v>
      </c>
      <c r="F24" s="23">
        <f>IF(TrAvia_ene!F6=0,0,TrAvia_ene!F6/(F12*TrAvia_act!F14))</f>
        <v>5.2667466729050795E-2</v>
      </c>
      <c r="G24" s="23">
        <f>IF(TrAvia_ene!G6=0,0,TrAvia_ene!G6/(G12*TrAvia_act!G14))</f>
        <v>3.6517562097741797E-2</v>
      </c>
      <c r="H24" s="23">
        <f>IF(TrAvia_ene!H6=0,0,TrAvia_ene!H6/(H12*TrAvia_act!H14))</f>
        <v>3.5147838202767845E-2</v>
      </c>
      <c r="I24" s="23">
        <f>IF(TrAvia_ene!I6=0,0,TrAvia_ene!I6/(I12*TrAvia_act!I14))</f>
        <v>3.5188759321238217E-2</v>
      </c>
      <c r="J24" s="23">
        <f>IF(TrAvia_ene!J6=0,0,TrAvia_ene!J6/(J12*TrAvia_act!J14))</f>
        <v>2.8303842513568211E-2</v>
      </c>
      <c r="K24" s="23">
        <f>IF(TrAvia_ene!K6=0,0,TrAvia_ene!K6/(K12*TrAvia_act!K14))</f>
        <v>2.5809666098888802E-2</v>
      </c>
      <c r="L24" s="23">
        <f>IF(TrAvia_ene!L6=0,0,TrAvia_ene!L6/(L12*TrAvia_act!L14))</f>
        <v>3.6297987919991372E-2</v>
      </c>
      <c r="M24" s="23">
        <f>IF(TrAvia_ene!M6=0,0,TrAvia_ene!M6/(M12*TrAvia_act!M14))</f>
        <v>2.6446561066157701E-2</v>
      </c>
      <c r="N24" s="23">
        <f>IF(TrAvia_ene!N6=0,0,TrAvia_ene!N6/(N12*TrAvia_act!N14))</f>
        <v>2.1794461000117022E-2</v>
      </c>
      <c r="O24" s="23">
        <f>IF(TrAvia_ene!O6=0,0,TrAvia_ene!O6/(O12*TrAvia_act!O14))</f>
        <v>2.5610661946046966E-2</v>
      </c>
      <c r="P24" s="23">
        <f>IF(TrAvia_ene!P6=0,0,TrAvia_ene!P6/(P12*TrAvia_act!P14))</f>
        <v>2.5095159522917569E-2</v>
      </c>
      <c r="Q24" s="23">
        <f>IF(TrAvia_ene!Q6=0,0,TrAvia_ene!Q6/(Q12*TrAvia_act!Q14))</f>
        <v>2.6225249000322512E-2</v>
      </c>
      <c r="R24" s="23">
        <f>IF(TrAvia_ene!R6=0,0,TrAvia_ene!R6/(R12*TrAvia_act!R14))</f>
        <v>2.5817494138870054E-2</v>
      </c>
      <c r="S24" s="23">
        <f>IF(TrAvia_ene!S6=0,0,TrAvia_ene!S6/(S12*TrAvia_act!S14))</f>
        <v>2.7311795549378969E-2</v>
      </c>
      <c r="T24" s="23">
        <f>IF(TrAvia_ene!T6=0,0,TrAvia_ene!T6/(T12*TrAvia_act!T14))</f>
        <v>1.1665968478794248E-2</v>
      </c>
      <c r="U24" s="23">
        <f>IF(TrAvia_ene!U6=0,0,TrAvia_ene!U6/(U12*TrAvia_act!U14))</f>
        <v>1.2412800962975592E-2</v>
      </c>
      <c r="V24" s="23">
        <f>IF(TrAvia_ene!V6=0,0,TrAvia_ene!V6/(V12*TrAvia_act!V14))</f>
        <v>1.0933644026038981E-2</v>
      </c>
      <c r="W24" s="23">
        <f>IF(TrAvia_ene!W6=0,0,TrAvia_ene!W6/(W12*TrAvia_act!W14))</f>
        <v>1.1865214203289579E-2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6.9981669422955861E-2</v>
      </c>
      <c r="C25" s="91">
        <f>IF(TrAvia_ene!C7=0,0,TrAvia_ene!C7/(C13*TrAvia_act!C15))</f>
        <v>6.8849130628548166E-2</v>
      </c>
      <c r="D25" s="91">
        <f>IF(TrAvia_ene!D7=0,0,TrAvia_ene!D7/(D13*TrAvia_act!D15))</f>
        <v>6.7652321378102634E-2</v>
      </c>
      <c r="E25" s="91">
        <f>IF(TrAvia_ene!E7=0,0,TrAvia_ene!E7/(E13*TrAvia_act!E15))</f>
        <v>6.639109409210045E-2</v>
      </c>
      <c r="F25" s="91">
        <f>IF(TrAvia_ene!F7=0,0,TrAvia_ene!F7/(F13*TrAvia_act!F15))</f>
        <v>6.4688025179400019E-2</v>
      </c>
      <c r="G25" s="91">
        <f>IF(TrAvia_ene!G7=0,0,TrAvia_ene!G7/(G13*TrAvia_act!G15))</f>
        <v>5.1091531232070324E-2</v>
      </c>
      <c r="H25" s="91">
        <f>IF(TrAvia_ene!H7=0,0,TrAvia_ene!H7/(H13*TrAvia_act!H15))</f>
        <v>8.5648294973792467E-3</v>
      </c>
      <c r="I25" s="91">
        <f>IF(TrAvia_ene!I7=0,0,TrAvia_ene!I7/(I13*TrAvia_act!I15))</f>
        <v>0.28889370962752353</v>
      </c>
      <c r="J25" s="91">
        <f>IF(TrAvia_ene!J7=0,0,TrAvia_ene!J7/(J13*TrAvia_act!J15))</f>
        <v>0.19705166171884195</v>
      </c>
      <c r="K25" s="91">
        <f>IF(TrAvia_ene!K7=0,0,TrAvia_ene!K7/(K13*TrAvia_act!K15))</f>
        <v>0.14877681831632783</v>
      </c>
      <c r="L25" s="91">
        <f>IF(TrAvia_ene!L7=0,0,TrAvia_ene!L7/(L13*TrAvia_act!L15))</f>
        <v>0.27752787991078076</v>
      </c>
      <c r="M25" s="91">
        <f>IF(TrAvia_ene!M7=0,0,TrAvia_ene!M7/(M13*TrAvia_act!M15))</f>
        <v>0.17412588785461222</v>
      </c>
      <c r="N25" s="91">
        <f>IF(TrAvia_ene!N7=0,0,TrAvia_ene!N7/(N13*TrAvia_act!N15))</f>
        <v>0.11105805661575319</v>
      </c>
      <c r="O25" s="91">
        <f>IF(TrAvia_ene!O7=0,0,TrAvia_ene!O7/(O13*TrAvia_act!O15))</f>
        <v>0.14650039579576887</v>
      </c>
      <c r="P25" s="91">
        <f>IF(TrAvia_ene!P7=0,0,TrAvia_ene!P7/(P13*TrAvia_act!P15))</f>
        <v>8.1711982281818071E-2</v>
      </c>
      <c r="Q25" s="91">
        <f>IF(TrAvia_ene!Q7=0,0,TrAvia_ene!Q7/(Q13*TrAvia_act!Q15))</f>
        <v>0.10955693596387256</v>
      </c>
      <c r="R25" s="91">
        <f>IF(TrAvia_ene!R7=0,0,TrAvia_ene!R7/(R13*TrAvia_act!R15))</f>
        <v>5.8487941995891767E-2</v>
      </c>
      <c r="S25" s="91">
        <f>IF(TrAvia_ene!S7=0,0,TrAvia_ene!S7/(S13*TrAvia_act!S15))</f>
        <v>7.3276832427676339E-2</v>
      </c>
      <c r="T25" s="91">
        <f>IF(TrAvia_ene!T7=0,0,TrAvia_ene!T7/(T13*TrAvia_act!T15))</f>
        <v>7.6591545537956496E-2</v>
      </c>
      <c r="U25" s="91">
        <f>IF(TrAvia_ene!U7=0,0,TrAvia_ene!U7/(U13*TrAvia_act!U15))</f>
        <v>0.10286796288998967</v>
      </c>
      <c r="V25" s="91">
        <f>IF(TrAvia_ene!V7=0,0,TrAvia_ene!V7/(V13*TrAvia_act!V15))</f>
        <v>0.16308960953734397</v>
      </c>
      <c r="W25" s="91">
        <f>IF(TrAvia_ene!W7=0,0,TrAvia_ene!W7/(W13*TrAvia_act!W15))</f>
        <v>0.12319897457093322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5.6048016878269019E-2</v>
      </c>
      <c r="C26" s="93">
        <f>IF(TrAvia_ene!C8=0,0,TrAvia_ene!C8/(C14*TrAvia_act!C16))</f>
        <v>5.5308921466188758E-2</v>
      </c>
      <c r="D26" s="93">
        <f>IF(TrAvia_ene!D8=0,0,TrAvia_ene!D8/(D14*TrAvia_act!D16))</f>
        <v>5.426254892888227E-2</v>
      </c>
      <c r="E26" s="93">
        <f>IF(TrAvia_ene!E8=0,0,TrAvia_ene!E8/(E14*TrAvia_act!E16))</f>
        <v>5.316359739444762E-2</v>
      </c>
      <c r="F26" s="93">
        <f>IF(TrAvia_ene!F8=0,0,TrAvia_ene!F8/(F14*TrAvia_act!F16))</f>
        <v>5.1279926371524606E-2</v>
      </c>
      <c r="G26" s="93">
        <f>IF(TrAvia_ene!G8=0,0,TrAvia_ene!G8/(G14*TrAvia_act!G16))</f>
        <v>3.4243630849923372E-2</v>
      </c>
      <c r="H26" s="93">
        <f>IF(TrAvia_ene!H8=0,0,TrAvia_ene!H8/(H14*TrAvia_act!H16))</f>
        <v>3.5567462602788272E-2</v>
      </c>
      <c r="I26" s="93">
        <f>IF(TrAvia_ene!I8=0,0,TrAvia_ene!I8/(I14*TrAvia_act!I16))</f>
        <v>2.1849019517788674E-2</v>
      </c>
      <c r="J26" s="93">
        <f>IF(TrAvia_ene!J8=0,0,TrAvia_ene!J8/(J14*TrAvia_act!J16))</f>
        <v>1.9026035228567294E-2</v>
      </c>
      <c r="K26" s="93">
        <f>IF(TrAvia_ene!K8=0,0,TrAvia_ene!K8/(K14*TrAvia_act!K16))</f>
        <v>1.7374085964943477E-2</v>
      </c>
      <c r="L26" s="93">
        <f>IF(TrAvia_ene!L8=0,0,TrAvia_ene!L8/(L14*TrAvia_act!L16))</f>
        <v>2.198158194051442E-2</v>
      </c>
      <c r="M26" s="93">
        <f>IF(TrAvia_ene!M8=0,0,TrAvia_ene!M8/(M14*TrAvia_act!M16))</f>
        <v>1.6603025377807459E-2</v>
      </c>
      <c r="N26" s="93">
        <f>IF(TrAvia_ene!N8=0,0,TrAvia_ene!N8/(N14*TrAvia_act!N16))</f>
        <v>1.6152957929669601E-2</v>
      </c>
      <c r="O26" s="93">
        <f>IF(TrAvia_ene!O8=0,0,TrAvia_ene!O8/(O14*TrAvia_act!O16))</f>
        <v>1.9092718149757722E-2</v>
      </c>
      <c r="P26" s="93">
        <f>IF(TrAvia_ene!P8=0,0,TrAvia_ene!P8/(P14*TrAvia_act!P16))</f>
        <v>2.2198116408247152E-2</v>
      </c>
      <c r="Q26" s="93">
        <f>IF(TrAvia_ene!Q8=0,0,TrAvia_ene!Q8/(Q14*TrAvia_act!Q16))</f>
        <v>2.3041513203129901E-2</v>
      </c>
      <c r="R26" s="93">
        <f>IF(TrAvia_ene!R8=0,0,TrAvia_ene!R8/(R14*TrAvia_act!R16))</f>
        <v>2.4203487647460803E-2</v>
      </c>
      <c r="S26" s="93">
        <f>IF(TrAvia_ene!S8=0,0,TrAvia_ene!S8/(S14*TrAvia_act!S16))</f>
        <v>2.4987591164897547E-2</v>
      </c>
      <c r="T26" s="93">
        <f>IF(TrAvia_ene!T8=0,0,TrAvia_ene!T8/(T14*TrAvia_act!T16))</f>
        <v>8.9885709206470495E-3</v>
      </c>
      <c r="U26" s="93">
        <f>IF(TrAvia_ene!U8=0,0,TrAvia_ene!U8/(U14*TrAvia_act!U16))</f>
        <v>9.4119559941021405E-3</v>
      </c>
      <c r="V26" s="93">
        <f>IF(TrAvia_ene!V8=0,0,TrAvia_ene!V8/(V14*TrAvia_act!V16))</f>
        <v>5.5672091755150322E-3</v>
      </c>
      <c r="W26" s="93">
        <f>IF(TrAvia_ene!W8=0,0,TrAvia_ene!W8/(W14*TrAvia_act!W16))</f>
        <v>8.0463203534210086E-3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5.1079949343699874E-2</v>
      </c>
      <c r="C27" s="94">
        <f>IF(TrAvia_ene!C9=0,0,TrAvia_ene!C9/(C15*TrAvia_act!C17))</f>
        <v>5.0415982653548602E-2</v>
      </c>
      <c r="D27" s="94">
        <f>IF(TrAvia_ene!D9=0,0,TrAvia_ene!D9/(D15*TrAvia_act!D17))</f>
        <v>4.9837937592141376E-2</v>
      </c>
      <c r="E27" s="94">
        <f>IF(TrAvia_ene!E9=0,0,TrAvia_ene!E9/(E15*TrAvia_act!E17))</f>
        <v>4.8662055167573534E-2</v>
      </c>
      <c r="F27" s="94">
        <f>IF(TrAvia_ene!F9=0,0,TrAvia_ene!F9/(F15*TrAvia_act!F17))</f>
        <v>4.6906389649236824E-2</v>
      </c>
      <c r="G27" s="94">
        <f>IF(TrAvia_ene!G9=0,0,TrAvia_ene!G9/(G15*TrAvia_act!G17))</f>
        <v>3.6315519819858151E-2</v>
      </c>
      <c r="H27" s="94">
        <f>IF(TrAvia_ene!H9=0,0,TrAvia_ene!H9/(H15*TrAvia_act!H17))</f>
        <v>3.6364046359144094E-2</v>
      </c>
      <c r="I27" s="94">
        <f>IF(TrAvia_ene!I9=0,0,TrAvia_ene!I9/(I15*TrAvia_act!I17))</f>
        <v>1.9619111851556726E-2</v>
      </c>
      <c r="J27" s="94">
        <f>IF(TrAvia_ene!J9=0,0,TrAvia_ene!J9/(J15*TrAvia_act!J17))</f>
        <v>1.518941970263446E-2</v>
      </c>
      <c r="K27" s="94">
        <f>IF(TrAvia_ene!K9=0,0,TrAvia_ene!K9/(K15*TrAvia_act!K17))</f>
        <v>1.7737721258574864E-2</v>
      </c>
      <c r="L27" s="94">
        <f>IF(TrAvia_ene!L9=0,0,TrAvia_ene!L9/(L15*TrAvia_act!L17))</f>
        <v>1.9939114042636558E-2</v>
      </c>
      <c r="M27" s="94">
        <f>IF(TrAvia_ene!M9=0,0,TrAvia_ene!M9/(M15*TrAvia_act!M17))</f>
        <v>2.1237949886270105E-2</v>
      </c>
      <c r="N27" s="94">
        <f>IF(TrAvia_ene!N9=0,0,TrAvia_ene!N9/(N15*TrAvia_act!N17))</f>
        <v>1.8695875088155987E-2</v>
      </c>
      <c r="O27" s="94">
        <f>IF(TrAvia_ene!O9=0,0,TrAvia_ene!O9/(O15*TrAvia_act!O17))</f>
        <v>2.1593777992316373E-2</v>
      </c>
      <c r="P27" s="94">
        <f>IF(TrAvia_ene!P9=0,0,TrAvia_ene!P9/(P15*TrAvia_act!P17))</f>
        <v>1.9836873347394163E-2</v>
      </c>
      <c r="Q27" s="94">
        <f>IF(TrAvia_ene!Q9=0,0,TrAvia_ene!Q9/(Q15*TrAvia_act!Q17))</f>
        <v>1.9153113193023819E-2</v>
      </c>
      <c r="R27" s="94">
        <f>IF(TrAvia_ene!R9=0,0,TrAvia_ene!R9/(R15*TrAvia_act!R17))</f>
        <v>1.7854027845430803E-2</v>
      </c>
      <c r="S27" s="94">
        <f>IF(TrAvia_ene!S9=0,0,TrAvia_ene!S9/(S15*TrAvia_act!S17))</f>
        <v>1.8264617245255511E-2</v>
      </c>
      <c r="T27" s="94">
        <f>IF(TrAvia_ene!T9=0,0,TrAvia_ene!T9/(T15*TrAvia_act!T17))</f>
        <v>5.1397819658238111E-3</v>
      </c>
      <c r="U27" s="94">
        <f>IF(TrAvia_ene!U9=0,0,TrAvia_ene!U9/(U15*TrAvia_act!U17))</f>
        <v>4.809068511721316E-3</v>
      </c>
      <c r="V27" s="94">
        <f>IF(TrAvia_ene!V9=0,0,TrAvia_ene!V9/(V15*TrAvia_act!V17))</f>
        <v>6.8590043995137503E-3</v>
      </c>
      <c r="W27" s="94">
        <f>IF(TrAvia_ene!W9=0,0,TrAvia_ene!W9/(W15*TrAvia_act!W17))</f>
        <v>5.3343712320190802E-3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2634</v>
      </c>
      <c r="C3" s="54">
        <f t="shared" si="0"/>
        <v>2746</v>
      </c>
      <c r="D3" s="54">
        <f t="shared" si="0"/>
        <v>3641</v>
      </c>
      <c r="E3" s="54">
        <f t="shared" si="0"/>
        <v>3521</v>
      </c>
      <c r="F3" s="54">
        <f t="shared" si="0"/>
        <v>6955</v>
      </c>
      <c r="G3" s="54">
        <f t="shared" si="0"/>
        <v>8435</v>
      </c>
      <c r="H3" s="54">
        <f t="shared" si="0"/>
        <v>8157</v>
      </c>
      <c r="I3" s="54">
        <f t="shared" si="0"/>
        <v>8195</v>
      </c>
      <c r="J3" s="54">
        <f t="shared" si="0"/>
        <v>8687</v>
      </c>
      <c r="K3" s="54">
        <f t="shared" si="0"/>
        <v>11765</v>
      </c>
      <c r="L3" s="54">
        <f t="shared" si="0"/>
        <v>14317</v>
      </c>
      <c r="M3" s="54">
        <f t="shared" si="0"/>
        <v>11409</v>
      </c>
      <c r="N3" s="54">
        <f t="shared" si="0"/>
        <v>12520</v>
      </c>
      <c r="O3" s="54">
        <f t="shared" si="0"/>
        <v>12242</v>
      </c>
      <c r="P3" s="54">
        <f t="shared" si="0"/>
        <v>11760</v>
      </c>
      <c r="Q3" s="54">
        <f t="shared" si="0"/>
        <v>13168</v>
      </c>
      <c r="R3" s="54">
        <f t="shared" ref="R3:V3" si="1">SUM(R4:R5)</f>
        <v>13153</v>
      </c>
      <c r="S3" s="54">
        <f t="shared" si="1"/>
        <v>12517</v>
      </c>
      <c r="T3" s="54">
        <f t="shared" si="1"/>
        <v>12261</v>
      </c>
      <c r="U3" s="54">
        <f t="shared" si="1"/>
        <v>13957</v>
      </c>
      <c r="V3" s="54">
        <f t="shared" si="1"/>
        <v>13638</v>
      </c>
      <c r="W3" s="54">
        <f t="shared" ref="W3" si="2">SUM(W4:W5)</f>
        <v>13522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2634</v>
      </c>
      <c r="C5" s="58">
        <v>2746</v>
      </c>
      <c r="D5" s="58">
        <v>3641</v>
      </c>
      <c r="E5" s="58">
        <v>3521</v>
      </c>
      <c r="F5" s="58">
        <v>6955</v>
      </c>
      <c r="G5" s="58">
        <v>8435</v>
      </c>
      <c r="H5" s="58">
        <v>8157</v>
      </c>
      <c r="I5" s="58">
        <v>8195</v>
      </c>
      <c r="J5" s="58">
        <v>8687</v>
      </c>
      <c r="K5" s="58">
        <v>11765</v>
      </c>
      <c r="L5" s="58">
        <v>14317</v>
      </c>
      <c r="M5" s="58">
        <v>11409</v>
      </c>
      <c r="N5" s="58">
        <v>12520</v>
      </c>
      <c r="O5" s="58">
        <v>12242</v>
      </c>
      <c r="P5" s="58">
        <v>11760</v>
      </c>
      <c r="Q5" s="58">
        <v>13168</v>
      </c>
      <c r="R5" s="58">
        <v>13153</v>
      </c>
      <c r="S5" s="58">
        <v>12517</v>
      </c>
      <c r="T5" s="58">
        <v>12261</v>
      </c>
      <c r="U5" s="58">
        <v>13957</v>
      </c>
      <c r="V5" s="58">
        <v>13638</v>
      </c>
      <c r="W5" s="58">
        <v>13522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9.2189999999999994</v>
      </c>
      <c r="C7" s="59">
        <f t="shared" si="3"/>
        <v>8.8949999999999996</v>
      </c>
      <c r="D7" s="59">
        <f t="shared" si="3"/>
        <v>10.345000000000001</v>
      </c>
      <c r="E7" s="59">
        <f t="shared" si="3"/>
        <v>8.2789999999999999</v>
      </c>
      <c r="F7" s="59">
        <f t="shared" si="3"/>
        <v>9.0960000000000001</v>
      </c>
      <c r="G7" s="59">
        <f t="shared" si="3"/>
        <v>10.050000000000001</v>
      </c>
      <c r="H7" s="59">
        <f t="shared" si="3"/>
        <v>9.7620000000000005</v>
      </c>
      <c r="I7" s="59">
        <f t="shared" si="3"/>
        <v>14.115</v>
      </c>
      <c r="J7" s="59">
        <f t="shared" si="3"/>
        <v>13.962</v>
      </c>
      <c r="K7" s="59">
        <f t="shared" si="3"/>
        <v>13.632</v>
      </c>
      <c r="L7" s="59">
        <f t="shared" si="3"/>
        <v>15.585000000000001</v>
      </c>
      <c r="M7" s="59">
        <f t="shared" si="3"/>
        <v>13.045999999999999</v>
      </c>
      <c r="N7" s="59">
        <f t="shared" si="3"/>
        <v>13.276999999999999</v>
      </c>
      <c r="O7" s="59">
        <f t="shared" si="3"/>
        <v>12.196</v>
      </c>
      <c r="P7" s="59">
        <f t="shared" si="3"/>
        <v>10.648</v>
      </c>
      <c r="Q7" s="59">
        <f t="shared" si="3"/>
        <v>13.157</v>
      </c>
      <c r="R7" s="59">
        <f t="shared" ref="R7:V7" si="4">SUM(R8:R9)</f>
        <v>13.064</v>
      </c>
      <c r="S7" s="59">
        <f t="shared" si="4"/>
        <v>10.676</v>
      </c>
      <c r="T7" s="59">
        <f t="shared" si="4"/>
        <v>12.029</v>
      </c>
      <c r="U7" s="59">
        <f t="shared" si="4"/>
        <v>13.339</v>
      </c>
      <c r="V7" s="59">
        <f t="shared" si="4"/>
        <v>12.922000000000001</v>
      </c>
      <c r="W7" s="59">
        <f t="shared" ref="W7" si="5">SUM(W8:W9)</f>
        <v>14.286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0</v>
      </c>
      <c r="J8" s="60">
        <v>0</v>
      </c>
      <c r="K8" s="60">
        <v>0</v>
      </c>
      <c r="L8" s="60">
        <v>0</v>
      </c>
      <c r="M8" s="60">
        <v>0</v>
      </c>
      <c r="N8" s="60">
        <v>0</v>
      </c>
      <c r="O8" s="60">
        <v>0</v>
      </c>
      <c r="P8" s="60">
        <v>0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9.2189999999999994</v>
      </c>
      <c r="C9" s="61">
        <v>8.8949999999999996</v>
      </c>
      <c r="D9" s="61">
        <v>10.345000000000001</v>
      </c>
      <c r="E9" s="61">
        <v>8.2789999999999999</v>
      </c>
      <c r="F9" s="61">
        <v>9.0960000000000001</v>
      </c>
      <c r="G9" s="61">
        <v>10.050000000000001</v>
      </c>
      <c r="H9" s="61">
        <v>9.7620000000000005</v>
      </c>
      <c r="I9" s="61">
        <v>14.115</v>
      </c>
      <c r="J9" s="61">
        <v>13.962</v>
      </c>
      <c r="K9" s="61">
        <v>13.632</v>
      </c>
      <c r="L9" s="61">
        <v>15.585000000000001</v>
      </c>
      <c r="M9" s="61">
        <v>13.045999999999999</v>
      </c>
      <c r="N9" s="61">
        <v>13.276999999999999</v>
      </c>
      <c r="O9" s="61">
        <v>12.196</v>
      </c>
      <c r="P9" s="61">
        <v>10.648</v>
      </c>
      <c r="Q9" s="61">
        <v>13.157</v>
      </c>
      <c r="R9" s="61">
        <v>13.064</v>
      </c>
      <c r="S9" s="61">
        <v>10.676</v>
      </c>
      <c r="T9" s="61">
        <v>12.029</v>
      </c>
      <c r="U9" s="61">
        <v>13.339</v>
      </c>
      <c r="V9" s="61">
        <v>12.922000000000001</v>
      </c>
      <c r="W9" s="61">
        <v>14.286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285.71428571428572</v>
      </c>
      <c r="C13" s="62">
        <f t="shared" si="6"/>
        <v>308.71275997751547</v>
      </c>
      <c r="D13" s="62">
        <f t="shared" si="6"/>
        <v>351.95746737554373</v>
      </c>
      <c r="E13" s="62">
        <f t="shared" si="6"/>
        <v>425.29290977171155</v>
      </c>
      <c r="F13" s="62">
        <f t="shared" ref="F13:V13" si="7">IF(F3=0,0,F3/F7)</f>
        <v>764.62181178540015</v>
      </c>
      <c r="G13" s="62">
        <f t="shared" si="7"/>
        <v>839.30348258706465</v>
      </c>
      <c r="H13" s="62">
        <f t="shared" si="7"/>
        <v>835.5869698832206</v>
      </c>
      <c r="I13" s="62">
        <f t="shared" si="7"/>
        <v>580.58802692171446</v>
      </c>
      <c r="J13" s="62">
        <f t="shared" si="7"/>
        <v>622.18879816645176</v>
      </c>
      <c r="K13" s="62">
        <f t="shared" si="7"/>
        <v>863.04284037558682</v>
      </c>
      <c r="L13" s="62">
        <f t="shared" si="7"/>
        <v>918.63971767725377</v>
      </c>
      <c r="M13" s="62">
        <f t="shared" si="7"/>
        <v>874.52092595431554</v>
      </c>
      <c r="N13" s="62">
        <f t="shared" si="7"/>
        <v>942.98410785569035</v>
      </c>
      <c r="O13" s="62">
        <f t="shared" si="7"/>
        <v>1003.7717284355526</v>
      </c>
      <c r="P13" s="62">
        <f t="shared" si="7"/>
        <v>1104.4327573253192</v>
      </c>
      <c r="Q13" s="62">
        <f t="shared" si="7"/>
        <v>1000.8360568518659</v>
      </c>
      <c r="R13" s="62">
        <f t="shared" si="7"/>
        <v>1006.8126148193509</v>
      </c>
      <c r="S13" s="62">
        <f t="shared" si="7"/>
        <v>1172.4428624953166</v>
      </c>
      <c r="T13" s="62">
        <f t="shared" si="7"/>
        <v>1019.2867237509353</v>
      </c>
      <c r="U13" s="62">
        <f t="shared" si="7"/>
        <v>1046.3303096184122</v>
      </c>
      <c r="V13" s="62">
        <f t="shared" si="7"/>
        <v>1055.4093793530412</v>
      </c>
      <c r="W13" s="62">
        <f t="shared" ref="W13" si="8">IF(W3=0,0,W3/W7)</f>
        <v>946.52106957860849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0</v>
      </c>
      <c r="C14" s="63">
        <f t="shared" si="6"/>
        <v>0</v>
      </c>
      <c r="D14" s="63">
        <f t="shared" si="6"/>
        <v>0</v>
      </c>
      <c r="E14" s="63">
        <f t="shared" si="6"/>
        <v>0</v>
      </c>
      <c r="F14" s="63">
        <f t="shared" ref="F14:V14" si="9">IF(F4=0,0,F4/F8)</f>
        <v>0</v>
      </c>
      <c r="G14" s="63">
        <f t="shared" si="9"/>
        <v>0</v>
      </c>
      <c r="H14" s="63">
        <f t="shared" si="9"/>
        <v>0</v>
      </c>
      <c r="I14" s="63">
        <f t="shared" si="9"/>
        <v>0</v>
      </c>
      <c r="J14" s="63">
        <f t="shared" si="9"/>
        <v>0</v>
      </c>
      <c r="K14" s="63">
        <f t="shared" si="9"/>
        <v>0</v>
      </c>
      <c r="L14" s="63">
        <f t="shared" si="9"/>
        <v>0</v>
      </c>
      <c r="M14" s="63">
        <f t="shared" si="9"/>
        <v>0</v>
      </c>
      <c r="N14" s="63">
        <f t="shared" si="9"/>
        <v>0</v>
      </c>
      <c r="O14" s="63">
        <f t="shared" si="9"/>
        <v>0</v>
      </c>
      <c r="P14" s="63">
        <f t="shared" si="9"/>
        <v>0</v>
      </c>
      <c r="Q14" s="63">
        <f t="shared" si="9"/>
        <v>0</v>
      </c>
      <c r="R14" s="63">
        <f t="shared" si="9"/>
        <v>0</v>
      </c>
      <c r="S14" s="63">
        <f t="shared" si="9"/>
        <v>0</v>
      </c>
      <c r="T14" s="63">
        <f t="shared" si="9"/>
        <v>0</v>
      </c>
      <c r="U14" s="63">
        <f t="shared" si="9"/>
        <v>0</v>
      </c>
      <c r="V14" s="63">
        <f t="shared" si="9"/>
        <v>0</v>
      </c>
      <c r="W14" s="63">
        <f t="shared" ref="W14" si="10">IF(W4=0,0,W4/W8)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285.71428571428572</v>
      </c>
      <c r="C15" s="64">
        <f t="shared" si="6"/>
        <v>308.71275997751547</v>
      </c>
      <c r="D15" s="64">
        <f t="shared" si="6"/>
        <v>351.95746737554373</v>
      </c>
      <c r="E15" s="64">
        <f t="shared" si="6"/>
        <v>425.29290977171155</v>
      </c>
      <c r="F15" s="64">
        <f t="shared" ref="F15:V15" si="11">IF(F5=0,0,F5/F9)</f>
        <v>764.62181178540015</v>
      </c>
      <c r="G15" s="64">
        <f t="shared" si="11"/>
        <v>839.30348258706465</v>
      </c>
      <c r="H15" s="64">
        <f t="shared" si="11"/>
        <v>835.5869698832206</v>
      </c>
      <c r="I15" s="64">
        <f t="shared" si="11"/>
        <v>580.58802692171446</v>
      </c>
      <c r="J15" s="64">
        <f t="shared" si="11"/>
        <v>622.18879816645176</v>
      </c>
      <c r="K15" s="64">
        <f t="shared" si="11"/>
        <v>863.04284037558682</v>
      </c>
      <c r="L15" s="64">
        <f t="shared" si="11"/>
        <v>918.63971767725377</v>
      </c>
      <c r="M15" s="64">
        <f t="shared" si="11"/>
        <v>874.52092595431554</v>
      </c>
      <c r="N15" s="64">
        <f t="shared" si="11"/>
        <v>942.98410785569035</v>
      </c>
      <c r="O15" s="64">
        <f t="shared" si="11"/>
        <v>1003.7717284355526</v>
      </c>
      <c r="P15" s="64">
        <f t="shared" si="11"/>
        <v>1104.4327573253192</v>
      </c>
      <c r="Q15" s="64">
        <f t="shared" si="11"/>
        <v>1000.8360568518659</v>
      </c>
      <c r="R15" s="64">
        <f t="shared" si="11"/>
        <v>1006.8126148193509</v>
      </c>
      <c r="S15" s="64">
        <f t="shared" si="11"/>
        <v>1172.4428624953166</v>
      </c>
      <c r="T15" s="64">
        <f t="shared" si="11"/>
        <v>1019.2867237509353</v>
      </c>
      <c r="U15" s="64">
        <f t="shared" si="11"/>
        <v>1046.3303096184122</v>
      </c>
      <c r="V15" s="64">
        <f t="shared" si="11"/>
        <v>1055.4093793530412</v>
      </c>
      <c r="W15" s="64">
        <f t="shared" ref="W15" si="12">IF(W5=0,0,W5/W9)</f>
        <v>946.52106957860849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</v>
      </c>
      <c r="C18" s="66">
        <f t="shared" si="16"/>
        <v>0</v>
      </c>
      <c r="D18" s="66">
        <f t="shared" si="16"/>
        <v>0</v>
      </c>
      <c r="E18" s="66">
        <f t="shared" si="16"/>
        <v>0</v>
      </c>
      <c r="F18" s="66">
        <f t="shared" ref="F18:V18" si="17">IF(F4=0,0,F4/F$3)</f>
        <v>0</v>
      </c>
      <c r="G18" s="66">
        <f t="shared" si="17"/>
        <v>0</v>
      </c>
      <c r="H18" s="66">
        <f t="shared" si="17"/>
        <v>0</v>
      </c>
      <c r="I18" s="66">
        <f t="shared" si="17"/>
        <v>0</v>
      </c>
      <c r="J18" s="66">
        <f t="shared" si="17"/>
        <v>0</v>
      </c>
      <c r="K18" s="66">
        <f t="shared" si="17"/>
        <v>0</v>
      </c>
      <c r="L18" s="66">
        <f t="shared" si="17"/>
        <v>0</v>
      </c>
      <c r="M18" s="66">
        <f t="shared" si="17"/>
        <v>0</v>
      </c>
      <c r="N18" s="66">
        <f t="shared" si="17"/>
        <v>0</v>
      </c>
      <c r="O18" s="66">
        <f t="shared" si="17"/>
        <v>0</v>
      </c>
      <c r="P18" s="66">
        <f t="shared" si="17"/>
        <v>0</v>
      </c>
      <c r="Q18" s="66">
        <f t="shared" si="17"/>
        <v>0</v>
      </c>
      <c r="R18" s="66">
        <f t="shared" si="17"/>
        <v>0</v>
      </c>
      <c r="S18" s="66">
        <f t="shared" si="17"/>
        <v>0</v>
      </c>
      <c r="T18" s="66">
        <f t="shared" si="17"/>
        <v>0</v>
      </c>
      <c r="U18" s="66">
        <f t="shared" si="17"/>
        <v>0</v>
      </c>
      <c r="V18" s="66">
        <f t="shared" si="17"/>
        <v>0</v>
      </c>
      <c r="W18" s="66">
        <f t="shared" ref="W18" si="18">IF(W4=0,0,W4/W$3)</f>
        <v>0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1</v>
      </c>
      <c r="C19" s="67">
        <f t="shared" si="19"/>
        <v>1</v>
      </c>
      <c r="D19" s="67">
        <f t="shared" si="19"/>
        <v>1</v>
      </c>
      <c r="E19" s="67">
        <f t="shared" si="19"/>
        <v>1</v>
      </c>
      <c r="F19" s="67">
        <f t="shared" ref="F19:V19" si="20">IF(F5=0,0,F5/F$3)</f>
        <v>1</v>
      </c>
      <c r="G19" s="67">
        <f t="shared" si="20"/>
        <v>1</v>
      </c>
      <c r="H19" s="67">
        <f t="shared" si="20"/>
        <v>1</v>
      </c>
      <c r="I19" s="67">
        <f t="shared" si="20"/>
        <v>1</v>
      </c>
      <c r="J19" s="67">
        <f t="shared" si="20"/>
        <v>1</v>
      </c>
      <c r="K19" s="67">
        <f t="shared" si="20"/>
        <v>1</v>
      </c>
      <c r="L19" s="67">
        <f t="shared" si="20"/>
        <v>1</v>
      </c>
      <c r="M19" s="67">
        <f t="shared" si="20"/>
        <v>1</v>
      </c>
      <c r="N19" s="67">
        <f t="shared" si="20"/>
        <v>1</v>
      </c>
      <c r="O19" s="67">
        <f t="shared" si="20"/>
        <v>1</v>
      </c>
      <c r="P19" s="67">
        <f t="shared" si="20"/>
        <v>1</v>
      </c>
      <c r="Q19" s="67">
        <f t="shared" si="20"/>
        <v>1</v>
      </c>
      <c r="R19" s="67">
        <f t="shared" si="20"/>
        <v>1</v>
      </c>
      <c r="S19" s="67">
        <f t="shared" si="20"/>
        <v>1</v>
      </c>
      <c r="T19" s="67">
        <f t="shared" si="20"/>
        <v>1</v>
      </c>
      <c r="U19" s="67">
        <f t="shared" si="20"/>
        <v>1</v>
      </c>
      <c r="V19" s="67">
        <f t="shared" si="20"/>
        <v>1</v>
      </c>
      <c r="W19" s="67">
        <f t="shared" ref="W19" si="21">IF(W5=0,0,W5/W$3)</f>
        <v>1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</v>
      </c>
      <c r="C22" s="66">
        <f t="shared" si="25"/>
        <v>0</v>
      </c>
      <c r="D22" s="66">
        <f t="shared" si="25"/>
        <v>0</v>
      </c>
      <c r="E22" s="66">
        <f t="shared" si="25"/>
        <v>0</v>
      </c>
      <c r="F22" s="66">
        <f t="shared" ref="F22:V22" si="26">IF(F8=0,0,F8/F$7)</f>
        <v>0</v>
      </c>
      <c r="G22" s="66">
        <f t="shared" si="26"/>
        <v>0</v>
      </c>
      <c r="H22" s="66">
        <f t="shared" si="26"/>
        <v>0</v>
      </c>
      <c r="I22" s="66">
        <f t="shared" si="26"/>
        <v>0</v>
      </c>
      <c r="J22" s="66">
        <f t="shared" si="26"/>
        <v>0</v>
      </c>
      <c r="K22" s="66">
        <f t="shared" si="26"/>
        <v>0</v>
      </c>
      <c r="L22" s="66">
        <f t="shared" si="26"/>
        <v>0</v>
      </c>
      <c r="M22" s="66">
        <f t="shared" si="26"/>
        <v>0</v>
      </c>
      <c r="N22" s="66">
        <f t="shared" si="26"/>
        <v>0</v>
      </c>
      <c r="O22" s="66">
        <f t="shared" si="26"/>
        <v>0</v>
      </c>
      <c r="P22" s="66">
        <f t="shared" si="26"/>
        <v>0</v>
      </c>
      <c r="Q22" s="66">
        <f t="shared" si="26"/>
        <v>0</v>
      </c>
      <c r="R22" s="66">
        <f t="shared" si="26"/>
        <v>0</v>
      </c>
      <c r="S22" s="66">
        <f t="shared" si="26"/>
        <v>0</v>
      </c>
      <c r="T22" s="66">
        <f t="shared" si="26"/>
        <v>0</v>
      </c>
      <c r="U22" s="66">
        <f t="shared" si="26"/>
        <v>0</v>
      </c>
      <c r="V22" s="66">
        <f t="shared" si="26"/>
        <v>0</v>
      </c>
      <c r="W22" s="66">
        <f t="shared" ref="W22" si="27">IF(W8=0,0,W8/W$7)</f>
        <v>0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1</v>
      </c>
      <c r="C23" s="67">
        <f t="shared" si="28"/>
        <v>1</v>
      </c>
      <c r="D23" s="67">
        <f t="shared" si="28"/>
        <v>1</v>
      </c>
      <c r="E23" s="67">
        <f t="shared" si="28"/>
        <v>1</v>
      </c>
      <c r="F23" s="67">
        <f t="shared" ref="F23:V23" si="29">IF(F9=0,0,F9/F$7)</f>
        <v>1</v>
      </c>
      <c r="G23" s="67">
        <f t="shared" si="29"/>
        <v>1</v>
      </c>
      <c r="H23" s="67">
        <f t="shared" si="29"/>
        <v>1</v>
      </c>
      <c r="I23" s="67">
        <f t="shared" si="29"/>
        <v>1</v>
      </c>
      <c r="J23" s="67">
        <f t="shared" si="29"/>
        <v>1</v>
      </c>
      <c r="K23" s="67">
        <f t="shared" si="29"/>
        <v>1</v>
      </c>
      <c r="L23" s="67">
        <f t="shared" si="29"/>
        <v>1</v>
      </c>
      <c r="M23" s="67">
        <f t="shared" si="29"/>
        <v>1</v>
      </c>
      <c r="N23" s="67">
        <f t="shared" si="29"/>
        <v>1</v>
      </c>
      <c r="O23" s="67">
        <f t="shared" si="29"/>
        <v>1</v>
      </c>
      <c r="P23" s="67">
        <f t="shared" si="29"/>
        <v>1</v>
      </c>
      <c r="Q23" s="67">
        <f t="shared" si="29"/>
        <v>1</v>
      </c>
      <c r="R23" s="67">
        <f t="shared" si="29"/>
        <v>1</v>
      </c>
      <c r="S23" s="67">
        <f t="shared" si="29"/>
        <v>1</v>
      </c>
      <c r="T23" s="67">
        <f t="shared" si="29"/>
        <v>1</v>
      </c>
      <c r="U23" s="67">
        <f t="shared" si="29"/>
        <v>1</v>
      </c>
      <c r="V23" s="67">
        <f t="shared" si="29"/>
        <v>1</v>
      </c>
      <c r="W23" s="67">
        <f t="shared" ref="W23" si="30">IF(W9=0,0,W9/W$7)</f>
        <v>1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113.29423903697335</v>
      </c>
      <c r="C3" s="62">
        <f t="shared" ref="C3:V3" si="0">SUM(C4,C10)</f>
        <v>101.16079105760963</v>
      </c>
      <c r="D3" s="62">
        <f t="shared" si="0"/>
        <v>103.20533104041272</v>
      </c>
      <c r="E3" s="62">
        <f t="shared" si="0"/>
        <v>68.352966466036108</v>
      </c>
      <c r="F3" s="62">
        <f t="shared" si="0"/>
        <v>41.769389509888214</v>
      </c>
      <c r="G3" s="62">
        <f t="shared" si="0"/>
        <v>42.046431642304384</v>
      </c>
      <c r="H3" s="62">
        <f t="shared" si="0"/>
        <v>41.019346517626836</v>
      </c>
      <c r="I3" s="62">
        <f t="shared" si="0"/>
        <v>85.366723989681859</v>
      </c>
      <c r="J3" s="62">
        <f t="shared" si="0"/>
        <v>78.790885640584676</v>
      </c>
      <c r="K3" s="62">
        <f t="shared" si="0"/>
        <v>55.460017196904552</v>
      </c>
      <c r="L3" s="62">
        <f t="shared" si="0"/>
        <v>59.568185726569219</v>
      </c>
      <c r="M3" s="62">
        <f t="shared" si="0"/>
        <v>52.378933791917447</v>
      </c>
      <c r="N3" s="62">
        <f t="shared" si="0"/>
        <v>42.568787618228718</v>
      </c>
      <c r="O3" s="62">
        <f t="shared" si="0"/>
        <v>41.555288048151333</v>
      </c>
      <c r="P3" s="62">
        <f t="shared" si="0"/>
        <v>37.501117798796223</v>
      </c>
      <c r="Q3" s="62">
        <f t="shared" si="0"/>
        <v>43.582373172828888</v>
      </c>
      <c r="R3" s="62">
        <f t="shared" si="0"/>
        <v>40.541702493551163</v>
      </c>
      <c r="S3" s="62">
        <f t="shared" si="0"/>
        <v>40.392691315563198</v>
      </c>
      <c r="T3" s="62">
        <f t="shared" si="0"/>
        <v>40.351160791057609</v>
      </c>
      <c r="U3" s="62">
        <f t="shared" si="0"/>
        <v>43.588564058469473</v>
      </c>
      <c r="V3" s="62">
        <f t="shared" si="0"/>
        <v>41.860275150472908</v>
      </c>
      <c r="W3" s="62">
        <f t="shared" ref="W3" si="1">SUM(W4,W10)</f>
        <v>51.607136715391228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0</v>
      </c>
      <c r="C4" s="71">
        <f t="shared" ref="C4:V4" si="2">SUM(C5:C9)</f>
        <v>0</v>
      </c>
      <c r="D4" s="71">
        <f t="shared" si="2"/>
        <v>0</v>
      </c>
      <c r="E4" s="71">
        <f t="shared" si="2"/>
        <v>0</v>
      </c>
      <c r="F4" s="71">
        <f t="shared" si="2"/>
        <v>0</v>
      </c>
      <c r="G4" s="71">
        <f t="shared" si="2"/>
        <v>0</v>
      </c>
      <c r="H4" s="71">
        <f t="shared" si="2"/>
        <v>0</v>
      </c>
      <c r="I4" s="71">
        <f t="shared" si="2"/>
        <v>0</v>
      </c>
      <c r="J4" s="71">
        <f t="shared" si="2"/>
        <v>0</v>
      </c>
      <c r="K4" s="71">
        <f t="shared" si="2"/>
        <v>0</v>
      </c>
      <c r="L4" s="71">
        <f t="shared" si="2"/>
        <v>0</v>
      </c>
      <c r="M4" s="71">
        <f t="shared" si="2"/>
        <v>0</v>
      </c>
      <c r="N4" s="71">
        <f t="shared" si="2"/>
        <v>0</v>
      </c>
      <c r="O4" s="71">
        <f t="shared" si="2"/>
        <v>0</v>
      </c>
      <c r="P4" s="71">
        <f t="shared" si="2"/>
        <v>0</v>
      </c>
      <c r="Q4" s="71">
        <f t="shared" si="2"/>
        <v>0</v>
      </c>
      <c r="R4" s="71">
        <f t="shared" si="2"/>
        <v>0</v>
      </c>
      <c r="S4" s="71">
        <f t="shared" si="2"/>
        <v>0</v>
      </c>
      <c r="T4" s="71">
        <f t="shared" si="2"/>
        <v>0</v>
      </c>
      <c r="U4" s="71">
        <f t="shared" si="2"/>
        <v>0</v>
      </c>
      <c r="V4" s="71">
        <f t="shared" si="2"/>
        <v>0</v>
      </c>
      <c r="W4" s="71">
        <f t="shared" ref="W4" si="3">SUM(W5:W9)</f>
        <v>0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0</v>
      </c>
      <c r="J5" s="73">
        <v>0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0</v>
      </c>
      <c r="Q5" s="73">
        <v>0</v>
      </c>
      <c r="R5" s="73">
        <v>0</v>
      </c>
      <c r="S5" s="73">
        <v>0</v>
      </c>
      <c r="T5" s="73">
        <v>0</v>
      </c>
      <c r="U5" s="73">
        <v>0</v>
      </c>
      <c r="V5" s="73">
        <v>0</v>
      </c>
      <c r="W5" s="73">
        <v>0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113.29423903697335</v>
      </c>
      <c r="C10" s="71">
        <f t="shared" ref="C10:V10" si="4">SUM(C11:C15)</f>
        <v>101.16079105760963</v>
      </c>
      <c r="D10" s="71">
        <f t="shared" si="4"/>
        <v>103.20533104041272</v>
      </c>
      <c r="E10" s="71">
        <f t="shared" si="4"/>
        <v>68.352966466036108</v>
      </c>
      <c r="F10" s="71">
        <f t="shared" si="4"/>
        <v>41.769389509888214</v>
      </c>
      <c r="G10" s="71">
        <f t="shared" si="4"/>
        <v>42.046431642304384</v>
      </c>
      <c r="H10" s="71">
        <f t="shared" si="4"/>
        <v>41.019346517626836</v>
      </c>
      <c r="I10" s="71">
        <f t="shared" si="4"/>
        <v>85.366723989681859</v>
      </c>
      <c r="J10" s="71">
        <f t="shared" si="4"/>
        <v>78.790885640584676</v>
      </c>
      <c r="K10" s="71">
        <f t="shared" si="4"/>
        <v>55.460017196904552</v>
      </c>
      <c r="L10" s="71">
        <f t="shared" si="4"/>
        <v>59.568185726569219</v>
      </c>
      <c r="M10" s="71">
        <f t="shared" si="4"/>
        <v>52.378933791917447</v>
      </c>
      <c r="N10" s="71">
        <f t="shared" si="4"/>
        <v>42.568787618228718</v>
      </c>
      <c r="O10" s="71">
        <f t="shared" si="4"/>
        <v>41.555288048151333</v>
      </c>
      <c r="P10" s="71">
        <f t="shared" si="4"/>
        <v>37.501117798796223</v>
      </c>
      <c r="Q10" s="71">
        <f t="shared" si="4"/>
        <v>43.582373172828888</v>
      </c>
      <c r="R10" s="71">
        <f t="shared" si="4"/>
        <v>40.541702493551163</v>
      </c>
      <c r="S10" s="71">
        <f t="shared" si="4"/>
        <v>40.392691315563198</v>
      </c>
      <c r="T10" s="71">
        <f t="shared" si="4"/>
        <v>40.351160791057609</v>
      </c>
      <c r="U10" s="71">
        <f t="shared" si="4"/>
        <v>43.588564058469473</v>
      </c>
      <c r="V10" s="71">
        <f t="shared" si="4"/>
        <v>41.860275150472908</v>
      </c>
      <c r="W10" s="71">
        <f t="shared" ref="W10" si="5">SUM(W11:W15)</f>
        <v>51.607136715391228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54.433018056749788</v>
      </c>
      <c r="C11" s="73">
        <v>13.351504729148751</v>
      </c>
      <c r="D11" s="73">
        <v>30.811092003439381</v>
      </c>
      <c r="E11" s="73">
        <v>13.351504729148751</v>
      </c>
      <c r="F11" s="73">
        <v>20.540756663800519</v>
      </c>
      <c r="G11" s="73">
        <v>41.08151332760103</v>
      </c>
      <c r="H11" s="73">
        <v>40.054428202923482</v>
      </c>
      <c r="I11" s="73">
        <v>84.217024935511603</v>
      </c>
      <c r="J11" s="73">
        <v>71.8926053310404</v>
      </c>
      <c r="K11" s="73">
        <v>55.460017196904552</v>
      </c>
      <c r="L11" s="73">
        <v>59.568185726569219</v>
      </c>
      <c r="M11" s="73">
        <v>52.378933791917447</v>
      </c>
      <c r="N11" s="73">
        <v>42.568787618228718</v>
      </c>
      <c r="O11" s="73">
        <v>41.555288048151333</v>
      </c>
      <c r="P11" s="73">
        <v>37.501117798796223</v>
      </c>
      <c r="Q11" s="73">
        <v>43.582373172828888</v>
      </c>
      <c r="R11" s="73">
        <v>40.541702493551163</v>
      </c>
      <c r="S11" s="73">
        <v>40.392691315563198</v>
      </c>
      <c r="T11" s="73">
        <v>40.351160791057609</v>
      </c>
      <c r="U11" s="73">
        <v>43.588564058469473</v>
      </c>
      <c r="V11" s="73">
        <v>41.860275150472908</v>
      </c>
      <c r="W11" s="73">
        <v>51.607136715391228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58.861220980223564</v>
      </c>
      <c r="C12" s="73">
        <v>87.809286328460871</v>
      </c>
      <c r="D12" s="73">
        <v>72.370335339638856</v>
      </c>
      <c r="E12" s="73">
        <v>55.001461736887357</v>
      </c>
      <c r="F12" s="73">
        <v>21.228632846087695</v>
      </c>
      <c r="G12" s="73">
        <v>0.96491831470335399</v>
      </c>
      <c r="H12" s="73">
        <v>0.96491831470335399</v>
      </c>
      <c r="I12" s="73">
        <v>1.1496990541702559</v>
      </c>
      <c r="J12" s="73">
        <v>6.8982803095442762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2.3903697334479789E-2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1228.9211306754894</v>
      </c>
      <c r="C19" s="62">
        <f>IF(C3=0,0,C3/TrNavi_act!C7*100)</f>
        <v>1137.2770214458644</v>
      </c>
      <c r="D19" s="62">
        <f>IF(D3=0,0,D3/TrNavi_act!D7*100)</f>
        <v>997.63490614222053</v>
      </c>
      <c r="E19" s="62">
        <f>IF(E3=0,0,E3/TrNavi_act!E7*100)</f>
        <v>825.61863106699002</v>
      </c>
      <c r="F19" s="62">
        <f>IF(F3=0,0,F3/TrNavi_act!F7*100)</f>
        <v>459.20612917643149</v>
      </c>
      <c r="G19" s="62">
        <f>IF(G3=0,0,G3/TrNavi_act!G7*100)</f>
        <v>418.37245415228239</v>
      </c>
      <c r="H19" s="62">
        <f>IF(H3=0,0,H3/TrNavi_act!H7*100)</f>
        <v>420.19408438462233</v>
      </c>
      <c r="I19" s="62">
        <f>IF(I3=0,0,I3/TrNavi_act!I7*100)</f>
        <v>604.79436053618031</v>
      </c>
      <c r="J19" s="62">
        <f>IF(J3=0,0,J3/TrNavi_act!J7*100)</f>
        <v>564.32377625400852</v>
      </c>
      <c r="K19" s="62">
        <f>IF(K3=0,0,K3/TrNavi_act!K7*100)</f>
        <v>406.83698061109561</v>
      </c>
      <c r="L19" s="62">
        <f>IF(L3=0,0,L3/TrNavi_act!L7*100)</f>
        <v>382.21485868828495</v>
      </c>
      <c r="M19" s="62">
        <f>IF(M3=0,0,M3/TrNavi_act!M7*100)</f>
        <v>401.49420352535225</v>
      </c>
      <c r="N19" s="62">
        <f>IF(N3=0,0,N3/TrNavi_act!N7*100)</f>
        <v>320.6205288711962</v>
      </c>
      <c r="O19" s="62">
        <f>IF(O3=0,0,O3/TrNavi_act!O7*100)</f>
        <v>340.72882951911555</v>
      </c>
      <c r="P19" s="62">
        <f>IF(P3=0,0,P3/TrNavi_act!P7*100)</f>
        <v>352.18931065736501</v>
      </c>
      <c r="Q19" s="62">
        <f>IF(Q3=0,0,Q3/TrNavi_act!Q7*100)</f>
        <v>331.24856101564859</v>
      </c>
      <c r="R19" s="62">
        <f>IF(R3=0,0,R3/TrNavi_act!R7*100)</f>
        <v>310.33146428009155</v>
      </c>
      <c r="S19" s="62">
        <f>IF(S3=0,0,S3/TrNavi_act!S7*100)</f>
        <v>378.35042446200072</v>
      </c>
      <c r="T19" s="62">
        <f>IF(T3=0,0,T3/TrNavi_act!T7*100)</f>
        <v>335.44900483047309</v>
      </c>
      <c r="U19" s="62">
        <f>IF(U3=0,0,U3/TrNavi_act!U7*100)</f>
        <v>326.77535091438244</v>
      </c>
      <c r="V19" s="62">
        <f>IF(V3=0,0,V3/TrNavi_act!V7*100)</f>
        <v>323.94579128983827</v>
      </c>
      <c r="W19" s="62">
        <f>IF(W3=0,0,W3/TrNavi_act!W7*100)</f>
        <v>361.24273215309557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0</v>
      </c>
      <c r="C20" s="63">
        <f>IF(C4=0,0,C4/TrNavi_act!C8*100)</f>
        <v>0</v>
      </c>
      <c r="D20" s="63">
        <f>IF(D4=0,0,D4/TrNavi_act!D8*100)</f>
        <v>0</v>
      </c>
      <c r="E20" s="63">
        <f>IF(E4=0,0,E4/TrNavi_act!E8*100)</f>
        <v>0</v>
      </c>
      <c r="F20" s="63">
        <f>IF(F4=0,0,F4/TrNavi_act!F8*100)</f>
        <v>0</v>
      </c>
      <c r="G20" s="63">
        <f>IF(G4=0,0,G4/TrNavi_act!G8*100)</f>
        <v>0</v>
      </c>
      <c r="H20" s="63">
        <f>IF(H4=0,0,H4/TrNavi_act!H8*100)</f>
        <v>0</v>
      </c>
      <c r="I20" s="63">
        <f>IF(I4=0,0,I4/TrNavi_act!I8*100)</f>
        <v>0</v>
      </c>
      <c r="J20" s="63">
        <f>IF(J4=0,0,J4/TrNavi_act!J8*100)</f>
        <v>0</v>
      </c>
      <c r="K20" s="63">
        <f>IF(K4=0,0,K4/TrNavi_act!K8*100)</f>
        <v>0</v>
      </c>
      <c r="L20" s="63">
        <f>IF(L4=0,0,L4/TrNavi_act!L8*100)</f>
        <v>0</v>
      </c>
      <c r="M20" s="63">
        <f>IF(M4=0,0,M4/TrNavi_act!M8*100)</f>
        <v>0</v>
      </c>
      <c r="N20" s="63">
        <f>IF(N4=0,0,N4/TrNavi_act!N8*100)</f>
        <v>0</v>
      </c>
      <c r="O20" s="63">
        <f>IF(O4=0,0,O4/TrNavi_act!O8*100)</f>
        <v>0</v>
      </c>
      <c r="P20" s="63">
        <f>IF(P4=0,0,P4/TrNavi_act!P8*100)</f>
        <v>0</v>
      </c>
      <c r="Q20" s="63">
        <f>IF(Q4=0,0,Q4/TrNavi_act!Q8*100)</f>
        <v>0</v>
      </c>
      <c r="R20" s="63">
        <f>IF(R4=0,0,R4/TrNavi_act!R8*100)</f>
        <v>0</v>
      </c>
      <c r="S20" s="63">
        <f>IF(S4=0,0,S4/TrNavi_act!S8*100)</f>
        <v>0</v>
      </c>
      <c r="T20" s="63">
        <f>IF(T4=0,0,T4/TrNavi_act!T8*100)</f>
        <v>0</v>
      </c>
      <c r="U20" s="63">
        <f>IF(U4=0,0,U4/TrNavi_act!U8*100)</f>
        <v>0</v>
      </c>
      <c r="V20" s="63">
        <f>IF(V4=0,0,V4/TrNavi_act!V8*100)</f>
        <v>0</v>
      </c>
      <c r="W20" s="63">
        <f>IF(W4=0,0,W4/TrNavi_act!W8*100)</f>
        <v>0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1228.9211306754894</v>
      </c>
      <c r="C21" s="64">
        <f>IF(C10=0,0,C10/TrNavi_act!C9*100)</f>
        <v>1137.2770214458644</v>
      </c>
      <c r="D21" s="64">
        <f>IF(D10=0,0,D10/TrNavi_act!D9*100)</f>
        <v>997.63490614222053</v>
      </c>
      <c r="E21" s="64">
        <f>IF(E10=0,0,E10/TrNavi_act!E9*100)</f>
        <v>825.61863106699002</v>
      </c>
      <c r="F21" s="64">
        <f>IF(F10=0,0,F10/TrNavi_act!F9*100)</f>
        <v>459.20612917643149</v>
      </c>
      <c r="G21" s="64">
        <f>IF(G10=0,0,G10/TrNavi_act!G9*100)</f>
        <v>418.37245415228239</v>
      </c>
      <c r="H21" s="64">
        <f>IF(H10=0,0,H10/TrNavi_act!H9*100)</f>
        <v>420.19408438462233</v>
      </c>
      <c r="I21" s="64">
        <f>IF(I10=0,0,I10/TrNavi_act!I9*100)</f>
        <v>604.79436053618031</v>
      </c>
      <c r="J21" s="64">
        <f>IF(J10=0,0,J10/TrNavi_act!J9*100)</f>
        <v>564.32377625400852</v>
      </c>
      <c r="K21" s="64">
        <f>IF(K10=0,0,K10/TrNavi_act!K9*100)</f>
        <v>406.83698061109561</v>
      </c>
      <c r="L21" s="64">
        <f>IF(L10=0,0,L10/TrNavi_act!L9*100)</f>
        <v>382.21485868828495</v>
      </c>
      <c r="M21" s="64">
        <f>IF(M10=0,0,M10/TrNavi_act!M9*100)</f>
        <v>401.49420352535225</v>
      </c>
      <c r="N21" s="64">
        <f>IF(N10=0,0,N10/TrNavi_act!N9*100)</f>
        <v>320.6205288711962</v>
      </c>
      <c r="O21" s="64">
        <f>IF(O10=0,0,O10/TrNavi_act!O9*100)</f>
        <v>340.72882951911555</v>
      </c>
      <c r="P21" s="64">
        <f>IF(P10=0,0,P10/TrNavi_act!P9*100)</f>
        <v>352.18931065736501</v>
      </c>
      <c r="Q21" s="64">
        <f>IF(Q10=0,0,Q10/TrNavi_act!Q9*100)</f>
        <v>331.24856101564859</v>
      </c>
      <c r="R21" s="64">
        <f>IF(R10=0,0,R10/TrNavi_act!R9*100)</f>
        <v>310.33146428009155</v>
      </c>
      <c r="S21" s="64">
        <f>IF(S10=0,0,S10/TrNavi_act!S9*100)</f>
        <v>378.35042446200072</v>
      </c>
      <c r="T21" s="64">
        <f>IF(T10=0,0,T10/TrNavi_act!T9*100)</f>
        <v>335.44900483047309</v>
      </c>
      <c r="U21" s="64">
        <f>IF(U10=0,0,U10/TrNavi_act!U9*100)</f>
        <v>326.77535091438244</v>
      </c>
      <c r="V21" s="64">
        <f>IF(V10=0,0,V10/TrNavi_act!V9*100)</f>
        <v>323.94579128983827</v>
      </c>
      <c r="W21" s="64">
        <f>IF(W10=0,0,W10/TrNavi_act!W9*100)</f>
        <v>361.24273215309557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43.01223957364212</v>
      </c>
      <c r="C23" s="62">
        <f>IF(C3=0,0,C3/TrNavi_act!C3*1000)</f>
        <v>36.839326677935041</v>
      </c>
      <c r="D23" s="62">
        <f>IF(D3=0,0,D3/TrNavi_act!D3*1000)</f>
        <v>28.345325745787616</v>
      </c>
      <c r="E23" s="62">
        <f>IF(E3=0,0,E3/TrNavi_act!E3*1000)</f>
        <v>19.412941342242576</v>
      </c>
      <c r="F23" s="62">
        <f>IF(F3=0,0,F3/TrNavi_act!F3*1000)</f>
        <v>6.0056634809328848</v>
      </c>
      <c r="G23" s="62">
        <f>IF(G3=0,0,G3/TrNavi_act!G3*1000)</f>
        <v>4.9847577524960744</v>
      </c>
      <c r="H23" s="62">
        <f>IF(H3=0,0,H3/TrNavi_act!H3*1000)</f>
        <v>5.0287294982992314</v>
      </c>
      <c r="I23" s="62">
        <f>IF(I3=0,0,I3/TrNavi_act!I3*1000)</f>
        <v>10.416927881596321</v>
      </c>
      <c r="J23" s="62">
        <f>IF(J3=0,0,J3/TrNavi_act!J3*1000)</f>
        <v>9.0699764752601215</v>
      </c>
      <c r="K23" s="62">
        <f>IF(K3=0,0,K3/TrNavi_act!K3*1000)</f>
        <v>4.713983612146583</v>
      </c>
      <c r="L23" s="62">
        <f>IF(L3=0,0,L3/TrNavi_act!L3*1000)</f>
        <v>4.1606611529349173</v>
      </c>
      <c r="M23" s="62">
        <f>IF(M3=0,0,M3/TrNavi_act!M3*1000)</f>
        <v>4.5910188265332144</v>
      </c>
      <c r="N23" s="62">
        <f>IF(N3=0,0,N3/TrNavi_act!N3*1000)</f>
        <v>3.4000629088042107</v>
      </c>
      <c r="O23" s="62">
        <f>IF(O3=0,0,O3/TrNavi_act!O3*1000)</f>
        <v>3.3944852187674672</v>
      </c>
      <c r="P23" s="62">
        <f>IF(P3=0,0,P3/TrNavi_act!P3*1000)</f>
        <v>3.188870561122128</v>
      </c>
      <c r="Q23" s="62">
        <f>IF(Q3=0,0,Q3/TrNavi_act!Q3*1000)</f>
        <v>3.3097184973290465</v>
      </c>
      <c r="R23" s="62">
        <f>IF(R3=0,0,R3/TrNavi_act!R3*1000)</f>
        <v>3.0823160110660046</v>
      </c>
      <c r="S23" s="62">
        <f>IF(S3=0,0,S3/TrNavi_act!S3*1000)</f>
        <v>3.2270265491382282</v>
      </c>
      <c r="T23" s="62">
        <f>IF(T3=0,0,T3/TrNavi_act!T3*1000)</f>
        <v>3.2910171104361479</v>
      </c>
      <c r="U23" s="62">
        <f>IF(U3=0,0,U3/TrNavi_act!U3*1000)</f>
        <v>3.1230611204749925</v>
      </c>
      <c r="V23" s="62">
        <f>IF(V3=0,0,V3/TrNavi_act!V3*1000)</f>
        <v>3.0693851848125027</v>
      </c>
      <c r="W23" s="62">
        <f>IF(W3=0,0,W3/TrNavi_act!W3*1000)</f>
        <v>3.8165313352604073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0</v>
      </c>
      <c r="C24" s="63">
        <f>IF(C4=0,0,C4/TrNavi_act!C4*1000)</f>
        <v>0</v>
      </c>
      <c r="D24" s="63">
        <f>IF(D4=0,0,D4/TrNavi_act!D4*1000)</f>
        <v>0</v>
      </c>
      <c r="E24" s="63">
        <f>IF(E4=0,0,E4/TrNavi_act!E4*1000)</f>
        <v>0</v>
      </c>
      <c r="F24" s="63">
        <f>IF(F4=0,0,F4/TrNavi_act!F4*1000)</f>
        <v>0</v>
      </c>
      <c r="G24" s="63">
        <f>IF(G4=0,0,G4/TrNavi_act!G4*1000)</f>
        <v>0</v>
      </c>
      <c r="H24" s="63">
        <f>IF(H4=0,0,H4/TrNavi_act!H4*1000)</f>
        <v>0</v>
      </c>
      <c r="I24" s="63">
        <f>IF(I4=0,0,I4/TrNavi_act!I4*1000)</f>
        <v>0</v>
      </c>
      <c r="J24" s="63">
        <f>IF(J4=0,0,J4/TrNavi_act!J4*1000)</f>
        <v>0</v>
      </c>
      <c r="K24" s="63">
        <f>IF(K4=0,0,K4/TrNavi_act!K4*1000)</f>
        <v>0</v>
      </c>
      <c r="L24" s="63">
        <f>IF(L4=0,0,L4/TrNavi_act!L4*1000)</f>
        <v>0</v>
      </c>
      <c r="M24" s="63">
        <f>IF(M4=0,0,M4/TrNavi_act!M4*1000)</f>
        <v>0</v>
      </c>
      <c r="N24" s="63">
        <f>IF(N4=0,0,N4/TrNavi_act!N4*1000)</f>
        <v>0</v>
      </c>
      <c r="O24" s="63">
        <f>IF(O4=0,0,O4/TrNavi_act!O4*1000)</f>
        <v>0</v>
      </c>
      <c r="P24" s="63">
        <f>IF(P4=0,0,P4/TrNavi_act!P4*1000)</f>
        <v>0</v>
      </c>
      <c r="Q24" s="63">
        <f>IF(Q4=0,0,Q4/TrNavi_act!Q4*1000)</f>
        <v>0</v>
      </c>
      <c r="R24" s="63">
        <f>IF(R4=0,0,R4/TrNavi_act!R4*1000)</f>
        <v>0</v>
      </c>
      <c r="S24" s="63">
        <f>IF(S4=0,0,S4/TrNavi_act!S4*1000)</f>
        <v>0</v>
      </c>
      <c r="T24" s="63">
        <f>IF(T4=0,0,T4/TrNavi_act!T4*1000)</f>
        <v>0</v>
      </c>
      <c r="U24" s="63">
        <f>IF(U4=0,0,U4/TrNavi_act!U4*1000)</f>
        <v>0</v>
      </c>
      <c r="V24" s="63">
        <f>IF(V4=0,0,V4/TrNavi_act!V4*1000)</f>
        <v>0</v>
      </c>
      <c r="W24" s="63">
        <f>IF(W4=0,0,W4/TrNavi_act!W4*1000)</f>
        <v>0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43.01223957364212</v>
      </c>
      <c r="C25" s="64">
        <f>IF(C10=0,0,C10/TrNavi_act!C5*1000)</f>
        <v>36.839326677935041</v>
      </c>
      <c r="D25" s="64">
        <f>IF(D10=0,0,D10/TrNavi_act!D5*1000)</f>
        <v>28.345325745787616</v>
      </c>
      <c r="E25" s="64">
        <f>IF(E10=0,0,E10/TrNavi_act!E5*1000)</f>
        <v>19.412941342242576</v>
      </c>
      <c r="F25" s="64">
        <f>IF(F10=0,0,F10/TrNavi_act!F5*1000)</f>
        <v>6.0056634809328848</v>
      </c>
      <c r="G25" s="64">
        <f>IF(G10=0,0,G10/TrNavi_act!G5*1000)</f>
        <v>4.9847577524960744</v>
      </c>
      <c r="H25" s="64">
        <f>IF(H10=0,0,H10/TrNavi_act!H5*1000)</f>
        <v>5.0287294982992314</v>
      </c>
      <c r="I25" s="64">
        <f>IF(I10=0,0,I10/TrNavi_act!I5*1000)</f>
        <v>10.416927881596321</v>
      </c>
      <c r="J25" s="64">
        <f>IF(J10=0,0,J10/TrNavi_act!J5*1000)</f>
        <v>9.0699764752601215</v>
      </c>
      <c r="K25" s="64">
        <f>IF(K10=0,0,K10/TrNavi_act!K5*1000)</f>
        <v>4.713983612146583</v>
      </c>
      <c r="L25" s="64">
        <f>IF(L10=0,0,L10/TrNavi_act!L5*1000)</f>
        <v>4.1606611529349173</v>
      </c>
      <c r="M25" s="64">
        <f>IF(M10=0,0,M10/TrNavi_act!M5*1000)</f>
        <v>4.5910188265332144</v>
      </c>
      <c r="N25" s="64">
        <f>IF(N10=0,0,N10/TrNavi_act!N5*1000)</f>
        <v>3.4000629088042107</v>
      </c>
      <c r="O25" s="64">
        <f>IF(O10=0,0,O10/TrNavi_act!O5*1000)</f>
        <v>3.3944852187674672</v>
      </c>
      <c r="P25" s="64">
        <f>IF(P10=0,0,P10/TrNavi_act!P5*1000)</f>
        <v>3.188870561122128</v>
      </c>
      <c r="Q25" s="64">
        <f>IF(Q10=0,0,Q10/TrNavi_act!Q5*1000)</f>
        <v>3.3097184973290465</v>
      </c>
      <c r="R25" s="64">
        <f>IF(R10=0,0,R10/TrNavi_act!R5*1000)</f>
        <v>3.0823160110660046</v>
      </c>
      <c r="S25" s="64">
        <f>IF(S10=0,0,S10/TrNavi_act!S5*1000)</f>
        <v>3.2270265491382282</v>
      </c>
      <c r="T25" s="64">
        <f>IF(T10=0,0,T10/TrNavi_act!T5*1000)</f>
        <v>3.2910171104361479</v>
      </c>
      <c r="U25" s="64">
        <f>IF(U10=0,0,U10/TrNavi_act!U5*1000)</f>
        <v>3.1230611204749925</v>
      </c>
      <c r="V25" s="64">
        <f>IF(V10=0,0,V10/TrNavi_act!V5*1000)</f>
        <v>3.0693851848125027</v>
      </c>
      <c r="W25" s="64">
        <f>IF(W10=0,0,W10/TrNavi_act!W5*1000)</f>
        <v>3.8165313352604073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</v>
      </c>
      <c r="C28" s="77">
        <f t="shared" si="8"/>
        <v>0</v>
      </c>
      <c r="D28" s="77">
        <f t="shared" si="8"/>
        <v>0</v>
      </c>
      <c r="E28" s="77">
        <f t="shared" si="8"/>
        <v>0</v>
      </c>
      <c r="F28" s="77">
        <f t="shared" si="8"/>
        <v>0</v>
      </c>
      <c r="G28" s="77">
        <f t="shared" si="8"/>
        <v>0</v>
      </c>
      <c r="H28" s="77">
        <f t="shared" si="8"/>
        <v>0</v>
      </c>
      <c r="I28" s="77">
        <f t="shared" si="8"/>
        <v>0</v>
      </c>
      <c r="J28" s="77">
        <f t="shared" si="8"/>
        <v>0</v>
      </c>
      <c r="K28" s="77">
        <f t="shared" si="8"/>
        <v>0</v>
      </c>
      <c r="L28" s="77">
        <f t="shared" si="8"/>
        <v>0</v>
      </c>
      <c r="M28" s="77">
        <f t="shared" si="8"/>
        <v>0</v>
      </c>
      <c r="N28" s="77">
        <f t="shared" si="8"/>
        <v>0</v>
      </c>
      <c r="O28" s="77">
        <f t="shared" si="8"/>
        <v>0</v>
      </c>
      <c r="P28" s="77">
        <f t="shared" si="8"/>
        <v>0</v>
      </c>
      <c r="Q28" s="77">
        <f t="shared" si="8"/>
        <v>0</v>
      </c>
      <c r="R28" s="77">
        <f t="shared" si="8"/>
        <v>0</v>
      </c>
      <c r="S28" s="77">
        <f t="shared" si="8"/>
        <v>0</v>
      </c>
      <c r="T28" s="77">
        <f t="shared" si="8"/>
        <v>0</v>
      </c>
      <c r="U28" s="77">
        <f t="shared" si="8"/>
        <v>0</v>
      </c>
      <c r="V28" s="77">
        <f t="shared" ref="V28:W28" si="9">IF(V4=0,0,V4/V$3)</f>
        <v>0</v>
      </c>
      <c r="W28" s="77">
        <f t="shared" si="9"/>
        <v>0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1</v>
      </c>
      <c r="C29" s="78">
        <f t="shared" si="10"/>
        <v>1</v>
      </c>
      <c r="D29" s="78">
        <f t="shared" si="10"/>
        <v>1</v>
      </c>
      <c r="E29" s="78">
        <f t="shared" si="10"/>
        <v>1</v>
      </c>
      <c r="F29" s="78">
        <f t="shared" si="10"/>
        <v>1</v>
      </c>
      <c r="G29" s="78">
        <f t="shared" si="10"/>
        <v>1</v>
      </c>
      <c r="H29" s="78">
        <f t="shared" si="10"/>
        <v>1</v>
      </c>
      <c r="I29" s="78">
        <f t="shared" si="10"/>
        <v>1</v>
      </c>
      <c r="J29" s="78">
        <f t="shared" si="10"/>
        <v>1</v>
      </c>
      <c r="K29" s="78">
        <f t="shared" si="10"/>
        <v>1</v>
      </c>
      <c r="L29" s="78">
        <f t="shared" si="10"/>
        <v>1</v>
      </c>
      <c r="M29" s="78">
        <f t="shared" si="10"/>
        <v>1</v>
      </c>
      <c r="N29" s="78">
        <f t="shared" si="10"/>
        <v>1</v>
      </c>
      <c r="O29" s="78">
        <f t="shared" si="10"/>
        <v>1</v>
      </c>
      <c r="P29" s="78">
        <f t="shared" si="10"/>
        <v>1</v>
      </c>
      <c r="Q29" s="78">
        <f t="shared" si="10"/>
        <v>1</v>
      </c>
      <c r="R29" s="78">
        <f t="shared" si="10"/>
        <v>1</v>
      </c>
      <c r="S29" s="78">
        <f t="shared" si="10"/>
        <v>1</v>
      </c>
      <c r="T29" s="78">
        <f t="shared" si="10"/>
        <v>1</v>
      </c>
      <c r="U29" s="78">
        <f t="shared" si="10"/>
        <v>1</v>
      </c>
      <c r="V29" s="78">
        <f t="shared" ref="V29:W29" si="11">IF(V10=0,0,V10/V$3)</f>
        <v>1</v>
      </c>
      <c r="W29" s="78">
        <f t="shared" si="11"/>
        <v>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359.61870240000007</v>
      </c>
      <c r="C3" s="54">
        <f t="shared" ref="C3:V3" si="1">SUM(C4:C5)</f>
        <v>325.97525736000006</v>
      </c>
      <c r="D3" s="54">
        <f t="shared" si="1"/>
        <v>330.11100396000001</v>
      </c>
      <c r="E3" s="54">
        <f t="shared" si="1"/>
        <v>219.65877216000001</v>
      </c>
      <c r="F3" s="54">
        <f t="shared" si="1"/>
        <v>132.5191806</v>
      </c>
      <c r="G3" s="54">
        <f t="shared" si="1"/>
        <v>130.57895736</v>
      </c>
      <c r="H3" s="54">
        <f t="shared" si="1"/>
        <v>127.39250916000003</v>
      </c>
      <c r="I3" s="54">
        <f t="shared" si="1"/>
        <v>264.31383779999999</v>
      </c>
      <c r="J3" s="54">
        <f t="shared" si="1"/>
        <v>241.26533567999996</v>
      </c>
      <c r="K3" s="54">
        <f t="shared" si="1"/>
        <v>172.06019999999998</v>
      </c>
      <c r="L3" s="54">
        <f t="shared" si="1"/>
        <v>184.80545928000001</v>
      </c>
      <c r="M3" s="54">
        <f t="shared" si="1"/>
        <v>162.50138891999998</v>
      </c>
      <c r="N3" s="54">
        <f t="shared" si="1"/>
        <v>132.06620699999999</v>
      </c>
      <c r="O3" s="54">
        <f t="shared" si="1"/>
        <v>128.92190687999999</v>
      </c>
      <c r="P3" s="54">
        <f t="shared" si="1"/>
        <v>116.34417288000003</v>
      </c>
      <c r="Q3" s="54">
        <f t="shared" si="1"/>
        <v>135.21077388</v>
      </c>
      <c r="R3" s="54">
        <f t="shared" si="1"/>
        <v>125.77734000000001</v>
      </c>
      <c r="S3" s="54">
        <f t="shared" si="1"/>
        <v>125.31504492000001</v>
      </c>
      <c r="T3" s="54">
        <f t="shared" si="1"/>
        <v>125.18619984</v>
      </c>
      <c r="U3" s="54">
        <f t="shared" si="1"/>
        <v>135.2299806</v>
      </c>
      <c r="V3" s="54">
        <f t="shared" si="1"/>
        <v>129.86810459999998</v>
      </c>
      <c r="W3" s="54">
        <f t="shared" ref="W3" si="2">SUM(W4:W5)</f>
        <v>160.10695115999999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</v>
      </c>
      <c r="U4" s="56">
        <v>0</v>
      </c>
      <c r="V4" s="56">
        <v>0</v>
      </c>
      <c r="W4" s="56">
        <v>0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359.61870240000007</v>
      </c>
      <c r="C5" s="58">
        <v>325.97525736000006</v>
      </c>
      <c r="D5" s="58">
        <v>330.11100396000001</v>
      </c>
      <c r="E5" s="58">
        <v>219.65877216000001</v>
      </c>
      <c r="F5" s="58">
        <v>132.5191806</v>
      </c>
      <c r="G5" s="58">
        <v>130.57895736</v>
      </c>
      <c r="H5" s="58">
        <v>127.39250916000003</v>
      </c>
      <c r="I5" s="58">
        <v>264.31383779999999</v>
      </c>
      <c r="J5" s="58">
        <v>241.26533567999996</v>
      </c>
      <c r="K5" s="58">
        <v>172.06019999999998</v>
      </c>
      <c r="L5" s="58">
        <v>184.80545928000001</v>
      </c>
      <c r="M5" s="58">
        <v>162.50138891999998</v>
      </c>
      <c r="N5" s="58">
        <v>132.06620699999999</v>
      </c>
      <c r="O5" s="58">
        <v>128.92190687999999</v>
      </c>
      <c r="P5" s="58">
        <v>116.34417288000003</v>
      </c>
      <c r="Q5" s="58">
        <v>135.21077388</v>
      </c>
      <c r="R5" s="58">
        <v>125.77734000000001</v>
      </c>
      <c r="S5" s="58">
        <v>125.31504492000001</v>
      </c>
      <c r="T5" s="58">
        <v>125.18619984</v>
      </c>
      <c r="U5" s="58">
        <v>135.2299806</v>
      </c>
      <c r="V5" s="58">
        <v>129.86810459999998</v>
      </c>
      <c r="W5" s="58">
        <v>160.10695115999999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3.1742011372938319</v>
      </c>
      <c r="C9" s="79">
        <f>IF(C3=0,0,C3/TrNavi_ene!C3)</f>
        <v>3.2223478479360823</v>
      </c>
      <c r="D9" s="79">
        <f>IF(D3=0,0,D3/TrNavi_ene!D3)</f>
        <v>3.198584807898504</v>
      </c>
      <c r="E9" s="79">
        <f>IF(E3=0,0,E3/TrNavi_ene!E3)</f>
        <v>3.2135953056133446</v>
      </c>
      <c r="F9" s="79">
        <f>IF(F3=0,0,F3/TrNavi_ene!F3)</f>
        <v>3.1726386752343667</v>
      </c>
      <c r="G9" s="79">
        <f>IF(G3=0,0,G3/TrNavi_ene!G3)</f>
        <v>3.1055895175803685</v>
      </c>
      <c r="H9" s="79">
        <f>IF(H3=0,0,H3/TrNavi_ene!H3)</f>
        <v>3.105668909309828</v>
      </c>
      <c r="I9" s="79">
        <f>IF(I3=0,0,I3/TrNavi_ene!I3)</f>
        <v>3.0962162473512183</v>
      </c>
      <c r="J9" s="79">
        <f>IF(J3=0,0,J3/TrNavi_ene!J3)</f>
        <v>3.0620970143750452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3.1024188000000001</v>
      </c>
      <c r="N9" s="79">
        <f>IF(N3=0,0,N3/TrNavi_ene!N3)</f>
        <v>3.1024187999999997</v>
      </c>
      <c r="O9" s="79">
        <f>IF(O3=0,0,O3/TrNavi_ene!O3)</f>
        <v>3.1024187999999997</v>
      </c>
      <c r="P9" s="79">
        <f>IF(P3=0,0,P3/TrNavi_ene!P3)</f>
        <v>3.1024188000000001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0</v>
      </c>
      <c r="C10" s="80">
        <f>IF(C4=0,0,C4/TrNavi_ene!C4)</f>
        <v>0</v>
      </c>
      <c r="D10" s="80">
        <f>IF(D4=0,0,D4/TrNavi_ene!D4)</f>
        <v>0</v>
      </c>
      <c r="E10" s="80">
        <f>IF(E4=0,0,E4/TrNavi_ene!E4)</f>
        <v>0</v>
      </c>
      <c r="F10" s="80">
        <f>IF(F4=0,0,F4/TrNavi_ene!F4)</f>
        <v>0</v>
      </c>
      <c r="G10" s="80">
        <f>IF(G4=0,0,G4/TrNavi_ene!G4)</f>
        <v>0</v>
      </c>
      <c r="H10" s="80">
        <f>IF(H4=0,0,H4/TrNavi_ene!H4)</f>
        <v>0</v>
      </c>
      <c r="I10" s="80">
        <f>IF(I4=0,0,I4/TrNavi_ene!I4)</f>
        <v>0</v>
      </c>
      <c r="J10" s="80">
        <f>IF(J4=0,0,J4/TrNavi_ene!J4)</f>
        <v>0</v>
      </c>
      <c r="K10" s="80">
        <f>IF(K4=0,0,K4/TrNavi_ene!K4)</f>
        <v>0</v>
      </c>
      <c r="L10" s="80">
        <f>IF(L4=0,0,L4/TrNavi_ene!L4)</f>
        <v>0</v>
      </c>
      <c r="M10" s="80">
        <f>IF(M4=0,0,M4/TrNavi_ene!M4)</f>
        <v>0</v>
      </c>
      <c r="N10" s="80">
        <f>IF(N4=0,0,N4/TrNavi_ene!N4)</f>
        <v>0</v>
      </c>
      <c r="O10" s="80">
        <f>IF(O4=0,0,O4/TrNavi_ene!O4)</f>
        <v>0</v>
      </c>
      <c r="P10" s="80">
        <f>IF(P4=0,0,P4/TrNavi_ene!P4)</f>
        <v>0</v>
      </c>
      <c r="Q10" s="80">
        <f>IF(Q4=0,0,Q4/TrNavi_ene!Q4)</f>
        <v>0</v>
      </c>
      <c r="R10" s="80">
        <f>IF(R4=0,0,R4/TrNavi_ene!R4)</f>
        <v>0</v>
      </c>
      <c r="S10" s="80">
        <f>IF(S4=0,0,S4/TrNavi_ene!S4)</f>
        <v>0</v>
      </c>
      <c r="T10" s="80">
        <f>IF(T4=0,0,T4/TrNavi_ene!T4)</f>
        <v>0</v>
      </c>
      <c r="U10" s="80">
        <f>IF(U4=0,0,U4/TrNavi_ene!U4)</f>
        <v>0</v>
      </c>
      <c r="V10" s="80">
        <f>IF(V4=0,0,V4/TrNavi_ene!V4)</f>
        <v>0</v>
      </c>
      <c r="W10" s="80">
        <f>IF(W4=0,0,W4/TrNavi_ene!W4)</f>
        <v>0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3.1742011372938319</v>
      </c>
      <c r="C11" s="81">
        <f>IF(C5=0,0,C5/TrNavi_ene!C10)</f>
        <v>3.2223478479360823</v>
      </c>
      <c r="D11" s="81">
        <f>IF(D5=0,0,D5/TrNavi_ene!D10)</f>
        <v>3.198584807898504</v>
      </c>
      <c r="E11" s="81">
        <f>IF(E5=0,0,E5/TrNavi_ene!E10)</f>
        <v>3.2135953056133446</v>
      </c>
      <c r="F11" s="81">
        <f>IF(F5=0,0,F5/TrNavi_ene!F10)</f>
        <v>3.1726386752343667</v>
      </c>
      <c r="G11" s="81">
        <f>IF(G5=0,0,G5/TrNavi_ene!G10)</f>
        <v>3.1055895175803685</v>
      </c>
      <c r="H11" s="81">
        <f>IF(H5=0,0,H5/TrNavi_ene!H10)</f>
        <v>3.105668909309828</v>
      </c>
      <c r="I11" s="81">
        <f>IF(I5=0,0,I5/TrNavi_ene!I10)</f>
        <v>3.0962162473512183</v>
      </c>
      <c r="J11" s="81">
        <f>IF(J5=0,0,J5/TrNavi_ene!J10)</f>
        <v>3.0620970143750452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3.1024187999999997</v>
      </c>
      <c r="O11" s="81">
        <f>IF(O5=0,0,O5/TrNavi_ene!O10)</f>
        <v>3.1024187999999997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3.1024188000000001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39008.428506345605</v>
      </c>
      <c r="C13" s="54">
        <f>IF(C3=0,0,C3/TrNavi_act!C7*1000)</f>
        <v>36647.021625632384</v>
      </c>
      <c r="D13" s="54">
        <f>IF(D3=0,0,D3/TrNavi_act!D7*1000)</f>
        <v>31910.198546157564</v>
      </c>
      <c r="E13" s="54">
        <f>IF(E3=0,0,E3/TrNavi_act!E7*1000)</f>
        <v>26532.041570237954</v>
      </c>
      <c r="F13" s="54">
        <f>IF(F3=0,0,F3/TrNavi_act!F7*1000)</f>
        <v>14568.951253298152</v>
      </c>
      <c r="G13" s="54">
        <f>IF(G3=0,0,G3/TrNavi_act!G7*1000)</f>
        <v>12992.931080597014</v>
      </c>
      <c r="H13" s="54">
        <f>IF(H3=0,0,H3/TrNavi_act!H7*1000)</f>
        <v>13049.83703749232</v>
      </c>
      <c r="I13" s="54">
        <f>IF(I3=0,0,I3/TrNavi_act!I7*1000)</f>
        <v>18725.741253985121</v>
      </c>
      <c r="J13" s="54">
        <f>IF(J3=0,0,J3/TrNavi_act!J7*1000)</f>
        <v>17280.141504082509</v>
      </c>
      <c r="K13" s="54">
        <f>IF(K3=0,0,K3/TrNavi_act!K7*1000)</f>
        <v>12621.786971830985</v>
      </c>
      <c r="L13" s="54">
        <f>IF(L3=0,0,L3/TrNavi_act!L7*1000)</f>
        <v>11857.905632338787</v>
      </c>
      <c r="M13" s="54">
        <f>IF(M3=0,0,M3/TrNavi_act!M7*1000)</f>
        <v>12456.03165108079</v>
      </c>
      <c r="N13" s="54">
        <f>IF(N3=0,0,N3/TrNavi_act!N7*1000)</f>
        <v>9946.9915643594177</v>
      </c>
      <c r="O13" s="54">
        <f>IF(O3=0,0,O3/TrNavi_act!O7*1000)</f>
        <v>10570.835264020991</v>
      </c>
      <c r="P13" s="54">
        <f>IF(P3=0,0,P3/TrNavi_act!P7*1000)</f>
        <v>10926.387385424496</v>
      </c>
      <c r="Q13" s="54">
        <f>IF(Q3=0,0,Q3/TrNavi_act!Q7*1000)</f>
        <v>10276.717631678954</v>
      </c>
      <c r="R13" s="54">
        <f>IF(R3=0,0,R3/TrNavi_act!R7*1000)</f>
        <v>9627.781690140846</v>
      </c>
      <c r="S13" s="54">
        <f>IF(S3=0,0,S3/TrNavi_act!S7*1000)</f>
        <v>11738.014698388912</v>
      </c>
      <c r="T13" s="54">
        <f>IF(T3=0,0,T3/TrNavi_act!T7*1000)</f>
        <v>10407.032990273505</v>
      </c>
      <c r="U13" s="54">
        <f>IF(U3=0,0,U3/TrNavi_act!U7*1000)</f>
        <v>10137.939920533772</v>
      </c>
      <c r="V13" s="54">
        <f>IF(V3=0,0,V3/TrNavi_act!V7*1000)</f>
        <v>10050.155130784706</v>
      </c>
      <c r="W13" s="54">
        <f>IF(W3=0,0,W3/TrNavi_act!W7*1000)</f>
        <v>11207.262435951281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0</v>
      </c>
      <c r="C14" s="56">
        <f>IF(C4=0,0,C4/TrNavi_act!C8*1000)</f>
        <v>0</v>
      </c>
      <c r="D14" s="56">
        <f>IF(D4=0,0,D4/TrNavi_act!D8*1000)</f>
        <v>0</v>
      </c>
      <c r="E14" s="56">
        <f>IF(E4=0,0,E4/TrNavi_act!E8*1000)</f>
        <v>0</v>
      </c>
      <c r="F14" s="56">
        <f>IF(F4=0,0,F4/TrNavi_act!F8*1000)</f>
        <v>0</v>
      </c>
      <c r="G14" s="56">
        <f>IF(G4=0,0,G4/TrNavi_act!G8*1000)</f>
        <v>0</v>
      </c>
      <c r="H14" s="56">
        <f>IF(H4=0,0,H4/TrNavi_act!H8*1000)</f>
        <v>0</v>
      </c>
      <c r="I14" s="56">
        <f>IF(I4=0,0,I4/TrNavi_act!I8*1000)</f>
        <v>0</v>
      </c>
      <c r="J14" s="56">
        <f>IF(J4=0,0,J4/TrNavi_act!J8*1000)</f>
        <v>0</v>
      </c>
      <c r="K14" s="56">
        <f>IF(K4=0,0,K4/TrNavi_act!K8*1000)</f>
        <v>0</v>
      </c>
      <c r="L14" s="56">
        <f>IF(L4=0,0,L4/TrNavi_act!L8*1000)</f>
        <v>0</v>
      </c>
      <c r="M14" s="56">
        <f>IF(M4=0,0,M4/TrNavi_act!M8*1000)</f>
        <v>0</v>
      </c>
      <c r="N14" s="56">
        <f>IF(N4=0,0,N4/TrNavi_act!N8*1000)</f>
        <v>0</v>
      </c>
      <c r="O14" s="56">
        <f>IF(O4=0,0,O4/TrNavi_act!O8*1000)</f>
        <v>0</v>
      </c>
      <c r="P14" s="56">
        <f>IF(P4=0,0,P4/TrNavi_act!P8*1000)</f>
        <v>0</v>
      </c>
      <c r="Q14" s="56">
        <f>IF(Q4=0,0,Q4/TrNavi_act!Q8*1000)</f>
        <v>0</v>
      </c>
      <c r="R14" s="56">
        <f>IF(R4=0,0,R4/TrNavi_act!R8*1000)</f>
        <v>0</v>
      </c>
      <c r="S14" s="56">
        <f>IF(S4=0,0,S4/TrNavi_act!S8*1000)</f>
        <v>0</v>
      </c>
      <c r="T14" s="56">
        <f>IF(T4=0,0,T4/TrNavi_act!T8*1000)</f>
        <v>0</v>
      </c>
      <c r="U14" s="56">
        <f>IF(U4=0,0,U4/TrNavi_act!U8*1000)</f>
        <v>0</v>
      </c>
      <c r="V14" s="56">
        <f>IF(V4=0,0,V4/TrNavi_act!V8*1000)</f>
        <v>0</v>
      </c>
      <c r="W14" s="56">
        <f>IF(W4=0,0,W4/TrNavi_act!W8*1000)</f>
        <v>0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39008.428506345605</v>
      </c>
      <c r="C15" s="58">
        <f>IF(C5=0,0,C5/TrNavi_act!C9*1000)</f>
        <v>36647.021625632384</v>
      </c>
      <c r="D15" s="58">
        <f>IF(D5=0,0,D5/TrNavi_act!D9*1000)</f>
        <v>31910.198546157564</v>
      </c>
      <c r="E15" s="58">
        <f>IF(E5=0,0,E5/TrNavi_act!E9*1000)</f>
        <v>26532.041570237954</v>
      </c>
      <c r="F15" s="58">
        <f>IF(F5=0,0,F5/TrNavi_act!F9*1000)</f>
        <v>14568.951253298152</v>
      </c>
      <c r="G15" s="58">
        <f>IF(G5=0,0,G5/TrNavi_act!G9*1000)</f>
        <v>12992.931080597014</v>
      </c>
      <c r="H15" s="58">
        <f>IF(H5=0,0,H5/TrNavi_act!H9*1000)</f>
        <v>13049.83703749232</v>
      </c>
      <c r="I15" s="58">
        <f>IF(I5=0,0,I5/TrNavi_act!I9*1000)</f>
        <v>18725.741253985121</v>
      </c>
      <c r="J15" s="58">
        <f>IF(J5=0,0,J5/TrNavi_act!J9*1000)</f>
        <v>17280.141504082509</v>
      </c>
      <c r="K15" s="58">
        <f>IF(K5=0,0,K5/TrNavi_act!K9*1000)</f>
        <v>12621.786971830985</v>
      </c>
      <c r="L15" s="58">
        <f>IF(L5=0,0,L5/TrNavi_act!L9*1000)</f>
        <v>11857.905632338787</v>
      </c>
      <c r="M15" s="58">
        <f>IF(M5=0,0,M5/TrNavi_act!M9*1000)</f>
        <v>12456.03165108079</v>
      </c>
      <c r="N15" s="58">
        <f>IF(N5=0,0,N5/TrNavi_act!N9*1000)</f>
        <v>9946.9915643594177</v>
      </c>
      <c r="O15" s="58">
        <f>IF(O5=0,0,O5/TrNavi_act!O9*1000)</f>
        <v>10570.835264020991</v>
      </c>
      <c r="P15" s="58">
        <f>IF(P5=0,0,P5/TrNavi_act!P9*1000)</f>
        <v>10926.387385424496</v>
      </c>
      <c r="Q15" s="58">
        <f>IF(Q5=0,0,Q5/TrNavi_act!Q9*1000)</f>
        <v>10276.717631678954</v>
      </c>
      <c r="R15" s="58">
        <f>IF(R5=0,0,R5/TrNavi_act!R9*1000)</f>
        <v>9627.781690140846</v>
      </c>
      <c r="S15" s="58">
        <f>IF(S5=0,0,S5/TrNavi_act!S9*1000)</f>
        <v>11738.014698388912</v>
      </c>
      <c r="T15" s="58">
        <f>IF(T5=0,0,T5/TrNavi_act!T9*1000)</f>
        <v>10407.032990273505</v>
      </c>
      <c r="U15" s="58">
        <f>IF(U5=0,0,U5/TrNavi_act!U9*1000)</f>
        <v>10137.939920533772</v>
      </c>
      <c r="V15" s="58">
        <f>IF(V5=0,0,V5/TrNavi_act!V9*1000)</f>
        <v>10050.155130784706</v>
      </c>
      <c r="W15" s="58">
        <f>IF(W5=0,0,W5/TrNavi_act!W9*1000)</f>
        <v>11207.262435951281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136.52949977220959</v>
      </c>
      <c r="C17" s="62">
        <f>IF(C3=0,0,C3/TrNavi_act!C3*1000)</f>
        <v>118.70912504005828</v>
      </c>
      <c r="D17" s="62">
        <f>IF(D3=0,0,D3/TrNavi_act!D3*1000)</f>
        <v>90.664928305410612</v>
      </c>
      <c r="E17" s="62">
        <f>IF(E3=0,0,E3/TrNavi_act!E3*1000)</f>
        <v>62.385337165577965</v>
      </c>
      <c r="F17" s="62">
        <f>IF(F3=0,0,F3/TrNavi_act!F3*1000)</f>
        <v>19.053800230050321</v>
      </c>
      <c r="G17" s="62">
        <f>IF(G3=0,0,G3/TrNavi_act!G3*1000)</f>
        <v>15.480611423829282</v>
      </c>
      <c r="H17" s="62">
        <f>IF(H3=0,0,H3/TrNavi_act!H3*1000)</f>
        <v>15.617568856197137</v>
      </c>
      <c r="I17" s="62">
        <f>IF(I3=0,0,I3/TrNavi_act!I3*1000)</f>
        <v>32.253061354484444</v>
      </c>
      <c r="J17" s="62">
        <f>IF(J3=0,0,J3/TrNavi_act!J3*1000)</f>
        <v>27.773147885345917</v>
      </c>
      <c r="K17" s="62">
        <f>IF(K3=0,0,K3/TrNavi_act!K3*1000)</f>
        <v>14.624751381215468</v>
      </c>
      <c r="L17" s="62">
        <f>IF(L3=0,0,L3/TrNavi_act!L3*1000)</f>
        <v>12.908113381294966</v>
      </c>
      <c r="M17" s="62">
        <f>IF(M3=0,0,M3/TrNavi_act!M3*1000)</f>
        <v>14.243263118590585</v>
      </c>
      <c r="N17" s="62">
        <f>IF(N3=0,0,N3/TrNavi_act!N3*1000)</f>
        <v>10.548419089456869</v>
      </c>
      <c r="O17" s="62">
        <f>IF(O3=0,0,O3/TrNavi_act!O3*1000)</f>
        <v>10.531114759026304</v>
      </c>
      <c r="P17" s="62">
        <f>IF(P3=0,0,P3/TrNavi_act!P3*1000)</f>
        <v>9.8932119795918396</v>
      </c>
      <c r="Q17" s="62">
        <f>IF(Q3=0,0,Q3/TrNavi_act!Q3*1000)</f>
        <v>10.268132888821386</v>
      </c>
      <c r="R17" s="62">
        <f>IF(R3=0,0,R3/TrNavi_act!R3*1000)</f>
        <v>9.5626351402721834</v>
      </c>
      <c r="S17" s="62">
        <f>IF(S3=0,0,S3/TrNavi_act!S3*1000)</f>
        <v>10.011587834145562</v>
      </c>
      <c r="T17" s="62">
        <f>IF(T3=0,0,T3/TrNavi_act!T3*1000)</f>
        <v>10.210113354538782</v>
      </c>
      <c r="U17" s="62">
        <f>IF(U3=0,0,U3/TrNavi_act!U3*1000)</f>
        <v>9.6890435337106826</v>
      </c>
      <c r="V17" s="62">
        <f>IF(V3=0,0,V3/TrNavi_act!V3*1000)</f>
        <v>9.5225183018037818</v>
      </c>
      <c r="W17" s="62">
        <f>IF(W3=0,0,W3/TrNavi_act!W3*1000)</f>
        <v>11.840478565300989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0</v>
      </c>
      <c r="C18" s="63">
        <f>IF(C4=0,0,C4/TrNavi_act!C4*1000)</f>
        <v>0</v>
      </c>
      <c r="D18" s="63">
        <f>IF(D4=0,0,D4/TrNavi_act!D4*1000)</f>
        <v>0</v>
      </c>
      <c r="E18" s="63">
        <f>IF(E4=0,0,E4/TrNavi_act!E4*1000)</f>
        <v>0</v>
      </c>
      <c r="F18" s="63">
        <f>IF(F4=0,0,F4/TrNavi_act!F4*1000)</f>
        <v>0</v>
      </c>
      <c r="G18" s="63">
        <f>IF(G4=0,0,G4/TrNavi_act!G4*1000)</f>
        <v>0</v>
      </c>
      <c r="H18" s="63">
        <f>IF(H4=0,0,H4/TrNavi_act!H4*1000)</f>
        <v>0</v>
      </c>
      <c r="I18" s="63">
        <f>IF(I4=0,0,I4/TrNavi_act!I4*1000)</f>
        <v>0</v>
      </c>
      <c r="J18" s="63">
        <f>IF(J4=0,0,J4/TrNavi_act!J4*1000)</f>
        <v>0</v>
      </c>
      <c r="K18" s="63">
        <f>IF(K4=0,0,K4/TrNavi_act!K4*1000)</f>
        <v>0</v>
      </c>
      <c r="L18" s="63">
        <f>IF(L4=0,0,L4/TrNavi_act!L4*1000)</f>
        <v>0</v>
      </c>
      <c r="M18" s="63">
        <f>IF(M4=0,0,M4/TrNavi_act!M4*1000)</f>
        <v>0</v>
      </c>
      <c r="N18" s="63">
        <f>IF(N4=0,0,N4/TrNavi_act!N4*1000)</f>
        <v>0</v>
      </c>
      <c r="O18" s="63">
        <f>IF(O4=0,0,O4/TrNavi_act!O4*1000)</f>
        <v>0</v>
      </c>
      <c r="P18" s="63">
        <f>IF(P4=0,0,P4/TrNavi_act!P4*1000)</f>
        <v>0</v>
      </c>
      <c r="Q18" s="63">
        <f>IF(Q4=0,0,Q4/TrNavi_act!Q4*1000)</f>
        <v>0</v>
      </c>
      <c r="R18" s="63">
        <f>IF(R4=0,0,R4/TrNavi_act!R4*1000)</f>
        <v>0</v>
      </c>
      <c r="S18" s="63">
        <f>IF(S4=0,0,S4/TrNavi_act!S4*1000)</f>
        <v>0</v>
      </c>
      <c r="T18" s="63">
        <f>IF(T4=0,0,T4/TrNavi_act!T4*1000)</f>
        <v>0</v>
      </c>
      <c r="U18" s="63">
        <f>IF(U4=0,0,U4/TrNavi_act!U4*1000)</f>
        <v>0</v>
      </c>
      <c r="V18" s="63">
        <f>IF(V4=0,0,V4/TrNavi_act!V4*1000)</f>
        <v>0</v>
      </c>
      <c r="W18" s="63">
        <f>IF(W4=0,0,W4/TrNavi_act!W4*1000)</f>
        <v>0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136.52949977220959</v>
      </c>
      <c r="C19" s="64">
        <f>IF(C5=0,0,C5/TrNavi_act!C5*1000)</f>
        <v>118.70912504005828</v>
      </c>
      <c r="D19" s="64">
        <f>IF(D5=0,0,D5/TrNavi_act!D5*1000)</f>
        <v>90.664928305410612</v>
      </c>
      <c r="E19" s="64">
        <f>IF(E5=0,0,E5/TrNavi_act!E5*1000)</f>
        <v>62.385337165577965</v>
      </c>
      <c r="F19" s="64">
        <f>IF(F5=0,0,F5/TrNavi_act!F5*1000)</f>
        <v>19.053800230050321</v>
      </c>
      <c r="G19" s="64">
        <f>IF(G5=0,0,G5/TrNavi_act!G5*1000)</f>
        <v>15.480611423829282</v>
      </c>
      <c r="H19" s="64">
        <f>IF(H5=0,0,H5/TrNavi_act!H5*1000)</f>
        <v>15.617568856197137</v>
      </c>
      <c r="I19" s="64">
        <f>IF(I5=0,0,I5/TrNavi_act!I5*1000)</f>
        <v>32.253061354484444</v>
      </c>
      <c r="J19" s="64">
        <f>IF(J5=0,0,J5/TrNavi_act!J5*1000)</f>
        <v>27.773147885345917</v>
      </c>
      <c r="K19" s="64">
        <f>IF(K5=0,0,K5/TrNavi_act!K5*1000)</f>
        <v>14.624751381215468</v>
      </c>
      <c r="L19" s="64">
        <f>IF(L5=0,0,L5/TrNavi_act!L5*1000)</f>
        <v>12.908113381294966</v>
      </c>
      <c r="M19" s="64">
        <f>IF(M5=0,0,M5/TrNavi_act!M5*1000)</f>
        <v>14.243263118590585</v>
      </c>
      <c r="N19" s="64">
        <f>IF(N5=0,0,N5/TrNavi_act!N5*1000)</f>
        <v>10.548419089456869</v>
      </c>
      <c r="O19" s="64">
        <f>IF(O5=0,0,O5/TrNavi_act!O5*1000)</f>
        <v>10.531114759026304</v>
      </c>
      <c r="P19" s="64">
        <f>IF(P5=0,0,P5/TrNavi_act!P5*1000)</f>
        <v>9.8932119795918396</v>
      </c>
      <c r="Q19" s="64">
        <f>IF(Q5=0,0,Q5/TrNavi_act!Q5*1000)</f>
        <v>10.268132888821386</v>
      </c>
      <c r="R19" s="64">
        <f>IF(R5=0,0,R5/TrNavi_act!R5*1000)</f>
        <v>9.5626351402721834</v>
      </c>
      <c r="S19" s="64">
        <f>IF(S5=0,0,S5/TrNavi_act!S5*1000)</f>
        <v>10.011587834145562</v>
      </c>
      <c r="T19" s="64">
        <f>IF(T5=0,0,T5/TrNavi_act!T5*1000)</f>
        <v>10.210113354538782</v>
      </c>
      <c r="U19" s="64">
        <f>IF(U5=0,0,U5/TrNavi_act!U5*1000)</f>
        <v>9.6890435337106826</v>
      </c>
      <c r="V19" s="64">
        <f>IF(V5=0,0,V5/TrNavi_act!V5*1000)</f>
        <v>9.5225183018037818</v>
      </c>
      <c r="W19" s="64">
        <f>IF(W5=0,0,W5/TrNavi_act!W5*1000)</f>
        <v>11.840478565300989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</v>
      </c>
      <c r="C22" s="77">
        <f t="shared" si="5"/>
        <v>0</v>
      </c>
      <c r="D22" s="77">
        <f t="shared" si="5"/>
        <v>0</v>
      </c>
      <c r="E22" s="77">
        <f t="shared" si="5"/>
        <v>0</v>
      </c>
      <c r="F22" s="77">
        <f t="shared" si="5"/>
        <v>0</v>
      </c>
      <c r="G22" s="77">
        <f t="shared" si="5"/>
        <v>0</v>
      </c>
      <c r="H22" s="77">
        <f t="shared" si="5"/>
        <v>0</v>
      </c>
      <c r="I22" s="77">
        <f t="shared" si="5"/>
        <v>0</v>
      </c>
      <c r="J22" s="77">
        <f t="shared" si="5"/>
        <v>0</v>
      </c>
      <c r="K22" s="77">
        <f t="shared" si="5"/>
        <v>0</v>
      </c>
      <c r="L22" s="77">
        <f t="shared" si="5"/>
        <v>0</v>
      </c>
      <c r="M22" s="77">
        <f t="shared" si="5"/>
        <v>0</v>
      </c>
      <c r="N22" s="77">
        <f t="shared" si="5"/>
        <v>0</v>
      </c>
      <c r="O22" s="77">
        <f t="shared" si="5"/>
        <v>0</v>
      </c>
      <c r="P22" s="77">
        <f t="shared" si="5"/>
        <v>0</v>
      </c>
      <c r="Q22" s="77">
        <f t="shared" si="5"/>
        <v>0</v>
      </c>
      <c r="R22" s="77">
        <f t="shared" si="5"/>
        <v>0</v>
      </c>
      <c r="S22" s="77">
        <f t="shared" si="5"/>
        <v>0</v>
      </c>
      <c r="T22" s="77">
        <f t="shared" si="5"/>
        <v>0</v>
      </c>
      <c r="U22" s="77">
        <f t="shared" si="5"/>
        <v>0</v>
      </c>
      <c r="V22" s="77">
        <f t="shared" ref="V22:W22" si="6">IF(V4=0,0,V4/V$3)</f>
        <v>0</v>
      </c>
      <c r="W22" s="77">
        <f t="shared" si="6"/>
        <v>0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1</v>
      </c>
      <c r="C23" s="78">
        <f t="shared" si="7"/>
        <v>1</v>
      </c>
      <c r="D23" s="78">
        <f t="shared" si="7"/>
        <v>1</v>
      </c>
      <c r="E23" s="78">
        <f t="shared" si="7"/>
        <v>1</v>
      </c>
      <c r="F23" s="78">
        <f t="shared" si="7"/>
        <v>1</v>
      </c>
      <c r="G23" s="78">
        <f t="shared" si="7"/>
        <v>1</v>
      </c>
      <c r="H23" s="78">
        <f t="shared" si="7"/>
        <v>1</v>
      </c>
      <c r="I23" s="78">
        <f t="shared" si="7"/>
        <v>1</v>
      </c>
      <c r="J23" s="78">
        <f t="shared" si="7"/>
        <v>1</v>
      </c>
      <c r="K23" s="78">
        <f t="shared" si="7"/>
        <v>1</v>
      </c>
      <c r="L23" s="78">
        <f t="shared" si="7"/>
        <v>1</v>
      </c>
      <c r="M23" s="78">
        <f t="shared" si="7"/>
        <v>1</v>
      </c>
      <c r="N23" s="78">
        <f t="shared" si="7"/>
        <v>1</v>
      </c>
      <c r="O23" s="78">
        <f t="shared" si="7"/>
        <v>1</v>
      </c>
      <c r="P23" s="78">
        <f t="shared" si="7"/>
        <v>1</v>
      </c>
      <c r="Q23" s="78">
        <f t="shared" si="7"/>
        <v>1</v>
      </c>
      <c r="R23" s="78">
        <f t="shared" si="7"/>
        <v>1</v>
      </c>
      <c r="S23" s="78">
        <f t="shared" si="7"/>
        <v>1</v>
      </c>
      <c r="T23" s="78">
        <f t="shared" si="7"/>
        <v>1</v>
      </c>
      <c r="U23" s="78">
        <f t="shared" si="7"/>
        <v>1</v>
      </c>
      <c r="V23" s="78">
        <f t="shared" ref="V23:W23" si="8">IF(V5=0,0,V5/V$3)</f>
        <v>1</v>
      </c>
      <c r="W23" s="78">
        <f t="shared" si="8"/>
        <v>1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0</v>
      </c>
      <c r="C3" s="54">
        <f t="shared" si="0"/>
        <v>0</v>
      </c>
      <c r="D3" s="54">
        <f t="shared" si="0"/>
        <v>0</v>
      </c>
      <c r="E3" s="54">
        <f t="shared" si="0"/>
        <v>0</v>
      </c>
      <c r="F3" s="54">
        <f t="shared" si="0"/>
        <v>0</v>
      </c>
      <c r="G3" s="54">
        <f t="shared" si="0"/>
        <v>0</v>
      </c>
      <c r="H3" s="54">
        <f t="shared" si="0"/>
        <v>0</v>
      </c>
      <c r="I3" s="54">
        <f t="shared" si="0"/>
        <v>85261.918619999997</v>
      </c>
      <c r="J3" s="54">
        <f t="shared" si="0"/>
        <v>104396.89372399999</v>
      </c>
      <c r="K3" s="54">
        <f t="shared" si="0"/>
        <v>63048.293743999995</v>
      </c>
      <c r="L3" s="54">
        <f t="shared" si="0"/>
        <v>80360.56111000001</v>
      </c>
      <c r="M3" s="54">
        <f t="shared" si="0"/>
        <v>80424.612057999999</v>
      </c>
      <c r="N3" s="54">
        <f t="shared" si="0"/>
        <v>91672.594737000007</v>
      </c>
      <c r="O3" s="54">
        <f t="shared" si="0"/>
        <v>108033.278964</v>
      </c>
      <c r="P3" s="54">
        <f t="shared" si="0"/>
        <v>90164.729099999997</v>
      </c>
      <c r="Q3" s="54">
        <f t="shared" si="0"/>
        <v>98789.199107000008</v>
      </c>
      <c r="R3" s="54">
        <f t="shared" ref="R3:W3" si="1">SUM(R4:R5)</f>
        <v>96005.19610999999</v>
      </c>
      <c r="S3" s="54">
        <f t="shared" si="1"/>
        <v>91348.703477999996</v>
      </c>
      <c r="T3" s="54">
        <f t="shared" si="1"/>
        <v>102060.770823</v>
      </c>
      <c r="U3" s="54">
        <f t="shared" si="1"/>
        <v>111028.48065999999</v>
      </c>
      <c r="V3" s="54">
        <f t="shared" si="1"/>
        <v>93216.732281000004</v>
      </c>
      <c r="W3" s="54">
        <f t="shared" si="1"/>
        <v>109153.660219</v>
      </c>
      <c r="DA3" s="172" t="s">
        <v>387</v>
      </c>
    </row>
    <row r="4" spans="1:105" ht="11.45" customHeight="1" x14ac:dyDescent="0.25">
      <c r="A4" s="55" t="s">
        <v>170</v>
      </c>
      <c r="B4" s="56">
        <v>0</v>
      </c>
      <c r="C4" s="56">
        <v>0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9689.2467199999992</v>
      </c>
      <c r="J4" s="56">
        <v>11405.927935</v>
      </c>
      <c r="K4" s="56">
        <v>18991.729664999999</v>
      </c>
      <c r="L4" s="56">
        <v>17337.809384</v>
      </c>
      <c r="M4" s="56">
        <v>15223.862709000001</v>
      </c>
      <c r="N4" s="56">
        <v>13400.720387000001</v>
      </c>
      <c r="O4" s="56">
        <v>14547.731978</v>
      </c>
      <c r="P4" s="56">
        <v>17673.512666000002</v>
      </c>
      <c r="Q4" s="56">
        <v>19662.816300999999</v>
      </c>
      <c r="R4" s="56">
        <v>19811.197026000002</v>
      </c>
      <c r="S4" s="56">
        <v>22020.835884</v>
      </c>
      <c r="T4" s="56">
        <v>26446.241291999999</v>
      </c>
      <c r="U4" s="56">
        <v>21595.406935999999</v>
      </c>
      <c r="V4" s="56">
        <v>20278.448015000002</v>
      </c>
      <c r="W4" s="56">
        <v>21179.515822000001</v>
      </c>
      <c r="DA4" s="181" t="s">
        <v>388</v>
      </c>
    </row>
    <row r="5" spans="1:105" ht="11.45" customHeight="1" x14ac:dyDescent="0.25">
      <c r="A5" s="57" t="s">
        <v>171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75572.671900000001</v>
      </c>
      <c r="J5" s="58">
        <v>92990.965788999994</v>
      </c>
      <c r="K5" s="58">
        <v>44056.564078999996</v>
      </c>
      <c r="L5" s="58">
        <v>63022.751726000002</v>
      </c>
      <c r="M5" s="58">
        <v>65200.749348999998</v>
      </c>
      <c r="N5" s="58">
        <v>78271.874349999998</v>
      </c>
      <c r="O5" s="58">
        <v>93485.546986000001</v>
      </c>
      <c r="P5" s="58">
        <v>72491.216434000002</v>
      </c>
      <c r="Q5" s="58">
        <v>79126.382806000009</v>
      </c>
      <c r="R5" s="58">
        <v>76193.999083999995</v>
      </c>
      <c r="S5" s="58">
        <v>69327.867593999996</v>
      </c>
      <c r="T5" s="58">
        <v>75614.529531000007</v>
      </c>
      <c r="U5" s="58">
        <v>89433.073723999987</v>
      </c>
      <c r="V5" s="58">
        <v>72938.284266000002</v>
      </c>
      <c r="W5" s="58">
        <v>87974.144396999996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0</v>
      </c>
      <c r="C7" s="59">
        <f t="shared" si="2"/>
        <v>0</v>
      </c>
      <c r="D7" s="59">
        <f t="shared" si="2"/>
        <v>0</v>
      </c>
      <c r="E7" s="59">
        <f t="shared" si="2"/>
        <v>0</v>
      </c>
      <c r="F7" s="59">
        <f t="shared" si="2"/>
        <v>0</v>
      </c>
      <c r="G7" s="59">
        <f t="shared" si="2"/>
        <v>0</v>
      </c>
      <c r="H7" s="59">
        <f t="shared" si="2"/>
        <v>0</v>
      </c>
      <c r="I7" s="59">
        <f t="shared" si="2"/>
        <v>4.3178509999999992</v>
      </c>
      <c r="J7" s="59">
        <f t="shared" si="2"/>
        <v>4.9003170000000003</v>
      </c>
      <c r="K7" s="59">
        <f t="shared" si="2"/>
        <v>4.2284240000000004</v>
      </c>
      <c r="L7" s="59">
        <f t="shared" si="2"/>
        <v>4.4788499999999996</v>
      </c>
      <c r="M7" s="59">
        <f t="shared" si="2"/>
        <v>5.5305149999999994</v>
      </c>
      <c r="N7" s="59">
        <f t="shared" si="2"/>
        <v>5.3153090000000001</v>
      </c>
      <c r="O7" s="59">
        <f t="shared" si="2"/>
        <v>5.805021</v>
      </c>
      <c r="P7" s="59">
        <f t="shared" si="2"/>
        <v>5.2593189999999996</v>
      </c>
      <c r="Q7" s="59">
        <f t="shared" si="2"/>
        <v>5.5335330000000003</v>
      </c>
      <c r="R7" s="59">
        <f t="shared" si="2"/>
        <v>5.2858990000000006</v>
      </c>
      <c r="S7" s="59">
        <f t="shared" si="2"/>
        <v>5.2354140000000005</v>
      </c>
      <c r="T7" s="59">
        <f t="shared" si="2"/>
        <v>5.9454589999999996</v>
      </c>
      <c r="U7" s="59">
        <f t="shared" si="2"/>
        <v>5.7509069999999998</v>
      </c>
      <c r="V7" s="59">
        <f t="shared" si="2"/>
        <v>5.0542289999999994</v>
      </c>
      <c r="W7" s="59">
        <f t="shared" si="2"/>
        <v>5.3287849999999999</v>
      </c>
      <c r="DA7" s="172" t="s">
        <v>961</v>
      </c>
    </row>
    <row r="8" spans="1:105" ht="11.45" customHeight="1" x14ac:dyDescent="0.25">
      <c r="A8" s="55" t="s">
        <v>170</v>
      </c>
      <c r="B8" s="60">
        <v>0</v>
      </c>
      <c r="C8" s="60">
        <v>0</v>
      </c>
      <c r="D8" s="60">
        <v>0</v>
      </c>
      <c r="E8" s="60">
        <v>0</v>
      </c>
      <c r="F8" s="60">
        <v>0</v>
      </c>
      <c r="G8" s="60">
        <v>0</v>
      </c>
      <c r="H8" s="60">
        <v>0</v>
      </c>
      <c r="I8" s="60">
        <v>1.3019609999999999</v>
      </c>
      <c r="J8" s="60">
        <v>1.4564980000000001</v>
      </c>
      <c r="K8" s="60">
        <v>2.4359039999999998</v>
      </c>
      <c r="L8" s="60">
        <v>2.1825699999999997</v>
      </c>
      <c r="M8" s="60">
        <v>2.509951</v>
      </c>
      <c r="N8" s="60">
        <v>2.0751900000000001</v>
      </c>
      <c r="O8" s="60">
        <v>2.1155529999999998</v>
      </c>
      <c r="P8" s="60">
        <v>2.4525580000000002</v>
      </c>
      <c r="Q8" s="60">
        <v>2.6144379999999998</v>
      </c>
      <c r="R8" s="60">
        <v>2.545131</v>
      </c>
      <c r="S8" s="60">
        <v>2.7594340000000002</v>
      </c>
      <c r="T8" s="60">
        <v>3.2539009999999999</v>
      </c>
      <c r="U8" s="60">
        <v>2.706448</v>
      </c>
      <c r="V8" s="60">
        <v>2.427298</v>
      </c>
      <c r="W8" s="60">
        <v>2.4946260000000002</v>
      </c>
      <c r="DA8" s="181" t="s">
        <v>962</v>
      </c>
    </row>
    <row r="9" spans="1:105" ht="11.45" customHeight="1" x14ac:dyDescent="0.25">
      <c r="A9" s="57" t="s">
        <v>171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3.0158899999999997</v>
      </c>
      <c r="J9" s="61">
        <v>3.443819</v>
      </c>
      <c r="K9" s="61">
        <v>1.7925200000000001</v>
      </c>
      <c r="L9" s="61">
        <v>2.2962799999999999</v>
      </c>
      <c r="M9" s="61">
        <v>3.0205639999999998</v>
      </c>
      <c r="N9" s="61">
        <v>3.240119</v>
      </c>
      <c r="O9" s="61">
        <v>3.6894679999999997</v>
      </c>
      <c r="P9" s="61">
        <v>2.8067609999999998</v>
      </c>
      <c r="Q9" s="61">
        <v>2.919095</v>
      </c>
      <c r="R9" s="61">
        <v>2.7407680000000001</v>
      </c>
      <c r="S9" s="61">
        <v>2.4759799999999998</v>
      </c>
      <c r="T9" s="61">
        <v>2.6915579999999997</v>
      </c>
      <c r="U9" s="61">
        <v>3.0444589999999998</v>
      </c>
      <c r="V9" s="61">
        <v>2.6269309999999999</v>
      </c>
      <c r="W9" s="61">
        <v>2.8341590000000001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0</v>
      </c>
      <c r="C13" s="62">
        <f t="shared" si="3"/>
        <v>0</v>
      </c>
      <c r="D13" s="62">
        <f t="shared" si="3"/>
        <v>0</v>
      </c>
      <c r="E13" s="62">
        <f t="shared" si="3"/>
        <v>0</v>
      </c>
      <c r="F13" s="62">
        <f t="shared" si="3"/>
        <v>0</v>
      </c>
      <c r="G13" s="62">
        <f t="shared" si="3"/>
        <v>0</v>
      </c>
      <c r="H13" s="62">
        <f t="shared" si="3"/>
        <v>0</v>
      </c>
      <c r="I13" s="62">
        <f t="shared" si="3"/>
        <v>19746.378145054106</v>
      </c>
      <c r="J13" s="62">
        <f t="shared" si="3"/>
        <v>21304.110269600922</v>
      </c>
      <c r="K13" s="62">
        <f t="shared" si="3"/>
        <v>14910.589322168256</v>
      </c>
      <c r="L13" s="62">
        <f t="shared" si="3"/>
        <v>17942.230954374452</v>
      </c>
      <c r="M13" s="62">
        <f t="shared" si="3"/>
        <v>14541.97521532805</v>
      </c>
      <c r="N13" s="62">
        <f t="shared" si="3"/>
        <v>17246.898484547182</v>
      </c>
      <c r="O13" s="62">
        <f t="shared" si="3"/>
        <v>18610.316648983699</v>
      </c>
      <c r="P13" s="62">
        <f t="shared" si="3"/>
        <v>17143.803047504822</v>
      </c>
      <c r="Q13" s="62">
        <f t="shared" si="3"/>
        <v>17852.825510754159</v>
      </c>
      <c r="R13" s="62">
        <f t="shared" si="3"/>
        <v>18162.510503889684</v>
      </c>
      <c r="S13" s="62">
        <f t="shared" si="3"/>
        <v>17448.229209380574</v>
      </c>
      <c r="T13" s="62">
        <f t="shared" si="3"/>
        <v>17166.171833495111</v>
      </c>
      <c r="U13" s="62">
        <f t="shared" si="3"/>
        <v>19306.255632372424</v>
      </c>
      <c r="V13" s="62">
        <f t="shared" si="3"/>
        <v>18443.313961634904</v>
      </c>
      <c r="W13" s="62">
        <f t="shared" si="3"/>
        <v>20483.780114791647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0</v>
      </c>
      <c r="C14" s="63">
        <f t="shared" si="3"/>
        <v>0</v>
      </c>
      <c r="D14" s="63">
        <f t="shared" si="3"/>
        <v>0</v>
      </c>
      <c r="E14" s="63">
        <f t="shared" si="3"/>
        <v>0</v>
      </c>
      <c r="F14" s="63">
        <f t="shared" si="3"/>
        <v>0</v>
      </c>
      <c r="G14" s="63">
        <f t="shared" si="3"/>
        <v>0</v>
      </c>
      <c r="H14" s="63">
        <f t="shared" si="3"/>
        <v>0</v>
      </c>
      <c r="I14" s="63">
        <f t="shared" si="3"/>
        <v>7442.0406755655504</v>
      </c>
      <c r="J14" s="63">
        <f t="shared" si="3"/>
        <v>7831.0632318067028</v>
      </c>
      <c r="K14" s="63">
        <f t="shared" si="3"/>
        <v>7796.5838001004968</v>
      </c>
      <c r="L14" s="63">
        <f t="shared" si="3"/>
        <v>7943.7586808212345</v>
      </c>
      <c r="M14" s="63">
        <f t="shared" si="3"/>
        <v>6065.4023560619316</v>
      </c>
      <c r="N14" s="63">
        <f t="shared" si="3"/>
        <v>6457.5872026175921</v>
      </c>
      <c r="O14" s="63">
        <f t="shared" si="3"/>
        <v>6876.5622879691509</v>
      </c>
      <c r="P14" s="63">
        <f t="shared" si="3"/>
        <v>7206.1548252885359</v>
      </c>
      <c r="Q14" s="63">
        <f t="shared" si="3"/>
        <v>7520.8577526030449</v>
      </c>
      <c r="R14" s="63">
        <f t="shared" si="3"/>
        <v>7783.9596570864142</v>
      </c>
      <c r="S14" s="63">
        <f t="shared" si="3"/>
        <v>7980.2002454126459</v>
      </c>
      <c r="T14" s="63">
        <f t="shared" si="3"/>
        <v>8127.5494527952751</v>
      </c>
      <c r="U14" s="63">
        <f t="shared" si="3"/>
        <v>7979.2432501936119</v>
      </c>
      <c r="V14" s="63">
        <f t="shared" si="3"/>
        <v>8354.3298000492741</v>
      </c>
      <c r="W14" s="63">
        <f t="shared" si="3"/>
        <v>8490.0565543692719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0</v>
      </c>
      <c r="C15" s="64">
        <f t="shared" si="3"/>
        <v>0</v>
      </c>
      <c r="D15" s="64">
        <f t="shared" si="3"/>
        <v>0</v>
      </c>
      <c r="E15" s="64">
        <f t="shared" si="3"/>
        <v>0</v>
      </c>
      <c r="F15" s="64">
        <f t="shared" si="3"/>
        <v>0</v>
      </c>
      <c r="G15" s="64">
        <f t="shared" si="3"/>
        <v>0</v>
      </c>
      <c r="H15" s="64">
        <f t="shared" si="3"/>
        <v>0</v>
      </c>
      <c r="I15" s="64">
        <f t="shared" si="3"/>
        <v>25058.165881381618</v>
      </c>
      <c r="J15" s="64">
        <f t="shared" si="3"/>
        <v>27002.280256018101</v>
      </c>
      <c r="K15" s="64">
        <f t="shared" si="3"/>
        <v>24578.004194653335</v>
      </c>
      <c r="L15" s="64">
        <f t="shared" si="3"/>
        <v>27445.586655808529</v>
      </c>
      <c r="M15" s="64">
        <f t="shared" si="3"/>
        <v>21585.620880405117</v>
      </c>
      <c r="N15" s="64">
        <f t="shared" si="3"/>
        <v>24157.098659030733</v>
      </c>
      <c r="O15" s="64">
        <f t="shared" si="3"/>
        <v>25338.489718842935</v>
      </c>
      <c r="P15" s="64">
        <f t="shared" si="3"/>
        <v>25827.356313558583</v>
      </c>
      <c r="Q15" s="64">
        <f t="shared" si="3"/>
        <v>27106.477454827611</v>
      </c>
      <c r="R15" s="64">
        <f t="shared" si="3"/>
        <v>27800.236679645994</v>
      </c>
      <c r="S15" s="64">
        <f t="shared" si="3"/>
        <v>28000.172696871541</v>
      </c>
      <c r="T15" s="64">
        <f t="shared" si="3"/>
        <v>28093.219440561941</v>
      </c>
      <c r="U15" s="64">
        <f t="shared" si="3"/>
        <v>29375.686689819107</v>
      </c>
      <c r="V15" s="64">
        <f t="shared" si="3"/>
        <v>27765.588158196773</v>
      </c>
      <c r="W15" s="64">
        <f t="shared" si="3"/>
        <v>31040.652411173825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0</v>
      </c>
      <c r="C17" s="65">
        <f t="shared" si="4"/>
        <v>0</v>
      </c>
      <c r="D17" s="65">
        <f t="shared" si="4"/>
        <v>0</v>
      </c>
      <c r="E17" s="65">
        <f t="shared" si="4"/>
        <v>0</v>
      </c>
      <c r="F17" s="65">
        <f t="shared" si="4"/>
        <v>0</v>
      </c>
      <c r="G17" s="65">
        <f t="shared" si="4"/>
        <v>0</v>
      </c>
      <c r="H17" s="65">
        <f t="shared" si="4"/>
        <v>0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</v>
      </c>
      <c r="C18" s="66">
        <f t="shared" si="4"/>
        <v>0</v>
      </c>
      <c r="D18" s="66">
        <f t="shared" si="4"/>
        <v>0</v>
      </c>
      <c r="E18" s="66">
        <f t="shared" si="4"/>
        <v>0</v>
      </c>
      <c r="F18" s="66">
        <f t="shared" si="4"/>
        <v>0</v>
      </c>
      <c r="G18" s="66">
        <f t="shared" si="4"/>
        <v>0</v>
      </c>
      <c r="H18" s="66">
        <f t="shared" si="4"/>
        <v>0</v>
      </c>
      <c r="I18" s="66">
        <f t="shared" si="4"/>
        <v>0.11364096512047267</v>
      </c>
      <c r="J18" s="66">
        <f t="shared" si="4"/>
        <v>0.10925543402808996</v>
      </c>
      <c r="K18" s="66">
        <f t="shared" si="4"/>
        <v>0.30122511708427241</v>
      </c>
      <c r="L18" s="66">
        <f t="shared" si="4"/>
        <v>0.21575022802874003</v>
      </c>
      <c r="M18" s="66">
        <f t="shared" si="4"/>
        <v>0.18929357965719465</v>
      </c>
      <c r="N18" s="66">
        <f t="shared" si="4"/>
        <v>0.14618022349476853</v>
      </c>
      <c r="O18" s="66">
        <f t="shared" si="4"/>
        <v>0.13465972816439045</v>
      </c>
      <c r="P18" s="66">
        <f t="shared" si="4"/>
        <v>0.19601359469952651</v>
      </c>
      <c r="Q18" s="66">
        <f t="shared" si="4"/>
        <v>0.19903811832407831</v>
      </c>
      <c r="R18" s="66">
        <f t="shared" si="4"/>
        <v>0.20635546646142885</v>
      </c>
      <c r="S18" s="66">
        <f t="shared" si="4"/>
        <v>0.24106347485603227</v>
      </c>
      <c r="T18" s="66">
        <f t="shared" si="4"/>
        <v>0.25912249220481276</v>
      </c>
      <c r="U18" s="66">
        <f t="shared" si="4"/>
        <v>0.19450330948985178</v>
      </c>
      <c r="V18" s="66">
        <f t="shared" si="4"/>
        <v>0.21754085901521433</v>
      </c>
      <c r="W18" s="66">
        <f t="shared" si="4"/>
        <v>0.19403394975034796</v>
      </c>
      <c r="DA18" s="181"/>
    </row>
    <row r="19" spans="1:105" ht="11.45" customHeight="1" x14ac:dyDescent="0.25">
      <c r="A19" s="57" t="s">
        <v>171</v>
      </c>
      <c r="B19" s="67">
        <f t="shared" si="4"/>
        <v>0</v>
      </c>
      <c r="C19" s="67">
        <f t="shared" si="4"/>
        <v>0</v>
      </c>
      <c r="D19" s="67">
        <f t="shared" si="4"/>
        <v>0</v>
      </c>
      <c r="E19" s="67">
        <f t="shared" si="4"/>
        <v>0</v>
      </c>
      <c r="F19" s="67">
        <f t="shared" si="4"/>
        <v>0</v>
      </c>
      <c r="G19" s="67">
        <f t="shared" si="4"/>
        <v>0</v>
      </c>
      <c r="H19" s="67">
        <f t="shared" si="4"/>
        <v>0</v>
      </c>
      <c r="I19" s="67">
        <f t="shared" si="4"/>
        <v>0.88635903487952739</v>
      </c>
      <c r="J19" s="67">
        <f t="shared" si="4"/>
        <v>0.8907445659719101</v>
      </c>
      <c r="K19" s="67">
        <f t="shared" si="4"/>
        <v>0.69877488291572754</v>
      </c>
      <c r="L19" s="67">
        <f t="shared" si="4"/>
        <v>0.78424977197125989</v>
      </c>
      <c r="M19" s="67">
        <f t="shared" si="4"/>
        <v>0.81070642034280538</v>
      </c>
      <c r="N19" s="67">
        <f t="shared" si="4"/>
        <v>0.85381977650523144</v>
      </c>
      <c r="O19" s="67">
        <f t="shared" si="4"/>
        <v>0.86534027183560958</v>
      </c>
      <c r="P19" s="67">
        <f t="shared" si="4"/>
        <v>0.80398640530047361</v>
      </c>
      <c r="Q19" s="67">
        <f t="shared" si="4"/>
        <v>0.80096188167592164</v>
      </c>
      <c r="R19" s="67">
        <f t="shared" si="4"/>
        <v>0.79364453353857123</v>
      </c>
      <c r="S19" s="67">
        <f t="shared" si="4"/>
        <v>0.7589365251439677</v>
      </c>
      <c r="T19" s="67">
        <f t="shared" si="4"/>
        <v>0.74087750779518735</v>
      </c>
      <c r="U19" s="67">
        <f t="shared" si="4"/>
        <v>0.80549669051014827</v>
      </c>
      <c r="V19" s="67">
        <f t="shared" si="4"/>
        <v>0.78245914098478564</v>
      </c>
      <c r="W19" s="67">
        <f t="shared" si="4"/>
        <v>0.80596605024965207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0</v>
      </c>
      <c r="C21" s="65">
        <f t="shared" si="5"/>
        <v>0</v>
      </c>
      <c r="D21" s="65">
        <f t="shared" si="5"/>
        <v>0</v>
      </c>
      <c r="E21" s="65">
        <f t="shared" si="5"/>
        <v>0</v>
      </c>
      <c r="F21" s="65">
        <f t="shared" si="5"/>
        <v>0</v>
      </c>
      <c r="G21" s="65">
        <f t="shared" si="5"/>
        <v>0</v>
      </c>
      <c r="H21" s="65">
        <f t="shared" si="5"/>
        <v>0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</v>
      </c>
      <c r="C22" s="66">
        <f t="shared" si="5"/>
        <v>0</v>
      </c>
      <c r="D22" s="66">
        <f t="shared" si="5"/>
        <v>0</v>
      </c>
      <c r="E22" s="66">
        <f t="shared" si="5"/>
        <v>0</v>
      </c>
      <c r="F22" s="66">
        <f t="shared" si="5"/>
        <v>0</v>
      </c>
      <c r="G22" s="66">
        <f t="shared" si="5"/>
        <v>0</v>
      </c>
      <c r="H22" s="66">
        <f t="shared" si="5"/>
        <v>0</v>
      </c>
      <c r="I22" s="66">
        <f t="shared" si="5"/>
        <v>0.3015298582558778</v>
      </c>
      <c r="J22" s="66">
        <f t="shared" si="5"/>
        <v>0.29722526114126901</v>
      </c>
      <c r="K22" s="66">
        <f t="shared" si="5"/>
        <v>0.57607846327615198</v>
      </c>
      <c r="L22" s="66">
        <f t="shared" si="5"/>
        <v>0.4873058932538486</v>
      </c>
      <c r="M22" s="66">
        <f t="shared" si="5"/>
        <v>0.45383675842123206</v>
      </c>
      <c r="N22" s="66">
        <f t="shared" si="5"/>
        <v>0.39041756556392115</v>
      </c>
      <c r="O22" s="66">
        <f t="shared" si="5"/>
        <v>0.36443502960626667</v>
      </c>
      <c r="P22" s="66">
        <f t="shared" si="5"/>
        <v>0.46632615363319857</v>
      </c>
      <c r="Q22" s="66">
        <f t="shared" si="5"/>
        <v>0.47247174635083944</v>
      </c>
      <c r="R22" s="66">
        <f t="shared" si="5"/>
        <v>0.48149444399145724</v>
      </c>
      <c r="S22" s="66">
        <f t="shared" si="5"/>
        <v>0.52707082954662232</v>
      </c>
      <c r="T22" s="66">
        <f t="shared" si="5"/>
        <v>0.54729180707494585</v>
      </c>
      <c r="U22" s="66">
        <f t="shared" si="5"/>
        <v>0.47061237470889378</v>
      </c>
      <c r="V22" s="66">
        <f t="shared" si="5"/>
        <v>0.48025089484469347</v>
      </c>
      <c r="W22" s="66">
        <f t="shared" si="5"/>
        <v>0.46814161201849958</v>
      </c>
      <c r="DA22" s="181"/>
    </row>
    <row r="23" spans="1:105" ht="11.45" customHeight="1" x14ac:dyDescent="0.25">
      <c r="A23" s="57" t="s">
        <v>171</v>
      </c>
      <c r="B23" s="67">
        <f t="shared" si="5"/>
        <v>0</v>
      </c>
      <c r="C23" s="67">
        <f t="shared" si="5"/>
        <v>0</v>
      </c>
      <c r="D23" s="67">
        <f t="shared" si="5"/>
        <v>0</v>
      </c>
      <c r="E23" s="67">
        <f t="shared" si="5"/>
        <v>0</v>
      </c>
      <c r="F23" s="67">
        <f t="shared" si="5"/>
        <v>0</v>
      </c>
      <c r="G23" s="67">
        <f t="shared" si="5"/>
        <v>0</v>
      </c>
      <c r="H23" s="67">
        <f t="shared" si="5"/>
        <v>0</v>
      </c>
      <c r="I23" s="67">
        <f t="shared" si="5"/>
        <v>0.69847014174412236</v>
      </c>
      <c r="J23" s="67">
        <f t="shared" si="5"/>
        <v>0.70277473885873099</v>
      </c>
      <c r="K23" s="67">
        <f t="shared" si="5"/>
        <v>0.42392153672384791</v>
      </c>
      <c r="L23" s="67">
        <f t="shared" si="5"/>
        <v>0.51269410674615135</v>
      </c>
      <c r="M23" s="67">
        <f t="shared" si="5"/>
        <v>0.54616324157876806</v>
      </c>
      <c r="N23" s="67">
        <f t="shared" si="5"/>
        <v>0.60958243443607885</v>
      </c>
      <c r="O23" s="67">
        <f t="shared" si="5"/>
        <v>0.63556497039373328</v>
      </c>
      <c r="P23" s="67">
        <f t="shared" si="5"/>
        <v>0.53367384636680149</v>
      </c>
      <c r="Q23" s="67">
        <f t="shared" si="5"/>
        <v>0.52752825364916045</v>
      </c>
      <c r="R23" s="67">
        <f t="shared" si="5"/>
        <v>0.51850555600854265</v>
      </c>
      <c r="S23" s="67">
        <f t="shared" si="5"/>
        <v>0.47292917045337762</v>
      </c>
      <c r="T23" s="67">
        <f t="shared" si="5"/>
        <v>0.45270819292505421</v>
      </c>
      <c r="U23" s="67">
        <f t="shared" si="5"/>
        <v>0.52938762529110628</v>
      </c>
      <c r="V23" s="67">
        <f t="shared" si="5"/>
        <v>0.51974910515530659</v>
      </c>
      <c r="W23" s="67">
        <f t="shared" si="5"/>
        <v>0.53185838798150054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0</v>
      </c>
      <c r="C3" s="62">
        <f t="shared" ref="C3:W3" si="0">SUM(C4,C10)</f>
        <v>0</v>
      </c>
      <c r="D3" s="62">
        <f t="shared" si="0"/>
        <v>0</v>
      </c>
      <c r="E3" s="62">
        <f t="shared" si="0"/>
        <v>0</v>
      </c>
      <c r="F3" s="62">
        <f t="shared" si="0"/>
        <v>0</v>
      </c>
      <c r="G3" s="62">
        <f t="shared" si="0"/>
        <v>0</v>
      </c>
      <c r="H3" s="62">
        <f t="shared" si="0"/>
        <v>0</v>
      </c>
      <c r="I3" s="62">
        <f t="shared" si="0"/>
        <v>34.889681857265685</v>
      </c>
      <c r="J3" s="62">
        <f t="shared" si="0"/>
        <v>69.503267411865863</v>
      </c>
      <c r="K3" s="62">
        <f t="shared" si="0"/>
        <v>15.686500429922614</v>
      </c>
      <c r="L3" s="62">
        <f t="shared" si="0"/>
        <v>15.896646603611348</v>
      </c>
      <c r="M3" s="62">
        <f t="shared" si="0"/>
        <v>9.2433361994840926</v>
      </c>
      <c r="N3" s="62">
        <f t="shared" si="0"/>
        <v>14.18959587274291</v>
      </c>
      <c r="O3" s="62">
        <f t="shared" si="0"/>
        <v>41.555288048151326</v>
      </c>
      <c r="P3" s="62">
        <f t="shared" si="0"/>
        <v>80.069905417024927</v>
      </c>
      <c r="Q3" s="62">
        <f t="shared" si="0"/>
        <v>44.595872742906273</v>
      </c>
      <c r="R3" s="62">
        <f t="shared" si="0"/>
        <v>31.419862424763544</v>
      </c>
      <c r="S3" s="62">
        <f t="shared" si="0"/>
        <v>27.899828030954431</v>
      </c>
      <c r="T3" s="62">
        <f t="shared" si="0"/>
        <v>18.094754944110061</v>
      </c>
      <c r="U3" s="62">
        <f t="shared" si="0"/>
        <v>34.201461736887353</v>
      </c>
      <c r="V3" s="62">
        <f t="shared" si="0"/>
        <v>43.104729148753222</v>
      </c>
      <c r="W3" s="62">
        <f t="shared" si="0"/>
        <v>33.949957007738597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0</v>
      </c>
      <c r="C4" s="71">
        <f t="shared" ref="C4:W4" si="1">SUM(C5:C9)</f>
        <v>0</v>
      </c>
      <c r="D4" s="71">
        <f t="shared" si="1"/>
        <v>0</v>
      </c>
      <c r="E4" s="71">
        <f t="shared" si="1"/>
        <v>0</v>
      </c>
      <c r="F4" s="71">
        <f t="shared" si="1"/>
        <v>0</v>
      </c>
      <c r="G4" s="71">
        <f t="shared" si="1"/>
        <v>0</v>
      </c>
      <c r="H4" s="71">
        <f t="shared" si="1"/>
        <v>0</v>
      </c>
      <c r="I4" s="71">
        <f t="shared" si="1"/>
        <v>9.8589749232104662</v>
      </c>
      <c r="J4" s="71">
        <f t="shared" si="1"/>
        <v>19.368756804180222</v>
      </c>
      <c r="K4" s="71">
        <f t="shared" si="1"/>
        <v>7.3089667264265676</v>
      </c>
      <c r="L4" s="71">
        <f t="shared" si="1"/>
        <v>6.4948948435763922</v>
      </c>
      <c r="M4" s="71">
        <f t="shared" si="1"/>
        <v>3.5384057839767311</v>
      </c>
      <c r="N4" s="71">
        <f t="shared" si="1"/>
        <v>4.7956988416443744</v>
      </c>
      <c r="O4" s="71">
        <f t="shared" si="1"/>
        <v>13.32548769260044</v>
      </c>
      <c r="P4" s="71">
        <f t="shared" si="1"/>
        <v>31.221746828653</v>
      </c>
      <c r="Q4" s="71">
        <f t="shared" si="1"/>
        <v>17.580696354566307</v>
      </c>
      <c r="R4" s="71">
        <f t="shared" si="1"/>
        <v>12.514500329771172</v>
      </c>
      <c r="S4" s="71">
        <f t="shared" si="1"/>
        <v>11.926606827086346</v>
      </c>
      <c r="T4" s="71">
        <f t="shared" si="1"/>
        <v>7.9376306898161175</v>
      </c>
      <c r="U4" s="71">
        <f t="shared" si="1"/>
        <v>13.319974877132777</v>
      </c>
      <c r="V4" s="71">
        <f t="shared" si="1"/>
        <v>15.828581930491227</v>
      </c>
      <c r="W4" s="71">
        <f t="shared" si="1"/>
        <v>11.940519056762275</v>
      </c>
      <c r="DA4" s="186" t="s">
        <v>969</v>
      </c>
    </row>
    <row r="5" spans="1:105" ht="11.45" customHeight="1" x14ac:dyDescent="0.25">
      <c r="A5" s="72" t="s">
        <v>145</v>
      </c>
      <c r="B5" s="73">
        <v>0</v>
      </c>
      <c r="C5" s="73">
        <v>0</v>
      </c>
      <c r="D5" s="73">
        <v>0</v>
      </c>
      <c r="E5" s="73">
        <v>0</v>
      </c>
      <c r="F5" s="73">
        <v>0</v>
      </c>
      <c r="G5" s="73">
        <v>0</v>
      </c>
      <c r="H5" s="73">
        <v>0</v>
      </c>
      <c r="I5" s="73">
        <v>9.8589749232104662</v>
      </c>
      <c r="J5" s="73">
        <v>12.186613578149291</v>
      </c>
      <c r="K5" s="73">
        <v>5.0133800335772234</v>
      </c>
      <c r="L5" s="73">
        <v>6.4948948435763922</v>
      </c>
      <c r="M5" s="73">
        <v>3.5384057839767311</v>
      </c>
      <c r="N5" s="73">
        <v>4.7956988416443744</v>
      </c>
      <c r="O5" s="73">
        <v>13.32548769260044</v>
      </c>
      <c r="P5" s="73">
        <v>31.221746828653</v>
      </c>
      <c r="Q5" s="73">
        <v>17.580696354566307</v>
      </c>
      <c r="R5" s="73">
        <v>12.514500329771172</v>
      </c>
      <c r="S5" s="73">
        <v>11.926606827086346</v>
      </c>
      <c r="T5" s="73">
        <v>7.9376306898161175</v>
      </c>
      <c r="U5" s="73">
        <v>13.319974877132777</v>
      </c>
      <c r="V5" s="73">
        <v>15.828581930491227</v>
      </c>
      <c r="W5" s="73">
        <v>11.940519056762275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7.1821432260309299</v>
      </c>
      <c r="K6" s="73">
        <v>2.2955866928493442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0</v>
      </c>
      <c r="C10" s="71">
        <f t="shared" ref="C10:W10" si="2">SUM(C11:C15)</f>
        <v>0</v>
      </c>
      <c r="D10" s="71">
        <f t="shared" si="2"/>
        <v>0</v>
      </c>
      <c r="E10" s="71">
        <f t="shared" si="2"/>
        <v>0</v>
      </c>
      <c r="F10" s="71">
        <f t="shared" si="2"/>
        <v>0</v>
      </c>
      <c r="G10" s="71">
        <f t="shared" si="2"/>
        <v>0</v>
      </c>
      <c r="H10" s="71">
        <f t="shared" si="2"/>
        <v>0</v>
      </c>
      <c r="I10" s="71">
        <f t="shared" si="2"/>
        <v>25.030706934055218</v>
      </c>
      <c r="J10" s="71">
        <f t="shared" si="2"/>
        <v>50.134510607685641</v>
      </c>
      <c r="K10" s="71">
        <f t="shared" si="2"/>
        <v>8.3775337034960451</v>
      </c>
      <c r="L10" s="71">
        <f t="shared" si="2"/>
        <v>9.4017517600349549</v>
      </c>
      <c r="M10" s="71">
        <f t="shared" si="2"/>
        <v>5.7049304155073619</v>
      </c>
      <c r="N10" s="71">
        <f t="shared" si="2"/>
        <v>9.3938970310985361</v>
      </c>
      <c r="O10" s="71">
        <f t="shared" si="2"/>
        <v>28.229800355550889</v>
      </c>
      <c r="P10" s="71">
        <f t="shared" si="2"/>
        <v>48.84815858837193</v>
      </c>
      <c r="Q10" s="71">
        <f t="shared" si="2"/>
        <v>27.015176388339967</v>
      </c>
      <c r="R10" s="71">
        <f t="shared" si="2"/>
        <v>18.90536209499237</v>
      </c>
      <c r="S10" s="71">
        <f t="shared" si="2"/>
        <v>15.973221203868086</v>
      </c>
      <c r="T10" s="71">
        <f t="shared" si="2"/>
        <v>10.157124254293944</v>
      </c>
      <c r="U10" s="71">
        <f t="shared" si="2"/>
        <v>20.881486859754574</v>
      </c>
      <c r="V10" s="71">
        <f t="shared" si="2"/>
        <v>27.276147218261997</v>
      </c>
      <c r="W10" s="71">
        <f t="shared" si="2"/>
        <v>22.009437950976324</v>
      </c>
      <c r="DA10" s="186" t="s">
        <v>975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10.681781740590052</v>
      </c>
      <c r="J11" s="73">
        <v>6.3000588208188972</v>
      </c>
      <c r="K11" s="73">
        <v>1.1488727609197662</v>
      </c>
      <c r="L11" s="73">
        <v>4.8025256207400284</v>
      </c>
      <c r="M11" s="73">
        <v>5.7049304155073619</v>
      </c>
      <c r="N11" s="73">
        <v>9.3938970310985361</v>
      </c>
      <c r="O11" s="73">
        <v>28.229800355550889</v>
      </c>
      <c r="P11" s="73">
        <v>48.84815858837193</v>
      </c>
      <c r="Q11" s="73">
        <v>27.015176388339967</v>
      </c>
      <c r="R11" s="73">
        <v>18.90536209499237</v>
      </c>
      <c r="S11" s="73">
        <v>15.973221203868086</v>
      </c>
      <c r="T11" s="73">
        <v>10.157124254293944</v>
      </c>
      <c r="U11" s="73">
        <v>20.881486859754574</v>
      </c>
      <c r="V11" s="73">
        <v>27.276147218261997</v>
      </c>
      <c r="W11" s="73">
        <v>22.009437950976324</v>
      </c>
      <c r="DA11" s="187" t="s">
        <v>976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14.348925193465167</v>
      </c>
      <c r="J12" s="73">
        <v>43.834451786866744</v>
      </c>
      <c r="K12" s="73">
        <v>7.228660942576278</v>
      </c>
      <c r="L12" s="73">
        <v>4.5992261392949274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0</v>
      </c>
      <c r="C19" s="62">
        <f>IF(C3=0,0,C3/MBunk_act!C7*100)</f>
        <v>0</v>
      </c>
      <c r="D19" s="62">
        <f>IF(D3=0,0,D3/MBunk_act!D7*100)</f>
        <v>0</v>
      </c>
      <c r="E19" s="62">
        <f>IF(E3=0,0,E3/MBunk_act!E7*100)</f>
        <v>0</v>
      </c>
      <c r="F19" s="62">
        <f>IF(F3=0,0,F3/MBunk_act!F7*100)</f>
        <v>0</v>
      </c>
      <c r="G19" s="62">
        <f>IF(G3=0,0,G3/MBunk_act!G7*100)</f>
        <v>0</v>
      </c>
      <c r="H19" s="62">
        <f>IF(H3=0,0,H3/MBunk_act!H7*100)</f>
        <v>0</v>
      </c>
      <c r="I19" s="62">
        <f>IF(I3=0,0,I3/MBunk_act!I7*100)</f>
        <v>808.03348372293749</v>
      </c>
      <c r="J19" s="62">
        <f>IF(J3=0,0,J3/MBunk_act!J7*100)</f>
        <v>1418.3422707523996</v>
      </c>
      <c r="K19" s="62">
        <f>IF(K3=0,0,K3/MBunk_act!K7*100)</f>
        <v>370.97747127351971</v>
      </c>
      <c r="L19" s="62">
        <f>IF(L3=0,0,L3/MBunk_act!L7*100)</f>
        <v>354.92697017340055</v>
      </c>
      <c r="M19" s="62">
        <f>IF(M3=0,0,M3/MBunk_act!M7*100)</f>
        <v>167.13337183759728</v>
      </c>
      <c r="N19" s="62">
        <f>IF(N3=0,0,N3/MBunk_act!N7*100)</f>
        <v>266.95712088879327</v>
      </c>
      <c r="O19" s="62">
        <f>IF(O3=0,0,O3/MBunk_act!O7*100)</f>
        <v>715.8507789748104</v>
      </c>
      <c r="P19" s="62">
        <f>IF(P3=0,0,P3/MBunk_act!P7*100)</f>
        <v>1522.4386544536455</v>
      </c>
      <c r="Q19" s="62">
        <f>IF(Q3=0,0,Q3/MBunk_act!Q7*100)</f>
        <v>805.92042629738125</v>
      </c>
      <c r="R19" s="62">
        <f>IF(R3=0,0,R3/MBunk_act!R7*100)</f>
        <v>594.40905747089641</v>
      </c>
      <c r="S19" s="62">
        <f>IF(S3=0,0,S3/MBunk_act!S7*100)</f>
        <v>532.90586056717632</v>
      </c>
      <c r="T19" s="62">
        <f>IF(T3=0,0,T3/MBunk_act!T7*100)</f>
        <v>304.34580314337484</v>
      </c>
      <c r="U19" s="62">
        <f>IF(U3=0,0,U3/MBunk_act!U7*100)</f>
        <v>594.71422050273736</v>
      </c>
      <c r="V19" s="62">
        <f>IF(V3=0,0,V3/MBunk_act!V7*100)</f>
        <v>852.84479885563599</v>
      </c>
      <c r="W19" s="62">
        <f>IF(W3=0,0,W3/MBunk_act!W7*100)</f>
        <v>637.1050250242522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0</v>
      </c>
      <c r="C20" s="63">
        <f>IF(C4=0,0,C4/MBunk_act!C8*100)</f>
        <v>0</v>
      </c>
      <c r="D20" s="63">
        <f>IF(D4=0,0,D4/MBunk_act!D8*100)</f>
        <v>0</v>
      </c>
      <c r="E20" s="63">
        <f>IF(E4=0,0,E4/MBunk_act!E8*100)</f>
        <v>0</v>
      </c>
      <c r="F20" s="63">
        <f>IF(F4=0,0,F4/MBunk_act!F8*100)</f>
        <v>0</v>
      </c>
      <c r="G20" s="63">
        <f>IF(G4=0,0,G4/MBunk_act!G8*100)</f>
        <v>0</v>
      </c>
      <c r="H20" s="63">
        <f>IF(H4=0,0,H4/MBunk_act!H8*100)</f>
        <v>0</v>
      </c>
      <c r="I20" s="63">
        <f>IF(I4=0,0,I4/MBunk_act!I8*100)</f>
        <v>757.240418354349</v>
      </c>
      <c r="J20" s="63">
        <f>IF(J4=0,0,J4/MBunk_act!J8*100)</f>
        <v>1329.8169173030255</v>
      </c>
      <c r="K20" s="63">
        <f>IF(K4=0,0,K4/MBunk_act!K8*100)</f>
        <v>300.05150968291724</v>
      </c>
      <c r="L20" s="63">
        <f>IF(L4=0,0,L4/MBunk_act!L8*100)</f>
        <v>297.58013917429423</v>
      </c>
      <c r="M20" s="63">
        <f>IF(M4=0,0,M4/MBunk_act!M8*100)</f>
        <v>140.97509409453534</v>
      </c>
      <c r="N20" s="63">
        <f>IF(N4=0,0,N4/MBunk_act!N8*100)</f>
        <v>231.09685578883736</v>
      </c>
      <c r="O20" s="63">
        <f>IF(O4=0,0,O4/MBunk_act!O8*100)</f>
        <v>629.8820068606384</v>
      </c>
      <c r="P20" s="63">
        <f>IF(P4=0,0,P4/MBunk_act!P8*100)</f>
        <v>1273.0278683991569</v>
      </c>
      <c r="Q20" s="63">
        <f>IF(Q4=0,0,Q4/MBunk_act!Q8*100)</f>
        <v>672.44648198068978</v>
      </c>
      <c r="R20" s="63">
        <f>IF(R4=0,0,R4/MBunk_act!R8*100)</f>
        <v>491.70358342148876</v>
      </c>
      <c r="S20" s="63">
        <f>IF(S4=0,0,S4/MBunk_act!S8*100)</f>
        <v>432.21207055817769</v>
      </c>
      <c r="T20" s="63">
        <f>IF(T4=0,0,T4/MBunk_act!T8*100)</f>
        <v>243.9419850147905</v>
      </c>
      <c r="U20" s="63">
        <f>IF(U4=0,0,U4/MBunk_act!U8*100)</f>
        <v>492.15705888798817</v>
      </c>
      <c r="V20" s="63">
        <f>IF(V4=0,0,V4/MBunk_act!V8*100)</f>
        <v>652.1070725758118</v>
      </c>
      <c r="W20" s="63">
        <f>IF(W4=0,0,W4/MBunk_act!W8*100)</f>
        <v>478.64966759595518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0</v>
      </c>
      <c r="C21" s="64">
        <f>IF(C10=0,0,C10/MBunk_act!C9*100)</f>
        <v>0</v>
      </c>
      <c r="D21" s="64">
        <f>IF(D10=0,0,D10/MBunk_act!D9*100)</f>
        <v>0</v>
      </c>
      <c r="E21" s="64">
        <f>IF(E10=0,0,E10/MBunk_act!E9*100)</f>
        <v>0</v>
      </c>
      <c r="F21" s="64">
        <f>IF(F10=0,0,F10/MBunk_act!F9*100)</f>
        <v>0</v>
      </c>
      <c r="G21" s="64">
        <f>IF(G10=0,0,G10/MBunk_act!G9*100)</f>
        <v>0</v>
      </c>
      <c r="H21" s="64">
        <f>IF(H10=0,0,H10/MBunk_act!H9*100)</f>
        <v>0</v>
      </c>
      <c r="I21" s="64">
        <f>IF(I10=0,0,I10/MBunk_act!I9*100)</f>
        <v>829.96087171797444</v>
      </c>
      <c r="J21" s="64">
        <f>IF(J10=0,0,J10/MBunk_act!J9*100)</f>
        <v>1455.7823918064696</v>
      </c>
      <c r="K21" s="64">
        <f>IF(K10=0,0,K10/MBunk_act!K9*100)</f>
        <v>467.36068236315606</v>
      </c>
      <c r="L21" s="64">
        <f>IF(L10=0,0,L10/MBunk_act!L9*100)</f>
        <v>409.43403069464335</v>
      </c>
      <c r="M21" s="64">
        <f>IF(M10=0,0,M10/MBunk_act!M9*100)</f>
        <v>188.86970828982143</v>
      </c>
      <c r="N21" s="64">
        <f>IF(N10=0,0,N10/MBunk_act!N9*100)</f>
        <v>289.92444509286656</v>
      </c>
      <c r="O21" s="64">
        <f>IF(O10=0,0,O10/MBunk_act!O9*100)</f>
        <v>765.14555365572733</v>
      </c>
      <c r="P21" s="64">
        <f>IF(P10=0,0,P10/MBunk_act!P9*100)</f>
        <v>1740.3747090818183</v>
      </c>
      <c r="Q21" s="64">
        <f>IF(Q10=0,0,Q10/MBunk_act!Q9*100)</f>
        <v>925.46410405759207</v>
      </c>
      <c r="R21" s="64">
        <f>IF(R10=0,0,R10/MBunk_act!R9*100)</f>
        <v>689.78337805288038</v>
      </c>
      <c r="S21" s="64">
        <f>IF(S10=0,0,S10/MBunk_act!S9*100)</f>
        <v>645.12723058619565</v>
      </c>
      <c r="T21" s="64">
        <f>IF(T10=0,0,T10/MBunk_act!T9*100)</f>
        <v>377.36969644696285</v>
      </c>
      <c r="U21" s="64">
        <f>IF(U10=0,0,U10/MBunk_act!U9*100)</f>
        <v>685.88497528639982</v>
      </c>
      <c r="V21" s="64">
        <f>IF(V10=0,0,V10/MBunk_act!V9*100)</f>
        <v>1038.3275091070909</v>
      </c>
      <c r="W21" s="64">
        <f>IF(W10=0,0,W10/MBunk_act!W9*100)</f>
        <v>776.57738860015706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0</v>
      </c>
      <c r="C23" s="62">
        <f>IF(C3=0,0,C3/MBunk_act!C3*1000)</f>
        <v>0</v>
      </c>
      <c r="D23" s="62">
        <f>IF(D3=0,0,D3/MBunk_act!D3*1000)</f>
        <v>0</v>
      </c>
      <c r="E23" s="62">
        <f>IF(E3=0,0,E3/MBunk_act!E3*1000)</f>
        <v>0</v>
      </c>
      <c r="F23" s="62">
        <f>IF(F3=0,0,F3/MBunk_act!F3*1000)</f>
        <v>0</v>
      </c>
      <c r="G23" s="62">
        <f>IF(G3=0,0,G3/MBunk_act!G3*1000)</f>
        <v>0</v>
      </c>
      <c r="H23" s="62">
        <f>IF(H3=0,0,H3/MBunk_act!H3*1000)</f>
        <v>0</v>
      </c>
      <c r="I23" s="62">
        <f>IF(I3=0,0,I3/MBunk_act!I3*1000)</f>
        <v>0.40920592008683193</v>
      </c>
      <c r="J23" s="62">
        <f>IF(J3=0,0,J3/MBunk_act!J3*1000)</f>
        <v>0.66575991806437851</v>
      </c>
      <c r="K23" s="62">
        <f>IF(K3=0,0,K3/MBunk_act!K3*1000)</f>
        <v>0.24880134732298639</v>
      </c>
      <c r="L23" s="62">
        <f>IF(L3=0,0,L3/MBunk_act!L3*1000)</f>
        <v>0.19781652074145586</v>
      </c>
      <c r="M23" s="62">
        <f>IF(M3=0,0,M3/MBunk_act!M3*1000)</f>
        <v>0.1149316852510032</v>
      </c>
      <c r="N23" s="62">
        <f>IF(N3=0,0,N3/MBunk_act!N3*1000)</f>
        <v>0.1547855813774173</v>
      </c>
      <c r="O23" s="62">
        <f>IF(O3=0,0,O3/MBunk_act!O3*1000)</f>
        <v>0.38465265931619852</v>
      </c>
      <c r="P23" s="62">
        <f>IF(P3=0,0,P3/MBunk_act!P3*1000)</f>
        <v>0.88804021501823516</v>
      </c>
      <c r="Q23" s="62">
        <f>IF(Q3=0,0,Q3/MBunk_act!Q3*1000)</f>
        <v>0.4514245802782938</v>
      </c>
      <c r="R23" s="62">
        <f>IF(R3=0,0,R3/MBunk_act!R3*1000)</f>
        <v>0.32727251959116427</v>
      </c>
      <c r="S23" s="62">
        <f>IF(S3=0,0,S3/MBunk_act!S3*1000)</f>
        <v>0.30542117149668901</v>
      </c>
      <c r="T23" s="62">
        <f>IF(T3=0,0,T3/MBunk_act!T3*1000)</f>
        <v>0.17729392790390627</v>
      </c>
      <c r="U23" s="62">
        <f>IF(U3=0,0,U3/MBunk_act!U3*1000)</f>
        <v>0.30804223865425773</v>
      </c>
      <c r="V23" s="62">
        <f>IF(V3=0,0,V3/MBunk_act!V3*1000)</f>
        <v>0.46241407624990399</v>
      </c>
      <c r="W23" s="62">
        <f>IF(W3=0,0,W3/MBunk_act!W3*1000)</f>
        <v>0.31102902953160932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0</v>
      </c>
      <c r="C24" s="63">
        <f>IF(C4=0,0,C4/MBunk_act!C4*1000)</f>
        <v>0</v>
      </c>
      <c r="D24" s="63">
        <f>IF(D4=0,0,D4/MBunk_act!D4*1000)</f>
        <v>0</v>
      </c>
      <c r="E24" s="63">
        <f>IF(E4=0,0,E4/MBunk_act!E4*1000)</f>
        <v>0</v>
      </c>
      <c r="F24" s="63">
        <f>IF(F4=0,0,F4/MBunk_act!F4*1000)</f>
        <v>0</v>
      </c>
      <c r="G24" s="63">
        <f>IF(G4=0,0,G4/MBunk_act!G4*1000)</f>
        <v>0</v>
      </c>
      <c r="H24" s="63">
        <f>IF(H4=0,0,H4/MBunk_act!H4*1000)</f>
        <v>0</v>
      </c>
      <c r="I24" s="63">
        <f>IF(I4=0,0,I4/MBunk_act!I4*1000)</f>
        <v>1.0175171721925631</v>
      </c>
      <c r="J24" s="63">
        <f>IF(J4=0,0,J4/MBunk_act!J4*1000)</f>
        <v>1.6981307364520204</v>
      </c>
      <c r="K24" s="63">
        <f>IF(K4=0,0,K4/MBunk_act!K4*1000)</f>
        <v>0.38484997708746443</v>
      </c>
      <c r="L24" s="63">
        <f>IF(L4=0,0,L4/MBunk_act!L4*1000)</f>
        <v>0.37460873514794391</v>
      </c>
      <c r="M24" s="63">
        <f>IF(M4=0,0,M4/MBunk_act!M4*1000)</f>
        <v>0.23242496675202584</v>
      </c>
      <c r="N24" s="63">
        <f>IF(N4=0,0,N4/MBunk_act!N4*1000)</f>
        <v>0.35786873415377485</v>
      </c>
      <c r="O24" s="63">
        <f>IF(O4=0,0,O4/MBunk_act!O4*1000)</f>
        <v>0.91598386007881405</v>
      </c>
      <c r="P24" s="63">
        <f>IF(P4=0,0,P4/MBunk_act!P4*1000)</f>
        <v>1.7665841204684147</v>
      </c>
      <c r="Q24" s="63">
        <f>IF(Q4=0,0,Q4/MBunk_act!Q4*1000)</f>
        <v>0.89410876272450346</v>
      </c>
      <c r="R24" s="63">
        <f>IF(R4=0,0,R4/MBunk_act!R4*1000)</f>
        <v>0.63168824747678176</v>
      </c>
      <c r="S24" s="63">
        <f>IF(S4=0,0,S4/MBunk_act!S4*1000)</f>
        <v>0.54160554530775251</v>
      </c>
      <c r="T24" s="63">
        <f>IF(T4=0,0,T4/MBunk_act!T4*1000)</f>
        <v>0.3001421110158764</v>
      </c>
      <c r="U24" s="63">
        <f>IF(U4=0,0,U4/MBunk_act!U4*1000)</f>
        <v>0.61679666035503578</v>
      </c>
      <c r="V24" s="63">
        <f>IF(V4=0,0,V4/MBunk_act!V4*1000)</f>
        <v>0.78056180230275996</v>
      </c>
      <c r="W24" s="63">
        <f>IF(W4=0,0,W4/MBunk_act!W4*1000)</f>
        <v>0.56377677172200447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0</v>
      </c>
      <c r="C25" s="64">
        <f>IF(C10=0,0,C10/MBunk_act!C5*1000)</f>
        <v>0</v>
      </c>
      <c r="D25" s="64">
        <f>IF(D10=0,0,D10/MBunk_act!D5*1000)</f>
        <v>0</v>
      </c>
      <c r="E25" s="64">
        <f>IF(E10=0,0,E10/MBunk_act!E5*1000)</f>
        <v>0</v>
      </c>
      <c r="F25" s="64">
        <f>IF(F10=0,0,F10/MBunk_act!F5*1000)</f>
        <v>0</v>
      </c>
      <c r="G25" s="64">
        <f>IF(G10=0,0,G10/MBunk_act!G5*1000)</f>
        <v>0</v>
      </c>
      <c r="H25" s="64">
        <f>IF(H10=0,0,H10/MBunk_act!H5*1000)</f>
        <v>0</v>
      </c>
      <c r="I25" s="64">
        <f>IF(I10=0,0,I10/MBunk_act!I5*1000)</f>
        <v>0.3312137351339991</v>
      </c>
      <c r="J25" s="64">
        <f>IF(J10=0,0,J10/MBunk_act!J5*1000)</f>
        <v>0.53913313172209365</v>
      </c>
      <c r="K25" s="64">
        <f>IF(K10=0,0,K10/MBunk_act!K5*1000)</f>
        <v>0.19015404125646013</v>
      </c>
      <c r="L25" s="64">
        <f>IF(L10=0,0,L10/MBunk_act!L5*1000)</f>
        <v>0.14918028017739293</v>
      </c>
      <c r="M25" s="64">
        <f>IF(M10=0,0,M10/MBunk_act!M5*1000)</f>
        <v>8.7497927132257111E-2</v>
      </c>
      <c r="N25" s="64">
        <f>IF(N10=0,0,N10/MBunk_act!N5*1000)</f>
        <v>0.12001625244200552</v>
      </c>
      <c r="O25" s="64">
        <f>IF(O10=0,0,O10/MBunk_act!O5*1000)</f>
        <v>0.30196967623004295</v>
      </c>
      <c r="P25" s="64">
        <f>IF(P10=0,0,P10/MBunk_act!P5*1000)</f>
        <v>0.67384934329038315</v>
      </c>
      <c r="Q25" s="64">
        <f>IF(Q10=0,0,Q10/MBunk_act!Q5*1000)</f>
        <v>0.34141806348680276</v>
      </c>
      <c r="R25" s="64">
        <f>IF(R10=0,0,R10/MBunk_act!R5*1000)</f>
        <v>0.24812140486483947</v>
      </c>
      <c r="S25" s="64">
        <f>IF(S10=0,0,S10/MBunk_act!S5*1000)</f>
        <v>0.23040116129650717</v>
      </c>
      <c r="T25" s="64">
        <f>IF(T10=0,0,T10/MBunk_act!T5*1000)</f>
        <v>0.13432767904916718</v>
      </c>
      <c r="U25" s="64">
        <f>IF(U10=0,0,U10/MBunk_act!U5*1000)</f>
        <v>0.23348729938766358</v>
      </c>
      <c r="V25" s="64">
        <f>IF(V10=0,0,V10/MBunk_act!V5*1000)</f>
        <v>0.37396200764454651</v>
      </c>
      <c r="W25" s="64">
        <f>IF(W10=0,0,W10/MBunk_act!W5*1000)</f>
        <v>0.25018075596910117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0</v>
      </c>
      <c r="C27" s="76">
        <f t="shared" ref="C27:W28" si="3">IF(C3=0,0,C3/C$3)</f>
        <v>0</v>
      </c>
      <c r="D27" s="76">
        <f t="shared" si="3"/>
        <v>0</v>
      </c>
      <c r="E27" s="76">
        <f t="shared" si="3"/>
        <v>0</v>
      </c>
      <c r="F27" s="76">
        <f t="shared" si="3"/>
        <v>0</v>
      </c>
      <c r="G27" s="76">
        <f t="shared" si="3"/>
        <v>0</v>
      </c>
      <c r="H27" s="76">
        <f t="shared" si="3"/>
        <v>0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</v>
      </c>
      <c r="C28" s="77">
        <f t="shared" si="3"/>
        <v>0</v>
      </c>
      <c r="D28" s="77">
        <f t="shared" si="3"/>
        <v>0</v>
      </c>
      <c r="E28" s="77">
        <f t="shared" si="3"/>
        <v>0</v>
      </c>
      <c r="F28" s="77">
        <f t="shared" si="3"/>
        <v>0</v>
      </c>
      <c r="G28" s="77">
        <f t="shared" si="3"/>
        <v>0</v>
      </c>
      <c r="H28" s="77">
        <f t="shared" si="3"/>
        <v>0</v>
      </c>
      <c r="I28" s="77">
        <f t="shared" si="3"/>
        <v>0.28257566129561484</v>
      </c>
      <c r="J28" s="77">
        <f t="shared" si="3"/>
        <v>0.27867404692507325</v>
      </c>
      <c r="K28" s="77">
        <f t="shared" si="3"/>
        <v>0.46593991815309088</v>
      </c>
      <c r="L28" s="77">
        <f t="shared" si="3"/>
        <v>0.40857012208479893</v>
      </c>
      <c r="M28" s="77">
        <f t="shared" si="3"/>
        <v>0.38280613272231984</v>
      </c>
      <c r="N28" s="77">
        <f t="shared" si="3"/>
        <v>0.33797289821738563</v>
      </c>
      <c r="O28" s="77">
        <f t="shared" si="3"/>
        <v>0.32066888038797392</v>
      </c>
      <c r="P28" s="77">
        <f t="shared" si="3"/>
        <v>0.38993110665039515</v>
      </c>
      <c r="Q28" s="77">
        <f t="shared" si="3"/>
        <v>0.39422249803066839</v>
      </c>
      <c r="R28" s="77">
        <f t="shared" si="3"/>
        <v>0.39829901737277745</v>
      </c>
      <c r="S28" s="77">
        <f t="shared" si="3"/>
        <v>0.42747958209111392</v>
      </c>
      <c r="T28" s="77">
        <f t="shared" si="3"/>
        <v>0.43867025081761929</v>
      </c>
      <c r="U28" s="77">
        <f t="shared" si="3"/>
        <v>0.3894563039323774</v>
      </c>
      <c r="V28" s="77">
        <f t="shared" si="3"/>
        <v>0.3672121886178018</v>
      </c>
      <c r="W28" s="77">
        <f t="shared" si="3"/>
        <v>0.35170940140043588</v>
      </c>
      <c r="DA28" s="184"/>
    </row>
    <row r="29" spans="1:105" ht="11.45" customHeight="1" x14ac:dyDescent="0.25">
      <c r="A29" s="57" t="s">
        <v>171</v>
      </c>
      <c r="B29" s="78">
        <f>IF(B10=0,0,B10/B$3)</f>
        <v>0</v>
      </c>
      <c r="C29" s="78">
        <f t="shared" ref="C29:W29" si="4">IF(C10=0,0,C10/C$3)</f>
        <v>0</v>
      </c>
      <c r="D29" s="78">
        <f t="shared" si="4"/>
        <v>0</v>
      </c>
      <c r="E29" s="78">
        <f t="shared" si="4"/>
        <v>0</v>
      </c>
      <c r="F29" s="78">
        <f t="shared" si="4"/>
        <v>0</v>
      </c>
      <c r="G29" s="78">
        <f t="shared" si="4"/>
        <v>0</v>
      </c>
      <c r="H29" s="78">
        <f t="shared" si="4"/>
        <v>0</v>
      </c>
      <c r="I29" s="78">
        <f t="shared" si="4"/>
        <v>0.71742433870438516</v>
      </c>
      <c r="J29" s="78">
        <f t="shared" si="4"/>
        <v>0.72132595307492675</v>
      </c>
      <c r="K29" s="78">
        <f t="shared" si="4"/>
        <v>0.53406008184690901</v>
      </c>
      <c r="L29" s="78">
        <f t="shared" si="4"/>
        <v>0.59142987791520107</v>
      </c>
      <c r="M29" s="78">
        <f t="shared" si="4"/>
        <v>0.61719386727768022</v>
      </c>
      <c r="N29" s="78">
        <f t="shared" si="4"/>
        <v>0.66202710178261448</v>
      </c>
      <c r="O29" s="78">
        <f t="shared" si="4"/>
        <v>0.67933111961202619</v>
      </c>
      <c r="P29" s="78">
        <f t="shared" si="4"/>
        <v>0.6100688933496049</v>
      </c>
      <c r="Q29" s="78">
        <f t="shared" si="4"/>
        <v>0.60577750196933156</v>
      </c>
      <c r="R29" s="78">
        <f t="shared" si="4"/>
        <v>0.60170098262722249</v>
      </c>
      <c r="S29" s="78">
        <f t="shared" si="4"/>
        <v>0.57252041790888608</v>
      </c>
      <c r="T29" s="78">
        <f t="shared" si="4"/>
        <v>0.56132974918238066</v>
      </c>
      <c r="U29" s="78">
        <f t="shared" si="4"/>
        <v>0.6105436960676226</v>
      </c>
      <c r="V29" s="78">
        <f t="shared" si="4"/>
        <v>0.63278781138219831</v>
      </c>
      <c r="W29" s="78">
        <f t="shared" si="4"/>
        <v>0.64829059859956417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0</v>
      </c>
      <c r="C3" s="62">
        <f t="shared" ref="C3:W3" si="1">SUM(C4:C5)</f>
        <v>0</v>
      </c>
      <c r="D3" s="62">
        <f t="shared" si="1"/>
        <v>0</v>
      </c>
      <c r="E3" s="62">
        <f t="shared" si="1"/>
        <v>0</v>
      </c>
      <c r="F3" s="62">
        <f t="shared" si="1"/>
        <v>0</v>
      </c>
      <c r="G3" s="62">
        <f t="shared" si="1"/>
        <v>0</v>
      </c>
      <c r="H3" s="62">
        <f t="shared" si="1"/>
        <v>0</v>
      </c>
      <c r="I3" s="62">
        <f t="shared" si="1"/>
        <v>110.08075463999999</v>
      </c>
      <c r="J3" s="62">
        <f t="shared" si="1"/>
        <v>222.53275980000006</v>
      </c>
      <c r="K3" s="62">
        <f t="shared" si="1"/>
        <v>49.837844879999992</v>
      </c>
      <c r="L3" s="62">
        <f t="shared" si="1"/>
        <v>49.809343679999998</v>
      </c>
      <c r="M3" s="62">
        <f t="shared" si="1"/>
        <v>28.676700000000004</v>
      </c>
      <c r="N3" s="62">
        <f t="shared" si="1"/>
        <v>44.022069000000023</v>
      </c>
      <c r="O3" s="62">
        <f t="shared" si="1"/>
        <v>128.92190687999997</v>
      </c>
      <c r="P3" s="62">
        <f t="shared" si="1"/>
        <v>248.41037987999999</v>
      </c>
      <c r="Q3" s="62">
        <f t="shared" si="1"/>
        <v>138.355074</v>
      </c>
      <c r="R3" s="62">
        <f t="shared" si="1"/>
        <v>97.477571879999999</v>
      </c>
      <c r="S3" s="62">
        <f t="shared" si="1"/>
        <v>86.556951000000012</v>
      </c>
      <c r="T3" s="62">
        <f t="shared" si="1"/>
        <v>56.137507920000004</v>
      </c>
      <c r="U3" s="62">
        <f t="shared" si="1"/>
        <v>106.10725787999999</v>
      </c>
      <c r="V3" s="62">
        <f t="shared" si="1"/>
        <v>133.72892207999999</v>
      </c>
      <c r="W3" s="62">
        <f t="shared" si="1"/>
        <v>105.32698487999997</v>
      </c>
      <c r="DA3" s="172" t="s">
        <v>985</v>
      </c>
    </row>
    <row r="4" spans="1:105" ht="11.45" customHeight="1" x14ac:dyDescent="0.25">
      <c r="A4" s="55" t="s">
        <v>170</v>
      </c>
      <c r="B4" s="63">
        <v>0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30.586669150496707</v>
      </c>
      <c r="J4" s="63">
        <v>61.062016700898198</v>
      </c>
      <c r="K4" s="63">
        <v>22.957897678696671</v>
      </c>
      <c r="L4" s="63">
        <v>20.149883866734459</v>
      </c>
      <c r="M4" s="63">
        <v>10.97761662623815</v>
      </c>
      <c r="N4" s="63">
        <v>14.878266245455734</v>
      </c>
      <c r="O4" s="63">
        <v>41.341243536692218</v>
      </c>
      <c r="P4" s="63">
        <v>96.862934330053449</v>
      </c>
      <c r="Q4" s="63">
        <v>54.542682887497982</v>
      </c>
      <c r="R4" s="63">
        <v>38.825221095688285</v>
      </c>
      <c r="S4" s="63">
        <v>37.001329240561027</v>
      </c>
      <c r="T4" s="63">
        <v>24.625854679542496</v>
      </c>
      <c r="U4" s="63">
        <v>41.324140474344425</v>
      </c>
      <c r="V4" s="63">
        <v>49.106890158496277</v>
      </c>
      <c r="W4" s="63">
        <v>37.044490803457549</v>
      </c>
      <c r="DA4" s="181" t="s">
        <v>986</v>
      </c>
    </row>
    <row r="5" spans="1:105" ht="11.45" customHeight="1" x14ac:dyDescent="0.25">
      <c r="A5" s="57" t="s">
        <v>171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79.494085489503291</v>
      </c>
      <c r="J5" s="64">
        <v>161.47074309910187</v>
      </c>
      <c r="K5" s="64">
        <v>26.879947201303324</v>
      </c>
      <c r="L5" s="64">
        <v>29.659459813265535</v>
      </c>
      <c r="M5" s="64">
        <v>17.699083373761852</v>
      </c>
      <c r="N5" s="64">
        <v>29.143802754544289</v>
      </c>
      <c r="O5" s="64">
        <v>87.580663343307748</v>
      </c>
      <c r="P5" s="64">
        <v>151.54744554994653</v>
      </c>
      <c r="Q5" s="64">
        <v>83.812391112502013</v>
      </c>
      <c r="R5" s="64">
        <v>58.652350784311707</v>
      </c>
      <c r="S5" s="64">
        <v>49.555621759438985</v>
      </c>
      <c r="T5" s="64">
        <v>31.511653240457512</v>
      </c>
      <c r="U5" s="64">
        <v>64.78311740565556</v>
      </c>
      <c r="V5" s="64">
        <v>84.622031921503719</v>
      </c>
      <c r="W5" s="64">
        <v>68.28249407654242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0</v>
      </c>
      <c r="C9" s="79">
        <f>IF(C3=0,0,C3/MBunk_ene!C3)</f>
        <v>0</v>
      </c>
      <c r="D9" s="79">
        <f>IF(D3=0,0,D3/MBunk_ene!D3)</f>
        <v>0</v>
      </c>
      <c r="E9" s="79">
        <f>IF(E3=0,0,E3/MBunk_ene!E3)</f>
        <v>0</v>
      </c>
      <c r="F9" s="79">
        <f>IF(F3=0,0,F3/MBunk_ene!F3)</f>
        <v>0</v>
      </c>
      <c r="G9" s="79">
        <f>IF(G3=0,0,G3/MBunk_ene!G3)</f>
        <v>0</v>
      </c>
      <c r="H9" s="79">
        <f>IF(H3=0,0,H3/MBunk_ene!H3)</f>
        <v>0</v>
      </c>
      <c r="I9" s="79">
        <f>IF(I3=0,0,I3/MBunk_ene!I3)</f>
        <v>3.155109154916985</v>
      </c>
      <c r="J9" s="79">
        <f>IF(J3=0,0,J3/MBunk_ene!J3)</f>
        <v>3.2017596882360158</v>
      </c>
      <c r="K9" s="79">
        <f>IF(K3=0,0,K3/MBunk_ene!K3)</f>
        <v>3.1771168529681963</v>
      </c>
      <c r="L9" s="79">
        <f>IF(L3=0,0,L3/MBunk_ene!L3)</f>
        <v>3.1333239595755042</v>
      </c>
      <c r="M9" s="79">
        <f>IF(M3=0,0,M3/MBunk_ene!M3)</f>
        <v>3.1024188000000006</v>
      </c>
      <c r="N9" s="79">
        <f>IF(N3=0,0,N3/MBunk_ene!N3)</f>
        <v>3.102418800000001</v>
      </c>
      <c r="O9" s="79">
        <f>IF(O3=0,0,O3/MBunk_ene!O3)</f>
        <v>3.1024187999999997</v>
      </c>
      <c r="P9" s="79">
        <f>IF(P3=0,0,P3/MBunk_ene!P3)</f>
        <v>3.1024188000000001</v>
      </c>
      <c r="Q9" s="79">
        <f>IF(Q3=0,0,Q3/MBunk_ene!Q3)</f>
        <v>3.1024188000000001</v>
      </c>
      <c r="R9" s="79">
        <f>IF(R3=0,0,R3/MBunk_ene!R3)</f>
        <v>3.1024187999999997</v>
      </c>
      <c r="S9" s="79">
        <f>IF(S3=0,0,S3/MBunk_ene!S3)</f>
        <v>3.1024188000000001</v>
      </c>
      <c r="T9" s="79">
        <f>IF(T3=0,0,T3/MBunk_ene!T3)</f>
        <v>3.1024188000000001</v>
      </c>
      <c r="U9" s="79">
        <f>IF(U3=0,0,U3/MBunk_ene!U3)</f>
        <v>3.1024188000000006</v>
      </c>
      <c r="V9" s="79">
        <f>IF(V3=0,0,V3/MBunk_ene!V3)</f>
        <v>3.1024188000000001</v>
      </c>
      <c r="W9" s="79">
        <f>IF(W3=0,0,W3/MBunk_ene!W3)</f>
        <v>3.1024188000000001</v>
      </c>
      <c r="DA9" s="172"/>
    </row>
    <row r="10" spans="1:105" ht="11.45" customHeight="1" x14ac:dyDescent="0.25">
      <c r="A10" s="55" t="s">
        <v>170</v>
      </c>
      <c r="B10" s="80">
        <f>IF(B4=0,0,B4/MBunk_ene!B4)</f>
        <v>0</v>
      </c>
      <c r="C10" s="80">
        <f>IF(C4=0,0,C4/MBunk_ene!C4)</f>
        <v>0</v>
      </c>
      <c r="D10" s="80">
        <f>IF(D4=0,0,D4/MBunk_ene!D4)</f>
        <v>0</v>
      </c>
      <c r="E10" s="80">
        <f>IF(E4=0,0,E4/MBunk_ene!E4)</f>
        <v>0</v>
      </c>
      <c r="F10" s="80">
        <f>IF(F4=0,0,F4/MBunk_ene!F4)</f>
        <v>0</v>
      </c>
      <c r="G10" s="80">
        <f>IF(G4=0,0,G4/MBunk_ene!G4)</f>
        <v>0</v>
      </c>
      <c r="H10" s="80">
        <f>IF(H4=0,0,H4/MBunk_ene!H4)</f>
        <v>0</v>
      </c>
      <c r="I10" s="80">
        <f>IF(I4=0,0,I4/MBunk_ene!I4)</f>
        <v>3.1024188000000001</v>
      </c>
      <c r="J10" s="80">
        <f>IF(J4=0,0,J4/MBunk_ene!J4)</f>
        <v>3.15260382058799</v>
      </c>
      <c r="K10" s="80">
        <f>IF(K4=0,0,K4/MBunk_ene!K4)</f>
        <v>3.1410592684310981</v>
      </c>
      <c r="L10" s="80">
        <f>IF(L4=0,0,L4/MBunk_ene!L4)</f>
        <v>3.1024188000000001</v>
      </c>
      <c r="M10" s="80">
        <f>IF(M4=0,0,M4/MBunk_ene!M4)</f>
        <v>3.1024188000000001</v>
      </c>
      <c r="N10" s="80">
        <f>IF(N4=0,0,N4/MBunk_ene!N4)</f>
        <v>3.1024188000000006</v>
      </c>
      <c r="O10" s="80">
        <f>IF(O4=0,0,O4/MBunk_ene!O4)</f>
        <v>3.1024187999999993</v>
      </c>
      <c r="P10" s="80">
        <f>IF(P4=0,0,P4/MBunk_ene!P4)</f>
        <v>3.1024188000000001</v>
      </c>
      <c r="Q10" s="80">
        <f>IF(Q4=0,0,Q4/MBunk_ene!Q4)</f>
        <v>3.1024188000000001</v>
      </c>
      <c r="R10" s="80">
        <f>IF(R4=0,0,R4/MBunk_ene!R4)</f>
        <v>3.1024188000000001</v>
      </c>
      <c r="S10" s="80">
        <f>IF(S4=0,0,S4/MBunk_ene!S4)</f>
        <v>3.1024188000000001</v>
      </c>
      <c r="T10" s="80">
        <f>IF(T4=0,0,T4/MBunk_ene!T4)</f>
        <v>3.1024188000000006</v>
      </c>
      <c r="U10" s="80">
        <f>IF(U4=0,0,U4/MBunk_ene!U4)</f>
        <v>3.1024188000000006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0</v>
      </c>
      <c r="C11" s="81">
        <f>IF(C5=0,0,C5/MBunk_ene!C10)</f>
        <v>0</v>
      </c>
      <c r="D11" s="81">
        <f>IF(D5=0,0,D5/MBunk_ene!D10)</f>
        <v>0</v>
      </c>
      <c r="E11" s="81">
        <f>IF(E5=0,0,E5/MBunk_ene!E10)</f>
        <v>0</v>
      </c>
      <c r="F11" s="81">
        <f>IF(F5=0,0,F5/MBunk_ene!F10)</f>
        <v>0</v>
      </c>
      <c r="G11" s="81">
        <f>IF(G5=0,0,G5/MBunk_ene!G10)</f>
        <v>0</v>
      </c>
      <c r="H11" s="81">
        <f>IF(H5=0,0,H5/MBunk_ene!H10)</f>
        <v>0</v>
      </c>
      <c r="I11" s="81">
        <f>IF(I5=0,0,I5/MBunk_ene!I10)</f>
        <v>3.1758625794682849</v>
      </c>
      <c r="J11" s="81">
        <f>IF(J5=0,0,J5/MBunk_ene!J10)</f>
        <v>3.2207503602189016</v>
      </c>
      <c r="K11" s="81">
        <f>IF(K5=0,0,K5/MBunk_ene!K10)</f>
        <v>3.2085752385676467</v>
      </c>
      <c r="L11" s="81">
        <f>IF(L5=0,0,L5/MBunk_ene!L10)</f>
        <v>3.1546737852984181</v>
      </c>
      <c r="M11" s="81">
        <f>IF(M5=0,0,M5/MBunk_ene!M10)</f>
        <v>3.1024188000000001</v>
      </c>
      <c r="N11" s="81">
        <f>IF(N5=0,0,N5/MBunk_ene!N10)</f>
        <v>3.1024188000000006</v>
      </c>
      <c r="O11" s="81">
        <f>IF(O5=0,0,O5/MBunk_ene!O10)</f>
        <v>3.1024187999999993</v>
      </c>
      <c r="P11" s="81">
        <f>IF(P5=0,0,P5/MBunk_ene!P10)</f>
        <v>3.1024187999999997</v>
      </c>
      <c r="Q11" s="81">
        <f>IF(Q5=0,0,Q5/MBunk_ene!Q10)</f>
        <v>3.1024188000000001</v>
      </c>
      <c r="R11" s="81">
        <f>IF(R5=0,0,R5/MBunk_ene!R10)</f>
        <v>3.1024187999999997</v>
      </c>
      <c r="S11" s="81">
        <f>IF(S5=0,0,S5/MBunk_ene!S10)</f>
        <v>3.1024188000000001</v>
      </c>
      <c r="T11" s="81">
        <f>IF(T5=0,0,T5/MBunk_ene!T10)</f>
        <v>3.1024188000000001</v>
      </c>
      <c r="U11" s="81">
        <f>IF(U5=0,0,U5/MBunk_ene!U10)</f>
        <v>3.1024188000000001</v>
      </c>
      <c r="V11" s="81">
        <f>IF(V5=0,0,V5/MBunk_ene!V10)</f>
        <v>3.1024187999999997</v>
      </c>
      <c r="W11" s="81">
        <f>IF(W5=0,0,W5/MBunk_ene!W10)</f>
        <v>3.1024187999999997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0</v>
      </c>
      <c r="C13" s="62">
        <f>IF(C3=0,0,C3/MBunk_act!C7*100)</f>
        <v>0</v>
      </c>
      <c r="D13" s="62">
        <f>IF(D3=0,0,D3/MBunk_act!D7*100)</f>
        <v>0</v>
      </c>
      <c r="E13" s="62">
        <f>IF(E3=0,0,E3/MBunk_act!E7*100)</f>
        <v>0</v>
      </c>
      <c r="F13" s="62">
        <f>IF(F3=0,0,F3/MBunk_act!F7*100)</f>
        <v>0</v>
      </c>
      <c r="G13" s="62">
        <f>IF(G3=0,0,G3/MBunk_act!G7*100)</f>
        <v>0</v>
      </c>
      <c r="H13" s="62">
        <f>IF(H3=0,0,H3/MBunk_act!H7*100)</f>
        <v>0</v>
      </c>
      <c r="I13" s="62">
        <f>IF(I3=0,0,I3/MBunk_act!I7*100)</f>
        <v>2549.4338419737046</v>
      </c>
      <c r="J13" s="62">
        <f>IF(J3=0,0,J3/MBunk_act!J7*100)</f>
        <v>4541.1911066161647</v>
      </c>
      <c r="K13" s="62">
        <f>IF(K3=0,0,K3/MBunk_act!K7*100)</f>
        <v>1178.6387760546243</v>
      </c>
      <c r="L13" s="62">
        <f>IF(L3=0,0,L3/MBunk_act!L7*100)</f>
        <v>1112.1011795438562</v>
      </c>
      <c r="M13" s="62">
        <f>IF(M3=0,0,M3/MBunk_act!M7*100)</f>
        <v>518.51771489635246</v>
      </c>
      <c r="N13" s="62">
        <f>IF(N3=0,0,N3/MBunk_act!N7*100)</f>
        <v>828.21279063926522</v>
      </c>
      <c r="O13" s="62">
        <f>IF(O3=0,0,O3/MBunk_act!O7*100)</f>
        <v>2220.8689146860961</v>
      </c>
      <c r="P13" s="62">
        <f>IF(P3=0,0,P3/MBunk_act!P7*100)</f>
        <v>4723.2423034236945</v>
      </c>
      <c r="Q13" s="62">
        <f>IF(Q3=0,0,Q3/MBunk_act!Q7*100)</f>
        <v>2500.3026818490102</v>
      </c>
      <c r="R13" s="62">
        <f>IF(R3=0,0,R3/MBunk_act!R7*100)</f>
        <v>1844.1058347879896</v>
      </c>
      <c r="S13" s="62">
        <f>IF(S3=0,0,S3/MBunk_act!S7*100)</f>
        <v>1653.2971604537868</v>
      </c>
      <c r="T13" s="62">
        <f>IF(T3=0,0,T3/MBunk_act!T7*100)</f>
        <v>944.20814137310526</v>
      </c>
      <c r="U13" s="62">
        <f>IF(U3=0,0,U3/MBunk_act!U7*100)</f>
        <v>1845.0525783150379</v>
      </c>
      <c r="V13" s="62">
        <f>IF(V3=0,0,V3/MBunk_act!V7*100)</f>
        <v>2645.8817374519435</v>
      </c>
      <c r="W13" s="62">
        <f>IF(W3=0,0,W3/MBunk_act!W7*100)</f>
        <v>1976.5666072097106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0</v>
      </c>
      <c r="C14" s="63">
        <f>IF(C4=0,0,C4/MBunk_act!C8*100)</f>
        <v>0</v>
      </c>
      <c r="D14" s="63">
        <f>IF(D4=0,0,D4/MBunk_act!D8*100)</f>
        <v>0</v>
      </c>
      <c r="E14" s="63">
        <f>IF(E4=0,0,E4/MBunk_act!E8*100)</f>
        <v>0</v>
      </c>
      <c r="F14" s="63">
        <f>IF(F4=0,0,F4/MBunk_act!F8*100)</f>
        <v>0</v>
      </c>
      <c r="G14" s="63">
        <f>IF(G4=0,0,G4/MBunk_act!G8*100)</f>
        <v>0</v>
      </c>
      <c r="H14" s="63">
        <f>IF(H4=0,0,H4/MBunk_act!H8*100)</f>
        <v>0</v>
      </c>
      <c r="I14" s="63">
        <f>IF(I4=0,0,I4/MBunk_act!I8*100)</f>
        <v>2349.2769100223977</v>
      </c>
      <c r="J14" s="63">
        <f>IF(J4=0,0,J4/MBunk_act!J8*100)</f>
        <v>4192.3858941720619</v>
      </c>
      <c r="K14" s="63">
        <f>IF(K4=0,0,K4/MBunk_act!K8*100)</f>
        <v>942.47957549627051</v>
      </c>
      <c r="L14" s="63">
        <f>IF(L4=0,0,L4/MBunk_act!L8*100)</f>
        <v>923.21821828094687</v>
      </c>
      <c r="M14" s="63">
        <f>IF(M4=0,0,M4/MBunk_act!M8*100)</f>
        <v>437.3637822506555</v>
      </c>
      <c r="N14" s="63">
        <f>IF(N4=0,0,N4/MBunk_act!N8*100)</f>
        <v>716.9592300201781</v>
      </c>
      <c r="O14" s="63">
        <f>IF(O4=0,0,O4/MBunk_act!O8*100)</f>
        <v>1954.1577798661731</v>
      </c>
      <c r="P14" s="63">
        <f>IF(P4=0,0,P4/MBunk_act!P8*100)</f>
        <v>3949.4655918454705</v>
      </c>
      <c r="Q14" s="63">
        <f>IF(Q4=0,0,Q4/MBunk_act!Q8*100)</f>
        <v>2086.2106076907539</v>
      </c>
      <c r="R14" s="63">
        <f>IF(R4=0,0,R4/MBunk_act!R8*100)</f>
        <v>1525.4704412341951</v>
      </c>
      <c r="S14" s="63">
        <f>IF(S4=0,0,S4/MBunk_act!S8*100)</f>
        <v>1340.9028532866171</v>
      </c>
      <c r="T14" s="63">
        <f>IF(T4=0,0,T4/MBunk_act!T8*100)</f>
        <v>756.81020041920442</v>
      </c>
      <c r="U14" s="63">
        <f>IF(U4=0,0,U4/MBunk_act!U8*100)</f>
        <v>1526.8773120468018</v>
      </c>
      <c r="V14" s="63">
        <f>IF(V4=0,0,V4/MBunk_act!V8*100)</f>
        <v>2023.109241572163</v>
      </c>
      <c r="W14" s="63">
        <f>IF(W4=0,0,W4/MBunk_act!W8*100)</f>
        <v>1484.9717273634424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0</v>
      </c>
      <c r="C15" s="64">
        <f>IF(C5=0,0,C5/MBunk_act!C9*100)</f>
        <v>0</v>
      </c>
      <c r="D15" s="64">
        <f>IF(D5=0,0,D5/MBunk_act!D9*100)</f>
        <v>0</v>
      </c>
      <c r="E15" s="64">
        <f>IF(E5=0,0,E5/MBunk_act!E9*100)</f>
        <v>0</v>
      </c>
      <c r="F15" s="64">
        <f>IF(F5=0,0,F5/MBunk_act!F9*100)</f>
        <v>0</v>
      </c>
      <c r="G15" s="64">
        <f>IF(G5=0,0,G5/MBunk_act!G9*100)</f>
        <v>0</v>
      </c>
      <c r="H15" s="64">
        <f>IF(H5=0,0,H5/MBunk_act!H9*100)</f>
        <v>0</v>
      </c>
      <c r="I15" s="64">
        <f>IF(I5=0,0,I5/MBunk_act!I9*100)</f>
        <v>2635.8416749119929</v>
      </c>
      <c r="J15" s="64">
        <f>IF(J5=0,0,J5/MBunk_act!J9*100)</f>
        <v>4688.7116628110207</v>
      </c>
      <c r="K15" s="64">
        <f>IF(K5=0,0,K5/MBunk_act!K9*100)</f>
        <v>1499.5619129105016</v>
      </c>
      <c r="L15" s="64">
        <f>IF(L5=0,0,L5/MBunk_act!L9*100)</f>
        <v>1291.6308034414592</v>
      </c>
      <c r="M15" s="64">
        <f>IF(M5=0,0,M5/MBunk_act!M9*100)</f>
        <v>585.95293374885796</v>
      </c>
      <c r="N15" s="64">
        <f>IF(N5=0,0,N5/MBunk_act!N9*100)</f>
        <v>899.46704903567718</v>
      </c>
      <c r="O15" s="64">
        <f>IF(O5=0,0,O5/MBunk_act!O9*100)</f>
        <v>2373.8019503979372</v>
      </c>
      <c r="P15" s="64">
        <f>IF(P5=0,0,P5/MBunk_act!P9*100)</f>
        <v>5399.3712164999633</v>
      </c>
      <c r="Q15" s="64">
        <f>IF(Q5=0,0,Q5/MBunk_act!Q9*100)</f>
        <v>2871.17723515343</v>
      </c>
      <c r="R15" s="64">
        <f>IF(R5=0,0,R5/MBunk_act!R9*100)</f>
        <v>2139.9969199987636</v>
      </c>
      <c r="S15" s="64">
        <f>IF(S5=0,0,S5/MBunk_act!S9*100)</f>
        <v>2001.4548485625487</v>
      </c>
      <c r="T15" s="64">
        <f>IF(T5=0,0,T5/MBunk_act!T9*100)</f>
        <v>1170.7588408073509</v>
      </c>
      <c r="U15" s="64">
        <f>IF(U5=0,0,U5/MBunk_act!U9*100)</f>
        <v>2127.9024419660623</v>
      </c>
      <c r="V15" s="64">
        <f>IF(V5=0,0,V5/MBunk_act!V9*100)</f>
        <v>3221.3267848110108</v>
      </c>
      <c r="W15" s="64">
        <f>IF(W5=0,0,W5/MBunk_act!W9*100)</f>
        <v>2409.2682900480327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0</v>
      </c>
      <c r="C17" s="62">
        <f>IF(C3=0,0,C3/MBunk_act!C3*1000)</f>
        <v>0</v>
      </c>
      <c r="D17" s="62">
        <f>IF(D3=0,0,D3/MBunk_act!D3*1000)</f>
        <v>0</v>
      </c>
      <c r="E17" s="62">
        <f>IF(E3=0,0,E3/MBunk_act!E3*1000)</f>
        <v>0</v>
      </c>
      <c r="F17" s="62">
        <f>IF(F3=0,0,F3/MBunk_act!F3*1000)</f>
        <v>0</v>
      </c>
      <c r="G17" s="62">
        <f>IF(G3=0,0,G3/MBunk_act!G3*1000)</f>
        <v>0</v>
      </c>
      <c r="H17" s="62">
        <f>IF(H3=0,0,H3/MBunk_act!H3*1000)</f>
        <v>0</v>
      </c>
      <c r="I17" s="62">
        <f>IF(I3=0,0,I3/MBunk_act!I3*1000)</f>
        <v>1.2910893447121916</v>
      </c>
      <c r="J17" s="62">
        <f>IF(J3=0,0,J3/MBunk_act!J3*1000)</f>
        <v>2.1316032677018395</v>
      </c>
      <c r="K17" s="62">
        <f>IF(K3=0,0,K3/MBunk_act!K3*1000)</f>
        <v>0.79047095362105368</v>
      </c>
      <c r="L17" s="62">
        <f>IF(L3=0,0,L3/MBunk_act!L3*1000)</f>
        <v>0.6198232440390683</v>
      </c>
      <c r="M17" s="62">
        <f>IF(M3=0,0,M3/MBunk_act!M3*1000)</f>
        <v>0.35656622103839508</v>
      </c>
      <c r="N17" s="62">
        <f>IF(N3=0,0,N3/MBunk_act!N3*1000)</f>
        <v>0.48020969763422938</v>
      </c>
      <c r="O17" s="62">
        <f>IF(O3=0,0,O3/MBunk_act!O3*1000)</f>
        <v>1.1933536417325692</v>
      </c>
      <c r="P17" s="62">
        <f>IF(P3=0,0,P3/MBunk_act!P3*1000)</f>
        <v>2.7550726582286158</v>
      </c>
      <c r="Q17" s="62">
        <f>IF(Q3=0,0,Q3/MBunk_act!Q3*1000)</f>
        <v>1.4005081046374881</v>
      </c>
      <c r="R17" s="62">
        <f>IF(R3=0,0,R3/MBunk_act!R3*1000)</f>
        <v>1.0153364175029964</v>
      </c>
      <c r="S17" s="62">
        <f>IF(S3=0,0,S3/MBunk_act!S3*1000)</f>
        <v>0.94754438436935229</v>
      </c>
      <c r="T17" s="62">
        <f>IF(T3=0,0,T3/MBunk_act!T3*1000)</f>
        <v>0.55004001505492339</v>
      </c>
      <c r="U17" s="62">
        <f>IF(U3=0,0,U3/MBunk_act!U3*1000)</f>
        <v>0.95567603239505594</v>
      </c>
      <c r="V17" s="62">
        <f>IF(V3=0,0,V3/MBunk_act!V3*1000)</f>
        <v>1.4346021235423356</v>
      </c>
      <c r="W17" s="62">
        <f>IF(W3=0,0,W3/MBunk_act!W3*1000)</f>
        <v>0.96494230856461993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0</v>
      </c>
      <c r="C18" s="63">
        <f>IF(C4=0,0,C4/MBunk_act!C4*1000)</f>
        <v>0</v>
      </c>
      <c r="D18" s="63">
        <f>IF(D4=0,0,D4/MBunk_act!D4*1000)</f>
        <v>0</v>
      </c>
      <c r="E18" s="63">
        <f>IF(E4=0,0,E4/MBunk_act!E4*1000)</f>
        <v>0</v>
      </c>
      <c r="F18" s="63">
        <f>IF(F4=0,0,F4/MBunk_act!F4*1000)</f>
        <v>0</v>
      </c>
      <c r="G18" s="63">
        <f>IF(G4=0,0,G4/MBunk_act!G4*1000)</f>
        <v>0</v>
      </c>
      <c r="H18" s="63">
        <f>IF(H4=0,0,H4/MBunk_act!H4*1000)</f>
        <v>0</v>
      </c>
      <c r="I18" s="63">
        <f>IF(I4=0,0,I4/MBunk_act!I4*1000)</f>
        <v>3.1567644043330452</v>
      </c>
      <c r="J18" s="63">
        <f>IF(J4=0,0,J4/MBunk_act!J4*1000)</f>
        <v>5.3535334475965364</v>
      </c>
      <c r="K18" s="63">
        <f>IF(K4=0,0,K4/MBunk_act!K4*1000)</f>
        <v>1.2088365874860756</v>
      </c>
      <c r="L18" s="63">
        <f>IF(L4=0,0,L4/MBunk_act!L4*1000)</f>
        <v>1.1621931825672021</v>
      </c>
      <c r="M18" s="63">
        <f>IF(M4=0,0,M4/MBunk_act!M4*1000)</f>
        <v>0.72107958644086001</v>
      </c>
      <c r="N18" s="63">
        <f>IF(N4=0,0,N4/MBunk_act!N4*1000)</f>
        <v>1.1102586887708734</v>
      </c>
      <c r="O18" s="63">
        <f>IF(O4=0,0,O4/MBunk_act!O4*1000)</f>
        <v>2.8417655480050814</v>
      </c>
      <c r="P18" s="63">
        <f>IF(P4=0,0,P4/MBunk_act!P4*1000)</f>
        <v>5.4806837871226746</v>
      </c>
      <c r="Q18" s="63">
        <f>IF(Q4=0,0,Q4/MBunk_act!Q4*1000)</f>
        <v>2.7738998347212389</v>
      </c>
      <c r="R18" s="63">
        <f>IF(R4=0,0,R4/MBunk_act!R4*1000)</f>
        <v>1.9597614947110205</v>
      </c>
      <c r="S18" s="63">
        <f>IF(S4=0,0,S4/MBunk_act!S4*1000)</f>
        <v>1.6802872259470234</v>
      </c>
      <c r="T18" s="63">
        <f>IF(T4=0,0,T4/MBunk_act!T4*1000)</f>
        <v>0.93116652788734211</v>
      </c>
      <c r="U18" s="63">
        <f>IF(U4=0,0,U4/MBunk_act!U4*1000)</f>
        <v>1.9135615548626781</v>
      </c>
      <c r="V18" s="63">
        <f>IF(V4=0,0,V4/MBunk_act!V4*1000)</f>
        <v>2.4216296100259656</v>
      </c>
      <c r="W18" s="63">
        <f>IF(W4=0,0,W4/MBunk_act!W4*1000)</f>
        <v>1.7490716555936547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0</v>
      </c>
      <c r="C19" s="64">
        <f>IF(C5=0,0,C5/MBunk_act!C5*1000)</f>
        <v>0</v>
      </c>
      <c r="D19" s="64">
        <f>IF(D5=0,0,D5/MBunk_act!D5*1000)</f>
        <v>0</v>
      </c>
      <c r="E19" s="64">
        <f>IF(E5=0,0,E5/MBunk_act!E5*1000)</f>
        <v>0</v>
      </c>
      <c r="F19" s="64">
        <f>IF(F5=0,0,F5/MBunk_act!F5*1000)</f>
        <v>0</v>
      </c>
      <c r="G19" s="64">
        <f>IF(G5=0,0,G5/MBunk_act!G5*1000)</f>
        <v>0</v>
      </c>
      <c r="H19" s="64">
        <f>IF(H5=0,0,H5/MBunk_act!H5*1000)</f>
        <v>0</v>
      </c>
      <c r="I19" s="64">
        <f>IF(I5=0,0,I5/MBunk_act!I5*1000)</f>
        <v>1.0518893072179876</v>
      </c>
      <c r="J19" s="64">
        <f>IF(J5=0,0,J5/MBunk_act!J5*1000)</f>
        <v>1.7364132281998776</v>
      </c>
      <c r="K19" s="64">
        <f>IF(K5=0,0,K5/MBunk_act!K5*1000)</f>
        <v>0.6101235482890488</v>
      </c>
      <c r="L19" s="64">
        <f>IF(L5=0,0,L5/MBunk_act!L5*1000)</f>
        <v>0.47061511915909471</v>
      </c>
      <c r="M19" s="64">
        <f>IF(M5=0,0,M5/MBunk_act!M5*1000)</f>
        <v>0.27145521409614454</v>
      </c>
      <c r="N19" s="64">
        <f>IF(N5=0,0,N5/MBunk_act!N5*1000)</f>
        <v>0.37234067788162389</v>
      </c>
      <c r="O19" s="64">
        <f>IF(O5=0,0,O5/MBunk_act!O5*1000)</f>
        <v>0.93683640056599826</v>
      </c>
      <c r="P19" s="64">
        <f>IF(P5=0,0,P5/MBunk_act!P5*1000)</f>
        <v>2.0905628709917381</v>
      </c>
      <c r="Q19" s="64">
        <f>IF(Q5=0,0,Q5/MBunk_act!Q5*1000)</f>
        <v>1.0592218188210505</v>
      </c>
      <c r="R19" s="64">
        <f>IF(R5=0,0,R5/MBunk_act!R5*1000)</f>
        <v>0.76977651113508938</v>
      </c>
      <c r="S19" s="64">
        <f>IF(S5=0,0,S5/MBunk_act!S5*1000)</f>
        <v>0.71480089434811633</v>
      </c>
      <c r="T19" s="64">
        <f>IF(T5=0,0,T5/MBunk_act!T5*1000)</f>
        <v>0.41674071684250241</v>
      </c>
      <c r="U19" s="64">
        <f>IF(U5=0,0,U5/MBunk_act!U5*1000)</f>
        <v>0.72437538718151595</v>
      </c>
      <c r="V19" s="64">
        <f>IF(V5=0,0,V5/MBunk_act!V5*1000)</f>
        <v>1.1601867630021847</v>
      </c>
      <c r="W19" s="64">
        <f>IF(W5=0,0,W5/MBunk_act!W5*1000)</f>
        <v>0.77616548071675151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0</v>
      </c>
      <c r="C21" s="76">
        <f t="shared" si="2"/>
        <v>0</v>
      </c>
      <c r="D21" s="76">
        <f t="shared" si="2"/>
        <v>0</v>
      </c>
      <c r="E21" s="76">
        <f t="shared" si="2"/>
        <v>0</v>
      </c>
      <c r="F21" s="76">
        <f t="shared" si="2"/>
        <v>0</v>
      </c>
      <c r="G21" s="76">
        <f t="shared" si="2"/>
        <v>0</v>
      </c>
      <c r="H21" s="76">
        <f t="shared" si="2"/>
        <v>0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</v>
      </c>
      <c r="C22" s="77">
        <f t="shared" si="2"/>
        <v>0</v>
      </c>
      <c r="D22" s="77">
        <f t="shared" si="2"/>
        <v>0</v>
      </c>
      <c r="E22" s="77">
        <f t="shared" si="2"/>
        <v>0</v>
      </c>
      <c r="F22" s="77">
        <f t="shared" si="2"/>
        <v>0</v>
      </c>
      <c r="G22" s="77">
        <f t="shared" si="2"/>
        <v>0</v>
      </c>
      <c r="H22" s="77">
        <f t="shared" si="2"/>
        <v>0</v>
      </c>
      <c r="I22" s="77">
        <f t="shared" si="2"/>
        <v>0.27785664488334133</v>
      </c>
      <c r="J22" s="77">
        <f t="shared" si="2"/>
        <v>0.27439562946047724</v>
      </c>
      <c r="K22" s="77">
        <f t="shared" si="2"/>
        <v>0.46065189483965252</v>
      </c>
      <c r="L22" s="77">
        <f t="shared" si="2"/>
        <v>0.40454024040524078</v>
      </c>
      <c r="M22" s="77">
        <f t="shared" si="2"/>
        <v>0.38280613272231984</v>
      </c>
      <c r="N22" s="77">
        <f t="shared" si="2"/>
        <v>0.33797289821738563</v>
      </c>
      <c r="O22" s="77">
        <f t="shared" si="2"/>
        <v>0.32066888038797392</v>
      </c>
      <c r="P22" s="77">
        <f t="shared" si="2"/>
        <v>0.38993110665039515</v>
      </c>
      <c r="Q22" s="77">
        <f t="shared" si="2"/>
        <v>0.39422249803066839</v>
      </c>
      <c r="R22" s="77">
        <f t="shared" si="2"/>
        <v>0.39829901737277745</v>
      </c>
      <c r="S22" s="77">
        <f t="shared" si="2"/>
        <v>0.42747958209111386</v>
      </c>
      <c r="T22" s="77">
        <f t="shared" si="2"/>
        <v>0.43867025081761934</v>
      </c>
      <c r="U22" s="77">
        <f t="shared" si="2"/>
        <v>0.3894563039323774</v>
      </c>
      <c r="V22" s="77">
        <f t="shared" si="2"/>
        <v>0.3672121886178018</v>
      </c>
      <c r="W22" s="77">
        <f t="shared" si="2"/>
        <v>0.35170940140043588</v>
      </c>
      <c r="DA22" s="184"/>
    </row>
    <row r="23" spans="1:105" ht="11.45" customHeight="1" x14ac:dyDescent="0.25">
      <c r="A23" s="57" t="s">
        <v>171</v>
      </c>
      <c r="B23" s="78">
        <f t="shared" si="2"/>
        <v>0</v>
      </c>
      <c r="C23" s="78">
        <f t="shared" si="2"/>
        <v>0</v>
      </c>
      <c r="D23" s="78">
        <f t="shared" si="2"/>
        <v>0</v>
      </c>
      <c r="E23" s="78">
        <f t="shared" si="2"/>
        <v>0</v>
      </c>
      <c r="F23" s="78">
        <f t="shared" si="2"/>
        <v>0</v>
      </c>
      <c r="G23" s="78">
        <f t="shared" si="2"/>
        <v>0</v>
      </c>
      <c r="H23" s="78">
        <f t="shared" si="2"/>
        <v>0</v>
      </c>
      <c r="I23" s="78">
        <f t="shared" si="2"/>
        <v>0.72214335511665873</v>
      </c>
      <c r="J23" s="78">
        <f t="shared" si="2"/>
        <v>0.72560437053952276</v>
      </c>
      <c r="K23" s="78">
        <f t="shared" si="2"/>
        <v>0.53934810516034759</v>
      </c>
      <c r="L23" s="78">
        <f t="shared" si="2"/>
        <v>0.59545975959475916</v>
      </c>
      <c r="M23" s="78">
        <f t="shared" si="2"/>
        <v>0.61719386727768011</v>
      </c>
      <c r="N23" s="78">
        <f t="shared" si="2"/>
        <v>0.66202710178261437</v>
      </c>
      <c r="O23" s="78">
        <f t="shared" si="2"/>
        <v>0.67933111961202608</v>
      </c>
      <c r="P23" s="78">
        <f t="shared" si="2"/>
        <v>0.61006889334960479</v>
      </c>
      <c r="Q23" s="78">
        <f t="shared" si="2"/>
        <v>0.60577750196933156</v>
      </c>
      <c r="R23" s="78">
        <f t="shared" si="2"/>
        <v>0.60170098262722249</v>
      </c>
      <c r="S23" s="78">
        <f t="shared" si="2"/>
        <v>0.57252041790888608</v>
      </c>
      <c r="T23" s="78">
        <f t="shared" si="2"/>
        <v>0.56132974918238066</v>
      </c>
      <c r="U23" s="78">
        <f t="shared" si="2"/>
        <v>0.61054369606762249</v>
      </c>
      <c r="V23" s="78">
        <f t="shared" si="2"/>
        <v>0.6327878113821982</v>
      </c>
      <c r="W23" s="78">
        <f t="shared" si="2"/>
        <v>0.64829059859956417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2024-05-20T16:55:30Z</dcterms:created>
  <dcterms:modified xsi:type="dcterms:W3CDTF">2024-05-20T16:55:30Z</dcterms:modified>
</cp:coreProperties>
</file>