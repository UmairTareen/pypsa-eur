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H31" i="6" l="1"/>
  <c r="N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31" l="1"/>
  <c r="W3" i="29"/>
  <c r="N3" i="29"/>
  <c r="U19" i="2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9" i="23" l="1"/>
  <c r="G29" i="13"/>
  <c r="E16" i="23"/>
  <c r="K4" i="24"/>
  <c r="P29" i="13"/>
  <c r="P19" i="13"/>
  <c r="G29" i="12"/>
  <c r="G29" i="15" s="1"/>
  <c r="F16" i="12"/>
  <c r="F16" i="15" s="1"/>
  <c r="E4" i="13"/>
  <c r="O29" i="13"/>
  <c r="O29" i="12"/>
  <c r="E19" i="24"/>
  <c r="I4" i="23"/>
  <c r="O29" i="23"/>
  <c r="O29" i="26" s="1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E27" i="12"/>
  <c r="E27" i="13"/>
  <c r="E27" i="16" s="1"/>
  <c r="E19" i="23"/>
  <c r="E19" i="26" s="1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154" i="6"/>
  <c r="B130" i="6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7" i="4"/>
  <c r="B25" i="4"/>
  <c r="B28" i="4"/>
  <c r="B29" i="4"/>
  <c r="B44" i="4"/>
  <c r="B39" i="4"/>
  <c r="B15" i="4"/>
  <c r="B45" i="4"/>
  <c r="B12" i="4"/>
  <c r="B4" i="4"/>
  <c r="B43" i="4"/>
  <c r="B14" i="4"/>
  <c r="B37" i="4"/>
  <c r="B13" i="4"/>
  <c r="B21" i="4"/>
  <c r="B10" i="4"/>
  <c r="B35" i="4"/>
  <c r="B24" i="4"/>
  <c r="B33" i="4"/>
  <c r="B9" i="4"/>
  <c r="B27" i="4"/>
  <c r="B16" i="4"/>
  <c r="B36" i="4"/>
  <c r="B8" i="4"/>
  <c r="B34" i="4"/>
  <c r="B26" i="4"/>
  <c r="B30" i="4"/>
  <c r="B22" i="4"/>
  <c r="B20" i="4"/>
  <c r="B42" i="4"/>
  <c r="B11" i="4"/>
  <c r="B23" i="4"/>
  <c r="B17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<sst xmlns="http://schemas.openxmlformats.org/spreadsheetml/2006/main" count="2099" uniqueCount="1055">
  <si>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</si>
  <si>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</si>
  <si>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</si>
  <si>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</si>
  <si>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</si>
  <si>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</si>
  <si>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</si>
  <si>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</si>
  <si>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</si>
  <si>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</si>
  <si>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</si>
  <si>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</si>
  <si>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</si>
  <si>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</si>
  <si>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</si>
  <si>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</si>
  <si>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</si>
  <si>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</si>
  <si>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</si>
  <si>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</si>
  <si>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</si>
  <si>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</si>
  <si>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</si>
  <si>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</si>
  <si>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</si>
  <si>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</si>
  <si>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</si>
  <si>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</si>
  <si>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</si>
  <si>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</si>
  <si>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</si>
  <si>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</si>
  <si>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</si>
  <si>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</si>
  <si>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</si>
  <si>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</si>
  <si>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</si>
  <si>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</si>
  <si>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</si>
  <si>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</si>
  <si>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</si>
  <si>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</si>
  <si>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</si>
  <si>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</si>
  <si>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</si>
  <si>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</si>
  <si>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</si>
  <si>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</si>
  <si>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</si>
  <si>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</si>
  <si>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</si>
  <si>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</si>
  <si>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</si>
  <si>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</si>
  <si>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</si>
  <si>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</si>
  <si>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</si>
  <si>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</si>
  <si>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</si>
  <si>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</si>
  <si>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</si>
  <si>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</si>
  <si>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</si>
  <si>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</si>
  <si>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</si>
  <si>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</si>
  <si>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</si>
  <si>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</si>
  <si>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</si>
  <si>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</si>
  <si>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</si>
  <si>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</si>
  <si>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</si>
  <si>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</si>
  <si>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</si>
  <si>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</si>
  <si>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</si>
  <si>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</si>
  <si>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</si>
  <si>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</si>
  <si>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</si>
  <si>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</si>
  <si>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</si>
  <si>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</si>
  <si>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</si>
  <si>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</si>
  <si>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</si>
  <si>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</si>
  <si>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</si>
  <si>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</si>
  <si>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</si>
  <si>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</si>
  <si>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</si>
  <si>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</si>
  <si>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</si>
  <si>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</si>
  <si>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</si>
  <si>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</si>
  <si>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</si>
  <si>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</si>
  <si>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</si>
  <si>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</si>
  <si>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</si>
  <si>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</si>
  <si>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</si>
  <si>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</si>
  <si>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</si>
  <si>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</si>
  <si>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</si>
  <si>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</si>
  <si>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</si>
  <si>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</si>
  <si>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</si>
  <si>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</si>
  <si>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</si>
  <si>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</si>
  <si>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</si>
  <si>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</si>
  <si>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</si>
  <si>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</si>
  <si>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</si>
  <si>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</si>
  <si>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</si>
  <si>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</si>
  <si>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</si>
  <si>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</si>
  <si>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</si>
  <si>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</si>
  <si>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</si>
  <si>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</si>
  <si>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</si>
  <si>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</si>
  <si>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</si>
  <si>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</si>
  <si>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</si>
  <si>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</si>
  <si>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</si>
  <si>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</si>
  <si>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</si>
  <si>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</si>
  <si>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</si>
  <si>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</si>
  <si>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</si>
  <si>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</si>
  <si>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</si>
  <si>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</si>
  <si>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</si>
  <si>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</si>
  <si>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</si>
  <si>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</si>
  <si>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</si>
  <si>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</si>
  <si>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</si>
  <si>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</si>
  <si>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</si>
  <si>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</si>
  <si>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</si>
  <si>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</si>
  <si>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</si>
  <si>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</si>
  <si>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</si>
  <si>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</si>
  <si>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</si>
  <si>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</si>
  <si>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</si>
  <si>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</si>
  <si>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</si>
  <si>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</si>
  <si>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</si>
  <si>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</si>
  <si>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</si>
  <si>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</si>
  <si>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</si>
  <si>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</si>
  <si>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</si>
  <si>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</si>
  <si>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</si>
  <si>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</si>
  <si>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</si>
  <si>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</si>
  <si>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</si>
  <si>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</si>
  <si>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</si>
  <si>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</si>
  <si>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SI</t>
  </si>
  <si>
    <t>Slovenia</t>
  </si>
  <si>
    <t>SI - Services sector summary</t>
  </si>
  <si>
    <t>Macro.number.SI.Population</t>
  </si>
  <si>
    <t>Macro.Meuro2015.SI.GDP</t>
  </si>
  <si>
    <t>Macro.Meuro2015.SI.VA</t>
  </si>
  <si>
    <t>Macro.number.SI.Employees</t>
  </si>
  <si>
    <t>NUM.number.SI.Ser.Bld</t>
  </si>
  <si>
    <t>SurfaceArea.ksqm.SI.Ser.Bld</t>
  </si>
  <si>
    <t>NUM.number.SI.Ser.BldNew</t>
  </si>
  <si>
    <t>SurfaceArea.ksqm.SI.Ser.BldNew</t>
  </si>
  <si>
    <t>HDD.Celsius.SI.Actual</t>
  </si>
  <si>
    <t>HDD.Celsius.SI.Mean</t>
  </si>
  <si>
    <t>HDD.ratio.SI.Relative</t>
  </si>
  <si>
    <t>FEC.ktoe.SI.ES.Ser</t>
  </si>
  <si>
    <t>FEC.ktoe.SI.ES.Ser.Solids</t>
  </si>
  <si>
    <t>FEC.ktoe.SI.ES.Ser.LPG</t>
  </si>
  <si>
    <t>FEC.ktoe.SI.ES.Ser.Oil</t>
  </si>
  <si>
    <t>FEC.ktoe.SI.ES.Ser.NG</t>
  </si>
  <si>
    <t>FEC.ktoe.SI.ES.Ser.Biomass_Waste</t>
  </si>
  <si>
    <t>FEC.ktoe.SI.ES.Ser.Biogas</t>
  </si>
  <si>
    <t>FEC.ktoe.SI.ES.Ser.LiqBio</t>
  </si>
  <si>
    <t>FEC.ktoe.SI.ES.Ser.Solar</t>
  </si>
  <si>
    <t>FEC.ktoe.SI.ES.Ser.Geo</t>
  </si>
  <si>
    <t>FEC.ktoe.SI.ES.Ser.Ambient</t>
  </si>
  <si>
    <t>FEC.ktoe.SI.ES.Ser.Steam_Distr</t>
  </si>
  <si>
    <t>FEC.ktoe.SI.ES.Ser.Elec</t>
  </si>
  <si>
    <t>FEC.ktoe.SI.Ser</t>
  </si>
  <si>
    <t>FEC.ktoe.SI.Ser.Bld.Thermal</t>
  </si>
  <si>
    <t>FEC.ktoe.SI.Ser.Bld.Thermal.SH</t>
  </si>
  <si>
    <t>FEC.ktoe.SI.Ser.Bld.Thermal.SC</t>
  </si>
  <si>
    <t>FEC.ktoe.SI.Ser.Bld.Thermal.HW</t>
  </si>
  <si>
    <t>FEC.ktoe.SI.Ser.Bld.Thermal.CA</t>
  </si>
  <si>
    <t>FEC.ktoe.SI.Ser.SEU</t>
  </si>
  <si>
    <t>EMI.ktCO2.SI.ES.Ser</t>
  </si>
  <si>
    <t>EMI.ktCO2.SI.ES.Ser.Solids</t>
  </si>
  <si>
    <t>EMI.ktCO2.SI.ES.Ser.LPG</t>
  </si>
  <si>
    <t>EMI.ktCO2.SI.ES.Ser.Oil</t>
  </si>
  <si>
    <t>EMI.ktCO2.SI.ES.Ser.NG</t>
  </si>
  <si>
    <t>EMI.ktCO2.SI.ES.Ser.Biomass_Waste</t>
  </si>
  <si>
    <t>EMI.ktCO2.SI.ES.Ser.Biogas</t>
  </si>
  <si>
    <t>EMI.ktCO2.SI.ES.Ser.LiqBio</t>
  </si>
  <si>
    <t>EMI.ktCO2.SI.ES.Ser.Solar</t>
  </si>
  <si>
    <t>EMI.ktCO2.SI.ES.Ser.Geo</t>
  </si>
  <si>
    <t>EMI.ktCO2.SI.ES.Ser.Ambient</t>
  </si>
  <si>
    <t>EMI.ktCO2.SI.ES.Ser.Steam_Distr</t>
  </si>
  <si>
    <t>EMI.ktCO2.SI.ES.Ser.Elec</t>
  </si>
  <si>
    <t>EMI.ktCO2.SI.Ser</t>
  </si>
  <si>
    <t>EMI.ktCO2.SI.Ser.Bld.Thermal</t>
  </si>
  <si>
    <t>EMI.ktCO2.SI.Ser.Bld.Thermal.SH</t>
  </si>
  <si>
    <t>EMI.ktCO2.SI.Ser.Bld.Thermal.SC</t>
  </si>
  <si>
    <t>EMI.ktCO2.SI.Ser.Bld.Thermal.HW</t>
  </si>
  <si>
    <t>EMI.ktCO2.SI.Ser.Bld.Thermal.CA</t>
  </si>
  <si>
    <t>EMI.ktCO2.SI.Ser.SEU</t>
  </si>
  <si>
    <t>Eff.ratio.SI.Ser.Bld.Thermal</t>
  </si>
  <si>
    <t>Eff.ratio.SI.Ser.Bld.Thermal.SH</t>
  </si>
  <si>
    <t>Eff.ratio.SI.Ser.Bld.Thermal.SC</t>
  </si>
  <si>
    <t>Eff.ratio.SI.Ser.Bld.Thermal.HW</t>
  </si>
  <si>
    <t>Eff.ratio.SI.Ser.Bld.Thermal.CA</t>
  </si>
  <si>
    <t>SI - Number of buildings</t>
  </si>
  <si>
    <t>NUM.number.SI.Ser.Bld.Thermal</t>
  </si>
  <si>
    <t>NUM.number.SI.Ser.Bld.Thermal.SH</t>
  </si>
  <si>
    <t>NUM.number.SI.Ser.Bld.Thermal.SH.Solids</t>
  </si>
  <si>
    <t>NUM.number.SI.Ser.Bld.Thermal.SH.LPG</t>
  </si>
  <si>
    <t>NUM.number.SI.Ser.Bld.Thermal.SH.Oil</t>
  </si>
  <si>
    <t>NUM.number.SI.Ser.Bld.Thermal.SH.GasHP</t>
  </si>
  <si>
    <t>NUM.number.SI.Ser.Bld.Thermal.SH.GasTH</t>
  </si>
  <si>
    <t>NUM.number.SI.Ser.Bld.Thermal.SH.Biomass</t>
  </si>
  <si>
    <t>NUM.number.SI.Ser.Bld.Thermal.SH.Geo</t>
  </si>
  <si>
    <t>NUM.number.SI.Ser.Bld.Thermal.SH.DistrHeat</t>
  </si>
  <si>
    <t>NUM.number.SI.Ser.Bld.Thermal.SH.AdvElc</t>
  </si>
  <si>
    <t>NUM.number.SI.Ser.Bld.Thermal.SH.ConvElc</t>
  </si>
  <si>
    <t>NUM.number.SI.Ser.Bld.Thermal.SC</t>
  </si>
  <si>
    <t>NUM.number.SI.Ser.Bld.Thermal.SC.GasHP</t>
  </si>
  <si>
    <t>NUM.number.SI.Ser.Bld.Thermal.SC.AC</t>
  </si>
  <si>
    <t>NUM.number.SI.Ser.Bld.Thermal.HW</t>
  </si>
  <si>
    <t>NUM.number.SI.Ser.Bld.Thermal.HW.Solids</t>
  </si>
  <si>
    <t>NUM.number.SI.Ser.Bld.Thermal.HW.LPG</t>
  </si>
  <si>
    <t>NUM.number.SI.Ser.Bld.Thermal.HW.Oil</t>
  </si>
  <si>
    <t>NUM.number.SI.Ser.Bld.Thermal.HW.Gas</t>
  </si>
  <si>
    <t>NUM.number.SI.Ser.Bld.Thermal.HW.Biomass</t>
  </si>
  <si>
    <t>NUM.number.SI.Ser.Bld.Thermal.HW.DistrHeat</t>
  </si>
  <si>
    <t>NUM.number.SI.Ser.Bld.Thermal.HW.Elc</t>
  </si>
  <si>
    <t>NUM.number.SI.Ser.Bld.Thermal.HW.Solar</t>
  </si>
  <si>
    <t>NUM.number.SI.Ser.Bld.Thermal.CA</t>
  </si>
  <si>
    <t>NUM.number.SI.Ser.Bld.Thermal.CA.LPG</t>
  </si>
  <si>
    <t>NUM.number.SI.Ser.Bld.Thermal.CA.Gas</t>
  </si>
  <si>
    <t>NUM.number.SI.Ser.Bld.Thermal.CA.Biomass</t>
  </si>
  <si>
    <t>NUM.number.SI.Ser.Bld.Thermal.CA.Elc</t>
  </si>
  <si>
    <t>SI - Final energy consumption</t>
  </si>
  <si>
    <t>FEC.ktoe.SI.Ser.Bld.Thermal.SH.Solids.Solids</t>
  </si>
  <si>
    <t>FEC.ktoe.SI.Ser.Bld.Thermal.SH.LPG.LPG</t>
  </si>
  <si>
    <t>FEC.ktoe.SI.Ser.Bld.Thermal.SH.Oil.Oil_LiqBio</t>
  </si>
  <si>
    <t>FEC.ktoe.SI.Ser.Bld.Thermal.SH.GasHP.NG_Biogas</t>
  </si>
  <si>
    <t>FEC.ktoe.SI.Ser.Bld.Thermal.SH.GasTH.NG_Biogas</t>
  </si>
  <si>
    <t>FEC.ktoe.SI.Ser.Bld.Thermal.SH.Biomass.Biomass_Waste</t>
  </si>
  <si>
    <t>FEC.ktoe.SI.Ser.Bld.Thermal.SH.Geo.Geo</t>
  </si>
  <si>
    <t>FEC.ktoe.SI.Ser.Bld.Thermal.SH.DistrHeat.Steam_Distr</t>
  </si>
  <si>
    <t>FEC.ktoe.SI.Ser.Bld.Thermal.SH.AdvElc.Elec</t>
  </si>
  <si>
    <t>FEC.ktoe.SI.Ser.Bld.Thermal.SH.ConvElc.Elec</t>
  </si>
  <si>
    <t>FEC.ktoe.SI.Ser.Bld.Thermal.SH.TotalCirculation.Elec</t>
  </si>
  <si>
    <t>FEC.ktoe.SI.Ser.Bld.Thermal.SC.GasHP.NG_Biogas</t>
  </si>
  <si>
    <t>FEC.ktoe.SI.Ser.Bld.Thermal.SC.AC.Elec</t>
  </si>
  <si>
    <t>FEC.ktoe.SI.Ser.Bld.Thermal.HW.Solids.Solids</t>
  </si>
  <si>
    <t>FEC.ktoe.SI.Ser.Bld.Thermal.HW.LPG.LPG</t>
  </si>
  <si>
    <t>FEC.ktoe.SI.Ser.Bld.Thermal.HW.Oil.Oil_LiqBio</t>
  </si>
  <si>
    <t>FEC.ktoe.SI.Ser.Bld.Thermal.HW.Gas.NG_Biogas</t>
  </si>
  <si>
    <t>FEC.ktoe.SI.Ser.Bld.Thermal.HW.Biomass.Biomass_Waste</t>
  </si>
  <si>
    <t>FEC.ktoe.SI.Ser.Bld.Thermal.HW.DistrHeat.Steam_Distr</t>
  </si>
  <si>
    <t>FEC.ktoe.SI.Ser.Bld.Thermal.HW.Elc.Elec</t>
  </si>
  <si>
    <t>FEC.ktoe.SI.Ser.Bld.Thermal.HW.TotalSolar.Solar</t>
  </si>
  <si>
    <t>FEC.ktoe.SI.Ser.Bld.Thermal.CA.LPG</t>
  </si>
  <si>
    <t>FEC.ktoe.SI.Ser.Bld.Thermal.CA.Gas.NG_Biogas</t>
  </si>
  <si>
    <t>FEC.ktoe.SI.Ser.Bld.Thermal.CA.Biomass.Biomass_Waste</t>
  </si>
  <si>
    <t>FEC.ktoe.SI.Ser.Bld.Thermal.CA.Elc.Elec</t>
  </si>
  <si>
    <t>SI - Thermal energy service</t>
  </si>
  <si>
    <t>TES.ktoe.SI.Ser.Bld.Thermal</t>
  </si>
  <si>
    <t>TES.ktoe.SI.Ser.Bld.Thermal.SH</t>
  </si>
  <si>
    <t>TES.ktoe.SI.Ser.Bld.Thermal.SH.Solids.Solids</t>
  </si>
  <si>
    <t>TES.ktoe.SI.Ser.Bld.Thermal.SH.LPG.LPG</t>
  </si>
  <si>
    <t>TES.ktoe.SI.Ser.Bld.Thermal.SH.Oil.Oil_LiqBio</t>
  </si>
  <si>
    <t>TES.ktoe.SI.Ser.Bld.Thermal.SH.GasHP.NG_Biogas</t>
  </si>
  <si>
    <t>TES.ktoe.SI.Ser.Bld.Thermal.SH.GasTH.NG_Biogas</t>
  </si>
  <si>
    <t>TES.ktoe.SI.Ser.Bld.Thermal.SH.Biomass.Biomass_Waste</t>
  </si>
  <si>
    <t>TES.ktoe.SI.Ser.Bld.Thermal.SH.Geo.Geo</t>
  </si>
  <si>
    <t>TES.ktoe.SI.Ser.Bld.Thermal.SH.DistrHeat.Steam_Distr</t>
  </si>
  <si>
    <t>TES.ktoe.SI.Ser.Bld.Thermal.SH.AdvElc.Elec</t>
  </si>
  <si>
    <t>TES.ktoe.SI.Ser.Bld.Thermal.SH.ConvElc.Elec</t>
  </si>
  <si>
    <t>TES.ktoe.SI.Ser.Bld.Thermal.SH.TotalCirculation.Elec</t>
  </si>
  <si>
    <t>TES.ktoe.SI.Ser.Bld.Thermal.SC</t>
  </si>
  <si>
    <t>TES.ktoe.SI.Ser.Bld.Thermal.SC.GasHP.NG_Biogas</t>
  </si>
  <si>
    <t>TES.ktoe.SI.Ser.Bld.Thermal.SC.AC.Elec</t>
  </si>
  <si>
    <t>TES.ktoe.SI.Ser.Bld.Thermal.HW</t>
  </si>
  <si>
    <t>TES.ktoe.SI.Ser.Bld.Thermal.HW.Solids.Solids</t>
  </si>
  <si>
    <t>TES.ktoe.SI.Ser.Bld.Thermal.HW.LPG.LPG</t>
  </si>
  <si>
    <t>TES.ktoe.SI.Ser.Bld.Thermal.HW.Oil.Oil_LiqBio</t>
  </si>
  <si>
    <t>TES.ktoe.SI.Ser.Bld.Thermal.HW.Gas.NG_Biogas</t>
  </si>
  <si>
    <t>TES.ktoe.SI.Ser.Bld.Thermal.HW.Biomass.Biomass_Waste</t>
  </si>
  <si>
    <t>TES.ktoe.SI.Ser.Bld.Thermal.HW.DistrHeat.Steam_Distr</t>
  </si>
  <si>
    <t>TES.ktoe.SI.Ser.Bld.Thermal.HW.Elc.Elec</t>
  </si>
  <si>
    <t>TES.ktoe.SI.Ser.Bld.Thermal.HW.TotalSolar.Solar</t>
  </si>
  <si>
    <t>TES.ktoe.SI.Ser.Bld.Thermal.CA</t>
  </si>
  <si>
    <t>TES.ktoe.SI.Ser.Bld.Thermal.CA.LPG</t>
  </si>
  <si>
    <t>TES.ktoe.SI.Ser.Bld.Thermal.CA.Gas.NG_Biogas</t>
  </si>
  <si>
    <t>TES.ktoe.SI.Ser.Bld.Thermal.CA.Biomass.Biomass_Waste</t>
  </si>
  <si>
    <t>TES.ktoe.SI.Ser.Bld.Thermal.CA.Elc.Elec</t>
  </si>
  <si>
    <t>SI - System efficiency indicator of total stock</t>
  </si>
  <si>
    <t>Eff.ratio.SI.Ser.Bld.Thermal.SH.Solids.Solids</t>
  </si>
  <si>
    <t>Eff.ratio.SI.Ser.Bld.Thermal.SH.LPG.LPG</t>
  </si>
  <si>
    <t>Eff.ratio.SI.Ser.Bld.Thermal.SH.Oil.Oil_LiqBio</t>
  </si>
  <si>
    <t>Eff.ratio.SI.Ser.Bld.Thermal.SH.GasHP.NG_Biogas</t>
  </si>
  <si>
    <t>Eff.ratio.SI.Ser.Bld.Thermal.SH.GasTH.NG_Biogas</t>
  </si>
  <si>
    <t>Eff.ratio.SI.Ser.Bld.Thermal.SH.Biomass.Biomass_Waste</t>
  </si>
  <si>
    <t>Eff.ratio.SI.Ser.Bld.Thermal.SH.Geo.Geo</t>
  </si>
  <si>
    <t>Eff.ratio.SI.Ser.Bld.Thermal.SH.DistrHeat.Steam_Distr</t>
  </si>
  <si>
    <t>Eff.ratio.SI.Ser.Bld.Thermal.SH.AdvElc.Elec</t>
  </si>
  <si>
    <t>Eff.ratio.SI.Ser.Bld.Thermal.SH.ConvElc.Elec</t>
  </si>
  <si>
    <t>Eff.ratio.SI.Ser.Bld.Thermal.SH.TotalCirculation.Elec</t>
  </si>
  <si>
    <t>Eff.ratio.SI.Ser.Bld.Thermal.SC.GasHP.NG_Biogas</t>
  </si>
  <si>
    <t>Eff.ratio.SI.Ser.Bld.Thermal.SC.AC.Elec</t>
  </si>
  <si>
    <t>Eff.ratio.SI.Ser.Bld.Thermal.HW.Solids.Solids</t>
  </si>
  <si>
    <t>Eff.ratio.SI.Ser.Bld.Thermal.HW.LPG.LPG</t>
  </si>
  <si>
    <t>Eff.ratio.SI.Ser.Bld.Thermal.HW.Oil.Oil_LiqBio</t>
  </si>
  <si>
    <t>Eff.ratio.SI.Ser.Bld.Thermal.HW.Gas.NG_Biogas</t>
  </si>
  <si>
    <t>Eff.ratio.SI.Ser.Bld.Thermal.HW.Biomass.Biomass_Waste</t>
  </si>
  <si>
    <t>Eff.ratio.SI.Ser.Bld.Thermal.HW.DistrHeat.Steam_Distr</t>
  </si>
  <si>
    <t>Eff.ratio.SI.Ser.Bld.Thermal.HW.Elc.Elec</t>
  </si>
  <si>
    <t>Eff.ratio.SI.Ser.Bld.Thermal.HW.TotalSolar.Solar</t>
  </si>
  <si>
    <t>Eff.ratio.SI.Ser.Bld.Thermal.CA.LPG</t>
  </si>
  <si>
    <t>Eff.ratio.SI.Ser.Bld.Thermal.CA.Gas.NG_Biogas</t>
  </si>
  <si>
    <t>Eff.ratio.SI.Ser.Bld.Thermal.CA.Biomass.Biomass_Waste</t>
  </si>
  <si>
    <t>Eff.ratio.SI.Ser.Bld.Thermal.CA.Elc.Elec</t>
  </si>
  <si>
    <t>SI - CO2 emissions</t>
  </si>
  <si>
    <t>EMI.ktCO2.SI.Ser.Bld.Thermal.SH.Solids.Solids</t>
  </si>
  <si>
    <t>EMI.ktCO2.SI.Ser.Bld.Thermal.SH.LPG.LPG</t>
  </si>
  <si>
    <t>EMI.ktCO2.SI.Ser.Bld.Thermal.SH.Oil.Oil_LiqBio</t>
  </si>
  <si>
    <t>EMI.ktCO2.SI.Ser.Bld.Thermal.SH.GasHP.NG_Biogas</t>
  </si>
  <si>
    <t>EMI.ktCO2.SI.Ser.Bld.Thermal.SH.GasTH.NG_Biogas</t>
  </si>
  <si>
    <t>EMI.ktCO2.SI.Ser.Bld.Thermal.SH.Biomass.Biomass_Waste</t>
  </si>
  <si>
    <t>EMI.ktCO2.SI.Ser.Bld.Thermal.SH.Geo.Geo</t>
  </si>
  <si>
    <t>EMI.ktCO2.SI.Ser.Bld.Thermal.SH.DistrHeat.Steam_Distr</t>
  </si>
  <si>
    <t>EMI.ktCO2.SI.Ser.Bld.Thermal.SH.AdvElc.Elec</t>
  </si>
  <si>
    <t>EMI.ktCO2.SI.Ser.Bld.Thermal.SH.ConvElc.Elec</t>
  </si>
  <si>
    <t>EMI.ktCO2.SI.Ser.Bld.Thermal.SH.TotalCirculation.Elec</t>
  </si>
  <si>
    <t>EMI.ktCO2.SI.Ser.Bld.Thermal.SC.GasHP.NG_Biogas</t>
  </si>
  <si>
    <t>EMI.ktCO2.SI.Ser.Bld.Thermal.SC.AC.Elec</t>
  </si>
  <si>
    <t>EMI.ktCO2.SI.Ser.Bld.Thermal.HW.Solids.Solids</t>
  </si>
  <si>
    <t>EMI.ktCO2.SI.Ser.Bld.Thermal.HW.LPG.LPG</t>
  </si>
  <si>
    <t>EMI.ktCO2.SI.Ser.Bld.Thermal.HW.Oil.Oil_LiqBio</t>
  </si>
  <si>
    <t>EMI.ktCO2.SI.Ser.Bld.Thermal.HW.Gas.NG_Biogas</t>
  </si>
  <si>
    <t>EMI.ktCO2.SI.Ser.Bld.Thermal.HW.Biomass.Biomass_Waste</t>
  </si>
  <si>
    <t>EMI.ktCO2.SI.Ser.Bld.Thermal.HW.DistrHeat.Steam_Distr</t>
  </si>
  <si>
    <t>EMI.ktCO2.SI.Ser.Bld.Thermal.HW.Elc.Elec</t>
  </si>
  <si>
    <t>EMI.ktCO2.SI.Ser.Bld.Thermal.HW.TotalSolar.Solar</t>
  </si>
  <si>
    <t>EMI.ktCO2.SI.Ser.Bld.Thermal.CA.LPG</t>
  </si>
  <si>
    <t>EMI.ktCO2.SI.Ser.Bld.Thermal.CA.Gas.NG_Biogas</t>
  </si>
  <si>
    <t>EMI.ktCO2.SI.Ser.Bld.Thermal.CA.Biomass.Biomass_Waste</t>
  </si>
  <si>
    <t>EMI.ktCO2.SI.Ser.Bld.Thermal.CA.Elc.Elec</t>
  </si>
  <si>
    <t>SI - Final energy consumption per building</t>
  </si>
  <si>
    <t>FEC_per_building.kWh.SI.Ser.Bld.Thermal</t>
  </si>
  <si>
    <t>FEC_per_building.kWh.SI.Ser.Bld.Thermal.SH</t>
  </si>
  <si>
    <t>FEC_per_building.kWh.SI.Ser.Bld.Thermal.SH.Solids.Solids</t>
  </si>
  <si>
    <t>FEC_per_building.kWh.SI.Ser.Bld.Thermal.SH.LPG.LPG</t>
  </si>
  <si>
    <t>FEC_per_building.kWh.SI.Ser.Bld.Thermal.SH.Oil.Oil_LiqBio</t>
  </si>
  <si>
    <t>FEC_per_building.kWh.SI.Ser.Bld.Thermal.SH.GasHP.NG_Biogas</t>
  </si>
  <si>
    <t>FEC_per_building.kWh.SI.Ser.Bld.Thermal.SH.GasTH.NG_Biogas</t>
  </si>
  <si>
    <t>FEC_per_building.kWh.SI.Ser.Bld.Thermal.SH.Biomass.Biomass_Waste</t>
  </si>
  <si>
    <t>FEC_per_building.kWh.SI.Ser.Bld.Thermal.SH.Geo.Geo</t>
  </si>
  <si>
    <t>FEC_per_building.kWh.SI.Ser.Bld.Thermal.SH.DistrHeat.Steam_Distr</t>
  </si>
  <si>
    <t>FEC_per_building.kWh.SI.Ser.Bld.Thermal.SH.AdvElc.Elec</t>
  </si>
  <si>
    <t>FEC_per_building.kWh.SI.Ser.Bld.Thermal.SH.ConvElc.Elec</t>
  </si>
  <si>
    <t>FEC_per_building.kWh.SI.Ser.Bld.Thermal.SH.TotalCirculation.Elec</t>
  </si>
  <si>
    <t>FEC_per_building.kWh.SI.Ser.Bld.Thermal.SC</t>
  </si>
  <si>
    <t>FEC_per_building.kWh.SI.Ser.Bld.Thermal.SC.GasHP.NG_Biogas</t>
  </si>
  <si>
    <t>FEC_per_building.kWh.SI.Ser.Bld.Thermal.SC.AC.Elec</t>
  </si>
  <si>
    <t>FEC_per_building.kWh.SI.Ser.Bld.Thermal.HW</t>
  </si>
  <si>
    <t>FEC_per_building.kWh.SI.Ser.Bld.Thermal.HW.Solids.Solids</t>
  </si>
  <si>
    <t>FEC_per_building.kWh.SI.Ser.Bld.Thermal.HW.LPG.LPG</t>
  </si>
  <si>
    <t>FEC_per_building.kWh.SI.Ser.Bld.Thermal.HW.Oil.Oil_LiqBio</t>
  </si>
  <si>
    <t>FEC_per_building.kWh.SI.Ser.Bld.Thermal.HW.Gas.NG_Biogas</t>
  </si>
  <si>
    <t>FEC_per_building.kWh.SI.Ser.Bld.Thermal.HW.Biomass.Biomass_Waste</t>
  </si>
  <si>
    <t>FEC_per_building.kWh.SI.Ser.Bld.Thermal.HW.DistrHeat.Steam_Distr</t>
  </si>
  <si>
    <t>FEC_per_building.kWh.SI.Ser.Bld.Thermal.HW.Elc.Elec</t>
  </si>
  <si>
    <t>FEC_per_building.kWh.SI.Ser.Bld.Thermal.HW.TotalSolar.Solar</t>
  </si>
  <si>
    <t>FEC_per_building.kWh.SI.Ser.Bld.Thermal.CA</t>
  </si>
  <si>
    <t>FEC_per_building.kWh.SI.Ser.Bld.Thermal.CA.LPG</t>
  </si>
  <si>
    <t>FEC_per_building.kWh.SI.Ser.Bld.Thermal.CA.Gas.NG_Biogas</t>
  </si>
  <si>
    <t>FEC_per_building.kWh.SI.Ser.Bld.Thermal.CA.Biomass.Biomass_Waste</t>
  </si>
  <si>
    <t>FEC_per_building.kWh.SI.Ser.Bld.Thermal.CA.Elc.Elec</t>
  </si>
  <si>
    <t>SI - Thermal energy service per building</t>
  </si>
  <si>
    <t>TES_per_building.kWh.SI.Ser.Bld.Thermal</t>
  </si>
  <si>
    <t>TES_per_building.kWh.SI.Ser.Bld.Thermal.SH</t>
  </si>
  <si>
    <t>TES_per_building.kWh.SI.Ser.Bld.Thermal.SH.Solids.Solids</t>
  </si>
  <si>
    <t>TES_per_building.kWh.SI.Ser.Bld.Thermal.SH.LPG.LPG</t>
  </si>
  <si>
    <t>TES_per_building.kWh.SI.Ser.Bld.Thermal.SH.Oil.Oil_LiqBio</t>
  </si>
  <si>
    <t>TES_per_building.kWh.SI.Ser.Bld.Thermal.SH.GasHP.NG_Biogas</t>
  </si>
  <si>
    <t>TES_per_building.kWh.SI.Ser.Bld.Thermal.SH.GasTH.NG_Biogas</t>
  </si>
  <si>
    <t>TES_per_building.kWh.SI.Ser.Bld.Thermal.SH.Biomass.Biomass_Waste</t>
  </si>
  <si>
    <t>TES_per_building.kWh.SI.Ser.Bld.Thermal.SH.Geo.Geo</t>
  </si>
  <si>
    <t>TES_per_building.kWh.SI.Ser.Bld.Thermal.SH.DistrHeat.Steam_Distr</t>
  </si>
  <si>
    <t>TES_per_building.kWh.SI.Ser.Bld.Thermal.SH.AdvElc.Elec</t>
  </si>
  <si>
    <t>TES_per_building.kWh.SI.Ser.Bld.Thermal.SH.ConvElc.Elec</t>
  </si>
  <si>
    <t>TES_per_building.kWh.SI.Ser.Bld.Thermal.SH.TotalCirculation.Elec</t>
  </si>
  <si>
    <t>TES_per_building.kWh.SI.Ser.Bld.Thermal.SC</t>
  </si>
  <si>
    <t>TES_per_building.kWh.SI.Ser.Bld.Thermal.SC.GasHP.NG_Biogas</t>
  </si>
  <si>
    <t>TES_per_building.kWh.SI.Ser.Bld.Thermal.SC.AC.Elec</t>
  </si>
  <si>
    <t>TES_per_building.kWh.SI.Ser.Bld.Thermal.HW</t>
  </si>
  <si>
    <t>TES_per_building.kWh.SI.Ser.Bld.Thermal.HW.Solids.Solids</t>
  </si>
  <si>
    <t>TES_per_building.kWh.SI.Ser.Bld.Thermal.HW.LPG.LPG</t>
  </si>
  <si>
    <t>TES_per_building.kWh.SI.Ser.Bld.Thermal.HW.Oil.Oil_LiqBio</t>
  </si>
  <si>
    <t>TES_per_building.kWh.SI.Ser.Bld.Thermal.HW.Gas.NG_Biogas</t>
  </si>
  <si>
    <t>TES_per_building.kWh.SI.Ser.Bld.Thermal.HW.Biomass.Biomass_Waste</t>
  </si>
  <si>
    <t>TES_per_building.kWh.SI.Ser.Bld.Thermal.HW.DistrHeat.Steam_Distr</t>
  </si>
  <si>
    <t>TES_per_building.kWh.SI.Ser.Bld.Thermal.HW.Elc.Elec</t>
  </si>
  <si>
    <t>TES_per_building.kWh.SI.Ser.Bld.Thermal.HW.TotalSolar.Solar</t>
  </si>
  <si>
    <t>TES_per_building.kWh.SI.Ser.Bld.Thermal.CA</t>
  </si>
  <si>
    <t>TES_per_building.kWh.SI.Ser.Bld.Thermal.CA.LPG</t>
  </si>
  <si>
    <t>TES_per_building.kWh.SI.Ser.Bld.Thermal.CA.Gas.NG_Biogas</t>
  </si>
  <si>
    <t>TES_per_building.kWh.SI.Ser.Bld.Thermal.CA.Biomass.Biomass_Waste</t>
  </si>
  <si>
    <t>TES_per_building.kWh.SI.Ser.Bld.Thermal.CA.Elc.Elec</t>
  </si>
  <si>
    <t>SI - CO2 emissions per building</t>
  </si>
  <si>
    <t>EMI_per_building.kgCO2.SI.Ser.Bld.Thermal</t>
  </si>
  <si>
    <t>EMI_per_building.kgCO2.SI.Ser.Bld.Thermal.SH</t>
  </si>
  <si>
    <t>EMI_per_building.kgCO2.SI.Ser.Bld.Thermal.SH.Solids.Solids</t>
  </si>
  <si>
    <t>EMI_per_building.kgCO2.SI.Ser.Bld.Thermal.SH.LPG.LPG</t>
  </si>
  <si>
    <t>EMI_per_building.kgCO2.SI.Ser.Bld.Thermal.SH.Oil.Oil_LiqBio</t>
  </si>
  <si>
    <t>EMI_per_building.kgCO2.SI.Ser.Bld.Thermal.SH.GasHP.NG_Biogas</t>
  </si>
  <si>
    <t>EMI_per_building.kgCO2.SI.Ser.Bld.Thermal.SH.GasTH.NG_Biogas</t>
  </si>
  <si>
    <t>EMI_per_building.kgCO2.SI.Ser.Bld.Thermal.SH.Biomass.Biomass_Waste</t>
  </si>
  <si>
    <t>EMI_per_building.kgCO2.SI.Ser.Bld.Thermal.SH.Geo.Geo</t>
  </si>
  <si>
    <t>EMI_per_building.kgCO2.SI.Ser.Bld.Thermal.SH.DistrHeat.Steam_Distr</t>
  </si>
  <si>
    <t>EMI_per_building.kgCO2.SI.Ser.Bld.Thermal.SH.AdvElc.Elec</t>
  </si>
  <si>
    <t>EMI_per_building.kgCO2.SI.Ser.Bld.Thermal.SH.ConvElc.Elec</t>
  </si>
  <si>
    <t>EMI_per_building.kgCO2.SI.Ser.Bld.Thermal.SH.TotalCirculation.Elec</t>
  </si>
  <si>
    <t>EMI_per_building.kgCO2.SI.Ser.Bld.Thermal.SC</t>
  </si>
  <si>
    <t>EMI_per_building.kgCO2.SI.Ser.Bld.Thermal.SC.GasHP.NG_Biogas</t>
  </si>
  <si>
    <t>EMI_per_building.kgCO2.SI.Ser.Bld.Thermal.SC.AC.Elec</t>
  </si>
  <si>
    <t>EMI_per_building.kgCO2.SI.Ser.Bld.Thermal.HW</t>
  </si>
  <si>
    <t>EMI_per_building.kgCO2.SI.Ser.Bld.Thermal.HW.Solids.Solids</t>
  </si>
  <si>
    <t>EMI_per_building.kgCO2.SI.Ser.Bld.Thermal.HW.LPG.LPG</t>
  </si>
  <si>
    <t>EMI_per_building.kgCO2.SI.Ser.Bld.Thermal.HW.Oil.Oil_LiqBio</t>
  </si>
  <si>
    <t>EMI_per_building.kgCO2.SI.Ser.Bld.Thermal.HW.Gas.NG_Biogas</t>
  </si>
  <si>
    <t>EMI_per_building.kgCO2.SI.Ser.Bld.Thermal.HW.Biomass.Biomass_Waste</t>
  </si>
  <si>
    <t>EMI_per_building.kgCO2.SI.Ser.Bld.Thermal.HW.DistrHeat.Steam_Distr</t>
  </si>
  <si>
    <t>EMI_per_building.kgCO2.SI.Ser.Bld.Thermal.HW.Elc.Elec</t>
  </si>
  <si>
    <t>EMI_per_building.kgCO2.SI.Ser.Bld.Thermal.HW.TotalSolar.Solar</t>
  </si>
  <si>
    <t>EMI_per_building.kgCO2.SI.Ser.Bld.Thermal.CA</t>
  </si>
  <si>
    <t>EMI_per_building.kgCO2.SI.Ser.Bld.Thermal.CA.LPG</t>
  </si>
  <si>
    <t>EMI_per_building.kgCO2.SI.Ser.Bld.Thermal.CA.Gas.NG_Biogas</t>
  </si>
  <si>
    <t>EMI_per_building.kgCO2.SI.Ser.Bld.Thermal.CA.Biomass.Biomass_Waste</t>
  </si>
  <si>
    <t>EMI_per_building.kgCO2.SI.Ser.Bld.Thermal.CA.Elc.Elec</t>
  </si>
  <si>
    <t>SI - Final energy consumption per useful surface area</t>
  </si>
  <si>
    <t>FEC_per_sqm.kWh.SI.Ser.Bld.Thermal</t>
  </si>
  <si>
    <t>FEC_per_sqm.kWh.SI.Ser.Bld.Thermal.SH</t>
  </si>
  <si>
    <t>FEC_per_sqm.kWh.SI.Ser.Bld.Thermal.SH.Solids.Solids</t>
  </si>
  <si>
    <t>FEC_per_sqm.kWh.SI.Ser.Bld.Thermal.SH.LPG.LPG</t>
  </si>
  <si>
    <t>FEC_per_sqm.kWh.SI.Ser.Bld.Thermal.SH.Oil.Oil_LiqBio</t>
  </si>
  <si>
    <t>FEC_per_sqm.kWh.SI.Ser.Bld.Thermal.SH.GasHP.NG_Biogas</t>
  </si>
  <si>
    <t>FEC_per_sqm.kWh.SI.Ser.Bld.Thermal.SH.GasTH.NG_Biogas</t>
  </si>
  <si>
    <t>FEC_per_sqm.kWh.SI.Ser.Bld.Thermal.SH.Biomass.Biomass_Waste</t>
  </si>
  <si>
    <t>FEC_per_sqm.kWh.SI.Ser.Bld.Thermal.SH.Geo.Geo</t>
  </si>
  <si>
    <t>FEC_per_sqm.kWh.SI.Ser.Bld.Thermal.SH.DistrHeat.Steam_Distr</t>
  </si>
  <si>
    <t>FEC_per_sqm.kWh.SI.Ser.Bld.Thermal.SH.AdvElc.Elec</t>
  </si>
  <si>
    <t>FEC_per_sqm.kWh.SI.Ser.Bld.Thermal.SH.ConvElc.Elec</t>
  </si>
  <si>
    <t>FEC_per_sqm.kWh.SI.Ser.Bld.Thermal.SH.TotalCirculation.Elec</t>
  </si>
  <si>
    <t>FEC_per_sqm.kWh.SI.Ser.Bld.Thermal.SC</t>
  </si>
  <si>
    <t>FEC_per_sqm.kWh.SI.Ser.Bld.Thermal.SC.GasHP.NG_Biogas</t>
  </si>
  <si>
    <t>FEC_per_sqm.kWh.SI.Ser.Bld.Thermal.SC.AC.Elec</t>
  </si>
  <si>
    <t>FEC_per_sqm.kWh.SI.Ser.Bld.Thermal.HW</t>
  </si>
  <si>
    <t>FEC_per_sqm.kWh.SI.Ser.Bld.Thermal.HW.Solids.Solids</t>
  </si>
  <si>
    <t>FEC_per_sqm.kWh.SI.Ser.Bld.Thermal.HW.LPG.LPG</t>
  </si>
  <si>
    <t>FEC_per_sqm.kWh.SI.Ser.Bld.Thermal.HW.Oil.Oil_LiqBio</t>
  </si>
  <si>
    <t>FEC_per_sqm.kWh.SI.Ser.Bld.Thermal.HW.Gas.NG_Biogas</t>
  </si>
  <si>
    <t>FEC_per_sqm.kWh.SI.Ser.Bld.Thermal.HW.Biomass.Biomass_Waste</t>
  </si>
  <si>
    <t>FEC_per_sqm.kWh.SI.Ser.Bld.Thermal.HW.DistrHeat.Steam_Distr</t>
  </si>
  <si>
    <t>FEC_per_sqm.kWh.SI.Ser.Bld.Thermal.HW.Elc.Elec</t>
  </si>
  <si>
    <t>FEC_per_sqm.kWh.SI.Ser.Bld.Thermal.HW.TotalSolar.Solar</t>
  </si>
  <si>
    <t>FEC_per_sqm.kWh.SI.Ser.Bld.Thermal.CA</t>
  </si>
  <si>
    <t>FEC_per_sqm.kWh.SI.Ser.Bld.Thermal.CA.LPG</t>
  </si>
  <si>
    <t>FEC_per_sqm.kWh.SI.Ser.Bld.Thermal.CA.Gas.NG_Biogas</t>
  </si>
  <si>
    <t>FEC_per_sqm.kWh.SI.Ser.Bld.Thermal.CA.Biomass.Biomass_Waste</t>
  </si>
  <si>
    <t>FEC_per_sqm.kWh.SI.Ser.Bld.Thermal.CA.Elc.Elec</t>
  </si>
  <si>
    <t>SI - Thermal energy service per useful surface area</t>
  </si>
  <si>
    <t>TES_per_sqm.kWh.SI.Ser.Bld.Thermal</t>
  </si>
  <si>
    <t>TES_per_sqm.kWh.SI.Ser.Bld.Thermal.SH</t>
  </si>
  <si>
    <t>TES_per_sqm.kWh.SI.Ser.Bld.Thermal.SH.Solids.Solids</t>
  </si>
  <si>
    <t>TES_per_sqm.kWh.SI.Ser.Bld.Thermal.SH.LPG.LPG</t>
  </si>
  <si>
    <t>TES_per_sqm.kWh.SI.Ser.Bld.Thermal.SH.Oil.Oil_LiqBio</t>
  </si>
  <si>
    <t>TES_per_sqm.kWh.SI.Ser.Bld.Thermal.SH.GasHP.NG_Biogas</t>
  </si>
  <si>
    <t>TES_per_sqm.kWh.SI.Ser.Bld.Thermal.SH.GasTH.NG_Biogas</t>
  </si>
  <si>
    <t>TES_per_sqm.kWh.SI.Ser.Bld.Thermal.SH.Biomass.Biomass_Waste</t>
  </si>
  <si>
    <t>TES_per_sqm.kWh.SI.Ser.Bld.Thermal.SH.Geo.Geo</t>
  </si>
  <si>
    <t>TES_per_sqm.kWh.SI.Ser.Bld.Thermal.SH.DistrHeat.Steam_Distr</t>
  </si>
  <si>
    <t>TES_per_sqm.kWh.SI.Ser.Bld.Thermal.SH.AdvElc.Elec</t>
  </si>
  <si>
    <t>TES_per_sqm.kWh.SI.Ser.Bld.Thermal.SH.ConvElc.Elec</t>
  </si>
  <si>
    <t>TES_per_sqm.kWh.SI.Ser.Bld.Thermal.SH.TotalCirculation.Elec</t>
  </si>
  <si>
    <t>TES_per_sqm.kWh.SI.Ser.Bld.Thermal.SC</t>
  </si>
  <si>
    <t>TES_per_sqm.kWh.SI.Ser.Bld.Thermal.SC.GasHP.NG_Biogas</t>
  </si>
  <si>
    <t>TES_per_sqm.kWh.SI.Ser.Bld.Thermal.SC.AC.Elec</t>
  </si>
  <si>
    <t>TES_per_sqm.kWh.SI.Ser.Bld.Thermal.HW</t>
  </si>
  <si>
    <t>TES_per_sqm.kWh.SI.Ser.Bld.Thermal.HW.Solids.Solids</t>
  </si>
  <si>
    <t>TES_per_sqm.kWh.SI.Ser.Bld.Thermal.HW.LPG.LPG</t>
  </si>
  <si>
    <t>TES_per_sqm.kWh.SI.Ser.Bld.Thermal.HW.Oil.Oil_LiqBio</t>
  </si>
  <si>
    <t>TES_per_sqm.kWh.SI.Ser.Bld.Thermal.HW.Gas.NG_Biogas</t>
  </si>
  <si>
    <t>TES_per_sqm.kWh.SI.Ser.Bld.Thermal.HW.Biomass.Biomass_Waste</t>
  </si>
  <si>
    <t>TES_per_sqm.kWh.SI.Ser.Bld.Thermal.HW.DistrHeat.Steam_Distr</t>
  </si>
  <si>
    <t>TES_per_sqm.kWh.SI.Ser.Bld.Thermal.HW.Elc.Elec</t>
  </si>
  <si>
    <t>TES_per_sqm.kWh.SI.Ser.Bld.Thermal.HW.TotalSolar.Solar</t>
  </si>
  <si>
    <t>TES_per_sqm.kWh.SI.Ser.Bld.Thermal.CA</t>
  </si>
  <si>
    <t>TES_per_sqm.kWh.SI.Ser.Bld.Thermal.CA.LPG</t>
  </si>
  <si>
    <t>TES_per_sqm.kWh.SI.Ser.Bld.Thermal.CA.Gas.NG_Biogas</t>
  </si>
  <si>
    <t>TES_per_sqm.kWh.SI.Ser.Bld.Thermal.CA.Biomass.Biomass_Waste</t>
  </si>
  <si>
    <t>TES_per_sqm.kWh.SI.Ser.Bld.Thermal.CA.Elc.Elec</t>
  </si>
  <si>
    <t>SI - CO2 emissions per useful surface area</t>
  </si>
  <si>
    <t>EMI_per_sqm.kgCO2.SI.Ser.Bld.Thermal</t>
  </si>
  <si>
    <t>EMI_per_sqm.kgCO2.SI.Ser.Bld.Thermal.SH</t>
  </si>
  <si>
    <t>EMI_per_sqm.kgCO2.SI.Ser.Bld.Thermal.SH.Solids.Solids</t>
  </si>
  <si>
    <t>EMI_per_sqm.kgCO2.SI.Ser.Bld.Thermal.SH.LPG.LPG</t>
  </si>
  <si>
    <t>EMI_per_sqm.kgCO2.SI.Ser.Bld.Thermal.SH.Oil.Oil_LiqBio</t>
  </si>
  <si>
    <t>EMI_per_sqm.kgCO2.SI.Ser.Bld.Thermal.SH.GasHP.NG_Biogas</t>
  </si>
  <si>
    <t>EMI_per_sqm.kgCO2.SI.Ser.Bld.Thermal.SH.GasTH.NG_Biogas</t>
  </si>
  <si>
    <t>EMI_per_sqm.kgCO2.SI.Ser.Bld.Thermal.SH.Biomass.Biomass_Waste</t>
  </si>
  <si>
    <t>EMI_per_sqm.kgCO2.SI.Ser.Bld.Thermal.SH.Geo.Geo</t>
  </si>
  <si>
    <t>EMI_per_sqm.kgCO2.SI.Ser.Bld.Thermal.SH.DistrHeat.Steam_Distr</t>
  </si>
  <si>
    <t>EMI_per_sqm.kgCO2.SI.Ser.Bld.Thermal.SH.AdvElc.Elec</t>
  </si>
  <si>
    <t>EMI_per_sqm.kgCO2.SI.Ser.Bld.Thermal.SH.ConvElc.Elec</t>
  </si>
  <si>
    <t>EMI_per_sqm.kgCO2.SI.Ser.Bld.Thermal.SH.TotalCirculation.Elec</t>
  </si>
  <si>
    <t>EMI_per_sqm.kgCO2.SI.Ser.Bld.Thermal.SC</t>
  </si>
  <si>
    <t>EMI_per_sqm.kgCO2.SI.Ser.Bld.Thermal.SC.GasHP.NG_Biogas</t>
  </si>
  <si>
    <t>EMI_per_sqm.kgCO2.SI.Ser.Bld.Thermal.SC.AC.Elec</t>
  </si>
  <si>
    <t>EMI_per_sqm.kgCO2.SI.Ser.Bld.Thermal.HW</t>
  </si>
  <si>
    <t>EMI_per_sqm.kgCO2.SI.Ser.Bld.Thermal.HW.Solids.Solids</t>
  </si>
  <si>
    <t>EMI_per_sqm.kgCO2.SI.Ser.Bld.Thermal.HW.LPG.LPG</t>
  </si>
  <si>
    <t>EMI_per_sqm.kgCO2.SI.Ser.Bld.Thermal.HW.Oil.Oil_LiqBio</t>
  </si>
  <si>
    <t>EMI_per_sqm.kgCO2.SI.Ser.Bld.Thermal.HW.Gas.NG_Biogas</t>
  </si>
  <si>
    <t>EMI_per_sqm.kgCO2.SI.Ser.Bld.Thermal.HW.Biomass.Biomass_Waste</t>
  </si>
  <si>
    <t>EMI_per_sqm.kgCO2.SI.Ser.Bld.Thermal.HW.DistrHeat.Steam_Distr</t>
  </si>
  <si>
    <t>EMI_per_sqm.kgCO2.SI.Ser.Bld.Thermal.HW.Elc.Elec</t>
  </si>
  <si>
    <t>EMI_per_sqm.kgCO2.SI.Ser.Bld.Thermal.HW.TotalSolar.Solar</t>
  </si>
  <si>
    <t>EMI_per_sqm.kgCO2.SI.Ser.Bld.Thermal.CA</t>
  </si>
  <si>
    <t>EMI_per_sqm.kgCO2.SI.Ser.Bld.Thermal.CA.LPG</t>
  </si>
  <si>
    <t>EMI_per_sqm.kgCO2.SI.Ser.Bld.Thermal.CA.Gas.NG_Biogas</t>
  </si>
  <si>
    <t>EMI_per_sqm.kgCO2.SI.Ser.Bld.Thermal.CA.Biomass.Biomass_Waste</t>
  </si>
  <si>
    <t>EMI_per_sqm.kgCO2.SI.Ser.Bld.Thermal.CA.Elc.Elec</t>
  </si>
  <si>
    <t>SI - Number of new and renovated buildings</t>
  </si>
  <si>
    <t>NUM.number.SI.Ser.BldNew.Thermal</t>
  </si>
  <si>
    <t>NUM.number.SI.Ser.BldNew.Thermal.SH</t>
  </si>
  <si>
    <t>NUM.number.SI.Ser.BldNew.Thermal.SH.Solids</t>
  </si>
  <si>
    <t>NUM.number.SI.Ser.BldNew.Thermal.SH.LPG</t>
  </si>
  <si>
    <t>NUM.number.SI.Ser.BldNew.Thermal.SH.Oil</t>
  </si>
  <si>
    <t>NUM.number.SI.Ser.BldNew.Thermal.SH.GasHP</t>
  </si>
  <si>
    <t>NUM.number.SI.Ser.BldNew.Thermal.SH.GasTH</t>
  </si>
  <si>
    <t>NUM.number.SI.Ser.BldNew.Thermal.SH.Biomass</t>
  </si>
  <si>
    <t>NUM.number.SI.Ser.BldNew.Thermal.SH.Geo</t>
  </si>
  <si>
    <t>NUM.number.SI.Ser.BldNew.Thermal.SH.DistrHeat</t>
  </si>
  <si>
    <t>NUM.number.SI.Ser.BldNew.Thermal.SH.AdvElc</t>
  </si>
  <si>
    <t>NUM.number.SI.Ser.BldNew.Thermal.SH.ConvElc</t>
  </si>
  <si>
    <t>NUM.number.SI.Ser.BldNew.Thermal.SC</t>
  </si>
  <si>
    <t>NUM.number.SI.Ser.BldNew.Thermal.SC.GasHP</t>
  </si>
  <si>
    <t>NUM.number.SI.Ser.BldNew.Thermal.SC.AC</t>
  </si>
  <si>
    <t>NUM.number.SI.Ser.BldNew.Thermal.HW</t>
  </si>
  <si>
    <t>NUM.number.SI.Ser.BldNew.Thermal.HW.Solids</t>
  </si>
  <si>
    <t>NUM.number.SI.Ser.BldNew.Thermal.HW.LPG</t>
  </si>
  <si>
    <t>NUM.number.SI.Ser.BldNew.Thermal.HW.Oil</t>
  </si>
  <si>
    <t>NUM.number.SI.Ser.BldNew.Thermal.HW.Gas</t>
  </si>
  <si>
    <t>NUM.number.SI.Ser.BldNew.Thermal.HW.Biomass</t>
  </si>
  <si>
    <t>NUM.number.SI.Ser.BldNew.Thermal.HW.DistrHeat</t>
  </si>
  <si>
    <t>NUM.number.SI.Ser.BldNew.Thermal.HW.Elc</t>
  </si>
  <si>
    <t>NUM.number.SI.Ser.BldNew.Thermal.HW.Solar</t>
  </si>
  <si>
    <t>NUM.number.SI.Ser.BldNew.Thermal.CA</t>
  </si>
  <si>
    <t>NUM.number.SI.Ser.BldNew.Thermal.CA.LPG</t>
  </si>
  <si>
    <t>NUM.number.SI.Ser.BldNew.Thermal.CA.Gas</t>
  </si>
  <si>
    <t>NUM.number.SI.Ser.BldNew.Thermal.CA.Biomass</t>
  </si>
  <si>
    <t>NUM.number.SI.Ser.BldNew.Thermal.CA.Elc</t>
  </si>
  <si>
    <t>SI - Final energy consumption in new and renovated buildings</t>
  </si>
  <si>
    <t>FEC.ktoe.SI.Ser.BldNew.Thermal</t>
  </si>
  <si>
    <t>FEC.ktoe.SI.Ser.BldNew.Thermal.SH</t>
  </si>
  <si>
    <t>FEC.ktoe.SI.Ser.BldNew.Thermal.SH.Solids.Solids</t>
  </si>
  <si>
    <t>FEC.ktoe.SI.Ser.BldNew.Thermal.SH.LPG.LPG</t>
  </si>
  <si>
    <t>FEC.ktoe.SI.Ser.BldNew.Thermal.SH.Oil.Oil_LiqBio</t>
  </si>
  <si>
    <t>FEC.ktoe.SI.Ser.BldNew.Thermal.SH.GasHP.NG_Biogas</t>
  </si>
  <si>
    <t>FEC.ktoe.SI.Ser.BldNew.Thermal.SH.GasTH.NG_Biogas</t>
  </si>
  <si>
    <t>FEC.ktoe.SI.Ser.BldNew.Thermal.SH.Biomass.Biomass_Waste</t>
  </si>
  <si>
    <t>FEC.ktoe.SI.Ser.BldNew.Thermal.SH.Geo.Geo</t>
  </si>
  <si>
    <t>FEC.ktoe.SI.Ser.BldNew.Thermal.SH.DistrHeat.Steam_Distr</t>
  </si>
  <si>
    <t>FEC.ktoe.SI.Ser.BldNew.Thermal.SH.AdvElc.Elec</t>
  </si>
  <si>
    <t>FEC.ktoe.SI.Ser.BldNew.Thermal.SH.ConvElc.Elec</t>
  </si>
  <si>
    <t>FEC.ktoe.SI.Ser.BldNew.Thermal.SH.TotalCirculation.Elec</t>
  </si>
  <si>
    <t>FEC.ktoe.SI.Ser.BldNew.Thermal.SC</t>
  </si>
  <si>
    <t>FEC.ktoe.SI.Ser.BldNew.Thermal.SC.GasHP.NG_Biogas</t>
  </si>
  <si>
    <t>FEC.ktoe.SI.Ser.BldNew.Thermal.SC.AC.Elec</t>
  </si>
  <si>
    <t>FEC.ktoe.SI.Ser.BldNew.Thermal.HW</t>
  </si>
  <si>
    <t>FEC.ktoe.SI.Ser.BldNew.Thermal.HW.Solids.Solids</t>
  </si>
  <si>
    <t>FEC.ktoe.SI.Ser.BldNew.Thermal.HW.LPG.LPG</t>
  </si>
  <si>
    <t>FEC.ktoe.SI.Ser.BldNew.Thermal.HW.Oil.Oil_LiqBio</t>
  </si>
  <si>
    <t>FEC.ktoe.SI.Ser.BldNew.Thermal.HW.Gas.NG_Biogas</t>
  </si>
  <si>
    <t>FEC.ktoe.SI.Ser.BldNew.Thermal.HW.Biomass.Biomass_Waste</t>
  </si>
  <si>
    <t>FEC.ktoe.SI.Ser.BldNew.Thermal.HW.DistrHeat.Steam_Distr</t>
  </si>
  <si>
    <t>FEC.ktoe.SI.Ser.BldNew.Thermal.HW.Elc.Elec</t>
  </si>
  <si>
    <t>FEC.ktoe.SI.Ser.BldNew.Thermal.HW.TotalSolar.Solar</t>
  </si>
  <si>
    <t>FEC.ktoe.SI.Ser.BldNew.Thermal.CA</t>
  </si>
  <si>
    <t>FEC.ktoe.SI.Ser.BldNew.Thermal.CA.LPG</t>
  </si>
  <si>
    <t>FEC.ktoe.SI.Ser.BldNew.Thermal.CA.Gas.NG_Biogas</t>
  </si>
  <si>
    <t>FEC.ktoe.SI.Ser.BldNew.Thermal.CA.Biomass.Biomass_Waste</t>
  </si>
  <si>
    <t>FEC.ktoe.SI.Ser.BldNew.Thermal.CA.Elc.Elec</t>
  </si>
  <si>
    <t>SI - Thermal energy service in new and renovated buildings</t>
  </si>
  <si>
    <t>TES.ktoe.SI.Ser.BldNew.Thermal</t>
  </si>
  <si>
    <t>TES.ktoe.SI.Ser.BldNew.Thermal.SH</t>
  </si>
  <si>
    <t>TES.ktoe.SI.Ser.BldNew.Thermal.SH.Solids.Solids</t>
  </si>
  <si>
    <t>TES.ktoe.SI.Ser.BldNew.Thermal.SH.LPG.LPG</t>
  </si>
  <si>
    <t>TES.ktoe.SI.Ser.BldNew.Thermal.SH.Oil.Oil_LiqBio</t>
  </si>
  <si>
    <t>TES.ktoe.SI.Ser.BldNew.Thermal.SH.GasHP.NG_Biogas</t>
  </si>
  <si>
    <t>TES.ktoe.SI.Ser.BldNew.Thermal.SH.GasTH.NG_Biogas</t>
  </si>
  <si>
    <t>TES.ktoe.SI.Ser.BldNew.Thermal.SH.Biomass.Biomass_Waste</t>
  </si>
  <si>
    <t>TES.ktoe.SI.Ser.BldNew.Thermal.SH.Geo.Geo</t>
  </si>
  <si>
    <t>TES.ktoe.SI.Ser.BldNew.Thermal.SH.DistrHeat.Steam_Distr</t>
  </si>
  <si>
    <t>TES.ktoe.SI.Ser.BldNew.Thermal.SH.AdvElc.Elec</t>
  </si>
  <si>
    <t>TES.ktoe.SI.Ser.BldNew.Thermal.SH.ConvElc.Elec</t>
  </si>
  <si>
    <t>TES.ktoe.SI.Ser.BldNew.Thermal.SH.TotalCirculation.Elec</t>
  </si>
  <si>
    <t>TES.ktoe.SI.Ser.BldNew.Thermal.SC</t>
  </si>
  <si>
    <t>TES.ktoe.SI.Ser.BldNew.Thermal.SC.GasHP.NG_Biogas</t>
  </si>
  <si>
    <t>TES.ktoe.SI.Ser.BldNew.Thermal.SC.AC.Elec</t>
  </si>
  <si>
    <t>TES.ktoe.SI.Ser.BldNew.Thermal.HW</t>
  </si>
  <si>
    <t>TES.ktoe.SI.Ser.BldNew.Thermal.HW.Solids.Solids</t>
  </si>
  <si>
    <t>TES.ktoe.SI.Ser.BldNew.Thermal.HW.LPG.LPG</t>
  </si>
  <si>
    <t>TES.ktoe.SI.Ser.BldNew.Thermal.HW.Oil.Oil_LiqBio</t>
  </si>
  <si>
    <t>TES.ktoe.SI.Ser.BldNew.Thermal.HW.Gas.NG_Biogas</t>
  </si>
  <si>
    <t>TES.ktoe.SI.Ser.BldNew.Thermal.HW.Biomass.Biomass_Waste</t>
  </si>
  <si>
    <t>TES.ktoe.SI.Ser.BldNew.Thermal.HW.DistrHeat.Steam_Distr</t>
  </si>
  <si>
    <t>TES.ktoe.SI.Ser.BldNew.Thermal.HW.Elc.Elec</t>
  </si>
  <si>
    <t>TES.ktoe.SI.Ser.BldNew.Thermal.HW.TotalSolar.Solar</t>
  </si>
  <si>
    <t>TES.ktoe.SI.Ser.BldNew.Thermal.CA</t>
  </si>
  <si>
    <t>TES.ktoe.SI.Ser.BldNew.Thermal.CA.LPG</t>
  </si>
  <si>
    <t>TES.ktoe.SI.Ser.BldNew.Thermal.CA.Gas.NG_Biogas</t>
  </si>
  <si>
    <t>TES.ktoe.SI.Ser.BldNew.Thermal.CA.Biomass.Biomass_Waste</t>
  </si>
  <si>
    <t>TES.ktoe.SI.Ser.BldNew.Thermal.CA.Elc.Elec</t>
  </si>
  <si>
    <t>SI - System efficiency indicator of new and renovated buildings</t>
  </si>
  <si>
    <t>Eff.ratio.SI.Ser.BldNew.Thermal</t>
  </si>
  <si>
    <t>Eff.ratio.SI.Ser.BldNew.Thermal.SH</t>
  </si>
  <si>
    <t>Eff.ratio.SI.Ser.BldNew.Thermal.SH.Solids.Solids</t>
  </si>
  <si>
    <t>Eff.ratio.SI.Ser.BldNew.Thermal.SH.LPG.LPG</t>
  </si>
  <si>
    <t>Eff.ratio.SI.Ser.BldNew.Thermal.SH.Oil.Oil_LiqBio</t>
  </si>
  <si>
    <t>Eff.ratio.SI.Ser.BldNew.Thermal.SH.GasHP.NG_Biogas</t>
  </si>
  <si>
    <t>Eff.ratio.SI.Ser.BldNew.Thermal.SH.GasTH.NG_Biogas</t>
  </si>
  <si>
    <t>Eff.ratio.SI.Ser.BldNew.Thermal.SH.Biomass.Biomass_Waste</t>
  </si>
  <si>
    <t>Eff.ratio.SI.Ser.BldNew.Thermal.SH.Geo.Geo</t>
  </si>
  <si>
    <t>Eff.ratio.SI.Ser.BldNew.Thermal.SH.DistrHeat.Steam_Distr</t>
  </si>
  <si>
    <t>Eff.ratio.SI.Ser.BldNew.Thermal.SH.AdvElc.Elec</t>
  </si>
  <si>
    <t>Eff.ratio.SI.Ser.BldNew.Thermal.SH.ConvElc.Elec</t>
  </si>
  <si>
    <t>Eff.ratio.SI.Ser.BldNew.Thermal.SH.TotalCirculation.Elec</t>
  </si>
  <si>
    <t>Eff.ratio.SI.Ser.BldNew.Thermal.SC</t>
  </si>
  <si>
    <t>Eff.ratio.SI.Ser.BldNew.Thermal.SC.GasHP.NG_Biogas</t>
  </si>
  <si>
    <t>Eff.ratio.SI.Ser.BldNew.Thermal.SC.AC.Elec</t>
  </si>
  <si>
    <t>Eff.ratio.SI.Ser.BldNew.Thermal.HW</t>
  </si>
  <si>
    <t>Eff.ratio.SI.Ser.BldNew.Thermal.HW.Solids.Solids</t>
  </si>
  <si>
    <t>Eff.ratio.SI.Ser.BldNew.Thermal.HW.LPG.LPG</t>
  </si>
  <si>
    <t>Eff.ratio.SI.Ser.BldNew.Thermal.HW.Oil.Oil_LiqBio</t>
  </si>
  <si>
    <t>Eff.ratio.SI.Ser.BldNew.Thermal.HW.Gas.NG_Biogas</t>
  </si>
  <si>
    <t>Eff.ratio.SI.Ser.BldNew.Thermal.HW.Biomass.Biomass_Waste</t>
  </si>
  <si>
    <t>Eff.ratio.SI.Ser.BldNew.Thermal.HW.DistrHeat.Steam_Distr</t>
  </si>
  <si>
    <t>Eff.ratio.SI.Ser.BldNew.Thermal.HW.Elc.Elec</t>
  </si>
  <si>
    <t>Eff.ratio.SI.Ser.BldNew.Thermal.HW.TotalSolar.Solar</t>
  </si>
  <si>
    <t>Eff.ratio.SI.Ser.BldNew.Thermal.CA</t>
  </si>
  <si>
    <t>Eff.ratio.SI.Ser.BldNew.Thermal.CA.LPG</t>
  </si>
  <si>
    <t>Eff.ratio.SI.Ser.BldNew.Thermal.CA.Gas.NG_Biogas</t>
  </si>
  <si>
    <t>Eff.ratio.SI.Ser.BldNew.Thermal.CA.Biomass.Biomass_Waste</t>
  </si>
  <si>
    <t>Eff.ratio.SI.Ser.BldNew.Thermal.CA.Elc.Elec</t>
  </si>
  <si>
    <t>SI - CO2 emissions in new and renovated buildings</t>
  </si>
  <si>
    <t>EMI.ktCO2.SI.Ser.BldNew.Thermal</t>
  </si>
  <si>
    <t>EMI.ktCO2.SI.Ser.BldNew.Thermal.SH</t>
  </si>
  <si>
    <t>EMI.ktCO2.SI.Ser.BldNew.Thermal.SH.Solids.Solids</t>
  </si>
  <si>
    <t>EMI.ktCO2.SI.Ser.BldNew.Thermal.SH.LPG.LPG</t>
  </si>
  <si>
    <t>EMI.ktCO2.SI.Ser.BldNew.Thermal.SH.Oil.Oil_LiqBio</t>
  </si>
  <si>
    <t>EMI.ktCO2.SI.Ser.BldNew.Thermal.SH.GasHP.NG_Biogas</t>
  </si>
  <si>
    <t>EMI.ktCO2.SI.Ser.BldNew.Thermal.SH.GasTH.NG_Biogas</t>
  </si>
  <si>
    <t>EMI.ktCO2.SI.Ser.BldNew.Thermal.SH.Biomass.Biomass_Waste</t>
  </si>
  <si>
    <t>EMI.ktCO2.SI.Ser.BldNew.Thermal.SH.Geo.Geo</t>
  </si>
  <si>
    <t>EMI.ktCO2.SI.Ser.BldNew.Thermal.SH.DistrHeat.Steam_Distr</t>
  </si>
  <si>
    <t>EMI.ktCO2.SI.Ser.BldNew.Thermal.SH.AdvElc.Elec</t>
  </si>
  <si>
    <t>EMI.ktCO2.SI.Ser.BldNew.Thermal.SH.ConvElc.Elec</t>
  </si>
  <si>
    <t>EMI.ktCO2.SI.Ser.BldNew.Thermal.SH.TotalCirculation.Elec</t>
  </si>
  <si>
    <t>EMI.ktCO2.SI.Ser.BldNew.Thermal.SC</t>
  </si>
  <si>
    <t>EMI.ktCO2.SI.Ser.BldNew.Thermal.SC.GasHP.NG_Biogas</t>
  </si>
  <si>
    <t>EMI.ktCO2.SI.Ser.BldNew.Thermal.SC.AC.Elec</t>
  </si>
  <si>
    <t>EMI.ktCO2.SI.Ser.BldNew.Thermal.HW</t>
  </si>
  <si>
    <t>EMI.ktCO2.SI.Ser.BldNew.Thermal.HW.Solids.Solids</t>
  </si>
  <si>
    <t>EMI.ktCO2.SI.Ser.BldNew.Thermal.HW.LPG.LPG</t>
  </si>
  <si>
    <t>EMI.ktCO2.SI.Ser.BldNew.Thermal.HW.Oil.Oil_LiqBio</t>
  </si>
  <si>
    <t>EMI.ktCO2.SI.Ser.BldNew.Thermal.HW.Gas.NG_Biogas</t>
  </si>
  <si>
    <t>EMI.ktCO2.SI.Ser.BldNew.Thermal.HW.Biomass.Biomass_Waste</t>
  </si>
  <si>
    <t>EMI.ktCO2.SI.Ser.BldNew.Thermal.HW.DistrHeat.Steam_Distr</t>
  </si>
  <si>
    <t>EMI.ktCO2.SI.Ser.BldNew.Thermal.HW.Elc.Elec</t>
  </si>
  <si>
    <t>EMI.ktCO2.SI.Ser.BldNew.Thermal.HW.TotalSolar.Solar</t>
  </si>
  <si>
    <t>EMI.ktCO2.SI.Ser.BldNew.Thermal.CA</t>
  </si>
  <si>
    <t>EMI.ktCO2.SI.Ser.BldNew.Thermal.CA.LPG</t>
  </si>
  <si>
    <t>EMI.ktCO2.SI.Ser.BldNew.Thermal.CA.Gas.NG_Biogas</t>
  </si>
  <si>
    <t>EMI.ktCO2.SI.Ser.BldNew.Thermal.CA.Biomass.Biomass_Waste</t>
  </si>
  <si>
    <t>EMI.ktCO2.SI.Ser.BldNew.Thermal.CA.Elc.Elec</t>
  </si>
  <si>
    <t>SI - Final energy consumption of new and renovated buildings (per building)</t>
  </si>
  <si>
    <t>FEC_per_building.kWh.SI.Ser.BldNew.Thermal</t>
  </si>
  <si>
    <t>FEC_per_building.kWh.SI.Ser.BldNew.Thermal.SH</t>
  </si>
  <si>
    <t>FEC_per_building.kWh.SI.Ser.BldNew.Thermal.SH.Solids.Solids</t>
  </si>
  <si>
    <t>FEC_per_building.kWh.SI.Ser.BldNew.Thermal.SH.LPG.LPG</t>
  </si>
  <si>
    <t>FEC_per_building.kWh.SI.Ser.BldNew.Thermal.SH.Oil.Oil_LiqBio</t>
  </si>
  <si>
    <t>FEC_per_building.kWh.SI.Ser.BldNew.Thermal.SH.GasHP.NG_Biogas</t>
  </si>
  <si>
    <t>FEC_per_building.kWh.SI.Ser.BldNew.Thermal.SH.GasTH.NG_Biogas</t>
  </si>
  <si>
    <t>FEC_per_building.kWh.SI.Ser.BldNew.Thermal.SH.Biomass.Biomass_Waste</t>
  </si>
  <si>
    <t>FEC_per_building.kWh.SI.Ser.BldNew.Thermal.SH.Geo.Geo</t>
  </si>
  <si>
    <t>FEC_per_building.kWh.SI.Ser.BldNew.Thermal.SH.DistrHeat.Steam_Distr</t>
  </si>
  <si>
    <t>FEC_per_building.kWh.SI.Ser.BldNew.Thermal.SH.AdvElc.Elec</t>
  </si>
  <si>
    <t>FEC_per_building.kWh.SI.Ser.BldNew.Thermal.SH.ConvElc.Elec</t>
  </si>
  <si>
    <t>FEC_per_building.kWh.SI.Ser.BldNew.Thermal.SH.TotalCirculation.Elec</t>
  </si>
  <si>
    <t>FEC_per_building.kWh.SI.Ser.BldNew.Thermal.SC</t>
  </si>
  <si>
    <t>FEC_per_building.kWh.SI.Ser.BldNew.Thermal.SC.GasHP.NG_Biogas</t>
  </si>
  <si>
    <t>FEC_per_building.kWh.SI.Ser.BldNew.Thermal.SC.AC.Elec</t>
  </si>
  <si>
    <t>FEC_per_building.kWh.SI.Ser.BldNew.Thermal.HW</t>
  </si>
  <si>
    <t>FEC_per_building.kWh.SI.Ser.BldNew.Thermal.HW.Solids.Solids</t>
  </si>
  <si>
    <t>FEC_per_building.kWh.SI.Ser.BldNew.Thermal.HW.LPG.LPG</t>
  </si>
  <si>
    <t>FEC_per_building.kWh.SI.Ser.BldNew.Thermal.HW.Oil.Oil_LiqBio</t>
  </si>
  <si>
    <t>FEC_per_building.kWh.SI.Ser.BldNew.Thermal.HW.Gas.NG_Biogas</t>
  </si>
  <si>
    <t>FEC_per_building.kWh.SI.Ser.BldNew.Thermal.HW.Biomass.Biomass_Waste</t>
  </si>
  <si>
    <t>FEC_per_building.kWh.SI.Ser.BldNew.Thermal.HW.DistrHeat.Steam_Distr</t>
  </si>
  <si>
    <t>FEC_per_building.kWh.SI.Ser.BldNew.Thermal.HW.Elc.Elec</t>
  </si>
  <si>
    <t>FEC_per_building.kWh.SI.Ser.BldNew.Thermal.HW.TotalSolar.Solar</t>
  </si>
  <si>
    <t>FEC_per_building.kWh.SI.Ser.BldNew.Thermal.CA</t>
  </si>
  <si>
    <t>FEC_per_building.kWh.SI.Ser.BldNew.Thermal.CA.LPG</t>
  </si>
  <si>
    <t>FEC_per_building.kWh.SI.Ser.BldNew.Thermal.CA.Gas.NG_Biogas</t>
  </si>
  <si>
    <t>FEC_per_building.kWh.SI.Ser.BldNew.Thermal.CA.Biomass.Biomass_Waste</t>
  </si>
  <si>
    <t>FEC_per_building.kWh.SI.Ser.BldNew.Thermal.CA.Elc.Elec</t>
  </si>
  <si>
    <t>SI - Thermal energy service of new and renovated buildings (per building)</t>
  </si>
  <si>
    <t>TES_per_building.kWh.SI.Ser.BldNew.Thermal</t>
  </si>
  <si>
    <t>TES_per_building.kWh.SI.Ser.BldNew.Thermal.SH</t>
  </si>
  <si>
    <t>TES_per_building.kWh.SI.Ser.BldNew.Thermal.SH.Solids.Solids</t>
  </si>
  <si>
    <t>TES_per_building.kWh.SI.Ser.BldNew.Thermal.SH.LPG.LPG</t>
  </si>
  <si>
    <t>TES_per_building.kWh.SI.Ser.BldNew.Thermal.SH.Oil.Oil_LiqBio</t>
  </si>
  <si>
    <t>TES_per_building.kWh.SI.Ser.BldNew.Thermal.SH.GasHP.NG_Biogas</t>
  </si>
  <si>
    <t>TES_per_building.kWh.SI.Ser.BldNew.Thermal.SH.GasTH.NG_Biogas</t>
  </si>
  <si>
    <t>TES_per_building.kWh.SI.Ser.BldNew.Thermal.SH.Biomass.Biomass_Waste</t>
  </si>
  <si>
    <t>TES_per_building.kWh.SI.Ser.BldNew.Thermal.SH.Geo.Geo</t>
  </si>
  <si>
    <t>TES_per_building.kWh.SI.Ser.BldNew.Thermal.SH.DistrHeat.Steam_Distr</t>
  </si>
  <si>
    <t>TES_per_building.kWh.SI.Ser.BldNew.Thermal.SH.AdvElc.Elec</t>
  </si>
  <si>
    <t>TES_per_building.kWh.SI.Ser.BldNew.Thermal.SH.ConvElc.Elec</t>
  </si>
  <si>
    <t>TES_per_building.kWh.SI.Ser.BldNew.Thermal.SH.TotalCirculation.Elec</t>
  </si>
  <si>
    <t>TES_per_building.kWh.SI.Ser.BldNew.Thermal.SC</t>
  </si>
  <si>
    <t>TES_per_building.kWh.SI.Ser.BldNew.Thermal.SC.GasHP.NG_Biogas</t>
  </si>
  <si>
    <t>TES_per_building.kWh.SI.Ser.BldNew.Thermal.SC.AC.Elec</t>
  </si>
  <si>
    <t>TES_per_building.kWh.SI.Ser.BldNew.Thermal.HW</t>
  </si>
  <si>
    <t>TES_per_building.kWh.SI.Ser.BldNew.Thermal.HW.Solids.Solids</t>
  </si>
  <si>
    <t>TES_per_building.kWh.SI.Ser.BldNew.Thermal.HW.LPG.LPG</t>
  </si>
  <si>
    <t>TES_per_building.kWh.SI.Ser.BldNew.Thermal.HW.Oil.Oil_LiqBio</t>
  </si>
  <si>
    <t>TES_per_building.kWh.SI.Ser.BldNew.Thermal.HW.Gas.NG_Biogas</t>
  </si>
  <si>
    <t>TES_per_building.kWh.SI.Ser.BldNew.Thermal.HW.Biomass.Biomass_Waste</t>
  </si>
  <si>
    <t>TES_per_building.kWh.SI.Ser.BldNew.Thermal.HW.DistrHeat.Steam_Distr</t>
  </si>
  <si>
    <t>TES_per_building.kWh.SI.Ser.BldNew.Thermal.HW.Elc.Elec</t>
  </si>
  <si>
    <t>TES_per_building.kWh.SI.Ser.BldNew.Thermal.HW.TotalSolar.Solar</t>
  </si>
  <si>
    <t>TES_per_building.kWh.SI.Ser.BldNew.Thermal.CA</t>
  </si>
  <si>
    <t>TES_per_building.kWh.SI.Ser.BldNew.Thermal.CA.LPG</t>
  </si>
  <si>
    <t>TES_per_building.kWh.SI.Ser.BldNew.Thermal.CA.Gas.NG_Biogas</t>
  </si>
  <si>
    <t>TES_per_building.kWh.SI.Ser.BldNew.Thermal.CA.Biomass.Biomass_Waste</t>
  </si>
  <si>
    <t>TES_per_building.kWh.SI.Ser.BldNew.Thermal.CA.Elc.Elec</t>
  </si>
  <si>
    <t>SI - CO2 emissions in new and renovated buildings (per building)</t>
  </si>
  <si>
    <t>EMI_per_building.kgCO2.SI.Ser.BldNew.Thermal</t>
  </si>
  <si>
    <t>EMI_per_building.kgCO2.SI.Ser.BldNew.Thermal.SH</t>
  </si>
  <si>
    <t>EMI_per_building.kgCO2.SI.Ser.BldNew.Thermal.SH.Solids.Solids</t>
  </si>
  <si>
    <t>EMI_per_building.kgCO2.SI.Ser.BldNew.Thermal.SH.LPG.LPG</t>
  </si>
  <si>
    <t>EMI_per_building.kgCO2.SI.Ser.BldNew.Thermal.SH.Oil.Oil_LiqBio</t>
  </si>
  <si>
    <t>EMI_per_building.kgCO2.SI.Ser.BldNew.Thermal.SH.GasHP.NG_Biogas</t>
  </si>
  <si>
    <t>EMI_per_building.kgCO2.SI.Ser.BldNew.Thermal.SH.GasTH.NG_Biogas</t>
  </si>
  <si>
    <t>EMI_per_building.kgCO2.SI.Ser.BldNew.Thermal.SH.Biomass.Biomass_Waste</t>
  </si>
  <si>
    <t>EMI_per_building.kgCO2.SI.Ser.BldNew.Thermal.SH.Geo.Geo</t>
  </si>
  <si>
    <t>EMI_per_building.kgCO2.SI.Ser.BldNew.Thermal.SH.DistrHeat.Steam_Distr</t>
  </si>
  <si>
    <t>EMI_per_building.kgCO2.SI.Ser.BldNew.Thermal.SH.AdvElc.Elec</t>
  </si>
  <si>
    <t>EMI_per_building.kgCO2.SI.Ser.BldNew.Thermal.SH.ConvElc.Elec</t>
  </si>
  <si>
    <t>EMI_per_building.kgCO2.SI.Ser.BldNew.Thermal.SH.TotalCirculation.Elec</t>
  </si>
  <si>
    <t>EMI_per_building.kgCO2.SI.Ser.BldNew.Thermal.SC</t>
  </si>
  <si>
    <t>EMI_per_building.kgCO2.SI.Ser.BldNew.Thermal.SC.GasHP.NG_Biogas</t>
  </si>
  <si>
    <t>EMI_per_building.kgCO2.SI.Ser.BldNew.Thermal.SC.AC.Elec</t>
  </si>
  <si>
    <t>EMI_per_building.kgCO2.SI.Ser.BldNew.Thermal.HW</t>
  </si>
  <si>
    <t>EMI_per_building.kgCO2.SI.Ser.BldNew.Thermal.HW.Solids.Solids</t>
  </si>
  <si>
    <t>EMI_per_building.kgCO2.SI.Ser.BldNew.Thermal.HW.LPG.LPG</t>
  </si>
  <si>
    <t>EMI_per_building.kgCO2.SI.Ser.BldNew.Thermal.HW.Oil.Oil_LiqBio</t>
  </si>
  <si>
    <t>EMI_per_building.kgCO2.SI.Ser.BldNew.Thermal.HW.Gas.NG_Biogas</t>
  </si>
  <si>
    <t>EMI_per_building.kgCO2.SI.Ser.BldNew.Thermal.HW.Biomass.Biomass_Waste</t>
  </si>
  <si>
    <t>EMI_per_building.kgCO2.SI.Ser.BldNew.Thermal.HW.DistrHeat.Steam_Distr</t>
  </si>
  <si>
    <t>EMI_per_building.kgCO2.SI.Ser.BldNew.Thermal.HW.Elc.Elec</t>
  </si>
  <si>
    <t>EMI_per_building.kgCO2.SI.Ser.BldNew.Thermal.HW.TotalSolar.Solar</t>
  </si>
  <si>
    <t>EMI_per_building.kgCO2.SI.Ser.BldNew.Thermal.CA</t>
  </si>
  <si>
    <t>EMI_per_building.kgCO2.SI.Ser.BldNew.Thermal.CA.LPG</t>
  </si>
  <si>
    <t>EMI_per_building.kgCO2.SI.Ser.BldNew.Thermal.CA.Gas.NG_Biogas</t>
  </si>
  <si>
    <t>EMI_per_building.kgCO2.SI.Ser.BldNew.Thermal.CA.Biomass.Biomass_Waste</t>
  </si>
  <si>
    <t>EMI_per_building.kgCO2.SI.Ser.BldNew.Thermal.CA.Elc.Elec</t>
  </si>
  <si>
    <t>SI - Final energy consumption in new and renovated buildings per surface area</t>
  </si>
  <si>
    <t>FEC_per_sqm.kWh.SI.Ser.BldNew.Thermal</t>
  </si>
  <si>
    <t>FEC_per_sqm.kWh.SI.Ser.BldNew.Thermal.SH</t>
  </si>
  <si>
    <t>FEC_per_sqm.kWh.SI.Ser.BldNew.Thermal.SH.Solids.Solids</t>
  </si>
  <si>
    <t>FEC_per_sqm.kWh.SI.Ser.BldNew.Thermal.SH.LPG.LPG</t>
  </si>
  <si>
    <t>FEC_per_sqm.kWh.SI.Ser.BldNew.Thermal.SH.Oil.Oil_LiqBio</t>
  </si>
  <si>
    <t>FEC_per_sqm.kWh.SI.Ser.BldNew.Thermal.SH.GasHP.NG_Biogas</t>
  </si>
  <si>
    <t>FEC_per_sqm.kWh.SI.Ser.BldNew.Thermal.SH.GasTH.NG_Biogas</t>
  </si>
  <si>
    <t>FEC_per_sqm.kWh.SI.Ser.BldNew.Thermal.SH.Biomass.Biomass_Waste</t>
  </si>
  <si>
    <t>FEC_per_sqm.kWh.SI.Ser.BldNew.Thermal.SH.Geo.Geo</t>
  </si>
  <si>
    <t>FEC_per_sqm.kWh.SI.Ser.BldNew.Thermal.SH.DistrHeat.Steam_Distr</t>
  </si>
  <si>
    <t>FEC_per_sqm.kWh.SI.Ser.BldNew.Thermal.SH.AdvElc.Elec</t>
  </si>
  <si>
    <t>FEC_per_sqm.kWh.SI.Ser.BldNew.Thermal.SH.ConvElc.Elec</t>
  </si>
  <si>
    <t>FEC_per_sqm.kWh.SI.Ser.BldNew.Thermal.SH.TotalCirculation.Elec</t>
  </si>
  <si>
    <t>FEC_per_sqm.kWh.SI.Ser.BldNew.Thermal.SC</t>
  </si>
  <si>
    <t>FEC_per_sqm.kWh.SI.Ser.BldNew.Thermal.SC.GasHP.NG_Biogas</t>
  </si>
  <si>
    <t>FEC_per_sqm.kWh.SI.Ser.BldNew.Thermal.SC.AC.Elec</t>
  </si>
  <si>
    <t>FEC_per_sqm.kWh.SI.Ser.BldNew.Thermal.HW</t>
  </si>
  <si>
    <t>FEC_per_sqm.kWh.SI.Ser.BldNew.Thermal.HW.Solids.Solids</t>
  </si>
  <si>
    <t>FEC_per_sqm.kWh.SI.Ser.BldNew.Thermal.HW.LPG.LPG</t>
  </si>
  <si>
    <t>FEC_per_sqm.kWh.SI.Ser.BldNew.Thermal.HW.Oil.Oil_LiqBio</t>
  </si>
  <si>
    <t>FEC_per_sqm.kWh.SI.Ser.BldNew.Thermal.HW.Gas.NG_Biogas</t>
  </si>
  <si>
    <t>FEC_per_sqm.kWh.SI.Ser.BldNew.Thermal.HW.Biomass.Biomass_Waste</t>
  </si>
  <si>
    <t>FEC_per_sqm.kWh.SI.Ser.BldNew.Thermal.HW.DistrHeat.Steam_Distr</t>
  </si>
  <si>
    <t>FEC_per_sqm.kWh.SI.Ser.BldNew.Thermal.HW.Elc.Elec</t>
  </si>
  <si>
    <t>FEC_per_sqm.kWh.SI.Ser.BldNew.Thermal.HW.TotalSolar.Solar</t>
  </si>
  <si>
    <t>FEC_per_sqm.kWh.SI.Ser.BldNew.Thermal.CA</t>
  </si>
  <si>
    <t>FEC_per_sqm.kWh.SI.Ser.BldNew.Thermal.CA.LPG</t>
  </si>
  <si>
    <t>FEC_per_sqm.kWh.SI.Ser.BldNew.Thermal.CA.Gas.NG_Biogas</t>
  </si>
  <si>
    <t>FEC_per_sqm.kWh.SI.Ser.BldNew.Thermal.CA.Biomass.Biomass_Waste</t>
  </si>
  <si>
    <t>FEC_per_sqm.kWh.SI.Ser.BldNew.Thermal.CA.Elc.Elec</t>
  </si>
  <si>
    <t>SI - Thermal energy service in new and renovated buildings per surface area</t>
  </si>
  <si>
    <t>TES_per_sqm.kWh.SI.Ser.BldNew.Thermal</t>
  </si>
  <si>
    <t>TES_per_sqm.kWh.SI.Ser.BldNew.Thermal.SH</t>
  </si>
  <si>
    <t>TES_per_sqm.kWh.SI.Ser.BldNew.Thermal.SH.Solids.Solids</t>
  </si>
  <si>
    <t>TES_per_sqm.kWh.SI.Ser.BldNew.Thermal.SH.LPG.LPG</t>
  </si>
  <si>
    <t>TES_per_sqm.kWh.SI.Ser.BldNew.Thermal.SH.Oil.Oil_LiqBio</t>
  </si>
  <si>
    <t>TES_per_sqm.kWh.SI.Ser.BldNew.Thermal.SH.GasHP.NG_Biogas</t>
  </si>
  <si>
    <t>TES_per_sqm.kWh.SI.Ser.BldNew.Thermal.SH.GasTH.NG_Biogas</t>
  </si>
  <si>
    <t>TES_per_sqm.kWh.SI.Ser.BldNew.Thermal.SH.Biomass.Biomass_Waste</t>
  </si>
  <si>
    <t>TES_per_sqm.kWh.SI.Ser.BldNew.Thermal.SH.Geo.Geo</t>
  </si>
  <si>
    <t>TES_per_sqm.kWh.SI.Ser.BldNew.Thermal.SH.DistrHeat.Steam_Distr</t>
  </si>
  <si>
    <t>TES_per_sqm.kWh.SI.Ser.BldNew.Thermal.SH.AdvElc.Elec</t>
  </si>
  <si>
    <t>TES_per_sqm.kWh.SI.Ser.BldNew.Thermal.SH.ConvElc.Elec</t>
  </si>
  <si>
    <t>TES_per_sqm.kWh.SI.Ser.BldNew.Thermal.SH.TotalCirculation.Elec</t>
  </si>
  <si>
    <t>TES_per_sqm.kWh.SI.Ser.BldNew.Thermal.SC</t>
  </si>
  <si>
    <t>TES_per_sqm.kWh.SI.Ser.BldNew.Thermal.SC.GasHP.NG_Biogas</t>
  </si>
  <si>
    <t>TES_per_sqm.kWh.SI.Ser.BldNew.Thermal.SC.AC.Elec</t>
  </si>
  <si>
    <t>TES_per_sqm.kWh.SI.Ser.BldNew.Thermal.HW</t>
  </si>
  <si>
    <t>TES_per_sqm.kWh.SI.Ser.BldNew.Thermal.HW.Solids.Solids</t>
  </si>
  <si>
    <t>TES_per_sqm.kWh.SI.Ser.BldNew.Thermal.HW.LPG.LPG</t>
  </si>
  <si>
    <t>TES_per_sqm.kWh.SI.Ser.BldNew.Thermal.HW.Oil.Oil_LiqBio</t>
  </si>
  <si>
    <t>TES_per_sqm.kWh.SI.Ser.BldNew.Thermal.HW.Gas.NG_Biogas</t>
  </si>
  <si>
    <t>TES_per_sqm.kWh.SI.Ser.BldNew.Thermal.HW.Biomass.Biomass_Waste</t>
  </si>
  <si>
    <t>TES_per_sqm.kWh.SI.Ser.BldNew.Thermal.HW.DistrHeat.Steam_Distr</t>
  </si>
  <si>
    <t>TES_per_sqm.kWh.SI.Ser.BldNew.Thermal.HW.Elc.Elec</t>
  </si>
  <si>
    <t>TES_per_sqm.kWh.SI.Ser.BldNew.Thermal.HW.TotalSolar.Solar</t>
  </si>
  <si>
    <t>TES_per_sqm.kWh.SI.Ser.BldNew.Thermal.CA</t>
  </si>
  <si>
    <t>TES_per_sqm.kWh.SI.Ser.BldNew.Thermal.CA.LPG</t>
  </si>
  <si>
    <t>TES_per_sqm.kWh.SI.Ser.BldNew.Thermal.CA.Gas.NG_Biogas</t>
  </si>
  <si>
    <t>TES_per_sqm.kWh.SI.Ser.BldNew.Thermal.CA.Biomass.Biomass_Waste</t>
  </si>
  <si>
    <t>TES_per_sqm.kWh.SI.Ser.BldNew.Thermal.CA.Elc.Elec</t>
  </si>
  <si>
    <t>SI - CO2 emissions in new and renovated buildings per surface area</t>
  </si>
  <si>
    <t>EMI_per_sqm.kgCO2.SI.Ser.BldNew.Thermal</t>
  </si>
  <si>
    <t>EMI_per_sqm.kgCO2.SI.Ser.BldNew.Thermal.SH</t>
  </si>
  <si>
    <t>EMI_per_sqm.kgCO2.SI.Ser.BldNew.Thermal.SH.Solids.Solids</t>
  </si>
  <si>
    <t>EMI_per_sqm.kgCO2.SI.Ser.BldNew.Thermal.SH.LPG.LPG</t>
  </si>
  <si>
    <t>EMI_per_sqm.kgCO2.SI.Ser.BldNew.Thermal.SH.Oil.Oil_LiqBio</t>
  </si>
  <si>
    <t>EMI_per_sqm.kgCO2.SI.Ser.BldNew.Thermal.SH.GasHP.NG_Biogas</t>
  </si>
  <si>
    <t>EMI_per_sqm.kgCO2.SI.Ser.BldNew.Thermal.SH.GasTH.NG_Biogas</t>
  </si>
  <si>
    <t>EMI_per_sqm.kgCO2.SI.Ser.BldNew.Thermal.SH.Biomass.Biomass_Waste</t>
  </si>
  <si>
    <t>EMI_per_sqm.kgCO2.SI.Ser.BldNew.Thermal.SH.Geo.Geo</t>
  </si>
  <si>
    <t>EMI_per_sqm.kgCO2.SI.Ser.BldNew.Thermal.SH.DistrHeat.Steam_Distr</t>
  </si>
  <si>
    <t>EMI_per_sqm.kgCO2.SI.Ser.BldNew.Thermal.SH.AdvElc.Elec</t>
  </si>
  <si>
    <t>EMI_per_sqm.kgCO2.SI.Ser.BldNew.Thermal.SH.ConvElc.Elec</t>
  </si>
  <si>
    <t>EMI_per_sqm.kgCO2.SI.Ser.BldNew.Thermal.SH.TotalCirculation.Elec</t>
  </si>
  <si>
    <t>EMI_per_sqm.kgCO2.SI.Ser.BldNew.Thermal.SC</t>
  </si>
  <si>
    <t>EMI_per_sqm.kgCO2.SI.Ser.BldNew.Thermal.SC.GasHP.NG_Biogas</t>
  </si>
  <si>
    <t>EMI_per_sqm.kgCO2.SI.Ser.BldNew.Thermal.SC.AC.Elec</t>
  </si>
  <si>
    <t>EMI_per_sqm.kgCO2.SI.Ser.BldNew.Thermal.HW</t>
  </si>
  <si>
    <t>EMI_per_sqm.kgCO2.SI.Ser.BldNew.Thermal.HW.Solids.Solids</t>
  </si>
  <si>
    <t>EMI_per_sqm.kgCO2.SI.Ser.BldNew.Thermal.HW.LPG.LPG</t>
  </si>
  <si>
    <t>EMI_per_sqm.kgCO2.SI.Ser.BldNew.Thermal.HW.Oil.Oil_LiqBio</t>
  </si>
  <si>
    <t>EMI_per_sqm.kgCO2.SI.Ser.BldNew.Thermal.HW.Gas.NG_Biogas</t>
  </si>
  <si>
    <t>EMI_per_sqm.kgCO2.SI.Ser.BldNew.Thermal.HW.Biomass.Biomass_Waste</t>
  </si>
  <si>
    <t>EMI_per_sqm.kgCO2.SI.Ser.BldNew.Thermal.HW.DistrHeat.Steam_Distr</t>
  </si>
  <si>
    <t>EMI_per_sqm.kgCO2.SI.Ser.BldNew.Thermal.HW.Elc.Elec</t>
  </si>
  <si>
    <t>EMI_per_sqm.kgCO2.SI.Ser.BldNew.Thermal.HW.TotalSolar.Solar</t>
  </si>
  <si>
    <t>EMI_per_sqm.kgCO2.SI.Ser.BldNew.Thermal.CA</t>
  </si>
  <si>
    <t>EMI_per_sqm.kgCO2.SI.Ser.BldNew.Thermal.CA.LPG</t>
  </si>
  <si>
    <t>EMI_per_sqm.kgCO2.SI.Ser.BldNew.Thermal.CA.Gas.NG_Biogas</t>
  </si>
  <si>
    <t>EMI_per_sqm.kgCO2.SI.Ser.BldNew.Thermal.CA.Biomass.Biomass_Waste</t>
  </si>
  <si>
    <t>EMI_per_sqm.kgCO2.SI.Ser.BldNew.Thermal.CA.Elc.Elec</t>
  </si>
  <si>
    <t>FEC.ktoe.SI.Ser.SEU.VE</t>
  </si>
  <si>
    <t>FEC.ktoe.SI.Ser.SEU.SL</t>
  </si>
  <si>
    <t>FEC.ktoe.SI.Ser.SEU.BL</t>
  </si>
  <si>
    <t>FEC.ktoe.SI.Ser.SEU.CR</t>
  </si>
  <si>
    <t>FEC.ktoe.SI.Ser.SEU.BT</t>
  </si>
  <si>
    <t>FEC.ktoe.SI.Ser.SEU.IT</t>
  </si>
  <si>
    <t>Size.MW.SI.Ser.SEU</t>
  </si>
  <si>
    <t>Size.MW.SI.Ser.SEU.VE</t>
  </si>
  <si>
    <t>Size.MW.SI.Ser.SEU.SL</t>
  </si>
  <si>
    <t>Size.MW.SI.Ser.SEU.BL</t>
  </si>
  <si>
    <t>Size.MW.SI.Ser.SEU.CR</t>
  </si>
  <si>
    <t>Size.MW.SI.Ser.SEU.BT</t>
  </si>
  <si>
    <t>Size.MW.SI.Ser.SEU.IT</t>
  </si>
  <si>
    <t>NUM.Msqm.SI.Ser.SEU.VE</t>
  </si>
  <si>
    <t>NUM.k.SI.Ser.SEU.SL</t>
  </si>
  <si>
    <t>NUM.M.SI.Ser.SEU.BL</t>
  </si>
  <si>
    <t>NUM.k.SI.Ser.SEU.CR</t>
  </si>
  <si>
    <t>NUM.Msqm.SI.Ser.SEU.BT</t>
  </si>
  <si>
    <t>NUM.k.SI.Ser.SEU.IT</t>
  </si>
  <si>
    <t>NUM.Msqm.SI.Ser.SEUnew.VE</t>
  </si>
  <si>
    <t>NUM.k.SI.Ser.SEUnew.SL</t>
  </si>
  <si>
    <t>NUM.M.SI.Ser.SEUnew.BL</t>
  </si>
  <si>
    <t>NUM.k.SI.Ser.SEUnew.CR</t>
  </si>
  <si>
    <t>NUM.Msqm.SI.Ser.SEUnew.BT</t>
  </si>
  <si>
    <t>NUM.k.SI.Ser.SEUnew.IT</t>
  </si>
  <si>
    <t>NUM.Msqm.SI.Ser.SEUrepl.VE</t>
  </si>
  <si>
    <t>NUM.k.SI.Ser.SEUrepl.SL</t>
  </si>
  <si>
    <t>NUM.M.SI.Ser.SEUrepl.BL</t>
  </si>
  <si>
    <t>NUM.k.SI.Ser.SEUrepl.CR</t>
  </si>
  <si>
    <t>NUM.Msqm.SI.Ser.SEUrepl.BT</t>
  </si>
  <si>
    <t>NUM.k.SI.Ser.SEUrepl.IT</t>
  </si>
  <si>
    <t>Op.hours.SI.Ser.SEU.VE</t>
  </si>
  <si>
    <t>Op.hours.SI.Ser.SEU.SL</t>
  </si>
  <si>
    <t>Op.hours.SI.Ser.SEU.BL</t>
  </si>
  <si>
    <t>Op.hours.SI.Ser.SEU.CR</t>
  </si>
  <si>
    <t>Op.hours.SI.Ser.SEU.BT</t>
  </si>
  <si>
    <t>Op.hours.SI.Ser.SEU.IT</t>
  </si>
  <si>
    <t>Size_per_appl.W.SI.Ser.SEU.VE</t>
  </si>
  <si>
    <t>Size_per_appl.W.SI.Ser.SEU.SL</t>
  </si>
  <si>
    <t>Size_per_appl.W.SI.Ser.SEU.BL</t>
  </si>
  <si>
    <t>Size_per_appl.W.SI.Ser.SEU.CR</t>
  </si>
  <si>
    <t>Size_per_appl.W.SI.Ser.SEU.BT</t>
  </si>
  <si>
    <t>Size_per_appl.W.SI.Ser.SEU.IT</t>
  </si>
  <si>
    <t>Size_per_appl.W.SI.Ser.SEUnew.VE</t>
  </si>
  <si>
    <t>Size_per_appl.W.SI.Ser.SEUnew.SL</t>
  </si>
  <si>
    <t>Size_per_appl.W.SI.Ser.SEUnew.BL</t>
  </si>
  <si>
    <t>Size_per_appl.W.SI.Ser.SEUnew.CR</t>
  </si>
  <si>
    <t>Size_per_appl.W.SI.Ser.SEUnew.BT</t>
  </si>
  <si>
    <t>Size_per_appl.W.SI.Ser.SEUnew.IT</t>
  </si>
  <si>
    <t>NUM.sqm_per_building.SI.Ser.SEU.VE</t>
  </si>
  <si>
    <t>NUM.number_per_capita.SI.Ser.SEU.SL</t>
  </si>
  <si>
    <t>NUM.number_per_building.SI.Ser.SEU.BL</t>
  </si>
  <si>
    <t>NUM.number_per_capita.SI.Ser.SEU.CR</t>
  </si>
  <si>
    <t>NUM.sqm_per_building.SI.Ser.SEU.BT</t>
  </si>
  <si>
    <t>NUM.number_per_capita.SI.Ser.SEU.IT</t>
  </si>
  <si>
    <t>Lumens_per_sqm.lumen.SI.Ser.SEU.BL</t>
  </si>
  <si>
    <t>SI - Services / specific electric uses</t>
  </si>
  <si>
    <t>SI - Ventilation and others</t>
  </si>
  <si>
    <t>SI - Street lighting</t>
  </si>
  <si>
    <t>SI - Building lighting</t>
  </si>
  <si>
    <t>SI - Commercial refrigeration</t>
  </si>
  <si>
    <t>SI - Miscellaneous building technologies</t>
  </si>
  <si>
    <t>SI - ICT and multimedia</t>
  </si>
  <si>
    <t>SI - Agriculture, forestry and fishing</t>
  </si>
  <si>
    <t>VA.Meuro2015.SI.AGR.AGR</t>
  </si>
  <si>
    <t>OUTPUT.index.SI.AGR.AGR</t>
  </si>
  <si>
    <t>CAP.index.SI.AGR.AGR</t>
  </si>
  <si>
    <t>NEWCAP.index.SI.AGR.AGR</t>
  </si>
  <si>
    <t>CAPOUT.index.SI.AGR.AGR</t>
  </si>
  <si>
    <t>CAPIDLE.index.SI.AGR.AGR</t>
  </si>
  <si>
    <t>FEC.ktoe.SI.ES.AGR</t>
  </si>
  <si>
    <t>FEC.ktoe.SI.ES.AGR.Solids</t>
  </si>
  <si>
    <t>FEC.ktoe.SI.ES.AGR.LPG</t>
  </si>
  <si>
    <t>FEC.ktoe.SI.ES.AGR.Diesel</t>
  </si>
  <si>
    <t>FEC.ktoe.SI.ES.AGR.RFO</t>
  </si>
  <si>
    <t>FEC.ktoe.SI.ES.AGR.NG</t>
  </si>
  <si>
    <t>FEC.ktoe.SI.ES.AGR.Biomass_Waste</t>
  </si>
  <si>
    <t>FEC.ktoe.SI.ES.AGR.Biogas</t>
  </si>
  <si>
    <t>FEC.ktoe.SI.ES.AGR.LiqBio</t>
  </si>
  <si>
    <t>FEC.ktoe.SI.ES.AGR.Solar</t>
  </si>
  <si>
    <t>FEC.ktoe.SI.ES.AGR.Geo</t>
  </si>
  <si>
    <t>FEC.ktoe.SI.ES.AGR.Ambient</t>
  </si>
  <si>
    <t>FEC.ktoe.SI.ES.AGR.Steam_Distr</t>
  </si>
  <si>
    <t>FEC.ktoe.SI.ES.AGR.Elec</t>
  </si>
  <si>
    <t>SI - Agriculture, forestry and fishing / final energy consumption</t>
  </si>
  <si>
    <t>FEC.ktoe.SI.AGR.AGR.LIGHT.GENERIC.ELEC</t>
  </si>
  <si>
    <t>FEC.ktoe.SI.AGR.AGR.FANS.GENERIC.ELEC</t>
  </si>
  <si>
    <t>FEC.ktoe.SI.AGR.AGR.MOTOR.GENERIC.ELEC</t>
  </si>
  <si>
    <t>FEC.ktoe.SI.AGR.AGR.LOW_ENTH.THERM.DIESEL_LIQBIO</t>
  </si>
  <si>
    <t>FEC.ktoe.SI.AGR.AGR.LOW_ENTH.THERM.NG_BIOGAS</t>
  </si>
  <si>
    <t>FEC.ktoe.SI.AGR.AGR.LOW_ENTH.THERM.SOLAR_GEO</t>
  </si>
  <si>
    <t>FEC.ktoe.SI.AGR.AGR.LOW_ENTH.HP.AMBIENT</t>
  </si>
  <si>
    <t>FEC.ktoe.SI.AGR.AGR.LOW_ENTH.THERM.STEAM_DISTR</t>
  </si>
  <si>
    <t>FEC.ktoe.SI.AGR.AGR.LOW_ENTH.THERM.ELEC</t>
  </si>
  <si>
    <t>FEC.ktoe.SI.AGR.AGR.FARM_DRIVES.MECH.DIESEL_LIQBIO</t>
  </si>
  <si>
    <t>FEC.ktoe.SI.AGR.AGR.HEAT_USE.THERM.SOLIDS</t>
  </si>
  <si>
    <t>FEC.ktoe.SI.AGR.AGR.HEAT_USE.THERM.LPG</t>
  </si>
  <si>
    <t>FEC.ktoe.SI.AGR.AGR.HEAT_USE.THERM.DIESEL_LIQBIO</t>
  </si>
  <si>
    <t>FEC.ktoe.SI.AGR.AGR.HEAT_USE.THERM.RFO</t>
  </si>
  <si>
    <t>FEC.ktoe.SI.AGR.AGR.HEAT_USE.THERM.NG_BIOGAS</t>
  </si>
  <si>
    <t>FEC.ktoe.SI.AGR.AGR.HEAT_USE.THERM.BIOMASS_WASTE</t>
  </si>
  <si>
    <t>FEC.ktoe.SI.AGR.AGR.HEAT_USE.THERM.SOLAR_GEO</t>
  </si>
  <si>
    <t>FEC.ktoe.SI.AGR.AGR.FARM_PUMP.MECH.DIESEL_LIQBIO</t>
  </si>
  <si>
    <t>FEC.ktoe.SI.AGR.AGR.FARM_PUMP_ELEC.MECH.ELEC</t>
  </si>
  <si>
    <t>FEC.ktoe.SI.AGR.AGR.GENERIC.MECH.ELEC</t>
  </si>
  <si>
    <t>SI - Agriculture, forestry and fishing / useful energy demand</t>
  </si>
  <si>
    <t>UED.ktoe.SI.AGR.AGR.LIGHT.GENERIC.ELEC</t>
  </si>
  <si>
    <t>UED.ktoe.SI.AGR.AGR.FANS.GENERIC.ELEC</t>
  </si>
  <si>
    <t>UED.ktoe.SI.AGR.AGR.MOTOR.GENERIC.ELEC</t>
  </si>
  <si>
    <t>UED.ktoe.SI.AGR.AGR.LOW_ENTH.THERM.DIESEL_LIQBIO</t>
  </si>
  <si>
    <t>UED.ktoe.SI.AGR.AGR.LOW_ENTH.THERM.NG_BIOGAS</t>
  </si>
  <si>
    <t>UED.ktoe.SI.AGR.AGR.LOW_ENTH.THERM.SOLAR_GEO</t>
  </si>
  <si>
    <t>UED.ktoe.SI.AGR.AGR.LOW_ENTH.HP.AMBIENT</t>
  </si>
  <si>
    <t>UED.ktoe.SI.AGR.AGR.LOW_ENTH.THERM.STEAM_DISTR</t>
  </si>
  <si>
    <t>UED.ktoe.SI.AGR.AGR.LOW_ENTH.THERM.ELEC</t>
  </si>
  <si>
    <t>UED.ktoe.SI.AGR.AGR.FARM_DRIVES.MECH.DIESEL_LIQBIO</t>
  </si>
  <si>
    <t>UED.ktoe.SI.AGR.AGR.HEAT_USE.THERM.SOLIDS</t>
  </si>
  <si>
    <t>UED.ktoe.SI.AGR.AGR.HEAT_USE.THERM.LPG</t>
  </si>
  <si>
    <t>UED.ktoe.SI.AGR.AGR.HEAT_USE.THERM.DIESEL_LIQBIO</t>
  </si>
  <si>
    <t>UED.ktoe.SI.AGR.AGR.HEAT_USE.THERM.RFO</t>
  </si>
  <si>
    <t>UED.ktoe.SI.AGR.AGR.HEAT_USE.THERM.NG_BIOGAS</t>
  </si>
  <si>
    <t>UED.ktoe.SI.AGR.AGR.HEAT_USE.THERM.BIOMASS_WASTE</t>
  </si>
  <si>
    <t>UED.ktoe.SI.AGR.AGR.HEAT_USE.THERM.SOLAR_GEO</t>
  </si>
  <si>
    <t>UED.ktoe.SI.AGR.AGR.FARM_PUMP.MECH.DIESEL_LIQBIO</t>
  </si>
  <si>
    <t>UED.ktoe.SI.AGR.AGR.FARM_PUMP_ELEC.MECH.ELEC</t>
  </si>
  <si>
    <t>UED.ktoe.SI.AGR.AGR.GENERIC.MECH.ELEC</t>
  </si>
  <si>
    <t>SI - Agriculture, forestry and fishing / CO2 emissions</t>
  </si>
  <si>
    <t>FUEL_EMI.ktCO2.SI.AGR.AGR.LIGHT.GENERIC.ELEC</t>
  </si>
  <si>
    <t>FUEL_EMI.ktCO2.SI.AGR.AGR.FANS.GENERIC.ELEC</t>
  </si>
  <si>
    <t>FUEL_EMI.ktCO2.SI.AGR.AGR.MOTOR.GENERIC.ELEC</t>
  </si>
  <si>
    <t>FUEL_EMI.ktCO2.SI.AGR.AGR.LOW_ENTH.THERM.DIESEL_LIQBIO</t>
  </si>
  <si>
    <t>FUEL_EMI.ktCO2.SI.AGR.AGR.LOW_ENTH.THERM.NG_BIOGAS</t>
  </si>
  <si>
    <t>FUEL_EMI.ktCO2.SI.AGR.AGR.LOW_ENTH.THERM.SOLAR_GEO</t>
  </si>
  <si>
    <t>FUEL_EMI.ktCO2.SI.AGR.AGR.LOW_ENTH.HP.AMBIENT</t>
  </si>
  <si>
    <t>FUEL_EMI.ktCO2.SI.AGR.AGR.LOW_ENTH.THERM.STEAM_DISTR</t>
  </si>
  <si>
    <t>FUEL_EMI.ktCO2.SI.AGR.AGR.LOW_ENTH.THERM.ELEC</t>
  </si>
  <si>
    <t>FUEL_EMI.ktCO2.SI.AGR.AGR.FARM_DRIVES.MECH.DIESEL_LIQBIO</t>
  </si>
  <si>
    <t>FUEL_EMI.ktCO2.SI.AGR.AGR.HEAT_USE.THERM.SOLIDS</t>
  </si>
  <si>
    <t>FUEL_EMI.ktCO2.SI.AGR.AGR.HEAT_USE.THERM.LPG</t>
  </si>
  <si>
    <t>FUEL_EMI.ktCO2.SI.AGR.AGR.HEAT_USE.THERM.DIESEL_LIQBIO</t>
  </si>
  <si>
    <t>FUEL_EMI.ktCO2.SI.AGR.AGR.HEAT_USE.THERM.RFO</t>
  </si>
  <si>
    <t>FUEL_EMI.ktCO2.SI.AGR.AGR.HEAT_USE.THERM.NG_BIOGAS</t>
  </si>
  <si>
    <t>FUEL_EMI.ktCO2.SI.AGR.AGR.HEAT_USE.THERM.BIOMASS_WASTE</t>
  </si>
  <si>
    <t>FUEL_EMI.ktCO2.SI.AGR.AGR.HEAT_USE.THERM.SOLAR_GEO</t>
  </si>
  <si>
    <t>FUEL_EMI.ktCO2.SI.AGR.AGR.FARM_PUMP.MECH.DIESEL_LIQBIO</t>
  </si>
  <si>
    <t>FUEL_EMI.ktCO2.SI.AGR.AGR.FARM_PUMP_ELEC.MECH.ELEC</t>
  </si>
  <si>
    <t>FUEL_EMI.ktCO2.SI.AGR.AGR.GENERIC.MECH.ELEC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</si>
</sst>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45432.789085648146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1987755</v>
      </c>
      <c r="C3" s="34">
        <v>1990094</v>
      </c>
      <c r="D3" s="34">
        <v>1994026</v>
      </c>
      <c r="E3" s="34">
        <v>1995033</v>
      </c>
      <c r="F3" s="34">
        <v>1996433</v>
      </c>
      <c r="G3" s="34">
        <v>1997590</v>
      </c>
      <c r="H3" s="34">
        <v>2003358</v>
      </c>
      <c r="I3" s="34">
        <v>2010377</v>
      </c>
      <c r="J3" s="34">
        <v>2010269</v>
      </c>
      <c r="K3" s="34">
        <v>2032362</v>
      </c>
      <c r="L3" s="34">
        <v>2046976</v>
      </c>
      <c r="M3" s="34">
        <v>2050189</v>
      </c>
      <c r="N3" s="34">
        <v>2055496</v>
      </c>
      <c r="O3" s="34">
        <v>2058821</v>
      </c>
      <c r="P3" s="34">
        <v>2061085</v>
      </c>
      <c r="Q3" s="34">
        <v>2062874</v>
      </c>
      <c r="R3" s="34">
        <v>2064188</v>
      </c>
      <c r="S3" s="34">
        <v>2065895</v>
      </c>
      <c r="T3" s="34">
        <v>2066880</v>
      </c>
      <c r="U3" s="34">
        <v>2080908</v>
      </c>
      <c r="V3" s="34">
        <v>2095861</v>
      </c>
      <c r="W3" s="34">
        <v>2108977</v>
      </c>
      <c r="DA3" s="88" t="s">
        <v>187</v>
      </c>
    </row>
    <row r="4" spans="1:105" ht="12" customHeight="1" x14ac:dyDescent="0.25">
      <c r="A4" s="35" t="s">
        <v>178</v>
      </c>
      <c r="B4" s="36">
        <v>29113.034216482494</v>
      </c>
      <c r="C4" s="36">
        <v>30049.632281663198</v>
      </c>
      <c r="D4" s="36">
        <v>31103.139907085653</v>
      </c>
      <c r="E4" s="36">
        <v>32023.596012835063</v>
      </c>
      <c r="F4" s="36">
        <v>33419.823559937722</v>
      </c>
      <c r="G4" s="36">
        <v>34689.227177434725</v>
      </c>
      <c r="H4" s="36">
        <v>36682.438495693823</v>
      </c>
      <c r="I4" s="36">
        <v>39243.076923076922</v>
      </c>
      <c r="J4" s="36">
        <v>40620.461409935087</v>
      </c>
      <c r="K4" s="36">
        <v>37553.88902124486</v>
      </c>
      <c r="L4" s="36">
        <v>38058.651763006688</v>
      </c>
      <c r="M4" s="36">
        <v>38386.385059197644</v>
      </c>
      <c r="N4" s="36">
        <v>37373.380204735942</v>
      </c>
      <c r="O4" s="36">
        <v>36988.41267908601</v>
      </c>
      <c r="P4" s="36">
        <v>38012.524619968695</v>
      </c>
      <c r="Q4" s="36">
        <v>38852.6</v>
      </c>
      <c r="R4" s="36">
        <v>40092.78902393084</v>
      </c>
      <c r="S4" s="36">
        <v>42023.331476976287</v>
      </c>
      <c r="T4" s="36">
        <v>43895.304890300729</v>
      </c>
      <c r="U4" s="36">
        <v>45441.391050583654</v>
      </c>
      <c r="V4" s="36">
        <v>43514.563466003165</v>
      </c>
      <c r="W4" s="36">
        <v>47095.048060032248</v>
      </c>
      <c r="DA4" s="89" t="s">
        <v>188</v>
      </c>
    </row>
    <row r="5" spans="1:105" ht="12" customHeight="1" x14ac:dyDescent="0.25">
      <c r="A5" s="35" t="s">
        <v>147</v>
      </c>
      <c r="B5" s="36">
        <v>15096.287166846403</v>
      </c>
      <c r="C5" s="36">
        <v>15788.967807167557</v>
      </c>
      <c r="D5" s="36">
        <v>16471.21599825368</v>
      </c>
      <c r="E5" s="36">
        <v>17147.181727527422</v>
      </c>
      <c r="F5" s="36">
        <v>17856.414941842078</v>
      </c>
      <c r="G5" s="36">
        <v>18673.062288125824</v>
      </c>
      <c r="H5" s="36">
        <v>19782.694676415085</v>
      </c>
      <c r="I5" s="36">
        <v>20989.200204880068</v>
      </c>
      <c r="J5" s="36">
        <v>22070.705494345431</v>
      </c>
      <c r="K5" s="36">
        <v>21395.941911653092</v>
      </c>
      <c r="L5" s="36">
        <v>21957.393020101121</v>
      </c>
      <c r="M5" s="36">
        <v>21865.881516828264</v>
      </c>
      <c r="N5" s="36">
        <v>21186.664768220005</v>
      </c>
      <c r="O5" s="36">
        <v>20953.269708036561</v>
      </c>
      <c r="P5" s="36">
        <v>21412.485343468241</v>
      </c>
      <c r="Q5" s="36">
        <v>21888.1</v>
      </c>
      <c r="R5" s="36">
        <v>22689.562316229247</v>
      </c>
      <c r="S5" s="36">
        <v>23794.893309787007</v>
      </c>
      <c r="T5" s="36">
        <v>24728.525546332206</v>
      </c>
      <c r="U5" s="36">
        <v>25497.047152411644</v>
      </c>
      <c r="V5" s="36">
        <v>24657.594663383352</v>
      </c>
      <c r="W5" s="36">
        <v>26965.716431790544</v>
      </c>
      <c r="DA5" s="89" t="s">
        <v>189</v>
      </c>
    </row>
    <row r="6" spans="1:105" ht="12" customHeight="1" x14ac:dyDescent="0.25">
      <c r="A6" s="37" t="s">
        <v>70</v>
      </c>
      <c r="B6" s="38">
        <v>488100</v>
      </c>
      <c r="C6" s="38">
        <v>497070.00000000006</v>
      </c>
      <c r="D6" s="38">
        <v>517290.00000000006</v>
      </c>
      <c r="E6" s="38">
        <v>522750</v>
      </c>
      <c r="F6" s="38">
        <v>532200</v>
      </c>
      <c r="G6" s="38">
        <v>533440</v>
      </c>
      <c r="H6" s="38">
        <v>549730</v>
      </c>
      <c r="I6" s="38">
        <v>572340</v>
      </c>
      <c r="J6" s="38">
        <v>589760</v>
      </c>
      <c r="K6" s="38">
        <v>597300</v>
      </c>
      <c r="L6" s="38">
        <v>599080</v>
      </c>
      <c r="M6" s="38">
        <v>597629.99999999988</v>
      </c>
      <c r="N6" s="38">
        <v>598290</v>
      </c>
      <c r="O6" s="38">
        <v>596850</v>
      </c>
      <c r="P6" s="38">
        <v>602780</v>
      </c>
      <c r="Q6" s="38">
        <v>612440</v>
      </c>
      <c r="R6" s="38">
        <v>625790</v>
      </c>
      <c r="S6" s="38">
        <v>646170.00000000012</v>
      </c>
      <c r="T6" s="38">
        <v>665300</v>
      </c>
      <c r="U6" s="38">
        <v>679520</v>
      </c>
      <c r="V6" s="38">
        <v>676219.99999999988</v>
      </c>
      <c r="W6" s="38">
        <v>683889.99999999988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20442.166422701335</v>
      </c>
      <c r="C8" s="34">
        <v>20980.473114583667</v>
      </c>
      <c r="D8" s="34">
        <v>21754.077411397753</v>
      </c>
      <c r="E8" s="34">
        <v>22303.789181581458</v>
      </c>
      <c r="F8" s="34">
        <v>23158.560025492108</v>
      </c>
      <c r="G8" s="34">
        <v>23912.086139419822</v>
      </c>
      <c r="H8" s="34">
        <v>25138.039380696791</v>
      </c>
      <c r="I8" s="34">
        <v>26687.881627892588</v>
      </c>
      <c r="J8" s="34">
        <v>27544.09002827316</v>
      </c>
      <c r="K8" s="34">
        <v>27805.881201491469</v>
      </c>
      <c r="L8" s="34">
        <v>28093.323733954458</v>
      </c>
      <c r="M8" s="34">
        <v>28258.788071910138</v>
      </c>
      <c r="N8" s="34">
        <v>28324.328207252795</v>
      </c>
      <c r="O8" s="34">
        <v>28429.08871266069</v>
      </c>
      <c r="P8" s="34">
        <v>28795.62372915681</v>
      </c>
      <c r="Q8" s="34">
        <v>29044.380886635601</v>
      </c>
      <c r="R8" s="34">
        <v>29362.289438705659</v>
      </c>
      <c r="S8" s="34">
        <v>29807.198296364011</v>
      </c>
      <c r="T8" s="34">
        <v>30261.301487380708</v>
      </c>
      <c r="U8" s="34">
        <v>30639.658183836345</v>
      </c>
      <c r="V8" s="34">
        <v>30966.872222222224</v>
      </c>
      <c r="W8" s="34">
        <v>31265.500612908349</v>
      </c>
      <c r="DA8" s="88" t="s">
        <v>191</v>
      </c>
    </row>
    <row r="9" spans="1:105" ht="12" customHeight="1" x14ac:dyDescent="0.25">
      <c r="A9" s="39" t="s">
        <v>68</v>
      </c>
      <c r="B9" s="40">
        <v>18397.949780431201</v>
      </c>
      <c r="C9" s="40">
        <v>18882.425803125301</v>
      </c>
      <c r="D9" s="40">
        <v>19578.669670257976</v>
      </c>
      <c r="E9" s="40">
        <v>20073.410263423313</v>
      </c>
      <c r="F9" s="40">
        <v>20842.704022942897</v>
      </c>
      <c r="G9" s="40">
        <v>21520.877525477837</v>
      </c>
      <c r="H9" s="40">
        <v>22624.235442627112</v>
      </c>
      <c r="I9" s="40">
        <v>24019.093465103328</v>
      </c>
      <c r="J9" s="40">
        <v>24789.681025445843</v>
      </c>
      <c r="K9" s="40">
        <v>25025.293081342323</v>
      </c>
      <c r="L9" s="40">
        <v>25283.991360559012</v>
      </c>
      <c r="M9" s="40">
        <v>25432.909264719125</v>
      </c>
      <c r="N9" s="40">
        <v>25491.895386527514</v>
      </c>
      <c r="O9" s="40">
        <v>25586.17984139462</v>
      </c>
      <c r="P9" s="40">
        <v>25916.061356241131</v>
      </c>
      <c r="Q9" s="40">
        <v>26139.942797972042</v>
      </c>
      <c r="R9" s="40">
        <v>26426.060494835092</v>
      </c>
      <c r="S9" s="40">
        <v>26826.478466727611</v>
      </c>
      <c r="T9" s="40">
        <v>27235.171338642638</v>
      </c>
      <c r="U9" s="40">
        <v>27575.692365452713</v>
      </c>
      <c r="V9" s="40">
        <v>27870.185000000001</v>
      </c>
      <c r="W9" s="40">
        <v>28138.950551617512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619.94665304692228</v>
      </c>
      <c r="D10" s="41">
        <v>857.49950552465157</v>
      </c>
      <c r="E10" s="41">
        <v>636.76432545866066</v>
      </c>
      <c r="F10" s="41">
        <v>944.07864673157462</v>
      </c>
      <c r="G10" s="41">
        <v>845.99126331301727</v>
      </c>
      <c r="H10" s="41">
        <v>1321.5757372266532</v>
      </c>
      <c r="I10" s="41">
        <v>1650.4262877466413</v>
      </c>
      <c r="J10" s="41">
        <v>963.10713406017317</v>
      </c>
      <c r="K10" s="41">
        <v>371.84725346228129</v>
      </c>
      <c r="L10" s="41">
        <v>398.85176123454693</v>
      </c>
      <c r="M10" s="41">
        <v>277.77566574564048</v>
      </c>
      <c r="N10" s="41">
        <v>178.753562151003</v>
      </c>
      <c r="O10" s="41">
        <v>217.97393221624458</v>
      </c>
      <c r="P10" s="41">
        <v>480.19949281367667</v>
      </c>
      <c r="Q10" s="41">
        <v>363.77478232392235</v>
      </c>
      <c r="R10" s="41">
        <v>466.85409507843514</v>
      </c>
      <c r="S10" s="41">
        <v>595.48470093377045</v>
      </c>
      <c r="T10" s="41">
        <v>606.96061817753855</v>
      </c>
      <c r="U10" s="41">
        <v>533.54285792937912</v>
      </c>
      <c r="V10" s="41">
        <v>484.34049061068635</v>
      </c>
      <c r="W10" s="41">
        <v>457.43286362058899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557.95198774223013</v>
      </c>
      <c r="D11" s="42">
        <v>771.74955497218639</v>
      </c>
      <c r="E11" s="42">
        <v>573.0878929127947</v>
      </c>
      <c r="F11" s="42">
        <v>849.6707820584171</v>
      </c>
      <c r="G11" s="42">
        <v>761.39213698171557</v>
      </c>
      <c r="H11" s="42">
        <v>1189.4181635039879</v>
      </c>
      <c r="I11" s="42">
        <v>1485.3836589719772</v>
      </c>
      <c r="J11" s="42">
        <v>866.79642065415578</v>
      </c>
      <c r="K11" s="42">
        <v>334.66252811605318</v>
      </c>
      <c r="L11" s="42">
        <v>358.96658511109223</v>
      </c>
      <c r="M11" s="42">
        <v>249.99809917107646</v>
      </c>
      <c r="N11" s="42">
        <v>160.87820593590268</v>
      </c>
      <c r="O11" s="42">
        <v>196.17653899462013</v>
      </c>
      <c r="P11" s="42">
        <v>432.17954353230903</v>
      </c>
      <c r="Q11" s="42">
        <v>327.39730409153015</v>
      </c>
      <c r="R11" s="42">
        <v>420.16868557059161</v>
      </c>
      <c r="S11" s="42">
        <v>535.93623084039348</v>
      </c>
      <c r="T11" s="42">
        <v>546.26455635978471</v>
      </c>
      <c r="U11" s="42">
        <v>480.18857213644122</v>
      </c>
      <c r="V11" s="42">
        <v>435.90644154961774</v>
      </c>
      <c r="W11" s="42">
        <v>411.68957725853011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2594.38</v>
      </c>
      <c r="C13" s="43">
        <v>2877.1</v>
      </c>
      <c r="D13" s="43">
        <v>2674.53</v>
      </c>
      <c r="E13" s="43">
        <v>3063.34</v>
      </c>
      <c r="F13" s="43">
        <v>3072.24</v>
      </c>
      <c r="G13" s="43">
        <v>3192.52</v>
      </c>
      <c r="H13" s="43">
        <v>2978.51</v>
      </c>
      <c r="I13" s="43">
        <v>2685.84</v>
      </c>
      <c r="J13" s="43">
        <v>2793.77</v>
      </c>
      <c r="K13" s="43">
        <v>2795.7</v>
      </c>
      <c r="L13" s="43">
        <v>3136.59</v>
      </c>
      <c r="M13" s="43">
        <v>2826.88</v>
      </c>
      <c r="N13" s="43">
        <v>2836.51</v>
      </c>
      <c r="O13" s="43">
        <v>2870.67</v>
      </c>
      <c r="P13" s="43">
        <v>2345.7199999999998</v>
      </c>
      <c r="Q13" s="43">
        <v>2703.06</v>
      </c>
      <c r="R13" s="43">
        <v>2759.75</v>
      </c>
      <c r="S13" s="43">
        <v>2834.88</v>
      </c>
      <c r="T13" s="43">
        <v>2579.61</v>
      </c>
      <c r="U13" s="43">
        <v>2600.7199999999998</v>
      </c>
      <c r="V13" s="43">
        <v>2690.84</v>
      </c>
      <c r="W13" s="43">
        <v>2985.84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2805.3885714285716</v>
      </c>
      <c r="C14" s="44">
        <f t="shared" ref="C14:W14" si="0">AVERAGE($B$13:$V$13)</f>
        <v>2805.3885714285716</v>
      </c>
      <c r="D14" s="44">
        <f t="shared" si="0"/>
        <v>2805.3885714285716</v>
      </c>
      <c r="E14" s="44">
        <f t="shared" si="0"/>
        <v>2805.3885714285716</v>
      </c>
      <c r="F14" s="44">
        <f t="shared" si="0"/>
        <v>2805.3885714285716</v>
      </c>
      <c r="G14" s="44">
        <f t="shared" si="0"/>
        <v>2805.3885714285716</v>
      </c>
      <c r="H14" s="44">
        <f t="shared" si="0"/>
        <v>2805.3885714285716</v>
      </c>
      <c r="I14" s="44">
        <f t="shared" si="0"/>
        <v>2805.3885714285716</v>
      </c>
      <c r="J14" s="44">
        <f t="shared" si="0"/>
        <v>2805.3885714285716</v>
      </c>
      <c r="K14" s="44">
        <f t="shared" si="0"/>
        <v>2805.3885714285716</v>
      </c>
      <c r="L14" s="44">
        <f t="shared" si="0"/>
        <v>2805.3885714285716</v>
      </c>
      <c r="M14" s="44">
        <f t="shared" si="0"/>
        <v>2805.3885714285716</v>
      </c>
      <c r="N14" s="44">
        <f t="shared" si="0"/>
        <v>2805.3885714285716</v>
      </c>
      <c r="O14" s="44">
        <f t="shared" si="0"/>
        <v>2805.3885714285716</v>
      </c>
      <c r="P14" s="44">
        <f t="shared" si="0"/>
        <v>2805.3885714285716</v>
      </c>
      <c r="Q14" s="44">
        <f t="shared" si="0"/>
        <v>2805.3885714285716</v>
      </c>
      <c r="R14" s="44">
        <f t="shared" si="0"/>
        <v>2805.3885714285716</v>
      </c>
      <c r="S14" s="44">
        <f t="shared" si="0"/>
        <v>2805.3885714285716</v>
      </c>
      <c r="T14" s="44">
        <f t="shared" si="0"/>
        <v>2805.3885714285716</v>
      </c>
      <c r="U14" s="44">
        <f t="shared" si="0"/>
        <v>2805.3885714285716</v>
      </c>
      <c r="V14" s="44">
        <f t="shared" si="0"/>
        <v>2805.3885714285716</v>
      </c>
      <c r="W14" s="44">
        <f t="shared" si="0"/>
        <v>2805.3885714285716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0.92478454728960391</v>
      </c>
      <c r="C15" s="46">
        <f t="shared" ref="C15:W15" si="1">C13/C14</f>
        <v>1.0255620306226996</v>
      </c>
      <c r="D15" s="46">
        <f t="shared" si="1"/>
        <v>0.95335456458285384</v>
      </c>
      <c r="E15" s="46">
        <f t="shared" si="1"/>
        <v>1.0919485561460291</v>
      </c>
      <c r="F15" s="46">
        <f t="shared" si="1"/>
        <v>1.0951210221960592</v>
      </c>
      <c r="G15" s="46">
        <f t="shared" si="1"/>
        <v>1.1379956532632096</v>
      </c>
      <c r="H15" s="46">
        <f t="shared" si="1"/>
        <v>1.0617103207500667</v>
      </c>
      <c r="I15" s="46">
        <f t="shared" si="1"/>
        <v>0.95738609166440913</v>
      </c>
      <c r="J15" s="46">
        <f t="shared" si="1"/>
        <v>0.99585848051606796</v>
      </c>
      <c r="K15" s="46">
        <f t="shared" si="1"/>
        <v>0.9965464422550071</v>
      </c>
      <c r="L15" s="46">
        <f t="shared" si="1"/>
        <v>1.1180590211083568</v>
      </c>
      <c r="M15" s="46">
        <f t="shared" si="1"/>
        <v>1.0076607671358997</v>
      </c>
      <c r="N15" s="46">
        <f t="shared" si="1"/>
        <v>1.0110934466934043</v>
      </c>
      <c r="O15" s="46">
        <f t="shared" si="1"/>
        <v>1.0232700130157675</v>
      </c>
      <c r="P15" s="46">
        <f t="shared" si="1"/>
        <v>0.83614798459291595</v>
      </c>
      <c r="Q15" s="46">
        <f t="shared" si="1"/>
        <v>0.96352427878592828</v>
      </c>
      <c r="R15" s="46">
        <f t="shared" si="1"/>
        <v>0.98373181815404231</v>
      </c>
      <c r="S15" s="46">
        <f t="shared" si="1"/>
        <v>1.0105124220123314</v>
      </c>
      <c r="T15" s="46">
        <f t="shared" si="1"/>
        <v>0.91951967947399182</v>
      </c>
      <c r="U15" s="46">
        <f t="shared" si="1"/>
        <v>0.92704448377917592</v>
      </c>
      <c r="V15" s="46">
        <f t="shared" si="1"/>
        <v>0.95916837596217885</v>
      </c>
      <c r="W15" s="46">
        <f t="shared" si="1"/>
        <v>1.0643231495305971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14646.188396700043</v>
      </c>
      <c r="C19" s="34">
        <f t="shared" si="2"/>
        <v>15099.604481830103</v>
      </c>
      <c r="D19" s="34">
        <f t="shared" ref="D19:W19" si="3">D4*1000000/D3</f>
        <v>15598.1616624285</v>
      </c>
      <c r="E19" s="34">
        <f t="shared" si="3"/>
        <v>16051.662309763831</v>
      </c>
      <c r="F19" s="34">
        <f t="shared" si="3"/>
        <v>16739.767154689249</v>
      </c>
      <c r="G19" s="34">
        <f t="shared" si="3"/>
        <v>17365.539063288623</v>
      </c>
      <c r="H19" s="34">
        <f t="shared" si="3"/>
        <v>18310.475958712235</v>
      </c>
      <c r="I19" s="34">
        <f t="shared" si="3"/>
        <v>19520.25760495515</v>
      </c>
      <c r="J19" s="34">
        <f t="shared" si="3"/>
        <v>20206.480530682755</v>
      </c>
      <c r="K19" s="34">
        <f t="shared" si="3"/>
        <v>18477.952757060433</v>
      </c>
      <c r="L19" s="34">
        <f t="shared" si="3"/>
        <v>18592.622367339281</v>
      </c>
      <c r="M19" s="34">
        <f t="shared" si="3"/>
        <v>18723.339681950125</v>
      </c>
      <c r="N19" s="34">
        <f t="shared" si="3"/>
        <v>18182.171215480808</v>
      </c>
      <c r="O19" s="34">
        <f t="shared" si="3"/>
        <v>17965.822516423726</v>
      </c>
      <c r="P19" s="34">
        <f t="shared" si="3"/>
        <v>18442.967961034454</v>
      </c>
      <c r="Q19" s="34">
        <f t="shared" si="3"/>
        <v>18834.208972530556</v>
      </c>
      <c r="R19" s="34">
        <f t="shared" si="3"/>
        <v>19423.031731572337</v>
      </c>
      <c r="S19" s="34">
        <f t="shared" si="3"/>
        <v>20341.465310180956</v>
      </c>
      <c r="T19" s="34">
        <f t="shared" si="3"/>
        <v>21237.471401484716</v>
      </c>
      <c r="U19" s="34">
        <f t="shared" si="3"/>
        <v>21837.289803577889</v>
      </c>
      <c r="V19" s="34">
        <f t="shared" si="3"/>
        <v>20762.141891090661</v>
      </c>
      <c r="W19" s="34">
        <f t="shared" si="3"/>
        <v>22330.754702413658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30928.676842545385</v>
      </c>
      <c r="C20" s="36">
        <f t="shared" si="4"/>
        <v>31764.073082599141</v>
      </c>
      <c r="D20" s="36">
        <f t="shared" ref="D20:W20" si="5">D5*1000000/D6</f>
        <v>31841.357842319932</v>
      </c>
      <c r="E20" s="36">
        <f t="shared" si="5"/>
        <v>32801.878005791339</v>
      </c>
      <c r="F20" s="36">
        <f t="shared" si="5"/>
        <v>33552.07617783179</v>
      </c>
      <c r="G20" s="36">
        <f t="shared" si="5"/>
        <v>35004.990792077508</v>
      </c>
      <c r="H20" s="36">
        <f t="shared" si="5"/>
        <v>35986.201728876149</v>
      </c>
      <c r="I20" s="36">
        <f t="shared" si="5"/>
        <v>36672.607549498665</v>
      </c>
      <c r="J20" s="36">
        <f t="shared" si="5"/>
        <v>37423.198410108234</v>
      </c>
      <c r="K20" s="36">
        <f t="shared" si="5"/>
        <v>35821.098127662968</v>
      </c>
      <c r="L20" s="36">
        <f t="shared" si="5"/>
        <v>36651.854543802365</v>
      </c>
      <c r="M20" s="36">
        <f t="shared" si="5"/>
        <v>36587.657106952909</v>
      </c>
      <c r="N20" s="36">
        <f t="shared" si="5"/>
        <v>35412.032238914246</v>
      </c>
      <c r="O20" s="36">
        <f t="shared" si="5"/>
        <v>35106.424910842856</v>
      </c>
      <c r="P20" s="36">
        <f t="shared" si="5"/>
        <v>35522.886199721695</v>
      </c>
      <c r="Q20" s="36">
        <f t="shared" si="5"/>
        <v>35739.174449742015</v>
      </c>
      <c r="R20" s="36">
        <f t="shared" si="5"/>
        <v>36257.470263553667</v>
      </c>
      <c r="S20" s="36">
        <f t="shared" si="5"/>
        <v>36824.509509551666</v>
      </c>
      <c r="T20" s="36">
        <f t="shared" si="5"/>
        <v>37168.984738211642</v>
      </c>
      <c r="U20" s="36">
        <f t="shared" si="5"/>
        <v>37522.143796226221</v>
      </c>
      <c r="V20" s="36">
        <f t="shared" si="5"/>
        <v>36463.864812314561</v>
      </c>
      <c r="W20" s="36">
        <f t="shared" si="5"/>
        <v>39429.903101069685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7594.6417777072138</v>
      </c>
      <c r="C21" s="36">
        <f t="shared" si="6"/>
        <v>7933.7799155052762</v>
      </c>
      <c r="D21" s="36">
        <f t="shared" ref="D21:W21" si="7">D5*1000000/D3</f>
        <v>8260.2814598474033</v>
      </c>
      <c r="E21" s="36">
        <f t="shared" si="7"/>
        <v>8594.9363882840134</v>
      </c>
      <c r="F21" s="36">
        <f t="shared" si="7"/>
        <v>8944.159379173796</v>
      </c>
      <c r="G21" s="36">
        <f t="shared" si="7"/>
        <v>9347.7952373238877</v>
      </c>
      <c r="H21" s="36">
        <f t="shared" si="7"/>
        <v>9874.7676034014312</v>
      </c>
      <c r="I21" s="36">
        <f t="shared" si="7"/>
        <v>10440.429931739203</v>
      </c>
      <c r="J21" s="36">
        <f t="shared" si="7"/>
        <v>10978.981168363753</v>
      </c>
      <c r="K21" s="36">
        <f t="shared" si="7"/>
        <v>10527.623480291943</v>
      </c>
      <c r="L21" s="36">
        <f t="shared" si="7"/>
        <v>10726.74668393822</v>
      </c>
      <c r="M21" s="36">
        <f t="shared" si="7"/>
        <v>10665.30037807649</v>
      </c>
      <c r="N21" s="36">
        <f t="shared" si="7"/>
        <v>10307.324737299417</v>
      </c>
      <c r="O21" s="36">
        <f t="shared" si="7"/>
        <v>10177.314933176105</v>
      </c>
      <c r="P21" s="36">
        <f t="shared" si="7"/>
        <v>10388.938517076318</v>
      </c>
      <c r="Q21" s="36">
        <f t="shared" si="7"/>
        <v>10610.488086039186</v>
      </c>
      <c r="R21" s="36">
        <f t="shared" si="7"/>
        <v>10992.003788525681</v>
      </c>
      <c r="S21" s="36">
        <f t="shared" si="7"/>
        <v>11517.958710286344</v>
      </c>
      <c r="T21" s="36">
        <f t="shared" si="7"/>
        <v>11964.180574746577</v>
      </c>
      <c r="U21" s="36">
        <f t="shared" si="7"/>
        <v>12252.846907413323</v>
      </c>
      <c r="V21" s="36">
        <f t="shared" si="7"/>
        <v>11764.899801744175</v>
      </c>
      <c r="W21" s="36">
        <f t="shared" si="7"/>
        <v>12786.159560673512</v>
      </c>
      <c r="DA21" s="89"/>
    </row>
    <row r="22" spans="1:105" ht="12" customHeight="1" x14ac:dyDescent="0.25">
      <c r="A22" s="51" t="s">
        <v>152</v>
      </c>
      <c r="B22" s="52">
        <v>0.52201485451007035</v>
      </c>
      <c r="C22" s="52">
        <v>0.53146920089003524</v>
      </c>
      <c r="D22" s="52">
        <v>0.54279988339527829</v>
      </c>
      <c r="E22" s="52">
        <v>0.5585232518965495</v>
      </c>
      <c r="F22" s="52">
        <v>0.56791173321876842</v>
      </c>
      <c r="G22" s="52">
        <v>0.58176989053045502</v>
      </c>
      <c r="H22" s="52">
        <v>0.5972035487402928</v>
      </c>
      <c r="I22" s="52">
        <v>0.61276738754136861</v>
      </c>
      <c r="J22" s="52">
        <v>0.63601225758805957</v>
      </c>
      <c r="K22" s="52">
        <v>0.62387324732643612</v>
      </c>
      <c r="L22" s="52">
        <v>0.62720104579868519</v>
      </c>
      <c r="M22" s="52">
        <v>0.61199136164089873</v>
      </c>
      <c r="N22" s="52">
        <v>0.59325126762267388</v>
      </c>
      <c r="O22" s="52">
        <v>0.58354871438910616</v>
      </c>
      <c r="P22" s="52">
        <v>0.58798062949565688</v>
      </c>
      <c r="Q22" s="52">
        <v>0.59189962399953244</v>
      </c>
      <c r="R22" s="52">
        <v>0.60338608083076828</v>
      </c>
      <c r="S22" s="52">
        <v>0.61601462173902799</v>
      </c>
      <c r="T22" s="52">
        <v>0.62664461218786649</v>
      </c>
      <c r="U22" s="52">
        <v>0.62974983027531806</v>
      </c>
      <c r="V22" s="52">
        <v>0.64057610591751091</v>
      </c>
      <c r="W22" s="52">
        <v>0.66075668099148699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23.877117028944522</v>
      </c>
      <c r="C23" s="53">
        <f t="shared" si="8"/>
        <v>23.692030074120844</v>
      </c>
      <c r="D23" s="53">
        <f t="shared" ref="D23:W23" si="9">D6/D8</f>
        <v>23.778990495316201</v>
      </c>
      <c r="E23" s="53">
        <f t="shared" si="9"/>
        <v>23.437721534405853</v>
      </c>
      <c r="F23" s="53">
        <f t="shared" si="9"/>
        <v>22.980703438131449</v>
      </c>
      <c r="G23" s="53">
        <f t="shared" si="9"/>
        <v>22.308384006722335</v>
      </c>
      <c r="H23" s="53">
        <f t="shared" si="9"/>
        <v>21.868451698827844</v>
      </c>
      <c r="I23" s="53">
        <f t="shared" si="9"/>
        <v>21.445688645509588</v>
      </c>
      <c r="J23" s="53">
        <f t="shared" si="9"/>
        <v>21.411489702314707</v>
      </c>
      <c r="K23" s="53">
        <f t="shared" si="9"/>
        <v>21.481067104895839</v>
      </c>
      <c r="L23" s="53">
        <f t="shared" si="9"/>
        <v>21.324639464996213</v>
      </c>
      <c r="M23" s="53">
        <f t="shared" si="9"/>
        <v>21.148465336843564</v>
      </c>
      <c r="N23" s="53">
        <f t="shared" si="9"/>
        <v>21.122831073776375</v>
      </c>
      <c r="O23" s="53">
        <f t="shared" si="9"/>
        <v>20.994341606672645</v>
      </c>
      <c r="P23" s="53">
        <f t="shared" si="9"/>
        <v>20.933041967403515</v>
      </c>
      <c r="Q23" s="53">
        <f t="shared" si="9"/>
        <v>21.08635065730757</v>
      </c>
      <c r="R23" s="53">
        <f t="shared" si="9"/>
        <v>21.312711371037622</v>
      </c>
      <c r="S23" s="53">
        <f t="shared" si="9"/>
        <v>21.67832057127027</v>
      </c>
      <c r="T23" s="53">
        <f t="shared" si="9"/>
        <v>21.985174704975506</v>
      </c>
      <c r="U23" s="53">
        <f t="shared" si="9"/>
        <v>22.177793104704875</v>
      </c>
      <c r="V23" s="53">
        <f t="shared" si="9"/>
        <v>21.836884111102954</v>
      </c>
      <c r="W23" s="53">
        <f t="shared" si="9"/>
        <v>21.873630250386825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9.2556425618002223</v>
      </c>
      <c r="C24" s="54">
        <f t="shared" si="10"/>
        <v>9.4882079957656771</v>
      </c>
      <c r="D24" s="54">
        <f t="shared" ref="D24:W24" si="11">D9*1000/D3</f>
        <v>9.8186631820537826</v>
      </c>
      <c r="E24" s="54">
        <f t="shared" si="11"/>
        <v>10.061693347139277</v>
      </c>
      <c r="F24" s="54">
        <f t="shared" si="11"/>
        <v>10.439971701000182</v>
      </c>
      <c r="G24" s="54">
        <f t="shared" si="11"/>
        <v>10.773420734724262</v>
      </c>
      <c r="H24" s="54">
        <f t="shared" si="11"/>
        <v>11.293156511530697</v>
      </c>
      <c r="I24" s="54">
        <f t="shared" si="11"/>
        <v>11.947556833918876</v>
      </c>
      <c r="J24" s="54">
        <f t="shared" si="11"/>
        <v>12.331524301198419</v>
      </c>
      <c r="K24" s="54">
        <f t="shared" si="11"/>
        <v>12.313403360888621</v>
      </c>
      <c r="L24" s="54">
        <f t="shared" si="11"/>
        <v>12.351874843944929</v>
      </c>
      <c r="M24" s="54">
        <f t="shared" si="11"/>
        <v>12.40515350766155</v>
      </c>
      <c r="N24" s="54">
        <f t="shared" si="11"/>
        <v>12.401821938124675</v>
      </c>
      <c r="O24" s="54">
        <f t="shared" si="11"/>
        <v>12.427588334000196</v>
      </c>
      <c r="P24" s="54">
        <f t="shared" si="11"/>
        <v>12.573989600739964</v>
      </c>
      <c r="Q24" s="54">
        <f t="shared" si="11"/>
        <v>12.671613873640387</v>
      </c>
      <c r="R24" s="54">
        <f t="shared" si="11"/>
        <v>12.802157795140314</v>
      </c>
      <c r="S24" s="54">
        <f t="shared" si="11"/>
        <v>12.985402678610292</v>
      </c>
      <c r="T24" s="54">
        <f t="shared" si="11"/>
        <v>13.176948511109806</v>
      </c>
      <c r="U24" s="54">
        <f t="shared" si="11"/>
        <v>13.251759503761201</v>
      </c>
      <c r="V24" s="54">
        <f t="shared" si="11"/>
        <v>13.297725851094132</v>
      </c>
      <c r="W24" s="54">
        <f t="shared" si="11"/>
        <v>13.342464404124611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37.692992789246468</v>
      </c>
      <c r="C25" s="54">
        <f t="shared" si="12"/>
        <v>37.987458110779762</v>
      </c>
      <c r="D25" s="54">
        <f t="shared" ref="D25:W25" si="13">D9*1000/D6</f>
        <v>37.848536933360343</v>
      </c>
      <c r="E25" s="54">
        <f t="shared" si="13"/>
        <v>38.399637041460188</v>
      </c>
      <c r="F25" s="54">
        <f t="shared" si="13"/>
        <v>39.163292038599955</v>
      </c>
      <c r="G25" s="54">
        <f t="shared" si="13"/>
        <v>40.343576644941955</v>
      </c>
      <c r="H25" s="54">
        <f t="shared" si="13"/>
        <v>41.155176982568015</v>
      </c>
      <c r="I25" s="54">
        <f t="shared" si="13"/>
        <v>41.966477033063086</v>
      </c>
      <c r="J25" s="54">
        <f t="shared" si="13"/>
        <v>42.033506893390268</v>
      </c>
      <c r="K25" s="54">
        <f t="shared" si="13"/>
        <v>41.897359921885688</v>
      </c>
      <c r="L25" s="54">
        <f t="shared" si="13"/>
        <v>42.204699473457659</v>
      </c>
      <c r="M25" s="54">
        <f t="shared" si="13"/>
        <v>42.5562794115408</v>
      </c>
      <c r="N25" s="54">
        <f t="shared" si="13"/>
        <v>42.607924896835172</v>
      </c>
      <c r="O25" s="54">
        <f t="shared" si="13"/>
        <v>42.868693710973645</v>
      </c>
      <c r="P25" s="54">
        <f t="shared" si="13"/>
        <v>42.994228999371458</v>
      </c>
      <c r="Q25" s="54">
        <f t="shared" si="13"/>
        <v>42.681638687825817</v>
      </c>
      <c r="R25" s="54">
        <f t="shared" si="13"/>
        <v>42.228320195009658</v>
      </c>
      <c r="S25" s="54">
        <f t="shared" si="13"/>
        <v>41.516131152371059</v>
      </c>
      <c r="T25" s="54">
        <f t="shared" si="13"/>
        <v>40.936677196216202</v>
      </c>
      <c r="U25" s="54">
        <f t="shared" si="13"/>
        <v>40.581134279274657</v>
      </c>
      <c r="V25" s="54">
        <f t="shared" si="13"/>
        <v>41.214671260832283</v>
      </c>
      <c r="W25" s="54">
        <f t="shared" si="13"/>
        <v>41.145433551620165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899.99999999999989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900.00000000000023</v>
      </c>
      <c r="D27" s="57">
        <f t="shared" ref="D27:W27" si="17">IF(SUM(D11)=0,"",D11*1000/D10)</f>
        <v>899.99999999999989</v>
      </c>
      <c r="E27" s="57">
        <f t="shared" si="17"/>
        <v>900.00000000000023</v>
      </c>
      <c r="F27" s="57">
        <f t="shared" si="17"/>
        <v>899.99999999999989</v>
      </c>
      <c r="G27" s="57">
        <f t="shared" si="17"/>
        <v>900</v>
      </c>
      <c r="H27" s="57">
        <f t="shared" si="17"/>
        <v>900</v>
      </c>
      <c r="I27" s="57">
        <f t="shared" si="17"/>
        <v>900</v>
      </c>
      <c r="J27" s="57">
        <f t="shared" si="17"/>
        <v>899.99999999999989</v>
      </c>
      <c r="K27" s="57">
        <f t="shared" si="17"/>
        <v>900.00000000000011</v>
      </c>
      <c r="L27" s="57">
        <f t="shared" si="17"/>
        <v>900</v>
      </c>
      <c r="M27" s="57">
        <f t="shared" si="17"/>
        <v>900.00000000000011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900.00000000000011</v>
      </c>
      <c r="V27" s="57">
        <f t="shared" si="17"/>
        <v>900.00000000000011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582.4663800515907</v>
      </c>
      <c r="C31" s="80">
        <f t="shared" ref="C31:W31" si="18">SUM(C32:C33,C36:C37,C44:C45)</f>
        <v>768.73035253654336</v>
      </c>
      <c r="D31" s="80">
        <f t="shared" si="18"/>
        <v>743.97618228718829</v>
      </c>
      <c r="E31" s="80">
        <f t="shared" si="18"/>
        <v>527.7754084264833</v>
      </c>
      <c r="F31" s="80">
        <f t="shared" si="18"/>
        <v>567.87540842648332</v>
      </c>
      <c r="G31" s="80">
        <f t="shared" si="18"/>
        <v>499.24763542562346</v>
      </c>
      <c r="H31" s="80">
        <f t="shared" si="18"/>
        <v>459.88349097162518</v>
      </c>
      <c r="I31" s="80">
        <f t="shared" si="18"/>
        <v>402.33594153052451</v>
      </c>
      <c r="J31" s="80">
        <f t="shared" si="18"/>
        <v>521.29673258813409</v>
      </c>
      <c r="K31" s="80">
        <f t="shared" si="18"/>
        <v>517.02502149613065</v>
      </c>
      <c r="L31" s="80">
        <f t="shared" si="18"/>
        <v>563.06732588134128</v>
      </c>
      <c r="M31" s="80">
        <f t="shared" si="18"/>
        <v>549.62717220465379</v>
      </c>
      <c r="N31" s="80">
        <f t="shared" si="18"/>
        <v>478.11233871790404</v>
      </c>
      <c r="O31" s="80">
        <f t="shared" si="18"/>
        <v>488.18245414960984</v>
      </c>
      <c r="P31" s="80">
        <f t="shared" si="18"/>
        <v>447.31402451391989</v>
      </c>
      <c r="Q31" s="80">
        <f t="shared" si="18"/>
        <v>475.85670333045732</v>
      </c>
      <c r="R31" s="80">
        <f t="shared" si="18"/>
        <v>510.3269720374941</v>
      </c>
      <c r="S31" s="80">
        <f t="shared" si="18"/>
        <v>500.60017326108266</v>
      </c>
      <c r="T31" s="80">
        <f t="shared" si="18"/>
        <v>500.60685976720833</v>
      </c>
      <c r="U31" s="80">
        <f t="shared" si="18"/>
        <v>484.02803320076634</v>
      </c>
      <c r="V31" s="80">
        <f t="shared" si="18"/>
        <v>444.78487763786109</v>
      </c>
      <c r="W31" s="80">
        <f t="shared" si="18"/>
        <v>440.46086134558573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294.31547721410141</v>
      </c>
      <c r="C33" s="55">
        <f t="shared" ref="C33:W33" si="19">SUM(C34:C35)</f>
        <v>410.17962166809968</v>
      </c>
      <c r="D33" s="55">
        <f t="shared" si="19"/>
        <v>329.78168529664663</v>
      </c>
      <c r="E33" s="55">
        <f t="shared" si="19"/>
        <v>250.86938950988821</v>
      </c>
      <c r="F33" s="55">
        <f t="shared" si="19"/>
        <v>249.60120378331899</v>
      </c>
      <c r="G33" s="55">
        <f t="shared" si="19"/>
        <v>237.17403267411868</v>
      </c>
      <c r="H33" s="55">
        <f t="shared" si="19"/>
        <v>200.35829750644885</v>
      </c>
      <c r="I33" s="55">
        <f t="shared" si="19"/>
        <v>148.86552020636287</v>
      </c>
      <c r="J33" s="55">
        <f t="shared" si="19"/>
        <v>222.56500429922616</v>
      </c>
      <c r="K33" s="55">
        <f t="shared" si="19"/>
        <v>208.40266552020637</v>
      </c>
      <c r="L33" s="55">
        <f t="shared" si="19"/>
        <v>220.94204643164227</v>
      </c>
      <c r="M33" s="55">
        <f t="shared" si="19"/>
        <v>169.16147893379195</v>
      </c>
      <c r="N33" s="55">
        <f t="shared" si="19"/>
        <v>133.02648323301807</v>
      </c>
      <c r="O33" s="55">
        <f t="shared" si="19"/>
        <v>116.38822012037832</v>
      </c>
      <c r="P33" s="55">
        <f t="shared" si="19"/>
        <v>88.910662080825446</v>
      </c>
      <c r="Q33" s="55">
        <f t="shared" si="19"/>
        <v>94.082029234737746</v>
      </c>
      <c r="R33" s="55">
        <f t="shared" si="19"/>
        <v>104.00937231298366</v>
      </c>
      <c r="S33" s="55">
        <f t="shared" si="19"/>
        <v>85.156147893379199</v>
      </c>
      <c r="T33" s="55">
        <f t="shared" si="19"/>
        <v>98.505932932072213</v>
      </c>
      <c r="U33" s="55">
        <f t="shared" si="19"/>
        <v>92.355631986242471</v>
      </c>
      <c r="V33" s="55">
        <f t="shared" si="19"/>
        <v>93.746431642304373</v>
      </c>
      <c r="W33" s="55">
        <f t="shared" si="19"/>
        <v>67.325881341358539</v>
      </c>
      <c r="DA33" s="101"/>
    </row>
    <row r="34" spans="1:105" ht="12" customHeight="1" x14ac:dyDescent="0.25">
      <c r="A34" s="61" t="s">
        <v>52</v>
      </c>
      <c r="B34" s="55">
        <v>44.05993121238177</v>
      </c>
      <c r="C34" s="55">
        <v>39.540928632846082</v>
      </c>
      <c r="D34" s="55">
        <v>27.113757523645749</v>
      </c>
      <c r="E34" s="55">
        <v>21.465090283748921</v>
      </c>
      <c r="F34" s="55">
        <v>22.594840928632841</v>
      </c>
      <c r="G34" s="55">
        <v>21.465090283748921</v>
      </c>
      <c r="H34" s="55">
        <v>19.205588993981081</v>
      </c>
      <c r="I34" s="55">
        <v>30.796818572656921</v>
      </c>
      <c r="J34" s="55">
        <v>23.097592433361989</v>
      </c>
      <c r="K34" s="55">
        <v>24.19750644883921</v>
      </c>
      <c r="L34" s="55">
        <v>28.596990541702489</v>
      </c>
      <c r="M34" s="55">
        <v>16.498280309544281</v>
      </c>
      <c r="N34" s="55">
        <v>23.097592433361989</v>
      </c>
      <c r="O34" s="55">
        <v>18.698022355975919</v>
      </c>
      <c r="P34" s="55">
        <v>18.698022355975919</v>
      </c>
      <c r="Q34" s="55">
        <v>19.79793637145314</v>
      </c>
      <c r="R34" s="55">
        <v>16.498280309544281</v>
      </c>
      <c r="S34" s="55">
        <v>19.087446259673261</v>
      </c>
      <c r="T34" s="55">
        <v>25.313843508168521</v>
      </c>
      <c r="U34" s="55">
        <v>31.253224419604472</v>
      </c>
      <c r="V34" s="55">
        <v>25.81100601891659</v>
      </c>
      <c r="W34" s="55">
        <v>18.88727429062768</v>
      </c>
      <c r="DA34" s="101" t="s">
        <v>200</v>
      </c>
    </row>
    <row r="35" spans="1:105" ht="12" customHeight="1" x14ac:dyDescent="0.25">
      <c r="A35" s="61" t="s">
        <v>170</v>
      </c>
      <c r="B35" s="55">
        <v>250.25554600171964</v>
      </c>
      <c r="C35" s="55">
        <v>370.6386930352536</v>
      </c>
      <c r="D35" s="55">
        <v>302.66792777300088</v>
      </c>
      <c r="E35" s="55">
        <v>229.4042992261393</v>
      </c>
      <c r="F35" s="55">
        <v>227.00636285468616</v>
      </c>
      <c r="G35" s="55">
        <v>215.70894239036977</v>
      </c>
      <c r="H35" s="55">
        <v>181.15270851246777</v>
      </c>
      <c r="I35" s="55">
        <v>118.06870163370596</v>
      </c>
      <c r="J35" s="55">
        <v>199.46741186586416</v>
      </c>
      <c r="K35" s="55">
        <v>184.20515907136715</v>
      </c>
      <c r="L35" s="55">
        <v>192.34505588993977</v>
      </c>
      <c r="M35" s="55">
        <v>152.66319862424768</v>
      </c>
      <c r="N35" s="55">
        <v>109.92889079965607</v>
      </c>
      <c r="O35" s="55">
        <v>97.690197764402399</v>
      </c>
      <c r="P35" s="55">
        <v>70.212639724849524</v>
      </c>
      <c r="Q35" s="55">
        <v>74.284092863284599</v>
      </c>
      <c r="R35" s="55">
        <v>87.511092003439373</v>
      </c>
      <c r="S35" s="55">
        <v>66.068701633705942</v>
      </c>
      <c r="T35" s="55">
        <v>73.192089423903695</v>
      </c>
      <c r="U35" s="55">
        <v>61.102407566638</v>
      </c>
      <c r="V35" s="55">
        <v>67.935425623387786</v>
      </c>
      <c r="W35" s="55">
        <v>48.438607050730859</v>
      </c>
      <c r="DA35" s="101" t="s">
        <v>201</v>
      </c>
    </row>
    <row r="36" spans="1:105" ht="12" customHeight="1" x14ac:dyDescent="0.25">
      <c r="A36" s="60" t="s">
        <v>153</v>
      </c>
      <c r="B36" s="55">
        <v>18.723129836629401</v>
      </c>
      <c r="C36" s="55">
        <v>80.352536543422175</v>
      </c>
      <c r="D36" s="55">
        <v>91.079105760963017</v>
      </c>
      <c r="E36" s="55">
        <v>47.527944969905413</v>
      </c>
      <c r="F36" s="55">
        <v>57.158211521926049</v>
      </c>
      <c r="G36" s="55">
        <v>25.515907136715391</v>
      </c>
      <c r="H36" s="55">
        <v>13.843508168529659</v>
      </c>
      <c r="I36" s="55">
        <v>11.58641444539983</v>
      </c>
      <c r="J36" s="55">
        <v>11.758383490971619</v>
      </c>
      <c r="K36" s="55">
        <v>18.14273430782459</v>
      </c>
      <c r="L36" s="55">
        <v>23.624247635425618</v>
      </c>
      <c r="M36" s="55">
        <v>39.423903697334467</v>
      </c>
      <c r="N36" s="55">
        <v>13.19862424763542</v>
      </c>
      <c r="O36" s="55">
        <v>31.83576956147893</v>
      </c>
      <c r="P36" s="55">
        <v>36.715391229578671</v>
      </c>
      <c r="Q36" s="55">
        <v>50.128976784178853</v>
      </c>
      <c r="R36" s="55">
        <v>65.133276010318141</v>
      </c>
      <c r="S36" s="55">
        <v>49.315391229578672</v>
      </c>
      <c r="T36" s="55">
        <v>26.273430782459151</v>
      </c>
      <c r="U36" s="55">
        <v>29.61599312123818</v>
      </c>
      <c r="V36" s="55">
        <v>23.193207222699911</v>
      </c>
      <c r="W36" s="55">
        <v>22.241444539982801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1.7435941530524506</v>
      </c>
      <c r="C37" s="55">
        <f t="shared" ref="C37:W37" si="20">SUM(C38:C42)</f>
        <v>3.0572656921754091</v>
      </c>
      <c r="D37" s="55">
        <f t="shared" si="20"/>
        <v>2.913843508168529</v>
      </c>
      <c r="E37" s="55">
        <f t="shared" si="20"/>
        <v>1.7914015477214096</v>
      </c>
      <c r="F37" s="55">
        <f t="shared" si="20"/>
        <v>2.2452278589853827</v>
      </c>
      <c r="G37" s="55">
        <f t="shared" si="20"/>
        <v>2.3883920894239039</v>
      </c>
      <c r="H37" s="55">
        <f t="shared" si="20"/>
        <v>1.385296646603611</v>
      </c>
      <c r="I37" s="55">
        <f t="shared" si="20"/>
        <v>1.7196904557179711</v>
      </c>
      <c r="J37" s="55">
        <f t="shared" si="20"/>
        <v>1.9107480653482369</v>
      </c>
      <c r="K37" s="55">
        <f t="shared" si="20"/>
        <v>1.9107480653482369</v>
      </c>
      <c r="L37" s="55">
        <f t="shared" si="20"/>
        <v>17.411865864144456</v>
      </c>
      <c r="M37" s="55">
        <f t="shared" si="20"/>
        <v>17.244625967325884</v>
      </c>
      <c r="N37" s="55">
        <f t="shared" si="20"/>
        <v>12.921582115219261</v>
      </c>
      <c r="O37" s="55">
        <f t="shared" si="20"/>
        <v>12.921582115219257</v>
      </c>
      <c r="P37" s="55">
        <f t="shared" si="20"/>
        <v>12.682717110920033</v>
      </c>
      <c r="Q37" s="55">
        <f t="shared" si="20"/>
        <v>9.8165950128976789</v>
      </c>
      <c r="R37" s="55">
        <f t="shared" si="20"/>
        <v>9.8643164230438511</v>
      </c>
      <c r="S37" s="55">
        <f t="shared" si="20"/>
        <v>12.002063628546864</v>
      </c>
      <c r="T37" s="55">
        <f t="shared" si="20"/>
        <v>11.691143594153047</v>
      </c>
      <c r="U37" s="55">
        <f t="shared" si="20"/>
        <v>12.450472914875323</v>
      </c>
      <c r="V37" s="55">
        <f t="shared" si="20"/>
        <v>10.793551160791058</v>
      </c>
      <c r="W37" s="55">
        <f t="shared" si="20"/>
        <v>10.1134135855546</v>
      </c>
      <c r="DA37" s="101"/>
    </row>
    <row r="38" spans="1:105" ht="12" customHeight="1" x14ac:dyDescent="0.25">
      <c r="A38" s="61" t="s">
        <v>171</v>
      </c>
      <c r="B38" s="55">
        <v>1.0748065348237317</v>
      </c>
      <c r="C38" s="55">
        <v>1.8391229578675841</v>
      </c>
      <c r="D38" s="55">
        <v>1.671883061049011</v>
      </c>
      <c r="E38" s="55">
        <v>0.66878761822871868</v>
      </c>
      <c r="F38" s="55">
        <v>0.69269131556319863</v>
      </c>
      <c r="G38" s="55">
        <v>0.93147033533963897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1.7763568394002505E-15</v>
      </c>
      <c r="R38" s="55">
        <v>0</v>
      </c>
      <c r="S38" s="55">
        <v>0</v>
      </c>
      <c r="T38" s="55">
        <v>0</v>
      </c>
      <c r="U38" s="55">
        <v>0</v>
      </c>
      <c r="V38" s="55">
        <v>1.7763568394002505E-15</v>
      </c>
      <c r="W38" s="55">
        <v>0</v>
      </c>
      <c r="DA38" s="101" t="s">
        <v>203</v>
      </c>
    </row>
    <row r="39" spans="1:105" ht="12" customHeight="1" x14ac:dyDescent="0.25">
      <c r="A39" s="61" t="s">
        <v>50</v>
      </c>
      <c r="B39" s="55">
        <v>0.66878761822871879</v>
      </c>
      <c r="C39" s="55">
        <v>1.218142734307825</v>
      </c>
      <c r="D39" s="55">
        <v>1.241960447119518</v>
      </c>
      <c r="E39" s="55">
        <v>1.1226139294926909</v>
      </c>
      <c r="F39" s="55">
        <v>1.5525365434221841</v>
      </c>
      <c r="G39" s="55">
        <v>1.4569217540842649</v>
      </c>
      <c r="H39" s="55">
        <v>1.385296646603611</v>
      </c>
      <c r="I39" s="55">
        <v>1.7196904557179711</v>
      </c>
      <c r="J39" s="55">
        <v>1.9107480653482369</v>
      </c>
      <c r="K39" s="55">
        <v>1.9107480653482369</v>
      </c>
      <c r="L39" s="55">
        <v>2.2929492691315558</v>
      </c>
      <c r="M39" s="55">
        <v>2.1257093723129841</v>
      </c>
      <c r="N39" s="55">
        <v>2.0540842648323299</v>
      </c>
      <c r="O39" s="55">
        <v>1.982459157351677</v>
      </c>
      <c r="P39" s="55">
        <v>1.7196904557179711</v>
      </c>
      <c r="Q39" s="55">
        <v>1.5286328460877039</v>
      </c>
      <c r="R39" s="55">
        <v>1.265864144453998</v>
      </c>
      <c r="S39" s="55">
        <v>0.80851246775580399</v>
      </c>
      <c r="T39" s="55">
        <v>0.96818572656921742</v>
      </c>
      <c r="U39" s="55">
        <v>0.65821152192605326</v>
      </c>
      <c r="V39" s="55">
        <v>2.480481513327601</v>
      </c>
      <c r="W39" s="55">
        <v>2.1567497850386932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15.1189165950129</v>
      </c>
      <c r="M42" s="55">
        <v>15.1189165950129</v>
      </c>
      <c r="N42" s="55">
        <v>10.867497850386931</v>
      </c>
      <c r="O42" s="55">
        <v>10.93912295786758</v>
      </c>
      <c r="P42" s="55">
        <v>10.963026655202061</v>
      </c>
      <c r="Q42" s="55">
        <v>8.2879621668099741</v>
      </c>
      <c r="R42" s="55">
        <v>8.5984522785898534</v>
      </c>
      <c r="S42" s="55">
        <v>11.19355116079106</v>
      </c>
      <c r="T42" s="55">
        <v>10.72295786758383</v>
      </c>
      <c r="U42" s="55">
        <v>11.792261392949269</v>
      </c>
      <c r="V42" s="55">
        <v>8.3130696474634558</v>
      </c>
      <c r="W42" s="55">
        <v>7.9566638005159067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74.734909716251067</v>
      </c>
      <c r="C44" s="55">
        <v>66.972398968185729</v>
      </c>
      <c r="D44" s="55">
        <v>62.935855546001712</v>
      </c>
      <c r="E44" s="55">
        <v>31.455975924333622</v>
      </c>
      <c r="F44" s="55">
        <v>35.396990541702493</v>
      </c>
      <c r="G44" s="55">
        <v>25.054944110060191</v>
      </c>
      <c r="H44" s="55">
        <v>30.882803095442821</v>
      </c>
      <c r="I44" s="55">
        <v>17.72235597592433</v>
      </c>
      <c r="J44" s="55">
        <v>16.360963026655199</v>
      </c>
      <c r="K44" s="55">
        <v>26.91797076526225</v>
      </c>
      <c r="L44" s="55">
        <v>36.686758383490968</v>
      </c>
      <c r="M44" s="55">
        <v>42.801203783319004</v>
      </c>
      <c r="N44" s="55">
        <v>45.882287188306101</v>
      </c>
      <c r="O44" s="55">
        <v>49.656061908856401</v>
      </c>
      <c r="P44" s="55">
        <v>38.549699054170247</v>
      </c>
      <c r="Q44" s="55">
        <v>43.398280309544283</v>
      </c>
      <c r="R44" s="55">
        <v>41.606964746345653</v>
      </c>
      <c r="S44" s="55">
        <v>50.677901977644019</v>
      </c>
      <c r="T44" s="55">
        <v>54.620980223559762</v>
      </c>
      <c r="U44" s="55">
        <v>46.59793637145313</v>
      </c>
      <c r="V44" s="55">
        <v>47.116251074806527</v>
      </c>
      <c r="W44" s="55">
        <v>54.624763542562327</v>
      </c>
      <c r="DA44" s="101" t="s">
        <v>209</v>
      </c>
    </row>
    <row r="45" spans="1:105" ht="12" customHeight="1" x14ac:dyDescent="0.25">
      <c r="A45" s="62" t="s">
        <v>24</v>
      </c>
      <c r="B45" s="63">
        <v>192.94926913155635</v>
      </c>
      <c r="C45" s="63">
        <v>208.16852966466035</v>
      </c>
      <c r="D45" s="63">
        <v>257.26569217540839</v>
      </c>
      <c r="E45" s="63">
        <v>196.13069647463459</v>
      </c>
      <c r="F45" s="63">
        <v>223.4737747205503</v>
      </c>
      <c r="G45" s="63">
        <v>209.1143594153053</v>
      </c>
      <c r="H45" s="63">
        <v>213.41358555460019</v>
      </c>
      <c r="I45" s="63">
        <v>222.4419604471195</v>
      </c>
      <c r="J45" s="63">
        <v>268.70163370593292</v>
      </c>
      <c r="K45" s="63">
        <v>261.65090283748918</v>
      </c>
      <c r="L45" s="63">
        <v>264.40240756663803</v>
      </c>
      <c r="M45" s="63">
        <v>280.99595982288253</v>
      </c>
      <c r="N45" s="63">
        <v>273.0833619337252</v>
      </c>
      <c r="O45" s="63">
        <v>277.38082044367695</v>
      </c>
      <c r="P45" s="63">
        <v>270.45555503842553</v>
      </c>
      <c r="Q45" s="63">
        <v>278.43082198909877</v>
      </c>
      <c r="R45" s="63">
        <v>289.71304254480282</v>
      </c>
      <c r="S45" s="63">
        <v>303.44866853193389</v>
      </c>
      <c r="T45" s="63">
        <v>309.51537223496416</v>
      </c>
      <c r="U45" s="63">
        <v>303.00799880695723</v>
      </c>
      <c r="V45" s="63">
        <v>269.93543653725925</v>
      </c>
      <c r="W45" s="63">
        <v>286.15535833612745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582.46638005159059</v>
      </c>
      <c r="C47" s="82">
        <f t="shared" ref="C47:W47" si="22">SUM(C48,C53)</f>
        <v>768.73035253654325</v>
      </c>
      <c r="D47" s="82">
        <f t="shared" si="22"/>
        <v>743.97618228718807</v>
      </c>
      <c r="E47" s="82">
        <f t="shared" si="22"/>
        <v>527.77540842648318</v>
      </c>
      <c r="F47" s="82">
        <f t="shared" si="22"/>
        <v>567.8754084264832</v>
      </c>
      <c r="G47" s="82">
        <f t="shared" si="22"/>
        <v>499.24763542562346</v>
      </c>
      <c r="H47" s="82">
        <f t="shared" si="22"/>
        <v>459.88349097162518</v>
      </c>
      <c r="I47" s="82">
        <f t="shared" si="22"/>
        <v>402.33594153052445</v>
      </c>
      <c r="J47" s="82">
        <f t="shared" si="22"/>
        <v>521.29673258813409</v>
      </c>
      <c r="K47" s="82">
        <f t="shared" si="22"/>
        <v>517.02502149613076</v>
      </c>
      <c r="L47" s="82">
        <f t="shared" si="22"/>
        <v>563.06732588134105</v>
      </c>
      <c r="M47" s="82">
        <f t="shared" si="22"/>
        <v>549.62717220465379</v>
      </c>
      <c r="N47" s="82">
        <f t="shared" si="22"/>
        <v>478.11233871790398</v>
      </c>
      <c r="O47" s="82">
        <f t="shared" si="22"/>
        <v>488.18245414960984</v>
      </c>
      <c r="P47" s="82">
        <f t="shared" si="22"/>
        <v>447.31402451392</v>
      </c>
      <c r="Q47" s="82">
        <f t="shared" si="22"/>
        <v>475.85670333045721</v>
      </c>
      <c r="R47" s="82">
        <f t="shared" si="22"/>
        <v>510.32697203749422</v>
      </c>
      <c r="S47" s="82">
        <f t="shared" si="22"/>
        <v>500.6001732610826</v>
      </c>
      <c r="T47" s="82">
        <f t="shared" si="22"/>
        <v>500.60685976720833</v>
      </c>
      <c r="U47" s="82">
        <f t="shared" si="22"/>
        <v>484.02803320076634</v>
      </c>
      <c r="V47" s="82">
        <f t="shared" si="22"/>
        <v>444.78487763786114</v>
      </c>
      <c r="W47" s="82">
        <f t="shared" si="22"/>
        <v>440.46086134558567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496.68119423303494</v>
      </c>
      <c r="C48" s="64">
        <f t="shared" ref="C48:W48" si="24">SUM(C49:C52)</f>
        <v>679.1218287082653</v>
      </c>
      <c r="D48" s="64">
        <f t="shared" si="24"/>
        <v>649.15331709832219</v>
      </c>
      <c r="E48" s="64">
        <f t="shared" si="24"/>
        <v>430.62198414398881</v>
      </c>
      <c r="F48" s="64">
        <f t="shared" si="24"/>
        <v>465.4980219968844</v>
      </c>
      <c r="G48" s="64">
        <f t="shared" si="24"/>
        <v>392.7917997083955</v>
      </c>
      <c r="H48" s="64">
        <f t="shared" si="24"/>
        <v>347.69368295681744</v>
      </c>
      <c r="I48" s="64">
        <f t="shared" si="24"/>
        <v>283.78532894939292</v>
      </c>
      <c r="J48" s="64">
        <f t="shared" si="24"/>
        <v>396.77668988318794</v>
      </c>
      <c r="K48" s="64">
        <f t="shared" si="24"/>
        <v>389.97071548210891</v>
      </c>
      <c r="L48" s="64">
        <f t="shared" si="24"/>
        <v>433.32084600527662</v>
      </c>
      <c r="M48" s="64">
        <f t="shared" si="24"/>
        <v>417.89343652653628</v>
      </c>
      <c r="N48" s="64">
        <f t="shared" si="24"/>
        <v>345.40603798813515</v>
      </c>
      <c r="O48" s="64">
        <f t="shared" si="24"/>
        <v>353.28132611666075</v>
      </c>
      <c r="P48" s="64">
        <f t="shared" si="24"/>
        <v>309.67158664096894</v>
      </c>
      <c r="Q48" s="64">
        <f t="shared" si="24"/>
        <v>335.0408647527762</v>
      </c>
      <c r="R48" s="64">
        <f t="shared" si="24"/>
        <v>366.87152070549865</v>
      </c>
      <c r="S48" s="64">
        <f t="shared" si="24"/>
        <v>359.44311539617797</v>
      </c>
      <c r="T48" s="64">
        <f t="shared" si="24"/>
        <v>359.19417155511974</v>
      </c>
      <c r="U48" s="64">
        <f t="shared" si="24"/>
        <v>343.3566200924015</v>
      </c>
      <c r="V48" s="64">
        <f t="shared" si="24"/>
        <v>315.19498456034017</v>
      </c>
      <c r="W48" s="64">
        <f t="shared" si="24"/>
        <v>309.29603818617886</v>
      </c>
      <c r="DA48" s="108" t="s">
        <v>212</v>
      </c>
    </row>
    <row r="49" spans="1:105" ht="12" customHeight="1" x14ac:dyDescent="0.25">
      <c r="A49" s="61" t="s">
        <v>32</v>
      </c>
      <c r="B49" s="65">
        <v>413.08096383467921</v>
      </c>
      <c r="C49" s="65">
        <v>591.87320013921294</v>
      </c>
      <c r="D49" s="65">
        <v>563.73086258085254</v>
      </c>
      <c r="E49" s="65">
        <v>345.01755992496351</v>
      </c>
      <c r="F49" s="65">
        <v>379.43272182030717</v>
      </c>
      <c r="G49" s="65">
        <v>305.63532515053026</v>
      </c>
      <c r="H49" s="65">
        <v>258.4198560152654</v>
      </c>
      <c r="I49" s="65">
        <v>189.0412972851031</v>
      </c>
      <c r="J49" s="65">
        <v>303.60903629241949</v>
      </c>
      <c r="K49" s="65">
        <v>294.00648952091285</v>
      </c>
      <c r="L49" s="65">
        <v>334.33607459167973</v>
      </c>
      <c r="M49" s="65">
        <v>321.52297153527593</v>
      </c>
      <c r="N49" s="65">
        <v>245.01606098402826</v>
      </c>
      <c r="O49" s="65">
        <v>252.95703752562773</v>
      </c>
      <c r="P49" s="65">
        <v>207.55621657920915</v>
      </c>
      <c r="Q49" s="65">
        <v>227.30397352331954</v>
      </c>
      <c r="R49" s="65">
        <v>257.61103327916504</v>
      </c>
      <c r="S49" s="65">
        <v>248.38460822776136</v>
      </c>
      <c r="T49" s="65">
        <v>248.18727230953209</v>
      </c>
      <c r="U49" s="65">
        <v>229.3013767700362</v>
      </c>
      <c r="V49" s="65">
        <v>207.24410823460192</v>
      </c>
      <c r="W49" s="65">
        <v>201.7158485378209</v>
      </c>
      <c r="DA49" s="109" t="s">
        <v>213</v>
      </c>
    </row>
    <row r="50" spans="1:105" ht="12" customHeight="1" x14ac:dyDescent="0.25">
      <c r="A50" s="61" t="s">
        <v>31</v>
      </c>
      <c r="B50" s="65">
        <v>3.444111675307171</v>
      </c>
      <c r="C50" s="65">
        <v>3.4889345933637581</v>
      </c>
      <c r="D50" s="65">
        <v>3.6903222152692727</v>
      </c>
      <c r="E50" s="65">
        <v>4.8461795083960739</v>
      </c>
      <c r="F50" s="65">
        <v>3.9879854802476733</v>
      </c>
      <c r="G50" s="65">
        <v>4.2065768391444012</v>
      </c>
      <c r="H50" s="65">
        <v>4.8712013914767684</v>
      </c>
      <c r="I50" s="65">
        <v>5.0985111887699182</v>
      </c>
      <c r="J50" s="65">
        <v>5.2865899434343557</v>
      </c>
      <c r="K50" s="65">
        <v>5.4494419856437917</v>
      </c>
      <c r="L50" s="65">
        <v>5.9326263668564394</v>
      </c>
      <c r="M50" s="65">
        <v>6.0239625486817934</v>
      </c>
      <c r="N50" s="65">
        <v>6.7947240512180169</v>
      </c>
      <c r="O50" s="65">
        <v>7.0495696287614944</v>
      </c>
      <c r="P50" s="65">
        <v>5.7325365484068938</v>
      </c>
      <c r="Q50" s="65">
        <v>7.0503229561079346</v>
      </c>
      <c r="R50" s="65">
        <v>5.7759631633083313</v>
      </c>
      <c r="S50" s="65">
        <v>6.8010558734490214</v>
      </c>
      <c r="T50" s="65">
        <v>5.8789535375238726</v>
      </c>
      <c r="U50" s="65">
        <v>6.2290979529897434</v>
      </c>
      <c r="V50" s="65">
        <v>5.4434255615154061</v>
      </c>
      <c r="W50" s="65">
        <v>5.9540699637827554</v>
      </c>
      <c r="DA50" s="109" t="s">
        <v>214</v>
      </c>
    </row>
    <row r="51" spans="1:105" ht="12" customHeight="1" x14ac:dyDescent="0.25">
      <c r="A51" s="61" t="s">
        <v>35</v>
      </c>
      <c r="B51" s="65">
        <v>38.85605090586467</v>
      </c>
      <c r="C51" s="65">
        <v>38.775163771399434</v>
      </c>
      <c r="D51" s="65">
        <v>39.320005373213007</v>
      </c>
      <c r="E51" s="65">
        <v>40.266161854743906</v>
      </c>
      <c r="F51" s="65">
        <v>40.858517958894545</v>
      </c>
      <c r="G51" s="65">
        <v>41.801545655301787</v>
      </c>
      <c r="H51" s="65">
        <v>42.994211909355094</v>
      </c>
      <c r="I51" s="65">
        <v>44.498387122456542</v>
      </c>
      <c r="J51" s="65">
        <v>44.872959709973685</v>
      </c>
      <c r="K51" s="65">
        <v>45.81565106805877</v>
      </c>
      <c r="L51" s="65">
        <v>46.501104701161253</v>
      </c>
      <c r="M51" s="65">
        <v>45.439989906631027</v>
      </c>
      <c r="N51" s="65">
        <v>45.587155650505572</v>
      </c>
      <c r="O51" s="65">
        <v>45.521696490345192</v>
      </c>
      <c r="P51" s="65">
        <v>46.460182352104276</v>
      </c>
      <c r="Q51" s="65">
        <v>47.350848279842594</v>
      </c>
      <c r="R51" s="65">
        <v>48.307395683239065</v>
      </c>
      <c r="S51" s="65">
        <v>47.790481286835799</v>
      </c>
      <c r="T51" s="65">
        <v>47.627372657736245</v>
      </c>
      <c r="U51" s="65">
        <v>48.051712794096197</v>
      </c>
      <c r="V51" s="65">
        <v>46.329285156141836</v>
      </c>
      <c r="W51" s="65">
        <v>46.243058506946156</v>
      </c>
      <c r="DA51" s="109" t="s">
        <v>215</v>
      </c>
    </row>
    <row r="52" spans="1:105" ht="12" customHeight="1" x14ac:dyDescent="0.25">
      <c r="A52" s="66" t="s">
        <v>34</v>
      </c>
      <c r="B52" s="67">
        <v>41.30006781718393</v>
      </c>
      <c r="C52" s="67">
        <v>44.984530204289129</v>
      </c>
      <c r="D52" s="67">
        <v>42.412126928987355</v>
      </c>
      <c r="E52" s="67">
        <v>40.492082855885343</v>
      </c>
      <c r="F52" s="67">
        <v>41.218796737435028</v>
      </c>
      <c r="G52" s="67">
        <v>41.148352063419068</v>
      </c>
      <c r="H52" s="67">
        <v>41.408413640720191</v>
      </c>
      <c r="I52" s="67">
        <v>45.147133353063367</v>
      </c>
      <c r="J52" s="67">
        <v>43.008103937360403</v>
      </c>
      <c r="K52" s="67">
        <v>44.699132907493492</v>
      </c>
      <c r="L52" s="67">
        <v>46.551040345579246</v>
      </c>
      <c r="M52" s="67">
        <v>44.906512535947591</v>
      </c>
      <c r="N52" s="67">
        <v>48.008097302383291</v>
      </c>
      <c r="O52" s="67">
        <v>47.753022471926371</v>
      </c>
      <c r="P52" s="67">
        <v>49.922651161248595</v>
      </c>
      <c r="Q52" s="67">
        <v>53.33571999350611</v>
      </c>
      <c r="R52" s="67">
        <v>55.177128579786185</v>
      </c>
      <c r="S52" s="67">
        <v>56.466970008131796</v>
      </c>
      <c r="T52" s="67">
        <v>57.500573050327539</v>
      </c>
      <c r="U52" s="67">
        <v>59.774432575279405</v>
      </c>
      <c r="V52" s="67">
        <v>56.178165608081017</v>
      </c>
      <c r="W52" s="67">
        <v>55.383061177629003</v>
      </c>
      <c r="DA52" s="110" t="s">
        <v>216</v>
      </c>
    </row>
    <row r="53" spans="1:105" ht="12" customHeight="1" x14ac:dyDescent="0.25">
      <c r="A53" s="78" t="s">
        <v>33</v>
      </c>
      <c r="B53" s="68">
        <v>85.785185818555647</v>
      </c>
      <c r="C53" s="68">
        <v>89.608523828277981</v>
      </c>
      <c r="D53" s="68">
        <v>94.822865188865919</v>
      </c>
      <c r="E53" s="68">
        <v>97.153424282494413</v>
      </c>
      <c r="F53" s="68">
        <v>102.37738642959883</v>
      </c>
      <c r="G53" s="68">
        <v>106.45583571722796</v>
      </c>
      <c r="H53" s="68">
        <v>112.18980801480772</v>
      </c>
      <c r="I53" s="68">
        <v>118.55061258113153</v>
      </c>
      <c r="J53" s="68">
        <v>124.52004270494615</v>
      </c>
      <c r="K53" s="68">
        <v>127.05430601402182</v>
      </c>
      <c r="L53" s="68">
        <v>129.74647987606446</v>
      </c>
      <c r="M53" s="68">
        <v>131.73373567811751</v>
      </c>
      <c r="N53" s="68">
        <v>132.70630072976886</v>
      </c>
      <c r="O53" s="68">
        <v>134.90112803294912</v>
      </c>
      <c r="P53" s="68">
        <v>137.64243787295104</v>
      </c>
      <c r="Q53" s="68">
        <v>140.81583857768101</v>
      </c>
      <c r="R53" s="68">
        <v>143.45545133199559</v>
      </c>
      <c r="S53" s="68">
        <v>141.15705786490463</v>
      </c>
      <c r="T53" s="68">
        <v>141.41268821208857</v>
      </c>
      <c r="U53" s="68">
        <v>140.67141310836487</v>
      </c>
      <c r="V53" s="68">
        <v>129.58989307752097</v>
      </c>
      <c r="W53" s="68">
        <v>131.16482315940681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0.85272079426977843</v>
      </c>
      <c r="C56" s="70">
        <f t="shared" ref="C56:W56" si="28">IF(C48=0,0,C48/C$47)</f>
        <v>0.8834330873854519</v>
      </c>
      <c r="D56" s="70">
        <f t="shared" si="28"/>
        <v>0.87254583218329085</v>
      </c>
      <c r="E56" s="70">
        <f t="shared" si="28"/>
        <v>0.81591900128096362</v>
      </c>
      <c r="F56" s="70">
        <f t="shared" si="28"/>
        <v>0.81971857750756516</v>
      </c>
      <c r="G56" s="70">
        <f t="shared" si="28"/>
        <v>0.78676747136424352</v>
      </c>
      <c r="H56" s="70">
        <f t="shared" si="28"/>
        <v>0.75604732455653678</v>
      </c>
      <c r="I56" s="70">
        <f t="shared" si="28"/>
        <v>0.70534421525913482</v>
      </c>
      <c r="J56" s="70">
        <f t="shared" si="28"/>
        <v>0.7611340433945768</v>
      </c>
      <c r="K56" s="70">
        <f t="shared" si="28"/>
        <v>0.75425888355197779</v>
      </c>
      <c r="L56" s="70">
        <f t="shared" si="28"/>
        <v>0.76957199625643569</v>
      </c>
      <c r="M56" s="70">
        <f t="shared" si="28"/>
        <v>0.76032164649045697</v>
      </c>
      <c r="N56" s="70">
        <f t="shared" si="28"/>
        <v>0.72243698816551927</v>
      </c>
      <c r="O56" s="70">
        <f t="shared" si="28"/>
        <v>0.72366657816913904</v>
      </c>
      <c r="P56" s="70">
        <f t="shared" si="28"/>
        <v>0.69229125328113261</v>
      </c>
      <c r="Q56" s="70">
        <f t="shared" si="28"/>
        <v>0.70407932137525886</v>
      </c>
      <c r="R56" s="70">
        <f t="shared" si="28"/>
        <v>0.71889502379377324</v>
      </c>
      <c r="S56" s="70">
        <f t="shared" si="28"/>
        <v>0.71802435275769327</v>
      </c>
      <c r="T56" s="70">
        <f t="shared" si="28"/>
        <v>0.71751747813074684</v>
      </c>
      <c r="U56" s="70">
        <f t="shared" si="28"/>
        <v>0.70937341753092886</v>
      </c>
      <c r="V56" s="70">
        <f t="shared" si="28"/>
        <v>0.70864591043261227</v>
      </c>
      <c r="W56" s="70">
        <f t="shared" si="28"/>
        <v>0.70221003800722515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0.7091928014765273</v>
      </c>
      <c r="C57" s="71">
        <f t="shared" ref="C57:W57" si="30">IF(C49=0,0,C49/C$47)</f>
        <v>0.76993603568043967</v>
      </c>
      <c r="D57" s="71">
        <f t="shared" si="30"/>
        <v>0.75772702944305059</v>
      </c>
      <c r="E57" s="71">
        <f t="shared" si="30"/>
        <v>0.65372041670831837</v>
      </c>
      <c r="F57" s="71">
        <f t="shared" si="30"/>
        <v>0.66816191754397525</v>
      </c>
      <c r="G57" s="71">
        <f t="shared" si="30"/>
        <v>0.6121918331971008</v>
      </c>
      <c r="H57" s="71">
        <f t="shared" si="30"/>
        <v>0.56192462023214895</v>
      </c>
      <c r="I57" s="71">
        <f t="shared" si="30"/>
        <v>0.46985933338685054</v>
      </c>
      <c r="J57" s="71">
        <f t="shared" si="30"/>
        <v>0.58241116299551943</v>
      </c>
      <c r="K57" s="71">
        <f t="shared" si="30"/>
        <v>0.56865040819521173</v>
      </c>
      <c r="L57" s="71">
        <f t="shared" si="30"/>
        <v>0.59377637313328424</v>
      </c>
      <c r="M57" s="71">
        <f t="shared" si="30"/>
        <v>0.58498376316729261</v>
      </c>
      <c r="N57" s="71">
        <f t="shared" si="30"/>
        <v>0.51246546290994743</v>
      </c>
      <c r="O57" s="71">
        <f t="shared" si="30"/>
        <v>0.51816085435980408</v>
      </c>
      <c r="P57" s="71">
        <f t="shared" si="30"/>
        <v>0.46400560949268915</v>
      </c>
      <c r="Q57" s="71">
        <f t="shared" si="30"/>
        <v>0.47767315650373221</v>
      </c>
      <c r="R57" s="71">
        <f t="shared" si="30"/>
        <v>0.50479603743193513</v>
      </c>
      <c r="S57" s="71">
        <f t="shared" si="30"/>
        <v>0.49617363615697163</v>
      </c>
      <c r="T57" s="71">
        <f t="shared" si="30"/>
        <v>0.49577281546829755</v>
      </c>
      <c r="U57" s="71">
        <f t="shared" si="30"/>
        <v>0.47373573644840111</v>
      </c>
      <c r="V57" s="71">
        <f t="shared" si="30"/>
        <v>0.46594234348798558</v>
      </c>
      <c r="W57" s="71">
        <f t="shared" si="30"/>
        <v>0.45796543175615917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5.9129793465540741E-3</v>
      </c>
      <c r="C58" s="72">
        <f t="shared" ref="C58:W58" si="32">IF(C50=0,0,C50/C$47)</f>
        <v>4.5385674988004379E-3</v>
      </c>
      <c r="D58" s="72">
        <f t="shared" si="32"/>
        <v>4.9602692977673071E-3</v>
      </c>
      <c r="E58" s="72">
        <f t="shared" si="32"/>
        <v>9.1822760799798158E-3</v>
      </c>
      <c r="F58" s="72">
        <f t="shared" si="32"/>
        <v>7.022641623622896E-3</v>
      </c>
      <c r="G58" s="72">
        <f t="shared" si="32"/>
        <v>8.4258322737135634E-3</v>
      </c>
      <c r="H58" s="72">
        <f t="shared" si="32"/>
        <v>1.0592251052946195E-2</v>
      </c>
      <c r="I58" s="72">
        <f t="shared" si="32"/>
        <v>1.2672273745603471E-2</v>
      </c>
      <c r="J58" s="72">
        <f t="shared" si="32"/>
        <v>1.0141229769823212E-2</v>
      </c>
      <c r="K58" s="72">
        <f t="shared" si="32"/>
        <v>1.0539996632802371E-2</v>
      </c>
      <c r="L58" s="72">
        <f t="shared" si="32"/>
        <v>1.0536264659950561E-2</v>
      </c>
      <c r="M58" s="72">
        <f t="shared" si="32"/>
        <v>1.0960088680693482E-2</v>
      </c>
      <c r="N58" s="72">
        <f t="shared" si="32"/>
        <v>1.4211563896130784E-2</v>
      </c>
      <c r="O58" s="72">
        <f t="shared" si="32"/>
        <v>1.4440440390348528E-2</v>
      </c>
      <c r="P58" s="72">
        <f t="shared" si="32"/>
        <v>1.2815463487057518E-2</v>
      </c>
      <c r="Q58" s="72">
        <f t="shared" si="32"/>
        <v>1.4816063127331549E-2</v>
      </c>
      <c r="R58" s="72">
        <f t="shared" si="32"/>
        <v>1.1318161648888833E-2</v>
      </c>
      <c r="S58" s="72">
        <f t="shared" si="32"/>
        <v>1.3585804074226727E-2</v>
      </c>
      <c r="T58" s="72">
        <f t="shared" si="32"/>
        <v>1.1743653573300409E-2</v>
      </c>
      <c r="U58" s="72">
        <f t="shared" si="32"/>
        <v>1.2869291705685201E-2</v>
      </c>
      <c r="V58" s="72">
        <f t="shared" si="32"/>
        <v>1.2238333259943657E-2</v>
      </c>
      <c r="W58" s="72">
        <f t="shared" si="32"/>
        <v>1.3517818463128307E-2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6.6709517041006014E-2</v>
      </c>
      <c r="C59" s="72">
        <f t="shared" ref="C59:W59" si="34">IF(C51=0,0,C51/C$47)</f>
        <v>5.0440526568848044E-2</v>
      </c>
      <c r="D59" s="72">
        <f t="shared" si="34"/>
        <v>5.2851161514784605E-2</v>
      </c>
      <c r="E59" s="72">
        <f t="shared" si="34"/>
        <v>7.6294122863348246E-2</v>
      </c>
      <c r="F59" s="72">
        <f t="shared" si="34"/>
        <v>7.1949792776039995E-2</v>
      </c>
      <c r="G59" s="72">
        <f t="shared" si="34"/>
        <v>8.3729080899230951E-2</v>
      </c>
      <c r="H59" s="72">
        <f t="shared" si="34"/>
        <v>9.3489357094594716E-2</v>
      </c>
      <c r="I59" s="72">
        <f t="shared" si="34"/>
        <v>0.11060007950863256</v>
      </c>
      <c r="J59" s="72">
        <f t="shared" si="34"/>
        <v>8.6079495429001465E-2</v>
      </c>
      <c r="K59" s="72">
        <f t="shared" si="34"/>
        <v>8.8613991902133968E-2</v>
      </c>
      <c r="L59" s="72">
        <f t="shared" si="34"/>
        <v>8.2585336715064059E-2</v>
      </c>
      <c r="M59" s="72">
        <f t="shared" si="34"/>
        <v>8.2674205724515087E-2</v>
      </c>
      <c r="N59" s="72">
        <f t="shared" si="34"/>
        <v>9.534820994737582E-2</v>
      </c>
      <c r="O59" s="72">
        <f t="shared" si="34"/>
        <v>9.3247301502553545E-2</v>
      </c>
      <c r="P59" s="72">
        <f t="shared" si="34"/>
        <v>0.10386480147272574</v>
      </c>
      <c r="Q59" s="72">
        <f t="shared" si="34"/>
        <v>9.9506527802257203E-2</v>
      </c>
      <c r="R59" s="72">
        <f t="shared" si="34"/>
        <v>9.4659695313321343E-2</v>
      </c>
      <c r="S59" s="72">
        <f t="shared" si="34"/>
        <v>9.5466369848640042E-2</v>
      </c>
      <c r="T59" s="72">
        <f t="shared" si="34"/>
        <v>9.5139272921437548E-2</v>
      </c>
      <c r="U59" s="72">
        <f t="shared" si="34"/>
        <v>9.9274648363528131E-2</v>
      </c>
      <c r="V59" s="72">
        <f t="shared" si="34"/>
        <v>0.10416110683030599</v>
      </c>
      <c r="W59" s="72">
        <f t="shared" si="34"/>
        <v>0.10498789464670243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7.0905496405691049E-2</v>
      </c>
      <c r="C60" s="73">
        <f t="shared" ref="C60:W60" si="36">IF(C52=0,0,C52/C$47)</f>
        <v>5.8517957637363734E-2</v>
      </c>
      <c r="D60" s="73">
        <f t="shared" si="36"/>
        <v>5.7007371927688295E-2</v>
      </c>
      <c r="E60" s="73">
        <f t="shared" si="36"/>
        <v>7.6722185629317194E-2</v>
      </c>
      <c r="F60" s="73">
        <f t="shared" si="36"/>
        <v>7.2584225563927005E-2</v>
      </c>
      <c r="G60" s="73">
        <f t="shared" si="36"/>
        <v>8.2420724994198266E-2</v>
      </c>
      <c r="H60" s="73">
        <f t="shared" si="36"/>
        <v>9.0041096176846872E-2</v>
      </c>
      <c r="I60" s="73">
        <f t="shared" si="36"/>
        <v>0.11221252861804826</v>
      </c>
      <c r="J60" s="73">
        <f t="shared" si="36"/>
        <v>8.250215520023263E-2</v>
      </c>
      <c r="K60" s="73">
        <f t="shared" si="36"/>
        <v>8.6454486821829768E-2</v>
      </c>
      <c r="L60" s="73">
        <f t="shared" si="36"/>
        <v>8.2674021748136844E-2</v>
      </c>
      <c r="M60" s="73">
        <f t="shared" si="36"/>
        <v>8.1703588917955899E-2</v>
      </c>
      <c r="N60" s="73">
        <f t="shared" si="36"/>
        <v>0.10041175141206519</v>
      </c>
      <c r="O60" s="73">
        <f t="shared" si="36"/>
        <v>9.78179819164329E-2</v>
      </c>
      <c r="P60" s="73">
        <f t="shared" si="36"/>
        <v>0.1116053788286601</v>
      </c>
      <c r="Q60" s="73">
        <f t="shared" si="36"/>
        <v>0.11208357394193791</v>
      </c>
      <c r="R60" s="73">
        <f t="shared" si="36"/>
        <v>0.10812112939962787</v>
      </c>
      <c r="S60" s="73">
        <f t="shared" si="36"/>
        <v>0.11279854267785493</v>
      </c>
      <c r="T60" s="73">
        <f t="shared" si="36"/>
        <v>0.11486173616771131</v>
      </c>
      <c r="U60" s="73">
        <f t="shared" si="36"/>
        <v>0.12349374101331445</v>
      </c>
      <c r="V60" s="73">
        <f t="shared" si="36"/>
        <v>0.12630412685437711</v>
      </c>
      <c r="W60" s="73">
        <f t="shared" si="36"/>
        <v>0.12573889314123518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0.1472792057302216</v>
      </c>
      <c r="C61" s="70">
        <f t="shared" ref="C61:W61" si="38">IF(C53=0,0,C53/C$47)</f>
        <v>0.11656691261454809</v>
      </c>
      <c r="D61" s="70">
        <f t="shared" si="38"/>
        <v>0.12745416781670924</v>
      </c>
      <c r="E61" s="70">
        <f t="shared" si="38"/>
        <v>0.18408099871903649</v>
      </c>
      <c r="F61" s="70">
        <f t="shared" si="38"/>
        <v>0.18028142249243487</v>
      </c>
      <c r="G61" s="70">
        <f t="shared" si="38"/>
        <v>0.21323252863575645</v>
      </c>
      <c r="H61" s="70">
        <f t="shared" si="38"/>
        <v>0.24395267544346322</v>
      </c>
      <c r="I61" s="70">
        <f t="shared" si="38"/>
        <v>0.29465578474086518</v>
      </c>
      <c r="J61" s="70">
        <f t="shared" si="38"/>
        <v>0.23886595660542323</v>
      </c>
      <c r="K61" s="70">
        <f t="shared" si="38"/>
        <v>0.24574111644802213</v>
      </c>
      <c r="L61" s="70">
        <f t="shared" si="38"/>
        <v>0.2304280037435644</v>
      </c>
      <c r="M61" s="70">
        <f t="shared" si="38"/>
        <v>0.23967835350954306</v>
      </c>
      <c r="N61" s="70">
        <f t="shared" si="38"/>
        <v>0.27756301183448073</v>
      </c>
      <c r="O61" s="70">
        <f t="shared" si="38"/>
        <v>0.27633342183086107</v>
      </c>
      <c r="P61" s="70">
        <f t="shared" si="38"/>
        <v>0.30770874671886733</v>
      </c>
      <c r="Q61" s="70">
        <f t="shared" si="38"/>
        <v>0.29592067862474114</v>
      </c>
      <c r="R61" s="70">
        <f t="shared" si="38"/>
        <v>0.28110497620622682</v>
      </c>
      <c r="S61" s="70">
        <f t="shared" si="38"/>
        <v>0.28197564724230667</v>
      </c>
      <c r="T61" s="70">
        <f t="shared" si="38"/>
        <v>0.28248252186925316</v>
      </c>
      <c r="U61" s="70">
        <f t="shared" si="38"/>
        <v>0.29062658246907125</v>
      </c>
      <c r="V61" s="70">
        <f t="shared" si="38"/>
        <v>0.29135408956738768</v>
      </c>
      <c r="W61" s="70">
        <f t="shared" si="38"/>
        <v>0.2977899619927748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937.39322591999985</v>
      </c>
      <c r="C65" s="80">
        <v>1445.4215348399998</v>
      </c>
      <c r="D65" s="80">
        <v>1227.3112483200002</v>
      </c>
      <c r="E65" s="80">
        <v>881.3344741200001</v>
      </c>
      <c r="F65" s="80">
        <v>898.03273176000005</v>
      </c>
      <c r="G65" s="80">
        <v>785.67746688000022</v>
      </c>
      <c r="H65" s="80">
        <v>645.08417675999999</v>
      </c>
      <c r="I65" s="80">
        <v>474.69224880000013</v>
      </c>
      <c r="J65" s="80">
        <v>707.28869700000007</v>
      </c>
      <c r="K65" s="80">
        <v>677.84015772000009</v>
      </c>
      <c r="L65" s="80">
        <v>727.59134519999986</v>
      </c>
      <c r="M65" s="80">
        <v>609.62852592000013</v>
      </c>
      <c r="N65" s="80">
        <v>432.88553592</v>
      </c>
      <c r="O65" s="80">
        <v>427.07306195999996</v>
      </c>
      <c r="P65" s="80">
        <v>353.28739932000002</v>
      </c>
      <c r="Q65" s="80">
        <v>400.33034279999998</v>
      </c>
      <c r="R65" s="80">
        <v>467.89078859999995</v>
      </c>
      <c r="S65" s="80">
        <v>371.16550476000003</v>
      </c>
      <c r="T65" s="80">
        <v>355.57627608000001</v>
      </c>
      <c r="U65" s="80">
        <v>341.60986475999999</v>
      </c>
      <c r="V65" s="80">
        <v>333.35269919999996</v>
      </c>
      <c r="W65" s="80">
        <v>252.33495227999995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893.41643591999991</v>
      </c>
      <c r="C67" s="55">
        <f t="shared" ref="C67:W67" si="39">SUM(C68:C69)</f>
        <v>1256.6899148399998</v>
      </c>
      <c r="D67" s="55">
        <f t="shared" si="39"/>
        <v>1013.3851183200002</v>
      </c>
      <c r="E67" s="55">
        <f t="shared" si="39"/>
        <v>769.70108412000013</v>
      </c>
      <c r="F67" s="55">
        <f t="shared" si="39"/>
        <v>763.77982176</v>
      </c>
      <c r="G67" s="55">
        <f t="shared" si="39"/>
        <v>725.74583688000018</v>
      </c>
      <c r="H67" s="55">
        <f t="shared" si="39"/>
        <v>612.56861676000005</v>
      </c>
      <c r="I67" s="55">
        <f t="shared" si="39"/>
        <v>447.47813880000012</v>
      </c>
      <c r="J67" s="55">
        <f t="shared" si="39"/>
        <v>679.67066700000009</v>
      </c>
      <c r="K67" s="55">
        <f t="shared" si="39"/>
        <v>635.22659772000009</v>
      </c>
      <c r="L67" s="55">
        <f t="shared" si="39"/>
        <v>672.10283519999984</v>
      </c>
      <c r="M67" s="55">
        <f t="shared" si="39"/>
        <v>517.02986592000013</v>
      </c>
      <c r="N67" s="55">
        <f t="shared" si="39"/>
        <v>401.88467592000001</v>
      </c>
      <c r="O67" s="55">
        <f t="shared" si="39"/>
        <v>352.29737195999996</v>
      </c>
      <c r="P67" s="55">
        <f t="shared" si="39"/>
        <v>267.05047932000002</v>
      </c>
      <c r="Q67" s="55">
        <f t="shared" si="39"/>
        <v>282.58766279999998</v>
      </c>
      <c r="R67" s="55">
        <f t="shared" si="39"/>
        <v>314.90608859999998</v>
      </c>
      <c r="S67" s="55">
        <f t="shared" si="39"/>
        <v>255.33377028000001</v>
      </c>
      <c r="T67" s="55">
        <f t="shared" si="39"/>
        <v>293.86537848</v>
      </c>
      <c r="U67" s="55">
        <f t="shared" si="39"/>
        <v>272.04797411999999</v>
      </c>
      <c r="V67" s="55">
        <f t="shared" si="39"/>
        <v>278.87661467999999</v>
      </c>
      <c r="W67" s="55">
        <f t="shared" si="39"/>
        <v>200.09436299999996</v>
      </c>
      <c r="DA67" s="101"/>
    </row>
    <row r="68" spans="1:105" ht="12" customHeight="1" x14ac:dyDescent="0.25">
      <c r="A68" s="61" t="s">
        <v>52</v>
      </c>
      <c r="B68" s="55">
        <v>116.40064572000001</v>
      </c>
      <c r="C68" s="55">
        <v>104.46202476000001</v>
      </c>
      <c r="D68" s="55">
        <v>71.631044280000026</v>
      </c>
      <c r="E68" s="55">
        <v>56.707995239999995</v>
      </c>
      <c r="F68" s="55">
        <v>59.692650479999998</v>
      </c>
      <c r="G68" s="55">
        <v>56.707995239999995</v>
      </c>
      <c r="H68" s="55">
        <v>50.738684760000005</v>
      </c>
      <c r="I68" s="55">
        <v>81.361215720000004</v>
      </c>
      <c r="J68" s="55">
        <v>61.02085499999999</v>
      </c>
      <c r="K68" s="55">
        <v>63.926685720000016</v>
      </c>
      <c r="L68" s="55">
        <v>75.549554279999995</v>
      </c>
      <c r="M68" s="55">
        <v>43.586325000000002</v>
      </c>
      <c r="N68" s="55">
        <v>61.02085499999999</v>
      </c>
      <c r="O68" s="55">
        <v>49.397759279999995</v>
      </c>
      <c r="P68" s="55">
        <v>49.397759279999995</v>
      </c>
      <c r="Q68" s="55">
        <v>52.303590000000014</v>
      </c>
      <c r="R68" s="55">
        <v>43.586325000000002</v>
      </c>
      <c r="S68" s="55">
        <v>50.426566920000013</v>
      </c>
      <c r="T68" s="55">
        <v>66.875903999999991</v>
      </c>
      <c r="U68" s="55">
        <v>82.566981000000013</v>
      </c>
      <c r="V68" s="55">
        <v>68.189343120000004</v>
      </c>
      <c r="W68" s="55">
        <v>49.897738439999991</v>
      </c>
      <c r="DA68" s="101" t="s">
        <v>220</v>
      </c>
    </row>
    <row r="69" spans="1:105" ht="12" customHeight="1" x14ac:dyDescent="0.25">
      <c r="A69" s="61" t="s">
        <v>170</v>
      </c>
      <c r="B69" s="55">
        <v>777.01579019999986</v>
      </c>
      <c r="C69" s="55">
        <v>1152.2278900799997</v>
      </c>
      <c r="D69" s="55">
        <v>941.75407404000021</v>
      </c>
      <c r="E69" s="55">
        <v>712.99308888000019</v>
      </c>
      <c r="F69" s="55">
        <v>704.08717128000001</v>
      </c>
      <c r="G69" s="55">
        <v>669.03784164000024</v>
      </c>
      <c r="H69" s="55">
        <v>561.8299320000001</v>
      </c>
      <c r="I69" s="55">
        <v>366.11692308000011</v>
      </c>
      <c r="J69" s="55">
        <v>618.64981200000011</v>
      </c>
      <c r="K69" s="55">
        <v>571.29991200000006</v>
      </c>
      <c r="L69" s="55">
        <v>596.55328091999991</v>
      </c>
      <c r="M69" s="55">
        <v>473.44354092000015</v>
      </c>
      <c r="N69" s="55">
        <v>340.86382092000002</v>
      </c>
      <c r="O69" s="55">
        <v>302.89961267999996</v>
      </c>
      <c r="P69" s="55">
        <v>217.65272004000002</v>
      </c>
      <c r="Q69" s="55">
        <v>230.28407279999996</v>
      </c>
      <c r="R69" s="55">
        <v>271.31976359999999</v>
      </c>
      <c r="S69" s="55">
        <v>204.90720335999998</v>
      </c>
      <c r="T69" s="55">
        <v>226.98947448000001</v>
      </c>
      <c r="U69" s="55">
        <v>189.48099311999999</v>
      </c>
      <c r="V69" s="55">
        <v>210.68727156</v>
      </c>
      <c r="W69" s="55">
        <v>150.19662455999998</v>
      </c>
      <c r="DA69" s="101" t="s">
        <v>221</v>
      </c>
    </row>
    <row r="70" spans="1:105" ht="12" customHeight="1" x14ac:dyDescent="0.25">
      <c r="A70" s="60" t="s">
        <v>153</v>
      </c>
      <c r="B70" s="55">
        <v>43.976789999999994</v>
      </c>
      <c r="C70" s="55">
        <v>188.73161999999999</v>
      </c>
      <c r="D70" s="55">
        <v>213.92613</v>
      </c>
      <c r="E70" s="55">
        <v>111.63339000000001</v>
      </c>
      <c r="F70" s="55">
        <v>134.25291000000001</v>
      </c>
      <c r="G70" s="55">
        <v>59.931630000000006</v>
      </c>
      <c r="H70" s="55">
        <v>32.515559999999994</v>
      </c>
      <c r="I70" s="55">
        <v>27.214110000000009</v>
      </c>
      <c r="J70" s="55">
        <v>27.61802999999999</v>
      </c>
      <c r="K70" s="55">
        <v>42.61356</v>
      </c>
      <c r="L70" s="55">
        <v>55.488509999999998</v>
      </c>
      <c r="M70" s="55">
        <v>92.598659999999981</v>
      </c>
      <c r="N70" s="55">
        <v>31.000859999999992</v>
      </c>
      <c r="O70" s="55">
        <v>74.775689999999997</v>
      </c>
      <c r="P70" s="55">
        <v>86.236919999999998</v>
      </c>
      <c r="Q70" s="55">
        <v>117.74268000000002</v>
      </c>
      <c r="R70" s="55">
        <v>152.9847</v>
      </c>
      <c r="S70" s="55">
        <v>115.83173448000001</v>
      </c>
      <c r="T70" s="55">
        <v>61.710897599999996</v>
      </c>
      <c r="U70" s="55">
        <v>69.561890640000016</v>
      </c>
      <c r="V70" s="55">
        <v>54.476084520000001</v>
      </c>
      <c r="W70" s="55">
        <v>52.240589280000002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937.39322591999985</v>
      </c>
      <c r="C81" s="82">
        <f t="shared" ref="C81:W81" si="42">C82+C87</f>
        <v>1445.4215348399991</v>
      </c>
      <c r="D81" s="82">
        <f t="shared" si="42"/>
        <v>1227.3112483199998</v>
      </c>
      <c r="E81" s="82">
        <f t="shared" si="42"/>
        <v>881.3344741200001</v>
      </c>
      <c r="F81" s="82">
        <f t="shared" si="42"/>
        <v>898.03273175999982</v>
      </c>
      <c r="G81" s="82">
        <f t="shared" si="42"/>
        <v>785.67746688000011</v>
      </c>
      <c r="H81" s="82">
        <f t="shared" si="42"/>
        <v>645.0841767600001</v>
      </c>
      <c r="I81" s="82">
        <f t="shared" si="42"/>
        <v>474.69224880000013</v>
      </c>
      <c r="J81" s="82">
        <f t="shared" si="42"/>
        <v>707.2886970000003</v>
      </c>
      <c r="K81" s="82">
        <f t="shared" si="42"/>
        <v>677.84015772000009</v>
      </c>
      <c r="L81" s="82">
        <f t="shared" si="42"/>
        <v>727.59134519999952</v>
      </c>
      <c r="M81" s="82">
        <f t="shared" si="42"/>
        <v>609.62852592000002</v>
      </c>
      <c r="N81" s="82">
        <f t="shared" si="42"/>
        <v>432.88553592000011</v>
      </c>
      <c r="O81" s="82">
        <f t="shared" si="42"/>
        <v>427.07306195999996</v>
      </c>
      <c r="P81" s="82">
        <f t="shared" si="42"/>
        <v>353.28739932000002</v>
      </c>
      <c r="Q81" s="82">
        <f t="shared" si="42"/>
        <v>400.33034280000004</v>
      </c>
      <c r="R81" s="82">
        <f t="shared" si="42"/>
        <v>467.89078860000006</v>
      </c>
      <c r="S81" s="82">
        <f t="shared" si="42"/>
        <v>371.16550475999981</v>
      </c>
      <c r="T81" s="82">
        <f t="shared" si="42"/>
        <v>355.5762760799999</v>
      </c>
      <c r="U81" s="82">
        <f t="shared" si="42"/>
        <v>341.60986475999999</v>
      </c>
      <c r="V81" s="82">
        <f t="shared" si="42"/>
        <v>333.35269919999996</v>
      </c>
      <c r="W81" s="82">
        <f t="shared" si="42"/>
        <v>252.33495227999987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937.39322591999985</v>
      </c>
      <c r="C82" s="64">
        <f t="shared" ref="C82:W82" si="44">SUM(C83:C86)</f>
        <v>1445.4215348399991</v>
      </c>
      <c r="D82" s="64">
        <f t="shared" si="44"/>
        <v>1227.3112483199998</v>
      </c>
      <c r="E82" s="64">
        <f t="shared" si="44"/>
        <v>881.3344741200001</v>
      </c>
      <c r="F82" s="64">
        <f t="shared" si="44"/>
        <v>898.03273175999982</v>
      </c>
      <c r="G82" s="64">
        <f t="shared" si="44"/>
        <v>785.67746688000011</v>
      </c>
      <c r="H82" s="64">
        <f t="shared" si="44"/>
        <v>645.0841767600001</v>
      </c>
      <c r="I82" s="64">
        <f t="shared" si="44"/>
        <v>474.69224880000013</v>
      </c>
      <c r="J82" s="64">
        <f t="shared" si="44"/>
        <v>707.2886970000003</v>
      </c>
      <c r="K82" s="64">
        <f t="shared" si="44"/>
        <v>677.84015772000009</v>
      </c>
      <c r="L82" s="64">
        <f t="shared" si="44"/>
        <v>727.59134519999952</v>
      </c>
      <c r="M82" s="64">
        <f t="shared" si="44"/>
        <v>609.62852592000002</v>
      </c>
      <c r="N82" s="64">
        <f t="shared" si="44"/>
        <v>432.88553592000011</v>
      </c>
      <c r="O82" s="64">
        <f t="shared" si="44"/>
        <v>427.07306195999996</v>
      </c>
      <c r="P82" s="64">
        <f t="shared" si="44"/>
        <v>353.28739932000002</v>
      </c>
      <c r="Q82" s="64">
        <f t="shared" si="44"/>
        <v>400.33034280000004</v>
      </c>
      <c r="R82" s="64">
        <f t="shared" si="44"/>
        <v>467.89078860000006</v>
      </c>
      <c r="S82" s="64">
        <f t="shared" si="44"/>
        <v>371.16550475999981</v>
      </c>
      <c r="T82" s="64">
        <f t="shared" si="44"/>
        <v>355.5762760799999</v>
      </c>
      <c r="U82" s="64">
        <f t="shared" si="44"/>
        <v>341.60986475999999</v>
      </c>
      <c r="V82" s="64">
        <f t="shared" si="44"/>
        <v>333.35269919999996</v>
      </c>
      <c r="W82" s="64">
        <f t="shared" si="44"/>
        <v>252.33495227999987</v>
      </c>
      <c r="DA82" s="108" t="s">
        <v>232</v>
      </c>
    </row>
    <row r="83" spans="1:105" ht="12" customHeight="1" x14ac:dyDescent="0.25">
      <c r="A83" s="61" t="s">
        <v>32</v>
      </c>
      <c r="B83" s="65">
        <v>771.95295186790429</v>
      </c>
      <c r="C83" s="65">
        <v>1268.5131877876684</v>
      </c>
      <c r="D83" s="65">
        <v>1084.4996904054792</v>
      </c>
      <c r="E83" s="65">
        <v>749.51388364980994</v>
      </c>
      <c r="F83" s="65">
        <v>762.21863222171021</v>
      </c>
      <c r="G83" s="65">
        <v>657.33066142107816</v>
      </c>
      <c r="H83" s="65">
        <v>525.85613417260913</v>
      </c>
      <c r="I83" s="65">
        <v>321.01085205528705</v>
      </c>
      <c r="J83" s="65">
        <v>578.84825360616935</v>
      </c>
      <c r="K83" s="65">
        <v>542.26695326730396</v>
      </c>
      <c r="L83" s="65">
        <v>581.50038334655437</v>
      </c>
      <c r="M83" s="65">
        <v>505.90774102298417</v>
      </c>
      <c r="N83" s="65">
        <v>317.44542414030019</v>
      </c>
      <c r="O83" s="65">
        <v>326.78731191780895</v>
      </c>
      <c r="P83" s="65">
        <v>252.03390557751004</v>
      </c>
      <c r="Q83" s="65">
        <v>296.42866812683206</v>
      </c>
      <c r="R83" s="65">
        <v>359.96339257122759</v>
      </c>
      <c r="S83" s="65">
        <v>271.10367464669145</v>
      </c>
      <c r="T83" s="65">
        <v>246.02204140093139</v>
      </c>
      <c r="U83" s="65">
        <v>220.04350115526702</v>
      </c>
      <c r="V83" s="65">
        <v>226.52504651649519</v>
      </c>
      <c r="W83" s="65">
        <v>167.27399573569289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91.833276231522433</v>
      </c>
      <c r="C85" s="65">
        <v>89.97128638541912</v>
      </c>
      <c r="D85" s="65">
        <v>90.407155620390597</v>
      </c>
      <c r="E85" s="65">
        <v>95.76556355449479</v>
      </c>
      <c r="F85" s="65">
        <v>96.350500145997245</v>
      </c>
      <c r="G85" s="65">
        <v>96.073592231438539</v>
      </c>
      <c r="H85" s="65">
        <v>97.575884672356352</v>
      </c>
      <c r="I85" s="65">
        <v>101.52716887447966</v>
      </c>
      <c r="J85" s="65">
        <v>96.139137290295821</v>
      </c>
      <c r="K85" s="65">
        <v>95.400515701578172</v>
      </c>
      <c r="L85" s="65">
        <v>93.572403909130259</v>
      </c>
      <c r="M85" s="65">
        <v>78.928201817545343</v>
      </c>
      <c r="N85" s="65">
        <v>73.610524527679843</v>
      </c>
      <c r="O85" s="65">
        <v>64.272127931355129</v>
      </c>
      <c r="P85" s="65">
        <v>57.250421443641713</v>
      </c>
      <c r="Q85" s="65">
        <v>53.326266442158456</v>
      </c>
      <c r="R85" s="65">
        <v>55.772695539016006</v>
      </c>
      <c r="S85" s="65">
        <v>49.298854115823552</v>
      </c>
      <c r="T85" s="65">
        <v>58.294058664443014</v>
      </c>
      <c r="U85" s="65">
        <v>57.797936767395619</v>
      </c>
      <c r="V85" s="65">
        <v>53.046025710815236</v>
      </c>
      <c r="W85" s="65">
        <v>44.330746737417222</v>
      </c>
      <c r="DA85" s="109" t="s">
        <v>235</v>
      </c>
    </row>
    <row r="86" spans="1:105" ht="12" customHeight="1" x14ac:dyDescent="0.25">
      <c r="A86" s="66" t="s">
        <v>34</v>
      </c>
      <c r="B86" s="67">
        <v>73.606997820573156</v>
      </c>
      <c r="C86" s="67">
        <v>86.937060666911748</v>
      </c>
      <c r="D86" s="67">
        <v>52.404402294129937</v>
      </c>
      <c r="E86" s="67">
        <v>36.055026915695436</v>
      </c>
      <c r="F86" s="67">
        <v>39.463599392292423</v>
      </c>
      <c r="G86" s="67">
        <v>32.273213227483417</v>
      </c>
      <c r="H86" s="67">
        <v>21.652157915034618</v>
      </c>
      <c r="I86" s="67">
        <v>52.154227870233399</v>
      </c>
      <c r="J86" s="67">
        <v>32.301306103535168</v>
      </c>
      <c r="K86" s="67">
        <v>40.172688751118045</v>
      </c>
      <c r="L86" s="67">
        <v>52.518557944314892</v>
      </c>
      <c r="M86" s="67">
        <v>24.792583079470504</v>
      </c>
      <c r="N86" s="67">
        <v>41.829587252020062</v>
      </c>
      <c r="O86" s="67">
        <v>36.013622110835897</v>
      </c>
      <c r="P86" s="67">
        <v>44.003072298848281</v>
      </c>
      <c r="Q86" s="67">
        <v>50.575408231009511</v>
      </c>
      <c r="R86" s="67">
        <v>52.154700489756486</v>
      </c>
      <c r="S86" s="67">
        <v>50.762975997484823</v>
      </c>
      <c r="T86" s="67">
        <v>51.260176014625515</v>
      </c>
      <c r="U86" s="67">
        <v>63.768426837337373</v>
      </c>
      <c r="V86" s="67">
        <v>53.781626972689516</v>
      </c>
      <c r="W86" s="67">
        <v>40.730209806889732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0.82351027351437811</v>
      </c>
      <c r="C91" s="71">
        <f t="shared" ref="C91:W91" si="50">IF(C83=0,0,C83/C$81)</f>
        <v>0.87760778237477022</v>
      </c>
      <c r="D91" s="71">
        <f t="shared" si="50"/>
        <v>0.88363867917774919</v>
      </c>
      <c r="E91" s="71">
        <f t="shared" si="50"/>
        <v>0.85043068852853954</v>
      </c>
      <c r="F91" s="71">
        <f t="shared" si="50"/>
        <v>0.84876486709775512</v>
      </c>
      <c r="G91" s="71">
        <f t="shared" si="50"/>
        <v>0.83664186530816609</v>
      </c>
      <c r="H91" s="71">
        <f t="shared" si="50"/>
        <v>0.81517444252589522</v>
      </c>
      <c r="I91" s="71">
        <f t="shared" si="50"/>
        <v>0.67625046093924535</v>
      </c>
      <c r="J91" s="71">
        <f t="shared" si="50"/>
        <v>0.81840450167149936</v>
      </c>
      <c r="K91" s="71">
        <f t="shared" si="50"/>
        <v>0.7999923685419974</v>
      </c>
      <c r="L91" s="71">
        <f t="shared" si="50"/>
        <v>0.79921289221315872</v>
      </c>
      <c r="M91" s="71">
        <f t="shared" si="50"/>
        <v>0.82986231698969604</v>
      </c>
      <c r="N91" s="71">
        <f t="shared" si="50"/>
        <v>0.73332416493344343</v>
      </c>
      <c r="O91" s="71">
        <f t="shared" si="50"/>
        <v>0.76517893780998092</v>
      </c>
      <c r="P91" s="71">
        <f t="shared" si="50"/>
        <v>0.71339624923679557</v>
      </c>
      <c r="Q91" s="71">
        <f t="shared" si="50"/>
        <v>0.74046015611393234</v>
      </c>
      <c r="R91" s="71">
        <f t="shared" si="50"/>
        <v>0.76933207778740942</v>
      </c>
      <c r="S91" s="71">
        <f t="shared" si="50"/>
        <v>0.73041182752688838</v>
      </c>
      <c r="T91" s="71">
        <f t="shared" si="50"/>
        <v>0.69189667014111966</v>
      </c>
      <c r="U91" s="71">
        <f t="shared" si="50"/>
        <v>0.64413684689656103</v>
      </c>
      <c r="V91" s="71">
        <f t="shared" si="50"/>
        <v>0.67953566015851607</v>
      </c>
      <c r="W91" s="71">
        <f t="shared" si="50"/>
        <v>0.66290458069431335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9.7966652299405224E-2</v>
      </c>
      <c r="C93" s="72">
        <f t="shared" ref="C93:W93" si="54">IF(C85=0,0,C85/C$81)</f>
        <v>6.224570771693843E-2</v>
      </c>
      <c r="D93" s="72">
        <f t="shared" si="54"/>
        <v>7.3662777672855256E-2</v>
      </c>
      <c r="E93" s="72">
        <f t="shared" si="54"/>
        <v>0.10865972722798044</v>
      </c>
      <c r="F93" s="72">
        <f t="shared" si="54"/>
        <v>0.10729063288947804</v>
      </c>
      <c r="G93" s="72">
        <f t="shared" si="54"/>
        <v>0.12228121116029445</v>
      </c>
      <c r="H93" s="72">
        <f t="shared" si="54"/>
        <v>0.15126070083200771</v>
      </c>
      <c r="I93" s="72">
        <f t="shared" si="54"/>
        <v>0.2138799804107516</v>
      </c>
      <c r="J93" s="72">
        <f t="shared" si="54"/>
        <v>0.13592630236857267</v>
      </c>
      <c r="K93" s="72">
        <f t="shared" si="54"/>
        <v>0.14074190591255276</v>
      </c>
      <c r="L93" s="72">
        <f t="shared" si="54"/>
        <v>0.12860571325708825</v>
      </c>
      <c r="M93" s="72">
        <f t="shared" si="54"/>
        <v>0.12946933823090637</v>
      </c>
      <c r="N93" s="72">
        <f t="shared" si="54"/>
        <v>0.17004616329172872</v>
      </c>
      <c r="O93" s="72">
        <f t="shared" si="54"/>
        <v>0.15049445553036289</v>
      </c>
      <c r="P93" s="72">
        <f t="shared" si="54"/>
        <v>0.16205056153668682</v>
      </c>
      <c r="Q93" s="72">
        <f t="shared" si="54"/>
        <v>0.13320565728089109</v>
      </c>
      <c r="R93" s="72">
        <f t="shared" si="54"/>
        <v>0.11920024265896821</v>
      </c>
      <c r="S93" s="72">
        <f t="shared" si="54"/>
        <v>0.13282175601878951</v>
      </c>
      <c r="T93" s="72">
        <f t="shared" si="54"/>
        <v>0.16394248600355901</v>
      </c>
      <c r="U93" s="72">
        <f t="shared" si="54"/>
        <v>0.16919282119678217</v>
      </c>
      <c r="V93" s="72">
        <f t="shared" si="54"/>
        <v>0.15912883212920823</v>
      </c>
      <c r="W93" s="72">
        <f t="shared" si="54"/>
        <v>0.17568214921025385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7.8523074186216721E-2</v>
      </c>
      <c r="C94" s="73">
        <f t="shared" ref="C94:W94" si="56">IF(C86=0,0,C86/C$81)</f>
        <v>6.014650990829138E-2</v>
      </c>
      <c r="D94" s="73">
        <f t="shared" si="56"/>
        <v>4.2698543149395474E-2</v>
      </c>
      <c r="E94" s="73">
        <f t="shared" si="56"/>
        <v>4.0909584243480165E-2</v>
      </c>
      <c r="F94" s="73">
        <f t="shared" si="56"/>
        <v>4.3944500012766917E-2</v>
      </c>
      <c r="G94" s="73">
        <f t="shared" si="56"/>
        <v>4.1076923531539494E-2</v>
      </c>
      <c r="H94" s="73">
        <f t="shared" si="56"/>
        <v>3.3564856642097081E-2</v>
      </c>
      <c r="I94" s="73">
        <f t="shared" si="56"/>
        <v>0.10986955865000293</v>
      </c>
      <c r="J94" s="73">
        <f t="shared" si="56"/>
        <v>4.5669195959928022E-2</v>
      </c>
      <c r="K94" s="73">
        <f t="shared" si="56"/>
        <v>5.9265725545449968E-2</v>
      </c>
      <c r="L94" s="73">
        <f t="shared" si="56"/>
        <v>7.2181394529753029E-2</v>
      </c>
      <c r="M94" s="73">
        <f t="shared" si="56"/>
        <v>4.0668344779397625E-2</v>
      </c>
      <c r="N94" s="73">
        <f t="shared" si="56"/>
        <v>9.6629671774827855E-2</v>
      </c>
      <c r="O94" s="73">
        <f t="shared" si="56"/>
        <v>8.4326606659656203E-2</v>
      </c>
      <c r="P94" s="73">
        <f t="shared" si="56"/>
        <v>0.12455318922651769</v>
      </c>
      <c r="Q94" s="73">
        <f t="shared" si="56"/>
        <v>0.12633418660517656</v>
      </c>
      <c r="R94" s="73">
        <f t="shared" si="56"/>
        <v>0.1114676795536224</v>
      </c>
      <c r="S94" s="73">
        <f t="shared" si="56"/>
        <v>0.13676641645432214</v>
      </c>
      <c r="T94" s="73">
        <f t="shared" si="56"/>
        <v>0.14416084385532138</v>
      </c>
      <c r="U94" s="73">
        <f t="shared" si="56"/>
        <v>0.18667033190665688</v>
      </c>
      <c r="V94" s="73">
        <f t="shared" si="56"/>
        <v>0.1613355077122757</v>
      </c>
      <c r="W94" s="73">
        <f t="shared" si="56"/>
        <v>0.16141327009543266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331377.98900204996</v>
      </c>
      <c r="C99" s="82">
        <f t="shared" ref="C99:W99" si="60">C47*11630*1000/C$8</f>
        <v>426126.42485099693</v>
      </c>
      <c r="D99" s="82">
        <f t="shared" si="60"/>
        <v>397738.90826860204</v>
      </c>
      <c r="E99" s="82">
        <f t="shared" si="60"/>
        <v>275201.13062532007</v>
      </c>
      <c r="F99" s="82">
        <f t="shared" si="60"/>
        <v>285181.41856532206</v>
      </c>
      <c r="G99" s="82">
        <f t="shared" si="60"/>
        <v>242816.53914035615</v>
      </c>
      <c r="H99" s="82">
        <f t="shared" si="60"/>
        <v>212763.01301791301</v>
      </c>
      <c r="I99" s="82">
        <f t="shared" si="60"/>
        <v>175329.27735671654</v>
      </c>
      <c r="J99" s="82">
        <f t="shared" si="60"/>
        <v>220108.23351858216</v>
      </c>
      <c r="K99" s="82">
        <f t="shared" si="60"/>
        <v>216249.25160355904</v>
      </c>
      <c r="L99" s="82">
        <f t="shared" si="60"/>
        <v>233097.12521075993</v>
      </c>
      <c r="M99" s="82">
        <f t="shared" si="60"/>
        <v>226200.9254067791</v>
      </c>
      <c r="N99" s="82">
        <f t="shared" si="60"/>
        <v>196313.4468222057</v>
      </c>
      <c r="O99" s="82">
        <f t="shared" si="60"/>
        <v>199709.60023180419</v>
      </c>
      <c r="P99" s="82">
        <f t="shared" si="60"/>
        <v>180661.55308972782</v>
      </c>
      <c r="Q99" s="82">
        <f t="shared" si="60"/>
        <v>190543.34404076467</v>
      </c>
      <c r="R99" s="82">
        <f t="shared" si="60"/>
        <v>202133.51200647</v>
      </c>
      <c r="S99" s="82">
        <f t="shared" si="60"/>
        <v>195321.27632863019</v>
      </c>
      <c r="T99" s="82">
        <f t="shared" si="60"/>
        <v>192392.84144868967</v>
      </c>
      <c r="U99" s="82">
        <f t="shared" si="60"/>
        <v>183724.17839486754</v>
      </c>
      <c r="V99" s="82">
        <f t="shared" si="60"/>
        <v>167044.5787939869</v>
      </c>
      <c r="W99" s="82">
        <f t="shared" si="60"/>
        <v>163840.64598454724</v>
      </c>
      <c r="DA99" s="107"/>
    </row>
    <row r="100" spans="1:105" ht="12" customHeight="1" x14ac:dyDescent="0.25">
      <c r="A100" s="77" t="s">
        <v>36</v>
      </c>
      <c r="B100" s="64">
        <f t="shared" si="59"/>
        <v>282572.90198534995</v>
      </c>
      <c r="C100" s="64">
        <f t="shared" ref="C100:W100" si="61">C48*11630*1000/C$8</f>
        <v>376454.183122641</v>
      </c>
      <c r="D100" s="64">
        <f t="shared" si="61"/>
        <v>347045.42670690088</v>
      </c>
      <c r="E100" s="64">
        <f t="shared" si="61"/>
        <v>224541.83165120313</v>
      </c>
      <c r="F100" s="64">
        <f t="shared" si="61"/>
        <v>233768.50675795527</v>
      </c>
      <c r="G100" s="64">
        <f t="shared" si="61"/>
        <v>191040.15450487487</v>
      </c>
      <c r="H100" s="64">
        <f t="shared" si="61"/>
        <v>160858.90675678072</v>
      </c>
      <c r="I100" s="64">
        <f t="shared" si="61"/>
        <v>123667.49154912443</v>
      </c>
      <c r="J100" s="64">
        <f t="shared" si="61"/>
        <v>167531.86976243617</v>
      </c>
      <c r="K100" s="64">
        <f t="shared" si="61"/>
        <v>163107.91908345118</v>
      </c>
      <c r="L100" s="64">
        <f t="shared" si="61"/>
        <v>179385.01997008084</v>
      </c>
      <c r="M100" s="64">
        <f t="shared" si="61"/>
        <v>171985.46004294732</v>
      </c>
      <c r="N100" s="64">
        <f t="shared" si="61"/>
        <v>141824.09525862616</v>
      </c>
      <c r="O100" s="64">
        <f t="shared" si="61"/>
        <v>144523.1630272764</v>
      </c>
      <c r="P100" s="64">
        <f t="shared" si="61"/>
        <v>125070.41300820354</v>
      </c>
      <c r="Q100" s="64">
        <f t="shared" si="61"/>
        <v>134157.62836479407</v>
      </c>
      <c r="R100" s="64">
        <f t="shared" si="61"/>
        <v>145312.77592341023</v>
      </c>
      <c r="S100" s="64">
        <f t="shared" si="61"/>
        <v>140245.43301567127</v>
      </c>
      <c r="T100" s="64">
        <f t="shared" si="61"/>
        <v>138045.22640667242</v>
      </c>
      <c r="U100" s="64">
        <f t="shared" si="61"/>
        <v>130329.04831102924</v>
      </c>
      <c r="V100" s="64">
        <f t="shared" si="61"/>
        <v>118375.45762229709</v>
      </c>
      <c r="W100" s="64">
        <f t="shared" si="61"/>
        <v>115050.54624393723</v>
      </c>
      <c r="DA100" s="108"/>
    </row>
    <row r="101" spans="1:105" ht="12" customHeight="1" x14ac:dyDescent="0.25">
      <c r="A101" s="61" t="s">
        <v>32</v>
      </c>
      <c r="B101" s="65">
        <f t="shared" si="59"/>
        <v>235010.88436802168</v>
      </c>
      <c r="C101" s="65">
        <f t="shared" ref="C101:W101" si="62">C49*11630*1000/C$8</f>
        <v>328090.09024845535</v>
      </c>
      <c r="D101" s="65">
        <f t="shared" si="62"/>
        <v>301377.5214562898</v>
      </c>
      <c r="E101" s="65">
        <f t="shared" si="62"/>
        <v>179904.59779098458</v>
      </c>
      <c r="F101" s="65">
        <f t="shared" si="62"/>
        <v>190547.36347651659</v>
      </c>
      <c r="G101" s="65">
        <f t="shared" si="62"/>
        <v>148650.30222691022</v>
      </c>
      <c r="H101" s="65">
        <f t="shared" si="62"/>
        <v>119556.77528953853</v>
      </c>
      <c r="I101" s="65">
        <f t="shared" si="62"/>
        <v>82380.097382025051</v>
      </c>
      <c r="J101" s="65">
        <f t="shared" si="62"/>
        <v>128193.49226844683</v>
      </c>
      <c r="K101" s="65">
        <f t="shared" si="62"/>
        <v>122970.22519627286</v>
      </c>
      <c r="L101" s="65">
        <f t="shared" si="62"/>
        <v>138407.5655954401</v>
      </c>
      <c r="M101" s="65">
        <f t="shared" si="62"/>
        <v>132323.86857638168</v>
      </c>
      <c r="N101" s="65">
        <f t="shared" si="62"/>
        <v>100603.861401189</v>
      </c>
      <c r="O101" s="65">
        <f t="shared" si="62"/>
        <v>103481.69707996657</v>
      </c>
      <c r="P101" s="65">
        <f t="shared" si="62"/>
        <v>83827.97405329498</v>
      </c>
      <c r="Q101" s="65">
        <f t="shared" si="62"/>
        <v>91017.440598728674</v>
      </c>
      <c r="R101" s="65">
        <f t="shared" si="62"/>
        <v>102036.19589306654</v>
      </c>
      <c r="S101" s="65">
        <f t="shared" si="62"/>
        <v>96913.267894797085</v>
      </c>
      <c r="T101" s="65">
        <f t="shared" si="62"/>
        <v>95383.140680962635</v>
      </c>
      <c r="U101" s="65">
        <f t="shared" si="62"/>
        <v>87036.70895527002</v>
      </c>
      <c r="V101" s="65">
        <f t="shared" si="62"/>
        <v>77833.142510233723</v>
      </c>
      <c r="W101" s="65">
        <f t="shared" si="62"/>
        <v>75033.352177521214</v>
      </c>
      <c r="DA101" s="109"/>
    </row>
    <row r="102" spans="1:105" ht="12" customHeight="1" x14ac:dyDescent="0.25">
      <c r="A102" s="61" t="s">
        <v>31</v>
      </c>
      <c r="B102" s="65">
        <f t="shared" si="59"/>
        <v>1959.4312048717447</v>
      </c>
      <c r="C102" s="65">
        <f t="shared" ref="C102:W102" si="63">C50*11630*1000/C$8</f>
        <v>1934.0035422087622</v>
      </c>
      <c r="D102" s="65">
        <f t="shared" si="63"/>
        <v>1972.8920952122339</v>
      </c>
      <c r="E102" s="65">
        <f t="shared" si="63"/>
        <v>2526.9727589242771</v>
      </c>
      <c r="F102" s="65">
        <f t="shared" si="63"/>
        <v>2002.7269003006536</v>
      </c>
      <c r="G102" s="65">
        <f t="shared" si="63"/>
        <v>2045.9314320802455</v>
      </c>
      <c r="H102" s="65">
        <f t="shared" si="63"/>
        <v>2253.6392486669938</v>
      </c>
      <c r="I102" s="65">
        <f t="shared" si="63"/>
        <v>2221.8205982831482</v>
      </c>
      <c r="J102" s="65">
        <f t="shared" si="63"/>
        <v>2232.1681703418449</v>
      </c>
      <c r="K102" s="65">
        <f t="shared" si="63"/>
        <v>2279.2663837475448</v>
      </c>
      <c r="L102" s="65">
        <f t="shared" si="63"/>
        <v>2455.9730026942007</v>
      </c>
      <c r="M102" s="65">
        <f t="shared" si="63"/>
        <v>2479.1822021132302</v>
      </c>
      <c r="N102" s="65">
        <f t="shared" si="63"/>
        <v>2789.9210931834496</v>
      </c>
      <c r="O102" s="65">
        <f t="shared" si="63"/>
        <v>2883.8945775277029</v>
      </c>
      <c r="P102" s="65">
        <f t="shared" si="63"/>
        <v>2315.2615371365105</v>
      </c>
      <c r="Q102" s="65">
        <f t="shared" si="63"/>
        <v>2823.1022138008234</v>
      </c>
      <c r="R102" s="65">
        <f t="shared" si="63"/>
        <v>2287.7797635468396</v>
      </c>
      <c r="S102" s="65">
        <f t="shared" si="63"/>
        <v>2653.5965917286685</v>
      </c>
      <c r="T102" s="65">
        <f t="shared" si="63"/>
        <v>2259.3948799563232</v>
      </c>
      <c r="U102" s="65">
        <f t="shared" si="63"/>
        <v>2364.4000451508978</v>
      </c>
      <c r="V102" s="65">
        <f t="shared" si="63"/>
        <v>2044.347224547729</v>
      </c>
      <c r="W102" s="65">
        <f t="shared" si="63"/>
        <v>2214.7681093007814</v>
      </c>
      <c r="DA102" s="109"/>
    </row>
    <row r="103" spans="1:105" ht="12" customHeight="1" x14ac:dyDescent="0.25">
      <c r="A103" s="61" t="s">
        <v>35</v>
      </c>
      <c r="B103" s="65">
        <f t="shared" si="59"/>
        <v>22106.065604346561</v>
      </c>
      <c r="C103" s="65">
        <f t="shared" ref="C103:W103" si="64">C51*11630*1000/C$8</f>
        <v>21494.041254384942</v>
      </c>
      <c r="D103" s="65">
        <f t="shared" si="64"/>
        <v>21020.96328161798</v>
      </c>
      <c r="E103" s="65">
        <f t="shared" si="64"/>
        <v>20996.228872060517</v>
      </c>
      <c r="F103" s="65">
        <f t="shared" si="64"/>
        <v>20518.743969352046</v>
      </c>
      <c r="G103" s="65">
        <f t="shared" si="64"/>
        <v>20330.805649354159</v>
      </c>
      <c r="H103" s="65">
        <f t="shared" si="64"/>
        <v>19891.07730055357</v>
      </c>
      <c r="I103" s="65">
        <f t="shared" si="64"/>
        <v>19391.432015843937</v>
      </c>
      <c r="J103" s="65">
        <f t="shared" si="64"/>
        <v>18946.805681048379</v>
      </c>
      <c r="K103" s="65">
        <f t="shared" si="64"/>
        <v>19162.709430440311</v>
      </c>
      <c r="L103" s="65">
        <f t="shared" si="64"/>
        <v>19250.404572844058</v>
      </c>
      <c r="M103" s="65">
        <f t="shared" si="64"/>
        <v>18700.981842155743</v>
      </c>
      <c r="N103" s="65">
        <f t="shared" si="64"/>
        <v>18718.135743096671</v>
      </c>
      <c r="O103" s="65">
        <f t="shared" si="64"/>
        <v>18622.381305769482</v>
      </c>
      <c r="P103" s="65">
        <f t="shared" si="64"/>
        <v>18764.376345418881</v>
      </c>
      <c r="Q103" s="65">
        <f t="shared" si="64"/>
        <v>18960.306561327412</v>
      </c>
      <c r="R103" s="65">
        <f t="shared" si="64"/>
        <v>19133.896659144033</v>
      </c>
      <c r="S103" s="65">
        <f t="shared" si="64"/>
        <v>18646.613205297435</v>
      </c>
      <c r="T103" s="65">
        <f t="shared" si="64"/>
        <v>18304.115050717744</v>
      </c>
      <c r="U103" s="65">
        <f t="shared" si="64"/>
        <v>18239.15320602859</v>
      </c>
      <c r="V103" s="65">
        <f t="shared" si="64"/>
        <v>17399.548217183939</v>
      </c>
      <c r="W103" s="65">
        <f t="shared" si="64"/>
        <v>17201.284479473314</v>
      </c>
      <c r="DA103" s="109"/>
    </row>
    <row r="104" spans="1:105" ht="12" customHeight="1" x14ac:dyDescent="0.25">
      <c r="A104" s="66" t="s">
        <v>34</v>
      </c>
      <c r="B104" s="67">
        <f t="shared" si="59"/>
        <v>23496.520808109981</v>
      </c>
      <c r="C104" s="67">
        <f t="shared" ref="C104:W104" si="65">C52*11630*1000/C$8</f>
        <v>24936.048077591899</v>
      </c>
      <c r="D104" s="67">
        <f t="shared" si="65"/>
        <v>22674.049873780892</v>
      </c>
      <c r="E104" s="67">
        <f t="shared" si="65"/>
        <v>21114.032229233777</v>
      </c>
      <c r="F104" s="67">
        <f t="shared" si="65"/>
        <v>20699.672411786014</v>
      </c>
      <c r="G104" s="67">
        <f t="shared" si="65"/>
        <v>20013.115196530274</v>
      </c>
      <c r="H104" s="67">
        <f t="shared" si="65"/>
        <v>19157.414918021626</v>
      </c>
      <c r="I104" s="67">
        <f t="shared" si="65"/>
        <v>19674.141552972276</v>
      </c>
      <c r="J104" s="67">
        <f t="shared" si="65"/>
        <v>18159.403642599114</v>
      </c>
      <c r="K104" s="67">
        <f t="shared" si="65"/>
        <v>18695.718072990443</v>
      </c>
      <c r="L104" s="67">
        <f t="shared" si="65"/>
        <v>19271.076799102542</v>
      </c>
      <c r="M104" s="67">
        <f t="shared" si="65"/>
        <v>18481.427422296681</v>
      </c>
      <c r="N104" s="67">
        <f t="shared" si="65"/>
        <v>19712.177021157004</v>
      </c>
      <c r="O104" s="67">
        <f t="shared" si="65"/>
        <v>19535.190064012666</v>
      </c>
      <c r="P104" s="67">
        <f t="shared" si="65"/>
        <v>20162.801072353162</v>
      </c>
      <c r="Q104" s="67">
        <f t="shared" si="65"/>
        <v>21356.77899093716</v>
      </c>
      <c r="R104" s="67">
        <f t="shared" si="65"/>
        <v>21854.903607652774</v>
      </c>
      <c r="S104" s="67">
        <f t="shared" si="65"/>
        <v>22031.955323848091</v>
      </c>
      <c r="T104" s="67">
        <f t="shared" si="65"/>
        <v>22098.575795035704</v>
      </c>
      <c r="U104" s="67">
        <f t="shared" si="65"/>
        <v>22688.786104579758</v>
      </c>
      <c r="V104" s="67">
        <f t="shared" si="65"/>
        <v>21098.419670331717</v>
      </c>
      <c r="W104" s="67">
        <f t="shared" si="65"/>
        <v>20601.14147764193</v>
      </c>
      <c r="DA104" s="110"/>
    </row>
    <row r="105" spans="1:105" ht="12" customHeight="1" x14ac:dyDescent="0.25">
      <c r="A105" s="78" t="s">
        <v>33</v>
      </c>
      <c r="B105" s="68">
        <f t="shared" si="59"/>
        <v>48805.087016700025</v>
      </c>
      <c r="C105" s="68">
        <f t="shared" ref="C105:W105" si="66">C53*11630*1000/C$8</f>
        <v>49672.241728355948</v>
      </c>
      <c r="D105" s="68">
        <f t="shared" si="66"/>
        <v>50693.481561701112</v>
      </c>
      <c r="E105" s="68">
        <f t="shared" si="66"/>
        <v>50659.298974116937</v>
      </c>
      <c r="F105" s="68">
        <f t="shared" si="66"/>
        <v>51412.911807366727</v>
      </c>
      <c r="G105" s="68">
        <f t="shared" si="66"/>
        <v>51776.384635481263</v>
      </c>
      <c r="H105" s="68">
        <f t="shared" si="66"/>
        <v>51904.10626113227</v>
      </c>
      <c r="I105" s="68">
        <f t="shared" si="66"/>
        <v>51661.785807592118</v>
      </c>
      <c r="J105" s="68">
        <f t="shared" si="66"/>
        <v>52576.363756146005</v>
      </c>
      <c r="K105" s="68">
        <f t="shared" si="66"/>
        <v>53141.332520107833</v>
      </c>
      <c r="L105" s="68">
        <f t="shared" si="66"/>
        <v>53712.105240679091</v>
      </c>
      <c r="M105" s="68">
        <f t="shared" si="66"/>
        <v>54215.465363831783</v>
      </c>
      <c r="N105" s="68">
        <f t="shared" si="66"/>
        <v>54489.351563579607</v>
      </c>
      <c r="O105" s="68">
        <f t="shared" si="66"/>
        <v>55186.437204527771</v>
      </c>
      <c r="P105" s="68">
        <f t="shared" si="66"/>
        <v>55591.140081524267</v>
      </c>
      <c r="Q105" s="68">
        <f t="shared" si="66"/>
        <v>56385.715675970605</v>
      </c>
      <c r="R105" s="68">
        <f t="shared" si="66"/>
        <v>56820.736083059812</v>
      </c>
      <c r="S105" s="68">
        <f t="shared" si="66"/>
        <v>55075.843312958939</v>
      </c>
      <c r="T105" s="68">
        <f t="shared" si="66"/>
        <v>54347.615042017227</v>
      </c>
      <c r="U105" s="68">
        <f t="shared" si="66"/>
        <v>53395.130083838339</v>
      </c>
      <c r="V105" s="68">
        <f t="shared" si="66"/>
        <v>48669.121171689811</v>
      </c>
      <c r="W105" s="68">
        <f t="shared" si="66"/>
        <v>48790.099740609992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168784.63390352417</v>
      </c>
      <c r="C107" s="85">
        <f t="shared" ref="C107:W107" si="68">SUM(C108:C111)</f>
        <v>217168.68847245874</v>
      </c>
      <c r="D107" s="85">
        <f t="shared" si="68"/>
        <v>209087.27438532069</v>
      </c>
      <c r="E107" s="85">
        <f t="shared" si="68"/>
        <v>135688.56716512336</v>
      </c>
      <c r="F107" s="85">
        <f t="shared" si="68"/>
        <v>143870.07343562716</v>
      </c>
      <c r="G107" s="85">
        <f t="shared" si="68"/>
        <v>118252.66516412099</v>
      </c>
      <c r="H107" s="85">
        <f t="shared" si="68"/>
        <v>103683.92535786776</v>
      </c>
      <c r="I107" s="85">
        <f t="shared" si="68"/>
        <v>83011.913698094548</v>
      </c>
      <c r="J107" s="85">
        <f t="shared" si="68"/>
        <v>110366.08417332228</v>
      </c>
      <c r="K107" s="85">
        <f t="shared" si="68"/>
        <v>109355.38186639055</v>
      </c>
      <c r="L107" s="85">
        <f t="shared" si="68"/>
        <v>122827.62719682566</v>
      </c>
      <c r="M107" s="85">
        <f t="shared" si="68"/>
        <v>122261.59874507907</v>
      </c>
      <c r="N107" s="85">
        <f t="shared" si="68"/>
        <v>105164.72123505114</v>
      </c>
      <c r="O107" s="85">
        <f t="shared" si="68"/>
        <v>109236.32125700457</v>
      </c>
      <c r="P107" s="85">
        <f t="shared" si="68"/>
        <v>95372.711581525204</v>
      </c>
      <c r="Q107" s="85">
        <f t="shared" si="68"/>
        <v>103511.36857221158</v>
      </c>
      <c r="R107" s="85">
        <f t="shared" si="68"/>
        <v>110946.61419694911</v>
      </c>
      <c r="S107" s="85">
        <f t="shared" si="68"/>
        <v>112016.70379019729</v>
      </c>
      <c r="T107" s="85">
        <f t="shared" si="68"/>
        <v>111367.81102628318</v>
      </c>
      <c r="U107" s="85">
        <f t="shared" si="68"/>
        <v>107285.48581545598</v>
      </c>
      <c r="V107" s="85">
        <f t="shared" si="68"/>
        <v>98332.352382214158</v>
      </c>
      <c r="W107" s="85">
        <f t="shared" si="68"/>
        <v>99374.809204330493</v>
      </c>
      <c r="DA107" s="117"/>
    </row>
    <row r="108" spans="1:105" ht="12" customHeight="1" x14ac:dyDescent="0.25">
      <c r="A108" s="61" t="s">
        <v>32</v>
      </c>
      <c r="B108" s="65">
        <v>137024.1970136395</v>
      </c>
      <c r="C108" s="65">
        <v>184895.37471970805</v>
      </c>
      <c r="D108" s="65">
        <v>177112.21954376227</v>
      </c>
      <c r="E108" s="65">
        <v>103067.29096296769</v>
      </c>
      <c r="F108" s="65">
        <v>112709.30162166804</v>
      </c>
      <c r="G108" s="65">
        <v>87052.3187660697</v>
      </c>
      <c r="H108" s="65">
        <v>72222.319571121872</v>
      </c>
      <c r="I108" s="65">
        <v>52141.70479385792</v>
      </c>
      <c r="J108" s="65">
        <v>79811.948339678827</v>
      </c>
      <c r="K108" s="65">
        <v>78133.54247626655</v>
      </c>
      <c r="L108" s="65">
        <v>90691.368150724433</v>
      </c>
      <c r="M108" s="65">
        <v>89603.030536763603</v>
      </c>
      <c r="N108" s="65">
        <v>70768.571040666371</v>
      </c>
      <c r="O108" s="65">
        <v>73990.135890844715</v>
      </c>
      <c r="P108" s="65">
        <v>60817.712258809683</v>
      </c>
      <c r="Q108" s="65">
        <v>66058.810142326067</v>
      </c>
      <c r="R108" s="65">
        <v>74197.980735329169</v>
      </c>
      <c r="S108" s="65">
        <v>73488.207394241792</v>
      </c>
      <c r="T108" s="65">
        <v>73769.868561752461</v>
      </c>
      <c r="U108" s="65">
        <v>68706.445024079265</v>
      </c>
      <c r="V108" s="65">
        <v>61834.381953701857</v>
      </c>
      <c r="W108" s="65">
        <v>61662.802387004158</v>
      </c>
      <c r="DA108" s="109"/>
    </row>
    <row r="109" spans="1:105" ht="12" customHeight="1" x14ac:dyDescent="0.25">
      <c r="A109" s="61" t="s">
        <v>31</v>
      </c>
      <c r="B109" s="65">
        <v>3439.8814760295686</v>
      </c>
      <c r="C109" s="65">
        <v>3516.2780839773632</v>
      </c>
      <c r="D109" s="65">
        <v>3748.7328558740273</v>
      </c>
      <c r="E109" s="65">
        <v>4993.9043680426357</v>
      </c>
      <c r="F109" s="65">
        <v>4128.7661198442092</v>
      </c>
      <c r="G109" s="65">
        <v>4399.3816752829753</v>
      </c>
      <c r="H109" s="65">
        <v>5080.7997543520751</v>
      </c>
      <c r="I109" s="65">
        <v>5251.2806503139091</v>
      </c>
      <c r="J109" s="65">
        <v>5518.633579995364</v>
      </c>
      <c r="K109" s="65">
        <v>5712.650324536783</v>
      </c>
      <c r="L109" s="65">
        <v>6283.4657770852618</v>
      </c>
      <c r="M109" s="65">
        <v>6517.0705915763474</v>
      </c>
      <c r="N109" s="65">
        <v>7538.0594914860139</v>
      </c>
      <c r="O109" s="65">
        <v>8028.1756619618709</v>
      </c>
      <c r="P109" s="65">
        <v>6664.9878054153214</v>
      </c>
      <c r="Q109" s="65">
        <v>8405.1688579185993</v>
      </c>
      <c r="R109" s="65">
        <v>7069.5825712988662</v>
      </c>
      <c r="S109" s="65">
        <v>8464.3725053427552</v>
      </c>
      <c r="T109" s="65">
        <v>7416.4947342630849</v>
      </c>
      <c r="U109" s="65">
        <v>7941.563202073934</v>
      </c>
      <c r="V109" s="65">
        <v>7037.6910632072222</v>
      </c>
      <c r="W109" s="65">
        <v>7804.7731162381451</v>
      </c>
      <c r="DA109" s="109"/>
    </row>
    <row r="110" spans="1:105" ht="12" customHeight="1" x14ac:dyDescent="0.25">
      <c r="A110" s="61" t="s">
        <v>35</v>
      </c>
      <c r="B110" s="65">
        <v>12812.490358955889</v>
      </c>
      <c r="C110" s="65">
        <v>12613.59821432563</v>
      </c>
      <c r="D110" s="65">
        <v>12359.202088015387</v>
      </c>
      <c r="E110" s="65">
        <v>12277.058810492766</v>
      </c>
      <c r="F110" s="65">
        <v>12057.669807765089</v>
      </c>
      <c r="G110" s="65">
        <v>12029.177312399073</v>
      </c>
      <c r="H110" s="65">
        <v>11811.646447549025</v>
      </c>
      <c r="I110" s="65">
        <v>11558.654898027826</v>
      </c>
      <c r="J110" s="65">
        <v>11462.747071691221</v>
      </c>
      <c r="K110" s="65">
        <v>11733.303011467118</v>
      </c>
      <c r="L110" s="65">
        <v>11954.785325605342</v>
      </c>
      <c r="M110" s="65">
        <v>11990.670535904046</v>
      </c>
      <c r="N110" s="65">
        <v>12232.43209341723</v>
      </c>
      <c r="O110" s="65">
        <v>12512.093610511505</v>
      </c>
      <c r="P110" s="65">
        <v>12887.787332026188</v>
      </c>
      <c r="Q110" s="65">
        <v>13217.793055643662</v>
      </c>
      <c r="R110" s="65">
        <v>13420.469553677347</v>
      </c>
      <c r="S110" s="65">
        <v>13483.74933646739</v>
      </c>
      <c r="T110" s="65">
        <v>13398.983722731793</v>
      </c>
      <c r="U110" s="65">
        <v>13627.596738686132</v>
      </c>
      <c r="V110" s="65">
        <v>13337.232488120515</v>
      </c>
      <c r="W110" s="65">
        <v>13603.262572175478</v>
      </c>
      <c r="DA110" s="109"/>
    </row>
    <row r="111" spans="1:105" ht="12" customHeight="1" x14ac:dyDescent="0.25">
      <c r="A111" s="74" t="s">
        <v>34</v>
      </c>
      <c r="B111" s="68">
        <v>15508.065054899191</v>
      </c>
      <c r="C111" s="68">
        <v>16143.43745444766</v>
      </c>
      <c r="D111" s="68">
        <v>15867.119897668996</v>
      </c>
      <c r="E111" s="68">
        <v>15350.313023620249</v>
      </c>
      <c r="F111" s="68">
        <v>14974.335886349803</v>
      </c>
      <c r="G111" s="68">
        <v>14771.787410369243</v>
      </c>
      <c r="H111" s="68">
        <v>14569.159584844789</v>
      </c>
      <c r="I111" s="68">
        <v>14060.273355894895</v>
      </c>
      <c r="J111" s="68">
        <v>13572.75518195686</v>
      </c>
      <c r="K111" s="68">
        <v>13775.886054120121</v>
      </c>
      <c r="L111" s="68">
        <v>13898.007943410632</v>
      </c>
      <c r="M111" s="68">
        <v>14150.827080835063</v>
      </c>
      <c r="N111" s="68">
        <v>14625.658609481536</v>
      </c>
      <c r="O111" s="68">
        <v>14705.916093686485</v>
      </c>
      <c r="P111" s="68">
        <v>15002.224185274008</v>
      </c>
      <c r="Q111" s="68">
        <v>15829.596516323245</v>
      </c>
      <c r="R111" s="68">
        <v>16258.581336643743</v>
      </c>
      <c r="S111" s="68">
        <v>16580.374554145354</v>
      </c>
      <c r="T111" s="68">
        <v>16782.464007535833</v>
      </c>
      <c r="U111" s="68">
        <v>17009.88085061665</v>
      </c>
      <c r="V111" s="68">
        <v>16123.046877184561</v>
      </c>
      <c r="W111" s="68">
        <v>16303.971128912723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45855.865104346791</v>
      </c>
      <c r="C113" s="82">
        <f t="shared" ref="C113:W113" si="70">C81*1000000/C$8</f>
        <v>68893.657781019108</v>
      </c>
      <c r="D113" s="82">
        <f t="shared" si="70"/>
        <v>56417.526935753507</v>
      </c>
      <c r="E113" s="82">
        <f t="shared" si="70"/>
        <v>39515.010967186194</v>
      </c>
      <c r="F113" s="82">
        <f t="shared" si="70"/>
        <v>38777.572127605425</v>
      </c>
      <c r="G113" s="82">
        <f t="shared" si="70"/>
        <v>32856.918559890357</v>
      </c>
      <c r="H113" s="82">
        <f t="shared" si="70"/>
        <v>25661.674205799547</v>
      </c>
      <c r="I113" s="82">
        <f t="shared" si="70"/>
        <v>17786.808837756533</v>
      </c>
      <c r="J113" s="82">
        <f t="shared" si="70"/>
        <v>25678.419445840838</v>
      </c>
      <c r="K113" s="82">
        <f t="shared" si="70"/>
        <v>24377.582311027127</v>
      </c>
      <c r="L113" s="82">
        <f t="shared" si="70"/>
        <v>25899.083785540486</v>
      </c>
      <c r="M113" s="82">
        <f t="shared" si="70"/>
        <v>21573.059834295735</v>
      </c>
      <c r="N113" s="82">
        <f t="shared" si="70"/>
        <v>15283.170451652741</v>
      </c>
      <c r="O113" s="82">
        <f t="shared" si="70"/>
        <v>15022.397174827698</v>
      </c>
      <c r="P113" s="82">
        <f t="shared" si="70"/>
        <v>12268.787877037068</v>
      </c>
      <c r="Q113" s="82">
        <f t="shared" si="70"/>
        <v>13783.400801778043</v>
      </c>
      <c r="R113" s="82">
        <f t="shared" si="70"/>
        <v>15935.092172452392</v>
      </c>
      <c r="S113" s="82">
        <f t="shared" si="70"/>
        <v>12452.210404668456</v>
      </c>
      <c r="T113" s="82">
        <f t="shared" si="70"/>
        <v>11750.19773119405</v>
      </c>
      <c r="U113" s="82">
        <f t="shared" si="70"/>
        <v>11149.271402127226</v>
      </c>
      <c r="V113" s="82">
        <f t="shared" si="70"/>
        <v>10764.816569391267</v>
      </c>
      <c r="W113" s="82">
        <f t="shared" si="70"/>
        <v>8070.7152399095212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45855.865104346791</v>
      </c>
      <c r="C114" s="64">
        <f t="shared" ref="C114:W114" si="72">C82*1000000/C$8</f>
        <v>68893.657781019108</v>
      </c>
      <c r="D114" s="64">
        <f t="shared" si="72"/>
        <v>56417.526935753507</v>
      </c>
      <c r="E114" s="64">
        <f t="shared" si="72"/>
        <v>39515.010967186194</v>
      </c>
      <c r="F114" s="64">
        <f t="shared" si="72"/>
        <v>38777.572127605425</v>
      </c>
      <c r="G114" s="64">
        <f t="shared" si="72"/>
        <v>32856.918559890357</v>
      </c>
      <c r="H114" s="64">
        <f t="shared" si="72"/>
        <v>25661.674205799547</v>
      </c>
      <c r="I114" s="64">
        <f t="shared" si="72"/>
        <v>17786.808837756533</v>
      </c>
      <c r="J114" s="64">
        <f t="shared" si="72"/>
        <v>25678.419445840838</v>
      </c>
      <c r="K114" s="64">
        <f t="shared" si="72"/>
        <v>24377.582311027127</v>
      </c>
      <c r="L114" s="64">
        <f t="shared" si="72"/>
        <v>25899.083785540486</v>
      </c>
      <c r="M114" s="64">
        <f t="shared" si="72"/>
        <v>21573.059834295735</v>
      </c>
      <c r="N114" s="64">
        <f t="shared" si="72"/>
        <v>15283.170451652741</v>
      </c>
      <c r="O114" s="64">
        <f t="shared" si="72"/>
        <v>15022.397174827698</v>
      </c>
      <c r="P114" s="64">
        <f t="shared" si="72"/>
        <v>12268.787877037068</v>
      </c>
      <c r="Q114" s="64">
        <f t="shared" si="72"/>
        <v>13783.400801778043</v>
      </c>
      <c r="R114" s="64">
        <f t="shared" si="72"/>
        <v>15935.092172452392</v>
      </c>
      <c r="S114" s="64">
        <f t="shared" si="72"/>
        <v>12452.210404668456</v>
      </c>
      <c r="T114" s="64">
        <f t="shared" si="72"/>
        <v>11750.19773119405</v>
      </c>
      <c r="U114" s="64">
        <f t="shared" si="72"/>
        <v>11149.271402127226</v>
      </c>
      <c r="V114" s="64">
        <f t="shared" si="72"/>
        <v>10764.816569391267</v>
      </c>
      <c r="W114" s="64">
        <f t="shared" si="72"/>
        <v>8070.7152399095212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37762.776014319054</v>
      </c>
      <c r="C115" s="65">
        <f t="shared" ref="C115:W115" si="74">C83*1000000/C$8</f>
        <v>60461.610224886514</v>
      </c>
      <c r="D115" s="65">
        <f t="shared" si="74"/>
        <v>49852.708983984325</v>
      </c>
      <c r="E115" s="65">
        <f t="shared" si="74"/>
        <v>33604.77798403694</v>
      </c>
      <c r="F115" s="65">
        <f t="shared" si="74"/>
        <v>32913.040853260623</v>
      </c>
      <c r="G115" s="65">
        <f t="shared" si="74"/>
        <v>27489.473632225174</v>
      </c>
      <c r="H115" s="65">
        <f t="shared" si="74"/>
        <v>20918.740964993791</v>
      </c>
      <c r="I115" s="65">
        <f t="shared" si="74"/>
        <v>12028.3376751711</v>
      </c>
      <c r="J115" s="65">
        <f t="shared" si="74"/>
        <v>21015.334070285113</v>
      </c>
      <c r="K115" s="65">
        <f t="shared" si="74"/>
        <v>19501.879812326089</v>
      </c>
      <c r="L115" s="65">
        <f t="shared" si="74"/>
        <v>20698.881657912734</v>
      </c>
      <c r="M115" s="65">
        <f t="shared" si="74"/>
        <v>17902.669418646004</v>
      </c>
      <c r="N115" s="65">
        <f t="shared" si="74"/>
        <v>11207.518208993723</v>
      </c>
      <c r="O115" s="65">
        <f t="shared" si="74"/>
        <v>11494.821913594316</v>
      </c>
      <c r="P115" s="65">
        <f t="shared" si="74"/>
        <v>8752.5072541601112</v>
      </c>
      <c r="Q115" s="65">
        <f t="shared" si="74"/>
        <v>10206.05910946547</v>
      </c>
      <c r="R115" s="65">
        <f t="shared" si="74"/>
        <v>12259.377570766683</v>
      </c>
      <c r="S115" s="65">
        <f t="shared" si="74"/>
        <v>9095.2417584232207</v>
      </c>
      <c r="T115" s="65">
        <f t="shared" si="74"/>
        <v>8129.9226837129017</v>
      </c>
      <c r="U115" s="65">
        <f t="shared" si="74"/>
        <v>7181.6565261602309</v>
      </c>
      <c r="V115" s="65">
        <f t="shared" si="74"/>
        <v>7315.0767339666263</v>
      </c>
      <c r="W115" s="65">
        <f t="shared" si="74"/>
        <v>5350.1141020154255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4492.3455925659709</v>
      </c>
      <c r="C117" s="65">
        <f t="shared" ref="C117:W117" si="78">C85*1000000/C$8</f>
        <v>4288.3344857880957</v>
      </c>
      <c r="D117" s="65">
        <f t="shared" si="78"/>
        <v>4155.8717435207336</v>
      </c>
      <c r="E117" s="65">
        <f t="shared" si="78"/>
        <v>4293.6903131051067</v>
      </c>
      <c r="F117" s="65">
        <f t="shared" si="78"/>
        <v>4160.4702554881687</v>
      </c>
      <c r="G117" s="65">
        <f t="shared" si="78"/>
        <v>4017.7837964985501</v>
      </c>
      <c r="H117" s="65">
        <f t="shared" si="78"/>
        <v>3881.6028248918942</v>
      </c>
      <c r="I117" s="65">
        <f t="shared" si="78"/>
        <v>3804.242325789151</v>
      </c>
      <c r="J117" s="65">
        <f t="shared" si="78"/>
        <v>3490.3726059423984</v>
      </c>
      <c r="K117" s="65">
        <f t="shared" si="78"/>
        <v>3430.9473959940897</v>
      </c>
      <c r="L117" s="65">
        <f t="shared" si="78"/>
        <v>3330.7701429445233</v>
      </c>
      <c r="M117" s="65">
        <f t="shared" si="78"/>
        <v>2793.0497803620151</v>
      </c>
      <c r="N117" s="65">
        <f t="shared" si="78"/>
        <v>2598.8444982370652</v>
      </c>
      <c r="O117" s="65">
        <f t="shared" si="78"/>
        <v>2260.7874835865559</v>
      </c>
      <c r="P117" s="65">
        <f t="shared" si="78"/>
        <v>1988.1639648483529</v>
      </c>
      <c r="Q117" s="65">
        <f t="shared" si="78"/>
        <v>1836.0269633668056</v>
      </c>
      <c r="R117" s="65">
        <f t="shared" si="78"/>
        <v>1899.4668537493501</v>
      </c>
      <c r="S117" s="65">
        <f t="shared" si="78"/>
        <v>1653.9244522635058</v>
      </c>
      <c r="T117" s="65">
        <f t="shared" si="78"/>
        <v>1926.3566270853312</v>
      </c>
      <c r="U117" s="65">
        <f t="shared" si="78"/>
        <v>1886.3766828145085</v>
      </c>
      <c r="V117" s="65">
        <f t="shared" si="78"/>
        <v>1712.9926887723821</v>
      </c>
      <c r="W117" s="65">
        <f t="shared" si="78"/>
        <v>1417.8805990112542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3600.7434974617695</v>
      </c>
      <c r="C118" s="67">
        <f t="shared" ref="C118:W118" si="80">C86*1000000/C$8</f>
        <v>4143.7130703445018</v>
      </c>
      <c r="D118" s="67">
        <f t="shared" si="80"/>
        <v>2408.9462082484529</v>
      </c>
      <c r="E118" s="67">
        <f t="shared" si="80"/>
        <v>1616.5426700441465</v>
      </c>
      <c r="F118" s="67">
        <f t="shared" si="80"/>
        <v>1704.0610188566266</v>
      </c>
      <c r="G118" s="67">
        <f t="shared" si="80"/>
        <v>1349.661131166637</v>
      </c>
      <c r="H118" s="67">
        <f t="shared" si="80"/>
        <v>861.33041591386234</v>
      </c>
      <c r="I118" s="67">
        <f t="shared" si="80"/>
        <v>1954.2288367962822</v>
      </c>
      <c r="J118" s="67">
        <f t="shared" si="80"/>
        <v>1172.7127696133316</v>
      </c>
      <c r="K118" s="67">
        <f t="shared" si="80"/>
        <v>1444.7551027069494</v>
      </c>
      <c r="L118" s="67">
        <f t="shared" si="80"/>
        <v>1869.431984683227</v>
      </c>
      <c r="M118" s="67">
        <f t="shared" si="80"/>
        <v>877.34063528771367</v>
      </c>
      <c r="N118" s="67">
        <f t="shared" si="80"/>
        <v>1476.8077444219516</v>
      </c>
      <c r="O118" s="67">
        <f t="shared" si="80"/>
        <v>1266.7877776468258</v>
      </c>
      <c r="P118" s="67">
        <f t="shared" si="80"/>
        <v>1528.1166580286042</v>
      </c>
      <c r="Q118" s="67">
        <f t="shared" si="80"/>
        <v>1741.3147289457679</v>
      </c>
      <c r="R118" s="67">
        <f t="shared" si="80"/>
        <v>1776.2477479363597</v>
      </c>
      <c r="S118" s="67">
        <f t="shared" si="80"/>
        <v>1703.0441939817294</v>
      </c>
      <c r="T118" s="67">
        <f t="shared" si="80"/>
        <v>1693.9184203958168</v>
      </c>
      <c r="U118" s="67">
        <f t="shared" si="80"/>
        <v>2081.2381931524874</v>
      </c>
      <c r="V118" s="67">
        <f t="shared" si="80"/>
        <v>1736.7471466522582</v>
      </c>
      <c r="W118" s="67">
        <f t="shared" si="80"/>
        <v>1302.7205388828402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0.59731358781272959</v>
      </c>
      <c r="C121" s="86">
        <f t="shared" ref="C121:W121" si="84">IF(C107=0,"",C107/C100)</f>
        <v>0.5768794669010483</v>
      </c>
      <c r="D121" s="86">
        <f t="shared" si="84"/>
        <v>0.60247811466452916</v>
      </c>
      <c r="E121" s="86">
        <f t="shared" si="84"/>
        <v>0.60429081818437336</v>
      </c>
      <c r="F121" s="86">
        <f t="shared" si="84"/>
        <v>0.61543821890683814</v>
      </c>
      <c r="G121" s="86">
        <f t="shared" si="84"/>
        <v>0.61899376845983167</v>
      </c>
      <c r="H121" s="86">
        <f t="shared" si="84"/>
        <v>0.64456440397570436</v>
      </c>
      <c r="I121" s="86">
        <f t="shared" si="84"/>
        <v>0.67125088944752898</v>
      </c>
      <c r="J121" s="86">
        <f t="shared" si="84"/>
        <v>0.65877665145040032</v>
      </c>
      <c r="K121" s="86">
        <f t="shared" si="84"/>
        <v>0.67044802288502547</v>
      </c>
      <c r="L121" s="86">
        <f t="shared" si="84"/>
        <v>0.68471507385238606</v>
      </c>
      <c r="M121" s="86">
        <f t="shared" si="84"/>
        <v>0.71088334278111964</v>
      </c>
      <c r="N121" s="86">
        <f t="shared" si="84"/>
        <v>0.74151519206433802</v>
      </c>
      <c r="O121" s="86">
        <f t="shared" si="84"/>
        <v>0.75583954135011555</v>
      </c>
      <c r="P121" s="86">
        <f t="shared" si="84"/>
        <v>0.76255214392927262</v>
      </c>
      <c r="Q121" s="86">
        <f t="shared" si="84"/>
        <v>0.7715652835688861</v>
      </c>
      <c r="R121" s="86">
        <f t="shared" si="84"/>
        <v>0.76350213181135274</v>
      </c>
      <c r="S121" s="86">
        <f t="shared" si="84"/>
        <v>0.79871908397673352</v>
      </c>
      <c r="T121" s="86">
        <f t="shared" si="84"/>
        <v>0.80674872956635768</v>
      </c>
      <c r="U121" s="86">
        <f t="shared" si="84"/>
        <v>0.82318935959249862</v>
      </c>
      <c r="V121" s="86">
        <f t="shared" si="84"/>
        <v>0.83068191969289051</v>
      </c>
      <c r="W121" s="86">
        <f t="shared" si="84"/>
        <v>0.86374912982707552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0.58305468439096941</v>
      </c>
      <c r="C122" s="75">
        <f t="shared" ref="C122:W122" si="86">IF(C108=0,"",C108/C101)</f>
        <v>0.56355062287827984</v>
      </c>
      <c r="D122" s="75">
        <f t="shared" si="86"/>
        <v>0.5876756125935878</v>
      </c>
      <c r="E122" s="75">
        <f t="shared" si="86"/>
        <v>0.57289970477971086</v>
      </c>
      <c r="F122" s="75">
        <f t="shared" si="86"/>
        <v>0.59150281360654222</v>
      </c>
      <c r="G122" s="75">
        <f t="shared" si="86"/>
        <v>0.58561817542211891</v>
      </c>
      <c r="H122" s="75">
        <f t="shared" si="86"/>
        <v>0.60408387058128921</v>
      </c>
      <c r="I122" s="75">
        <f t="shared" si="86"/>
        <v>0.63294055786385839</v>
      </c>
      <c r="J122" s="75">
        <f t="shared" si="86"/>
        <v>0.62258970348156673</v>
      </c>
      <c r="K122" s="75">
        <f t="shared" si="86"/>
        <v>0.63538586150881282</v>
      </c>
      <c r="L122" s="75">
        <f t="shared" si="86"/>
        <v>0.65524863298160851</v>
      </c>
      <c r="M122" s="75">
        <f t="shared" si="86"/>
        <v>0.67714941756741187</v>
      </c>
      <c r="N122" s="75">
        <f t="shared" si="86"/>
        <v>0.70343792032449748</v>
      </c>
      <c r="O122" s="75">
        <f t="shared" si="86"/>
        <v>0.71500698170487154</v>
      </c>
      <c r="P122" s="75">
        <f t="shared" si="86"/>
        <v>0.72550616838412252</v>
      </c>
      <c r="Q122" s="75">
        <f t="shared" si="86"/>
        <v>0.72578189089672962</v>
      </c>
      <c r="R122" s="75">
        <f t="shared" si="86"/>
        <v>0.72717313778620585</v>
      </c>
      <c r="S122" s="75">
        <f t="shared" si="86"/>
        <v>0.75828840560836253</v>
      </c>
      <c r="T122" s="75">
        <f t="shared" si="86"/>
        <v>0.77340574062766276</v>
      </c>
      <c r="U122" s="75">
        <f t="shared" si="86"/>
        <v>0.78939617373847326</v>
      </c>
      <c r="V122" s="75">
        <f t="shared" si="86"/>
        <v>0.79444796855750355</v>
      </c>
      <c r="W122" s="75">
        <f t="shared" si="86"/>
        <v>0.82180524523436316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1.7555510331145958</v>
      </c>
      <c r="C123" s="76">
        <f t="shared" ref="C123:W123" si="88">IF(C109=0,"",C109/C102)</f>
        <v>1.8181342522059381</v>
      </c>
      <c r="D123" s="76">
        <f t="shared" si="88"/>
        <v>1.9001205717085896</v>
      </c>
      <c r="E123" s="76">
        <f t="shared" si="88"/>
        <v>1.9762398903613516</v>
      </c>
      <c r="F123" s="76">
        <f t="shared" si="88"/>
        <v>2.061572208983856</v>
      </c>
      <c r="G123" s="76">
        <f t="shared" si="88"/>
        <v>2.1503074865074083</v>
      </c>
      <c r="H123" s="76">
        <f t="shared" si="88"/>
        <v>2.2544867184742721</v>
      </c>
      <c r="I123" s="76">
        <f t="shared" si="88"/>
        <v>2.3635034504458616</v>
      </c>
      <c r="J123" s="76">
        <f t="shared" si="88"/>
        <v>2.4723198069571137</v>
      </c>
      <c r="K123" s="76">
        <f t="shared" si="88"/>
        <v>2.5063548364821253</v>
      </c>
      <c r="L123" s="76">
        <f t="shared" si="88"/>
        <v>2.5584425277445249</v>
      </c>
      <c r="M123" s="76">
        <f t="shared" si="88"/>
        <v>2.6287178836719871</v>
      </c>
      <c r="N123" s="76">
        <f t="shared" si="88"/>
        <v>2.7018898526928172</v>
      </c>
      <c r="O123" s="76">
        <f t="shared" si="88"/>
        <v>2.7837965106353653</v>
      </c>
      <c r="P123" s="76">
        <f t="shared" si="88"/>
        <v>2.8787191850725011</v>
      </c>
      <c r="Q123" s="76">
        <f t="shared" si="88"/>
        <v>2.9772810976625887</v>
      </c>
      <c r="R123" s="76">
        <f t="shared" si="88"/>
        <v>3.0901499715770715</v>
      </c>
      <c r="S123" s="76">
        <f t="shared" si="88"/>
        <v>3.1897736572794941</v>
      </c>
      <c r="T123" s="76">
        <f t="shared" si="88"/>
        <v>3.2825137385486394</v>
      </c>
      <c r="U123" s="76">
        <f t="shared" si="88"/>
        <v>3.3588069067927537</v>
      </c>
      <c r="V123" s="76">
        <f t="shared" si="88"/>
        <v>3.4425125921376547</v>
      </c>
      <c r="W123" s="76">
        <f t="shared" si="88"/>
        <v>3.5239685290132563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0.57959161925388747</v>
      </c>
      <c r="C124" s="76">
        <f t="shared" ref="C124:W124" si="90">IF(C110=0,"",C110/C103)</f>
        <v>0.58684163043338178</v>
      </c>
      <c r="D124" s="76">
        <f t="shared" si="90"/>
        <v>0.58794651426954503</v>
      </c>
      <c r="E124" s="76">
        <f t="shared" si="90"/>
        <v>0.58472685191719032</v>
      </c>
      <c r="F124" s="76">
        <f t="shared" si="90"/>
        <v>0.5876417107097347</v>
      </c>
      <c r="G124" s="76">
        <f t="shared" si="90"/>
        <v>0.59167243639364575</v>
      </c>
      <c r="H124" s="76">
        <f t="shared" si="90"/>
        <v>0.59381632623891645</v>
      </c>
      <c r="I124" s="76">
        <f t="shared" si="90"/>
        <v>0.59607020711950143</v>
      </c>
      <c r="J124" s="76">
        <f t="shared" si="90"/>
        <v>0.60499628616325973</v>
      </c>
      <c r="K124" s="76">
        <f t="shared" si="90"/>
        <v>0.61229874898737202</v>
      </c>
      <c r="L124" s="76">
        <f t="shared" si="90"/>
        <v>0.62101475739733714</v>
      </c>
      <c r="M124" s="76">
        <f t="shared" si="90"/>
        <v>0.64117866308359717</v>
      </c>
      <c r="N124" s="76">
        <f t="shared" si="90"/>
        <v>0.65350696572059019</v>
      </c>
      <c r="O124" s="76">
        <f t="shared" si="90"/>
        <v>0.6718847286536378</v>
      </c>
      <c r="P124" s="76">
        <f t="shared" si="90"/>
        <v>0.68682204485696119</v>
      </c>
      <c r="Q124" s="76">
        <f t="shared" si="90"/>
        <v>0.69712971216422592</v>
      </c>
      <c r="R124" s="76">
        <f t="shared" si="90"/>
        <v>0.70139761872622763</v>
      </c>
      <c r="S124" s="76">
        <f t="shared" si="90"/>
        <v>0.72312055749816839</v>
      </c>
      <c r="T124" s="76">
        <f t="shared" si="90"/>
        <v>0.73202029628886045</v>
      </c>
      <c r="U124" s="76">
        <f t="shared" si="90"/>
        <v>0.74716170124508852</v>
      </c>
      <c r="V124" s="76">
        <f t="shared" si="90"/>
        <v>0.76652751678624353</v>
      </c>
      <c r="W124" s="76">
        <f t="shared" si="90"/>
        <v>0.7908283005497968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0.66001537766163565</v>
      </c>
      <c r="C125" s="56">
        <f t="shared" ref="C125:W125" si="92">IF(C111=0,"",C111/C104)</f>
        <v>0.64739358073962494</v>
      </c>
      <c r="D125" s="56">
        <f t="shared" si="92"/>
        <v>0.69979205241216824</v>
      </c>
      <c r="E125" s="56">
        <f t="shared" si="92"/>
        <v>0.72701949381164266</v>
      </c>
      <c r="F125" s="56">
        <f t="shared" si="92"/>
        <v>0.72340931723265778</v>
      </c>
      <c r="G125" s="56">
        <f t="shared" si="92"/>
        <v>0.73810535068175021</v>
      </c>
      <c r="H125" s="56">
        <f t="shared" si="92"/>
        <v>0.76049715722027778</v>
      </c>
      <c r="I125" s="56">
        <f t="shared" si="92"/>
        <v>0.71465752739644872</v>
      </c>
      <c r="J125" s="56">
        <f t="shared" si="92"/>
        <v>0.74742295777364098</v>
      </c>
      <c r="K125" s="56">
        <f t="shared" si="92"/>
        <v>0.73684712190980428</v>
      </c>
      <c r="L125" s="56">
        <f t="shared" si="92"/>
        <v>0.72118481433574411</v>
      </c>
      <c r="M125" s="56">
        <f t="shared" si="92"/>
        <v>0.76567825403805001</v>
      </c>
      <c r="N125" s="56">
        <f t="shared" si="92"/>
        <v>0.74196059591915553</v>
      </c>
      <c r="O125" s="56">
        <f t="shared" si="92"/>
        <v>0.75279104249809303</v>
      </c>
      <c r="P125" s="56">
        <f t="shared" si="92"/>
        <v>0.74405456520844038</v>
      </c>
      <c r="Q125" s="56">
        <f t="shared" si="92"/>
        <v>0.74119774911004144</v>
      </c>
      <c r="R125" s="56">
        <f t="shared" si="92"/>
        <v>0.74393287788057749</v>
      </c>
      <c r="S125" s="56">
        <f t="shared" si="92"/>
        <v>0.75256028393440988</v>
      </c>
      <c r="T125" s="56">
        <f t="shared" si="92"/>
        <v>0.75943645252043346</v>
      </c>
      <c r="U125" s="56">
        <f t="shared" si="92"/>
        <v>0.74970431526009162</v>
      </c>
      <c r="V125" s="56">
        <f t="shared" si="92"/>
        <v>0.76418267951398033</v>
      </c>
      <c r="W125" s="56">
        <f t="shared" si="92"/>
        <v>0.79141105586829485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368.19776555783335</v>
      </c>
      <c r="C129" s="82">
        <f t="shared" ref="C129:W129" si="94">IF(C99=0,0,C99/C$26)</f>
        <v>473.47380538999658</v>
      </c>
      <c r="D129" s="82">
        <f t="shared" si="94"/>
        <v>441.93212029844676</v>
      </c>
      <c r="E129" s="82">
        <f t="shared" si="94"/>
        <v>305.77903402813342</v>
      </c>
      <c r="F129" s="82">
        <f t="shared" si="94"/>
        <v>316.86824285035783</v>
      </c>
      <c r="G129" s="82">
        <f t="shared" si="94"/>
        <v>269.79615460039577</v>
      </c>
      <c r="H129" s="82">
        <f t="shared" si="94"/>
        <v>236.40334779768111</v>
      </c>
      <c r="I129" s="82">
        <f t="shared" si="94"/>
        <v>194.81030817412949</v>
      </c>
      <c r="J129" s="82">
        <f t="shared" si="94"/>
        <v>244.56470390953572</v>
      </c>
      <c r="K129" s="82">
        <f t="shared" si="94"/>
        <v>240.2769462261767</v>
      </c>
      <c r="L129" s="82">
        <f t="shared" si="94"/>
        <v>258.99680578973323</v>
      </c>
      <c r="M129" s="82">
        <f t="shared" si="94"/>
        <v>251.3343615630879</v>
      </c>
      <c r="N129" s="82">
        <f t="shared" si="94"/>
        <v>218.12605202467302</v>
      </c>
      <c r="O129" s="82">
        <f t="shared" si="94"/>
        <v>221.8995558131158</v>
      </c>
      <c r="P129" s="82">
        <f t="shared" si="94"/>
        <v>200.73505898858647</v>
      </c>
      <c r="Q129" s="82">
        <f t="shared" si="94"/>
        <v>211.71482671196074</v>
      </c>
      <c r="R129" s="82">
        <f t="shared" si="94"/>
        <v>224.5927911183</v>
      </c>
      <c r="S129" s="82">
        <f t="shared" si="94"/>
        <v>217.02364036514467</v>
      </c>
      <c r="T129" s="82">
        <f t="shared" si="94"/>
        <v>213.7698238318774</v>
      </c>
      <c r="U129" s="82">
        <f t="shared" si="94"/>
        <v>204.13797599429725</v>
      </c>
      <c r="V129" s="82">
        <f t="shared" si="94"/>
        <v>185.60508754887434</v>
      </c>
      <c r="W129" s="82">
        <f t="shared" si="94"/>
        <v>182.04516220505252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313.96989109483332</v>
      </c>
      <c r="C130" s="64">
        <f t="shared" ref="C130:W130" si="96">IF(C100=0,0,C100/C$26)</f>
        <v>418.28242569182333</v>
      </c>
      <c r="D130" s="64">
        <f t="shared" si="96"/>
        <v>385.60602967433437</v>
      </c>
      <c r="E130" s="64">
        <f t="shared" si="96"/>
        <v>249.49092405689237</v>
      </c>
      <c r="F130" s="64">
        <f t="shared" si="96"/>
        <v>259.74278528661699</v>
      </c>
      <c r="G130" s="64">
        <f t="shared" si="96"/>
        <v>212.26683833874989</v>
      </c>
      <c r="H130" s="64">
        <f t="shared" si="96"/>
        <v>178.73211861864525</v>
      </c>
      <c r="I130" s="64">
        <f t="shared" si="96"/>
        <v>137.4083239434716</v>
      </c>
      <c r="J130" s="64">
        <f t="shared" si="96"/>
        <v>186.14652195826241</v>
      </c>
      <c r="K130" s="64">
        <f t="shared" si="96"/>
        <v>181.23102120383464</v>
      </c>
      <c r="L130" s="64">
        <f t="shared" si="96"/>
        <v>199.3166888556454</v>
      </c>
      <c r="M130" s="64">
        <f t="shared" si="96"/>
        <v>191.0949556032748</v>
      </c>
      <c r="N130" s="64">
        <f t="shared" si="96"/>
        <v>157.58232806514016</v>
      </c>
      <c r="O130" s="64">
        <f t="shared" si="96"/>
        <v>160.58129225252935</v>
      </c>
      <c r="P130" s="64">
        <f t="shared" si="96"/>
        <v>138.9671255646706</v>
      </c>
      <c r="Q130" s="64">
        <f t="shared" si="96"/>
        <v>149.06403151643786</v>
      </c>
      <c r="R130" s="64">
        <f t="shared" si="96"/>
        <v>161.45863991490026</v>
      </c>
      <c r="S130" s="64">
        <f t="shared" si="96"/>
        <v>155.82825890630141</v>
      </c>
      <c r="T130" s="64">
        <f t="shared" si="96"/>
        <v>153.38358489630269</v>
      </c>
      <c r="U130" s="64">
        <f t="shared" si="96"/>
        <v>144.81005367892135</v>
      </c>
      <c r="V130" s="64">
        <f t="shared" si="96"/>
        <v>131.52828624699677</v>
      </c>
      <c r="W130" s="64">
        <f t="shared" si="96"/>
        <v>127.83394027104139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261.12320485335744</v>
      </c>
      <c r="C131" s="65">
        <f t="shared" ref="C131:W131" si="98">IF(C101=0,0,C101/C$26)</f>
        <v>364.54454472050594</v>
      </c>
      <c r="D131" s="65">
        <f t="shared" si="98"/>
        <v>334.86391272921094</v>
      </c>
      <c r="E131" s="65">
        <f t="shared" si="98"/>
        <v>199.89399754553841</v>
      </c>
      <c r="F131" s="65">
        <f t="shared" si="98"/>
        <v>211.71929275168509</v>
      </c>
      <c r="G131" s="65">
        <f t="shared" si="98"/>
        <v>165.16700247434471</v>
      </c>
      <c r="H131" s="65">
        <f t="shared" si="98"/>
        <v>132.84086143282059</v>
      </c>
      <c r="I131" s="65">
        <f t="shared" si="98"/>
        <v>91.533441535583393</v>
      </c>
      <c r="J131" s="65">
        <f t="shared" si="98"/>
        <v>142.43721363160759</v>
      </c>
      <c r="K131" s="65">
        <f t="shared" si="98"/>
        <v>136.63358355141429</v>
      </c>
      <c r="L131" s="65">
        <f t="shared" si="98"/>
        <v>153.78618399493345</v>
      </c>
      <c r="M131" s="65">
        <f t="shared" si="98"/>
        <v>147.02652064042408</v>
      </c>
      <c r="N131" s="65">
        <f t="shared" si="98"/>
        <v>111.78206822354333</v>
      </c>
      <c r="O131" s="65">
        <f t="shared" si="98"/>
        <v>114.9796634221851</v>
      </c>
      <c r="P131" s="65">
        <f t="shared" si="98"/>
        <v>93.142193392549984</v>
      </c>
      <c r="Q131" s="65">
        <f t="shared" si="98"/>
        <v>101.13048955414297</v>
      </c>
      <c r="R131" s="65">
        <f t="shared" si="98"/>
        <v>113.37355099229616</v>
      </c>
      <c r="S131" s="65">
        <f t="shared" si="98"/>
        <v>107.68140877199676</v>
      </c>
      <c r="T131" s="65">
        <f t="shared" si="98"/>
        <v>105.98126742329181</v>
      </c>
      <c r="U131" s="65">
        <f t="shared" si="98"/>
        <v>96.70745439474446</v>
      </c>
      <c r="V131" s="65">
        <f t="shared" si="98"/>
        <v>86.481269455815251</v>
      </c>
      <c r="W131" s="65">
        <f t="shared" si="98"/>
        <v>83.370391308356915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2.1771457831908276</v>
      </c>
      <c r="C132" s="65">
        <f t="shared" ref="C132:W132" si="100">IF(C102=0,0,C102/C$26)</f>
        <v>2.1488928246764023</v>
      </c>
      <c r="D132" s="65">
        <f t="shared" si="100"/>
        <v>2.1921023280135934</v>
      </c>
      <c r="E132" s="65">
        <f t="shared" si="100"/>
        <v>2.8077475099158633</v>
      </c>
      <c r="F132" s="65">
        <f t="shared" si="100"/>
        <v>2.2252521114451707</v>
      </c>
      <c r="G132" s="65">
        <f t="shared" si="100"/>
        <v>2.2732571467558285</v>
      </c>
      <c r="H132" s="65">
        <f t="shared" si="100"/>
        <v>2.504043609629993</v>
      </c>
      <c r="I132" s="65">
        <f t="shared" si="100"/>
        <v>2.4686895536479425</v>
      </c>
      <c r="J132" s="65">
        <f t="shared" si="100"/>
        <v>2.4801868559353832</v>
      </c>
      <c r="K132" s="65">
        <f t="shared" si="100"/>
        <v>2.5325182041639387</v>
      </c>
      <c r="L132" s="65">
        <f t="shared" si="100"/>
        <v>2.728858891882445</v>
      </c>
      <c r="M132" s="65">
        <f t="shared" si="100"/>
        <v>2.7546468912369226</v>
      </c>
      <c r="N132" s="65">
        <f t="shared" si="100"/>
        <v>3.0999123257593886</v>
      </c>
      <c r="O132" s="65">
        <f t="shared" si="100"/>
        <v>3.2043273083641148</v>
      </c>
      <c r="P132" s="65">
        <f t="shared" si="100"/>
        <v>2.5725128190405671</v>
      </c>
      <c r="Q132" s="65">
        <f t="shared" si="100"/>
        <v>3.1367802375564704</v>
      </c>
      <c r="R132" s="65">
        <f t="shared" si="100"/>
        <v>2.5419775150520438</v>
      </c>
      <c r="S132" s="65">
        <f t="shared" si="100"/>
        <v>2.9484406574762985</v>
      </c>
      <c r="T132" s="65">
        <f t="shared" si="100"/>
        <v>2.5104387555070256</v>
      </c>
      <c r="U132" s="65">
        <f t="shared" si="100"/>
        <v>2.627111161278775</v>
      </c>
      <c r="V132" s="65">
        <f t="shared" si="100"/>
        <v>2.2714969161641432</v>
      </c>
      <c r="W132" s="65">
        <f t="shared" si="100"/>
        <v>2.4608534547786465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24.562295115940625</v>
      </c>
      <c r="C133" s="65">
        <f t="shared" ref="C133:W133" si="102">IF(C103=0,0,C103/C$26)</f>
        <v>23.882268060427712</v>
      </c>
      <c r="D133" s="65">
        <f t="shared" si="102"/>
        <v>23.356625868464427</v>
      </c>
      <c r="E133" s="65">
        <f t="shared" si="102"/>
        <v>23.329143191178353</v>
      </c>
      <c r="F133" s="65">
        <f t="shared" si="102"/>
        <v>22.798604410391164</v>
      </c>
      <c r="G133" s="65">
        <f t="shared" si="102"/>
        <v>22.589784054837956</v>
      </c>
      <c r="H133" s="65">
        <f t="shared" si="102"/>
        <v>22.101197000615077</v>
      </c>
      <c r="I133" s="65">
        <f t="shared" si="102"/>
        <v>21.54603557315993</v>
      </c>
      <c r="J133" s="65">
        <f t="shared" si="102"/>
        <v>21.052006312275978</v>
      </c>
      <c r="K133" s="65">
        <f t="shared" si="102"/>
        <v>21.291899367155899</v>
      </c>
      <c r="L133" s="65">
        <f t="shared" si="102"/>
        <v>21.389338414271176</v>
      </c>
      <c r="M133" s="65">
        <f t="shared" si="102"/>
        <v>20.77886871350638</v>
      </c>
      <c r="N133" s="65">
        <f t="shared" si="102"/>
        <v>20.797928603440745</v>
      </c>
      <c r="O133" s="65">
        <f t="shared" si="102"/>
        <v>20.691534784188317</v>
      </c>
      <c r="P133" s="65">
        <f t="shared" si="102"/>
        <v>20.849307050465423</v>
      </c>
      <c r="Q133" s="65">
        <f t="shared" si="102"/>
        <v>21.06700729036379</v>
      </c>
      <c r="R133" s="65">
        <f t="shared" si="102"/>
        <v>21.259885176826703</v>
      </c>
      <c r="S133" s="65">
        <f t="shared" si="102"/>
        <v>20.718459116997149</v>
      </c>
      <c r="T133" s="65">
        <f t="shared" si="102"/>
        <v>20.337905611908607</v>
      </c>
      <c r="U133" s="65">
        <f t="shared" si="102"/>
        <v>20.26572578447621</v>
      </c>
      <c r="V133" s="65">
        <f t="shared" si="102"/>
        <v>19.332831352426599</v>
      </c>
      <c r="W133" s="65">
        <f t="shared" si="102"/>
        <v>19.112538310525906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26.107245342344427</v>
      </c>
      <c r="C134" s="67">
        <f t="shared" ref="C134:W134" si="104">IF(C104=0,0,C104/C$26)</f>
        <v>27.70672008621322</v>
      </c>
      <c r="D134" s="67">
        <f t="shared" si="104"/>
        <v>25.19338874864544</v>
      </c>
      <c r="E134" s="67">
        <f t="shared" si="104"/>
        <v>23.46003581025975</v>
      </c>
      <c r="F134" s="67">
        <f t="shared" si="104"/>
        <v>22.999636013095571</v>
      </c>
      <c r="G134" s="67">
        <f t="shared" si="104"/>
        <v>22.23679466281142</v>
      </c>
      <c r="H134" s="67">
        <f t="shared" si="104"/>
        <v>21.286016575579584</v>
      </c>
      <c r="I134" s="67">
        <f t="shared" si="104"/>
        <v>21.860157281080308</v>
      </c>
      <c r="J134" s="67">
        <f t="shared" si="104"/>
        <v>20.17711515844346</v>
      </c>
      <c r="K134" s="67">
        <f t="shared" si="104"/>
        <v>20.773020081100491</v>
      </c>
      <c r="L134" s="67">
        <f t="shared" si="104"/>
        <v>21.412307554558382</v>
      </c>
      <c r="M134" s="67">
        <f t="shared" si="104"/>
        <v>20.534919358107423</v>
      </c>
      <c r="N134" s="67">
        <f t="shared" si="104"/>
        <v>21.902418912396669</v>
      </c>
      <c r="O134" s="67">
        <f t="shared" si="104"/>
        <v>21.705766737791855</v>
      </c>
      <c r="P134" s="67">
        <f t="shared" si="104"/>
        <v>22.403112302614623</v>
      </c>
      <c r="Q134" s="67">
        <f t="shared" si="104"/>
        <v>23.729754434374623</v>
      </c>
      <c r="R134" s="67">
        <f t="shared" si="104"/>
        <v>24.283226230725305</v>
      </c>
      <c r="S134" s="67">
        <f t="shared" si="104"/>
        <v>24.479950359831211</v>
      </c>
      <c r="T134" s="67">
        <f t="shared" si="104"/>
        <v>24.553973105595226</v>
      </c>
      <c r="U134" s="67">
        <f t="shared" si="104"/>
        <v>25.20976233842195</v>
      </c>
      <c r="V134" s="67">
        <f t="shared" si="104"/>
        <v>23.442688522590796</v>
      </c>
      <c r="W134" s="67">
        <f t="shared" si="104"/>
        <v>22.890157197379924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54.227874463000035</v>
      </c>
      <c r="C135" s="68">
        <f t="shared" ref="C135:W135" si="106">IF(C105=0,0,C105/C$26)</f>
        <v>55.191379698173279</v>
      </c>
      <c r="D135" s="68">
        <f t="shared" si="106"/>
        <v>56.326090624112354</v>
      </c>
      <c r="E135" s="68">
        <f t="shared" si="106"/>
        <v>56.288109971241042</v>
      </c>
      <c r="F135" s="68">
        <f t="shared" si="106"/>
        <v>57.12545756374081</v>
      </c>
      <c r="G135" s="68">
        <f t="shared" si="106"/>
        <v>57.529316261645853</v>
      </c>
      <c r="H135" s="68">
        <f t="shared" si="106"/>
        <v>57.671229179035855</v>
      </c>
      <c r="I135" s="68">
        <f t="shared" si="106"/>
        <v>57.401984230657909</v>
      </c>
      <c r="J135" s="68">
        <f t="shared" si="106"/>
        <v>58.41818195127334</v>
      </c>
      <c r="K135" s="68">
        <f t="shared" si="106"/>
        <v>59.04592502234204</v>
      </c>
      <c r="L135" s="68">
        <f t="shared" si="106"/>
        <v>59.680116934087877</v>
      </c>
      <c r="M135" s="68">
        <f t="shared" si="106"/>
        <v>60.239405959813091</v>
      </c>
      <c r="N135" s="68">
        <f t="shared" si="106"/>
        <v>60.543723959532898</v>
      </c>
      <c r="O135" s="68">
        <f t="shared" si="106"/>
        <v>61.318263560586416</v>
      </c>
      <c r="P135" s="68">
        <f t="shared" si="106"/>
        <v>61.767933423915849</v>
      </c>
      <c r="Q135" s="68">
        <f t="shared" si="106"/>
        <v>62.650795195522896</v>
      </c>
      <c r="R135" s="68">
        <f t="shared" si="106"/>
        <v>63.134151203399789</v>
      </c>
      <c r="S135" s="68">
        <f t="shared" si="106"/>
        <v>61.195381458843265</v>
      </c>
      <c r="T135" s="68">
        <f t="shared" si="106"/>
        <v>60.386238935574696</v>
      </c>
      <c r="U135" s="68">
        <f t="shared" si="106"/>
        <v>59.327922315375922</v>
      </c>
      <c r="V135" s="68">
        <f t="shared" si="106"/>
        <v>54.076801301877566</v>
      </c>
      <c r="W135" s="68">
        <f t="shared" si="106"/>
        <v>54.211221934011107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187.53848211502688</v>
      </c>
      <c r="C137" s="85">
        <f t="shared" ref="C137:W137" si="108">IF(C107=0,0,C107/C$26)</f>
        <v>241.29854274717638</v>
      </c>
      <c r="D137" s="85">
        <f t="shared" si="108"/>
        <v>232.31919376146746</v>
      </c>
      <c r="E137" s="85">
        <f t="shared" si="108"/>
        <v>150.76507462791483</v>
      </c>
      <c r="F137" s="85">
        <f t="shared" si="108"/>
        <v>159.85563715069685</v>
      </c>
      <c r="G137" s="85">
        <f t="shared" si="108"/>
        <v>131.39185018235668</v>
      </c>
      <c r="H137" s="85">
        <f t="shared" si="108"/>
        <v>115.20436150874195</v>
      </c>
      <c r="I137" s="85">
        <f t="shared" si="108"/>
        <v>92.235459664549495</v>
      </c>
      <c r="J137" s="85">
        <f t="shared" si="108"/>
        <v>122.62898241480254</v>
      </c>
      <c r="K137" s="85">
        <f t="shared" si="108"/>
        <v>121.50597985154506</v>
      </c>
      <c r="L137" s="85">
        <f t="shared" si="108"/>
        <v>136.47514132980629</v>
      </c>
      <c r="M137" s="85">
        <f t="shared" si="108"/>
        <v>135.84622082786564</v>
      </c>
      <c r="N137" s="85">
        <f t="shared" si="108"/>
        <v>116.84969026116794</v>
      </c>
      <c r="O137" s="85">
        <f t="shared" si="108"/>
        <v>121.37369028556066</v>
      </c>
      <c r="P137" s="85">
        <f t="shared" si="108"/>
        <v>105.96967953502801</v>
      </c>
      <c r="Q137" s="85">
        <f t="shared" si="108"/>
        <v>115.01263174690175</v>
      </c>
      <c r="R137" s="85">
        <f t="shared" si="108"/>
        <v>123.27401577438791</v>
      </c>
      <c r="S137" s="85">
        <f t="shared" si="108"/>
        <v>124.46300421133033</v>
      </c>
      <c r="T137" s="85">
        <f t="shared" si="108"/>
        <v>123.74201225142575</v>
      </c>
      <c r="U137" s="85">
        <f t="shared" si="108"/>
        <v>119.20609535050663</v>
      </c>
      <c r="V137" s="85">
        <f t="shared" si="108"/>
        <v>109.25816931357129</v>
      </c>
      <c r="W137" s="85">
        <f t="shared" si="108"/>
        <v>110.41645467147833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152.24910779293279</v>
      </c>
      <c r="C138" s="65">
        <f t="shared" ref="C138:W138" si="110">IF(C108=0,0,C108/C$26)</f>
        <v>205.43930524412005</v>
      </c>
      <c r="D138" s="65">
        <f t="shared" si="110"/>
        <v>196.79135504862478</v>
      </c>
      <c r="E138" s="65">
        <f t="shared" si="110"/>
        <v>114.5192121810752</v>
      </c>
      <c r="F138" s="65">
        <f t="shared" si="110"/>
        <v>125.23255735740894</v>
      </c>
      <c r="G138" s="65">
        <f t="shared" si="110"/>
        <v>96.72479862896634</v>
      </c>
      <c r="H138" s="65">
        <f t="shared" si="110"/>
        <v>80.247021745690972</v>
      </c>
      <c r="I138" s="65">
        <f t="shared" si="110"/>
        <v>57.935227548731021</v>
      </c>
      <c r="J138" s="65">
        <f t="shared" si="110"/>
        <v>88.679942599643141</v>
      </c>
      <c r="K138" s="65">
        <f t="shared" si="110"/>
        <v>86.815047195851719</v>
      </c>
      <c r="L138" s="65">
        <f t="shared" si="110"/>
        <v>100.76818683413826</v>
      </c>
      <c r="M138" s="65">
        <f t="shared" si="110"/>
        <v>99.558922818626229</v>
      </c>
      <c r="N138" s="65">
        <f t="shared" si="110"/>
        <v>78.631745600740416</v>
      </c>
      <c r="O138" s="65">
        <f t="shared" si="110"/>
        <v>82.211262100938583</v>
      </c>
      <c r="P138" s="65">
        <f t="shared" si="110"/>
        <v>67.575235843121874</v>
      </c>
      <c r="Q138" s="65">
        <f t="shared" si="110"/>
        <v>73.398677935917846</v>
      </c>
      <c r="R138" s="65">
        <f t="shared" si="110"/>
        <v>82.442200817032415</v>
      </c>
      <c r="S138" s="65">
        <f t="shared" si="110"/>
        <v>81.653563771379766</v>
      </c>
      <c r="T138" s="65">
        <f t="shared" si="110"/>
        <v>81.966520624169405</v>
      </c>
      <c r="U138" s="65">
        <f t="shared" si="110"/>
        <v>76.340494471199179</v>
      </c>
      <c r="V138" s="65">
        <f t="shared" si="110"/>
        <v>68.704868837446512</v>
      </c>
      <c r="W138" s="65">
        <f t="shared" si="110"/>
        <v>68.51422487444907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3.8220905289217435</v>
      </c>
      <c r="C139" s="65">
        <f t="shared" ref="C139:W139" si="112">IF(C109=0,0,C109/C$26)</f>
        <v>3.906975648863737</v>
      </c>
      <c r="D139" s="65">
        <f t="shared" si="112"/>
        <v>4.1652587287489196</v>
      </c>
      <c r="E139" s="65">
        <f t="shared" si="112"/>
        <v>5.5487826311584838</v>
      </c>
      <c r="F139" s="65">
        <f t="shared" si="112"/>
        <v>4.5875179109380104</v>
      </c>
      <c r="G139" s="65">
        <f t="shared" si="112"/>
        <v>4.8882018614255287</v>
      </c>
      <c r="H139" s="65">
        <f t="shared" si="112"/>
        <v>5.6453330603911942</v>
      </c>
      <c r="I139" s="65">
        <f t="shared" si="112"/>
        <v>5.8347562781265658</v>
      </c>
      <c r="J139" s="65">
        <f t="shared" si="112"/>
        <v>6.1318150888837382</v>
      </c>
      <c r="K139" s="65">
        <f t="shared" si="112"/>
        <v>6.3473892494853148</v>
      </c>
      <c r="L139" s="65">
        <f t="shared" si="112"/>
        <v>6.9816286412058464</v>
      </c>
      <c r="M139" s="65">
        <f t="shared" si="112"/>
        <v>7.2411895461959412</v>
      </c>
      <c r="N139" s="65">
        <f t="shared" si="112"/>
        <v>8.3756216572066826</v>
      </c>
      <c r="O139" s="65">
        <f t="shared" si="112"/>
        <v>8.920195179957636</v>
      </c>
      <c r="P139" s="65">
        <f t="shared" si="112"/>
        <v>7.4055420060170238</v>
      </c>
      <c r="Q139" s="65">
        <f t="shared" si="112"/>
        <v>9.3390765087984438</v>
      </c>
      <c r="R139" s="65">
        <f t="shared" si="112"/>
        <v>7.8550917458876288</v>
      </c>
      <c r="S139" s="65">
        <f t="shared" si="112"/>
        <v>9.4048583392697278</v>
      </c>
      <c r="T139" s="65">
        <f t="shared" si="112"/>
        <v>8.2405497047367611</v>
      </c>
      <c r="U139" s="65">
        <f t="shared" si="112"/>
        <v>8.8239591134154818</v>
      </c>
      <c r="V139" s="65">
        <f t="shared" si="112"/>
        <v>7.8196567368969134</v>
      </c>
      <c r="W139" s="65">
        <f t="shared" si="112"/>
        <v>8.671970129153495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14.236100398839879</v>
      </c>
      <c r="C140" s="65">
        <f t="shared" ref="C140:W140" si="114">IF(C110=0,0,C110/C$26)</f>
        <v>14.015109127028477</v>
      </c>
      <c r="D140" s="65">
        <f t="shared" si="114"/>
        <v>13.732446764461542</v>
      </c>
      <c r="E140" s="65">
        <f t="shared" si="114"/>
        <v>13.641176456103073</v>
      </c>
      <c r="F140" s="65">
        <f t="shared" si="114"/>
        <v>13.397410897516766</v>
      </c>
      <c r="G140" s="65">
        <f t="shared" si="114"/>
        <v>13.365752569332306</v>
      </c>
      <c r="H140" s="65">
        <f t="shared" si="114"/>
        <v>13.124051608387806</v>
      </c>
      <c r="I140" s="65">
        <f t="shared" si="114"/>
        <v>12.842949886697584</v>
      </c>
      <c r="J140" s="65">
        <f t="shared" si="114"/>
        <v>12.736385635212468</v>
      </c>
      <c r="K140" s="65">
        <f t="shared" si="114"/>
        <v>13.037003346074576</v>
      </c>
      <c r="L140" s="65">
        <f t="shared" si="114"/>
        <v>13.283094806228158</v>
      </c>
      <c r="M140" s="65">
        <f t="shared" si="114"/>
        <v>13.322967262115608</v>
      </c>
      <c r="N140" s="65">
        <f t="shared" si="114"/>
        <v>13.591591214908034</v>
      </c>
      <c r="O140" s="65">
        <f t="shared" si="114"/>
        <v>13.902326233901674</v>
      </c>
      <c r="P140" s="65">
        <f t="shared" si="114"/>
        <v>14.31976370225132</v>
      </c>
      <c r="Q140" s="65">
        <f t="shared" si="114"/>
        <v>14.686436728492959</v>
      </c>
      <c r="R140" s="65">
        <f t="shared" si="114"/>
        <v>14.911632837419274</v>
      </c>
      <c r="S140" s="65">
        <f t="shared" si="114"/>
        <v>14.981943707185989</v>
      </c>
      <c r="T140" s="65">
        <f t="shared" si="114"/>
        <v>14.887759691924215</v>
      </c>
      <c r="U140" s="65">
        <f t="shared" si="114"/>
        <v>15.1417741540957</v>
      </c>
      <c r="V140" s="65">
        <f t="shared" si="114"/>
        <v>14.819147209022795</v>
      </c>
      <c r="W140" s="65">
        <f t="shared" si="114"/>
        <v>15.114736191306088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17.231183394332437</v>
      </c>
      <c r="C141" s="68">
        <f t="shared" ref="C141:W141" si="116">IF(C111=0,0,C111/C$26)</f>
        <v>17.937152727164065</v>
      </c>
      <c r="D141" s="68">
        <f t="shared" si="116"/>
        <v>17.630133219632221</v>
      </c>
      <c r="E141" s="68">
        <f t="shared" si="116"/>
        <v>17.055903359578053</v>
      </c>
      <c r="F141" s="68">
        <f t="shared" si="116"/>
        <v>16.638150984833114</v>
      </c>
      <c r="G141" s="68">
        <f t="shared" si="116"/>
        <v>16.413097122632493</v>
      </c>
      <c r="H141" s="68">
        <f t="shared" si="116"/>
        <v>16.187955094271988</v>
      </c>
      <c r="I141" s="68">
        <f t="shared" si="116"/>
        <v>15.622525950994328</v>
      </c>
      <c r="J141" s="68">
        <f t="shared" si="116"/>
        <v>15.080839091063178</v>
      </c>
      <c r="K141" s="68">
        <f t="shared" si="116"/>
        <v>15.306540060133468</v>
      </c>
      <c r="L141" s="68">
        <f t="shared" si="116"/>
        <v>15.442231048234035</v>
      </c>
      <c r="M141" s="68">
        <f t="shared" si="116"/>
        <v>15.723141200927847</v>
      </c>
      <c r="N141" s="68">
        <f t="shared" si="116"/>
        <v>16.250731788312816</v>
      </c>
      <c r="O141" s="68">
        <f t="shared" si="116"/>
        <v>16.339906770762763</v>
      </c>
      <c r="P141" s="68">
        <f t="shared" si="116"/>
        <v>16.669137983637786</v>
      </c>
      <c r="Q141" s="68">
        <f t="shared" si="116"/>
        <v>17.588440573692495</v>
      </c>
      <c r="R141" s="68">
        <f t="shared" si="116"/>
        <v>18.065090374048605</v>
      </c>
      <c r="S141" s="68">
        <f t="shared" si="116"/>
        <v>18.422638393494836</v>
      </c>
      <c r="T141" s="68">
        <f t="shared" si="116"/>
        <v>18.647182230595369</v>
      </c>
      <c r="U141" s="68">
        <f t="shared" si="116"/>
        <v>18.899867611796275</v>
      </c>
      <c r="V141" s="68">
        <f t="shared" si="116"/>
        <v>17.914496530205067</v>
      </c>
      <c r="W141" s="68">
        <f t="shared" si="116"/>
        <v>18.115523476569695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50.950961227051998</v>
      </c>
      <c r="C143" s="82">
        <f t="shared" ref="C143:W143" si="118">IF(C113=0,0,C113/C$26)</f>
        <v>76.548508645576788</v>
      </c>
      <c r="D143" s="82">
        <f t="shared" si="118"/>
        <v>62.686141039726124</v>
      </c>
      <c r="E143" s="82">
        <f t="shared" si="118"/>
        <v>43.905567741317995</v>
      </c>
      <c r="F143" s="82">
        <f t="shared" si="118"/>
        <v>43.086191252894913</v>
      </c>
      <c r="G143" s="82">
        <f t="shared" si="118"/>
        <v>36.507687288767066</v>
      </c>
      <c r="H143" s="82">
        <f t="shared" si="118"/>
        <v>28.512971339777273</v>
      </c>
      <c r="I143" s="82">
        <f t="shared" si="118"/>
        <v>19.763120930840593</v>
      </c>
      <c r="J143" s="82">
        <f t="shared" si="118"/>
        <v>28.531577162045377</v>
      </c>
      <c r="K143" s="82">
        <f t="shared" si="118"/>
        <v>27.08620256780792</v>
      </c>
      <c r="L143" s="82">
        <f t="shared" si="118"/>
        <v>28.776759761711652</v>
      </c>
      <c r="M143" s="82">
        <f t="shared" si="118"/>
        <v>23.970066482550816</v>
      </c>
      <c r="N143" s="82">
        <f t="shared" si="118"/>
        <v>16.98130050183638</v>
      </c>
      <c r="O143" s="82">
        <f t="shared" si="118"/>
        <v>16.691552416475222</v>
      </c>
      <c r="P143" s="82">
        <f t="shared" si="118"/>
        <v>13.631986530041187</v>
      </c>
      <c r="Q143" s="82">
        <f t="shared" si="118"/>
        <v>15.314889779753381</v>
      </c>
      <c r="R143" s="82">
        <f t="shared" si="118"/>
        <v>17.705657969391549</v>
      </c>
      <c r="S143" s="82">
        <f t="shared" si="118"/>
        <v>13.835789338520508</v>
      </c>
      <c r="T143" s="82">
        <f t="shared" si="118"/>
        <v>13.055775256882278</v>
      </c>
      <c r="U143" s="82">
        <f t="shared" si="118"/>
        <v>12.388079335696917</v>
      </c>
      <c r="V143" s="82">
        <f t="shared" si="118"/>
        <v>11.96090729932363</v>
      </c>
      <c r="W143" s="82">
        <f t="shared" si="118"/>
        <v>8.967461377677246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50.950961227051998</v>
      </c>
      <c r="C144" s="64">
        <f t="shared" ref="C144:W144" si="120">IF(C114=0,0,C114/C$26)</f>
        <v>76.548508645576788</v>
      </c>
      <c r="D144" s="64">
        <f t="shared" si="120"/>
        <v>62.686141039726124</v>
      </c>
      <c r="E144" s="64">
        <f t="shared" si="120"/>
        <v>43.905567741317995</v>
      </c>
      <c r="F144" s="64">
        <f t="shared" si="120"/>
        <v>43.086191252894913</v>
      </c>
      <c r="G144" s="64">
        <f t="shared" si="120"/>
        <v>36.507687288767066</v>
      </c>
      <c r="H144" s="64">
        <f t="shared" si="120"/>
        <v>28.512971339777273</v>
      </c>
      <c r="I144" s="64">
        <f t="shared" si="120"/>
        <v>19.763120930840593</v>
      </c>
      <c r="J144" s="64">
        <f t="shared" si="120"/>
        <v>28.531577162045377</v>
      </c>
      <c r="K144" s="64">
        <f t="shared" si="120"/>
        <v>27.08620256780792</v>
      </c>
      <c r="L144" s="64">
        <f t="shared" si="120"/>
        <v>28.776759761711652</v>
      </c>
      <c r="M144" s="64">
        <f t="shared" si="120"/>
        <v>23.970066482550816</v>
      </c>
      <c r="N144" s="64">
        <f t="shared" si="120"/>
        <v>16.98130050183638</v>
      </c>
      <c r="O144" s="64">
        <f t="shared" si="120"/>
        <v>16.691552416475222</v>
      </c>
      <c r="P144" s="64">
        <f t="shared" si="120"/>
        <v>13.631986530041187</v>
      </c>
      <c r="Q144" s="64">
        <f t="shared" si="120"/>
        <v>15.314889779753381</v>
      </c>
      <c r="R144" s="64">
        <f t="shared" si="120"/>
        <v>17.705657969391549</v>
      </c>
      <c r="S144" s="64">
        <f t="shared" si="120"/>
        <v>13.835789338520508</v>
      </c>
      <c r="T144" s="64">
        <f t="shared" si="120"/>
        <v>13.055775256882278</v>
      </c>
      <c r="U144" s="64">
        <f t="shared" si="120"/>
        <v>12.388079335696917</v>
      </c>
      <c r="V144" s="64">
        <f t="shared" si="120"/>
        <v>11.96090729932363</v>
      </c>
      <c r="W144" s="64">
        <f t="shared" si="120"/>
        <v>8.967461377677246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41.958640015910063</v>
      </c>
      <c r="C145" s="65">
        <f t="shared" ref="C145:W145" si="122">IF(C115=0,0,C115/C$26)</f>
        <v>67.179566916540566</v>
      </c>
      <c r="D145" s="65">
        <f t="shared" si="122"/>
        <v>55.391898871093701</v>
      </c>
      <c r="E145" s="65">
        <f t="shared" si="122"/>
        <v>37.338642204485488</v>
      </c>
      <c r="F145" s="65">
        <f t="shared" si="122"/>
        <v>36.570045392511801</v>
      </c>
      <c r="G145" s="65">
        <f t="shared" si="122"/>
        <v>30.543859591361308</v>
      </c>
      <c r="H145" s="65">
        <f t="shared" si="122"/>
        <v>23.243045516659766</v>
      </c>
      <c r="I145" s="65">
        <f t="shared" si="122"/>
        <v>13.364819639079</v>
      </c>
      <c r="J145" s="65">
        <f t="shared" si="122"/>
        <v>23.350371189205681</v>
      </c>
      <c r="K145" s="65">
        <f t="shared" si="122"/>
        <v>21.668755347028988</v>
      </c>
      <c r="L145" s="65">
        <f t="shared" si="122"/>
        <v>22.998757397680816</v>
      </c>
      <c r="M145" s="65">
        <f t="shared" si="122"/>
        <v>19.891854909606671</v>
      </c>
      <c r="N145" s="65">
        <f t="shared" si="122"/>
        <v>12.452798009993025</v>
      </c>
      <c r="O145" s="65">
        <f t="shared" si="122"/>
        <v>12.772024348438132</v>
      </c>
      <c r="P145" s="65">
        <f t="shared" si="122"/>
        <v>9.7250080601779008</v>
      </c>
      <c r="Q145" s="65">
        <f t="shared" si="122"/>
        <v>11.340065677183855</v>
      </c>
      <c r="R145" s="65">
        <f t="shared" si="122"/>
        <v>13.621530634185204</v>
      </c>
      <c r="S145" s="65">
        <f t="shared" si="122"/>
        <v>10.1058241760258</v>
      </c>
      <c r="T145" s="65">
        <f t="shared" si="122"/>
        <v>9.0332474263476694</v>
      </c>
      <c r="U145" s="65">
        <f t="shared" si="122"/>
        <v>7.9796183624002559</v>
      </c>
      <c r="V145" s="65">
        <f t="shared" si="122"/>
        <v>8.1278630377406955</v>
      </c>
      <c r="W145" s="65">
        <f t="shared" si="122"/>
        <v>5.9445712244615843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4.9914951028510792</v>
      </c>
      <c r="C147" s="65">
        <f t="shared" ref="C147:W147" si="126">IF(C117=0,0,C117/C$26)</f>
        <v>4.7648160953201062</v>
      </c>
      <c r="D147" s="65">
        <f t="shared" si="126"/>
        <v>4.6176352705785932</v>
      </c>
      <c r="E147" s="65">
        <f t="shared" si="126"/>
        <v>4.7707670145612298</v>
      </c>
      <c r="F147" s="65">
        <f t="shared" si="126"/>
        <v>4.6227447283201872</v>
      </c>
      <c r="G147" s="65">
        <f t="shared" si="126"/>
        <v>4.464204218331723</v>
      </c>
      <c r="H147" s="65">
        <f t="shared" si="126"/>
        <v>4.3128920276576599</v>
      </c>
      <c r="I147" s="65">
        <f t="shared" si="126"/>
        <v>4.2269359175435008</v>
      </c>
      <c r="J147" s="65">
        <f t="shared" si="126"/>
        <v>3.8781917843804425</v>
      </c>
      <c r="K147" s="65">
        <f t="shared" si="126"/>
        <v>3.8121637733267661</v>
      </c>
      <c r="L147" s="65">
        <f t="shared" si="126"/>
        <v>3.7008557143828038</v>
      </c>
      <c r="M147" s="65">
        <f t="shared" si="126"/>
        <v>3.1033886448466834</v>
      </c>
      <c r="N147" s="65">
        <f t="shared" si="126"/>
        <v>2.8876049980411835</v>
      </c>
      <c r="O147" s="65">
        <f t="shared" si="126"/>
        <v>2.5119860928739515</v>
      </c>
      <c r="P147" s="65">
        <f t="shared" si="126"/>
        <v>2.2090710720537254</v>
      </c>
      <c r="Q147" s="65">
        <f t="shared" si="126"/>
        <v>2.0400299592964508</v>
      </c>
      <c r="R147" s="65">
        <f t="shared" si="126"/>
        <v>2.1105187263881668</v>
      </c>
      <c r="S147" s="65">
        <f t="shared" si="126"/>
        <v>1.8376938358483399</v>
      </c>
      <c r="T147" s="65">
        <f t="shared" si="126"/>
        <v>2.1403962523170348</v>
      </c>
      <c r="U147" s="65">
        <f t="shared" si="126"/>
        <v>2.0959740920161205</v>
      </c>
      <c r="V147" s="65">
        <f t="shared" si="126"/>
        <v>1.9033252097470912</v>
      </c>
      <c r="W147" s="65">
        <f t="shared" si="126"/>
        <v>1.5754228877902825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4.0008261082908554</v>
      </c>
      <c r="C148" s="67">
        <f t="shared" ref="C148:W148" si="128">IF(C118=0,0,C118/C$26)</f>
        <v>4.6041256337161132</v>
      </c>
      <c r="D148" s="67">
        <f t="shared" si="128"/>
        <v>2.6766068980538367</v>
      </c>
      <c r="E148" s="67">
        <f t="shared" si="128"/>
        <v>1.7961585222712739</v>
      </c>
      <c r="F148" s="67">
        <f t="shared" si="128"/>
        <v>1.8934011320629185</v>
      </c>
      <c r="G148" s="67">
        <f t="shared" si="128"/>
        <v>1.4996234790740413</v>
      </c>
      <c r="H148" s="67">
        <f t="shared" si="128"/>
        <v>0.95703379545984701</v>
      </c>
      <c r="I148" s="67">
        <f t="shared" si="128"/>
        <v>2.1713653742180914</v>
      </c>
      <c r="J148" s="67">
        <f t="shared" si="128"/>
        <v>1.3030141884592574</v>
      </c>
      <c r="K148" s="67">
        <f t="shared" si="128"/>
        <v>1.605283447452166</v>
      </c>
      <c r="L148" s="67">
        <f t="shared" si="128"/>
        <v>2.07714664964803</v>
      </c>
      <c r="M148" s="67">
        <f t="shared" si="128"/>
        <v>0.97482292809745963</v>
      </c>
      <c r="N148" s="67">
        <f t="shared" si="128"/>
        <v>1.6408974938021685</v>
      </c>
      <c r="O148" s="67">
        <f t="shared" si="128"/>
        <v>1.4075419751631399</v>
      </c>
      <c r="P148" s="67">
        <f t="shared" si="128"/>
        <v>1.6979073978095602</v>
      </c>
      <c r="Q148" s="67">
        <f t="shared" si="128"/>
        <v>1.9347941432730755</v>
      </c>
      <c r="R148" s="67">
        <f t="shared" si="128"/>
        <v>1.9736086088181775</v>
      </c>
      <c r="S148" s="67">
        <f t="shared" si="128"/>
        <v>1.892271326646366</v>
      </c>
      <c r="T148" s="67">
        <f t="shared" si="128"/>
        <v>1.8821315782175743</v>
      </c>
      <c r="U148" s="67">
        <f t="shared" si="128"/>
        <v>2.3124868812805413</v>
      </c>
      <c r="V148" s="67">
        <f t="shared" si="128"/>
        <v>1.9297190518358425</v>
      </c>
      <c r="W148" s="67">
        <f t="shared" si="128"/>
        <v>1.4474672654253782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13878.475722188074</v>
      </c>
      <c r="C153" s="82">
        <f t="shared" ref="C153:W153" si="132">IF(C99=0,0,C99/C$23)</f>
        <v>17986.066348803986</v>
      </c>
      <c r="D153" s="82">
        <f t="shared" si="132"/>
        <v>16726.484177154012</v>
      </c>
      <c r="E153" s="82">
        <f t="shared" si="132"/>
        <v>11741.803921568626</v>
      </c>
      <c r="F153" s="82">
        <f t="shared" si="132"/>
        <v>12409.603532506577</v>
      </c>
      <c r="G153" s="82">
        <f t="shared" si="132"/>
        <v>10884.541841631675</v>
      </c>
      <c r="H153" s="82">
        <f t="shared" si="132"/>
        <v>9729.2216178851468</v>
      </c>
      <c r="I153" s="82">
        <f t="shared" si="132"/>
        <v>8175.5023237935484</v>
      </c>
      <c r="J153" s="82">
        <f t="shared" si="132"/>
        <v>10279.91216766142</v>
      </c>
      <c r="K153" s="82">
        <f t="shared" si="132"/>
        <v>10066.9696969697</v>
      </c>
      <c r="L153" s="82">
        <f t="shared" si="132"/>
        <v>10930.882352941169</v>
      </c>
      <c r="M153" s="82">
        <f t="shared" si="132"/>
        <v>10695.855316399988</v>
      </c>
      <c r="N153" s="82">
        <f t="shared" si="132"/>
        <v>9293.8984427104278</v>
      </c>
      <c r="O153" s="82">
        <f t="shared" si="132"/>
        <v>9512.5440927535619</v>
      </c>
      <c r="P153" s="82">
        <f t="shared" si="132"/>
        <v>8630.4490943576257</v>
      </c>
      <c r="Q153" s="82">
        <f t="shared" si="132"/>
        <v>9036.3357385755608</v>
      </c>
      <c r="R153" s="82">
        <f t="shared" si="132"/>
        <v>9484.1762968344938</v>
      </c>
      <c r="S153" s="82">
        <f t="shared" si="132"/>
        <v>9009.9819165643548</v>
      </c>
      <c r="T153" s="82">
        <f t="shared" si="132"/>
        <v>8751.0262724975692</v>
      </c>
      <c r="U153" s="82">
        <f t="shared" si="132"/>
        <v>8284.1506153239225</v>
      </c>
      <c r="V153" s="82">
        <f t="shared" si="132"/>
        <v>7649.6526676648509</v>
      </c>
      <c r="W153" s="82">
        <f t="shared" si="132"/>
        <v>7490.3271249019035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11834.46484107805</v>
      </c>
      <c r="C154" s="64">
        <f t="shared" ref="C154:W154" si="134">IF(C100=0,0,C100/C$23)</f>
        <v>15889.486124443489</v>
      </c>
      <c r="D154" s="64">
        <f t="shared" si="134"/>
        <v>14594.624055855489</v>
      </c>
      <c r="E154" s="64">
        <f t="shared" si="134"/>
        <v>9580.3609289231736</v>
      </c>
      <c r="F154" s="64">
        <f t="shared" si="134"/>
        <v>10172.382555099144</v>
      </c>
      <c r="G154" s="64">
        <f t="shared" si="134"/>
        <v>8563.60346169886</v>
      </c>
      <c r="H154" s="64">
        <f t="shared" si="134"/>
        <v>7355.7519742196846</v>
      </c>
      <c r="I154" s="64">
        <f t="shared" si="134"/>
        <v>5766.5432709253937</v>
      </c>
      <c r="J154" s="64">
        <f t="shared" si="134"/>
        <v>7824.391113913246</v>
      </c>
      <c r="K154" s="64">
        <f t="shared" si="134"/>
        <v>7593.1013243879579</v>
      </c>
      <c r="L154" s="64">
        <f t="shared" si="134"/>
        <v>8412.1009531971795</v>
      </c>
      <c r="M154" s="64">
        <f t="shared" si="134"/>
        <v>8132.2903247889462</v>
      </c>
      <c r="N154" s="64">
        <f t="shared" si="134"/>
        <v>6714.2559992679335</v>
      </c>
      <c r="O154" s="64">
        <f t="shared" si="134"/>
        <v>6883.9102332860257</v>
      </c>
      <c r="P154" s="64">
        <f t="shared" si="134"/>
        <v>5974.7844199118554</v>
      </c>
      <c r="Q154" s="64">
        <f t="shared" si="134"/>
        <v>6362.2971345352798</v>
      </c>
      <c r="R154" s="64">
        <f t="shared" si="134"/>
        <v>6818.1271445771745</v>
      </c>
      <c r="S154" s="64">
        <f t="shared" si="134"/>
        <v>6469.3864339996426</v>
      </c>
      <c r="T154" s="64">
        <f t="shared" si="134"/>
        <v>6279.0143020983651</v>
      </c>
      <c r="U154" s="64">
        <f t="shared" si="134"/>
        <v>5876.5562333332782</v>
      </c>
      <c r="V154" s="64">
        <f t="shared" si="134"/>
        <v>5420.8950791706193</v>
      </c>
      <c r="W154" s="64">
        <f t="shared" si="134"/>
        <v>5259.782895063915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9842.5150776425307</v>
      </c>
      <c r="C155" s="65">
        <f t="shared" ref="C155:W155" si="136">IF(C101=0,0,C101/C$23)</f>
        <v>13848.120622083501</v>
      </c>
      <c r="D155" s="65">
        <f t="shared" si="136"/>
        <v>12674.109168581097</v>
      </c>
      <c r="E155" s="65">
        <f t="shared" si="136"/>
        <v>7675.8569525152088</v>
      </c>
      <c r="F155" s="65">
        <f t="shared" si="136"/>
        <v>8291.624492240082</v>
      </c>
      <c r="G155" s="65">
        <f t="shared" si="136"/>
        <v>6663.4276235390435</v>
      </c>
      <c r="H155" s="65">
        <f t="shared" si="136"/>
        <v>5467.0891627845249</v>
      </c>
      <c r="I155" s="65">
        <f t="shared" si="136"/>
        <v>3841.3360719602833</v>
      </c>
      <c r="J155" s="65">
        <f t="shared" si="136"/>
        <v>5987.13560105948</v>
      </c>
      <c r="K155" s="65">
        <f t="shared" si="136"/>
        <v>5724.5864274706446</v>
      </c>
      <c r="L155" s="65">
        <f t="shared" si="136"/>
        <v>6490.4996786760294</v>
      </c>
      <c r="M155" s="65">
        <f t="shared" si="136"/>
        <v>6256.901693280558</v>
      </c>
      <c r="N155" s="65">
        <f t="shared" si="136"/>
        <v>4762.8019676816393</v>
      </c>
      <c r="O155" s="65">
        <f t="shared" si="136"/>
        <v>4929.0279742364919</v>
      </c>
      <c r="P155" s="65">
        <f t="shared" si="136"/>
        <v>4004.576792223037</v>
      </c>
      <c r="Q155" s="65">
        <f t="shared" si="136"/>
        <v>4316.4150154728732</v>
      </c>
      <c r="R155" s="65">
        <f t="shared" si="136"/>
        <v>4787.5746129479376</v>
      </c>
      <c r="S155" s="65">
        <f t="shared" si="136"/>
        <v>4470.5154892502969</v>
      </c>
      <c r="T155" s="65">
        <f t="shared" si="136"/>
        <v>4338.5209333531611</v>
      </c>
      <c r="U155" s="65">
        <f t="shared" si="136"/>
        <v>3924.4981925999546</v>
      </c>
      <c r="V155" s="65">
        <f t="shared" si="136"/>
        <v>3564.2970908408815</v>
      </c>
      <c r="W155" s="65">
        <f t="shared" si="136"/>
        <v>3430.310895750571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82.063140306950217</v>
      </c>
      <c r="C156" s="65">
        <f t="shared" ref="C156:W156" si="138">IF(C102=0,0,C102/C$23)</f>
        <v>81.630976161950045</v>
      </c>
      <c r="D156" s="65">
        <f t="shared" si="138"/>
        <v>82.967865923527697</v>
      </c>
      <c r="E156" s="65">
        <f t="shared" si="138"/>
        <v>107.81648528483278</v>
      </c>
      <c r="F156" s="65">
        <f t="shared" si="138"/>
        <v>87.148198300038388</v>
      </c>
      <c r="G156" s="65">
        <f t="shared" si="138"/>
        <v>91.711323933805843</v>
      </c>
      <c r="H156" s="65">
        <f t="shared" si="138"/>
        <v>103.05435792639081</v>
      </c>
      <c r="I156" s="65">
        <f t="shared" si="138"/>
        <v>103.60220345492915</v>
      </c>
      <c r="J156" s="65">
        <f t="shared" si="138"/>
        <v>104.25095130585586</v>
      </c>
      <c r="K156" s="65">
        <f t="shared" si="138"/>
        <v>106.10582670858412</v>
      </c>
      <c r="L156" s="65">
        <f t="shared" si="138"/>
        <v>115.17066943737127</v>
      </c>
      <c r="M156" s="65">
        <f t="shared" si="138"/>
        <v>117.22752278361071</v>
      </c>
      <c r="N156" s="65">
        <f t="shared" si="138"/>
        <v>132.08083156272966</v>
      </c>
      <c r="O156" s="65">
        <f t="shared" si="138"/>
        <v>137.36532593196983</v>
      </c>
      <c r="P156" s="65">
        <f t="shared" si="138"/>
        <v>110.60320524564878</v>
      </c>
      <c r="Q156" s="65">
        <f t="shared" si="138"/>
        <v>133.8829207424977</v>
      </c>
      <c r="R156" s="65">
        <f t="shared" si="138"/>
        <v>107.3434404341327</v>
      </c>
      <c r="S156" s="65">
        <f t="shared" si="138"/>
        <v>122.40784903076916</v>
      </c>
      <c r="T156" s="65">
        <f t="shared" si="138"/>
        <v>102.76902095506183</v>
      </c>
      <c r="U156" s="65">
        <f t="shared" si="138"/>
        <v>106.61115080243515</v>
      </c>
      <c r="V156" s="65">
        <f t="shared" si="138"/>
        <v>93.618998669699465</v>
      </c>
      <c r="W156" s="65">
        <f t="shared" si="138"/>
        <v>101.25288230386971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925.8264126924937</v>
      </c>
      <c r="C157" s="65">
        <f t="shared" ref="C157:W157" si="140">IF(C103=0,0,C103/C$23)</f>
        <v>907.22665753591127</v>
      </c>
      <c r="D157" s="65">
        <f t="shared" si="140"/>
        <v>884.01411682125547</v>
      </c>
      <c r="E157" s="65">
        <f t="shared" si="140"/>
        <v>895.83063102950086</v>
      </c>
      <c r="F157" s="65">
        <f t="shared" si="140"/>
        <v>892.86840259666201</v>
      </c>
      <c r="G157" s="65">
        <f t="shared" si="140"/>
        <v>911.35268440904281</v>
      </c>
      <c r="H157" s="65">
        <f t="shared" si="140"/>
        <v>909.57867408691482</v>
      </c>
      <c r="I157" s="65">
        <f t="shared" si="140"/>
        <v>904.21120703457655</v>
      </c>
      <c r="J157" s="65">
        <f t="shared" si="140"/>
        <v>884.88965244674773</v>
      </c>
      <c r="K157" s="65">
        <f t="shared" si="140"/>
        <v>892.07437120630095</v>
      </c>
      <c r="L157" s="65">
        <f t="shared" si="140"/>
        <v>902.73059971039822</v>
      </c>
      <c r="M157" s="65">
        <f t="shared" si="140"/>
        <v>884.27134282770078</v>
      </c>
      <c r="N157" s="65">
        <f t="shared" si="140"/>
        <v>886.15657994514333</v>
      </c>
      <c r="O157" s="65">
        <f t="shared" si="140"/>
        <v>887.01906707332603</v>
      </c>
      <c r="P157" s="65">
        <f t="shared" si="140"/>
        <v>896.39988180592036</v>
      </c>
      <c r="Q157" s="65">
        <f t="shared" si="140"/>
        <v>899.17439340109956</v>
      </c>
      <c r="R157" s="65">
        <f t="shared" si="140"/>
        <v>897.76923855617758</v>
      </c>
      <c r="S157" s="65">
        <f t="shared" si="140"/>
        <v>860.15026597629162</v>
      </c>
      <c r="T157" s="65">
        <f t="shared" si="140"/>
        <v>832.56627688181641</v>
      </c>
      <c r="U157" s="65">
        <f t="shared" si="140"/>
        <v>822.40613932678775</v>
      </c>
      <c r="V157" s="65">
        <f t="shared" si="140"/>
        <v>796.79628873137381</v>
      </c>
      <c r="W157" s="65">
        <f t="shared" si="140"/>
        <v>786.39367505853841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984.06021043607689</v>
      </c>
      <c r="C158" s="67">
        <f t="shared" ref="C158:W158" si="142">IF(C104=0,0,C104/C$23)</f>
        <v>1052.507868662125</v>
      </c>
      <c r="D158" s="67">
        <f t="shared" si="142"/>
        <v>953.53290452961187</v>
      </c>
      <c r="E158" s="67">
        <f t="shared" si="142"/>
        <v>900.8568600936328</v>
      </c>
      <c r="F158" s="67">
        <f t="shared" si="142"/>
        <v>900.74146196236256</v>
      </c>
      <c r="G158" s="67">
        <f t="shared" si="142"/>
        <v>897.11182981696868</v>
      </c>
      <c r="H158" s="67">
        <f t="shared" si="142"/>
        <v>876.02977942185407</v>
      </c>
      <c r="I158" s="67">
        <f t="shared" si="142"/>
        <v>917.39378847560363</v>
      </c>
      <c r="J158" s="67">
        <f t="shared" si="142"/>
        <v>848.11490910116243</v>
      </c>
      <c r="K158" s="67">
        <f t="shared" si="142"/>
        <v>870.33469900242642</v>
      </c>
      <c r="L158" s="67">
        <f t="shared" si="142"/>
        <v>903.70000537338342</v>
      </c>
      <c r="M158" s="67">
        <f t="shared" si="142"/>
        <v>873.8897658970775</v>
      </c>
      <c r="N158" s="67">
        <f t="shared" si="142"/>
        <v>933.21662007841962</v>
      </c>
      <c r="O158" s="67">
        <f t="shared" si="142"/>
        <v>930.49786604423855</v>
      </c>
      <c r="P158" s="67">
        <f t="shared" si="142"/>
        <v>963.20454063724924</v>
      </c>
      <c r="Q158" s="67">
        <f t="shared" si="142"/>
        <v>1012.8248049188101</v>
      </c>
      <c r="R158" s="67">
        <f t="shared" si="142"/>
        <v>1025.4398526389257</v>
      </c>
      <c r="S158" s="67">
        <f t="shared" si="142"/>
        <v>1016.3128297422857</v>
      </c>
      <c r="T158" s="67">
        <f t="shared" si="142"/>
        <v>1005.158070908326</v>
      </c>
      <c r="U158" s="67">
        <f t="shared" si="142"/>
        <v>1023.0407506041022</v>
      </c>
      <c r="V158" s="67">
        <f t="shared" si="142"/>
        <v>966.18270092866567</v>
      </c>
      <c r="W158" s="67">
        <f t="shared" si="142"/>
        <v>941.82544195093578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2044.0108811100229</v>
      </c>
      <c r="C159" s="68">
        <f t="shared" ref="C159:W159" si="144">IF(C105=0,0,C105/C$23)</f>
        <v>2096.5802243604981</v>
      </c>
      <c r="D159" s="68">
        <f t="shared" si="144"/>
        <v>2131.8601212985186</v>
      </c>
      <c r="E159" s="68">
        <f t="shared" si="144"/>
        <v>2161.4429926454518</v>
      </c>
      <c r="F159" s="68">
        <f t="shared" si="144"/>
        <v>2237.2209774074299</v>
      </c>
      <c r="G159" s="68">
        <f t="shared" si="144"/>
        <v>2320.9383799328152</v>
      </c>
      <c r="H159" s="68">
        <f t="shared" si="144"/>
        <v>2373.4696436654613</v>
      </c>
      <c r="I159" s="68">
        <f t="shared" si="144"/>
        <v>2408.9590528681547</v>
      </c>
      <c r="J159" s="68">
        <f t="shared" si="144"/>
        <v>2455.5210537481748</v>
      </c>
      <c r="K159" s="68">
        <f t="shared" si="144"/>
        <v>2473.8683725817405</v>
      </c>
      <c r="L159" s="68">
        <f t="shared" si="144"/>
        <v>2518.7813997439898</v>
      </c>
      <c r="M159" s="68">
        <f t="shared" si="144"/>
        <v>2563.5649916110419</v>
      </c>
      <c r="N159" s="68">
        <f t="shared" si="144"/>
        <v>2579.6424434424976</v>
      </c>
      <c r="O159" s="68">
        <f t="shared" si="144"/>
        <v>2628.6338594675353</v>
      </c>
      <c r="P159" s="68">
        <f t="shared" si="144"/>
        <v>2655.6646744457685</v>
      </c>
      <c r="Q159" s="68">
        <f t="shared" si="144"/>
        <v>2674.0386040402814</v>
      </c>
      <c r="R159" s="68">
        <f t="shared" si="144"/>
        <v>2666.0491522573207</v>
      </c>
      <c r="S159" s="68">
        <f t="shared" si="144"/>
        <v>2540.5954825647132</v>
      </c>
      <c r="T159" s="68">
        <f t="shared" si="144"/>
        <v>2472.0119703992036</v>
      </c>
      <c r="U159" s="68">
        <f t="shared" si="144"/>
        <v>2407.5943819906456</v>
      </c>
      <c r="V159" s="68">
        <f t="shared" si="144"/>
        <v>2228.7575884942312</v>
      </c>
      <c r="W159" s="68">
        <f t="shared" si="144"/>
        <v>2230.544229837988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7068.8866540679355</v>
      </c>
      <c r="C161" s="85">
        <f t="shared" ref="C161:W161" si="146">IF(C107=0,0,C107/C$23)</f>
        <v>9166.3182848005636</v>
      </c>
      <c r="D161" s="85">
        <f t="shared" si="146"/>
        <v>8792.9415854094004</v>
      </c>
      <c r="E161" s="85">
        <f t="shared" si="146"/>
        <v>5789.3241442405879</v>
      </c>
      <c r="F161" s="85">
        <f t="shared" si="146"/>
        <v>6260.4730017492084</v>
      </c>
      <c r="G161" s="85">
        <f t="shared" si="146"/>
        <v>5300.8171783526377</v>
      </c>
      <c r="H161" s="85">
        <f t="shared" si="146"/>
        <v>4741.2558870560215</v>
      </c>
      <c r="I161" s="85">
        <f t="shared" si="146"/>
        <v>3870.7972996463336</v>
      </c>
      <c r="J161" s="85">
        <f t="shared" si="146"/>
        <v>5154.5261776620364</v>
      </c>
      <c r="K161" s="85">
        <f t="shared" si="146"/>
        <v>5090.7797705015746</v>
      </c>
      <c r="L161" s="85">
        <f t="shared" si="146"/>
        <v>5759.8923254221345</v>
      </c>
      <c r="M161" s="85">
        <f t="shared" si="146"/>
        <v>5781.1097305525227</v>
      </c>
      <c r="N161" s="85">
        <f t="shared" si="146"/>
        <v>4978.7228268662957</v>
      </c>
      <c r="O161" s="85">
        <f t="shared" si="146"/>
        <v>5203.1315534222767</v>
      </c>
      <c r="P161" s="85">
        <f t="shared" si="146"/>
        <v>4556.0846689190012</v>
      </c>
      <c r="Q161" s="85">
        <f t="shared" si="146"/>
        <v>4908.9275927572253</v>
      </c>
      <c r="R161" s="85">
        <f t="shared" si="146"/>
        <v>5205.6546098455237</v>
      </c>
      <c r="S161" s="85">
        <f t="shared" si="146"/>
        <v>5167.2224064557013</v>
      </c>
      <c r="T161" s="85">
        <f t="shared" si="146"/>
        <v>5065.5868111468462</v>
      </c>
      <c r="U161" s="85">
        <f t="shared" si="146"/>
        <v>4837.5185623269281</v>
      </c>
      <c r="V161" s="85">
        <f t="shared" si="146"/>
        <v>4503.0395308191937</v>
      </c>
      <c r="W161" s="85">
        <f t="shared" si="146"/>
        <v>4543.132898690792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5738.7245222082238</v>
      </c>
      <c r="C162" s="65">
        <f t="shared" ref="C162:W162" si="148">IF(C108=0,0,C108/C$23)</f>
        <v>7804.1170022687083</v>
      </c>
      <c r="D162" s="65">
        <f t="shared" si="148"/>
        <v>7448.2648697239038</v>
      </c>
      <c r="E162" s="65">
        <f t="shared" si="148"/>
        <v>4397.4961820272538</v>
      </c>
      <c r="F162" s="65">
        <f t="shared" si="148"/>
        <v>4904.5192165289254</v>
      </c>
      <c r="G162" s="65">
        <f t="shared" si="148"/>
        <v>3902.2243269542805</v>
      </c>
      <c r="H162" s="65">
        <f t="shared" si="148"/>
        <v>3302.5803822678954</v>
      </c>
      <c r="I162" s="65">
        <f t="shared" si="148"/>
        <v>2431.3373963291046</v>
      </c>
      <c r="J162" s="65">
        <f t="shared" si="148"/>
        <v>3727.5289785675532</v>
      </c>
      <c r="K162" s="65">
        <f t="shared" si="148"/>
        <v>3637.3212790000925</v>
      </c>
      <c r="L162" s="65">
        <f t="shared" si="148"/>
        <v>4252.8910418200376</v>
      </c>
      <c r="M162" s="65">
        <f t="shared" si="148"/>
        <v>4236.8573373814825</v>
      </c>
      <c r="N162" s="65">
        <f t="shared" si="148"/>
        <v>3350.335511063397</v>
      </c>
      <c r="O162" s="65">
        <f t="shared" si="148"/>
        <v>3524.2894145977116</v>
      </c>
      <c r="P162" s="65">
        <f t="shared" si="148"/>
        <v>2905.345164525716</v>
      </c>
      <c r="Q162" s="65">
        <f t="shared" si="148"/>
        <v>3132.7758518249384</v>
      </c>
      <c r="R162" s="65">
        <f t="shared" si="148"/>
        <v>3481.3956536829314</v>
      </c>
      <c r="S162" s="65">
        <f t="shared" si="148"/>
        <v>3389.9400625910966</v>
      </c>
      <c r="T162" s="65">
        <f t="shared" si="148"/>
        <v>3355.4369956886203</v>
      </c>
      <c r="U162" s="65">
        <f t="shared" si="148"/>
        <v>3097.9838570819579</v>
      </c>
      <c r="V162" s="65">
        <f t="shared" si="148"/>
        <v>2831.648583153958</v>
      </c>
      <c r="W162" s="65">
        <f t="shared" si="148"/>
        <v>2819.0474869124059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144.06603074649448</v>
      </c>
      <c r="C163" s="65">
        <f t="shared" ref="C163:W163" si="150">IF(C109=0,0,C109/C$23)</f>
        <v>148.41607380104782</v>
      </c>
      <c r="D163" s="65">
        <f t="shared" si="150"/>
        <v>157.64894883205505</v>
      </c>
      <c r="E163" s="65">
        <f t="shared" si="150"/>
        <v>213.07123905844423</v>
      </c>
      <c r="F163" s="65">
        <f t="shared" si="150"/>
        <v>179.66230367837326</v>
      </c>
      <c r="G163" s="65">
        <f t="shared" si="150"/>
        <v>197.20754645236877</v>
      </c>
      <c r="H163" s="65">
        <f t="shared" si="150"/>
        <v>232.33468122594192</v>
      </c>
      <c r="I163" s="65">
        <f t="shared" si="150"/>
        <v>244.86416533951919</v>
      </c>
      <c r="J163" s="65">
        <f t="shared" si="150"/>
        <v>257.74169180758906</v>
      </c>
      <c r="K163" s="65">
        <f t="shared" si="150"/>
        <v>265.9388519499941</v>
      </c>
      <c r="L163" s="65">
        <f t="shared" si="150"/>
        <v>294.65753863737729</v>
      </c>
      <c r="M163" s="65">
        <f t="shared" si="150"/>
        <v>308.15808559984282</v>
      </c>
      <c r="N163" s="65">
        <f t="shared" si="150"/>
        <v>356.86785853456843</v>
      </c>
      <c r="O163" s="65">
        <f t="shared" si="150"/>
        <v>382.39711501170729</v>
      </c>
      <c r="P163" s="65">
        <f t="shared" si="150"/>
        <v>318.39556887116061</v>
      </c>
      <c r="Q163" s="65">
        <f t="shared" si="150"/>
        <v>398.6070892264969</v>
      </c>
      <c r="R163" s="65">
        <f t="shared" si="150"/>
        <v>331.70732940652027</v>
      </c>
      <c r="S163" s="65">
        <f t="shared" si="150"/>
        <v>390.45333228259267</v>
      </c>
      <c r="T163" s="65">
        <f t="shared" si="150"/>
        <v>337.34072318218347</v>
      </c>
      <c r="U163" s="65">
        <f t="shared" si="150"/>
        <v>358.08626965634301</v>
      </c>
      <c r="V163" s="65">
        <f t="shared" si="150"/>
        <v>322.28458178375877</v>
      </c>
      <c r="W163" s="65">
        <f t="shared" si="150"/>
        <v>356.81197071072012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536.60122968046028</v>
      </c>
      <c r="C164" s="65">
        <f t="shared" ref="C164:W164" si="152">IF(C110=0,0,C110/C$23)</f>
        <v>532.39837088100148</v>
      </c>
      <c r="D164" s="65">
        <f t="shared" si="152"/>
        <v>519.75301855012754</v>
      </c>
      <c r="E164" s="65">
        <f t="shared" si="152"/>
        <v>523.81622473287018</v>
      </c>
      <c r="F164" s="65">
        <f t="shared" si="152"/>
        <v>524.68671554057062</v>
      </c>
      <c r="G164" s="65">
        <f t="shared" si="152"/>
        <v>539.22226319818776</v>
      </c>
      <c r="H164" s="65">
        <f t="shared" si="152"/>
        <v>540.12266667155654</v>
      </c>
      <c r="I164" s="65">
        <f t="shared" si="152"/>
        <v>538.97336145687439</v>
      </c>
      <c r="J164" s="65">
        <f t="shared" si="152"/>
        <v>535.35495339458009</v>
      </c>
      <c r="K164" s="65">
        <f t="shared" si="152"/>
        <v>546.21602149331454</v>
      </c>
      <c r="L164" s="65">
        <f t="shared" si="152"/>
        <v>560.60902437430559</v>
      </c>
      <c r="M164" s="65">
        <f t="shared" si="152"/>
        <v>566.97591739740244</v>
      </c>
      <c r="N164" s="65">
        <f t="shared" si="152"/>
        <v>579.10949771328615</v>
      </c>
      <c r="O164" s="65">
        <f t="shared" si="152"/>
        <v>595.97456519116463</v>
      </c>
      <c r="P164" s="65">
        <f t="shared" si="152"/>
        <v>615.6671998314805</v>
      </c>
      <c r="Q164" s="65">
        <f t="shared" si="152"/>
        <v>626.84118605715094</v>
      </c>
      <c r="R164" s="65">
        <f t="shared" si="152"/>
        <v>629.69320608896157</v>
      </c>
      <c r="S164" s="65">
        <f t="shared" si="152"/>
        <v>621.99233986497381</v>
      </c>
      <c r="T164" s="65">
        <f t="shared" si="152"/>
        <v>609.45541268314071</v>
      </c>
      <c r="U164" s="65">
        <f t="shared" si="152"/>
        <v>614.47037017380808</v>
      </c>
      <c r="V164" s="65">
        <f t="shared" si="152"/>
        <v>610.76628058575466</v>
      </c>
      <c r="W164" s="65">
        <f t="shared" si="152"/>
        <v>621.90237360965318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649.49487143275599</v>
      </c>
      <c r="C165" s="68">
        <f t="shared" ref="C165:W165" si="154">IF(C111=0,0,C111/C$23)</f>
        <v>681.38683784980401</v>
      </c>
      <c r="D165" s="68">
        <f t="shared" si="154"/>
        <v>667.27474830331323</v>
      </c>
      <c r="E165" s="68">
        <f t="shared" si="154"/>
        <v>654.94049842201866</v>
      </c>
      <c r="F165" s="68">
        <f t="shared" si="154"/>
        <v>651.6047660013387</v>
      </c>
      <c r="G165" s="68">
        <f t="shared" si="154"/>
        <v>662.16304174780032</v>
      </c>
      <c r="H165" s="68">
        <f t="shared" si="154"/>
        <v>666.21815689062703</v>
      </c>
      <c r="I165" s="68">
        <f t="shared" si="154"/>
        <v>655.62237652083559</v>
      </c>
      <c r="J165" s="68">
        <f t="shared" si="154"/>
        <v>633.9005538923135</v>
      </c>
      <c r="K165" s="68">
        <f t="shared" si="154"/>
        <v>641.3036180581737</v>
      </c>
      <c r="L165" s="68">
        <f t="shared" si="154"/>
        <v>651.73472059041444</v>
      </c>
      <c r="M165" s="68">
        <f t="shared" si="154"/>
        <v>669.11839017379464</v>
      </c>
      <c r="N165" s="68">
        <f t="shared" si="154"/>
        <v>692.40995955504445</v>
      </c>
      <c r="O165" s="68">
        <f t="shared" si="154"/>
        <v>700.4704586216933</v>
      </c>
      <c r="P165" s="68">
        <f t="shared" si="154"/>
        <v>716.67673569064402</v>
      </c>
      <c r="Q165" s="68">
        <f t="shared" si="154"/>
        <v>750.70346564863883</v>
      </c>
      <c r="R165" s="68">
        <f t="shared" si="154"/>
        <v>762.8584206671112</v>
      </c>
      <c r="S165" s="68">
        <f t="shared" si="154"/>
        <v>764.83667171703814</v>
      </c>
      <c r="T165" s="68">
        <f t="shared" si="154"/>
        <v>763.35367959290136</v>
      </c>
      <c r="U165" s="68">
        <f t="shared" si="154"/>
        <v>766.97806541481862</v>
      </c>
      <c r="V165" s="68">
        <f t="shared" si="154"/>
        <v>738.34008529572247</v>
      </c>
      <c r="W165" s="68">
        <f t="shared" si="154"/>
        <v>745.3710674580135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1920.4942141364472</v>
      </c>
      <c r="C167" s="82">
        <f t="shared" ref="C167:W167" si="156">IF(C113=0,0,C113/C$23)</f>
        <v>2907.8832656165109</v>
      </c>
      <c r="D167" s="82">
        <f t="shared" si="156"/>
        <v>2372.5787243519103</v>
      </c>
      <c r="E167" s="82">
        <f t="shared" si="156"/>
        <v>1685.9578653658536</v>
      </c>
      <c r="F167" s="82">
        <f t="shared" si="156"/>
        <v>1687.3970908680944</v>
      </c>
      <c r="G167" s="82">
        <f t="shared" si="156"/>
        <v>1472.8506802639474</v>
      </c>
      <c r="H167" s="82">
        <f t="shared" si="156"/>
        <v>1173.456381787423</v>
      </c>
      <c r="I167" s="82">
        <f t="shared" si="156"/>
        <v>829.3885606457701</v>
      </c>
      <c r="J167" s="82">
        <f t="shared" si="156"/>
        <v>1199.2822453201306</v>
      </c>
      <c r="K167" s="82">
        <f t="shared" si="156"/>
        <v>1134.8403779005528</v>
      </c>
      <c r="L167" s="82">
        <f t="shared" si="156"/>
        <v>1214.5144975629291</v>
      </c>
      <c r="M167" s="82">
        <f t="shared" si="156"/>
        <v>1020.0768467446414</v>
      </c>
      <c r="N167" s="82">
        <f t="shared" si="156"/>
        <v>723.53797643283383</v>
      </c>
      <c r="O167" s="82">
        <f t="shared" si="156"/>
        <v>715.54504810253832</v>
      </c>
      <c r="P167" s="82">
        <f t="shared" si="156"/>
        <v>586.09675058893788</v>
      </c>
      <c r="Q167" s="82">
        <f t="shared" si="156"/>
        <v>653.66459212331006</v>
      </c>
      <c r="R167" s="82">
        <f t="shared" si="156"/>
        <v>747.68019399479078</v>
      </c>
      <c r="S167" s="82">
        <f t="shared" si="156"/>
        <v>574.40844477459461</v>
      </c>
      <c r="T167" s="82">
        <f t="shared" si="156"/>
        <v>534.4600572373364</v>
      </c>
      <c r="U167" s="82">
        <f t="shared" si="156"/>
        <v>502.72231098422412</v>
      </c>
      <c r="V167" s="82">
        <f t="shared" si="156"/>
        <v>492.96486232291267</v>
      </c>
      <c r="W167" s="82">
        <f t="shared" si="156"/>
        <v>368.97008624193938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1920.4942141364472</v>
      </c>
      <c r="C168" s="64">
        <f t="shared" ref="C168:W168" si="158">IF(C114=0,0,C114/C$23)</f>
        <v>2907.8832656165109</v>
      </c>
      <c r="D168" s="64">
        <f t="shared" si="158"/>
        <v>2372.5787243519103</v>
      </c>
      <c r="E168" s="64">
        <f t="shared" si="158"/>
        <v>1685.9578653658536</v>
      </c>
      <c r="F168" s="64">
        <f t="shared" si="158"/>
        <v>1687.3970908680944</v>
      </c>
      <c r="G168" s="64">
        <f t="shared" si="158"/>
        <v>1472.8506802639474</v>
      </c>
      <c r="H168" s="64">
        <f t="shared" si="158"/>
        <v>1173.456381787423</v>
      </c>
      <c r="I168" s="64">
        <f t="shared" si="158"/>
        <v>829.3885606457701</v>
      </c>
      <c r="J168" s="64">
        <f t="shared" si="158"/>
        <v>1199.2822453201306</v>
      </c>
      <c r="K168" s="64">
        <f t="shared" si="158"/>
        <v>1134.8403779005528</v>
      </c>
      <c r="L168" s="64">
        <f t="shared" si="158"/>
        <v>1214.5144975629291</v>
      </c>
      <c r="M168" s="64">
        <f t="shared" si="158"/>
        <v>1020.0768467446414</v>
      </c>
      <c r="N168" s="64">
        <f t="shared" si="158"/>
        <v>723.53797643283383</v>
      </c>
      <c r="O168" s="64">
        <f t="shared" si="158"/>
        <v>715.54504810253832</v>
      </c>
      <c r="P168" s="64">
        <f t="shared" si="158"/>
        <v>586.09675058893788</v>
      </c>
      <c r="Q168" s="64">
        <f t="shared" si="158"/>
        <v>653.66459212331006</v>
      </c>
      <c r="R168" s="64">
        <f t="shared" si="158"/>
        <v>747.68019399479078</v>
      </c>
      <c r="S168" s="64">
        <f t="shared" si="158"/>
        <v>574.40844477459461</v>
      </c>
      <c r="T168" s="64">
        <f t="shared" si="158"/>
        <v>534.4600572373364</v>
      </c>
      <c r="U168" s="64">
        <f t="shared" si="158"/>
        <v>502.72231098422412</v>
      </c>
      <c r="V168" s="64">
        <f t="shared" si="158"/>
        <v>492.96486232291267</v>
      </c>
      <c r="W168" s="64">
        <f t="shared" si="158"/>
        <v>368.97008624193938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1581.5467155662864</v>
      </c>
      <c r="C169" s="65">
        <f t="shared" ref="C169:W169" si="160">IF(C115=0,0,C115/C$23)</f>
        <v>2551.9809841424112</v>
      </c>
      <c r="D169" s="65">
        <f t="shared" si="160"/>
        <v>2096.5023302315512</v>
      </c>
      <c r="E169" s="65">
        <f t="shared" si="160"/>
        <v>1433.7903082731896</v>
      </c>
      <c r="F169" s="65">
        <f t="shared" si="160"/>
        <v>1432.2033675717964</v>
      </c>
      <c r="G169" s="65">
        <f t="shared" si="160"/>
        <v>1232.2485404564304</v>
      </c>
      <c r="H169" s="65">
        <f t="shared" si="160"/>
        <v>956.57165185201666</v>
      </c>
      <c r="I169" s="65">
        <f t="shared" si="160"/>
        <v>560.8743964344394</v>
      </c>
      <c r="J169" s="65">
        <f t="shared" si="160"/>
        <v>981.49798834469857</v>
      </c>
      <c r="K169" s="65">
        <f t="shared" si="160"/>
        <v>907.86364183375861</v>
      </c>
      <c r="L169" s="65">
        <f t="shared" si="160"/>
        <v>970.65564423207991</v>
      </c>
      <c r="M169" s="65">
        <f t="shared" si="160"/>
        <v>846.52333554705115</v>
      </c>
      <c r="N169" s="65">
        <f t="shared" si="160"/>
        <v>530.58788236524128</v>
      </c>
      <c r="O169" s="65">
        <f t="shared" si="160"/>
        <v>547.51999986229191</v>
      </c>
      <c r="P169" s="65">
        <f t="shared" si="160"/>
        <v>418.11922356002191</v>
      </c>
      <c r="Q169" s="65">
        <f t="shared" si="160"/>
        <v>484.01258592977609</v>
      </c>
      <c r="R169" s="65">
        <f t="shared" si="160"/>
        <v>575.21435716650569</v>
      </c>
      <c r="S169" s="65">
        <f t="shared" si="160"/>
        <v>419.55472189468935</v>
      </c>
      <c r="T169" s="65">
        <f t="shared" si="160"/>
        <v>369.79113392594525</v>
      </c>
      <c r="U169" s="65">
        <f t="shared" si="160"/>
        <v>323.82196426193053</v>
      </c>
      <c r="V169" s="65">
        <f t="shared" si="160"/>
        <v>334.9872031535524</v>
      </c>
      <c r="W169" s="65">
        <f t="shared" si="160"/>
        <v>244.59196030895745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188.1443889193248</v>
      </c>
      <c r="C171" s="65">
        <f t="shared" ref="C171:W171" si="164">IF(C117=0,0,C117/C$23)</f>
        <v>181.00325182654174</v>
      </c>
      <c r="D171" s="65">
        <f t="shared" si="164"/>
        <v>174.77073908328128</v>
      </c>
      <c r="E171" s="65">
        <f t="shared" si="164"/>
        <v>183.19572176852182</v>
      </c>
      <c r="F171" s="65">
        <f t="shared" si="164"/>
        <v>181.04190181510191</v>
      </c>
      <c r="G171" s="65">
        <f t="shared" si="164"/>
        <v>180.10196504093906</v>
      </c>
      <c r="H171" s="65">
        <f t="shared" si="164"/>
        <v>177.49783470495763</v>
      </c>
      <c r="I171" s="65">
        <f t="shared" si="164"/>
        <v>177.3896091038188</v>
      </c>
      <c r="J171" s="65">
        <f t="shared" si="164"/>
        <v>163.01400110264484</v>
      </c>
      <c r="K171" s="65">
        <f t="shared" si="164"/>
        <v>159.71959769224537</v>
      </c>
      <c r="L171" s="65">
        <f t="shared" si="164"/>
        <v>156.19350322015467</v>
      </c>
      <c r="M171" s="65">
        <f t="shared" si="164"/>
        <v>132.0686742926984</v>
      </c>
      <c r="N171" s="65">
        <f t="shared" si="164"/>
        <v>123.03485688826461</v>
      </c>
      <c r="O171" s="65">
        <f t="shared" si="164"/>
        <v>107.68556242163881</v>
      </c>
      <c r="P171" s="65">
        <f t="shared" si="164"/>
        <v>94.97730754776488</v>
      </c>
      <c r="Q171" s="65">
        <f t="shared" si="164"/>
        <v>87.0718216350311</v>
      </c>
      <c r="R171" s="65">
        <f t="shared" si="164"/>
        <v>89.123660555483482</v>
      </c>
      <c r="S171" s="65">
        <f t="shared" si="164"/>
        <v>76.29393830698352</v>
      </c>
      <c r="T171" s="65">
        <f t="shared" si="164"/>
        <v>87.620710453093366</v>
      </c>
      <c r="U171" s="65">
        <f t="shared" si="164"/>
        <v>85.057006073986955</v>
      </c>
      <c r="V171" s="65">
        <f t="shared" si="164"/>
        <v>78.444922822181013</v>
      </c>
      <c r="W171" s="65">
        <f t="shared" si="164"/>
        <v>64.821457745276632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150.80310965083623</v>
      </c>
      <c r="C172" s="67">
        <f t="shared" ref="C172:W172" si="166">IF(C118=0,0,C118/C$23)</f>
        <v>174.89902964755819</v>
      </c>
      <c r="D172" s="67">
        <f t="shared" si="166"/>
        <v>101.30565503707771</v>
      </c>
      <c r="E172" s="67">
        <f t="shared" si="166"/>
        <v>68.97183532414239</v>
      </c>
      <c r="F172" s="67">
        <f t="shared" si="166"/>
        <v>74.151821481195839</v>
      </c>
      <c r="G172" s="67">
        <f t="shared" si="166"/>
        <v>60.500174766578098</v>
      </c>
      <c r="H172" s="67">
        <f t="shared" si="166"/>
        <v>39.3868952304488</v>
      </c>
      <c r="I172" s="67">
        <f t="shared" si="166"/>
        <v>91.124555107511966</v>
      </c>
      <c r="J172" s="67">
        <f t="shared" si="166"/>
        <v>54.770255872787523</v>
      </c>
      <c r="K172" s="67">
        <f t="shared" si="166"/>
        <v>67.257138374548873</v>
      </c>
      <c r="L172" s="67">
        <f t="shared" si="166"/>
        <v>87.665350110694547</v>
      </c>
      <c r="M172" s="67">
        <f t="shared" si="166"/>
        <v>41.484836904891836</v>
      </c>
      <c r="N172" s="67">
        <f t="shared" si="166"/>
        <v>69.915237179327846</v>
      </c>
      <c r="O172" s="67">
        <f t="shared" si="166"/>
        <v>60.339485818607514</v>
      </c>
      <c r="P172" s="67">
        <f t="shared" si="166"/>
        <v>73.000219481151134</v>
      </c>
      <c r="Q172" s="67">
        <f t="shared" si="166"/>
        <v>82.580184558502893</v>
      </c>
      <c r="R172" s="67">
        <f t="shared" si="166"/>
        <v>83.342176272801552</v>
      </c>
      <c r="S172" s="67">
        <f t="shared" si="166"/>
        <v>78.559784572921714</v>
      </c>
      <c r="T172" s="67">
        <f t="shared" si="166"/>
        <v>77.048212858297774</v>
      </c>
      <c r="U172" s="67">
        <f t="shared" si="166"/>
        <v>93.843340648306707</v>
      </c>
      <c r="V172" s="67">
        <f t="shared" si="166"/>
        <v>79.53273634717921</v>
      </c>
      <c r="W172" s="67">
        <f t="shared" si="166"/>
        <v>59.556668187705249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20442.166422701335</v>
      </c>
      <c r="C3" s="125">
        <f t="shared" si="0"/>
        <v>20980.473114583663</v>
      </c>
      <c r="D3" s="125">
        <f t="shared" si="0"/>
        <v>21754.077411397753</v>
      </c>
      <c r="E3" s="125">
        <f t="shared" si="0"/>
        <v>22303.789181581458</v>
      </c>
      <c r="F3" s="125">
        <f t="shared" si="0"/>
        <v>23158.560025492101</v>
      </c>
      <c r="G3" s="125">
        <f t="shared" si="0"/>
        <v>23912.086139419815</v>
      </c>
      <c r="H3" s="125">
        <f t="shared" si="0"/>
        <v>25138.039380696788</v>
      </c>
      <c r="I3" s="125">
        <f t="shared" si="0"/>
        <v>26687.881627892588</v>
      </c>
      <c r="J3" s="125">
        <f t="shared" si="0"/>
        <v>27544.090028273156</v>
      </c>
      <c r="K3" s="125">
        <f t="shared" si="0"/>
        <v>27805.881201491473</v>
      </c>
      <c r="L3" s="125">
        <f t="shared" si="0"/>
        <v>28093.323733954461</v>
      </c>
      <c r="M3" s="125">
        <f t="shared" si="0"/>
        <v>28258.788071910152</v>
      </c>
      <c r="N3" s="125">
        <f t="shared" si="0"/>
        <v>28324.328207252795</v>
      </c>
      <c r="O3" s="125">
        <f t="shared" si="0"/>
        <v>28429.088712660698</v>
      </c>
      <c r="P3" s="125">
        <f t="shared" si="0"/>
        <v>28795.623729156818</v>
      </c>
      <c r="Q3" s="125">
        <f t="shared" si="0"/>
        <v>29044.38088663559</v>
      </c>
      <c r="R3" s="125">
        <f t="shared" si="0"/>
        <v>29362.289438705659</v>
      </c>
      <c r="S3" s="125">
        <f t="shared" si="0"/>
        <v>29807.198296364018</v>
      </c>
      <c r="T3" s="125">
        <f t="shared" si="0"/>
        <v>30261.301487380711</v>
      </c>
      <c r="U3" s="125">
        <f t="shared" si="0"/>
        <v>30639.658183836364</v>
      </c>
      <c r="V3" s="125">
        <f t="shared" si="0"/>
        <v>30966.872222222235</v>
      </c>
      <c r="W3" s="125">
        <f t="shared" si="0"/>
        <v>31265.500612908341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20442.166422701335</v>
      </c>
      <c r="C4" s="140">
        <f t="shared" si="1"/>
        <v>20980.473114583663</v>
      </c>
      <c r="D4" s="140">
        <f t="shared" si="1"/>
        <v>21754.077411397753</v>
      </c>
      <c r="E4" s="140">
        <f t="shared" si="1"/>
        <v>22303.789181581458</v>
      </c>
      <c r="F4" s="140">
        <f t="shared" si="1"/>
        <v>23158.560025492101</v>
      </c>
      <c r="G4" s="140">
        <f t="shared" si="1"/>
        <v>23912.086139419815</v>
      </c>
      <c r="H4" s="140">
        <f t="shared" si="1"/>
        <v>25138.039380696788</v>
      </c>
      <c r="I4" s="140">
        <f t="shared" si="1"/>
        <v>26687.881627892588</v>
      </c>
      <c r="J4" s="140">
        <f t="shared" si="1"/>
        <v>27544.090028273156</v>
      </c>
      <c r="K4" s="140">
        <f t="shared" si="1"/>
        <v>27805.881201491473</v>
      </c>
      <c r="L4" s="140">
        <f t="shared" si="1"/>
        <v>28093.323733954461</v>
      </c>
      <c r="M4" s="140">
        <f t="shared" si="1"/>
        <v>28258.788071910152</v>
      </c>
      <c r="N4" s="140">
        <f t="shared" si="1"/>
        <v>28324.328207252795</v>
      </c>
      <c r="O4" s="140">
        <f t="shared" si="1"/>
        <v>28429.088712660698</v>
      </c>
      <c r="P4" s="140">
        <f t="shared" si="1"/>
        <v>28795.623729156818</v>
      </c>
      <c r="Q4" s="140">
        <f t="shared" si="1"/>
        <v>29044.38088663559</v>
      </c>
      <c r="R4" s="140">
        <f t="shared" ref="R4:W4" si="2">SUM(R5:R14)</f>
        <v>29362.289438705659</v>
      </c>
      <c r="S4" s="140">
        <f t="shared" si="2"/>
        <v>29807.198296364018</v>
      </c>
      <c r="T4" s="140">
        <f t="shared" si="2"/>
        <v>30261.301487380711</v>
      </c>
      <c r="U4" s="140">
        <f t="shared" si="2"/>
        <v>30639.658183836364</v>
      </c>
      <c r="V4" s="140">
        <f t="shared" si="2"/>
        <v>30966.872222222235</v>
      </c>
      <c r="W4" s="140">
        <f t="shared" si="2"/>
        <v>31265.500612908341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9824.952657945485</v>
      </c>
      <c r="C7" s="141">
        <v>10072.636671082335</v>
      </c>
      <c r="D7" s="141">
        <v>10368.493315173801</v>
      </c>
      <c r="E7" s="141">
        <v>11205.123774914438</v>
      </c>
      <c r="F7" s="141">
        <v>11778.34058967949</v>
      </c>
      <c r="G7" s="141">
        <v>12533.405992870094</v>
      </c>
      <c r="H7" s="141">
        <v>12932.877447570705</v>
      </c>
      <c r="I7" s="141">
        <v>13201.145250357387</v>
      </c>
      <c r="J7" s="141">
        <v>13734.395023689694</v>
      </c>
      <c r="K7" s="141">
        <v>13391.819196473642</v>
      </c>
      <c r="L7" s="141">
        <v>11952.17034521067</v>
      </c>
      <c r="M7" s="141">
        <v>10381.37873351931</v>
      </c>
      <c r="N7" s="141">
        <v>8993.3939658286599</v>
      </c>
      <c r="O7" s="141">
        <v>7867.6675005661309</v>
      </c>
      <c r="P7" s="141">
        <v>7128.0181489185843</v>
      </c>
      <c r="Q7" s="141">
        <v>6715.6814164643174</v>
      </c>
      <c r="R7" s="141">
        <v>6540.4103590214499</v>
      </c>
      <c r="S7" s="141">
        <v>6121.9946488150945</v>
      </c>
      <c r="T7" s="141">
        <v>6280.6617584050882</v>
      </c>
      <c r="U7" s="141">
        <v>6268.8412910814623</v>
      </c>
      <c r="V7" s="141">
        <v>6202.4294717860021</v>
      </c>
      <c r="W7" s="141">
        <v>6204.5535579085054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1370.9580762933138</v>
      </c>
      <c r="C9" s="141">
        <v>2256.4025193306084</v>
      </c>
      <c r="D9" s="141">
        <v>2664.3074440466171</v>
      </c>
      <c r="E9" s="141">
        <v>2693.845877262142</v>
      </c>
      <c r="F9" s="141">
        <v>2481.4937366141785</v>
      </c>
      <c r="G9" s="141">
        <v>1868.0118884756553</v>
      </c>
      <c r="H9" s="141">
        <v>1425.2245819125023</v>
      </c>
      <c r="I9" s="141">
        <v>1237.7406910970183</v>
      </c>
      <c r="J9" s="141">
        <v>1201.6255809010811</v>
      </c>
      <c r="K9" s="141">
        <v>1521.9468222421428</v>
      </c>
      <c r="L9" s="141">
        <v>1775.8646928474254</v>
      </c>
      <c r="M9" s="141">
        <v>2227.0560096494455</v>
      </c>
      <c r="N9" s="141">
        <v>2206.3981494494965</v>
      </c>
      <c r="O9" s="141">
        <v>3006.7598554796327</v>
      </c>
      <c r="P9" s="141">
        <v>3901.994368715461</v>
      </c>
      <c r="Q9" s="141">
        <v>4732.4180605201191</v>
      </c>
      <c r="R9" s="141">
        <v>4937.4138180521204</v>
      </c>
      <c r="S9" s="141">
        <v>4405.9021802460638</v>
      </c>
      <c r="T9" s="141">
        <v>3442.4647535218423</v>
      </c>
      <c r="U9" s="141">
        <v>3033.4017726308612</v>
      </c>
      <c r="V9" s="141">
        <v>2778.6843832069158</v>
      </c>
      <c r="W9" s="141">
        <v>3108.4772965682519</v>
      </c>
      <c r="DA9" s="171" t="s">
        <v>250</v>
      </c>
    </row>
    <row r="10" spans="1:105" ht="12" customHeight="1" x14ac:dyDescent="0.25">
      <c r="A10" s="132" t="s">
        <v>128</v>
      </c>
      <c r="B10" s="141">
        <v>53.769791530606426</v>
      </c>
      <c r="C10" s="141">
        <v>51.096417448846047</v>
      </c>
      <c r="D10" s="141">
        <v>46.600110298188625</v>
      </c>
      <c r="E10" s="141">
        <v>42.898222544055038</v>
      </c>
      <c r="F10" s="141">
        <v>37.751725867890471</v>
      </c>
      <c r="G10" s="141">
        <v>34.003530183148847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1200.7314355109497</v>
      </c>
      <c r="M11" s="141">
        <v>1518.3100631871364</v>
      </c>
      <c r="N11" s="141">
        <v>1655.0057093739661</v>
      </c>
      <c r="O11" s="141">
        <v>1612.6735942940772</v>
      </c>
      <c r="P11" s="141">
        <v>1595.9741553603708</v>
      </c>
      <c r="Q11" s="141">
        <v>1547.8288416236981</v>
      </c>
      <c r="R11" s="141">
        <v>1497.0460747023139</v>
      </c>
      <c r="S11" s="141">
        <v>1486.2937571843349</v>
      </c>
      <c r="T11" s="141">
        <v>1540.9023574808878</v>
      </c>
      <c r="U11" s="141">
        <v>1592.4792252178586</v>
      </c>
      <c r="V11" s="141">
        <v>1585.3928973669351</v>
      </c>
      <c r="W11" s="141">
        <v>1565.5769995407306</v>
      </c>
      <c r="DA11" s="171" t="s">
        <v>252</v>
      </c>
    </row>
    <row r="12" spans="1:105" ht="12" customHeight="1" x14ac:dyDescent="0.25">
      <c r="A12" s="132" t="s">
        <v>169</v>
      </c>
      <c r="B12" s="141">
        <v>4325.1824365112461</v>
      </c>
      <c r="C12" s="141">
        <v>3600.7453215577625</v>
      </c>
      <c r="D12" s="141">
        <v>3164.9361905311557</v>
      </c>
      <c r="E12" s="141">
        <v>2749.2840497133457</v>
      </c>
      <c r="F12" s="141">
        <v>2753.1042605229618</v>
      </c>
      <c r="G12" s="141">
        <v>2778.8656663632128</v>
      </c>
      <c r="H12" s="141">
        <v>2975.3866548406336</v>
      </c>
      <c r="I12" s="141">
        <v>2750.4218828827225</v>
      </c>
      <c r="J12" s="141">
        <v>2575.6404842680217</v>
      </c>
      <c r="K12" s="141">
        <v>2967.0348809909547</v>
      </c>
      <c r="L12" s="141">
        <v>3639.8788044015314</v>
      </c>
      <c r="M12" s="141">
        <v>4484.5811700265813</v>
      </c>
      <c r="N12" s="141">
        <v>5272.3087939814368</v>
      </c>
      <c r="O12" s="141">
        <v>5639.3444681666697</v>
      </c>
      <c r="P12" s="141">
        <v>5563.6172635449484</v>
      </c>
      <c r="Q12" s="141">
        <v>5522.3104026987967</v>
      </c>
      <c r="R12" s="141">
        <v>5448.2090831399573</v>
      </c>
      <c r="S12" s="141">
        <v>5789.8611034962478</v>
      </c>
      <c r="T12" s="141">
        <v>6073.8752749718178</v>
      </c>
      <c r="U12" s="141">
        <v>6337.2987010808893</v>
      </c>
      <c r="V12" s="141">
        <v>6748.2864256188286</v>
      </c>
      <c r="W12" s="141">
        <v>6943.5249021834115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4867.3034604206832</v>
      </c>
      <c r="C14" s="142">
        <v>4999.5921851641106</v>
      </c>
      <c r="D14" s="142">
        <v>5509.7403513479894</v>
      </c>
      <c r="E14" s="142">
        <v>5612.6372571474776</v>
      </c>
      <c r="F14" s="142">
        <v>6107.869712807581</v>
      </c>
      <c r="G14" s="142">
        <v>6697.7990615277049</v>
      </c>
      <c r="H14" s="142">
        <v>7804.5506963729458</v>
      </c>
      <c r="I14" s="142">
        <v>9498.5738035554587</v>
      </c>
      <c r="J14" s="142">
        <v>10032.42893941436</v>
      </c>
      <c r="K14" s="142">
        <v>9925.080301784732</v>
      </c>
      <c r="L14" s="142">
        <v>9524.6784559838816</v>
      </c>
      <c r="M14" s="142">
        <v>9647.4620955276769</v>
      </c>
      <c r="N14" s="142">
        <v>10197.221588619235</v>
      </c>
      <c r="O14" s="142">
        <v>10302.643294154188</v>
      </c>
      <c r="P14" s="142">
        <v>10606.019792617453</v>
      </c>
      <c r="Q14" s="142">
        <v>10526.142165328658</v>
      </c>
      <c r="R14" s="142">
        <v>10939.210103789817</v>
      </c>
      <c r="S14" s="142">
        <v>12003.146606622273</v>
      </c>
      <c r="T14" s="142">
        <v>12923.397343001079</v>
      </c>
      <c r="U14" s="142">
        <v>13407.637193825292</v>
      </c>
      <c r="V14" s="142">
        <v>13652.079044243554</v>
      </c>
      <c r="W14" s="142">
        <v>13443.367856707444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15574.862962280651</v>
      </c>
      <c r="C15" s="144">
        <f t="shared" si="3"/>
        <v>15980.880929419551</v>
      </c>
      <c r="D15" s="144">
        <f t="shared" si="3"/>
        <v>16244.337060049762</v>
      </c>
      <c r="E15" s="144">
        <f t="shared" si="3"/>
        <v>16691.15192443398</v>
      </c>
      <c r="F15" s="144">
        <f t="shared" si="3"/>
        <v>17050.690312684521</v>
      </c>
      <c r="G15" s="144">
        <f t="shared" si="3"/>
        <v>17214.28707789211</v>
      </c>
      <c r="H15" s="144">
        <f t="shared" si="3"/>
        <v>17333.488684323842</v>
      </c>
      <c r="I15" s="144">
        <f t="shared" si="3"/>
        <v>17189.307824337127</v>
      </c>
      <c r="J15" s="144">
        <f t="shared" si="3"/>
        <v>17511.661088858797</v>
      </c>
      <c r="K15" s="144">
        <f t="shared" si="3"/>
        <v>17880.800899706741</v>
      </c>
      <c r="L15" s="144">
        <f t="shared" si="3"/>
        <v>18568.64527797058</v>
      </c>
      <c r="M15" s="144">
        <f t="shared" si="3"/>
        <v>18611.325976382475</v>
      </c>
      <c r="N15" s="144">
        <f t="shared" si="3"/>
        <v>18127.106618633559</v>
      </c>
      <c r="O15" s="144">
        <f t="shared" si="3"/>
        <v>18126.445418506511</v>
      </c>
      <c r="P15" s="144">
        <f t="shared" si="3"/>
        <v>18189.603936539363</v>
      </c>
      <c r="Q15" s="144">
        <f t="shared" si="3"/>
        <v>18518.238721306931</v>
      </c>
      <c r="R15" s="144">
        <f t="shared" ref="R15:W15" si="4">SUM(R5:R12)</f>
        <v>18423.079334915841</v>
      </c>
      <c r="S15" s="144">
        <f t="shared" si="4"/>
        <v>17804.051689741744</v>
      </c>
      <c r="T15" s="144">
        <f t="shared" si="4"/>
        <v>17337.904144379634</v>
      </c>
      <c r="U15" s="144">
        <f t="shared" si="4"/>
        <v>17232.020990011071</v>
      </c>
      <c r="V15" s="144">
        <f t="shared" si="4"/>
        <v>17314.793177978681</v>
      </c>
      <c r="W15" s="144">
        <f t="shared" si="4"/>
        <v>17822.132756200899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3195.2394268940225</v>
      </c>
      <c r="C16" s="140">
        <f t="shared" si="5"/>
        <v>3397.0364633026184</v>
      </c>
      <c r="D16" s="140">
        <f t="shared" si="5"/>
        <v>3779.7452440317866</v>
      </c>
      <c r="E16" s="140">
        <f t="shared" si="5"/>
        <v>4072.8092534352527</v>
      </c>
      <c r="F16" s="140">
        <f t="shared" si="5"/>
        <v>4454.3949457386097</v>
      </c>
      <c r="G16" s="140">
        <f t="shared" si="5"/>
        <v>4849.4844492456878</v>
      </c>
      <c r="H16" s="140">
        <f t="shared" si="5"/>
        <v>5491.7645148333249</v>
      </c>
      <c r="I16" s="140">
        <f t="shared" si="5"/>
        <v>6256.6331714220196</v>
      </c>
      <c r="J16" s="140">
        <f t="shared" si="5"/>
        <v>6934.3459835702661</v>
      </c>
      <c r="K16" s="140">
        <f t="shared" si="5"/>
        <v>7258.4598219362706</v>
      </c>
      <c r="L16" s="140">
        <f t="shared" si="5"/>
        <v>7689.9900614981971</v>
      </c>
      <c r="M16" s="140">
        <f t="shared" si="5"/>
        <v>8034.5559233132863</v>
      </c>
      <c r="N16" s="140">
        <f t="shared" si="5"/>
        <v>8232.284524243978</v>
      </c>
      <c r="O16" s="140">
        <f t="shared" si="5"/>
        <v>8484.4729564474655</v>
      </c>
      <c r="P16" s="140">
        <f t="shared" si="5"/>
        <v>8787.4609601472403</v>
      </c>
      <c r="Q16" s="140">
        <f t="shared" si="5"/>
        <v>8921.3751436823622</v>
      </c>
      <c r="R16" s="140">
        <f t="shared" ref="R16:W16" si="6">SUM(R17:R18)</f>
        <v>9202.0022876276562</v>
      </c>
      <c r="S16" s="140">
        <f t="shared" si="6"/>
        <v>9254.2233342757918</v>
      </c>
      <c r="T16" s="140">
        <f t="shared" si="6"/>
        <v>9402.7033907566984</v>
      </c>
      <c r="U16" s="140">
        <f t="shared" si="6"/>
        <v>9501.0515858248909</v>
      </c>
      <c r="V16" s="140">
        <f t="shared" si="6"/>
        <v>9636.4384005431384</v>
      </c>
      <c r="W16" s="140">
        <f t="shared" si="6"/>
        <v>9819.4681502235162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3195.2394268940225</v>
      </c>
      <c r="C18" s="141">
        <v>3397.0364633026184</v>
      </c>
      <c r="D18" s="141">
        <v>3779.7452440317866</v>
      </c>
      <c r="E18" s="141">
        <v>4072.8092534352527</v>
      </c>
      <c r="F18" s="141">
        <v>4454.3949457386097</v>
      </c>
      <c r="G18" s="141">
        <v>4849.4844492456878</v>
      </c>
      <c r="H18" s="141">
        <v>5491.7645148333249</v>
      </c>
      <c r="I18" s="141">
        <v>6256.6331714220196</v>
      </c>
      <c r="J18" s="141">
        <v>6934.3459835702661</v>
      </c>
      <c r="K18" s="141">
        <v>7258.4598219362706</v>
      </c>
      <c r="L18" s="141">
        <v>7689.9900614981971</v>
      </c>
      <c r="M18" s="141">
        <v>8034.5559233132863</v>
      </c>
      <c r="N18" s="141">
        <v>8232.284524243978</v>
      </c>
      <c r="O18" s="141">
        <v>8484.4729564474655</v>
      </c>
      <c r="P18" s="141">
        <v>8787.4609601472403</v>
      </c>
      <c r="Q18" s="141">
        <v>8921.3751436823622</v>
      </c>
      <c r="R18" s="141">
        <v>9202.0022876276562</v>
      </c>
      <c r="S18" s="141">
        <v>9254.2233342757918</v>
      </c>
      <c r="T18" s="141">
        <v>9402.7033907566984</v>
      </c>
      <c r="U18" s="141">
        <v>9501.0515858248909</v>
      </c>
      <c r="V18" s="141">
        <v>9636.4384005431384</v>
      </c>
      <c r="W18" s="141">
        <v>9819.4681502235162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20442.166422701332</v>
      </c>
      <c r="C19" s="140">
        <f t="shared" si="7"/>
        <v>20980.473114583667</v>
      </c>
      <c r="D19" s="140">
        <f t="shared" si="7"/>
        <v>21754.077411397753</v>
      </c>
      <c r="E19" s="140">
        <f t="shared" si="7"/>
        <v>22303.789181581462</v>
      </c>
      <c r="F19" s="140">
        <f t="shared" si="7"/>
        <v>23158.560025492108</v>
      </c>
      <c r="G19" s="140">
        <f t="shared" si="7"/>
        <v>23912.086139419825</v>
      </c>
      <c r="H19" s="140">
        <f t="shared" si="7"/>
        <v>25138.039380696795</v>
      </c>
      <c r="I19" s="140">
        <f t="shared" si="7"/>
        <v>26687.881627892588</v>
      </c>
      <c r="J19" s="140">
        <f t="shared" si="7"/>
        <v>27544.090028273164</v>
      </c>
      <c r="K19" s="140">
        <f t="shared" si="7"/>
        <v>27805.881201491469</v>
      </c>
      <c r="L19" s="140">
        <f t="shared" si="7"/>
        <v>28093.323733954458</v>
      </c>
      <c r="M19" s="140">
        <f t="shared" si="7"/>
        <v>28258.788071910138</v>
      </c>
      <c r="N19" s="140">
        <f t="shared" si="7"/>
        <v>28324.328207252795</v>
      </c>
      <c r="O19" s="140">
        <f t="shared" si="7"/>
        <v>28429.088712660687</v>
      </c>
      <c r="P19" s="140">
        <f t="shared" si="7"/>
        <v>28795.623729156818</v>
      </c>
      <c r="Q19" s="140">
        <f t="shared" si="7"/>
        <v>29044.380886635598</v>
      </c>
      <c r="R19" s="140">
        <f t="shared" ref="R19:W19" si="8">SUM(R20:R26)</f>
        <v>29362.289438705644</v>
      </c>
      <c r="S19" s="140">
        <f t="shared" si="8"/>
        <v>29807.198296364018</v>
      </c>
      <c r="T19" s="140">
        <f t="shared" si="8"/>
        <v>30261.301487380711</v>
      </c>
      <c r="U19" s="140">
        <f t="shared" si="8"/>
        <v>30639.658183836349</v>
      </c>
      <c r="V19" s="140">
        <f t="shared" si="8"/>
        <v>30966.872222222217</v>
      </c>
      <c r="W19" s="140">
        <f t="shared" si="8"/>
        <v>31265.500612908327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7855.9271658806647</v>
      </c>
      <c r="C21" s="141">
        <v>7665.4049638447614</v>
      </c>
      <c r="D21" s="141">
        <v>7816.7745972603234</v>
      </c>
      <c r="E21" s="141">
        <v>7695.0264911340719</v>
      </c>
      <c r="F21" s="141">
        <v>7602.331392106571</v>
      </c>
      <c r="G21" s="141">
        <v>7408.2302354937983</v>
      </c>
      <c r="H21" s="141">
        <v>7236.8032060799824</v>
      </c>
      <c r="I21" s="141">
        <v>7041.1372205550615</v>
      </c>
      <c r="J21" s="141">
        <v>6747.8537941646664</v>
      </c>
      <c r="K21" s="141">
        <v>6384.423768830372</v>
      </c>
      <c r="L21" s="141">
        <v>6032.8935592535299</v>
      </c>
      <c r="M21" s="141">
        <v>5611.0014065979431</v>
      </c>
      <c r="N21" s="141">
        <v>5293.9544595702519</v>
      </c>
      <c r="O21" s="141">
        <v>4933.0640306120267</v>
      </c>
      <c r="P21" s="141">
        <v>4540.5125168971144</v>
      </c>
      <c r="Q21" s="141">
        <v>4407.5457892804825</v>
      </c>
      <c r="R21" s="141">
        <v>4566.2071732316645</v>
      </c>
      <c r="S21" s="141">
        <v>4696.699308047987</v>
      </c>
      <c r="T21" s="141">
        <v>4959.0971629110945</v>
      </c>
      <c r="U21" s="141">
        <v>5124.3648717977676</v>
      </c>
      <c r="V21" s="141">
        <v>5111.5260152918845</v>
      </c>
      <c r="W21" s="141">
        <v>4812.432082127084</v>
      </c>
      <c r="DA21" s="171" t="s">
        <v>261</v>
      </c>
    </row>
    <row r="22" spans="1:105" ht="12" customHeight="1" x14ac:dyDescent="0.25">
      <c r="A22" s="132" t="s">
        <v>168</v>
      </c>
      <c r="B22" s="141">
        <v>7287.9737717437229</v>
      </c>
      <c r="C22" s="141">
        <v>7615.8512175974629</v>
      </c>
      <c r="D22" s="141">
        <v>8112.0100361277191</v>
      </c>
      <c r="E22" s="141">
        <v>8672.848432278719</v>
      </c>
      <c r="F22" s="141">
        <v>9304.8096229553103</v>
      </c>
      <c r="G22" s="141">
        <v>9749.3410257571577</v>
      </c>
      <c r="H22" s="141">
        <v>10461.180190557232</v>
      </c>
      <c r="I22" s="141">
        <v>11398.374949658013</v>
      </c>
      <c r="J22" s="141">
        <v>11410.22064511594</v>
      </c>
      <c r="K22" s="141">
        <v>10745.520956241355</v>
      </c>
      <c r="L22" s="141">
        <v>9947.8600120354768</v>
      </c>
      <c r="M22" s="141">
        <v>8643.5342526206587</v>
      </c>
      <c r="N22" s="141">
        <v>7427.9291363146876</v>
      </c>
      <c r="O22" s="141">
        <v>6171.9172208348464</v>
      </c>
      <c r="P22" s="141">
        <v>5298.2268280230528</v>
      </c>
      <c r="Q22" s="141">
        <v>4747.8561325392711</v>
      </c>
      <c r="R22" s="141">
        <v>4752.6215372613869</v>
      </c>
      <c r="S22" s="141">
        <v>4574.2463028940465</v>
      </c>
      <c r="T22" s="141">
        <v>4790.7184361667159</v>
      </c>
      <c r="U22" s="141">
        <v>4738.2165103786165</v>
      </c>
      <c r="V22" s="141">
        <v>4987.8550581027166</v>
      </c>
      <c r="W22" s="141">
        <v>5133.172369693365</v>
      </c>
      <c r="DA22" s="171" t="s">
        <v>262</v>
      </c>
    </row>
    <row r="23" spans="1:105" ht="12" customHeight="1" x14ac:dyDescent="0.25">
      <c r="A23" s="132" t="s">
        <v>153</v>
      </c>
      <c r="B23" s="141">
        <v>692.95800220403748</v>
      </c>
      <c r="C23" s="141">
        <v>705.25623318109228</v>
      </c>
      <c r="D23" s="141">
        <v>721.6667396083443</v>
      </c>
      <c r="E23" s="141">
        <v>745.25259397731054</v>
      </c>
      <c r="F23" s="141">
        <v>776.69307157972628</v>
      </c>
      <c r="G23" s="141">
        <v>812.41329739243827</v>
      </c>
      <c r="H23" s="141">
        <v>855.85161675428594</v>
      </c>
      <c r="I23" s="141">
        <v>950.28239457848417</v>
      </c>
      <c r="J23" s="141">
        <v>1085.9842956711504</v>
      </c>
      <c r="K23" s="141">
        <v>1284.1046517680602</v>
      </c>
      <c r="L23" s="141">
        <v>1391.3656065049224</v>
      </c>
      <c r="M23" s="141">
        <v>1424.176055683874</v>
      </c>
      <c r="N23" s="141">
        <v>1406.0695396289664</v>
      </c>
      <c r="O23" s="141">
        <v>1373.9487035221869</v>
      </c>
      <c r="P23" s="141">
        <v>1376.3439838507275</v>
      </c>
      <c r="Q23" s="141">
        <v>1363.3063074601771</v>
      </c>
      <c r="R23" s="141">
        <v>1343.5633302809927</v>
      </c>
      <c r="S23" s="141">
        <v>1128.9138627667123</v>
      </c>
      <c r="T23" s="141">
        <v>856.74387566325117</v>
      </c>
      <c r="U23" s="141">
        <v>688.82990536664943</v>
      </c>
      <c r="V23" s="141">
        <v>580.06563950456314</v>
      </c>
      <c r="W23" s="141">
        <v>515.47318205751981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2699.8211866515408</v>
      </c>
      <c r="C25" s="141">
        <v>2735.5830591971899</v>
      </c>
      <c r="D25" s="141">
        <v>2674.8626203047097</v>
      </c>
      <c r="E25" s="141">
        <v>2637.1749858940516</v>
      </c>
      <c r="F25" s="141">
        <v>2455.0414098241008</v>
      </c>
      <c r="G25" s="141">
        <v>2265.6444516311117</v>
      </c>
      <c r="H25" s="141">
        <v>2052.6543476310167</v>
      </c>
      <c r="I25" s="141">
        <v>1975.209439701445</v>
      </c>
      <c r="J25" s="141">
        <v>2023.7956277330009</v>
      </c>
      <c r="K25" s="141">
        <v>2337.5644643749692</v>
      </c>
      <c r="L25" s="141">
        <v>2815.5347317804071</v>
      </c>
      <c r="M25" s="141">
        <v>3359.6478918113303</v>
      </c>
      <c r="N25" s="141">
        <v>3832.9751006150223</v>
      </c>
      <c r="O25" s="141">
        <v>4195.3948927973397</v>
      </c>
      <c r="P25" s="141">
        <v>4419.8319943641491</v>
      </c>
      <c r="Q25" s="141">
        <v>4590.6291993429122</v>
      </c>
      <c r="R25" s="141">
        <v>4847.5306656167922</v>
      </c>
      <c r="S25" s="141">
        <v>5304.5427923506186</v>
      </c>
      <c r="T25" s="141">
        <v>5630.1905172101178</v>
      </c>
      <c r="U25" s="141">
        <v>5618.5558314225964</v>
      </c>
      <c r="V25" s="141">
        <v>5606.5183956418414</v>
      </c>
      <c r="W25" s="141">
        <v>5600.3492563063237</v>
      </c>
      <c r="DA25" s="171" t="s">
        <v>265</v>
      </c>
    </row>
    <row r="26" spans="1:105" ht="12" customHeight="1" x14ac:dyDescent="0.25">
      <c r="A26" s="132" t="s">
        <v>24</v>
      </c>
      <c r="B26" s="142">
        <v>1905.4862962213665</v>
      </c>
      <c r="C26" s="142">
        <v>2258.3776407631608</v>
      </c>
      <c r="D26" s="142">
        <v>2428.7634180966552</v>
      </c>
      <c r="E26" s="142">
        <v>2553.4866782973081</v>
      </c>
      <c r="F26" s="142">
        <v>3019.6845290263959</v>
      </c>
      <c r="G26" s="142">
        <v>3676.457129145318</v>
      </c>
      <c r="H26" s="142">
        <v>4531.550019674276</v>
      </c>
      <c r="I26" s="142">
        <v>5322.8776233995832</v>
      </c>
      <c r="J26" s="142">
        <v>6276.2356655884023</v>
      </c>
      <c r="K26" s="142">
        <v>7054.2673602767145</v>
      </c>
      <c r="L26" s="142">
        <v>7905.6698243801238</v>
      </c>
      <c r="M26" s="142">
        <v>9220.4284651963299</v>
      </c>
      <c r="N26" s="142">
        <v>10363.399971123863</v>
      </c>
      <c r="O26" s="142">
        <v>11754.763864894288</v>
      </c>
      <c r="P26" s="142">
        <v>13160.708406021773</v>
      </c>
      <c r="Q26" s="142">
        <v>13935.043458012755</v>
      </c>
      <c r="R26" s="142">
        <v>13852.366732314809</v>
      </c>
      <c r="S26" s="142">
        <v>14102.796030304655</v>
      </c>
      <c r="T26" s="142">
        <v>14024.551495429532</v>
      </c>
      <c r="U26" s="142">
        <v>14469.691064870718</v>
      </c>
      <c r="V26" s="142">
        <v>14680.907113681213</v>
      </c>
      <c r="W26" s="142">
        <v>15204.073722724037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20442.166422701335</v>
      </c>
      <c r="C29" s="140">
        <f t="shared" si="9"/>
        <v>20980.473114583667</v>
      </c>
      <c r="D29" s="140">
        <f t="shared" si="9"/>
        <v>21754.077411397753</v>
      </c>
      <c r="E29" s="140">
        <f t="shared" si="9"/>
        <v>22303.789181581455</v>
      </c>
      <c r="F29" s="140">
        <f t="shared" si="9"/>
        <v>23158.560025492108</v>
      </c>
      <c r="G29" s="140">
        <f t="shared" si="9"/>
        <v>23912.086139419815</v>
      </c>
      <c r="H29" s="140">
        <f t="shared" si="9"/>
        <v>25138.039380696795</v>
      </c>
      <c r="I29" s="140">
        <f t="shared" si="9"/>
        <v>26687.881627892595</v>
      </c>
      <c r="J29" s="140">
        <f t="shared" si="9"/>
        <v>27544.090028273167</v>
      </c>
      <c r="K29" s="140">
        <f t="shared" si="9"/>
        <v>27805.881201491469</v>
      </c>
      <c r="L29" s="140">
        <f t="shared" si="9"/>
        <v>28093.323733954439</v>
      </c>
      <c r="M29" s="140">
        <f t="shared" si="9"/>
        <v>28258.788071910145</v>
      </c>
      <c r="N29" s="140">
        <f t="shared" si="9"/>
        <v>28324.328207252787</v>
      </c>
      <c r="O29" s="140">
        <f t="shared" si="9"/>
        <v>28429.088712660687</v>
      </c>
      <c r="P29" s="140">
        <f t="shared" si="9"/>
        <v>28795.623729156796</v>
      </c>
      <c r="Q29" s="140">
        <f t="shared" si="9"/>
        <v>29044.380886635598</v>
      </c>
      <c r="R29" s="140">
        <f t="shared" ref="R29:W29" si="10">SUM(R30:R33)</f>
        <v>29362.289438705666</v>
      </c>
      <c r="S29" s="140">
        <f t="shared" si="10"/>
        <v>29807.198296363997</v>
      </c>
      <c r="T29" s="140">
        <f t="shared" si="10"/>
        <v>30261.301487380719</v>
      </c>
      <c r="U29" s="140">
        <f t="shared" si="10"/>
        <v>30639.658183836342</v>
      </c>
      <c r="V29" s="140">
        <f t="shared" si="10"/>
        <v>30966.87222222222</v>
      </c>
      <c r="W29" s="140">
        <f t="shared" si="10"/>
        <v>31265.500612908349</v>
      </c>
      <c r="DA29" s="170" t="s">
        <v>268</v>
      </c>
    </row>
    <row r="30" spans="1:105" ht="12" customHeight="1" x14ac:dyDescent="0.25">
      <c r="A30" s="132" t="s">
        <v>52</v>
      </c>
      <c r="B30" s="141">
        <v>11765.759339389388</v>
      </c>
      <c r="C30" s="141">
        <v>9900.7395431070163</v>
      </c>
      <c r="D30" s="141">
        <v>6611.4613860271493</v>
      </c>
      <c r="E30" s="141">
        <v>4636.575924208616</v>
      </c>
      <c r="F30" s="141">
        <v>3863.5123776040964</v>
      </c>
      <c r="G30" s="141">
        <v>4203.1289153102689</v>
      </c>
      <c r="H30" s="141">
        <v>4846.1888259991129</v>
      </c>
      <c r="I30" s="141">
        <v>6559.5180922300697</v>
      </c>
      <c r="J30" s="141">
        <v>6816.2364278662917</v>
      </c>
      <c r="K30" s="141">
        <v>6997.0831972079568</v>
      </c>
      <c r="L30" s="141">
        <v>6947.6163702753238</v>
      </c>
      <c r="M30" s="141">
        <v>5694.079869821885</v>
      </c>
      <c r="N30" s="141">
        <v>5705.2814621178741</v>
      </c>
      <c r="O30" s="141">
        <v>5102.237156180001</v>
      </c>
      <c r="P30" s="141">
        <v>5088.5963271856435</v>
      </c>
      <c r="Q30" s="141">
        <v>4968.1381728566603</v>
      </c>
      <c r="R30" s="141">
        <v>4998.7168857379766</v>
      </c>
      <c r="S30" s="141">
        <v>5605.4363194269717</v>
      </c>
      <c r="T30" s="141">
        <v>6518.8357949248712</v>
      </c>
      <c r="U30" s="141">
        <v>7106.7878531557508</v>
      </c>
      <c r="V30" s="141">
        <v>7202.3600214970502</v>
      </c>
      <c r="W30" s="141">
        <v>7146.3303376190997</v>
      </c>
      <c r="DA30" s="171" t="s">
        <v>269</v>
      </c>
    </row>
    <row r="31" spans="1:105" ht="12" customHeight="1" x14ac:dyDescent="0.25">
      <c r="A31" s="132" t="s">
        <v>153</v>
      </c>
      <c r="B31" s="141">
        <v>1321.6258247794249</v>
      </c>
      <c r="C31" s="141">
        <v>2838.9935287322237</v>
      </c>
      <c r="D31" s="141">
        <v>3368.6962763942634</v>
      </c>
      <c r="E31" s="141">
        <v>3471.5491339729315</v>
      </c>
      <c r="F31" s="141">
        <v>3032.1488082454052</v>
      </c>
      <c r="G31" s="141">
        <v>2262.2811573685462</v>
      </c>
      <c r="H31" s="141">
        <v>1453.6070954448808</v>
      </c>
      <c r="I31" s="141">
        <v>1116.3001619628851</v>
      </c>
      <c r="J31" s="141">
        <v>1053.0311313186869</v>
      </c>
      <c r="K31" s="141">
        <v>1106.3741919426948</v>
      </c>
      <c r="L31" s="141">
        <v>1263.0173402529354</v>
      </c>
      <c r="M31" s="141">
        <v>1464.613888717867</v>
      </c>
      <c r="N31" s="141">
        <v>1757.9452516372996</v>
      </c>
      <c r="O31" s="141">
        <v>2372.2081092523122</v>
      </c>
      <c r="P31" s="141">
        <v>3232.3306908777995</v>
      </c>
      <c r="Q31" s="141">
        <v>3800.6602377391741</v>
      </c>
      <c r="R31" s="141">
        <v>3786.3634940953948</v>
      </c>
      <c r="S31" s="141">
        <v>3410.6366440766888</v>
      </c>
      <c r="T31" s="141">
        <v>2611.6446416527456</v>
      </c>
      <c r="U31" s="141">
        <v>2164.8227199016419</v>
      </c>
      <c r="V31" s="141">
        <v>1924.4188695939988</v>
      </c>
      <c r="W31" s="141">
        <v>1748.3071978520129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7354.7812585325228</v>
      </c>
      <c r="C33" s="153">
        <v>8240.7400427444263</v>
      </c>
      <c r="D33" s="153">
        <v>11773.919748976339</v>
      </c>
      <c r="E33" s="153">
        <v>14195.664123399907</v>
      </c>
      <c r="F33" s="153">
        <v>16262.898839642607</v>
      </c>
      <c r="G33" s="153">
        <v>17446.676066741002</v>
      </c>
      <c r="H33" s="153">
        <v>18838.243459252801</v>
      </c>
      <c r="I33" s="153">
        <v>19012.063373699639</v>
      </c>
      <c r="J33" s="153">
        <v>19674.822469088187</v>
      </c>
      <c r="K33" s="153">
        <v>19702.423812340818</v>
      </c>
      <c r="L33" s="153">
        <v>19882.690023426181</v>
      </c>
      <c r="M33" s="153">
        <v>21100.094313370391</v>
      </c>
      <c r="N33" s="153">
        <v>20861.101493497616</v>
      </c>
      <c r="O33" s="153">
        <v>20954.643447228373</v>
      </c>
      <c r="P33" s="153">
        <v>20474.696711093355</v>
      </c>
      <c r="Q33" s="153">
        <v>20275.582476039763</v>
      </c>
      <c r="R33" s="153">
        <v>20577.209058872293</v>
      </c>
      <c r="S33" s="153">
        <v>20791.125332860338</v>
      </c>
      <c r="T33" s="153">
        <v>21130.821050803104</v>
      </c>
      <c r="U33" s="153">
        <v>21368.047610778947</v>
      </c>
      <c r="V33" s="153">
        <v>21840.093331131171</v>
      </c>
      <c r="W33" s="153">
        <v>22370.863077437236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496.68119423303506</v>
      </c>
      <c r="C3" s="126">
        <f t="shared" si="0"/>
        <v>679.12182870826518</v>
      </c>
      <c r="D3" s="126">
        <f t="shared" si="0"/>
        <v>649.15331709832219</v>
      </c>
      <c r="E3" s="126">
        <f t="shared" si="0"/>
        <v>430.62198414398881</v>
      </c>
      <c r="F3" s="126">
        <f t="shared" si="0"/>
        <v>465.4980219968844</v>
      </c>
      <c r="G3" s="126">
        <f t="shared" si="0"/>
        <v>392.79179970839544</v>
      </c>
      <c r="H3" s="126">
        <f t="shared" si="0"/>
        <v>347.69368295681744</v>
      </c>
      <c r="I3" s="126">
        <f t="shared" si="0"/>
        <v>283.78532894939292</v>
      </c>
      <c r="J3" s="126">
        <f t="shared" si="0"/>
        <v>396.77668988318794</v>
      </c>
      <c r="K3" s="126">
        <f t="shared" si="0"/>
        <v>389.97071548210891</v>
      </c>
      <c r="L3" s="126">
        <f t="shared" si="0"/>
        <v>433.32084600527662</v>
      </c>
      <c r="M3" s="126">
        <f t="shared" si="0"/>
        <v>417.89343652653622</v>
      </c>
      <c r="N3" s="126">
        <f t="shared" si="0"/>
        <v>345.40603798813521</v>
      </c>
      <c r="O3" s="126">
        <f t="shared" si="0"/>
        <v>353.28132611666075</v>
      </c>
      <c r="P3" s="126">
        <f t="shared" si="0"/>
        <v>309.67158664096894</v>
      </c>
      <c r="Q3" s="126">
        <f t="shared" si="0"/>
        <v>335.0408647527762</v>
      </c>
      <c r="R3" s="126">
        <f t="shared" ref="R3:W3" si="1">SUM(R4,R16,R19,R29)</f>
        <v>366.87152070549865</v>
      </c>
      <c r="S3" s="126">
        <f t="shared" si="1"/>
        <v>359.44311539617803</v>
      </c>
      <c r="T3" s="126">
        <f t="shared" si="1"/>
        <v>359.19417155511974</v>
      </c>
      <c r="U3" s="126">
        <f t="shared" si="1"/>
        <v>343.3566200924015</v>
      </c>
      <c r="V3" s="126">
        <f t="shared" si="1"/>
        <v>315.19498456034017</v>
      </c>
      <c r="W3" s="126">
        <f t="shared" si="1"/>
        <v>309.29603818617886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413.08096383467927</v>
      </c>
      <c r="C4" s="131">
        <f t="shared" si="2"/>
        <v>591.87320013921283</v>
      </c>
      <c r="D4" s="131">
        <f t="shared" si="2"/>
        <v>563.73086258085254</v>
      </c>
      <c r="E4" s="131">
        <f t="shared" si="2"/>
        <v>345.01755992496351</v>
      </c>
      <c r="F4" s="131">
        <f t="shared" si="2"/>
        <v>379.43272182030717</v>
      </c>
      <c r="G4" s="131">
        <f t="shared" si="2"/>
        <v>305.63532515053021</v>
      </c>
      <c r="H4" s="131">
        <f t="shared" si="2"/>
        <v>258.4198560152654</v>
      </c>
      <c r="I4" s="131">
        <f t="shared" si="2"/>
        <v>189.0412972851031</v>
      </c>
      <c r="J4" s="131">
        <f t="shared" si="2"/>
        <v>303.60903629241955</v>
      </c>
      <c r="K4" s="131">
        <f t="shared" si="2"/>
        <v>294.00648952091285</v>
      </c>
      <c r="L4" s="131">
        <f t="shared" si="2"/>
        <v>334.33607459167973</v>
      </c>
      <c r="M4" s="131">
        <f t="shared" si="2"/>
        <v>321.52297153527587</v>
      </c>
      <c r="N4" s="131">
        <f t="shared" si="2"/>
        <v>245.01606098402829</v>
      </c>
      <c r="O4" s="131">
        <f t="shared" si="2"/>
        <v>252.9570375256277</v>
      </c>
      <c r="P4" s="131">
        <f t="shared" si="2"/>
        <v>207.55621657920915</v>
      </c>
      <c r="Q4" s="131">
        <f t="shared" si="2"/>
        <v>227.30397352331954</v>
      </c>
      <c r="R4" s="131">
        <f t="shared" ref="R4:W4" si="3">SUM(R5:R15)</f>
        <v>257.61103327916504</v>
      </c>
      <c r="S4" s="131">
        <f t="shared" si="3"/>
        <v>248.38460822776139</v>
      </c>
      <c r="T4" s="131">
        <f t="shared" si="3"/>
        <v>248.18727230953209</v>
      </c>
      <c r="U4" s="131">
        <f t="shared" si="3"/>
        <v>229.3013767700362</v>
      </c>
      <c r="V4" s="131">
        <f t="shared" si="3"/>
        <v>207.24410823460192</v>
      </c>
      <c r="W4" s="131">
        <f t="shared" si="3"/>
        <v>201.7158485378209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235.76821235489081</v>
      </c>
      <c r="C7" s="133">
        <v>354.52266035406916</v>
      </c>
      <c r="D7" s="133">
        <v>287.45129439706716</v>
      </c>
      <c r="E7" s="133">
        <v>211.89148094938369</v>
      </c>
      <c r="F7" s="133">
        <v>208.83359990512557</v>
      </c>
      <c r="G7" s="133">
        <v>197.12648744053027</v>
      </c>
      <c r="H7" s="133">
        <v>161.5983066413778</v>
      </c>
      <c r="I7" s="133">
        <v>96.907717257192047</v>
      </c>
      <c r="J7" s="133">
        <v>179.32670248062226</v>
      </c>
      <c r="K7" s="133">
        <v>164.40235743836786</v>
      </c>
      <c r="L7" s="133">
        <v>173.05660908224058</v>
      </c>
      <c r="M7" s="133">
        <v>136.99808908941671</v>
      </c>
      <c r="N7" s="133">
        <v>95.761937760841263</v>
      </c>
      <c r="O7" s="133">
        <v>86.068657435099837</v>
      </c>
      <c r="P7" s="133">
        <v>60.467153871032643</v>
      </c>
      <c r="Q7" s="133">
        <v>65.566341572636887</v>
      </c>
      <c r="R7" s="133">
        <v>77.036949411081721</v>
      </c>
      <c r="S7" s="133">
        <v>57.856628641025644</v>
      </c>
      <c r="T7" s="133">
        <v>63.576626978802857</v>
      </c>
      <c r="U7" s="133">
        <v>53.200100518405051</v>
      </c>
      <c r="V7" s="133">
        <v>59.148880237261167</v>
      </c>
      <c r="W7" s="133">
        <v>40.27427482701119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17.602483528182844</v>
      </c>
      <c r="C9" s="133">
        <v>71.912896325400851</v>
      </c>
      <c r="D9" s="133">
        <v>82.03544367868659</v>
      </c>
      <c r="E9" s="133">
        <v>39.637029637422046</v>
      </c>
      <c r="F9" s="133">
        <v>50.070957413107564</v>
      </c>
      <c r="G9" s="133">
        <v>20.670233825186514</v>
      </c>
      <c r="H9" s="133">
        <v>11.555491856396999</v>
      </c>
      <c r="I9" s="133">
        <v>10.028975560688544</v>
      </c>
      <c r="J9" s="133">
        <v>11.217711613187868</v>
      </c>
      <c r="K9" s="133">
        <v>15.239608050534795</v>
      </c>
      <c r="L9" s="133">
        <v>20.910740828517884</v>
      </c>
      <c r="M9" s="133">
        <v>36.365542828335187</v>
      </c>
      <c r="N9" s="133">
        <v>10.09111691962404</v>
      </c>
      <c r="O9" s="133">
        <v>27.100288609834145</v>
      </c>
      <c r="P9" s="133">
        <v>28.787805552500242</v>
      </c>
      <c r="Q9" s="133">
        <v>40.876771308511231</v>
      </c>
      <c r="R9" s="133">
        <v>52.568077053365421</v>
      </c>
      <c r="S9" s="133">
        <v>39.666488779073063</v>
      </c>
      <c r="T9" s="133">
        <v>21.565568401480501</v>
      </c>
      <c r="U9" s="133">
        <v>23.96622827763883</v>
      </c>
      <c r="V9" s="133">
        <v>20.306376652040054</v>
      </c>
      <c r="W9" s="133">
        <v>19.799036414139529</v>
      </c>
      <c r="DA9" s="157" t="s">
        <v>278</v>
      </c>
    </row>
    <row r="10" spans="1:105" ht="12" customHeight="1" x14ac:dyDescent="0.25">
      <c r="A10" s="132" t="s">
        <v>128</v>
      </c>
      <c r="B10" s="133">
        <v>1.0748065348237317</v>
      </c>
      <c r="C10" s="133">
        <v>1.8391229578675838</v>
      </c>
      <c r="D10" s="133">
        <v>1.6718830610490112</v>
      </c>
      <c r="E10" s="133">
        <v>0.66878761822871868</v>
      </c>
      <c r="F10" s="133">
        <v>0.69269131556319863</v>
      </c>
      <c r="G10" s="133">
        <v>0.93147033533963852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15.1189165950129</v>
      </c>
      <c r="M11" s="133">
        <v>15.118916595012902</v>
      </c>
      <c r="N11" s="133">
        <v>10.867497850386929</v>
      </c>
      <c r="O11" s="133">
        <v>10.939122957867587</v>
      </c>
      <c r="P11" s="133">
        <v>10.963026655202064</v>
      </c>
      <c r="Q11" s="133">
        <v>8.2879621668099759</v>
      </c>
      <c r="R11" s="133">
        <v>8.5984522785898569</v>
      </c>
      <c r="S11" s="133">
        <v>11.193551160791058</v>
      </c>
      <c r="T11" s="133">
        <v>10.72295786758383</v>
      </c>
      <c r="U11" s="133">
        <v>11.792261392949271</v>
      </c>
      <c r="V11" s="133">
        <v>8.3130696474634647</v>
      </c>
      <c r="W11" s="133">
        <v>7.9566638005159023</v>
      </c>
      <c r="DA11" s="157" t="s">
        <v>280</v>
      </c>
    </row>
    <row r="12" spans="1:105" ht="12" customHeight="1" x14ac:dyDescent="0.25">
      <c r="A12" s="132" t="s">
        <v>169</v>
      </c>
      <c r="B12" s="133">
        <v>71.44718853123365</v>
      </c>
      <c r="C12" s="133">
        <v>62.637954812647614</v>
      </c>
      <c r="D12" s="133">
        <v>59.281882476181316</v>
      </c>
      <c r="E12" s="133">
        <v>28.190045732125157</v>
      </c>
      <c r="F12" s="133">
        <v>32.187105320130037</v>
      </c>
      <c r="G12" s="133">
        <v>22.119470718113121</v>
      </c>
      <c r="H12" s="133">
        <v>28.517879225747468</v>
      </c>
      <c r="I12" s="133">
        <v>15.370786513983187</v>
      </c>
      <c r="J12" s="133">
        <v>14.20415609183811</v>
      </c>
      <c r="K12" s="133">
        <v>24.280213040125656</v>
      </c>
      <c r="L12" s="133">
        <v>33.294589723592082</v>
      </c>
      <c r="M12" s="133">
        <v>38.647146712155617</v>
      </c>
      <c r="N12" s="133">
        <v>41.137051239255676</v>
      </c>
      <c r="O12" s="133">
        <v>44.375620825180924</v>
      </c>
      <c r="P12" s="133">
        <v>32.725583579622118</v>
      </c>
      <c r="Q12" s="133">
        <v>37.474561244219935</v>
      </c>
      <c r="R12" s="133">
        <v>35.821946750797949</v>
      </c>
      <c r="S12" s="133">
        <v>43.452838368051225</v>
      </c>
      <c r="T12" s="133">
        <v>46.559894016847913</v>
      </c>
      <c r="U12" s="133">
        <v>39.622657624269699</v>
      </c>
      <c r="V12" s="133">
        <v>40.010637702000523</v>
      </c>
      <c r="W12" s="133">
        <v>46.687329240826379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84.497741237429551</v>
      </c>
      <c r="C14" s="65">
        <v>96.619191627219266</v>
      </c>
      <c r="D14" s="65">
        <v>129.49644174606806</v>
      </c>
      <c r="E14" s="65">
        <v>62.128658253191183</v>
      </c>
      <c r="F14" s="65">
        <v>85.060074964556975</v>
      </c>
      <c r="G14" s="65">
        <v>62.660277929470837</v>
      </c>
      <c r="H14" s="65">
        <v>55.030676116203864</v>
      </c>
      <c r="I14" s="65">
        <v>65.680962686276203</v>
      </c>
      <c r="J14" s="65">
        <v>97.035353794574277</v>
      </c>
      <c r="K14" s="65">
        <v>88.319797385769775</v>
      </c>
      <c r="L14" s="65">
        <v>89.963011581081659</v>
      </c>
      <c r="M14" s="65">
        <v>92.543752836270357</v>
      </c>
      <c r="N14" s="65">
        <v>85.97796469108053</v>
      </c>
      <c r="O14" s="65">
        <v>83.174316074651898</v>
      </c>
      <c r="P14" s="65">
        <v>73.574224696279842</v>
      </c>
      <c r="Q14" s="65">
        <v>73.864865770797465</v>
      </c>
      <c r="R14" s="65">
        <v>82.104008453467756</v>
      </c>
      <c r="S14" s="65">
        <v>95.01282702794434</v>
      </c>
      <c r="T14" s="65">
        <v>104.68166633885494</v>
      </c>
      <c r="U14" s="65">
        <v>99.711022093755432</v>
      </c>
      <c r="V14" s="65">
        <v>78.416657322951252</v>
      </c>
      <c r="W14" s="65">
        <v>86.123475834361244</v>
      </c>
      <c r="DA14" s="109" t="s">
        <v>283</v>
      </c>
    </row>
    <row r="15" spans="1:105" ht="12" customHeight="1" x14ac:dyDescent="0.25">
      <c r="A15" s="134" t="s">
        <v>80</v>
      </c>
      <c r="B15" s="135">
        <v>2.6905316481186712</v>
      </c>
      <c r="C15" s="135">
        <v>4.3413740620084411</v>
      </c>
      <c r="D15" s="135">
        <v>3.7939172218004478</v>
      </c>
      <c r="E15" s="135">
        <v>2.5015577346127298</v>
      </c>
      <c r="F15" s="135">
        <v>2.5882929018238112</v>
      </c>
      <c r="G15" s="135">
        <v>2.1273849018898479</v>
      </c>
      <c r="H15" s="135">
        <v>1.7175021755392514</v>
      </c>
      <c r="I15" s="135">
        <v>1.0528552669631337</v>
      </c>
      <c r="J15" s="135">
        <v>1.8251123121969908</v>
      </c>
      <c r="K15" s="135">
        <v>1.7645136061147566</v>
      </c>
      <c r="L15" s="135">
        <v>1.9922067812346385</v>
      </c>
      <c r="M15" s="135">
        <v>1.8495234740851196</v>
      </c>
      <c r="N15" s="135">
        <v>1.1804925228398397</v>
      </c>
      <c r="O15" s="135">
        <v>1.2990316229933199</v>
      </c>
      <c r="P15" s="135">
        <v>1.0384222245722188</v>
      </c>
      <c r="Q15" s="135">
        <v>1.2334714603440546</v>
      </c>
      <c r="R15" s="135">
        <v>1.4815993318623162</v>
      </c>
      <c r="S15" s="135">
        <v>1.2022742508760549</v>
      </c>
      <c r="T15" s="135">
        <v>1.0805587059620507</v>
      </c>
      <c r="U15" s="135">
        <v>1.0091068630179052</v>
      </c>
      <c r="V15" s="135">
        <v>1.0484866728854689</v>
      </c>
      <c r="W15" s="135">
        <v>0.87506842096666348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3.444111675307171</v>
      </c>
      <c r="C16" s="131">
        <f t="shared" si="4"/>
        <v>3.4889345933637581</v>
      </c>
      <c r="D16" s="131">
        <f t="shared" si="4"/>
        <v>3.6903222152692727</v>
      </c>
      <c r="E16" s="131">
        <f t="shared" si="4"/>
        <v>4.8461795083960739</v>
      </c>
      <c r="F16" s="131">
        <f t="shared" si="4"/>
        <v>3.9879854802476733</v>
      </c>
      <c r="G16" s="131">
        <f t="shared" si="4"/>
        <v>4.2065768391444012</v>
      </c>
      <c r="H16" s="131">
        <f t="shared" si="4"/>
        <v>4.8712013914767684</v>
      </c>
      <c r="I16" s="131">
        <f t="shared" si="4"/>
        <v>5.0985111887699182</v>
      </c>
      <c r="J16" s="131">
        <f t="shared" si="4"/>
        <v>5.2865899434343557</v>
      </c>
      <c r="K16" s="131">
        <f t="shared" si="4"/>
        <v>5.4494419856437917</v>
      </c>
      <c r="L16" s="131">
        <f t="shared" si="4"/>
        <v>5.9326263668564394</v>
      </c>
      <c r="M16" s="131">
        <f t="shared" si="4"/>
        <v>6.0239625486817934</v>
      </c>
      <c r="N16" s="131">
        <f t="shared" si="4"/>
        <v>6.7947240512180169</v>
      </c>
      <c r="O16" s="131">
        <f t="shared" si="4"/>
        <v>7.0495696287614944</v>
      </c>
      <c r="P16" s="131">
        <f t="shared" si="4"/>
        <v>5.7325365484068938</v>
      </c>
      <c r="Q16" s="131">
        <f t="shared" si="4"/>
        <v>7.0503229561079346</v>
      </c>
      <c r="R16" s="131">
        <f t="shared" ref="R16:W16" si="5">SUM(R17:R18)</f>
        <v>5.7759631633083313</v>
      </c>
      <c r="S16" s="131">
        <f t="shared" si="5"/>
        <v>6.8010558734490214</v>
      </c>
      <c r="T16" s="131">
        <f t="shared" si="5"/>
        <v>5.8789535375238726</v>
      </c>
      <c r="U16" s="131">
        <f t="shared" si="5"/>
        <v>6.2290979529897434</v>
      </c>
      <c r="V16" s="131">
        <f t="shared" si="5"/>
        <v>5.4434255615154061</v>
      </c>
      <c r="W16" s="131">
        <f t="shared" si="5"/>
        <v>5.9540699637827554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3.444111675307171</v>
      </c>
      <c r="C18" s="133">
        <v>3.4889345933637581</v>
      </c>
      <c r="D18" s="133">
        <v>3.6903222152692727</v>
      </c>
      <c r="E18" s="133">
        <v>4.8461795083960739</v>
      </c>
      <c r="F18" s="133">
        <v>3.9879854802476733</v>
      </c>
      <c r="G18" s="133">
        <v>4.2065768391444012</v>
      </c>
      <c r="H18" s="133">
        <v>4.8712013914767684</v>
      </c>
      <c r="I18" s="133">
        <v>5.0985111887699182</v>
      </c>
      <c r="J18" s="133">
        <v>5.2865899434343557</v>
      </c>
      <c r="K18" s="133">
        <v>5.4494419856437917</v>
      </c>
      <c r="L18" s="133">
        <v>5.9326263668564394</v>
      </c>
      <c r="M18" s="133">
        <v>6.0239625486817934</v>
      </c>
      <c r="N18" s="133">
        <v>6.7947240512180169</v>
      </c>
      <c r="O18" s="133">
        <v>7.0495696287614944</v>
      </c>
      <c r="P18" s="133">
        <v>5.7325365484068938</v>
      </c>
      <c r="Q18" s="133">
        <v>7.0503229561079346</v>
      </c>
      <c r="R18" s="133">
        <v>5.7759631633083313</v>
      </c>
      <c r="S18" s="133">
        <v>6.8010558734490214</v>
      </c>
      <c r="T18" s="133">
        <v>5.8789535375238726</v>
      </c>
      <c r="U18" s="133">
        <v>6.2290979529897434</v>
      </c>
      <c r="V18" s="133">
        <v>5.4434255615154061</v>
      </c>
      <c r="W18" s="133">
        <v>5.9540699637827554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38.85605090586467</v>
      </c>
      <c r="C19" s="131">
        <f t="shared" si="6"/>
        <v>38.775163771399434</v>
      </c>
      <c r="D19" s="131">
        <f t="shared" si="6"/>
        <v>39.320005373213007</v>
      </c>
      <c r="E19" s="131">
        <f t="shared" si="6"/>
        <v>40.266161854743906</v>
      </c>
      <c r="F19" s="131">
        <f t="shared" si="6"/>
        <v>40.858517958894545</v>
      </c>
      <c r="G19" s="131">
        <f t="shared" si="6"/>
        <v>41.801545655301787</v>
      </c>
      <c r="H19" s="131">
        <f t="shared" si="6"/>
        <v>42.994211909355094</v>
      </c>
      <c r="I19" s="131">
        <f t="shared" si="6"/>
        <v>44.498387122456542</v>
      </c>
      <c r="J19" s="131">
        <f t="shared" si="6"/>
        <v>44.872959709973685</v>
      </c>
      <c r="K19" s="131">
        <f t="shared" si="6"/>
        <v>45.81565106805877</v>
      </c>
      <c r="L19" s="131">
        <f t="shared" si="6"/>
        <v>46.501104701161253</v>
      </c>
      <c r="M19" s="131">
        <f t="shared" si="6"/>
        <v>45.439989906631027</v>
      </c>
      <c r="N19" s="131">
        <f t="shared" si="6"/>
        <v>45.587155650505572</v>
      </c>
      <c r="O19" s="131">
        <f t="shared" si="6"/>
        <v>45.521696490345192</v>
      </c>
      <c r="P19" s="131">
        <f t="shared" si="6"/>
        <v>46.460182352104276</v>
      </c>
      <c r="Q19" s="131">
        <f t="shared" si="6"/>
        <v>47.350848279842594</v>
      </c>
      <c r="R19" s="131">
        <f t="shared" ref="R19:W19" si="7">SUM(R20:R27)</f>
        <v>48.307395683239065</v>
      </c>
      <c r="S19" s="131">
        <f t="shared" si="7"/>
        <v>47.790481286835799</v>
      </c>
      <c r="T19" s="131">
        <f t="shared" si="7"/>
        <v>47.627372657736245</v>
      </c>
      <c r="U19" s="131">
        <f t="shared" si="7"/>
        <v>48.051712794096197</v>
      </c>
      <c r="V19" s="131">
        <f t="shared" si="7"/>
        <v>46.329285156141836</v>
      </c>
      <c r="W19" s="131">
        <f t="shared" si="7"/>
        <v>46.243058506946156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16.540874332046332</v>
      </c>
      <c r="C21" s="133">
        <v>13.856359903177703</v>
      </c>
      <c r="D21" s="133">
        <v>15.09291713643046</v>
      </c>
      <c r="E21" s="133">
        <v>14.440724803180624</v>
      </c>
      <c r="F21" s="133">
        <v>13.895985192356395</v>
      </c>
      <c r="G21" s="133">
        <v>13.32175580836843</v>
      </c>
      <c r="H21" s="133">
        <v>12.797553843776571</v>
      </c>
      <c r="I21" s="133">
        <v>12.40585409905502</v>
      </c>
      <c r="J21" s="133">
        <v>11.519763067718728</v>
      </c>
      <c r="K21" s="133">
        <v>11.020282278457957</v>
      </c>
      <c r="L21" s="133">
        <v>10.821226010053087</v>
      </c>
      <c r="M21" s="133">
        <v>9.5202840252181389</v>
      </c>
      <c r="N21" s="133">
        <v>9.4567243882026979</v>
      </c>
      <c r="O21" s="133">
        <v>8.7711597142503646</v>
      </c>
      <c r="P21" s="133">
        <v>8.2712618102644644</v>
      </c>
      <c r="Q21" s="133">
        <v>8.048035970934281</v>
      </c>
      <c r="R21" s="133">
        <v>6.3589676002660029</v>
      </c>
      <c r="S21" s="133">
        <v>7.2014111041031219</v>
      </c>
      <c r="T21" s="133">
        <v>9.8132289728453674</v>
      </c>
      <c r="U21" s="133">
        <v>11.548989768121434</v>
      </c>
      <c r="V21" s="133">
        <v>8.9803993502460457</v>
      </c>
      <c r="W21" s="133">
        <v>6.5105130040299892</v>
      </c>
      <c r="DA21" s="157" t="s">
        <v>288</v>
      </c>
    </row>
    <row r="22" spans="1:105" ht="12" customHeight="1" x14ac:dyDescent="0.25">
      <c r="A22" s="132" t="s">
        <v>168</v>
      </c>
      <c r="B22" s="133">
        <v>14.487333646828839</v>
      </c>
      <c r="C22" s="133">
        <v>16.116032681184333</v>
      </c>
      <c r="D22" s="133">
        <v>15.216633375933585</v>
      </c>
      <c r="E22" s="133">
        <v>17.512818276755585</v>
      </c>
      <c r="F22" s="133">
        <v>18.172762949560571</v>
      </c>
      <c r="G22" s="133">
        <v>18.582454949839459</v>
      </c>
      <c r="H22" s="133">
        <v>19.554401871089976</v>
      </c>
      <c r="I22" s="133">
        <v>21.160984376513891</v>
      </c>
      <c r="J22" s="133">
        <v>20.140709385241955</v>
      </c>
      <c r="K22" s="133">
        <v>19.802801632999326</v>
      </c>
      <c r="L22" s="133">
        <v>19.288446807699071</v>
      </c>
      <c r="M22" s="133">
        <v>15.665109534830941</v>
      </c>
      <c r="N22" s="133">
        <v>14.16695303881483</v>
      </c>
      <c r="O22" s="133">
        <v>11.621540329302567</v>
      </c>
      <c r="P22" s="133">
        <v>9.7454858538168985</v>
      </c>
      <c r="Q22" s="133">
        <v>8.7177512906477244</v>
      </c>
      <c r="R22" s="133">
        <v>10.474142592357683</v>
      </c>
      <c r="S22" s="133">
        <v>8.2120729926802642</v>
      </c>
      <c r="T22" s="133">
        <v>9.6154624451008051</v>
      </c>
      <c r="U22" s="133">
        <v>7.9023070482329532</v>
      </c>
      <c r="V22" s="133">
        <v>8.7865453861265888</v>
      </c>
      <c r="W22" s="133">
        <v>8.1643322237196347</v>
      </c>
      <c r="DA22" s="157" t="s">
        <v>289</v>
      </c>
    </row>
    <row r="23" spans="1:105" ht="12" customHeight="1" x14ac:dyDescent="0.25">
      <c r="A23" s="132" t="s">
        <v>153</v>
      </c>
      <c r="B23" s="133">
        <v>1.3902765362819129</v>
      </c>
      <c r="C23" s="133">
        <v>1.4105629615792277</v>
      </c>
      <c r="D23" s="133">
        <v>1.3753348146028481</v>
      </c>
      <c r="E23" s="133">
        <v>1.3879782022755067</v>
      </c>
      <c r="F23" s="133">
        <v>1.4318210914228875</v>
      </c>
      <c r="G23" s="133">
        <v>1.460140534041527</v>
      </c>
      <c r="H23" s="133">
        <v>1.4612953957418047</v>
      </c>
      <c r="I23" s="133">
        <v>1.532744937340043</v>
      </c>
      <c r="J23" s="133">
        <v>1.6030137443886658</v>
      </c>
      <c r="K23" s="133">
        <v>2.2914384090238524</v>
      </c>
      <c r="L23" s="133">
        <v>2.4107972393082031</v>
      </c>
      <c r="M23" s="133">
        <v>2.3313660360542987</v>
      </c>
      <c r="N23" s="133">
        <v>2.3117875421242799</v>
      </c>
      <c r="O23" s="133">
        <v>2.2911358958641084</v>
      </c>
      <c r="P23" s="133">
        <v>2.3125639180834541</v>
      </c>
      <c r="Q23" s="133">
        <v>2.2107624175716998</v>
      </c>
      <c r="R23" s="133">
        <v>2.8207475434075651</v>
      </c>
      <c r="S23" s="133">
        <v>2.0790605869965835</v>
      </c>
      <c r="T23" s="133">
        <v>1.1250051457812003</v>
      </c>
      <c r="U23" s="133">
        <v>1.2106000973527027</v>
      </c>
      <c r="V23" s="133">
        <v>0.97620257364902729</v>
      </c>
      <c r="W23" s="133">
        <v>0.84774173086674298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3.2877211850174137</v>
      </c>
      <c r="C25" s="133">
        <v>4.3344441555381144</v>
      </c>
      <c r="D25" s="133">
        <v>3.6539730698203958</v>
      </c>
      <c r="E25" s="133">
        <v>3.2659301922084674</v>
      </c>
      <c r="F25" s="133">
        <v>3.2098852215724594</v>
      </c>
      <c r="G25" s="133">
        <v>2.9354733919470744</v>
      </c>
      <c r="H25" s="133">
        <v>2.3649238696953625</v>
      </c>
      <c r="I25" s="133">
        <v>2.3515694619411396</v>
      </c>
      <c r="J25" s="133">
        <v>2.1568069348170833</v>
      </c>
      <c r="K25" s="133">
        <v>2.6377577251365971</v>
      </c>
      <c r="L25" s="133">
        <v>3.3921686598988825</v>
      </c>
      <c r="M25" s="133">
        <v>4.1540570711633453</v>
      </c>
      <c r="N25" s="133">
        <v>4.7452359490504339</v>
      </c>
      <c r="O25" s="133">
        <v>5.2804410836754601</v>
      </c>
      <c r="P25" s="133">
        <v>5.8241154745481554</v>
      </c>
      <c r="Q25" s="133">
        <v>5.9237190653243319</v>
      </c>
      <c r="R25" s="133">
        <v>5.7850179955476868</v>
      </c>
      <c r="S25" s="133">
        <v>7.2250636095927767</v>
      </c>
      <c r="T25" s="133">
        <v>8.0610862067118543</v>
      </c>
      <c r="U25" s="133">
        <v>6.9752787471834559</v>
      </c>
      <c r="V25" s="133">
        <v>7.1056133728060082</v>
      </c>
      <c r="W25" s="133">
        <v>7.9374343017359239</v>
      </c>
      <c r="DA25" s="157" t="s">
        <v>292</v>
      </c>
    </row>
    <row r="26" spans="1:105" ht="12" customHeight="1" x14ac:dyDescent="0.25">
      <c r="A26" s="132" t="s">
        <v>24</v>
      </c>
      <c r="B26" s="65">
        <v>3.149845205690176</v>
      </c>
      <c r="C26" s="65">
        <v>3.0577640699200646</v>
      </c>
      <c r="D26" s="65">
        <v>3.981146976425717</v>
      </c>
      <c r="E26" s="65">
        <v>3.6587103803237246</v>
      </c>
      <c r="F26" s="65">
        <v>4.1480635039822298</v>
      </c>
      <c r="G26" s="65">
        <v>5.5017209711052928</v>
      </c>
      <c r="H26" s="65">
        <v>6.8160369290513803</v>
      </c>
      <c r="I26" s="65">
        <v>7.0472342476064469</v>
      </c>
      <c r="J26" s="65">
        <v>9.4526665778072516</v>
      </c>
      <c r="K26" s="65">
        <v>10.063371022441038</v>
      </c>
      <c r="L26" s="65">
        <v>10.588465984202008</v>
      </c>
      <c r="M26" s="65">
        <v>13.769173239364303</v>
      </c>
      <c r="N26" s="65">
        <v>14.906454732313334</v>
      </c>
      <c r="O26" s="65">
        <v>17.557419467252693</v>
      </c>
      <c r="P26" s="65">
        <v>20.306755295391302</v>
      </c>
      <c r="Q26" s="65">
        <v>22.450579535364561</v>
      </c>
      <c r="R26" s="65">
        <v>22.868519951660126</v>
      </c>
      <c r="S26" s="65">
        <v>23.072872993463054</v>
      </c>
      <c r="T26" s="65">
        <v>19.012589887297015</v>
      </c>
      <c r="U26" s="65">
        <v>20.414537133205652</v>
      </c>
      <c r="V26" s="65">
        <v>20.480524473314169</v>
      </c>
      <c r="W26" s="65">
        <v>22.783037246593864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41.30006781718393</v>
      </c>
      <c r="C29" s="131">
        <f t="shared" si="8"/>
        <v>44.984530204289129</v>
      </c>
      <c r="D29" s="131">
        <f t="shared" si="8"/>
        <v>42.412126928987355</v>
      </c>
      <c r="E29" s="131">
        <f t="shared" si="8"/>
        <v>40.492082855885343</v>
      </c>
      <c r="F29" s="131">
        <f t="shared" si="8"/>
        <v>41.218796737435028</v>
      </c>
      <c r="G29" s="131">
        <f t="shared" si="8"/>
        <v>41.148352063419068</v>
      </c>
      <c r="H29" s="131">
        <f t="shared" si="8"/>
        <v>41.408413640720191</v>
      </c>
      <c r="I29" s="131">
        <f t="shared" si="8"/>
        <v>45.147133353063367</v>
      </c>
      <c r="J29" s="131">
        <f t="shared" si="8"/>
        <v>43.008103937360403</v>
      </c>
      <c r="K29" s="131">
        <f t="shared" si="8"/>
        <v>44.699132907493492</v>
      </c>
      <c r="L29" s="131">
        <f t="shared" si="8"/>
        <v>46.551040345579246</v>
      </c>
      <c r="M29" s="131">
        <f t="shared" si="8"/>
        <v>44.906512535947591</v>
      </c>
      <c r="N29" s="131">
        <f t="shared" si="8"/>
        <v>48.008097302383291</v>
      </c>
      <c r="O29" s="131">
        <f t="shared" si="8"/>
        <v>47.753022471926371</v>
      </c>
      <c r="P29" s="131">
        <f t="shared" si="8"/>
        <v>49.922651161248595</v>
      </c>
      <c r="Q29" s="131">
        <f t="shared" si="8"/>
        <v>53.33571999350611</v>
      </c>
      <c r="R29" s="131">
        <f t="shared" ref="R29:W29" si="9">SUM(R30:R33)</f>
        <v>55.177128579786185</v>
      </c>
      <c r="S29" s="131">
        <f t="shared" si="9"/>
        <v>56.466970008131796</v>
      </c>
      <c r="T29" s="131">
        <f t="shared" si="9"/>
        <v>57.500573050327539</v>
      </c>
      <c r="U29" s="131">
        <f t="shared" si="9"/>
        <v>59.774432575279405</v>
      </c>
      <c r="V29" s="131">
        <f t="shared" si="9"/>
        <v>56.178165608081017</v>
      </c>
      <c r="W29" s="131">
        <f t="shared" si="9"/>
        <v>55.383061177629003</v>
      </c>
      <c r="DA29" s="156" t="s">
        <v>216</v>
      </c>
    </row>
    <row r="30" spans="1:105" ht="12" customHeight="1" x14ac:dyDescent="0.25">
      <c r="A30" s="132" t="s">
        <v>52</v>
      </c>
      <c r="B30" s="133">
        <v>27.519056880335437</v>
      </c>
      <c r="C30" s="133">
        <v>25.684568729668378</v>
      </c>
      <c r="D30" s="133">
        <v>12.020840387215291</v>
      </c>
      <c r="E30" s="133">
        <v>7.0243654805682976</v>
      </c>
      <c r="F30" s="133">
        <v>8.6988557362764478</v>
      </c>
      <c r="G30" s="133">
        <v>8.1433344753804899</v>
      </c>
      <c r="H30" s="133">
        <v>6.408035150204511</v>
      </c>
      <c r="I30" s="133">
        <v>18.390964473601915</v>
      </c>
      <c r="J30" s="133">
        <v>11.577829365643268</v>
      </c>
      <c r="K30" s="133">
        <v>13.177224170381251</v>
      </c>
      <c r="L30" s="133">
        <v>17.775764531649401</v>
      </c>
      <c r="M30" s="133">
        <v>6.9779962843261405</v>
      </c>
      <c r="N30" s="133">
        <v>13.640868045159293</v>
      </c>
      <c r="O30" s="133">
        <v>9.9268626417255543</v>
      </c>
      <c r="P30" s="133">
        <v>10.426760545711456</v>
      </c>
      <c r="Q30" s="133">
        <v>11.749900400518863</v>
      </c>
      <c r="R30" s="133">
        <v>10.139312709278286</v>
      </c>
      <c r="S30" s="133">
        <v>11.886035155570145</v>
      </c>
      <c r="T30" s="133">
        <v>15.500614535323152</v>
      </c>
      <c r="U30" s="133">
        <v>19.704234651483034</v>
      </c>
      <c r="V30" s="133">
        <v>16.830606668670551</v>
      </c>
      <c r="W30" s="133">
        <v>12.376761286597699</v>
      </c>
      <c r="DA30" s="157" t="s">
        <v>295</v>
      </c>
    </row>
    <row r="31" spans="1:105" ht="12" customHeight="1" x14ac:dyDescent="0.25">
      <c r="A31" s="132" t="s">
        <v>153</v>
      </c>
      <c r="B31" s="133">
        <v>0.39915739039336295</v>
      </c>
      <c r="C31" s="133">
        <v>8.2472199907499153</v>
      </c>
      <c r="D31" s="133">
        <v>8.9102877147930997</v>
      </c>
      <c r="E31" s="133">
        <v>7.6255510597005616</v>
      </c>
      <c r="F31" s="133">
        <v>7.2079695608177801</v>
      </c>
      <c r="G31" s="133">
        <v>4.8424545315716152</v>
      </c>
      <c r="H31" s="133">
        <v>2.2120175629944678</v>
      </c>
      <c r="I31" s="133">
        <v>1.7443844030892122</v>
      </c>
      <c r="J31" s="133">
        <v>0.84840619874332313</v>
      </c>
      <c r="K31" s="133">
        <v>2.5224359136141783</v>
      </c>
      <c r="L31" s="133">
        <v>2.5956588367310784</v>
      </c>
      <c r="M31" s="133">
        <v>2.852704205257965</v>
      </c>
      <c r="N31" s="133">
        <v>2.8498040507194338</v>
      </c>
      <c r="O31" s="133">
        <v>4.4268042131323542</v>
      </c>
      <c r="P31" s="133">
        <v>7.3347122147129387</v>
      </c>
      <c r="Q31" s="133">
        <v>8.5700759041836321</v>
      </c>
      <c r="R31" s="133">
        <v>11.010315557999141</v>
      </c>
      <c r="S31" s="133">
        <v>8.3783543312647879</v>
      </c>
      <c r="T31" s="133">
        <v>4.5510429617666777</v>
      </c>
      <c r="U31" s="133">
        <v>5.0973762681726891</v>
      </c>
      <c r="V31" s="133">
        <v>4.3911095103384161</v>
      </c>
      <c r="W31" s="133">
        <v>3.7514161800151973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13.381853546455128</v>
      </c>
      <c r="C33" s="68">
        <v>11.052741483870834</v>
      </c>
      <c r="D33" s="68">
        <v>21.480998826978965</v>
      </c>
      <c r="E33" s="68">
        <v>25.842166315616481</v>
      </c>
      <c r="F33" s="68">
        <v>25.311971440340798</v>
      </c>
      <c r="G33" s="68">
        <v>28.162563056466965</v>
      </c>
      <c r="H33" s="68">
        <v>32.788360927521211</v>
      </c>
      <c r="I33" s="68">
        <v>25.011784476372238</v>
      </c>
      <c r="J33" s="68">
        <v>30.581868372973812</v>
      </c>
      <c r="K33" s="68">
        <v>28.99947282349806</v>
      </c>
      <c r="L33" s="68">
        <v>26.179616977198766</v>
      </c>
      <c r="M33" s="68">
        <v>35.075812046363488</v>
      </c>
      <c r="N33" s="68">
        <v>31.517425206504569</v>
      </c>
      <c r="O33" s="68">
        <v>33.399355617068458</v>
      </c>
      <c r="P33" s="68">
        <v>32.161178400824198</v>
      </c>
      <c r="Q33" s="68">
        <v>33.015743688803617</v>
      </c>
      <c r="R33" s="68">
        <v>34.027500312508757</v>
      </c>
      <c r="S33" s="68">
        <v>36.202580521296866</v>
      </c>
      <c r="T33" s="68">
        <v>37.448915553237711</v>
      </c>
      <c r="U33" s="68">
        <v>34.972821655623683</v>
      </c>
      <c r="V33" s="68">
        <v>34.956449429072045</v>
      </c>
      <c r="W33" s="68">
        <v>39.254883711016106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296.67442612644521</v>
      </c>
      <c r="C3" s="126">
        <f t="shared" si="0"/>
        <v>391.77143850608905</v>
      </c>
      <c r="D3" s="126">
        <f t="shared" si="0"/>
        <v>391.10066661362242</v>
      </c>
      <c r="E3" s="126">
        <f t="shared" si="0"/>
        <v>260.22091112654914</v>
      </c>
      <c r="F3" s="126">
        <f t="shared" si="0"/>
        <v>286.48527356241863</v>
      </c>
      <c r="G3" s="126">
        <f t="shared" si="0"/>
        <v>243.13567632161912</v>
      </c>
      <c r="H3" s="126">
        <f t="shared" si="0"/>
        <v>224.11097152117856</v>
      </c>
      <c r="I3" s="126">
        <f t="shared" si="0"/>
        <v>190.49115446943961</v>
      </c>
      <c r="J3" s="126">
        <f t="shared" si="0"/>
        <v>261.3872191348205</v>
      </c>
      <c r="K3" s="126">
        <f t="shared" si="0"/>
        <v>261.45509517803873</v>
      </c>
      <c r="L3" s="126">
        <f t="shared" si="0"/>
        <v>296.70131507428135</v>
      </c>
      <c r="M3" s="126">
        <f t="shared" si="0"/>
        <v>297.0734830842739</v>
      </c>
      <c r="N3" s="126">
        <f t="shared" si="0"/>
        <v>256.12382459895412</v>
      </c>
      <c r="O3" s="126">
        <f t="shared" si="0"/>
        <v>267.0239954995775</v>
      </c>
      <c r="P3" s="126">
        <f t="shared" si="0"/>
        <v>236.1407323070504</v>
      </c>
      <c r="Q3" s="126">
        <f t="shared" si="0"/>
        <v>258.50589982014048</v>
      </c>
      <c r="R3" s="126">
        <f t="shared" ref="R3:W3" si="1">SUM(R4,R16,R19,R29)</f>
        <v>280.10718815952112</v>
      </c>
      <c r="S3" s="126">
        <f t="shared" si="1"/>
        <v>287.0940758709786</v>
      </c>
      <c r="T3" s="126">
        <f t="shared" si="1"/>
        <v>289.77944156973331</v>
      </c>
      <c r="U3" s="126">
        <f t="shared" si="1"/>
        <v>282.647516205709</v>
      </c>
      <c r="V3" s="126">
        <f t="shared" si="1"/>
        <v>261.82677485215441</v>
      </c>
      <c r="W3" s="126">
        <f t="shared" si="1"/>
        <v>267.15418384227382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240.84879099654631</v>
      </c>
      <c r="C4" s="131">
        <f t="shared" si="2"/>
        <v>333.55051060341418</v>
      </c>
      <c r="D4" s="131">
        <f t="shared" si="2"/>
        <v>331.29088000511422</v>
      </c>
      <c r="E4" s="131">
        <f t="shared" si="2"/>
        <v>197.66045822482778</v>
      </c>
      <c r="F4" s="131">
        <f t="shared" si="2"/>
        <v>224.4355225311001</v>
      </c>
      <c r="G4" s="131">
        <f t="shared" si="2"/>
        <v>178.98560145919956</v>
      </c>
      <c r="H4" s="131">
        <f t="shared" si="2"/>
        <v>156.10726685676096</v>
      </c>
      <c r="I4" s="131">
        <f t="shared" si="2"/>
        <v>119.65190416294065</v>
      </c>
      <c r="J4" s="131">
        <f t="shared" si="2"/>
        <v>189.02385987962165</v>
      </c>
      <c r="K4" s="131">
        <f t="shared" si="2"/>
        <v>186.80756663342692</v>
      </c>
      <c r="L4" s="131">
        <f t="shared" si="2"/>
        <v>219.07325583263525</v>
      </c>
      <c r="M4" s="131">
        <f t="shared" si="2"/>
        <v>217.71909290965579</v>
      </c>
      <c r="N4" s="131">
        <f t="shared" si="2"/>
        <v>172.35358838470506</v>
      </c>
      <c r="O4" s="131">
        <f t="shared" si="2"/>
        <v>180.86604790220508</v>
      </c>
      <c r="P4" s="131">
        <f t="shared" si="2"/>
        <v>150.58331541468718</v>
      </c>
      <c r="Q4" s="131">
        <f t="shared" si="2"/>
        <v>164.97310771209496</v>
      </c>
      <c r="R4" s="131">
        <f t="shared" ref="R4:W4" si="3">SUM(R5:R15)</f>
        <v>187.32782339795719</v>
      </c>
      <c r="S4" s="131">
        <f t="shared" si="3"/>
        <v>188.34716855068697</v>
      </c>
      <c r="T4" s="131">
        <f t="shared" si="3"/>
        <v>191.94946115491317</v>
      </c>
      <c r="U4" s="131">
        <f t="shared" si="3"/>
        <v>181.00962945523077</v>
      </c>
      <c r="V4" s="131">
        <f t="shared" si="3"/>
        <v>164.64466078249097</v>
      </c>
      <c r="W4" s="131">
        <f t="shared" si="3"/>
        <v>165.77114237528156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110.82931367536067</v>
      </c>
      <c r="C7" s="133">
        <v>168.76228511584756</v>
      </c>
      <c r="D7" s="133">
        <v>138.71704097779153</v>
      </c>
      <c r="E7" s="133">
        <v>104.26617189780659</v>
      </c>
      <c r="F7" s="133">
        <v>104.44767090300702</v>
      </c>
      <c r="G7" s="133">
        <v>100.35482005325034</v>
      </c>
      <c r="H7" s="133">
        <v>83.493041772140273</v>
      </c>
      <c r="I7" s="133">
        <v>50.789594187117373</v>
      </c>
      <c r="J7" s="133">
        <v>95.588934974017718</v>
      </c>
      <c r="K7" s="133">
        <v>88.693428941633655</v>
      </c>
      <c r="L7" s="133">
        <v>94.209457283231572</v>
      </c>
      <c r="M7" s="133">
        <v>75.331738424005749</v>
      </c>
      <c r="N7" s="133">
        <v>53.299596145246895</v>
      </c>
      <c r="O7" s="133">
        <v>48.545665409904181</v>
      </c>
      <c r="P7" s="133">
        <v>34.141939314881377</v>
      </c>
      <c r="Q7" s="133">
        <v>37.080585252985614</v>
      </c>
      <c r="R7" s="133">
        <v>44.336095184963753</v>
      </c>
      <c r="S7" s="133">
        <v>34.123236495264187</v>
      </c>
      <c r="T7" s="133">
        <v>39.345265224990058</v>
      </c>
      <c r="U7" s="133">
        <v>34.492833358967466</v>
      </c>
      <c r="V7" s="133">
        <v>40.059924932432686</v>
      </c>
      <c r="W7" s="133">
        <v>28.442139412958504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9.0954656370456899</v>
      </c>
      <c r="C9" s="133">
        <v>39.920247408903514</v>
      </c>
      <c r="D9" s="133">
        <v>46.637610409348625</v>
      </c>
      <c r="E9" s="133">
        <v>22.736494422783863</v>
      </c>
      <c r="F9" s="133">
        <v>28.849672494581643</v>
      </c>
      <c r="G9" s="133">
        <v>11.950132317258582</v>
      </c>
      <c r="H9" s="133">
        <v>6.6806044790207926</v>
      </c>
      <c r="I9" s="133">
        <v>5.7980759177841223</v>
      </c>
      <c r="J9" s="133">
        <v>6.4853227693583486</v>
      </c>
      <c r="K9" s="133">
        <v>9.1044463595693568</v>
      </c>
      <c r="L9" s="133">
        <v>12.955644046266723</v>
      </c>
      <c r="M9" s="133">
        <v>23.416260981663388</v>
      </c>
      <c r="N9" s="133">
        <v>6.6032396340029891</v>
      </c>
      <c r="O9" s="133">
        <v>18.438771205332031</v>
      </c>
      <c r="P9" s="133">
        <v>20.006646754014639</v>
      </c>
      <c r="Q9" s="133">
        <v>29.076112046288241</v>
      </c>
      <c r="R9" s="133">
        <v>37.965313838101913</v>
      </c>
      <c r="S9" s="133">
        <v>28.967144970539714</v>
      </c>
      <c r="T9" s="133">
        <v>15.820865865447445</v>
      </c>
      <c r="U9" s="133">
        <v>17.599485175602059</v>
      </c>
      <c r="V9" s="133">
        <v>14.911890628665063</v>
      </c>
      <c r="W9" s="133">
        <v>14.661564198926451</v>
      </c>
      <c r="DA9" s="157" t="s">
        <v>306</v>
      </c>
    </row>
    <row r="10" spans="1:105" ht="12" customHeight="1" x14ac:dyDescent="0.25">
      <c r="A10" s="132" t="s">
        <v>128</v>
      </c>
      <c r="B10" s="133">
        <v>0.49876565363466713</v>
      </c>
      <c r="C10" s="133">
        <v>0.85520060555368216</v>
      </c>
      <c r="D10" s="133">
        <v>0.77757593290698046</v>
      </c>
      <c r="E10" s="133">
        <v>0.31121353196820051</v>
      </c>
      <c r="F10" s="133">
        <v>0.32243398516648453</v>
      </c>
      <c r="G10" s="133">
        <v>0.43370864911335189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13.416393341009391</v>
      </c>
      <c r="M11" s="133">
        <v>13.432246253359057</v>
      </c>
      <c r="N11" s="133">
        <v>9.6633548978295192</v>
      </c>
      <c r="O11" s="133">
        <v>9.7270971911785811</v>
      </c>
      <c r="P11" s="133">
        <v>9.7483524223425881</v>
      </c>
      <c r="Q11" s="133">
        <v>7.3696779736249436</v>
      </c>
      <c r="R11" s="133">
        <v>7.6457666057588956</v>
      </c>
      <c r="S11" s="133">
        <v>9.9533354250429902</v>
      </c>
      <c r="T11" s="133">
        <v>9.5523833232222692</v>
      </c>
      <c r="U11" s="133">
        <v>10.536246109131827</v>
      </c>
      <c r="V11" s="133">
        <v>7.446371378358684</v>
      </c>
      <c r="W11" s="133">
        <v>7.1496839425041765</v>
      </c>
      <c r="DA11" s="157" t="s">
        <v>308</v>
      </c>
    </row>
    <row r="12" spans="1:105" ht="12" customHeight="1" x14ac:dyDescent="0.25">
      <c r="A12" s="132" t="s">
        <v>169</v>
      </c>
      <c r="B12" s="133">
        <v>57.409681066839475</v>
      </c>
      <c r="C12" s="133">
        <v>50.331231814687492</v>
      </c>
      <c r="D12" s="133">
        <v>47.63454008426978</v>
      </c>
      <c r="E12" s="133">
        <v>22.651437628416094</v>
      </c>
      <c r="F12" s="133">
        <v>25.864639035343419</v>
      </c>
      <c r="G12" s="133">
        <v>17.813575466312731</v>
      </c>
      <c r="H12" s="133">
        <v>23.156476319453152</v>
      </c>
      <c r="I12" s="133">
        <v>12.51752299634089</v>
      </c>
      <c r="J12" s="133">
        <v>11.617651165576181</v>
      </c>
      <c r="K12" s="133">
        <v>20.098857586104284</v>
      </c>
      <c r="L12" s="133">
        <v>27.89192214397367</v>
      </c>
      <c r="M12" s="133">
        <v>32.709458470169324</v>
      </c>
      <c r="N12" s="133">
        <v>35.115823057377462</v>
      </c>
      <c r="O12" s="133">
        <v>38.106541455706349</v>
      </c>
      <c r="P12" s="133">
        <v>28.106028501206925</v>
      </c>
      <c r="Q12" s="133">
        <v>32.199125055336431</v>
      </c>
      <c r="R12" s="133">
        <v>30.80047655389307</v>
      </c>
      <c r="S12" s="133">
        <v>37.533160375137953</v>
      </c>
      <c r="T12" s="133">
        <v>40.409485415029245</v>
      </c>
      <c r="U12" s="133">
        <v>34.575066625363895</v>
      </c>
      <c r="V12" s="133">
        <v>35.17121084358503</v>
      </c>
      <c r="W12" s="133">
        <v>41.317859305647154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60.325033315547131</v>
      </c>
      <c r="C14" s="65">
        <v>69.340171596413512</v>
      </c>
      <c r="D14" s="65">
        <v>93.730195378996839</v>
      </c>
      <c r="E14" s="65">
        <v>45.193583009240285</v>
      </c>
      <c r="F14" s="65">
        <v>62.362813211177695</v>
      </c>
      <c r="G14" s="65">
        <v>46.305980071374712</v>
      </c>
      <c r="H14" s="65">
        <v>41.059642110607506</v>
      </c>
      <c r="I14" s="65">
        <v>49.493855794735119</v>
      </c>
      <c r="J14" s="65">
        <v>73.506838658472432</v>
      </c>
      <c r="K14" s="65">
        <v>67.146320140004889</v>
      </c>
      <c r="L14" s="65">
        <v>68.60763223691923</v>
      </c>
      <c r="M14" s="65">
        <v>70.979865306373128</v>
      </c>
      <c r="N14" s="65">
        <v>66.491082127408362</v>
      </c>
      <c r="O14" s="65">
        <v>64.748941017090644</v>
      </c>
      <c r="P14" s="65">
        <v>57.541926197669426</v>
      </c>
      <c r="Q14" s="65">
        <v>58.014135923515681</v>
      </c>
      <c r="R14" s="65">
        <v>65.098571883377218</v>
      </c>
      <c r="S14" s="65">
        <v>76.568017033826052</v>
      </c>
      <c r="T14" s="65">
        <v>85.740902620262091</v>
      </c>
      <c r="U14" s="65">
        <v>82.796891323147605</v>
      </c>
      <c r="V14" s="65">
        <v>66.006776326564037</v>
      </c>
      <c r="W14" s="65">
        <v>73.324827094278618</v>
      </c>
      <c r="DA14" s="109" t="s">
        <v>311</v>
      </c>
    </row>
    <row r="15" spans="1:105" ht="12" customHeight="1" x14ac:dyDescent="0.25">
      <c r="A15" s="134" t="s">
        <v>80</v>
      </c>
      <c r="B15" s="135">
        <v>2.6905316481186712</v>
      </c>
      <c r="C15" s="135">
        <v>4.3413740620084411</v>
      </c>
      <c r="D15" s="135">
        <v>3.7939172218004478</v>
      </c>
      <c r="E15" s="135">
        <v>2.5015577346127298</v>
      </c>
      <c r="F15" s="135">
        <v>2.5882929018238112</v>
      </c>
      <c r="G15" s="135">
        <v>2.1273849018898479</v>
      </c>
      <c r="H15" s="135">
        <v>1.7175021755392514</v>
      </c>
      <c r="I15" s="135">
        <v>1.0528552669631337</v>
      </c>
      <c r="J15" s="135">
        <v>1.8251123121969908</v>
      </c>
      <c r="K15" s="135">
        <v>1.7645136061147566</v>
      </c>
      <c r="L15" s="135">
        <v>1.9922067812346385</v>
      </c>
      <c r="M15" s="135">
        <v>1.8495234740851196</v>
      </c>
      <c r="N15" s="135">
        <v>1.1804925228398397</v>
      </c>
      <c r="O15" s="135">
        <v>1.2990316229933199</v>
      </c>
      <c r="P15" s="135">
        <v>1.0384222245722188</v>
      </c>
      <c r="Q15" s="135">
        <v>1.2334714603440546</v>
      </c>
      <c r="R15" s="135">
        <v>1.4815993318623162</v>
      </c>
      <c r="S15" s="135">
        <v>1.2022742508760549</v>
      </c>
      <c r="T15" s="135">
        <v>1.0805587059620507</v>
      </c>
      <c r="U15" s="135">
        <v>1.0091068630179052</v>
      </c>
      <c r="V15" s="135">
        <v>1.0484866728854689</v>
      </c>
      <c r="W15" s="135">
        <v>0.87506842096666348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6.046313809747546</v>
      </c>
      <c r="C16" s="131">
        <f t="shared" si="4"/>
        <v>6.3433514879008452</v>
      </c>
      <c r="D16" s="131">
        <f t="shared" si="4"/>
        <v>7.0120571574663595</v>
      </c>
      <c r="E16" s="131">
        <f t="shared" si="4"/>
        <v>9.5772132603440863</v>
      </c>
      <c r="F16" s="131">
        <f t="shared" si="4"/>
        <v>8.2215200359097373</v>
      </c>
      <c r="G16" s="131">
        <f t="shared" si="4"/>
        <v>9.0454336697808735</v>
      </c>
      <c r="H16" s="131">
        <f t="shared" si="4"/>
        <v>10.982058840097766</v>
      </c>
      <c r="I16" s="131">
        <f t="shared" si="4"/>
        <v>12.050348786794533</v>
      </c>
      <c r="J16" s="131">
        <f t="shared" si="4"/>
        <v>13.070141028413044</v>
      </c>
      <c r="K16" s="131">
        <f t="shared" si="4"/>
        <v>13.658235276847076</v>
      </c>
      <c r="L16" s="131">
        <f t="shared" si="4"/>
        <v>15.178283598184002</v>
      </c>
      <c r="M16" s="131">
        <f t="shared" si="4"/>
        <v>15.835298082290123</v>
      </c>
      <c r="N16" s="131">
        <f t="shared" si="4"/>
        <v>18.358595965833789</v>
      </c>
      <c r="O16" s="131">
        <f t="shared" si="4"/>
        <v>19.624567334027304</v>
      </c>
      <c r="P16" s="131">
        <f t="shared" si="4"/>
        <v>16.502362941028224</v>
      </c>
      <c r="Q16" s="131">
        <f t="shared" si="4"/>
        <v>20.990793269636768</v>
      </c>
      <c r="R16" s="131">
        <f t="shared" ref="R16:W16" si="5">SUM(R17:R18)</f>
        <v>17.848592404927455</v>
      </c>
      <c r="S16" s="131">
        <f t="shared" si="5"/>
        <v>21.693828866813668</v>
      </c>
      <c r="T16" s="131">
        <f t="shared" si="5"/>
        <v>19.297745755211245</v>
      </c>
      <c r="U16" s="131">
        <f t="shared" si="5"/>
        <v>20.922337227590571</v>
      </c>
      <c r="V16" s="131">
        <f t="shared" si="5"/>
        <v>18.739061039880774</v>
      </c>
      <c r="W16" s="131">
        <f t="shared" si="5"/>
        <v>20.981955171913523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6.046313809747546</v>
      </c>
      <c r="C18" s="133">
        <v>6.3433514879008452</v>
      </c>
      <c r="D18" s="133">
        <v>7.0120571574663595</v>
      </c>
      <c r="E18" s="133">
        <v>9.5772132603440863</v>
      </c>
      <c r="F18" s="133">
        <v>8.2215200359097373</v>
      </c>
      <c r="G18" s="133">
        <v>9.0454336697808735</v>
      </c>
      <c r="H18" s="133">
        <v>10.982058840097766</v>
      </c>
      <c r="I18" s="133">
        <v>12.050348786794533</v>
      </c>
      <c r="J18" s="133">
        <v>13.070141028413044</v>
      </c>
      <c r="K18" s="133">
        <v>13.658235276847076</v>
      </c>
      <c r="L18" s="133">
        <v>15.178283598184002</v>
      </c>
      <c r="M18" s="133">
        <v>15.835298082290123</v>
      </c>
      <c r="N18" s="133">
        <v>18.358595965833789</v>
      </c>
      <c r="O18" s="133">
        <v>19.624567334027304</v>
      </c>
      <c r="P18" s="133">
        <v>16.502362941028224</v>
      </c>
      <c r="Q18" s="133">
        <v>20.990793269636768</v>
      </c>
      <c r="R18" s="133">
        <v>17.848592404927455</v>
      </c>
      <c r="S18" s="133">
        <v>21.693828866813668</v>
      </c>
      <c r="T18" s="133">
        <v>19.297745755211245</v>
      </c>
      <c r="U18" s="133">
        <v>20.922337227590571</v>
      </c>
      <c r="V18" s="133">
        <v>18.739061039880774</v>
      </c>
      <c r="W18" s="133">
        <v>20.981955171913523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22.520641462341583</v>
      </c>
      <c r="C19" s="131">
        <f t="shared" si="6"/>
        <v>22.754880327929442</v>
      </c>
      <c r="D19" s="131">
        <f t="shared" si="6"/>
        <v>23.118060100240363</v>
      </c>
      <c r="E19" s="131">
        <f t="shared" si="6"/>
        <v>23.54470606011246</v>
      </c>
      <c r="F19" s="131">
        <f t="shared" si="6"/>
        <v>24.010169390429205</v>
      </c>
      <c r="G19" s="131">
        <f t="shared" si="6"/>
        <v>24.732822362892637</v>
      </c>
      <c r="H19" s="131">
        <f t="shared" si="6"/>
        <v>25.530664965550713</v>
      </c>
      <c r="I19" s="131">
        <f t="shared" si="6"/>
        <v>26.524162828566418</v>
      </c>
      <c r="J19" s="131">
        <f t="shared" si="6"/>
        <v>27.147973973687662</v>
      </c>
      <c r="K19" s="131">
        <f t="shared" si="6"/>
        <v>28.052865833014344</v>
      </c>
      <c r="L19" s="131">
        <f t="shared" si="6"/>
        <v>28.877872254699835</v>
      </c>
      <c r="M19" s="131">
        <f t="shared" si="6"/>
        <v>29.135151978865828</v>
      </c>
      <c r="N19" s="131">
        <f t="shared" si="6"/>
        <v>29.79152376499415</v>
      </c>
      <c r="O19" s="131">
        <f t="shared" si="6"/>
        <v>30.585332694268832</v>
      </c>
      <c r="P19" s="131">
        <f t="shared" si="6"/>
        <v>31.909877447499561</v>
      </c>
      <c r="Q19" s="131">
        <f t="shared" si="6"/>
        <v>33.009683232058599</v>
      </c>
      <c r="R19" s="131">
        <f t="shared" ref="R19:W19" si="7">SUM(R20:R27)</f>
        <v>33.882692299089513</v>
      </c>
      <c r="S19" s="131">
        <f t="shared" si="7"/>
        <v>34.5582794712425</v>
      </c>
      <c r="T19" s="131">
        <f t="shared" si="7"/>
        <v>34.864203444376059</v>
      </c>
      <c r="U19" s="131">
        <f t="shared" si="7"/>
        <v>35.902399478977301</v>
      </c>
      <c r="V19" s="131">
        <f t="shared" si="7"/>
        <v>35.512671905219172</v>
      </c>
      <c r="W19" s="131">
        <f t="shared" si="7"/>
        <v>36.57031937127303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9.3103006622583599</v>
      </c>
      <c r="C21" s="133">
        <v>7.8138330565027507</v>
      </c>
      <c r="D21" s="133">
        <v>8.5419308581473832</v>
      </c>
      <c r="E21" s="133">
        <v>8.195162790215889</v>
      </c>
      <c r="F21" s="133">
        <v>7.9114425113077607</v>
      </c>
      <c r="G21" s="133">
        <v>7.6084658778261476</v>
      </c>
      <c r="H21" s="133">
        <v>7.3365839046715084</v>
      </c>
      <c r="I21" s="133">
        <v>7.142039585878603</v>
      </c>
      <c r="J21" s="133">
        <v>6.6610684930968818</v>
      </c>
      <c r="K21" s="133">
        <v>6.4035197202148355</v>
      </c>
      <c r="L21" s="133">
        <v>6.3274115671819171</v>
      </c>
      <c r="M21" s="133">
        <v>5.610916555207063</v>
      </c>
      <c r="N21" s="133">
        <v>5.6481840082919934</v>
      </c>
      <c r="O21" s="133">
        <v>5.3178996301112669</v>
      </c>
      <c r="P21" s="133">
        <v>5.0234584948042569</v>
      </c>
      <c r="Q21" s="133">
        <v>4.9193919957279197</v>
      </c>
      <c r="R21" s="133">
        <v>3.99632513166828</v>
      </c>
      <c r="S21" s="133">
        <v>4.6783125176784948</v>
      </c>
      <c r="T21" s="133">
        <v>6.6320992218429495</v>
      </c>
      <c r="U21" s="133">
        <v>8.0587833653594725</v>
      </c>
      <c r="V21" s="133">
        <v>6.4289672649201215</v>
      </c>
      <c r="W21" s="133">
        <v>4.7380894413113257</v>
      </c>
      <c r="DA21" s="157" t="s">
        <v>318</v>
      </c>
    </row>
    <row r="22" spans="1:105" ht="12" customHeight="1" x14ac:dyDescent="0.25">
      <c r="A22" s="132" t="s">
        <v>168</v>
      </c>
      <c r="B22" s="133">
        <v>7.6846452692780032</v>
      </c>
      <c r="C22" s="133">
        <v>8.582929150407363</v>
      </c>
      <c r="D22" s="133">
        <v>8.14230709211982</v>
      </c>
      <c r="E22" s="133">
        <v>9.4174048815457869</v>
      </c>
      <c r="F22" s="133">
        <v>9.8223432858053155</v>
      </c>
      <c r="G22" s="133">
        <v>10.089582145290699</v>
      </c>
      <c r="H22" s="133">
        <v>10.675574453031759</v>
      </c>
      <c r="I22" s="133">
        <v>11.623420116370166</v>
      </c>
      <c r="J22" s="133">
        <v>11.105150687480279</v>
      </c>
      <c r="K22" s="133">
        <v>10.942877677878769</v>
      </c>
      <c r="L22" s="133">
        <v>10.683787537134393</v>
      </c>
      <c r="M22" s="133">
        <v>8.7006966499854901</v>
      </c>
      <c r="N22" s="133">
        <v>7.8928385671533077</v>
      </c>
      <c r="O22" s="133">
        <v>6.4952908106298937</v>
      </c>
      <c r="P22" s="133">
        <v>5.4477671603091045</v>
      </c>
      <c r="Q22" s="133">
        <v>4.874957380874644</v>
      </c>
      <c r="R22" s="133">
        <v>5.9488884953220014</v>
      </c>
      <c r="S22" s="133">
        <v>4.7892400792412699</v>
      </c>
      <c r="T22" s="133">
        <v>5.917205556711556</v>
      </c>
      <c r="U22" s="133">
        <v>5.1006582434158441</v>
      </c>
      <c r="V22" s="133">
        <v>6.0468954029953297</v>
      </c>
      <c r="W22" s="133">
        <v>5.9342841898690288</v>
      </c>
      <c r="DA22" s="157" t="s">
        <v>319</v>
      </c>
    </row>
    <row r="23" spans="1:105" ht="12" customHeight="1" x14ac:dyDescent="0.25">
      <c r="A23" s="132" t="s">
        <v>153</v>
      </c>
      <c r="B23" s="133">
        <v>0.75340357277799708</v>
      </c>
      <c r="C23" s="133">
        <v>0.77133140016674262</v>
      </c>
      <c r="D23" s="133">
        <v>0.75972435017681539</v>
      </c>
      <c r="E23" s="133">
        <v>0.77558022462317355</v>
      </c>
      <c r="F23" s="133">
        <v>0.81032014926987694</v>
      </c>
      <c r="G23" s="133">
        <v>0.83745475423491778</v>
      </c>
      <c r="H23" s="133">
        <v>0.85008756372415795</v>
      </c>
      <c r="I23" s="133">
        <v>0.90801253819555672</v>
      </c>
      <c r="J23" s="133">
        <v>0.96822797402448346</v>
      </c>
      <c r="K23" s="133">
        <v>1.4124129584774978</v>
      </c>
      <c r="L23" s="133">
        <v>1.5071822990998998</v>
      </c>
      <c r="M23" s="133">
        <v>1.4746785502352069</v>
      </c>
      <c r="N23" s="133">
        <v>1.4785172597042959</v>
      </c>
      <c r="O23" s="133">
        <v>1.4809139433697549</v>
      </c>
      <c r="P23" s="133">
        <v>1.5046314479330287</v>
      </c>
      <c r="Q23" s="133">
        <v>1.4499427720493878</v>
      </c>
      <c r="R23" s="133">
        <v>1.8697823278238299</v>
      </c>
      <c r="S23" s="133">
        <v>1.3843384001985304</v>
      </c>
      <c r="T23" s="133">
        <v>0.75133582835784751</v>
      </c>
      <c r="U23" s="133">
        <v>0.81025874505119044</v>
      </c>
      <c r="V23" s="133">
        <v>0.65531295451730853</v>
      </c>
      <c r="W23" s="133">
        <v>0.57138900474588694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2.666922677592015</v>
      </c>
      <c r="C25" s="133">
        <v>3.5264480744046982</v>
      </c>
      <c r="D25" s="133">
        <v>2.9790555880386056</v>
      </c>
      <c r="E25" s="133">
        <v>2.6697739044166497</v>
      </c>
      <c r="F25" s="133">
        <v>2.6267929833524906</v>
      </c>
      <c r="G25" s="133">
        <v>2.4050918422327747</v>
      </c>
      <c r="H25" s="133">
        <v>1.9396336441771698</v>
      </c>
      <c r="I25" s="133">
        <v>1.936530528856663</v>
      </c>
      <c r="J25" s="133">
        <v>1.7886226957610045</v>
      </c>
      <c r="K25" s="133">
        <v>2.2112867770870874</v>
      </c>
      <c r="L25" s="133">
        <v>2.8738939006388984</v>
      </c>
      <c r="M25" s="133">
        <v>3.551923917003116</v>
      </c>
      <c r="N25" s="133">
        <v>4.089976842535755</v>
      </c>
      <c r="O25" s="133">
        <v>4.581714457376127</v>
      </c>
      <c r="P25" s="133">
        <v>5.0669709512399042</v>
      </c>
      <c r="Q25" s="133">
        <v>5.1692983901223357</v>
      </c>
      <c r="R25" s="133">
        <v>5.0707083237974411</v>
      </c>
      <c r="S25" s="133">
        <v>6.3756286305483432</v>
      </c>
      <c r="T25" s="133">
        <v>7.1513363763609226</v>
      </c>
      <c r="U25" s="133">
        <v>6.2061238359154052</v>
      </c>
      <c r="V25" s="133">
        <v>6.3429276402833166</v>
      </c>
      <c r="W25" s="133">
        <v>7.1163979242234578</v>
      </c>
      <c r="DA25" s="157" t="s">
        <v>322</v>
      </c>
    </row>
    <row r="26" spans="1:105" ht="12" customHeight="1" x14ac:dyDescent="0.25">
      <c r="A26" s="132" t="s">
        <v>24</v>
      </c>
      <c r="B26" s="65">
        <v>2.1053692804352062</v>
      </c>
      <c r="C26" s="65">
        <v>2.0603386464478861</v>
      </c>
      <c r="D26" s="65">
        <v>2.6950422117577411</v>
      </c>
      <c r="E26" s="65">
        <v>2.4867842593109617</v>
      </c>
      <c r="F26" s="65">
        <v>2.8392704606937609</v>
      </c>
      <c r="G26" s="65">
        <v>3.7922277433080973</v>
      </c>
      <c r="H26" s="65">
        <v>4.7287853999461165</v>
      </c>
      <c r="I26" s="65">
        <v>4.9141600592654289</v>
      </c>
      <c r="J26" s="65">
        <v>6.6249041233250185</v>
      </c>
      <c r="K26" s="65">
        <v>7.0827686993561585</v>
      </c>
      <c r="L26" s="65">
        <v>7.4855969506447266</v>
      </c>
      <c r="M26" s="65">
        <v>9.7969363064349491</v>
      </c>
      <c r="N26" s="65">
        <v>10.682007087308801</v>
      </c>
      <c r="O26" s="65">
        <v>12.709513852781789</v>
      </c>
      <c r="P26" s="65">
        <v>14.867049393213266</v>
      </c>
      <c r="Q26" s="65">
        <v>16.596092693284312</v>
      </c>
      <c r="R26" s="65">
        <v>16.996988020477961</v>
      </c>
      <c r="S26" s="65">
        <v>17.330759843575862</v>
      </c>
      <c r="T26" s="65">
        <v>14.412226461102783</v>
      </c>
      <c r="U26" s="65">
        <v>15.726575289235386</v>
      </c>
      <c r="V26" s="65">
        <v>16.038568642503098</v>
      </c>
      <c r="W26" s="65">
        <v>18.210158811123328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27.258679857809813</v>
      </c>
      <c r="C29" s="131">
        <f t="shared" si="8"/>
        <v>29.122696086844552</v>
      </c>
      <c r="D29" s="131">
        <f t="shared" si="8"/>
        <v>29.679669350801451</v>
      </c>
      <c r="E29" s="131">
        <f t="shared" si="8"/>
        <v>29.438533581264853</v>
      </c>
      <c r="F29" s="131">
        <f t="shared" si="8"/>
        <v>29.818061604979576</v>
      </c>
      <c r="G29" s="131">
        <f t="shared" si="8"/>
        <v>30.371818829746047</v>
      </c>
      <c r="H29" s="131">
        <f t="shared" si="8"/>
        <v>31.490980858769085</v>
      </c>
      <c r="I29" s="131">
        <f t="shared" si="8"/>
        <v>32.264738691138014</v>
      </c>
      <c r="J29" s="131">
        <f t="shared" si="8"/>
        <v>32.145244253098099</v>
      </c>
      <c r="K29" s="131">
        <f t="shared" si="8"/>
        <v>32.936427434750406</v>
      </c>
      <c r="L29" s="131">
        <f t="shared" si="8"/>
        <v>33.571903388762273</v>
      </c>
      <c r="M29" s="131">
        <f t="shared" si="8"/>
        <v>34.38394011346216</v>
      </c>
      <c r="N29" s="131">
        <f t="shared" si="8"/>
        <v>35.620116483421107</v>
      </c>
      <c r="O29" s="131">
        <f t="shared" si="8"/>
        <v>35.948047569076316</v>
      </c>
      <c r="P29" s="131">
        <f t="shared" si="8"/>
        <v>37.145176503835444</v>
      </c>
      <c r="Q29" s="131">
        <f t="shared" si="8"/>
        <v>39.532315606350153</v>
      </c>
      <c r="R29" s="131">
        <f t="shared" ref="R29:W29" si="9">SUM(R30:R33)</f>
        <v>41.048080057546997</v>
      </c>
      <c r="S29" s="131">
        <f t="shared" si="9"/>
        <v>42.494798982235466</v>
      </c>
      <c r="T29" s="131">
        <f t="shared" si="9"/>
        <v>43.668031215232801</v>
      </c>
      <c r="U29" s="131">
        <f t="shared" si="9"/>
        <v>44.813150043910362</v>
      </c>
      <c r="V29" s="131">
        <f t="shared" si="9"/>
        <v>42.930381124563482</v>
      </c>
      <c r="W29" s="131">
        <f t="shared" si="9"/>
        <v>43.83076692380574</v>
      </c>
      <c r="DA29" s="156" t="s">
        <v>325</v>
      </c>
    </row>
    <row r="30" spans="1:105" ht="12" customHeight="1" x14ac:dyDescent="0.25">
      <c r="A30" s="132" t="s">
        <v>52</v>
      </c>
      <c r="B30" s="133">
        <v>16.496939190471473</v>
      </c>
      <c r="C30" s="133">
        <v>15.397212568342187</v>
      </c>
      <c r="D30" s="133">
        <v>7.2061725715593266</v>
      </c>
      <c r="E30" s="133">
        <v>4.2109193890066781</v>
      </c>
      <c r="F30" s="133">
        <v>5.2147315488337798</v>
      </c>
      <c r="G30" s="133">
        <v>4.8875768252911014</v>
      </c>
      <c r="H30" s="133">
        <v>3.8535302732251129</v>
      </c>
      <c r="I30" s="133">
        <v>11.118355578512734</v>
      </c>
      <c r="J30" s="133">
        <v>7.0243318863576052</v>
      </c>
      <c r="K30" s="133">
        <v>8.0223959388979971</v>
      </c>
      <c r="L30" s="133">
        <v>10.84447667308037</v>
      </c>
      <c r="M30" s="133">
        <v>4.257138347109434</v>
      </c>
      <c r="N30" s="133">
        <v>8.3220643014266784</v>
      </c>
      <c r="O30" s="133">
        <v>6.0562357417941559</v>
      </c>
      <c r="P30" s="133">
        <v>6.3612856058678737</v>
      </c>
      <c r="Q30" s="133">
        <v>7.1690774427347659</v>
      </c>
      <c r="R30" s="133">
        <v>6.1905475810906294</v>
      </c>
      <c r="S30" s="133">
        <v>7.2752771153328633</v>
      </c>
      <c r="T30" s="133">
        <v>9.5272142027094073</v>
      </c>
      <c r="U30" s="133">
        <v>12.165158030644841</v>
      </c>
      <c r="V30" s="133">
        <v>10.420388957571861</v>
      </c>
      <c r="W30" s="133">
        <v>7.6784556025720709</v>
      </c>
      <c r="DA30" s="157" t="s">
        <v>326</v>
      </c>
    </row>
    <row r="31" spans="1:105" ht="12" customHeight="1" x14ac:dyDescent="0.25">
      <c r="A31" s="132" t="s">
        <v>153</v>
      </c>
      <c r="B31" s="133">
        <v>0.24054620568891422</v>
      </c>
      <c r="C31" s="133">
        <v>5.0027869644679903</v>
      </c>
      <c r="D31" s="133">
        <v>5.4128288827346092</v>
      </c>
      <c r="E31" s="133">
        <v>4.6357085291043756</v>
      </c>
      <c r="F31" s="133">
        <v>4.3833741784057123</v>
      </c>
      <c r="G31" s="133">
        <v>2.9454926484234969</v>
      </c>
      <c r="H31" s="133">
        <v>1.3454915121049724</v>
      </c>
      <c r="I31" s="133">
        <v>1.0610469136725846</v>
      </c>
      <c r="J31" s="133">
        <v>0.51613685323012048</v>
      </c>
      <c r="K31" s="133">
        <v>1.5390750994653979</v>
      </c>
      <c r="L31" s="133">
        <v>1.5878330749383516</v>
      </c>
      <c r="M31" s="133">
        <v>1.7468211570517418</v>
      </c>
      <c r="N31" s="133">
        <v>1.748613850275027</v>
      </c>
      <c r="O31" s="133">
        <v>2.7247881699634315</v>
      </c>
      <c r="P31" s="133">
        <v>4.5184057092327352</v>
      </c>
      <c r="Q31" s="133">
        <v>5.2803477216474217</v>
      </c>
      <c r="R31" s="133">
        <v>6.7842017694018146</v>
      </c>
      <c r="S31" s="133">
        <v>5.1625182440310375</v>
      </c>
      <c r="T31" s="133">
        <v>2.8042519586223205</v>
      </c>
      <c r="U31" s="133">
        <v>3.1408988207101731</v>
      </c>
      <c r="V31" s="133">
        <v>2.7057595444477442</v>
      </c>
      <c r="W31" s="133">
        <v>2.3116854522184926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10.521194461649426</v>
      </c>
      <c r="C33" s="68">
        <v>8.7226965540343748</v>
      </c>
      <c r="D33" s="68">
        <v>17.060667896507514</v>
      </c>
      <c r="E33" s="68">
        <v>20.591905663153799</v>
      </c>
      <c r="F33" s="68">
        <v>20.219955877740084</v>
      </c>
      <c r="G33" s="68">
        <v>22.538749356031449</v>
      </c>
      <c r="H33" s="68">
        <v>26.291959073438999</v>
      </c>
      <c r="I33" s="68">
        <v>20.085336198952696</v>
      </c>
      <c r="J33" s="68">
        <v>24.604775513510376</v>
      </c>
      <c r="K33" s="68">
        <v>23.374956396387013</v>
      </c>
      <c r="L33" s="68">
        <v>21.139593640743549</v>
      </c>
      <c r="M33" s="68">
        <v>28.379980609300983</v>
      </c>
      <c r="N33" s="68">
        <v>25.549438331719401</v>
      </c>
      <c r="O33" s="68">
        <v>27.167023657318726</v>
      </c>
      <c r="P33" s="68">
        <v>26.265485188734832</v>
      </c>
      <c r="Q33" s="68">
        <v>27.082890441967969</v>
      </c>
      <c r="R33" s="68">
        <v>28.073330707054556</v>
      </c>
      <c r="S33" s="68">
        <v>30.057003622871562</v>
      </c>
      <c r="T33" s="68">
        <v>31.336565053901076</v>
      </c>
      <c r="U33" s="68">
        <v>29.507093192555349</v>
      </c>
      <c r="V33" s="68">
        <v>29.804232622543875</v>
      </c>
      <c r="W33" s="68">
        <v>33.840625869015177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0.59731358781272925</v>
      </c>
      <c r="C3" s="127">
        <f>IF(SER_hh_tes!C3=0,"",SER_hh_tes!C3/SER_hh_fec!C3)</f>
        <v>0.5768794669010483</v>
      </c>
      <c r="D3" s="127">
        <f>IF(SER_hh_tes!D3=0,"",SER_hh_tes!D3/SER_hh_fec!D3)</f>
        <v>0.60247811466452916</v>
      </c>
      <c r="E3" s="127">
        <f>IF(SER_hh_tes!E3=0,"",SER_hh_tes!E3/SER_hh_fec!E3)</f>
        <v>0.60429081818437314</v>
      </c>
      <c r="F3" s="127">
        <f>IF(SER_hh_tes!F3=0,"",SER_hh_tes!F3/SER_hh_fec!F3)</f>
        <v>0.61543821890683803</v>
      </c>
      <c r="G3" s="127">
        <f>IF(SER_hh_tes!G3=0,"",SER_hh_tes!G3/SER_hh_fec!G3)</f>
        <v>0.61899376845983167</v>
      </c>
      <c r="H3" s="127">
        <f>IF(SER_hh_tes!H3=0,"",SER_hh_tes!H3/SER_hh_fec!H3)</f>
        <v>0.64456440397570436</v>
      </c>
      <c r="I3" s="127">
        <f>IF(SER_hh_tes!I3=0,"",SER_hh_tes!I3/SER_hh_fec!I3)</f>
        <v>0.67125088944752909</v>
      </c>
      <c r="J3" s="127">
        <f>IF(SER_hh_tes!J3=0,"",SER_hh_tes!J3/SER_hh_fec!J3)</f>
        <v>0.65877665145040032</v>
      </c>
      <c r="K3" s="127">
        <f>IF(SER_hh_tes!K3=0,"",SER_hh_tes!K3/SER_hh_fec!K3)</f>
        <v>0.67044802288502547</v>
      </c>
      <c r="L3" s="127">
        <f>IF(SER_hh_tes!L3=0,"",SER_hh_tes!L3/SER_hh_fec!L3)</f>
        <v>0.68471507385238595</v>
      </c>
      <c r="M3" s="127">
        <f>IF(SER_hh_tes!M3=0,"",SER_hh_tes!M3/SER_hh_fec!M3)</f>
        <v>0.71088334278112009</v>
      </c>
      <c r="N3" s="127">
        <f>IF(SER_hh_tes!N3=0,"",SER_hh_tes!N3/SER_hh_fec!N3)</f>
        <v>0.74151519206433802</v>
      </c>
      <c r="O3" s="127">
        <f>IF(SER_hh_tes!O3=0,"",SER_hh_tes!O3/SER_hh_fec!O3)</f>
        <v>0.75583954135011566</v>
      </c>
      <c r="P3" s="127">
        <f>IF(SER_hh_tes!P3=0,"",SER_hh_tes!P3/SER_hh_fec!P3)</f>
        <v>0.76255214392927273</v>
      </c>
      <c r="Q3" s="127">
        <f>IF(SER_hh_tes!Q3=0,"",SER_hh_tes!Q3/SER_hh_fec!Q3)</f>
        <v>0.77156528356888576</v>
      </c>
      <c r="R3" s="127">
        <f>IF(SER_hh_tes!R3=0,"",SER_hh_tes!R3/SER_hh_fec!R3)</f>
        <v>0.76350213181135285</v>
      </c>
      <c r="S3" s="127">
        <f>IF(SER_hh_tes!S3=0,"",SER_hh_tes!S3/SER_hh_fec!S3)</f>
        <v>0.79871908397673341</v>
      </c>
      <c r="T3" s="127">
        <f>IF(SER_hh_tes!T3=0,"",SER_hh_tes!T3/SER_hh_fec!T3)</f>
        <v>0.80674872956635801</v>
      </c>
      <c r="U3" s="127">
        <f>IF(SER_hh_tes!U3=0,"",SER_hh_tes!U3/SER_hh_fec!U3)</f>
        <v>0.82318935959249906</v>
      </c>
      <c r="V3" s="127">
        <f>IF(SER_hh_tes!V3=0,"",SER_hh_tes!V3/SER_hh_fec!V3)</f>
        <v>0.83068191969289074</v>
      </c>
      <c r="W3" s="127">
        <f>IF(SER_hh_tes!W3=0,"",SER_hh_tes!W3/SER_hh_fec!W3)</f>
        <v>0.86374912982707519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0.5830546843909693</v>
      </c>
      <c r="C4" s="136">
        <f>IF(SER_hh_tes!C4=0,"",SER_hh_tes!C4/SER_hh_fec!C4)</f>
        <v>0.56355062287827984</v>
      </c>
      <c r="D4" s="136">
        <f>IF(SER_hh_tes!D4=0,"",SER_hh_tes!D4/SER_hh_fec!D4)</f>
        <v>0.58767561259358791</v>
      </c>
      <c r="E4" s="136">
        <f>IF(SER_hh_tes!E4=0,"",SER_hh_tes!E4/SER_hh_fec!E4)</f>
        <v>0.57289970477971086</v>
      </c>
      <c r="F4" s="136">
        <f>IF(SER_hh_tes!F4=0,"",SER_hh_tes!F4/SER_hh_fec!F4)</f>
        <v>0.59150281360654211</v>
      </c>
      <c r="G4" s="136">
        <f>IF(SER_hh_tes!G4=0,"",SER_hh_tes!G4/SER_hh_fec!G4)</f>
        <v>0.58561817542211891</v>
      </c>
      <c r="H4" s="136">
        <f>IF(SER_hh_tes!H4=0,"",SER_hh_tes!H4/SER_hh_fec!H4)</f>
        <v>0.60408387058128921</v>
      </c>
      <c r="I4" s="136">
        <f>IF(SER_hh_tes!I4=0,"",SER_hh_tes!I4/SER_hh_fec!I4)</f>
        <v>0.63294055786385839</v>
      </c>
      <c r="J4" s="136">
        <f>IF(SER_hh_tes!J4=0,"",SER_hh_tes!J4/SER_hh_fec!J4)</f>
        <v>0.6225897034815665</v>
      </c>
      <c r="K4" s="136">
        <f>IF(SER_hh_tes!K4=0,"",SER_hh_tes!K4/SER_hh_fec!K4)</f>
        <v>0.63538586150881271</v>
      </c>
      <c r="L4" s="136">
        <f>IF(SER_hh_tes!L4=0,"",SER_hh_tes!L4/SER_hh_fec!L4)</f>
        <v>0.65524863298160851</v>
      </c>
      <c r="M4" s="136">
        <f>IF(SER_hh_tes!M4=0,"",SER_hh_tes!M4/SER_hh_fec!M4)</f>
        <v>0.67714941756741243</v>
      </c>
      <c r="N4" s="136">
        <f>IF(SER_hh_tes!N4=0,"",SER_hh_tes!N4/SER_hh_fec!N4)</f>
        <v>0.70343792032449726</v>
      </c>
      <c r="O4" s="136">
        <f>IF(SER_hh_tes!O4=0,"",SER_hh_tes!O4/SER_hh_fec!O4)</f>
        <v>0.71500698170487187</v>
      </c>
      <c r="P4" s="136">
        <f>IF(SER_hh_tes!P4=0,"",SER_hh_tes!P4/SER_hh_fec!P4)</f>
        <v>0.72550616838412285</v>
      </c>
      <c r="Q4" s="136">
        <f>IF(SER_hh_tes!Q4=0,"",SER_hh_tes!Q4/SER_hh_fec!Q4)</f>
        <v>0.72578189089672929</v>
      </c>
      <c r="R4" s="136">
        <f>IF(SER_hh_tes!R4=0,"",SER_hh_tes!R4/SER_hh_fec!R4)</f>
        <v>0.72717313778620607</v>
      </c>
      <c r="S4" s="136">
        <f>IF(SER_hh_tes!S4=0,"",SER_hh_tes!S4/SER_hh_fec!S4)</f>
        <v>0.75828840560836264</v>
      </c>
      <c r="T4" s="136">
        <f>IF(SER_hh_tes!T4=0,"",SER_hh_tes!T4/SER_hh_fec!T4)</f>
        <v>0.7734057406276631</v>
      </c>
      <c r="U4" s="136">
        <f>IF(SER_hh_tes!U4=0,"",SER_hh_tes!U4/SER_hh_fec!U4)</f>
        <v>0.78939617373847393</v>
      </c>
      <c r="V4" s="136">
        <f>IF(SER_hh_tes!V4=0,"",SER_hh_tes!V4/SER_hh_fec!V4)</f>
        <v>0.79444796855750399</v>
      </c>
      <c r="W4" s="136">
        <f>IF(SER_hh_tes!W4=0,"",SER_hh_tes!W4/SER_hh_fec!W4)</f>
        <v>0.82180524523436316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0.47007742294170901</v>
      </c>
      <c r="C7" s="137">
        <f>IF(SER_hh_tes!C7=0,"",SER_hh_tes!C7/SER_hh_fec!C7)</f>
        <v>0.47602679317395724</v>
      </c>
      <c r="D7" s="137">
        <f>IF(SER_hh_tes!D7=0,"",SER_hh_tes!D7/SER_hh_fec!D7)</f>
        <v>0.48257580912534187</v>
      </c>
      <c r="E7" s="137">
        <f>IF(SER_hh_tes!E7=0,"",SER_hh_tes!E7/SER_hh_fec!E7)</f>
        <v>0.49207344925166446</v>
      </c>
      <c r="F7" s="137">
        <f>IF(SER_hh_tes!F7=0,"",SER_hh_tes!F7/SER_hh_fec!F7)</f>
        <v>0.50014782559156312</v>
      </c>
      <c r="G7" s="137">
        <f>IF(SER_hh_tes!G7=0,"",SER_hh_tes!G7/SER_hh_fec!G7)</f>
        <v>0.50908846069468816</v>
      </c>
      <c r="H7" s="137">
        <f>IF(SER_hh_tes!H7=0,"",SER_hh_tes!H7/SER_hh_fec!H7)</f>
        <v>0.51667027648643438</v>
      </c>
      <c r="I7" s="137">
        <f>IF(SER_hh_tes!I7=0,"",SER_hh_tes!I7/SER_hh_fec!I7)</f>
        <v>0.52410267855471548</v>
      </c>
      <c r="J7" s="137">
        <f>IF(SER_hh_tes!J7=0,"",SER_hh_tes!J7/SER_hh_fec!J7)</f>
        <v>0.53304351026220931</v>
      </c>
      <c r="K7" s="137">
        <f>IF(SER_hh_tes!K7=0,"",SER_hh_tes!K7/SER_hh_fec!K7)</f>
        <v>0.53949000685640158</v>
      </c>
      <c r="L7" s="137">
        <f>IF(SER_hh_tes!L7=0,"",SER_hh_tes!L7/SER_hh_fec!L7)</f>
        <v>0.54438520310114835</v>
      </c>
      <c r="M7" s="137">
        <f>IF(SER_hh_tes!M7=0,"",SER_hh_tes!M7/SER_hh_fec!M7)</f>
        <v>0.54987437361142888</v>
      </c>
      <c r="N7" s="137">
        <f>IF(SER_hh_tes!N7=0,"",SER_hh_tes!N7/SER_hh_fec!N7)</f>
        <v>0.55658435273478801</v>
      </c>
      <c r="O7" s="137">
        <f>IF(SER_hh_tes!O7=0,"",SER_hh_tes!O7/SER_hh_fec!O7)</f>
        <v>0.56403418917635717</v>
      </c>
      <c r="P7" s="137">
        <f>IF(SER_hh_tes!P7=0,"",SER_hh_tes!P7/SER_hh_fec!P7)</f>
        <v>0.56463612274030639</v>
      </c>
      <c r="Q7" s="137">
        <f>IF(SER_hh_tes!Q7=0,"",SER_hh_tes!Q7/SER_hh_fec!Q7)</f>
        <v>0.56554299604937286</v>
      </c>
      <c r="R7" s="137">
        <f>IF(SER_hh_tes!R7=0,"",SER_hh_tes!R7/SER_hh_fec!R7)</f>
        <v>0.57551727481288384</v>
      </c>
      <c r="S7" s="137">
        <f>IF(SER_hh_tes!S7=0,"",SER_hh_tes!S7/SER_hh_fec!S7)</f>
        <v>0.58978957635059448</v>
      </c>
      <c r="T7" s="137">
        <f>IF(SER_hh_tes!T7=0,"",SER_hh_tes!T7/SER_hh_fec!T7)</f>
        <v>0.61886367828397382</v>
      </c>
      <c r="U7" s="137">
        <f>IF(SER_hh_tes!U7=0,"",SER_hh_tes!U7/SER_hh_fec!U7)</f>
        <v>0.64836030426360491</v>
      </c>
      <c r="V7" s="137">
        <f>IF(SER_hh_tes!V7=0,"",SER_hh_tes!V7/SER_hh_fec!V7)</f>
        <v>0.67727275261580888</v>
      </c>
      <c r="W7" s="137">
        <f>IF(SER_hh_tes!W7=0,"",SER_hh_tes!W7/SER_hh_fec!W7)</f>
        <v>0.70621108722938197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0.51671490687568</v>
      </c>
      <c r="C9" s="137">
        <f>IF(SER_hh_tes!C9=0,"",SER_hh_tes!C9/SER_hh_fec!C9)</f>
        <v>0.55511944934420621</v>
      </c>
      <c r="D9" s="137">
        <f>IF(SER_hh_tes!D9=0,"",SER_hh_tes!D9/SER_hh_fec!D9)</f>
        <v>0.56850561559729107</v>
      </c>
      <c r="E9" s="137">
        <f>IF(SER_hh_tes!E9=0,"",SER_hh_tes!E9/SER_hh_fec!E9)</f>
        <v>0.57361751450007548</v>
      </c>
      <c r="F9" s="137">
        <f>IF(SER_hh_tes!F9=0,"",SER_hh_tes!F9/SER_hh_fec!F9)</f>
        <v>0.57617577104745721</v>
      </c>
      <c r="G9" s="137">
        <f>IF(SER_hh_tes!G9=0,"",SER_hh_tes!G9/SER_hh_fec!G9)</f>
        <v>0.57813242067428583</v>
      </c>
      <c r="H9" s="137">
        <f>IF(SER_hh_tes!H9=0,"",SER_hh_tes!H9/SER_hh_fec!H9)</f>
        <v>0.57813242067428572</v>
      </c>
      <c r="I9" s="137">
        <f>IF(SER_hh_tes!I9=0,"",SER_hh_tes!I9/SER_hh_fec!I9)</f>
        <v>0.57813242067428605</v>
      </c>
      <c r="J9" s="137">
        <f>IF(SER_hh_tes!J9=0,"",SER_hh_tes!J9/SER_hh_fec!J9)</f>
        <v>0.57813242067428572</v>
      </c>
      <c r="K9" s="137">
        <f>IF(SER_hh_tes!K9=0,"",SER_hh_tes!K9/SER_hh_fec!K9)</f>
        <v>0.59741998149682463</v>
      </c>
      <c r="L9" s="137">
        <f>IF(SER_hh_tes!L9=0,"",SER_hh_tes!L9/SER_hh_fec!L9)</f>
        <v>0.61956886905689779</v>
      </c>
      <c r="M9" s="137">
        <f>IF(SER_hh_tes!M9=0,"",SER_hh_tes!M9/SER_hh_fec!M9)</f>
        <v>0.64391341804522662</v>
      </c>
      <c r="N9" s="137">
        <f>IF(SER_hh_tes!N9=0,"",SER_hh_tes!N9/SER_hh_fec!N9)</f>
        <v>0.65436162186980218</v>
      </c>
      <c r="O9" s="137">
        <f>IF(SER_hh_tes!O9=0,"",SER_hh_tes!O9/SER_hh_fec!O9)</f>
        <v>0.68039021542526956</v>
      </c>
      <c r="P9" s="137">
        <f>IF(SER_hh_tes!P9=0,"",SER_hh_tes!P9/SER_hh_fec!P9)</f>
        <v>0.69496949732860225</v>
      </c>
      <c r="Q9" s="137">
        <f>IF(SER_hh_tes!Q9=0,"",SER_hh_tes!Q9/SER_hh_fec!Q9)</f>
        <v>0.71131136622412505</v>
      </c>
      <c r="R9" s="137">
        <f>IF(SER_hh_tes!R9=0,"",SER_hh_tes!R9/SER_hh_fec!R9)</f>
        <v>0.72221233809942764</v>
      </c>
      <c r="S9" s="137">
        <f>IF(SER_hh_tes!S9=0,"",SER_hh_tes!S9/SER_hh_fec!S9)</f>
        <v>0.73026743385015647</v>
      </c>
      <c r="T9" s="137">
        <f>IF(SER_hh_tes!T9=0,"",SER_hh_tes!T9/SER_hh_fec!T9)</f>
        <v>0.7336169198471636</v>
      </c>
      <c r="U9" s="137">
        <f>IF(SER_hh_tes!U9=0,"",SER_hh_tes!U9/SER_hh_fec!U9)</f>
        <v>0.73434521993695923</v>
      </c>
      <c r="V9" s="137">
        <f>IF(SER_hh_tes!V9=0,"",SER_hh_tes!V9/SER_hh_fec!V9)</f>
        <v>0.734345219936958</v>
      </c>
      <c r="W9" s="137">
        <f>IF(SER_hh_tes!W9=0,"",SER_hh_tes!W9/SER_hh_fec!W9)</f>
        <v>0.74051907841615261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0.46405156414169429</v>
      </c>
      <c r="C10" s="137">
        <f>IF(SER_hh_tes!C10=0,"",SER_hh_tes!C10/SER_hh_fec!C10)</f>
        <v>0.46500458378555909</v>
      </c>
      <c r="D10" s="137">
        <f>IF(SER_hh_tes!D10=0,"",SER_hh_tes!D10/SER_hh_fec!D10)</f>
        <v>0.46508990432566255</v>
      </c>
      <c r="E10" s="137">
        <f>IF(SER_hh_tes!E10=0,"",SER_hh_tes!E10/SER_hh_fec!E10)</f>
        <v>0.4653398530200788</v>
      </c>
      <c r="F10" s="137">
        <f>IF(SER_hh_tes!F10=0,"",SER_hh_tes!F10/SER_hh_fec!F10)</f>
        <v>0.46548004561646167</v>
      </c>
      <c r="G10" s="137">
        <f>IF(SER_hh_tes!G10=0,"",SER_hh_tes!G10/SER_hh_fec!G10)</f>
        <v>0.46561724260946036</v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 t="str">
        <f>IF(SER_hh_tes!N10=0,"",SER_hh_tes!N10/SER_hh_fec!N10)</f>
        <v/>
      </c>
      <c r="O10" s="137" t="str">
        <f>IF(SER_hh_tes!O10=0,"",SER_hh_tes!O10/SER_hh_fec!O10)</f>
        <v/>
      </c>
      <c r="P10" s="137" t="str">
        <f>IF(SER_hh_tes!P10=0,"",SER_hh_tes!P10/SER_hh_fec!P10)</f>
        <v/>
      </c>
      <c r="Q10" s="137" t="str">
        <f>IF(SER_hh_tes!Q10=0,"",SER_hh_tes!Q10/SER_hh_fec!Q10)</f>
        <v/>
      </c>
      <c r="R10" s="137" t="str">
        <f>IF(SER_hh_tes!R10=0,"",SER_hh_tes!R10/SER_hh_fec!R10)</f>
        <v/>
      </c>
      <c r="S10" s="137" t="str">
        <f>IF(SER_hh_tes!S10=0,"",SER_hh_tes!S10/SER_hh_fec!S10)</f>
        <v/>
      </c>
      <c r="T10" s="137" t="str">
        <f>IF(SER_hh_tes!T10=0,"",SER_hh_tes!T10/SER_hh_fec!T10)</f>
        <v/>
      </c>
      <c r="U10" s="137" t="str">
        <f>IF(SER_hh_tes!U10=0,"",SER_hh_tes!U10/SER_hh_fec!U10)</f>
        <v/>
      </c>
      <c r="V10" s="137" t="str">
        <f>IF(SER_hh_tes!V10=0,"",SER_hh_tes!V10/SER_hh_fec!V10)</f>
        <v/>
      </c>
      <c r="W10" s="137" t="str">
        <f>IF(SER_hh_tes!W10=0,"",SER_hh_tes!W10/SER_hh_fec!W10)</f>
        <v/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>
        <f>IF(SER_hh_tes!L11=0,"",SER_hh_tes!L11/SER_hh_fec!L11)</f>
        <v>0.88739118684171459</v>
      </c>
      <c r="M11" s="137">
        <f>IF(SER_hh_tes!M11=0,"",SER_hh_tes!M11/SER_hh_fec!M11)</f>
        <v>0.888439735013142</v>
      </c>
      <c r="N11" s="137">
        <f>IF(SER_hh_tes!N11=0,"",SER_hh_tes!N11/SER_hh_fec!N11)</f>
        <v>0.88919777402904776</v>
      </c>
      <c r="O11" s="137">
        <f>IF(SER_hh_tes!O11=0,"",SER_hh_tes!O11/SER_hh_fec!O11)</f>
        <v>0.88920265624975914</v>
      </c>
      <c r="P11" s="137">
        <f>IF(SER_hh_tes!P11=0,"",SER_hh_tes!P11/SER_hh_fec!P11)</f>
        <v>0.88920265624975914</v>
      </c>
      <c r="Q11" s="137">
        <f>IF(SER_hh_tes!Q11=0,"",SER_hh_tes!Q11/SER_hh_fec!Q11)</f>
        <v>0.88920265624975958</v>
      </c>
      <c r="R11" s="137">
        <f>IF(SER_hh_tes!R11=0,"",SER_hh_tes!R11/SER_hh_fec!R11)</f>
        <v>0.88920265624975925</v>
      </c>
      <c r="S11" s="137">
        <f>IF(SER_hh_tes!S11=0,"",SER_hh_tes!S11/SER_hh_fec!S11)</f>
        <v>0.88920265624975969</v>
      </c>
      <c r="T11" s="137">
        <f>IF(SER_hh_tes!T11=0,"",SER_hh_tes!T11/SER_hh_fec!T11)</f>
        <v>0.89083473433199989</v>
      </c>
      <c r="U11" s="137">
        <f>IF(SER_hh_tes!U11=0,"",SER_hh_tes!U11/SER_hh_fec!U11)</f>
        <v>0.89348817483231591</v>
      </c>
      <c r="V11" s="137">
        <f>IF(SER_hh_tes!V11=0,"",SER_hh_tes!V11/SER_hh_fec!V11)</f>
        <v>0.89574269122486749</v>
      </c>
      <c r="W11" s="137">
        <f>IF(SER_hh_tes!W11=0,"",SER_hh_tes!W11/SER_hh_fec!W11)</f>
        <v>0.89857811285687328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0.80352610434408378</v>
      </c>
      <c r="C12" s="137">
        <f>IF(SER_hh_tes!C12=0,"",SER_hh_tes!C12/SER_hh_fec!C12)</f>
        <v>0.80352610434408378</v>
      </c>
      <c r="D12" s="137">
        <f>IF(SER_hh_tes!D12=0,"",SER_hh_tes!D12/SER_hh_fec!D12)</f>
        <v>0.80352610434408378</v>
      </c>
      <c r="E12" s="137">
        <f>IF(SER_hh_tes!E12=0,"",SER_hh_tes!E12/SER_hh_fec!E12)</f>
        <v>0.80352610434408389</v>
      </c>
      <c r="F12" s="137">
        <f>IF(SER_hh_tes!F12=0,"",SER_hh_tes!F12/SER_hh_fec!F12)</f>
        <v>0.80357145440995892</v>
      </c>
      <c r="G12" s="137">
        <f>IF(SER_hh_tes!G12=0,"",SER_hh_tes!G12/SER_hh_fec!G12)</f>
        <v>0.8053346164257722</v>
      </c>
      <c r="H12" s="137">
        <f>IF(SER_hh_tes!H12=0,"",SER_hh_tes!H12/SER_hh_fec!H12)</f>
        <v>0.8119985408503394</v>
      </c>
      <c r="I12" s="137">
        <f>IF(SER_hh_tes!I12=0,"",SER_hh_tes!I12/SER_hh_fec!I12)</f>
        <v>0.81437101380292987</v>
      </c>
      <c r="J12" s="137">
        <f>IF(SER_hh_tes!J12=0,"",SER_hh_tes!J12/SER_hh_fec!J12)</f>
        <v>0.81790506176229871</v>
      </c>
      <c r="K12" s="137">
        <f>IF(SER_hh_tes!K12=0,"",SER_hh_tes!K12/SER_hh_fec!K12)</f>
        <v>0.82778753023660734</v>
      </c>
      <c r="L12" s="137">
        <f>IF(SER_hh_tes!L12=0,"",SER_hh_tes!L12/SER_hh_fec!L12)</f>
        <v>0.83773136643308277</v>
      </c>
      <c r="M12" s="137">
        <f>IF(SER_hh_tes!M12=0,"",SER_hh_tes!M12/SER_hh_fec!M12)</f>
        <v>0.84636153643604628</v>
      </c>
      <c r="N12" s="137">
        <f>IF(SER_hh_tes!N12=0,"",SER_hh_tes!N12/SER_hh_fec!N12)</f>
        <v>0.85363004881272664</v>
      </c>
      <c r="O12" s="137">
        <f>IF(SER_hh_tes!O12=0,"",SER_hh_tes!O12/SER_hh_fec!O12)</f>
        <v>0.85872694842576291</v>
      </c>
      <c r="P12" s="137">
        <f>IF(SER_hh_tes!P12=0,"",SER_hh_tes!P12/SER_hh_fec!P12)</f>
        <v>0.85883964247189948</v>
      </c>
      <c r="Q12" s="137">
        <f>IF(SER_hh_tes!Q12=0,"",SER_hh_tes!Q12/SER_hh_fec!Q12)</f>
        <v>0.85922620535824989</v>
      </c>
      <c r="R12" s="137">
        <f>IF(SER_hh_tes!R12=0,"",SER_hh_tes!R12/SER_hh_fec!R12)</f>
        <v>0.85982140412865682</v>
      </c>
      <c r="S12" s="137">
        <f>IF(SER_hh_tes!S12=0,"",SER_hh_tes!S12/SER_hh_fec!S12)</f>
        <v>0.86376774877689633</v>
      </c>
      <c r="T12" s="137">
        <f>IF(SER_hh_tes!T12=0,"",SER_hh_tes!T12/SER_hh_fec!T12)</f>
        <v>0.86790329463393723</v>
      </c>
      <c r="U12" s="137">
        <f>IF(SER_hh_tes!U12=0,"",SER_hh_tes!U12/SER_hh_fec!U12)</f>
        <v>0.87260846945778692</v>
      </c>
      <c r="V12" s="137">
        <f>IF(SER_hh_tes!V12=0,"",SER_hh_tes!V12/SER_hh_fec!V12)</f>
        <v>0.87904649522310607</v>
      </c>
      <c r="W12" s="137">
        <f>IF(SER_hh_tes!W12=0,"",SER_hh_tes!W12/SER_hh_fec!W12)</f>
        <v>0.88499085249700216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0.71392480357599486</v>
      </c>
      <c r="C14" s="138">
        <f>IF(SER_hh_tes!C14=0,"",SER_hh_tes!C14/SER_hh_fec!C14)</f>
        <v>0.71766458017931922</v>
      </c>
      <c r="D14" s="138">
        <f>IF(SER_hh_tes!D14=0,"",SER_hh_tes!D14/SER_hh_fec!D14)</f>
        <v>0.72380518039865605</v>
      </c>
      <c r="E14" s="138">
        <f>IF(SER_hh_tes!E14=0,"",SER_hh_tes!E14/SER_hh_fec!E14)</f>
        <v>0.72741926640462995</v>
      </c>
      <c r="F14" s="138">
        <f>IF(SER_hh_tes!F14=0,"",SER_hh_tes!F14/SER_hh_fec!F14)</f>
        <v>0.7331619827182515</v>
      </c>
      <c r="G14" s="138">
        <f>IF(SER_hh_tes!G14=0,"",SER_hh_tes!G14/SER_hh_fec!G14)</f>
        <v>0.73900055348455052</v>
      </c>
      <c r="H14" s="138">
        <f>IF(SER_hh_tes!H14=0,"",SER_hh_tes!H14/SER_hh_fec!H14)</f>
        <v>0.74612279928934822</v>
      </c>
      <c r="I14" s="138">
        <f>IF(SER_hh_tes!I14=0,"",SER_hh_tes!I14/SER_hh_fec!I14)</f>
        <v>0.75354948786517528</v>
      </c>
      <c r="J14" s="138">
        <f>IF(SER_hh_tes!J14=0,"",SER_hh_tes!J14/SER_hh_fec!J14)</f>
        <v>0.757526363165407</v>
      </c>
      <c r="K14" s="138">
        <f>IF(SER_hh_tes!K14=0,"",SER_hh_tes!K14/SER_hh_fec!K14)</f>
        <v>0.76026352106219408</v>
      </c>
      <c r="L14" s="138">
        <f>IF(SER_hh_tes!L14=0,"",SER_hh_tes!L14/SER_hh_fec!L14)</f>
        <v>0.76262044846158461</v>
      </c>
      <c r="M14" s="138">
        <f>IF(SER_hh_tes!M14=0,"",SER_hh_tes!M14/SER_hh_fec!M14)</f>
        <v>0.76698710751390919</v>
      </c>
      <c r="N14" s="138">
        <f>IF(SER_hh_tes!N14=0,"",SER_hh_tes!N14/SER_hh_fec!N14)</f>
        <v>0.77335026906383886</v>
      </c>
      <c r="O14" s="138">
        <f>IF(SER_hh_tes!O14=0,"",SER_hh_tes!O14/SER_hh_fec!O14)</f>
        <v>0.7784727794933255</v>
      </c>
      <c r="P14" s="138">
        <f>IF(SER_hh_tes!P14=0,"",SER_hh_tes!P14/SER_hh_fec!P14)</f>
        <v>0.78209354478700932</v>
      </c>
      <c r="Q14" s="138">
        <f>IF(SER_hh_tes!Q14=0,"",SER_hh_tes!Q14/SER_hh_fec!Q14)</f>
        <v>0.78540907531780313</v>
      </c>
      <c r="R14" s="138">
        <f>IF(SER_hh_tes!R14=0,"",SER_hh_tes!R14/SER_hh_fec!R14)</f>
        <v>0.79287933816619527</v>
      </c>
      <c r="S14" s="138">
        <f>IF(SER_hh_tes!S14=0,"",SER_hh_tes!S14/SER_hh_fec!S14)</f>
        <v>0.80587031697632294</v>
      </c>
      <c r="T14" s="138">
        <f>IF(SER_hh_tes!T14=0,"",SER_hh_tes!T14/SER_hh_fec!T14)</f>
        <v>0.81906321917649338</v>
      </c>
      <c r="U14" s="138">
        <f>IF(SER_hh_tes!U14=0,"",SER_hh_tes!U14/SER_hh_fec!U14)</f>
        <v>0.83036849472163721</v>
      </c>
      <c r="V14" s="138">
        <f>IF(SER_hh_tes!V14=0,"",SER_hh_tes!V14/SER_hh_fec!V14)</f>
        <v>0.84174432550372114</v>
      </c>
      <c r="W14" s="138">
        <f>IF(SER_hh_tes!W14=0,"",SER_hh_tes!W14/SER_hh_fec!W14)</f>
        <v>0.85139186945150824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1.755551033114596</v>
      </c>
      <c r="C16" s="136">
        <f>IF(SER_hh_tes!C16=0,"",SER_hh_tes!C16/SER_hh_fec!C16)</f>
        <v>1.8181342522059381</v>
      </c>
      <c r="D16" s="136">
        <f>IF(SER_hh_tes!D16=0,"",SER_hh_tes!D16/SER_hh_fec!D16)</f>
        <v>1.9001205717085896</v>
      </c>
      <c r="E16" s="136">
        <f>IF(SER_hh_tes!E16=0,"",SER_hh_tes!E16/SER_hh_fec!E16)</f>
        <v>1.9762398903613516</v>
      </c>
      <c r="F16" s="136">
        <f>IF(SER_hh_tes!F16=0,"",SER_hh_tes!F16/SER_hh_fec!F16)</f>
        <v>2.0615722089838555</v>
      </c>
      <c r="G16" s="136">
        <f>IF(SER_hh_tes!G16=0,"",SER_hh_tes!G16/SER_hh_fec!G16)</f>
        <v>2.1503074865074079</v>
      </c>
      <c r="H16" s="136">
        <f>IF(SER_hh_tes!H16=0,"",SER_hh_tes!H16/SER_hh_fec!H16)</f>
        <v>2.2544867184742716</v>
      </c>
      <c r="I16" s="136">
        <f>IF(SER_hh_tes!I16=0,"",SER_hh_tes!I16/SER_hh_fec!I16)</f>
        <v>2.3635034504458616</v>
      </c>
      <c r="J16" s="136">
        <f>IF(SER_hh_tes!J16=0,"",SER_hh_tes!J16/SER_hh_fec!J16)</f>
        <v>2.4723198069571133</v>
      </c>
      <c r="K16" s="136">
        <f>IF(SER_hh_tes!K16=0,"",SER_hh_tes!K16/SER_hh_fec!K16)</f>
        <v>2.5063548364821258</v>
      </c>
      <c r="L16" s="136">
        <f>IF(SER_hh_tes!L16=0,"",SER_hh_tes!L16/SER_hh_fec!L16)</f>
        <v>2.5584425277445244</v>
      </c>
      <c r="M16" s="136">
        <f>IF(SER_hh_tes!M16=0,"",SER_hh_tes!M16/SER_hh_fec!M16)</f>
        <v>2.6287178836719889</v>
      </c>
      <c r="N16" s="136">
        <f>IF(SER_hh_tes!N16=0,"",SER_hh_tes!N16/SER_hh_fec!N16)</f>
        <v>2.7018898526928172</v>
      </c>
      <c r="O16" s="136">
        <f>IF(SER_hh_tes!O16=0,"",SER_hh_tes!O16/SER_hh_fec!O16)</f>
        <v>2.7837965106353666</v>
      </c>
      <c r="P16" s="136">
        <f>IF(SER_hh_tes!P16=0,"",SER_hh_tes!P16/SER_hh_fec!P16)</f>
        <v>2.8787191850725016</v>
      </c>
      <c r="Q16" s="136">
        <f>IF(SER_hh_tes!Q16=0,"",SER_hh_tes!Q16/SER_hh_fec!Q16)</f>
        <v>2.9772810976625874</v>
      </c>
      <c r="R16" s="136">
        <f>IF(SER_hh_tes!R16=0,"",SER_hh_tes!R16/SER_hh_fec!R16)</f>
        <v>3.0901499715770719</v>
      </c>
      <c r="S16" s="136">
        <f>IF(SER_hh_tes!S16=0,"",SER_hh_tes!S16/SER_hh_fec!S16)</f>
        <v>3.1897736572794937</v>
      </c>
      <c r="T16" s="136">
        <f>IF(SER_hh_tes!T16=0,"",SER_hh_tes!T16/SER_hh_fec!T16)</f>
        <v>3.2825137385486411</v>
      </c>
      <c r="U16" s="136">
        <f>IF(SER_hh_tes!U16=0,"",SER_hh_tes!U16/SER_hh_fec!U16)</f>
        <v>3.3588069067927564</v>
      </c>
      <c r="V16" s="136">
        <f>IF(SER_hh_tes!V16=0,"",SER_hh_tes!V16/SER_hh_fec!V16)</f>
        <v>3.4425125921376556</v>
      </c>
      <c r="W16" s="136">
        <f>IF(SER_hh_tes!W16=0,"",SER_hh_tes!W16/SER_hh_fec!W16)</f>
        <v>3.5239685290132554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1.755551033114596</v>
      </c>
      <c r="C18" s="137">
        <f>IF(SER_hh_tes!C18=0,"",SER_hh_tes!C18/SER_hh_fec!C18)</f>
        <v>1.8181342522059381</v>
      </c>
      <c r="D18" s="137">
        <f>IF(SER_hh_tes!D18=0,"",SER_hh_tes!D18/SER_hh_fec!D18)</f>
        <v>1.9001205717085896</v>
      </c>
      <c r="E18" s="137">
        <f>IF(SER_hh_tes!E18=0,"",SER_hh_tes!E18/SER_hh_fec!E18)</f>
        <v>1.9762398903613516</v>
      </c>
      <c r="F18" s="137">
        <f>IF(SER_hh_tes!F18=0,"",SER_hh_tes!F18/SER_hh_fec!F18)</f>
        <v>2.0615722089838555</v>
      </c>
      <c r="G18" s="137">
        <f>IF(SER_hh_tes!G18=0,"",SER_hh_tes!G18/SER_hh_fec!G18)</f>
        <v>2.1503074865074079</v>
      </c>
      <c r="H18" s="137">
        <f>IF(SER_hh_tes!H18=0,"",SER_hh_tes!H18/SER_hh_fec!H18)</f>
        <v>2.2544867184742716</v>
      </c>
      <c r="I18" s="137">
        <f>IF(SER_hh_tes!I18=0,"",SER_hh_tes!I18/SER_hh_fec!I18)</f>
        <v>2.3635034504458616</v>
      </c>
      <c r="J18" s="137">
        <f>IF(SER_hh_tes!J18=0,"",SER_hh_tes!J18/SER_hh_fec!J18)</f>
        <v>2.4723198069571133</v>
      </c>
      <c r="K18" s="137">
        <f>IF(SER_hh_tes!K18=0,"",SER_hh_tes!K18/SER_hh_fec!K18)</f>
        <v>2.5063548364821258</v>
      </c>
      <c r="L18" s="137">
        <f>IF(SER_hh_tes!L18=0,"",SER_hh_tes!L18/SER_hh_fec!L18)</f>
        <v>2.5584425277445244</v>
      </c>
      <c r="M18" s="137">
        <f>IF(SER_hh_tes!M18=0,"",SER_hh_tes!M18/SER_hh_fec!M18)</f>
        <v>2.6287178836719889</v>
      </c>
      <c r="N18" s="137">
        <f>IF(SER_hh_tes!N18=0,"",SER_hh_tes!N18/SER_hh_fec!N18)</f>
        <v>2.7018898526928172</v>
      </c>
      <c r="O18" s="137">
        <f>IF(SER_hh_tes!O18=0,"",SER_hh_tes!O18/SER_hh_fec!O18)</f>
        <v>2.7837965106353666</v>
      </c>
      <c r="P18" s="137">
        <f>IF(SER_hh_tes!P18=0,"",SER_hh_tes!P18/SER_hh_fec!P18)</f>
        <v>2.8787191850725016</v>
      </c>
      <c r="Q18" s="137">
        <f>IF(SER_hh_tes!Q18=0,"",SER_hh_tes!Q18/SER_hh_fec!Q18)</f>
        <v>2.9772810976625874</v>
      </c>
      <c r="R18" s="137">
        <f>IF(SER_hh_tes!R18=0,"",SER_hh_tes!R18/SER_hh_fec!R18)</f>
        <v>3.0901499715770719</v>
      </c>
      <c r="S18" s="137">
        <f>IF(SER_hh_tes!S18=0,"",SER_hh_tes!S18/SER_hh_fec!S18)</f>
        <v>3.1897736572794937</v>
      </c>
      <c r="T18" s="137">
        <f>IF(SER_hh_tes!T18=0,"",SER_hh_tes!T18/SER_hh_fec!T18)</f>
        <v>3.2825137385486411</v>
      </c>
      <c r="U18" s="137">
        <f>IF(SER_hh_tes!U18=0,"",SER_hh_tes!U18/SER_hh_fec!U18)</f>
        <v>3.3588069067927564</v>
      </c>
      <c r="V18" s="137">
        <f>IF(SER_hh_tes!V18=0,"",SER_hh_tes!V18/SER_hh_fec!V18)</f>
        <v>3.4425125921376556</v>
      </c>
      <c r="W18" s="137">
        <f>IF(SER_hh_tes!W18=0,"",SER_hh_tes!W18/SER_hh_fec!W18)</f>
        <v>3.5239685290132554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0.57959161925388747</v>
      </c>
      <c r="C19" s="136">
        <f>IF(SER_hh_tes!C19=0,"",SER_hh_tes!C19/SER_hh_fec!C19)</f>
        <v>0.58684163043338178</v>
      </c>
      <c r="D19" s="136">
        <f>IF(SER_hh_tes!D19=0,"",SER_hh_tes!D19/SER_hh_fec!D19)</f>
        <v>0.58794651426954492</v>
      </c>
      <c r="E19" s="136">
        <f>IF(SER_hh_tes!E19=0,"",SER_hh_tes!E19/SER_hh_fec!E19)</f>
        <v>0.58472685191719043</v>
      </c>
      <c r="F19" s="136">
        <f>IF(SER_hh_tes!F19=0,"",SER_hh_tes!F19/SER_hh_fec!F19)</f>
        <v>0.58764171070973459</v>
      </c>
      <c r="G19" s="136">
        <f>IF(SER_hh_tes!G19=0,"",SER_hh_tes!G19/SER_hh_fec!G19)</f>
        <v>0.59167243639364608</v>
      </c>
      <c r="H19" s="136">
        <f>IF(SER_hh_tes!H19=0,"",SER_hh_tes!H19/SER_hh_fec!H19)</f>
        <v>0.59381632623891645</v>
      </c>
      <c r="I19" s="136">
        <f>IF(SER_hh_tes!I19=0,"",SER_hh_tes!I19/SER_hh_fec!I19)</f>
        <v>0.59607020711950121</v>
      </c>
      <c r="J19" s="136">
        <f>IF(SER_hh_tes!J19=0,"",SER_hh_tes!J19/SER_hh_fec!J19)</f>
        <v>0.60499628616325973</v>
      </c>
      <c r="K19" s="136">
        <f>IF(SER_hh_tes!K19=0,"",SER_hh_tes!K19/SER_hh_fec!K19)</f>
        <v>0.61229874898737213</v>
      </c>
      <c r="L19" s="136">
        <f>IF(SER_hh_tes!L19=0,"",SER_hh_tes!L19/SER_hh_fec!L19)</f>
        <v>0.62101475739733725</v>
      </c>
      <c r="M19" s="136">
        <f>IF(SER_hh_tes!M19=0,"",SER_hh_tes!M19/SER_hh_fec!M19)</f>
        <v>0.64117866308359706</v>
      </c>
      <c r="N19" s="136">
        <f>IF(SER_hh_tes!N19=0,"",SER_hh_tes!N19/SER_hh_fec!N19)</f>
        <v>0.65350696572059008</v>
      </c>
      <c r="O19" s="136">
        <f>IF(SER_hh_tes!O19=0,"",SER_hh_tes!O19/SER_hh_fec!O19)</f>
        <v>0.67188472865363769</v>
      </c>
      <c r="P19" s="136">
        <f>IF(SER_hh_tes!P19=0,"",SER_hh_tes!P19/SER_hh_fec!P19)</f>
        <v>0.68682204485696119</v>
      </c>
      <c r="Q19" s="136">
        <f>IF(SER_hh_tes!Q19=0,"",SER_hh_tes!Q19/SER_hh_fec!Q19)</f>
        <v>0.69712971216422592</v>
      </c>
      <c r="R19" s="136">
        <f>IF(SER_hh_tes!R19=0,"",SER_hh_tes!R19/SER_hh_fec!R19)</f>
        <v>0.7013976187262273</v>
      </c>
      <c r="S19" s="136">
        <f>IF(SER_hh_tes!S19=0,"",SER_hh_tes!S19/SER_hh_fec!S19)</f>
        <v>0.72312055749816861</v>
      </c>
      <c r="T19" s="136">
        <f>IF(SER_hh_tes!T19=0,"",SER_hh_tes!T19/SER_hh_fec!T19)</f>
        <v>0.73202029628886045</v>
      </c>
      <c r="U19" s="136">
        <f>IF(SER_hh_tes!U19=0,"",SER_hh_tes!U19/SER_hh_fec!U19)</f>
        <v>0.74716170124508852</v>
      </c>
      <c r="V19" s="136">
        <f>IF(SER_hh_tes!V19=0,"",SER_hh_tes!V19/SER_hh_fec!V19)</f>
        <v>0.76652751678624342</v>
      </c>
      <c r="W19" s="136">
        <f>IF(SER_hh_tes!W19=0,"",SER_hh_tes!W19/SER_hh_fec!W19)</f>
        <v>0.79082830054979636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0.5628662956601127</v>
      </c>
      <c r="C21" s="137">
        <f>IF(SER_hh_tes!C21=0,"",SER_hh_tes!C21/SER_hh_fec!C21)</f>
        <v>0.56391672207581667</v>
      </c>
      <c r="D21" s="137">
        <f>IF(SER_hh_tes!D21=0,"",SER_hh_tes!D21/SER_hh_fec!D21)</f>
        <v>0.56595625490643797</v>
      </c>
      <c r="E21" s="137">
        <f>IF(SER_hh_tes!E21=0,"",SER_hh_tes!E21/SER_hh_fec!E21)</f>
        <v>0.56750356383849054</v>
      </c>
      <c r="F21" s="137">
        <f>IF(SER_hh_tes!F21=0,"",SER_hh_tes!F21/SER_hh_fec!F21)</f>
        <v>0.56933296932840116</v>
      </c>
      <c r="G21" s="137">
        <f>IF(SER_hh_tes!G21=0,"",SER_hh_tes!G21/SER_hh_fec!G21)</f>
        <v>0.57113086197291496</v>
      </c>
      <c r="H21" s="137">
        <f>IF(SER_hh_tes!H21=0,"",SER_hh_tes!H21/SER_hh_fec!H21)</f>
        <v>0.5732801748077252</v>
      </c>
      <c r="I21" s="137">
        <f>IF(SER_hh_tes!I21=0,"",SER_hh_tes!I21/SER_hh_fec!I21)</f>
        <v>0.57569914403738054</v>
      </c>
      <c r="J21" s="137">
        <f>IF(SER_hh_tes!J21=0,"",SER_hh_tes!J21/SER_hh_fec!J21)</f>
        <v>0.57822964360811124</v>
      </c>
      <c r="K21" s="137">
        <f>IF(SER_hh_tes!K21=0,"",SER_hh_tes!K21/SER_hh_fec!K21)</f>
        <v>0.5810667602164965</v>
      </c>
      <c r="L21" s="137">
        <f>IF(SER_hh_tes!L21=0,"",SER_hh_tes!L21/SER_hh_fec!L21)</f>
        <v>0.58472224508606085</v>
      </c>
      <c r="M21" s="137">
        <f>IF(SER_hh_tes!M21=0,"",SER_hh_tes!M21/SER_hh_fec!M21)</f>
        <v>0.58936440765258569</v>
      </c>
      <c r="N21" s="137">
        <f>IF(SER_hh_tes!N21=0,"",SER_hh_tes!N21/SER_hh_fec!N21)</f>
        <v>0.59726642930803042</v>
      </c>
      <c r="O21" s="137">
        <f>IF(SER_hh_tes!O21=0,"",SER_hh_tes!O21/SER_hh_fec!O21)</f>
        <v>0.60629378592563532</v>
      </c>
      <c r="P21" s="137">
        <f>IF(SER_hh_tes!P21=0,"",SER_hh_tes!P21/SER_hh_fec!P21)</f>
        <v>0.60733883294206081</v>
      </c>
      <c r="Q21" s="137">
        <f>IF(SER_hh_tes!Q21=0,"",SER_hh_tes!Q21/SER_hh_fec!Q21)</f>
        <v>0.61125372867298911</v>
      </c>
      <c r="R21" s="137">
        <f>IF(SER_hh_tes!R21=0,"",SER_hh_tes!R21/SER_hh_fec!R21)</f>
        <v>0.6284550233439008</v>
      </c>
      <c r="S21" s="137">
        <f>IF(SER_hh_tes!S21=0,"",SER_hh_tes!S21/SER_hh_fec!S21)</f>
        <v>0.64963830699971425</v>
      </c>
      <c r="T21" s="137">
        <f>IF(SER_hh_tes!T21=0,"",SER_hh_tes!T21/SER_hh_fec!T21)</f>
        <v>0.67583251549463819</v>
      </c>
      <c r="U21" s="137">
        <f>IF(SER_hh_tes!U21=0,"",SER_hh_tes!U21/SER_hh_fec!U21)</f>
        <v>0.69779119448214033</v>
      </c>
      <c r="V21" s="137">
        <f>IF(SER_hh_tes!V21=0,"",SER_hh_tes!V21/SER_hh_fec!V21)</f>
        <v>0.71588879449375264</v>
      </c>
      <c r="W21" s="137">
        <f>IF(SER_hh_tes!W21=0,"",SER_hh_tes!W21/SER_hh_fec!W21)</f>
        <v>0.72775976921917851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0.5304388962533565</v>
      </c>
      <c r="C22" s="137">
        <f>IF(SER_hh_tes!C22=0,"",SER_hh_tes!C22/SER_hh_fec!C22)</f>
        <v>0.53257084545553446</v>
      </c>
      <c r="D22" s="137">
        <f>IF(SER_hh_tes!D22=0,"",SER_hh_tes!D22/SER_hh_fec!D22)</f>
        <v>0.53509254583195642</v>
      </c>
      <c r="E22" s="137">
        <f>IF(SER_hh_tes!E22=0,"",SER_hh_tes!E22/SER_hh_fec!E22)</f>
        <v>0.53774353920210094</v>
      </c>
      <c r="F22" s="137">
        <f>IF(SER_hh_tes!F22=0,"",SER_hh_tes!F22/SER_hh_fec!F22)</f>
        <v>0.54049806917460652</v>
      </c>
      <c r="G22" s="137">
        <f>IF(SER_hh_tes!G22=0,"",SER_hh_tes!G22/SER_hh_fec!G22)</f>
        <v>0.54296282017236186</v>
      </c>
      <c r="H22" s="137">
        <f>IF(SER_hh_tes!H22=0,"",SER_hh_tes!H22/SER_hh_fec!H22)</f>
        <v>0.54594226524591183</v>
      </c>
      <c r="I22" s="137">
        <f>IF(SER_hh_tes!I22=0,"",SER_hh_tes!I22/SER_hh_fec!I22)</f>
        <v>0.54928541647952556</v>
      </c>
      <c r="J22" s="137">
        <f>IF(SER_hh_tes!J22=0,"",SER_hh_tes!J22/SER_hh_fec!J22)</f>
        <v>0.55137832908792905</v>
      </c>
      <c r="K22" s="137">
        <f>IF(SER_hh_tes!K22=0,"",SER_hh_tes!K22/SER_hh_fec!K22)</f>
        <v>0.55259239983718222</v>
      </c>
      <c r="L22" s="137">
        <f>IF(SER_hh_tes!L22=0,"",SER_hh_tes!L22/SER_hh_fec!L22)</f>
        <v>0.55389568914744913</v>
      </c>
      <c r="M22" s="137">
        <f>IF(SER_hh_tes!M22=0,"",SER_hh_tes!M22/SER_hh_fec!M22)</f>
        <v>0.55541881980714725</v>
      </c>
      <c r="N22" s="137">
        <f>IF(SER_hh_tes!N22=0,"",SER_hh_tes!N22/SER_hh_fec!N22)</f>
        <v>0.55713028380403251</v>
      </c>
      <c r="O22" s="137">
        <f>IF(SER_hh_tes!O22=0,"",SER_hh_tes!O22/SER_hh_fec!O22)</f>
        <v>0.55890102573173184</v>
      </c>
      <c r="P22" s="137">
        <f>IF(SER_hh_tes!P22=0,"",SER_hh_tes!P22/SER_hh_fec!P22)</f>
        <v>0.55900416275043308</v>
      </c>
      <c r="Q22" s="137">
        <f>IF(SER_hh_tes!Q22=0,"",SER_hh_tes!Q22/SER_hh_fec!Q22)</f>
        <v>0.55919895146635201</v>
      </c>
      <c r="R22" s="137">
        <f>IF(SER_hh_tes!R22=0,"",SER_hh_tes!R22/SER_hh_fec!R22)</f>
        <v>0.56795947189629892</v>
      </c>
      <c r="S22" s="137">
        <f>IF(SER_hh_tes!S22=0,"",SER_hh_tes!S22/SER_hh_fec!S22)</f>
        <v>0.5831950207347284</v>
      </c>
      <c r="T22" s="137">
        <f>IF(SER_hh_tes!T22=0,"",SER_hh_tes!T22/SER_hh_fec!T22)</f>
        <v>0.615384396797935</v>
      </c>
      <c r="U22" s="137">
        <f>IF(SER_hh_tes!U22=0,"",SER_hh_tes!U22/SER_hh_fec!U22)</f>
        <v>0.64546444630450162</v>
      </c>
      <c r="V22" s="137">
        <f>IF(SER_hh_tes!V22=0,"",SER_hh_tes!V22/SER_hh_fec!V22)</f>
        <v>0.6881994159551037</v>
      </c>
      <c r="W22" s="137">
        <f>IF(SER_hh_tes!W22=0,"",SER_hh_tes!W22/SER_hh_fec!W22)</f>
        <v>0.7268548152203187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0.54190914765264075</v>
      </c>
      <c r="C23" s="137">
        <f>IF(SER_hh_tes!C23=0,"",SER_hh_tes!C23/SER_hh_fec!C23)</f>
        <v>0.54682521884962942</v>
      </c>
      <c r="D23" s="137">
        <f>IF(SER_hh_tes!D23=0,"",SER_hh_tes!D23/SER_hh_fec!D23)</f>
        <v>0.55239229176075133</v>
      </c>
      <c r="E23" s="137">
        <f>IF(SER_hh_tes!E23=0,"",SER_hh_tes!E23/SER_hh_fec!E23)</f>
        <v>0.55878415334740594</v>
      </c>
      <c r="F23" s="137">
        <f>IF(SER_hh_tes!F23=0,"",SER_hh_tes!F23/SER_hh_fec!F23)</f>
        <v>0.56593673198696404</v>
      </c>
      <c r="G23" s="137">
        <f>IF(SER_hh_tes!G23=0,"",SER_hh_tes!G23/SER_hh_fec!G23)</f>
        <v>0.57354393958020222</v>
      </c>
      <c r="H23" s="137">
        <f>IF(SER_hh_tes!H23=0,"",SER_hh_tes!H23/SER_hh_fec!H23)</f>
        <v>0.58173560677827485</v>
      </c>
      <c r="I23" s="137">
        <f>IF(SER_hh_tes!I23=0,"",SER_hh_tes!I23/SER_hh_fec!I23)</f>
        <v>0.59240941925493507</v>
      </c>
      <c r="J23" s="137">
        <f>IF(SER_hh_tes!J23=0,"",SER_hh_tes!J23/SER_hh_fec!J23)</f>
        <v>0.60400478624325971</v>
      </c>
      <c r="K23" s="137">
        <f>IF(SER_hh_tes!K23=0,"",SER_hh_tes!K23/SER_hh_fec!K23)</f>
        <v>0.61638704881410389</v>
      </c>
      <c r="L23" s="137">
        <f>IF(SER_hh_tes!L23=0,"",SER_hh_tes!L23/SER_hh_fec!L23)</f>
        <v>0.62518003361095498</v>
      </c>
      <c r="M23" s="137">
        <f>IF(SER_hh_tes!M23=0,"",SER_hh_tes!M23/SER_hh_fec!M23)</f>
        <v>0.63253840342077494</v>
      </c>
      <c r="N23" s="137">
        <f>IF(SER_hh_tes!N23=0,"",SER_hh_tes!N23/SER_hh_fec!N23)</f>
        <v>0.63955585570190432</v>
      </c>
      <c r="O23" s="137">
        <f>IF(SER_hh_tes!O23=0,"",SER_hh_tes!O23/SER_hh_fec!O23)</f>
        <v>0.64636669786504486</v>
      </c>
      <c r="P23" s="137">
        <f>IF(SER_hh_tes!P23=0,"",SER_hh_tes!P23/SER_hh_fec!P23)</f>
        <v>0.65063345327120625</v>
      </c>
      <c r="Q23" s="137">
        <f>IF(SER_hh_tes!Q23=0,"",SER_hh_tes!Q23/SER_hh_fec!Q23)</f>
        <v>0.65585644143616484</v>
      </c>
      <c r="R23" s="137">
        <f>IF(SER_hh_tes!R23=0,"",SER_hh_tes!R23/SER_hh_fec!R23)</f>
        <v>0.66286766151538157</v>
      </c>
      <c r="S23" s="137">
        <f>IF(SER_hh_tes!S23=0,"",SER_hh_tes!S23/SER_hh_fec!S23)</f>
        <v>0.66584803197022235</v>
      </c>
      <c r="T23" s="137">
        <f>IF(SER_hh_tes!T23=0,"",SER_hh_tes!T23/SER_hh_fec!T23)</f>
        <v>0.6678510148823561</v>
      </c>
      <c r="U23" s="137">
        <f>IF(SER_hh_tes!U23=0,"",SER_hh_tes!U23/SER_hh_fec!U23)</f>
        <v>0.66930338666173539</v>
      </c>
      <c r="V23" s="137">
        <f>IF(SER_hh_tes!V23=0,"",SER_hh_tes!V23/SER_hh_fec!V23)</f>
        <v>0.67128787836295156</v>
      </c>
      <c r="W23" s="137">
        <f>IF(SER_hh_tes!W23=0,"",SER_hh_tes!W23/SER_hh_fec!W23)</f>
        <v>0.67401306782631876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0.8111766562643874</v>
      </c>
      <c r="C25" s="137">
        <f>IF(SER_hh_tes!C25=0,"",SER_hh_tes!C25/SER_hh_fec!C25)</f>
        <v>0.81358715163026374</v>
      </c>
      <c r="D25" s="137">
        <f>IF(SER_hh_tes!D25=0,"",SER_hh_tes!D25/SER_hh_fec!D25)</f>
        <v>0.81529215763624541</v>
      </c>
      <c r="E25" s="137">
        <f>IF(SER_hh_tes!E25=0,"",SER_hh_tes!E25/SER_hh_fec!E25)</f>
        <v>0.81746202377072597</v>
      </c>
      <c r="F25" s="137">
        <f>IF(SER_hh_tes!F25=0,"",SER_hh_tes!F25/SER_hh_fec!F25)</f>
        <v>0.81834483230078758</v>
      </c>
      <c r="G25" s="137">
        <f>IF(SER_hh_tes!G25=0,"",SER_hh_tes!G25/SER_hh_fec!G25)</f>
        <v>0.81931992598900649</v>
      </c>
      <c r="H25" s="137">
        <f>IF(SER_hh_tes!H25=0,"",SER_hh_tes!H25/SER_hh_fec!H25)</f>
        <v>0.82016747728417305</v>
      </c>
      <c r="I25" s="137">
        <f>IF(SER_hh_tes!I25=0,"",SER_hh_tes!I25/SER_hh_fec!I25)</f>
        <v>0.82350556094486949</v>
      </c>
      <c r="J25" s="137">
        <f>IF(SER_hh_tes!J25=0,"",SER_hh_tes!J25/SER_hh_fec!J25)</f>
        <v>0.82929198107047808</v>
      </c>
      <c r="K25" s="137">
        <f>IF(SER_hh_tes!K25=0,"",SER_hh_tes!K25/SER_hh_fec!K25)</f>
        <v>0.83832065242935649</v>
      </c>
      <c r="L25" s="137">
        <f>IF(SER_hh_tes!L25=0,"",SER_hh_tes!L25/SER_hh_fec!L25)</f>
        <v>0.8472143306472758</v>
      </c>
      <c r="M25" s="137">
        <f>IF(SER_hh_tes!M25=0,"",SER_hh_tes!M25/SER_hh_fec!M25)</f>
        <v>0.85504937851236562</v>
      </c>
      <c r="N25" s="137">
        <f>IF(SER_hh_tes!N25=0,"",SER_hh_tes!N25/SER_hh_fec!N25)</f>
        <v>0.86191221815939367</v>
      </c>
      <c r="O25" s="137">
        <f>IF(SER_hh_tes!O25=0,"",SER_hh_tes!O25/SER_hh_fec!O25)</f>
        <v>0.86767646580520441</v>
      </c>
      <c r="P25" s="137">
        <f>IF(SER_hh_tes!P25=0,"",SER_hh_tes!P25/SER_hh_fec!P25)</f>
        <v>0.86999836685638654</v>
      </c>
      <c r="Q25" s="137">
        <f>IF(SER_hh_tes!Q25=0,"",SER_hh_tes!Q25/SER_hh_fec!Q25)</f>
        <v>0.87264408273205463</v>
      </c>
      <c r="R25" s="137">
        <f>IF(SER_hh_tes!R25=0,"",SER_hh_tes!R25/SER_hh_fec!R25)</f>
        <v>0.8765242092073009</v>
      </c>
      <c r="S25" s="137">
        <f>IF(SER_hh_tes!S25=0,"",SER_hh_tes!S25/SER_hh_fec!S25)</f>
        <v>0.88243217984729827</v>
      </c>
      <c r="T25" s="137">
        <f>IF(SER_hh_tes!T25=0,"",SER_hh_tes!T25/SER_hh_fec!T25)</f>
        <v>0.88714302179358262</v>
      </c>
      <c r="U25" s="137">
        <f>IF(SER_hh_tes!U25=0,"",SER_hh_tes!U25/SER_hh_fec!U25)</f>
        <v>0.88973130119299859</v>
      </c>
      <c r="V25" s="137">
        <f>IF(SER_hh_tes!V25=0,"",SER_hh_tes!V25/SER_hh_fec!V25)</f>
        <v>0.89266433557424096</v>
      </c>
      <c r="W25" s="137">
        <f>IF(SER_hh_tes!W25=0,"",SER_hh_tes!W25/SER_hh_fec!W25)</f>
        <v>0.8965614899851323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0.66840404621530913</v>
      </c>
      <c r="C26" s="138">
        <f>IF(SER_hh_tes!C26=0,"",SER_hh_tes!C26/SER_hh_fec!C26)</f>
        <v>0.67380563030219232</v>
      </c>
      <c r="D26" s="138">
        <f>IF(SER_hh_tes!D26=0,"",SER_hh_tes!D26/SER_hh_fec!D26)</f>
        <v>0.67695119715910523</v>
      </c>
      <c r="E26" s="138">
        <f>IF(SER_hh_tes!E26=0,"",SER_hh_tes!E26/SER_hh_fec!E26)</f>
        <v>0.67968874297476634</v>
      </c>
      <c r="F26" s="138">
        <f>IF(SER_hh_tes!F26=0,"",SER_hh_tes!F26/SER_hh_fec!F26)</f>
        <v>0.68448095309244916</v>
      </c>
      <c r="G26" s="138">
        <f>IF(SER_hh_tes!G26=0,"",SER_hh_tes!G26/SER_hh_fec!G26)</f>
        <v>0.68928027488574017</v>
      </c>
      <c r="H26" s="138">
        <f>IF(SER_hh_tes!H26=0,"",SER_hh_tes!H26/SER_hh_fec!H26)</f>
        <v>0.69377344183553946</v>
      </c>
      <c r="I26" s="138">
        <f>IF(SER_hh_tes!I26=0,"",SER_hh_tes!I26/SER_hh_fec!I26)</f>
        <v>0.69731754140775093</v>
      </c>
      <c r="J26" s="138">
        <f>IF(SER_hh_tes!J26=0,"",SER_hh_tes!J26/SER_hh_fec!J26)</f>
        <v>0.70085029116321662</v>
      </c>
      <c r="K26" s="138">
        <f>IF(SER_hh_tes!K26=0,"",SER_hh_tes!K26/SER_hh_fec!K26)</f>
        <v>0.70381671147389691</v>
      </c>
      <c r="L26" s="138">
        <f>IF(SER_hh_tes!L26=0,"",SER_hh_tes!L26/SER_hh_fec!L26)</f>
        <v>0.70695764257194926</v>
      </c>
      <c r="M26" s="138">
        <f>IF(SER_hh_tes!M26=0,"",SER_hh_tes!M26/SER_hh_fec!M26)</f>
        <v>0.71151231349364996</v>
      </c>
      <c r="N26" s="138">
        <f>IF(SER_hh_tes!N26=0,"",SER_hh_tes!N26/SER_hh_fec!N26)</f>
        <v>0.71660279249048908</v>
      </c>
      <c r="O26" s="138">
        <f>IF(SER_hh_tes!O26=0,"",SER_hh_tes!O26/SER_hh_fec!O26)</f>
        <v>0.72388279362391506</v>
      </c>
      <c r="P26" s="138">
        <f>IF(SER_hh_tes!P26=0,"",SER_hh_tes!P26/SER_hh_fec!P26)</f>
        <v>0.73212333417872044</v>
      </c>
      <c r="Q26" s="138">
        <f>IF(SER_hh_tes!Q26=0,"",SER_hh_tes!Q26/SER_hh_fec!Q26)</f>
        <v>0.73922780777849606</v>
      </c>
      <c r="R26" s="138">
        <f>IF(SER_hh_tes!R26=0,"",SER_hh_tes!R26/SER_hh_fec!R26)</f>
        <v>0.74324827563858475</v>
      </c>
      <c r="S26" s="138">
        <f>IF(SER_hh_tes!S26=0,"",SER_hh_tes!S26/SER_hh_fec!S26)</f>
        <v>0.75113141950228601</v>
      </c>
      <c r="T26" s="138">
        <f>IF(SER_hh_tes!T26=0,"",SER_hh_tes!T26/SER_hh_fec!T26)</f>
        <v>0.75803594073904168</v>
      </c>
      <c r="U26" s="138">
        <f>IF(SER_hh_tes!U26=0,"",SER_hh_tes!U26/SER_hh_fec!U26)</f>
        <v>0.77036159020500283</v>
      </c>
      <c r="V26" s="138">
        <f>IF(SER_hh_tes!V26=0,"",SER_hh_tes!V26/SER_hh_fec!V26)</f>
        <v>0.78311317971378724</v>
      </c>
      <c r="W26" s="138">
        <f>IF(SER_hh_tes!W26=0,"",SER_hh_tes!W26/SER_hh_fec!W26)</f>
        <v>0.79928582892721223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0.66001537766163554</v>
      </c>
      <c r="C29" s="136">
        <f>IF(SER_hh_tes!C29=0,"",SER_hh_tes!C29/SER_hh_fec!C29)</f>
        <v>0.64739358073962494</v>
      </c>
      <c r="D29" s="136">
        <f>IF(SER_hh_tes!D29=0,"",SER_hh_tes!D29/SER_hh_fec!D29)</f>
        <v>0.69979205241216824</v>
      </c>
      <c r="E29" s="136">
        <f>IF(SER_hh_tes!E29=0,"",SER_hh_tes!E29/SER_hh_fec!E29)</f>
        <v>0.72701949381164255</v>
      </c>
      <c r="F29" s="136">
        <f>IF(SER_hh_tes!F29=0,"",SER_hh_tes!F29/SER_hh_fec!F29)</f>
        <v>0.72340931723265778</v>
      </c>
      <c r="G29" s="136">
        <f>IF(SER_hh_tes!G29=0,"",SER_hh_tes!G29/SER_hh_fec!G29)</f>
        <v>0.73810535068175009</v>
      </c>
      <c r="H29" s="136">
        <f>IF(SER_hh_tes!H29=0,"",SER_hh_tes!H29/SER_hh_fec!H29)</f>
        <v>0.76049715722027789</v>
      </c>
      <c r="I29" s="136">
        <f>IF(SER_hh_tes!I29=0,"",SER_hh_tes!I29/SER_hh_fec!I29)</f>
        <v>0.71465752739644883</v>
      </c>
      <c r="J29" s="136">
        <f>IF(SER_hh_tes!J29=0,"",SER_hh_tes!J29/SER_hh_fec!J29)</f>
        <v>0.74742295777364132</v>
      </c>
      <c r="K29" s="136">
        <f>IF(SER_hh_tes!K29=0,"",SER_hh_tes!K29/SER_hh_fec!K29)</f>
        <v>0.73684712190980439</v>
      </c>
      <c r="L29" s="136">
        <f>IF(SER_hh_tes!L29=0,"",SER_hh_tes!L29/SER_hh_fec!L29)</f>
        <v>0.72118481433574344</v>
      </c>
      <c r="M29" s="136">
        <f>IF(SER_hh_tes!M29=0,"",SER_hh_tes!M29/SER_hh_fec!M29)</f>
        <v>0.76567825403805001</v>
      </c>
      <c r="N29" s="136">
        <f>IF(SER_hh_tes!N29=0,"",SER_hh_tes!N29/SER_hh_fec!N29)</f>
        <v>0.74196059591915553</v>
      </c>
      <c r="O29" s="136">
        <f>IF(SER_hh_tes!O29=0,"",SER_hh_tes!O29/SER_hh_fec!O29)</f>
        <v>0.75279104249809303</v>
      </c>
      <c r="P29" s="136">
        <f>IF(SER_hh_tes!P29=0,"",SER_hh_tes!P29/SER_hh_fec!P29)</f>
        <v>0.74405456520843993</v>
      </c>
      <c r="Q29" s="136">
        <f>IF(SER_hh_tes!Q29=0,"",SER_hh_tes!Q29/SER_hh_fec!Q29)</f>
        <v>0.74119774911004122</v>
      </c>
      <c r="R29" s="136">
        <f>IF(SER_hh_tes!R29=0,"",SER_hh_tes!R29/SER_hh_fec!R29)</f>
        <v>0.74393287788057749</v>
      </c>
      <c r="S29" s="136">
        <f>IF(SER_hh_tes!S29=0,"",SER_hh_tes!S29/SER_hh_fec!S29)</f>
        <v>0.75256028393440977</v>
      </c>
      <c r="T29" s="136">
        <f>IF(SER_hh_tes!T29=0,"",SER_hh_tes!T29/SER_hh_fec!T29)</f>
        <v>0.75943645252043368</v>
      </c>
      <c r="U29" s="136">
        <f>IF(SER_hh_tes!U29=0,"",SER_hh_tes!U29/SER_hh_fec!U29)</f>
        <v>0.74970431526009162</v>
      </c>
      <c r="V29" s="136">
        <f>IF(SER_hh_tes!V29=0,"",SER_hh_tes!V29/SER_hh_fec!V29)</f>
        <v>0.76418267951398022</v>
      </c>
      <c r="W29" s="136">
        <f>IF(SER_hh_tes!W29=0,"",SER_hh_tes!W29/SER_hh_fec!W29)</f>
        <v>0.79141105586829485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0.59947327636289205</v>
      </c>
      <c r="C30" s="137">
        <f>IF(SER_hh_tes!C30=0,"",SER_hh_tes!C30/SER_hh_fec!C30)</f>
        <v>0.59947327636289205</v>
      </c>
      <c r="D30" s="137">
        <f>IF(SER_hh_tes!D30=0,"",SER_hh_tes!D30/SER_hh_fec!D30)</f>
        <v>0.59947327636289205</v>
      </c>
      <c r="E30" s="137">
        <f>IF(SER_hh_tes!E30=0,"",SER_hh_tes!E30/SER_hh_fec!E30)</f>
        <v>0.59947327636289205</v>
      </c>
      <c r="F30" s="137">
        <f>IF(SER_hh_tes!F30=0,"",SER_hh_tes!F30/SER_hh_fec!F30)</f>
        <v>0.59947327636289205</v>
      </c>
      <c r="G30" s="137">
        <f>IF(SER_hh_tes!G30=0,"",SER_hh_tes!G30/SER_hh_fec!G30)</f>
        <v>0.60019354971450245</v>
      </c>
      <c r="H30" s="137">
        <f>IF(SER_hh_tes!H30=0,"",SER_hh_tes!H30/SER_hh_fec!H30)</f>
        <v>0.60135910351586142</v>
      </c>
      <c r="I30" s="137">
        <f>IF(SER_hh_tes!I30=0,"",SER_hh_tes!I30/SER_hh_fec!I30)</f>
        <v>0.60455532902974374</v>
      </c>
      <c r="J30" s="137">
        <f>IF(SER_hh_tes!J30=0,"",SER_hh_tes!J30/SER_hh_fec!J30)</f>
        <v>0.60670542504297231</v>
      </c>
      <c r="K30" s="137">
        <f>IF(SER_hh_tes!K30=0,"",SER_hh_tes!K30/SER_hh_fec!K30)</f>
        <v>0.6088077303056072</v>
      </c>
      <c r="L30" s="137">
        <f>IF(SER_hh_tes!L30=0,"",SER_hh_tes!L30/SER_hh_fec!L30)</f>
        <v>0.61007090039767298</v>
      </c>
      <c r="M30" s="137">
        <f>IF(SER_hh_tes!M30=0,"",SER_hh_tes!M30/SER_hh_fec!M30)</f>
        <v>0.61008034020765356</v>
      </c>
      <c r="N30" s="137">
        <f>IF(SER_hh_tes!N30=0,"",SER_hh_tes!N30/SER_hh_fec!N30)</f>
        <v>0.61008319073799067</v>
      </c>
      <c r="O30" s="137">
        <f>IF(SER_hh_tes!O30=0,"",SER_hh_tes!O30/SER_hh_fec!O30)</f>
        <v>0.61008557893588622</v>
      </c>
      <c r="P30" s="137">
        <f>IF(SER_hh_tes!P30=0,"",SER_hh_tes!P30/SER_hh_fec!P30)</f>
        <v>0.61009223123324541</v>
      </c>
      <c r="Q30" s="137">
        <f>IF(SER_hh_tes!Q30=0,"",SER_hh_tes!Q30/SER_hh_fec!Q30)</f>
        <v>0.61013942232380003</v>
      </c>
      <c r="R30" s="137">
        <f>IF(SER_hh_tes!R30=0,"",SER_hh_tes!R30/SER_hh_fec!R30)</f>
        <v>0.61054903410028771</v>
      </c>
      <c r="S30" s="137">
        <f>IF(SER_hh_tes!S30=0,"",SER_hh_tes!S30/SER_hh_fec!S30)</f>
        <v>0.61208611787787415</v>
      </c>
      <c r="T30" s="137">
        <f>IF(SER_hh_tes!T30=0,"",SER_hh_tes!T30/SER_hh_fec!T30)</f>
        <v>0.6146346121309304</v>
      </c>
      <c r="U30" s="137">
        <f>IF(SER_hh_tes!U30=0,"",SER_hh_tes!U30/SER_hh_fec!U30)</f>
        <v>0.61738800038748187</v>
      </c>
      <c r="V30" s="137">
        <f>IF(SER_hh_tes!V30=0,"",SER_hh_tes!V30/SER_hh_fec!V30)</f>
        <v>0.61913329464046984</v>
      </c>
      <c r="W30" s="137">
        <f>IF(SER_hh_tes!W30=0,"",SER_hh_tes!W30/SER_hh_fec!W30)</f>
        <v>0.6203929626474064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0.60263497927937637</v>
      </c>
      <c r="C31" s="137">
        <f>IF(SER_hh_tes!C31=0,"",SER_hh_tes!C31/SER_hh_fec!C31)</f>
        <v>0.60660282738657612</v>
      </c>
      <c r="D31" s="137">
        <f>IF(SER_hh_tes!D31=0,"",SER_hh_tes!D31/SER_hh_fec!D31)</f>
        <v>0.60748081947433474</v>
      </c>
      <c r="E31" s="137">
        <f>IF(SER_hh_tes!E31=0,"",SER_hh_tes!E31/SER_hh_fec!E31)</f>
        <v>0.6079178400106876</v>
      </c>
      <c r="F31" s="137">
        <f>IF(SER_hh_tes!F31=0,"",SER_hh_tes!F31/SER_hh_fec!F31)</f>
        <v>0.60812884147479618</v>
      </c>
      <c r="G31" s="137">
        <f>IF(SER_hh_tes!G31=0,"",SER_hh_tes!G31/SER_hh_fec!G31)</f>
        <v>0.60826438931323101</v>
      </c>
      <c r="H31" s="137">
        <f>IF(SER_hh_tes!H31=0,"",SER_hh_tes!H31/SER_hh_fec!H31)</f>
        <v>0.60826438931323146</v>
      </c>
      <c r="I31" s="137">
        <f>IF(SER_hh_tes!I31=0,"",SER_hh_tes!I31/SER_hh_fec!I31)</f>
        <v>0.60826438931323101</v>
      </c>
      <c r="J31" s="137">
        <f>IF(SER_hh_tes!J31=0,"",SER_hh_tes!J31/SER_hh_fec!J31)</f>
        <v>0.60836054002744566</v>
      </c>
      <c r="K31" s="137">
        <f>IF(SER_hh_tes!K31=0,"",SER_hh_tes!K31/SER_hh_fec!K31)</f>
        <v>0.61015429218980299</v>
      </c>
      <c r="L31" s="137">
        <f>IF(SER_hh_tes!L31=0,"",SER_hh_tes!L31/SER_hh_fec!L31)</f>
        <v>0.61172641507003178</v>
      </c>
      <c r="M31" s="137">
        <f>IF(SER_hh_tes!M31=0,"",SER_hh_tes!M31/SER_hh_fec!M31)</f>
        <v>0.61233869036687594</v>
      </c>
      <c r="N31" s="137">
        <f>IF(SER_hh_tes!N31=0,"",SER_hh_tes!N31/SER_hh_fec!N31)</f>
        <v>0.61359090630585256</v>
      </c>
      <c r="O31" s="137">
        <f>IF(SER_hh_tes!O31=0,"",SER_hh_tes!O31/SER_hh_fec!O31)</f>
        <v>0.61552037062768672</v>
      </c>
      <c r="P31" s="137">
        <f>IF(SER_hh_tes!P31=0,"",SER_hh_tes!P31/SER_hh_fec!P31)</f>
        <v>0.61603040132496512</v>
      </c>
      <c r="Q31" s="137">
        <f>IF(SER_hh_tes!Q31=0,"",SER_hh_tes!Q31/SER_hh_fec!Q31)</f>
        <v>0.61613780095806714</v>
      </c>
      <c r="R31" s="137">
        <f>IF(SER_hh_tes!R31=0,"",SER_hh_tes!R31/SER_hh_fec!R31)</f>
        <v>0.61616778680543827</v>
      </c>
      <c r="S31" s="137">
        <f>IF(SER_hh_tes!S31=0,"",SER_hh_tes!S31/SER_hh_fec!S31)</f>
        <v>0.61617330085533739</v>
      </c>
      <c r="T31" s="137">
        <f>IF(SER_hh_tes!T31=0,"",SER_hh_tes!T31/SER_hh_fec!T31)</f>
        <v>0.61617787003569235</v>
      </c>
      <c r="U31" s="137">
        <f>IF(SER_hh_tes!U31=0,"",SER_hh_tes!U31/SER_hh_fec!U31)</f>
        <v>0.61617951186407605</v>
      </c>
      <c r="V31" s="137">
        <f>IF(SER_hh_tes!V31=0,"",SER_hh_tes!V31/SER_hh_fec!V31)</f>
        <v>0.61619040428787109</v>
      </c>
      <c r="W31" s="137">
        <f>IF(SER_hh_tes!W31=0,"",SER_hh_tes!W31/SER_hh_fec!W31)</f>
        <v>0.61621674090266565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0.78622848659381006</v>
      </c>
      <c r="C33" s="150">
        <f>IF(SER_hh_tes!C33=0,"",SER_hh_tes!C33/SER_hh_fec!C33)</f>
        <v>0.7891885073728836</v>
      </c>
      <c r="D33" s="150">
        <f>IF(SER_hh_tes!D33=0,"",SER_hh_tes!D33/SER_hh_fec!D33)</f>
        <v>0.79422135040947184</v>
      </c>
      <c r="E33" s="150">
        <f>IF(SER_hh_tes!E33=0,"",SER_hh_tes!E33/SER_hh_fec!E33)</f>
        <v>0.79683357082606743</v>
      </c>
      <c r="F33" s="150">
        <f>IF(SER_hh_tes!F33=0,"",SER_hh_tes!F33/SER_hh_fec!F33)</f>
        <v>0.79882975237221765</v>
      </c>
      <c r="G33" s="150">
        <f>IF(SER_hh_tes!G33=0,"",SER_hh_tes!G33/SER_hh_fec!G33)</f>
        <v>0.80030888207300011</v>
      </c>
      <c r="H33" s="150">
        <f>IF(SER_hh_tes!H33=0,"",SER_hh_tes!H33/SER_hh_fec!H33)</f>
        <v>0.8018686610031367</v>
      </c>
      <c r="I33" s="150">
        <f>IF(SER_hh_tes!I33=0,"",SER_hh_tes!I33/SER_hh_fec!I33)</f>
        <v>0.80303491411924699</v>
      </c>
      <c r="J33" s="150">
        <f>IF(SER_hh_tes!J33=0,"",SER_hh_tes!J33/SER_hh_fec!J33)</f>
        <v>0.8045543592508041</v>
      </c>
      <c r="K33" s="150">
        <f>IF(SER_hh_tes!K33=0,"",SER_hh_tes!K33/SER_hh_fec!K33)</f>
        <v>0.80604763192268991</v>
      </c>
      <c r="L33" s="150">
        <f>IF(SER_hh_tes!L33=0,"",SER_hh_tes!L33/SER_hh_fec!L33)</f>
        <v>0.8074829230372299</v>
      </c>
      <c r="M33" s="150">
        <f>IF(SER_hh_tes!M33=0,"",SER_hh_tes!M33/SER_hh_fec!M33)</f>
        <v>0.8091040222187329</v>
      </c>
      <c r="N33" s="150">
        <f>IF(SER_hh_tes!N33=0,"",SER_hh_tes!N33/SER_hh_fec!N33)</f>
        <v>0.8106448469161911</v>
      </c>
      <c r="O33" s="150">
        <f>IF(SER_hh_tes!O33=0,"",SER_hh_tes!O33/SER_hh_fec!O33)</f>
        <v>0.81339963467544407</v>
      </c>
      <c r="P33" s="150">
        <f>IF(SER_hh_tes!P33=0,"",SER_hh_tes!P33/SER_hh_fec!P33)</f>
        <v>0.81668292316247104</v>
      </c>
      <c r="Q33" s="150">
        <f>IF(SER_hh_tes!Q33=0,"",SER_hh_tes!Q33/SER_hh_fec!Q33)</f>
        <v>0.82030229872278748</v>
      </c>
      <c r="R33" s="150">
        <f>IF(SER_hh_tes!R33=0,"",SER_hh_tes!R33/SER_hh_fec!R33)</f>
        <v>0.8250188949887276</v>
      </c>
      <c r="S33" s="150">
        <f>IF(SER_hh_tes!S33=0,"",SER_hh_tes!S33/SER_hh_fec!S33)</f>
        <v>0.83024478338470786</v>
      </c>
      <c r="T33" s="150">
        <f>IF(SER_hh_tes!T33=0,"",SER_hh_tes!T33/SER_hh_fec!T33)</f>
        <v>0.83678164216404971</v>
      </c>
      <c r="U33" s="150">
        <f>IF(SER_hh_tes!U33=0,"",SER_hh_tes!U33/SER_hh_fec!U33)</f>
        <v>0.84371497053085398</v>
      </c>
      <c r="V33" s="150">
        <f>IF(SER_hh_tes!V33=0,"",SER_hh_tes!V33/SER_hh_fec!V33)</f>
        <v>0.8526104083602023</v>
      </c>
      <c r="W33" s="150">
        <f>IF(SER_hh_tes!W33=0,"",SER_hh_tes!W33/SER_hh_fec!W33)</f>
        <v>0.86207428655605656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937.39322591999985</v>
      </c>
      <c r="C3" s="126">
        <f t="shared" si="0"/>
        <v>1445.4215348399991</v>
      </c>
      <c r="D3" s="126">
        <f t="shared" si="0"/>
        <v>1227.3112483199998</v>
      </c>
      <c r="E3" s="126">
        <f t="shared" si="0"/>
        <v>881.3344741200001</v>
      </c>
      <c r="F3" s="126">
        <f t="shared" si="0"/>
        <v>898.03273175999982</v>
      </c>
      <c r="G3" s="126">
        <f t="shared" si="0"/>
        <v>785.67746688000011</v>
      </c>
      <c r="H3" s="126">
        <f t="shared" si="0"/>
        <v>645.0841767600001</v>
      </c>
      <c r="I3" s="126">
        <f t="shared" si="0"/>
        <v>474.69224880000013</v>
      </c>
      <c r="J3" s="126">
        <f t="shared" si="0"/>
        <v>707.2886970000003</v>
      </c>
      <c r="K3" s="126">
        <f t="shared" si="0"/>
        <v>677.84015772000009</v>
      </c>
      <c r="L3" s="126">
        <f t="shared" si="0"/>
        <v>727.59134519999952</v>
      </c>
      <c r="M3" s="126">
        <f t="shared" si="0"/>
        <v>609.62852592000002</v>
      </c>
      <c r="N3" s="126">
        <f t="shared" si="0"/>
        <v>432.88553592000011</v>
      </c>
      <c r="O3" s="126">
        <f t="shared" si="0"/>
        <v>427.07306195999996</v>
      </c>
      <c r="P3" s="126">
        <f t="shared" si="0"/>
        <v>353.28739932000002</v>
      </c>
      <c r="Q3" s="126">
        <f t="shared" si="0"/>
        <v>400.33034280000004</v>
      </c>
      <c r="R3" s="126">
        <f t="shared" ref="R3:W3" si="1">SUM(R4,R16,R19,R29)</f>
        <v>467.89078860000006</v>
      </c>
      <c r="S3" s="126">
        <f t="shared" si="1"/>
        <v>371.16550475999981</v>
      </c>
      <c r="T3" s="126">
        <f t="shared" si="1"/>
        <v>355.5762760799999</v>
      </c>
      <c r="U3" s="126">
        <f t="shared" si="1"/>
        <v>341.60986475999999</v>
      </c>
      <c r="V3" s="126">
        <f t="shared" si="1"/>
        <v>333.35269919999996</v>
      </c>
      <c r="W3" s="126">
        <f t="shared" si="1"/>
        <v>252.33495227999987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771.95295186790429</v>
      </c>
      <c r="C4" s="131">
        <f t="shared" si="2"/>
        <v>1268.5131877876684</v>
      </c>
      <c r="D4" s="131">
        <f t="shared" si="2"/>
        <v>1084.4996904054792</v>
      </c>
      <c r="E4" s="131">
        <f t="shared" si="2"/>
        <v>749.51388364980994</v>
      </c>
      <c r="F4" s="131">
        <f t="shared" si="2"/>
        <v>762.21863222171021</v>
      </c>
      <c r="G4" s="131">
        <f t="shared" si="2"/>
        <v>657.33066142107816</v>
      </c>
      <c r="H4" s="131">
        <f t="shared" si="2"/>
        <v>525.85613417260913</v>
      </c>
      <c r="I4" s="131">
        <f t="shared" si="2"/>
        <v>321.01085205528705</v>
      </c>
      <c r="J4" s="131">
        <f t="shared" si="2"/>
        <v>578.84825360616935</v>
      </c>
      <c r="K4" s="131">
        <f t="shared" si="2"/>
        <v>542.26695326730396</v>
      </c>
      <c r="L4" s="131">
        <f t="shared" si="2"/>
        <v>581.50038334655437</v>
      </c>
      <c r="M4" s="131">
        <f t="shared" si="2"/>
        <v>505.90774102298417</v>
      </c>
      <c r="N4" s="131">
        <f t="shared" si="2"/>
        <v>317.44542414030019</v>
      </c>
      <c r="O4" s="131">
        <f t="shared" si="2"/>
        <v>326.78731191780895</v>
      </c>
      <c r="P4" s="131">
        <f t="shared" si="2"/>
        <v>252.03390557751004</v>
      </c>
      <c r="Q4" s="131">
        <f t="shared" si="2"/>
        <v>296.42866812683206</v>
      </c>
      <c r="R4" s="131">
        <f t="shared" ref="R4:W4" si="3">SUM(R5:R15)</f>
        <v>359.96339257122759</v>
      </c>
      <c r="S4" s="131">
        <f t="shared" si="3"/>
        <v>271.10367464669145</v>
      </c>
      <c r="T4" s="131">
        <f t="shared" si="3"/>
        <v>246.02204140093139</v>
      </c>
      <c r="U4" s="131">
        <f t="shared" si="3"/>
        <v>220.04350115526702</v>
      </c>
      <c r="V4" s="131">
        <f t="shared" si="3"/>
        <v>226.52504651649519</v>
      </c>
      <c r="W4" s="131">
        <f t="shared" si="3"/>
        <v>167.27399573569289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732.03422163406526</v>
      </c>
      <c r="C7" s="133">
        <v>1102.126962460618</v>
      </c>
      <c r="D7" s="133">
        <v>894.40737767742337</v>
      </c>
      <c r="E7" s="133">
        <v>658.5629040915743</v>
      </c>
      <c r="F7" s="133">
        <v>647.72219058697544</v>
      </c>
      <c r="G7" s="133">
        <v>611.40293131016222</v>
      </c>
      <c r="H7" s="133">
        <v>501.18359464325545</v>
      </c>
      <c r="I7" s="133">
        <v>300.49924132291096</v>
      </c>
      <c r="J7" s="133">
        <v>556.18323684282336</v>
      </c>
      <c r="K7" s="133">
        <v>509.88285458792842</v>
      </c>
      <c r="L7" s="133">
        <v>536.73065551512366</v>
      </c>
      <c r="M7" s="133">
        <v>424.86244872551197</v>
      </c>
      <c r="N7" s="133">
        <v>296.93540766596828</v>
      </c>
      <c r="O7" s="133">
        <v>266.8656999124135</v>
      </c>
      <c r="P7" s="133">
        <v>187.44261096979682</v>
      </c>
      <c r="Q7" s="133">
        <v>203.25864655480635</v>
      </c>
      <c r="R7" s="133">
        <v>238.84568714853165</v>
      </c>
      <c r="S7" s="133">
        <v>179.43806488581748</v>
      </c>
      <c r="T7" s="133">
        <v>197.16919219983873</v>
      </c>
      <c r="U7" s="133">
        <v>164.97562504910417</v>
      </c>
      <c r="V7" s="133">
        <v>183.43767009133981</v>
      </c>
      <c r="W7" s="133">
        <v>124.88096797010573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39.91873023383905</v>
      </c>
      <c r="C9" s="133">
        <v>166.38622532705048</v>
      </c>
      <c r="D9" s="133">
        <v>190.09231272805596</v>
      </c>
      <c r="E9" s="133">
        <v>90.950979558235602</v>
      </c>
      <c r="F9" s="133">
        <v>114.49644163473481</v>
      </c>
      <c r="G9" s="133">
        <v>45.927730110915938</v>
      </c>
      <c r="H9" s="133">
        <v>24.672539529353724</v>
      </c>
      <c r="I9" s="133">
        <v>20.511610732376074</v>
      </c>
      <c r="J9" s="133">
        <v>22.665016763345964</v>
      </c>
      <c r="K9" s="133">
        <v>32.384098679375576</v>
      </c>
      <c r="L9" s="133">
        <v>44.7697278314307</v>
      </c>
      <c r="M9" s="133">
        <v>81.045292297472173</v>
      </c>
      <c r="N9" s="133">
        <v>20.510016474331906</v>
      </c>
      <c r="O9" s="133">
        <v>59.921612005395431</v>
      </c>
      <c r="P9" s="133">
        <v>64.591294607713237</v>
      </c>
      <c r="Q9" s="133">
        <v>93.170021572025732</v>
      </c>
      <c r="R9" s="133">
        <v>121.11770542269592</v>
      </c>
      <c r="S9" s="133">
        <v>91.665609760873977</v>
      </c>
      <c r="T9" s="133">
        <v>48.852849201092646</v>
      </c>
      <c r="U9" s="133">
        <v>55.067876106162856</v>
      </c>
      <c r="V9" s="133">
        <v>43.087376425155369</v>
      </c>
      <c r="W9" s="133">
        <v>42.393027765587156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91.833276231522433</v>
      </c>
      <c r="C19" s="131">
        <f t="shared" si="6"/>
        <v>89.97128638541912</v>
      </c>
      <c r="D19" s="131">
        <f t="shared" si="6"/>
        <v>90.407155620390597</v>
      </c>
      <c r="E19" s="131">
        <f t="shared" si="6"/>
        <v>95.76556355449479</v>
      </c>
      <c r="F19" s="131">
        <f t="shared" si="6"/>
        <v>96.350500145997245</v>
      </c>
      <c r="G19" s="131">
        <f t="shared" si="6"/>
        <v>96.073592231438539</v>
      </c>
      <c r="H19" s="131">
        <f t="shared" si="6"/>
        <v>97.575884672356352</v>
      </c>
      <c r="I19" s="131">
        <f t="shared" si="6"/>
        <v>101.52716887447966</v>
      </c>
      <c r="J19" s="131">
        <f t="shared" si="6"/>
        <v>96.139137290295821</v>
      </c>
      <c r="K19" s="131">
        <f t="shared" si="6"/>
        <v>95.400515701578172</v>
      </c>
      <c r="L19" s="131">
        <f t="shared" si="6"/>
        <v>93.572403909130259</v>
      </c>
      <c r="M19" s="131">
        <f t="shared" si="6"/>
        <v>78.928201817545343</v>
      </c>
      <c r="N19" s="131">
        <f t="shared" si="6"/>
        <v>73.610524527679843</v>
      </c>
      <c r="O19" s="131">
        <f t="shared" si="6"/>
        <v>64.272127931355129</v>
      </c>
      <c r="P19" s="131">
        <f t="shared" si="6"/>
        <v>57.250421443641713</v>
      </c>
      <c r="Q19" s="131">
        <f t="shared" si="6"/>
        <v>53.326266442158456</v>
      </c>
      <c r="R19" s="131">
        <f t="shared" ref="R19:W19" si="7">SUM(R20:R27)</f>
        <v>55.772695539016006</v>
      </c>
      <c r="S19" s="131">
        <f t="shared" si="7"/>
        <v>49.298854115823552</v>
      </c>
      <c r="T19" s="131">
        <f t="shared" si="7"/>
        <v>58.294058664443014</v>
      </c>
      <c r="U19" s="131">
        <f t="shared" si="7"/>
        <v>57.797936767395619</v>
      </c>
      <c r="V19" s="131">
        <f t="shared" si="7"/>
        <v>53.046025710815236</v>
      </c>
      <c r="W19" s="131">
        <f t="shared" si="7"/>
        <v>44.330746737417222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43.698852904302719</v>
      </c>
      <c r="C21" s="133">
        <v>36.606712622496005</v>
      </c>
      <c r="D21" s="133">
        <v>39.873537069555255</v>
      </c>
      <c r="E21" s="133">
        <v>38.150529188358639</v>
      </c>
      <c r="F21" s="133">
        <v>36.711397516918751</v>
      </c>
      <c r="G21" s="133">
        <v>35.194357674858956</v>
      </c>
      <c r="H21" s="133">
        <v>33.809483811301092</v>
      </c>
      <c r="I21" s="133">
        <v>32.774663693353773</v>
      </c>
      <c r="J21" s="133">
        <v>30.433725671524535</v>
      </c>
      <c r="K21" s="133">
        <v>29.114161959215551</v>
      </c>
      <c r="L21" s="133">
        <v>28.588281016159762</v>
      </c>
      <c r="M21" s="133">
        <v>25.15136037393027</v>
      </c>
      <c r="N21" s="133">
        <v>24.983444024840576</v>
      </c>
      <c r="O21" s="133">
        <v>23.172270731214386</v>
      </c>
      <c r="P21" s="133">
        <v>21.851605055692833</v>
      </c>
      <c r="Q21" s="133">
        <v>21.261871228960928</v>
      </c>
      <c r="R21" s="133">
        <v>16.799570821288828</v>
      </c>
      <c r="S21" s="133">
        <v>19.025197714725802</v>
      </c>
      <c r="T21" s="133">
        <v>25.925283077074173</v>
      </c>
      <c r="U21" s="133">
        <v>30.510938837898792</v>
      </c>
      <c r="V21" s="133">
        <v>23.72505481575401</v>
      </c>
      <c r="W21" s="133">
        <v>17.199934198367114</v>
      </c>
      <c r="DA21" s="157" t="s">
        <v>371</v>
      </c>
    </row>
    <row r="22" spans="1:105" ht="12" customHeight="1" x14ac:dyDescent="0.25">
      <c r="A22" s="132" t="s">
        <v>168</v>
      </c>
      <c r="B22" s="133">
        <v>44.981568565934616</v>
      </c>
      <c r="C22" s="133">
        <v>50.100927619381352</v>
      </c>
      <c r="D22" s="133">
        <v>47.346696362576459</v>
      </c>
      <c r="E22" s="133">
        <v>54.430184788425798</v>
      </c>
      <c r="F22" s="133">
        <v>56.364980693024464</v>
      </c>
      <c r="G22" s="133">
        <v>57.634910329837901</v>
      </c>
      <c r="H22" s="133">
        <v>60.646337356744688</v>
      </c>
      <c r="I22" s="133">
        <v>65.617681757089073</v>
      </c>
      <c r="J22" s="133">
        <v>62.466575157176948</v>
      </c>
      <c r="K22" s="133">
        <v>61.417057412071792</v>
      </c>
      <c r="L22" s="133">
        <v>59.822625404875872</v>
      </c>
      <c r="M22" s="133">
        <v>48.581092194488043</v>
      </c>
      <c r="N22" s="133">
        <v>43.928413254031817</v>
      </c>
      <c r="O22" s="133">
        <v>36.033912767586472</v>
      </c>
      <c r="P22" s="133">
        <v>30.210109070203256</v>
      </c>
      <c r="Q22" s="133">
        <v>27.025426245193653</v>
      </c>
      <c r="R22" s="133">
        <v>32.474076451468427</v>
      </c>
      <c r="S22" s="133">
        <v>25.469138474182415</v>
      </c>
      <c r="T22" s="133">
        <v>29.82028228016118</v>
      </c>
      <c r="U22" s="133">
        <v>24.505368070895848</v>
      </c>
      <c r="V22" s="133">
        <v>27.249601468660114</v>
      </c>
      <c r="W22" s="133">
        <v>25.315656589894147</v>
      </c>
      <c r="DA22" s="157" t="s">
        <v>372</v>
      </c>
    </row>
    <row r="23" spans="1:105" ht="12" customHeight="1" x14ac:dyDescent="0.25">
      <c r="A23" s="132" t="s">
        <v>153</v>
      </c>
      <c r="B23" s="133">
        <v>3.1528547612850999</v>
      </c>
      <c r="C23" s="133">
        <v>3.2636461435417616</v>
      </c>
      <c r="D23" s="133">
        <v>3.1869221882588739</v>
      </c>
      <c r="E23" s="133">
        <v>3.1848495777103496</v>
      </c>
      <c r="F23" s="133">
        <v>3.2741219360540361</v>
      </c>
      <c r="G23" s="133">
        <v>3.2443242267416785</v>
      </c>
      <c r="H23" s="133">
        <v>3.1200635043105693</v>
      </c>
      <c r="I23" s="133">
        <v>3.1348234240368074</v>
      </c>
      <c r="J23" s="133">
        <v>3.2388364615943366</v>
      </c>
      <c r="K23" s="133">
        <v>4.8692963302908394</v>
      </c>
      <c r="L23" s="133">
        <v>5.1614974880946241</v>
      </c>
      <c r="M23" s="133">
        <v>5.1957492491270383</v>
      </c>
      <c r="N23" s="133">
        <v>4.6986672488074541</v>
      </c>
      <c r="O23" s="133">
        <v>5.0659444325542697</v>
      </c>
      <c r="P23" s="133">
        <v>5.1887073177456209</v>
      </c>
      <c r="Q23" s="133">
        <v>5.0389689680038696</v>
      </c>
      <c r="R23" s="133">
        <v>6.499048266258745</v>
      </c>
      <c r="S23" s="133">
        <v>4.8045179269153326</v>
      </c>
      <c r="T23" s="133">
        <v>2.5484933072076679</v>
      </c>
      <c r="U23" s="133">
        <v>2.7816298586009807</v>
      </c>
      <c r="V23" s="133">
        <v>2.0713694264011098</v>
      </c>
      <c r="W23" s="133">
        <v>1.815155949155955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73.606997820573156</v>
      </c>
      <c r="C29" s="131">
        <f t="shared" si="8"/>
        <v>86.937060666911748</v>
      </c>
      <c r="D29" s="131">
        <f t="shared" si="8"/>
        <v>52.404402294129937</v>
      </c>
      <c r="E29" s="131">
        <f t="shared" si="8"/>
        <v>36.055026915695436</v>
      </c>
      <c r="F29" s="131">
        <f t="shared" si="8"/>
        <v>39.463599392292423</v>
      </c>
      <c r="G29" s="131">
        <f t="shared" si="8"/>
        <v>32.273213227483417</v>
      </c>
      <c r="H29" s="131">
        <f t="shared" si="8"/>
        <v>21.652157915034618</v>
      </c>
      <c r="I29" s="131">
        <f t="shared" si="8"/>
        <v>52.154227870233399</v>
      </c>
      <c r="J29" s="131">
        <f t="shared" si="8"/>
        <v>32.301306103535168</v>
      </c>
      <c r="K29" s="131">
        <f t="shared" si="8"/>
        <v>40.172688751118045</v>
      </c>
      <c r="L29" s="131">
        <f t="shared" si="8"/>
        <v>52.518557944314892</v>
      </c>
      <c r="M29" s="131">
        <f t="shared" si="8"/>
        <v>24.792583079470504</v>
      </c>
      <c r="N29" s="131">
        <f t="shared" si="8"/>
        <v>41.829587252020062</v>
      </c>
      <c r="O29" s="131">
        <f t="shared" si="8"/>
        <v>36.013622110835897</v>
      </c>
      <c r="P29" s="131">
        <f t="shared" si="8"/>
        <v>44.003072298848281</v>
      </c>
      <c r="Q29" s="131">
        <f t="shared" si="8"/>
        <v>50.575408231009511</v>
      </c>
      <c r="R29" s="131">
        <f t="shared" ref="R29:W29" si="9">SUM(R30:R33)</f>
        <v>52.154700489756486</v>
      </c>
      <c r="S29" s="131">
        <f t="shared" si="9"/>
        <v>50.762975997484823</v>
      </c>
      <c r="T29" s="131">
        <f t="shared" si="9"/>
        <v>51.260176014625515</v>
      </c>
      <c r="U29" s="131">
        <f t="shared" si="9"/>
        <v>63.768426837337373</v>
      </c>
      <c r="V29" s="131">
        <f t="shared" si="9"/>
        <v>53.781626972689516</v>
      </c>
      <c r="W29" s="131">
        <f t="shared" si="9"/>
        <v>40.730209806889732</v>
      </c>
      <c r="DA29" s="156" t="s">
        <v>236</v>
      </c>
    </row>
    <row r="30" spans="1:105" ht="12" customHeight="1" x14ac:dyDescent="0.25">
      <c r="A30" s="132" t="s">
        <v>52</v>
      </c>
      <c r="B30" s="133">
        <v>72.701792815697303</v>
      </c>
      <c r="C30" s="133">
        <v>67.855312137503986</v>
      </c>
      <c r="D30" s="133">
        <v>31.757507210444775</v>
      </c>
      <c r="E30" s="133">
        <v>18.557466051641356</v>
      </c>
      <c r="F30" s="133">
        <v>22.981252963081253</v>
      </c>
      <c r="G30" s="133">
        <v>21.513637565141039</v>
      </c>
      <c r="H30" s="133">
        <v>16.929200948698913</v>
      </c>
      <c r="I30" s="133">
        <v>48.586552026646281</v>
      </c>
      <c r="J30" s="133">
        <v>30.587129328475477</v>
      </c>
      <c r="K30" s="133">
        <v>34.812523760784458</v>
      </c>
      <c r="L30" s="133">
        <v>46.961273263840233</v>
      </c>
      <c r="M30" s="133">
        <v>18.434964626069732</v>
      </c>
      <c r="N30" s="133">
        <v>36.037410975159425</v>
      </c>
      <c r="O30" s="133">
        <v>26.225488548785609</v>
      </c>
      <c r="P30" s="133">
        <v>27.546154224307166</v>
      </c>
      <c r="Q30" s="133">
        <v>31.041718771039093</v>
      </c>
      <c r="R30" s="133">
        <v>26.786754178711199</v>
      </c>
      <c r="S30" s="133">
        <v>31.401369205274229</v>
      </c>
      <c r="T30" s="133">
        <v>40.950620922925808</v>
      </c>
      <c r="U30" s="133">
        <v>52.056042162101214</v>
      </c>
      <c r="V30" s="133">
        <v>44.464288304246018</v>
      </c>
      <c r="W30" s="133">
        <v>32.697804241632895</v>
      </c>
      <c r="DA30" s="157" t="s">
        <v>378</v>
      </c>
    </row>
    <row r="31" spans="1:105" ht="12" customHeight="1" x14ac:dyDescent="0.25">
      <c r="A31" s="132" t="s">
        <v>153</v>
      </c>
      <c r="B31" s="133">
        <v>0.90520500487585065</v>
      </c>
      <c r="C31" s="133">
        <v>19.081748529407761</v>
      </c>
      <c r="D31" s="133">
        <v>20.646895083685159</v>
      </c>
      <c r="E31" s="133">
        <v>17.49756086405408</v>
      </c>
      <c r="F31" s="133">
        <v>16.482346429211169</v>
      </c>
      <c r="G31" s="133">
        <v>10.759575662342378</v>
      </c>
      <c r="H31" s="133">
        <v>4.7229569663357038</v>
      </c>
      <c r="I31" s="133">
        <v>3.567675843587121</v>
      </c>
      <c r="J31" s="133">
        <v>1.714176775059693</v>
      </c>
      <c r="K31" s="133">
        <v>5.3601649903335833</v>
      </c>
      <c r="L31" s="133">
        <v>5.5572846804746581</v>
      </c>
      <c r="M31" s="133">
        <v>6.3576184534007707</v>
      </c>
      <c r="N31" s="133">
        <v>5.7921762768606397</v>
      </c>
      <c r="O31" s="133">
        <v>9.7881335620502892</v>
      </c>
      <c r="P31" s="133">
        <v>16.456918074541115</v>
      </c>
      <c r="Q31" s="133">
        <v>19.533689459970418</v>
      </c>
      <c r="R31" s="133">
        <v>25.367946311045287</v>
      </c>
      <c r="S31" s="133">
        <v>19.361606792210594</v>
      </c>
      <c r="T31" s="133">
        <v>10.309555091699703</v>
      </c>
      <c r="U31" s="133">
        <v>11.712384675236155</v>
      </c>
      <c r="V31" s="133">
        <v>9.3173386684434973</v>
      </c>
      <c r="W31" s="133">
        <v>8.0324055652568394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282572.90198535001</v>
      </c>
      <c r="C3" s="126">
        <f>IF(SER_hh_fec!C3=0,0,11630*1000*SER_hh_fec!C3/SER_hh_num!C3)</f>
        <v>376454.18312264094</v>
      </c>
      <c r="D3" s="126">
        <f>IF(SER_hh_fec!D3=0,0,11630*1000*SER_hh_fec!D3/SER_hh_num!D3)</f>
        <v>347045.42670690088</v>
      </c>
      <c r="E3" s="126">
        <f>IF(SER_hh_fec!E3=0,0,11630*1000*SER_hh_fec!E3/SER_hh_num!E3)</f>
        <v>224541.83165120316</v>
      </c>
      <c r="F3" s="126">
        <f>IF(SER_hh_fec!F3=0,0,11630*1000*SER_hh_fec!F3/SER_hh_num!F3)</f>
        <v>233768.50675795539</v>
      </c>
      <c r="G3" s="126">
        <f>IF(SER_hh_fec!G3=0,0,11630*1000*SER_hh_fec!G3/SER_hh_num!G3)</f>
        <v>191040.1545048749</v>
      </c>
      <c r="H3" s="126">
        <f>IF(SER_hh_fec!H3=0,0,11630*1000*SER_hh_fec!H3/SER_hh_num!H3)</f>
        <v>160858.90675678075</v>
      </c>
      <c r="I3" s="126">
        <f>IF(SER_hh_fec!I3=0,0,11630*1000*SER_hh_fec!I3/SER_hh_num!I3)</f>
        <v>123667.49154912443</v>
      </c>
      <c r="J3" s="126">
        <f>IF(SER_hh_fec!J3=0,0,11630*1000*SER_hh_fec!J3/SER_hh_num!J3)</f>
        <v>167531.86976243617</v>
      </c>
      <c r="K3" s="126">
        <f>IF(SER_hh_fec!K3=0,0,11630*1000*SER_hh_fec!K3/SER_hh_num!K3)</f>
        <v>163107.91908345115</v>
      </c>
      <c r="L3" s="126">
        <f>IF(SER_hh_fec!L3=0,0,11630*1000*SER_hh_fec!L3/SER_hh_num!L3)</f>
        <v>179385.01997008084</v>
      </c>
      <c r="M3" s="126">
        <f>IF(SER_hh_fec!M3=0,0,11630*1000*SER_hh_fec!M3/SER_hh_num!M3)</f>
        <v>171985.4600429472</v>
      </c>
      <c r="N3" s="126">
        <f>IF(SER_hh_fec!N3=0,0,11630*1000*SER_hh_fec!N3/SER_hh_num!N3)</f>
        <v>141824.09525862616</v>
      </c>
      <c r="O3" s="126">
        <f>IF(SER_hh_fec!O3=0,0,11630*1000*SER_hh_fec!O3/SER_hh_num!O3)</f>
        <v>144523.16302727637</v>
      </c>
      <c r="P3" s="126">
        <f>IF(SER_hh_fec!P3=0,0,11630*1000*SER_hh_fec!P3/SER_hh_num!P3)</f>
        <v>125070.41300820351</v>
      </c>
      <c r="Q3" s="126">
        <f>IF(SER_hh_fec!Q3=0,0,11630*1000*SER_hh_fec!Q3/SER_hh_num!Q3)</f>
        <v>134157.62836479413</v>
      </c>
      <c r="R3" s="126">
        <f>IF(SER_hh_fec!R3=0,0,11630*1000*SER_hh_fec!R3/SER_hh_num!R3)</f>
        <v>145312.7759234102</v>
      </c>
      <c r="S3" s="126">
        <f>IF(SER_hh_fec!S3=0,0,11630*1000*SER_hh_fec!S3/SER_hh_num!S3)</f>
        <v>140245.43301567127</v>
      </c>
      <c r="T3" s="126">
        <f>IF(SER_hh_fec!T3=0,0,11630*1000*SER_hh_fec!T3/SER_hh_num!T3)</f>
        <v>138045.22640667242</v>
      </c>
      <c r="U3" s="126">
        <f>IF(SER_hh_fec!U3=0,0,11630*1000*SER_hh_fec!U3/SER_hh_num!U3)</f>
        <v>130329.04831102915</v>
      </c>
      <c r="V3" s="126">
        <f>IF(SER_hh_fec!V3=0,0,11630*1000*SER_hh_fec!V3/SER_hh_num!V3)</f>
        <v>118375.45762229706</v>
      </c>
      <c r="W3" s="126">
        <f>IF(SER_hh_fec!W3=0,0,11630*1000*SER_hh_fec!W3/SER_hh_num!W3)</f>
        <v>115050.54624393728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235010.88436802171</v>
      </c>
      <c r="C4" s="131">
        <f>IF(SER_hh_fec!C4=0,0,11630*1000*SER_hh_fec!C4/SER_hh_num!C4)</f>
        <v>328090.09024845535</v>
      </c>
      <c r="D4" s="131">
        <f>IF(SER_hh_fec!D4=0,0,11630*1000*SER_hh_fec!D4/SER_hh_num!D4)</f>
        <v>301377.5214562898</v>
      </c>
      <c r="E4" s="131">
        <f>IF(SER_hh_fec!E4=0,0,11630*1000*SER_hh_fec!E4/SER_hh_num!E4)</f>
        <v>179904.59779098458</v>
      </c>
      <c r="F4" s="131">
        <f>IF(SER_hh_fec!F4=0,0,11630*1000*SER_hh_fec!F4/SER_hh_num!F4)</f>
        <v>190547.36347651665</v>
      </c>
      <c r="G4" s="131">
        <f>IF(SER_hh_fec!G4=0,0,11630*1000*SER_hh_fec!G4/SER_hh_num!G4)</f>
        <v>148650.30222691022</v>
      </c>
      <c r="H4" s="131">
        <f>IF(SER_hh_fec!H4=0,0,11630*1000*SER_hh_fec!H4/SER_hh_num!H4)</f>
        <v>119556.77528953855</v>
      </c>
      <c r="I4" s="131">
        <f>IF(SER_hh_fec!I4=0,0,11630*1000*SER_hh_fec!I4/SER_hh_num!I4)</f>
        <v>82380.097382025051</v>
      </c>
      <c r="J4" s="131">
        <f>IF(SER_hh_fec!J4=0,0,11630*1000*SER_hh_fec!J4/SER_hh_num!J4)</f>
        <v>128193.49226844686</v>
      </c>
      <c r="K4" s="131">
        <f>IF(SER_hh_fec!K4=0,0,11630*1000*SER_hh_fec!K4/SER_hh_num!K4)</f>
        <v>122970.22519627285</v>
      </c>
      <c r="L4" s="131">
        <f>IF(SER_hh_fec!L4=0,0,11630*1000*SER_hh_fec!L4/SER_hh_num!L4)</f>
        <v>138407.56559544007</v>
      </c>
      <c r="M4" s="131">
        <f>IF(SER_hh_fec!M4=0,0,11630*1000*SER_hh_fec!M4/SER_hh_num!M4)</f>
        <v>132323.86857638159</v>
      </c>
      <c r="N4" s="131">
        <f>IF(SER_hh_fec!N4=0,0,11630*1000*SER_hh_fec!N4/SER_hh_num!N4)</f>
        <v>100603.86140118902</v>
      </c>
      <c r="O4" s="131">
        <f>IF(SER_hh_fec!O4=0,0,11630*1000*SER_hh_fec!O4/SER_hh_num!O4)</f>
        <v>103481.69707996653</v>
      </c>
      <c r="P4" s="131">
        <f>IF(SER_hh_fec!P4=0,0,11630*1000*SER_hh_fec!P4/SER_hh_num!P4)</f>
        <v>83827.974053294965</v>
      </c>
      <c r="Q4" s="131">
        <f>IF(SER_hh_fec!Q4=0,0,11630*1000*SER_hh_fec!Q4/SER_hh_num!Q4)</f>
        <v>91017.440598728703</v>
      </c>
      <c r="R4" s="131">
        <f>IF(SER_hh_fec!R4=0,0,11630*1000*SER_hh_fec!R4/SER_hh_num!R4)</f>
        <v>102036.19589306654</v>
      </c>
      <c r="S4" s="131">
        <f>IF(SER_hh_fec!S4=0,0,11630*1000*SER_hh_fec!S4/SER_hh_num!S4)</f>
        <v>96913.267894797071</v>
      </c>
      <c r="T4" s="131">
        <f>IF(SER_hh_fec!T4=0,0,11630*1000*SER_hh_fec!T4/SER_hh_num!T4)</f>
        <v>95383.140680962635</v>
      </c>
      <c r="U4" s="131">
        <f>IF(SER_hh_fec!U4=0,0,11630*1000*SER_hh_fec!U4/SER_hh_num!U4)</f>
        <v>87036.708955269962</v>
      </c>
      <c r="V4" s="131">
        <f>IF(SER_hh_fec!V4=0,0,11630*1000*SER_hh_fec!V4/SER_hh_num!V4)</f>
        <v>77833.142510233694</v>
      </c>
      <c r="W4" s="131">
        <f>IF(SER_hh_fec!W4=0,0,11630*1000*SER_hh_fec!W4/SER_hh_num!W4)</f>
        <v>75033.352177521228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279083.71726045164</v>
      </c>
      <c r="C7" s="133">
        <f>IF(SER_hh_fec!C7=0,0,11630*1000*SER_hh_fec!C7/SER_hh_num!C7)</f>
        <v>409336.56941631599</v>
      </c>
      <c r="D7" s="133">
        <f>IF(SER_hh_fec!D7=0,0,11630*1000*SER_hh_fec!D7/SER_hh_num!D7)</f>
        <v>322424.71998756874</v>
      </c>
      <c r="E7" s="133">
        <f>IF(SER_hh_fec!E7=0,0,11630*1000*SER_hh_fec!E7/SER_hh_num!E7)</f>
        <v>219925.98858731924</v>
      </c>
      <c r="F7" s="133">
        <f>IF(SER_hh_fec!F7=0,0,11630*1000*SER_hh_fec!F7/SER_hh_num!F7)</f>
        <v>206203.4756428028</v>
      </c>
      <c r="G7" s="133">
        <f>IF(SER_hh_fec!G7=0,0,11630*1000*SER_hh_fec!G7/SER_hh_num!G7)</f>
        <v>182917.64028369886</v>
      </c>
      <c r="H7" s="133">
        <f>IF(SER_hh_fec!H7=0,0,11630*1000*SER_hh_fec!H7/SER_hh_num!H7)</f>
        <v>145318.65115541211</v>
      </c>
      <c r="I7" s="133">
        <f>IF(SER_hh_fec!I7=0,0,11630*1000*SER_hh_fec!I7/SER_hh_num!I7)</f>
        <v>85374.164917292452</v>
      </c>
      <c r="J7" s="133">
        <f>IF(SER_hh_fec!J7=0,0,11630*1000*SER_hh_fec!J7/SER_hh_num!J7)</f>
        <v>151850.12126506874</v>
      </c>
      <c r="K7" s="133">
        <f>IF(SER_hh_fec!K7=0,0,11630*1000*SER_hh_fec!K7/SER_hh_num!K7)</f>
        <v>142773.68809696069</v>
      </c>
      <c r="L7" s="133">
        <f>IF(SER_hh_fec!L7=0,0,11630*1000*SER_hh_fec!L7/SER_hh_num!L7)</f>
        <v>168391.87406937705</v>
      </c>
      <c r="M7" s="133">
        <f>IF(SER_hh_fec!M7=0,0,11630*1000*SER_hh_fec!M7/SER_hh_num!M7)</f>
        <v>153475.5466502269</v>
      </c>
      <c r="N7" s="133">
        <f>IF(SER_hh_fec!N7=0,0,11630*1000*SER_hh_fec!N7/SER_hh_num!N7)</f>
        <v>123836.60055261078</v>
      </c>
      <c r="O7" s="133">
        <f>IF(SER_hh_fec!O7=0,0,11630*1000*SER_hh_fec!O7/SER_hh_num!O7)</f>
        <v>127226.84148741467</v>
      </c>
      <c r="P7" s="133">
        <f>IF(SER_hh_fec!P7=0,0,11630*1000*SER_hh_fec!P7/SER_hh_num!P7)</f>
        <v>98657.577019048345</v>
      </c>
      <c r="Q7" s="133">
        <f>IF(SER_hh_fec!Q7=0,0,11630*1000*SER_hh_fec!Q7/SER_hh_num!Q7)</f>
        <v>113545.67097544487</v>
      </c>
      <c r="R7" s="133">
        <f>IF(SER_hh_fec!R7=0,0,11630*1000*SER_hh_fec!R7/SER_hh_num!R7)</f>
        <v>136985.24595097842</v>
      </c>
      <c r="S7" s="133">
        <f>IF(SER_hh_fec!S7=0,0,11630*1000*SER_hh_fec!S7/SER_hh_num!S7)</f>
        <v>109910.67939357999</v>
      </c>
      <c r="T7" s="133">
        <f>IF(SER_hh_fec!T7=0,0,11630*1000*SER_hh_fec!T7/SER_hh_num!T7)</f>
        <v>117725.83848731882</v>
      </c>
      <c r="U7" s="133">
        <f>IF(SER_hh_fec!U7=0,0,11630*1000*SER_hh_fec!U7/SER_hh_num!U7)</f>
        <v>98697.213775261072</v>
      </c>
      <c r="V7" s="133">
        <f>IF(SER_hh_fec!V7=0,0,11630*1000*SER_hh_fec!V7/SER_hh_num!V7)</f>
        <v>110908.39166950894</v>
      </c>
      <c r="W7" s="133">
        <f>IF(SER_hh_fec!W7=0,0,11630*1000*SER_hh_fec!W7/SER_hh_num!W7)</f>
        <v>75491.30035973608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149323.95597848151</v>
      </c>
      <c r="C9" s="133">
        <f>IF(SER_hh_fec!C9=0,0,11630*1000*SER_hh_fec!C9/SER_hh_num!C9)</f>
        <v>370655.04806851805</v>
      </c>
      <c r="D9" s="133">
        <f>IF(SER_hh_fec!D9=0,0,11630*1000*SER_hh_fec!D9/SER_hh_num!D9)</f>
        <v>358093.88744343119</v>
      </c>
      <c r="E9" s="133">
        <f>IF(SER_hh_fec!E9=0,0,11630*1000*SER_hh_fec!E9/SER_hh_num!E9)</f>
        <v>171122.87624699916</v>
      </c>
      <c r="F9" s="133">
        <f>IF(SER_hh_fec!F9=0,0,11630*1000*SER_hh_fec!F9/SER_hh_num!F9)</f>
        <v>234667.21923263132</v>
      </c>
      <c r="G9" s="133">
        <f>IF(SER_hh_fec!G9=0,0,11630*1000*SER_hh_fec!G9/SER_hh_num!G9)</f>
        <v>128690.19778192493</v>
      </c>
      <c r="H9" s="133">
        <f>IF(SER_hh_fec!H9=0,0,11630*1000*SER_hh_fec!H9/SER_hh_num!H9)</f>
        <v>94294.170894498107</v>
      </c>
      <c r="I9" s="133">
        <f>IF(SER_hh_fec!I9=0,0,11630*1000*SER_hh_fec!I9/SER_hh_num!I9)</f>
        <v>94233.781445313536</v>
      </c>
      <c r="J9" s="133">
        <f>IF(SER_hh_fec!J9=0,0,11630*1000*SER_hh_fec!J9/SER_hh_num!J9)</f>
        <v>108571.24559843625</v>
      </c>
      <c r="K9" s="133">
        <f>IF(SER_hh_fec!K9=0,0,11630*1000*SER_hh_fec!K9/SER_hh_num!K9)</f>
        <v>116453.89907027986</v>
      </c>
      <c r="L9" s="133">
        <f>IF(SER_hh_fec!L9=0,0,11630*1000*SER_hh_fec!L9/SER_hh_num!L9)</f>
        <v>136942.81823111678</v>
      </c>
      <c r="M9" s="133">
        <f>IF(SER_hh_fec!M9=0,0,11630*1000*SER_hh_fec!M9/SER_hh_num!M9)</f>
        <v>189905.98407092178</v>
      </c>
      <c r="N9" s="133">
        <f>IF(SER_hh_fec!N9=0,0,11630*1000*SER_hh_fec!N9/SER_hh_num!N9)</f>
        <v>53190.621921301565</v>
      </c>
      <c r="O9" s="133">
        <f>IF(SER_hh_fec!O9=0,0,11630*1000*SER_hh_fec!O9/SER_hh_num!O9)</f>
        <v>104822.59032359428</v>
      </c>
      <c r="P9" s="133">
        <f>IF(SER_hh_fec!P9=0,0,11630*1000*SER_hh_fec!P9/SER_hh_num!P9)</f>
        <v>85802.834893837862</v>
      </c>
      <c r="Q9" s="133">
        <f>IF(SER_hh_fec!Q9=0,0,11630*1000*SER_hh_fec!Q9/SER_hh_num!Q9)</f>
        <v>100455.37909762283</v>
      </c>
      <c r="R9" s="133">
        <f>IF(SER_hh_fec!R9=0,0,11630*1000*SER_hh_fec!R9/SER_hh_num!R9)</f>
        <v>123823.27239725525</v>
      </c>
      <c r="S9" s="133">
        <f>IF(SER_hh_fec!S9=0,0,11630*1000*SER_hh_fec!S9/SER_hh_num!S9)</f>
        <v>104705.28977446692</v>
      </c>
      <c r="T9" s="133">
        <f>IF(SER_hh_fec!T9=0,0,11630*1000*SER_hh_fec!T9/SER_hh_num!T9)</f>
        <v>72856.97268290908</v>
      </c>
      <c r="U9" s="133">
        <f>IF(SER_hh_fec!U9=0,0,11630*1000*SER_hh_fec!U9/SER_hh_num!U9)</f>
        <v>91886.026237533384</v>
      </c>
      <c r="V9" s="133">
        <f>IF(SER_hh_fec!V9=0,0,11630*1000*SER_hh_fec!V9/SER_hh_num!V9)</f>
        <v>84990.998578495215</v>
      </c>
      <c r="W9" s="133">
        <f>IF(SER_hh_fec!W9=0,0,11630*1000*SER_hh_fec!W9/SER_hh_num!W9)</f>
        <v>74075.752057334335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232472.53976956275</v>
      </c>
      <c r="C10" s="133">
        <f>IF(SER_hh_fec!C10=0,0,11630*1000*SER_hh_fec!C10/SER_hh_num!C10)</f>
        <v>418600.77609967632</v>
      </c>
      <c r="D10" s="133">
        <f>IF(SER_hh_fec!D10=0,0,11630*1000*SER_hh_fec!D10/SER_hh_num!D10)</f>
        <v>417252.23128400621</v>
      </c>
      <c r="E10" s="133">
        <f>IF(SER_hh_fec!E10=0,0,11630*1000*SER_hh_fec!E10/SER_hh_num!E10)</f>
        <v>181312.87355815855</v>
      </c>
      <c r="F10" s="133">
        <f>IF(SER_hh_fec!F10=0,0,11630*1000*SER_hh_fec!F10/SER_hh_num!F10)</f>
        <v>213394.21747740512</v>
      </c>
      <c r="G10" s="133">
        <f>IF(SER_hh_fec!G10=0,0,11630*1000*SER_hh_fec!G10/SER_hh_num!G10)</f>
        <v>318584.56876834849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0</v>
      </c>
      <c r="O10" s="133">
        <f>IF(SER_hh_fec!O10=0,0,11630*1000*SER_hh_fec!O10/SER_hh_num!O10)</f>
        <v>0</v>
      </c>
      <c r="P10" s="133">
        <f>IF(SER_hh_fec!P10=0,0,11630*1000*SER_hh_fec!P10/SER_hh_num!P10)</f>
        <v>0</v>
      </c>
      <c r="Q10" s="133">
        <f>IF(SER_hh_fec!Q10=0,0,11630*1000*SER_hh_fec!Q10/SER_hh_num!Q10)</f>
        <v>0</v>
      </c>
      <c r="R10" s="133">
        <f>IF(SER_hh_fec!R10=0,0,11630*1000*SER_hh_fec!R10/SER_hh_num!R10)</f>
        <v>0</v>
      </c>
      <c r="S10" s="133">
        <f>IF(SER_hh_fec!S10=0,0,11630*1000*SER_hh_fec!S10/SER_hh_num!S10)</f>
        <v>0</v>
      </c>
      <c r="T10" s="133">
        <f>IF(SER_hh_fec!T10=0,0,11630*1000*SER_hh_fec!T10/SER_hh_num!T10)</f>
        <v>0</v>
      </c>
      <c r="U10" s="133">
        <f>IF(SER_hh_fec!U10=0,0,11630*1000*SER_hh_fec!U10/SER_hh_num!U10)</f>
        <v>0</v>
      </c>
      <c r="V10" s="133">
        <f>IF(SER_hh_fec!V10=0,0,11630*1000*SER_hh_fec!V10/SER_hh_num!V10)</f>
        <v>0</v>
      </c>
      <c r="W10" s="133">
        <f>IF(SER_hh_fec!W10=0,0,11630*1000*SER_hh_fec!W10/SER_hh_num!W10)</f>
        <v>0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146438.24155830272</v>
      </c>
      <c r="M11" s="133">
        <f>IF(SER_hh_fec!M11=0,0,11630*1000*SER_hh_fec!M11/SER_hh_num!M11)</f>
        <v>115808.3610609173</v>
      </c>
      <c r="N11" s="133">
        <f>IF(SER_hh_fec!N11=0,0,11630*1000*SER_hh_fec!N11/SER_hh_num!N11)</f>
        <v>76367.712379559569</v>
      </c>
      <c r="O11" s="133">
        <f>IF(SER_hh_fec!O11=0,0,11630*1000*SER_hh_fec!O11/SER_hh_num!O11)</f>
        <v>78888.871529944969</v>
      </c>
      <c r="P11" s="133">
        <f>IF(SER_hh_fec!P11=0,0,11630*1000*SER_hh_fec!P11/SER_hh_num!P11)</f>
        <v>79888.511710398292</v>
      </c>
      <c r="Q11" s="133">
        <f>IF(SER_hh_fec!Q11=0,0,11630*1000*SER_hh_fec!Q11/SER_hh_num!Q11)</f>
        <v>62273.681306317019</v>
      </c>
      <c r="R11" s="133">
        <f>IF(SER_hh_fec!R11=0,0,11630*1000*SER_hh_fec!R11/SER_hh_num!R11)</f>
        <v>66798.211284101548</v>
      </c>
      <c r="S11" s="133">
        <f>IF(SER_hh_fec!S11=0,0,11630*1000*SER_hh_fec!S11/SER_hh_num!S11)</f>
        <v>87587.665204634599</v>
      </c>
      <c r="T11" s="133">
        <f>IF(SER_hh_fec!T11=0,0,11630*1000*SER_hh_fec!T11/SER_hh_num!T11)</f>
        <v>80931.799081595425</v>
      </c>
      <c r="U11" s="133">
        <f>IF(SER_hh_fec!U11=0,0,11630*1000*SER_hh_fec!U11/SER_hh_num!U11)</f>
        <v>86119.804785043962</v>
      </c>
      <c r="V11" s="133">
        <f>IF(SER_hh_fec!V11=0,0,11630*1000*SER_hh_fec!V11/SER_hh_num!V11)</f>
        <v>60982.359742225788</v>
      </c>
      <c r="W11" s="133">
        <f>IF(SER_hh_fec!W11=0,0,11630*1000*SER_hh_fec!W11/SER_hh_num!W11)</f>
        <v>59106.642488453654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192114.62517832845</v>
      </c>
      <c r="C12" s="133">
        <f>IF(SER_hh_fec!C12=0,0,11630*1000*SER_hh_fec!C12/SER_hh_num!C12)</f>
        <v>202313.50718132305</v>
      </c>
      <c r="D12" s="133">
        <f>IF(SER_hh_fec!D12=0,0,11630*1000*SER_hh_fec!D12/SER_hh_num!D12)</f>
        <v>217839.55558430453</v>
      </c>
      <c r="E12" s="133">
        <f>IF(SER_hh_fec!E12=0,0,11630*1000*SER_hh_fec!E12/SER_hh_num!E12)</f>
        <v>119249.31216139667</v>
      </c>
      <c r="F12" s="133">
        <f>IF(SER_hh_fec!F12=0,0,11630*1000*SER_hh_fec!F12/SER_hh_num!F12)</f>
        <v>135968.71002698818</v>
      </c>
      <c r="G12" s="133">
        <f>IF(SER_hh_fec!G12=0,0,11630*1000*SER_hh_fec!G12/SER_hh_num!G12)</f>
        <v>92573.544509737272</v>
      </c>
      <c r="H12" s="133">
        <f>IF(SER_hh_fec!H12=0,0,11630*1000*SER_hh_fec!H12/SER_hh_num!H12)</f>
        <v>111468.85224340949</v>
      </c>
      <c r="I12" s="133">
        <f>IF(SER_hh_fec!I12=0,0,11630*1000*SER_hh_fec!I12/SER_hh_num!I12)</f>
        <v>64994.482581073498</v>
      </c>
      <c r="J12" s="133">
        <f>IF(SER_hh_fec!J12=0,0,11630*1000*SER_hh_fec!J12/SER_hh_num!J12)</f>
        <v>64137.18698594856</v>
      </c>
      <c r="K12" s="133">
        <f>IF(SER_hh_fec!K12=0,0,11630*1000*SER_hh_fec!K12/SER_hh_num!K12)</f>
        <v>95172.07885414215</v>
      </c>
      <c r="L12" s="133">
        <f>IF(SER_hh_fec!L12=0,0,11630*1000*SER_hh_fec!L12/SER_hh_num!L12)</f>
        <v>106381.58556739143</v>
      </c>
      <c r="M12" s="133">
        <f>IF(SER_hh_fec!M12=0,0,11630*1000*SER_hh_fec!M12/SER_hh_num!M12)</f>
        <v>100224.81458613128</v>
      </c>
      <c r="N12" s="133">
        <f>IF(SER_hh_fec!N12=0,0,11630*1000*SER_hh_fec!N12/SER_hh_num!N12)</f>
        <v>90742.770313204077</v>
      </c>
      <c r="O12" s="133">
        <f>IF(SER_hh_fec!O12=0,0,11630*1000*SER_hh_fec!O12/SER_hh_num!O12)</f>
        <v>91515.684688194378</v>
      </c>
      <c r="P12" s="133">
        <f>IF(SER_hh_fec!P12=0,0,11630*1000*SER_hh_fec!P12/SER_hh_num!P12)</f>
        <v>68408.468627926559</v>
      </c>
      <c r="Q12" s="133">
        <f>IF(SER_hh_fec!Q12=0,0,11630*1000*SER_hh_fec!Q12/SER_hh_num!Q12)</f>
        <v>78921.5229656929</v>
      </c>
      <c r="R12" s="133">
        <f>IF(SER_hh_fec!R12=0,0,11630*1000*SER_hh_fec!R12/SER_hh_num!R12)</f>
        <v>76467.190292131083</v>
      </c>
      <c r="S12" s="133">
        <f>IF(SER_hh_fec!S12=0,0,11630*1000*SER_hh_fec!S12/SER_hh_num!S12)</f>
        <v>87283.010971588374</v>
      </c>
      <c r="T12" s="133">
        <f>IF(SER_hh_fec!T12=0,0,11630*1000*SER_hh_fec!T12/SER_hh_num!T12)</f>
        <v>89150.91978382018</v>
      </c>
      <c r="U12" s="133">
        <f>IF(SER_hh_fec!U12=0,0,11630*1000*SER_hh_fec!U12/SER_hh_num!U12)</f>
        <v>72714.184687501096</v>
      </c>
      <c r="V12" s="133">
        <f>IF(SER_hh_fec!V12=0,0,11630*1000*SER_hh_fec!V12/SER_hh_num!V12)</f>
        <v>68954.351834820816</v>
      </c>
      <c r="W12" s="133">
        <f>IF(SER_hh_fec!W12=0,0,11630*1000*SER_hh_fec!W12/SER_hh_num!W12)</f>
        <v>78198.558616830356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201900.03326942137</v>
      </c>
      <c r="C14" s="65">
        <f>IF(SER_hh_fec!C14=0,0,11630*1000*SER_hh_fec!C14/SER_hh_num!C14)</f>
        <v>224754.57137464013</v>
      </c>
      <c r="D14" s="65">
        <f>IF(SER_hh_fec!D14=0,0,11630*1000*SER_hh_fec!D14/SER_hh_num!D14)</f>
        <v>273342.03092497989</v>
      </c>
      <c r="E14" s="65">
        <f>IF(SER_hh_fec!E14=0,0,11630*1000*SER_hh_fec!E14/SER_hh_num!E14)</f>
        <v>128737.39427298028</v>
      </c>
      <c r="F14" s="65">
        <f>IF(SER_hh_fec!F14=0,0,11630*1000*SER_hh_fec!F14/SER_hh_num!F14)</f>
        <v>161962.96226873403</v>
      </c>
      <c r="G14" s="65">
        <f>IF(SER_hh_fec!G14=0,0,11630*1000*SER_hh_fec!G14/SER_hh_num!G14)</f>
        <v>108802.76126909177</v>
      </c>
      <c r="H14" s="65">
        <f>IF(SER_hh_fec!H14=0,0,11630*1000*SER_hh_fec!H14/SER_hh_num!H14)</f>
        <v>82004.305965862324</v>
      </c>
      <c r="I14" s="65">
        <f>IF(SER_hh_fec!I14=0,0,11630*1000*SER_hh_fec!I14/SER_hh_num!I14)</f>
        <v>80419.398937076679</v>
      </c>
      <c r="J14" s="65">
        <f>IF(SER_hh_fec!J14=0,0,11630*1000*SER_hh_fec!J14/SER_hh_num!J14)</f>
        <v>112487.33197573748</v>
      </c>
      <c r="K14" s="65">
        <f>IF(SER_hh_fec!K14=0,0,11630*1000*SER_hh_fec!K14/SER_hh_num!K14)</f>
        <v>103491.27789039633</v>
      </c>
      <c r="L14" s="65">
        <f>IF(SER_hh_fec!L14=0,0,11630*1000*SER_hh_fec!L14/SER_hh_num!L14)</f>
        <v>109848.30926556481</v>
      </c>
      <c r="M14" s="65">
        <f>IF(SER_hh_fec!M14=0,0,11630*1000*SER_hh_fec!M14/SER_hh_num!M14)</f>
        <v>111561.34482091024</v>
      </c>
      <c r="N14" s="65">
        <f>IF(SER_hh_fec!N14=0,0,11630*1000*SER_hh_fec!N14/SER_hh_num!N14)</f>
        <v>98058.448634012879</v>
      </c>
      <c r="O14" s="65">
        <f>IF(SER_hh_fec!O14=0,0,11630*1000*SER_hh_fec!O14/SER_hh_num!O14)</f>
        <v>93890.205487077867</v>
      </c>
      <c r="P14" s="65">
        <f>IF(SER_hh_fec!P14=0,0,11630*1000*SER_hh_fec!P14/SER_hh_num!P14)</f>
        <v>80677.601017993642</v>
      </c>
      <c r="Q14" s="65">
        <f>IF(SER_hh_fec!Q14=0,0,11630*1000*SER_hh_fec!Q14/SER_hh_num!Q14)</f>
        <v>81610.943061735888</v>
      </c>
      <c r="R14" s="65">
        <f>IF(SER_hh_fec!R14=0,0,11630*1000*SER_hh_fec!R14/SER_hh_num!R14)</f>
        <v>87288.717307204992</v>
      </c>
      <c r="S14" s="65">
        <f>IF(SER_hh_fec!S14=0,0,11630*1000*SER_hh_fec!S14/SER_hh_num!S14)</f>
        <v>92059.125373454328</v>
      </c>
      <c r="T14" s="65">
        <f>IF(SER_hh_fec!T14=0,0,11630*1000*SER_hh_fec!T14/SER_hh_num!T14)</f>
        <v>94204.93289871767</v>
      </c>
      <c r="U14" s="65">
        <f>IF(SER_hh_fec!U14=0,0,11630*1000*SER_hh_fec!U14/SER_hh_num!U14)</f>
        <v>86490.943197988076</v>
      </c>
      <c r="V14" s="65">
        <f>IF(SER_hh_fec!V14=0,0,11630*1000*SER_hh_fec!V14/SER_hh_num!V14)</f>
        <v>66801.966331308708</v>
      </c>
      <c r="W14" s="65">
        <f>IF(SER_hh_fec!W14=0,0,11630*1000*SER_hh_fec!W14/SER_hh_num!W14)</f>
        <v>74506.3316447057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2009.0631386870434</v>
      </c>
      <c r="C15" s="135">
        <f>IF(SER_hh_fec!C15=0,0,11630*1000*SER_hh_fec!C15/SER_hh_num!C15)</f>
        <v>3159.411584639849</v>
      </c>
      <c r="D15" s="135">
        <f>IF(SER_hh_fec!D15=0,0,11630*1000*SER_hh_fec!D15/SER_hh_num!D15)</f>
        <v>2716.2239447772236</v>
      </c>
      <c r="E15" s="135">
        <f>IF(SER_hh_fec!E15=0,0,11630*1000*SER_hh_fec!E15/SER_hh_num!E15)</f>
        <v>1743.0262803465937</v>
      </c>
      <c r="F15" s="135">
        <f>IF(SER_hh_fec!F15=0,0,11630*1000*SER_hh_fec!F15/SER_hh_num!F15)</f>
        <v>1765.4327124701372</v>
      </c>
      <c r="G15" s="135">
        <f>IF(SER_hh_fec!G15=0,0,11630*1000*SER_hh_fec!G15/SER_hh_num!G15)</f>
        <v>1437.2646567951001</v>
      </c>
      <c r="H15" s="135">
        <f>IF(SER_hh_fec!H15=0,0,11630*1000*SER_hh_fec!H15/SER_hh_num!H15)</f>
        <v>1152.3675738506231</v>
      </c>
      <c r="I15" s="135">
        <f>IF(SER_hh_fec!I15=0,0,11630*1000*SER_hh_fec!I15/SER_hh_num!I15)</f>
        <v>712.34437592913594</v>
      </c>
      <c r="J15" s="135">
        <f>IF(SER_hh_fec!J15=0,0,11630*1000*SER_hh_fec!J15/SER_hh_num!J15)</f>
        <v>1212.1098097515926</v>
      </c>
      <c r="K15" s="135">
        <f>IF(SER_hh_fec!K15=0,0,11630*1000*SER_hh_fec!K15/SER_hh_num!K15)</f>
        <v>1147.6719277966563</v>
      </c>
      <c r="L15" s="135">
        <f>IF(SER_hh_fec!L15=0,0,11630*1000*SER_hh_fec!L15/SER_hh_num!L15)</f>
        <v>1247.7681876580655</v>
      </c>
      <c r="M15" s="135">
        <f>IF(SER_hh_fec!M15=0,0,11630*1000*SER_hh_fec!M15/SER_hh_num!M15)</f>
        <v>1155.7455944249105</v>
      </c>
      <c r="N15" s="135">
        <f>IF(SER_hh_fec!N15=0,0,11630*1000*SER_hh_fec!N15/SER_hh_num!N15)</f>
        <v>757.38110496435377</v>
      </c>
      <c r="O15" s="135">
        <f>IF(SER_hh_fec!O15=0,0,11630*1000*SER_hh_fec!O15/SER_hh_num!O15)</f>
        <v>833.46389358764191</v>
      </c>
      <c r="P15" s="135">
        <f>IF(SER_hh_fec!P15=0,0,11630*1000*SER_hh_fec!P15/SER_hh_num!P15)</f>
        <v>663.94246482271501</v>
      </c>
      <c r="Q15" s="135">
        <f>IF(SER_hh_fec!Q15=0,0,11630*1000*SER_hh_fec!Q15/SER_hh_num!Q15)</f>
        <v>774.65645084787707</v>
      </c>
      <c r="R15" s="135">
        <f>IF(SER_hh_fec!R15=0,0,11630*1000*SER_hh_fec!R15/SER_hh_num!R15)</f>
        <v>935.29425327405227</v>
      </c>
      <c r="S15" s="135">
        <f>IF(SER_hh_fec!S15=0,0,11630*1000*SER_hh_fec!S15/SER_hh_num!S15)</f>
        <v>785.35210868573586</v>
      </c>
      <c r="T15" s="135">
        <f>IF(SER_hh_fec!T15=0,0,11630*1000*SER_hh_fec!T15/SER_hh_num!T15)</f>
        <v>724.82219567538766</v>
      </c>
      <c r="U15" s="135">
        <f>IF(SER_hh_fec!U15=0,0,11630*1000*SER_hh_fec!U15/SER_hh_num!U15)</f>
        <v>681.05260687073348</v>
      </c>
      <c r="V15" s="135">
        <f>IF(SER_hh_fec!V15=0,0,11630*1000*SER_hh_fec!V15/SER_hh_num!V15)</f>
        <v>704.24751138041097</v>
      </c>
      <c r="W15" s="135">
        <f>IF(SER_hh_fec!W15=0,0,11630*1000*SER_hh_fec!W15/SER_hh_num!W15)</f>
        <v>571.03411107188458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12535.84268104705</v>
      </c>
      <c r="C16" s="131">
        <f>IF(SER_hh_fec!C16=0,0,11630*1000*SER_hh_fec!C16/SER_hh_num!C16)</f>
        <v>11944.61989418035</v>
      </c>
      <c r="D16" s="131">
        <f>IF(SER_hh_fec!D16=0,0,11630*1000*SER_hh_fec!D16/SER_hh_num!D16)</f>
        <v>11354.851872980016</v>
      </c>
      <c r="E16" s="131">
        <f>IF(SER_hh_fec!E16=0,0,11630*1000*SER_hh_fec!E16/SER_hh_num!E16)</f>
        <v>13838.376456031674</v>
      </c>
      <c r="F16" s="131">
        <f>IF(SER_hh_fec!F16=0,0,11630*1000*SER_hh_fec!F16/SER_hh_num!F16)</f>
        <v>10412.249407666712</v>
      </c>
      <c r="G16" s="131">
        <f>IF(SER_hh_fec!G16=0,0,11630*1000*SER_hh_fec!G16/SER_hh_num!G16)</f>
        <v>10088.183424705903</v>
      </c>
      <c r="H16" s="131">
        <f>IF(SER_hh_fec!H16=0,0,11630*1000*SER_hh_fec!H16/SER_hh_num!H16)</f>
        <v>10315.823271346915</v>
      </c>
      <c r="I16" s="131">
        <f>IF(SER_hh_fec!I16=0,0,11630*1000*SER_hh_fec!I16/SER_hh_num!I16)</f>
        <v>9477.2513428204256</v>
      </c>
      <c r="J16" s="131">
        <f>IF(SER_hh_fec!J16=0,0,11630*1000*SER_hh_fec!J16/SER_hh_num!J16)</f>
        <v>8866.451311748071</v>
      </c>
      <c r="K16" s="131">
        <f>IF(SER_hh_fec!K16=0,0,11630*1000*SER_hh_fec!K16/SER_hh_num!K16)</f>
        <v>8731.4680865906903</v>
      </c>
      <c r="L16" s="131">
        <f>IF(SER_hh_fec!L16=0,0,11630*1000*SER_hh_fec!L16/SER_hh_num!L16)</f>
        <v>8972.2410685532413</v>
      </c>
      <c r="M16" s="131">
        <f>IF(SER_hh_fec!M16=0,0,11630*1000*SER_hh_fec!M16/SER_hh_num!M16)</f>
        <v>8719.6710197616612</v>
      </c>
      <c r="N16" s="131">
        <f>IF(SER_hh_fec!N16=0,0,11630*1000*SER_hh_fec!N16/SER_hh_num!N16)</f>
        <v>9599.1143749884759</v>
      </c>
      <c r="O16" s="131">
        <f>IF(SER_hh_fec!O16=0,0,11630*1000*SER_hh_fec!O16/SER_hh_num!O16)</f>
        <v>9663.1217051842377</v>
      </c>
      <c r="P16" s="131">
        <f>IF(SER_hh_fec!P16=0,0,11630*1000*SER_hh_fec!P16/SER_hh_num!P16)</f>
        <v>7586.8786627138634</v>
      </c>
      <c r="Q16" s="131">
        <f>IF(SER_hh_fec!Q16=0,0,11630*1000*SER_hh_fec!Q16/SER_hh_num!Q16)</f>
        <v>9190.8763681572018</v>
      </c>
      <c r="R16" s="131">
        <f>IF(SER_hh_fec!R16=0,0,11630*1000*SER_hh_fec!R16/SER_hh_num!R16)</f>
        <v>7299.982057121827</v>
      </c>
      <c r="S16" s="131">
        <f>IF(SER_hh_fec!S16=0,0,11630*1000*SER_hh_fec!S16/SER_hh_num!S16)</f>
        <v>8547.0467862230344</v>
      </c>
      <c r="T16" s="131">
        <f>IF(SER_hh_fec!T16=0,0,11630*1000*SER_hh_fec!T16/SER_hh_num!T16)</f>
        <v>7271.5501914710785</v>
      </c>
      <c r="U16" s="131">
        <f>IF(SER_hh_fec!U16=0,0,11630*1000*SER_hh_fec!U16/SER_hh_num!U16)</f>
        <v>7624.8832604334311</v>
      </c>
      <c r="V16" s="131">
        <f>IF(SER_hh_fec!V16=0,0,11630*1000*SER_hh_fec!V16/SER_hh_num!V16)</f>
        <v>6569.5474457509108</v>
      </c>
      <c r="W16" s="131">
        <f>IF(SER_hh_fec!W16=0,0,11630*1000*SER_hh_fec!W16/SER_hh_num!W16)</f>
        <v>7051.8924873968081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12535.84268104705</v>
      </c>
      <c r="C18" s="133">
        <f>IF(SER_hh_fec!C18=0,0,11630*1000*SER_hh_fec!C18/SER_hh_num!C18)</f>
        <v>11944.61989418035</v>
      </c>
      <c r="D18" s="133">
        <f>IF(SER_hh_fec!D18=0,0,11630*1000*SER_hh_fec!D18/SER_hh_num!D18)</f>
        <v>11354.851872980016</v>
      </c>
      <c r="E18" s="133">
        <f>IF(SER_hh_fec!E18=0,0,11630*1000*SER_hh_fec!E18/SER_hh_num!E18)</f>
        <v>13838.376456031674</v>
      </c>
      <c r="F18" s="133">
        <f>IF(SER_hh_fec!F18=0,0,11630*1000*SER_hh_fec!F18/SER_hh_num!F18)</f>
        <v>10412.249407666712</v>
      </c>
      <c r="G18" s="133">
        <f>IF(SER_hh_fec!G18=0,0,11630*1000*SER_hh_fec!G18/SER_hh_num!G18)</f>
        <v>10088.183424705903</v>
      </c>
      <c r="H18" s="133">
        <f>IF(SER_hh_fec!H18=0,0,11630*1000*SER_hh_fec!H18/SER_hh_num!H18)</f>
        <v>10315.823271346915</v>
      </c>
      <c r="I18" s="133">
        <f>IF(SER_hh_fec!I18=0,0,11630*1000*SER_hh_fec!I18/SER_hh_num!I18)</f>
        <v>9477.2513428204256</v>
      </c>
      <c r="J18" s="133">
        <f>IF(SER_hh_fec!J18=0,0,11630*1000*SER_hh_fec!J18/SER_hh_num!J18)</f>
        <v>8866.451311748071</v>
      </c>
      <c r="K18" s="133">
        <f>IF(SER_hh_fec!K18=0,0,11630*1000*SER_hh_fec!K18/SER_hh_num!K18)</f>
        <v>8731.4680865906903</v>
      </c>
      <c r="L18" s="133">
        <f>IF(SER_hh_fec!L18=0,0,11630*1000*SER_hh_fec!L18/SER_hh_num!L18)</f>
        <v>8972.2410685532413</v>
      </c>
      <c r="M18" s="133">
        <f>IF(SER_hh_fec!M18=0,0,11630*1000*SER_hh_fec!M18/SER_hh_num!M18)</f>
        <v>8719.6710197616612</v>
      </c>
      <c r="N18" s="133">
        <f>IF(SER_hh_fec!N18=0,0,11630*1000*SER_hh_fec!N18/SER_hh_num!N18)</f>
        <v>9599.1143749884759</v>
      </c>
      <c r="O18" s="133">
        <f>IF(SER_hh_fec!O18=0,0,11630*1000*SER_hh_fec!O18/SER_hh_num!O18)</f>
        <v>9663.1217051842377</v>
      </c>
      <c r="P18" s="133">
        <f>IF(SER_hh_fec!P18=0,0,11630*1000*SER_hh_fec!P18/SER_hh_num!P18)</f>
        <v>7586.8786627138634</v>
      </c>
      <c r="Q18" s="133">
        <f>IF(SER_hh_fec!Q18=0,0,11630*1000*SER_hh_fec!Q18/SER_hh_num!Q18)</f>
        <v>9190.8763681572018</v>
      </c>
      <c r="R18" s="133">
        <f>IF(SER_hh_fec!R18=0,0,11630*1000*SER_hh_fec!R18/SER_hh_num!R18)</f>
        <v>7299.982057121827</v>
      </c>
      <c r="S18" s="133">
        <f>IF(SER_hh_fec!S18=0,0,11630*1000*SER_hh_fec!S18/SER_hh_num!S18)</f>
        <v>8547.0467862230344</v>
      </c>
      <c r="T18" s="133">
        <f>IF(SER_hh_fec!T18=0,0,11630*1000*SER_hh_fec!T18/SER_hh_num!T18)</f>
        <v>7271.5501914710785</v>
      </c>
      <c r="U18" s="133">
        <f>IF(SER_hh_fec!U18=0,0,11630*1000*SER_hh_fec!U18/SER_hh_num!U18)</f>
        <v>7624.8832604334311</v>
      </c>
      <c r="V18" s="133">
        <f>IF(SER_hh_fec!V18=0,0,11630*1000*SER_hh_fec!V18/SER_hh_num!V18)</f>
        <v>6569.5474457509108</v>
      </c>
      <c r="W18" s="133">
        <f>IF(SER_hh_fec!W18=0,0,11630*1000*SER_hh_fec!W18/SER_hh_num!W18)</f>
        <v>7051.8924873968081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22106.065604346564</v>
      </c>
      <c r="C19" s="131">
        <f>IF(SER_hh_fec!C19=0,0,11630*1000*SER_hh_fec!C19/SER_hh_num!C19)</f>
        <v>21494.041254384938</v>
      </c>
      <c r="D19" s="131">
        <f>IF(SER_hh_fec!D19=0,0,11630*1000*SER_hh_fec!D19/SER_hh_num!D19)</f>
        <v>21020.96328161798</v>
      </c>
      <c r="E19" s="131">
        <f>IF(SER_hh_fec!E19=0,0,11630*1000*SER_hh_fec!E19/SER_hh_num!E19)</f>
        <v>20996.228872060514</v>
      </c>
      <c r="F19" s="131">
        <f>IF(SER_hh_fec!F19=0,0,11630*1000*SER_hh_fec!F19/SER_hh_num!F19)</f>
        <v>20518.743969352046</v>
      </c>
      <c r="G19" s="131">
        <f>IF(SER_hh_fec!G19=0,0,11630*1000*SER_hh_fec!G19/SER_hh_num!G19)</f>
        <v>20330.805649354155</v>
      </c>
      <c r="H19" s="131">
        <f>IF(SER_hh_fec!H19=0,0,11630*1000*SER_hh_fec!H19/SER_hh_num!H19)</f>
        <v>19891.07730055357</v>
      </c>
      <c r="I19" s="131">
        <f>IF(SER_hh_fec!I19=0,0,11630*1000*SER_hh_fec!I19/SER_hh_num!I19)</f>
        <v>19391.43201584394</v>
      </c>
      <c r="J19" s="131">
        <f>IF(SER_hh_fec!J19=0,0,11630*1000*SER_hh_fec!J19/SER_hh_num!J19)</f>
        <v>18946.805681048379</v>
      </c>
      <c r="K19" s="131">
        <f>IF(SER_hh_fec!K19=0,0,11630*1000*SER_hh_fec!K19/SER_hh_num!K19)</f>
        <v>19162.709430440311</v>
      </c>
      <c r="L19" s="131">
        <f>IF(SER_hh_fec!L19=0,0,11630*1000*SER_hh_fec!L19/SER_hh_num!L19)</f>
        <v>19250.404572844058</v>
      </c>
      <c r="M19" s="131">
        <f>IF(SER_hh_fec!M19=0,0,11630*1000*SER_hh_fec!M19/SER_hh_num!M19)</f>
        <v>18700.981842155743</v>
      </c>
      <c r="N19" s="131">
        <f>IF(SER_hh_fec!N19=0,0,11630*1000*SER_hh_fec!N19/SER_hh_num!N19)</f>
        <v>18718.135743096671</v>
      </c>
      <c r="O19" s="131">
        <f>IF(SER_hh_fec!O19=0,0,11630*1000*SER_hh_fec!O19/SER_hh_num!O19)</f>
        <v>18622.381305769482</v>
      </c>
      <c r="P19" s="131">
        <f>IF(SER_hh_fec!P19=0,0,11630*1000*SER_hh_fec!P19/SER_hh_num!P19)</f>
        <v>18764.376345418877</v>
      </c>
      <c r="Q19" s="131">
        <f>IF(SER_hh_fec!Q19=0,0,11630*1000*SER_hh_fec!Q19/SER_hh_num!Q19)</f>
        <v>18960.306561327412</v>
      </c>
      <c r="R19" s="131">
        <f>IF(SER_hh_fec!R19=0,0,11630*1000*SER_hh_fec!R19/SER_hh_num!R19)</f>
        <v>19133.896659144044</v>
      </c>
      <c r="S19" s="131">
        <f>IF(SER_hh_fec!S19=0,0,11630*1000*SER_hh_fec!S19/SER_hh_num!S19)</f>
        <v>18646.613205297432</v>
      </c>
      <c r="T19" s="131">
        <f>IF(SER_hh_fec!T19=0,0,11630*1000*SER_hh_fec!T19/SER_hh_num!T19)</f>
        <v>18304.115050717741</v>
      </c>
      <c r="U19" s="131">
        <f>IF(SER_hh_fec!U19=0,0,11630*1000*SER_hh_fec!U19/SER_hh_num!U19)</f>
        <v>18239.153206028586</v>
      </c>
      <c r="V19" s="131">
        <f>IF(SER_hh_fec!V19=0,0,11630*1000*SER_hh_fec!V19/SER_hh_num!V19)</f>
        <v>17399.548217183947</v>
      </c>
      <c r="W19" s="131">
        <f>IF(SER_hh_fec!W19=0,0,11630*1000*SER_hh_fec!W19/SER_hh_num!W19)</f>
        <v>17201.284479473325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24487.290223003711</v>
      </c>
      <c r="C21" s="133">
        <f>IF(SER_hh_fec!C21=0,0,11630*1000*SER_hh_fec!C21/SER_hh_num!C21)</f>
        <v>21022.955269036229</v>
      </c>
      <c r="D21" s="133">
        <f>IF(SER_hh_fec!D21=0,0,11630*1000*SER_hh_fec!D21/SER_hh_num!D21)</f>
        <v>22455.633600872592</v>
      </c>
      <c r="E21" s="133">
        <f>IF(SER_hh_fec!E21=0,0,11630*1000*SER_hh_fec!E21/SER_hh_num!E21)</f>
        <v>21825.217840964095</v>
      </c>
      <c r="F21" s="133">
        <f>IF(SER_hh_fec!F21=0,0,11630*1000*SER_hh_fec!F21/SER_hh_num!F21)</f>
        <v>21257.993035518462</v>
      </c>
      <c r="G21" s="133">
        <f>IF(SER_hh_fec!G21=0,0,11630*1000*SER_hh_fec!G21/SER_hh_num!G21)</f>
        <v>20913.499597923579</v>
      </c>
      <c r="H21" s="133">
        <f>IF(SER_hh_fec!H21=0,0,11630*1000*SER_hh_fec!H21/SER_hh_num!H21)</f>
        <v>20566.477623445349</v>
      </c>
      <c r="I21" s="133">
        <f>IF(SER_hh_fec!I21=0,0,11630*1000*SER_hh_fec!I21/SER_hh_num!I21)</f>
        <v>20491.019937917943</v>
      </c>
      <c r="J21" s="133">
        <f>IF(SER_hh_fec!J21=0,0,11630*1000*SER_hh_fec!J21/SER_hh_num!J21)</f>
        <v>19854.437953801855</v>
      </c>
      <c r="K21" s="133">
        <f>IF(SER_hh_fec!K21=0,0,11630*1000*SER_hh_fec!K21/SER_hh_num!K21)</f>
        <v>20074.776916311439</v>
      </c>
      <c r="L21" s="133">
        <f>IF(SER_hh_fec!L21=0,0,11630*1000*SER_hh_fec!L21/SER_hh_num!L21)</f>
        <v>20860.778871836974</v>
      </c>
      <c r="M21" s="133">
        <f>IF(SER_hh_fec!M21=0,0,11630*1000*SER_hh_fec!M21/SER_hh_num!M21)</f>
        <v>19732.823998776919</v>
      </c>
      <c r="N21" s="133">
        <f>IF(SER_hh_fec!N21=0,0,11630*1000*SER_hh_fec!N21/SER_hh_num!N21)</f>
        <v>20774.962360315691</v>
      </c>
      <c r="O21" s="133">
        <f>IF(SER_hh_fec!O21=0,0,11630*1000*SER_hh_fec!O21/SER_hh_num!O21)</f>
        <v>20678.545188896707</v>
      </c>
      <c r="P21" s="133">
        <f>IF(SER_hh_fec!P21=0,0,11630*1000*SER_hh_fec!P21/SER_hh_num!P21)</f>
        <v>21185.884742172915</v>
      </c>
      <c r="Q21" s="133">
        <f>IF(SER_hh_fec!Q21=0,0,11630*1000*SER_hh_fec!Q21/SER_hh_num!Q21)</f>
        <v>21236.003621245502</v>
      </c>
      <c r="R21" s="133">
        <f>IF(SER_hh_fec!R21=0,0,11630*1000*SER_hh_fec!R21/SER_hh_num!R21)</f>
        <v>16196.109897211085</v>
      </c>
      <c r="S21" s="133">
        <f>IF(SER_hh_fec!S21=0,0,11630*1000*SER_hh_fec!S21/SER_hh_num!S21)</f>
        <v>17832.185040504108</v>
      </c>
      <c r="T21" s="133">
        <f>IF(SER_hh_fec!T21=0,0,11630*1000*SER_hh_fec!T21/SER_hh_num!T21)</f>
        <v>23013.83683460563</v>
      </c>
      <c r="U21" s="133">
        <f>IF(SER_hh_fec!U21=0,0,11630*1000*SER_hh_fec!U21/SER_hh_num!U21)</f>
        <v>26211.004556381438</v>
      </c>
      <c r="V21" s="133">
        <f>IF(SER_hh_fec!V21=0,0,11630*1000*SER_hh_fec!V21/SER_hh_num!V21)</f>
        <v>20432.654383623936</v>
      </c>
      <c r="W21" s="133">
        <f>IF(SER_hh_fec!W21=0,0,11630*1000*SER_hh_fec!W21/SER_hh_num!W21)</f>
        <v>15733.679965702895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23118.591749858475</v>
      </c>
      <c r="C22" s="133">
        <f>IF(SER_hh_fec!C22=0,0,11630*1000*SER_hh_fec!C22/SER_hh_num!C22)</f>
        <v>24610.441397422848</v>
      </c>
      <c r="D22" s="133">
        <f>IF(SER_hh_fec!D22=0,0,11630*1000*SER_hh_fec!D22/SER_hh_num!D22)</f>
        <v>21815.733138143925</v>
      </c>
      <c r="E22" s="133">
        <f>IF(SER_hh_fec!E22=0,0,11630*1000*SER_hh_fec!E22/SER_hh_num!E22)</f>
        <v>23484.104230466044</v>
      </c>
      <c r="F22" s="133">
        <f>IF(SER_hh_fec!F22=0,0,11630*1000*SER_hh_fec!F22/SER_hh_num!F22)</f>
        <v>22713.977143818509</v>
      </c>
      <c r="G22" s="133">
        <f>IF(SER_hh_fec!G22=0,0,11630*1000*SER_hh_fec!G22/SER_hh_num!G22)</f>
        <v>22167.031648156852</v>
      </c>
      <c r="H22" s="133">
        <f>IF(SER_hh_fec!H22=0,0,11630*1000*SER_hh_fec!H22/SER_hh_num!H22)</f>
        <v>21739.200512582189</v>
      </c>
      <c r="I22" s="133">
        <f>IF(SER_hh_fec!I22=0,0,11630*1000*SER_hh_fec!I22/SER_hh_num!I22)</f>
        <v>21590.994276446432</v>
      </c>
      <c r="J22" s="133">
        <f>IF(SER_hh_fec!J22=0,0,11630*1000*SER_hh_fec!J22/SER_hh_num!J22)</f>
        <v>20528.652112492415</v>
      </c>
      <c r="K22" s="133">
        <f>IF(SER_hh_fec!K22=0,0,11630*1000*SER_hh_fec!K22/SER_hh_num!K22)</f>
        <v>21432.798272848042</v>
      </c>
      <c r="L22" s="133">
        <f>IF(SER_hh_fec!L22=0,0,11630*1000*SER_hh_fec!L22/SER_hh_num!L22)</f>
        <v>22550.039516251709</v>
      </c>
      <c r="M22" s="133">
        <f>IF(SER_hh_fec!M22=0,0,11630*1000*SER_hh_fec!M22/SER_hh_num!M22)</f>
        <v>21077.630812285679</v>
      </c>
      <c r="N22" s="133">
        <f>IF(SER_hh_fec!N22=0,0,11630*1000*SER_hh_fec!N22/SER_hh_num!N22)</f>
        <v>22181.372603018903</v>
      </c>
      <c r="O22" s="133">
        <f>IF(SER_hh_fec!O22=0,0,11630*1000*SER_hh_fec!O22/SER_hh_num!O22)</f>
        <v>21898.951200046489</v>
      </c>
      <c r="P22" s="133">
        <f>IF(SER_hh_fec!P22=0,0,11630*1000*SER_hh_fec!P22/SER_hh_num!P22)</f>
        <v>21392.062695470042</v>
      </c>
      <c r="Q22" s="133">
        <f>IF(SER_hh_fec!Q22=0,0,11630*1000*SER_hh_fec!Q22/SER_hh_num!Q22)</f>
        <v>21354.363881284775</v>
      </c>
      <c r="R22" s="133">
        <f>IF(SER_hh_fec!R22=0,0,11630*1000*SER_hh_fec!R22/SER_hh_num!R22)</f>
        <v>25630.965435407499</v>
      </c>
      <c r="S22" s="133">
        <f>IF(SER_hh_fec!S22=0,0,11630*1000*SER_hh_fec!S22/SER_hh_num!S22)</f>
        <v>20879.157478784258</v>
      </c>
      <c r="T22" s="133">
        <f>IF(SER_hh_fec!T22=0,0,11630*1000*SER_hh_fec!T22/SER_hh_num!T22)</f>
        <v>23342.60084923738</v>
      </c>
      <c r="U22" s="133">
        <f>IF(SER_hh_fec!U22=0,0,11630*1000*SER_hh_fec!U22/SER_hh_num!U22)</f>
        <v>19396.29199502441</v>
      </c>
      <c r="V22" s="133">
        <f>IF(SER_hh_fec!V22=0,0,11630*1000*SER_hh_fec!V22/SER_hh_num!V22)</f>
        <v>20487.267903795582</v>
      </c>
      <c r="W22" s="133">
        <f>IF(SER_hh_fec!W22=0,0,11630*1000*SER_hh_fec!W22/SER_hh_num!W22)</f>
        <v>18497.563869559159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23333.183346655118</v>
      </c>
      <c r="C23" s="133">
        <f>IF(SER_hh_fec!C23=0,0,11630*1000*SER_hh_fec!C23/SER_hh_num!C23)</f>
        <v>23260.832689378101</v>
      </c>
      <c r="D23" s="133">
        <f>IF(SER_hh_fec!D23=0,0,11630*1000*SER_hh_fec!D23/SER_hh_num!D23)</f>
        <v>22164.169437144697</v>
      </c>
      <c r="E23" s="133">
        <f>IF(SER_hh_fec!E23=0,0,11630*1000*SER_hh_fec!E23/SER_hh_num!E23)</f>
        <v>21660.020539231558</v>
      </c>
      <c r="F23" s="133">
        <f>IF(SER_hh_fec!F23=0,0,11630*1000*SER_hh_fec!F23/SER_hh_num!F23)</f>
        <v>21439.716539996036</v>
      </c>
      <c r="G23" s="133">
        <f>IF(SER_hh_fec!G23=0,0,11630*1000*SER_hh_fec!G23/SER_hh_num!G23)</f>
        <v>20902.457487349613</v>
      </c>
      <c r="H23" s="133">
        <f>IF(SER_hh_fec!H23=0,0,11630*1000*SER_hh_fec!H23/SER_hh_num!H23)</f>
        <v>19857.256935411497</v>
      </c>
      <c r="I23" s="133">
        <f>IF(SER_hh_fec!I23=0,0,11630*1000*SER_hh_fec!I23/SER_hh_num!I23)</f>
        <v>18758.448775820667</v>
      </c>
      <c r="J23" s="133">
        <f>IF(SER_hh_fec!J23=0,0,11630*1000*SER_hh_fec!J23/SER_hh_num!J23)</f>
        <v>17166.96081292646</v>
      </c>
      <c r="K23" s="133">
        <f>IF(SER_hh_fec!K23=0,0,11630*1000*SER_hh_fec!K23/SER_hh_num!K23)</f>
        <v>20753.315284898541</v>
      </c>
      <c r="L23" s="133">
        <f>IF(SER_hh_fec!L23=0,0,11630*1000*SER_hh_fec!L23/SER_hh_num!L23)</f>
        <v>20151.117551039744</v>
      </c>
      <c r="M23" s="133">
        <f>IF(SER_hh_fec!M23=0,0,11630*1000*SER_hh_fec!M23/SER_hh_num!M23)</f>
        <v>19038.226974186662</v>
      </c>
      <c r="N23" s="133">
        <f>IF(SER_hh_fec!N23=0,0,11630*1000*SER_hh_fec!N23/SER_hh_num!N23)</f>
        <v>19121.450509481969</v>
      </c>
      <c r="O23" s="133">
        <f>IF(SER_hh_fec!O23=0,0,11630*1000*SER_hh_fec!O23/SER_hh_num!O23)</f>
        <v>19393.671976684025</v>
      </c>
      <c r="P23" s="133">
        <f>IF(SER_hh_fec!P23=0,0,11630*1000*SER_hh_fec!P23/SER_hh_num!P23)</f>
        <v>19540.985889344</v>
      </c>
      <c r="Q23" s="133">
        <f>IF(SER_hh_fec!Q23=0,0,11630*1000*SER_hh_fec!Q23/SER_hh_num!Q23)</f>
        <v>18859.420495353283</v>
      </c>
      <c r="R23" s="133">
        <f>IF(SER_hh_fec!R23=0,0,11630*1000*SER_hh_fec!R23/SER_hh_num!R23)</f>
        <v>24416.63387982544</v>
      </c>
      <c r="S23" s="133">
        <f>IF(SER_hh_fec!S23=0,0,11630*1000*SER_hh_fec!S23/SER_hh_num!S23)</f>
        <v>21418.35212078258</v>
      </c>
      <c r="T23" s="133">
        <f>IF(SER_hh_fec!T23=0,0,11630*1000*SER_hh_fec!T23/SER_hh_num!T23)</f>
        <v>15271.55339780688</v>
      </c>
      <c r="U23" s="133">
        <f>IF(SER_hh_fec!U23=0,0,11630*1000*SER_hh_fec!U23/SER_hh_num!U23)</f>
        <v>20439.413304388741</v>
      </c>
      <c r="V23" s="133">
        <f>IF(SER_hh_fec!V23=0,0,11630*1000*SER_hh_fec!V23/SER_hh_num!V23)</f>
        <v>19572.329678474045</v>
      </c>
      <c r="W23" s="133">
        <f>IF(SER_hh_fec!W23=0,0,11630*1000*SER_hh_fec!W23/SER_hh_num!W23)</f>
        <v>19126.574714569851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14162.492527579225</v>
      </c>
      <c r="C25" s="133">
        <f>IF(SER_hh_fec!C25=0,0,11630*1000*SER_hh_fec!C25/SER_hh_num!C25)</f>
        <v>18427.364272281298</v>
      </c>
      <c r="D25" s="133">
        <f>IF(SER_hh_fec!D25=0,0,11630*1000*SER_hh_fec!D25/SER_hh_num!D25)</f>
        <v>15887.061443615472</v>
      </c>
      <c r="E25" s="133">
        <f>IF(SER_hh_fec!E25=0,0,11630*1000*SER_hh_fec!E25/SER_hh_num!E25)</f>
        <v>14402.824362641833</v>
      </c>
      <c r="F25" s="133">
        <f>IF(SER_hh_fec!F25=0,0,11630*1000*SER_hh_fec!F25/SER_hh_num!F25)</f>
        <v>15205.839289514222</v>
      </c>
      <c r="G25" s="133">
        <f>IF(SER_hh_fec!G25=0,0,11630*1000*SER_hh_fec!G25/SER_hh_num!G25)</f>
        <v>15068.364113250997</v>
      </c>
      <c r="H25" s="133">
        <f>IF(SER_hh_fec!H25=0,0,11630*1000*SER_hh_fec!H25/SER_hh_num!H25)</f>
        <v>13399.267458887907</v>
      </c>
      <c r="I25" s="133">
        <f>IF(SER_hh_fec!I25=0,0,11630*1000*SER_hh_fec!I25/SER_hh_num!I25)</f>
        <v>13846.001488586064</v>
      </c>
      <c r="J25" s="133">
        <f>IF(SER_hh_fec!J25=0,0,11630*1000*SER_hh_fec!J25/SER_hh_num!J25)</f>
        <v>12394.36646081734</v>
      </c>
      <c r="K25" s="133">
        <f>IF(SER_hh_fec!K25=0,0,11630*1000*SER_hh_fec!K25/SER_hh_num!K25)</f>
        <v>13123.540681279666</v>
      </c>
      <c r="L25" s="133">
        <f>IF(SER_hh_fec!L25=0,0,11630*1000*SER_hh_fec!L25/SER_hh_num!L25)</f>
        <v>14011.875282276189</v>
      </c>
      <c r="M25" s="133">
        <f>IF(SER_hh_fec!M25=0,0,11630*1000*SER_hh_fec!M25/SER_hh_num!M25)</f>
        <v>14379.984240426696</v>
      </c>
      <c r="N25" s="133">
        <f>IF(SER_hh_fec!N25=0,0,11630*1000*SER_hh_fec!N25/SER_hh_num!N25)</f>
        <v>14397.97876031114</v>
      </c>
      <c r="O25" s="133">
        <f>IF(SER_hh_fec!O25=0,0,11630*1000*SER_hh_fec!O25/SER_hh_num!O25)</f>
        <v>14637.842532672434</v>
      </c>
      <c r="P25" s="133">
        <f>IF(SER_hh_fec!P25=0,0,11630*1000*SER_hh_fec!P25/SER_hh_num!P25)</f>
        <v>15325.121646108981</v>
      </c>
      <c r="Q25" s="133">
        <f>IF(SER_hh_fec!Q25=0,0,11630*1000*SER_hh_fec!Q25/SER_hh_num!Q25)</f>
        <v>15007.27890189499</v>
      </c>
      <c r="R25" s="133">
        <f>IF(SER_hh_fec!R25=0,0,11630*1000*SER_hh_fec!R25/SER_hh_num!R25)</f>
        <v>13879.181779174785</v>
      </c>
      <c r="S25" s="133">
        <f>IF(SER_hh_fec!S25=0,0,11630*1000*SER_hh_fec!S25/SER_hh_num!S25)</f>
        <v>15840.665834713463</v>
      </c>
      <c r="T25" s="133">
        <f>IF(SER_hh_fec!T25=0,0,11630*1000*SER_hh_fec!T25/SER_hh_num!T25)</f>
        <v>16651.378367656776</v>
      </c>
      <c r="U25" s="133">
        <f>IF(SER_hh_fec!U25=0,0,11630*1000*SER_hh_fec!U25/SER_hh_num!U25)</f>
        <v>14438.31729428658</v>
      </c>
      <c r="V25" s="133">
        <f>IF(SER_hh_fec!V25=0,0,11630*1000*SER_hh_fec!V25/SER_hh_num!V25)</f>
        <v>14739.679368567084</v>
      </c>
      <c r="W25" s="133">
        <f>IF(SER_hh_fec!W25=0,0,11630*1000*SER_hh_fec!W25/SER_hh_num!W25)</f>
        <v>16483.322147317798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19224.856045840075</v>
      </c>
      <c r="C26" s="65">
        <f>IF(SER_hh_fec!C26=0,0,11630*1000*SER_hh_fec!C26/SER_hh_num!C26)</f>
        <v>15746.611855913148</v>
      </c>
      <c r="D26" s="65">
        <f>IF(SER_hh_fec!D26=0,0,11630*1000*SER_hh_fec!D26/SER_hh_num!D26)</f>
        <v>19063.503258837583</v>
      </c>
      <c r="E26" s="65">
        <f>IF(SER_hh_fec!E26=0,0,11630*1000*SER_hh_fec!E26/SER_hh_num!E26)</f>
        <v>16663.804078092249</v>
      </c>
      <c r="F26" s="65">
        <f>IF(SER_hh_fec!F26=0,0,11630*1000*SER_hh_fec!F26/SER_hh_num!F26)</f>
        <v>15975.833928210863</v>
      </c>
      <c r="G26" s="65">
        <f>IF(SER_hh_fec!G26=0,0,11630*1000*SER_hh_fec!G26/SER_hh_num!G26)</f>
        <v>17403.987764935377</v>
      </c>
      <c r="H26" s="65">
        <f>IF(SER_hh_fec!H26=0,0,11630*1000*SER_hh_fec!H26/SER_hh_num!H26)</f>
        <v>17493.023168828546</v>
      </c>
      <c r="I26" s="65">
        <f>IF(SER_hh_fec!I26=0,0,11630*1000*SER_hh_fec!I26/SER_hh_num!I26)</f>
        <v>15397.561262608493</v>
      </c>
      <c r="J26" s="65">
        <f>IF(SER_hh_fec!J26=0,0,11630*1000*SER_hh_fec!J26/SER_hh_num!J26)</f>
        <v>17515.994962179593</v>
      </c>
      <c r="K26" s="65">
        <f>IF(SER_hh_fec!K26=0,0,11630*1000*SER_hh_fec!K26/SER_hh_num!K26)</f>
        <v>16590.951124143146</v>
      </c>
      <c r="L26" s="65">
        <f>IF(SER_hh_fec!L26=0,0,11630*1000*SER_hh_fec!L26/SER_hh_num!L26)</f>
        <v>15576.650952017839</v>
      </c>
      <c r="M26" s="65">
        <f>IF(SER_hh_fec!M26=0,0,11630*1000*SER_hh_fec!M26/SER_hh_num!M26)</f>
        <v>17367.466748238265</v>
      </c>
      <c r="N26" s="65">
        <f>IF(SER_hh_fec!N26=0,0,11630*1000*SER_hh_fec!N26/SER_hh_num!N26)</f>
        <v>16728.300463154254</v>
      </c>
      <c r="O26" s="65">
        <f>IF(SER_hh_fec!O26=0,0,11630*1000*SER_hh_fec!O26/SER_hh_num!O26)</f>
        <v>17371.066807558123</v>
      </c>
      <c r="P26" s="65">
        <f>IF(SER_hh_fec!P26=0,0,11630*1000*SER_hh_fec!P26/SER_hh_num!P26)</f>
        <v>17944.897554096766</v>
      </c>
      <c r="Q26" s="65">
        <f>IF(SER_hh_fec!Q26=0,0,11630*1000*SER_hh_fec!Q26/SER_hh_num!Q26)</f>
        <v>18736.951971696595</v>
      </c>
      <c r="R26" s="65">
        <f>IF(SER_hh_fec!R26=0,0,11630*1000*SER_hh_fec!R26/SER_hh_num!R26)</f>
        <v>19199.671231441884</v>
      </c>
      <c r="S26" s="65">
        <f>IF(SER_hh_fec!S26=0,0,11630*1000*SER_hh_fec!S26/SER_hh_num!S26)</f>
        <v>19027.256179367618</v>
      </c>
      <c r="T26" s="65">
        <f>IF(SER_hh_fec!T26=0,0,11630*1000*SER_hh_fec!T26/SER_hh_num!T26)</f>
        <v>15766.380868673343</v>
      </c>
      <c r="U26" s="65">
        <f>IF(SER_hh_fec!U26=0,0,11630*1000*SER_hh_fec!U26/SER_hh_num!U26)</f>
        <v>16408.164196095986</v>
      </c>
      <c r="V26" s="65">
        <f>IF(SER_hh_fec!V26=0,0,11630*1000*SER_hh_fec!V26/SER_hh_num!V26)</f>
        <v>16224.37208956078</v>
      </c>
      <c r="W26" s="65">
        <f>IF(SER_hh_fec!W26=0,0,11630*1000*SER_hh_fec!W26/SER_hh_num!W26)</f>
        <v>17427.350591037117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23496.520808109981</v>
      </c>
      <c r="C29" s="131">
        <f>IF(SER_hh_fec!C29=0,0,11630*1000*SER_hh_fec!C29/SER_hh_num!C29)</f>
        <v>24936.048077591899</v>
      </c>
      <c r="D29" s="131">
        <f>IF(SER_hh_fec!D29=0,0,11630*1000*SER_hh_fec!D29/SER_hh_num!D29)</f>
        <v>22674.049873780888</v>
      </c>
      <c r="E29" s="131">
        <f>IF(SER_hh_fec!E29=0,0,11630*1000*SER_hh_fec!E29/SER_hh_num!E29)</f>
        <v>21114.032229233781</v>
      </c>
      <c r="F29" s="131">
        <f>IF(SER_hh_fec!F29=0,0,11630*1000*SER_hh_fec!F29/SER_hh_num!F29)</f>
        <v>20699.672411786014</v>
      </c>
      <c r="G29" s="131">
        <f>IF(SER_hh_fec!G29=0,0,11630*1000*SER_hh_fec!G29/SER_hh_num!G29)</f>
        <v>20013.115196530282</v>
      </c>
      <c r="H29" s="131">
        <f>IF(SER_hh_fec!H29=0,0,11630*1000*SER_hh_fec!H29/SER_hh_num!H29)</f>
        <v>19157.414918021623</v>
      </c>
      <c r="I29" s="131">
        <f>IF(SER_hh_fec!I29=0,0,11630*1000*SER_hh_fec!I29/SER_hh_num!I29)</f>
        <v>19674.141552972273</v>
      </c>
      <c r="J29" s="131">
        <f>IF(SER_hh_fec!J29=0,0,11630*1000*SER_hh_fec!J29/SER_hh_num!J29)</f>
        <v>18159.403642599107</v>
      </c>
      <c r="K29" s="131">
        <f>IF(SER_hh_fec!K29=0,0,11630*1000*SER_hh_fec!K29/SER_hh_num!K29)</f>
        <v>18695.718072990443</v>
      </c>
      <c r="L29" s="131">
        <f>IF(SER_hh_fec!L29=0,0,11630*1000*SER_hh_fec!L29/SER_hh_num!L29)</f>
        <v>19271.076799102557</v>
      </c>
      <c r="M29" s="131">
        <f>IF(SER_hh_fec!M29=0,0,11630*1000*SER_hh_fec!M29/SER_hh_num!M29)</f>
        <v>18481.427422296681</v>
      </c>
      <c r="N29" s="131">
        <f>IF(SER_hh_fec!N29=0,0,11630*1000*SER_hh_fec!N29/SER_hh_num!N29)</f>
        <v>19712.177021157007</v>
      </c>
      <c r="O29" s="131">
        <f>IF(SER_hh_fec!O29=0,0,11630*1000*SER_hh_fec!O29/SER_hh_num!O29)</f>
        <v>19535.190064012666</v>
      </c>
      <c r="P29" s="131">
        <f>IF(SER_hh_fec!P29=0,0,11630*1000*SER_hh_fec!P29/SER_hh_num!P29)</f>
        <v>20162.801072353173</v>
      </c>
      <c r="Q29" s="131">
        <f>IF(SER_hh_fec!Q29=0,0,11630*1000*SER_hh_fec!Q29/SER_hh_num!Q29)</f>
        <v>21356.778990937164</v>
      </c>
      <c r="R29" s="131">
        <f>IF(SER_hh_fec!R29=0,0,11630*1000*SER_hh_fec!R29/SER_hh_num!R29)</f>
        <v>21854.903607652774</v>
      </c>
      <c r="S29" s="131">
        <f>IF(SER_hh_fec!S29=0,0,11630*1000*SER_hh_fec!S29/SER_hh_num!S29)</f>
        <v>22031.955323848102</v>
      </c>
      <c r="T29" s="131">
        <f>IF(SER_hh_fec!T29=0,0,11630*1000*SER_hh_fec!T29/SER_hh_num!T29)</f>
        <v>22098.575795035697</v>
      </c>
      <c r="U29" s="131">
        <f>IF(SER_hh_fec!U29=0,0,11630*1000*SER_hh_fec!U29/SER_hh_num!U29)</f>
        <v>22688.786104579758</v>
      </c>
      <c r="V29" s="131">
        <f>IF(SER_hh_fec!V29=0,0,11630*1000*SER_hh_fec!V29/SER_hh_num!V29)</f>
        <v>21098.419670331717</v>
      </c>
      <c r="W29" s="131">
        <f>IF(SER_hh_fec!W29=0,0,11630*1000*SER_hh_fec!W29/SER_hh_num!W29)</f>
        <v>20601.141477641926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27201.527949568848</v>
      </c>
      <c r="C30" s="133">
        <f>IF(SER_hh_fec!C30=0,0,11630*1000*SER_hh_fec!C30/SER_hh_num!C30)</f>
        <v>30170.628469265095</v>
      </c>
      <c r="D30" s="133">
        <f>IF(SER_hh_fec!D30=0,0,11630*1000*SER_hh_fec!D30/SER_hh_num!D30)</f>
        <v>21145.45719026298</v>
      </c>
      <c r="E30" s="133">
        <f>IF(SER_hh_fec!E30=0,0,11630*1000*SER_hh_fec!E30/SER_hh_num!E30)</f>
        <v>17619.331997233057</v>
      </c>
      <c r="F30" s="133">
        <f>IF(SER_hh_fec!F30=0,0,11630*1000*SER_hh_fec!F30/SER_hh_num!F30)</f>
        <v>26185.419464252587</v>
      </c>
      <c r="G30" s="133">
        <f>IF(SER_hh_fec!G30=0,0,11630*1000*SER_hh_fec!G30/SER_hh_num!G30)</f>
        <v>22532.494685969908</v>
      </c>
      <c r="H30" s="133">
        <f>IF(SER_hh_fec!H30=0,0,11630*1000*SER_hh_fec!H30/SER_hh_num!H30)</f>
        <v>15378.156211549174</v>
      </c>
      <c r="I30" s="133">
        <f>IF(SER_hh_fec!I30=0,0,11630*1000*SER_hh_fec!I30/SER_hh_num!I30)</f>
        <v>32607.108299822394</v>
      </c>
      <c r="J30" s="133">
        <f>IF(SER_hh_fec!J30=0,0,11630*1000*SER_hh_fec!J30/SER_hh_num!J30)</f>
        <v>19754.325858174663</v>
      </c>
      <c r="K30" s="133">
        <f>IF(SER_hh_fec!K30=0,0,11630*1000*SER_hh_fec!K30/SER_hh_num!K30)</f>
        <v>21902.143047646721</v>
      </c>
      <c r="L30" s="133">
        <f>IF(SER_hh_fec!L30=0,0,11630*1000*SER_hh_fec!L30/SER_hh_num!L30)</f>
        <v>29755.837180009705</v>
      </c>
      <c r="M30" s="133">
        <f>IF(SER_hh_fec!M30=0,0,11630*1000*SER_hh_fec!M30/SER_hh_num!M30)</f>
        <v>14252.363620121047</v>
      </c>
      <c r="N30" s="133">
        <f>IF(SER_hh_fec!N30=0,0,11630*1000*SER_hh_fec!N30/SER_hh_num!N30)</f>
        <v>27806.392448570299</v>
      </c>
      <c r="O30" s="133">
        <f>IF(SER_hh_fec!O30=0,0,11630*1000*SER_hh_fec!O30/SER_hh_num!O30)</f>
        <v>22627.214100275993</v>
      </c>
      <c r="P30" s="133">
        <f>IF(SER_hh_fec!P30=0,0,11630*1000*SER_hh_fec!P30/SER_hh_num!P30)</f>
        <v>23830.388057857883</v>
      </c>
      <c r="Q30" s="133">
        <f>IF(SER_hh_fec!Q30=0,0,11630*1000*SER_hh_fec!Q30/SER_hh_num!Q30)</f>
        <v>27505.543707424786</v>
      </c>
      <c r="R30" s="133">
        <f>IF(SER_hh_fec!R30=0,0,11630*1000*SER_hh_fec!R30/SER_hh_num!R30)</f>
        <v>23590.0951192793</v>
      </c>
      <c r="S30" s="133">
        <f>IF(SER_hh_fec!S30=0,0,11630*1000*SER_hh_fec!S30/SER_hh_num!S30)</f>
        <v>24660.808005292285</v>
      </c>
      <c r="T30" s="133">
        <f>IF(SER_hh_fec!T30=0,0,11630*1000*SER_hh_fec!T30/SER_hh_num!T30)</f>
        <v>27654.040187076975</v>
      </c>
      <c r="U30" s="133">
        <f>IF(SER_hh_fec!U30=0,0,11630*1000*SER_hh_fec!U30/SER_hh_num!U30)</f>
        <v>32245.263786084412</v>
      </c>
      <c r="V30" s="133">
        <f>IF(SER_hh_fec!V30=0,0,11630*1000*SER_hh_fec!V30/SER_hh_num!V30)</f>
        <v>27177.196776113517</v>
      </c>
      <c r="W30" s="133">
        <f>IF(SER_hh_fec!W30=0,0,11630*1000*SER_hh_fec!W30/SER_hh_num!W30)</f>
        <v>20142.048710707579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3512.4922373922132</v>
      </c>
      <c r="C31" s="133">
        <f>IF(SER_hh_fec!C31=0,0,11630*1000*SER_hh_fec!C31/SER_hh_num!C31)</f>
        <v>33784.919733597715</v>
      </c>
      <c r="D31" s="133">
        <f>IF(SER_hh_fec!D31=0,0,11630*1000*SER_hh_fec!D31/SER_hh_num!D31)</f>
        <v>30761.64712419908</v>
      </c>
      <c r="E31" s="133">
        <f>IF(SER_hh_fec!E31=0,0,11630*1000*SER_hh_fec!E31/SER_hh_num!E31)</f>
        <v>25546.277872444778</v>
      </c>
      <c r="F31" s="133">
        <f>IF(SER_hh_fec!F31=0,0,11630*1000*SER_hh_fec!F31/SER_hh_num!F31)</f>
        <v>27646.626631368861</v>
      </c>
      <c r="G31" s="133">
        <f>IF(SER_hh_fec!G31=0,0,11630*1000*SER_hh_fec!G31/SER_hh_num!G31)</f>
        <v>24894.229445683002</v>
      </c>
      <c r="H31" s="133">
        <f>IF(SER_hh_fec!H31=0,0,11630*1000*SER_hh_fec!H31/SER_hh_num!H31)</f>
        <v>17697.88021690429</v>
      </c>
      <c r="I31" s="133">
        <f>IF(SER_hh_fec!I31=0,0,11630*1000*SER_hh_fec!I31/SER_hh_num!I31)</f>
        <v>18173.598194463084</v>
      </c>
      <c r="J31" s="133">
        <f>IF(SER_hh_fec!J31=0,0,11630*1000*SER_hh_fec!J31/SER_hh_num!J31)</f>
        <v>9370.0592488929306</v>
      </c>
      <c r="K31" s="133">
        <f>IF(SER_hh_fec!K31=0,0,11630*1000*SER_hh_fec!K31/SER_hh_num!K31)</f>
        <v>26515.377788975362</v>
      </c>
      <c r="L31" s="133">
        <f>IF(SER_hh_fec!L31=0,0,11630*1000*SER_hh_fec!L31/SER_hh_num!L31)</f>
        <v>23901.106745800505</v>
      </c>
      <c r="M31" s="133">
        <f>IF(SER_hh_fec!M31=0,0,11630*1000*SER_hh_fec!M31/SER_hh_num!M31)</f>
        <v>22652.352379502194</v>
      </c>
      <c r="N31" s="133">
        <f>IF(SER_hh_fec!N31=0,0,11630*1000*SER_hh_fec!N31/SER_hh_num!N31)</f>
        <v>18853.386406088797</v>
      </c>
      <c r="O31" s="133">
        <f>IF(SER_hh_fec!O31=0,0,11630*1000*SER_hh_fec!O31/SER_hh_num!O31)</f>
        <v>21702.873705695347</v>
      </c>
      <c r="P31" s="133">
        <f>IF(SER_hh_fec!P31=0,0,11630*1000*SER_hh_fec!P31/SER_hh_num!P31)</f>
        <v>26390.462862556287</v>
      </c>
      <c r="Q31" s="133">
        <f>IF(SER_hh_fec!Q31=0,0,11630*1000*SER_hh_fec!Q31/SER_hh_num!Q31)</f>
        <v>26224.38643053882</v>
      </c>
      <c r="R31" s="133">
        <f>IF(SER_hh_fec!R31=0,0,11630*1000*SER_hh_fec!R31/SER_hh_num!R31)</f>
        <v>33818.720822556046</v>
      </c>
      <c r="S31" s="133">
        <f>IF(SER_hh_fec!S31=0,0,11630*1000*SER_hh_fec!S31/SER_hh_num!S31)</f>
        <v>28569.522655494733</v>
      </c>
      <c r="T31" s="133">
        <f>IF(SER_hh_fec!T31=0,0,11630*1000*SER_hh_fec!T31/SER_hh_num!T31)</f>
        <v>20266.397962875708</v>
      </c>
      <c r="U31" s="133">
        <f>IF(SER_hh_fec!U31=0,0,11630*1000*SER_hh_fec!U31/SER_hh_num!U31)</f>
        <v>27384.452987236687</v>
      </c>
      <c r="V31" s="133">
        <f>IF(SER_hh_fec!V31=0,0,11630*1000*SER_hh_fec!V31/SER_hh_num!V31)</f>
        <v>26537.155923860741</v>
      </c>
      <c r="W31" s="133">
        <f>IF(SER_hh_fec!W31=0,0,11630*1000*SER_hh_fec!W31/SER_hh_num!W31)</f>
        <v>24954.979437926995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21160.514674004829</v>
      </c>
      <c r="C33" s="68">
        <f>IF(SER_hh_fec!C33=0,0,11630*1000*SER_hh_fec!C33/SER_hh_num!C33)</f>
        <v>15598.524257611311</v>
      </c>
      <c r="D33" s="68">
        <f>IF(SER_hh_fec!D33=0,0,11630*1000*SER_hh_fec!D33/SER_hh_num!D33)</f>
        <v>21218.423573804794</v>
      </c>
      <c r="E33" s="68">
        <f>IF(SER_hh_fec!E33=0,0,11630*1000*SER_hh_fec!E33/SER_hh_num!E33)</f>
        <v>21171.562784104412</v>
      </c>
      <c r="F33" s="68">
        <f>IF(SER_hh_fec!F33=0,0,11630*1000*SER_hh_fec!F33/SER_hh_num!F33)</f>
        <v>18101.214965045725</v>
      </c>
      <c r="G33" s="68">
        <f>IF(SER_hh_fec!G33=0,0,11630*1000*SER_hh_fec!G33/SER_hh_num!G33)</f>
        <v>18773.238357482311</v>
      </c>
      <c r="H33" s="68">
        <f>IF(SER_hh_fec!H33=0,0,11630*1000*SER_hh_fec!H33/SER_hh_num!H33)</f>
        <v>20242.260825001391</v>
      </c>
      <c r="I33" s="68">
        <f>IF(SER_hh_fec!I33=0,0,11630*1000*SER_hh_fec!I33/SER_hh_num!I33)</f>
        <v>15300.130645609361</v>
      </c>
      <c r="J33" s="68">
        <f>IF(SER_hh_fec!J33=0,0,11630*1000*SER_hh_fec!J33/SER_hh_num!J33)</f>
        <v>18077.272602407807</v>
      </c>
      <c r="K33" s="68">
        <f>IF(SER_hh_fec!K33=0,0,11630*1000*SER_hh_fec!K33/SER_hh_num!K33)</f>
        <v>17117.887227968051</v>
      </c>
      <c r="L33" s="68">
        <f>IF(SER_hh_fec!L33=0,0,11630*1000*SER_hh_fec!L33/SER_hh_num!L33)</f>
        <v>15313.267223202207</v>
      </c>
      <c r="M33" s="68">
        <f>IF(SER_hh_fec!M33=0,0,11630*1000*SER_hh_fec!M33/SER_hh_num!M33)</f>
        <v>19333.169228571423</v>
      </c>
      <c r="N33" s="68">
        <f>IF(SER_hh_fec!N33=0,0,11630*1000*SER_hh_fec!N33/SER_hh_num!N33)</f>
        <v>17570.867735143358</v>
      </c>
      <c r="O33" s="68">
        <f>IF(SER_hh_fec!O33=0,0,11630*1000*SER_hh_fec!O33/SER_hh_num!O33)</f>
        <v>18536.917929657429</v>
      </c>
      <c r="P33" s="68">
        <f>IF(SER_hh_fec!P33=0,0,11630*1000*SER_hh_fec!P33/SER_hh_num!P33)</f>
        <v>18268.134081758122</v>
      </c>
      <c r="Q33" s="68">
        <f>IF(SER_hh_fec!Q33=0,0,11630*1000*SER_hh_fec!Q33/SER_hh_num!Q33)</f>
        <v>18937.709905722222</v>
      </c>
      <c r="R33" s="68">
        <f>IF(SER_hh_fec!R33=0,0,11630*1000*SER_hh_fec!R33/SER_hh_num!R33)</f>
        <v>19231.948681779337</v>
      </c>
      <c r="S33" s="68">
        <f>IF(SER_hh_fec!S33=0,0,11630*1000*SER_hh_fec!S33/SER_hh_num!S33)</f>
        <v>20250.756258836835</v>
      </c>
      <c r="T33" s="68">
        <f>IF(SER_hh_fec!T33=0,0,11630*1000*SER_hh_fec!T33/SER_hh_num!T33)</f>
        <v>20611.167300931815</v>
      </c>
      <c r="U33" s="68">
        <f>IF(SER_hh_fec!U33=0,0,11630*1000*SER_hh_fec!U33/SER_hh_num!U33)</f>
        <v>19034.678472437026</v>
      </c>
      <c r="V33" s="68">
        <f>IF(SER_hh_fec!V33=0,0,11630*1000*SER_hh_fec!V33/SER_hh_num!V33)</f>
        <v>18614.549887505065</v>
      </c>
      <c r="W33" s="68">
        <f>IF(SER_hh_fec!W33=0,0,11630*1000*SER_hh_fec!W33/SER_hh_num!W33)</f>
        <v>20407.54064690369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168784.63390352411</v>
      </c>
      <c r="C3" s="126">
        <f>IF(SER_hh_tes!C3=0,0,11630*1000*SER_hh_tes!C3/SER_hh_num!C3)</f>
        <v>217168.68847245877</v>
      </c>
      <c r="D3" s="126">
        <f>IF(SER_hh_tes!D3=0,0,11630*1000*SER_hh_tes!D3/SER_hh_num!D3)</f>
        <v>209087.27438532069</v>
      </c>
      <c r="E3" s="126">
        <f>IF(SER_hh_tes!E3=0,0,11630*1000*SER_hh_tes!E3/SER_hh_num!E3)</f>
        <v>135688.5671651233</v>
      </c>
      <c r="F3" s="126">
        <f>IF(SER_hh_tes!F3=0,0,11630*1000*SER_hh_tes!F3/SER_hh_num!F3)</f>
        <v>143870.07343562719</v>
      </c>
      <c r="G3" s="126">
        <f>IF(SER_hh_tes!G3=0,0,11630*1000*SER_hh_tes!G3/SER_hh_num!G3)</f>
        <v>118252.66516412102</v>
      </c>
      <c r="H3" s="126">
        <f>IF(SER_hh_tes!H3=0,0,11630*1000*SER_hh_tes!H3/SER_hh_num!H3)</f>
        <v>103683.92535786777</v>
      </c>
      <c r="I3" s="126">
        <f>IF(SER_hh_tes!I3=0,0,11630*1000*SER_hh_tes!I3/SER_hh_num!I3)</f>
        <v>83011.913698094562</v>
      </c>
      <c r="J3" s="126">
        <f>IF(SER_hh_tes!J3=0,0,11630*1000*SER_hh_tes!J3/SER_hh_num!J3)</f>
        <v>110366.08417332229</v>
      </c>
      <c r="K3" s="126">
        <f>IF(SER_hh_tes!K3=0,0,11630*1000*SER_hh_tes!K3/SER_hh_num!K3)</f>
        <v>109355.38186639054</v>
      </c>
      <c r="L3" s="126">
        <f>IF(SER_hh_tes!L3=0,0,11630*1000*SER_hh_tes!L3/SER_hh_num!L3)</f>
        <v>122827.62719682565</v>
      </c>
      <c r="M3" s="126">
        <f>IF(SER_hh_tes!M3=0,0,11630*1000*SER_hh_tes!M3/SER_hh_num!M3)</f>
        <v>122261.59874507906</v>
      </c>
      <c r="N3" s="126">
        <f>IF(SER_hh_tes!N3=0,0,11630*1000*SER_hh_tes!N3/SER_hh_num!N3)</f>
        <v>105164.72123505115</v>
      </c>
      <c r="O3" s="126">
        <f>IF(SER_hh_tes!O3=0,0,11630*1000*SER_hh_tes!O3/SER_hh_num!O3)</f>
        <v>109236.32125700456</v>
      </c>
      <c r="P3" s="126">
        <f>IF(SER_hh_tes!P3=0,0,11630*1000*SER_hh_tes!P3/SER_hh_num!P3)</f>
        <v>95372.711581525189</v>
      </c>
      <c r="Q3" s="126">
        <f>IF(SER_hh_tes!Q3=0,0,11630*1000*SER_hh_tes!Q3/SER_hh_num!Q3)</f>
        <v>103511.36857221156</v>
      </c>
      <c r="R3" s="126">
        <f>IF(SER_hh_tes!R3=0,0,11630*1000*SER_hh_tes!R3/SER_hh_num!R3)</f>
        <v>110946.61419694911</v>
      </c>
      <c r="S3" s="126">
        <f>IF(SER_hh_tes!S3=0,0,11630*1000*SER_hh_tes!S3/SER_hh_num!S3)</f>
        <v>112016.70379019728</v>
      </c>
      <c r="T3" s="126">
        <f>IF(SER_hh_tes!T3=0,0,11630*1000*SER_hh_tes!T3/SER_hh_num!T3)</f>
        <v>111367.81102628322</v>
      </c>
      <c r="U3" s="126">
        <f>IF(SER_hh_tes!U3=0,0,11630*1000*SER_hh_tes!U3/SER_hh_num!U3)</f>
        <v>107285.48581545596</v>
      </c>
      <c r="V3" s="126">
        <f>IF(SER_hh_tes!V3=0,0,11630*1000*SER_hh_tes!V3/SER_hh_num!V3)</f>
        <v>98332.352382214143</v>
      </c>
      <c r="W3" s="126">
        <f>IF(SER_hh_tes!W3=0,0,11630*1000*SER_hh_tes!W3/SER_hh_num!W3)</f>
        <v>99374.809204330493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137024.19701363947</v>
      </c>
      <c r="C4" s="131">
        <f>IF(SER_hh_tes!C4=0,0,11630*1000*SER_hh_tes!C4/SER_hh_num!C4)</f>
        <v>184895.37471970808</v>
      </c>
      <c r="D4" s="131">
        <f>IF(SER_hh_tes!D4=0,0,11630*1000*SER_hh_tes!D4/SER_hh_num!D4)</f>
        <v>177112.21954376227</v>
      </c>
      <c r="E4" s="131">
        <f>IF(SER_hh_tes!E4=0,0,11630*1000*SER_hh_tes!E4/SER_hh_num!E4)</f>
        <v>103067.29096296769</v>
      </c>
      <c r="F4" s="131">
        <f>IF(SER_hh_tes!F4=0,0,11630*1000*SER_hh_tes!F4/SER_hh_num!F4)</f>
        <v>112709.30162166807</v>
      </c>
      <c r="G4" s="131">
        <f>IF(SER_hh_tes!G4=0,0,11630*1000*SER_hh_tes!G4/SER_hh_num!G4)</f>
        <v>87052.318766069715</v>
      </c>
      <c r="H4" s="131">
        <f>IF(SER_hh_tes!H4=0,0,11630*1000*SER_hh_tes!H4/SER_hh_num!H4)</f>
        <v>72222.319571121872</v>
      </c>
      <c r="I4" s="131">
        <f>IF(SER_hh_tes!I4=0,0,11630*1000*SER_hh_tes!I4/SER_hh_num!I4)</f>
        <v>52141.70479385792</v>
      </c>
      <c r="J4" s="131">
        <f>IF(SER_hh_tes!J4=0,0,11630*1000*SER_hh_tes!J4/SER_hh_num!J4)</f>
        <v>79811.948339678813</v>
      </c>
      <c r="K4" s="131">
        <f>IF(SER_hh_tes!K4=0,0,11630*1000*SER_hh_tes!K4/SER_hh_num!K4)</f>
        <v>78133.542476266521</v>
      </c>
      <c r="L4" s="131">
        <f>IF(SER_hh_tes!L4=0,0,11630*1000*SER_hh_tes!L4/SER_hh_num!L4)</f>
        <v>90691.368150724418</v>
      </c>
      <c r="M4" s="131">
        <f>IF(SER_hh_tes!M4=0,0,11630*1000*SER_hh_tes!M4/SER_hh_num!M4)</f>
        <v>89603.030536763603</v>
      </c>
      <c r="N4" s="131">
        <f>IF(SER_hh_tes!N4=0,0,11630*1000*SER_hh_tes!N4/SER_hh_num!N4)</f>
        <v>70768.571040666386</v>
      </c>
      <c r="O4" s="131">
        <f>IF(SER_hh_tes!O4=0,0,11630*1000*SER_hh_tes!O4/SER_hh_num!O4)</f>
        <v>73990.135890844729</v>
      </c>
      <c r="P4" s="131">
        <f>IF(SER_hh_tes!P4=0,0,11630*1000*SER_hh_tes!P4/SER_hh_num!P4)</f>
        <v>60817.71225880969</v>
      </c>
      <c r="Q4" s="131">
        <f>IF(SER_hh_tes!Q4=0,0,11630*1000*SER_hh_tes!Q4/SER_hh_num!Q4)</f>
        <v>66058.810142326067</v>
      </c>
      <c r="R4" s="131">
        <f>IF(SER_hh_tes!R4=0,0,11630*1000*SER_hh_tes!R4/SER_hh_num!R4)</f>
        <v>74197.980735329198</v>
      </c>
      <c r="S4" s="131">
        <f>IF(SER_hh_tes!S4=0,0,11630*1000*SER_hh_tes!S4/SER_hh_num!S4)</f>
        <v>73488.207394241792</v>
      </c>
      <c r="T4" s="131">
        <f>IF(SER_hh_tes!T4=0,0,11630*1000*SER_hh_tes!T4/SER_hh_num!T4)</f>
        <v>73769.86856175249</v>
      </c>
      <c r="U4" s="131">
        <f>IF(SER_hh_tes!U4=0,0,11630*1000*SER_hh_tes!U4/SER_hh_num!U4)</f>
        <v>68706.445024079279</v>
      </c>
      <c r="V4" s="131">
        <f>IF(SER_hh_tes!V4=0,0,11630*1000*SER_hh_tes!V4/SER_hh_num!V4)</f>
        <v>61834.381953701864</v>
      </c>
      <c r="W4" s="131">
        <f>IF(SER_hh_tes!W4=0,0,11630*1000*SER_hh_tes!W4/SER_hh_num!W4)</f>
        <v>61662.802387004158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131190.95459478564</v>
      </c>
      <c r="C7" s="133">
        <f>IF(SER_hh_tes!C7=0,0,11630*1000*SER_hh_tes!C7/SER_hh_num!C7)</f>
        <v>194855.17446807784</v>
      </c>
      <c r="D7" s="133">
        <f>IF(SER_hh_tes!D7=0,0,11630*1000*SER_hh_tes!D7/SER_hh_num!D7)</f>
        <v>155594.37013001277</v>
      </c>
      <c r="E7" s="133">
        <f>IF(SER_hh_tes!E7=0,0,11630*1000*SER_hh_tes!E7/SER_hh_num!E7)</f>
        <v>108219.73978424439</v>
      </c>
      <c r="F7" s="133">
        <f>IF(SER_hh_tes!F7=0,0,11630*1000*SER_hh_tes!F7/SER_hh_num!F7)</f>
        <v>103132.21997217067</v>
      </c>
      <c r="G7" s="133">
        <f>IF(SER_hh_tes!G7=0,0,11630*1000*SER_hh_tes!G7/SER_hh_num!G7)</f>
        <v>93121.259925932929</v>
      </c>
      <c r="H7" s="133">
        <f>IF(SER_hh_tes!H7=0,0,11630*1000*SER_hh_tes!H7/SER_hh_num!H7)</f>
        <v>75081.827671102481</v>
      </c>
      <c r="I7" s="133">
        <f>IF(SER_hh_tes!I7=0,0,11630*1000*SER_hh_tes!I7/SER_hh_num!I7)</f>
        <v>44744.828512524989</v>
      </c>
      <c r="J7" s="133">
        <f>IF(SER_hh_tes!J7=0,0,11630*1000*SER_hh_tes!J7/SER_hh_num!J7)</f>
        <v>80942.721672874395</v>
      </c>
      <c r="K7" s="133">
        <f>IF(SER_hh_tes!K7=0,0,11630*1000*SER_hh_tes!K7/SER_hh_num!K7)</f>
        <v>77024.977970343054</v>
      </c>
      <c r="L7" s="133">
        <f>IF(SER_hh_tes!L7=0,0,11630*1000*SER_hh_tes!L7/SER_hh_num!L7)</f>
        <v>91670.044565840813</v>
      </c>
      <c r="M7" s="133">
        <f>IF(SER_hh_tes!M7=0,0,11630*1000*SER_hh_tes!M7/SER_hh_num!M7)</f>
        <v>84392.270078965157</v>
      </c>
      <c r="N7" s="133">
        <f>IF(SER_hh_tes!N7=0,0,11630*1000*SER_hh_tes!N7/SER_hh_num!N7)</f>
        <v>68925.514163451371</v>
      </c>
      <c r="O7" s="133">
        <f>IF(SER_hh_tes!O7=0,0,11630*1000*SER_hh_tes!O7/SER_hh_num!O7)</f>
        <v>71760.288379822858</v>
      </c>
      <c r="P7" s="133">
        <f>IF(SER_hh_tes!P7=0,0,11630*1000*SER_hh_tes!P7/SER_hh_num!P7)</f>
        <v>55705.631766988605</v>
      </c>
      <c r="Q7" s="133">
        <f>IF(SER_hh_tes!Q7=0,0,11630*1000*SER_hh_tes!Q7/SER_hh_num!Q7)</f>
        <v>64214.958951889406</v>
      </c>
      <c r="R7" s="133">
        <f>IF(SER_hh_tes!R7=0,0,11630*1000*SER_hh_tes!R7/SER_hh_num!R7)</f>
        <v>78837.375439279742</v>
      </c>
      <c r="S7" s="133">
        <f>IF(SER_hh_tes!S7=0,0,11630*1000*SER_hh_tes!S7/SER_hh_num!S7)</f>
        <v>64824.173035945569</v>
      </c>
      <c r="T7" s="133">
        <f>IF(SER_hh_tes!T7=0,0,11630*1000*SER_hh_tes!T7/SER_hh_num!T7)</f>
        <v>72856.245435327131</v>
      </c>
      <c r="U7" s="133">
        <f>IF(SER_hh_tes!U7=0,0,11630*1000*SER_hh_tes!U7/SER_hh_num!U7)</f>
        <v>63991.355553298337</v>
      </c>
      <c r="V7" s="133">
        <f>IF(SER_hh_tes!V7=0,0,11630*1000*SER_hh_tes!V7/SER_hh_num!V7)</f>
        <v>75115.231714200563</v>
      </c>
      <c r="W7" s="133">
        <f>IF(SER_hh_tes!W7=0,0,11630*1000*SER_hh_tes!W7/SER_hh_num!W7)</f>
        <v>53312.79330340906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77157.91400772921</v>
      </c>
      <c r="C9" s="133">
        <f>IF(SER_hh_tes!C9=0,0,11630*1000*SER_hh_tes!C9/SER_hh_num!C9)</f>
        <v>205757.82618044602</v>
      </c>
      <c r="D9" s="133">
        <f>IF(SER_hh_tes!D9=0,0,11630*1000*SER_hh_tes!D9/SER_hh_num!D9)</f>
        <v>203578.38592265491</v>
      </c>
      <c r="E9" s="133">
        <f>IF(SER_hh_tes!E9=0,0,11630*1000*SER_hh_tes!E9/SER_hh_num!E9)</f>
        <v>98159.07894690767</v>
      </c>
      <c r="F9" s="133">
        <f>IF(SER_hh_tes!F9=0,0,11630*1000*SER_hh_tes!F9/SER_hh_num!F9)</f>
        <v>135209.56598092403</v>
      </c>
      <c r="G9" s="133">
        <f>IF(SER_hh_tes!G9=0,0,11630*1000*SER_hh_tes!G9/SER_hh_num!G9)</f>
        <v>74399.975560716863</v>
      </c>
      <c r="H9" s="133">
        <f>IF(SER_hh_tes!H9=0,0,11630*1000*SER_hh_tes!H9/SER_hh_num!H9)</f>
        <v>54514.517274710968</v>
      </c>
      <c r="I9" s="133">
        <f>IF(SER_hh_tes!I9=0,0,11630*1000*SER_hh_tes!I9/SER_hh_num!I9)</f>
        <v>54479.604176270739</v>
      </c>
      <c r="J9" s="133">
        <f>IF(SER_hh_tes!J9=0,0,11630*1000*SER_hh_tes!J9/SER_hh_num!J9)</f>
        <v>62768.557033446334</v>
      </c>
      <c r="K9" s="133">
        <f>IF(SER_hh_tes!K9=0,0,11630*1000*SER_hh_tes!K9/SER_hh_num!K9)</f>
        <v>69571.886227799681</v>
      </c>
      <c r="L9" s="133">
        <f>IF(SER_hh_tes!L9=0,0,11630*1000*SER_hh_tes!L9/SER_hh_num!L9)</f>
        <v>84845.507016917341</v>
      </c>
      <c r="M9" s="133">
        <f>IF(SER_hh_tes!M9=0,0,11630*1000*SER_hh_tes!M9/SER_hh_num!M9)</f>
        <v>122283.0113103496</v>
      </c>
      <c r="N9" s="133">
        <f>IF(SER_hh_tes!N9=0,0,11630*1000*SER_hh_tes!N9/SER_hh_num!N9)</f>
        <v>34805.901628686341</v>
      </c>
      <c r="O9" s="133">
        <f>IF(SER_hh_tes!O9=0,0,11630*1000*SER_hh_tes!O9/SER_hh_num!O9)</f>
        <v>71320.264811705085</v>
      </c>
      <c r="P9" s="133">
        <f>IF(SER_hh_tes!P9=0,0,11630*1000*SER_hh_tes!P9/SER_hh_num!P9)</f>
        <v>59630.353035539556</v>
      </c>
      <c r="Q9" s="133">
        <f>IF(SER_hh_tes!Q9=0,0,11630*1000*SER_hh_tes!Q9/SER_hh_num!Q9)</f>
        <v>71455.052950492522</v>
      </c>
      <c r="R9" s="133">
        <f>IF(SER_hh_tes!R9=0,0,11630*1000*SER_hh_tes!R9/SER_hh_num!R9)</f>
        <v>89426.695069144058</v>
      </c>
      <c r="S9" s="133">
        <f>IF(SER_hh_tes!S9=0,0,11630*1000*SER_hh_tes!S9/SER_hh_num!S9)</f>
        <v>76462.863274136995</v>
      </c>
      <c r="T9" s="133">
        <f>IF(SER_hh_tes!T9=0,0,11630*1000*SER_hh_tes!T9/SER_hh_num!T9)</f>
        <v>53449.107889024708</v>
      </c>
      <c r="U9" s="133">
        <f>IF(SER_hh_tes!U9=0,0,11630*1000*SER_hh_tes!U9/SER_hh_num!U9)</f>
        <v>67476.064146534671</v>
      </c>
      <c r="V9" s="133">
        <f>IF(SER_hh_tes!V9=0,0,11630*1000*SER_hh_tes!V9/SER_hh_num!V9)</f>
        <v>62412.733543786759</v>
      </c>
      <c r="W9" s="133">
        <f>IF(SER_hh_tes!W9=0,0,11630*1000*SER_hh_tes!W9/SER_hh_num!W9)</f>
        <v>54854.507646480633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107879.24570005783</v>
      </c>
      <c r="C10" s="133">
        <f>IF(SER_hh_tes!C10=0,0,11630*1000*SER_hh_tes!C10/SER_hh_num!C10)</f>
        <v>194651.27966254202</v>
      </c>
      <c r="D10" s="133">
        <f>IF(SER_hh_tes!D10=0,0,11630*1000*SER_hh_tes!D10/SER_hh_num!D10)</f>
        <v>194059.80032754768</v>
      </c>
      <c r="E10" s="133">
        <f>IF(SER_hh_tes!E10=0,0,11630*1000*SER_hh_tes!E10/SER_hh_num!E10)</f>
        <v>84372.105932201637</v>
      </c>
      <c r="F10" s="133">
        <f>IF(SER_hh_tes!F10=0,0,11630*1000*SER_hh_tes!F10/SER_hh_num!F10)</f>
        <v>99330.75008567168</v>
      </c>
      <c r="G10" s="133">
        <f>IF(SER_hh_tes!G10=0,0,11630*1000*SER_hh_tes!G10/SER_hh_num!G10)</f>
        <v>148338.4684478424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0</v>
      </c>
      <c r="O10" s="133">
        <f>IF(SER_hh_tes!O10=0,0,11630*1000*SER_hh_tes!O10/SER_hh_num!O10)</f>
        <v>0</v>
      </c>
      <c r="P10" s="133">
        <f>IF(SER_hh_tes!P10=0,0,11630*1000*SER_hh_tes!P10/SER_hh_num!P10)</f>
        <v>0</v>
      </c>
      <c r="Q10" s="133">
        <f>IF(SER_hh_tes!Q10=0,0,11630*1000*SER_hh_tes!Q10/SER_hh_num!Q10)</f>
        <v>0</v>
      </c>
      <c r="R10" s="133">
        <f>IF(SER_hh_tes!R10=0,0,11630*1000*SER_hh_tes!R10/SER_hh_num!R10)</f>
        <v>0</v>
      </c>
      <c r="S10" s="133">
        <f>IF(SER_hh_tes!S10=0,0,11630*1000*SER_hh_tes!S10/SER_hh_num!S10)</f>
        <v>0</v>
      </c>
      <c r="T10" s="133">
        <f>IF(SER_hh_tes!T10=0,0,11630*1000*SER_hh_tes!T10/SER_hh_num!T10)</f>
        <v>0</v>
      </c>
      <c r="U10" s="133">
        <f>IF(SER_hh_tes!U10=0,0,11630*1000*SER_hh_tes!U10/SER_hh_num!U10)</f>
        <v>0</v>
      </c>
      <c r="V10" s="133">
        <f>IF(SER_hh_tes!V10=0,0,11630*1000*SER_hh_tes!V10/SER_hh_num!V10)</f>
        <v>0</v>
      </c>
      <c r="W10" s="133">
        <f>IF(SER_hh_tes!W10=0,0,11630*1000*SER_hh_tes!W10/SER_hh_num!W10)</f>
        <v>0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129948.00497543594</v>
      </c>
      <c r="M11" s="133">
        <f>IF(SER_hh_tes!M11=0,0,11630*1000*SER_hh_tes!M11/SER_hh_num!M11)</f>
        <v>102888.74961326763</v>
      </c>
      <c r="N11" s="133">
        <f>IF(SER_hh_tes!N11=0,0,11630*1000*SER_hh_tes!N11/SER_hh_num!N11)</f>
        <v>67905.999855594913</v>
      </c>
      <c r="O11" s="133">
        <f>IF(SER_hh_tes!O11=0,0,11630*1000*SER_hh_tes!O11/SER_hh_num!O11)</f>
        <v>70148.194112973055</v>
      </c>
      <c r="P11" s="133">
        <f>IF(SER_hh_tes!P11=0,0,11630*1000*SER_hh_tes!P11/SER_hh_num!P11)</f>
        <v>71037.076816726156</v>
      </c>
      <c r="Q11" s="133">
        <f>IF(SER_hh_tes!Q11=0,0,11630*1000*SER_hh_tes!Q11/SER_hh_num!Q11)</f>
        <v>55373.922832028096</v>
      </c>
      <c r="R11" s="133">
        <f>IF(SER_hh_tes!R11=0,0,11630*1000*SER_hh_tes!R11/SER_hh_num!R11)</f>
        <v>59397.146906555732</v>
      </c>
      <c r="S11" s="133">
        <f>IF(SER_hh_tes!S11=0,0,11630*1000*SER_hh_tes!S11/SER_hh_num!S11)</f>
        <v>77883.184554675754</v>
      </c>
      <c r="T11" s="133">
        <f>IF(SER_hh_tes!T11=0,0,11630*1000*SER_hh_tes!T11/SER_hh_num!T11)</f>
        <v>72096.857733863857</v>
      </c>
      <c r="U11" s="133">
        <f>IF(SER_hh_tes!U11=0,0,11630*1000*SER_hh_tes!U11/SER_hh_num!U11)</f>
        <v>76947.027194304261</v>
      </c>
      <c r="V11" s="133">
        <f>IF(SER_hh_tes!V11=0,0,11630*1000*SER_hh_tes!V11/SER_hh_num!V11)</f>
        <v>54624.503032744346</v>
      </c>
      <c r="W11" s="133">
        <f>IF(SER_hh_tes!W11=0,0,11630*1000*SER_hh_tes!W11/SER_hh_num!W11)</f>
        <v>53111.93526458057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154369.11635706609</v>
      </c>
      <c r="C12" s="133">
        <f>IF(SER_hh_tes!C12=0,0,11630*1000*SER_hh_tes!C12/SER_hh_num!C12)</f>
        <v>162564.18428159735</v>
      </c>
      <c r="D12" s="133">
        <f>IF(SER_hh_tes!D12=0,0,11630*1000*SER_hh_tes!D12/SER_hh_num!D12)</f>
        <v>175039.76947070271</v>
      </c>
      <c r="E12" s="133">
        <f>IF(SER_hh_tes!E12=0,0,11630*1000*SER_hh_tes!E12/SER_hh_num!E12)</f>
        <v>95819.935246758643</v>
      </c>
      <c r="F12" s="133">
        <f>IF(SER_hh_tes!F12=0,0,11630*1000*SER_hh_tes!F12/SER_hh_num!F12)</f>
        <v>109260.57407063287</v>
      </c>
      <c r="G12" s="133">
        <f>IF(SER_hh_tes!G12=0,0,11630*1000*SER_hh_tes!G12/SER_hh_num!G12)</f>
        <v>74552.679958923414</v>
      </c>
      <c r="H12" s="133">
        <f>IF(SER_hh_tes!H12=0,0,11630*1000*SER_hh_tes!H12/SER_hh_num!H12)</f>
        <v>90512.545371910615</v>
      </c>
      <c r="I12" s="133">
        <f>IF(SER_hh_tes!I12=0,0,11630*1000*SER_hh_tes!I12/SER_hh_num!I12)</f>
        <v>52929.622671145691</v>
      </c>
      <c r="J12" s="133">
        <f>IF(SER_hh_tes!J12=0,0,11630*1000*SER_hh_tes!J12/SER_hh_num!J12)</f>
        <v>52458.129883002359</v>
      </c>
      <c r="K12" s="133">
        <f>IF(SER_hh_tes!K12=0,0,11630*1000*SER_hh_tes!K12/SER_hh_num!K12)</f>
        <v>78782.260102153974</v>
      </c>
      <c r="L12" s="133">
        <f>IF(SER_hh_tes!L12=0,0,11630*1000*SER_hh_tes!L12/SER_hh_num!L12)</f>
        <v>89119.191040688733</v>
      </c>
      <c r="M12" s="133">
        <f>IF(SER_hh_tes!M12=0,0,11630*1000*SER_hh_tes!M12/SER_hh_num!M12)</f>
        <v>84826.428062135936</v>
      </c>
      <c r="N12" s="133">
        <f>IF(SER_hh_tes!N12=0,0,11630*1000*SER_hh_tes!N12/SER_hh_num!N12)</f>
        <v>77460.755451862438</v>
      </c>
      <c r="O12" s="133">
        <f>IF(SER_hh_tes!O12=0,0,11630*1000*SER_hh_tes!O12/SER_hh_num!O12)</f>
        <v>78586.984645387463</v>
      </c>
      <c r="P12" s="133">
        <f>IF(SER_hh_tes!P12=0,0,11630*1000*SER_hh_tes!P12/SER_hh_num!P12)</f>
        <v>58751.904738458601</v>
      </c>
      <c r="Q12" s="133">
        <f>IF(SER_hh_tes!Q12=0,0,11630*1000*SER_hh_tes!Q12/SER_hh_num!Q12)</f>
        <v>67811.44069890627</v>
      </c>
      <c r="R12" s="133">
        <f>IF(SER_hh_tes!R12=0,0,11630*1000*SER_hh_tes!R12/SER_hh_num!R12)</f>
        <v>65748.12692675335</v>
      </c>
      <c r="S12" s="133">
        <f>IF(SER_hh_tes!S12=0,0,11630*1000*SER_hh_tes!S12/SER_hh_num!S12)</f>
        <v>75392.249893398024</v>
      </c>
      <c r="T12" s="133">
        <f>IF(SER_hh_tes!T12=0,0,11630*1000*SER_hh_tes!T12/SER_hh_num!T12)</f>
        <v>77374.377000023378</v>
      </c>
      <c r="U12" s="133">
        <f>IF(SER_hh_tes!U12=0,0,11630*1000*SER_hh_tes!U12/SER_hh_num!U12)</f>
        <v>63451.013408031184</v>
      </c>
      <c r="V12" s="133">
        <f>IF(SER_hh_tes!V12=0,0,11630*1000*SER_hh_tes!V12/SER_hh_num!V12)</f>
        <v>60614.081310780195</v>
      </c>
      <c r="W12" s="133">
        <f>IF(SER_hh_tes!W12=0,0,11630*1000*SER_hh_tes!W12/SER_hh_num!W12)</f>
        <v>69205.009054345501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144141.44159385847</v>
      </c>
      <c r="C14" s="65">
        <f>IF(SER_hh_tes!C14=0,0,11630*1000*SER_hh_tes!C14/SER_hh_num!C14)</f>
        <v>161298.39510896394</v>
      </c>
      <c r="D14" s="65">
        <f>IF(SER_hh_tes!D14=0,0,11630*1000*SER_hh_tes!D14/SER_hh_num!D14)</f>
        <v>197846.37800419008</v>
      </c>
      <c r="E14" s="65">
        <f>IF(SER_hh_tes!E14=0,0,11630*1000*SER_hh_tes!E14/SER_hh_num!E14)</f>
        <v>93646.060900894925</v>
      </c>
      <c r="F14" s="65">
        <f>IF(SER_hh_tes!F14=0,0,11630*1000*SER_hh_tes!F14/SER_hh_num!F14)</f>
        <v>118745.08654386639</v>
      </c>
      <c r="G14" s="65">
        <f>IF(SER_hh_tes!G14=0,0,11630*1000*SER_hh_tes!G14/SER_hh_num!G14)</f>
        <v>80405.300798506229</v>
      </c>
      <c r="H14" s="65">
        <f>IF(SER_hh_tes!H14=0,0,11630*1000*SER_hh_tes!H14/SER_hh_num!H14)</f>
        <v>61185.282321029401</v>
      </c>
      <c r="I14" s="65">
        <f>IF(SER_hh_tes!I14=0,0,11630*1000*SER_hh_tes!I14/SER_hh_num!I14)</f>
        <v>60599.996883459353</v>
      </c>
      <c r="J14" s="65">
        <f>IF(SER_hh_tes!J14=0,0,11630*1000*SER_hh_tes!J14/SER_hh_num!J14)</f>
        <v>85212.119493760198</v>
      </c>
      <c r="K14" s="65">
        <f>IF(SER_hh_tes!K14=0,0,11630*1000*SER_hh_tes!K14/SER_hh_num!K14)</f>
        <v>78680.643328178718</v>
      </c>
      <c r="L14" s="65">
        <f>IF(SER_hh_tes!L14=0,0,11630*1000*SER_hh_tes!L14/SER_hh_num!L14)</f>
        <v>83772.566874851866</v>
      </c>
      <c r="M14" s="65">
        <f>IF(SER_hh_tes!M14=0,0,11630*1000*SER_hh_tes!M14/SER_hh_num!M14)</f>
        <v>85566.113174551763</v>
      </c>
      <c r="N14" s="65">
        <f>IF(SER_hh_tes!N14=0,0,11630*1000*SER_hh_tes!N14/SER_hh_num!N14)</f>
        <v>75833.527635096485</v>
      </c>
      <c r="O14" s="65">
        <f>IF(SER_hh_tes!O14=0,0,11630*1000*SER_hh_tes!O14/SER_hh_num!O14)</f>
        <v>73090.96923272498</v>
      </c>
      <c r="P14" s="65">
        <f>IF(SER_hh_tes!P14=0,0,11630*1000*SER_hh_tes!P14/SER_hh_num!P14)</f>
        <v>63097.430965074687</v>
      </c>
      <c r="Q14" s="65">
        <f>IF(SER_hh_tes!Q14=0,0,11630*1000*SER_hh_tes!Q14/SER_hh_num!Q14)</f>
        <v>64097.975325931875</v>
      </c>
      <c r="R14" s="65">
        <f>IF(SER_hh_tes!R14=0,0,11630*1000*SER_hh_tes!R14/SER_hh_num!R14)</f>
        <v>69209.42040791281</v>
      </c>
      <c r="S14" s="65">
        <f>IF(SER_hh_tes!S14=0,0,11630*1000*SER_hh_tes!S14/SER_hh_num!S14)</f>
        <v>74187.716545268704</v>
      </c>
      <c r="T14" s="65">
        <f>IF(SER_hh_tes!T14=0,0,11630*1000*SER_hh_tes!T14/SER_hh_num!T14)</f>
        <v>77159.795602329235</v>
      </c>
      <c r="U14" s="65">
        <f>IF(SER_hh_tes!U14=0,0,11630*1000*SER_hh_tes!U14/SER_hh_num!U14)</f>
        <v>71819.354310367984</v>
      </c>
      <c r="V14" s="65">
        <f>IF(SER_hh_tes!V14=0,0,11630*1000*SER_hh_tes!V14/SER_hh_num!V14)</f>
        <v>56230.17609186974</v>
      </c>
      <c r="W14" s="65">
        <f>IF(SER_hh_tes!W14=0,0,11630*1000*SER_hh_tes!W14/SER_hh_num!W14)</f>
        <v>63434.084984960056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2009.0631386870434</v>
      </c>
      <c r="C15" s="135">
        <f>IF(SER_hh_tes!C15=0,0,11630*1000*SER_hh_tes!C15/SER_hh_num!C15)</f>
        <v>3159.411584639849</v>
      </c>
      <c r="D15" s="135">
        <f>IF(SER_hh_tes!D15=0,0,11630*1000*SER_hh_tes!D15/SER_hh_num!D15)</f>
        <v>2716.2239447772236</v>
      </c>
      <c r="E15" s="135">
        <f>IF(SER_hh_tes!E15=0,0,11630*1000*SER_hh_tes!E15/SER_hh_num!E15)</f>
        <v>1743.0262803465937</v>
      </c>
      <c r="F15" s="135">
        <f>IF(SER_hh_tes!F15=0,0,11630*1000*SER_hh_tes!F15/SER_hh_num!F15)</f>
        <v>1765.4327124701372</v>
      </c>
      <c r="G15" s="135">
        <f>IF(SER_hh_tes!G15=0,0,11630*1000*SER_hh_tes!G15/SER_hh_num!G15)</f>
        <v>1437.2646567951001</v>
      </c>
      <c r="H15" s="135">
        <f>IF(SER_hh_tes!H15=0,0,11630*1000*SER_hh_tes!H15/SER_hh_num!H15)</f>
        <v>1152.3675738506231</v>
      </c>
      <c r="I15" s="135">
        <f>IF(SER_hh_tes!I15=0,0,11630*1000*SER_hh_tes!I15/SER_hh_num!I15)</f>
        <v>712.34437592913594</v>
      </c>
      <c r="J15" s="135">
        <f>IF(SER_hh_tes!J15=0,0,11630*1000*SER_hh_tes!J15/SER_hh_num!J15)</f>
        <v>1212.1098097515926</v>
      </c>
      <c r="K15" s="135">
        <f>IF(SER_hh_tes!K15=0,0,11630*1000*SER_hh_tes!K15/SER_hh_num!K15)</f>
        <v>1147.6719277966563</v>
      </c>
      <c r="L15" s="135">
        <f>IF(SER_hh_tes!L15=0,0,11630*1000*SER_hh_tes!L15/SER_hh_num!L15)</f>
        <v>1247.7681876580655</v>
      </c>
      <c r="M15" s="135">
        <f>IF(SER_hh_tes!M15=0,0,11630*1000*SER_hh_tes!M15/SER_hh_num!M15)</f>
        <v>1155.7455944249105</v>
      </c>
      <c r="N15" s="135">
        <f>IF(SER_hh_tes!N15=0,0,11630*1000*SER_hh_tes!N15/SER_hh_num!N15)</f>
        <v>757.38110496435377</v>
      </c>
      <c r="O15" s="135">
        <f>IF(SER_hh_tes!O15=0,0,11630*1000*SER_hh_tes!O15/SER_hh_num!O15)</f>
        <v>833.46389358764191</v>
      </c>
      <c r="P15" s="135">
        <f>IF(SER_hh_tes!P15=0,0,11630*1000*SER_hh_tes!P15/SER_hh_num!P15)</f>
        <v>663.94246482271501</v>
      </c>
      <c r="Q15" s="135">
        <f>IF(SER_hh_tes!Q15=0,0,11630*1000*SER_hh_tes!Q15/SER_hh_num!Q15)</f>
        <v>774.65645084787707</v>
      </c>
      <c r="R15" s="135">
        <f>IF(SER_hh_tes!R15=0,0,11630*1000*SER_hh_tes!R15/SER_hh_num!R15)</f>
        <v>935.29425327405227</v>
      </c>
      <c r="S15" s="135">
        <f>IF(SER_hh_tes!S15=0,0,11630*1000*SER_hh_tes!S15/SER_hh_num!S15)</f>
        <v>785.35210868573586</v>
      </c>
      <c r="T15" s="135">
        <f>IF(SER_hh_tes!T15=0,0,11630*1000*SER_hh_tes!T15/SER_hh_num!T15)</f>
        <v>724.82219567538766</v>
      </c>
      <c r="U15" s="135">
        <f>IF(SER_hh_tes!U15=0,0,11630*1000*SER_hh_tes!U15/SER_hh_num!U15)</f>
        <v>681.05260687073348</v>
      </c>
      <c r="V15" s="135">
        <f>IF(SER_hh_tes!V15=0,0,11630*1000*SER_hh_tes!V15/SER_hh_num!V15)</f>
        <v>704.24751138041097</v>
      </c>
      <c r="W15" s="135">
        <f>IF(SER_hh_tes!W15=0,0,11630*1000*SER_hh_tes!W15/SER_hh_num!W15)</f>
        <v>571.03411107188458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22007.311569674192</v>
      </c>
      <c r="C16" s="131">
        <f>IF(SER_hh_tes!C16=0,0,11630*1000*SER_hh_tes!C16/SER_hh_num!C16)</f>
        <v>21716.922559189763</v>
      </c>
      <c r="D16" s="131">
        <f>IF(SER_hh_tes!D16=0,0,11630*1000*SER_hh_tes!D16/SER_hh_num!D16)</f>
        <v>21575.587632553143</v>
      </c>
      <c r="E16" s="131">
        <f>IF(SER_hh_tes!E16=0,0,11630*1000*SER_hh_tes!E16/SER_hh_num!E16)</f>
        <v>27347.951570247144</v>
      </c>
      <c r="F16" s="131">
        <f>IF(SER_hh_tes!F16=0,0,11630*1000*SER_hh_tes!F16/SER_hh_num!F16)</f>
        <v>21465.604011854306</v>
      </c>
      <c r="G16" s="131">
        <f>IF(SER_hh_tes!G16=0,0,11630*1000*SER_hh_tes!G16/SER_hh_num!G16)</f>
        <v>21692.696343405045</v>
      </c>
      <c r="H16" s="131">
        <f>IF(SER_hh_tes!H16=0,0,11630*1000*SER_hh_tes!H16/SER_hh_num!H16)</f>
        <v>23256.886555379435</v>
      </c>
      <c r="I16" s="131">
        <f>IF(SER_hh_tes!I16=0,0,11630*1000*SER_hh_tes!I16/SER_hh_num!I16)</f>
        <v>22399.516249498745</v>
      </c>
      <c r="J16" s="131">
        <f>IF(SER_hh_tes!J16=0,0,11630*1000*SER_hh_tes!J16/SER_hh_num!J16)</f>
        <v>21920.703195455637</v>
      </c>
      <c r="K16" s="131">
        <f>IF(SER_hh_tes!K16=0,0,11630*1000*SER_hh_tes!K16/SER_hh_num!K16)</f>
        <v>21884.157268415911</v>
      </c>
      <c r="L16" s="131">
        <f>IF(SER_hh_tes!L16=0,0,11630*1000*SER_hh_tes!L16/SER_hh_num!L16)</f>
        <v>22954.963118962583</v>
      </c>
      <c r="M16" s="131">
        <f>IF(SER_hh_tes!M16=0,0,11630*1000*SER_hh_tes!M16/SER_hh_num!M16)</f>
        <v>22921.555149383843</v>
      </c>
      <c r="N16" s="131">
        <f>IF(SER_hh_tes!N16=0,0,11630*1000*SER_hh_tes!N16/SER_hh_num!N16)</f>
        <v>25935.749724619116</v>
      </c>
      <c r="O16" s="131">
        <f>IF(SER_hh_tes!O16=0,0,11630*1000*SER_hh_tes!O16/SER_hh_num!O16)</f>
        <v>26900.164484736753</v>
      </c>
      <c r="P16" s="131">
        <f>IF(SER_hh_tes!P16=0,0,11630*1000*SER_hh_tes!P16/SER_hh_num!P16)</f>
        <v>21840.493161171606</v>
      </c>
      <c r="Q16" s="131">
        <f>IF(SER_hh_tes!Q16=0,0,11630*1000*SER_hh_tes!Q16/SER_hh_num!Q16)</f>
        <v>27363.822481868207</v>
      </c>
      <c r="R16" s="131">
        <f>IF(SER_hh_tes!R16=0,0,11630*1000*SER_hh_tes!R16/SER_hh_num!R16)</f>
        <v>22558.039346328151</v>
      </c>
      <c r="S16" s="131">
        <f>IF(SER_hh_tes!S16=0,0,11630*1000*SER_hh_tes!S16/SER_hh_num!S16)</f>
        <v>27263.144686229592</v>
      </c>
      <c r="T16" s="131">
        <f>IF(SER_hh_tes!T16=0,0,11630*1000*SER_hh_tes!T16/SER_hh_num!T16)</f>
        <v>23868.96340404982</v>
      </c>
      <c r="U16" s="131">
        <f>IF(SER_hh_tes!U16=0,0,11630*1000*SER_hh_tes!U16/SER_hh_num!U16)</f>
        <v>25610.510558632279</v>
      </c>
      <c r="V16" s="131">
        <f>IF(SER_hh_tes!V16=0,0,11630*1000*SER_hh_tes!V16/SER_hh_num!V16)</f>
        <v>22615.749806643285</v>
      </c>
      <c r="W16" s="131">
        <f>IF(SER_hh_tes!W16=0,0,11630*1000*SER_hh_tes!W16/SER_hh_num!W16)</f>
        <v>24850.647195571357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22007.311569674192</v>
      </c>
      <c r="C18" s="133">
        <f>IF(SER_hh_tes!C18=0,0,11630*1000*SER_hh_tes!C18/SER_hh_num!C18)</f>
        <v>21716.922559189763</v>
      </c>
      <c r="D18" s="133">
        <f>IF(SER_hh_tes!D18=0,0,11630*1000*SER_hh_tes!D18/SER_hh_num!D18)</f>
        <v>21575.587632553143</v>
      </c>
      <c r="E18" s="133">
        <f>IF(SER_hh_tes!E18=0,0,11630*1000*SER_hh_tes!E18/SER_hh_num!E18)</f>
        <v>27347.951570247144</v>
      </c>
      <c r="F18" s="133">
        <f>IF(SER_hh_tes!F18=0,0,11630*1000*SER_hh_tes!F18/SER_hh_num!F18)</f>
        <v>21465.604011854306</v>
      </c>
      <c r="G18" s="133">
        <f>IF(SER_hh_tes!G18=0,0,11630*1000*SER_hh_tes!G18/SER_hh_num!G18)</f>
        <v>21692.696343405045</v>
      </c>
      <c r="H18" s="133">
        <f>IF(SER_hh_tes!H18=0,0,11630*1000*SER_hh_tes!H18/SER_hh_num!H18)</f>
        <v>23256.886555379435</v>
      </c>
      <c r="I18" s="133">
        <f>IF(SER_hh_tes!I18=0,0,11630*1000*SER_hh_tes!I18/SER_hh_num!I18)</f>
        <v>22399.516249498745</v>
      </c>
      <c r="J18" s="133">
        <f>IF(SER_hh_tes!J18=0,0,11630*1000*SER_hh_tes!J18/SER_hh_num!J18)</f>
        <v>21920.703195455637</v>
      </c>
      <c r="K18" s="133">
        <f>IF(SER_hh_tes!K18=0,0,11630*1000*SER_hh_tes!K18/SER_hh_num!K18)</f>
        <v>21884.157268415911</v>
      </c>
      <c r="L18" s="133">
        <f>IF(SER_hh_tes!L18=0,0,11630*1000*SER_hh_tes!L18/SER_hh_num!L18)</f>
        <v>22954.963118962583</v>
      </c>
      <c r="M18" s="133">
        <f>IF(SER_hh_tes!M18=0,0,11630*1000*SER_hh_tes!M18/SER_hh_num!M18)</f>
        <v>22921.555149383843</v>
      </c>
      <c r="N18" s="133">
        <f>IF(SER_hh_tes!N18=0,0,11630*1000*SER_hh_tes!N18/SER_hh_num!N18)</f>
        <v>25935.749724619116</v>
      </c>
      <c r="O18" s="133">
        <f>IF(SER_hh_tes!O18=0,0,11630*1000*SER_hh_tes!O18/SER_hh_num!O18)</f>
        <v>26900.164484736753</v>
      </c>
      <c r="P18" s="133">
        <f>IF(SER_hh_tes!P18=0,0,11630*1000*SER_hh_tes!P18/SER_hh_num!P18)</f>
        <v>21840.493161171606</v>
      </c>
      <c r="Q18" s="133">
        <f>IF(SER_hh_tes!Q18=0,0,11630*1000*SER_hh_tes!Q18/SER_hh_num!Q18)</f>
        <v>27363.822481868207</v>
      </c>
      <c r="R18" s="133">
        <f>IF(SER_hh_tes!R18=0,0,11630*1000*SER_hh_tes!R18/SER_hh_num!R18)</f>
        <v>22558.039346328151</v>
      </c>
      <c r="S18" s="133">
        <f>IF(SER_hh_tes!S18=0,0,11630*1000*SER_hh_tes!S18/SER_hh_num!S18)</f>
        <v>27263.144686229592</v>
      </c>
      <c r="T18" s="133">
        <f>IF(SER_hh_tes!T18=0,0,11630*1000*SER_hh_tes!T18/SER_hh_num!T18)</f>
        <v>23868.96340404982</v>
      </c>
      <c r="U18" s="133">
        <f>IF(SER_hh_tes!U18=0,0,11630*1000*SER_hh_tes!U18/SER_hh_num!U18)</f>
        <v>25610.510558632279</v>
      </c>
      <c r="V18" s="133">
        <f>IF(SER_hh_tes!V18=0,0,11630*1000*SER_hh_tes!V18/SER_hh_num!V18)</f>
        <v>22615.749806643285</v>
      </c>
      <c r="W18" s="133">
        <f>IF(SER_hh_tes!W18=0,0,11630*1000*SER_hh_tes!W18/SER_hh_num!W18)</f>
        <v>24850.647195571357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12812.490358955889</v>
      </c>
      <c r="C19" s="131">
        <f>IF(SER_hh_tes!C19=0,0,11630*1000*SER_hh_tes!C19/SER_hh_num!C19)</f>
        <v>12613.59821432563</v>
      </c>
      <c r="D19" s="131">
        <f>IF(SER_hh_tes!D19=0,0,11630*1000*SER_hh_tes!D19/SER_hh_num!D19)</f>
        <v>12359.202088015383</v>
      </c>
      <c r="E19" s="131">
        <f>IF(SER_hh_tes!E19=0,0,11630*1000*SER_hh_tes!E19/SER_hh_num!E19)</f>
        <v>12277.058810492766</v>
      </c>
      <c r="F19" s="131">
        <f>IF(SER_hh_tes!F19=0,0,11630*1000*SER_hh_tes!F19/SER_hh_num!F19)</f>
        <v>12057.669807765087</v>
      </c>
      <c r="G19" s="131">
        <f>IF(SER_hh_tes!G19=0,0,11630*1000*SER_hh_tes!G19/SER_hh_num!G19)</f>
        <v>12029.177312399075</v>
      </c>
      <c r="H19" s="131">
        <f>IF(SER_hh_tes!H19=0,0,11630*1000*SER_hh_tes!H19/SER_hh_num!H19)</f>
        <v>11811.646447549025</v>
      </c>
      <c r="I19" s="131">
        <f>IF(SER_hh_tes!I19=0,0,11630*1000*SER_hh_tes!I19/SER_hh_num!I19)</f>
        <v>11558.654898027824</v>
      </c>
      <c r="J19" s="131">
        <f>IF(SER_hh_tes!J19=0,0,11630*1000*SER_hh_tes!J19/SER_hh_num!J19)</f>
        <v>11462.747071691218</v>
      </c>
      <c r="K19" s="131">
        <f>IF(SER_hh_tes!K19=0,0,11630*1000*SER_hh_tes!K19/SER_hh_num!K19)</f>
        <v>11733.303011467118</v>
      </c>
      <c r="L19" s="131">
        <f>IF(SER_hh_tes!L19=0,0,11630*1000*SER_hh_tes!L19/SER_hh_num!L19)</f>
        <v>11954.785325605342</v>
      </c>
      <c r="M19" s="131">
        <f>IF(SER_hh_tes!M19=0,0,11630*1000*SER_hh_tes!M19/SER_hh_num!M19)</f>
        <v>11990.670535904044</v>
      </c>
      <c r="N19" s="131">
        <f>IF(SER_hh_tes!N19=0,0,11630*1000*SER_hh_tes!N19/SER_hh_num!N19)</f>
        <v>12232.432093417228</v>
      </c>
      <c r="O19" s="131">
        <f>IF(SER_hh_tes!O19=0,0,11630*1000*SER_hh_tes!O19/SER_hh_num!O19)</f>
        <v>12512.093610511505</v>
      </c>
      <c r="P19" s="131">
        <f>IF(SER_hh_tes!P19=0,0,11630*1000*SER_hh_tes!P19/SER_hh_num!P19)</f>
        <v>12887.787332026186</v>
      </c>
      <c r="Q19" s="131">
        <f>IF(SER_hh_tes!Q19=0,0,11630*1000*SER_hh_tes!Q19/SER_hh_num!Q19)</f>
        <v>13217.793055643662</v>
      </c>
      <c r="R19" s="131">
        <f>IF(SER_hh_tes!R19=0,0,11630*1000*SER_hh_tes!R19/SER_hh_num!R19)</f>
        <v>13420.469553677349</v>
      </c>
      <c r="S19" s="131">
        <f>IF(SER_hh_tes!S19=0,0,11630*1000*SER_hh_tes!S19/SER_hh_num!S19)</f>
        <v>13483.74933646739</v>
      </c>
      <c r="T19" s="131">
        <f>IF(SER_hh_tes!T19=0,0,11630*1000*SER_hh_tes!T19/SER_hh_num!T19)</f>
        <v>13398.983722731793</v>
      </c>
      <c r="U19" s="131">
        <f>IF(SER_hh_tes!U19=0,0,11630*1000*SER_hh_tes!U19/SER_hh_num!U19)</f>
        <v>13627.59673868613</v>
      </c>
      <c r="V19" s="131">
        <f>IF(SER_hh_tes!V19=0,0,11630*1000*SER_hh_tes!V19/SER_hh_num!V19)</f>
        <v>13337.232488120517</v>
      </c>
      <c r="W19" s="131">
        <f>IF(SER_hh_tes!W19=0,0,11630*1000*SER_hh_tes!W19/SER_hh_num!W19)</f>
        <v>13603.262572175479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13783.070338576194</v>
      </c>
      <c r="C21" s="133">
        <f>IF(SER_hh_tes!C21=0,0,11630*1000*SER_hh_tes!C21/SER_hh_num!C21)</f>
        <v>11855.196023661427</v>
      </c>
      <c r="D21" s="133">
        <f>IF(SER_hh_tes!D21=0,0,11630*1000*SER_hh_tes!D21/SER_hh_num!D21)</f>
        <v>12708.906294301021</v>
      </c>
      <c r="E21" s="133">
        <f>IF(SER_hh_tes!E21=0,0,11630*1000*SER_hh_tes!E21/SER_hh_num!E21)</f>
        <v>12385.888906298529</v>
      </c>
      <c r="F21" s="133">
        <f>IF(SER_hh_tes!F21=0,0,11630*1000*SER_hh_tes!F21/SER_hh_num!F21)</f>
        <v>12102.876296874199</v>
      </c>
      <c r="G21" s="133">
        <f>IF(SER_hh_tes!G21=0,0,11630*1000*SER_hh_tes!G21/SER_hh_num!G21)</f>
        <v>11944.345052232304</v>
      </c>
      <c r="H21" s="133">
        <f>IF(SER_hh_tes!H21=0,0,11630*1000*SER_hh_tes!H21/SER_hh_num!H21)</f>
        <v>11790.35388714792</v>
      </c>
      <c r="I21" s="133">
        <f>IF(SER_hh_tes!I21=0,0,11630*1000*SER_hh_tes!I21/SER_hh_num!I21)</f>
        <v>11796.662638712256</v>
      </c>
      <c r="J21" s="133">
        <f>IF(SER_hh_tes!J21=0,0,11630*1000*SER_hh_tes!J21/SER_hh_num!J21)</f>
        <v>11480.424582066204</v>
      </c>
      <c r="K21" s="133">
        <f>IF(SER_hh_tes!K21=0,0,11630*1000*SER_hh_tes!K21/SER_hh_num!K21)</f>
        <v>11664.785584830001</v>
      </c>
      <c r="L21" s="133">
        <f>IF(SER_hh_tes!L21=0,0,11630*1000*SER_hh_tes!L21/SER_hh_num!L21)</f>
        <v>12197.76145618438</v>
      </c>
      <c r="M21" s="133">
        <f>IF(SER_hh_tes!M21=0,0,11630*1000*SER_hh_tes!M21/SER_hh_num!M21)</f>
        <v>11629.824127351889</v>
      </c>
      <c r="N21" s="133">
        <f>IF(SER_hh_tes!N21=0,0,11630*1000*SER_hh_tes!N21/SER_hh_num!N21)</f>
        <v>12408.187587954484</v>
      </c>
      <c r="O21" s="133">
        <f>IF(SER_hh_tes!O21=0,0,11630*1000*SER_hh_tes!O21/SER_hh_num!O21)</f>
        <v>12537.273450010518</v>
      </c>
      <c r="P21" s="133">
        <f>IF(SER_hh_tes!P21=0,0,11630*1000*SER_hh_tes!P21/SER_hh_num!P21)</f>
        <v>12867.010514156311</v>
      </c>
      <c r="Q21" s="133">
        <f>IF(SER_hh_tes!Q21=0,0,11630*1000*SER_hh_tes!Q21/SER_hh_num!Q21)</f>
        <v>12980.586395599414</v>
      </c>
      <c r="R21" s="133">
        <f>IF(SER_hh_tes!R21=0,0,11630*1000*SER_hh_tes!R21/SER_hh_num!R21)</f>
        <v>10178.526623532176</v>
      </c>
      <c r="S21" s="133">
        <f>IF(SER_hh_tes!S21=0,0,11630*1000*SER_hh_tes!S21/SER_hh_num!S21)</f>
        <v>11584.470499818719</v>
      </c>
      <c r="T21" s="133">
        <f>IF(SER_hh_tes!T21=0,0,11630*1000*SER_hh_tes!T21/SER_hh_num!T21)</f>
        <v>15553.499239114684</v>
      </c>
      <c r="U21" s="133">
        <f>IF(SER_hh_tes!U21=0,0,11630*1000*SER_hh_tes!U21/SER_hh_num!U21)</f>
        <v>18289.808177974228</v>
      </c>
      <c r="V21" s="133">
        <f>IF(SER_hh_tes!V21=0,0,11630*1000*SER_hh_tes!V21/SER_hh_num!V21)</f>
        <v>14627.508315000032</v>
      </c>
      <c r="W21" s="133">
        <f>IF(SER_hh_tes!W21=0,0,11630*1000*SER_hh_tes!W21/SER_hh_num!W21)</f>
        <v>11450.339300808351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12263.000290726884</v>
      </c>
      <c r="C22" s="133">
        <f>IF(SER_hh_tes!C22=0,0,11630*1000*SER_hh_tes!C22/SER_hh_num!C22)</f>
        <v>13106.803582059369</v>
      </c>
      <c r="D22" s="133">
        <f>IF(SER_hh_tes!D22=0,0,11630*1000*SER_hh_tes!D22/SER_hh_num!D22)</f>
        <v>11673.43618408001</v>
      </c>
      <c r="E22" s="133">
        <f>IF(SER_hh_tes!E22=0,0,11630*1000*SER_hh_tes!E22/SER_hh_num!E22)</f>
        <v>12628.425323881842</v>
      </c>
      <c r="F22" s="133">
        <f>IF(SER_hh_tes!F22=0,0,11630*1000*SER_hh_tes!F22/SER_hh_num!F22)</f>
        <v>12276.860789510047</v>
      </c>
      <c r="G22" s="133">
        <f>IF(SER_hh_tes!G22=0,0,11630*1000*SER_hh_tes!G22/SER_hh_num!G22)</f>
        <v>12035.874018533244</v>
      </c>
      <c r="H22" s="133">
        <f>IF(SER_hh_tes!H22=0,0,11630*1000*SER_hh_tes!H22/SER_hh_num!H22)</f>
        <v>11868.348372474209</v>
      </c>
      <c r="I22" s="133">
        <f>IF(SER_hh_tes!I22=0,0,11630*1000*SER_hh_tes!I22/SER_hh_num!I22)</f>
        <v>11859.618283344931</v>
      </c>
      <c r="J22" s="133">
        <f>IF(SER_hh_tes!J22=0,0,11630*1000*SER_hh_tes!J22/SER_hh_num!J22)</f>
        <v>11319.053900213454</v>
      </c>
      <c r="K22" s="133">
        <f>IF(SER_hh_tes!K22=0,0,11630*1000*SER_hh_tes!K22/SER_hh_num!K22)</f>
        <v>11843.601432819316</v>
      </c>
      <c r="L22" s="133">
        <f>IF(SER_hh_tes!L22=0,0,11630*1000*SER_hh_tes!L22/SER_hh_num!L22)</f>
        <v>12490.369678156452</v>
      </c>
      <c r="M22" s="133">
        <f>IF(SER_hh_tes!M22=0,0,11630*1000*SER_hh_tes!M22/SER_hh_num!M22)</f>
        <v>11706.912830090472</v>
      </c>
      <c r="N22" s="133">
        <f>IF(SER_hh_tes!N22=0,0,11630*1000*SER_hh_tes!N22/SER_hh_num!N22)</f>
        <v>12357.914413482913</v>
      </c>
      <c r="O22" s="133">
        <f>IF(SER_hh_tes!O22=0,0,11630*1000*SER_hh_tes!O22/SER_hh_num!O22)</f>
        <v>12239.346288155122</v>
      </c>
      <c r="P22" s="133">
        <f>IF(SER_hh_tes!P22=0,0,11630*1000*SER_hh_tes!P22/SER_hh_num!P22)</f>
        <v>11958.252096586004</v>
      </c>
      <c r="Q22" s="133">
        <f>IF(SER_hh_tes!Q22=0,0,11630*1000*SER_hh_tes!Q22/SER_hh_num!Q22)</f>
        <v>11941.337891645384</v>
      </c>
      <c r="R22" s="133">
        <f>IF(SER_hh_tes!R22=0,0,11630*1000*SER_hh_tes!R22/SER_hh_num!R22)</f>
        <v>14557.349592886334</v>
      </c>
      <c r="S22" s="133">
        <f>IF(SER_hh_tes!S22=0,0,11630*1000*SER_hh_tes!S22/SER_hh_num!S22)</f>
        <v>12176.620678763245</v>
      </c>
      <c r="T22" s="133">
        <f>IF(SER_hh_tes!T22=0,0,11630*1000*SER_hh_tes!T22/SER_hh_num!T22)</f>
        <v>14364.672343302911</v>
      </c>
      <c r="U22" s="133">
        <f>IF(SER_hh_tes!U22=0,0,11630*1000*SER_hh_tes!U22/SER_hh_num!U22)</f>
        <v>12519.616872928867</v>
      </c>
      <c r="V22" s="133">
        <f>IF(SER_hh_tes!V22=0,0,11630*1000*SER_hh_tes!V22/SER_hh_num!V22)</f>
        <v>14099.325805907862</v>
      </c>
      <c r="W22" s="133">
        <f>IF(SER_hh_tes!W22=0,0,11630*1000*SER_hh_tes!W22/SER_hh_num!W22)</f>
        <v>13445.043368434466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12644.465499408667</v>
      </c>
      <c r="C23" s="133">
        <f>IF(SER_hh_tes!C23=0,0,11630*1000*SER_hh_tes!C23/SER_hh_num!C23)</f>
        <v>12719.609925993796</v>
      </c>
      <c r="D23" s="133">
        <f>IF(SER_hh_tes!D23=0,0,11630*1000*SER_hh_tes!D23/SER_hh_num!D23)</f>
        <v>12243.31635035796</v>
      </c>
      <c r="E23" s="133">
        <f>IF(SER_hh_tes!E23=0,0,11630*1000*SER_hh_tes!E23/SER_hh_num!E23)</f>
        <v>12103.27623850193</v>
      </c>
      <c r="F23" s="133">
        <f>IF(SER_hh_tes!F23=0,0,11630*1000*SER_hh_tes!F23/SER_hh_num!F23)</f>
        <v>12133.523113372214</v>
      </c>
      <c r="G23" s="133">
        <f>IF(SER_hh_tes!G23=0,0,11630*1000*SER_hh_tes!G23/SER_hh_num!G23)</f>
        <v>11988.477814202193</v>
      </c>
      <c r="H23" s="133">
        <f>IF(SER_hh_tes!H23=0,0,11630*1000*SER_hh_tes!H23/SER_hh_num!H23)</f>
        <v>11551.673412273713</v>
      </c>
      <c r="I23" s="133">
        <f>IF(SER_hh_tes!I23=0,0,11630*1000*SER_hh_tes!I23/SER_hh_num!I23)</f>
        <v>11112.681745407372</v>
      </c>
      <c r="J23" s="133">
        <f>IF(SER_hh_tes!J23=0,0,11630*1000*SER_hh_tes!J23/SER_hh_num!J23)</f>
        <v>10368.926496258062</v>
      </c>
      <c r="K23" s="133">
        <f>IF(SER_hh_tes!K23=0,0,11630*1000*SER_hh_tes!K23/SER_hh_num!K23)</f>
        <v>12792.074761567246</v>
      </c>
      <c r="L23" s="133">
        <f>IF(SER_hh_tes!L23=0,0,11630*1000*SER_hh_tes!L23/SER_hh_num!L23)</f>
        <v>12598.076347857332</v>
      </c>
      <c r="M23" s="133">
        <f>IF(SER_hh_tes!M23=0,0,11630*1000*SER_hh_tes!M23/SER_hh_num!M23)</f>
        <v>12042.409694214362</v>
      </c>
      <c r="N23" s="133">
        <f>IF(SER_hh_tes!N23=0,0,11630*1000*SER_hh_tes!N23/SER_hh_num!N23)</f>
        <v>12229.235642853355</v>
      </c>
      <c r="O23" s="133">
        <f>IF(SER_hh_tes!O23=0,0,11630*1000*SER_hh_tes!O23/SER_hh_num!O23)</f>
        <v>12535.423715047107</v>
      </c>
      <c r="P23" s="133">
        <f>IF(SER_hh_tes!P23=0,0,11630*1000*SER_hh_tes!P23/SER_hh_num!P23)</f>
        <v>12714.0191295078</v>
      </c>
      <c r="Q23" s="133">
        <f>IF(SER_hh_tes!Q23=0,0,11630*1000*SER_hh_tes!Q23/SER_hh_num!Q23)</f>
        <v>12369.07241363068</v>
      </c>
      <c r="R23" s="133">
        <f>IF(SER_hh_tes!R23=0,0,11630*1000*SER_hh_tes!R23/SER_hh_num!R23)</f>
        <v>16184.997001997128</v>
      </c>
      <c r="S23" s="133">
        <f>IF(SER_hh_tes!S23=0,0,11630*1000*SER_hh_tes!S23/SER_hh_num!S23)</f>
        <v>14261.367607668319</v>
      </c>
      <c r="T23" s="133">
        <f>IF(SER_hh_tes!T23=0,0,11630*1000*SER_hh_tes!T23/SER_hh_num!T23)</f>
        <v>10199.122435555419</v>
      </c>
      <c r="U23" s="133">
        <f>IF(SER_hh_tes!U23=0,0,11630*1000*SER_hh_tes!U23/SER_hh_num!U23)</f>
        <v>13680.168546006316</v>
      </c>
      <c r="V23" s="133">
        <f>IF(SER_hh_tes!V23=0,0,11630*1000*SER_hh_tes!V23/SER_hh_num!V23)</f>
        <v>13138.667664483073</v>
      </c>
      <c r="W23" s="133">
        <f>IF(SER_hh_tes!W23=0,0,11630*1000*SER_hh_tes!W23/SER_hh_num!W23)</f>
        <v>12891.561300376525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11488.283332891087</v>
      </c>
      <c r="C25" s="133">
        <f>IF(SER_hh_tes!C25=0,0,11630*1000*SER_hh_tes!C25/SER_hh_num!C25)</f>
        <v>14992.266810338628</v>
      </c>
      <c r="D25" s="133">
        <f>IF(SER_hh_tes!D25=0,0,11630*1000*SER_hh_tes!D25/SER_hh_num!D25)</f>
        <v>12952.596602864862</v>
      </c>
      <c r="E25" s="133">
        <f>IF(SER_hh_tes!E25=0,0,11630*1000*SER_hh_tes!E25/SER_hh_num!E25)</f>
        <v>11773.761951499508</v>
      </c>
      <c r="F25" s="133">
        <f>IF(SER_hh_tes!F25=0,0,11630*1000*SER_hh_tes!F25/SER_hh_num!F25)</f>
        <v>12443.620003370244</v>
      </c>
      <c r="G25" s="133">
        <f>IF(SER_hh_tes!G25=0,0,11630*1000*SER_hh_tes!G25/SER_hh_num!G25)</f>
        <v>12345.810970044206</v>
      </c>
      <c r="H25" s="133">
        <f>IF(SER_hh_tes!H25=0,0,11630*1000*SER_hh_tes!H25/SER_hh_num!H25)</f>
        <v>10989.643389212006</v>
      </c>
      <c r="I25" s="133">
        <f>IF(SER_hh_tes!I25=0,0,11630*1000*SER_hh_tes!I25/SER_hh_num!I25)</f>
        <v>11402.259222701565</v>
      </c>
      <c r="J25" s="133">
        <f>IF(SER_hh_tes!J25=0,0,11630*1000*SER_hh_tes!J25/SER_hh_num!J25)</f>
        <v>10278.548716404701</v>
      </c>
      <c r="K25" s="133">
        <f>IF(SER_hh_tes!K25=0,0,11630*1000*SER_hh_tes!K25/SER_hh_num!K25)</f>
        <v>11001.735186113572</v>
      </c>
      <c r="L25" s="133">
        <f>IF(SER_hh_tes!L25=0,0,11630*1000*SER_hh_tes!L25/SER_hh_num!L25)</f>
        <v>11871.06153838673</v>
      </c>
      <c r="M25" s="133">
        <f>IF(SER_hh_tes!M25=0,0,11630*1000*SER_hh_tes!M25/SER_hh_num!M25)</f>
        <v>12295.59658779446</v>
      </c>
      <c r="N25" s="133">
        <f>IF(SER_hh_tes!N25=0,0,11630*1000*SER_hh_tes!N25/SER_hh_num!N25)</f>
        <v>12409.793810311612</v>
      </c>
      <c r="O25" s="133">
        <f>IF(SER_hh_tes!O25=0,0,11630*1000*SER_hh_tes!O25/SER_hh_num!O25)</f>
        <v>12700.911475762319</v>
      </c>
      <c r="P25" s="133">
        <f>IF(SER_hh_tes!P25=0,0,11630*1000*SER_hh_tes!P25/SER_hh_num!P25)</f>
        <v>13332.830803990273</v>
      </c>
      <c r="Q25" s="133">
        <f>IF(SER_hh_tes!Q25=0,0,11630*1000*SER_hh_tes!Q25/SER_hh_num!Q25)</f>
        <v>13096.013131648271</v>
      </c>
      <c r="R25" s="133">
        <f>IF(SER_hh_tes!R25=0,0,11630*1000*SER_hh_tes!R25/SER_hh_num!R25)</f>
        <v>12165.438833435557</v>
      </c>
      <c r="S25" s="133">
        <f>IF(SER_hh_tes!S25=0,0,11630*1000*SER_hh_tes!S25/SER_hh_num!S25)</f>
        <v>13978.313282758823</v>
      </c>
      <c r="T25" s="133">
        <f>IF(SER_hh_tes!T25=0,0,11630*1000*SER_hh_tes!T25/SER_hh_num!T25)</f>
        <v>14772.154122111324</v>
      </c>
      <c r="U25" s="133">
        <f>IF(SER_hh_tes!U25=0,0,11630*1000*SER_hh_tes!U25/SER_hh_num!U25)</f>
        <v>12846.222833282975</v>
      </c>
      <c r="V25" s="133">
        <f>IF(SER_hh_tes!V25=0,0,11630*1000*SER_hh_tes!V25/SER_hh_num!V25)</f>
        <v>13157.586090119283</v>
      </c>
      <c r="W25" s="133">
        <f>IF(SER_hh_tes!W25=0,0,11630*1000*SER_hh_tes!W25/SER_hh_num!W25)</f>
        <v>14778.311864304176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12849.971568946352</v>
      </c>
      <c r="C26" s="65">
        <f>IF(SER_hh_tes!C26=0,0,11630*1000*SER_hh_tes!C26/SER_hh_num!C26)</f>
        <v>10610.155726697532</v>
      </c>
      <c r="D26" s="65">
        <f>IF(SER_hh_tes!D26=0,0,11630*1000*SER_hh_tes!D26/SER_hh_num!D26)</f>
        <v>12905.061353116604</v>
      </c>
      <c r="E26" s="65">
        <f>IF(SER_hh_tes!E26=0,0,11630*1000*SER_hh_tes!E26/SER_hh_num!E26)</f>
        <v>11326.200047016308</v>
      </c>
      <c r="F26" s="65">
        <f>IF(SER_hh_tes!F26=0,0,11630*1000*SER_hh_tes!F26/SER_hh_num!F26)</f>
        <v>10935.154033628456</v>
      </c>
      <c r="G26" s="65">
        <f>IF(SER_hh_tes!G26=0,0,11630*1000*SER_hh_tes!G26/SER_hh_num!G26)</f>
        <v>11996.225470722715</v>
      </c>
      <c r="H26" s="65">
        <f>IF(SER_hh_tes!H26=0,0,11630*1000*SER_hh_tes!H26/SER_hh_num!H26)</f>
        <v>12136.194891947012</v>
      </c>
      <c r="I26" s="65">
        <f>IF(SER_hh_tes!I26=0,0,11630*1000*SER_hh_tes!I26/SER_hh_num!I26)</f>
        <v>10736.98956331738</v>
      </c>
      <c r="J26" s="65">
        <f>IF(SER_hh_tes!J26=0,0,11630*1000*SER_hh_tes!J26/SER_hh_num!J26)</f>
        <v>12276.090169257002</v>
      </c>
      <c r="K26" s="65">
        <f>IF(SER_hh_tes!K26=0,0,11630*1000*SER_hh_tes!K26/SER_hh_num!K26)</f>
        <v>11676.988660418583</v>
      </c>
      <c r="L26" s="65">
        <f>IF(SER_hh_tes!L26=0,0,11630*1000*SER_hh_tes!L26/SER_hh_num!L26)</f>
        <v>11012.032436204639</v>
      </c>
      <c r="M26" s="65">
        <f>IF(SER_hh_tes!M26=0,0,11630*1000*SER_hh_tes!M26/SER_hh_num!M26)</f>
        <v>12357.166445563045</v>
      </c>
      <c r="N26" s="65">
        <f>IF(SER_hh_tes!N26=0,0,11630*1000*SER_hh_tes!N26/SER_hh_num!N26)</f>
        <v>11987.546825516278</v>
      </c>
      <c r="O26" s="65">
        <f>IF(SER_hh_tes!O26=0,0,11630*1000*SER_hh_tes!O26/SER_hh_num!O26)</f>
        <v>12574.616368882838</v>
      </c>
      <c r="P26" s="65">
        <f>IF(SER_hh_tes!P26=0,0,11630*1000*SER_hh_tes!P26/SER_hh_num!P26)</f>
        <v>13137.878228800888</v>
      </c>
      <c r="Q26" s="65">
        <f>IF(SER_hh_tes!Q26=0,0,11630*1000*SER_hh_tes!Q26/SER_hh_num!Q26)</f>
        <v>13850.875930488246</v>
      </c>
      <c r="R26" s="65">
        <f>IF(SER_hh_tes!R26=0,0,11630*1000*SER_hh_tes!R26/SER_hh_num!R26)</f>
        <v>14270.122535596924</v>
      </c>
      <c r="S26" s="65">
        <f>IF(SER_hh_tes!S26=0,0,11630*1000*SER_hh_tes!S26/SER_hh_num!S26)</f>
        <v>14291.96994324204</v>
      </c>
      <c r="T26" s="65">
        <f>IF(SER_hh_tes!T26=0,0,11630*1000*SER_hh_tes!T26/SER_hh_num!T26)</f>
        <v>11951.483353834825</v>
      </c>
      <c r="U26" s="65">
        <f>IF(SER_hh_tes!U26=0,0,11630*1000*SER_hh_tes!U26/SER_hh_num!U26)</f>
        <v>12640.219462449297</v>
      </c>
      <c r="V26" s="65">
        <f>IF(SER_hh_tes!V26=0,0,11630*1000*SER_hh_tes!V26/SER_hh_num!V26)</f>
        <v>12705.519615915566</v>
      </c>
      <c r="W26" s="65">
        <f>IF(SER_hh_tes!W26=0,0,11630*1000*SER_hh_tes!W26/SER_hh_num!W26)</f>
        <v>13929.434363162245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15508.065054899187</v>
      </c>
      <c r="C29" s="131">
        <f>IF(SER_hh_tes!C29=0,0,11630*1000*SER_hh_tes!C29/SER_hh_num!C29)</f>
        <v>16143.437454447661</v>
      </c>
      <c r="D29" s="131">
        <f>IF(SER_hh_tes!D29=0,0,11630*1000*SER_hh_tes!D29/SER_hh_num!D29)</f>
        <v>15867.119897668994</v>
      </c>
      <c r="E29" s="131">
        <f>IF(SER_hh_tes!E29=0,0,11630*1000*SER_hh_tes!E29/SER_hh_num!E29)</f>
        <v>15350.313023620249</v>
      </c>
      <c r="F29" s="131">
        <f>IF(SER_hh_tes!F29=0,0,11630*1000*SER_hh_tes!F29/SER_hh_num!F29)</f>
        <v>14974.335886349802</v>
      </c>
      <c r="G29" s="131">
        <f>IF(SER_hh_tes!G29=0,0,11630*1000*SER_hh_tes!G29/SER_hh_num!G29)</f>
        <v>14771.787410369245</v>
      </c>
      <c r="H29" s="131">
        <f>IF(SER_hh_tes!H29=0,0,11630*1000*SER_hh_tes!H29/SER_hh_num!H29)</f>
        <v>14569.159584844787</v>
      </c>
      <c r="I29" s="131">
        <f>IF(SER_hh_tes!I29=0,0,11630*1000*SER_hh_tes!I29/SER_hh_num!I29)</f>
        <v>14060.273355894893</v>
      </c>
      <c r="J29" s="131">
        <f>IF(SER_hh_tes!J29=0,0,11630*1000*SER_hh_tes!J29/SER_hh_num!J29)</f>
        <v>13572.75518195686</v>
      </c>
      <c r="K29" s="131">
        <f>IF(SER_hh_tes!K29=0,0,11630*1000*SER_hh_tes!K29/SER_hh_num!K29)</f>
        <v>13775.886054120123</v>
      </c>
      <c r="L29" s="131">
        <f>IF(SER_hh_tes!L29=0,0,11630*1000*SER_hh_tes!L29/SER_hh_num!L29)</f>
        <v>13898.007943410632</v>
      </c>
      <c r="M29" s="131">
        <f>IF(SER_hh_tes!M29=0,0,11630*1000*SER_hh_tes!M29/SER_hh_num!M29)</f>
        <v>14150.827080835063</v>
      </c>
      <c r="N29" s="131">
        <f>IF(SER_hh_tes!N29=0,0,11630*1000*SER_hh_tes!N29/SER_hh_num!N29)</f>
        <v>14625.658609481537</v>
      </c>
      <c r="O29" s="131">
        <f>IF(SER_hh_tes!O29=0,0,11630*1000*SER_hh_tes!O29/SER_hh_num!O29)</f>
        <v>14705.916093686485</v>
      </c>
      <c r="P29" s="131">
        <f>IF(SER_hh_tes!P29=0,0,11630*1000*SER_hh_tes!P29/SER_hh_num!P29)</f>
        <v>15002.224185274008</v>
      </c>
      <c r="Q29" s="131">
        <f>IF(SER_hh_tes!Q29=0,0,11630*1000*SER_hh_tes!Q29/SER_hh_num!Q29)</f>
        <v>15829.596516323245</v>
      </c>
      <c r="R29" s="131">
        <f>IF(SER_hh_tes!R29=0,0,11630*1000*SER_hh_tes!R29/SER_hh_num!R29)</f>
        <v>16258.581336643741</v>
      </c>
      <c r="S29" s="131">
        <f>IF(SER_hh_tes!S29=0,0,11630*1000*SER_hh_tes!S29/SER_hh_num!S29)</f>
        <v>16580.374554145357</v>
      </c>
      <c r="T29" s="131">
        <f>IF(SER_hh_tes!T29=0,0,11630*1000*SER_hh_tes!T29/SER_hh_num!T29)</f>
        <v>16782.464007535833</v>
      </c>
      <c r="U29" s="131">
        <f>IF(SER_hh_tes!U29=0,0,11630*1000*SER_hh_tes!U29/SER_hh_num!U29)</f>
        <v>17009.88085061665</v>
      </c>
      <c r="V29" s="131">
        <f>IF(SER_hh_tes!V29=0,0,11630*1000*SER_hh_tes!V29/SER_hh_num!V29)</f>
        <v>16123.046877184561</v>
      </c>
      <c r="W29" s="131">
        <f>IF(SER_hh_tes!W29=0,0,11630*1000*SER_hh_tes!W29/SER_hh_num!W29)</f>
        <v>16303.971128912723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16306.589082004819</v>
      </c>
      <c r="C30" s="133">
        <f>IF(SER_hh_tes!C30=0,0,11630*1000*SER_hh_tes!C30/SER_hh_num!C30)</f>
        <v>18086.485498397891</v>
      </c>
      <c r="D30" s="133">
        <f>IF(SER_hh_tes!D30=0,0,11630*1000*SER_hh_tes!D30/SER_hh_num!D30)</f>
        <v>12676.136502038222</v>
      </c>
      <c r="E30" s="133">
        <f>IF(SER_hh_tes!E30=0,0,11630*1000*SER_hh_tes!E30/SER_hh_num!E30)</f>
        <v>10562.318679706839</v>
      </c>
      <c r="F30" s="133">
        <f>IF(SER_hh_tes!F30=0,0,11630*1000*SER_hh_tes!F30/SER_hh_num!F30)</f>
        <v>15697.459199172143</v>
      </c>
      <c r="G30" s="133">
        <f>IF(SER_hh_tes!G30=0,0,11630*1000*SER_hh_tes!G30/SER_hh_num!G30)</f>
        <v>13523.857969495442</v>
      </c>
      <c r="H30" s="133">
        <f>IF(SER_hh_tes!H30=0,0,11630*1000*SER_hh_tes!H30/SER_hh_num!H30)</f>
        <v>9247.7942331040867</v>
      </c>
      <c r="I30" s="133">
        <f>IF(SER_hh_tes!I30=0,0,11630*1000*SER_hh_tes!I30/SER_hh_num!I30)</f>
        <v>19712.801086907617</v>
      </c>
      <c r="J30" s="133">
        <f>IF(SER_hh_tes!J30=0,0,11630*1000*SER_hh_tes!J30/SER_hh_num!J30)</f>
        <v>11985.056666221239</v>
      </c>
      <c r="K30" s="133">
        <f>IF(SER_hh_tes!K30=0,0,11630*1000*SER_hh_tes!K30/SER_hh_num!K30)</f>
        <v>13334.193997666534</v>
      </c>
      <c r="L30" s="133">
        <f>IF(SER_hh_tes!L30=0,0,11630*1000*SER_hh_tes!L30/SER_hh_num!L30)</f>
        <v>18153.170380495074</v>
      </c>
      <c r="M30" s="133">
        <f>IF(SER_hh_tes!M30=0,0,11630*1000*SER_hh_tes!M30/SER_hh_num!M30)</f>
        <v>8695.0868461266327</v>
      </c>
      <c r="N30" s="133">
        <f>IF(SER_hh_tes!N30=0,0,11630*1000*SER_hh_tes!N30/SER_hh_num!N30)</f>
        <v>16964.212627936537</v>
      </c>
      <c r="O30" s="133">
        <f>IF(SER_hh_tes!O30=0,0,11630*1000*SER_hh_tes!O30/SER_hh_num!O30)</f>
        <v>13804.537014073127</v>
      </c>
      <c r="P30" s="133">
        <f>IF(SER_hh_tes!P30=0,0,11630*1000*SER_hh_tes!P30/SER_hh_num!P30)</f>
        <v>14538.7346213726</v>
      </c>
      <c r="Q30" s="133">
        <f>IF(SER_hh_tes!Q30=0,0,11630*1000*SER_hh_tes!Q30/SER_hh_num!Q30)</f>
        <v>16782.216548350192</v>
      </c>
      <c r="R30" s="133">
        <f>IF(SER_hh_tes!R30=0,0,11630*1000*SER_hh_tes!R30/SER_hh_num!R30)</f>
        <v>14402.909789409889</v>
      </c>
      <c r="S30" s="133">
        <f>IF(SER_hh_tes!S30=0,0,11630*1000*SER_hh_tes!S30/SER_hh_num!S30)</f>
        <v>15094.538235690956</v>
      </c>
      <c r="T30" s="133">
        <f>IF(SER_hh_tes!T30=0,0,11630*1000*SER_hh_tes!T30/SER_hh_num!T30)</f>
        <v>16997.130264237217</v>
      </c>
      <c r="U30" s="133">
        <f>IF(SER_hh_tes!U30=0,0,11630*1000*SER_hh_tes!U30/SER_hh_num!U30)</f>
        <v>19907.838930857535</v>
      </c>
      <c r="V30" s="133">
        <f>IF(SER_hh_tes!V30=0,0,11630*1000*SER_hh_tes!V30/SER_hh_num!V30)</f>
        <v>16826.307379087517</v>
      </c>
      <c r="W30" s="133">
        <f>IF(SER_hh_tes!W30=0,0,11630*1000*SER_hh_tes!W30/SER_hh_num!W30)</f>
        <v>12495.985273424245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2116.7506866998269</v>
      </c>
      <c r="C31" s="133">
        <f>IF(SER_hh_tes!C31=0,0,11630*1000*SER_hh_tes!C31/SER_hh_num!C31)</f>
        <v>20494.027833428903</v>
      </c>
      <c r="D31" s="133">
        <f>IF(SER_hh_tes!D31=0,0,11630*1000*SER_hh_tes!D31/SER_hh_num!D31)</f>
        <v>18687.11060338877</v>
      </c>
      <c r="E31" s="133">
        <f>IF(SER_hh_tes!E31=0,0,11630*1000*SER_hh_tes!E31/SER_hh_num!E31)</f>
        <v>15530.038064529455</v>
      </c>
      <c r="F31" s="133">
        <f>IF(SER_hh_tes!F31=0,0,11630*1000*SER_hh_tes!F31/SER_hh_num!F31)</f>
        <v>16812.711024020595</v>
      </c>
      <c r="G31" s="133">
        <f>IF(SER_hh_tes!G31=0,0,11630*1000*SER_hh_tes!G31/SER_hh_num!G31)</f>
        <v>15142.273271201826</v>
      </c>
      <c r="H31" s="133">
        <f>IF(SER_hh_tes!H31=0,0,11630*1000*SER_hh_tes!H31/SER_hh_num!H31)</f>
        <v>10764.990302274007</v>
      </c>
      <c r="I31" s="133">
        <f>IF(SER_hh_tes!I31=0,0,11630*1000*SER_hh_tes!I31/SER_hh_num!I31)</f>
        <v>11054.352607379125</v>
      </c>
      <c r="J31" s="133">
        <f>IF(SER_hh_tes!J31=0,0,11630*1000*SER_hh_tes!J31/SER_hh_num!J31)</f>
        <v>5700.3743047456646</v>
      </c>
      <c r="K31" s="133">
        <f>IF(SER_hh_tes!K31=0,0,11630*1000*SER_hh_tes!K31/SER_hh_num!K31)</f>
        <v>16178.471566977485</v>
      </c>
      <c r="L31" s="133">
        <f>IF(SER_hh_tes!L31=0,0,11630*1000*SER_hh_tes!L31/SER_hh_num!L31)</f>
        <v>14620.938345814695</v>
      </c>
      <c r="M31" s="133">
        <f>IF(SER_hh_tes!M31=0,0,11630*1000*SER_hh_tes!M31/SER_hh_num!M31)</f>
        <v>13870.911789793356</v>
      </c>
      <c r="N31" s="133">
        <f>IF(SER_hh_tes!N31=0,0,11630*1000*SER_hh_tes!N31/SER_hh_num!N31)</f>
        <v>11568.266451846464</v>
      </c>
      <c r="O31" s="133">
        <f>IF(SER_hh_tes!O31=0,0,11630*1000*SER_hh_tes!O31/SER_hh_num!O31)</f>
        <v>13358.560867015474</v>
      </c>
      <c r="P31" s="133">
        <f>IF(SER_hh_tes!P31=0,0,11630*1000*SER_hh_tes!P31/SER_hh_num!P31)</f>
        <v>16257.327428372137</v>
      </c>
      <c r="Q31" s="133">
        <f>IF(SER_hh_tes!Q31=0,0,11630*1000*SER_hh_tes!Q31/SER_hh_num!Q31)</f>
        <v>16157.835786786763</v>
      </c>
      <c r="R31" s="133">
        <f>IF(SER_hh_tes!R31=0,0,11630*1000*SER_hh_tes!R31/SER_hh_num!R31)</f>
        <v>20838.006361825352</v>
      </c>
      <c r="S31" s="133">
        <f>IF(SER_hh_tes!S31=0,0,11630*1000*SER_hh_tes!S31/SER_hh_num!S31)</f>
        <v>17603.777078497536</v>
      </c>
      <c r="T31" s="133">
        <f>IF(SER_hh_tes!T31=0,0,11630*1000*SER_hh_tes!T31/SER_hh_num!T31)</f>
        <v>12487.705930060449</v>
      </c>
      <c r="U31" s="133">
        <f>IF(SER_hh_tes!U31=0,0,11630*1000*SER_hh_tes!U31/SER_hh_num!U31)</f>
        <v>16873.738874340244</v>
      </c>
      <c r="V31" s="133">
        <f>IF(SER_hh_tes!V31=0,0,11630*1000*SER_hh_tes!V31/SER_hh_num!V31)</f>
        <v>16351.940837374023</v>
      </c>
      <c r="W31" s="133">
        <f>IF(SER_hh_tes!W31=0,0,11630*1000*SER_hh_tes!W31/SER_hh_num!W31)</f>
        <v>15377.676098532409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16636.999427688927</v>
      </c>
      <c r="C33" s="68">
        <f>IF(SER_hh_tes!C33=0,0,11630*1000*SER_hh_tes!C33/SER_hh_num!C33)</f>
        <v>12310.176076083988</v>
      </c>
      <c r="D33" s="68">
        <f>IF(SER_hh_tes!D33=0,0,11630*1000*SER_hh_tes!D33/SER_hh_num!D33)</f>
        <v>16852.125024347413</v>
      </c>
      <c r="E33" s="68">
        <f>IF(SER_hh_tes!E33=0,0,11630*1000*SER_hh_tes!E33/SER_hh_num!E33)</f>
        <v>16870.211973226196</v>
      </c>
      <c r="F33" s="68">
        <f>IF(SER_hh_tes!F33=0,0,11630*1000*SER_hh_tes!F33/SER_hh_num!F33)</f>
        <v>14459.789068163755</v>
      </c>
      <c r="G33" s="68">
        <f>IF(SER_hh_tes!G33=0,0,11630*1000*SER_hh_tes!G33/SER_hh_num!G33)</f>
        <v>15024.389402766634</v>
      </c>
      <c r="H33" s="68">
        <f>IF(SER_hh_tes!H33=0,0,11630*1000*SER_hh_tes!H33/SER_hh_num!H33)</f>
        <v>16231.634583420115</v>
      </c>
      <c r="I33" s="68">
        <f>IF(SER_hh_tes!I33=0,0,11630*1000*SER_hh_tes!I33/SER_hh_num!I33)</f>
        <v>12286.539099010173</v>
      </c>
      <c r="J33" s="68">
        <f>IF(SER_hh_tes!J33=0,0,11630*1000*SER_hh_tes!J33/SER_hh_num!J33)</f>
        <v>14544.14847563233</v>
      </c>
      <c r="K33" s="68">
        <f>IF(SER_hh_tes!K33=0,0,11630*1000*SER_hh_tes!K33/SER_hh_num!K33)</f>
        <v>13797.832463623305</v>
      </c>
      <c r="L33" s="68">
        <f>IF(SER_hh_tes!L33=0,0,11630*1000*SER_hh_tes!L33/SER_hh_num!L33)</f>
        <v>12365.201778641522</v>
      </c>
      <c r="M33" s="68">
        <f>IF(SER_hh_tes!M33=0,0,11630*1000*SER_hh_tes!M33/SER_hh_num!M33)</f>
        <v>15642.544985072576</v>
      </c>
      <c r="N33" s="68">
        <f>IF(SER_hh_tes!N33=0,0,11630*1000*SER_hh_tes!N33/SER_hh_num!N33)</f>
        <v>14243.733385339929</v>
      </c>
      <c r="O33" s="68">
        <f>IF(SER_hh_tes!O33=0,0,11630*1000*SER_hh_tes!O33/SER_hh_num!O33)</f>
        <v>15077.922271992042</v>
      </c>
      <c r="P33" s="68">
        <f>IF(SER_hh_tes!P33=0,0,11630*1000*SER_hh_tes!P33/SER_hh_num!P33)</f>
        <v>14919.273142614187</v>
      </c>
      <c r="Q33" s="68">
        <f>IF(SER_hh_tes!Q33=0,0,11630*1000*SER_hh_tes!Q33/SER_hh_num!Q33)</f>
        <v>15534.646968209239</v>
      </c>
      <c r="R33" s="68">
        <f>IF(SER_hh_tes!R33=0,0,11630*1000*SER_hh_tes!R33/SER_hh_num!R33)</f>
        <v>15866.721049921505</v>
      </c>
      <c r="S33" s="68">
        <f>IF(SER_hh_tes!S33=0,0,11630*1000*SER_hh_tes!S33/SER_hh_num!S33)</f>
        <v>16813.084743494506</v>
      </c>
      <c r="T33" s="68">
        <f>IF(SER_hh_tes!T33=0,0,11630*1000*SER_hh_tes!T33/SER_hh_num!T33)</f>
        <v>17247.046420991686</v>
      </c>
      <c r="U33" s="68">
        <f>IF(SER_hh_tes!U33=0,0,11630*1000*SER_hh_tes!U33/SER_hh_num!U33)</f>
        <v>16059.843186436487</v>
      </c>
      <c r="V33" s="68">
        <f>IF(SER_hh_tes!V33=0,0,11630*1000*SER_hh_tes!V33/SER_hh_num!V33)</f>
        <v>15870.958981027052</v>
      </c>
      <c r="W33" s="68">
        <f>IF(SER_hh_tes!W33=0,0,11630*1000*SER_hh_tes!W33/SER_hh_num!W33)</f>
        <v>17592.816043543222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45855.865104346791</v>
      </c>
      <c r="C3" s="126">
        <f>IF(SER_hh_emi!C3=0,0,1000000*SER_hh_emi!C3/SER_hh_num!C3)</f>
        <v>68893.657781019123</v>
      </c>
      <c r="D3" s="126">
        <f>IF(SER_hh_emi!D3=0,0,1000000*SER_hh_emi!D3/SER_hh_num!D3)</f>
        <v>56417.526935753507</v>
      </c>
      <c r="E3" s="126">
        <f>IF(SER_hh_emi!E3=0,0,1000000*SER_hh_emi!E3/SER_hh_num!E3)</f>
        <v>39515.010967186194</v>
      </c>
      <c r="F3" s="126">
        <f>IF(SER_hh_emi!F3=0,0,1000000*SER_hh_emi!F3/SER_hh_num!F3)</f>
        <v>38777.572127605432</v>
      </c>
      <c r="G3" s="126">
        <f>IF(SER_hh_emi!G3=0,0,1000000*SER_hh_emi!G3/SER_hh_num!G3)</f>
        <v>32856.918559890364</v>
      </c>
      <c r="H3" s="126">
        <f>IF(SER_hh_emi!H3=0,0,1000000*SER_hh_emi!H3/SER_hh_num!H3)</f>
        <v>25661.674205799551</v>
      </c>
      <c r="I3" s="126">
        <f>IF(SER_hh_emi!I3=0,0,1000000*SER_hh_emi!I3/SER_hh_num!I3)</f>
        <v>17786.808837756533</v>
      </c>
      <c r="J3" s="126">
        <f>IF(SER_hh_emi!J3=0,0,1000000*SER_hh_emi!J3/SER_hh_num!J3)</f>
        <v>25678.419445840842</v>
      </c>
      <c r="K3" s="126">
        <f>IF(SER_hh_emi!K3=0,0,1000000*SER_hh_emi!K3/SER_hh_num!K3)</f>
        <v>24377.582311027123</v>
      </c>
      <c r="L3" s="126">
        <f>IF(SER_hh_emi!L3=0,0,1000000*SER_hh_emi!L3/SER_hh_num!L3)</f>
        <v>25899.083785540482</v>
      </c>
      <c r="M3" s="126">
        <f>IF(SER_hh_emi!M3=0,0,1000000*SER_hh_emi!M3/SER_hh_num!M3)</f>
        <v>21573.059834295724</v>
      </c>
      <c r="N3" s="126">
        <f>IF(SER_hh_emi!N3=0,0,1000000*SER_hh_emi!N3/SER_hh_num!N3)</f>
        <v>15283.170451652741</v>
      </c>
      <c r="O3" s="126">
        <f>IF(SER_hh_emi!O3=0,0,1000000*SER_hh_emi!O3/SER_hh_num!O3)</f>
        <v>15022.397174827694</v>
      </c>
      <c r="P3" s="126">
        <f>IF(SER_hh_emi!P3=0,0,1000000*SER_hh_emi!P3/SER_hh_num!P3)</f>
        <v>12268.787877037064</v>
      </c>
      <c r="Q3" s="126">
        <f>IF(SER_hh_emi!Q3=0,0,1000000*SER_hh_emi!Q3/SER_hh_num!Q3)</f>
        <v>13783.400801778049</v>
      </c>
      <c r="R3" s="126">
        <f>IF(SER_hh_emi!R3=0,0,1000000*SER_hh_emi!R3/SER_hh_num!R3)</f>
        <v>15935.092172452392</v>
      </c>
      <c r="S3" s="126">
        <f>IF(SER_hh_emi!S3=0,0,1000000*SER_hh_emi!S3/SER_hh_num!S3)</f>
        <v>12452.210404668453</v>
      </c>
      <c r="T3" s="126">
        <f>IF(SER_hh_emi!T3=0,0,1000000*SER_hh_emi!T3/SER_hh_num!T3)</f>
        <v>11750.197731194048</v>
      </c>
      <c r="U3" s="126">
        <f>IF(SER_hh_emi!U3=0,0,1000000*SER_hh_emi!U3/SER_hh_num!U3)</f>
        <v>11149.27140212722</v>
      </c>
      <c r="V3" s="126">
        <f>IF(SER_hh_emi!V3=0,0,1000000*SER_hh_emi!V3/SER_hh_num!V3)</f>
        <v>10764.816569391263</v>
      </c>
      <c r="W3" s="126">
        <f>IF(SER_hh_emi!W3=0,0,1000000*SER_hh_emi!W3/SER_hh_num!W3)</f>
        <v>8070.715239909523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37762.776014319054</v>
      </c>
      <c r="C4" s="131">
        <f>IF(SER_hh_emi!C4=0,0,1000000*SER_hh_emi!C4/SER_hh_num!C4)</f>
        <v>60461.610224886528</v>
      </c>
      <c r="D4" s="131">
        <f>IF(SER_hh_emi!D4=0,0,1000000*SER_hh_emi!D4/SER_hh_num!D4)</f>
        <v>49852.708983984325</v>
      </c>
      <c r="E4" s="131">
        <f>IF(SER_hh_emi!E4=0,0,1000000*SER_hh_emi!E4/SER_hh_num!E4)</f>
        <v>33604.77798403694</v>
      </c>
      <c r="F4" s="131">
        <f>IF(SER_hh_emi!F4=0,0,1000000*SER_hh_emi!F4/SER_hh_num!F4)</f>
        <v>32913.040853260638</v>
      </c>
      <c r="G4" s="131">
        <f>IF(SER_hh_emi!G4=0,0,1000000*SER_hh_emi!G4/SER_hh_num!G4)</f>
        <v>27489.473632225181</v>
      </c>
      <c r="H4" s="131">
        <f>IF(SER_hh_emi!H4=0,0,1000000*SER_hh_emi!H4/SER_hh_num!H4)</f>
        <v>20918.740964993794</v>
      </c>
      <c r="I4" s="131">
        <f>IF(SER_hh_emi!I4=0,0,1000000*SER_hh_emi!I4/SER_hh_num!I4)</f>
        <v>12028.3376751711</v>
      </c>
      <c r="J4" s="131">
        <f>IF(SER_hh_emi!J4=0,0,1000000*SER_hh_emi!J4/SER_hh_num!J4)</f>
        <v>21015.334070285113</v>
      </c>
      <c r="K4" s="131">
        <f>IF(SER_hh_emi!K4=0,0,1000000*SER_hh_emi!K4/SER_hh_num!K4)</f>
        <v>19501.879812326086</v>
      </c>
      <c r="L4" s="131">
        <f>IF(SER_hh_emi!L4=0,0,1000000*SER_hh_emi!L4/SER_hh_num!L4)</f>
        <v>20698.881657912731</v>
      </c>
      <c r="M4" s="131">
        <f>IF(SER_hh_emi!M4=0,0,1000000*SER_hh_emi!M4/SER_hh_num!M4)</f>
        <v>17902.669418645997</v>
      </c>
      <c r="N4" s="131">
        <f>IF(SER_hh_emi!N4=0,0,1000000*SER_hh_emi!N4/SER_hh_num!N4)</f>
        <v>11207.518208993723</v>
      </c>
      <c r="O4" s="131">
        <f>IF(SER_hh_emi!O4=0,0,1000000*SER_hh_emi!O4/SER_hh_num!O4)</f>
        <v>11494.821913594315</v>
      </c>
      <c r="P4" s="131">
        <f>IF(SER_hh_emi!P4=0,0,1000000*SER_hh_emi!P4/SER_hh_num!P4)</f>
        <v>8752.5072541601094</v>
      </c>
      <c r="Q4" s="131">
        <f>IF(SER_hh_emi!Q4=0,0,1000000*SER_hh_emi!Q4/SER_hh_num!Q4)</f>
        <v>10206.059109465474</v>
      </c>
      <c r="R4" s="131">
        <f>IF(SER_hh_emi!R4=0,0,1000000*SER_hh_emi!R4/SER_hh_num!R4)</f>
        <v>12259.377570766683</v>
      </c>
      <c r="S4" s="131">
        <f>IF(SER_hh_emi!S4=0,0,1000000*SER_hh_emi!S4/SER_hh_num!S4)</f>
        <v>9095.2417584232189</v>
      </c>
      <c r="T4" s="131">
        <f>IF(SER_hh_emi!T4=0,0,1000000*SER_hh_emi!T4/SER_hh_num!T4)</f>
        <v>8129.9226837129008</v>
      </c>
      <c r="U4" s="131">
        <f>IF(SER_hh_emi!U4=0,0,1000000*SER_hh_emi!U4/SER_hh_num!U4)</f>
        <v>7181.6565261602273</v>
      </c>
      <c r="V4" s="131">
        <f>IF(SER_hh_emi!V4=0,0,1000000*SER_hh_emi!V4/SER_hh_num!V4)</f>
        <v>7315.0767339666236</v>
      </c>
      <c r="W4" s="131">
        <f>IF(SER_hh_emi!W4=0,0,1000000*SER_hh_emi!W4/SER_hh_num!W4)</f>
        <v>5350.1141020154273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74507.658929233192</v>
      </c>
      <c r="C7" s="133">
        <f>IF(SER_hh_emi!C7=0,0,1000000*SER_hh_emi!C7/SER_hh_num!C7)</f>
        <v>109417.92089301988</v>
      </c>
      <c r="D7" s="133">
        <f>IF(SER_hh_emi!D7=0,0,1000000*SER_hh_emi!D7/SER_hh_num!D7)</f>
        <v>86262.039284772487</v>
      </c>
      <c r="E7" s="133">
        <f>IF(SER_hh_emi!E7=0,0,1000000*SER_hh_emi!E7/SER_hh_num!E7)</f>
        <v>58773.371657521297</v>
      </c>
      <c r="F7" s="133">
        <f>IF(SER_hh_emi!F7=0,0,1000000*SER_hh_emi!F7/SER_hh_num!F7)</f>
        <v>54992.652458575336</v>
      </c>
      <c r="G7" s="133">
        <f>IF(SER_hh_emi!G7=0,0,1000000*SER_hh_emi!G7/SER_hh_num!G7)</f>
        <v>48781.865971466359</v>
      </c>
      <c r="H7" s="133">
        <f>IF(SER_hh_emi!H7=0,0,1000000*SER_hh_emi!H7/SER_hh_num!H7)</f>
        <v>38752.674853297794</v>
      </c>
      <c r="I7" s="133">
        <f>IF(SER_hh_emi!I7=0,0,1000000*SER_hh_emi!I7/SER_hh_num!I7)</f>
        <v>22763.119079746186</v>
      </c>
      <c r="J7" s="133">
        <f>IF(SER_hh_emi!J7=0,0,1000000*SER_hh_emi!J7/SER_hh_num!J7)</f>
        <v>40495.648762358578</v>
      </c>
      <c r="K7" s="133">
        <f>IF(SER_hh_emi!K7=0,0,1000000*SER_hh_emi!K7/SER_hh_num!K7)</f>
        <v>38074.203893238919</v>
      </c>
      <c r="L7" s="133">
        <f>IF(SER_hh_emi!L7=0,0,1000000*SER_hh_emi!L7/SER_hh_num!L7)</f>
        <v>44906.543331705099</v>
      </c>
      <c r="M7" s="133">
        <f>IF(SER_hh_emi!M7=0,0,1000000*SER_hh_emi!M7/SER_hh_num!M7)</f>
        <v>40925.435785684189</v>
      </c>
      <c r="N7" s="133">
        <f>IF(SER_hh_emi!N7=0,0,1000000*SER_hh_emi!N7/SER_hh_num!N7)</f>
        <v>33017.057719722434</v>
      </c>
      <c r="O7" s="133">
        <f>IF(SER_hh_emi!O7=0,0,1000000*SER_hh_emi!O7/SER_hh_num!O7)</f>
        <v>33919.290551260681</v>
      </c>
      <c r="P7" s="133">
        <f>IF(SER_hh_emi!P7=0,0,1000000*SER_hh_emi!P7/SER_hh_num!P7)</f>
        <v>26296.595639032479</v>
      </c>
      <c r="Q7" s="133">
        <f>IF(SER_hh_emi!Q7=0,0,1000000*SER_hh_emi!Q7/SER_hh_num!Q7)</f>
        <v>30266.272914092206</v>
      </c>
      <c r="R7" s="133">
        <f>IF(SER_hh_emi!R7=0,0,1000000*SER_hh_emi!R7/SER_hh_num!R7)</f>
        <v>36518.455882371694</v>
      </c>
      <c r="S7" s="133">
        <f>IF(SER_hh_emi!S7=0,0,1000000*SER_hh_emi!S7/SER_hh_num!S7)</f>
        <v>29310.392311523421</v>
      </c>
      <c r="T7" s="133">
        <f>IF(SER_hh_emi!T7=0,0,1000000*SER_hh_emi!T7/SER_hh_num!T7)</f>
        <v>31393.060123955456</v>
      </c>
      <c r="U7" s="133">
        <f>IF(SER_hh_emi!U7=0,0,1000000*SER_hh_emi!U7/SER_hh_num!U7)</f>
        <v>26316.765314159606</v>
      </c>
      <c r="V7" s="133">
        <f>IF(SER_hh_emi!V7=0,0,1000000*SER_hh_emi!V7/SER_hh_num!V7)</f>
        <v>29575.13195849667</v>
      </c>
      <c r="W7" s="133">
        <f>IF(SER_hh_emi!W7=0,0,1000000*SER_hh_emi!W7/SER_hh_num!W7)</f>
        <v>20127.309210012183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29117.396749117306</v>
      </c>
      <c r="C9" s="133">
        <f>IF(SER_hh_emi!C9=0,0,1000000*SER_hh_emi!C9/SER_hh_num!C9)</f>
        <v>73739.602709010956</v>
      </c>
      <c r="D9" s="133">
        <f>IF(SER_hh_emi!D9=0,0,1000000*SER_hh_emi!D9/SER_hh_num!D9)</f>
        <v>71347.739223120196</v>
      </c>
      <c r="E9" s="133">
        <f>IF(SER_hh_emi!E9=0,0,1000000*SER_hh_emi!E9/SER_hh_num!E9)</f>
        <v>33762.503016940427</v>
      </c>
      <c r="F9" s="133">
        <f>IF(SER_hh_emi!F9=0,0,1000000*SER_hh_emi!F9/SER_hh_num!F9)</f>
        <v>46140.129207401122</v>
      </c>
      <c r="G9" s="133">
        <f>IF(SER_hh_emi!G9=0,0,1000000*SER_hh_emi!G9/SER_hh_num!G9)</f>
        <v>24586.422813611814</v>
      </c>
      <c r="H9" s="133">
        <f>IF(SER_hh_emi!H9=0,0,1000000*SER_hh_emi!H9/SER_hh_num!H9)</f>
        <v>17311.334538059789</v>
      </c>
      <c r="I9" s="133">
        <f>IF(SER_hh_emi!I9=0,0,1000000*SER_hh_emi!I9/SER_hh_num!I9)</f>
        <v>16571.815793012742</v>
      </c>
      <c r="J9" s="133">
        <f>IF(SER_hh_emi!J9=0,0,1000000*SER_hh_emi!J9/SER_hh_num!J9)</f>
        <v>18861.962597658588</v>
      </c>
      <c r="K9" s="133">
        <f>IF(SER_hh_emi!K9=0,0,1000000*SER_hh_emi!K9/SER_hh_num!K9)</f>
        <v>21278.075032652647</v>
      </c>
      <c r="L9" s="133">
        <f>IF(SER_hh_emi!L9=0,0,1000000*SER_hh_emi!L9/SER_hh_num!L9)</f>
        <v>25210.100753592225</v>
      </c>
      <c r="M9" s="133">
        <f>IF(SER_hh_emi!M9=0,0,1000000*SER_hh_emi!M9/SER_hh_num!M9)</f>
        <v>36391.223187165953</v>
      </c>
      <c r="N9" s="133">
        <f>IF(SER_hh_emi!N9=0,0,1000000*SER_hh_emi!N9/SER_hh_num!N9)</f>
        <v>9295.700542283912</v>
      </c>
      <c r="O9" s="133">
        <f>IF(SER_hh_emi!O9=0,0,1000000*SER_hh_emi!O9/SER_hh_num!O9)</f>
        <v>19928.965027317372</v>
      </c>
      <c r="P9" s="133">
        <f>IF(SER_hh_emi!P9=0,0,1000000*SER_hh_emi!P9/SER_hh_num!P9)</f>
        <v>16553.405388172494</v>
      </c>
      <c r="Q9" s="133">
        <f>IF(SER_hh_emi!Q9=0,0,1000000*SER_hh_emi!Q9/SER_hh_num!Q9)</f>
        <v>19687.61431904979</v>
      </c>
      <c r="R9" s="133">
        <f>IF(SER_hh_emi!R9=0,0,1000000*SER_hh_emi!R9/SER_hh_num!R9)</f>
        <v>24530.596357928647</v>
      </c>
      <c r="S9" s="133">
        <f>IF(SER_hh_emi!S9=0,0,1000000*SER_hh_emi!S9/SER_hh_num!S9)</f>
        <v>20805.184956638001</v>
      </c>
      <c r="T9" s="133">
        <f>IF(SER_hh_emi!T9=0,0,1000000*SER_hh_emi!T9/SER_hh_num!T9)</f>
        <v>14191.241653560382</v>
      </c>
      <c r="U9" s="133">
        <f>IF(SER_hh_emi!U9=0,0,1000000*SER_hh_emi!U9/SER_hh_num!U9)</f>
        <v>18153.835275965648</v>
      </c>
      <c r="V9" s="133">
        <f>IF(SER_hh_emi!V9=0,0,1000000*SER_hh_emi!V9/SER_hh_num!V9)</f>
        <v>15506.394567715413</v>
      </c>
      <c r="W9" s="133">
        <f>IF(SER_hh_emi!W9=0,0,1000000*SER_hh_emi!W9/SER_hh_num!W9)</f>
        <v>13637.875950514072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4492.3455925659719</v>
      </c>
      <c r="C19" s="131">
        <f>IF(SER_hh_emi!C19=0,0,1000000*SER_hh_emi!C19/SER_hh_num!C19)</f>
        <v>4288.3344857880957</v>
      </c>
      <c r="D19" s="131">
        <f>IF(SER_hh_emi!D19=0,0,1000000*SER_hh_emi!D19/SER_hh_num!D19)</f>
        <v>4155.8717435207336</v>
      </c>
      <c r="E19" s="131">
        <f>IF(SER_hh_emi!E19=0,0,1000000*SER_hh_emi!E19/SER_hh_num!E19)</f>
        <v>4293.6903131051058</v>
      </c>
      <c r="F19" s="131">
        <f>IF(SER_hh_emi!F19=0,0,1000000*SER_hh_emi!F19/SER_hh_num!F19)</f>
        <v>4160.4702554881687</v>
      </c>
      <c r="G19" s="131">
        <f>IF(SER_hh_emi!G19=0,0,1000000*SER_hh_emi!G19/SER_hh_num!G19)</f>
        <v>4017.7837964985497</v>
      </c>
      <c r="H19" s="131">
        <f>IF(SER_hh_emi!H19=0,0,1000000*SER_hh_emi!H19/SER_hh_num!H19)</f>
        <v>3881.6028248918938</v>
      </c>
      <c r="I19" s="131">
        <f>IF(SER_hh_emi!I19=0,0,1000000*SER_hh_emi!I19/SER_hh_num!I19)</f>
        <v>3804.242325789151</v>
      </c>
      <c r="J19" s="131">
        <f>IF(SER_hh_emi!J19=0,0,1000000*SER_hh_emi!J19/SER_hh_num!J19)</f>
        <v>3490.372605942398</v>
      </c>
      <c r="K19" s="131">
        <f>IF(SER_hh_emi!K19=0,0,1000000*SER_hh_emi!K19/SER_hh_num!K19)</f>
        <v>3430.9473959940897</v>
      </c>
      <c r="L19" s="131">
        <f>IF(SER_hh_emi!L19=0,0,1000000*SER_hh_emi!L19/SER_hh_num!L19)</f>
        <v>3330.7701429445233</v>
      </c>
      <c r="M19" s="131">
        <f>IF(SER_hh_emi!M19=0,0,1000000*SER_hh_emi!M19/SER_hh_num!M19)</f>
        <v>2793.0497803620151</v>
      </c>
      <c r="N19" s="131">
        <f>IF(SER_hh_emi!N19=0,0,1000000*SER_hh_emi!N19/SER_hh_num!N19)</f>
        <v>2598.8444982370652</v>
      </c>
      <c r="O19" s="131">
        <f>IF(SER_hh_emi!O19=0,0,1000000*SER_hh_emi!O19/SER_hh_num!O19)</f>
        <v>2260.7874835865564</v>
      </c>
      <c r="P19" s="131">
        <f>IF(SER_hh_emi!P19=0,0,1000000*SER_hh_emi!P19/SER_hh_num!P19)</f>
        <v>1988.1639648483524</v>
      </c>
      <c r="Q19" s="131">
        <f>IF(SER_hh_emi!Q19=0,0,1000000*SER_hh_emi!Q19/SER_hh_num!Q19)</f>
        <v>1836.0269633668058</v>
      </c>
      <c r="R19" s="131">
        <f>IF(SER_hh_emi!R19=0,0,1000000*SER_hh_emi!R19/SER_hh_num!R19)</f>
        <v>1899.466853749351</v>
      </c>
      <c r="S19" s="131">
        <f>IF(SER_hh_emi!S19=0,0,1000000*SER_hh_emi!S19/SER_hh_num!S19)</f>
        <v>1653.9244522635054</v>
      </c>
      <c r="T19" s="131">
        <f>IF(SER_hh_emi!T19=0,0,1000000*SER_hh_emi!T19/SER_hh_num!T19)</f>
        <v>1926.356627085331</v>
      </c>
      <c r="U19" s="131">
        <f>IF(SER_hh_emi!U19=0,0,1000000*SER_hh_emi!U19/SER_hh_num!U19)</f>
        <v>1886.3766828145083</v>
      </c>
      <c r="V19" s="131">
        <f>IF(SER_hh_emi!V19=0,0,1000000*SER_hh_emi!V19/SER_hh_num!V19)</f>
        <v>1712.9926887723825</v>
      </c>
      <c r="W19" s="131">
        <f>IF(SER_hh_emi!W19=0,0,1000000*SER_hh_emi!W19/SER_hh_num!W19)</f>
        <v>1417.8805990112551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5562.5328470575232</v>
      </c>
      <c r="C21" s="133">
        <f>IF(SER_hh_emi!C21=0,0,1000000*SER_hh_emi!C21/SER_hh_num!C21)</f>
        <v>4775.5745189142699</v>
      </c>
      <c r="D21" s="133">
        <f>IF(SER_hh_emi!D21=0,0,1000000*SER_hh_emi!D21/SER_hh_num!D21)</f>
        <v>5101.0217287742189</v>
      </c>
      <c r="E21" s="133">
        <f>IF(SER_hh_emi!E21=0,0,1000000*SER_hh_emi!E21/SER_hh_num!E21)</f>
        <v>4957.8164847534035</v>
      </c>
      <c r="F21" s="133">
        <f>IF(SER_hh_emi!F21=0,0,1000000*SER_hh_emi!F21/SER_hh_num!F21)</f>
        <v>4828.9656979483752</v>
      </c>
      <c r="G21" s="133">
        <f>IF(SER_hh_emi!G21=0,0,1000000*SER_hh_emi!G21/SER_hh_num!G21)</f>
        <v>4750.7105686643208</v>
      </c>
      <c r="H21" s="133">
        <f>IF(SER_hh_emi!H21=0,0,1000000*SER_hh_emi!H21/SER_hh_num!H21)</f>
        <v>4671.8810569418465</v>
      </c>
      <c r="I21" s="133">
        <f>IF(SER_hh_emi!I21=0,0,1000000*SER_hh_emi!I21/SER_hh_num!I21)</f>
        <v>4654.7400890974404</v>
      </c>
      <c r="J21" s="133">
        <f>IF(SER_hh_emi!J21=0,0,1000000*SER_hh_emi!J21/SER_hh_num!J21)</f>
        <v>4510.1341255856305</v>
      </c>
      <c r="K21" s="133">
        <f>IF(SER_hh_emi!K21=0,0,1000000*SER_hh_emi!K21/SER_hh_num!K21)</f>
        <v>4560.1863243093076</v>
      </c>
      <c r="L21" s="133">
        <f>IF(SER_hh_emi!L21=0,0,1000000*SER_hh_emi!L21/SER_hh_num!L21)</f>
        <v>4738.7345285264882</v>
      </c>
      <c r="M21" s="133">
        <f>IF(SER_hh_emi!M21=0,0,1000000*SER_hh_emi!M21/SER_hh_num!M21)</f>
        <v>4482.5082995621669</v>
      </c>
      <c r="N21" s="133">
        <f>IF(SER_hh_emi!N21=0,0,1000000*SER_hh_emi!N21/SER_hh_num!N21)</f>
        <v>4719.2404497693124</v>
      </c>
      <c r="O21" s="133">
        <f>IF(SER_hh_emi!O21=0,0,1000000*SER_hh_emi!O21/SER_hh_num!O21)</f>
        <v>4697.3383251097775</v>
      </c>
      <c r="P21" s="133">
        <f>IF(SER_hh_emi!P21=0,0,1000000*SER_hh_emi!P21/SER_hh_num!P21)</f>
        <v>4812.5855780320007</v>
      </c>
      <c r="Q21" s="133">
        <f>IF(SER_hh_emi!Q21=0,0,1000000*SER_hh_emi!Q21/SER_hh_num!Q21)</f>
        <v>4823.9705826021282</v>
      </c>
      <c r="R21" s="133">
        <f>IF(SER_hh_emi!R21=0,0,1000000*SER_hh_emi!R21/SER_hh_num!R21)</f>
        <v>3679.1083242504706</v>
      </c>
      <c r="S21" s="133">
        <f>IF(SER_hh_emi!S21=0,0,1000000*SER_hh_emi!S21/SER_hh_num!S21)</f>
        <v>4050.7591538009142</v>
      </c>
      <c r="T21" s="133">
        <f>IF(SER_hh_emi!T21=0,0,1000000*SER_hh_emi!T21/SER_hh_num!T21)</f>
        <v>5227.8231753490154</v>
      </c>
      <c r="U21" s="133">
        <f>IF(SER_hh_emi!U21=0,0,1000000*SER_hh_emi!U21/SER_hh_num!U21)</f>
        <v>5954.0917950276089</v>
      </c>
      <c r="V21" s="133">
        <f>IF(SER_hh_emi!V21=0,0,1000000*SER_hh_emi!V21/SER_hh_num!V21)</f>
        <v>4641.4817697840153</v>
      </c>
      <c r="W21" s="133">
        <f>IF(SER_hh_emi!W21=0,0,1000000*SER_hh_emi!W21/SER_hh_num!W21)</f>
        <v>3574.0627410090706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6172.0266804928842</v>
      </c>
      <c r="C22" s="133">
        <f>IF(SER_hh_emi!C22=0,0,1000000*SER_hh_emi!C22/SER_hh_num!C22)</f>
        <v>6578.5066157301399</v>
      </c>
      <c r="D22" s="133">
        <f>IF(SER_hh_emi!D22=0,0,1000000*SER_hh_emi!D22/SER_hh_num!D22)</f>
        <v>5836.6170840165141</v>
      </c>
      <c r="E22" s="133">
        <f>IF(SER_hh_emi!E22=0,0,1000000*SER_hh_emi!E22/SER_hh_num!E22)</f>
        <v>6275.9294381124928</v>
      </c>
      <c r="F22" s="133">
        <f>IF(SER_hh_emi!F22=0,0,1000000*SER_hh_emi!F22/SER_hh_num!F22)</f>
        <v>6057.6178317469248</v>
      </c>
      <c r="G22" s="133">
        <f>IF(SER_hh_emi!G22=0,0,1000000*SER_hh_emi!G22/SER_hh_num!G22)</f>
        <v>5911.6724071473163</v>
      </c>
      <c r="H22" s="133">
        <f>IF(SER_hh_emi!H22=0,0,1000000*SER_hh_emi!H22/SER_hh_num!H22)</f>
        <v>5797.2749013048269</v>
      </c>
      <c r="I22" s="133">
        <f>IF(SER_hh_emi!I22=0,0,1000000*SER_hh_emi!I22/SER_hh_num!I22)</f>
        <v>5756.7576121066104</v>
      </c>
      <c r="J22" s="133">
        <f>IF(SER_hh_emi!J22=0,0,1000000*SER_hh_emi!J22/SER_hh_num!J22)</f>
        <v>5474.6158816758116</v>
      </c>
      <c r="K22" s="133">
        <f>IF(SER_hh_emi!K22=0,0,1000000*SER_hh_emi!K22/SER_hh_num!K22)</f>
        <v>5715.5960760002736</v>
      </c>
      <c r="L22" s="133">
        <f>IF(SER_hh_emi!L22=0,0,1000000*SER_hh_emi!L22/SER_hh_num!L22)</f>
        <v>6013.6175350778076</v>
      </c>
      <c r="M22" s="133">
        <f>IF(SER_hh_emi!M22=0,0,1000000*SER_hh_emi!M22/SER_hh_num!M22)</f>
        <v>5620.5124865165653</v>
      </c>
      <c r="N22" s="133">
        <f>IF(SER_hh_emi!N22=0,0,1000000*SER_hh_emi!N22/SER_hh_num!N22)</f>
        <v>5913.9515802955784</v>
      </c>
      <c r="O22" s="133">
        <f>IF(SER_hh_emi!O22=0,0,1000000*SER_hh_emi!O22/SER_hh_num!O22)</f>
        <v>5838.366179952156</v>
      </c>
      <c r="P22" s="133">
        <f>IF(SER_hh_emi!P22=0,0,1000000*SER_hh_emi!P22/SER_hh_num!P22)</f>
        <v>5701.9282206676808</v>
      </c>
      <c r="Q22" s="133">
        <f>IF(SER_hh_emi!Q22=0,0,1000000*SER_hh_emi!Q22/SER_hh_num!Q22)</f>
        <v>5692.1325100766662</v>
      </c>
      <c r="R22" s="133">
        <f>IF(SER_hh_emi!R22=0,0,1000000*SER_hh_emi!R22/SER_hh_num!R22)</f>
        <v>6832.8765917643486</v>
      </c>
      <c r="S22" s="133">
        <f>IF(SER_hh_emi!S22=0,0,1000000*SER_hh_emi!S22/SER_hh_num!S22)</f>
        <v>5567.9420800031103</v>
      </c>
      <c r="T22" s="133">
        <f>IF(SER_hh_emi!T22=0,0,1000000*SER_hh_emi!T22/SER_hh_num!T22)</f>
        <v>6224.5950534345784</v>
      </c>
      <c r="U22" s="133">
        <f>IF(SER_hh_emi!U22=0,0,1000000*SER_hh_emi!U22/SER_hh_num!U22)</f>
        <v>5171.854856615173</v>
      </c>
      <c r="V22" s="133">
        <f>IF(SER_hh_emi!V22=0,0,1000000*SER_hh_emi!V22/SER_hh_num!V22)</f>
        <v>5463.1903195329278</v>
      </c>
      <c r="W22" s="133">
        <f>IF(SER_hh_emi!W22=0,0,1000000*SER_hh_emi!W22/SER_hh_num!W22)</f>
        <v>4931.776057114248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4549.8497041048095</v>
      </c>
      <c r="C23" s="133">
        <f>IF(SER_hh_emi!C23=0,0,1000000*SER_hh_emi!C23/SER_hh_num!C23)</f>
        <v>4627.6034014204006</v>
      </c>
      <c r="D23" s="133">
        <f>IF(SER_hh_emi!D23=0,0,1000000*SER_hh_emi!D23/SER_hh_num!D23)</f>
        <v>4416.0580131328315</v>
      </c>
      <c r="E23" s="133">
        <f>IF(SER_hh_emi!E23=0,0,1000000*SER_hh_emi!E23/SER_hh_num!E23)</f>
        <v>4273.5169302977474</v>
      </c>
      <c r="F23" s="133">
        <f>IF(SER_hh_emi!F23=0,0,1000000*SER_hh_emi!F23/SER_hh_num!F23)</f>
        <v>4215.4643267188621</v>
      </c>
      <c r="G23" s="133">
        <f>IF(SER_hh_emi!G23=0,0,1000000*SER_hh_emi!G23/SER_hh_num!G23)</f>
        <v>3993.4405765573033</v>
      </c>
      <c r="H23" s="133">
        <f>IF(SER_hh_emi!H23=0,0,1000000*SER_hh_emi!H23/SER_hh_num!H23)</f>
        <v>3645.5659406744289</v>
      </c>
      <c r="I23" s="133">
        <f>IF(SER_hh_emi!I23=0,0,1000000*SER_hh_emi!I23/SER_hh_num!I23)</f>
        <v>3298.8335277192186</v>
      </c>
      <c r="J23" s="133">
        <f>IF(SER_hh_emi!J23=0,0,1000000*SER_hh_emi!J23/SER_hh_num!J23)</f>
        <v>2982.397143775177</v>
      </c>
      <c r="K23" s="133">
        <f>IF(SER_hh_emi!K23=0,0,1000000*SER_hh_emi!K23/SER_hh_num!K23)</f>
        <v>3791.9777983721142</v>
      </c>
      <c r="L23" s="133">
        <f>IF(SER_hh_emi!L23=0,0,1000000*SER_hh_emi!L23/SER_hh_num!L23)</f>
        <v>3709.6629843109204</v>
      </c>
      <c r="M23" s="133">
        <f>IF(SER_hh_emi!M23=0,0,1000000*SER_hh_emi!M23/SER_hh_num!M23)</f>
        <v>3648.2492655250371</v>
      </c>
      <c r="N23" s="133">
        <f>IF(SER_hh_emi!N23=0,0,1000000*SER_hh_emi!N23/SER_hh_num!N23)</f>
        <v>3341.7033200558053</v>
      </c>
      <c r="O23" s="133">
        <f>IF(SER_hh_emi!O23=0,0,1000000*SER_hh_emi!O23/SER_hh_num!O23)</f>
        <v>3687.1423362222081</v>
      </c>
      <c r="P23" s="133">
        <f>IF(SER_hh_emi!P23=0,0,1000000*SER_hh_emi!P23/SER_hh_num!P23)</f>
        <v>3769.9204404037755</v>
      </c>
      <c r="Q23" s="133">
        <f>IF(SER_hh_emi!Q23=0,0,1000000*SER_hh_emi!Q23/SER_hh_num!Q23)</f>
        <v>3696.1385276588408</v>
      </c>
      <c r="R23" s="133">
        <f>IF(SER_hh_emi!R23=0,0,1000000*SER_hh_emi!R23/SER_hh_num!R23)</f>
        <v>4837.1730009180401</v>
      </c>
      <c r="S23" s="133">
        <f>IF(SER_hh_emi!S23=0,0,1000000*SER_hh_emi!S23/SER_hh_num!S23)</f>
        <v>4255.876453798297</v>
      </c>
      <c r="T23" s="133">
        <f>IF(SER_hh_emi!T23=0,0,1000000*SER_hh_emi!T23/SER_hh_num!T23)</f>
        <v>2974.6268162521069</v>
      </c>
      <c r="U23" s="133">
        <f>IF(SER_hh_emi!U23=0,0,1000000*SER_hh_emi!U23/SER_hh_num!U23)</f>
        <v>4038.1955500616345</v>
      </c>
      <c r="V23" s="133">
        <f>IF(SER_hh_emi!V23=0,0,1000000*SER_hh_emi!V23/SER_hh_num!V23)</f>
        <v>3570.9224703781392</v>
      </c>
      <c r="W23" s="133">
        <f>IF(SER_hh_emi!W23=0,0,1000000*SER_hh_emi!W23/SER_hh_num!W23)</f>
        <v>3521.339251657535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3600.7434974617695</v>
      </c>
      <c r="C29" s="131">
        <f>IF(SER_hh_emi!C29=0,0,1000000*SER_hh_emi!C29/SER_hh_num!C29)</f>
        <v>4143.7130703445018</v>
      </c>
      <c r="D29" s="131">
        <f>IF(SER_hh_emi!D29=0,0,1000000*SER_hh_emi!D29/SER_hh_num!D29)</f>
        <v>2408.9462082484529</v>
      </c>
      <c r="E29" s="131">
        <f>IF(SER_hh_emi!E29=0,0,1000000*SER_hh_emi!E29/SER_hh_num!E29)</f>
        <v>1616.5426700441467</v>
      </c>
      <c r="F29" s="131">
        <f>IF(SER_hh_emi!F29=0,0,1000000*SER_hh_emi!F29/SER_hh_num!F29)</f>
        <v>1704.0610188566266</v>
      </c>
      <c r="G29" s="131">
        <f>IF(SER_hh_emi!G29=0,0,1000000*SER_hh_emi!G29/SER_hh_num!G29)</f>
        <v>1349.6611311666375</v>
      </c>
      <c r="H29" s="131">
        <f>IF(SER_hh_emi!H29=0,0,1000000*SER_hh_emi!H29/SER_hh_num!H29)</f>
        <v>861.33041591386223</v>
      </c>
      <c r="I29" s="131">
        <f>IF(SER_hh_emi!I29=0,0,1000000*SER_hh_emi!I29/SER_hh_num!I29)</f>
        <v>1954.2288367962817</v>
      </c>
      <c r="J29" s="131">
        <f>IF(SER_hh_emi!J29=0,0,1000000*SER_hh_emi!J29/SER_hh_num!J29)</f>
        <v>1172.7127696133314</v>
      </c>
      <c r="K29" s="131">
        <f>IF(SER_hh_emi!K29=0,0,1000000*SER_hh_emi!K29/SER_hh_num!K29)</f>
        <v>1444.7551027069494</v>
      </c>
      <c r="L29" s="131">
        <f>IF(SER_hh_emi!L29=0,0,1000000*SER_hh_emi!L29/SER_hh_num!L29)</f>
        <v>1869.4319846832284</v>
      </c>
      <c r="M29" s="131">
        <f>IF(SER_hh_emi!M29=0,0,1000000*SER_hh_emi!M29/SER_hh_num!M29)</f>
        <v>877.34063528771344</v>
      </c>
      <c r="N29" s="131">
        <f>IF(SER_hh_emi!N29=0,0,1000000*SER_hh_emi!N29/SER_hh_num!N29)</f>
        <v>1476.8077444219521</v>
      </c>
      <c r="O29" s="131">
        <f>IF(SER_hh_emi!O29=0,0,1000000*SER_hh_emi!O29/SER_hh_num!O29)</f>
        <v>1266.787777646826</v>
      </c>
      <c r="P29" s="131">
        <f>IF(SER_hh_emi!P29=0,0,1000000*SER_hh_emi!P29/SER_hh_num!P29)</f>
        <v>1528.1166580286049</v>
      </c>
      <c r="Q29" s="131">
        <f>IF(SER_hh_emi!Q29=0,0,1000000*SER_hh_emi!Q29/SER_hh_num!Q29)</f>
        <v>1741.3147289457681</v>
      </c>
      <c r="R29" s="131">
        <f>IF(SER_hh_emi!R29=0,0,1000000*SER_hh_emi!R29/SER_hh_num!R29)</f>
        <v>1776.2477479363592</v>
      </c>
      <c r="S29" s="131">
        <f>IF(SER_hh_emi!S29=0,0,1000000*SER_hh_emi!S29/SER_hh_num!S29)</f>
        <v>1703.0441939817301</v>
      </c>
      <c r="T29" s="131">
        <f>IF(SER_hh_emi!T29=0,0,1000000*SER_hh_emi!T29/SER_hh_num!T29)</f>
        <v>1693.9184203958162</v>
      </c>
      <c r="U29" s="131">
        <f>IF(SER_hh_emi!U29=0,0,1000000*SER_hh_emi!U29/SER_hh_num!U29)</f>
        <v>2081.2381931524874</v>
      </c>
      <c r="V29" s="131">
        <f>IF(SER_hh_emi!V29=0,0,1000000*SER_hh_emi!V29/SER_hh_num!V29)</f>
        <v>1736.7471466522582</v>
      </c>
      <c r="W29" s="131">
        <f>IF(SER_hh_emi!W29=0,0,1000000*SER_hh_emi!W29/SER_hh_num!W29)</f>
        <v>1302.7205388828402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6179.099089024061</v>
      </c>
      <c r="C30" s="133">
        <f>IF(SER_hh_emi!C30=0,0,1000000*SER_hh_emi!C30/SER_hh_num!C30)</f>
        <v>6853.559963078259</v>
      </c>
      <c r="D30" s="133">
        <f>IF(SER_hh_emi!D30=0,0,1000000*SER_hh_emi!D30/SER_hh_num!D30)</f>
        <v>4803.4020553401397</v>
      </c>
      <c r="E30" s="133">
        <f>IF(SER_hh_emi!E30=0,0,1000000*SER_hh_emi!E30/SER_hh_num!E30)</f>
        <v>4002.4074564914617</v>
      </c>
      <c r="F30" s="133">
        <f>IF(SER_hh_emi!F30=0,0,1000000*SER_hh_emi!F30/SER_hh_num!F30)</f>
        <v>5948.2798854996181</v>
      </c>
      <c r="G30" s="133">
        <f>IF(SER_hh_emi!G30=0,0,1000000*SER_hh_emi!G30/SER_hh_num!G30)</f>
        <v>5118.4814928649257</v>
      </c>
      <c r="H30" s="133">
        <f>IF(SER_hh_emi!H30=0,0,1000000*SER_hh_emi!H30/SER_hh_num!H30)</f>
        <v>3493.3019650155106</v>
      </c>
      <c r="I30" s="133">
        <f>IF(SER_hh_emi!I30=0,0,1000000*SER_hh_emi!I30/SER_hh_num!I30)</f>
        <v>7407.0307213876567</v>
      </c>
      <c r="J30" s="133">
        <f>IF(SER_hh_emi!J30=0,0,1000000*SER_hh_emi!J30/SER_hh_num!J30)</f>
        <v>4487.3926619429576</v>
      </c>
      <c r="K30" s="133">
        <f>IF(SER_hh_emi!K30=0,0,1000000*SER_hh_emi!K30/SER_hh_num!K30)</f>
        <v>4975.2908147034295</v>
      </c>
      <c r="L30" s="133">
        <f>IF(SER_hh_emi!L30=0,0,1000000*SER_hh_emi!L30/SER_hh_num!L30)</f>
        <v>6759.3359738110048</v>
      </c>
      <c r="M30" s="133">
        <f>IF(SER_hh_emi!M30=0,0,1000000*SER_hh_emi!M30/SER_hh_num!M30)</f>
        <v>3237.5669199466975</v>
      </c>
      <c r="N30" s="133">
        <f>IF(SER_hh_emi!N30=0,0,1000000*SER_hh_emi!N30/SER_hh_num!N30)</f>
        <v>6316.5001086172306</v>
      </c>
      <c r="O30" s="133">
        <f>IF(SER_hh_emi!O30=0,0,1000000*SER_hh_emi!O30/SER_hh_num!O30)</f>
        <v>5139.9979550186954</v>
      </c>
      <c r="P30" s="133">
        <f>IF(SER_hh_emi!P30=0,0,1000000*SER_hh_emi!P30/SER_hh_num!P30)</f>
        <v>5413.3109512229967</v>
      </c>
      <c r="Q30" s="133">
        <f>IF(SER_hh_emi!Q30=0,0,1000000*SER_hh_emi!Q30/SER_hh_num!Q30)</f>
        <v>6248.1593085786153</v>
      </c>
      <c r="R30" s="133">
        <f>IF(SER_hh_emi!R30=0,0,1000000*SER_hh_emi!R30/SER_hh_num!R30)</f>
        <v>5358.7260072954869</v>
      </c>
      <c r="S30" s="133">
        <f>IF(SER_hh_emi!S30=0,0,1000000*SER_hh_emi!S30/SER_hh_num!S30)</f>
        <v>5601.9491464821958</v>
      </c>
      <c r="T30" s="133">
        <f>IF(SER_hh_emi!T30=0,0,1000000*SER_hh_emi!T30/SER_hh_num!T30)</f>
        <v>6281.8917688964057</v>
      </c>
      <c r="U30" s="133">
        <f>IF(SER_hh_emi!U30=0,0,1000000*SER_hh_emi!U30/SER_hh_num!U30)</f>
        <v>7324.8341216469362</v>
      </c>
      <c r="V30" s="133">
        <f>IF(SER_hh_emi!V30=0,0,1000000*SER_hh_emi!V30/SER_hh_num!V30)</f>
        <v>6173.5720196619477</v>
      </c>
      <c r="W30" s="133">
        <f>IF(SER_hh_emi!W30=0,0,1000000*SER_hh_emi!W30/SER_hh_num!W30)</f>
        <v>4575.4677851243332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684.91776409327235</v>
      </c>
      <c r="C31" s="133">
        <f>IF(SER_hh_emi!C31=0,0,1000000*SER_hh_emi!C31/SER_hh_num!C31)</f>
        <v>6721.3075113731857</v>
      </c>
      <c r="D31" s="133">
        <f>IF(SER_hh_emi!D31=0,0,1000000*SER_hh_emi!D31/SER_hh_num!D31)</f>
        <v>6129.0461916575296</v>
      </c>
      <c r="E31" s="133">
        <f>IF(SER_hh_emi!E31=0,0,1000000*SER_hh_emi!E31/SER_hh_num!E31)</f>
        <v>5040.2745831309649</v>
      </c>
      <c r="F31" s="133">
        <f>IF(SER_hh_emi!F31=0,0,1000000*SER_hh_emi!F31/SER_hh_num!F31)</f>
        <v>5435.8633007688386</v>
      </c>
      <c r="G31" s="133">
        <f>IF(SER_hh_emi!G31=0,0,1000000*SER_hh_emi!G31/SER_hh_num!G31)</f>
        <v>4756.0735885091162</v>
      </c>
      <c r="H31" s="133">
        <f>IF(SER_hh_emi!H31=0,0,1000000*SER_hh_emi!H31/SER_hh_num!H31)</f>
        <v>3249.1289985690587</v>
      </c>
      <c r="I31" s="133">
        <f>IF(SER_hh_emi!I31=0,0,1000000*SER_hh_emi!I31/SER_hh_num!I31)</f>
        <v>3195.9825548298536</v>
      </c>
      <c r="J31" s="133">
        <f>IF(SER_hh_emi!J31=0,0,1000000*SER_hh_emi!J31/SER_hh_num!J31)</f>
        <v>1627.8500455281587</v>
      </c>
      <c r="K31" s="133">
        <f>IF(SER_hh_emi!K31=0,0,1000000*SER_hh_emi!K31/SER_hh_num!K31)</f>
        <v>4844.8029874247241</v>
      </c>
      <c r="L31" s="133">
        <f>IF(SER_hh_emi!L31=0,0,1000000*SER_hh_emi!L31/SER_hh_num!L31)</f>
        <v>4400.0066375666238</v>
      </c>
      <c r="M31" s="133">
        <f>IF(SER_hh_emi!M31=0,0,1000000*SER_hh_emi!M31/SER_hh_num!M31)</f>
        <v>4340.8153523426399</v>
      </c>
      <c r="N31" s="133">
        <f>IF(SER_hh_emi!N31=0,0,1000000*SER_hh_emi!N31/SER_hh_num!N31)</f>
        <v>3294.8558958056133</v>
      </c>
      <c r="O31" s="133">
        <f>IF(SER_hh_emi!O31=0,0,1000000*SER_hh_emi!O31/SER_hh_num!O31)</f>
        <v>4126.169843140523</v>
      </c>
      <c r="P31" s="133">
        <f>IF(SER_hh_emi!P31=0,0,1000000*SER_hh_emi!P31/SER_hh_num!P31)</f>
        <v>5091.3472810765943</v>
      </c>
      <c r="Q31" s="133">
        <f>IF(SER_hh_emi!Q31=0,0,1000000*SER_hh_emi!Q31/SER_hh_num!Q31)</f>
        <v>5139.5516142190208</v>
      </c>
      <c r="R31" s="133">
        <f>IF(SER_hh_emi!R31=0,0,1000000*SER_hh_emi!R31/SER_hh_num!R31)</f>
        <v>6699.8180049551684</v>
      </c>
      <c r="S31" s="133">
        <f>IF(SER_hh_emi!S31=0,0,1000000*SER_hh_emi!S31/SER_hh_num!S31)</f>
        <v>5676.8306954762329</v>
      </c>
      <c r="T31" s="133">
        <f>IF(SER_hh_emi!T31=0,0,1000000*SER_hh_emi!T31/SER_hh_num!T31)</f>
        <v>3947.5336449967535</v>
      </c>
      <c r="U31" s="133">
        <f>IF(SER_hh_emi!U31=0,0,1000000*SER_hh_emi!U31/SER_hh_num!U31)</f>
        <v>5410.3204699220378</v>
      </c>
      <c r="V31" s="133">
        <f>IF(SER_hh_emi!V31=0,0,1000000*SER_hh_emi!V31/SER_hh_num!V31)</f>
        <v>4841.6375538913771</v>
      </c>
      <c r="W31" s="133">
        <f>IF(SER_hh_emi!W31=0,0,1000000*SER_hh_emi!W31/SER_hh_num!W31)</f>
        <v>4594.3902622637088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313.96989109483337</v>
      </c>
      <c r="C3" s="126">
        <f>IF(SER_hh_fech!C3=0,0,SER_hh_fech!C3/SER_summary!C$26)</f>
        <v>418.28242569182328</v>
      </c>
      <c r="D3" s="126">
        <f>IF(SER_hh_fech!D3=0,0,SER_hh_fech!D3/SER_summary!D$26)</f>
        <v>385.60602967433437</v>
      </c>
      <c r="E3" s="126">
        <f>IF(SER_hh_fech!E3=0,0,SER_hh_fech!E3/SER_summary!E$26)</f>
        <v>249.4909240568924</v>
      </c>
      <c r="F3" s="126">
        <f>IF(SER_hh_fech!F3=0,0,SER_hh_fech!F3/SER_summary!F$26)</f>
        <v>259.74278528661711</v>
      </c>
      <c r="G3" s="126">
        <f>IF(SER_hh_fech!G3=0,0,SER_hh_fech!G3/SER_summary!G$26)</f>
        <v>212.26683833874992</v>
      </c>
      <c r="H3" s="126">
        <f>IF(SER_hh_fech!H3=0,0,SER_hh_fech!H3/SER_summary!H$26)</f>
        <v>178.73211861864527</v>
      </c>
      <c r="I3" s="126">
        <f>IF(SER_hh_fech!I3=0,0,SER_hh_fech!I3/SER_summary!I$26)</f>
        <v>137.4083239434716</v>
      </c>
      <c r="J3" s="126">
        <f>IF(SER_hh_fech!J3=0,0,SER_hh_fech!J3/SER_summary!J$26)</f>
        <v>186.14652195826241</v>
      </c>
      <c r="K3" s="126">
        <f>IF(SER_hh_fech!K3=0,0,SER_hh_fech!K3/SER_summary!K$26)</f>
        <v>181.23102120383462</v>
      </c>
      <c r="L3" s="126">
        <f>IF(SER_hh_fech!L3=0,0,SER_hh_fech!L3/SER_summary!L$26)</f>
        <v>199.3166888556454</v>
      </c>
      <c r="M3" s="126">
        <f>IF(SER_hh_fech!M3=0,0,SER_hh_fech!M3/SER_summary!M$26)</f>
        <v>191.09495560327468</v>
      </c>
      <c r="N3" s="126">
        <f>IF(SER_hh_fech!N3=0,0,SER_hh_fech!N3/SER_summary!N$26)</f>
        <v>157.58232806514016</v>
      </c>
      <c r="O3" s="126">
        <f>IF(SER_hh_fech!O3=0,0,SER_hh_fech!O3/SER_summary!O$26)</f>
        <v>160.58129225252932</v>
      </c>
      <c r="P3" s="126">
        <f>IF(SER_hh_fech!P3=0,0,SER_hh_fech!P3/SER_summary!P$26)</f>
        <v>138.96712556467057</v>
      </c>
      <c r="Q3" s="126">
        <f>IF(SER_hh_fech!Q3=0,0,SER_hh_fech!Q3/SER_summary!Q$26)</f>
        <v>149.06403151643792</v>
      </c>
      <c r="R3" s="126">
        <f>IF(SER_hh_fech!R3=0,0,SER_hh_fech!R3/SER_summary!R$26)</f>
        <v>161.45863991490023</v>
      </c>
      <c r="S3" s="126">
        <f>IF(SER_hh_fech!S3=0,0,SER_hh_fech!S3/SER_summary!S$26)</f>
        <v>155.82825890630141</v>
      </c>
      <c r="T3" s="126">
        <f>IF(SER_hh_fech!T3=0,0,SER_hh_fech!T3/SER_summary!T$26)</f>
        <v>153.38358489630269</v>
      </c>
      <c r="U3" s="126">
        <f>IF(SER_hh_fech!U3=0,0,SER_hh_fech!U3/SER_summary!U$26)</f>
        <v>144.81005367892126</v>
      </c>
      <c r="V3" s="126">
        <f>IF(SER_hh_fech!V3=0,0,SER_hh_fech!V3/SER_summary!V$26)</f>
        <v>131.52828624699674</v>
      </c>
      <c r="W3" s="126">
        <f>IF(SER_hh_fech!W3=0,0,SER_hh_fech!W3/SER_summary!W$26)</f>
        <v>127.83394027104144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261.12320485335749</v>
      </c>
      <c r="C4" s="131">
        <f>IF(SER_hh_fech!C4=0,0,SER_hh_fech!C4/SER_summary!C$26)</f>
        <v>364.54454472050594</v>
      </c>
      <c r="D4" s="131">
        <f>IF(SER_hh_fech!D4=0,0,SER_hh_fech!D4/SER_summary!D$26)</f>
        <v>334.86391272921094</v>
      </c>
      <c r="E4" s="131">
        <f>IF(SER_hh_fech!E4=0,0,SER_hh_fech!E4/SER_summary!E$26)</f>
        <v>199.89399754553841</v>
      </c>
      <c r="F4" s="131">
        <f>IF(SER_hh_fech!F4=0,0,SER_hh_fech!F4/SER_summary!F$26)</f>
        <v>211.71929275168517</v>
      </c>
      <c r="G4" s="131">
        <f>IF(SER_hh_fech!G4=0,0,SER_hh_fech!G4/SER_summary!G$26)</f>
        <v>165.16700247434471</v>
      </c>
      <c r="H4" s="131">
        <f>IF(SER_hh_fech!H4=0,0,SER_hh_fech!H4/SER_summary!H$26)</f>
        <v>132.84086143282062</v>
      </c>
      <c r="I4" s="131">
        <f>IF(SER_hh_fech!I4=0,0,SER_hh_fech!I4/SER_summary!I$26)</f>
        <v>91.533441535583393</v>
      </c>
      <c r="J4" s="131">
        <f>IF(SER_hh_fech!J4=0,0,SER_hh_fech!J4/SER_summary!J$26)</f>
        <v>142.43721363160762</v>
      </c>
      <c r="K4" s="131">
        <f>IF(SER_hh_fech!K4=0,0,SER_hh_fech!K4/SER_summary!K$26)</f>
        <v>136.63358355141426</v>
      </c>
      <c r="L4" s="131">
        <f>IF(SER_hh_fech!L4=0,0,SER_hh_fech!L4/SER_summary!L$26)</f>
        <v>153.78618399493342</v>
      </c>
      <c r="M4" s="131">
        <f>IF(SER_hh_fech!M4=0,0,SER_hh_fech!M4/SER_summary!M$26)</f>
        <v>147.026520640424</v>
      </c>
      <c r="N4" s="131">
        <f>IF(SER_hh_fech!N4=0,0,SER_hh_fech!N4/SER_summary!N$26)</f>
        <v>111.78206822354335</v>
      </c>
      <c r="O4" s="131">
        <f>IF(SER_hh_fech!O4=0,0,SER_hh_fech!O4/SER_summary!O$26)</f>
        <v>114.97966342218504</v>
      </c>
      <c r="P4" s="131">
        <f>IF(SER_hh_fech!P4=0,0,SER_hh_fech!P4/SER_summary!P$26)</f>
        <v>93.142193392549956</v>
      </c>
      <c r="Q4" s="131">
        <f>IF(SER_hh_fech!Q4=0,0,SER_hh_fech!Q4/SER_summary!Q$26)</f>
        <v>101.130489554143</v>
      </c>
      <c r="R4" s="131">
        <f>IF(SER_hh_fech!R4=0,0,SER_hh_fech!R4/SER_summary!R$26)</f>
        <v>113.37355099229616</v>
      </c>
      <c r="S4" s="131">
        <f>IF(SER_hh_fech!S4=0,0,SER_hh_fech!S4/SER_summary!S$26)</f>
        <v>107.68140877199674</v>
      </c>
      <c r="T4" s="131">
        <f>IF(SER_hh_fech!T4=0,0,SER_hh_fech!T4/SER_summary!T$26)</f>
        <v>105.98126742329181</v>
      </c>
      <c r="U4" s="131">
        <f>IF(SER_hh_fech!U4=0,0,SER_hh_fech!U4/SER_summary!U$26)</f>
        <v>96.707454394744389</v>
      </c>
      <c r="V4" s="131">
        <f>IF(SER_hh_fech!V4=0,0,SER_hh_fech!V4/SER_summary!V$26)</f>
        <v>86.481269455815209</v>
      </c>
      <c r="W4" s="131">
        <f>IF(SER_hh_fech!W4=0,0,SER_hh_fech!W4/SER_summary!W$26)</f>
        <v>83.370391308356929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310.09301917827963</v>
      </c>
      <c r="C7" s="133">
        <f>IF(SER_hh_fech!C7=0,0,SER_hh_fech!C7/SER_summary!C$26)</f>
        <v>454.81841046257335</v>
      </c>
      <c r="D7" s="133">
        <f>IF(SER_hh_fech!D7=0,0,SER_hh_fech!D7/SER_summary!D$26)</f>
        <v>358.2496888750764</v>
      </c>
      <c r="E7" s="133">
        <f>IF(SER_hh_fech!E7=0,0,SER_hh_fech!E7/SER_summary!E$26)</f>
        <v>244.36220954146583</v>
      </c>
      <c r="F7" s="133">
        <f>IF(SER_hh_fech!F7=0,0,SER_hh_fech!F7/SER_summary!F$26)</f>
        <v>229.11497293644757</v>
      </c>
      <c r="G7" s="133">
        <f>IF(SER_hh_fech!G7=0,0,SER_hh_fech!G7/SER_summary!G$26)</f>
        <v>203.2418225374432</v>
      </c>
      <c r="H7" s="133">
        <f>IF(SER_hh_fech!H7=0,0,SER_hh_fech!H7/SER_summary!H$26)</f>
        <v>161.4651679504579</v>
      </c>
      <c r="I7" s="133">
        <f>IF(SER_hh_fech!I7=0,0,SER_hh_fech!I7/SER_summary!I$26)</f>
        <v>94.860183241436062</v>
      </c>
      <c r="J7" s="133">
        <f>IF(SER_hh_fech!J7=0,0,SER_hh_fech!J7/SER_summary!J$26)</f>
        <v>168.72235696118747</v>
      </c>
      <c r="K7" s="133">
        <f>IF(SER_hh_fech!K7=0,0,SER_hh_fech!K7/SER_summary!K$26)</f>
        <v>158.63743121884519</v>
      </c>
      <c r="L7" s="133">
        <f>IF(SER_hh_fech!L7=0,0,SER_hh_fech!L7/SER_summary!L$26)</f>
        <v>187.10208229930782</v>
      </c>
      <c r="M7" s="133">
        <f>IF(SER_hh_fech!M7=0,0,SER_hh_fech!M7/SER_summary!M$26)</f>
        <v>170.52838516691878</v>
      </c>
      <c r="N7" s="133">
        <f>IF(SER_hh_fech!N7=0,0,SER_hh_fech!N7/SER_summary!N$26)</f>
        <v>137.5962228362342</v>
      </c>
      <c r="O7" s="133">
        <f>IF(SER_hh_fech!O7=0,0,SER_hh_fech!O7/SER_summary!O$26)</f>
        <v>141.36315720823853</v>
      </c>
      <c r="P7" s="133">
        <f>IF(SER_hh_fech!P7=0,0,SER_hh_fech!P7/SER_summary!P$26)</f>
        <v>109.61953002116483</v>
      </c>
      <c r="Q7" s="133">
        <f>IF(SER_hh_fech!Q7=0,0,SER_hh_fech!Q7/SER_summary!Q$26)</f>
        <v>126.16185663938319</v>
      </c>
      <c r="R7" s="133">
        <f>IF(SER_hh_fech!R7=0,0,SER_hh_fech!R7/SER_summary!R$26)</f>
        <v>152.20582883442046</v>
      </c>
      <c r="S7" s="133">
        <f>IF(SER_hh_fech!S7=0,0,SER_hh_fech!S7/SER_summary!S$26)</f>
        <v>122.12297710397777</v>
      </c>
      <c r="T7" s="133">
        <f>IF(SER_hh_fech!T7=0,0,SER_hh_fech!T7/SER_summary!T$26)</f>
        <v>130.80648720813201</v>
      </c>
      <c r="U7" s="133">
        <f>IF(SER_hh_fech!U7=0,0,SER_hh_fech!U7/SER_summary!U$26)</f>
        <v>109.66357086140118</v>
      </c>
      <c r="V7" s="133">
        <f>IF(SER_hh_fech!V7=0,0,SER_hh_fech!V7/SER_summary!V$26)</f>
        <v>123.23154629945438</v>
      </c>
      <c r="W7" s="133">
        <f>IF(SER_hh_fech!W7=0,0,SER_hh_fech!W7/SER_summary!W$26)</f>
        <v>83.879222621928989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165.91550664275724</v>
      </c>
      <c r="C9" s="133">
        <f>IF(SER_hh_fech!C9=0,0,SER_hh_fech!C9/SER_summary!C$26)</f>
        <v>411.8389422983534</v>
      </c>
      <c r="D9" s="133">
        <f>IF(SER_hh_fech!D9=0,0,SER_hh_fech!D9/SER_summary!D$26)</f>
        <v>397.88209715936802</v>
      </c>
      <c r="E9" s="133">
        <f>IF(SER_hh_fech!E9=0,0,SER_hh_fech!E9/SER_summary!E$26)</f>
        <v>190.1365291633324</v>
      </c>
      <c r="F9" s="133">
        <f>IF(SER_hh_fech!F9=0,0,SER_hh_fech!F9/SER_summary!F$26)</f>
        <v>260.74135470292367</v>
      </c>
      <c r="G9" s="133">
        <f>IF(SER_hh_fech!G9=0,0,SER_hh_fech!G9/SER_summary!G$26)</f>
        <v>142.98910864658328</v>
      </c>
      <c r="H9" s="133">
        <f>IF(SER_hh_fech!H9=0,0,SER_hh_fech!H9/SER_summary!H$26)</f>
        <v>104.77130099388678</v>
      </c>
      <c r="I9" s="133">
        <f>IF(SER_hh_fech!I9=0,0,SER_hh_fech!I9/SER_summary!I$26)</f>
        <v>104.70420160590393</v>
      </c>
      <c r="J9" s="133">
        <f>IF(SER_hh_fech!J9=0,0,SER_hh_fech!J9/SER_summary!J$26)</f>
        <v>120.63471733159582</v>
      </c>
      <c r="K9" s="133">
        <f>IF(SER_hh_fech!K9=0,0,SER_hh_fech!K9/SER_summary!K$26)</f>
        <v>129.39322118919983</v>
      </c>
      <c r="L9" s="133">
        <f>IF(SER_hh_fech!L9=0,0,SER_hh_fech!L9/SER_summary!L$26)</f>
        <v>152.15868692346308</v>
      </c>
      <c r="M9" s="133">
        <f>IF(SER_hh_fech!M9=0,0,SER_hh_fech!M9/SER_summary!M$26)</f>
        <v>211.00664896769086</v>
      </c>
      <c r="N9" s="133">
        <f>IF(SER_hh_fech!N9=0,0,SER_hh_fech!N9/SER_summary!N$26)</f>
        <v>59.100691023668404</v>
      </c>
      <c r="O9" s="133">
        <f>IF(SER_hh_fech!O9=0,0,SER_hh_fech!O9/SER_summary!O$26)</f>
        <v>116.46954480399366</v>
      </c>
      <c r="P9" s="133">
        <f>IF(SER_hh_fech!P9=0,0,SER_hh_fech!P9/SER_summary!P$26)</f>
        <v>95.336483215375409</v>
      </c>
      <c r="Q9" s="133">
        <f>IF(SER_hh_fech!Q9=0,0,SER_hh_fech!Q9/SER_summary!Q$26)</f>
        <v>111.61708788624759</v>
      </c>
      <c r="R9" s="133">
        <f>IF(SER_hh_fech!R9=0,0,SER_hh_fech!R9/SER_summary!R$26)</f>
        <v>137.58141377472805</v>
      </c>
      <c r="S9" s="133">
        <f>IF(SER_hh_fech!S9=0,0,SER_hh_fech!S9/SER_summary!S$26)</f>
        <v>116.33921086051879</v>
      </c>
      <c r="T9" s="133">
        <f>IF(SER_hh_fech!T9=0,0,SER_hh_fech!T9/SER_summary!T$26)</f>
        <v>80.952191869898982</v>
      </c>
      <c r="U9" s="133">
        <f>IF(SER_hh_fech!U9=0,0,SER_hh_fech!U9/SER_summary!U$26)</f>
        <v>102.09558470837041</v>
      </c>
      <c r="V9" s="133">
        <f>IF(SER_hh_fech!V9=0,0,SER_hh_fech!V9/SER_summary!V$26)</f>
        <v>94.434442864994679</v>
      </c>
      <c r="W9" s="133">
        <f>IF(SER_hh_fech!W9=0,0,SER_hh_fech!W9/SER_summary!W$26)</f>
        <v>82.306391174815943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258.30282196618089</v>
      </c>
      <c r="C10" s="133">
        <f>IF(SER_hh_fech!C10=0,0,SER_hh_fech!C10/SER_summary!C$26)</f>
        <v>465.11197344408481</v>
      </c>
      <c r="D10" s="133">
        <f>IF(SER_hh_fech!D10=0,0,SER_hh_fech!D10/SER_summary!D$26)</f>
        <v>463.61359031556253</v>
      </c>
      <c r="E10" s="133">
        <f>IF(SER_hh_fech!E10=0,0,SER_hh_fech!E10/SER_summary!E$26)</f>
        <v>201.45874839795394</v>
      </c>
      <c r="F10" s="133">
        <f>IF(SER_hh_fech!F10=0,0,SER_hh_fech!F10/SER_summary!F$26)</f>
        <v>237.1046860860057</v>
      </c>
      <c r="G10" s="133">
        <f>IF(SER_hh_fech!G10=0,0,SER_hh_fech!G10/SER_summary!G$26)</f>
        <v>353.98285418705393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0</v>
      </c>
      <c r="O10" s="133">
        <f>IF(SER_hh_fech!O10=0,0,SER_hh_fech!O10/SER_summary!O$26)</f>
        <v>0</v>
      </c>
      <c r="P10" s="133">
        <f>IF(SER_hh_fech!P10=0,0,SER_hh_fech!P10/SER_summary!P$26)</f>
        <v>0</v>
      </c>
      <c r="Q10" s="133">
        <f>IF(SER_hh_fech!Q10=0,0,SER_hh_fech!Q10/SER_summary!Q$26)</f>
        <v>0</v>
      </c>
      <c r="R10" s="133">
        <f>IF(SER_hh_fech!R10=0,0,SER_hh_fech!R10/SER_summary!R$26)</f>
        <v>0</v>
      </c>
      <c r="S10" s="133">
        <f>IF(SER_hh_fech!S10=0,0,SER_hh_fech!S10/SER_summary!S$26)</f>
        <v>0</v>
      </c>
      <c r="T10" s="133">
        <f>IF(SER_hh_fech!T10=0,0,SER_hh_fech!T10/SER_summary!T$26)</f>
        <v>0</v>
      </c>
      <c r="U10" s="133">
        <f>IF(SER_hh_fech!U10=0,0,SER_hh_fech!U10/SER_summary!U$26)</f>
        <v>0</v>
      </c>
      <c r="V10" s="133">
        <f>IF(SER_hh_fech!V10=0,0,SER_hh_fech!V10/SER_summary!V$26)</f>
        <v>0</v>
      </c>
      <c r="W10" s="133">
        <f>IF(SER_hh_fech!W10=0,0,SER_hh_fech!W10/SER_summary!W$26)</f>
        <v>0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162.70915728700302</v>
      </c>
      <c r="M11" s="133">
        <f>IF(SER_hh_fech!M11=0,0,SER_hh_fech!M11/SER_summary!M$26)</f>
        <v>128.67595673435255</v>
      </c>
      <c r="N11" s="133">
        <f>IF(SER_hh_fech!N11=0,0,SER_hh_fech!N11/SER_summary!N$26)</f>
        <v>84.853013755066186</v>
      </c>
      <c r="O11" s="133">
        <f>IF(SER_hh_fech!O11=0,0,SER_hh_fech!O11/SER_summary!O$26)</f>
        <v>87.65430169993887</v>
      </c>
      <c r="P11" s="133">
        <f>IF(SER_hh_fech!P11=0,0,SER_hh_fech!P11/SER_summary!P$26)</f>
        <v>88.765013011553663</v>
      </c>
      <c r="Q11" s="133">
        <f>IF(SER_hh_fech!Q11=0,0,SER_hh_fech!Q11/SER_summary!Q$26)</f>
        <v>69.192979229241132</v>
      </c>
      <c r="R11" s="133">
        <f>IF(SER_hh_fech!R11=0,0,SER_hh_fech!R11/SER_summary!R$26)</f>
        <v>74.220234760112831</v>
      </c>
      <c r="S11" s="133">
        <f>IF(SER_hh_fech!S11=0,0,SER_hh_fech!S11/SER_summary!S$26)</f>
        <v>97.319628005149553</v>
      </c>
      <c r="T11" s="133">
        <f>IF(SER_hh_fech!T11=0,0,SER_hh_fech!T11/SER_summary!T$26)</f>
        <v>89.924221201772696</v>
      </c>
      <c r="U11" s="133">
        <f>IF(SER_hh_fech!U11=0,0,SER_hh_fech!U11/SER_summary!U$26)</f>
        <v>95.688671983382164</v>
      </c>
      <c r="V11" s="133">
        <f>IF(SER_hh_fech!V11=0,0,SER_hh_fech!V11/SER_summary!V$26)</f>
        <v>67.758177491361991</v>
      </c>
      <c r="W11" s="133">
        <f>IF(SER_hh_fech!W11=0,0,SER_hh_fech!W11/SER_summary!W$26)</f>
        <v>65.674047209392953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213.46069464258719</v>
      </c>
      <c r="C12" s="133">
        <f>IF(SER_hh_fech!C12=0,0,SER_hh_fech!C12/SER_summary!C$26)</f>
        <v>224.7927857570256</v>
      </c>
      <c r="D12" s="133">
        <f>IF(SER_hh_fech!D12=0,0,SER_hh_fech!D12/SER_summary!D$26)</f>
        <v>242.0439506492273</v>
      </c>
      <c r="E12" s="133">
        <f>IF(SER_hh_fech!E12=0,0,SER_hh_fech!E12/SER_summary!E$26)</f>
        <v>132.49923573488519</v>
      </c>
      <c r="F12" s="133">
        <f>IF(SER_hh_fech!F12=0,0,SER_hh_fech!F12/SER_summary!F$26)</f>
        <v>151.07634447443129</v>
      </c>
      <c r="G12" s="133">
        <f>IF(SER_hh_fech!G12=0,0,SER_hh_fech!G12/SER_summary!G$26)</f>
        <v>102.8594938997081</v>
      </c>
      <c r="H12" s="133">
        <f>IF(SER_hh_fech!H12=0,0,SER_hh_fech!H12/SER_summary!H$26)</f>
        <v>123.85428027045499</v>
      </c>
      <c r="I12" s="133">
        <f>IF(SER_hh_fech!I12=0,0,SER_hh_fech!I12/SER_summary!I$26)</f>
        <v>72.216091756748327</v>
      </c>
      <c r="J12" s="133">
        <f>IF(SER_hh_fech!J12=0,0,SER_hh_fech!J12/SER_summary!J$26)</f>
        <v>71.263541095498397</v>
      </c>
      <c r="K12" s="133">
        <f>IF(SER_hh_fech!K12=0,0,SER_hh_fech!K12/SER_summary!K$26)</f>
        <v>105.74675428238017</v>
      </c>
      <c r="L12" s="133">
        <f>IF(SER_hh_fech!L12=0,0,SER_hh_fech!L12/SER_summary!L$26)</f>
        <v>118.20176174154604</v>
      </c>
      <c r="M12" s="133">
        <f>IF(SER_hh_fech!M12=0,0,SER_hh_fech!M12/SER_summary!M$26)</f>
        <v>111.36090509570143</v>
      </c>
      <c r="N12" s="133">
        <f>IF(SER_hh_fech!N12=0,0,SER_hh_fech!N12/SER_summary!N$26)</f>
        <v>100.82530034800453</v>
      </c>
      <c r="O12" s="133">
        <f>IF(SER_hh_fech!O12=0,0,SER_hh_fech!O12/SER_summary!O$26)</f>
        <v>101.68409409799376</v>
      </c>
      <c r="P12" s="133">
        <f>IF(SER_hh_fech!P12=0,0,SER_hh_fech!P12/SER_summary!P$26)</f>
        <v>76.009409586585065</v>
      </c>
      <c r="Q12" s="133">
        <f>IF(SER_hh_fech!Q12=0,0,SER_hh_fech!Q12/SER_summary!Q$26)</f>
        <v>87.690581072992117</v>
      </c>
      <c r="R12" s="133">
        <f>IF(SER_hh_fech!R12=0,0,SER_hh_fech!R12/SER_summary!R$26)</f>
        <v>84.963544769034542</v>
      </c>
      <c r="S12" s="133">
        <f>IF(SER_hh_fech!S12=0,0,SER_hh_fech!S12/SER_summary!S$26)</f>
        <v>96.981123301764853</v>
      </c>
      <c r="T12" s="133">
        <f>IF(SER_hh_fech!T12=0,0,SER_hh_fech!T12/SER_summary!T$26)</f>
        <v>99.056577537577979</v>
      </c>
      <c r="U12" s="133">
        <f>IF(SER_hh_fech!U12=0,0,SER_hh_fech!U12/SER_summary!U$26)</f>
        <v>80.793538541667871</v>
      </c>
      <c r="V12" s="133">
        <f>IF(SER_hh_fech!V12=0,0,SER_hh_fech!V12/SER_summary!V$26)</f>
        <v>76.615946483134238</v>
      </c>
      <c r="W12" s="133">
        <f>IF(SER_hh_fech!W12=0,0,SER_hh_fech!W12/SER_summary!W$26)</f>
        <v>86.887287352033738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224.33337029935711</v>
      </c>
      <c r="C14" s="65">
        <f>IF(SER_hh_fech!C14=0,0,SER_hh_fech!C14/SER_summary!C$26)</f>
        <v>249.72730152737793</v>
      </c>
      <c r="D14" s="65">
        <f>IF(SER_hh_fech!D14=0,0,SER_hh_fech!D14/SER_summary!D$26)</f>
        <v>303.71336769442212</v>
      </c>
      <c r="E14" s="65">
        <f>IF(SER_hh_fech!E14=0,0,SER_hh_fech!E14/SER_summary!E$26)</f>
        <v>143.04154919220031</v>
      </c>
      <c r="F14" s="65">
        <f>IF(SER_hh_fech!F14=0,0,SER_hh_fech!F14/SER_summary!F$26)</f>
        <v>179.95884696526002</v>
      </c>
      <c r="G14" s="65">
        <f>IF(SER_hh_fech!G14=0,0,SER_hh_fech!G14/SER_summary!G$26)</f>
        <v>120.89195696565754</v>
      </c>
      <c r="H14" s="65">
        <f>IF(SER_hh_fech!H14=0,0,SER_hh_fech!H14/SER_summary!H$26)</f>
        <v>91.115895517624807</v>
      </c>
      <c r="I14" s="65">
        <f>IF(SER_hh_fech!I14=0,0,SER_hh_fech!I14/SER_summary!I$26)</f>
        <v>89.354887707862972</v>
      </c>
      <c r="J14" s="65">
        <f>IF(SER_hh_fech!J14=0,0,SER_hh_fech!J14/SER_summary!J$26)</f>
        <v>124.98592441748609</v>
      </c>
      <c r="K14" s="65">
        <f>IF(SER_hh_fech!K14=0,0,SER_hh_fech!K14/SER_summary!K$26)</f>
        <v>114.99030876710704</v>
      </c>
      <c r="L14" s="65">
        <f>IF(SER_hh_fech!L14=0,0,SER_hh_fech!L14/SER_summary!L$26)</f>
        <v>122.05367696173867</v>
      </c>
      <c r="M14" s="65">
        <f>IF(SER_hh_fech!M14=0,0,SER_hh_fech!M14/SER_summary!M$26)</f>
        <v>123.95704980101138</v>
      </c>
      <c r="N14" s="65">
        <f>IF(SER_hh_fech!N14=0,0,SER_hh_fech!N14/SER_summary!N$26)</f>
        <v>108.95383181556987</v>
      </c>
      <c r="O14" s="65">
        <f>IF(SER_hh_fech!O14=0,0,SER_hh_fech!O14/SER_summary!O$26)</f>
        <v>104.32245054119764</v>
      </c>
      <c r="P14" s="65">
        <f>IF(SER_hh_fech!P14=0,0,SER_hh_fech!P14/SER_summary!P$26)</f>
        <v>89.641778908881818</v>
      </c>
      <c r="Q14" s="65">
        <f>IF(SER_hh_fech!Q14=0,0,SER_hh_fech!Q14/SER_summary!Q$26)</f>
        <v>90.678825624150988</v>
      </c>
      <c r="R14" s="65">
        <f>IF(SER_hh_fech!R14=0,0,SER_hh_fech!R14/SER_summary!R$26)</f>
        <v>96.987463674672213</v>
      </c>
      <c r="S14" s="65">
        <f>IF(SER_hh_fech!S14=0,0,SER_hh_fech!S14/SER_summary!S$26)</f>
        <v>102.28791708161592</v>
      </c>
      <c r="T14" s="65">
        <f>IF(SER_hh_fech!T14=0,0,SER_hh_fech!T14/SER_summary!T$26)</f>
        <v>104.67214766524185</v>
      </c>
      <c r="U14" s="65">
        <f>IF(SER_hh_fech!U14=0,0,SER_hh_fech!U14/SER_summary!U$26)</f>
        <v>96.10104799776451</v>
      </c>
      <c r="V14" s="65">
        <f>IF(SER_hh_fech!V14=0,0,SER_hh_fech!V14/SER_summary!V$26)</f>
        <v>74.224407034787447</v>
      </c>
      <c r="W14" s="65">
        <f>IF(SER_hh_fech!W14=0,0,SER_hh_fech!W14/SER_summary!W$26)</f>
        <v>82.784812938561899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2.2322923763189375</v>
      </c>
      <c r="C15" s="135">
        <f>IF(SER_hh_fech!C15=0,0,SER_hh_fech!C15/SER_summary!C$26)</f>
        <v>3.5104573162664989</v>
      </c>
      <c r="D15" s="135">
        <f>IF(SER_hh_fech!D15=0,0,SER_hh_fech!D15/SER_summary!D$26)</f>
        <v>3.0180266053080267</v>
      </c>
      <c r="E15" s="135">
        <f>IF(SER_hh_fech!E15=0,0,SER_hh_fech!E15/SER_summary!E$26)</f>
        <v>1.9366958670517709</v>
      </c>
      <c r="F15" s="135">
        <f>IF(SER_hh_fech!F15=0,0,SER_hh_fech!F15/SER_summary!F$26)</f>
        <v>1.9615919027445969</v>
      </c>
      <c r="G15" s="135">
        <f>IF(SER_hh_fech!G15=0,0,SER_hh_fech!G15/SER_summary!G$26)</f>
        <v>1.5969607297723336</v>
      </c>
      <c r="H15" s="135">
        <f>IF(SER_hh_fech!H15=0,0,SER_hh_fech!H15/SER_summary!H$26)</f>
        <v>1.2804084153895812</v>
      </c>
      <c r="I15" s="135">
        <f>IF(SER_hh_fech!I15=0,0,SER_hh_fech!I15/SER_summary!I$26)</f>
        <v>0.79149375103237329</v>
      </c>
      <c r="J15" s="135">
        <f>IF(SER_hh_fech!J15=0,0,SER_hh_fech!J15/SER_summary!J$26)</f>
        <v>1.3467886775017694</v>
      </c>
      <c r="K15" s="135">
        <f>IF(SER_hh_fech!K15=0,0,SER_hh_fech!K15/SER_summary!K$26)</f>
        <v>1.2751910308851737</v>
      </c>
      <c r="L15" s="135">
        <f>IF(SER_hh_fech!L15=0,0,SER_hh_fech!L15/SER_summary!L$26)</f>
        <v>1.3864090973978505</v>
      </c>
      <c r="M15" s="135">
        <f>IF(SER_hh_fech!M15=0,0,SER_hh_fech!M15/SER_summary!M$26)</f>
        <v>1.2841617715832339</v>
      </c>
      <c r="N15" s="135">
        <f>IF(SER_hh_fech!N15=0,0,SER_hh_fech!N15/SER_summary!N$26)</f>
        <v>0.84153456107150415</v>
      </c>
      <c r="O15" s="135">
        <f>IF(SER_hh_fech!O15=0,0,SER_hh_fech!O15/SER_summary!O$26)</f>
        <v>0.92607099287515782</v>
      </c>
      <c r="P15" s="135">
        <f>IF(SER_hh_fech!P15=0,0,SER_hh_fech!P15/SER_summary!P$26)</f>
        <v>0.73771384980301669</v>
      </c>
      <c r="Q15" s="135">
        <f>IF(SER_hh_fech!Q15=0,0,SER_hh_fech!Q15/SER_summary!Q$26)</f>
        <v>0.86072938983097447</v>
      </c>
      <c r="R15" s="135">
        <f>IF(SER_hh_fech!R15=0,0,SER_hh_fech!R15/SER_summary!R$26)</f>
        <v>1.0392158369711693</v>
      </c>
      <c r="S15" s="135">
        <f>IF(SER_hh_fech!S15=0,0,SER_hh_fech!S15/SER_summary!S$26)</f>
        <v>0.87261345409526203</v>
      </c>
      <c r="T15" s="135">
        <f>IF(SER_hh_fech!T15=0,0,SER_hh_fech!T15/SER_summary!T$26)</f>
        <v>0.80535799519487516</v>
      </c>
      <c r="U15" s="135">
        <f>IF(SER_hh_fech!U15=0,0,SER_hh_fech!U15/SER_summary!U$26)</f>
        <v>0.75672511874525938</v>
      </c>
      <c r="V15" s="135">
        <f>IF(SER_hh_fech!V15=0,0,SER_hh_fech!V15/SER_summary!V$26)</f>
        <v>0.7824972348671233</v>
      </c>
      <c r="W15" s="135">
        <f>IF(SER_hh_fech!W15=0,0,SER_hh_fech!W15/SER_summary!W$26)</f>
        <v>0.63448234563542738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13.92871409005228</v>
      </c>
      <c r="C16" s="131">
        <f>IF(SER_hh_fech!C16=0,0,SER_hh_fech!C16/SER_summary!C$26)</f>
        <v>13.271799882422611</v>
      </c>
      <c r="D16" s="131">
        <f>IF(SER_hh_fech!D16=0,0,SER_hh_fech!D16/SER_summary!D$26)</f>
        <v>12.616502081088909</v>
      </c>
      <c r="E16" s="131">
        <f>IF(SER_hh_fech!E16=0,0,SER_hh_fech!E16/SER_summary!E$26)</f>
        <v>15.375973840035194</v>
      </c>
      <c r="F16" s="131">
        <f>IF(SER_hh_fech!F16=0,0,SER_hh_fech!F16/SER_summary!F$26)</f>
        <v>11.569166008518568</v>
      </c>
      <c r="G16" s="131">
        <f>IF(SER_hh_fech!G16=0,0,SER_hh_fech!G16/SER_summary!G$26)</f>
        <v>11.209092694117672</v>
      </c>
      <c r="H16" s="131">
        <f>IF(SER_hh_fech!H16=0,0,SER_hh_fech!H16/SER_summary!H$26)</f>
        <v>11.462025857052128</v>
      </c>
      <c r="I16" s="131">
        <f>IF(SER_hh_fech!I16=0,0,SER_hh_fech!I16/SER_summary!I$26)</f>
        <v>10.530279269800474</v>
      </c>
      <c r="J16" s="131">
        <f>IF(SER_hh_fech!J16=0,0,SER_hh_fech!J16/SER_summary!J$26)</f>
        <v>9.8516125686089673</v>
      </c>
      <c r="K16" s="131">
        <f>IF(SER_hh_fech!K16=0,0,SER_hh_fech!K16/SER_summary!K$26)</f>
        <v>9.7016312073229898</v>
      </c>
      <c r="L16" s="131">
        <f>IF(SER_hh_fech!L16=0,0,SER_hh_fech!L16/SER_summary!L$26)</f>
        <v>9.969156742836935</v>
      </c>
      <c r="M16" s="131">
        <f>IF(SER_hh_fech!M16=0,0,SER_hh_fech!M16/SER_summary!M$26)</f>
        <v>9.6885233552907355</v>
      </c>
      <c r="N16" s="131">
        <f>IF(SER_hh_fech!N16=0,0,SER_hh_fech!N16/SER_summary!N$26)</f>
        <v>10.665682638876085</v>
      </c>
      <c r="O16" s="131">
        <f>IF(SER_hh_fech!O16=0,0,SER_hh_fech!O16/SER_summary!O$26)</f>
        <v>10.736801894649155</v>
      </c>
      <c r="P16" s="131">
        <f>IF(SER_hh_fech!P16=0,0,SER_hh_fech!P16/SER_summary!P$26)</f>
        <v>8.4298651807931808</v>
      </c>
      <c r="Q16" s="131">
        <f>IF(SER_hh_fech!Q16=0,0,SER_hh_fech!Q16/SER_summary!Q$26)</f>
        <v>10.212084853508003</v>
      </c>
      <c r="R16" s="131">
        <f>IF(SER_hh_fech!R16=0,0,SER_hh_fech!R16/SER_summary!R$26)</f>
        <v>8.1110911745798084</v>
      </c>
      <c r="S16" s="131">
        <f>IF(SER_hh_fech!S16=0,0,SER_hh_fech!S16/SER_summary!S$26)</f>
        <v>9.4967186513589272</v>
      </c>
      <c r="T16" s="131">
        <f>IF(SER_hh_fech!T16=0,0,SER_hh_fech!T16/SER_summary!T$26)</f>
        <v>8.0795002127456428</v>
      </c>
      <c r="U16" s="131">
        <f>IF(SER_hh_fech!U16=0,0,SER_hh_fech!U16/SER_summary!U$26)</f>
        <v>8.4720925115927006</v>
      </c>
      <c r="V16" s="131">
        <f>IF(SER_hh_fech!V16=0,0,SER_hh_fech!V16/SER_summary!V$26)</f>
        <v>7.2994971619454567</v>
      </c>
      <c r="W16" s="131">
        <f>IF(SER_hh_fech!W16=0,0,SER_hh_fech!W16/SER_summary!W$26)</f>
        <v>7.8354360971075652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13.92871409005228</v>
      </c>
      <c r="C18" s="133">
        <f>IF(SER_hh_fech!C18=0,0,SER_hh_fech!C18/SER_summary!C$26)</f>
        <v>13.271799882422611</v>
      </c>
      <c r="D18" s="133">
        <f>IF(SER_hh_fech!D18=0,0,SER_hh_fech!D18/SER_summary!D$26)</f>
        <v>12.616502081088909</v>
      </c>
      <c r="E18" s="133">
        <f>IF(SER_hh_fech!E18=0,0,SER_hh_fech!E18/SER_summary!E$26)</f>
        <v>15.375973840035194</v>
      </c>
      <c r="F18" s="133">
        <f>IF(SER_hh_fech!F18=0,0,SER_hh_fech!F18/SER_summary!F$26)</f>
        <v>11.569166008518568</v>
      </c>
      <c r="G18" s="133">
        <f>IF(SER_hh_fech!G18=0,0,SER_hh_fech!G18/SER_summary!G$26)</f>
        <v>11.209092694117672</v>
      </c>
      <c r="H18" s="133">
        <f>IF(SER_hh_fech!H18=0,0,SER_hh_fech!H18/SER_summary!H$26)</f>
        <v>11.462025857052128</v>
      </c>
      <c r="I18" s="133">
        <f>IF(SER_hh_fech!I18=0,0,SER_hh_fech!I18/SER_summary!I$26)</f>
        <v>10.530279269800474</v>
      </c>
      <c r="J18" s="133">
        <f>IF(SER_hh_fech!J18=0,0,SER_hh_fech!J18/SER_summary!J$26)</f>
        <v>9.8516125686089673</v>
      </c>
      <c r="K18" s="133">
        <f>IF(SER_hh_fech!K18=0,0,SER_hh_fech!K18/SER_summary!K$26)</f>
        <v>9.7016312073229898</v>
      </c>
      <c r="L18" s="133">
        <f>IF(SER_hh_fech!L18=0,0,SER_hh_fech!L18/SER_summary!L$26)</f>
        <v>9.969156742836935</v>
      </c>
      <c r="M18" s="133">
        <f>IF(SER_hh_fech!M18=0,0,SER_hh_fech!M18/SER_summary!M$26)</f>
        <v>9.6885233552907355</v>
      </c>
      <c r="N18" s="133">
        <f>IF(SER_hh_fech!N18=0,0,SER_hh_fech!N18/SER_summary!N$26)</f>
        <v>10.665682638876085</v>
      </c>
      <c r="O18" s="133">
        <f>IF(SER_hh_fech!O18=0,0,SER_hh_fech!O18/SER_summary!O$26)</f>
        <v>10.736801894649155</v>
      </c>
      <c r="P18" s="133">
        <f>IF(SER_hh_fech!P18=0,0,SER_hh_fech!P18/SER_summary!P$26)</f>
        <v>8.4298651807931808</v>
      </c>
      <c r="Q18" s="133">
        <f>IF(SER_hh_fech!Q18=0,0,SER_hh_fech!Q18/SER_summary!Q$26)</f>
        <v>10.212084853508003</v>
      </c>
      <c r="R18" s="133">
        <f>IF(SER_hh_fech!R18=0,0,SER_hh_fech!R18/SER_summary!R$26)</f>
        <v>8.1110911745798084</v>
      </c>
      <c r="S18" s="133">
        <f>IF(SER_hh_fech!S18=0,0,SER_hh_fech!S18/SER_summary!S$26)</f>
        <v>9.4967186513589272</v>
      </c>
      <c r="T18" s="133">
        <f>IF(SER_hh_fech!T18=0,0,SER_hh_fech!T18/SER_summary!T$26)</f>
        <v>8.0795002127456428</v>
      </c>
      <c r="U18" s="133">
        <f>IF(SER_hh_fech!U18=0,0,SER_hh_fech!U18/SER_summary!U$26)</f>
        <v>8.4720925115927006</v>
      </c>
      <c r="V18" s="133">
        <f>IF(SER_hh_fech!V18=0,0,SER_hh_fech!V18/SER_summary!V$26)</f>
        <v>7.2994971619454567</v>
      </c>
      <c r="W18" s="133">
        <f>IF(SER_hh_fech!W18=0,0,SER_hh_fech!W18/SER_summary!W$26)</f>
        <v>7.8354360971075652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24.562295115940628</v>
      </c>
      <c r="C19" s="131">
        <f>IF(SER_hh_fech!C19=0,0,SER_hh_fech!C19/SER_summary!C$26)</f>
        <v>23.882268060427709</v>
      </c>
      <c r="D19" s="131">
        <f>IF(SER_hh_fech!D19=0,0,SER_hh_fech!D19/SER_summary!D$26)</f>
        <v>23.356625868464427</v>
      </c>
      <c r="E19" s="131">
        <f>IF(SER_hh_fech!E19=0,0,SER_hh_fech!E19/SER_summary!E$26)</f>
        <v>23.32914319117835</v>
      </c>
      <c r="F19" s="131">
        <f>IF(SER_hh_fech!F19=0,0,SER_hh_fech!F19/SER_summary!F$26)</f>
        <v>22.798604410391164</v>
      </c>
      <c r="G19" s="131">
        <f>IF(SER_hh_fech!G19=0,0,SER_hh_fech!G19/SER_summary!G$26)</f>
        <v>22.589784054837953</v>
      </c>
      <c r="H19" s="131">
        <f>IF(SER_hh_fech!H19=0,0,SER_hh_fech!H19/SER_summary!H$26)</f>
        <v>22.101197000615077</v>
      </c>
      <c r="I19" s="131">
        <f>IF(SER_hh_fech!I19=0,0,SER_hh_fech!I19/SER_summary!I$26)</f>
        <v>21.546035573159934</v>
      </c>
      <c r="J19" s="131">
        <f>IF(SER_hh_fech!J19=0,0,SER_hh_fech!J19/SER_summary!J$26)</f>
        <v>21.052006312275978</v>
      </c>
      <c r="K19" s="131">
        <f>IF(SER_hh_fech!K19=0,0,SER_hh_fech!K19/SER_summary!K$26)</f>
        <v>21.291899367155899</v>
      </c>
      <c r="L19" s="131">
        <f>IF(SER_hh_fech!L19=0,0,SER_hh_fech!L19/SER_summary!L$26)</f>
        <v>21.389338414271176</v>
      </c>
      <c r="M19" s="131">
        <f>IF(SER_hh_fech!M19=0,0,SER_hh_fech!M19/SER_summary!M$26)</f>
        <v>20.77886871350638</v>
      </c>
      <c r="N19" s="131">
        <f>IF(SER_hh_fech!N19=0,0,SER_hh_fech!N19/SER_summary!N$26)</f>
        <v>20.797928603440745</v>
      </c>
      <c r="O19" s="131">
        <f>IF(SER_hh_fech!O19=0,0,SER_hh_fech!O19/SER_summary!O$26)</f>
        <v>20.691534784188317</v>
      </c>
      <c r="P19" s="131">
        <f>IF(SER_hh_fech!P19=0,0,SER_hh_fech!P19/SER_summary!P$26)</f>
        <v>20.84930705046542</v>
      </c>
      <c r="Q19" s="131">
        <f>IF(SER_hh_fech!Q19=0,0,SER_hh_fech!Q19/SER_summary!Q$26)</f>
        <v>21.06700729036379</v>
      </c>
      <c r="R19" s="131">
        <f>IF(SER_hh_fech!R19=0,0,SER_hh_fech!R19/SER_summary!R$26)</f>
        <v>21.259885176826714</v>
      </c>
      <c r="S19" s="131">
        <f>IF(SER_hh_fech!S19=0,0,SER_hh_fech!S19/SER_summary!S$26)</f>
        <v>20.718459116997145</v>
      </c>
      <c r="T19" s="131">
        <f>IF(SER_hh_fech!T19=0,0,SER_hh_fech!T19/SER_summary!T$26)</f>
        <v>20.337905611908599</v>
      </c>
      <c r="U19" s="131">
        <f>IF(SER_hh_fech!U19=0,0,SER_hh_fech!U19/SER_summary!U$26)</f>
        <v>20.265725784476203</v>
      </c>
      <c r="V19" s="131">
        <f>IF(SER_hh_fech!V19=0,0,SER_hh_fech!V19/SER_summary!V$26)</f>
        <v>19.332831352426606</v>
      </c>
      <c r="W19" s="131">
        <f>IF(SER_hh_fech!W19=0,0,SER_hh_fech!W19/SER_summary!W$26)</f>
        <v>19.11253831052592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27.208100247781903</v>
      </c>
      <c r="C21" s="133">
        <f>IF(SER_hh_fech!C21=0,0,SER_hh_fech!C21/SER_summary!C$26)</f>
        <v>23.358839187818031</v>
      </c>
      <c r="D21" s="133">
        <f>IF(SER_hh_fech!D21=0,0,SER_hh_fech!D21/SER_summary!D$26)</f>
        <v>24.950704000969552</v>
      </c>
      <c r="E21" s="133">
        <f>IF(SER_hh_fech!E21=0,0,SER_hh_fech!E21/SER_summary!E$26)</f>
        <v>24.250242045515662</v>
      </c>
      <c r="F21" s="133">
        <f>IF(SER_hh_fech!F21=0,0,SER_hh_fech!F21/SER_summary!F$26)</f>
        <v>23.61999226168718</v>
      </c>
      <c r="G21" s="133">
        <f>IF(SER_hh_fech!G21=0,0,SER_hh_fech!G21/SER_summary!G$26)</f>
        <v>23.237221775470648</v>
      </c>
      <c r="H21" s="133">
        <f>IF(SER_hh_fech!H21=0,0,SER_hh_fech!H21/SER_summary!H$26)</f>
        <v>22.851641803828166</v>
      </c>
      <c r="I21" s="133">
        <f>IF(SER_hh_fech!I21=0,0,SER_hh_fech!I21/SER_summary!I$26)</f>
        <v>22.767799931019937</v>
      </c>
      <c r="J21" s="133">
        <f>IF(SER_hh_fech!J21=0,0,SER_hh_fech!J21/SER_summary!J$26)</f>
        <v>22.060486615335392</v>
      </c>
      <c r="K21" s="133">
        <f>IF(SER_hh_fech!K21=0,0,SER_hh_fech!K21/SER_summary!K$26)</f>
        <v>22.305307684790488</v>
      </c>
      <c r="L21" s="133">
        <f>IF(SER_hh_fech!L21=0,0,SER_hh_fech!L21/SER_summary!L$26)</f>
        <v>23.178643190929971</v>
      </c>
      <c r="M21" s="133">
        <f>IF(SER_hh_fech!M21=0,0,SER_hh_fech!M21/SER_summary!M$26)</f>
        <v>21.925359998641021</v>
      </c>
      <c r="N21" s="133">
        <f>IF(SER_hh_fech!N21=0,0,SER_hh_fech!N21/SER_summary!N$26)</f>
        <v>23.08329151146188</v>
      </c>
      <c r="O21" s="133">
        <f>IF(SER_hh_fech!O21=0,0,SER_hh_fech!O21/SER_summary!O$26)</f>
        <v>22.976161320996344</v>
      </c>
      <c r="P21" s="133">
        <f>IF(SER_hh_fech!P21=0,0,SER_hh_fech!P21/SER_summary!P$26)</f>
        <v>23.539871935747684</v>
      </c>
      <c r="Q21" s="133">
        <f>IF(SER_hh_fech!Q21=0,0,SER_hh_fech!Q21/SER_summary!Q$26)</f>
        <v>23.595559579161669</v>
      </c>
      <c r="R21" s="133">
        <f>IF(SER_hh_fech!R21=0,0,SER_hh_fech!R21/SER_summary!R$26)</f>
        <v>17.995677663567871</v>
      </c>
      <c r="S21" s="133">
        <f>IF(SER_hh_fech!S21=0,0,SER_hh_fech!S21/SER_summary!S$26)</f>
        <v>19.813538933893454</v>
      </c>
      <c r="T21" s="133">
        <f>IF(SER_hh_fech!T21=0,0,SER_hh_fech!T21/SER_summary!T$26)</f>
        <v>25.570929816228478</v>
      </c>
      <c r="U21" s="133">
        <f>IF(SER_hh_fech!U21=0,0,SER_hh_fech!U21/SER_summary!U$26)</f>
        <v>29.123338395979371</v>
      </c>
      <c r="V21" s="133">
        <f>IF(SER_hh_fech!V21=0,0,SER_hh_fech!V21/SER_summary!V$26)</f>
        <v>22.702949315137708</v>
      </c>
      <c r="W21" s="133">
        <f>IF(SER_hh_fech!W21=0,0,SER_hh_fech!W21/SER_summary!W$26)</f>
        <v>17.481866628558773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25.68732416650942</v>
      </c>
      <c r="C22" s="133">
        <f>IF(SER_hh_fech!C22=0,0,SER_hh_fech!C22/SER_summary!C$26)</f>
        <v>27.344934886025388</v>
      </c>
      <c r="D22" s="133">
        <f>IF(SER_hh_fech!D22=0,0,SER_hh_fech!D22/SER_summary!D$26)</f>
        <v>24.239703486826588</v>
      </c>
      <c r="E22" s="133">
        <f>IF(SER_hh_fech!E22=0,0,SER_hh_fech!E22/SER_summary!E$26)</f>
        <v>26.093449144962271</v>
      </c>
      <c r="F22" s="133">
        <f>IF(SER_hh_fech!F22=0,0,SER_hh_fech!F22/SER_summary!F$26)</f>
        <v>25.237752382020567</v>
      </c>
      <c r="G22" s="133">
        <f>IF(SER_hh_fech!G22=0,0,SER_hh_fech!G22/SER_summary!G$26)</f>
        <v>24.630035164618729</v>
      </c>
      <c r="H22" s="133">
        <f>IF(SER_hh_fech!H22=0,0,SER_hh_fech!H22/SER_summary!H$26)</f>
        <v>24.154667236202432</v>
      </c>
      <c r="I22" s="133">
        <f>IF(SER_hh_fech!I22=0,0,SER_hh_fech!I22/SER_summary!I$26)</f>
        <v>23.989993640496035</v>
      </c>
      <c r="J22" s="133">
        <f>IF(SER_hh_fech!J22=0,0,SER_hh_fech!J22/SER_summary!J$26)</f>
        <v>22.809613458324904</v>
      </c>
      <c r="K22" s="133">
        <f>IF(SER_hh_fech!K22=0,0,SER_hh_fech!K22/SER_summary!K$26)</f>
        <v>23.81422030316449</v>
      </c>
      <c r="L22" s="133">
        <f>IF(SER_hh_fech!L22=0,0,SER_hh_fech!L22/SER_summary!L$26)</f>
        <v>25.055599462501899</v>
      </c>
      <c r="M22" s="133">
        <f>IF(SER_hh_fech!M22=0,0,SER_hh_fech!M22/SER_summary!M$26)</f>
        <v>23.419589791428532</v>
      </c>
      <c r="N22" s="133">
        <f>IF(SER_hh_fech!N22=0,0,SER_hh_fech!N22/SER_summary!N$26)</f>
        <v>24.645969558909893</v>
      </c>
      <c r="O22" s="133">
        <f>IF(SER_hh_fech!O22=0,0,SER_hh_fech!O22/SER_summary!O$26)</f>
        <v>24.332168000051659</v>
      </c>
      <c r="P22" s="133">
        <f>IF(SER_hh_fech!P22=0,0,SER_hh_fech!P22/SER_summary!P$26)</f>
        <v>23.768958550522267</v>
      </c>
      <c r="Q22" s="133">
        <f>IF(SER_hh_fech!Q22=0,0,SER_hh_fech!Q22/SER_summary!Q$26)</f>
        <v>23.727070979205305</v>
      </c>
      <c r="R22" s="133">
        <f>IF(SER_hh_fech!R22=0,0,SER_hh_fech!R22/SER_summary!R$26)</f>
        <v>28.478850483786111</v>
      </c>
      <c r="S22" s="133">
        <f>IF(SER_hh_fech!S22=0,0,SER_hh_fech!S22/SER_summary!S$26)</f>
        <v>23.199063865315843</v>
      </c>
      <c r="T22" s="133">
        <f>IF(SER_hh_fech!T22=0,0,SER_hh_fech!T22/SER_summary!T$26)</f>
        <v>25.93622316581931</v>
      </c>
      <c r="U22" s="133">
        <f>IF(SER_hh_fech!U22=0,0,SER_hh_fech!U22/SER_summary!U$26)</f>
        <v>21.551435550027119</v>
      </c>
      <c r="V22" s="133">
        <f>IF(SER_hh_fech!V22=0,0,SER_hh_fech!V22/SER_summary!V$26)</f>
        <v>22.763631004217313</v>
      </c>
      <c r="W22" s="133">
        <f>IF(SER_hh_fech!W22=0,0,SER_hh_fech!W22/SER_summary!W$26)</f>
        <v>20.552848743954623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25.925759274061246</v>
      </c>
      <c r="C23" s="133">
        <f>IF(SER_hh_fech!C23=0,0,SER_hh_fech!C23/SER_summary!C$26)</f>
        <v>25.845369654864555</v>
      </c>
      <c r="D23" s="133">
        <f>IF(SER_hh_fech!D23=0,0,SER_hh_fech!D23/SER_summary!D$26)</f>
        <v>24.626854930160778</v>
      </c>
      <c r="E23" s="133">
        <f>IF(SER_hh_fech!E23=0,0,SER_hh_fech!E23/SER_summary!E$26)</f>
        <v>24.066689488035063</v>
      </c>
      <c r="F23" s="133">
        <f>IF(SER_hh_fech!F23=0,0,SER_hh_fech!F23/SER_summary!F$26)</f>
        <v>23.821907266662262</v>
      </c>
      <c r="G23" s="133">
        <f>IF(SER_hh_fech!G23=0,0,SER_hh_fech!G23/SER_summary!G$26)</f>
        <v>23.224952763721795</v>
      </c>
      <c r="H23" s="133">
        <f>IF(SER_hh_fech!H23=0,0,SER_hh_fech!H23/SER_summary!H$26)</f>
        <v>22.063618817123885</v>
      </c>
      <c r="I23" s="133">
        <f>IF(SER_hh_fech!I23=0,0,SER_hh_fech!I23/SER_summary!I$26)</f>
        <v>20.842720862022965</v>
      </c>
      <c r="J23" s="133">
        <f>IF(SER_hh_fech!J23=0,0,SER_hh_fech!J23/SER_summary!J$26)</f>
        <v>19.074400903251622</v>
      </c>
      <c r="K23" s="133">
        <f>IF(SER_hh_fech!K23=0,0,SER_hh_fech!K23/SER_summary!K$26)</f>
        <v>23.059239205442822</v>
      </c>
      <c r="L23" s="133">
        <f>IF(SER_hh_fech!L23=0,0,SER_hh_fech!L23/SER_summary!L$26)</f>
        <v>22.390130612266383</v>
      </c>
      <c r="M23" s="133">
        <f>IF(SER_hh_fech!M23=0,0,SER_hh_fech!M23/SER_summary!M$26)</f>
        <v>21.153585526874068</v>
      </c>
      <c r="N23" s="133">
        <f>IF(SER_hh_fech!N23=0,0,SER_hh_fech!N23/SER_summary!N$26)</f>
        <v>21.246056121646632</v>
      </c>
      <c r="O23" s="133">
        <f>IF(SER_hh_fech!O23=0,0,SER_hh_fech!O23/SER_summary!O$26)</f>
        <v>21.548524418537809</v>
      </c>
      <c r="P23" s="133">
        <f>IF(SER_hh_fech!P23=0,0,SER_hh_fech!P23/SER_summary!P$26)</f>
        <v>21.712206543715556</v>
      </c>
      <c r="Q23" s="133">
        <f>IF(SER_hh_fech!Q23=0,0,SER_hh_fech!Q23/SER_summary!Q$26)</f>
        <v>20.954911661503647</v>
      </c>
      <c r="R23" s="133">
        <f>IF(SER_hh_fech!R23=0,0,SER_hh_fech!R23/SER_summary!R$26)</f>
        <v>27.129593199806045</v>
      </c>
      <c r="S23" s="133">
        <f>IF(SER_hh_fech!S23=0,0,SER_hh_fech!S23/SER_summary!S$26)</f>
        <v>23.798169023091756</v>
      </c>
      <c r="T23" s="133">
        <f>IF(SER_hh_fech!T23=0,0,SER_hh_fech!T23/SER_summary!T$26)</f>
        <v>16.968392664229867</v>
      </c>
      <c r="U23" s="133">
        <f>IF(SER_hh_fech!U23=0,0,SER_hh_fech!U23/SER_summary!U$26)</f>
        <v>22.7104592270986</v>
      </c>
      <c r="V23" s="133">
        <f>IF(SER_hh_fech!V23=0,0,SER_hh_fech!V23/SER_summary!V$26)</f>
        <v>21.747032976082274</v>
      </c>
      <c r="W23" s="133">
        <f>IF(SER_hh_fech!W23=0,0,SER_hh_fech!W23/SER_summary!W$26)</f>
        <v>21.251749682855394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15.736102808421363</v>
      </c>
      <c r="C25" s="133">
        <f>IF(SER_hh_fech!C25=0,0,SER_hh_fech!C25/SER_summary!C$26)</f>
        <v>20.474849191423665</v>
      </c>
      <c r="D25" s="133">
        <f>IF(SER_hh_fech!D25=0,0,SER_hh_fech!D25/SER_summary!D$26)</f>
        <v>17.652290492906083</v>
      </c>
      <c r="E25" s="133">
        <f>IF(SER_hh_fech!E25=0,0,SER_hh_fech!E25/SER_summary!E$26)</f>
        <v>16.003138180713147</v>
      </c>
      <c r="F25" s="133">
        <f>IF(SER_hh_fech!F25=0,0,SER_hh_fech!F25/SER_summary!F$26)</f>
        <v>16.895376988349135</v>
      </c>
      <c r="G25" s="133">
        <f>IF(SER_hh_fech!G25=0,0,SER_hh_fech!G25/SER_summary!G$26)</f>
        <v>16.74262679250111</v>
      </c>
      <c r="H25" s="133">
        <f>IF(SER_hh_fech!H25=0,0,SER_hh_fech!H25/SER_summary!H$26)</f>
        <v>14.888074954319897</v>
      </c>
      <c r="I25" s="133">
        <f>IF(SER_hh_fech!I25=0,0,SER_hh_fech!I25/SER_summary!I$26)</f>
        <v>15.38444609842896</v>
      </c>
      <c r="J25" s="133">
        <f>IF(SER_hh_fech!J25=0,0,SER_hh_fech!J25/SER_summary!J$26)</f>
        <v>13.771518289797045</v>
      </c>
      <c r="K25" s="133">
        <f>IF(SER_hh_fech!K25=0,0,SER_hh_fech!K25/SER_summary!K$26)</f>
        <v>14.581711868088519</v>
      </c>
      <c r="L25" s="133">
        <f>IF(SER_hh_fech!L25=0,0,SER_hh_fech!L25/SER_summary!L$26)</f>
        <v>15.56875031364021</v>
      </c>
      <c r="M25" s="133">
        <f>IF(SER_hh_fech!M25=0,0,SER_hh_fech!M25/SER_summary!M$26)</f>
        <v>15.977760267140773</v>
      </c>
      <c r="N25" s="133">
        <f>IF(SER_hh_fech!N25=0,0,SER_hh_fech!N25/SER_summary!N$26)</f>
        <v>15.997754178123488</v>
      </c>
      <c r="O25" s="133">
        <f>IF(SER_hh_fech!O25=0,0,SER_hh_fech!O25/SER_summary!O$26)</f>
        <v>16.264269480747149</v>
      </c>
      <c r="P25" s="133">
        <f>IF(SER_hh_fech!P25=0,0,SER_hh_fech!P25/SER_summary!P$26)</f>
        <v>17.027912940121091</v>
      </c>
      <c r="Q25" s="133">
        <f>IF(SER_hh_fech!Q25=0,0,SER_hh_fech!Q25/SER_summary!Q$26)</f>
        <v>16.674754335438877</v>
      </c>
      <c r="R25" s="133">
        <f>IF(SER_hh_fech!R25=0,0,SER_hh_fech!R25/SER_summary!R$26)</f>
        <v>15.421313087971983</v>
      </c>
      <c r="S25" s="133">
        <f>IF(SER_hh_fech!S25=0,0,SER_hh_fech!S25/SER_summary!S$26)</f>
        <v>17.600739816348291</v>
      </c>
      <c r="T25" s="133">
        <f>IF(SER_hh_fech!T25=0,0,SER_hh_fech!T25/SER_summary!T$26)</f>
        <v>18.501531519618641</v>
      </c>
      <c r="U25" s="133">
        <f>IF(SER_hh_fech!U25=0,0,SER_hh_fech!U25/SER_summary!U$26)</f>
        <v>16.042574771429532</v>
      </c>
      <c r="V25" s="133">
        <f>IF(SER_hh_fech!V25=0,0,SER_hh_fech!V25/SER_summary!V$26)</f>
        <v>16.377421520630094</v>
      </c>
      <c r="W25" s="133">
        <f>IF(SER_hh_fech!W25=0,0,SER_hh_fech!W25/SER_summary!W$26)</f>
        <v>18.314802385908667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21.360951162044532</v>
      </c>
      <c r="C26" s="65">
        <f>IF(SER_hh_fech!C26=0,0,SER_hh_fech!C26/SER_summary!C$26)</f>
        <v>17.496235395459053</v>
      </c>
      <c r="D26" s="65">
        <f>IF(SER_hh_fech!D26=0,0,SER_hh_fech!D26/SER_summary!D$26)</f>
        <v>21.181670287597317</v>
      </c>
      <c r="E26" s="65">
        <f>IF(SER_hh_fech!E26=0,0,SER_hh_fech!E26/SER_summary!E$26)</f>
        <v>18.515337864546943</v>
      </c>
      <c r="F26" s="65">
        <f>IF(SER_hh_fech!F26=0,0,SER_hh_fech!F26/SER_summary!F$26)</f>
        <v>17.75092658690096</v>
      </c>
      <c r="G26" s="65">
        <f>IF(SER_hh_fech!G26=0,0,SER_hh_fech!G26/SER_summary!G$26)</f>
        <v>19.33776418326153</v>
      </c>
      <c r="H26" s="65">
        <f>IF(SER_hh_fech!H26=0,0,SER_hh_fech!H26/SER_summary!H$26)</f>
        <v>19.436692409809496</v>
      </c>
      <c r="I26" s="65">
        <f>IF(SER_hh_fech!I26=0,0,SER_hh_fech!I26/SER_summary!I$26)</f>
        <v>17.108401402898327</v>
      </c>
      <c r="J26" s="65">
        <f>IF(SER_hh_fech!J26=0,0,SER_hh_fech!J26/SER_summary!J$26)</f>
        <v>19.462216624643993</v>
      </c>
      <c r="K26" s="65">
        <f>IF(SER_hh_fech!K26=0,0,SER_hh_fech!K26/SER_summary!K$26)</f>
        <v>18.43439013793683</v>
      </c>
      <c r="L26" s="65">
        <f>IF(SER_hh_fech!L26=0,0,SER_hh_fech!L26/SER_summary!L$26)</f>
        <v>17.307389946686488</v>
      </c>
      <c r="M26" s="65">
        <f>IF(SER_hh_fech!M26=0,0,SER_hh_fech!M26/SER_summary!M$26)</f>
        <v>19.297185275820294</v>
      </c>
      <c r="N26" s="65">
        <f>IF(SER_hh_fech!N26=0,0,SER_hh_fech!N26/SER_summary!N$26)</f>
        <v>18.587000514615838</v>
      </c>
      <c r="O26" s="65">
        <f>IF(SER_hh_fech!O26=0,0,SER_hh_fech!O26/SER_summary!O$26)</f>
        <v>19.301185341731252</v>
      </c>
      <c r="P26" s="65">
        <f>IF(SER_hh_fech!P26=0,0,SER_hh_fech!P26/SER_summary!P$26)</f>
        <v>19.938775060107517</v>
      </c>
      <c r="Q26" s="65">
        <f>IF(SER_hh_fech!Q26=0,0,SER_hh_fech!Q26/SER_summary!Q$26)</f>
        <v>20.818835524107328</v>
      </c>
      <c r="R26" s="65">
        <f>IF(SER_hh_fech!R26=0,0,SER_hh_fech!R26/SER_summary!R$26)</f>
        <v>21.332968034935426</v>
      </c>
      <c r="S26" s="65">
        <f>IF(SER_hh_fech!S26=0,0,SER_hh_fech!S26/SER_summary!S$26)</f>
        <v>21.141395754852908</v>
      </c>
      <c r="T26" s="65">
        <f>IF(SER_hh_fech!T26=0,0,SER_hh_fech!T26/SER_summary!T$26)</f>
        <v>17.518200965192602</v>
      </c>
      <c r="U26" s="65">
        <f>IF(SER_hh_fech!U26=0,0,SER_hh_fech!U26/SER_summary!U$26)</f>
        <v>18.23129355121776</v>
      </c>
      <c r="V26" s="65">
        <f>IF(SER_hh_fech!V26=0,0,SER_hh_fech!V26/SER_summary!V$26)</f>
        <v>18.027080099511977</v>
      </c>
      <c r="W26" s="65">
        <f>IF(SER_hh_fech!W26=0,0,SER_hh_fech!W26/SER_summary!W$26)</f>
        <v>19.363722878930133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26.107245342344427</v>
      </c>
      <c r="C29" s="131">
        <f>IF(SER_hh_fech!C29=0,0,SER_hh_fech!C29/SER_summary!C$26)</f>
        <v>27.70672008621322</v>
      </c>
      <c r="D29" s="131">
        <f>IF(SER_hh_fech!D29=0,0,SER_hh_fech!D29/SER_summary!D$26)</f>
        <v>25.193388748645436</v>
      </c>
      <c r="E29" s="131">
        <f>IF(SER_hh_fech!E29=0,0,SER_hh_fech!E29/SER_summary!E$26)</f>
        <v>23.460035810259757</v>
      </c>
      <c r="F29" s="131">
        <f>IF(SER_hh_fech!F29=0,0,SER_hh_fech!F29/SER_summary!F$26)</f>
        <v>22.999636013095571</v>
      </c>
      <c r="G29" s="131">
        <f>IF(SER_hh_fech!G29=0,0,SER_hh_fech!G29/SER_summary!G$26)</f>
        <v>22.236794662811427</v>
      </c>
      <c r="H29" s="131">
        <f>IF(SER_hh_fech!H29=0,0,SER_hh_fech!H29/SER_summary!H$26)</f>
        <v>21.28601657557958</v>
      </c>
      <c r="I29" s="131">
        <f>IF(SER_hh_fech!I29=0,0,SER_hh_fech!I29/SER_summary!I$26)</f>
        <v>21.860157281080301</v>
      </c>
      <c r="J29" s="131">
        <f>IF(SER_hh_fech!J29=0,0,SER_hh_fech!J29/SER_summary!J$26)</f>
        <v>20.177115158443453</v>
      </c>
      <c r="K29" s="131">
        <f>IF(SER_hh_fech!K29=0,0,SER_hh_fech!K29/SER_summary!K$26)</f>
        <v>20.773020081100491</v>
      </c>
      <c r="L29" s="131">
        <f>IF(SER_hh_fech!L29=0,0,SER_hh_fech!L29/SER_summary!L$26)</f>
        <v>21.412307554558396</v>
      </c>
      <c r="M29" s="131">
        <f>IF(SER_hh_fech!M29=0,0,SER_hh_fech!M29/SER_summary!M$26)</f>
        <v>20.534919358107423</v>
      </c>
      <c r="N29" s="131">
        <f>IF(SER_hh_fech!N29=0,0,SER_hh_fech!N29/SER_summary!N$26)</f>
        <v>21.902418912396676</v>
      </c>
      <c r="O29" s="131">
        <f>IF(SER_hh_fech!O29=0,0,SER_hh_fech!O29/SER_summary!O$26)</f>
        <v>21.705766737791855</v>
      </c>
      <c r="P29" s="131">
        <f>IF(SER_hh_fech!P29=0,0,SER_hh_fech!P29/SER_summary!P$26)</f>
        <v>22.403112302614637</v>
      </c>
      <c r="Q29" s="131">
        <f>IF(SER_hh_fech!Q29=0,0,SER_hh_fech!Q29/SER_summary!Q$26)</f>
        <v>23.729754434374627</v>
      </c>
      <c r="R29" s="131">
        <f>IF(SER_hh_fech!R29=0,0,SER_hh_fech!R29/SER_summary!R$26)</f>
        <v>24.283226230725305</v>
      </c>
      <c r="S29" s="131">
        <f>IF(SER_hh_fech!S29=0,0,SER_hh_fech!S29/SER_summary!S$26)</f>
        <v>24.479950359831225</v>
      </c>
      <c r="T29" s="131">
        <f>IF(SER_hh_fech!T29=0,0,SER_hh_fech!T29/SER_summary!T$26)</f>
        <v>24.553973105595219</v>
      </c>
      <c r="U29" s="131">
        <f>IF(SER_hh_fech!U29=0,0,SER_hh_fech!U29/SER_summary!U$26)</f>
        <v>25.20976233842195</v>
      </c>
      <c r="V29" s="131">
        <f>IF(SER_hh_fech!V29=0,0,SER_hh_fech!V29/SER_summary!V$26)</f>
        <v>23.442688522590796</v>
      </c>
      <c r="W29" s="131">
        <f>IF(SER_hh_fech!W29=0,0,SER_hh_fech!W29/SER_summary!W$26)</f>
        <v>22.890157197379921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30.223919943965392</v>
      </c>
      <c r="C30" s="133">
        <f>IF(SER_hh_fech!C30=0,0,SER_hh_fech!C30/SER_summary!C$26)</f>
        <v>33.522920521405659</v>
      </c>
      <c r="D30" s="133">
        <f>IF(SER_hh_fech!D30=0,0,SER_hh_fech!D30/SER_summary!D$26)</f>
        <v>23.494952433625535</v>
      </c>
      <c r="E30" s="133">
        <f>IF(SER_hh_fech!E30=0,0,SER_hh_fech!E30/SER_summary!E$26)</f>
        <v>19.577035552481174</v>
      </c>
      <c r="F30" s="133">
        <f>IF(SER_hh_fech!F30=0,0,SER_hh_fech!F30/SER_summary!F$26)</f>
        <v>29.094910515836208</v>
      </c>
      <c r="G30" s="133">
        <f>IF(SER_hh_fech!G30=0,0,SER_hh_fech!G30/SER_summary!G$26)</f>
        <v>25.036105206633234</v>
      </c>
      <c r="H30" s="133">
        <f>IF(SER_hh_fech!H30=0,0,SER_hh_fech!H30/SER_summary!H$26)</f>
        <v>17.086840235054638</v>
      </c>
      <c r="I30" s="133">
        <f>IF(SER_hh_fech!I30=0,0,SER_hh_fech!I30/SER_summary!I$26)</f>
        <v>36.230120333135993</v>
      </c>
      <c r="J30" s="133">
        <f>IF(SER_hh_fech!J30=0,0,SER_hh_fech!J30/SER_summary!J$26)</f>
        <v>21.949250953527404</v>
      </c>
      <c r="K30" s="133">
        <f>IF(SER_hh_fech!K30=0,0,SER_hh_fech!K30/SER_summary!K$26)</f>
        <v>24.335714497385247</v>
      </c>
      <c r="L30" s="133">
        <f>IF(SER_hh_fech!L30=0,0,SER_hh_fech!L30/SER_summary!L$26)</f>
        <v>33.062041311121895</v>
      </c>
      <c r="M30" s="133">
        <f>IF(SER_hh_fech!M30=0,0,SER_hh_fech!M30/SER_summary!M$26)</f>
        <v>15.835959577912273</v>
      </c>
      <c r="N30" s="133">
        <f>IF(SER_hh_fech!N30=0,0,SER_hh_fech!N30/SER_summary!N$26)</f>
        <v>30.895991609522554</v>
      </c>
      <c r="O30" s="133">
        <f>IF(SER_hh_fech!O30=0,0,SER_hh_fech!O30/SER_summary!O$26)</f>
        <v>25.141349000306661</v>
      </c>
      <c r="P30" s="133">
        <f>IF(SER_hh_fech!P30=0,0,SER_hh_fech!P30/SER_summary!P$26)</f>
        <v>26.478208953175425</v>
      </c>
      <c r="Q30" s="133">
        <f>IF(SER_hh_fech!Q30=0,0,SER_hh_fech!Q30/SER_summary!Q$26)</f>
        <v>30.561715230471982</v>
      </c>
      <c r="R30" s="133">
        <f>IF(SER_hh_fech!R30=0,0,SER_hh_fech!R30/SER_summary!R$26)</f>
        <v>26.211216799199221</v>
      </c>
      <c r="S30" s="133">
        <f>IF(SER_hh_fech!S30=0,0,SER_hh_fech!S30/SER_summary!S$26)</f>
        <v>27.400897783658095</v>
      </c>
      <c r="T30" s="133">
        <f>IF(SER_hh_fech!T30=0,0,SER_hh_fech!T30/SER_summary!T$26)</f>
        <v>30.726711318974417</v>
      </c>
      <c r="U30" s="133">
        <f>IF(SER_hh_fech!U30=0,0,SER_hh_fech!U30/SER_summary!U$26)</f>
        <v>35.828070873427123</v>
      </c>
      <c r="V30" s="133">
        <f>IF(SER_hh_fech!V30=0,0,SER_hh_fech!V30/SER_summary!V$26)</f>
        <v>30.196885306792797</v>
      </c>
      <c r="W30" s="133">
        <f>IF(SER_hh_fech!W30=0,0,SER_hh_fech!W30/SER_summary!W$26)</f>
        <v>22.380054123008424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3.9027691526580153</v>
      </c>
      <c r="C31" s="133">
        <f>IF(SER_hh_fech!C31=0,0,SER_hh_fech!C31/SER_summary!C$26)</f>
        <v>37.538799703997462</v>
      </c>
      <c r="D31" s="133">
        <f>IF(SER_hh_fech!D31=0,0,SER_hh_fech!D31/SER_summary!D$26)</f>
        <v>34.179607915776764</v>
      </c>
      <c r="E31" s="133">
        <f>IF(SER_hh_fech!E31=0,0,SER_hh_fech!E31/SER_summary!E$26)</f>
        <v>28.384753191605309</v>
      </c>
      <c r="F31" s="133">
        <f>IF(SER_hh_fech!F31=0,0,SER_hh_fech!F31/SER_summary!F$26)</f>
        <v>30.718474034854289</v>
      </c>
      <c r="G31" s="133">
        <f>IF(SER_hh_fech!G31=0,0,SER_hh_fech!G31/SER_summary!G$26)</f>
        <v>27.660254939647785</v>
      </c>
      <c r="H31" s="133">
        <f>IF(SER_hh_fech!H31=0,0,SER_hh_fech!H31/SER_summary!H$26)</f>
        <v>19.664311352115877</v>
      </c>
      <c r="I31" s="133">
        <f>IF(SER_hh_fech!I31=0,0,SER_hh_fech!I31/SER_summary!I$26)</f>
        <v>20.192886882736762</v>
      </c>
      <c r="J31" s="133">
        <f>IF(SER_hh_fech!J31=0,0,SER_hh_fech!J31/SER_summary!J$26)</f>
        <v>10.411176943214368</v>
      </c>
      <c r="K31" s="133">
        <f>IF(SER_hh_fech!K31=0,0,SER_hh_fech!K31/SER_summary!K$26)</f>
        <v>29.461530876639291</v>
      </c>
      <c r="L31" s="133">
        <f>IF(SER_hh_fech!L31=0,0,SER_hh_fech!L31/SER_summary!L$26)</f>
        <v>26.556785273111672</v>
      </c>
      <c r="M31" s="133">
        <f>IF(SER_hh_fech!M31=0,0,SER_hh_fech!M31/SER_summary!M$26)</f>
        <v>25.169280421669104</v>
      </c>
      <c r="N31" s="133">
        <f>IF(SER_hh_fech!N31=0,0,SER_hh_fech!N31/SER_summary!N$26)</f>
        <v>20.948207117876443</v>
      </c>
      <c r="O31" s="133">
        <f>IF(SER_hh_fech!O31=0,0,SER_hh_fech!O31/SER_summary!O$26)</f>
        <v>24.114304117439278</v>
      </c>
      <c r="P31" s="133">
        <f>IF(SER_hh_fech!P31=0,0,SER_hh_fech!P31/SER_summary!P$26)</f>
        <v>29.32273651395143</v>
      </c>
      <c r="Q31" s="133">
        <f>IF(SER_hh_fech!Q31=0,0,SER_hh_fech!Q31/SER_summary!Q$26)</f>
        <v>29.138207145043133</v>
      </c>
      <c r="R31" s="133">
        <f>IF(SER_hh_fech!R31=0,0,SER_hh_fech!R31/SER_summary!R$26)</f>
        <v>37.57635646950672</v>
      </c>
      <c r="S31" s="133">
        <f>IF(SER_hh_fech!S31=0,0,SER_hh_fech!S31/SER_summary!S$26)</f>
        <v>31.743914061660814</v>
      </c>
      <c r="T31" s="133">
        <f>IF(SER_hh_fech!T31=0,0,SER_hh_fech!T31/SER_summary!T$26)</f>
        <v>22.518219958750787</v>
      </c>
      <c r="U31" s="133">
        <f>IF(SER_hh_fech!U31=0,0,SER_hh_fech!U31/SER_summary!U$26)</f>
        <v>30.427169985818537</v>
      </c>
      <c r="V31" s="133">
        <f>IF(SER_hh_fech!V31=0,0,SER_hh_fech!V31/SER_summary!V$26)</f>
        <v>29.48572880428971</v>
      </c>
      <c r="W31" s="133">
        <f>IF(SER_hh_fech!W31=0,0,SER_hh_fech!W31/SER_summary!W$26)</f>
        <v>27.727754931029999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23.511682971116482</v>
      </c>
      <c r="C33" s="68">
        <f>IF(SER_hh_fech!C33=0,0,SER_hh_fech!C33/SER_summary!C$26)</f>
        <v>17.331693619568124</v>
      </c>
      <c r="D33" s="68">
        <f>IF(SER_hh_fech!D33=0,0,SER_hh_fech!D33/SER_summary!D$26)</f>
        <v>23.576026193116441</v>
      </c>
      <c r="E33" s="68">
        <f>IF(SER_hh_fech!E33=0,0,SER_hh_fech!E33/SER_summary!E$26)</f>
        <v>23.5239586490049</v>
      </c>
      <c r="F33" s="68">
        <f>IF(SER_hh_fech!F33=0,0,SER_hh_fech!F33/SER_summary!F$26)</f>
        <v>20.112461072273028</v>
      </c>
      <c r="G33" s="68">
        <f>IF(SER_hh_fech!G33=0,0,SER_hh_fech!G33/SER_summary!G$26)</f>
        <v>20.859153730535905</v>
      </c>
      <c r="H33" s="68">
        <f>IF(SER_hh_fech!H33=0,0,SER_hh_fech!H33/SER_summary!H$26)</f>
        <v>22.491400916668212</v>
      </c>
      <c r="I33" s="68">
        <f>IF(SER_hh_fech!I33=0,0,SER_hh_fech!I33/SER_summary!I$26)</f>
        <v>17.000145161788179</v>
      </c>
      <c r="J33" s="68">
        <f>IF(SER_hh_fech!J33=0,0,SER_hh_fech!J33/SER_summary!J$26)</f>
        <v>20.085858447119787</v>
      </c>
      <c r="K33" s="68">
        <f>IF(SER_hh_fech!K33=0,0,SER_hh_fech!K33/SER_summary!K$26)</f>
        <v>19.019874697742278</v>
      </c>
      <c r="L33" s="68">
        <f>IF(SER_hh_fech!L33=0,0,SER_hh_fech!L33/SER_summary!L$26)</f>
        <v>17.014741359113565</v>
      </c>
      <c r="M33" s="68">
        <f>IF(SER_hh_fech!M33=0,0,SER_hh_fech!M33/SER_summary!M$26)</f>
        <v>21.481299142857136</v>
      </c>
      <c r="N33" s="68">
        <f>IF(SER_hh_fech!N33=0,0,SER_hh_fech!N33/SER_summary!N$26)</f>
        <v>19.52318637238151</v>
      </c>
      <c r="O33" s="68">
        <f>IF(SER_hh_fech!O33=0,0,SER_hh_fech!O33/SER_summary!O$26)</f>
        <v>20.596575477397145</v>
      </c>
      <c r="P33" s="68">
        <f>IF(SER_hh_fech!P33=0,0,SER_hh_fech!P33/SER_summary!P$26)</f>
        <v>20.297926757509025</v>
      </c>
      <c r="Q33" s="68">
        <f>IF(SER_hh_fech!Q33=0,0,SER_hh_fech!Q33/SER_summary!Q$26)</f>
        <v>21.041899895246914</v>
      </c>
      <c r="R33" s="68">
        <f>IF(SER_hh_fech!R33=0,0,SER_hh_fech!R33/SER_summary!R$26)</f>
        <v>21.368831868643706</v>
      </c>
      <c r="S33" s="68">
        <f>IF(SER_hh_fech!S33=0,0,SER_hh_fech!S33/SER_summary!S$26)</f>
        <v>22.500840287596482</v>
      </c>
      <c r="T33" s="68">
        <f>IF(SER_hh_fech!T33=0,0,SER_hh_fech!T33/SER_summary!T$26)</f>
        <v>22.901297001035349</v>
      </c>
      <c r="U33" s="68">
        <f>IF(SER_hh_fech!U33=0,0,SER_hh_fech!U33/SER_summary!U$26)</f>
        <v>21.149642747152249</v>
      </c>
      <c r="V33" s="68">
        <f>IF(SER_hh_fech!V33=0,0,SER_hh_fech!V33/SER_summary!V$26)</f>
        <v>20.682833208338963</v>
      </c>
      <c r="W33" s="68">
        <f>IF(SER_hh_fech!W33=0,0,SER_hh_fech!W33/SER_summary!W$26)</f>
        <v>22.675045163226326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187.53848211502682</v>
      </c>
      <c r="C3" s="126">
        <f>IF(SER_hh_tesh!C3=0,0,SER_hh_tesh!C3/SER_summary!C$26)</f>
        <v>241.29854274717641</v>
      </c>
      <c r="D3" s="126">
        <f>IF(SER_hh_tesh!D3=0,0,SER_hh_tesh!D3/SER_summary!D$26)</f>
        <v>232.31919376146746</v>
      </c>
      <c r="E3" s="126">
        <f>IF(SER_hh_tesh!E3=0,0,SER_hh_tesh!E3/SER_summary!E$26)</f>
        <v>150.76507462791477</v>
      </c>
      <c r="F3" s="126">
        <f>IF(SER_hh_tesh!F3=0,0,SER_hh_tesh!F3/SER_summary!F$26)</f>
        <v>159.85563715069688</v>
      </c>
      <c r="G3" s="126">
        <f>IF(SER_hh_tesh!G3=0,0,SER_hh_tesh!G3/SER_summary!G$26)</f>
        <v>131.39185018235671</v>
      </c>
      <c r="H3" s="126">
        <f>IF(SER_hh_tesh!H3=0,0,SER_hh_tesh!H3/SER_summary!H$26)</f>
        <v>115.20436150874197</v>
      </c>
      <c r="I3" s="126">
        <f>IF(SER_hh_tesh!I3=0,0,SER_hh_tesh!I3/SER_summary!I$26)</f>
        <v>92.235459664549509</v>
      </c>
      <c r="J3" s="126">
        <f>IF(SER_hh_tesh!J3=0,0,SER_hh_tesh!J3/SER_summary!J$26)</f>
        <v>122.62898241480255</v>
      </c>
      <c r="K3" s="126">
        <f>IF(SER_hh_tesh!K3=0,0,SER_hh_tesh!K3/SER_summary!K$26)</f>
        <v>121.50597985154505</v>
      </c>
      <c r="L3" s="126">
        <f>IF(SER_hh_tesh!L3=0,0,SER_hh_tesh!L3/SER_summary!L$26)</f>
        <v>136.47514132980626</v>
      </c>
      <c r="M3" s="126">
        <f>IF(SER_hh_tesh!M3=0,0,SER_hh_tesh!M3/SER_summary!M$26)</f>
        <v>135.84622082786561</v>
      </c>
      <c r="N3" s="126">
        <f>IF(SER_hh_tesh!N3=0,0,SER_hh_tesh!N3/SER_summary!N$26)</f>
        <v>116.84969026116795</v>
      </c>
      <c r="O3" s="126">
        <f>IF(SER_hh_tesh!O3=0,0,SER_hh_tesh!O3/SER_summary!O$26)</f>
        <v>121.37369028556064</v>
      </c>
      <c r="P3" s="126">
        <f>IF(SER_hh_tesh!P3=0,0,SER_hh_tesh!P3/SER_summary!P$26)</f>
        <v>105.96967953502799</v>
      </c>
      <c r="Q3" s="126">
        <f>IF(SER_hh_tesh!Q3=0,0,SER_hh_tesh!Q3/SER_summary!Q$26)</f>
        <v>115.01263174690173</v>
      </c>
      <c r="R3" s="126">
        <f>IF(SER_hh_tesh!R3=0,0,SER_hh_tesh!R3/SER_summary!R$26)</f>
        <v>123.27401577438791</v>
      </c>
      <c r="S3" s="126">
        <f>IF(SER_hh_tesh!S3=0,0,SER_hh_tesh!S3/SER_summary!S$26)</f>
        <v>124.46300421133031</v>
      </c>
      <c r="T3" s="126">
        <f>IF(SER_hh_tesh!T3=0,0,SER_hh_tesh!T3/SER_summary!T$26)</f>
        <v>123.74201225142581</v>
      </c>
      <c r="U3" s="126">
        <f>IF(SER_hh_tesh!U3=0,0,SER_hh_tesh!U3/SER_summary!U$26)</f>
        <v>119.20609535050662</v>
      </c>
      <c r="V3" s="126">
        <f>IF(SER_hh_tesh!V3=0,0,SER_hh_tesh!V3/SER_summary!V$26)</f>
        <v>109.25816931357127</v>
      </c>
      <c r="W3" s="126">
        <f>IF(SER_hh_tesh!W3=0,0,SER_hh_tesh!W3/SER_summary!W$26)</f>
        <v>110.41645467147833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152.24910779293276</v>
      </c>
      <c r="C4" s="131">
        <f>IF(SER_hh_tesh!C4=0,0,SER_hh_tesh!C4/SER_summary!C$26)</f>
        <v>205.43930524412008</v>
      </c>
      <c r="D4" s="131">
        <f>IF(SER_hh_tesh!D4=0,0,SER_hh_tesh!D4/SER_summary!D$26)</f>
        <v>196.79135504862478</v>
      </c>
      <c r="E4" s="131">
        <f>IF(SER_hh_tesh!E4=0,0,SER_hh_tesh!E4/SER_summary!E$26)</f>
        <v>114.5192121810752</v>
      </c>
      <c r="F4" s="131">
        <f>IF(SER_hh_tesh!F4=0,0,SER_hh_tesh!F4/SER_summary!F$26)</f>
        <v>125.23255735740896</v>
      </c>
      <c r="G4" s="131">
        <f>IF(SER_hh_tesh!G4=0,0,SER_hh_tesh!G4/SER_summary!G$26)</f>
        <v>96.724798628966369</v>
      </c>
      <c r="H4" s="131">
        <f>IF(SER_hh_tesh!H4=0,0,SER_hh_tesh!H4/SER_summary!H$26)</f>
        <v>80.247021745690972</v>
      </c>
      <c r="I4" s="131">
        <f>IF(SER_hh_tesh!I4=0,0,SER_hh_tesh!I4/SER_summary!I$26)</f>
        <v>57.935227548731021</v>
      </c>
      <c r="J4" s="131">
        <f>IF(SER_hh_tesh!J4=0,0,SER_hh_tesh!J4/SER_summary!J$26)</f>
        <v>88.679942599643127</v>
      </c>
      <c r="K4" s="131">
        <f>IF(SER_hh_tesh!K4=0,0,SER_hh_tesh!K4/SER_summary!K$26)</f>
        <v>86.81504719585169</v>
      </c>
      <c r="L4" s="131">
        <f>IF(SER_hh_tesh!L4=0,0,SER_hh_tesh!L4/SER_summary!L$26)</f>
        <v>100.76818683413825</v>
      </c>
      <c r="M4" s="131">
        <f>IF(SER_hh_tesh!M4=0,0,SER_hh_tesh!M4/SER_summary!M$26)</f>
        <v>99.558922818626229</v>
      </c>
      <c r="N4" s="131">
        <f>IF(SER_hh_tesh!N4=0,0,SER_hh_tesh!N4/SER_summary!N$26)</f>
        <v>78.63174560074043</v>
      </c>
      <c r="O4" s="131">
        <f>IF(SER_hh_tesh!O4=0,0,SER_hh_tesh!O4/SER_summary!O$26)</f>
        <v>82.211262100938598</v>
      </c>
      <c r="P4" s="131">
        <f>IF(SER_hh_tesh!P4=0,0,SER_hh_tesh!P4/SER_summary!P$26)</f>
        <v>67.575235843121874</v>
      </c>
      <c r="Q4" s="131">
        <f>IF(SER_hh_tesh!Q4=0,0,SER_hh_tesh!Q4/SER_summary!Q$26)</f>
        <v>73.398677935917846</v>
      </c>
      <c r="R4" s="131">
        <f>IF(SER_hh_tesh!R4=0,0,SER_hh_tesh!R4/SER_summary!R$26)</f>
        <v>82.442200817032443</v>
      </c>
      <c r="S4" s="131">
        <f>IF(SER_hh_tesh!S4=0,0,SER_hh_tesh!S4/SER_summary!S$26)</f>
        <v>81.653563771379766</v>
      </c>
      <c r="T4" s="131">
        <f>IF(SER_hh_tesh!T4=0,0,SER_hh_tesh!T4/SER_summary!T$26)</f>
        <v>81.966520624169434</v>
      </c>
      <c r="U4" s="131">
        <f>IF(SER_hh_tesh!U4=0,0,SER_hh_tesh!U4/SER_summary!U$26)</f>
        <v>76.340494471199193</v>
      </c>
      <c r="V4" s="131">
        <f>IF(SER_hh_tesh!V4=0,0,SER_hh_tesh!V4/SER_summary!V$26)</f>
        <v>68.704868837446512</v>
      </c>
      <c r="W4" s="131">
        <f>IF(SER_hh_tesh!W4=0,0,SER_hh_tesh!W4/SER_summary!W$26)</f>
        <v>68.51422487444907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145.7677273275396</v>
      </c>
      <c r="C7" s="133">
        <f>IF(SER_hh_tesh!C7=0,0,SER_hh_tesh!C7/SER_summary!C$26)</f>
        <v>216.50574940897536</v>
      </c>
      <c r="D7" s="133">
        <f>IF(SER_hh_tesh!D7=0,0,SER_hh_tesh!D7/SER_summary!D$26)</f>
        <v>172.88263347779198</v>
      </c>
      <c r="E7" s="133">
        <f>IF(SER_hh_tesh!E7=0,0,SER_hh_tesh!E7/SER_summary!E$26)</f>
        <v>120.2441553158271</v>
      </c>
      <c r="F7" s="133">
        <f>IF(SER_hh_tesh!F7=0,0,SER_hh_tesh!F7/SER_summary!F$26)</f>
        <v>114.59135552463408</v>
      </c>
      <c r="G7" s="133">
        <f>IF(SER_hh_tesh!G7=0,0,SER_hh_tesh!G7/SER_summary!G$26)</f>
        <v>103.46806658436994</v>
      </c>
      <c r="H7" s="133">
        <f>IF(SER_hh_tesh!H7=0,0,SER_hh_tesh!H7/SER_summary!H$26)</f>
        <v>83.424252967891647</v>
      </c>
      <c r="I7" s="133">
        <f>IF(SER_hh_tesh!I7=0,0,SER_hh_tesh!I7/SER_summary!I$26)</f>
        <v>49.716476125027768</v>
      </c>
      <c r="J7" s="133">
        <f>IF(SER_hh_tesh!J7=0,0,SER_hh_tesh!J7/SER_summary!J$26)</f>
        <v>89.936357414304879</v>
      </c>
      <c r="K7" s="133">
        <f>IF(SER_hh_tesh!K7=0,0,SER_hh_tesh!K7/SER_summary!K$26)</f>
        <v>85.583308855936721</v>
      </c>
      <c r="L7" s="133">
        <f>IF(SER_hh_tesh!L7=0,0,SER_hh_tesh!L7/SER_summary!L$26)</f>
        <v>101.85560507315645</v>
      </c>
      <c r="M7" s="133">
        <f>IF(SER_hh_tesh!M7=0,0,SER_hh_tesh!M7/SER_summary!M$26)</f>
        <v>93.769188976627959</v>
      </c>
      <c r="N7" s="133">
        <f>IF(SER_hh_tesh!N7=0,0,SER_hh_tesh!N7/SER_summary!N$26)</f>
        <v>76.583904626057077</v>
      </c>
      <c r="O7" s="133">
        <f>IF(SER_hh_tesh!O7=0,0,SER_hh_tesh!O7/SER_summary!O$26)</f>
        <v>79.733653755358745</v>
      </c>
      <c r="P7" s="133">
        <f>IF(SER_hh_tesh!P7=0,0,SER_hh_tesh!P7/SER_summary!P$26)</f>
        <v>61.895146407765118</v>
      </c>
      <c r="Q7" s="133">
        <f>IF(SER_hh_tesh!Q7=0,0,SER_hh_tesh!Q7/SER_summary!Q$26)</f>
        <v>71.349954390988231</v>
      </c>
      <c r="R7" s="133">
        <f>IF(SER_hh_tesh!R7=0,0,SER_hh_tesh!R7/SER_summary!R$26)</f>
        <v>87.597083821421933</v>
      </c>
      <c r="S7" s="133">
        <f>IF(SER_hh_tesh!S7=0,0,SER_hh_tesh!S7/SER_summary!S$26)</f>
        <v>72.026858928828403</v>
      </c>
      <c r="T7" s="133">
        <f>IF(SER_hh_tesh!T7=0,0,SER_hh_tesh!T7/SER_summary!T$26)</f>
        <v>80.951383817030148</v>
      </c>
      <c r="U7" s="133">
        <f>IF(SER_hh_tesh!U7=0,0,SER_hh_tesh!U7/SER_summary!U$26)</f>
        <v>71.101506170331476</v>
      </c>
      <c r="V7" s="133">
        <f>IF(SER_hh_tesh!V7=0,0,SER_hh_tesh!V7/SER_summary!V$26)</f>
        <v>83.461368571333963</v>
      </c>
      <c r="W7" s="133">
        <f>IF(SER_hh_tesh!W7=0,0,SER_hh_tesh!W7/SER_summary!W$26)</f>
        <v>59.236437003787849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85.731015564143576</v>
      </c>
      <c r="C9" s="133">
        <f>IF(SER_hh_tesh!C9=0,0,SER_hh_tesh!C9/SER_summary!C$26)</f>
        <v>228.61980686716225</v>
      </c>
      <c r="D9" s="133">
        <f>IF(SER_hh_tesh!D9=0,0,SER_hh_tesh!D9/SER_summary!D$26)</f>
        <v>226.19820658072771</v>
      </c>
      <c r="E9" s="133">
        <f>IF(SER_hh_tesh!E9=0,0,SER_hh_tesh!E9/SER_summary!E$26)</f>
        <v>109.06564327434185</v>
      </c>
      <c r="F9" s="133">
        <f>IF(SER_hh_tesh!F9=0,0,SER_hh_tesh!F9/SER_summary!F$26)</f>
        <v>150.23285108991558</v>
      </c>
      <c r="G9" s="133">
        <f>IF(SER_hh_tesh!G9=0,0,SER_hh_tesh!G9/SER_summary!G$26)</f>
        <v>82.666639511907633</v>
      </c>
      <c r="H9" s="133">
        <f>IF(SER_hh_tesh!H9=0,0,SER_hh_tesh!H9/SER_summary!H$26)</f>
        <v>60.571685860789962</v>
      </c>
      <c r="I9" s="133">
        <f>IF(SER_hh_tesh!I9=0,0,SER_hh_tesh!I9/SER_summary!I$26)</f>
        <v>60.532893529189707</v>
      </c>
      <c r="J9" s="133">
        <f>IF(SER_hh_tesh!J9=0,0,SER_hh_tesh!J9/SER_summary!J$26)</f>
        <v>69.742841148273698</v>
      </c>
      <c r="K9" s="133">
        <f>IF(SER_hh_tesh!K9=0,0,SER_hh_tesh!K9/SER_summary!K$26)</f>
        <v>77.302095808666309</v>
      </c>
      <c r="L9" s="133">
        <f>IF(SER_hh_tesh!L9=0,0,SER_hh_tesh!L9/SER_summary!L$26)</f>
        <v>94.272785574352596</v>
      </c>
      <c r="M9" s="133">
        <f>IF(SER_hh_tesh!M9=0,0,SER_hh_tesh!M9/SER_summary!M$26)</f>
        <v>135.87001256705511</v>
      </c>
      <c r="N9" s="133">
        <f>IF(SER_hh_tesh!N9=0,0,SER_hh_tesh!N9/SER_summary!N$26)</f>
        <v>38.673224031873708</v>
      </c>
      <c r="O9" s="133">
        <f>IF(SER_hh_tesh!O9=0,0,SER_hh_tesh!O9/SER_summary!O$26)</f>
        <v>79.244738679672324</v>
      </c>
      <c r="P9" s="133">
        <f>IF(SER_hh_tesh!P9=0,0,SER_hh_tesh!P9/SER_summary!P$26)</f>
        <v>66.255947817266176</v>
      </c>
      <c r="Q9" s="133">
        <f>IF(SER_hh_tesh!Q9=0,0,SER_hh_tesh!Q9/SER_summary!Q$26)</f>
        <v>79.394503278325018</v>
      </c>
      <c r="R9" s="133">
        <f>IF(SER_hh_tesh!R9=0,0,SER_hh_tesh!R9/SER_summary!R$26)</f>
        <v>99.362994521271176</v>
      </c>
      <c r="S9" s="133">
        <f>IF(SER_hh_tesh!S9=0,0,SER_hh_tesh!S9/SER_summary!S$26)</f>
        <v>84.95873697126332</v>
      </c>
      <c r="T9" s="133">
        <f>IF(SER_hh_tesh!T9=0,0,SER_hh_tesh!T9/SER_summary!T$26)</f>
        <v>59.3878976544719</v>
      </c>
      <c r="U9" s="133">
        <f>IF(SER_hh_tesh!U9=0,0,SER_hh_tesh!U9/SER_summary!U$26)</f>
        <v>74.973404607260733</v>
      </c>
      <c r="V9" s="133">
        <f>IF(SER_hh_tesh!V9=0,0,SER_hh_tesh!V9/SER_summary!V$26)</f>
        <v>69.347481715318622</v>
      </c>
      <c r="W9" s="133">
        <f>IF(SER_hh_tesh!W9=0,0,SER_hh_tesh!W9/SER_summary!W$26)</f>
        <v>60.949452940534044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119.86582855561983</v>
      </c>
      <c r="C10" s="133">
        <f>IF(SER_hh_tesh!C10=0,0,SER_hh_tesh!C10/SER_summary!C$26)</f>
        <v>216.27919962504669</v>
      </c>
      <c r="D10" s="133">
        <f>IF(SER_hh_tesh!D10=0,0,SER_hh_tesh!D10/SER_summary!D$26)</f>
        <v>215.62200036394191</v>
      </c>
      <c r="E10" s="133">
        <f>IF(SER_hh_tesh!E10=0,0,SER_hh_tesh!E10/SER_summary!E$26)</f>
        <v>93.74678436911293</v>
      </c>
      <c r="F10" s="133">
        <f>IF(SER_hh_tesh!F10=0,0,SER_hh_tesh!F10/SER_summary!F$26)</f>
        <v>110.36750009519075</v>
      </c>
      <c r="G10" s="133">
        <f>IF(SER_hh_tesh!G10=0,0,SER_hh_tesh!G10/SER_summary!G$26)</f>
        <v>164.8205204976027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0</v>
      </c>
      <c r="O10" s="133">
        <f>IF(SER_hh_tesh!O10=0,0,SER_hh_tesh!O10/SER_summary!O$26)</f>
        <v>0</v>
      </c>
      <c r="P10" s="133">
        <f>IF(SER_hh_tesh!P10=0,0,SER_hh_tesh!P10/SER_summary!P$26)</f>
        <v>0</v>
      </c>
      <c r="Q10" s="133">
        <f>IF(SER_hh_tesh!Q10=0,0,SER_hh_tesh!Q10/SER_summary!Q$26)</f>
        <v>0</v>
      </c>
      <c r="R10" s="133">
        <f>IF(SER_hh_tesh!R10=0,0,SER_hh_tesh!R10/SER_summary!R$26)</f>
        <v>0</v>
      </c>
      <c r="S10" s="133">
        <f>IF(SER_hh_tesh!S10=0,0,SER_hh_tesh!S10/SER_summary!S$26)</f>
        <v>0</v>
      </c>
      <c r="T10" s="133">
        <f>IF(SER_hh_tesh!T10=0,0,SER_hh_tesh!T10/SER_summary!T$26)</f>
        <v>0</v>
      </c>
      <c r="U10" s="133">
        <f>IF(SER_hh_tesh!U10=0,0,SER_hh_tesh!U10/SER_summary!U$26)</f>
        <v>0</v>
      </c>
      <c r="V10" s="133">
        <f>IF(SER_hh_tesh!V10=0,0,SER_hh_tesh!V10/SER_summary!V$26)</f>
        <v>0</v>
      </c>
      <c r="W10" s="133">
        <f>IF(SER_hh_tesh!W10=0,0,SER_hh_tesh!W10/SER_summary!W$26)</f>
        <v>0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144.38667219492882</v>
      </c>
      <c r="M11" s="133">
        <f>IF(SER_hh_tesh!M11=0,0,SER_hh_tesh!M11/SER_summary!M$26)</f>
        <v>114.3208329036307</v>
      </c>
      <c r="N11" s="133">
        <f>IF(SER_hh_tesh!N11=0,0,SER_hh_tesh!N11/SER_summary!N$26)</f>
        <v>75.451110950661018</v>
      </c>
      <c r="O11" s="133">
        <f>IF(SER_hh_tesh!O11=0,0,SER_hh_tesh!O11/SER_summary!O$26)</f>
        <v>77.9424379033034</v>
      </c>
      <c r="P11" s="133">
        <f>IF(SER_hh_tesh!P11=0,0,SER_hh_tesh!P11/SER_summary!P$26)</f>
        <v>78.930085351917953</v>
      </c>
      <c r="Q11" s="133">
        <f>IF(SER_hh_tesh!Q11=0,0,SER_hh_tesh!Q11/SER_summary!Q$26)</f>
        <v>61.52658092447566</v>
      </c>
      <c r="R11" s="133">
        <f>IF(SER_hh_tesh!R11=0,0,SER_hh_tesh!R11/SER_summary!R$26)</f>
        <v>65.99682989617304</v>
      </c>
      <c r="S11" s="133">
        <f>IF(SER_hh_tesh!S11=0,0,SER_hh_tesh!S11/SER_summary!S$26)</f>
        <v>86.536871727417505</v>
      </c>
      <c r="T11" s="133">
        <f>IF(SER_hh_tesh!T11=0,0,SER_hh_tesh!T11/SER_summary!T$26)</f>
        <v>80.107619704293171</v>
      </c>
      <c r="U11" s="133">
        <f>IF(SER_hh_tesh!U11=0,0,SER_hh_tesh!U11/SER_summary!U$26)</f>
        <v>85.496696882560272</v>
      </c>
      <c r="V11" s="133">
        <f>IF(SER_hh_tesh!V11=0,0,SER_hh_tesh!V11/SER_summary!V$26)</f>
        <v>60.693892258604826</v>
      </c>
      <c r="W11" s="133">
        <f>IF(SER_hh_tesh!W11=0,0,SER_hh_tesh!W11/SER_summary!W$26)</f>
        <v>59.01326140508953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171.52124039674013</v>
      </c>
      <c r="C12" s="133">
        <f>IF(SER_hh_tesh!C12=0,0,SER_hh_tesh!C12/SER_summary!C$26)</f>
        <v>180.62687142399704</v>
      </c>
      <c r="D12" s="133">
        <f>IF(SER_hh_tesh!D12=0,0,SER_hh_tesh!D12/SER_summary!D$26)</f>
        <v>194.48863274522526</v>
      </c>
      <c r="E12" s="133">
        <f>IF(SER_hh_tesh!E12=0,0,SER_hh_tesh!E12/SER_summary!E$26)</f>
        <v>106.46659471862071</v>
      </c>
      <c r="F12" s="133">
        <f>IF(SER_hh_tesh!F12=0,0,SER_hh_tesh!F12/SER_summary!F$26)</f>
        <v>121.40063785625874</v>
      </c>
      <c r="G12" s="133">
        <f>IF(SER_hh_tesh!G12=0,0,SER_hh_tesh!G12/SER_summary!G$26)</f>
        <v>82.836311065470468</v>
      </c>
      <c r="H12" s="133">
        <f>IF(SER_hh_tesh!H12=0,0,SER_hh_tesh!H12/SER_summary!H$26)</f>
        <v>100.56949485767846</v>
      </c>
      <c r="I12" s="133">
        <f>IF(SER_hh_tesh!I12=0,0,SER_hh_tesh!I12/SER_summary!I$26)</f>
        <v>58.810691856828548</v>
      </c>
      <c r="J12" s="133">
        <f>IF(SER_hh_tesh!J12=0,0,SER_hh_tesh!J12/SER_summary!J$26)</f>
        <v>58.286810981113732</v>
      </c>
      <c r="K12" s="133">
        <f>IF(SER_hh_tesh!K12=0,0,SER_hh_tesh!K12/SER_summary!K$26)</f>
        <v>87.535844557948863</v>
      </c>
      <c r="L12" s="133">
        <f>IF(SER_hh_tesh!L12=0,0,SER_hh_tesh!L12/SER_summary!L$26)</f>
        <v>99.02132337854303</v>
      </c>
      <c r="M12" s="133">
        <f>IF(SER_hh_tesh!M12=0,0,SER_hh_tesh!M12/SER_summary!M$26)</f>
        <v>94.251586735706596</v>
      </c>
      <c r="N12" s="133">
        <f>IF(SER_hh_tesh!N12=0,0,SER_hh_tesh!N12/SER_summary!N$26)</f>
        <v>86.067506057624925</v>
      </c>
      <c r="O12" s="133">
        <f>IF(SER_hh_tesh!O12=0,0,SER_hh_tesh!O12/SER_summary!O$26)</f>
        <v>87.318871828208302</v>
      </c>
      <c r="P12" s="133">
        <f>IF(SER_hh_tesh!P12=0,0,SER_hh_tesh!P12/SER_summary!P$26)</f>
        <v>65.279894153842889</v>
      </c>
      <c r="Q12" s="133">
        <f>IF(SER_hh_tesh!Q12=0,0,SER_hh_tesh!Q12/SER_summary!Q$26)</f>
        <v>75.34604522100696</v>
      </c>
      <c r="R12" s="133">
        <f>IF(SER_hh_tesh!R12=0,0,SER_hh_tesh!R12/SER_summary!R$26)</f>
        <v>73.05347436305928</v>
      </c>
      <c r="S12" s="133">
        <f>IF(SER_hh_tesh!S12=0,0,SER_hh_tesh!S12/SER_summary!S$26)</f>
        <v>83.769166548220028</v>
      </c>
      <c r="T12" s="133">
        <f>IF(SER_hh_tesh!T12=0,0,SER_hh_tesh!T12/SER_summary!T$26)</f>
        <v>85.971530000025979</v>
      </c>
      <c r="U12" s="133">
        <f>IF(SER_hh_tesh!U12=0,0,SER_hh_tesh!U12/SER_summary!U$26)</f>
        <v>70.501126008923535</v>
      </c>
      <c r="V12" s="133">
        <f>IF(SER_hh_tesh!V12=0,0,SER_hh_tesh!V12/SER_summary!V$26)</f>
        <v>67.348979234200215</v>
      </c>
      <c r="W12" s="133">
        <f>IF(SER_hh_tesh!W12=0,0,SER_hh_tesh!W12/SER_summary!W$26)</f>
        <v>76.894454504828346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160.15715732650943</v>
      </c>
      <c r="C14" s="65">
        <f>IF(SER_hh_tesh!C14=0,0,SER_hh_tesh!C14/SER_summary!C$26)</f>
        <v>179.22043900995993</v>
      </c>
      <c r="D14" s="65">
        <f>IF(SER_hh_tesh!D14=0,0,SER_hh_tesh!D14/SER_summary!D$26)</f>
        <v>219.82930889354455</v>
      </c>
      <c r="E14" s="65">
        <f>IF(SER_hh_tesh!E14=0,0,SER_hh_tesh!E14/SER_summary!E$26)</f>
        <v>104.05117877877214</v>
      </c>
      <c r="F14" s="65">
        <f>IF(SER_hh_tesh!F14=0,0,SER_hh_tesh!F14/SER_summary!F$26)</f>
        <v>131.93898504874042</v>
      </c>
      <c r="G14" s="65">
        <f>IF(SER_hh_tesh!G14=0,0,SER_hh_tesh!G14/SER_summary!G$26)</f>
        <v>89.339223109451382</v>
      </c>
      <c r="H14" s="65">
        <f>IF(SER_hh_tesh!H14=0,0,SER_hh_tesh!H14/SER_summary!H$26)</f>
        <v>67.983647023366004</v>
      </c>
      <c r="I14" s="65">
        <f>IF(SER_hh_tesh!I14=0,0,SER_hh_tesh!I14/SER_summary!I$26)</f>
        <v>67.333329870510397</v>
      </c>
      <c r="J14" s="65">
        <f>IF(SER_hh_tesh!J14=0,0,SER_hh_tesh!J14/SER_summary!J$26)</f>
        <v>94.680132770844665</v>
      </c>
      <c r="K14" s="65">
        <f>IF(SER_hh_tesh!K14=0,0,SER_hh_tesh!K14/SER_summary!K$26)</f>
        <v>87.422937031309687</v>
      </c>
      <c r="L14" s="65">
        <f>IF(SER_hh_tesh!L14=0,0,SER_hh_tesh!L14/SER_summary!L$26)</f>
        <v>93.080629860946516</v>
      </c>
      <c r="M14" s="65">
        <f>IF(SER_hh_tesh!M14=0,0,SER_hh_tesh!M14/SER_summary!M$26)</f>
        <v>95.073459082835299</v>
      </c>
      <c r="N14" s="65">
        <f>IF(SER_hh_tesh!N14=0,0,SER_hh_tesh!N14/SER_summary!N$26)</f>
        <v>84.259475150107207</v>
      </c>
      <c r="O14" s="65">
        <f>IF(SER_hh_tesh!O14=0,0,SER_hh_tesh!O14/SER_summary!O$26)</f>
        <v>81.212188036361098</v>
      </c>
      <c r="P14" s="65">
        <f>IF(SER_hh_tesh!P14=0,0,SER_hh_tesh!P14/SER_summary!P$26)</f>
        <v>70.108256627860769</v>
      </c>
      <c r="Q14" s="65">
        <f>IF(SER_hh_tesh!Q14=0,0,SER_hh_tesh!Q14/SER_summary!Q$26)</f>
        <v>71.219972584368747</v>
      </c>
      <c r="R14" s="65">
        <f>IF(SER_hh_tesh!R14=0,0,SER_hh_tesh!R14/SER_summary!R$26)</f>
        <v>76.899356008792012</v>
      </c>
      <c r="S14" s="65">
        <f>IF(SER_hh_tesh!S14=0,0,SER_hh_tesh!S14/SER_summary!S$26)</f>
        <v>82.430796161409674</v>
      </c>
      <c r="T14" s="65">
        <f>IF(SER_hh_tesh!T14=0,0,SER_hh_tesh!T14/SER_summary!T$26)</f>
        <v>85.733106224810257</v>
      </c>
      <c r="U14" s="65">
        <f>IF(SER_hh_tesh!U14=0,0,SER_hh_tesh!U14/SER_summary!U$26)</f>
        <v>79.799282567075522</v>
      </c>
      <c r="V14" s="65">
        <f>IF(SER_hh_tesh!V14=0,0,SER_hh_tesh!V14/SER_summary!V$26)</f>
        <v>62.477973435410824</v>
      </c>
      <c r="W14" s="65">
        <f>IF(SER_hh_tesh!W14=0,0,SER_hh_tesh!W14/SER_summary!W$26)</f>
        <v>70.482316649955621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2.2322923763189375</v>
      </c>
      <c r="C15" s="135">
        <f>IF(SER_hh_tesh!C15=0,0,SER_hh_tesh!C15/SER_summary!C$26)</f>
        <v>3.5104573162664989</v>
      </c>
      <c r="D15" s="135">
        <f>IF(SER_hh_tesh!D15=0,0,SER_hh_tesh!D15/SER_summary!D$26)</f>
        <v>3.0180266053080267</v>
      </c>
      <c r="E15" s="135">
        <f>IF(SER_hh_tesh!E15=0,0,SER_hh_tesh!E15/SER_summary!E$26)</f>
        <v>1.9366958670517709</v>
      </c>
      <c r="F15" s="135">
        <f>IF(SER_hh_tesh!F15=0,0,SER_hh_tesh!F15/SER_summary!F$26)</f>
        <v>1.9615919027445969</v>
      </c>
      <c r="G15" s="135">
        <f>IF(SER_hh_tesh!G15=0,0,SER_hh_tesh!G15/SER_summary!G$26)</f>
        <v>1.5969607297723336</v>
      </c>
      <c r="H15" s="135">
        <f>IF(SER_hh_tesh!H15=0,0,SER_hh_tesh!H15/SER_summary!H$26)</f>
        <v>1.2804084153895812</v>
      </c>
      <c r="I15" s="135">
        <f>IF(SER_hh_tesh!I15=0,0,SER_hh_tesh!I15/SER_summary!I$26)</f>
        <v>0.79149375103237329</v>
      </c>
      <c r="J15" s="135">
        <f>IF(SER_hh_tesh!J15=0,0,SER_hh_tesh!J15/SER_summary!J$26)</f>
        <v>1.3467886775017694</v>
      </c>
      <c r="K15" s="135">
        <f>IF(SER_hh_tesh!K15=0,0,SER_hh_tesh!K15/SER_summary!K$26)</f>
        <v>1.2751910308851737</v>
      </c>
      <c r="L15" s="135">
        <f>IF(SER_hh_tesh!L15=0,0,SER_hh_tesh!L15/SER_summary!L$26)</f>
        <v>1.3864090973978505</v>
      </c>
      <c r="M15" s="135">
        <f>IF(SER_hh_tesh!M15=0,0,SER_hh_tesh!M15/SER_summary!M$26)</f>
        <v>1.2841617715832339</v>
      </c>
      <c r="N15" s="135">
        <f>IF(SER_hh_tesh!N15=0,0,SER_hh_tesh!N15/SER_summary!N$26)</f>
        <v>0.84153456107150415</v>
      </c>
      <c r="O15" s="135">
        <f>IF(SER_hh_tesh!O15=0,0,SER_hh_tesh!O15/SER_summary!O$26)</f>
        <v>0.92607099287515782</v>
      </c>
      <c r="P15" s="135">
        <f>IF(SER_hh_tesh!P15=0,0,SER_hh_tesh!P15/SER_summary!P$26)</f>
        <v>0.73771384980301669</v>
      </c>
      <c r="Q15" s="135">
        <f>IF(SER_hh_tesh!Q15=0,0,SER_hh_tesh!Q15/SER_summary!Q$26)</f>
        <v>0.86072938983097447</v>
      </c>
      <c r="R15" s="135">
        <f>IF(SER_hh_tesh!R15=0,0,SER_hh_tesh!R15/SER_summary!R$26)</f>
        <v>1.0392158369711693</v>
      </c>
      <c r="S15" s="135">
        <f>IF(SER_hh_tesh!S15=0,0,SER_hh_tesh!S15/SER_summary!S$26)</f>
        <v>0.87261345409526203</v>
      </c>
      <c r="T15" s="135">
        <f>IF(SER_hh_tesh!T15=0,0,SER_hh_tesh!T15/SER_summary!T$26)</f>
        <v>0.80535799519487516</v>
      </c>
      <c r="U15" s="135">
        <f>IF(SER_hh_tesh!U15=0,0,SER_hh_tesh!U15/SER_summary!U$26)</f>
        <v>0.75672511874525938</v>
      </c>
      <c r="V15" s="135">
        <f>IF(SER_hh_tesh!V15=0,0,SER_hh_tesh!V15/SER_summary!V$26)</f>
        <v>0.7824972348671233</v>
      </c>
      <c r="W15" s="135">
        <f>IF(SER_hh_tesh!W15=0,0,SER_hh_tesh!W15/SER_summary!W$26)</f>
        <v>0.63448234563542738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24.452568410749105</v>
      </c>
      <c r="C16" s="131">
        <f>IF(SER_hh_tesh!C16=0,0,SER_hh_tesh!C16/SER_summary!C$26)</f>
        <v>24.129913954655294</v>
      </c>
      <c r="D16" s="131">
        <f>IF(SER_hh_tesh!D16=0,0,SER_hh_tesh!D16/SER_summary!D$26)</f>
        <v>23.972875147281272</v>
      </c>
      <c r="E16" s="131">
        <f>IF(SER_hh_tesh!E16=0,0,SER_hh_tesh!E16/SER_summary!E$26)</f>
        <v>30.386612855830158</v>
      </c>
      <c r="F16" s="131">
        <f>IF(SER_hh_tesh!F16=0,0,SER_hh_tesh!F16/SER_summary!F$26)</f>
        <v>23.850671124282563</v>
      </c>
      <c r="G16" s="131">
        <f>IF(SER_hh_tesh!G16=0,0,SER_hh_tesh!G16/SER_summary!G$26)</f>
        <v>24.10299593711672</v>
      </c>
      <c r="H16" s="131">
        <f>IF(SER_hh_tesh!H16=0,0,SER_hh_tesh!H16/SER_summary!H$26)</f>
        <v>25.840985061532706</v>
      </c>
      <c r="I16" s="131">
        <f>IF(SER_hh_tesh!I16=0,0,SER_hh_tesh!I16/SER_summary!I$26)</f>
        <v>24.888351388331941</v>
      </c>
      <c r="J16" s="131">
        <f>IF(SER_hh_tesh!J16=0,0,SER_hh_tesh!J16/SER_summary!J$26)</f>
        <v>24.356336883839596</v>
      </c>
      <c r="K16" s="131">
        <f>IF(SER_hh_tesh!K16=0,0,SER_hh_tesh!K16/SER_summary!K$26)</f>
        <v>24.315730298239902</v>
      </c>
      <c r="L16" s="131">
        <f>IF(SER_hh_tesh!L16=0,0,SER_hh_tesh!L16/SER_summary!L$26)</f>
        <v>25.505514576625092</v>
      </c>
      <c r="M16" s="131">
        <f>IF(SER_hh_tesh!M16=0,0,SER_hh_tesh!M16/SER_summary!M$26)</f>
        <v>25.468394610426493</v>
      </c>
      <c r="N16" s="131">
        <f>IF(SER_hh_tesh!N16=0,0,SER_hh_tesh!N16/SER_summary!N$26)</f>
        <v>28.81749969402124</v>
      </c>
      <c r="O16" s="131">
        <f>IF(SER_hh_tesh!O16=0,0,SER_hh_tesh!O16/SER_summary!O$26)</f>
        <v>29.889071649707507</v>
      </c>
      <c r="P16" s="131">
        <f>IF(SER_hh_tesh!P16=0,0,SER_hh_tesh!P16/SER_summary!P$26)</f>
        <v>24.267214623524005</v>
      </c>
      <c r="Q16" s="131">
        <f>IF(SER_hh_tesh!Q16=0,0,SER_hh_tesh!Q16/SER_summary!Q$26)</f>
        <v>30.404247202075783</v>
      </c>
      <c r="R16" s="131">
        <f>IF(SER_hh_tesh!R16=0,0,SER_hh_tesh!R16/SER_summary!R$26)</f>
        <v>25.064488162586834</v>
      </c>
      <c r="S16" s="131">
        <f>IF(SER_hh_tesh!S16=0,0,SER_hh_tesh!S16/SER_summary!S$26)</f>
        <v>30.292382984699547</v>
      </c>
      <c r="T16" s="131">
        <f>IF(SER_hh_tesh!T16=0,0,SER_hh_tesh!T16/SER_summary!T$26)</f>
        <v>26.521070448944243</v>
      </c>
      <c r="U16" s="131">
        <f>IF(SER_hh_tesh!U16=0,0,SER_hh_tesh!U16/SER_summary!U$26)</f>
        <v>28.456122842924749</v>
      </c>
      <c r="V16" s="131">
        <f>IF(SER_hh_tesh!V16=0,0,SER_hh_tesh!V16/SER_summary!V$26)</f>
        <v>25.128610896270317</v>
      </c>
      <c r="W16" s="131">
        <f>IF(SER_hh_tesh!W16=0,0,SER_hh_tesh!W16/SER_summary!W$26)</f>
        <v>27.61183021730151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24.452568410749105</v>
      </c>
      <c r="C18" s="133">
        <f>IF(SER_hh_tesh!C18=0,0,SER_hh_tesh!C18/SER_summary!C$26)</f>
        <v>24.129913954655294</v>
      </c>
      <c r="D18" s="133">
        <f>IF(SER_hh_tesh!D18=0,0,SER_hh_tesh!D18/SER_summary!D$26)</f>
        <v>23.972875147281272</v>
      </c>
      <c r="E18" s="133">
        <f>IF(SER_hh_tesh!E18=0,0,SER_hh_tesh!E18/SER_summary!E$26)</f>
        <v>30.386612855830158</v>
      </c>
      <c r="F18" s="133">
        <f>IF(SER_hh_tesh!F18=0,0,SER_hh_tesh!F18/SER_summary!F$26)</f>
        <v>23.850671124282563</v>
      </c>
      <c r="G18" s="133">
        <f>IF(SER_hh_tesh!G18=0,0,SER_hh_tesh!G18/SER_summary!G$26)</f>
        <v>24.10299593711672</v>
      </c>
      <c r="H18" s="133">
        <f>IF(SER_hh_tesh!H18=0,0,SER_hh_tesh!H18/SER_summary!H$26)</f>
        <v>25.840985061532706</v>
      </c>
      <c r="I18" s="133">
        <f>IF(SER_hh_tesh!I18=0,0,SER_hh_tesh!I18/SER_summary!I$26)</f>
        <v>24.888351388331941</v>
      </c>
      <c r="J18" s="133">
        <f>IF(SER_hh_tesh!J18=0,0,SER_hh_tesh!J18/SER_summary!J$26)</f>
        <v>24.356336883839596</v>
      </c>
      <c r="K18" s="133">
        <f>IF(SER_hh_tesh!K18=0,0,SER_hh_tesh!K18/SER_summary!K$26)</f>
        <v>24.315730298239902</v>
      </c>
      <c r="L18" s="133">
        <f>IF(SER_hh_tesh!L18=0,0,SER_hh_tesh!L18/SER_summary!L$26)</f>
        <v>25.505514576625092</v>
      </c>
      <c r="M18" s="133">
        <f>IF(SER_hh_tesh!M18=0,0,SER_hh_tesh!M18/SER_summary!M$26)</f>
        <v>25.468394610426493</v>
      </c>
      <c r="N18" s="133">
        <f>IF(SER_hh_tesh!N18=0,0,SER_hh_tesh!N18/SER_summary!N$26)</f>
        <v>28.81749969402124</v>
      </c>
      <c r="O18" s="133">
        <f>IF(SER_hh_tesh!O18=0,0,SER_hh_tesh!O18/SER_summary!O$26)</f>
        <v>29.889071649707507</v>
      </c>
      <c r="P18" s="133">
        <f>IF(SER_hh_tesh!P18=0,0,SER_hh_tesh!P18/SER_summary!P$26)</f>
        <v>24.267214623524005</v>
      </c>
      <c r="Q18" s="133">
        <f>IF(SER_hh_tesh!Q18=0,0,SER_hh_tesh!Q18/SER_summary!Q$26)</f>
        <v>30.404247202075783</v>
      </c>
      <c r="R18" s="133">
        <f>IF(SER_hh_tesh!R18=0,0,SER_hh_tesh!R18/SER_summary!R$26)</f>
        <v>25.064488162586834</v>
      </c>
      <c r="S18" s="133">
        <f>IF(SER_hh_tesh!S18=0,0,SER_hh_tesh!S18/SER_summary!S$26)</f>
        <v>30.292382984699547</v>
      </c>
      <c r="T18" s="133">
        <f>IF(SER_hh_tesh!T18=0,0,SER_hh_tesh!T18/SER_summary!T$26)</f>
        <v>26.521070448944243</v>
      </c>
      <c r="U18" s="133">
        <f>IF(SER_hh_tesh!U18=0,0,SER_hh_tesh!U18/SER_summary!U$26)</f>
        <v>28.456122842924749</v>
      </c>
      <c r="V18" s="133">
        <f>IF(SER_hh_tesh!V18=0,0,SER_hh_tesh!V18/SER_summary!V$26)</f>
        <v>25.128610896270317</v>
      </c>
      <c r="W18" s="133">
        <f>IF(SER_hh_tesh!W18=0,0,SER_hh_tesh!W18/SER_summary!W$26)</f>
        <v>27.61183021730151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14.236100398839879</v>
      </c>
      <c r="C19" s="131">
        <f>IF(SER_hh_tesh!C19=0,0,SER_hh_tesh!C19/SER_summary!C$26)</f>
        <v>14.015109127028477</v>
      </c>
      <c r="D19" s="131">
        <f>IF(SER_hh_tesh!D19=0,0,SER_hh_tesh!D19/SER_summary!D$26)</f>
        <v>13.732446764461539</v>
      </c>
      <c r="E19" s="131">
        <f>IF(SER_hh_tesh!E19=0,0,SER_hh_tesh!E19/SER_summary!E$26)</f>
        <v>13.641176456103073</v>
      </c>
      <c r="F19" s="131">
        <f>IF(SER_hh_tesh!F19=0,0,SER_hh_tesh!F19/SER_summary!F$26)</f>
        <v>13.397410897516764</v>
      </c>
      <c r="G19" s="131">
        <f>IF(SER_hh_tesh!G19=0,0,SER_hh_tesh!G19/SER_summary!G$26)</f>
        <v>13.365752569332308</v>
      </c>
      <c r="H19" s="131">
        <f>IF(SER_hh_tesh!H19=0,0,SER_hh_tesh!H19/SER_summary!H$26)</f>
        <v>13.124051608387806</v>
      </c>
      <c r="I19" s="131">
        <f>IF(SER_hh_tesh!I19=0,0,SER_hh_tesh!I19/SER_summary!I$26)</f>
        <v>12.842949886697582</v>
      </c>
      <c r="J19" s="131">
        <f>IF(SER_hh_tesh!J19=0,0,SER_hh_tesh!J19/SER_summary!J$26)</f>
        <v>12.736385635212464</v>
      </c>
      <c r="K19" s="131">
        <f>IF(SER_hh_tesh!K19=0,0,SER_hh_tesh!K19/SER_summary!K$26)</f>
        <v>13.037003346074576</v>
      </c>
      <c r="L19" s="131">
        <f>IF(SER_hh_tesh!L19=0,0,SER_hh_tesh!L19/SER_summary!L$26)</f>
        <v>13.283094806228158</v>
      </c>
      <c r="M19" s="131">
        <f>IF(SER_hh_tesh!M19=0,0,SER_hh_tesh!M19/SER_summary!M$26)</f>
        <v>13.322967262115604</v>
      </c>
      <c r="N19" s="131">
        <f>IF(SER_hh_tesh!N19=0,0,SER_hh_tesh!N19/SER_summary!N$26)</f>
        <v>13.591591214908032</v>
      </c>
      <c r="O19" s="131">
        <f>IF(SER_hh_tesh!O19=0,0,SER_hh_tesh!O19/SER_summary!O$26)</f>
        <v>13.902326233901674</v>
      </c>
      <c r="P19" s="131">
        <f>IF(SER_hh_tesh!P19=0,0,SER_hh_tesh!P19/SER_summary!P$26)</f>
        <v>14.319763702251318</v>
      </c>
      <c r="Q19" s="131">
        <f>IF(SER_hh_tesh!Q19=0,0,SER_hh_tesh!Q19/SER_summary!Q$26)</f>
        <v>14.686436728492959</v>
      </c>
      <c r="R19" s="131">
        <f>IF(SER_hh_tesh!R19=0,0,SER_hh_tesh!R19/SER_summary!R$26)</f>
        <v>14.911632837419276</v>
      </c>
      <c r="S19" s="131">
        <f>IF(SER_hh_tesh!S19=0,0,SER_hh_tesh!S19/SER_summary!S$26)</f>
        <v>14.981943707185989</v>
      </c>
      <c r="T19" s="131">
        <f>IF(SER_hh_tesh!T19=0,0,SER_hh_tesh!T19/SER_summary!T$26)</f>
        <v>14.887759691924215</v>
      </c>
      <c r="U19" s="131">
        <f>IF(SER_hh_tesh!U19=0,0,SER_hh_tesh!U19/SER_summary!U$26)</f>
        <v>15.141774154095698</v>
      </c>
      <c r="V19" s="131">
        <f>IF(SER_hh_tesh!V19=0,0,SER_hh_tesh!V19/SER_summary!V$26)</f>
        <v>14.819147209022796</v>
      </c>
      <c r="W19" s="131">
        <f>IF(SER_hh_tesh!W19=0,0,SER_hh_tesh!W19/SER_summary!W$26)</f>
        <v>15.11473619130609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15.314522598417994</v>
      </c>
      <c r="C21" s="133">
        <f>IF(SER_hh_tesh!C21=0,0,SER_hh_tesh!C21/SER_summary!C$26)</f>
        <v>13.172440026290474</v>
      </c>
      <c r="D21" s="133">
        <f>IF(SER_hh_tesh!D21=0,0,SER_hh_tesh!D21/SER_summary!D$26)</f>
        <v>14.121006993667804</v>
      </c>
      <c r="E21" s="133">
        <f>IF(SER_hh_tesh!E21=0,0,SER_hh_tesh!E21/SER_summary!E$26)</f>
        <v>13.762098784776143</v>
      </c>
      <c r="F21" s="133">
        <f>IF(SER_hh_tesh!F21=0,0,SER_hh_tesh!F21/SER_summary!F$26)</f>
        <v>13.447640329860221</v>
      </c>
      <c r="G21" s="133">
        <f>IF(SER_hh_tesh!G21=0,0,SER_hh_tesh!G21/SER_summary!G$26)</f>
        <v>13.271494502480339</v>
      </c>
      <c r="H21" s="133">
        <f>IF(SER_hh_tesh!H21=0,0,SER_hh_tesh!H21/SER_summary!H$26)</f>
        <v>13.100393207942133</v>
      </c>
      <c r="I21" s="133">
        <f>IF(SER_hh_tesh!I21=0,0,SER_hh_tesh!I21/SER_summary!I$26)</f>
        <v>13.107402931902506</v>
      </c>
      <c r="J21" s="133">
        <f>IF(SER_hh_tesh!J21=0,0,SER_hh_tesh!J21/SER_summary!J$26)</f>
        <v>12.756027313406893</v>
      </c>
      <c r="K21" s="133">
        <f>IF(SER_hh_tesh!K21=0,0,SER_hh_tesh!K21/SER_summary!K$26)</f>
        <v>12.960872872033335</v>
      </c>
      <c r="L21" s="133">
        <f>IF(SER_hh_tesh!L21=0,0,SER_hh_tesh!L21/SER_summary!L$26)</f>
        <v>13.553068284649312</v>
      </c>
      <c r="M21" s="133">
        <f>IF(SER_hh_tesh!M21=0,0,SER_hh_tesh!M21/SER_summary!M$26)</f>
        <v>12.922026808168765</v>
      </c>
      <c r="N21" s="133">
        <f>IF(SER_hh_tesh!N21=0,0,SER_hh_tesh!N21/SER_summary!N$26)</f>
        <v>13.786875097727204</v>
      </c>
      <c r="O21" s="133">
        <f>IF(SER_hh_tesh!O21=0,0,SER_hh_tesh!O21/SER_summary!O$26)</f>
        <v>13.930303833345022</v>
      </c>
      <c r="P21" s="133">
        <f>IF(SER_hh_tesh!P21=0,0,SER_hh_tesh!P21/SER_summary!P$26)</f>
        <v>14.296678349062567</v>
      </c>
      <c r="Q21" s="133">
        <f>IF(SER_hh_tesh!Q21=0,0,SER_hh_tesh!Q21/SER_summary!Q$26)</f>
        <v>14.422873772888238</v>
      </c>
      <c r="R21" s="133">
        <f>IF(SER_hh_tesh!R21=0,0,SER_hh_tesh!R21/SER_summary!R$26)</f>
        <v>11.309474026146862</v>
      </c>
      <c r="S21" s="133">
        <f>IF(SER_hh_tesh!S21=0,0,SER_hh_tesh!S21/SER_summary!S$26)</f>
        <v>12.871633888687466</v>
      </c>
      <c r="T21" s="133">
        <f>IF(SER_hh_tesh!T21=0,0,SER_hh_tesh!T21/SER_summary!T$26)</f>
        <v>17.281665821238537</v>
      </c>
      <c r="U21" s="133">
        <f>IF(SER_hh_tesh!U21=0,0,SER_hh_tesh!U21/SER_summary!U$26)</f>
        <v>20.32200908663803</v>
      </c>
      <c r="V21" s="133">
        <f>IF(SER_hh_tesh!V21=0,0,SER_hh_tesh!V21/SER_summary!V$26)</f>
        <v>16.252787016666701</v>
      </c>
      <c r="W21" s="133">
        <f>IF(SER_hh_tesh!W21=0,0,SER_hh_tesh!W21/SER_summary!W$26)</f>
        <v>12.722599223120392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13.625555878585429</v>
      </c>
      <c r="C22" s="133">
        <f>IF(SER_hh_tesh!C22=0,0,SER_hh_tesh!C22/SER_summary!C$26)</f>
        <v>14.563115091177076</v>
      </c>
      <c r="D22" s="133">
        <f>IF(SER_hh_tesh!D22=0,0,SER_hh_tesh!D22/SER_summary!D$26)</f>
        <v>12.970484648977791</v>
      </c>
      <c r="E22" s="133">
        <f>IF(SER_hh_tesh!E22=0,0,SER_hh_tesh!E22/SER_summary!E$26)</f>
        <v>14.031583693202046</v>
      </c>
      <c r="F22" s="133">
        <f>IF(SER_hh_tesh!F22=0,0,SER_hh_tesh!F22/SER_summary!F$26)</f>
        <v>13.640956432788942</v>
      </c>
      <c r="G22" s="133">
        <f>IF(SER_hh_tesh!G22=0,0,SER_hh_tesh!G22/SER_summary!G$26)</f>
        <v>13.37319335392583</v>
      </c>
      <c r="H22" s="133">
        <f>IF(SER_hh_tesh!H22=0,0,SER_hh_tesh!H22/SER_summary!H$26)</f>
        <v>13.187053747193566</v>
      </c>
      <c r="I22" s="133">
        <f>IF(SER_hh_tesh!I22=0,0,SER_hh_tesh!I22/SER_summary!I$26)</f>
        <v>13.177353648161034</v>
      </c>
      <c r="J22" s="133">
        <f>IF(SER_hh_tesh!J22=0,0,SER_hh_tesh!J22/SER_summary!J$26)</f>
        <v>12.576726555792726</v>
      </c>
      <c r="K22" s="133">
        <f>IF(SER_hh_tesh!K22=0,0,SER_hh_tesh!K22/SER_summary!K$26)</f>
        <v>13.159557147577019</v>
      </c>
      <c r="L22" s="133">
        <f>IF(SER_hh_tesh!L22=0,0,SER_hh_tesh!L22/SER_summary!L$26)</f>
        <v>13.878188531284946</v>
      </c>
      <c r="M22" s="133">
        <f>IF(SER_hh_tesh!M22=0,0,SER_hh_tesh!M22/SER_summary!M$26)</f>
        <v>13.007680922322747</v>
      </c>
      <c r="N22" s="133">
        <f>IF(SER_hh_tesh!N22=0,0,SER_hh_tesh!N22/SER_summary!N$26)</f>
        <v>13.731016014981014</v>
      </c>
      <c r="O22" s="133">
        <f>IF(SER_hh_tesh!O22=0,0,SER_hh_tesh!O22/SER_summary!O$26)</f>
        <v>13.599273653505692</v>
      </c>
      <c r="P22" s="133">
        <f>IF(SER_hh_tesh!P22=0,0,SER_hh_tesh!P22/SER_summary!P$26)</f>
        <v>13.286946773984448</v>
      </c>
      <c r="Q22" s="133">
        <f>IF(SER_hh_tesh!Q22=0,0,SER_hh_tesh!Q22/SER_summary!Q$26)</f>
        <v>13.268153212939316</v>
      </c>
      <c r="R22" s="133">
        <f>IF(SER_hh_tesh!R22=0,0,SER_hh_tesh!R22/SER_summary!R$26)</f>
        <v>16.174832880984816</v>
      </c>
      <c r="S22" s="133">
        <f>IF(SER_hh_tesh!S22=0,0,SER_hh_tesh!S22/SER_summary!S$26)</f>
        <v>13.529578531959162</v>
      </c>
      <c r="T22" s="133">
        <f>IF(SER_hh_tesh!T22=0,0,SER_hh_tesh!T22/SER_summary!T$26)</f>
        <v>15.960747048114346</v>
      </c>
      <c r="U22" s="133">
        <f>IF(SER_hh_tesh!U22=0,0,SER_hh_tesh!U22/SER_summary!U$26)</f>
        <v>13.910685414365407</v>
      </c>
      <c r="V22" s="133">
        <f>IF(SER_hh_tesh!V22=0,0,SER_hh_tesh!V22/SER_summary!V$26)</f>
        <v>15.665917562119846</v>
      </c>
      <c r="W22" s="133">
        <f>IF(SER_hh_tesh!W22=0,0,SER_hh_tesh!W22/SER_summary!W$26)</f>
        <v>14.938937076038298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14.049406110454076</v>
      </c>
      <c r="C23" s="133">
        <f>IF(SER_hh_tesh!C23=0,0,SER_hh_tesh!C23/SER_summary!C$26)</f>
        <v>14.132899917770885</v>
      </c>
      <c r="D23" s="133">
        <f>IF(SER_hh_tesh!D23=0,0,SER_hh_tesh!D23/SER_summary!D$26)</f>
        <v>13.603684833731068</v>
      </c>
      <c r="E23" s="133">
        <f>IF(SER_hh_tesh!E23=0,0,SER_hh_tesh!E23/SER_summary!E$26)</f>
        <v>13.44808470944659</v>
      </c>
      <c r="F23" s="133">
        <f>IF(SER_hh_tesh!F23=0,0,SER_hh_tesh!F23/SER_summary!F$26)</f>
        <v>13.481692348191348</v>
      </c>
      <c r="G23" s="133">
        <f>IF(SER_hh_tesh!G23=0,0,SER_hh_tesh!G23/SER_summary!G$26)</f>
        <v>13.320530904669106</v>
      </c>
      <c r="H23" s="133">
        <f>IF(SER_hh_tesh!H23=0,0,SER_hh_tesh!H23/SER_summary!H$26)</f>
        <v>12.835192680304125</v>
      </c>
      <c r="I23" s="133">
        <f>IF(SER_hh_tesh!I23=0,0,SER_hh_tesh!I23/SER_summary!I$26)</f>
        <v>12.347424161563746</v>
      </c>
      <c r="J23" s="133">
        <f>IF(SER_hh_tesh!J23=0,0,SER_hh_tesh!J23/SER_summary!J$26)</f>
        <v>11.521029440286735</v>
      </c>
      <c r="K23" s="133">
        <f>IF(SER_hh_tesh!K23=0,0,SER_hh_tesh!K23/SER_summary!K$26)</f>
        <v>14.213416401741386</v>
      </c>
      <c r="L23" s="133">
        <f>IF(SER_hh_tesh!L23=0,0,SER_hh_tesh!L23/SER_summary!L$26)</f>
        <v>13.997862608730369</v>
      </c>
      <c r="M23" s="133">
        <f>IF(SER_hh_tesh!M23=0,0,SER_hh_tesh!M23/SER_summary!M$26)</f>
        <v>13.380455215793736</v>
      </c>
      <c r="N23" s="133">
        <f>IF(SER_hh_tesh!N23=0,0,SER_hh_tesh!N23/SER_summary!N$26)</f>
        <v>13.588039603170394</v>
      </c>
      <c r="O23" s="133">
        <f>IF(SER_hh_tesh!O23=0,0,SER_hh_tesh!O23/SER_summary!O$26)</f>
        <v>13.928248572274565</v>
      </c>
      <c r="P23" s="133">
        <f>IF(SER_hh_tesh!P23=0,0,SER_hh_tesh!P23/SER_summary!P$26)</f>
        <v>14.126687921675334</v>
      </c>
      <c r="Q23" s="133">
        <f>IF(SER_hh_tesh!Q23=0,0,SER_hh_tesh!Q23/SER_summary!Q$26)</f>
        <v>13.743413792922977</v>
      </c>
      <c r="R23" s="133">
        <f>IF(SER_hh_tesh!R23=0,0,SER_hh_tesh!R23/SER_summary!R$26)</f>
        <v>17.983330002219031</v>
      </c>
      <c r="S23" s="133">
        <f>IF(SER_hh_tesh!S23=0,0,SER_hh_tesh!S23/SER_summary!S$26)</f>
        <v>15.845964008520355</v>
      </c>
      <c r="T23" s="133">
        <f>IF(SER_hh_tesh!T23=0,0,SER_hh_tesh!T23/SER_summary!T$26)</f>
        <v>11.332358261728244</v>
      </c>
      <c r="U23" s="133">
        <f>IF(SER_hh_tesh!U23=0,0,SER_hh_tesh!U23/SER_summary!U$26)</f>
        <v>15.200187273340349</v>
      </c>
      <c r="V23" s="133">
        <f>IF(SER_hh_tesh!V23=0,0,SER_hh_tesh!V23/SER_summary!V$26)</f>
        <v>14.598519627203414</v>
      </c>
      <c r="W23" s="133">
        <f>IF(SER_hh_tesh!W23=0,0,SER_hh_tesh!W23/SER_summary!W$26)</f>
        <v>14.323957000418362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12.764759258767876</v>
      </c>
      <c r="C25" s="133">
        <f>IF(SER_hh_tesh!C25=0,0,SER_hh_tesh!C25/SER_summary!C$26)</f>
        <v>16.658074233709588</v>
      </c>
      <c r="D25" s="133">
        <f>IF(SER_hh_tesh!D25=0,0,SER_hh_tesh!D25/SER_summary!D$26)</f>
        <v>14.391774003183182</v>
      </c>
      <c r="E25" s="133">
        <f>IF(SER_hh_tesh!E25=0,0,SER_hh_tesh!E25/SER_summary!E$26)</f>
        <v>13.081957723888342</v>
      </c>
      <c r="F25" s="133">
        <f>IF(SER_hh_tesh!F25=0,0,SER_hh_tesh!F25/SER_summary!F$26)</f>
        <v>13.82624444818916</v>
      </c>
      <c r="G25" s="133">
        <f>IF(SER_hh_tesh!G25=0,0,SER_hh_tesh!G25/SER_summary!G$26)</f>
        <v>13.717567744493563</v>
      </c>
      <c r="H25" s="133">
        <f>IF(SER_hh_tesh!H25=0,0,SER_hh_tesh!H25/SER_summary!H$26)</f>
        <v>12.210714876902228</v>
      </c>
      <c r="I25" s="133">
        <f>IF(SER_hh_tesh!I25=0,0,SER_hh_tesh!I25/SER_summary!I$26)</f>
        <v>12.66917691411285</v>
      </c>
      <c r="J25" s="133">
        <f>IF(SER_hh_tesh!J25=0,0,SER_hh_tesh!J25/SER_summary!J$26)</f>
        <v>11.420609684894112</v>
      </c>
      <c r="K25" s="133">
        <f>IF(SER_hh_tesh!K25=0,0,SER_hh_tesh!K25/SER_summary!K$26)</f>
        <v>12.224150206792858</v>
      </c>
      <c r="L25" s="133">
        <f>IF(SER_hh_tesh!L25=0,0,SER_hh_tesh!L25/SER_summary!L$26)</f>
        <v>13.190068375985255</v>
      </c>
      <c r="M25" s="133">
        <f>IF(SER_hh_tesh!M25=0,0,SER_hh_tesh!M25/SER_summary!M$26)</f>
        <v>13.661773986438289</v>
      </c>
      <c r="N25" s="133">
        <f>IF(SER_hh_tesh!N25=0,0,SER_hh_tesh!N25/SER_summary!N$26)</f>
        <v>13.788659789235124</v>
      </c>
      <c r="O25" s="133">
        <f>IF(SER_hh_tesh!O25=0,0,SER_hh_tesh!O25/SER_summary!O$26)</f>
        <v>14.112123861958134</v>
      </c>
      <c r="P25" s="133">
        <f>IF(SER_hh_tesh!P25=0,0,SER_hh_tesh!P25/SER_summary!P$26)</f>
        <v>14.814256448878082</v>
      </c>
      <c r="Q25" s="133">
        <f>IF(SER_hh_tesh!Q25=0,0,SER_hh_tesh!Q25/SER_summary!Q$26)</f>
        <v>14.551125701831412</v>
      </c>
      <c r="R25" s="133">
        <f>IF(SER_hh_tesh!R25=0,0,SER_hh_tesh!R25/SER_summary!R$26)</f>
        <v>13.517154259372841</v>
      </c>
      <c r="S25" s="133">
        <f>IF(SER_hh_tesh!S25=0,0,SER_hh_tesh!S25/SER_summary!S$26)</f>
        <v>15.53145920306536</v>
      </c>
      <c r="T25" s="133">
        <f>IF(SER_hh_tesh!T25=0,0,SER_hh_tesh!T25/SER_summary!T$26)</f>
        <v>16.413504580123693</v>
      </c>
      <c r="U25" s="133">
        <f>IF(SER_hh_tesh!U25=0,0,SER_hh_tesh!U25/SER_summary!U$26)</f>
        <v>14.27358092586997</v>
      </c>
      <c r="V25" s="133">
        <f>IF(SER_hh_tesh!V25=0,0,SER_hh_tesh!V25/SER_summary!V$26)</f>
        <v>14.619540100132536</v>
      </c>
      <c r="W25" s="133">
        <f>IF(SER_hh_tesh!W25=0,0,SER_hh_tesh!W25/SER_summary!W$26)</f>
        <v>16.420346515893531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14.27774618771817</v>
      </c>
      <c r="C26" s="65">
        <f>IF(SER_hh_tesh!C26=0,0,SER_hh_tesh!C26/SER_summary!C$26)</f>
        <v>11.789061918552814</v>
      </c>
      <c r="D26" s="65">
        <f>IF(SER_hh_tesh!D26=0,0,SER_hh_tesh!D26/SER_summary!D$26)</f>
        <v>14.338957059018449</v>
      </c>
      <c r="E26" s="65">
        <f>IF(SER_hh_tesh!E26=0,0,SER_hh_tesh!E26/SER_summary!E$26)</f>
        <v>12.584666718907009</v>
      </c>
      <c r="F26" s="65">
        <f>IF(SER_hh_tesh!F26=0,0,SER_hh_tesh!F26/SER_summary!F$26)</f>
        <v>12.150171148476062</v>
      </c>
      <c r="G26" s="65">
        <f>IF(SER_hh_tesh!G26=0,0,SER_hh_tesh!G26/SER_summary!G$26)</f>
        <v>13.329139411914129</v>
      </c>
      <c r="H26" s="65">
        <f>IF(SER_hh_tesh!H26=0,0,SER_hh_tesh!H26/SER_summary!H$26)</f>
        <v>13.484660991052236</v>
      </c>
      <c r="I26" s="65">
        <f>IF(SER_hh_tesh!I26=0,0,SER_hh_tesh!I26/SER_summary!I$26)</f>
        <v>11.929988403685979</v>
      </c>
      <c r="J26" s="65">
        <f>IF(SER_hh_tesh!J26=0,0,SER_hh_tesh!J26/SER_summary!J$26)</f>
        <v>13.640100188063336</v>
      </c>
      <c r="K26" s="65">
        <f>IF(SER_hh_tesh!K26=0,0,SER_hh_tesh!K26/SER_summary!K$26)</f>
        <v>12.974431844909537</v>
      </c>
      <c r="L26" s="65">
        <f>IF(SER_hh_tesh!L26=0,0,SER_hh_tesh!L26/SER_summary!L$26)</f>
        <v>12.235591595782934</v>
      </c>
      <c r="M26" s="65">
        <f>IF(SER_hh_tesh!M26=0,0,SER_hh_tesh!M26/SER_summary!M$26)</f>
        <v>13.730184939514494</v>
      </c>
      <c r="N26" s="65">
        <f>IF(SER_hh_tesh!N26=0,0,SER_hh_tesh!N26/SER_summary!N$26)</f>
        <v>13.319496472795864</v>
      </c>
      <c r="O26" s="65">
        <f>IF(SER_hh_tesh!O26=0,0,SER_hh_tesh!O26/SER_summary!O$26)</f>
        <v>13.971795965425377</v>
      </c>
      <c r="P26" s="65">
        <f>IF(SER_hh_tesh!P26=0,0,SER_hh_tesh!P26/SER_summary!P$26)</f>
        <v>14.597642476445431</v>
      </c>
      <c r="Q26" s="65">
        <f>IF(SER_hh_tesh!Q26=0,0,SER_hh_tesh!Q26/SER_summary!Q$26)</f>
        <v>15.389862144986941</v>
      </c>
      <c r="R26" s="65">
        <f>IF(SER_hh_tesh!R26=0,0,SER_hh_tesh!R26/SER_summary!R$26)</f>
        <v>15.855691706218805</v>
      </c>
      <c r="S26" s="65">
        <f>IF(SER_hh_tesh!S26=0,0,SER_hh_tesh!S26/SER_summary!S$26)</f>
        <v>15.879966603602266</v>
      </c>
      <c r="T26" s="65">
        <f>IF(SER_hh_tesh!T26=0,0,SER_hh_tesh!T26/SER_summary!T$26)</f>
        <v>13.279425948705361</v>
      </c>
      <c r="U26" s="65">
        <f>IF(SER_hh_tesh!U26=0,0,SER_hh_tesh!U26/SER_summary!U$26)</f>
        <v>14.044688291610328</v>
      </c>
      <c r="V26" s="65">
        <f>IF(SER_hh_tesh!V26=0,0,SER_hh_tesh!V26/SER_summary!V$26)</f>
        <v>14.117244017683962</v>
      </c>
      <c r="W26" s="65">
        <f>IF(SER_hh_tesh!W26=0,0,SER_hh_tesh!W26/SER_summary!W$26)</f>
        <v>15.477149292402496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17.231183394332433</v>
      </c>
      <c r="C29" s="131">
        <f>IF(SER_hh_tesh!C29=0,0,SER_hh_tesh!C29/SER_summary!C$26)</f>
        <v>17.937152727164069</v>
      </c>
      <c r="D29" s="131">
        <f>IF(SER_hh_tesh!D29=0,0,SER_hh_tesh!D29/SER_summary!D$26)</f>
        <v>17.630133219632217</v>
      </c>
      <c r="E29" s="131">
        <f>IF(SER_hh_tesh!E29=0,0,SER_hh_tesh!E29/SER_summary!E$26)</f>
        <v>17.055903359578053</v>
      </c>
      <c r="F29" s="131">
        <f>IF(SER_hh_tesh!F29=0,0,SER_hh_tesh!F29/SER_summary!F$26)</f>
        <v>16.638150984833114</v>
      </c>
      <c r="G29" s="131">
        <f>IF(SER_hh_tesh!G29=0,0,SER_hh_tesh!G29/SER_summary!G$26)</f>
        <v>16.413097122632497</v>
      </c>
      <c r="H29" s="131">
        <f>IF(SER_hh_tesh!H29=0,0,SER_hh_tesh!H29/SER_summary!H$26)</f>
        <v>16.187955094271985</v>
      </c>
      <c r="I29" s="131">
        <f>IF(SER_hh_tesh!I29=0,0,SER_hh_tesh!I29/SER_summary!I$26)</f>
        <v>15.622525950994326</v>
      </c>
      <c r="J29" s="131">
        <f>IF(SER_hh_tesh!J29=0,0,SER_hh_tesh!J29/SER_summary!J$26)</f>
        <v>15.080839091063178</v>
      </c>
      <c r="K29" s="131">
        <f>IF(SER_hh_tesh!K29=0,0,SER_hh_tesh!K29/SER_summary!K$26)</f>
        <v>15.30654006013347</v>
      </c>
      <c r="L29" s="131">
        <f>IF(SER_hh_tesh!L29=0,0,SER_hh_tesh!L29/SER_summary!L$26)</f>
        <v>15.442231048234035</v>
      </c>
      <c r="M29" s="131">
        <f>IF(SER_hh_tesh!M29=0,0,SER_hh_tesh!M29/SER_summary!M$26)</f>
        <v>15.723141200927847</v>
      </c>
      <c r="N29" s="131">
        <f>IF(SER_hh_tesh!N29=0,0,SER_hh_tesh!N29/SER_summary!N$26)</f>
        <v>16.25073178831282</v>
      </c>
      <c r="O29" s="131">
        <f>IF(SER_hh_tesh!O29=0,0,SER_hh_tesh!O29/SER_summary!O$26)</f>
        <v>16.339906770762763</v>
      </c>
      <c r="P29" s="131">
        <f>IF(SER_hh_tesh!P29=0,0,SER_hh_tesh!P29/SER_summary!P$26)</f>
        <v>16.669137983637786</v>
      </c>
      <c r="Q29" s="131">
        <f>IF(SER_hh_tesh!Q29=0,0,SER_hh_tesh!Q29/SER_summary!Q$26)</f>
        <v>17.588440573692495</v>
      </c>
      <c r="R29" s="131">
        <f>IF(SER_hh_tesh!R29=0,0,SER_hh_tesh!R29/SER_summary!R$26)</f>
        <v>18.065090374048602</v>
      </c>
      <c r="S29" s="131">
        <f>IF(SER_hh_tesh!S29=0,0,SER_hh_tesh!S29/SER_summary!S$26)</f>
        <v>18.422638393494843</v>
      </c>
      <c r="T29" s="131">
        <f>IF(SER_hh_tesh!T29=0,0,SER_hh_tesh!T29/SER_summary!T$26)</f>
        <v>18.647182230595369</v>
      </c>
      <c r="U29" s="131">
        <f>IF(SER_hh_tesh!U29=0,0,SER_hh_tesh!U29/SER_summary!U$26)</f>
        <v>18.899867611796275</v>
      </c>
      <c r="V29" s="131">
        <f>IF(SER_hh_tesh!V29=0,0,SER_hh_tesh!V29/SER_summary!V$26)</f>
        <v>17.914496530205067</v>
      </c>
      <c r="W29" s="131">
        <f>IF(SER_hh_tesh!W29=0,0,SER_hh_tesh!W29/SER_summary!W$26)</f>
        <v>18.115523476569695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18.11843231333869</v>
      </c>
      <c r="C30" s="133">
        <f>IF(SER_hh_tesh!C30=0,0,SER_hh_tesh!C30/SER_summary!C$26)</f>
        <v>20.096094998219879</v>
      </c>
      <c r="D30" s="133">
        <f>IF(SER_hh_tesh!D30=0,0,SER_hh_tesh!D30/SER_summary!D$26)</f>
        <v>14.084596113375804</v>
      </c>
      <c r="E30" s="133">
        <f>IF(SER_hh_tesh!E30=0,0,SER_hh_tesh!E30/SER_summary!E$26)</f>
        <v>11.73590964411871</v>
      </c>
      <c r="F30" s="133">
        <f>IF(SER_hh_tesh!F30=0,0,SER_hh_tesh!F30/SER_summary!F$26)</f>
        <v>17.44162133241349</v>
      </c>
      <c r="G30" s="133">
        <f>IF(SER_hh_tesh!G30=0,0,SER_hh_tesh!G30/SER_summary!G$26)</f>
        <v>15.026508854994939</v>
      </c>
      <c r="H30" s="133">
        <f>IF(SER_hh_tesh!H30=0,0,SER_hh_tesh!H30/SER_summary!H$26)</f>
        <v>10.275326925671207</v>
      </c>
      <c r="I30" s="133">
        <f>IF(SER_hh_tesh!I30=0,0,SER_hh_tesh!I30/SER_summary!I$26)</f>
        <v>21.903112318786242</v>
      </c>
      <c r="J30" s="133">
        <f>IF(SER_hh_tesh!J30=0,0,SER_hh_tesh!J30/SER_summary!J$26)</f>
        <v>13.316729629134709</v>
      </c>
      <c r="K30" s="133">
        <f>IF(SER_hh_tesh!K30=0,0,SER_hh_tesh!K30/SER_summary!K$26)</f>
        <v>14.815771108518371</v>
      </c>
      <c r="L30" s="133">
        <f>IF(SER_hh_tesh!L30=0,0,SER_hh_tesh!L30/SER_summary!L$26)</f>
        <v>20.170189311661193</v>
      </c>
      <c r="M30" s="133">
        <f>IF(SER_hh_tesh!M30=0,0,SER_hh_tesh!M30/SER_summary!M$26)</f>
        <v>9.6612076068073698</v>
      </c>
      <c r="N30" s="133">
        <f>IF(SER_hh_tesh!N30=0,0,SER_hh_tesh!N30/SER_summary!N$26)</f>
        <v>18.849125142151706</v>
      </c>
      <c r="O30" s="133">
        <f>IF(SER_hh_tesh!O30=0,0,SER_hh_tesh!O30/SER_summary!O$26)</f>
        <v>15.338374460081253</v>
      </c>
      <c r="P30" s="133">
        <f>IF(SER_hh_tesh!P30=0,0,SER_hh_tesh!P30/SER_summary!P$26)</f>
        <v>16.154149579302889</v>
      </c>
      <c r="Q30" s="133">
        <f>IF(SER_hh_tesh!Q30=0,0,SER_hh_tesh!Q30/SER_summary!Q$26)</f>
        <v>18.64690727594466</v>
      </c>
      <c r="R30" s="133">
        <f>IF(SER_hh_tesh!R30=0,0,SER_hh_tesh!R30/SER_summary!R$26)</f>
        <v>16.003233099344321</v>
      </c>
      <c r="S30" s="133">
        <f>IF(SER_hh_tesh!S30=0,0,SER_hh_tesh!S30/SER_summary!S$26)</f>
        <v>16.77170915076773</v>
      </c>
      <c r="T30" s="133">
        <f>IF(SER_hh_tesh!T30=0,0,SER_hh_tesh!T30/SER_summary!T$26)</f>
        <v>18.885700293596908</v>
      </c>
      <c r="U30" s="133">
        <f>IF(SER_hh_tesh!U30=0,0,SER_hh_tesh!U30/SER_summary!U$26)</f>
        <v>22.119821034286147</v>
      </c>
      <c r="V30" s="133">
        <f>IF(SER_hh_tesh!V30=0,0,SER_hh_tesh!V30/SER_summary!V$26)</f>
        <v>18.695897087875018</v>
      </c>
      <c r="W30" s="133">
        <f>IF(SER_hh_tesh!W30=0,0,SER_hh_tesh!W30/SER_summary!W$26)</f>
        <v>13.884428081582497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2.3519452074442526</v>
      </c>
      <c r="C31" s="133">
        <f>IF(SER_hh_tesh!C31=0,0,SER_hh_tesh!C31/SER_summary!C$26)</f>
        <v>22.771142037143225</v>
      </c>
      <c r="D31" s="133">
        <f>IF(SER_hh_tesh!D31=0,0,SER_hh_tesh!D31/SER_summary!D$26)</f>
        <v>20.763456225987525</v>
      </c>
      <c r="E31" s="133">
        <f>IF(SER_hh_tesh!E31=0,0,SER_hh_tesh!E31/SER_summary!E$26)</f>
        <v>17.255597849477173</v>
      </c>
      <c r="F31" s="133">
        <f>IF(SER_hh_tesh!F31=0,0,SER_hh_tesh!F31/SER_summary!F$26)</f>
        <v>18.68079002668955</v>
      </c>
      <c r="G31" s="133">
        <f>IF(SER_hh_tesh!G31=0,0,SER_hh_tesh!G31/SER_summary!G$26)</f>
        <v>16.824748079113142</v>
      </c>
      <c r="H31" s="133">
        <f>IF(SER_hh_tesh!H31=0,0,SER_hh_tesh!H31/SER_summary!H$26)</f>
        <v>11.961100335860008</v>
      </c>
      <c r="I31" s="133">
        <f>IF(SER_hh_tesh!I31=0,0,SER_hh_tesh!I31/SER_summary!I$26)</f>
        <v>12.282614008199028</v>
      </c>
      <c r="J31" s="133">
        <f>IF(SER_hh_tesh!J31=0,0,SER_hh_tesh!J31/SER_summary!J$26)</f>
        <v>6.3337492274951828</v>
      </c>
      <c r="K31" s="133">
        <f>IF(SER_hh_tesh!K31=0,0,SER_hh_tesh!K31/SER_summary!K$26)</f>
        <v>17.976079518863873</v>
      </c>
      <c r="L31" s="133">
        <f>IF(SER_hh_tesh!L31=0,0,SER_hh_tesh!L31/SER_summary!L$26)</f>
        <v>16.245487050905215</v>
      </c>
      <c r="M31" s="133">
        <f>IF(SER_hh_tesh!M31=0,0,SER_hh_tesh!M31/SER_summary!M$26)</f>
        <v>15.412124210881506</v>
      </c>
      <c r="N31" s="133">
        <f>IF(SER_hh_tesh!N31=0,0,SER_hh_tesh!N31/SER_summary!N$26)</f>
        <v>12.853629390940515</v>
      </c>
      <c r="O31" s="133">
        <f>IF(SER_hh_tesh!O31=0,0,SER_hh_tesh!O31/SER_summary!O$26)</f>
        <v>14.842845407794973</v>
      </c>
      <c r="P31" s="133">
        <f>IF(SER_hh_tesh!P31=0,0,SER_hh_tesh!P31/SER_summary!P$26)</f>
        <v>18.063697142635707</v>
      </c>
      <c r="Q31" s="133">
        <f>IF(SER_hh_tesh!Q31=0,0,SER_hh_tesh!Q31/SER_summary!Q$26)</f>
        <v>17.953150874207516</v>
      </c>
      <c r="R31" s="133">
        <f>IF(SER_hh_tesh!R31=0,0,SER_hh_tesh!R31/SER_summary!R$26)</f>
        <v>23.153340402028167</v>
      </c>
      <c r="S31" s="133">
        <f>IF(SER_hh_tesh!S31=0,0,SER_hh_tesh!S31/SER_summary!S$26)</f>
        <v>19.559752309441706</v>
      </c>
      <c r="T31" s="133">
        <f>IF(SER_hh_tesh!T31=0,0,SER_hh_tesh!T31/SER_summary!T$26)</f>
        <v>13.875228811178276</v>
      </c>
      <c r="U31" s="133">
        <f>IF(SER_hh_tesh!U31=0,0,SER_hh_tesh!U31/SER_summary!U$26)</f>
        <v>18.748598749266936</v>
      </c>
      <c r="V31" s="133">
        <f>IF(SER_hh_tesh!V31=0,0,SER_hh_tesh!V31/SER_summary!V$26)</f>
        <v>18.168823152637803</v>
      </c>
      <c r="W31" s="133">
        <f>IF(SER_hh_tesh!W31=0,0,SER_hh_tesh!W31/SER_summary!W$26)</f>
        <v>17.086306776147122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18.485554919654366</v>
      </c>
      <c r="C33" s="68">
        <f>IF(SER_hh_tesh!C33=0,0,SER_hh_tesh!C33/SER_summary!C$26)</f>
        <v>13.677973417871097</v>
      </c>
      <c r="D33" s="68">
        <f>IF(SER_hh_tesh!D33=0,0,SER_hh_tesh!D33/SER_summary!D$26)</f>
        <v>18.724583360386017</v>
      </c>
      <c r="E33" s="68">
        <f>IF(SER_hh_tesh!E33=0,0,SER_hh_tesh!E33/SER_summary!E$26)</f>
        <v>18.74467997025133</v>
      </c>
      <c r="F33" s="68">
        <f>IF(SER_hh_tesh!F33=0,0,SER_hh_tesh!F33/SER_summary!F$26)</f>
        <v>16.066432297959729</v>
      </c>
      <c r="G33" s="68">
        <f>IF(SER_hh_tesh!G33=0,0,SER_hh_tesh!G33/SER_summary!G$26)</f>
        <v>16.693766003074039</v>
      </c>
      <c r="H33" s="68">
        <f>IF(SER_hh_tesh!H33=0,0,SER_hh_tesh!H33/SER_summary!H$26)</f>
        <v>18.03514953713346</v>
      </c>
      <c r="I33" s="68">
        <f>IF(SER_hh_tesh!I33=0,0,SER_hh_tesh!I33/SER_summary!I$26)</f>
        <v>13.651710110011303</v>
      </c>
      <c r="J33" s="68">
        <f>IF(SER_hh_tesh!J33=0,0,SER_hh_tesh!J33/SER_summary!J$26)</f>
        <v>16.160164972924811</v>
      </c>
      <c r="K33" s="68">
        <f>IF(SER_hh_tesh!K33=0,0,SER_hh_tesh!K33/SER_summary!K$26)</f>
        <v>15.33092495958145</v>
      </c>
      <c r="L33" s="68">
        <f>IF(SER_hh_tesh!L33=0,0,SER_hh_tesh!L33/SER_summary!L$26)</f>
        <v>13.739113087379469</v>
      </c>
      <c r="M33" s="68">
        <f>IF(SER_hh_tesh!M33=0,0,SER_hh_tesh!M33/SER_summary!M$26)</f>
        <v>17.38060553896953</v>
      </c>
      <c r="N33" s="68">
        <f>IF(SER_hh_tesh!N33=0,0,SER_hh_tesh!N33/SER_summary!N$26)</f>
        <v>15.826370428155476</v>
      </c>
      <c r="O33" s="68">
        <f>IF(SER_hh_tesh!O33=0,0,SER_hh_tesh!O33/SER_summary!O$26)</f>
        <v>16.753246968880049</v>
      </c>
      <c r="P33" s="68">
        <f>IF(SER_hh_tesh!P33=0,0,SER_hh_tesh!P33/SER_summary!P$26)</f>
        <v>16.57697015846021</v>
      </c>
      <c r="Q33" s="68">
        <f>IF(SER_hh_tesh!Q33=0,0,SER_hh_tesh!Q33/SER_summary!Q$26)</f>
        <v>17.260718853565823</v>
      </c>
      <c r="R33" s="68">
        <f>IF(SER_hh_tesh!R33=0,0,SER_hh_tesh!R33/SER_summary!R$26)</f>
        <v>17.629690055468338</v>
      </c>
      <c r="S33" s="68">
        <f>IF(SER_hh_tesh!S33=0,0,SER_hh_tesh!S33/SER_summary!S$26)</f>
        <v>18.681205270549452</v>
      </c>
      <c r="T33" s="68">
        <f>IF(SER_hh_tesh!T33=0,0,SER_hh_tesh!T33/SER_summary!T$26)</f>
        <v>19.163384912212983</v>
      </c>
      <c r="U33" s="68">
        <f>IF(SER_hh_tesh!U33=0,0,SER_hh_tesh!U33/SER_summary!U$26)</f>
        <v>17.844270207151649</v>
      </c>
      <c r="V33" s="68">
        <f>IF(SER_hh_tesh!V33=0,0,SER_hh_tesh!V33/SER_summary!V$26)</f>
        <v>17.634398867807835</v>
      </c>
      <c r="W33" s="68">
        <f>IF(SER_hh_tesh!W33=0,0,SER_hh_tesh!W33/SER_summary!W$26)</f>
        <v>19.547573381714692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50.950961227051998</v>
      </c>
      <c r="C3" s="126">
        <f>IF(SER_hh_emih!C3=0,0,SER_hh_emih!C3/SER_summary!C$26)</f>
        <v>76.548508645576803</v>
      </c>
      <c r="D3" s="126">
        <f>IF(SER_hh_emih!D3=0,0,SER_hh_emih!D3/SER_summary!D$26)</f>
        <v>62.686141039726124</v>
      </c>
      <c r="E3" s="126">
        <f>IF(SER_hh_emih!E3=0,0,SER_hh_emih!E3/SER_summary!E$26)</f>
        <v>43.905567741317995</v>
      </c>
      <c r="F3" s="126">
        <f>IF(SER_hh_emih!F3=0,0,SER_hh_emih!F3/SER_summary!F$26)</f>
        <v>43.086191252894928</v>
      </c>
      <c r="G3" s="126">
        <f>IF(SER_hh_emih!G3=0,0,SER_hh_emih!G3/SER_summary!G$26)</f>
        <v>36.507687288767073</v>
      </c>
      <c r="H3" s="126">
        <f>IF(SER_hh_emih!H3=0,0,SER_hh_emih!H3/SER_summary!H$26)</f>
        <v>28.512971339777277</v>
      </c>
      <c r="I3" s="126">
        <f>IF(SER_hh_emih!I3=0,0,SER_hh_emih!I3/SER_summary!I$26)</f>
        <v>19.763120930840593</v>
      </c>
      <c r="J3" s="126">
        <f>IF(SER_hh_emih!J3=0,0,SER_hh_emih!J3/SER_summary!J$26)</f>
        <v>28.53157716204538</v>
      </c>
      <c r="K3" s="126">
        <f>IF(SER_hh_emih!K3=0,0,SER_hh_emih!K3/SER_summary!K$26)</f>
        <v>27.086202567807913</v>
      </c>
      <c r="L3" s="126">
        <f>IF(SER_hh_emih!L3=0,0,SER_hh_emih!L3/SER_summary!L$26)</f>
        <v>28.776759761711649</v>
      </c>
      <c r="M3" s="126">
        <f>IF(SER_hh_emih!M3=0,0,SER_hh_emih!M3/SER_summary!M$26)</f>
        <v>23.970066482550806</v>
      </c>
      <c r="N3" s="126">
        <f>IF(SER_hh_emih!N3=0,0,SER_hh_emih!N3/SER_summary!N$26)</f>
        <v>16.98130050183638</v>
      </c>
      <c r="O3" s="126">
        <f>IF(SER_hh_emih!O3=0,0,SER_hh_emih!O3/SER_summary!O$26)</f>
        <v>16.691552416475218</v>
      </c>
      <c r="P3" s="126">
        <f>IF(SER_hh_emih!P3=0,0,SER_hh_emih!P3/SER_summary!P$26)</f>
        <v>13.631986530041182</v>
      </c>
      <c r="Q3" s="126">
        <f>IF(SER_hh_emih!Q3=0,0,SER_hh_emih!Q3/SER_summary!Q$26)</f>
        <v>15.314889779753388</v>
      </c>
      <c r="R3" s="126">
        <f>IF(SER_hh_emih!R3=0,0,SER_hh_emih!R3/SER_summary!R$26)</f>
        <v>17.705657969391549</v>
      </c>
      <c r="S3" s="126">
        <f>IF(SER_hh_emih!S3=0,0,SER_hh_emih!S3/SER_summary!S$26)</f>
        <v>13.835789338520502</v>
      </c>
      <c r="T3" s="126">
        <f>IF(SER_hh_emih!T3=0,0,SER_hh_emih!T3/SER_summary!T$26)</f>
        <v>13.055775256882276</v>
      </c>
      <c r="U3" s="126">
        <f>IF(SER_hh_emih!U3=0,0,SER_hh_emih!U3/SER_summary!U$26)</f>
        <v>12.38807933569691</v>
      </c>
      <c r="V3" s="126">
        <f>IF(SER_hh_emih!V3=0,0,SER_hh_emih!V3/SER_summary!V$26)</f>
        <v>11.960907299323626</v>
      </c>
      <c r="W3" s="126">
        <f>IF(SER_hh_emih!W3=0,0,SER_hh_emih!W3/SER_summary!W$26)</f>
        <v>8.9674613776772496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41.958640015910063</v>
      </c>
      <c r="C4" s="131">
        <f>IF(SER_hh_emih!C4=0,0,SER_hh_emih!C4/SER_summary!C$26)</f>
        <v>67.17956691654058</v>
      </c>
      <c r="D4" s="131">
        <f>IF(SER_hh_emih!D4=0,0,SER_hh_emih!D4/SER_summary!D$26)</f>
        <v>55.391898871093701</v>
      </c>
      <c r="E4" s="131">
        <f>IF(SER_hh_emih!E4=0,0,SER_hh_emih!E4/SER_summary!E$26)</f>
        <v>37.338642204485488</v>
      </c>
      <c r="F4" s="131">
        <f>IF(SER_hh_emih!F4=0,0,SER_hh_emih!F4/SER_summary!F$26)</f>
        <v>36.570045392511823</v>
      </c>
      <c r="G4" s="131">
        <f>IF(SER_hh_emih!G4=0,0,SER_hh_emih!G4/SER_summary!G$26)</f>
        <v>30.543859591361315</v>
      </c>
      <c r="H4" s="131">
        <f>IF(SER_hh_emih!H4=0,0,SER_hh_emih!H4/SER_summary!H$26)</f>
        <v>23.243045516659773</v>
      </c>
      <c r="I4" s="131">
        <f>IF(SER_hh_emih!I4=0,0,SER_hh_emih!I4/SER_summary!I$26)</f>
        <v>13.364819639079</v>
      </c>
      <c r="J4" s="131">
        <f>IF(SER_hh_emih!J4=0,0,SER_hh_emih!J4/SER_summary!J$26)</f>
        <v>23.350371189205681</v>
      </c>
      <c r="K4" s="131">
        <f>IF(SER_hh_emih!K4=0,0,SER_hh_emih!K4/SER_summary!K$26)</f>
        <v>21.668755347028984</v>
      </c>
      <c r="L4" s="131">
        <f>IF(SER_hh_emih!L4=0,0,SER_hh_emih!L4/SER_summary!L$26)</f>
        <v>22.998757397680812</v>
      </c>
      <c r="M4" s="131">
        <f>IF(SER_hh_emih!M4=0,0,SER_hh_emih!M4/SER_summary!M$26)</f>
        <v>19.891854909606664</v>
      </c>
      <c r="N4" s="131">
        <f>IF(SER_hh_emih!N4=0,0,SER_hh_emih!N4/SER_summary!N$26)</f>
        <v>12.452798009993025</v>
      </c>
      <c r="O4" s="131">
        <f>IF(SER_hh_emih!O4=0,0,SER_hh_emih!O4/SER_summary!O$26)</f>
        <v>12.772024348438128</v>
      </c>
      <c r="P4" s="131">
        <f>IF(SER_hh_emih!P4=0,0,SER_hh_emih!P4/SER_summary!P$26)</f>
        <v>9.725008060177899</v>
      </c>
      <c r="Q4" s="131">
        <f>IF(SER_hh_emih!Q4=0,0,SER_hh_emih!Q4/SER_summary!Q$26)</f>
        <v>11.34006567718386</v>
      </c>
      <c r="R4" s="131">
        <f>IF(SER_hh_emih!R4=0,0,SER_hh_emih!R4/SER_summary!R$26)</f>
        <v>13.621530634185204</v>
      </c>
      <c r="S4" s="131">
        <f>IF(SER_hh_emih!S4=0,0,SER_hh_emih!S4/SER_summary!S$26)</f>
        <v>10.105824176025799</v>
      </c>
      <c r="T4" s="131">
        <f>IF(SER_hh_emih!T4=0,0,SER_hh_emih!T4/SER_summary!T$26)</f>
        <v>9.0332474263476676</v>
      </c>
      <c r="U4" s="131">
        <f>IF(SER_hh_emih!U4=0,0,SER_hh_emih!U4/SER_summary!U$26)</f>
        <v>7.9796183624002515</v>
      </c>
      <c r="V4" s="131">
        <f>IF(SER_hh_emih!V4=0,0,SER_hh_emih!V4/SER_summary!V$26)</f>
        <v>8.1278630377406937</v>
      </c>
      <c r="W4" s="131">
        <f>IF(SER_hh_emih!W4=0,0,SER_hh_emih!W4/SER_summary!W$26)</f>
        <v>5.9445712244615869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82.786287699148005</v>
      </c>
      <c r="C7" s="133">
        <f>IF(SER_hh_emih!C7=0,0,SER_hh_emih!C7/SER_summary!C$26)</f>
        <v>121.57546765891098</v>
      </c>
      <c r="D7" s="133">
        <f>IF(SER_hh_emih!D7=0,0,SER_hh_emih!D7/SER_summary!D$26)</f>
        <v>95.84671031641389</v>
      </c>
      <c r="E7" s="133">
        <f>IF(SER_hh_emih!E7=0,0,SER_hh_emih!E7/SER_summary!E$26)</f>
        <v>65.303746286134768</v>
      </c>
      <c r="F7" s="133">
        <f>IF(SER_hh_emih!F7=0,0,SER_hh_emih!F7/SER_summary!F$26)</f>
        <v>61.102947176194817</v>
      </c>
      <c r="G7" s="133">
        <f>IF(SER_hh_emih!G7=0,0,SER_hh_emih!G7/SER_summary!G$26)</f>
        <v>54.202073301629298</v>
      </c>
      <c r="H7" s="133">
        <f>IF(SER_hh_emih!H7=0,0,SER_hh_emih!H7/SER_summary!H$26)</f>
        <v>43.058527614775329</v>
      </c>
      <c r="I7" s="133">
        <f>IF(SER_hh_emih!I7=0,0,SER_hh_emih!I7/SER_summary!I$26)</f>
        <v>25.292354533051316</v>
      </c>
      <c r="J7" s="133">
        <f>IF(SER_hh_emih!J7=0,0,SER_hh_emih!J7/SER_summary!J$26)</f>
        <v>44.995165291509529</v>
      </c>
      <c r="K7" s="133">
        <f>IF(SER_hh_emih!K7=0,0,SER_hh_emih!K7/SER_summary!K$26)</f>
        <v>42.304670992487686</v>
      </c>
      <c r="L7" s="133">
        <f>IF(SER_hh_emih!L7=0,0,SER_hh_emih!L7/SER_summary!L$26)</f>
        <v>49.896159257450108</v>
      </c>
      <c r="M7" s="133">
        <f>IF(SER_hh_emih!M7=0,0,SER_hh_emih!M7/SER_summary!M$26)</f>
        <v>45.47270642853799</v>
      </c>
      <c r="N7" s="133">
        <f>IF(SER_hh_emih!N7=0,0,SER_hh_emih!N7/SER_summary!N$26)</f>
        <v>36.685619688580481</v>
      </c>
      <c r="O7" s="133">
        <f>IF(SER_hh_emih!O7=0,0,SER_hh_emih!O7/SER_summary!O$26)</f>
        <v>37.688100612511874</v>
      </c>
      <c r="P7" s="133">
        <f>IF(SER_hh_emih!P7=0,0,SER_hh_emih!P7/SER_summary!P$26)</f>
        <v>29.218439598924977</v>
      </c>
      <c r="Q7" s="133">
        <f>IF(SER_hh_emih!Q7=0,0,SER_hh_emih!Q7/SER_summary!Q$26)</f>
        <v>33.629192126769119</v>
      </c>
      <c r="R7" s="133">
        <f>IF(SER_hh_emih!R7=0,0,SER_hh_emih!R7/SER_summary!R$26)</f>
        <v>40.576062091524108</v>
      </c>
      <c r="S7" s="133">
        <f>IF(SER_hh_emih!S7=0,0,SER_hh_emih!S7/SER_summary!S$26)</f>
        <v>32.56710256835936</v>
      </c>
      <c r="T7" s="133">
        <f>IF(SER_hh_emih!T7=0,0,SER_hh_emih!T7/SER_summary!T$26)</f>
        <v>34.881177915506065</v>
      </c>
      <c r="U7" s="133">
        <f>IF(SER_hh_emih!U7=0,0,SER_hh_emih!U7/SER_summary!U$26)</f>
        <v>29.240850349066225</v>
      </c>
      <c r="V7" s="133">
        <f>IF(SER_hh_emih!V7=0,0,SER_hh_emih!V7/SER_summary!V$26)</f>
        <v>32.861257731662967</v>
      </c>
      <c r="W7" s="133">
        <f>IF(SER_hh_emih!W7=0,0,SER_hh_emih!W7/SER_summary!W$26)</f>
        <v>22.363676900013541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32.352663054574791</v>
      </c>
      <c r="C9" s="133">
        <f>IF(SER_hh_emih!C9=0,0,SER_hh_emih!C9/SER_summary!C$26)</f>
        <v>81.932891898901062</v>
      </c>
      <c r="D9" s="133">
        <f>IF(SER_hh_emih!D9=0,0,SER_hh_emih!D9/SER_summary!D$26)</f>
        <v>79.275265803466894</v>
      </c>
      <c r="E9" s="133">
        <f>IF(SER_hh_emih!E9=0,0,SER_hh_emih!E9/SER_summary!E$26)</f>
        <v>37.513892241044921</v>
      </c>
      <c r="F9" s="133">
        <f>IF(SER_hh_emih!F9=0,0,SER_hh_emih!F9/SER_summary!F$26)</f>
        <v>51.266810230445692</v>
      </c>
      <c r="G9" s="133">
        <f>IF(SER_hh_emih!G9=0,0,SER_hh_emih!G9/SER_summary!G$26)</f>
        <v>27.318247570679798</v>
      </c>
      <c r="H9" s="133">
        <f>IF(SER_hh_emih!H9=0,0,SER_hh_emih!H9/SER_summary!H$26)</f>
        <v>19.234816153399766</v>
      </c>
      <c r="I9" s="133">
        <f>IF(SER_hh_emih!I9=0,0,SER_hh_emih!I9/SER_summary!I$26)</f>
        <v>18.413128658903048</v>
      </c>
      <c r="J9" s="133">
        <f>IF(SER_hh_emih!J9=0,0,SER_hh_emih!J9/SER_summary!J$26)</f>
        <v>20.957736219620653</v>
      </c>
      <c r="K9" s="133">
        <f>IF(SER_hh_emih!K9=0,0,SER_hh_emih!K9/SER_summary!K$26)</f>
        <v>23.642305591836273</v>
      </c>
      <c r="L9" s="133">
        <f>IF(SER_hh_emih!L9=0,0,SER_hh_emih!L9/SER_summary!L$26)</f>
        <v>28.011223059546918</v>
      </c>
      <c r="M9" s="133">
        <f>IF(SER_hh_emih!M9=0,0,SER_hh_emih!M9/SER_summary!M$26)</f>
        <v>40.434692430184391</v>
      </c>
      <c r="N9" s="133">
        <f>IF(SER_hh_emih!N9=0,0,SER_hh_emih!N9/SER_summary!N$26)</f>
        <v>10.328556158093235</v>
      </c>
      <c r="O9" s="133">
        <f>IF(SER_hh_emih!O9=0,0,SER_hh_emih!O9/SER_summary!O$26)</f>
        <v>22.143294474797084</v>
      </c>
      <c r="P9" s="133">
        <f>IF(SER_hh_emih!P9=0,0,SER_hh_emih!P9/SER_summary!P$26)</f>
        <v>18.392672653524993</v>
      </c>
      <c r="Q9" s="133">
        <f>IF(SER_hh_emih!Q9=0,0,SER_hh_emih!Q9/SER_summary!Q$26)</f>
        <v>21.875127021166431</v>
      </c>
      <c r="R9" s="133">
        <f>IF(SER_hh_emih!R9=0,0,SER_hh_emih!R9/SER_summary!R$26)</f>
        <v>27.256218175476274</v>
      </c>
      <c r="S9" s="133">
        <f>IF(SER_hh_emih!S9=0,0,SER_hh_emih!S9/SER_summary!S$26)</f>
        <v>23.116872174042221</v>
      </c>
      <c r="T9" s="133">
        <f>IF(SER_hh_emih!T9=0,0,SER_hh_emih!T9/SER_summary!T$26)</f>
        <v>15.768046281733758</v>
      </c>
      <c r="U9" s="133">
        <f>IF(SER_hh_emih!U9=0,0,SER_hh_emih!U9/SER_summary!U$26)</f>
        <v>20.170928084406274</v>
      </c>
      <c r="V9" s="133">
        <f>IF(SER_hh_emih!V9=0,0,SER_hh_emih!V9/SER_summary!V$26)</f>
        <v>17.22932729746157</v>
      </c>
      <c r="W9" s="133">
        <f>IF(SER_hh_emih!W9=0,0,SER_hh_emih!W9/SER_summary!W$26)</f>
        <v>15.153195500571192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4.9914951028510801</v>
      </c>
      <c r="C19" s="131">
        <f>IF(SER_hh_emih!C19=0,0,SER_hh_emih!C19/SER_summary!C$26)</f>
        <v>4.7648160953201062</v>
      </c>
      <c r="D19" s="131">
        <f>IF(SER_hh_emih!D19=0,0,SER_hh_emih!D19/SER_summary!D$26)</f>
        <v>4.6176352705785932</v>
      </c>
      <c r="E19" s="131">
        <f>IF(SER_hh_emih!E19=0,0,SER_hh_emih!E19/SER_summary!E$26)</f>
        <v>4.7707670145612289</v>
      </c>
      <c r="F19" s="131">
        <f>IF(SER_hh_emih!F19=0,0,SER_hh_emih!F19/SER_summary!F$26)</f>
        <v>4.6227447283201872</v>
      </c>
      <c r="G19" s="131">
        <f>IF(SER_hh_emih!G19=0,0,SER_hh_emih!G19/SER_summary!G$26)</f>
        <v>4.4642042183317221</v>
      </c>
      <c r="H19" s="131">
        <f>IF(SER_hh_emih!H19=0,0,SER_hh_emih!H19/SER_summary!H$26)</f>
        <v>4.3128920276576599</v>
      </c>
      <c r="I19" s="131">
        <f>IF(SER_hh_emih!I19=0,0,SER_hh_emih!I19/SER_summary!I$26)</f>
        <v>4.2269359175435008</v>
      </c>
      <c r="J19" s="131">
        <f>IF(SER_hh_emih!J19=0,0,SER_hh_emih!J19/SER_summary!J$26)</f>
        <v>3.8781917843804421</v>
      </c>
      <c r="K19" s="131">
        <f>IF(SER_hh_emih!K19=0,0,SER_hh_emih!K19/SER_summary!K$26)</f>
        <v>3.8121637733267661</v>
      </c>
      <c r="L19" s="131">
        <f>IF(SER_hh_emih!L19=0,0,SER_hh_emih!L19/SER_summary!L$26)</f>
        <v>3.7008557143828038</v>
      </c>
      <c r="M19" s="131">
        <f>IF(SER_hh_emih!M19=0,0,SER_hh_emih!M19/SER_summary!M$26)</f>
        <v>3.1033886448466834</v>
      </c>
      <c r="N19" s="131">
        <f>IF(SER_hh_emih!N19=0,0,SER_hh_emih!N19/SER_summary!N$26)</f>
        <v>2.8876049980411835</v>
      </c>
      <c r="O19" s="131">
        <f>IF(SER_hh_emih!O19=0,0,SER_hh_emih!O19/SER_summary!O$26)</f>
        <v>2.5119860928739519</v>
      </c>
      <c r="P19" s="131">
        <f>IF(SER_hh_emih!P19=0,0,SER_hh_emih!P19/SER_summary!P$26)</f>
        <v>2.209071072053725</v>
      </c>
      <c r="Q19" s="131">
        <f>IF(SER_hh_emih!Q19=0,0,SER_hh_emih!Q19/SER_summary!Q$26)</f>
        <v>2.0400299592964508</v>
      </c>
      <c r="R19" s="131">
        <f>IF(SER_hh_emih!R19=0,0,SER_hh_emih!R19/SER_summary!R$26)</f>
        <v>2.1105187263881677</v>
      </c>
      <c r="S19" s="131">
        <f>IF(SER_hh_emih!S19=0,0,SER_hh_emih!S19/SER_summary!S$26)</f>
        <v>1.8376938358483392</v>
      </c>
      <c r="T19" s="131">
        <f>IF(SER_hh_emih!T19=0,0,SER_hh_emih!T19/SER_summary!T$26)</f>
        <v>2.1403962523170343</v>
      </c>
      <c r="U19" s="131">
        <f>IF(SER_hh_emih!U19=0,0,SER_hh_emih!U19/SER_summary!U$26)</f>
        <v>2.0959740920161201</v>
      </c>
      <c r="V19" s="131">
        <f>IF(SER_hh_emih!V19=0,0,SER_hh_emih!V19/SER_summary!V$26)</f>
        <v>1.9033252097470916</v>
      </c>
      <c r="W19" s="131">
        <f>IF(SER_hh_emih!W19=0,0,SER_hh_emih!W19/SER_summary!W$26)</f>
        <v>1.5754228877902836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6.1805920522861379</v>
      </c>
      <c r="C21" s="133">
        <f>IF(SER_hh_emih!C21=0,0,SER_hh_emih!C21/SER_summary!C$26)</f>
        <v>5.3061939099047439</v>
      </c>
      <c r="D21" s="133">
        <f>IF(SER_hh_emih!D21=0,0,SER_hh_emih!D21/SER_summary!D$26)</f>
        <v>5.6678019208602439</v>
      </c>
      <c r="E21" s="133">
        <f>IF(SER_hh_emih!E21=0,0,SER_hh_emih!E21/SER_summary!E$26)</f>
        <v>5.5086849830593376</v>
      </c>
      <c r="F21" s="133">
        <f>IF(SER_hh_emih!F21=0,0,SER_hh_emih!F21/SER_summary!F$26)</f>
        <v>5.3655174421648617</v>
      </c>
      <c r="G21" s="133">
        <f>IF(SER_hh_emih!G21=0,0,SER_hh_emih!G21/SER_summary!G$26)</f>
        <v>5.2785672985159131</v>
      </c>
      <c r="H21" s="133">
        <f>IF(SER_hh_emih!H21=0,0,SER_hh_emih!H21/SER_summary!H$26)</f>
        <v>5.1909789521576073</v>
      </c>
      <c r="I21" s="133">
        <f>IF(SER_hh_emih!I21=0,0,SER_hh_emih!I21/SER_summary!I$26)</f>
        <v>5.1719334323304897</v>
      </c>
      <c r="J21" s="133">
        <f>IF(SER_hh_emih!J21=0,0,SER_hh_emih!J21/SER_summary!J$26)</f>
        <v>5.0112601395395897</v>
      </c>
      <c r="K21" s="133">
        <f>IF(SER_hh_emih!K21=0,0,SER_hh_emih!K21/SER_summary!K$26)</f>
        <v>5.0668736936770085</v>
      </c>
      <c r="L21" s="133">
        <f>IF(SER_hh_emih!L21=0,0,SER_hh_emih!L21/SER_summary!L$26)</f>
        <v>5.265260587251654</v>
      </c>
      <c r="M21" s="133">
        <f>IF(SER_hh_emih!M21=0,0,SER_hh_emih!M21/SER_summary!M$26)</f>
        <v>4.9805647772912964</v>
      </c>
      <c r="N21" s="133">
        <f>IF(SER_hh_emih!N21=0,0,SER_hh_emih!N21/SER_summary!N$26)</f>
        <v>5.24360049974368</v>
      </c>
      <c r="O21" s="133">
        <f>IF(SER_hh_emih!O21=0,0,SER_hh_emih!O21/SER_summary!O$26)</f>
        <v>5.2192648056775317</v>
      </c>
      <c r="P21" s="133">
        <f>IF(SER_hh_emih!P21=0,0,SER_hh_emih!P21/SER_summary!P$26)</f>
        <v>5.3473173089244455</v>
      </c>
      <c r="Q21" s="133">
        <f>IF(SER_hh_emih!Q21=0,0,SER_hh_emih!Q21/SER_summary!Q$26)</f>
        <v>5.3599673140023647</v>
      </c>
      <c r="R21" s="133">
        <f>IF(SER_hh_emih!R21=0,0,SER_hh_emih!R21/SER_summary!R$26)</f>
        <v>4.0878981380560786</v>
      </c>
      <c r="S21" s="133">
        <f>IF(SER_hh_emih!S21=0,0,SER_hh_emih!S21/SER_summary!S$26)</f>
        <v>4.500843504223238</v>
      </c>
      <c r="T21" s="133">
        <f>IF(SER_hh_emih!T21=0,0,SER_hh_emih!T21/SER_summary!T$26)</f>
        <v>5.8086924170544618</v>
      </c>
      <c r="U21" s="133">
        <f>IF(SER_hh_emih!U21=0,0,SER_hh_emih!U21/SER_summary!U$26)</f>
        <v>6.6156575500306758</v>
      </c>
      <c r="V21" s="133">
        <f>IF(SER_hh_emih!V21=0,0,SER_hh_emih!V21/SER_summary!V$26)</f>
        <v>5.1572019664266833</v>
      </c>
      <c r="W21" s="133">
        <f>IF(SER_hh_emih!W21=0,0,SER_hh_emih!W21/SER_summary!W$26)</f>
        <v>3.971180823343412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6.8578074227698727</v>
      </c>
      <c r="C22" s="133">
        <f>IF(SER_hh_emih!C22=0,0,SER_hh_emih!C22/SER_summary!C$26)</f>
        <v>7.3094517952557112</v>
      </c>
      <c r="D22" s="133">
        <f>IF(SER_hh_emih!D22=0,0,SER_hh_emih!D22/SER_summary!D$26)</f>
        <v>6.4851300933516836</v>
      </c>
      <c r="E22" s="133">
        <f>IF(SER_hh_emih!E22=0,0,SER_hh_emih!E22/SER_summary!E$26)</f>
        <v>6.9732549312361032</v>
      </c>
      <c r="F22" s="133">
        <f>IF(SER_hh_emih!F22=0,0,SER_hh_emih!F22/SER_summary!F$26)</f>
        <v>6.7306864797188055</v>
      </c>
      <c r="G22" s="133">
        <f>IF(SER_hh_emih!G22=0,0,SER_hh_emih!G22/SER_summary!G$26)</f>
        <v>6.5685248968303522</v>
      </c>
      <c r="H22" s="133">
        <f>IF(SER_hh_emih!H22=0,0,SER_hh_emih!H22/SER_summary!H$26)</f>
        <v>6.441416557005363</v>
      </c>
      <c r="I22" s="133">
        <f>IF(SER_hh_emih!I22=0,0,SER_hh_emih!I22/SER_summary!I$26)</f>
        <v>6.3963973467851227</v>
      </c>
      <c r="J22" s="133">
        <f>IF(SER_hh_emih!J22=0,0,SER_hh_emih!J22/SER_summary!J$26)</f>
        <v>6.0829065351953462</v>
      </c>
      <c r="K22" s="133">
        <f>IF(SER_hh_emih!K22=0,0,SER_hh_emih!K22/SER_summary!K$26)</f>
        <v>6.3506623066669707</v>
      </c>
      <c r="L22" s="133">
        <f>IF(SER_hh_emih!L22=0,0,SER_hh_emih!L22/SER_summary!L$26)</f>
        <v>6.6817972611975636</v>
      </c>
      <c r="M22" s="133">
        <f>IF(SER_hh_emih!M22=0,0,SER_hh_emih!M22/SER_summary!M$26)</f>
        <v>6.2450138739072951</v>
      </c>
      <c r="N22" s="133">
        <f>IF(SER_hh_emih!N22=0,0,SER_hh_emih!N22/SER_summary!N$26)</f>
        <v>6.5710573114395316</v>
      </c>
      <c r="O22" s="133">
        <f>IF(SER_hh_emih!O22=0,0,SER_hh_emih!O22/SER_summary!O$26)</f>
        <v>6.4870735332801743</v>
      </c>
      <c r="P22" s="133">
        <f>IF(SER_hh_emih!P22=0,0,SER_hh_emih!P22/SER_summary!P$26)</f>
        <v>6.3354758007418672</v>
      </c>
      <c r="Q22" s="133">
        <f>IF(SER_hh_emih!Q22=0,0,SER_hh_emih!Q22/SER_summary!Q$26)</f>
        <v>6.3245916778629621</v>
      </c>
      <c r="R22" s="133">
        <f>IF(SER_hh_emih!R22=0,0,SER_hh_emih!R22/SER_summary!R$26)</f>
        <v>7.5920851019603877</v>
      </c>
      <c r="S22" s="133">
        <f>IF(SER_hh_emih!S22=0,0,SER_hh_emih!S22/SER_summary!S$26)</f>
        <v>6.1866023111145667</v>
      </c>
      <c r="T22" s="133">
        <f>IF(SER_hh_emih!T22=0,0,SER_hh_emih!T22/SER_summary!T$26)</f>
        <v>6.9162167260384209</v>
      </c>
      <c r="U22" s="133">
        <f>IF(SER_hh_emih!U22=0,0,SER_hh_emih!U22/SER_summary!U$26)</f>
        <v>5.7465053962390806</v>
      </c>
      <c r="V22" s="133">
        <f>IF(SER_hh_emih!V22=0,0,SER_hh_emih!V22/SER_summary!V$26)</f>
        <v>6.0702114661476978</v>
      </c>
      <c r="W22" s="133">
        <f>IF(SER_hh_emih!W22=0,0,SER_hh_emih!W22/SER_summary!W$26)</f>
        <v>5.4797511745713878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5.0553885601164552</v>
      </c>
      <c r="C23" s="133">
        <f>IF(SER_hh_emih!C23=0,0,SER_hh_emih!C23/SER_summary!C$26)</f>
        <v>5.1417815571337782</v>
      </c>
      <c r="D23" s="133">
        <f>IF(SER_hh_emih!D23=0,0,SER_hh_emih!D23/SER_summary!D$26)</f>
        <v>4.9067311257031472</v>
      </c>
      <c r="E23" s="133">
        <f>IF(SER_hh_emih!E23=0,0,SER_hh_emih!E23/SER_summary!E$26)</f>
        <v>4.748352144775275</v>
      </c>
      <c r="F23" s="133">
        <f>IF(SER_hh_emih!F23=0,0,SER_hh_emih!F23/SER_summary!F$26)</f>
        <v>4.6838492519098471</v>
      </c>
      <c r="G23" s="133">
        <f>IF(SER_hh_emih!G23=0,0,SER_hh_emih!G23/SER_summary!G$26)</f>
        <v>4.4371561961747821</v>
      </c>
      <c r="H23" s="133">
        <f>IF(SER_hh_emih!H23=0,0,SER_hh_emih!H23/SER_summary!H$26)</f>
        <v>4.0506288229715874</v>
      </c>
      <c r="I23" s="133">
        <f>IF(SER_hh_emih!I23=0,0,SER_hh_emih!I23/SER_summary!I$26)</f>
        <v>3.6653705863546873</v>
      </c>
      <c r="J23" s="133">
        <f>IF(SER_hh_emih!J23=0,0,SER_hh_emih!J23/SER_summary!J$26)</f>
        <v>3.313774604194641</v>
      </c>
      <c r="K23" s="133">
        <f>IF(SER_hh_emih!K23=0,0,SER_hh_emih!K23/SER_summary!K$26)</f>
        <v>4.2133086648579043</v>
      </c>
      <c r="L23" s="133">
        <f>IF(SER_hh_emih!L23=0,0,SER_hh_emih!L23/SER_summary!L$26)</f>
        <v>4.1218477603454673</v>
      </c>
      <c r="M23" s="133">
        <f>IF(SER_hh_emih!M23=0,0,SER_hh_emih!M23/SER_summary!M$26)</f>
        <v>4.053610295027819</v>
      </c>
      <c r="N23" s="133">
        <f>IF(SER_hh_emih!N23=0,0,SER_hh_emih!N23/SER_summary!N$26)</f>
        <v>3.7130036889508946</v>
      </c>
      <c r="O23" s="133">
        <f>IF(SER_hh_emih!O23=0,0,SER_hh_emih!O23/SER_summary!O$26)</f>
        <v>4.0968248180246762</v>
      </c>
      <c r="P23" s="133">
        <f>IF(SER_hh_emih!P23=0,0,SER_hh_emih!P23/SER_summary!P$26)</f>
        <v>4.1888004893375284</v>
      </c>
      <c r="Q23" s="133">
        <f>IF(SER_hh_emih!Q23=0,0,SER_hh_emih!Q23/SER_summary!Q$26)</f>
        <v>4.1068205862876006</v>
      </c>
      <c r="R23" s="133">
        <f>IF(SER_hh_emih!R23=0,0,SER_hh_emih!R23/SER_summary!R$26)</f>
        <v>5.374636667686711</v>
      </c>
      <c r="S23" s="133">
        <f>IF(SER_hh_emih!S23=0,0,SER_hh_emih!S23/SER_summary!S$26)</f>
        <v>4.7287516153314408</v>
      </c>
      <c r="T23" s="133">
        <f>IF(SER_hh_emih!T23=0,0,SER_hh_emih!T23/SER_summary!T$26)</f>
        <v>3.3051409069467854</v>
      </c>
      <c r="U23" s="133">
        <f>IF(SER_hh_emih!U23=0,0,SER_hh_emih!U23/SER_summary!U$26)</f>
        <v>4.4868839445129263</v>
      </c>
      <c r="V23" s="133">
        <f>IF(SER_hh_emih!V23=0,0,SER_hh_emih!V23/SER_summary!V$26)</f>
        <v>3.9676916337534882</v>
      </c>
      <c r="W23" s="133">
        <f>IF(SER_hh_emih!W23=0,0,SER_hh_emih!W23/SER_summary!W$26)</f>
        <v>3.9125991685083727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4.0008261082908554</v>
      </c>
      <c r="C29" s="131">
        <f>IF(SER_hh_emih!C29=0,0,SER_hh_emih!C29/SER_summary!C$26)</f>
        <v>4.6041256337161132</v>
      </c>
      <c r="D29" s="131">
        <f>IF(SER_hh_emih!D29=0,0,SER_hh_emih!D29/SER_summary!D$26)</f>
        <v>2.6766068980538367</v>
      </c>
      <c r="E29" s="131">
        <f>IF(SER_hh_emih!E29=0,0,SER_hh_emih!E29/SER_summary!E$26)</f>
        <v>1.7961585222712741</v>
      </c>
      <c r="F29" s="131">
        <f>IF(SER_hh_emih!F29=0,0,SER_hh_emih!F29/SER_summary!F$26)</f>
        <v>1.8934011320629185</v>
      </c>
      <c r="G29" s="131">
        <f>IF(SER_hh_emih!G29=0,0,SER_hh_emih!G29/SER_summary!G$26)</f>
        <v>1.4996234790740419</v>
      </c>
      <c r="H29" s="131">
        <f>IF(SER_hh_emih!H29=0,0,SER_hh_emih!H29/SER_summary!H$26)</f>
        <v>0.9570337954598469</v>
      </c>
      <c r="I29" s="131">
        <f>IF(SER_hh_emih!I29=0,0,SER_hh_emih!I29/SER_summary!I$26)</f>
        <v>2.1713653742180909</v>
      </c>
      <c r="J29" s="131">
        <f>IF(SER_hh_emih!J29=0,0,SER_hh_emih!J29/SER_summary!J$26)</f>
        <v>1.303014188459257</v>
      </c>
      <c r="K29" s="131">
        <f>IF(SER_hh_emih!K29=0,0,SER_hh_emih!K29/SER_summary!K$26)</f>
        <v>1.605283447452166</v>
      </c>
      <c r="L29" s="131">
        <f>IF(SER_hh_emih!L29=0,0,SER_hh_emih!L29/SER_summary!L$26)</f>
        <v>2.0771466496480318</v>
      </c>
      <c r="M29" s="131">
        <f>IF(SER_hh_emih!M29=0,0,SER_hh_emih!M29/SER_summary!M$26)</f>
        <v>0.97482292809745941</v>
      </c>
      <c r="N29" s="131">
        <f>IF(SER_hh_emih!N29=0,0,SER_hh_emih!N29/SER_summary!N$26)</f>
        <v>1.640897493802169</v>
      </c>
      <c r="O29" s="131">
        <f>IF(SER_hh_emih!O29=0,0,SER_hh_emih!O29/SER_summary!O$26)</f>
        <v>1.4075419751631402</v>
      </c>
      <c r="P29" s="131">
        <f>IF(SER_hh_emih!P29=0,0,SER_hh_emih!P29/SER_summary!P$26)</f>
        <v>1.6979073978095609</v>
      </c>
      <c r="Q29" s="131">
        <f>IF(SER_hh_emih!Q29=0,0,SER_hh_emih!Q29/SER_summary!Q$26)</f>
        <v>1.9347941432730758</v>
      </c>
      <c r="R29" s="131">
        <f>IF(SER_hh_emih!R29=0,0,SER_hh_emih!R29/SER_summary!R$26)</f>
        <v>1.973608608818177</v>
      </c>
      <c r="S29" s="131">
        <f>IF(SER_hh_emih!S29=0,0,SER_hh_emih!S29/SER_summary!S$26)</f>
        <v>1.8922713266463669</v>
      </c>
      <c r="T29" s="131">
        <f>IF(SER_hh_emih!T29=0,0,SER_hh_emih!T29/SER_summary!T$26)</f>
        <v>1.8821315782175736</v>
      </c>
      <c r="U29" s="131">
        <f>IF(SER_hh_emih!U29=0,0,SER_hh_emih!U29/SER_summary!U$26)</f>
        <v>2.3124868812805413</v>
      </c>
      <c r="V29" s="131">
        <f>IF(SER_hh_emih!V29=0,0,SER_hh_emih!V29/SER_summary!V$26)</f>
        <v>1.9297190518358425</v>
      </c>
      <c r="W29" s="131">
        <f>IF(SER_hh_emih!W29=0,0,SER_hh_emih!W29/SER_summary!W$26)</f>
        <v>1.4474672654253782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6.8656656544711794</v>
      </c>
      <c r="C30" s="133">
        <f>IF(SER_hh_emih!C30=0,0,SER_hh_emih!C30/SER_summary!C$26)</f>
        <v>7.6150666256425099</v>
      </c>
      <c r="D30" s="133">
        <f>IF(SER_hh_emih!D30=0,0,SER_hh_emih!D30/SER_summary!D$26)</f>
        <v>5.3371133948223779</v>
      </c>
      <c r="E30" s="133">
        <f>IF(SER_hh_emih!E30=0,0,SER_hh_emih!E30/SER_summary!E$26)</f>
        <v>4.4471193961016242</v>
      </c>
      <c r="F30" s="133">
        <f>IF(SER_hh_emih!F30=0,0,SER_hh_emih!F30/SER_summary!F$26)</f>
        <v>6.6091998727773538</v>
      </c>
      <c r="G30" s="133">
        <f>IF(SER_hh_emih!G30=0,0,SER_hh_emih!G30/SER_summary!G$26)</f>
        <v>5.6872016587388075</v>
      </c>
      <c r="H30" s="133">
        <f>IF(SER_hh_emih!H30=0,0,SER_hh_emih!H30/SER_summary!H$26)</f>
        <v>3.8814466277950119</v>
      </c>
      <c r="I30" s="133">
        <f>IF(SER_hh_emih!I30=0,0,SER_hh_emih!I30/SER_summary!I$26)</f>
        <v>8.230034134875174</v>
      </c>
      <c r="J30" s="133">
        <f>IF(SER_hh_emih!J30=0,0,SER_hh_emih!J30/SER_summary!J$26)</f>
        <v>4.9859918466032864</v>
      </c>
      <c r="K30" s="133">
        <f>IF(SER_hh_emih!K30=0,0,SER_hh_emih!K30/SER_summary!K$26)</f>
        <v>5.528100905226033</v>
      </c>
      <c r="L30" s="133">
        <f>IF(SER_hh_emih!L30=0,0,SER_hh_emih!L30/SER_summary!L$26)</f>
        <v>7.5103733042344496</v>
      </c>
      <c r="M30" s="133">
        <f>IF(SER_hh_emih!M30=0,0,SER_hh_emih!M30/SER_summary!M$26)</f>
        <v>3.5972965777185526</v>
      </c>
      <c r="N30" s="133">
        <f>IF(SER_hh_emih!N30=0,0,SER_hh_emih!N30/SER_summary!N$26)</f>
        <v>7.0183334540191451</v>
      </c>
      <c r="O30" s="133">
        <f>IF(SER_hh_emih!O30=0,0,SER_hh_emih!O30/SER_summary!O$26)</f>
        <v>5.711108838909662</v>
      </c>
      <c r="P30" s="133">
        <f>IF(SER_hh_emih!P30=0,0,SER_hh_emih!P30/SER_summary!P$26)</f>
        <v>6.0147899458033294</v>
      </c>
      <c r="Q30" s="133">
        <f>IF(SER_hh_emih!Q30=0,0,SER_hh_emih!Q30/SER_summary!Q$26)</f>
        <v>6.9423992317540169</v>
      </c>
      <c r="R30" s="133">
        <f>IF(SER_hh_emih!R30=0,0,SER_hh_emih!R30/SER_summary!R$26)</f>
        <v>5.9541400081060969</v>
      </c>
      <c r="S30" s="133">
        <f>IF(SER_hh_emih!S30=0,0,SER_hh_emih!S30/SER_summary!S$26)</f>
        <v>6.2243879405357729</v>
      </c>
      <c r="T30" s="133">
        <f>IF(SER_hh_emih!T30=0,0,SER_hh_emih!T30/SER_summary!T$26)</f>
        <v>6.9798797432182287</v>
      </c>
      <c r="U30" s="133">
        <f>IF(SER_hh_emih!U30=0,0,SER_hh_emih!U30/SER_summary!U$26)</f>
        <v>8.1387045796077064</v>
      </c>
      <c r="V30" s="133">
        <f>IF(SER_hh_emih!V30=0,0,SER_hh_emih!V30/SER_summary!V$26)</f>
        <v>6.8595244662910533</v>
      </c>
      <c r="W30" s="133">
        <f>IF(SER_hh_emih!W30=0,0,SER_hh_emih!W30/SER_summary!W$26)</f>
        <v>5.0838530945825928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0.76101973788141386</v>
      </c>
      <c r="C31" s="133">
        <f>IF(SER_hh_emih!C31=0,0,SER_hh_emih!C31/SER_summary!C$26)</f>
        <v>7.4681194570813174</v>
      </c>
      <c r="D31" s="133">
        <f>IF(SER_hh_emih!D31=0,0,SER_hh_emih!D31/SER_summary!D$26)</f>
        <v>6.8100513240639229</v>
      </c>
      <c r="E31" s="133">
        <f>IF(SER_hh_emih!E31=0,0,SER_hh_emih!E31/SER_summary!E$26)</f>
        <v>5.6003050923677389</v>
      </c>
      <c r="F31" s="133">
        <f>IF(SER_hh_emih!F31=0,0,SER_hh_emih!F31/SER_summary!F$26)</f>
        <v>6.0398481119653766</v>
      </c>
      <c r="G31" s="133">
        <f>IF(SER_hh_emih!G31=0,0,SER_hh_emih!G31/SER_summary!G$26)</f>
        <v>5.2845262094545742</v>
      </c>
      <c r="H31" s="133">
        <f>IF(SER_hh_emih!H31=0,0,SER_hh_emih!H31/SER_summary!H$26)</f>
        <v>3.6101433317433984</v>
      </c>
      <c r="I31" s="133">
        <f>IF(SER_hh_emih!I31=0,0,SER_hh_emih!I31/SER_summary!I$26)</f>
        <v>3.5510917275887262</v>
      </c>
      <c r="J31" s="133">
        <f>IF(SER_hh_emih!J31=0,0,SER_hh_emih!J31/SER_summary!J$26)</f>
        <v>1.8087222728090653</v>
      </c>
      <c r="K31" s="133">
        <f>IF(SER_hh_emih!K31=0,0,SER_hh_emih!K31/SER_summary!K$26)</f>
        <v>5.3831144304719158</v>
      </c>
      <c r="L31" s="133">
        <f>IF(SER_hh_emih!L31=0,0,SER_hh_emih!L31/SER_summary!L$26)</f>
        <v>4.8888962639629154</v>
      </c>
      <c r="M31" s="133">
        <f>IF(SER_hh_emih!M31=0,0,SER_hh_emih!M31/SER_summary!M$26)</f>
        <v>4.8231281692695998</v>
      </c>
      <c r="N31" s="133">
        <f>IF(SER_hh_emih!N31=0,0,SER_hh_emih!N31/SER_summary!N$26)</f>
        <v>3.6609509953395705</v>
      </c>
      <c r="O31" s="133">
        <f>IF(SER_hh_emih!O31=0,0,SER_hh_emih!O31/SER_summary!O$26)</f>
        <v>4.5846331590450262</v>
      </c>
      <c r="P31" s="133">
        <f>IF(SER_hh_emih!P31=0,0,SER_hh_emih!P31/SER_summary!P$26)</f>
        <v>5.6570525345295488</v>
      </c>
      <c r="Q31" s="133">
        <f>IF(SER_hh_emih!Q31=0,0,SER_hh_emih!Q31/SER_summary!Q$26)</f>
        <v>5.7106129046878014</v>
      </c>
      <c r="R31" s="133">
        <f>IF(SER_hh_emih!R31=0,0,SER_hh_emih!R31/SER_summary!R$26)</f>
        <v>7.4442422277279645</v>
      </c>
      <c r="S31" s="133">
        <f>IF(SER_hh_emih!S31=0,0,SER_hh_emih!S31/SER_summary!S$26)</f>
        <v>6.3075896616402591</v>
      </c>
      <c r="T31" s="133">
        <f>IF(SER_hh_emih!T31=0,0,SER_hh_emih!T31/SER_summary!T$26)</f>
        <v>4.3861484944408371</v>
      </c>
      <c r="U31" s="133">
        <f>IF(SER_hh_emih!U31=0,0,SER_hh_emih!U31/SER_summary!U$26)</f>
        <v>6.0114671888022633</v>
      </c>
      <c r="V31" s="133">
        <f>IF(SER_hh_emih!V31=0,0,SER_hh_emih!V31/SER_summary!V$26)</f>
        <v>5.3795972821015301</v>
      </c>
      <c r="W31" s="133">
        <f>IF(SER_hh_emih!W31=0,0,SER_hh_emih!W31/SER_summary!W$26)</f>
        <v>5.1048780691818996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619.94665304692228</v>
      </c>
      <c r="D3" s="125">
        <f t="shared" si="0"/>
        <v>857.49950552465157</v>
      </c>
      <c r="E3" s="125">
        <f t="shared" si="0"/>
        <v>636.76432545866066</v>
      </c>
      <c r="F3" s="125">
        <f t="shared" si="0"/>
        <v>944.07864673157451</v>
      </c>
      <c r="G3" s="125">
        <f t="shared" si="0"/>
        <v>845.99126331301727</v>
      </c>
      <c r="H3" s="125">
        <f t="shared" si="0"/>
        <v>1321.5757372266535</v>
      </c>
      <c r="I3" s="125">
        <f t="shared" si="0"/>
        <v>1650.4262877466413</v>
      </c>
      <c r="J3" s="125">
        <f t="shared" si="0"/>
        <v>963.10713406017317</v>
      </c>
      <c r="K3" s="125">
        <f t="shared" si="0"/>
        <v>371.84725346228134</v>
      </c>
      <c r="L3" s="125">
        <f t="shared" si="0"/>
        <v>398.85176123454698</v>
      </c>
      <c r="M3" s="125">
        <f t="shared" si="0"/>
        <v>277.77566574564054</v>
      </c>
      <c r="N3" s="125">
        <f t="shared" si="0"/>
        <v>178.753562151003</v>
      </c>
      <c r="O3" s="125">
        <f t="shared" si="0"/>
        <v>217.97393221624458</v>
      </c>
      <c r="P3" s="125">
        <f t="shared" si="0"/>
        <v>480.19949281367667</v>
      </c>
      <c r="Q3" s="125">
        <f t="shared" si="0"/>
        <v>363.77478232392235</v>
      </c>
      <c r="R3" s="125">
        <f t="shared" si="0"/>
        <v>466.85409507843508</v>
      </c>
      <c r="S3" s="125">
        <f t="shared" si="0"/>
        <v>595.48470093377045</v>
      </c>
      <c r="T3" s="125">
        <f t="shared" si="0"/>
        <v>606.96061817753844</v>
      </c>
      <c r="U3" s="125">
        <f t="shared" si="0"/>
        <v>533.54285792937912</v>
      </c>
      <c r="V3" s="125">
        <f t="shared" si="0"/>
        <v>484.3404906106864</v>
      </c>
      <c r="W3" s="125">
        <f t="shared" si="0"/>
        <v>457.43286362058899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619.94665304692228</v>
      </c>
      <c r="D4" s="140">
        <f t="shared" si="1"/>
        <v>857.49950552465157</v>
      </c>
      <c r="E4" s="140">
        <f t="shared" si="1"/>
        <v>636.76432545866066</v>
      </c>
      <c r="F4" s="140">
        <f t="shared" si="1"/>
        <v>944.07864673157451</v>
      </c>
      <c r="G4" s="140">
        <f t="shared" si="1"/>
        <v>845.99126331301727</v>
      </c>
      <c r="H4" s="140">
        <f t="shared" si="1"/>
        <v>1321.5757372266535</v>
      </c>
      <c r="I4" s="140">
        <f t="shared" si="1"/>
        <v>1650.4262877466413</v>
      </c>
      <c r="J4" s="140">
        <f t="shared" si="1"/>
        <v>963.10713406017317</v>
      </c>
      <c r="K4" s="140">
        <f t="shared" si="1"/>
        <v>371.84725346228134</v>
      </c>
      <c r="L4" s="140">
        <f t="shared" si="1"/>
        <v>398.85176123454698</v>
      </c>
      <c r="M4" s="140">
        <f t="shared" si="1"/>
        <v>277.77566574564054</v>
      </c>
      <c r="N4" s="140">
        <f t="shared" si="1"/>
        <v>178.753562151003</v>
      </c>
      <c r="O4" s="140">
        <f t="shared" si="1"/>
        <v>217.97393221624458</v>
      </c>
      <c r="P4" s="140">
        <f t="shared" si="1"/>
        <v>480.19949281367667</v>
      </c>
      <c r="Q4" s="140">
        <f t="shared" si="1"/>
        <v>363.77478232392235</v>
      </c>
      <c r="R4" s="140">
        <f t="shared" ref="R4:W4" si="2">SUM(R5:R14)</f>
        <v>466.85409507843508</v>
      </c>
      <c r="S4" s="140">
        <f t="shared" si="2"/>
        <v>595.48470093377045</v>
      </c>
      <c r="T4" s="140">
        <f t="shared" si="2"/>
        <v>606.96061817753844</v>
      </c>
      <c r="U4" s="140">
        <f t="shared" si="2"/>
        <v>533.54285792937912</v>
      </c>
      <c r="V4" s="140">
        <f t="shared" si="2"/>
        <v>484.3404906106864</v>
      </c>
      <c r="W4" s="140">
        <f t="shared" si="2"/>
        <v>457.43286362058899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249.57780613011491</v>
      </c>
      <c r="D7" s="141">
        <v>369.3531412478963</v>
      </c>
      <c r="E7" s="141">
        <v>458.82097632183661</v>
      </c>
      <c r="F7" s="141">
        <v>570.2924989024458</v>
      </c>
      <c r="G7" s="141">
        <v>489.87455886574776</v>
      </c>
      <c r="H7" s="141">
        <v>489.78860476904367</v>
      </c>
      <c r="I7" s="141">
        <v>545.68476288405918</v>
      </c>
      <c r="J7" s="141">
        <v>531.65957692501559</v>
      </c>
      <c r="K7" s="141">
        <v>107.03965883726086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93.580560046684838</v>
      </c>
      <c r="S7" s="141">
        <v>96.665523537137062</v>
      </c>
      <c r="T7" s="141">
        <v>187.91337052019171</v>
      </c>
      <c r="U7" s="141">
        <v>168.84818028813294</v>
      </c>
      <c r="V7" s="141">
        <v>137.47342942170741</v>
      </c>
      <c r="W7" s="141">
        <v>137.1391573264992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243.99559489970716</v>
      </c>
      <c r="D9" s="141">
        <v>178.91718591852225</v>
      </c>
      <c r="E9" s="141">
        <v>39.553845195900251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61.132559166606242</v>
      </c>
      <c r="L9" s="141">
        <v>53.370900306003207</v>
      </c>
      <c r="M9" s="141">
        <v>55.976566327002786</v>
      </c>
      <c r="N9" s="141">
        <v>6.1558515518796426</v>
      </c>
      <c r="O9" s="141">
        <v>83.276210210911259</v>
      </c>
      <c r="P9" s="141">
        <v>262.98524111255995</v>
      </c>
      <c r="Q9" s="141">
        <v>235.74731738039489</v>
      </c>
      <c r="R9" s="141">
        <v>104.74567742907472</v>
      </c>
      <c r="S9" s="141">
        <v>0</v>
      </c>
      <c r="T9" s="141">
        <v>0</v>
      </c>
      <c r="U9" s="141">
        <v>0</v>
      </c>
      <c r="V9" s="141">
        <v>0</v>
      </c>
      <c r="W9" s="141">
        <v>53.9165672969974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0.37547372223578723</v>
      </c>
      <c r="D10" s="141">
        <v>0</v>
      </c>
      <c r="E10" s="141">
        <v>6.0935995706362225E-2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177.46697482083036</v>
      </c>
      <c r="M11" s="141">
        <v>31.833616853089115</v>
      </c>
      <c r="N11" s="141">
        <v>9.6311878040766707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13.470747946966291</v>
      </c>
      <c r="U11" s="141">
        <v>21.116359473693961</v>
      </c>
      <c r="V11" s="141">
        <v>14.856301367955483</v>
      </c>
      <c r="W11" s="141">
        <v>17.362550125888429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1.6165469814858848</v>
      </c>
      <c r="G12" s="141">
        <v>44.344695981495107</v>
      </c>
      <c r="H12" s="141">
        <v>217.80074377544435</v>
      </c>
      <c r="I12" s="141">
        <v>56.324957548433495</v>
      </c>
      <c r="J12" s="141">
        <v>62.49658188431269</v>
      </c>
      <c r="K12" s="141">
        <v>135.96320750927907</v>
      </c>
      <c r="L12" s="141">
        <v>150.56640849624952</v>
      </c>
      <c r="M12" s="141">
        <v>119.88207564223254</v>
      </c>
      <c r="N12" s="141">
        <v>79.824184832837446</v>
      </c>
      <c r="O12" s="141">
        <v>63.370044269477965</v>
      </c>
      <c r="P12" s="141">
        <v>0</v>
      </c>
      <c r="Q12" s="141">
        <v>10.527309933256312</v>
      </c>
      <c r="R12" s="141">
        <v>14.11050775094418</v>
      </c>
      <c r="S12" s="141">
        <v>107.03894961656182</v>
      </c>
      <c r="T12" s="141">
        <v>89.561652613352777</v>
      </c>
      <c r="U12" s="141">
        <v>98.245117651196992</v>
      </c>
      <c r="V12" s="141">
        <v>127.2798324645436</v>
      </c>
      <c r="W12" s="141">
        <v>109.19993145919388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125.99777829486442</v>
      </c>
      <c r="D14" s="142">
        <v>309.22917835823301</v>
      </c>
      <c r="E14" s="142">
        <v>138.32856794521743</v>
      </c>
      <c r="F14" s="142">
        <v>372.16960084764281</v>
      </c>
      <c r="G14" s="142">
        <v>311.77200846577449</v>
      </c>
      <c r="H14" s="142">
        <v>613.98638868216528</v>
      </c>
      <c r="I14" s="142">
        <v>1048.4165673141486</v>
      </c>
      <c r="J14" s="142">
        <v>368.95097525084492</v>
      </c>
      <c r="K14" s="142">
        <v>67.71182794913517</v>
      </c>
      <c r="L14" s="142">
        <v>17.447477611463885</v>
      </c>
      <c r="M14" s="142">
        <v>70.083406923316076</v>
      </c>
      <c r="N14" s="142">
        <v>83.14233796220924</v>
      </c>
      <c r="O14" s="142">
        <v>71.327677735855374</v>
      </c>
      <c r="P14" s="142">
        <v>217.21425170111672</v>
      </c>
      <c r="Q14" s="142">
        <v>117.50015501027116</v>
      </c>
      <c r="R14" s="142">
        <v>254.41734985173136</v>
      </c>
      <c r="S14" s="142">
        <v>391.78022778007153</v>
      </c>
      <c r="T14" s="142">
        <v>316.01484709702771</v>
      </c>
      <c r="U14" s="142">
        <v>245.33320051635525</v>
      </c>
      <c r="V14" s="142">
        <v>204.7309273564799</v>
      </c>
      <c r="W14" s="142">
        <v>139.81465741201009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493.94887475205786</v>
      </c>
      <c r="D15" s="144">
        <f t="shared" si="3"/>
        <v>548.27032716641861</v>
      </c>
      <c r="E15" s="144">
        <f t="shared" si="3"/>
        <v>498.43575751344321</v>
      </c>
      <c r="F15" s="144">
        <f t="shared" si="3"/>
        <v>571.90904588393164</v>
      </c>
      <c r="G15" s="144">
        <f t="shared" si="3"/>
        <v>534.21925484724284</v>
      </c>
      <c r="H15" s="144">
        <f t="shared" si="3"/>
        <v>707.58934854448808</v>
      </c>
      <c r="I15" s="144">
        <f t="shared" si="3"/>
        <v>602.00972043249271</v>
      </c>
      <c r="J15" s="144">
        <f t="shared" si="3"/>
        <v>594.1561588093283</v>
      </c>
      <c r="K15" s="144">
        <f t="shared" si="3"/>
        <v>304.13542551314617</v>
      </c>
      <c r="L15" s="144">
        <f t="shared" si="3"/>
        <v>381.40428362308307</v>
      </c>
      <c r="M15" s="144">
        <f t="shared" si="3"/>
        <v>207.69225882232445</v>
      </c>
      <c r="N15" s="144">
        <f t="shared" si="3"/>
        <v>95.611224188793756</v>
      </c>
      <c r="O15" s="144">
        <f t="shared" si="3"/>
        <v>146.64625448038922</v>
      </c>
      <c r="P15" s="144">
        <f t="shared" si="3"/>
        <v>262.98524111255995</v>
      </c>
      <c r="Q15" s="144">
        <f t="shared" si="3"/>
        <v>246.27462731365119</v>
      </c>
      <c r="R15" s="144">
        <f t="shared" ref="R15:W15" si="4">SUM(R5:R12)</f>
        <v>212.43674522670375</v>
      </c>
      <c r="S15" s="144">
        <f t="shared" si="4"/>
        <v>203.70447315369887</v>
      </c>
      <c r="T15" s="144">
        <f t="shared" si="4"/>
        <v>290.94577108051078</v>
      </c>
      <c r="U15" s="144">
        <f t="shared" si="4"/>
        <v>288.20965741302388</v>
      </c>
      <c r="V15" s="144">
        <f t="shared" si="4"/>
        <v>279.60956325420648</v>
      </c>
      <c r="W15" s="144">
        <f t="shared" si="4"/>
        <v>317.6182062085789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601.20196477034904</v>
      </c>
      <c r="D16" s="140">
        <f t="shared" si="5"/>
        <v>782.71491105569123</v>
      </c>
      <c r="E16" s="140">
        <f t="shared" si="5"/>
        <v>636.76432545866066</v>
      </c>
      <c r="F16" s="140">
        <f t="shared" si="5"/>
        <v>798.58992243956629</v>
      </c>
      <c r="G16" s="140">
        <f t="shared" si="5"/>
        <v>837.29129826283975</v>
      </c>
      <c r="H16" s="140">
        <f t="shared" si="5"/>
        <v>1126.9979275269443</v>
      </c>
      <c r="I16" s="140">
        <f t="shared" si="5"/>
        <v>1314.6958413185628</v>
      </c>
      <c r="J16" s="140">
        <f t="shared" si="5"/>
        <v>963.10713406017317</v>
      </c>
      <c r="K16" s="140">
        <f t="shared" si="5"/>
        <v>371.84725346228129</v>
      </c>
      <c r="L16" s="140">
        <f t="shared" si="5"/>
        <v>398.85176123454693</v>
      </c>
      <c r="M16" s="140">
        <f t="shared" si="5"/>
        <v>277.77566574564048</v>
      </c>
      <c r="N16" s="140">
        <f t="shared" si="5"/>
        <v>178.753562151003</v>
      </c>
      <c r="O16" s="140">
        <f t="shared" si="5"/>
        <v>217.97393221624458</v>
      </c>
      <c r="P16" s="140">
        <f t="shared" si="5"/>
        <v>480.19949281367667</v>
      </c>
      <c r="Q16" s="140">
        <f t="shared" si="5"/>
        <v>363.77478232392235</v>
      </c>
      <c r="R16" s="140">
        <f t="shared" ref="R16:W16" si="6">SUM(R17:R18)</f>
        <v>466.85409507843514</v>
      </c>
      <c r="S16" s="140">
        <f t="shared" si="6"/>
        <v>595.48470093377045</v>
      </c>
      <c r="T16" s="140">
        <f t="shared" si="6"/>
        <v>606.96061817753855</v>
      </c>
      <c r="U16" s="140">
        <f t="shared" si="6"/>
        <v>533.54285792937912</v>
      </c>
      <c r="V16" s="140">
        <f t="shared" si="6"/>
        <v>484.34049061068635</v>
      </c>
      <c r="W16" s="140">
        <f t="shared" si="6"/>
        <v>457.43286362058899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601.20196477034904</v>
      </c>
      <c r="D18" s="141">
        <v>782.71491105569123</v>
      </c>
      <c r="E18" s="141">
        <v>636.76432545866066</v>
      </c>
      <c r="F18" s="141">
        <v>798.58992243956629</v>
      </c>
      <c r="G18" s="141">
        <v>837.29129826283975</v>
      </c>
      <c r="H18" s="141">
        <v>1126.9979275269443</v>
      </c>
      <c r="I18" s="141">
        <v>1314.6958413185628</v>
      </c>
      <c r="J18" s="141">
        <v>963.10713406017317</v>
      </c>
      <c r="K18" s="141">
        <v>371.84725346228129</v>
      </c>
      <c r="L18" s="141">
        <v>398.85176123454693</v>
      </c>
      <c r="M18" s="141">
        <v>277.77566574564048</v>
      </c>
      <c r="N18" s="141">
        <v>178.753562151003</v>
      </c>
      <c r="O18" s="141">
        <v>217.97393221624458</v>
      </c>
      <c r="P18" s="141">
        <v>480.19949281367667</v>
      </c>
      <c r="Q18" s="141">
        <v>363.77478232392235</v>
      </c>
      <c r="R18" s="141">
        <v>466.85409507843514</v>
      </c>
      <c r="S18" s="141">
        <v>595.48470093377045</v>
      </c>
      <c r="T18" s="141">
        <v>606.96061817753855</v>
      </c>
      <c r="U18" s="141">
        <v>533.54285792937912</v>
      </c>
      <c r="V18" s="141">
        <v>484.34049061068635</v>
      </c>
      <c r="W18" s="141">
        <v>457.43286362058899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619.94665304692228</v>
      </c>
      <c r="D19" s="140">
        <f t="shared" si="7"/>
        <v>857.49950552465157</v>
      </c>
      <c r="E19" s="140">
        <f t="shared" si="7"/>
        <v>636.76432545866078</v>
      </c>
      <c r="F19" s="140">
        <f t="shared" si="7"/>
        <v>944.07864673157462</v>
      </c>
      <c r="G19" s="140">
        <f t="shared" si="7"/>
        <v>845.99126331301727</v>
      </c>
      <c r="H19" s="140">
        <f t="shared" si="7"/>
        <v>1321.5757372266532</v>
      </c>
      <c r="I19" s="140">
        <f t="shared" si="7"/>
        <v>1650.4262877466415</v>
      </c>
      <c r="J19" s="140">
        <f t="shared" si="7"/>
        <v>963.10713406017305</v>
      </c>
      <c r="K19" s="140">
        <f t="shared" si="7"/>
        <v>371.84725346228134</v>
      </c>
      <c r="L19" s="140">
        <f t="shared" si="7"/>
        <v>398.85176123454687</v>
      </c>
      <c r="M19" s="140">
        <f t="shared" si="7"/>
        <v>277.77566574564048</v>
      </c>
      <c r="N19" s="140">
        <f t="shared" si="7"/>
        <v>178.753562151003</v>
      </c>
      <c r="O19" s="140">
        <f t="shared" si="7"/>
        <v>217.97393221624461</v>
      </c>
      <c r="P19" s="140">
        <f t="shared" si="7"/>
        <v>480.19949281367678</v>
      </c>
      <c r="Q19" s="140">
        <f t="shared" si="7"/>
        <v>363.77478232392235</v>
      </c>
      <c r="R19" s="140">
        <f t="shared" ref="R19:W19" si="8">SUM(R20:R26)</f>
        <v>466.85409507843508</v>
      </c>
      <c r="S19" s="140">
        <f t="shared" si="8"/>
        <v>595.48470093377045</v>
      </c>
      <c r="T19" s="140">
        <f t="shared" si="8"/>
        <v>606.96061817753855</v>
      </c>
      <c r="U19" s="140">
        <f t="shared" si="8"/>
        <v>533.54285792937912</v>
      </c>
      <c r="V19" s="140">
        <f t="shared" si="8"/>
        <v>484.34049061068629</v>
      </c>
      <c r="W19" s="140">
        <f t="shared" si="8"/>
        <v>457.43286362058899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122.87213490816308</v>
      </c>
      <c r="D21" s="141">
        <v>276.72982725033989</v>
      </c>
      <c r="E21" s="141">
        <v>145.91699466852182</v>
      </c>
      <c r="F21" s="141">
        <v>200.7515378336723</v>
      </c>
      <c r="G21" s="141">
        <v>151.80370988346903</v>
      </c>
      <c r="H21" s="141">
        <v>209.742837131964</v>
      </c>
      <c r="I21" s="141">
        <v>225.73467850071992</v>
      </c>
      <c r="J21" s="141">
        <v>133.18978926546416</v>
      </c>
      <c r="K21" s="141">
        <v>54.943128972844626</v>
      </c>
      <c r="L21" s="141">
        <v>60.80492296293324</v>
      </c>
      <c r="M21" s="141">
        <v>31.579967374437704</v>
      </c>
      <c r="N21" s="141">
        <v>30.370790974239029</v>
      </c>
      <c r="O21" s="141">
        <v>27.40727607124154</v>
      </c>
      <c r="P21" s="141">
        <v>0</v>
      </c>
      <c r="Q21" s="141">
        <v>23.951807138947089</v>
      </c>
      <c r="R21" s="141">
        <v>144.19388675072432</v>
      </c>
      <c r="S21" s="141">
        <v>138.25743761979533</v>
      </c>
      <c r="T21" s="141">
        <v>160.89900055676478</v>
      </c>
      <c r="U21" s="141">
        <v>113.95667082205098</v>
      </c>
      <c r="V21" s="141">
        <v>67.695527128226942</v>
      </c>
      <c r="W21" s="141">
        <v>14.253902960974594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260.49459554924681</v>
      </c>
      <c r="D22" s="141">
        <v>385.41346827894699</v>
      </c>
      <c r="E22" s="141">
        <v>335.11187717438804</v>
      </c>
      <c r="F22" s="141">
        <v>462.25709707582962</v>
      </c>
      <c r="G22" s="141">
        <v>365.04381659514081</v>
      </c>
      <c r="H22" s="141">
        <v>599.65575696968494</v>
      </c>
      <c r="I22" s="141">
        <v>788.6358986031571</v>
      </c>
      <c r="J22" s="141">
        <v>243.35145271969247</v>
      </c>
      <c r="K22" s="141">
        <v>6.2518147102054407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76.697949516868874</v>
      </c>
      <c r="S22" s="141">
        <v>94.53348621813177</v>
      </c>
      <c r="T22" s="141">
        <v>188.24246945206642</v>
      </c>
      <c r="U22" s="141">
        <v>126.76341632662306</v>
      </c>
      <c r="V22" s="141">
        <v>169.41907119811245</v>
      </c>
      <c r="W22" s="141">
        <v>133.06467250787347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19.287935982794899</v>
      </c>
      <c r="D23" s="141">
        <v>25.518481724850847</v>
      </c>
      <c r="E23" s="141">
        <v>23.047415370957577</v>
      </c>
      <c r="F23" s="141">
        <v>32.92989574871433</v>
      </c>
      <c r="G23" s="141">
        <v>32.255452514909628</v>
      </c>
      <c r="H23" s="141">
        <v>45.591435146016345</v>
      </c>
      <c r="I23" s="141">
        <v>77.018248343472877</v>
      </c>
      <c r="J23" s="141">
        <v>71.427333234763836</v>
      </c>
      <c r="K23" s="141">
        <v>45.358181659984446</v>
      </c>
      <c r="L23" s="141">
        <v>29.941524907742568</v>
      </c>
      <c r="M23" s="141">
        <v>10.593727507680486</v>
      </c>
      <c r="N23" s="141">
        <v>4.2047855745790557</v>
      </c>
      <c r="O23" s="141">
        <v>3.9286418653001007</v>
      </c>
      <c r="P23" s="141">
        <v>12.103881183349042</v>
      </c>
      <c r="Q23" s="141">
        <v>11.426341591191409</v>
      </c>
      <c r="R23" s="141">
        <v>16.203790560141936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71.619042409160414</v>
      </c>
      <c r="D25" s="141">
        <v>54.340569024611149</v>
      </c>
      <c r="E25" s="141">
        <v>51.419367104826421</v>
      </c>
      <c r="F25" s="141">
        <v>11.573118088202092</v>
      </c>
      <c r="G25" s="141">
        <v>8.7808421072695193</v>
      </c>
      <c r="H25" s="141">
        <v>1.7499105139013742</v>
      </c>
      <c r="I25" s="141">
        <v>72.253125983916689</v>
      </c>
      <c r="J25" s="141">
        <v>99.658284467163895</v>
      </c>
      <c r="K25" s="141">
        <v>94.322191433502084</v>
      </c>
      <c r="L25" s="141">
        <v>122.12443400181733</v>
      </c>
      <c r="M25" s="141">
        <v>78.205628785606507</v>
      </c>
      <c r="N25" s="141">
        <v>47.953375453771102</v>
      </c>
      <c r="O25" s="141">
        <v>47.434631311843802</v>
      </c>
      <c r="P25" s="141">
        <v>71.997556903882526</v>
      </c>
      <c r="Q25" s="141">
        <v>64.069046017879074</v>
      </c>
      <c r="R25" s="141">
        <v>108.40976922223258</v>
      </c>
      <c r="S25" s="141">
        <v>149.44012720190906</v>
      </c>
      <c r="T25" s="141">
        <v>113.2337577849145</v>
      </c>
      <c r="U25" s="141">
        <v>41.438319029246792</v>
      </c>
      <c r="V25" s="141">
        <v>40.890774991094808</v>
      </c>
      <c r="W25" s="141">
        <v>49.323124344009791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145.67294419755709</v>
      </c>
      <c r="D26" s="142">
        <v>115.49715924590272</v>
      </c>
      <c r="E26" s="142">
        <v>81.268671139966827</v>
      </c>
      <c r="F26" s="142">
        <v>236.56699798515623</v>
      </c>
      <c r="G26" s="142">
        <v>288.10744221222836</v>
      </c>
      <c r="H26" s="142">
        <v>464.8357974650865</v>
      </c>
      <c r="I26" s="142">
        <v>486.78433631537479</v>
      </c>
      <c r="J26" s="142">
        <v>415.48027437308872</v>
      </c>
      <c r="K26" s="142">
        <v>170.97193668574477</v>
      </c>
      <c r="L26" s="142">
        <v>185.98087936205374</v>
      </c>
      <c r="M26" s="142">
        <v>157.39634207791582</v>
      </c>
      <c r="N26" s="142">
        <v>96.224610148413802</v>
      </c>
      <c r="O26" s="142">
        <v>139.20338296785917</v>
      </c>
      <c r="P26" s="142">
        <v>396.09805472644518</v>
      </c>
      <c r="Q26" s="142">
        <v>264.32758757590477</v>
      </c>
      <c r="R26" s="142">
        <v>121.34869902846739</v>
      </c>
      <c r="S26" s="142">
        <v>213.25364989393429</v>
      </c>
      <c r="T26" s="142">
        <v>144.58539038379283</v>
      </c>
      <c r="U26" s="142">
        <v>251.38445175145836</v>
      </c>
      <c r="V26" s="142">
        <v>206.33511729325213</v>
      </c>
      <c r="W26" s="142">
        <v>260.79116380773115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619.94665304692228</v>
      </c>
      <c r="D29" s="140">
        <f t="shared" si="9"/>
        <v>857.49950552465168</v>
      </c>
      <c r="E29" s="140">
        <f t="shared" si="9"/>
        <v>636.76432545866066</v>
      </c>
      <c r="F29" s="140">
        <f t="shared" si="9"/>
        <v>944.07864673157462</v>
      </c>
      <c r="G29" s="140">
        <f t="shared" si="9"/>
        <v>845.99126331301727</v>
      </c>
      <c r="H29" s="140">
        <f t="shared" si="9"/>
        <v>1321.575737226653</v>
      </c>
      <c r="I29" s="140">
        <f t="shared" si="9"/>
        <v>1650.4262877466413</v>
      </c>
      <c r="J29" s="140">
        <f t="shared" si="9"/>
        <v>963.10713406017317</v>
      </c>
      <c r="K29" s="140">
        <f t="shared" si="9"/>
        <v>371.84725346228129</v>
      </c>
      <c r="L29" s="140">
        <f t="shared" si="9"/>
        <v>398.85176123454693</v>
      </c>
      <c r="M29" s="140">
        <f t="shared" si="9"/>
        <v>277.77566574564048</v>
      </c>
      <c r="N29" s="140">
        <f t="shared" si="9"/>
        <v>178.753562151003</v>
      </c>
      <c r="O29" s="140">
        <f t="shared" si="9"/>
        <v>217.97393221624461</v>
      </c>
      <c r="P29" s="140">
        <f t="shared" si="9"/>
        <v>480.19949281367667</v>
      </c>
      <c r="Q29" s="140">
        <f t="shared" si="9"/>
        <v>363.77478232392235</v>
      </c>
      <c r="R29" s="140">
        <f t="shared" ref="R29:W29" si="10">SUM(R30:R33)</f>
        <v>466.85409507843508</v>
      </c>
      <c r="S29" s="140">
        <f t="shared" si="10"/>
        <v>595.48470093377045</v>
      </c>
      <c r="T29" s="140">
        <f t="shared" si="10"/>
        <v>606.96061817753855</v>
      </c>
      <c r="U29" s="140">
        <f t="shared" si="10"/>
        <v>533.54285792937912</v>
      </c>
      <c r="V29" s="140">
        <f t="shared" si="10"/>
        <v>484.34049061068635</v>
      </c>
      <c r="W29" s="140">
        <f t="shared" si="10"/>
        <v>457.43286362058905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120.37633853882595</v>
      </c>
      <c r="H30" s="141">
        <v>283.43579917319454</v>
      </c>
      <c r="I30" s="141">
        <v>1072.657827160037</v>
      </c>
      <c r="J30" s="141">
        <v>413.09680386210977</v>
      </c>
      <c r="K30" s="141">
        <v>164.75261571066659</v>
      </c>
      <c r="L30" s="141">
        <v>106.70152921197624</v>
      </c>
      <c r="M30" s="141">
        <v>0</v>
      </c>
      <c r="N30" s="141">
        <v>0.87431148944933978</v>
      </c>
      <c r="O30" s="141">
        <v>0</v>
      </c>
      <c r="P30" s="141">
        <v>0.56637739959246247</v>
      </c>
      <c r="Q30" s="141">
        <v>5.2637369662805273</v>
      </c>
      <c r="R30" s="141">
        <v>82.889646917146464</v>
      </c>
      <c r="S30" s="141">
        <v>235.328371450953</v>
      </c>
      <c r="T30" s="141">
        <v>279.71712837248248</v>
      </c>
      <c r="U30" s="141">
        <v>242.13625450502619</v>
      </c>
      <c r="V30" s="141">
        <v>123.31703580504846</v>
      </c>
      <c r="W30" s="141">
        <v>72.577866179078669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310.25031749603812</v>
      </c>
      <c r="D31" s="141">
        <v>115.34312389420847</v>
      </c>
      <c r="E31" s="141">
        <v>45.772674670751385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20.953852947302178</v>
      </c>
      <c r="L31" s="141">
        <v>34.288807561399452</v>
      </c>
      <c r="M31" s="141">
        <v>18.806055577376782</v>
      </c>
      <c r="N31" s="141">
        <v>35.566513868685632</v>
      </c>
      <c r="O31" s="141">
        <v>61.22104356313119</v>
      </c>
      <c r="P31" s="141">
        <v>146.77104654564712</v>
      </c>
      <c r="Q31" s="141">
        <v>82.066237919026477</v>
      </c>
      <c r="R31" s="141">
        <v>6.8676627263426742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309.69633555088416</v>
      </c>
      <c r="D33" s="153">
        <v>742.15638163044321</v>
      </c>
      <c r="E33" s="153">
        <v>590.99165078790929</v>
      </c>
      <c r="F33" s="153">
        <v>944.07864673157462</v>
      </c>
      <c r="G33" s="153">
        <v>725.61492477419131</v>
      </c>
      <c r="H33" s="153">
        <v>1038.1399380534585</v>
      </c>
      <c r="I33" s="153">
        <v>577.76846058660442</v>
      </c>
      <c r="J33" s="153">
        <v>550.01033019806346</v>
      </c>
      <c r="K33" s="153">
        <v>186.14078480431255</v>
      </c>
      <c r="L33" s="153">
        <v>257.86142446117123</v>
      </c>
      <c r="M33" s="153">
        <v>258.96961016826367</v>
      </c>
      <c r="N33" s="153">
        <v>142.31273679286801</v>
      </c>
      <c r="O33" s="153">
        <v>156.75288865311342</v>
      </c>
      <c r="P33" s="153">
        <v>332.86206886843706</v>
      </c>
      <c r="Q33" s="153">
        <v>276.44480743861533</v>
      </c>
      <c r="R33" s="153">
        <v>377.09678543494596</v>
      </c>
      <c r="S33" s="153">
        <v>360.15632948281751</v>
      </c>
      <c r="T33" s="153">
        <v>327.24348980505607</v>
      </c>
      <c r="U33" s="153">
        <v>291.40660342435297</v>
      </c>
      <c r="V33" s="153">
        <v>361.02345480563787</v>
      </c>
      <c r="W33" s="153">
        <v>384.85499744151036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20.069040789385443</v>
      </c>
      <c r="D3" s="126">
        <f t="shared" si="0"/>
        <v>24.622213387823766</v>
      </c>
      <c r="E3" s="126">
        <f t="shared" si="0"/>
        <v>12.464499805645769</v>
      </c>
      <c r="F3" s="126">
        <f t="shared" si="0"/>
        <v>17.229458557655256</v>
      </c>
      <c r="G3" s="126">
        <f t="shared" si="0"/>
        <v>13.027396101733153</v>
      </c>
      <c r="H3" s="126">
        <f t="shared" si="0"/>
        <v>16.189199888357901</v>
      </c>
      <c r="I3" s="126">
        <f t="shared" si="0"/>
        <v>17.416669723258202</v>
      </c>
      <c r="J3" s="126">
        <f t="shared" si="0"/>
        <v>12.80773017198452</v>
      </c>
      <c r="K3" s="126">
        <f t="shared" si="0"/>
        <v>4.3878579634557715</v>
      </c>
      <c r="L3" s="126">
        <f t="shared" si="0"/>
        <v>5.2041436143749076</v>
      </c>
      <c r="M3" s="126">
        <f t="shared" si="0"/>
        <v>3.3931291899820599</v>
      </c>
      <c r="N3" s="126">
        <f t="shared" si="0"/>
        <v>1.7550015336916511</v>
      </c>
      <c r="O3" s="126">
        <f t="shared" si="0"/>
        <v>2.1700432628936275</v>
      </c>
      <c r="P3" s="126">
        <f t="shared" si="0"/>
        <v>4.2128648858775852</v>
      </c>
      <c r="Q3" s="126">
        <f t="shared" si="0"/>
        <v>3.3745651142911997</v>
      </c>
      <c r="R3" s="126">
        <f t="shared" ref="R3:W3" si="1">SUM(R4,R16,R19,R29)</f>
        <v>4.2505354733873606</v>
      </c>
      <c r="S3" s="126">
        <f t="shared" si="1"/>
        <v>5.0877552551105945</v>
      </c>
      <c r="T3" s="126">
        <f t="shared" si="1"/>
        <v>5.2748782656442179</v>
      </c>
      <c r="U3" s="126">
        <f t="shared" si="1"/>
        <v>4.2210205013698028</v>
      </c>
      <c r="V3" s="126">
        <f t="shared" si="1"/>
        <v>3.3064560027763505</v>
      </c>
      <c r="W3" s="126">
        <f t="shared" si="1"/>
        <v>2.8339238091297148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17.167502493468906</v>
      </c>
      <c r="D4" s="131">
        <f t="shared" si="2"/>
        <v>20.827993731878429</v>
      </c>
      <c r="E4" s="131">
        <f t="shared" si="2"/>
        <v>9.53564622929939</v>
      </c>
      <c r="F4" s="131">
        <f t="shared" si="2"/>
        <v>13.564161365578791</v>
      </c>
      <c r="G4" s="131">
        <f t="shared" si="2"/>
        <v>9.6087244575299753</v>
      </c>
      <c r="H4" s="131">
        <f t="shared" si="2"/>
        <v>10.987689487536757</v>
      </c>
      <c r="I4" s="131">
        <f t="shared" si="2"/>
        <v>10.147058240538684</v>
      </c>
      <c r="J4" s="131">
        <f t="shared" si="2"/>
        <v>9.1873929225843884</v>
      </c>
      <c r="K4" s="131">
        <f t="shared" si="2"/>
        <v>3.009227848249806</v>
      </c>
      <c r="L4" s="131">
        <f t="shared" si="2"/>
        <v>3.7388961403835084</v>
      </c>
      <c r="M4" s="131">
        <f t="shared" si="2"/>
        <v>2.3802762709041811</v>
      </c>
      <c r="N4" s="131">
        <f t="shared" si="2"/>
        <v>1.1259128716300235</v>
      </c>
      <c r="O4" s="131">
        <f t="shared" si="2"/>
        <v>1.3773381374146161</v>
      </c>
      <c r="P4" s="131">
        <f t="shared" si="2"/>
        <v>2.4846846071125293</v>
      </c>
      <c r="Q4" s="131">
        <f t="shared" si="2"/>
        <v>2.0364781992736747</v>
      </c>
      <c r="R4" s="131">
        <f t="shared" ref="R4:W4" si="3">SUM(R5:R15)</f>
        <v>2.6565963643303352</v>
      </c>
      <c r="S4" s="131">
        <f t="shared" si="3"/>
        <v>2.9187428460030596</v>
      </c>
      <c r="T4" s="131">
        <f t="shared" si="3"/>
        <v>2.9634461658084992</v>
      </c>
      <c r="U4" s="131">
        <f t="shared" si="3"/>
        <v>2.1705122140626276</v>
      </c>
      <c r="V4" s="131">
        <f t="shared" si="3"/>
        <v>1.6875177701172634</v>
      </c>
      <c r="W4" s="131">
        <f t="shared" si="3"/>
        <v>1.3368104870048128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7.7140362756403764</v>
      </c>
      <c r="D7" s="133">
        <v>8.9103035247805042</v>
      </c>
      <c r="E7" s="133">
        <v>7.5166749299887021</v>
      </c>
      <c r="F7" s="133">
        <v>8.6902767921594464</v>
      </c>
      <c r="G7" s="133">
        <v>6.5673874852025547</v>
      </c>
      <c r="H7" s="133">
        <v>5.1519841914535114</v>
      </c>
      <c r="I7" s="133">
        <v>3.325313005085937</v>
      </c>
      <c r="J7" s="133">
        <v>5.6837498099337651</v>
      </c>
      <c r="K7" s="133">
        <v>1.0501791368703302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0.59216171789043881</v>
      </c>
      <c r="S7" s="133">
        <v>0.47388436088525993</v>
      </c>
      <c r="T7" s="133">
        <v>0.97820520306821312</v>
      </c>
      <c r="U7" s="133">
        <v>0.72436503437949429</v>
      </c>
      <c r="V7" s="133">
        <v>0.64249799947496733</v>
      </c>
      <c r="W7" s="133">
        <v>0.39851774433442883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6.9756812484128323</v>
      </c>
      <c r="D9" s="133">
        <v>4.9438986013428732</v>
      </c>
      <c r="E9" s="133">
        <v>0.51378300955493339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0.46965538356232017</v>
      </c>
      <c r="L9" s="133">
        <v>0.48341344685393151</v>
      </c>
      <c r="M9" s="133">
        <v>0.70171820004659069</v>
      </c>
      <c r="N9" s="133">
        <v>2.08818119307995E-2</v>
      </c>
      <c r="O9" s="133">
        <v>0.54791041683104957</v>
      </c>
      <c r="P9" s="133">
        <v>1.3782448429091274</v>
      </c>
      <c r="Q9" s="133">
        <v>1.4028244700504131</v>
      </c>
      <c r="R9" s="133">
        <v>0.7387007786428621</v>
      </c>
      <c r="S9" s="133">
        <v>0</v>
      </c>
      <c r="T9" s="133">
        <v>0</v>
      </c>
      <c r="U9" s="133">
        <v>0</v>
      </c>
      <c r="V9" s="133">
        <v>0</v>
      </c>
      <c r="W9" s="133">
        <v>0.1521520620157322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1.2486346495440214E-2</v>
      </c>
      <c r="D10" s="133">
        <v>0</v>
      </c>
      <c r="E10" s="133">
        <v>8.5668222066218719E-4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1.9381774980249571</v>
      </c>
      <c r="M11" s="133">
        <v>0.26586636926503843</v>
      </c>
      <c r="N11" s="133">
        <v>5.1123522440103521E-2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5.587311036574287E-2</v>
      </c>
      <c r="U11" s="133">
        <v>8.7364359952492698E-2</v>
      </c>
      <c r="V11" s="133">
        <v>4.0320742524790634E-2</v>
      </c>
      <c r="W11" s="133">
        <v>3.9929028827266573E-2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1.7263086208769381E-2</v>
      </c>
      <c r="G12" s="133">
        <v>0.31740870079831546</v>
      </c>
      <c r="H12" s="133">
        <v>1.8648026291303796</v>
      </c>
      <c r="I12" s="133">
        <v>0.27643345067433972</v>
      </c>
      <c r="J12" s="133">
        <v>0.29762136944820278</v>
      </c>
      <c r="K12" s="133">
        <v>0.95112741936929279</v>
      </c>
      <c r="L12" s="133">
        <v>1.1621694145928292</v>
      </c>
      <c r="M12" s="133">
        <v>0.85378214724607349</v>
      </c>
      <c r="N12" s="133">
        <v>0.50004475778709856</v>
      </c>
      <c r="O12" s="133">
        <v>0.3860977133139552</v>
      </c>
      <c r="P12" s="133">
        <v>0</v>
      </c>
      <c r="Q12" s="133">
        <v>4.9976851724313924E-2</v>
      </c>
      <c r="R12" s="133">
        <v>6.1463756818493628E-2</v>
      </c>
      <c r="S12" s="133">
        <v>0.50568338230102383</v>
      </c>
      <c r="T12" s="133">
        <v>0.40791190883924006</v>
      </c>
      <c r="U12" s="133">
        <v>0.34214219525418954</v>
      </c>
      <c r="V12" s="133">
        <v>0.39169559775698876</v>
      </c>
      <c r="W12" s="133">
        <v>0.33415403807695754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2.3003699982331232</v>
      </c>
      <c r="D14" s="65">
        <v>6.8218733700867054</v>
      </c>
      <c r="E14" s="65">
        <v>1.4203395308183628</v>
      </c>
      <c r="F14" s="65">
        <v>4.767013032636676</v>
      </c>
      <c r="G14" s="65">
        <v>2.6553484296195906</v>
      </c>
      <c r="H14" s="65">
        <v>3.9111949488809303</v>
      </c>
      <c r="I14" s="65">
        <v>6.5103602076507876</v>
      </c>
      <c r="J14" s="65">
        <v>3.1469791128378248</v>
      </c>
      <c r="K14" s="65">
        <v>0.51859672814270652</v>
      </c>
      <c r="L14" s="65">
        <v>0.13799474946720297</v>
      </c>
      <c r="M14" s="65">
        <v>0.54661575873160395</v>
      </c>
      <c r="N14" s="65">
        <v>0.55162737288036823</v>
      </c>
      <c r="O14" s="65">
        <v>0.43535667428949831</v>
      </c>
      <c r="P14" s="65">
        <v>1.0895653195956605</v>
      </c>
      <c r="Q14" s="65">
        <v>0.56605179836076891</v>
      </c>
      <c r="R14" s="65">
        <v>1.2477078638360319</v>
      </c>
      <c r="S14" s="65">
        <v>1.9316147340893315</v>
      </c>
      <c r="T14" s="65">
        <v>1.507886692659876</v>
      </c>
      <c r="U14" s="65">
        <v>1.0062346232142685</v>
      </c>
      <c r="V14" s="65">
        <v>0.60349873865753545</v>
      </c>
      <c r="W14" s="65">
        <v>0.4038626112124537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0.16492862468713548</v>
      </c>
      <c r="D15" s="135">
        <v>0.15191823566834733</v>
      </c>
      <c r="E15" s="135">
        <v>8.3992076716727565E-2</v>
      </c>
      <c r="F15" s="135">
        <v>8.9608454573899141E-2</v>
      </c>
      <c r="G15" s="135">
        <v>6.8579841909513828E-2</v>
      </c>
      <c r="H15" s="135">
        <v>5.9707718071934771E-2</v>
      </c>
      <c r="I15" s="135">
        <v>3.4951577127620377E-2</v>
      </c>
      <c r="J15" s="135">
        <v>5.9042630364595582E-2</v>
      </c>
      <c r="K15" s="135">
        <v>1.9669180305156384E-2</v>
      </c>
      <c r="L15" s="135">
        <v>1.7141031444587576E-2</v>
      </c>
      <c r="M15" s="135">
        <v>1.2293795614874337E-2</v>
      </c>
      <c r="N15" s="135">
        <v>2.2354065916535839E-3</v>
      </c>
      <c r="O15" s="135">
        <v>7.9733329801129817E-3</v>
      </c>
      <c r="P15" s="135">
        <v>1.6874444607741255E-2</v>
      </c>
      <c r="Q15" s="135">
        <v>1.7625079138178314E-2</v>
      </c>
      <c r="R15" s="135">
        <v>1.6562247142508549E-2</v>
      </c>
      <c r="S15" s="135">
        <v>7.5603687274441844E-3</v>
      </c>
      <c r="T15" s="135">
        <v>1.3569250875427106E-2</v>
      </c>
      <c r="U15" s="135">
        <v>1.0406001262183025E-2</v>
      </c>
      <c r="V15" s="135">
        <v>9.5046917029812297E-3</v>
      </c>
      <c r="W15" s="135">
        <v>8.1950025379740436E-3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0.51088524389402667</v>
      </c>
      <c r="D16" s="131">
        <f t="shared" si="4"/>
        <v>0.63699164904506089</v>
      </c>
      <c r="E16" s="131">
        <f t="shared" si="4"/>
        <v>0.63338088617630539</v>
      </c>
      <c r="F16" s="131">
        <f t="shared" si="4"/>
        <v>0.60219291859210655</v>
      </c>
      <c r="G16" s="131">
        <f t="shared" si="4"/>
        <v>0.6167076723779038</v>
      </c>
      <c r="H16" s="131">
        <f t="shared" si="4"/>
        <v>0.8620731736801549</v>
      </c>
      <c r="I16" s="131">
        <f t="shared" si="4"/>
        <v>0.9391972352400122</v>
      </c>
      <c r="J16" s="131">
        <f t="shared" si="4"/>
        <v>0.65211641749075033</v>
      </c>
      <c r="K16" s="131">
        <f t="shared" si="4"/>
        <v>0.24121300164840892</v>
      </c>
      <c r="L16" s="131">
        <f t="shared" si="4"/>
        <v>0.25993184806092312</v>
      </c>
      <c r="M16" s="131">
        <f t="shared" si="4"/>
        <v>0.17177777905275091</v>
      </c>
      <c r="N16" s="131">
        <f t="shared" si="4"/>
        <v>0.11789829443862763</v>
      </c>
      <c r="O16" s="131">
        <f t="shared" si="4"/>
        <v>0.13957368117374808</v>
      </c>
      <c r="P16" s="131">
        <f t="shared" si="4"/>
        <v>0.23406385551204353</v>
      </c>
      <c r="Q16" s="131">
        <f t="shared" si="4"/>
        <v>0.20906344914281128</v>
      </c>
      <c r="R16" s="131">
        <f t="shared" ref="R16:W16" si="5">SUM(R17:R18)</f>
        <v>0.21104067093006698</v>
      </c>
      <c r="S16" s="131">
        <f t="shared" si="5"/>
        <v>0.31250594827766137</v>
      </c>
      <c r="T16" s="131">
        <f t="shared" si="5"/>
        <v>0.26821400561470837</v>
      </c>
      <c r="U16" s="131">
        <f t="shared" si="5"/>
        <v>0.24259256539958249</v>
      </c>
      <c r="V16" s="131">
        <f t="shared" si="5"/>
        <v>0.1854272176905071</v>
      </c>
      <c r="W16" s="131">
        <f t="shared" si="5"/>
        <v>0.17685024748002579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0.51088524389402667</v>
      </c>
      <c r="D18" s="133">
        <v>0.63699164904506089</v>
      </c>
      <c r="E18" s="133">
        <v>0.63338088617630539</v>
      </c>
      <c r="F18" s="133">
        <v>0.60219291859210655</v>
      </c>
      <c r="G18" s="133">
        <v>0.6167076723779038</v>
      </c>
      <c r="H18" s="133">
        <v>0.8620731736801549</v>
      </c>
      <c r="I18" s="133">
        <v>0.9391972352400122</v>
      </c>
      <c r="J18" s="133">
        <v>0.65211641749075033</v>
      </c>
      <c r="K18" s="133">
        <v>0.24121300164840892</v>
      </c>
      <c r="L18" s="133">
        <v>0.25993184806092312</v>
      </c>
      <c r="M18" s="133">
        <v>0.17177777905275091</v>
      </c>
      <c r="N18" s="133">
        <v>0.11789829443862763</v>
      </c>
      <c r="O18" s="133">
        <v>0.13957368117374808</v>
      </c>
      <c r="P18" s="133">
        <v>0.23406385551204353</v>
      </c>
      <c r="Q18" s="133">
        <v>0.20906344914281128</v>
      </c>
      <c r="R18" s="133">
        <v>0.21104067093006698</v>
      </c>
      <c r="S18" s="133">
        <v>0.31250594827766137</v>
      </c>
      <c r="T18" s="133">
        <v>0.26821400561470837</v>
      </c>
      <c r="U18" s="133">
        <v>0.24259256539958249</v>
      </c>
      <c r="V18" s="133">
        <v>0.1854272176905071</v>
      </c>
      <c r="W18" s="133">
        <v>0.17685024748002579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1.08448920227182</v>
      </c>
      <c r="D19" s="131">
        <f t="shared" si="6"/>
        <v>1.5135804660975924</v>
      </c>
      <c r="E19" s="131">
        <f t="shared" si="6"/>
        <v>1.1291459958977941</v>
      </c>
      <c r="F19" s="131">
        <f t="shared" si="6"/>
        <v>1.6057099682683309</v>
      </c>
      <c r="G19" s="131">
        <f t="shared" si="6"/>
        <v>1.4101540749563828</v>
      </c>
      <c r="H19" s="131">
        <f t="shared" si="6"/>
        <v>2.1770387129055373</v>
      </c>
      <c r="I19" s="131">
        <f t="shared" si="6"/>
        <v>2.5945485121696272</v>
      </c>
      <c r="J19" s="131">
        <f t="shared" si="6"/>
        <v>1.423058949244751</v>
      </c>
      <c r="K19" s="131">
        <f t="shared" si="6"/>
        <v>0.50923579528616314</v>
      </c>
      <c r="L19" s="131">
        <f t="shared" si="6"/>
        <v>0.52655772709565019</v>
      </c>
      <c r="M19" s="131">
        <f t="shared" si="6"/>
        <v>0.3787737506139911</v>
      </c>
      <c r="N19" s="131">
        <f t="shared" si="6"/>
        <v>0.23946537122296399</v>
      </c>
      <c r="O19" s="131">
        <f t="shared" si="6"/>
        <v>0.29295688741419507</v>
      </c>
      <c r="P19" s="131">
        <f t="shared" si="6"/>
        <v>0.64678586807615801</v>
      </c>
      <c r="Q19" s="131">
        <f t="shared" si="6"/>
        <v>0.49190471187338647</v>
      </c>
      <c r="R19" s="131">
        <f t="shared" ref="R19:W19" si="7">SUM(R20:R27)</f>
        <v>0.59073113119996357</v>
      </c>
      <c r="S19" s="131">
        <f t="shared" si="7"/>
        <v>0.75803758752569239</v>
      </c>
      <c r="T19" s="131">
        <f t="shared" si="7"/>
        <v>0.8306241164721303</v>
      </c>
      <c r="U19" s="131">
        <f t="shared" si="7"/>
        <v>0.69126382666357111</v>
      </c>
      <c r="V19" s="131">
        <f t="shared" si="7"/>
        <v>0.60306200763308282</v>
      </c>
      <c r="W19" s="131">
        <f t="shared" si="7"/>
        <v>0.55774549401611351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0.21458941364617587</v>
      </c>
      <c r="D21" s="133">
        <v>0.51519114910469432</v>
      </c>
      <c r="E21" s="133">
        <v>0.26304688085192568</v>
      </c>
      <c r="F21" s="133">
        <v>0.35128428720884836</v>
      </c>
      <c r="G21" s="133">
        <v>0.2602167884931611</v>
      </c>
      <c r="H21" s="133">
        <v>0.35209138708636156</v>
      </c>
      <c r="I21" s="133">
        <v>0.37588814770816359</v>
      </c>
      <c r="J21" s="133">
        <v>0.21368570759310174</v>
      </c>
      <c r="K21" s="133">
        <v>8.8508008521684597E-2</v>
      </c>
      <c r="L21" s="133">
        <v>0.1010510149090668</v>
      </c>
      <c r="M21" s="133">
        <v>4.885111703764293E-2</v>
      </c>
      <c r="N21" s="133">
        <v>4.8323890333793307E-2</v>
      </c>
      <c r="O21" s="133">
        <v>4.1906375621082133E-2</v>
      </c>
      <c r="P21" s="133">
        <v>0</v>
      </c>
      <c r="Q21" s="133">
        <v>3.3976575105849754E-2</v>
      </c>
      <c r="R21" s="133">
        <v>0.15494360193353993</v>
      </c>
      <c r="S21" s="133">
        <v>0.16356804600392005</v>
      </c>
      <c r="T21" s="133">
        <v>0.24797093721119365</v>
      </c>
      <c r="U21" s="133">
        <v>0.20103688317937632</v>
      </c>
      <c r="V21" s="133">
        <v>9.3400782526419979E-2</v>
      </c>
      <c r="W21" s="133">
        <v>1.507595111099325E-2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0.53360469712943037</v>
      </c>
      <c r="D22" s="133">
        <v>0.69907158237184375</v>
      </c>
      <c r="E22" s="133">
        <v>0.6532146875031638</v>
      </c>
      <c r="F22" s="133">
        <v>0.87006725425289344</v>
      </c>
      <c r="G22" s="133">
        <v>0.66851424113714952</v>
      </c>
      <c r="H22" s="133">
        <v>1.0742942917933411</v>
      </c>
      <c r="I22" s="133">
        <v>1.3998710360265625</v>
      </c>
      <c r="J22" s="133">
        <v>0.40795402754572402</v>
      </c>
      <c r="K22" s="133">
        <v>1.0829451796179232E-2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0.12287245628461804</v>
      </c>
      <c r="S22" s="133">
        <v>0.12234768061001751</v>
      </c>
      <c r="T22" s="133">
        <v>0.27874494820062334</v>
      </c>
      <c r="U22" s="133">
        <v>0.15922481656280668</v>
      </c>
      <c r="V22" s="133">
        <v>0.23456621503284786</v>
      </c>
      <c r="W22" s="133">
        <v>0.17228334315220342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3.5141674412602721E-2</v>
      </c>
      <c r="D23" s="133">
        <v>4.4219839172920071E-2</v>
      </c>
      <c r="E23" s="133">
        <v>3.8990973122413189E-2</v>
      </c>
      <c r="F23" s="133">
        <v>5.5153059173418957E-2</v>
      </c>
      <c r="G23" s="133">
        <v>5.2687906097280093E-2</v>
      </c>
      <c r="H23" s="133">
        <v>7.0817530168770335E-2</v>
      </c>
      <c r="I23" s="133">
        <v>0.11357920732997806</v>
      </c>
      <c r="J23" s="133">
        <v>9.688895168733376E-2</v>
      </c>
      <c r="K23" s="133">
        <v>7.4686662293234826E-2</v>
      </c>
      <c r="L23" s="133">
        <v>4.7722076361966383E-2</v>
      </c>
      <c r="M23" s="133">
        <v>1.5754653054415649E-2</v>
      </c>
      <c r="N23" s="133">
        <v>6.148671240356997E-3</v>
      </c>
      <c r="O23" s="133">
        <v>5.652708551050936E-3</v>
      </c>
      <c r="P23" s="133">
        <v>1.6879626482565444E-2</v>
      </c>
      <c r="Q23" s="133">
        <v>1.4892520411834824E-2</v>
      </c>
      <c r="R23" s="133">
        <v>2.6868804885414817E-2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0.10985946581763564</v>
      </c>
      <c r="D25" s="133">
        <v>7.162941697138632E-2</v>
      </c>
      <c r="E25" s="133">
        <v>6.1263401879053471E-2</v>
      </c>
      <c r="F25" s="133">
        <v>1.4486514572429707E-2</v>
      </c>
      <c r="G25" s="133">
        <v>1.0836514579970969E-2</v>
      </c>
      <c r="H25" s="133">
        <v>1.9096075034005736E-3</v>
      </c>
      <c r="I25" s="133">
        <v>8.1289116805609768E-2</v>
      </c>
      <c r="J25" s="133">
        <v>0.10042625688650558</v>
      </c>
      <c r="K25" s="133">
        <v>0.10100697637803321</v>
      </c>
      <c r="L25" s="133">
        <v>0.14003985492674137</v>
      </c>
      <c r="M25" s="133">
        <v>9.1961285468823803E-2</v>
      </c>
      <c r="N25" s="133">
        <v>5.6202399592425567E-2</v>
      </c>
      <c r="O25" s="133">
        <v>5.6049161237406095E-2</v>
      </c>
      <c r="P25" s="133">
        <v>8.7838631337885151E-2</v>
      </c>
      <c r="Q25" s="133">
        <v>7.5532809626909128E-2</v>
      </c>
      <c r="R25" s="133">
        <v>0.1170977784428088</v>
      </c>
      <c r="S25" s="133">
        <v>0.18294717904392632</v>
      </c>
      <c r="T25" s="133">
        <v>0.14441387736626199</v>
      </c>
      <c r="U25" s="133">
        <v>4.5265250626723499E-2</v>
      </c>
      <c r="V25" s="133">
        <v>4.5050186393580265E-2</v>
      </c>
      <c r="W25" s="133">
        <v>5.9813381028554526E-2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0.19129395126597545</v>
      </c>
      <c r="D26" s="65">
        <v>0.18346847847674799</v>
      </c>
      <c r="E26" s="65">
        <v>0.11263005254123805</v>
      </c>
      <c r="F26" s="65">
        <v>0.31471885306074043</v>
      </c>
      <c r="G26" s="65">
        <v>0.41789862464882105</v>
      </c>
      <c r="H26" s="65">
        <v>0.67792589635366363</v>
      </c>
      <c r="I26" s="65">
        <v>0.62392100429931341</v>
      </c>
      <c r="J26" s="65">
        <v>0.60410400553208587</v>
      </c>
      <c r="K26" s="65">
        <v>0.23420469629703122</v>
      </c>
      <c r="L26" s="65">
        <v>0.23774478089787568</v>
      </c>
      <c r="M26" s="65">
        <v>0.22220669505310875</v>
      </c>
      <c r="N26" s="65">
        <v>0.12879041005638811</v>
      </c>
      <c r="O26" s="65">
        <v>0.1893486420046559</v>
      </c>
      <c r="P26" s="65">
        <v>0.54206761025570738</v>
      </c>
      <c r="Q26" s="65">
        <v>0.36750280672879276</v>
      </c>
      <c r="R26" s="65">
        <v>0.16894848965358203</v>
      </c>
      <c r="S26" s="65">
        <v>0.28917468186782858</v>
      </c>
      <c r="T26" s="65">
        <v>0.15949435369405132</v>
      </c>
      <c r="U26" s="65">
        <v>0.28573687629466454</v>
      </c>
      <c r="V26" s="65">
        <v>0.23004482368023468</v>
      </c>
      <c r="W26" s="65">
        <v>0.31057281872436227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1.306163849750692</v>
      </c>
      <c r="D29" s="131">
        <f t="shared" si="8"/>
        <v>1.6436475408026818</v>
      </c>
      <c r="E29" s="131">
        <f t="shared" si="8"/>
        <v>1.1663266942722812</v>
      </c>
      <c r="F29" s="131">
        <f t="shared" si="8"/>
        <v>1.4573943052160307</v>
      </c>
      <c r="G29" s="131">
        <f t="shared" si="8"/>
        <v>1.3918098968688899</v>
      </c>
      <c r="H29" s="131">
        <f t="shared" si="8"/>
        <v>2.1623985142354512</v>
      </c>
      <c r="I29" s="131">
        <f t="shared" si="8"/>
        <v>3.7358657353098801</v>
      </c>
      <c r="J29" s="131">
        <f t="shared" si="8"/>
        <v>1.5451618826646294</v>
      </c>
      <c r="K29" s="131">
        <f t="shared" si="8"/>
        <v>0.62818131827139301</v>
      </c>
      <c r="L29" s="131">
        <f t="shared" si="8"/>
        <v>0.6787578988348264</v>
      </c>
      <c r="M29" s="131">
        <f t="shared" si="8"/>
        <v>0.46230138941113669</v>
      </c>
      <c r="N29" s="131">
        <f t="shared" si="8"/>
        <v>0.27172499640003617</v>
      </c>
      <c r="O29" s="131">
        <f t="shared" si="8"/>
        <v>0.36017455689106848</v>
      </c>
      <c r="P29" s="131">
        <f t="shared" si="8"/>
        <v>0.84733055517685485</v>
      </c>
      <c r="Q29" s="131">
        <f t="shared" si="8"/>
        <v>0.63711875400132711</v>
      </c>
      <c r="R29" s="131">
        <f t="shared" ref="R29:W29" si="9">SUM(R30:R33)</f>
        <v>0.79216730692699489</v>
      </c>
      <c r="S29" s="131">
        <f t="shared" si="9"/>
        <v>1.0984688733041807</v>
      </c>
      <c r="T29" s="131">
        <f t="shared" si="9"/>
        <v>1.2125939777488799</v>
      </c>
      <c r="U29" s="131">
        <f t="shared" si="9"/>
        <v>1.1166518952440214</v>
      </c>
      <c r="V29" s="131">
        <f t="shared" si="9"/>
        <v>0.83044900733549731</v>
      </c>
      <c r="W29" s="131">
        <f t="shared" si="9"/>
        <v>0.76251758062876274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0.23003482727950761</v>
      </c>
      <c r="H30" s="133">
        <v>0.37002547460515328</v>
      </c>
      <c r="I30" s="133">
        <v>2.9822344160089096</v>
      </c>
      <c r="J30" s="133">
        <v>0.69763614637172955</v>
      </c>
      <c r="K30" s="133">
        <v>0.30928321034142847</v>
      </c>
      <c r="L30" s="133">
        <v>0.27246896131568277</v>
      </c>
      <c r="M30" s="133">
        <v>0</v>
      </c>
      <c r="N30" s="133">
        <v>2.0854433539358955E-3</v>
      </c>
      <c r="O30" s="133">
        <v>0</v>
      </c>
      <c r="P30" s="133">
        <v>1.1577932933263854E-3</v>
      </c>
      <c r="Q30" s="133">
        <v>1.242058366951666E-2</v>
      </c>
      <c r="R30" s="133">
        <v>0.16738500967340914</v>
      </c>
      <c r="S30" s="133">
        <v>0.4957380851279401</v>
      </c>
      <c r="T30" s="133">
        <v>0.65996664672247962</v>
      </c>
      <c r="U30" s="133">
        <v>0.66544213142067432</v>
      </c>
      <c r="V30" s="133">
        <v>0.28498023207233986</v>
      </c>
      <c r="W30" s="133">
        <v>0.12397349135167857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0.8970259667183329</v>
      </c>
      <c r="D31" s="133">
        <v>0.30371364162230735</v>
      </c>
      <c r="E31" s="133">
        <v>0.10004201013639204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4.7379562351599382E-2</v>
      </c>
      <c r="L31" s="133">
        <v>6.9995219945807971E-2</v>
      </c>
      <c r="M31" s="133">
        <v>3.64000599921704E-2</v>
      </c>
      <c r="N31" s="133">
        <v>5.7412830223199193E-2</v>
      </c>
      <c r="O31" s="133">
        <v>0.11411947791413495</v>
      </c>
      <c r="P31" s="133">
        <v>0.33295758886906157</v>
      </c>
      <c r="Q31" s="133">
        <v>0.18503210488066482</v>
      </c>
      <c r="R31" s="133">
        <v>1.9899521088560912E-2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0.40913788303235915</v>
      </c>
      <c r="D33" s="68">
        <v>1.3399338991803744</v>
      </c>
      <c r="E33" s="68">
        <v>1.0662846841358891</v>
      </c>
      <c r="F33" s="68">
        <v>1.4573943052160307</v>
      </c>
      <c r="G33" s="68">
        <v>1.1617750695893823</v>
      </c>
      <c r="H33" s="68">
        <v>1.7923730396302977</v>
      </c>
      <c r="I33" s="68">
        <v>0.75363131930097038</v>
      </c>
      <c r="J33" s="68">
        <v>0.84752573629289985</v>
      </c>
      <c r="K33" s="68">
        <v>0.27151854557836513</v>
      </c>
      <c r="L33" s="68">
        <v>0.33629371757333559</v>
      </c>
      <c r="M33" s="68">
        <v>0.4259013294189663</v>
      </c>
      <c r="N33" s="68">
        <v>0.21222672282290106</v>
      </c>
      <c r="O33" s="68">
        <v>0.24605507897693354</v>
      </c>
      <c r="P33" s="68">
        <v>0.51321517301446695</v>
      </c>
      <c r="Q33" s="68">
        <v>0.43966606545114562</v>
      </c>
      <c r="R33" s="68">
        <v>0.60488277616502484</v>
      </c>
      <c r="S33" s="68">
        <v>0.60273078817624059</v>
      </c>
      <c r="T33" s="68">
        <v>0.55262733102640027</v>
      </c>
      <c r="U33" s="68">
        <v>0.4512097638233471</v>
      </c>
      <c r="V33" s="68">
        <v>0.5454687752631574</v>
      </c>
      <c r="W33" s="68">
        <v>0.63854408927708417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12.974206050158401</v>
      </c>
      <c r="D3" s="126">
        <f t="shared" si="0"/>
        <v>16.819180482203752</v>
      </c>
      <c r="E3" s="126">
        <f t="shared" si="0"/>
        <v>8.681574087177589</v>
      </c>
      <c r="F3" s="126">
        <f t="shared" si="0"/>
        <v>12.154970976389528</v>
      </c>
      <c r="G3" s="126">
        <f t="shared" si="0"/>
        <v>9.5357858870857477</v>
      </c>
      <c r="H3" s="126">
        <f t="shared" si="0"/>
        <v>12.787092130419875</v>
      </c>
      <c r="I3" s="126">
        <f t="shared" si="0"/>
        <v>13.713760306654887</v>
      </c>
      <c r="J3" s="126">
        <f t="shared" si="0"/>
        <v>9.8963666734084761</v>
      </c>
      <c r="K3" s="126">
        <f t="shared" si="0"/>
        <v>3.6465103958343308</v>
      </c>
      <c r="L3" s="126">
        <f t="shared" si="0"/>
        <v>4.7776539071272195</v>
      </c>
      <c r="M3" s="126">
        <f t="shared" si="0"/>
        <v>3.0638150105232347</v>
      </c>
      <c r="N3" s="126">
        <f t="shared" si="0"/>
        <v>1.6873366485597863</v>
      </c>
      <c r="O3" s="126">
        <f t="shared" si="0"/>
        <v>2.0407415069958881</v>
      </c>
      <c r="P3" s="126">
        <f t="shared" si="0"/>
        <v>3.8747957533929256</v>
      </c>
      <c r="Q3" s="126">
        <f t="shared" si="0"/>
        <v>3.2240179271530978</v>
      </c>
      <c r="R3" s="126">
        <f t="shared" ref="R3:W3" si="1">SUM(R4,R16,R19,R29)</f>
        <v>3.996805394125353</v>
      </c>
      <c r="S3" s="126">
        <f t="shared" si="1"/>
        <v>5.078525175177111</v>
      </c>
      <c r="T3" s="126">
        <f t="shared" si="1"/>
        <v>5.071046755421877</v>
      </c>
      <c r="U3" s="126">
        <f t="shared" si="1"/>
        <v>4.1594994353440136</v>
      </c>
      <c r="V3" s="126">
        <f t="shared" si="1"/>
        <v>3.3292365949306495</v>
      </c>
      <c r="W3" s="126">
        <f t="shared" si="1"/>
        <v>2.9723233137495022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10.320590722782274</v>
      </c>
      <c r="D4" s="131">
        <f t="shared" si="2"/>
        <v>13.222927601137439</v>
      </c>
      <c r="E4" s="131">
        <f t="shared" si="2"/>
        <v>5.6226924179193354</v>
      </c>
      <c r="F4" s="131">
        <f t="shared" si="2"/>
        <v>8.5836157345438338</v>
      </c>
      <c r="G4" s="131">
        <f t="shared" si="2"/>
        <v>6.0767641727189368</v>
      </c>
      <c r="H4" s="131">
        <f t="shared" si="2"/>
        <v>7.5915238217746746</v>
      </c>
      <c r="I4" s="131">
        <f t="shared" si="2"/>
        <v>7.2387988391452458</v>
      </c>
      <c r="J4" s="131">
        <f t="shared" si="2"/>
        <v>6.0969079047726353</v>
      </c>
      <c r="K4" s="131">
        <f t="shared" si="2"/>
        <v>2.1802619379774155</v>
      </c>
      <c r="L4" s="131">
        <f t="shared" si="2"/>
        <v>3.1725401856267674</v>
      </c>
      <c r="M4" s="131">
        <f t="shared" si="2"/>
        <v>1.9082952243243643</v>
      </c>
      <c r="N4" s="131">
        <f t="shared" si="2"/>
        <v>0.93880882003224786</v>
      </c>
      <c r="O4" s="131">
        <f t="shared" si="2"/>
        <v>1.0995820804918512</v>
      </c>
      <c r="P4" s="131">
        <f t="shared" si="2"/>
        <v>1.9500836982634897</v>
      </c>
      <c r="Q4" s="131">
        <f t="shared" si="2"/>
        <v>1.6125916130419735</v>
      </c>
      <c r="R4" s="131">
        <f t="shared" ref="R4:W4" si="3">SUM(R5:R15)</f>
        <v>2.1500613911074868</v>
      </c>
      <c r="S4" s="131">
        <f t="shared" si="3"/>
        <v>2.5027032740528079</v>
      </c>
      <c r="T4" s="131">
        <f t="shared" si="3"/>
        <v>2.5180416032062056</v>
      </c>
      <c r="U4" s="131">
        <f t="shared" si="3"/>
        <v>1.8675133468480658</v>
      </c>
      <c r="V4" s="131">
        <f t="shared" si="3"/>
        <v>1.45455175103322</v>
      </c>
      <c r="W4" s="131">
        <f t="shared" si="3"/>
        <v>1.1567634749533797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4.1407690429484729</v>
      </c>
      <c r="D7" s="133">
        <v>4.8417188922723549</v>
      </c>
      <c r="E7" s="133">
        <v>4.1358185514824486</v>
      </c>
      <c r="F7" s="133">
        <v>4.8406706536581998</v>
      </c>
      <c r="G7" s="133">
        <v>3.7041607741938192</v>
      </c>
      <c r="H7" s="133">
        <v>2.9427608652728572</v>
      </c>
      <c r="I7" s="133">
        <v>1.9239283567750578</v>
      </c>
      <c r="J7" s="133">
        <v>3.3328804840407078</v>
      </c>
      <c r="K7" s="133">
        <v>0.62466822720843107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0.44030614878497298</v>
      </c>
      <c r="S7" s="133">
        <v>0.35694243753407756</v>
      </c>
      <c r="T7" s="133">
        <v>0.74373991770986114</v>
      </c>
      <c r="U7" s="133">
        <v>0.55473957040099453</v>
      </c>
      <c r="V7" s="133">
        <v>0.49511936810196527</v>
      </c>
      <c r="W7" s="133">
        <v>0.30833722369036054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4.278225835064811</v>
      </c>
      <c r="D9" s="133">
        <v>3.0727802018691457</v>
      </c>
      <c r="E9" s="133">
        <v>0.32355814878566974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0.31882464109752978</v>
      </c>
      <c r="L9" s="133">
        <v>0.33233592283445912</v>
      </c>
      <c r="M9" s="133">
        <v>0.49015598366865498</v>
      </c>
      <c r="N9" s="133">
        <v>1.4881695987874017E-2</v>
      </c>
      <c r="O9" s="133">
        <v>0.40017175840656127</v>
      </c>
      <c r="P9" s="133">
        <v>1.0337030586599663</v>
      </c>
      <c r="Q9" s="133">
        <v>1.0755170794422457</v>
      </c>
      <c r="R9" s="133">
        <v>0.57334407890657924</v>
      </c>
      <c r="S9" s="133">
        <v>0</v>
      </c>
      <c r="T9" s="133">
        <v>0</v>
      </c>
      <c r="U9" s="133">
        <v>0</v>
      </c>
      <c r="V9" s="133">
        <v>0</v>
      </c>
      <c r="W9" s="133">
        <v>0.12191465151705716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6.2219168899757338E-3</v>
      </c>
      <c r="D10" s="133">
        <v>0</v>
      </c>
      <c r="E10" s="133">
        <v>4.2731286732906507E-4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1.7199216302822713</v>
      </c>
      <c r="M11" s="133">
        <v>0.23726215928136057</v>
      </c>
      <c r="N11" s="133">
        <v>4.5883547701333079E-2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5.1621667740710517E-2</v>
      </c>
      <c r="U11" s="133">
        <v>8.1008840693790024E-2</v>
      </c>
      <c r="V11" s="133">
        <v>3.75172420091568E-2</v>
      </c>
      <c r="W11" s="133">
        <v>3.727287435056411E-2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1.4471988546526393E-2</v>
      </c>
      <c r="G12" s="133">
        <v>0.26692876598409376</v>
      </c>
      <c r="H12" s="133">
        <v>1.5732604225157136</v>
      </c>
      <c r="I12" s="133">
        <v>0.23398089746728851</v>
      </c>
      <c r="J12" s="133">
        <v>0.25277487478783489</v>
      </c>
      <c r="K12" s="133">
        <v>0.81071645255737346</v>
      </c>
      <c r="L12" s="133">
        <v>0.99436543856834347</v>
      </c>
      <c r="M12" s="133">
        <v>0.73433274590474928</v>
      </c>
      <c r="N12" s="133">
        <v>0.43311781071886019</v>
      </c>
      <c r="O12" s="133">
        <v>0.33748779945028962</v>
      </c>
      <c r="P12" s="133">
        <v>0</v>
      </c>
      <c r="Q12" s="133">
        <v>4.4583841474153535E-2</v>
      </c>
      <c r="R12" s="133">
        <v>5.5242523709487824E-2</v>
      </c>
      <c r="S12" s="133">
        <v>0.45779138894497134</v>
      </c>
      <c r="T12" s="133">
        <v>0.3718433848747541</v>
      </c>
      <c r="U12" s="133">
        <v>0.31394762113032731</v>
      </c>
      <c r="V12" s="133">
        <v>0.36165176246680925</v>
      </c>
      <c r="W12" s="133">
        <v>0.31027956657869427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1.7304453031918803</v>
      </c>
      <c r="D14" s="65">
        <v>5.1565102713275897</v>
      </c>
      <c r="E14" s="65">
        <v>1.0788963280671617</v>
      </c>
      <c r="F14" s="65">
        <v>3.6388646377652081</v>
      </c>
      <c r="G14" s="65">
        <v>2.0370947906315098</v>
      </c>
      <c r="H14" s="65">
        <v>3.0157948159141683</v>
      </c>
      <c r="I14" s="65">
        <v>5.0459380077752787</v>
      </c>
      <c r="J14" s="65">
        <v>2.452209915579497</v>
      </c>
      <c r="K14" s="65">
        <v>0.40638343680892458</v>
      </c>
      <c r="L14" s="65">
        <v>0.10877616249710603</v>
      </c>
      <c r="M14" s="65">
        <v>0.43425053985472511</v>
      </c>
      <c r="N14" s="65">
        <v>0.44269035903252707</v>
      </c>
      <c r="O14" s="65">
        <v>0.35394918965488736</v>
      </c>
      <c r="P14" s="65">
        <v>0.8995061949957821</v>
      </c>
      <c r="Q14" s="65">
        <v>0.4748656129873961</v>
      </c>
      <c r="R14" s="65">
        <v>1.0646063925639382</v>
      </c>
      <c r="S14" s="65">
        <v>1.6804090788463144</v>
      </c>
      <c r="T14" s="65">
        <v>1.3372673820054528</v>
      </c>
      <c r="U14" s="65">
        <v>0.90741131336077108</v>
      </c>
      <c r="V14" s="65">
        <v>0.55075868675230721</v>
      </c>
      <c r="W14" s="65">
        <v>0.37076415627872961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0.16492862468713548</v>
      </c>
      <c r="D15" s="135">
        <v>0.15191823566834733</v>
      </c>
      <c r="E15" s="135">
        <v>8.3992076716727565E-2</v>
      </c>
      <c r="F15" s="135">
        <v>8.9608454573899141E-2</v>
      </c>
      <c r="G15" s="135">
        <v>6.8579841909513828E-2</v>
      </c>
      <c r="H15" s="135">
        <v>5.9707718071934771E-2</v>
      </c>
      <c r="I15" s="135">
        <v>3.4951577127620377E-2</v>
      </c>
      <c r="J15" s="135">
        <v>5.9042630364595582E-2</v>
      </c>
      <c r="K15" s="135">
        <v>1.9669180305156384E-2</v>
      </c>
      <c r="L15" s="135">
        <v>1.7141031444587576E-2</v>
      </c>
      <c r="M15" s="135">
        <v>1.2293795614874337E-2</v>
      </c>
      <c r="N15" s="135">
        <v>2.2354065916535839E-3</v>
      </c>
      <c r="O15" s="135">
        <v>7.9733329801129817E-3</v>
      </c>
      <c r="P15" s="135">
        <v>1.6874444607741255E-2</v>
      </c>
      <c r="Q15" s="135">
        <v>1.7625079138178314E-2</v>
      </c>
      <c r="R15" s="135">
        <v>1.6562247142508549E-2</v>
      </c>
      <c r="S15" s="135">
        <v>7.5603687274441844E-3</v>
      </c>
      <c r="T15" s="135">
        <v>1.3569250875427106E-2</v>
      </c>
      <c r="U15" s="135">
        <v>1.0406001262183025E-2</v>
      </c>
      <c r="V15" s="135">
        <v>9.5046917029812297E-3</v>
      </c>
      <c r="W15" s="135">
        <v>8.1950025379740436E-3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1.1152338757730083</v>
      </c>
      <c r="D16" s="131">
        <f t="shared" si="4"/>
        <v>1.4343368776168666</v>
      </c>
      <c r="E16" s="131">
        <f t="shared" si="4"/>
        <v>1.4702378387271602</v>
      </c>
      <c r="F16" s="131">
        <f t="shared" si="4"/>
        <v>1.4397509242977165</v>
      </c>
      <c r="G16" s="131">
        <f t="shared" si="4"/>
        <v>1.517779704098345</v>
      </c>
      <c r="H16" s="131">
        <f t="shared" si="4"/>
        <v>2.1827179861616575</v>
      </c>
      <c r="I16" s="131">
        <f t="shared" si="4"/>
        <v>2.4452061594080132</v>
      </c>
      <c r="J16" s="131">
        <f t="shared" si="4"/>
        <v>1.7453137257663005</v>
      </c>
      <c r="K16" s="131">
        <f t="shared" si="4"/>
        <v>0.66359228808135595</v>
      </c>
      <c r="L16" s="131">
        <f t="shared" si="4"/>
        <v>0.73500088587150347</v>
      </c>
      <c r="M16" s="131">
        <f t="shared" si="4"/>
        <v>0.50144753234306749</v>
      </c>
      <c r="N16" s="131">
        <f t="shared" si="4"/>
        <v>0.35720787391443193</v>
      </c>
      <c r="O16" s="131">
        <f t="shared" si="4"/>
        <v>0.44131967844469072</v>
      </c>
      <c r="P16" s="131">
        <f t="shared" si="4"/>
        <v>0.77362500401703782</v>
      </c>
      <c r="Q16" s="131">
        <f t="shared" si="4"/>
        <v>0.71673573957539938</v>
      </c>
      <c r="R16" s="131">
        <f t="shared" ref="R16:W16" si="5">SUM(R17:R18)</f>
        <v>0.73981632826795185</v>
      </c>
      <c r="S16" s="131">
        <f t="shared" si="5"/>
        <v>1.114723352461797</v>
      </c>
      <c r="T16" s="131">
        <f t="shared" si="5"/>
        <v>0.9705106721155019</v>
      </c>
      <c r="U16" s="131">
        <f t="shared" si="5"/>
        <v>0.88914709236566258</v>
      </c>
      <c r="V16" s="131">
        <f t="shared" si="5"/>
        <v>0.68846749086467474</v>
      </c>
      <c r="W16" s="131">
        <f t="shared" si="5"/>
        <v>0.66487841263060832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1.1152338757730083</v>
      </c>
      <c r="D18" s="133">
        <v>1.4343368776168666</v>
      </c>
      <c r="E18" s="133">
        <v>1.4702378387271602</v>
      </c>
      <c r="F18" s="133">
        <v>1.4397509242977165</v>
      </c>
      <c r="G18" s="133">
        <v>1.517779704098345</v>
      </c>
      <c r="H18" s="133">
        <v>2.1827179861616575</v>
      </c>
      <c r="I18" s="133">
        <v>2.4452061594080132</v>
      </c>
      <c r="J18" s="133">
        <v>1.7453137257663005</v>
      </c>
      <c r="K18" s="133">
        <v>0.66359228808135595</v>
      </c>
      <c r="L18" s="133">
        <v>0.73500088587150347</v>
      </c>
      <c r="M18" s="133">
        <v>0.50144753234306749</v>
      </c>
      <c r="N18" s="133">
        <v>0.35720787391443193</v>
      </c>
      <c r="O18" s="133">
        <v>0.44131967844469072</v>
      </c>
      <c r="P18" s="133">
        <v>0.77362500401703782</v>
      </c>
      <c r="Q18" s="133">
        <v>0.71673573957539938</v>
      </c>
      <c r="R18" s="133">
        <v>0.73981632826795185</v>
      </c>
      <c r="S18" s="133">
        <v>1.114723352461797</v>
      </c>
      <c r="T18" s="133">
        <v>0.9705106721155019</v>
      </c>
      <c r="U18" s="133">
        <v>0.88914709236566258</v>
      </c>
      <c r="V18" s="133">
        <v>0.68846749086467474</v>
      </c>
      <c r="W18" s="133">
        <v>0.66487841263060832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0.66385909022364009</v>
      </c>
      <c r="D19" s="131">
        <f t="shared" si="6"/>
        <v>0.90118153703457338</v>
      </c>
      <c r="E19" s="131">
        <f t="shared" si="6"/>
        <v>0.67024264367374253</v>
      </c>
      <c r="F19" s="131">
        <f t="shared" si="6"/>
        <v>0.95781428354144049</v>
      </c>
      <c r="G19" s="131">
        <f t="shared" si="6"/>
        <v>0.86386680033264041</v>
      </c>
      <c r="H19" s="131">
        <f t="shared" si="6"/>
        <v>1.3385713826738064</v>
      </c>
      <c r="I19" s="131">
        <f t="shared" si="6"/>
        <v>1.6012200404926364</v>
      </c>
      <c r="J19" s="131">
        <f t="shared" si="6"/>
        <v>0.94060931557336902</v>
      </c>
      <c r="K19" s="131">
        <f t="shared" si="6"/>
        <v>0.36377534286129831</v>
      </c>
      <c r="L19" s="131">
        <f t="shared" si="6"/>
        <v>0.38629390825651394</v>
      </c>
      <c r="M19" s="131">
        <f t="shared" si="6"/>
        <v>0.28332410984449391</v>
      </c>
      <c r="N19" s="131">
        <f t="shared" si="6"/>
        <v>0.18037072026899786</v>
      </c>
      <c r="O19" s="131">
        <f t="shared" si="6"/>
        <v>0.22629435615890234</v>
      </c>
      <c r="P19" s="131">
        <f t="shared" si="6"/>
        <v>0.51820661296368731</v>
      </c>
      <c r="Q19" s="131">
        <f t="shared" si="6"/>
        <v>0.40382019970252225</v>
      </c>
      <c r="R19" s="131">
        <f t="shared" ref="R19:W19" si="7">SUM(R20:R27)</f>
        <v>0.47749947097308842</v>
      </c>
      <c r="S19" s="131">
        <f t="shared" si="7"/>
        <v>0.63500121510190155</v>
      </c>
      <c r="T19" s="131">
        <f t="shared" si="7"/>
        <v>0.688395414947928</v>
      </c>
      <c r="U19" s="131">
        <f t="shared" si="7"/>
        <v>0.58595559901124972</v>
      </c>
      <c r="V19" s="131">
        <f t="shared" si="7"/>
        <v>0.51512889284852148</v>
      </c>
      <c r="W19" s="131">
        <f t="shared" si="7"/>
        <v>0.49052535390608953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0.12500485864958555</v>
      </c>
      <c r="D21" s="133">
        <v>0.30117664260973159</v>
      </c>
      <c r="E21" s="133">
        <v>0.1544071915815696</v>
      </c>
      <c r="F21" s="133">
        <v>0.20706255969214715</v>
      </c>
      <c r="G21" s="133">
        <v>0.15410250970619332</v>
      </c>
      <c r="H21" s="133">
        <v>0.20958362272638817</v>
      </c>
      <c r="I21" s="133">
        <v>0.22502404678134544</v>
      </c>
      <c r="J21" s="133">
        <v>0.12877916931317052</v>
      </c>
      <c r="K21" s="133">
        <v>5.3769956626560367E-2</v>
      </c>
      <c r="L21" s="133">
        <v>6.1972819433986991E-2</v>
      </c>
      <c r="M21" s="133">
        <v>3.0552103482274818E-2</v>
      </c>
      <c r="N21" s="133">
        <v>3.1199661814170592E-2</v>
      </c>
      <c r="O21" s="133">
        <v>2.8303518710343437E-2</v>
      </c>
      <c r="P21" s="133">
        <v>0</v>
      </c>
      <c r="Q21" s="133">
        <v>2.5298594372828158E-2</v>
      </c>
      <c r="R21" s="133">
        <v>0.1188123736675701</v>
      </c>
      <c r="S21" s="133">
        <v>0.12892818789801427</v>
      </c>
      <c r="T21" s="133">
        <v>0.20026543689371354</v>
      </c>
      <c r="U21" s="133">
        <v>0.16560964158867039</v>
      </c>
      <c r="V21" s="133">
        <v>7.8035794327115382E-2</v>
      </c>
      <c r="W21" s="133">
        <v>1.2678955730816999E-2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0.29300568424789436</v>
      </c>
      <c r="D22" s="133">
        <v>0.38531794986330914</v>
      </c>
      <c r="E22" s="133">
        <v>0.36162514409027058</v>
      </c>
      <c r="F22" s="133">
        <v>0.48382568752601601</v>
      </c>
      <c r="G22" s="133">
        <v>0.37360956657178535</v>
      </c>
      <c r="H22" s="133">
        <v>0.60368514956724695</v>
      </c>
      <c r="I22" s="133">
        <v>0.79142809833318817</v>
      </c>
      <c r="J22" s="133">
        <v>0.23228994388785226</v>
      </c>
      <c r="K22" s="133">
        <v>6.2193694149025123E-3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9.0303648893512223E-2</v>
      </c>
      <c r="S22" s="133">
        <v>9.2559876560959028E-2</v>
      </c>
      <c r="T22" s="133">
        <v>0.21633056097770598</v>
      </c>
      <c r="U22" s="133">
        <v>0.12616731645822579</v>
      </c>
      <c r="V22" s="133">
        <v>0.18863815470440856</v>
      </c>
      <c r="W22" s="133">
        <v>0.13950777782426077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2.1053976361359698E-2</v>
      </c>
      <c r="D23" s="133">
        <v>2.6755959217009968E-2</v>
      </c>
      <c r="E23" s="133">
        <v>2.3834164882603575E-2</v>
      </c>
      <c r="F23" s="133">
        <v>3.4058731866455895E-2</v>
      </c>
      <c r="G23" s="133">
        <v>3.2878475045309698E-2</v>
      </c>
      <c r="H23" s="133">
        <v>4.4666389492167537E-2</v>
      </c>
      <c r="I23" s="133">
        <v>7.242716369134769E-2</v>
      </c>
      <c r="J23" s="133">
        <v>6.2500099010389359E-2</v>
      </c>
      <c r="K23" s="133">
        <v>4.8773804194048059E-2</v>
      </c>
      <c r="L23" s="133">
        <v>3.1575028015480067E-2</v>
      </c>
      <c r="M23" s="133">
        <v>1.0628828776045259E-2</v>
      </c>
      <c r="N23" s="133">
        <v>4.262374005811068E-3</v>
      </c>
      <c r="O23" s="133">
        <v>4.0598828178157473E-3</v>
      </c>
      <c r="P23" s="133">
        <v>1.2614328349811813E-2</v>
      </c>
      <c r="Q23" s="133">
        <v>1.151434018027374E-2</v>
      </c>
      <c r="R23" s="133">
        <v>2.123067659146503E-2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9.2144491931686598E-2</v>
      </c>
      <c r="D25" s="133">
        <v>6.0272613877374086E-2</v>
      </c>
      <c r="E25" s="133">
        <v>5.1720114717608505E-2</v>
      </c>
      <c r="F25" s="133">
        <v>1.2270222760385828E-2</v>
      </c>
      <c r="G25" s="133">
        <v>9.2095405197877254E-3</v>
      </c>
      <c r="H25" s="133">
        <v>1.6284634430606482E-3</v>
      </c>
      <c r="I25" s="133">
        <v>6.956399162282717E-2</v>
      </c>
      <c r="J25" s="133">
        <v>8.6253958430919236E-2</v>
      </c>
      <c r="K25" s="133">
        <v>8.7085998679084495E-2</v>
      </c>
      <c r="L25" s="133">
        <v>0.12122856121147509</v>
      </c>
      <c r="M25" s="133">
        <v>8.0053168745000278E-2</v>
      </c>
      <c r="N25" s="133">
        <v>4.9292556536839047E-2</v>
      </c>
      <c r="O25" s="133">
        <v>4.9638538589440777E-2</v>
      </c>
      <c r="P25" s="133">
        <v>7.8669629559605672E-2</v>
      </c>
      <c r="Q25" s="133">
        <v>6.8360295583158523E-2</v>
      </c>
      <c r="R25" s="133">
        <v>0.10682404977242296</v>
      </c>
      <c r="S25" s="133">
        <v>0.16818152211031942</v>
      </c>
      <c r="T25" s="133">
        <v>0.13373783131568209</v>
      </c>
      <c r="U25" s="133">
        <v>4.2212850437393527E-2</v>
      </c>
      <c r="V25" s="133">
        <v>4.2289619627298831E-2</v>
      </c>
      <c r="W25" s="133">
        <v>5.6487357104425456E-2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0.13265007903311393</v>
      </c>
      <c r="D26" s="65">
        <v>0.12765837146714851</v>
      </c>
      <c r="E26" s="65">
        <v>7.8656028401690309E-2</v>
      </c>
      <c r="F26" s="65">
        <v>0.2205970816964356</v>
      </c>
      <c r="G26" s="65">
        <v>0.29406670848956434</v>
      </c>
      <c r="H26" s="65">
        <v>0.47900775744494312</v>
      </c>
      <c r="I26" s="65">
        <v>0.44277674006392803</v>
      </c>
      <c r="J26" s="65">
        <v>0.43078614493103773</v>
      </c>
      <c r="K26" s="65">
        <v>0.16792621394670285</v>
      </c>
      <c r="L26" s="65">
        <v>0.17151749959557178</v>
      </c>
      <c r="M26" s="65">
        <v>0.16209000884117356</v>
      </c>
      <c r="N26" s="65">
        <v>9.5616127912177162E-2</v>
      </c>
      <c r="O26" s="65">
        <v>0.14429241604130238</v>
      </c>
      <c r="P26" s="65">
        <v>0.4269226550542698</v>
      </c>
      <c r="Q26" s="65">
        <v>0.2986469695662618</v>
      </c>
      <c r="R26" s="65">
        <v>0.14032872204811811</v>
      </c>
      <c r="S26" s="65">
        <v>0.24533162853260887</v>
      </c>
      <c r="T26" s="65">
        <v>0.13806158576082642</v>
      </c>
      <c r="U26" s="65">
        <v>0.25196579052695994</v>
      </c>
      <c r="V26" s="65">
        <v>0.20616532418969868</v>
      </c>
      <c r="W26" s="65">
        <v>0.28185126324658627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0.87452236137947836</v>
      </c>
      <c r="D29" s="131">
        <f t="shared" si="8"/>
        <v>1.2607344664148727</v>
      </c>
      <c r="E29" s="131">
        <f t="shared" si="8"/>
        <v>0.91840118685735128</v>
      </c>
      <c r="F29" s="131">
        <f t="shared" si="8"/>
        <v>1.173790034006539</v>
      </c>
      <c r="G29" s="131">
        <f t="shared" si="8"/>
        <v>1.0773752099358254</v>
      </c>
      <c r="H29" s="131">
        <f t="shared" si="8"/>
        <v>1.6742789398097382</v>
      </c>
      <c r="I29" s="131">
        <f t="shared" si="8"/>
        <v>2.4285352676089915</v>
      </c>
      <c r="J29" s="131">
        <f t="shared" si="8"/>
        <v>1.113535727296171</v>
      </c>
      <c r="K29" s="131">
        <f t="shared" si="8"/>
        <v>0.43888082691426056</v>
      </c>
      <c r="L29" s="131">
        <f t="shared" si="8"/>
        <v>0.48381892737243426</v>
      </c>
      <c r="M29" s="131">
        <f t="shared" si="8"/>
        <v>0.37074814401130873</v>
      </c>
      <c r="N29" s="131">
        <f t="shared" si="8"/>
        <v>0.21094923434410867</v>
      </c>
      <c r="O29" s="131">
        <f t="shared" si="8"/>
        <v>0.27354539190044369</v>
      </c>
      <c r="P29" s="131">
        <f t="shared" si="8"/>
        <v>0.6328804381487112</v>
      </c>
      <c r="Q29" s="131">
        <f t="shared" si="8"/>
        <v>0.490870374833203</v>
      </c>
      <c r="R29" s="131">
        <f t="shared" ref="R29:W29" si="9">SUM(R30:R33)</f>
        <v>0.62942820377682618</v>
      </c>
      <c r="S29" s="131">
        <f t="shared" si="9"/>
        <v>0.82609733356060466</v>
      </c>
      <c r="T29" s="131">
        <f t="shared" si="9"/>
        <v>0.89409906515224202</v>
      </c>
      <c r="U29" s="131">
        <f t="shared" si="9"/>
        <v>0.81688339711903524</v>
      </c>
      <c r="V29" s="131">
        <f t="shared" si="9"/>
        <v>0.67108846018423318</v>
      </c>
      <c r="W29" s="131">
        <f t="shared" si="9"/>
        <v>0.66015607225942452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0.13997871928520908</v>
      </c>
      <c r="H30" s="133">
        <v>0.22537884342640724</v>
      </c>
      <c r="I30" s="133">
        <v>1.8181505056853255</v>
      </c>
      <c r="J30" s="133">
        <v>0.4257083923406938</v>
      </c>
      <c r="K30" s="133">
        <v>0.18889452618306379</v>
      </c>
      <c r="L30" s="133">
        <v>0.16654953049392746</v>
      </c>
      <c r="M30" s="133">
        <v>0</v>
      </c>
      <c r="N30" s="133">
        <v>1.2753229587331471E-3</v>
      </c>
      <c r="O30" s="133">
        <v>0</v>
      </c>
      <c r="P30" s="133">
        <v>7.0803187516921078E-4</v>
      </c>
      <c r="Q30" s="133">
        <v>7.595629718114851E-3</v>
      </c>
      <c r="R30" s="133">
        <v>0.1026528036993721</v>
      </c>
      <c r="S30" s="133">
        <v>0.30543190892599259</v>
      </c>
      <c r="T30" s="133">
        <v>0.40880382356710654</v>
      </c>
      <c r="U30" s="133">
        <v>0.41448061513389439</v>
      </c>
      <c r="V30" s="133">
        <v>0.1784153352995432</v>
      </c>
      <c r="W30" s="133">
        <v>7.7982110657809328E-2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0.54671355478021999</v>
      </c>
      <c r="D31" s="133">
        <v>0.18533359531826718</v>
      </c>
      <c r="E31" s="133">
        <v>6.1122216676878088E-2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2.9148866218964377E-2</v>
      </c>
      <c r="L31" s="133">
        <v>4.3107011290346199E-2</v>
      </c>
      <c r="M31" s="133">
        <v>2.2429676528610897E-2</v>
      </c>
      <c r="N31" s="133">
        <v>3.5377722200881173E-2</v>
      </c>
      <c r="O31" s="133">
        <v>7.0320295509913505E-2</v>
      </c>
      <c r="P31" s="133">
        <v>0.20516809636263378</v>
      </c>
      <c r="Q31" s="133">
        <v>0.11401657746646632</v>
      </c>
      <c r="R31" s="133">
        <v>1.2305107444746301E-2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0.32780880659925832</v>
      </c>
      <c r="D33" s="68">
        <v>1.0754008710966056</v>
      </c>
      <c r="E33" s="68">
        <v>0.85727897018047317</v>
      </c>
      <c r="F33" s="68">
        <v>1.173790034006539</v>
      </c>
      <c r="G33" s="68">
        <v>0.93739649065061625</v>
      </c>
      <c r="H33" s="68">
        <v>1.4489000963833309</v>
      </c>
      <c r="I33" s="68">
        <v>0.61038476192366609</v>
      </c>
      <c r="J33" s="68">
        <v>0.68782733495547732</v>
      </c>
      <c r="K33" s="68">
        <v>0.22083743451223239</v>
      </c>
      <c r="L33" s="68">
        <v>0.27416238558816058</v>
      </c>
      <c r="M33" s="68">
        <v>0.34831846748269785</v>
      </c>
      <c r="N33" s="68">
        <v>0.17429618918449435</v>
      </c>
      <c r="O33" s="68">
        <v>0.20322509639053021</v>
      </c>
      <c r="P33" s="68">
        <v>0.42700430991090821</v>
      </c>
      <c r="Q33" s="68">
        <v>0.36925816764862185</v>
      </c>
      <c r="R33" s="68">
        <v>0.51447029263270783</v>
      </c>
      <c r="S33" s="68">
        <v>0.52066542463461207</v>
      </c>
      <c r="T33" s="68">
        <v>0.48529524158513548</v>
      </c>
      <c r="U33" s="68">
        <v>0.40240278198514084</v>
      </c>
      <c r="V33" s="68">
        <v>0.49267312488469001</v>
      </c>
      <c r="W33" s="68">
        <v>0.58217396160161516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0.64647863275162032</v>
      </c>
      <c r="D3" s="127">
        <f>IF(SER_hh_tes_in!D3=0,"",SER_hh_tes_in!D3/SER_hh_fec_in!D3)</f>
        <v>0.68308970510836409</v>
      </c>
      <c r="E3" s="127">
        <f>IF(SER_hh_tes_in!E3=0,"",SER_hh_tes_in!E3/SER_hh_fec_in!E3)</f>
        <v>0.69650400918978617</v>
      </c>
      <c r="F3" s="127">
        <f>IF(SER_hh_tes_in!F3=0,"",SER_hh_tes_in!F3/SER_hh_fec_in!F3)</f>
        <v>0.7054760853752382</v>
      </c>
      <c r="G3" s="127">
        <f>IF(SER_hh_tes_in!G3=0,"",SER_hh_tes_in!G3/SER_hh_fec_in!G3)</f>
        <v>0.731979423410417</v>
      </c>
      <c r="H3" s="127">
        <f>IF(SER_hh_tes_in!H3=0,"",SER_hh_tes_in!H3/SER_hh_fec_in!H3)</f>
        <v>0.78985324899320219</v>
      </c>
      <c r="I3" s="127">
        <f>IF(SER_hh_tes_in!I3=0,"",SER_hh_tes_in!I3/SER_hh_fec_in!I3)</f>
        <v>0.7873927980813431</v>
      </c>
      <c r="J3" s="127">
        <f>IF(SER_hh_tes_in!J3=0,"",SER_hh_tes_in!J3/SER_hh_fec_in!J3)</f>
        <v>0.77268700546609526</v>
      </c>
      <c r="K3" s="127">
        <f>IF(SER_hh_tes_in!K3=0,"",SER_hh_tes_in!K3/SER_hh_fec_in!K3)</f>
        <v>0.83104567791488559</v>
      </c>
      <c r="L3" s="127">
        <f>IF(SER_hh_tes_in!L3=0,"",SER_hh_tes_in!L3/SER_hh_fec_in!L3)</f>
        <v>0.91804805192738415</v>
      </c>
      <c r="M3" s="127">
        <f>IF(SER_hh_tes_in!M3=0,"",SER_hh_tes_in!M3/SER_hh_fec_in!M3)</f>
        <v>0.90294676063879364</v>
      </c>
      <c r="N3" s="127">
        <f>IF(SER_hh_tes_in!N3=0,"",SER_hh_tes_in!N3/SER_hh_fec_in!N3)</f>
        <v>0.96144454358992404</v>
      </c>
      <c r="O3" s="127">
        <f>IF(SER_hh_tes_in!O3=0,"",SER_hh_tes_in!O3/SER_hh_fec_in!O3)</f>
        <v>0.9404151253070766</v>
      </c>
      <c r="P3" s="127">
        <f>IF(SER_hh_tes_in!P3=0,"",SER_hh_tes_in!P3/SER_hh_fec_in!P3)</f>
        <v>0.9197531509690855</v>
      </c>
      <c r="Q3" s="127">
        <f>IF(SER_hh_tes_in!Q3=0,"",SER_hh_tes_in!Q3/SER_hh_fec_in!Q3)</f>
        <v>0.95538767751123299</v>
      </c>
      <c r="R3" s="127">
        <f>IF(SER_hh_tes_in!R3=0,"",SER_hh_tes_in!R3/SER_hh_fec_in!R3)</f>
        <v>0.94030632590867347</v>
      </c>
      <c r="S3" s="127">
        <f>IF(SER_hh_tes_in!S3=0,"",SER_hh_tes_in!S3/SER_hh_fec_in!S3)</f>
        <v>0.9981858246966161</v>
      </c>
      <c r="T3" s="127">
        <f>IF(SER_hh_tes_in!T3=0,"",SER_hh_tes_in!T3/SER_hh_fec_in!T3)</f>
        <v>0.96135806364482101</v>
      </c>
      <c r="U3" s="127">
        <f>IF(SER_hh_tes_in!U3=0,"",SER_hh_tes_in!U3/SER_hh_fec_in!U3)</f>
        <v>0.98542507291641335</v>
      </c>
      <c r="V3" s="127">
        <f>IF(SER_hh_tes_in!V3=0,"",SER_hh_tes_in!V3/SER_hh_fec_in!V3)</f>
        <v>1.0068897309188964</v>
      </c>
      <c r="W3" s="127">
        <f>IF(SER_hh_tes_in!W3=0,"",SER_hh_tes_in!W3/SER_hh_fec_in!W3)</f>
        <v>1.0488367062565063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0.60117018924031462</v>
      </c>
      <c r="D4" s="136">
        <f>IF(SER_hh_tes_in!D4=0,"",SER_hh_tes_in!D4/SER_hh_fec_in!D4)</f>
        <v>0.63486324085545487</v>
      </c>
      <c r="E4" s="136">
        <f>IF(SER_hh_tes_in!E4=0,"",SER_hh_tes_in!E4/SER_hh_fec_in!E4)</f>
        <v>0.58964985515538049</v>
      </c>
      <c r="F4" s="136">
        <f>IF(SER_hh_tes_in!F4=0,"",SER_hh_tes_in!F4/SER_hh_fec_in!F4)</f>
        <v>0.63281580801052095</v>
      </c>
      <c r="G4" s="136">
        <f>IF(SER_hh_tes_in!G4=0,"",SER_hh_tes_in!G4/SER_hh_fec_in!G4)</f>
        <v>0.63242152479008995</v>
      </c>
      <c r="H4" s="136">
        <f>IF(SER_hh_tes_in!H4=0,"",SER_hh_tes_in!H4/SER_hh_fec_in!H4)</f>
        <v>0.69091175450359021</v>
      </c>
      <c r="I4" s="136">
        <f>IF(SER_hh_tes_in!I4=0,"",SER_hh_tes_in!I4/SER_hh_fec_in!I4)</f>
        <v>0.71338891209132893</v>
      </c>
      <c r="J4" s="136">
        <f>IF(SER_hh_tes_in!J4=0,"",SER_hh_tes_in!J4/SER_hh_fec_in!J4)</f>
        <v>0.66361675789279206</v>
      </c>
      <c r="K4" s="136">
        <f>IF(SER_hh_tes_in!K4=0,"",SER_hh_tes_in!K4/SER_hh_fec_in!K4)</f>
        <v>0.72452537591843547</v>
      </c>
      <c r="L4" s="136">
        <f>IF(SER_hh_tes_in!L4=0,"",SER_hh_tes_in!L4/SER_hh_fec_in!L4)</f>
        <v>0.84852321821952281</v>
      </c>
      <c r="M4" s="136">
        <f>IF(SER_hh_tes_in!M4=0,"",SER_hh_tes_in!M4/SER_hh_fec_in!M4)</f>
        <v>0.80171165324413018</v>
      </c>
      <c r="N4" s="136">
        <f>IF(SER_hh_tes_in!N4=0,"",SER_hh_tes_in!N4/SER_hh_fec_in!N4)</f>
        <v>0.83382013270094468</v>
      </c>
      <c r="O4" s="136">
        <f>IF(SER_hh_tes_in!O4=0,"",SER_hh_tes_in!O4/SER_hh_fec_in!O4)</f>
        <v>0.79833851297827474</v>
      </c>
      <c r="P4" s="136">
        <f>IF(SER_hh_tes_in!P4=0,"",SER_hh_tes_in!P4/SER_hh_fec_in!P4)</f>
        <v>0.78484154193304101</v>
      </c>
      <c r="Q4" s="136">
        <f>IF(SER_hh_tes_in!Q4=0,"",SER_hh_tes_in!Q4/SER_hh_fec_in!Q4)</f>
        <v>0.7918531185932246</v>
      </c>
      <c r="R4" s="136">
        <f>IF(SER_hh_tes_in!R4=0,"",SER_hh_tes_in!R4/SER_hh_fec_in!R4)</f>
        <v>0.80932934335678286</v>
      </c>
      <c r="S4" s="136">
        <f>IF(SER_hh_tes_in!S4=0,"",SER_hh_tes_in!S4/SER_hh_fec_in!S4)</f>
        <v>0.85745932618902065</v>
      </c>
      <c r="T4" s="136">
        <f>IF(SER_hh_tes_in!T4=0,"",SER_hh_tes_in!T4/SER_hh_fec_in!T4)</f>
        <v>0.84970047111323965</v>
      </c>
      <c r="U4" s="136">
        <f>IF(SER_hh_tes_in!U4=0,"",SER_hh_tes_in!U4/SER_hh_fec_in!U4)</f>
        <v>0.86040213676225863</v>
      </c>
      <c r="V4" s="136">
        <f>IF(SER_hh_tes_in!V4=0,"",SER_hh_tes_in!V4/SER_hh_fec_in!V4)</f>
        <v>0.86194751651838608</v>
      </c>
      <c r="W4" s="136">
        <f>IF(SER_hh_tes_in!W4=0,"",SER_hh_tes_in!W4/SER_hh_fec_in!W4)</f>
        <v>0.86531597874068378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0.53678371412697679</v>
      </c>
      <c r="D7" s="137">
        <f>IF(SER_hh_tes_in!D7=0,"",SER_hh_tes_in!D7/SER_hh_fec_in!D7)</f>
        <v>0.54338428301651209</v>
      </c>
      <c r="E7" s="137">
        <f>IF(SER_hh_tes_in!E7=0,"",SER_hh_tes_in!E7/SER_hh_fec_in!E7)</f>
        <v>0.55021915807241983</v>
      </c>
      <c r="F7" s="137">
        <f>IF(SER_hh_tes_in!F7=0,"",SER_hh_tes_in!F7/SER_hh_fec_in!F7)</f>
        <v>0.55702145851390561</v>
      </c>
      <c r="G7" s="137">
        <f>IF(SER_hh_tes_in!G7=0,"",SER_hh_tes_in!G7/SER_hh_fec_in!G7)</f>
        <v>0.56402348461087848</v>
      </c>
      <c r="H7" s="137">
        <f>IF(SER_hh_tes_in!H7=0,"",SER_hh_tes_in!H7/SER_hh_fec_in!H7)</f>
        <v>0.5711898088030869</v>
      </c>
      <c r="I7" s="137">
        <f>IF(SER_hh_tes_in!I7=0,"",SER_hh_tes_in!I7/SER_hh_fec_in!I7)</f>
        <v>0.57857060488215217</v>
      </c>
      <c r="J7" s="137">
        <f>IF(SER_hh_tes_in!J7=0,"",SER_hh_tes_in!J7/SER_hh_fec_in!J7)</f>
        <v>0.58638761301837583</v>
      </c>
      <c r="K7" s="137">
        <f>IF(SER_hh_tes_in!K7=0,"",SER_hh_tes_in!K7/SER_hh_fec_in!K7)</f>
        <v>0.59482064085754294</v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0.74355726735181826</v>
      </c>
      <c r="S7" s="137">
        <f>IF(SER_hh_tes_in!S7=0,"",SER_hh_tes_in!S7/SER_hh_fec_in!S7)</f>
        <v>0.75322687768652252</v>
      </c>
      <c r="T7" s="137">
        <f>IF(SER_hh_tes_in!T7=0,"",SER_hh_tes_in!T7/SER_hh_fec_in!T7)</f>
        <v>0.76031073580171704</v>
      </c>
      <c r="U7" s="137">
        <f>IF(SER_hh_tes_in!U7=0,"",SER_hh_tes_in!U7/SER_hh_fec_in!U7)</f>
        <v>0.76582875217906621</v>
      </c>
      <c r="V7" s="137">
        <f>IF(SER_hh_tes_in!V7=0,"",SER_hh_tes_in!V7/SER_hh_fec_in!V7)</f>
        <v>0.77061620192835456</v>
      </c>
      <c r="W7" s="137">
        <f>IF(SER_hh_tes_in!W7=0,"",SER_hh_tes_in!W7/SER_hh_fec_in!W7)</f>
        <v>0.77371014985874642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0.61330580952766878</v>
      </c>
      <c r="D9" s="137">
        <f>IF(SER_hh_tes_in!D9=0,"",SER_hh_tes_in!D9/SER_hh_fec_in!D9)</f>
        <v>0.62152977834830792</v>
      </c>
      <c r="E9" s="137">
        <f>IF(SER_hh_tes_in!E9=0,"",SER_hh_tes_in!E9/SER_hh_fec_in!E9)</f>
        <v>0.62975642006136656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0.67884804956190581</v>
      </c>
      <c r="L9" s="137">
        <f>IF(SER_hh_tes_in!L9=0,"",SER_hh_tes_in!L9/SER_hh_fec_in!L9)</f>
        <v>0.68747761361896487</v>
      </c>
      <c r="M9" s="137">
        <f>IF(SER_hh_tes_in!M9=0,"",SER_hh_tes_in!M9/SER_hh_fec_in!M9)</f>
        <v>0.69850829526170333</v>
      </c>
      <c r="N9" s="137">
        <f>IF(SER_hh_tes_in!N9=0,"",SER_hh_tes_in!N9/SER_hh_fec_in!N9)</f>
        <v>0.71266305994856471</v>
      </c>
      <c r="O9" s="137">
        <f>IF(SER_hh_tes_in!O9=0,"",SER_hh_tes_in!O9/SER_hh_fec_in!O9)</f>
        <v>0.73035982911410113</v>
      </c>
      <c r="P9" s="137">
        <f>IF(SER_hh_tes_in!P9=0,"",SER_hh_tes_in!P9/SER_hh_fec_in!P9)</f>
        <v>0.750014095084934</v>
      </c>
      <c r="Q9" s="137">
        <f>IF(SER_hh_tes_in!Q9=0,"",SER_hh_tes_in!Q9/SER_hh_fec_in!Q9)</f>
        <v>0.766679725371197</v>
      </c>
      <c r="R9" s="137">
        <f>IF(SER_hh_tes_in!R9=0,"",SER_hh_tes_in!R9/SER_hh_fec_in!R9)</f>
        <v>0.77615198938861896</v>
      </c>
      <c r="S9" s="137" t="str">
        <f>IF(SER_hh_tes_in!S9=0,"",SER_hh_tes_in!S9/SER_hh_fec_in!S9)</f>
        <v/>
      </c>
      <c r="T9" s="137" t="str">
        <f>IF(SER_hh_tes_in!T9=0,"",SER_hh_tes_in!T9/SER_hh_fec_in!T9)</f>
        <v/>
      </c>
      <c r="U9" s="137" t="str">
        <f>IF(SER_hh_tes_in!U9=0,"",SER_hh_tes_in!U9/SER_hh_fec_in!U9)</f>
        <v/>
      </c>
      <c r="V9" s="137" t="str">
        <f>IF(SER_hh_tes_in!V9=0,"",SER_hh_tes_in!V9/SER_hh_fec_in!V9)</f>
        <v/>
      </c>
      <c r="W9" s="137">
        <f>IF(SER_hh_tes_in!W9=0,"",SER_hh_tes_in!W9/SER_hh_fec_in!W9)</f>
        <v>0.80126848037361098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0.49829763191721971</v>
      </c>
      <c r="D10" s="137" t="str">
        <f>IF(SER_hh_tes_in!D10=0,"",SER_hh_tes_in!D10/SER_hh_fec_in!D10)</f>
        <v/>
      </c>
      <c r="E10" s="137">
        <f>IF(SER_hh_tes_in!E10=0,"",SER_hh_tes_in!E10/SER_hh_fec_in!E10)</f>
        <v>0.49879973813249712</v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>
        <f>IF(SER_hh_tes_in!L11=0,"",SER_hh_tes_in!L11/SER_hh_fec_in!L11)</f>
        <v>0.88739118684171447</v>
      </c>
      <c r="M11" s="137">
        <f>IF(SER_hh_tes_in!M11=0,"",SER_hh_tes_in!M11/SER_hh_fec_in!M11)</f>
        <v>0.89241132655193889</v>
      </c>
      <c r="N11" s="137">
        <f>IF(SER_hh_tes_in!N11=0,"",SER_hh_tes_in!N11/SER_hh_fec_in!N11)</f>
        <v>0.89750364433691721</v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>
        <f>IF(SER_hh_tes_in!T11=0,"",SER_hh_tes_in!T11/SER_hh_fec_in!T11)</f>
        <v>0.92390896806706124</v>
      </c>
      <c r="U11" s="137">
        <f>IF(SER_hh_tes_in!U11=0,"",SER_hh_tes_in!U11/SER_hh_fec_in!U11)</f>
        <v>0.92725272339706144</v>
      </c>
      <c r="V11" s="137">
        <f>IF(SER_hh_tes_in!V11=0,"",SER_hh_tes_in!V11/SER_hh_fec_in!V11)</f>
        <v>0.93047001766125359</v>
      </c>
      <c r="W11" s="137">
        <f>IF(SER_hh_tes_in!W11=0,"",SER_hh_tes_in!W11/SER_hh_fec_in!W11)</f>
        <v>0.9334781096682061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>
        <f>IF(SER_hh_tes_in!F12=0,"",SER_hh_tes_in!F12/SER_hh_fec_in!F12)</f>
        <v>0.83831989086487024</v>
      </c>
      <c r="G12" s="137">
        <f>IF(SER_hh_tes_in!G12=0,"",SER_hh_tes_in!G12/SER_hh_fec_in!G12)</f>
        <v>0.84096234700794437</v>
      </c>
      <c r="H12" s="137">
        <f>IF(SER_hh_tes_in!H12=0,"",SER_hh_tes_in!H12/SER_hh_fec_in!H12)</f>
        <v>0.84366055578191568</v>
      </c>
      <c r="I12" s="137">
        <f>IF(SER_hh_tes_in!I12=0,"",SER_hh_tes_in!I12/SER_hh_fec_in!I12)</f>
        <v>0.84642758282873787</v>
      </c>
      <c r="J12" s="137">
        <f>IF(SER_hh_tes_in!J12=0,"",SER_hh_tes_in!J12/SER_hh_fec_in!J12)</f>
        <v>0.84931695347174041</v>
      </c>
      <c r="K12" s="137">
        <f>IF(SER_hh_tes_in!K12=0,"",SER_hh_tes_in!K12/SER_hh_fec_in!K12)</f>
        <v>0.85237417831458584</v>
      </c>
      <c r="L12" s="137">
        <f>IF(SER_hh_tes_in!L12=0,"",SER_hh_tes_in!L12/SER_hh_fec_in!L12)</f>
        <v>0.85561143330959499</v>
      </c>
      <c r="M12" s="137">
        <f>IF(SER_hh_tes_in!M12=0,"",SER_hh_tes_in!M12/SER_hh_fec_in!M12)</f>
        <v>0.86009381699229071</v>
      </c>
      <c r="N12" s="137">
        <f>IF(SER_hh_tes_in!N12=0,"",SER_hh_tes_in!N12/SER_hh_fec_in!N12)</f>
        <v>0.86615808679923501</v>
      </c>
      <c r="O12" s="137">
        <f>IF(SER_hh_tes_in!O12=0,"",SER_hh_tes_in!O12/SER_hh_fec_in!O12)</f>
        <v>0.87409945154443724</v>
      </c>
      <c r="P12" s="137" t="str">
        <f>IF(SER_hh_tes_in!P12=0,"",SER_hh_tes_in!P12/SER_hh_fec_in!P12)</f>
        <v/>
      </c>
      <c r="Q12" s="137">
        <f>IF(SER_hh_tes_in!Q12=0,"",SER_hh_tes_in!Q12/SER_hh_fec_in!Q12)</f>
        <v>0.89208983631242478</v>
      </c>
      <c r="R12" s="137">
        <f>IF(SER_hh_tes_in!R12=0,"",SER_hh_tes_in!R12/SER_hh_fec_in!R12)</f>
        <v>0.89878208832275741</v>
      </c>
      <c r="S12" s="137">
        <f>IF(SER_hh_tes_in!S12=0,"",SER_hh_tes_in!S12/SER_hh_fec_in!S12)</f>
        <v>0.90529253079638816</v>
      </c>
      <c r="T12" s="137">
        <f>IF(SER_hh_tes_in!T12=0,"",SER_hh_tes_in!T12/SER_hh_fec_in!T12)</f>
        <v>0.9115776637482268</v>
      </c>
      <c r="U12" s="137">
        <f>IF(SER_hh_tes_in!U12=0,"",SER_hh_tes_in!U12/SER_hh_fec_in!U12)</f>
        <v>0.91759398719320351</v>
      </c>
      <c r="V12" s="137">
        <f>IF(SER_hh_tes_in!V12=0,"",SER_hh_tes_in!V12/SER_hh_fec_in!V12)</f>
        <v>0.92329800114623972</v>
      </c>
      <c r="W12" s="137">
        <f>IF(SER_hh_tes_in!W12=0,"",SER_hh_tes_in!W12/SER_hh_fec_in!W12)</f>
        <v>0.92855249741807744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0.75224651013576393</v>
      </c>
      <c r="D14" s="138">
        <f>IF(SER_hh_tes_in!D14=0,"",SER_hh_tes_in!D14/SER_hh_fec_in!D14)</f>
        <v>0.75587891940920782</v>
      </c>
      <c r="E14" s="138">
        <f>IF(SER_hh_tes_in!E14=0,"",SER_hh_tes_in!E14/SER_hh_fec_in!E14)</f>
        <v>0.75960452036811899</v>
      </c>
      <c r="F14" s="138">
        <f>IF(SER_hh_tes_in!F14=0,"",SER_hh_tes_in!F14/SER_hh_fec_in!F14)</f>
        <v>0.76334270807573623</v>
      </c>
      <c r="G14" s="138">
        <f>IF(SER_hh_tes_in!G14=0,"",SER_hh_tes_in!G14/SER_hh_fec_in!G14)</f>
        <v>0.7671666617865841</v>
      </c>
      <c r="H14" s="138">
        <f>IF(SER_hh_tes_in!H14=0,"",SER_hh_tes_in!H14/SER_hh_fec_in!H14)</f>
        <v>0.77106737335530828</v>
      </c>
      <c r="I14" s="138">
        <f>IF(SER_hh_tes_in!I14=0,"",SER_hh_tes_in!I14/SER_hh_fec_in!I14)</f>
        <v>0.77506279942013623</v>
      </c>
      <c r="J14" s="138">
        <f>IF(SER_hh_tes_in!J14=0,"",SER_hh_tes_in!J14/SER_hh_fec_in!J14)</f>
        <v>0.77922662580629209</v>
      </c>
      <c r="K14" s="138">
        <f>IF(SER_hh_tes_in!K14=0,"",SER_hh_tes_in!K14/SER_hh_fec_in!K14)</f>
        <v>0.78362128944457343</v>
      </c>
      <c r="L14" s="138">
        <f>IF(SER_hh_tes_in!L14=0,"",SER_hh_tes_in!L14/SER_hh_fec_in!L14)</f>
        <v>0.78826305288491227</v>
      </c>
      <c r="M14" s="138">
        <f>IF(SER_hh_tes_in!M14=0,"",SER_hh_tes_in!M14/SER_hh_fec_in!M14)</f>
        <v>0.794434724791658</v>
      </c>
      <c r="N14" s="138">
        <f>IF(SER_hh_tes_in!N14=0,"",SER_hh_tes_in!N14/SER_hh_fec_in!N14)</f>
        <v>0.80251702652278212</v>
      </c>
      <c r="O14" s="138">
        <f>IF(SER_hh_tes_in!O14=0,"",SER_hh_tes_in!O14/SER_hh_fec_in!O14)</f>
        <v>0.81300967817372294</v>
      </c>
      <c r="P14" s="138">
        <f>IF(SER_hh_tes_in!P14=0,"",SER_hh_tes_in!P14/SER_hh_fec_in!P14)</f>
        <v>0.82556426752788936</v>
      </c>
      <c r="Q14" s="138">
        <f>IF(SER_hh_tes_in!Q14=0,"",SER_hh_tes_in!Q14/SER_hh_fec_in!Q14)</f>
        <v>0.83890840796294763</v>
      </c>
      <c r="R14" s="138">
        <f>IF(SER_hh_tes_in!R14=0,"",SER_hh_tes_in!R14/SER_hh_fec_in!R14)</f>
        <v>0.85324972569367719</v>
      </c>
      <c r="S14" s="138">
        <f>IF(SER_hh_tes_in!S14=0,"",SER_hh_tes_in!S14/SER_hh_fec_in!S14)</f>
        <v>0.86995043534835681</v>
      </c>
      <c r="T14" s="138">
        <f>IF(SER_hh_tes_in!T14=0,"",SER_hh_tes_in!T14/SER_hh_fec_in!T14)</f>
        <v>0.88684871914781949</v>
      </c>
      <c r="U14" s="138">
        <f>IF(SER_hh_tes_in!U14=0,"",SER_hh_tes_in!U14/SER_hh_fec_in!U14)</f>
        <v>0.9017889987348866</v>
      </c>
      <c r="V14" s="138">
        <f>IF(SER_hh_tes_in!V14=0,"",SER_hh_tes_in!V14/SER_hh_fec_in!V14)</f>
        <v>0.91260950764777593</v>
      </c>
      <c r="W14" s="138">
        <f>IF(SER_hh_tes_in!W14=0,"",SER_hh_tes_in!W14/SER_hh_fec_in!W14)</f>
        <v>0.91804526090108274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2.1829439959403918</v>
      </c>
      <c r="D16" s="136">
        <f>IF(SER_hh_tes_in!D16=0,"",SER_hh_tes_in!D16/SER_hh_fec_in!D16)</f>
        <v>2.2517357641456321</v>
      </c>
      <c r="E16" s="136">
        <f>IF(SER_hh_tes_in!E16=0,"",SER_hh_tes_in!E16/SER_hh_fec_in!E16)</f>
        <v>2.3212538786936343</v>
      </c>
      <c r="F16" s="136">
        <f>IF(SER_hh_tes_in!F16=0,"",SER_hh_tes_in!F16/SER_hh_fec_in!F16)</f>
        <v>2.3908466536999038</v>
      </c>
      <c r="G16" s="136">
        <f>IF(SER_hh_tes_in!G16=0,"",SER_hh_tes_in!G16/SER_hh_fec_in!G16)</f>
        <v>2.461100732290364</v>
      </c>
      <c r="H16" s="136">
        <f>IF(SER_hh_tes_in!H16=0,"",SER_hh_tes_in!H16/SER_hh_fec_in!H16)</f>
        <v>2.5319405043584924</v>
      </c>
      <c r="I16" s="136">
        <f>IF(SER_hh_tes_in!I16=0,"",SER_hh_tes_in!I16/SER_hh_fec_in!I16)</f>
        <v>2.6035065560889774</v>
      </c>
      <c r="J16" s="136">
        <f>IF(SER_hh_tes_in!J16=0,"",SER_hh_tes_in!J16/SER_hh_fec_in!J16)</f>
        <v>2.6763836624172344</v>
      </c>
      <c r="K16" s="136">
        <f>IF(SER_hh_tes_in!K16=0,"",SER_hh_tes_in!K16/SER_hh_fec_in!K16)</f>
        <v>2.7510635145969675</v>
      </c>
      <c r="L16" s="136">
        <f>IF(SER_hh_tes_in!L16=0,"",SER_hh_tes_in!L16/SER_hh_fec_in!L16)</f>
        <v>2.8276676804114942</v>
      </c>
      <c r="M16" s="136">
        <f>IF(SER_hh_tes_in!M16=0,"",SER_hh_tes_in!M16/SER_hh_fec_in!M16)</f>
        <v>2.9191641381571185</v>
      </c>
      <c r="N16" s="136">
        <f>IF(SER_hh_tes_in!N16=0,"",SER_hh_tes_in!N16/SER_hh_fec_in!N16)</f>
        <v>3.0297967889635395</v>
      </c>
      <c r="O16" s="136">
        <f>IF(SER_hh_tes_in!O16=0,"",SER_hh_tes_in!O16/SER_hh_fec_in!O16)</f>
        <v>3.1619118642813082</v>
      </c>
      <c r="P16" s="136">
        <f>IF(SER_hh_tes_in!P16=0,"",SER_hh_tes_in!P16/SER_hh_fec_in!P16)</f>
        <v>3.3051878186174357</v>
      </c>
      <c r="Q16" s="136">
        <f>IF(SER_hh_tes_in!Q16=0,"",SER_hh_tes_in!Q16/SER_hh_fec_in!Q16)</f>
        <v>3.4283168220658076</v>
      </c>
      <c r="R16" s="136">
        <f>IF(SER_hh_tes_in!R16=0,"",SER_hh_tes_in!R16/SER_hh_fec_in!R16)</f>
        <v>3.5055628140658559</v>
      </c>
      <c r="S16" s="136">
        <f>IF(SER_hh_tes_in!S16=0,"",SER_hh_tes_in!S16/SER_hh_fec_in!S16)</f>
        <v>3.567046830965809</v>
      </c>
      <c r="T16" s="136">
        <f>IF(SER_hh_tes_in!T16=0,"",SER_hh_tes_in!T16/SER_hh_fec_in!T16)</f>
        <v>3.6184190676069634</v>
      </c>
      <c r="U16" s="136">
        <f>IF(SER_hh_tes_in!U16=0,"",SER_hh_tes_in!U16/SER_hh_fec_in!U16)</f>
        <v>3.6651868984571645</v>
      </c>
      <c r="V16" s="136">
        <f>IF(SER_hh_tes_in!V16=0,"",SER_hh_tes_in!V16/SER_hh_fec_in!V16)</f>
        <v>3.7128718180616946</v>
      </c>
      <c r="W16" s="136">
        <f>IF(SER_hh_tes_in!W16=0,"",SER_hh_tes_in!W16/SER_hh_fec_in!W16)</f>
        <v>3.7595560204443732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2.1829439959403918</v>
      </c>
      <c r="D18" s="137">
        <f>IF(SER_hh_tes_in!D18=0,"",SER_hh_tes_in!D18/SER_hh_fec_in!D18)</f>
        <v>2.2517357641456321</v>
      </c>
      <c r="E18" s="137">
        <f>IF(SER_hh_tes_in!E18=0,"",SER_hh_tes_in!E18/SER_hh_fec_in!E18)</f>
        <v>2.3212538786936343</v>
      </c>
      <c r="F18" s="137">
        <f>IF(SER_hh_tes_in!F18=0,"",SER_hh_tes_in!F18/SER_hh_fec_in!F18)</f>
        <v>2.3908466536999038</v>
      </c>
      <c r="G18" s="137">
        <f>IF(SER_hh_tes_in!G18=0,"",SER_hh_tes_in!G18/SER_hh_fec_in!G18)</f>
        <v>2.461100732290364</v>
      </c>
      <c r="H18" s="137">
        <f>IF(SER_hh_tes_in!H18=0,"",SER_hh_tes_in!H18/SER_hh_fec_in!H18)</f>
        <v>2.5319405043584924</v>
      </c>
      <c r="I18" s="137">
        <f>IF(SER_hh_tes_in!I18=0,"",SER_hh_tes_in!I18/SER_hh_fec_in!I18)</f>
        <v>2.6035065560889774</v>
      </c>
      <c r="J18" s="137">
        <f>IF(SER_hh_tes_in!J18=0,"",SER_hh_tes_in!J18/SER_hh_fec_in!J18)</f>
        <v>2.6763836624172344</v>
      </c>
      <c r="K18" s="137">
        <f>IF(SER_hh_tes_in!K18=0,"",SER_hh_tes_in!K18/SER_hh_fec_in!K18)</f>
        <v>2.7510635145969675</v>
      </c>
      <c r="L18" s="137">
        <f>IF(SER_hh_tes_in!L18=0,"",SER_hh_tes_in!L18/SER_hh_fec_in!L18)</f>
        <v>2.8276676804114942</v>
      </c>
      <c r="M18" s="137">
        <f>IF(SER_hh_tes_in!M18=0,"",SER_hh_tes_in!M18/SER_hh_fec_in!M18)</f>
        <v>2.9191641381571185</v>
      </c>
      <c r="N18" s="137">
        <f>IF(SER_hh_tes_in!N18=0,"",SER_hh_tes_in!N18/SER_hh_fec_in!N18)</f>
        <v>3.0297967889635395</v>
      </c>
      <c r="O18" s="137">
        <f>IF(SER_hh_tes_in!O18=0,"",SER_hh_tes_in!O18/SER_hh_fec_in!O18)</f>
        <v>3.1619118642813082</v>
      </c>
      <c r="P18" s="137">
        <f>IF(SER_hh_tes_in!P18=0,"",SER_hh_tes_in!P18/SER_hh_fec_in!P18)</f>
        <v>3.3051878186174357</v>
      </c>
      <c r="Q18" s="137">
        <f>IF(SER_hh_tes_in!Q18=0,"",SER_hh_tes_in!Q18/SER_hh_fec_in!Q18)</f>
        <v>3.4283168220658076</v>
      </c>
      <c r="R18" s="137">
        <f>IF(SER_hh_tes_in!R18=0,"",SER_hh_tes_in!R18/SER_hh_fec_in!R18)</f>
        <v>3.5055628140658559</v>
      </c>
      <c r="S18" s="137">
        <f>IF(SER_hh_tes_in!S18=0,"",SER_hh_tes_in!S18/SER_hh_fec_in!S18)</f>
        <v>3.567046830965809</v>
      </c>
      <c r="T18" s="137">
        <f>IF(SER_hh_tes_in!T18=0,"",SER_hh_tes_in!T18/SER_hh_fec_in!T18)</f>
        <v>3.6184190676069634</v>
      </c>
      <c r="U18" s="137">
        <f>IF(SER_hh_tes_in!U18=0,"",SER_hh_tes_in!U18/SER_hh_fec_in!U18)</f>
        <v>3.6651868984571645</v>
      </c>
      <c r="V18" s="137">
        <f>IF(SER_hh_tes_in!V18=0,"",SER_hh_tes_in!V18/SER_hh_fec_in!V18)</f>
        <v>3.7128718180616946</v>
      </c>
      <c r="W18" s="137">
        <f>IF(SER_hh_tes_in!W18=0,"",SER_hh_tes_in!W18/SER_hh_fec_in!W18)</f>
        <v>3.7595560204443732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0.61213988007715381</v>
      </c>
      <c r="D19" s="136">
        <f>IF(SER_hh_tes_in!D19=0,"",SER_hh_tes_in!D19/SER_hh_fec_in!D19)</f>
        <v>0.595397177236342</v>
      </c>
      <c r="E19" s="136">
        <f>IF(SER_hh_tes_in!E19=0,"",SER_hh_tes_in!E19/SER_hh_fec_in!E19)</f>
        <v>0.59358368723685428</v>
      </c>
      <c r="F19" s="136">
        <f>IF(SER_hh_tes_in!F19=0,"",SER_hh_tes_in!F19/SER_hh_fec_in!F19)</f>
        <v>0.59650516124925723</v>
      </c>
      <c r="G19" s="136">
        <f>IF(SER_hh_tes_in!G19=0,"",SER_hh_tes_in!G19/SER_hh_fec_in!G19)</f>
        <v>0.61260454844933199</v>
      </c>
      <c r="H19" s="136">
        <f>IF(SER_hh_tes_in!H19=0,"",SER_hh_tes_in!H19/SER_hh_fec_in!H19)</f>
        <v>0.61485878718587927</v>
      </c>
      <c r="I19" s="136">
        <f>IF(SER_hh_tes_in!I19=0,"",SER_hh_tes_in!I19/SER_hh_fec_in!I19)</f>
        <v>0.61714785172918418</v>
      </c>
      <c r="J19" s="136">
        <f>IF(SER_hh_tes_in!J19=0,"",SER_hh_tes_in!J19/SER_hh_fec_in!J19)</f>
        <v>0.66097705655311845</v>
      </c>
      <c r="K19" s="136">
        <f>IF(SER_hh_tes_in!K19=0,"",SER_hh_tes_in!K19/SER_hh_fec_in!K19)</f>
        <v>0.71435540515543716</v>
      </c>
      <c r="L19" s="136">
        <f>IF(SER_hh_tes_in!L19=0,"",SER_hh_tes_in!L19/SER_hh_fec_in!L19)</f>
        <v>0.73362119361006539</v>
      </c>
      <c r="M19" s="136">
        <f>IF(SER_hh_tes_in!M19=0,"",SER_hh_tes_in!M19/SER_hh_fec_in!M19)</f>
        <v>0.74800354930938695</v>
      </c>
      <c r="N19" s="136">
        <f>IF(SER_hh_tes_in!N19=0,"",SER_hh_tes_in!N19/SER_hh_fec_in!N19)</f>
        <v>0.75322256135755161</v>
      </c>
      <c r="O19" s="136">
        <f>IF(SER_hh_tes_in!O19=0,"",SER_hh_tes_in!O19/SER_hh_fec_in!O19)</f>
        <v>0.77244934623761763</v>
      </c>
      <c r="P19" s="136">
        <f>IF(SER_hh_tes_in!P19=0,"",SER_hh_tes_in!P19/SER_hh_fec_in!P19)</f>
        <v>0.80120274505235367</v>
      </c>
      <c r="Q19" s="136">
        <f>IF(SER_hh_tes_in!Q19=0,"",SER_hh_tes_in!Q19/SER_hh_fec_in!Q19)</f>
        <v>0.82093175762557713</v>
      </c>
      <c r="R19" s="136">
        <f>IF(SER_hh_tes_in!R19=0,"",SER_hh_tes_in!R19/SER_hh_fec_in!R19)</f>
        <v>0.80831946337944727</v>
      </c>
      <c r="S19" s="136">
        <f>IF(SER_hh_tes_in!S19=0,"",SER_hh_tes_in!S19/SER_hh_fec_in!S19)</f>
        <v>0.83769093452820276</v>
      </c>
      <c r="T19" s="136">
        <f>IF(SER_hh_tes_in!T19=0,"",SER_hh_tes_in!T19/SER_hh_fec_in!T19)</f>
        <v>0.82876887547127409</v>
      </c>
      <c r="U19" s="136">
        <f>IF(SER_hh_tes_in!U19=0,"",SER_hh_tes_in!U19/SER_hh_fec_in!U19)</f>
        <v>0.84765841406659703</v>
      </c>
      <c r="V19" s="136">
        <f>IF(SER_hh_tes_in!V19=0,"",SER_hh_tes_in!V19/SER_hh_fec_in!V19)</f>
        <v>0.85418893302583587</v>
      </c>
      <c r="W19" s="136">
        <f>IF(SER_hh_tes_in!W19=0,"",SER_hh_tes_in!W19/SER_hh_fec_in!W19)</f>
        <v>0.87947882890815077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0.58253040784061638</v>
      </c>
      <c r="D21" s="137">
        <f>IF(SER_hh_tes_in!D21=0,"",SER_hh_tes_in!D21/SER_hh_fec_in!D21)</f>
        <v>0.5845920356611719</v>
      </c>
      <c r="E21" s="137">
        <f>IF(SER_hh_tes_in!E21=0,"",SER_hh_tes_in!E21/SER_hh_fec_in!E21)</f>
        <v>0.5869949534527592</v>
      </c>
      <c r="F21" s="137">
        <f>IF(SER_hh_tes_in!F21=0,"",SER_hh_tes_in!F21/SER_hh_fec_in!F21)</f>
        <v>0.58944441078585064</v>
      </c>
      <c r="G21" s="137">
        <f>IF(SER_hh_tes_in!G21=0,"",SER_hh_tes_in!G21/SER_hh_fec_in!G21)</f>
        <v>0.59220817610791232</v>
      </c>
      <c r="H21" s="137">
        <f>IF(SER_hh_tes_in!H21=0,"",SER_hh_tes_in!H21/SER_hh_fec_in!H21)</f>
        <v>0.59525347796985772</v>
      </c>
      <c r="I21" s="137">
        <f>IF(SER_hh_tes_in!I21=0,"",SER_hh_tes_in!I21/SER_hh_fec_in!I21)</f>
        <v>0.59864629452496654</v>
      </c>
      <c r="J21" s="137">
        <f>IF(SER_hh_tes_in!J21=0,"",SER_hh_tes_in!J21/SER_hh_fec_in!J21)</f>
        <v>0.6026569149790334</v>
      </c>
      <c r="K21" s="137">
        <f>IF(SER_hh_tes_in!K21=0,"",SER_hh_tes_in!K21/SER_hh_fec_in!K21)</f>
        <v>0.60751515625150065</v>
      </c>
      <c r="L21" s="137">
        <f>IF(SER_hh_tes_in!L21=0,"",SER_hh_tes_in!L21/SER_hh_fec_in!L21)</f>
        <v>0.61328250379033533</v>
      </c>
      <c r="M21" s="137">
        <f>IF(SER_hh_tes_in!M21=0,"",SER_hh_tes_in!M21/SER_hh_fec_in!M21)</f>
        <v>0.62541258695747848</v>
      </c>
      <c r="N21" s="137">
        <f>IF(SER_hh_tes_in!N21=0,"",SER_hh_tes_in!N21/SER_hh_fec_in!N21)</f>
        <v>0.64563638396373901</v>
      </c>
      <c r="O21" s="137">
        <f>IF(SER_hh_tes_in!O21=0,"",SER_hh_tes_in!O21/SER_hh_fec_in!O21)</f>
        <v>0.67539886928576542</v>
      </c>
      <c r="P21" s="137" t="str">
        <f>IF(SER_hh_tes_in!P21=0,"",SER_hh_tes_in!P21/SER_hh_fec_in!P21)</f>
        <v/>
      </c>
      <c r="Q21" s="137">
        <f>IF(SER_hh_tes_in!Q21=0,"",SER_hh_tes_in!Q21/SER_hh_fec_in!Q21)</f>
        <v>0.74458930289511416</v>
      </c>
      <c r="R21" s="137">
        <f>IF(SER_hh_tes_in!R21=0,"",SER_hh_tes_in!R21/SER_hh_fec_in!R21)</f>
        <v>0.76681045351283605</v>
      </c>
      <c r="S21" s="137">
        <f>IF(SER_hh_tes_in!S21=0,"",SER_hh_tes_in!S21/SER_hh_fec_in!S21)</f>
        <v>0.78822356228993773</v>
      </c>
      <c r="T21" s="137">
        <f>IF(SER_hh_tes_in!T21=0,"",SER_hh_tes_in!T21/SER_hh_fec_in!T21)</f>
        <v>0.80761656646540825</v>
      </c>
      <c r="U21" s="137">
        <f>IF(SER_hh_tes_in!U21=0,"",SER_hh_tes_in!U21/SER_hh_fec_in!U21)</f>
        <v>0.82377740327830407</v>
      </c>
      <c r="V21" s="137">
        <f>IF(SER_hh_tes_in!V21=0,"",SER_hh_tes_in!V21/SER_hh_fec_in!V21)</f>
        <v>0.83549400996765366</v>
      </c>
      <c r="W21" s="137">
        <f>IF(SER_hh_tes_in!W21=0,"",SER_hh_tes_in!W21/SER_hh_fec_in!W21)</f>
        <v>0.84100536261169068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0.5491062687868794</v>
      </c>
      <c r="D22" s="137">
        <f>IF(SER_hh_tes_in!D22=0,"",SER_hh_tes_in!D22/SER_hh_fec_in!D22)</f>
        <v>0.55118525710340538</v>
      </c>
      <c r="E22" s="137">
        <f>IF(SER_hh_tes_in!E22=0,"",SER_hh_tes_in!E22/SER_hh_fec_in!E22)</f>
        <v>0.55360840931568778</v>
      </c>
      <c r="F22" s="137">
        <f>IF(SER_hh_tes_in!F22=0,"",SER_hh_tes_in!F22/SER_hh_fec_in!F22)</f>
        <v>0.55607849296830036</v>
      </c>
      <c r="G22" s="137">
        <f>IF(SER_hh_tes_in!G22=0,"",SER_hh_tes_in!G22/SER_hh_fec_in!G22)</f>
        <v>0.5588655313255132</v>
      </c>
      <c r="H22" s="137">
        <f>IF(SER_hh_tes_in!H22=0,"",SER_hh_tes_in!H22/SER_hh_fec_in!H22)</f>
        <v>0.56193647697736826</v>
      </c>
      <c r="I22" s="137">
        <f>IF(SER_hh_tes_in!I22=0,"",SER_hh_tes_in!I22/SER_hh_fec_in!I22)</f>
        <v>0.5653578636640717</v>
      </c>
      <c r="J22" s="137">
        <f>IF(SER_hh_tes_in!J22=0,"",SER_hh_tes_in!J22/SER_hh_fec_in!J22)</f>
        <v>0.56940225663495114</v>
      </c>
      <c r="K22" s="137">
        <f>IF(SER_hh_tes_in!K22=0,"",SER_hh_tes_in!K22/SER_hh_fec_in!K22)</f>
        <v>0.57430140804512231</v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>
        <f>IF(SER_hh_tes_in!R22=0,"",SER_hh_tes_in!R22/SER_hh_fec_in!R22)</f>
        <v>0.73493809454199877</v>
      </c>
      <c r="S22" s="137">
        <f>IF(SER_hh_tes_in!S22=0,"",SER_hh_tes_in!S22/SER_hh_fec_in!S22)</f>
        <v>0.75653151820665132</v>
      </c>
      <c r="T22" s="137">
        <f>IF(SER_hh_tes_in!T22=0,"",SER_hh_tes_in!T22/SER_hh_fec_in!T22)</f>
        <v>0.77608782643122431</v>
      </c>
      <c r="U22" s="137">
        <f>IF(SER_hh_tes_in!U22=0,"",SER_hh_tes_in!U22/SER_hh_fec_in!U22)</f>
        <v>0.79238474995170582</v>
      </c>
      <c r="V22" s="137">
        <f>IF(SER_hh_tes_in!V22=0,"",SER_hh_tes_in!V22/SER_hh_fec_in!V22)</f>
        <v>0.80420001950405484</v>
      </c>
      <c r="W22" s="137">
        <f>IF(SER_hh_tes_in!W22=0,"",SER_hh_tes_in!W22/SER_hh_fec_in!W22)</f>
        <v>0.80975778198715864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0.59911705157137285</v>
      </c>
      <c r="D23" s="137">
        <f>IF(SER_hh_tes_in!D23=0,"",SER_hh_tes_in!D23/SER_hh_fec_in!D23)</f>
        <v>0.60506685952388395</v>
      </c>
      <c r="E23" s="137">
        <f>IF(SER_hh_tes_in!E23=0,"",SER_hh_tes_in!E23/SER_hh_fec_in!E23)</f>
        <v>0.61127391736994063</v>
      </c>
      <c r="F23" s="137">
        <f>IF(SER_hh_tes_in!F23=0,"",SER_hh_tes_in!F23/SER_hh_fec_in!F23)</f>
        <v>0.61753114653829599</v>
      </c>
      <c r="G23" s="137">
        <f>IF(SER_hh_tes_in!G23=0,"",SER_hh_tes_in!G23/SER_hh_fec_in!G23)</f>
        <v>0.62402318635712462</v>
      </c>
      <c r="H23" s="137">
        <f>IF(SER_hh_tes_in!H23=0,"",SER_hh_tes_in!H23/SER_hh_fec_in!H23)</f>
        <v>0.63072503920596867</v>
      </c>
      <c r="I23" s="137">
        <f>IF(SER_hh_tes_in!I23=0,"",SER_hh_tes_in!I23/SER_hh_fec_in!I23)</f>
        <v>0.63767977778650409</v>
      </c>
      <c r="J23" s="137">
        <f>IF(SER_hh_tes_in!J23=0,"",SER_hh_tes_in!J23/SER_hh_fec_in!J23)</f>
        <v>0.6450694111345201</v>
      </c>
      <c r="K23" s="137">
        <f>IF(SER_hh_tes_in!K23=0,"",SER_hh_tes_in!K23/SER_hh_fec_in!K23)</f>
        <v>0.65304570717797394</v>
      </c>
      <c r="L23" s="137">
        <f>IF(SER_hh_tes_in!L23=0,"",SER_hh_tes_in!L23/SER_hh_fec_in!L23)</f>
        <v>0.66164405286951811</v>
      </c>
      <c r="M23" s="137">
        <f>IF(SER_hh_tes_in!M23=0,"",SER_hh_tes_in!M23/SER_hh_fec_in!M23)</f>
        <v>0.67464695917668938</v>
      </c>
      <c r="N23" s="137">
        <f>IF(SER_hh_tes_in!N23=0,"",SER_hh_tes_in!N23/SER_hh_fec_in!N23)</f>
        <v>0.69321871981621686</v>
      </c>
      <c r="O23" s="137">
        <f>IF(SER_hh_tes_in!O23=0,"",SER_hh_tes_in!O23/SER_hh_fec_in!O23)</f>
        <v>0.71821902388032111</v>
      </c>
      <c r="P23" s="137">
        <f>IF(SER_hh_tes_in!P23=0,"",SER_hh_tes_in!P23/SER_hh_fec_in!P23)</f>
        <v>0.74731086987267437</v>
      </c>
      <c r="Q23" s="137">
        <f>IF(SER_hh_tes_in!Q23=0,"",SER_hh_tes_in!Q23/SER_hh_fec_in!Q23)</f>
        <v>0.77316262538901714</v>
      </c>
      <c r="R23" s="137">
        <f>IF(SER_hh_tes_in!R23=0,"",SER_hh_tes_in!R23/SER_hh_fec_in!R23)</f>
        <v>0.79016080849169701</v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0.83874877094928235</v>
      </c>
      <c r="D25" s="137">
        <f>IF(SER_hh_tes_in!D25=0,"",SER_hh_tes_in!D25/SER_hh_fec_in!D25)</f>
        <v>0.84145057192704897</v>
      </c>
      <c r="E25" s="137">
        <f>IF(SER_hh_tes_in!E25=0,"",SER_hh_tes_in!E25/SER_hh_fec_in!E25)</f>
        <v>0.84422531448244786</v>
      </c>
      <c r="F25" s="137">
        <f>IF(SER_hh_tes_in!F25=0,"",SER_hh_tes_in!F25/SER_hh_fec_in!F25)</f>
        <v>0.84701000361661472</v>
      </c>
      <c r="G25" s="137">
        <f>IF(SER_hh_tes_in!G25=0,"",SER_hh_tes_in!G25/SER_hh_fec_in!G25)</f>
        <v>0.84986186765342753</v>
      </c>
      <c r="H25" s="137">
        <f>IF(SER_hh_tes_in!H25=0,"",SER_hh_tes_in!H25/SER_hh_fec_in!H25)</f>
        <v>0.85277390257460117</v>
      </c>
      <c r="I25" s="137">
        <f>IF(SER_hh_tes_in!I25=0,"",SER_hh_tes_in!I25/SER_hh_fec_in!I25)</f>
        <v>0.8557602094408111</v>
      </c>
      <c r="J25" s="137">
        <f>IF(SER_hh_tes_in!J25=0,"",SER_hh_tes_in!J25/SER_hh_fec_in!J25)</f>
        <v>0.85887855532041946</v>
      </c>
      <c r="K25" s="137">
        <f>IF(SER_hh_tes_in!K25=0,"",SER_hh_tes_in!K25/SER_hh_fec_in!K25)</f>
        <v>0.86217805741607934</v>
      </c>
      <c r="L25" s="137">
        <f>IF(SER_hh_tes_in!L25=0,"",SER_hh_tes_in!L25/SER_hh_fec_in!L25)</f>
        <v>0.86567185659320356</v>
      </c>
      <c r="M25" s="137">
        <f>IF(SER_hh_tes_in!M25=0,"",SER_hh_tes_in!M25/SER_hh_fec_in!M25)</f>
        <v>0.87050945772326604</v>
      </c>
      <c r="N25" s="137">
        <f>IF(SER_hh_tes_in!N25=0,"",SER_hh_tes_in!N25/SER_hh_fec_in!N25)</f>
        <v>0.87705430540873619</v>
      </c>
      <c r="O25" s="137">
        <f>IF(SER_hh_tes_in!O25=0,"",SER_hh_tes_in!O25/SER_hh_fec_in!O25)</f>
        <v>0.88562500300741354</v>
      </c>
      <c r="P25" s="137">
        <f>IF(SER_hh_tes_in!P25=0,"",SER_hh_tes_in!P25/SER_hh_fec_in!P25)</f>
        <v>0.89561538427198994</v>
      </c>
      <c r="Q25" s="137">
        <f>IF(SER_hh_tes_in!Q25=0,"",SER_hh_tes_in!Q25/SER_hh_fec_in!Q25)</f>
        <v>0.90504107977475068</v>
      </c>
      <c r="R25" s="137">
        <f>IF(SER_hh_tes_in!R25=0,"",SER_hh_tes_in!R25/SER_hh_fec_in!R25)</f>
        <v>0.9122636756477529</v>
      </c>
      <c r="S25" s="137">
        <f>IF(SER_hh_tes_in!S25=0,"",SER_hh_tes_in!S25/SER_hh_fec_in!S25)</f>
        <v>0.91929005404307651</v>
      </c>
      <c r="T25" s="137">
        <f>IF(SER_hh_tes_in!T25=0,"",SER_hh_tes_in!T25/SER_hh_fec_in!T25)</f>
        <v>0.92607326771302356</v>
      </c>
      <c r="U25" s="137">
        <f>IF(SER_hh_tes_in!U25=0,"",SER_hh_tes_in!U25/SER_hh_fec_in!U25)</f>
        <v>0.93256636940991755</v>
      </c>
      <c r="V25" s="137">
        <f>IF(SER_hh_tes_in!V25=0,"",SER_hh_tes_in!V25/SER_hh_fec_in!V25)</f>
        <v>0.93872241188607342</v>
      </c>
      <c r="W25" s="137">
        <f>IF(SER_hh_tes_in!W25=0,"",SER_hh_tes_in!W25/SER_hh_fec_in!W25)</f>
        <v>0.94439331355401479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0.69343582562460127</v>
      </c>
      <c r="D26" s="138">
        <f>IF(SER_hh_tes_in!D26=0,"",SER_hh_tes_in!D26/SER_hh_fec_in!D26)</f>
        <v>0.69580547310925334</v>
      </c>
      <c r="E26" s="138">
        <f>IF(SER_hh_tes_in!E26=0,"",SER_hh_tes_in!E26/SER_hh_fec_in!E26)</f>
        <v>0.69835737999759362</v>
      </c>
      <c r="F26" s="138">
        <f>IF(SER_hh_tes_in!F26=0,"",SER_hh_tes_in!F26/SER_hh_fec_in!F26)</f>
        <v>0.70093380028256702</v>
      </c>
      <c r="G26" s="138">
        <f>IF(SER_hh_tes_in!G26=0,"",SER_hh_tes_in!G26/SER_hh_fec_in!G26)</f>
        <v>0.70367953169666875</v>
      </c>
      <c r="H26" s="138">
        <f>IF(SER_hh_tes_in!H26=0,"",SER_hh_tes_in!H26/SER_hh_fec_in!H26)</f>
        <v>0.70657834436088873</v>
      </c>
      <c r="I26" s="138">
        <f>IF(SER_hh_tes_in!I26=0,"",SER_hh_tes_in!I26/SER_hh_fec_in!I26)</f>
        <v>0.7096679499693761</v>
      </c>
      <c r="J26" s="138">
        <f>IF(SER_hh_tes_in!J26=0,"",SER_hh_tes_in!J26/SER_hh_fec_in!J26)</f>
        <v>0.71309930241499997</v>
      </c>
      <c r="K26" s="138">
        <f>IF(SER_hh_tes_in!K26=0,"",SER_hh_tes_in!K26/SER_hh_fec_in!K26)</f>
        <v>0.71700617708250236</v>
      </c>
      <c r="L26" s="138">
        <f>IF(SER_hh_tes_in!L26=0,"",SER_hh_tes_in!L26/SER_hh_fec_in!L26)</f>
        <v>0.72143539365117704</v>
      </c>
      <c r="M26" s="138">
        <f>IF(SER_hh_tes_in!M26=0,"",SER_hh_tes_in!M26/SER_hh_fec_in!M26)</f>
        <v>0.72945600852590453</v>
      </c>
      <c r="N26" s="138">
        <f>IF(SER_hh_tes_in!N26=0,"",SER_hh_tes_in!N26/SER_hh_fec_in!N26)</f>
        <v>0.74241651898082861</v>
      </c>
      <c r="O26" s="138">
        <f>IF(SER_hh_tes_in!O26=0,"",SER_hh_tes_in!O26/SER_hh_fec_in!O26)</f>
        <v>0.76204621545558471</v>
      </c>
      <c r="P26" s="138">
        <f>IF(SER_hh_tes_in!P26=0,"",SER_hh_tes_in!P26/SER_hh_fec_in!P26)</f>
        <v>0.78758193069842208</v>
      </c>
      <c r="Q26" s="138">
        <f>IF(SER_hh_tes_in!Q26=0,"",SER_hh_tes_in!Q26/SER_hh_fec_in!Q26)</f>
        <v>0.81263860873491311</v>
      </c>
      <c r="R26" s="138">
        <f>IF(SER_hh_tes_in!R26=0,"",SER_hh_tes_in!R26/SER_hh_fec_in!R26)</f>
        <v>0.83060063061737399</v>
      </c>
      <c r="S26" s="138">
        <f>IF(SER_hh_tes_in!S26=0,"",SER_hh_tes_in!S26/SER_hh_fec_in!S26)</f>
        <v>0.84838557424173533</v>
      </c>
      <c r="T26" s="138">
        <f>IF(SER_hh_tes_in!T26=0,"",SER_hh_tes_in!T26/SER_hh_fec_in!T26)</f>
        <v>0.86562052237699816</v>
      </c>
      <c r="U26" s="138">
        <f>IF(SER_hh_tes_in!U26=0,"",SER_hh_tes_in!U26/SER_hh_fec_in!U26)</f>
        <v>0.88181054470239828</v>
      </c>
      <c r="V26" s="138">
        <f>IF(SER_hh_tes_in!V26=0,"",SER_hh_tes_in!V26/SER_hh_fec_in!V26)</f>
        <v>0.89619631901072971</v>
      </c>
      <c r="W26" s="138">
        <f>IF(SER_hh_tes_in!W26=0,"",SER_hh_tes_in!W26/SER_hh_fec_in!W26)</f>
        <v>0.90752070449775335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0.66953496036994042</v>
      </c>
      <c r="D29" s="136">
        <f>IF(SER_hh_tes_in!D29=0,"",SER_hh_tes_in!D29/SER_hh_fec_in!D29)</f>
        <v>0.76703455888066374</v>
      </c>
      <c r="E29" s="136">
        <f>IF(SER_hh_tes_in!E29=0,"",SER_hh_tes_in!E29/SER_hh_fec_in!E29)</f>
        <v>0.78743047841357972</v>
      </c>
      <c r="F29" s="136">
        <f>IF(SER_hh_tes_in!F29=0,"",SER_hh_tes_in!F29/SER_hh_fec_in!F29)</f>
        <v>0.80540319788922676</v>
      </c>
      <c r="G29" s="136">
        <f>IF(SER_hh_tes_in!G29=0,"",SER_hh_tes_in!G29/SER_hh_fec_in!G29)</f>
        <v>0.7740821590359156</v>
      </c>
      <c r="H29" s="136">
        <f>IF(SER_hh_tes_in!H29=0,"",SER_hh_tes_in!H29/SER_hh_fec_in!H29)</f>
        <v>0.7742693720827426</v>
      </c>
      <c r="I29" s="136">
        <f>IF(SER_hh_tes_in!I29=0,"",SER_hh_tes_in!I29/SER_hh_fec_in!I29)</f>
        <v>0.65005956843027468</v>
      </c>
      <c r="J29" s="136">
        <f>IF(SER_hh_tes_in!J29=0,"",SER_hh_tes_in!J29/SER_hh_fec_in!J29)</f>
        <v>0.72065958899780802</v>
      </c>
      <c r="K29" s="136">
        <f>IF(SER_hh_tes_in!K29=0,"",SER_hh_tes_in!K29/SER_hh_fec_in!K29)</f>
        <v>0.69865310245449064</v>
      </c>
      <c r="L29" s="136">
        <f>IF(SER_hh_tes_in!L29=0,"",SER_hh_tes_in!L29/SER_hh_fec_in!L29)</f>
        <v>0.71280043768620671</v>
      </c>
      <c r="M29" s="136">
        <f>IF(SER_hh_tes_in!M29=0,"",SER_hh_tes_in!M29/SER_hh_fec_in!M29)</f>
        <v>0.80196199384897959</v>
      </c>
      <c r="N29" s="136">
        <f>IF(SER_hh_tes_in!N29=0,"",SER_hh_tes_in!N29/SER_hh_fec_in!N29)</f>
        <v>0.77633356201630843</v>
      </c>
      <c r="O29" s="136">
        <f>IF(SER_hh_tes_in!O29=0,"",SER_hh_tes_in!O29/SER_hh_fec_in!O29)</f>
        <v>0.75948005395388052</v>
      </c>
      <c r="P29" s="136">
        <f>IF(SER_hh_tes_in!P29=0,"",SER_hh_tes_in!P29/SER_hh_fec_in!P29)</f>
        <v>0.74691091249107189</v>
      </c>
      <c r="Q29" s="136">
        <f>IF(SER_hh_tes_in!Q29=0,"",SER_hh_tes_in!Q29/SER_hh_fec_in!Q29)</f>
        <v>0.77045350140827984</v>
      </c>
      <c r="R29" s="136">
        <f>IF(SER_hh_tes_in!R29=0,"",SER_hh_tes_in!R29/SER_hh_fec_in!R29)</f>
        <v>0.79456473180965737</v>
      </c>
      <c r="S29" s="136">
        <f>IF(SER_hh_tes_in!S29=0,"",SER_hh_tes_in!S29/SER_hh_fec_in!S29)</f>
        <v>0.752044371613111</v>
      </c>
      <c r="T29" s="136">
        <f>IF(SER_hh_tes_in!T29=0,"",SER_hh_tes_in!T29/SER_hh_fec_in!T29)</f>
        <v>0.73734414120387781</v>
      </c>
      <c r="U29" s="136">
        <f>IF(SER_hh_tes_in!U29=0,"",SER_hh_tes_in!U29/SER_hh_fec_in!U29)</f>
        <v>0.73154704756088929</v>
      </c>
      <c r="V29" s="136">
        <f>IF(SER_hh_tes_in!V29=0,"",SER_hh_tes_in!V29/SER_hh_fec_in!V29)</f>
        <v>0.80810315173646385</v>
      </c>
      <c r="W29" s="136">
        <f>IF(SER_hh_tes_in!W29=0,"",SER_hh_tes_in!W29/SER_hh_fec_in!W29)</f>
        <v>0.86575849400753202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>
        <f>IF(SER_hh_tes_in!G30=0,"",SER_hh_tes_in!G30/SER_hh_fec_in!G30)</f>
        <v>0.60851098479590493</v>
      </c>
      <c r="H30" s="137">
        <f>IF(SER_hh_tes_in!H30=0,"",SER_hh_tes_in!H30/SER_hh_fec_in!H30)</f>
        <v>0.60909007323591557</v>
      </c>
      <c r="I30" s="137">
        <f>IF(SER_hh_tes_in!I30=0,"",SER_hh_tes_in!I30/SER_hh_fec_in!I30)</f>
        <v>0.60966049346266205</v>
      </c>
      <c r="J30" s="137">
        <f>IF(SER_hh_tes_in!J30=0,"",SER_hh_tes_in!J30/SER_hh_fec_in!J30)</f>
        <v>0.61021550353249421</v>
      </c>
      <c r="K30" s="137">
        <f>IF(SER_hh_tes_in!K30=0,"",SER_hh_tes_in!K30/SER_hh_fec_in!K30)</f>
        <v>0.61074937101996762</v>
      </c>
      <c r="L30" s="137">
        <f>IF(SER_hh_tes_in!L30=0,"",SER_hh_tes_in!L30/SER_hh_fec_in!L30)</f>
        <v>0.61126056226625769</v>
      </c>
      <c r="M30" s="137" t="str">
        <f>IF(SER_hh_tes_in!M30=0,"",SER_hh_tes_in!M30/SER_hh_fec_in!M30)</f>
        <v/>
      </c>
      <c r="N30" s="137">
        <f>IF(SER_hh_tes_in!N30=0,"",SER_hh_tes_in!N30/SER_hh_fec_in!N30)</f>
        <v>0.61153565083712613</v>
      </c>
      <c r="O30" s="137" t="str">
        <f>IF(SER_hh_tes_in!O30=0,"",SER_hh_tes_in!O30/SER_hh_fec_in!O30)</f>
        <v/>
      </c>
      <c r="P30" s="137">
        <f>IF(SER_hh_tes_in!P30=0,"",SER_hh_tes_in!P30/SER_hh_fec_in!P30)</f>
        <v>0.61153565083712613</v>
      </c>
      <c r="Q30" s="137">
        <f>IF(SER_hh_tes_in!Q30=0,"",SER_hh_tes_in!Q30/SER_hh_fec_in!Q30)</f>
        <v>0.61153565083712613</v>
      </c>
      <c r="R30" s="137">
        <f>IF(SER_hh_tes_in!R30=0,"",SER_hh_tes_in!R30/SER_hh_fec_in!R30)</f>
        <v>0.61327357748260525</v>
      </c>
      <c r="S30" s="137">
        <f>IF(SER_hh_tes_in!S30=0,"",SER_hh_tes_in!S30/SER_hh_fec_in!S30)</f>
        <v>0.61611548131745153</v>
      </c>
      <c r="T30" s="137">
        <f>IF(SER_hh_tes_in!T30=0,"",SER_hh_tes_in!T30/SER_hh_fec_in!T30)</f>
        <v>0.61943103579143644</v>
      </c>
      <c r="U30" s="137">
        <f>IF(SER_hh_tes_in!U30=0,"",SER_hh_tes_in!U30/SER_hh_fec_in!U30)</f>
        <v>0.62286500292520719</v>
      </c>
      <c r="V30" s="137">
        <f>IF(SER_hh_tes_in!V30=0,"",SER_hh_tes_in!V30/SER_hh_fec_in!V30)</f>
        <v>0.62606214473940758</v>
      </c>
      <c r="W30" s="137">
        <f>IF(SER_hh_tes_in!W30=0,"",SER_hh_tes_in!W30/SER_hh_fec_in!W30)</f>
        <v>0.62902246123403605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0.60947349916782134</v>
      </c>
      <c r="D31" s="137">
        <f>IF(SER_hh_tes_in!D31=0,"",SER_hh_tes_in!D31/SER_hh_fec_in!D31)</f>
        <v>0.6102247970433432</v>
      </c>
      <c r="E31" s="137">
        <f>IF(SER_hh_tes_in!E31=0,"",SER_hh_tes_in!E31/SER_hh_fec_in!E31)</f>
        <v>0.61096549932920441</v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>
        <f>IF(SER_hh_tes_in!K31=0,"",SER_hh_tes_in!K31/SER_hh_fec_in!K31)</f>
        <v>0.61522025050913975</v>
      </c>
      <c r="L31" s="137">
        <f>IF(SER_hh_tes_in!L31=0,"",SER_hh_tes_in!L31/SER_hh_fec_in!L31)</f>
        <v>0.61585650168283934</v>
      </c>
      <c r="M31" s="137">
        <f>IF(SER_hh_tes_in!M31=0,"",SER_hh_tes_in!M31/SER_hh_fec_in!M31)</f>
        <v>0.61619888905225673</v>
      </c>
      <c r="N31" s="137">
        <f>IF(SER_hh_tes_in!N31=0,"",SER_hh_tes_in!N31/SER_hh_fec_in!N31)</f>
        <v>0.61619888905225673</v>
      </c>
      <c r="O31" s="137">
        <f>IF(SER_hh_tes_in!O31=0,"",SER_hh_tes_in!O31/SER_hh_fec_in!O31)</f>
        <v>0.61619888905225673</v>
      </c>
      <c r="P31" s="137">
        <f>IF(SER_hh_tes_in!P31=0,"",SER_hh_tes_in!P31/SER_hh_fec_in!P31)</f>
        <v>0.61619888905225673</v>
      </c>
      <c r="Q31" s="137">
        <f>IF(SER_hh_tes_in!Q31=0,"",SER_hh_tes_in!Q31/SER_hh_fec_in!Q31)</f>
        <v>0.61619888905225673</v>
      </c>
      <c r="R31" s="137">
        <f>IF(SER_hh_tes_in!R31=0,"",SER_hh_tes_in!R31/SER_hh_fec_in!R31)</f>
        <v>0.61836198921489616</v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0.80121841607449384</v>
      </c>
      <c r="D33" s="150">
        <f>IF(SER_hh_tes_in!D33=0,"",SER_hh_tes_in!D33/SER_hh_fec_in!D33)</f>
        <v>0.80257755382890061</v>
      </c>
      <c r="E33" s="150">
        <f>IF(SER_hh_tes_in!E33=0,"",SER_hh_tes_in!E33/SER_hh_fec_in!E33)</f>
        <v>0.80398694920316438</v>
      </c>
      <c r="F33" s="150">
        <f>IF(SER_hh_tes_in!F33=0,"",SER_hh_tes_in!F33/SER_hh_fec_in!F33)</f>
        <v>0.80540319788922676</v>
      </c>
      <c r="G33" s="150">
        <f>IF(SER_hh_tes_in!G33=0,"",SER_hh_tes_in!G33/SER_hh_fec_in!G33)</f>
        <v>0.80686573088707236</v>
      </c>
      <c r="H33" s="150">
        <f>IF(SER_hh_tes_in!H33=0,"",SER_hh_tes_in!H33/SER_hh_fec_in!H33)</f>
        <v>0.80836972234428783</v>
      </c>
      <c r="I33" s="150">
        <f>IF(SER_hh_tes_in!I33=0,"",SER_hh_tes_in!I33/SER_hh_fec_in!I33)</f>
        <v>0.80992488806042129</v>
      </c>
      <c r="J33" s="150">
        <f>IF(SER_hh_tes_in!J33=0,"",SER_hh_tes_in!J33/SER_hh_fec_in!J33)</f>
        <v>0.8115710302368544</v>
      </c>
      <c r="K33" s="150">
        <f>IF(SER_hh_tes_in!K33=0,"",SER_hh_tes_in!K33/SER_hh_fec_in!K33)</f>
        <v>0.81334199121398409</v>
      </c>
      <c r="L33" s="150">
        <f>IF(SER_hh_tes_in!L33=0,"",SER_hh_tes_in!L33/SER_hh_fec_in!L33)</f>
        <v>0.81524682520533254</v>
      </c>
      <c r="M33" s="150">
        <f>IF(SER_hh_tes_in!M33=0,"",SER_hh_tes_in!M33/SER_hh_fec_in!M33)</f>
        <v>0.81783841331955809</v>
      </c>
      <c r="N33" s="150">
        <f>IF(SER_hh_tes_in!N33=0,"",SER_hh_tes_in!N33/SER_hh_fec_in!N33)</f>
        <v>0.82127352703806777</v>
      </c>
      <c r="O33" s="150">
        <f>IF(SER_hh_tes_in!O33=0,"",SER_hh_tes_in!O33/SER_hh_fec_in!O33)</f>
        <v>0.82593335295298487</v>
      </c>
      <c r="P33" s="150">
        <f>IF(SER_hh_tes_in!P33=0,"",SER_hh_tes_in!P33/SER_hh_fec_in!P33)</f>
        <v>0.83201809370291446</v>
      </c>
      <c r="Q33" s="150">
        <f>IF(SER_hh_tes_in!Q33=0,"",SER_hh_tes_in!Q33/SER_hh_fec_in!Q33)</f>
        <v>0.83986051384184601</v>
      </c>
      <c r="R33" s="150">
        <f>IF(SER_hh_tes_in!R33=0,"",SER_hh_tes_in!R33/SER_hh_fec_in!R33)</f>
        <v>0.8505289171803917</v>
      </c>
      <c r="S33" s="150">
        <f>IF(SER_hh_tes_in!S33=0,"",SER_hh_tes_in!S33/SER_hh_fec_in!S33)</f>
        <v>0.8638440823805531</v>
      </c>
      <c r="T33" s="150">
        <f>IF(SER_hh_tes_in!T33=0,"",SER_hh_tes_in!T33/SER_hh_fec_in!T33)</f>
        <v>0.87816004446213647</v>
      </c>
      <c r="U33" s="150">
        <f>IF(SER_hh_tes_in!U33=0,"",SER_hh_tes_in!U33/SER_hh_fec_in!U33)</f>
        <v>0.89183083844498845</v>
      </c>
      <c r="V33" s="150">
        <f>IF(SER_hh_tes_in!V33=0,"",SER_hh_tes_in!V33/SER_hh_fec_in!V33)</f>
        <v>0.90321049934893793</v>
      </c>
      <c r="W33" s="150">
        <f>IF(SER_hh_tes_in!W33=0,"",SER_hh_tes_in!W33/SER_hh_fec_in!W33)</f>
        <v>0.91172085276165127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44.503418581930333</v>
      </c>
      <c r="D3" s="126">
        <f t="shared" si="0"/>
        <v>43.522947807934038</v>
      </c>
      <c r="E3" s="126">
        <f t="shared" si="0"/>
        <v>27.585063151838693</v>
      </c>
      <c r="F3" s="126">
        <f t="shared" si="0"/>
        <v>30.706706805191835</v>
      </c>
      <c r="G3" s="126">
        <f t="shared" si="0"/>
        <v>23.854954655626909</v>
      </c>
      <c r="H3" s="126">
        <f t="shared" si="0"/>
        <v>21.369224977324738</v>
      </c>
      <c r="I3" s="126">
        <f t="shared" si="0"/>
        <v>23.7562526942774</v>
      </c>
      <c r="J3" s="126">
        <f t="shared" si="0"/>
        <v>21.49682488745395</v>
      </c>
      <c r="K3" s="126">
        <f t="shared" si="0"/>
        <v>5.5989655449361422</v>
      </c>
      <c r="L3" s="126">
        <f t="shared" si="0"/>
        <v>2.273807601821296</v>
      </c>
      <c r="M3" s="126">
        <f t="shared" si="0"/>
        <v>1.8091611470016267</v>
      </c>
      <c r="N3" s="126">
        <f t="shared" si="0"/>
        <v>0.30480448610902011</v>
      </c>
      <c r="O3" s="126">
        <f t="shared" si="0"/>
        <v>1.5870282713363553</v>
      </c>
      <c r="P3" s="126">
        <f t="shared" si="0"/>
        <v>3.8803621744813213</v>
      </c>
      <c r="Q3" s="126">
        <f t="shared" si="0"/>
        <v>3.7757054999997686</v>
      </c>
      <c r="R3" s="126">
        <f t="shared" ref="R3:W3" si="1">SUM(R4,R16,R19,R29)</f>
        <v>4.8781791618275356</v>
      </c>
      <c r="S3" s="126">
        <f t="shared" si="1"/>
        <v>3.5909713009175381</v>
      </c>
      <c r="T3" s="126">
        <f t="shared" si="1"/>
        <v>6.2968135039643656</v>
      </c>
      <c r="U3" s="126">
        <f t="shared" si="1"/>
        <v>5.0291728353243803</v>
      </c>
      <c r="V3" s="126">
        <f t="shared" si="1"/>
        <v>3.7196618486864383</v>
      </c>
      <c r="W3" s="126">
        <f t="shared" si="1"/>
        <v>2.4630522202382501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40.120876624242555</v>
      </c>
      <c r="D4" s="131">
        <f t="shared" si="2"/>
        <v>39.180481080446157</v>
      </c>
      <c r="E4" s="131">
        <f t="shared" si="2"/>
        <v>24.540898577516291</v>
      </c>
      <c r="F4" s="131">
        <f t="shared" si="2"/>
        <v>26.95392467103909</v>
      </c>
      <c r="G4" s="131">
        <f t="shared" si="2"/>
        <v>20.369256367508047</v>
      </c>
      <c r="H4" s="131">
        <f t="shared" si="2"/>
        <v>15.978446867937313</v>
      </c>
      <c r="I4" s="131">
        <f t="shared" si="2"/>
        <v>10.311397930646985</v>
      </c>
      <c r="J4" s="131">
        <f t="shared" si="2"/>
        <v>17.628196598525744</v>
      </c>
      <c r="K4" s="131">
        <f t="shared" si="2"/>
        <v>4.2550755436470089</v>
      </c>
      <c r="L4" s="131">
        <f t="shared" si="2"/>
        <v>1.0349842993696685</v>
      </c>
      <c r="M4" s="131">
        <f t="shared" si="2"/>
        <v>1.5638693172185916</v>
      </c>
      <c r="N4" s="131">
        <f t="shared" si="2"/>
        <v>4.2441913033602501E-2</v>
      </c>
      <c r="O4" s="131">
        <f t="shared" si="2"/>
        <v>1.2114880355610194</v>
      </c>
      <c r="P4" s="131">
        <f t="shared" si="2"/>
        <v>3.092372516118139</v>
      </c>
      <c r="Q4" s="131">
        <f t="shared" si="2"/>
        <v>3.1974439749635604</v>
      </c>
      <c r="R4" s="131">
        <f t="shared" ref="R4:W4" si="3">SUM(R5:R15)</f>
        <v>3.537919341788363</v>
      </c>
      <c r="S4" s="131">
        <f t="shared" si="3"/>
        <v>1.4697173806046369</v>
      </c>
      <c r="T4" s="131">
        <f t="shared" si="3"/>
        <v>3.0336923938878417</v>
      </c>
      <c r="U4" s="131">
        <f t="shared" si="3"/>
        <v>2.246284746569791</v>
      </c>
      <c r="V4" s="131">
        <f t="shared" si="3"/>
        <v>1.992570875209728</v>
      </c>
      <c r="W4" s="131">
        <f t="shared" si="3"/>
        <v>1.5614917992229338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23.981111278730605</v>
      </c>
      <c r="D7" s="133">
        <v>27.724492340954107</v>
      </c>
      <c r="E7" s="133">
        <v>23.361974010593602</v>
      </c>
      <c r="F7" s="133">
        <v>26.95392467103909</v>
      </c>
      <c r="G7" s="133">
        <v>20.369256367508047</v>
      </c>
      <c r="H7" s="133">
        <v>15.978446867937313</v>
      </c>
      <c r="I7" s="133">
        <v>10.311397930646985</v>
      </c>
      <c r="J7" s="133">
        <v>17.628196598525744</v>
      </c>
      <c r="K7" s="133">
        <v>3.2570599623966481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1.8359407205739047</v>
      </c>
      <c r="S7" s="133">
        <v>1.4697173806046369</v>
      </c>
      <c r="T7" s="133">
        <v>3.0336923938878417</v>
      </c>
      <c r="U7" s="133">
        <v>2.246284746569791</v>
      </c>
      <c r="V7" s="133">
        <v>1.992570875209728</v>
      </c>
      <c r="W7" s="133">
        <v>1.2357089452140457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16.13976534551195</v>
      </c>
      <c r="D9" s="133">
        <v>11.455988739492051</v>
      </c>
      <c r="E9" s="133">
        <v>1.1789245669226875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0.99801558125036083</v>
      </c>
      <c r="L9" s="133">
        <v>1.0349842993696685</v>
      </c>
      <c r="M9" s="133">
        <v>1.5638693172185916</v>
      </c>
      <c r="N9" s="133">
        <v>4.2441913033602501E-2</v>
      </c>
      <c r="O9" s="133">
        <v>1.2114880355610194</v>
      </c>
      <c r="P9" s="133">
        <v>3.092372516118139</v>
      </c>
      <c r="Q9" s="133">
        <v>3.1974439749635604</v>
      </c>
      <c r="R9" s="133">
        <v>1.7019786212144583</v>
      </c>
      <c r="S9" s="133">
        <v>0</v>
      </c>
      <c r="T9" s="133">
        <v>0</v>
      </c>
      <c r="U9" s="133">
        <v>0</v>
      </c>
      <c r="V9" s="133">
        <v>0</v>
      </c>
      <c r="W9" s="133">
        <v>0.32578285400888796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2.3070760503315628</v>
      </c>
      <c r="D19" s="131">
        <f t="shared" si="6"/>
        <v>3.6387022818517551</v>
      </c>
      <c r="E19" s="131">
        <f t="shared" si="6"/>
        <v>2.8146085530435183</v>
      </c>
      <c r="F19" s="131">
        <f t="shared" si="6"/>
        <v>3.7527821341527465</v>
      </c>
      <c r="G19" s="131">
        <f t="shared" si="6"/>
        <v>2.8779759949460884</v>
      </c>
      <c r="H19" s="131">
        <f t="shared" si="6"/>
        <v>4.4132186127719315</v>
      </c>
      <c r="I19" s="131">
        <f t="shared" si="6"/>
        <v>5.5661767412214225</v>
      </c>
      <c r="J19" s="131">
        <f t="shared" si="6"/>
        <v>2.0255637248042078</v>
      </c>
      <c r="K19" s="131">
        <f t="shared" si="6"/>
        <v>0.42612236170169038</v>
      </c>
      <c r="L19" s="131">
        <f t="shared" si="6"/>
        <v>0.36913630703879619</v>
      </c>
      <c r="M19" s="131">
        <f t="shared" si="6"/>
        <v>0.16416961154373086</v>
      </c>
      <c r="N19" s="131">
        <f t="shared" si="6"/>
        <v>0.14016254024809005</v>
      </c>
      <c r="O19" s="131">
        <f t="shared" si="6"/>
        <v>0.12320996814314433</v>
      </c>
      <c r="P19" s="131">
        <f t="shared" si="6"/>
        <v>3.7872873811628606E-2</v>
      </c>
      <c r="Q19" s="131">
        <f t="shared" si="6"/>
        <v>0.12370609650807557</v>
      </c>
      <c r="R19" s="131">
        <f t="shared" ref="R19:W19" si="7">SUM(R20:R27)</f>
        <v>0.85220143004143811</v>
      </c>
      <c r="S19" s="131">
        <f t="shared" si="7"/>
        <v>0.81157794876548217</v>
      </c>
      <c r="T19" s="131">
        <f t="shared" si="7"/>
        <v>1.5195744971264888</v>
      </c>
      <c r="U19" s="131">
        <f t="shared" si="7"/>
        <v>1.024875952664547</v>
      </c>
      <c r="V19" s="131">
        <f t="shared" si="7"/>
        <v>0.97421001978757193</v>
      </c>
      <c r="W19" s="131">
        <f t="shared" si="7"/>
        <v>0.57403847423926424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0.56691750590095369</v>
      </c>
      <c r="D21" s="133">
        <v>1.3610684532381383</v>
      </c>
      <c r="E21" s="133">
        <v>0.69493587355378172</v>
      </c>
      <c r="F21" s="133">
        <v>0.92804770087587007</v>
      </c>
      <c r="G21" s="133">
        <v>0.68745913518985846</v>
      </c>
      <c r="H21" s="133">
        <v>0.93017995447495583</v>
      </c>
      <c r="I21" s="133">
        <v>0.99304792149628451</v>
      </c>
      <c r="J21" s="133">
        <v>0.56453003126755386</v>
      </c>
      <c r="K21" s="133">
        <v>0.23382672327958975</v>
      </c>
      <c r="L21" s="133">
        <v>0.2669637255986283</v>
      </c>
      <c r="M21" s="133">
        <v>0.12905833964913138</v>
      </c>
      <c r="N21" s="133">
        <v>0.12766547481525081</v>
      </c>
      <c r="O21" s="133">
        <v>0.11071123008716877</v>
      </c>
      <c r="P21" s="133">
        <v>0</v>
      </c>
      <c r="Q21" s="133">
        <v>8.9761721656151386E-2</v>
      </c>
      <c r="R21" s="133">
        <v>0.40934097759504273</v>
      </c>
      <c r="S21" s="133">
        <v>0.43212564455081315</v>
      </c>
      <c r="T21" s="133">
        <v>0.65510717826688603</v>
      </c>
      <c r="U21" s="133">
        <v>0.53111347139460552</v>
      </c>
      <c r="V21" s="133">
        <v>0.24675280005369926</v>
      </c>
      <c r="W21" s="133">
        <v>3.9828715022360635E-2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1.6588505891686285</v>
      </c>
      <c r="D22" s="133">
        <v>2.1751677344486748</v>
      </c>
      <c r="E22" s="133">
        <v>2.0302041387879828</v>
      </c>
      <c r="F22" s="133">
        <v>2.6986168324384043</v>
      </c>
      <c r="G22" s="133">
        <v>2.0734482309342082</v>
      </c>
      <c r="H22" s="133">
        <v>3.3318336439043668</v>
      </c>
      <c r="I22" s="133">
        <v>4.3408326620621116</v>
      </c>
      <c r="J22" s="133">
        <v>1.265272758517183</v>
      </c>
      <c r="K22" s="133">
        <v>3.3586816402728668E-2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0.38095428852360402</v>
      </c>
      <c r="S22" s="133">
        <v>0.37945230421466902</v>
      </c>
      <c r="T22" s="133">
        <v>0.86446731885960282</v>
      </c>
      <c r="U22" s="133">
        <v>0.4937624812699416</v>
      </c>
      <c r="V22" s="133">
        <v>0.72745721973387267</v>
      </c>
      <c r="W22" s="133">
        <v>0.53420975921690361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8.1307955261980869E-2</v>
      </c>
      <c r="D23" s="133">
        <v>0.10246609416494158</v>
      </c>
      <c r="E23" s="133">
        <v>8.9468540701753793E-2</v>
      </c>
      <c r="F23" s="133">
        <v>0.12611760083847218</v>
      </c>
      <c r="G23" s="133">
        <v>0.11706862882202193</v>
      </c>
      <c r="H23" s="133">
        <v>0.15120501439260914</v>
      </c>
      <c r="I23" s="133">
        <v>0.23229615766302647</v>
      </c>
      <c r="J23" s="133">
        <v>0.19576093501947112</v>
      </c>
      <c r="K23" s="133">
        <v>0.158708822019372</v>
      </c>
      <c r="L23" s="133">
        <v>0.1021725814401679</v>
      </c>
      <c r="M23" s="133">
        <v>3.5111271894599484E-2</v>
      </c>
      <c r="N23" s="133">
        <v>1.2497065432839242E-2</v>
      </c>
      <c r="O23" s="133">
        <v>1.2498738055975567E-2</v>
      </c>
      <c r="P23" s="133">
        <v>3.7872873811628606E-2</v>
      </c>
      <c r="Q23" s="133">
        <v>3.3944374851924176E-2</v>
      </c>
      <c r="R23" s="133">
        <v>6.1906163922791323E-2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2.0754659073562194</v>
      </c>
      <c r="D29" s="131">
        <f t="shared" si="8"/>
        <v>0.70376444563612428</v>
      </c>
      <c r="E29" s="131">
        <f t="shared" si="8"/>
        <v>0.2295560212788835</v>
      </c>
      <c r="F29" s="131">
        <f t="shared" si="8"/>
        <v>0</v>
      </c>
      <c r="G29" s="131">
        <f t="shared" si="8"/>
        <v>0.60772229317277471</v>
      </c>
      <c r="H29" s="131">
        <f t="shared" si="8"/>
        <v>0.97755949661549613</v>
      </c>
      <c r="I29" s="131">
        <f t="shared" si="8"/>
        <v>7.8786780224089918</v>
      </c>
      <c r="J29" s="131">
        <f t="shared" si="8"/>
        <v>1.8430645641239984</v>
      </c>
      <c r="K29" s="131">
        <f t="shared" si="8"/>
        <v>0.91776763958744301</v>
      </c>
      <c r="L29" s="131">
        <f t="shared" si="8"/>
        <v>0.86968699541283145</v>
      </c>
      <c r="M29" s="131">
        <f t="shared" si="8"/>
        <v>8.1122218239304253E-2</v>
      </c>
      <c r="N29" s="131">
        <f t="shared" si="8"/>
        <v>0.12220003282732753</v>
      </c>
      <c r="O29" s="131">
        <f t="shared" si="8"/>
        <v>0.25233026763219174</v>
      </c>
      <c r="P29" s="131">
        <f t="shared" si="8"/>
        <v>0.75011678455155362</v>
      </c>
      <c r="Q29" s="131">
        <f t="shared" si="8"/>
        <v>0.45455542852813241</v>
      </c>
      <c r="R29" s="131">
        <f t="shared" ref="R29:W29" si="9">SUM(R30:R33)</f>
        <v>0.48805838999773377</v>
      </c>
      <c r="S29" s="131">
        <f t="shared" si="9"/>
        <v>1.3096759715474193</v>
      </c>
      <c r="T29" s="131">
        <f t="shared" si="9"/>
        <v>1.743546612950035</v>
      </c>
      <c r="U29" s="131">
        <f t="shared" si="9"/>
        <v>1.7580121360900423</v>
      </c>
      <c r="V29" s="131">
        <f t="shared" si="9"/>
        <v>0.75288095368913843</v>
      </c>
      <c r="W29" s="131">
        <f t="shared" si="9"/>
        <v>0.32752194677605218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0.60772229317277471</v>
      </c>
      <c r="H30" s="133">
        <v>0.97755949661549613</v>
      </c>
      <c r="I30" s="133">
        <v>7.8786780224089918</v>
      </c>
      <c r="J30" s="133">
        <v>1.8430645641239984</v>
      </c>
      <c r="K30" s="133">
        <v>0.817086282331278</v>
      </c>
      <c r="L30" s="133">
        <v>0.71982779280623199</v>
      </c>
      <c r="M30" s="133">
        <v>0</v>
      </c>
      <c r="N30" s="133">
        <v>5.5094719018173085E-3</v>
      </c>
      <c r="O30" s="133">
        <v>0</v>
      </c>
      <c r="P30" s="133">
        <v>3.058740294074813E-3</v>
      </c>
      <c r="Q30" s="133">
        <v>3.2813577315452917E-2</v>
      </c>
      <c r="R30" s="133">
        <v>0.44220956941389722</v>
      </c>
      <c r="S30" s="133">
        <v>1.3096759715474193</v>
      </c>
      <c r="T30" s="133">
        <v>1.743546612950035</v>
      </c>
      <c r="U30" s="133">
        <v>1.7580121360900423</v>
      </c>
      <c r="V30" s="133">
        <v>0.75288095368913843</v>
      </c>
      <c r="W30" s="133">
        <v>0.32752194677605218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2.0754659073562194</v>
      </c>
      <c r="D31" s="133">
        <v>0.70376444563612428</v>
      </c>
      <c r="E31" s="133">
        <v>0.2295560212788835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0.10068135725616502</v>
      </c>
      <c r="L31" s="133">
        <v>0.14985920260659943</v>
      </c>
      <c r="M31" s="133">
        <v>8.1122218239304253E-2</v>
      </c>
      <c r="N31" s="133">
        <v>0.11669056092551022</v>
      </c>
      <c r="O31" s="133">
        <v>0.25233026763219174</v>
      </c>
      <c r="P31" s="133">
        <v>0.74705804425747879</v>
      </c>
      <c r="Q31" s="133">
        <v>0.42174185121267949</v>
      </c>
      <c r="R31" s="133">
        <v>4.584882058383654E-2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376488.75630414445</v>
      </c>
      <c r="D3" s="126">
        <f>IF(SER_hh_fec_in!D3=0,0,11630*1000*SER_hh_fec_in!D3/SER_hh_num_in!D3)</f>
        <v>333943.44819497759</v>
      </c>
      <c r="E3" s="126">
        <f>IF(SER_hh_fec_in!E3=0,0,11630*1000*SER_hh_fec_in!E3/SER_hh_num_in!E3)</f>
        <v>227654.29365918736</v>
      </c>
      <c r="F3" s="126">
        <f>IF(SER_hh_fec_in!F3=0,0,11630*1000*SER_hh_fec_in!F3/SER_hh_num_in!F3)</f>
        <v>212247.78647334807</v>
      </c>
      <c r="G3" s="126">
        <f>IF(SER_hh_fec_in!G3=0,0,11630*1000*SER_hh_fec_in!G3/SER_hh_num_in!G3)</f>
        <v>179090.04883789006</v>
      </c>
      <c r="H3" s="126">
        <f>IF(SER_hh_fec_in!H3=0,0,11630*1000*SER_hh_fec_in!H3/SER_hh_num_in!H3)</f>
        <v>142466.59453412154</v>
      </c>
      <c r="I3" s="126">
        <f>IF(SER_hh_fec_in!I3=0,0,11630*1000*SER_hh_fec_in!I3/SER_hh_num_in!I3)</f>
        <v>122729.42474640676</v>
      </c>
      <c r="J3" s="126">
        <f>IF(SER_hh_fec_in!J3=0,0,11630*1000*SER_hh_fec_in!J3/SER_hh_num_in!J3)</f>
        <v>154659.74306745568</v>
      </c>
      <c r="K3" s="126">
        <f>IF(SER_hh_fec_in!K3=0,0,11630*1000*SER_hh_fec_in!K3/SER_hh_num_in!K3)</f>
        <v>137235.8882305607</v>
      </c>
      <c r="L3" s="126">
        <f>IF(SER_hh_fec_in!L3=0,0,11630*1000*SER_hh_fec_in!L3/SER_hh_num_in!L3)</f>
        <v>151746.07740941775</v>
      </c>
      <c r="M3" s="126">
        <f>IF(SER_hh_fec_in!M3=0,0,11630*1000*SER_hh_fec_in!M3/SER_hh_num_in!M3)</f>
        <v>142064.61308827117</v>
      </c>
      <c r="N3" s="126">
        <f>IF(SER_hh_fec_in!N3=0,0,11630*1000*SER_hh_fec_in!N3/SER_hh_num_in!N3)</f>
        <v>114183.27887414006</v>
      </c>
      <c r="O3" s="126">
        <f>IF(SER_hh_fec_in!O3=0,0,11630*1000*SER_hh_fec_in!O3/SER_hh_num_in!O3)</f>
        <v>115782.66672005308</v>
      </c>
      <c r="P3" s="126">
        <f>IF(SER_hh_fec_in!P3=0,0,11630*1000*SER_hh_fec_in!P3/SER_hh_num_in!P3)</f>
        <v>102031.80002476017</v>
      </c>
      <c r="Q3" s="126">
        <f>IF(SER_hh_fec_in!Q3=0,0,11630*1000*SER_hh_fec_in!Q3/SER_hh_num_in!Q3)</f>
        <v>107885.96182640272</v>
      </c>
      <c r="R3" s="126">
        <f>IF(SER_hh_fec_in!R3=0,0,11630*1000*SER_hh_fec_in!R3/SER_hh_num_in!R3)</f>
        <v>105886.88859458275</v>
      </c>
      <c r="S3" s="126">
        <f>IF(SER_hh_fec_in!S3=0,0,11630*1000*SER_hh_fec_in!S3/SER_hh_num_in!S3)</f>
        <v>99365.430420213495</v>
      </c>
      <c r="T3" s="126">
        <f>IF(SER_hh_fec_in!T3=0,0,11630*1000*SER_hh_fec_in!T3/SER_hh_num_in!T3)</f>
        <v>101072.18226718303</v>
      </c>
      <c r="U3" s="126">
        <f>IF(SER_hh_fec_in!U3=0,0,11630*1000*SER_hh_fec_in!U3/SER_hh_num_in!U3)</f>
        <v>92008.481982957266</v>
      </c>
      <c r="V3" s="126">
        <f>IF(SER_hh_fec_in!V3=0,0,11630*1000*SER_hh_fec_in!V3/SER_hh_num_in!V3)</f>
        <v>79394.731718183772</v>
      </c>
      <c r="W3" s="126">
        <f>IF(SER_hh_fec_in!W3=0,0,11630*1000*SER_hh_fec_in!W3/SER_hh_num_in!W3)</f>
        <v>72051.08447895768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322056.8302413784</v>
      </c>
      <c r="D4" s="131">
        <f>IF(SER_hh_fec_in!D4=0,0,11630*1000*SER_hh_fec_in!D4/SER_hh_num_in!D4)</f>
        <v>282483.62307047704</v>
      </c>
      <c r="E4" s="131">
        <f>IF(SER_hh_fec_in!E4=0,0,11630*1000*SER_hh_fec_in!E4/SER_hh_num_in!E4)</f>
        <v>174161.08474178586</v>
      </c>
      <c r="F4" s="131">
        <f>IF(SER_hh_fec_in!F4=0,0,11630*1000*SER_hh_fec_in!F4/SER_hh_num_in!F4)</f>
        <v>167095.39743094519</v>
      </c>
      <c r="G4" s="131">
        <f>IF(SER_hh_fec_in!G4=0,0,11630*1000*SER_hh_fec_in!G4/SER_hh_num_in!G4)</f>
        <v>132092.9308459374</v>
      </c>
      <c r="H4" s="131">
        <f>IF(SER_hh_fec_in!H4=0,0,11630*1000*SER_hh_fec_in!H4/SER_hh_num_in!H4)</f>
        <v>96692.777523454744</v>
      </c>
      <c r="I4" s="131">
        <f>IF(SER_hh_fec_in!I4=0,0,11630*1000*SER_hh_fec_in!I4/SER_hh_num_in!I4)</f>
        <v>71502.913043506225</v>
      </c>
      <c r="J4" s="131">
        <f>IF(SER_hh_fec_in!J4=0,0,11630*1000*SER_hh_fec_in!J4/SER_hh_num_in!J4)</f>
        <v>110942.36135414265</v>
      </c>
      <c r="K4" s="131">
        <f>IF(SER_hh_fec_in!K4=0,0,11630*1000*SER_hh_fec_in!K4/SER_hh_num_in!K4)</f>
        <v>94117.46234316405</v>
      </c>
      <c r="L4" s="131">
        <f>IF(SER_hh_fec_in!L4=0,0,11630*1000*SER_hh_fec_in!L4/SER_hh_num_in!L4)</f>
        <v>109021.36166596884</v>
      </c>
      <c r="M4" s="131">
        <f>IF(SER_hh_fec_in!M4=0,0,11630*1000*SER_hh_fec_in!M4/SER_hh_num_in!M4)</f>
        <v>99658.16464270353</v>
      </c>
      <c r="N4" s="131">
        <f>IF(SER_hh_fec_in!N4=0,0,11630*1000*SER_hh_fec_in!N4/SER_hh_num_in!N4)</f>
        <v>73253.738496106947</v>
      </c>
      <c r="O4" s="131">
        <f>IF(SER_hh_fec_in!O4=0,0,11630*1000*SER_hh_fec_in!O4/SER_hh_num_in!O4)</f>
        <v>73487.881671284573</v>
      </c>
      <c r="P4" s="131">
        <f>IF(SER_hh_fec_in!P4=0,0,11630*1000*SER_hh_fec_in!P4/SER_hh_num_in!P4)</f>
        <v>60176.827366894082</v>
      </c>
      <c r="Q4" s="131">
        <f>IF(SER_hh_fec_in!Q4=0,0,11630*1000*SER_hh_fec_in!Q4/SER_hh_num_in!Q4)</f>
        <v>65106.88098347417</v>
      </c>
      <c r="R4" s="131">
        <f>IF(SER_hh_fec_in!R4=0,0,11630*1000*SER_hh_fec_in!R4/SER_hh_num_in!R4)</f>
        <v>66179.596672427157</v>
      </c>
      <c r="S4" s="131">
        <f>IF(SER_hh_fec_in!S4=0,0,11630*1000*SER_hh_fec_in!S4/SER_hh_num_in!S4)</f>
        <v>57003.948625022575</v>
      </c>
      <c r="T4" s="131">
        <f>IF(SER_hh_fec_in!T4=0,0,11630*1000*SER_hh_fec_in!T4/SER_hh_num_in!T4)</f>
        <v>56782.726714357814</v>
      </c>
      <c r="U4" s="131">
        <f>IF(SER_hh_fec_in!U4=0,0,11630*1000*SER_hh_fec_in!U4/SER_hh_num_in!U4)</f>
        <v>47312.144984029721</v>
      </c>
      <c r="V4" s="131">
        <f>IF(SER_hh_fec_in!V4=0,0,11630*1000*SER_hh_fec_in!V4/SER_hh_num_in!V4)</f>
        <v>40520.732928437006</v>
      </c>
      <c r="W4" s="131">
        <f>IF(SER_hh_fec_in!W4=0,0,11630*1000*SER_hh_fec_in!W4/SER_hh_num_in!W4)</f>
        <v>33987.732846324951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359464.02156819165</v>
      </c>
      <c r="D7" s="133">
        <f>IF(SER_hh_fec_in!D7=0,0,11630*1000*SER_hh_fec_in!D7/SER_hh_num_in!D7)</f>
        <v>280563.01252260566</v>
      </c>
      <c r="E7" s="133">
        <f>IF(SER_hh_fec_in!E7=0,0,11630*1000*SER_hh_fec_in!E7/SER_hh_num_in!E7)</f>
        <v>190529.49613718016</v>
      </c>
      <c r="F7" s="133">
        <f>IF(SER_hh_fec_in!F7=0,0,11630*1000*SER_hh_fec_in!F7/SER_hh_num_in!F7)</f>
        <v>177221.19664439603</v>
      </c>
      <c r="G7" s="133">
        <f>IF(SER_hh_fec_in!G7=0,0,11630*1000*SER_hh_fec_in!G7/SER_hh_num_in!G7)</f>
        <v>155914.84609805513</v>
      </c>
      <c r="H7" s="133">
        <f>IF(SER_hh_fec_in!H7=0,0,11630*1000*SER_hh_fec_in!H7/SER_hh_num_in!H7)</f>
        <v>122333.5446418931</v>
      </c>
      <c r="I7" s="133">
        <f>IF(SER_hh_fec_in!I7=0,0,11630*1000*SER_hh_fec_in!I7/SER_hh_num_in!I7)</f>
        <v>70871.303139842901</v>
      </c>
      <c r="J7" s="133">
        <f>IF(SER_hh_fec_in!J7=0,0,11630*1000*SER_hh_fec_in!J7/SER_hh_num_in!J7)</f>
        <v>124331.45786980267</v>
      </c>
      <c r="K7" s="133">
        <f>IF(SER_hh_fec_in!K7=0,0,11630*1000*SER_hh_fec_in!K7/SER_hh_num_in!K7)</f>
        <v>114103.34724974245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73592.643339921706</v>
      </c>
      <c r="S7" s="133">
        <f>IF(SER_hh_fec_in!S7=0,0,11630*1000*SER_hh_fec_in!S7/SER_hh_num_in!S7)</f>
        <v>57013.865082707023</v>
      </c>
      <c r="T7" s="133">
        <f>IF(SER_hh_fec_in!T7=0,0,11630*1000*SER_hh_fec_in!T7/SER_hh_num_in!T7)</f>
        <v>60541.336043253432</v>
      </c>
      <c r="U7" s="133">
        <f>IF(SER_hh_fec_in!U7=0,0,11630*1000*SER_hh_fec_in!U7/SER_hh_num_in!U7)</f>
        <v>49893.136754317769</v>
      </c>
      <c r="V7" s="133">
        <f>IF(SER_hh_fec_in!V7=0,0,11630*1000*SER_hh_fec_in!V7/SER_hh_num_in!V7)</f>
        <v>54354.152401132887</v>
      </c>
      <c r="W7" s="133">
        <f>IF(SER_hh_fec_in!W7=0,0,11630*1000*SER_hh_fec_in!W7/SER_hh_num_in!W7)</f>
        <v>33796.046708782269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332494.4163536561</v>
      </c>
      <c r="D9" s="133">
        <f>IF(SER_hh_fec_in!D9=0,0,11630*1000*SER_hh_fec_in!D9/SER_hh_num_in!D9)</f>
        <v>321363.98992884695</v>
      </c>
      <c r="E9" s="133">
        <f>IF(SER_hh_fec_in!E9=0,0,11630*1000*SER_hh_fec_in!E9/SER_hh_num_in!E9)</f>
        <v>151067.39614137981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89348.330665231828</v>
      </c>
      <c r="L9" s="133">
        <f>IF(SER_hh_fec_in!L9=0,0,11630*1000*SER_hh_fec_in!L9/SER_hh_num_in!L9)</f>
        <v>105340.14518542505</v>
      </c>
      <c r="M9" s="133">
        <f>IF(SER_hh_fec_in!M9=0,0,11630*1000*SER_hh_fec_in!M9/SER_hh_num_in!M9)</f>
        <v>145792.84157708395</v>
      </c>
      <c r="N9" s="133">
        <f>IF(SER_hh_fec_in!N9=0,0,11630*1000*SER_hh_fec_in!N9/SER_hh_num_in!N9)</f>
        <v>39451.158090555989</v>
      </c>
      <c r="O9" s="133">
        <f>IF(SER_hh_fec_in!O9=0,0,11630*1000*SER_hh_fec_in!O9/SER_hh_num_in!O9)</f>
        <v>76518.829706664415</v>
      </c>
      <c r="P9" s="133">
        <f>IF(SER_hh_fec_in!P9=0,0,11630*1000*SER_hh_fec_in!P9/SER_hh_num_in!P9)</f>
        <v>60950.140985944556</v>
      </c>
      <c r="Q9" s="133">
        <f>IF(SER_hh_fec_in!Q9=0,0,11630*1000*SER_hh_fec_in!Q9/SER_hh_num_in!Q9)</f>
        <v>69204.811185024635</v>
      </c>
      <c r="R9" s="133">
        <f>IF(SER_hh_fec_in!R9=0,0,11630*1000*SER_hh_fec_in!R9/SER_hh_num_in!R9)</f>
        <v>82018.564073287664</v>
      </c>
      <c r="S9" s="133">
        <f>IF(SER_hh_fec_in!S9=0,0,11630*1000*SER_hh_fec_in!S9/SER_hh_num_in!S9)</f>
        <v>0</v>
      </c>
      <c r="T9" s="133">
        <f>IF(SER_hh_fec_in!T9=0,0,11630*1000*SER_hh_fec_in!T9/SER_hh_num_in!T9)</f>
        <v>0</v>
      </c>
      <c r="U9" s="133">
        <f>IF(SER_hh_fec_in!U9=0,0,11630*1000*SER_hh_fec_in!U9/SER_hh_num_in!U9)</f>
        <v>0</v>
      </c>
      <c r="V9" s="133">
        <f>IF(SER_hh_fec_in!V9=0,0,11630*1000*SER_hh_fec_in!V9/SER_hh_num_in!V9)</f>
        <v>0</v>
      </c>
      <c r="W9" s="133">
        <f>IF(SER_hh_fec_in!W9=0,0,11630*1000*SER_hh_fec_in!W9/SER_hh_num_in!W9)</f>
        <v>32819.754111859234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386754.6545661533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163502.93633194861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127015.20564481092</v>
      </c>
      <c r="M11" s="133">
        <f>IF(SER_hh_fec_in!M11=0,0,11630*1000*SER_hh_fec_in!M11/SER_hh_num_in!M11)</f>
        <v>97130.837781392373</v>
      </c>
      <c r="N11" s="133">
        <f>IF(SER_hh_fec_in!N11=0,0,11630*1000*SER_hh_fec_in!N11/SER_hh_num_in!N11)</f>
        <v>61733.461964757546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48238.173270841296</v>
      </c>
      <c r="U11" s="133">
        <f>IF(SER_hh_fec_in!U11=0,0,11630*1000*SER_hh_fec_in!U11/SER_hh_num_in!U11)</f>
        <v>48116.603977747553</v>
      </c>
      <c r="V11" s="133">
        <f>IF(SER_hh_fec_in!V11=0,0,11630*1000*SER_hh_fec_in!V11/SER_hh_num_in!V11)</f>
        <v>31564.399775490623</v>
      </c>
      <c r="W11" s="133">
        <f>IF(SER_hh_fec_in!W11=0,0,11630*1000*SER_hh_fec_in!W11/SER_hh_num_in!W11)</f>
        <v>26745.760380481464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124196.63326051063</v>
      </c>
      <c r="G12" s="133">
        <f>IF(SER_hh_fec_in!G12=0,0,11630*1000*SER_hh_fec_in!G12/SER_hh_num_in!G12)</f>
        <v>83244.751341284282</v>
      </c>
      <c r="H12" s="133">
        <f>IF(SER_hh_fec_in!H12=0,0,11630*1000*SER_hh_fec_in!H12/SER_hh_num_in!H12)</f>
        <v>99575.668112256753</v>
      </c>
      <c r="I12" s="133">
        <f>IF(SER_hh_fec_in!I12=0,0,11630*1000*SER_hh_fec_in!I12/SER_hh_num_in!I12)</f>
        <v>57078.090624002332</v>
      </c>
      <c r="J12" s="133">
        <f>IF(SER_hh_fec_in!J12=0,0,11630*1000*SER_hh_fec_in!J12/SER_hh_num_in!J12)</f>
        <v>55384.413392237555</v>
      </c>
      <c r="K12" s="133">
        <f>IF(SER_hh_fec_in!K12=0,0,11630*1000*SER_hh_fec_in!K12/SER_hh_num_in!K12)</f>
        <v>81357.391384797651</v>
      </c>
      <c r="L12" s="133">
        <f>IF(SER_hh_fec_in!L12=0,0,11630*1000*SER_hh_fec_in!L12/SER_hh_num_in!L12)</f>
        <v>89767.899936666654</v>
      </c>
      <c r="M12" s="133">
        <f>IF(SER_hh_fec_in!M12=0,0,11630*1000*SER_hh_fec_in!M12/SER_hh_num_in!M12)</f>
        <v>82827.114222685646</v>
      </c>
      <c r="N12" s="133">
        <f>IF(SER_hh_fec_in!N12=0,0,11630*1000*SER_hh_fec_in!N12/SER_hh_num_in!N12)</f>
        <v>72854.117398661037</v>
      </c>
      <c r="O12" s="133">
        <f>IF(SER_hh_fec_in!O12=0,0,11630*1000*SER_hh_fec_in!O12/SER_hh_num_in!O12)</f>
        <v>70858.659759593225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55211.710231655008</v>
      </c>
      <c r="R12" s="133">
        <f>IF(SER_hh_fec_in!R12=0,0,11630*1000*SER_hh_fec_in!R12/SER_hh_num_in!R12)</f>
        <v>50658.948948966754</v>
      </c>
      <c r="S12" s="133">
        <f>IF(SER_hh_fec_in!S12=0,0,11630*1000*SER_hh_fec_in!S12/SER_hh_num_in!S12)</f>
        <v>54943.529969495721</v>
      </c>
      <c r="T12" s="133">
        <f>IF(SER_hh_fec_in!T12=0,0,11630*1000*SER_hh_fec_in!T12/SER_hh_num_in!T12)</f>
        <v>52969.271572966427</v>
      </c>
      <c r="U12" s="133">
        <f>IF(SER_hh_fec_in!U12=0,0,11630*1000*SER_hh_fec_in!U12/SER_hh_num_in!U12)</f>
        <v>40501.897966404889</v>
      </c>
      <c r="V12" s="133">
        <f>IF(SER_hh_fec_in!V12=0,0,11630*1000*SER_hh_fec_in!V12/SER_hh_num_in!V12)</f>
        <v>35790.58609448425</v>
      </c>
      <c r="W12" s="133">
        <f>IF(SER_hh_fec_in!W12=0,0,11630*1000*SER_hh_fec_in!W12/SER_hh_num_in!W12)</f>
        <v>35588.039396226421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212331.54617093489</v>
      </c>
      <c r="D14" s="65">
        <f>IF(SER_hh_fec_in!D14=0,0,11630*1000*SER_hh_fec_in!D14/SER_hh_num_in!D14)</f>
        <v>256568.24402966644</v>
      </c>
      <c r="E14" s="65">
        <f>IF(SER_hh_fec_in!E14=0,0,11630*1000*SER_hh_fec_in!E14/SER_hh_num_in!E14)</f>
        <v>119415.30942443818</v>
      </c>
      <c r="F14" s="65">
        <f>IF(SER_hh_fec_in!F14=0,0,11630*1000*SER_hh_fec_in!F14/SER_hh_num_in!F14)</f>
        <v>148965.31431716928</v>
      </c>
      <c r="G14" s="65">
        <f>IF(SER_hh_fec_in!G14=0,0,11630*1000*SER_hh_fec_in!G14/SER_hh_num_in!G14)</f>
        <v>99052.196470248397</v>
      </c>
      <c r="H14" s="65">
        <f>IF(SER_hh_fec_in!H14=0,0,11630*1000*SER_hh_fec_in!H14/SER_hh_num_in!H14)</f>
        <v>74085.02548911066</v>
      </c>
      <c r="I14" s="65">
        <f>IF(SER_hh_fec_in!I14=0,0,11630*1000*SER_hh_fec_in!I14/SER_hh_num_in!I14)</f>
        <v>72218.898074977871</v>
      </c>
      <c r="J14" s="65">
        <f>IF(SER_hh_fec_in!J14=0,0,11630*1000*SER_hh_fec_in!J14/SER_hh_num_in!J14)</f>
        <v>99198.455993836236</v>
      </c>
      <c r="K14" s="65">
        <f>IF(SER_hh_fec_in!K14=0,0,11630*1000*SER_hh_fec_in!K14/SER_hh_num_in!K14)</f>
        <v>89072.768096444663</v>
      </c>
      <c r="L14" s="65">
        <f>IF(SER_hh_fec_in!L14=0,0,11630*1000*SER_hh_fec_in!L14/SER_hh_num_in!L14)</f>
        <v>91983.435774640748</v>
      </c>
      <c r="M14" s="65">
        <f>IF(SER_hh_fec_in!M14=0,0,11630*1000*SER_hh_fec_in!M14/SER_hh_num_in!M14)</f>
        <v>90708.222575486609</v>
      </c>
      <c r="N14" s="65">
        <f>IF(SER_hh_fec_in!N14=0,0,11630*1000*SER_hh_fec_in!N14/SER_hh_num_in!N14)</f>
        <v>77161.967101703252</v>
      </c>
      <c r="O14" s="65">
        <f>IF(SER_hh_fec_in!O14=0,0,11630*1000*SER_hh_fec_in!O14/SER_hh_num_in!O14)</f>
        <v>70985.040908484109</v>
      </c>
      <c r="P14" s="65">
        <f>IF(SER_hh_fec_in!P14=0,0,11630*1000*SER_hh_fec_in!P14/SER_hh_num_in!P14)</f>
        <v>58337.077644120276</v>
      </c>
      <c r="Q14" s="65">
        <f>IF(SER_hh_fec_in!Q14=0,0,11630*1000*SER_hh_fec_in!Q14/SER_hh_num_in!Q14)</f>
        <v>56027.010469563043</v>
      </c>
      <c r="R14" s="65">
        <f>IF(SER_hh_fec_in!R14=0,0,11630*1000*SER_hh_fec_in!R14/SER_hh_num_in!R14)</f>
        <v>57035.585288777045</v>
      </c>
      <c r="S14" s="65">
        <f>IF(SER_hh_fec_in!S14=0,0,11630*1000*SER_hh_fec_in!S14/SER_hh_num_in!S14)</f>
        <v>57340.002798889655</v>
      </c>
      <c r="T14" s="65">
        <f>IF(SER_hh_fec_in!T14=0,0,11630*1000*SER_hh_fec_in!T14/SER_hh_num_in!T14)</f>
        <v>55493.34911549255</v>
      </c>
      <c r="U14" s="65">
        <f>IF(SER_hh_fec_in!U14=0,0,11630*1000*SER_hh_fec_in!U14/SER_hh_num_in!U14)</f>
        <v>47700.468763915997</v>
      </c>
      <c r="V14" s="65">
        <f>IF(SER_hh_fec_in!V14=0,0,11630*1000*SER_hh_fec_in!V14/SER_hh_num_in!V14)</f>
        <v>34282.511300142316</v>
      </c>
      <c r="W14" s="65">
        <f>IF(SER_hh_fec_in!W14=0,0,11630*1000*SER_hh_fec_in!W14/SER_hh_num_in!W14)</f>
        <v>33593.918229615963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3883.235701415867</v>
      </c>
      <c r="D15" s="135">
        <f>IF(SER_hh_fec_in!D15=0,0,11630*1000*SER_hh_fec_in!D15/SER_hh_num_in!D15)</f>
        <v>3222.5145029353248</v>
      </c>
      <c r="E15" s="135">
        <f>IF(SER_hh_fec_in!E15=0,0,11630*1000*SER_hh_fec_in!E15/SER_hh_num_in!E15)</f>
        <v>1959.7868681987482</v>
      </c>
      <c r="F15" s="135">
        <f>IF(SER_hh_fec_in!F15=0,0,11630*1000*SER_hh_fec_in!F15/SER_hh_num_in!F15)</f>
        <v>1822.2238906603159</v>
      </c>
      <c r="G15" s="135">
        <f>IF(SER_hh_fec_in!G15=0,0,11630*1000*SER_hh_fec_in!G15/SER_hh_num_in!G15)</f>
        <v>1492.9891690925865</v>
      </c>
      <c r="H15" s="135">
        <f>IF(SER_hh_fec_in!H15=0,0,11630*1000*SER_hh_fec_in!H15/SER_hh_num_in!H15)</f>
        <v>981.36124095845196</v>
      </c>
      <c r="I15" s="135">
        <f>IF(SER_hh_fec_in!I15=0,0,11630*1000*SER_hh_fec_in!I15/SER_hh_num_in!I15)</f>
        <v>675.21640963238735</v>
      </c>
      <c r="J15" s="135">
        <f>IF(SER_hh_fec_in!J15=0,0,11630*1000*SER_hh_fec_in!J15/SER_hh_num_in!J15)</f>
        <v>1155.6991894459277</v>
      </c>
      <c r="K15" s="135">
        <f>IF(SER_hh_fec_in!K15=0,0,11630*1000*SER_hh_fec_in!K15/SER_hh_num_in!K15)</f>
        <v>752.14048663686822</v>
      </c>
      <c r="L15" s="135">
        <f>IF(SER_hh_fec_in!L15=0,0,11630*1000*SER_hh_fec_in!L15/SER_hh_num_in!L15)</f>
        <v>522.67424426087007</v>
      </c>
      <c r="M15" s="135">
        <f>IF(SER_hh_fec_in!M15=0,0,11630*1000*SER_hh_fec_in!M15/SER_hh_num_in!M15)</f>
        <v>688.40718383876629</v>
      </c>
      <c r="N15" s="135">
        <f>IF(SER_hh_fec_in!N15=0,0,11630*1000*SER_hh_fec_in!N15/SER_hh_num_in!N15)</f>
        <v>271.91136690809452</v>
      </c>
      <c r="O15" s="135">
        <f>IF(SER_hh_fec_in!O15=0,0,11630*1000*SER_hh_fec_in!O15/SER_hh_num_in!O15)</f>
        <v>632.33706777771545</v>
      </c>
      <c r="P15" s="135">
        <f>IF(SER_hh_fec_in!P15=0,0,11630*1000*SER_hh_fec_in!P15/SER_hh_num_in!P15)</f>
        <v>746.23880016154294</v>
      </c>
      <c r="Q15" s="135">
        <f>IF(SER_hh_fec_in!Q15=0,0,11630*1000*SER_hh_fec_in!Q15/SER_hh_num_in!Q15)</f>
        <v>832.32151282866494</v>
      </c>
      <c r="R15" s="135">
        <f>IF(SER_hh_fec_in!R15=0,0,11630*1000*SER_hh_fec_in!R15/SER_hh_num_in!R15)</f>
        <v>906.71194412162276</v>
      </c>
      <c r="S15" s="135">
        <f>IF(SER_hh_fec_in!S15=0,0,11630*1000*SER_hh_fec_in!S15/SER_hh_num_in!S15)</f>
        <v>431.64043940180545</v>
      </c>
      <c r="T15" s="135">
        <f>IF(SER_hh_fec_in!T15=0,0,11630*1000*SER_hh_fec_in!T15/SER_hh_num_in!T15)</f>
        <v>542.40481686722228</v>
      </c>
      <c r="U15" s="135">
        <f>IF(SER_hh_fec_in!U15=0,0,11630*1000*SER_hh_fec_in!U15/SER_hh_num_in!U15)</f>
        <v>419.9088807969963</v>
      </c>
      <c r="V15" s="135">
        <f>IF(SER_hh_fec_in!V15=0,0,11630*1000*SER_hh_fec_in!V15/SER_hh_num_in!V15)</f>
        <v>395.33542136101715</v>
      </c>
      <c r="W15" s="135">
        <f>IF(SER_hh_fec_in!W15=0,0,11630*1000*SER_hh_fec_in!W15/SER_hh_num_in!W15)</f>
        <v>300.07058050711913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9882.8608931062608</v>
      </c>
      <c r="D16" s="131">
        <f>IF(SER_hh_fec_in!D16=0,0,11630*1000*SER_hh_fec_in!D16/SER_hh_num_in!D16)</f>
        <v>9464.7652341287176</v>
      </c>
      <c r="E16" s="131">
        <f>IF(SER_hh_fec_in!E16=0,0,11630*1000*SER_hh_fec_in!E16/SER_hh_num_in!E16)</f>
        <v>11568.204140400849</v>
      </c>
      <c r="F16" s="131">
        <f>IF(SER_hh_fec_in!F16=0,0,11630*1000*SER_hh_fec_in!F16/SER_hh_num_in!F16)</f>
        <v>8769.8372424129757</v>
      </c>
      <c r="G16" s="131">
        <f>IF(SER_hh_fec_in!G16=0,0,11630*1000*SER_hh_fec_in!G16/SER_hh_num_in!G16)</f>
        <v>8566.0871486849173</v>
      </c>
      <c r="H16" s="131">
        <f>IF(SER_hh_fec_in!H16=0,0,11630*1000*SER_hh_fec_in!H16/SER_hh_num_in!H16)</f>
        <v>8896.1219581839032</v>
      </c>
      <c r="I16" s="131">
        <f>IF(SER_hh_fec_in!I16=0,0,11630*1000*SER_hh_fec_in!I16/SER_hh_num_in!I16)</f>
        <v>8308.2820395068338</v>
      </c>
      <c r="J16" s="131">
        <f>IF(SER_hh_fec_in!J16=0,0,11630*1000*SER_hh_fec_in!J16/SER_hh_num_in!J16)</f>
        <v>7874.631665788892</v>
      </c>
      <c r="K16" s="131">
        <f>IF(SER_hh_fec_in!K16=0,0,11630*1000*SER_hh_fec_in!K16/SER_hh_num_in!K16)</f>
        <v>7544.246146907617</v>
      </c>
      <c r="L16" s="131">
        <f>IF(SER_hh_fec_in!L16=0,0,11630*1000*SER_hh_fec_in!L16/SER_hh_num_in!L16)</f>
        <v>7579.2755273076</v>
      </c>
      <c r="M16" s="131">
        <f>IF(SER_hh_fec_in!M16=0,0,11630*1000*SER_hh_fec_in!M16/SER_hh_num_in!M16)</f>
        <v>7192.0467367824031</v>
      </c>
      <c r="N16" s="131">
        <f>IF(SER_hh_fec_in!N16=0,0,11630*1000*SER_hh_fec_in!N16/SER_hh_num_in!N16)</f>
        <v>7670.6564491450372</v>
      </c>
      <c r="O16" s="131">
        <f>IF(SER_hh_fec_in!O16=0,0,11630*1000*SER_hh_fec_in!O16/SER_hh_num_in!O16)</f>
        <v>7446.9543011240748</v>
      </c>
      <c r="P16" s="131">
        <f>IF(SER_hh_fec_in!P16=0,0,11630*1000*SER_hh_fec_in!P16/SER_hh_num_in!P16)</f>
        <v>5668.8161490026787</v>
      </c>
      <c r="Q16" s="131">
        <f>IF(SER_hh_fec_in!Q16=0,0,11630*1000*SER_hh_fec_in!Q16/SER_hh_num_in!Q16)</f>
        <v>6683.8275539557708</v>
      </c>
      <c r="R16" s="131">
        <f>IF(SER_hh_fec_in!R16=0,0,11630*1000*SER_hh_fec_in!R16/SER_hh_num_in!R16)</f>
        <v>5257.3234952653029</v>
      </c>
      <c r="S16" s="131">
        <f>IF(SER_hh_fec_in!S16=0,0,11630*1000*SER_hh_fec_in!S16/SER_hh_num_in!S16)</f>
        <v>6103.3376218903441</v>
      </c>
      <c r="T16" s="131">
        <f>IF(SER_hh_fec_in!T16=0,0,11630*1000*SER_hh_fec_in!T16/SER_hh_num_in!T16)</f>
        <v>5139.2607557721994</v>
      </c>
      <c r="U16" s="131">
        <f>IF(SER_hh_fec_in!U16=0,0,11630*1000*SER_hh_fec_in!U16/SER_hh_num_in!U16)</f>
        <v>5287.956709881747</v>
      </c>
      <c r="V16" s="131">
        <f>IF(SER_hh_fec_in!V16=0,0,11630*1000*SER_hh_fec_in!V16/SER_hh_num_in!V16)</f>
        <v>4452.4845300906518</v>
      </c>
      <c r="W16" s="131">
        <f>IF(SER_hh_fec_in!W16=0,0,11630*1000*SER_hh_fec_in!W16/SER_hh_num_in!W16)</f>
        <v>4496.3284052513036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9882.8608931062608</v>
      </c>
      <c r="D18" s="133">
        <f>IF(SER_hh_fec_in!D18=0,0,11630*1000*SER_hh_fec_in!D18/SER_hh_num_in!D18)</f>
        <v>9464.7652341287176</v>
      </c>
      <c r="E18" s="133">
        <f>IF(SER_hh_fec_in!E18=0,0,11630*1000*SER_hh_fec_in!E18/SER_hh_num_in!E18)</f>
        <v>11568.204140400849</v>
      </c>
      <c r="F18" s="133">
        <f>IF(SER_hh_fec_in!F18=0,0,11630*1000*SER_hh_fec_in!F18/SER_hh_num_in!F18)</f>
        <v>8769.8372424129757</v>
      </c>
      <c r="G18" s="133">
        <f>IF(SER_hh_fec_in!G18=0,0,11630*1000*SER_hh_fec_in!G18/SER_hh_num_in!G18)</f>
        <v>8566.0871486849173</v>
      </c>
      <c r="H18" s="133">
        <f>IF(SER_hh_fec_in!H18=0,0,11630*1000*SER_hh_fec_in!H18/SER_hh_num_in!H18)</f>
        <v>8896.1219581839032</v>
      </c>
      <c r="I18" s="133">
        <f>IF(SER_hh_fec_in!I18=0,0,11630*1000*SER_hh_fec_in!I18/SER_hh_num_in!I18)</f>
        <v>8308.2820395068338</v>
      </c>
      <c r="J18" s="133">
        <f>IF(SER_hh_fec_in!J18=0,0,11630*1000*SER_hh_fec_in!J18/SER_hh_num_in!J18)</f>
        <v>7874.631665788892</v>
      </c>
      <c r="K18" s="133">
        <f>IF(SER_hh_fec_in!K18=0,0,11630*1000*SER_hh_fec_in!K18/SER_hh_num_in!K18)</f>
        <v>7544.246146907617</v>
      </c>
      <c r="L18" s="133">
        <f>IF(SER_hh_fec_in!L18=0,0,11630*1000*SER_hh_fec_in!L18/SER_hh_num_in!L18)</f>
        <v>7579.2755273076</v>
      </c>
      <c r="M18" s="133">
        <f>IF(SER_hh_fec_in!M18=0,0,11630*1000*SER_hh_fec_in!M18/SER_hh_num_in!M18)</f>
        <v>7192.0467367824031</v>
      </c>
      <c r="N18" s="133">
        <f>IF(SER_hh_fec_in!N18=0,0,11630*1000*SER_hh_fec_in!N18/SER_hh_num_in!N18)</f>
        <v>7670.6564491450372</v>
      </c>
      <c r="O18" s="133">
        <f>IF(SER_hh_fec_in!O18=0,0,11630*1000*SER_hh_fec_in!O18/SER_hh_num_in!O18)</f>
        <v>7446.9543011240748</v>
      </c>
      <c r="P18" s="133">
        <f>IF(SER_hh_fec_in!P18=0,0,11630*1000*SER_hh_fec_in!P18/SER_hh_num_in!P18)</f>
        <v>5668.8161490026787</v>
      </c>
      <c r="Q18" s="133">
        <f>IF(SER_hh_fec_in!Q18=0,0,11630*1000*SER_hh_fec_in!Q18/SER_hh_num_in!Q18)</f>
        <v>6683.8275539557708</v>
      </c>
      <c r="R18" s="133">
        <f>IF(SER_hh_fec_in!R18=0,0,11630*1000*SER_hh_fec_in!R18/SER_hh_num_in!R18)</f>
        <v>5257.3234952653029</v>
      </c>
      <c r="S18" s="133">
        <f>IF(SER_hh_fec_in!S18=0,0,11630*1000*SER_hh_fec_in!S18/SER_hh_num_in!S18)</f>
        <v>6103.3376218903441</v>
      </c>
      <c r="T18" s="133">
        <f>IF(SER_hh_fec_in!T18=0,0,11630*1000*SER_hh_fec_in!T18/SER_hh_num_in!T18)</f>
        <v>5139.2607557721994</v>
      </c>
      <c r="U18" s="133">
        <f>IF(SER_hh_fec_in!U18=0,0,11630*1000*SER_hh_fec_in!U18/SER_hh_num_in!U18)</f>
        <v>5287.956709881747</v>
      </c>
      <c r="V18" s="133">
        <f>IF(SER_hh_fec_in!V18=0,0,11630*1000*SER_hh_fec_in!V18/SER_hh_num_in!V18)</f>
        <v>4452.4845300906518</v>
      </c>
      <c r="W18" s="133">
        <f>IF(SER_hh_fec_in!W18=0,0,11630*1000*SER_hh_fec_in!W18/SER_hh_num_in!W18)</f>
        <v>4496.3284052513036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20344.668949227555</v>
      </c>
      <c r="D19" s="131">
        <f>IF(SER_hh_fec_in!D19=0,0,11630*1000*SER_hh_fec_in!D19/SER_hh_num_in!D19)</f>
        <v>20528.22270718959</v>
      </c>
      <c r="E19" s="131">
        <f>IF(SER_hh_fec_in!E19=0,0,11630*1000*SER_hh_fec_in!E19/SER_hh_num_in!E19)</f>
        <v>20622.964269916349</v>
      </c>
      <c r="F19" s="131">
        <f>IF(SER_hh_fec_in!F19=0,0,11630*1000*SER_hh_fec_in!F19/SER_hh_num_in!F19)</f>
        <v>19780.562769438733</v>
      </c>
      <c r="G19" s="131">
        <f>IF(SER_hh_fec_in!G19=0,0,11630*1000*SER_hh_fec_in!G19/SER_hh_num_in!G19)</f>
        <v>19385.651605334238</v>
      </c>
      <c r="H19" s="131">
        <f>IF(SER_hh_fec_in!H19=0,0,11630*1000*SER_hh_fec_in!H19/SER_hh_num_in!H19)</f>
        <v>19158.160609261504</v>
      </c>
      <c r="I19" s="131">
        <f>IF(SER_hh_fec_in!I19=0,0,11630*1000*SER_hh_fec_in!I19/SER_hh_num_in!I19)</f>
        <v>18282.912372736573</v>
      </c>
      <c r="J19" s="131">
        <f>IF(SER_hh_fec_in!J19=0,0,11630*1000*SER_hh_fec_in!J19/SER_hh_num_in!J19)</f>
        <v>17184.148050015825</v>
      </c>
      <c r="K19" s="131">
        <f>IF(SER_hh_fec_in!K19=0,0,11630*1000*SER_hh_fec_in!K19/SER_hh_num_in!K19)</f>
        <v>15927.002940143599</v>
      </c>
      <c r="L19" s="131">
        <f>IF(SER_hh_fec_in!L19=0,0,11630*1000*SER_hh_fec_in!L19/SER_hh_num_in!L19)</f>
        <v>15353.740314866605</v>
      </c>
      <c r="M19" s="131">
        <f>IF(SER_hh_fec_in!M19=0,0,11630*1000*SER_hh_fec_in!M19/SER_hh_num_in!M19)</f>
        <v>15858.61996880068</v>
      </c>
      <c r="N19" s="131">
        <f>IF(SER_hh_fec_in!N19=0,0,11630*1000*SER_hh_fec_in!N19/SER_hh_num_in!N19)</f>
        <v>15580.009896364711</v>
      </c>
      <c r="O19" s="131">
        <f>IF(SER_hh_fec_in!O19=0,0,11630*1000*SER_hh_fec_in!O19/SER_hh_num_in!O19)</f>
        <v>15630.715865817525</v>
      </c>
      <c r="P19" s="131">
        <f>IF(SER_hh_fec_in!P19=0,0,11630*1000*SER_hh_fec_in!P19/SER_hh_num_in!P19)</f>
        <v>15664.572241946102</v>
      </c>
      <c r="Q19" s="131">
        <f>IF(SER_hh_fec_in!Q19=0,0,11630*1000*SER_hh_fec_in!Q19/SER_hh_num_in!Q19)</f>
        <v>15726.356188135565</v>
      </c>
      <c r="R19" s="131">
        <f>IF(SER_hh_fec_in!R19=0,0,11630*1000*SER_hh_fec_in!R19/SER_hh_num_in!R19)</f>
        <v>14715.953288792141</v>
      </c>
      <c r="S19" s="131">
        <f>IF(SER_hh_fec_in!S19=0,0,11630*1000*SER_hh_fec_in!S19/SER_hh_num_in!S19)</f>
        <v>14804.708045562889</v>
      </c>
      <c r="T19" s="131">
        <f>IF(SER_hh_fec_in!T19=0,0,11630*1000*SER_hh_fec_in!T19/SER_hh_num_in!T19)</f>
        <v>15915.626459549372</v>
      </c>
      <c r="U19" s="131">
        <f>IF(SER_hh_fec_in!U19=0,0,11630*1000*SER_hh_fec_in!U19/SER_hh_num_in!U19)</f>
        <v>15067.952245293562</v>
      </c>
      <c r="V19" s="131">
        <f>IF(SER_hh_fec_in!V19=0,0,11630*1000*SER_hh_fec_in!V19/SER_hh_num_in!V19)</f>
        <v>14480.745022844489</v>
      </c>
      <c r="W19" s="131">
        <f>IF(SER_hh_fec_in!W19=0,0,11630*1000*SER_hh_fec_in!W19/SER_hh_num_in!W19)</f>
        <v>14180.398067742679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20311.154213852795</v>
      </c>
      <c r="D21" s="133">
        <f>IF(SER_hh_fec_in!D21=0,0,11630*1000*SER_hh_fec_in!D21/SER_hh_num_in!D21)</f>
        <v>21651.706733684725</v>
      </c>
      <c r="E21" s="133">
        <f>IF(SER_hh_fec_in!E21=0,0,11630*1000*SER_hh_fec_in!E21/SER_hh_num_in!E21)</f>
        <v>20965.585477260753</v>
      </c>
      <c r="F21" s="133">
        <f>IF(SER_hh_fec_in!F21=0,0,11630*1000*SER_hh_fec_in!F21/SER_hh_num_in!F21)</f>
        <v>20350.709659936918</v>
      </c>
      <c r="G21" s="133">
        <f>IF(SER_hh_fec_in!G21=0,0,11630*1000*SER_hh_fec_in!G21/SER_hh_num_in!G21)</f>
        <v>19935.752904185254</v>
      </c>
      <c r="H21" s="133">
        <f>IF(SER_hh_fec_in!H21=0,0,11630*1000*SER_hh_fec_in!H21/SER_hh_num_in!H21)</f>
        <v>19523.063994972297</v>
      </c>
      <c r="I21" s="133">
        <f>IF(SER_hh_fec_in!I21=0,0,11630*1000*SER_hh_fec_in!I21/SER_hh_num_in!I21)</f>
        <v>19366.006086796275</v>
      </c>
      <c r="J21" s="133">
        <f>IF(SER_hh_fec_in!J21=0,0,11630*1000*SER_hh_fec_in!J21/SER_hh_num_in!J21)</f>
        <v>18658.823570585613</v>
      </c>
      <c r="K21" s="133">
        <f>IF(SER_hh_fec_in!K21=0,0,11630*1000*SER_hh_fec_in!K21/SER_hh_num_in!K21)</f>
        <v>18734.792836715616</v>
      </c>
      <c r="L21" s="133">
        <f>IF(SER_hh_fec_in!L21=0,0,11630*1000*SER_hh_fec_in!L21/SER_hh_num_in!L21)</f>
        <v>19327.765682868547</v>
      </c>
      <c r="M21" s="133">
        <f>IF(SER_hh_fec_in!M21=0,0,11630*1000*SER_hh_fec_in!M21/SER_hh_num_in!M21)</f>
        <v>17990.47112403495</v>
      </c>
      <c r="N21" s="133">
        <f>IF(SER_hh_fec_in!N21=0,0,11630*1000*SER_hh_fec_in!N21/SER_hh_num_in!N21)</f>
        <v>18504.847142727333</v>
      </c>
      <c r="O21" s="133">
        <f>IF(SER_hh_fec_in!O21=0,0,11630*1000*SER_hh_fec_in!O21/SER_hh_num_in!O21)</f>
        <v>17782.546036546253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16497.609812434519</v>
      </c>
      <c r="R21" s="133">
        <f>IF(SER_hh_fec_in!R21=0,0,11630*1000*SER_hh_fec_in!R21/SER_hh_num_in!R21)</f>
        <v>12497.021413967937</v>
      </c>
      <c r="S21" s="133">
        <f>IF(SER_hh_fec_in!S21=0,0,11630*1000*SER_hh_fec_in!S21/SER_hh_num_in!S21)</f>
        <v>13759.088898037153</v>
      </c>
      <c r="T21" s="133">
        <f>IF(SER_hh_fec_in!T21=0,0,11630*1000*SER_hh_fec_in!T21/SER_hh_num_in!T21)</f>
        <v>17923.678766101151</v>
      </c>
      <c r="U21" s="133">
        <f>IF(SER_hh_fec_in!U21=0,0,11630*1000*SER_hh_fec_in!U21/SER_hh_num_in!U21)</f>
        <v>20517.087192088493</v>
      </c>
      <c r="V21" s="133">
        <f>IF(SER_hh_fec_in!V21=0,0,11630*1000*SER_hh_fec_in!V21/SER_hh_num_in!V21)</f>
        <v>16046.128110129319</v>
      </c>
      <c r="W21" s="133">
        <f>IF(SER_hh_fec_in!W21=0,0,11630*1000*SER_hh_fec_in!W21/SER_hh_num_in!W21)</f>
        <v>12300.722959942424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23823.229862141445</v>
      </c>
      <c r="D22" s="133">
        <f>IF(SER_hh_fec_in!D22=0,0,11630*1000*SER_hh_fec_in!D22/SER_hh_num_in!D22)</f>
        <v>21094.754522434654</v>
      </c>
      <c r="E22" s="133">
        <f>IF(SER_hh_fec_in!E22=0,0,11630*1000*SER_hh_fec_in!E22/SER_hh_num_in!E22)</f>
        <v>22669.703263631178</v>
      </c>
      <c r="F22" s="133">
        <f>IF(SER_hh_fec_in!F22=0,0,11630*1000*SER_hh_fec_in!F22/SER_hh_num_in!F22)</f>
        <v>21890.160758962294</v>
      </c>
      <c r="G22" s="133">
        <f>IF(SER_hh_fec_in!G22=0,0,11630*1000*SER_hh_fec_in!G22/SER_hh_num_in!G22)</f>
        <v>21298.321656131131</v>
      </c>
      <c r="H22" s="133">
        <f>IF(SER_hh_fec_in!H22=0,0,11630*1000*SER_hh_fec_in!H22/SER_hh_num_in!H22)</f>
        <v>20835.358400783571</v>
      </c>
      <c r="I22" s="133">
        <f>IF(SER_hh_fec_in!I22=0,0,11630*1000*SER_hh_fec_in!I22/SER_hh_num_in!I22)</f>
        <v>20643.874033410309</v>
      </c>
      <c r="J22" s="133">
        <f>IF(SER_hh_fec_in!J22=0,0,11630*1000*SER_hh_fec_in!J22/SER_hh_num_in!J22)</f>
        <v>19496.515378610828</v>
      </c>
      <c r="K22" s="133">
        <f>IF(SER_hh_fec_in!K22=0,0,11630*1000*SER_hh_fec_in!K22/SER_hh_num_in!K22)</f>
        <v>20145.594555764714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18631.614998727098</v>
      </c>
      <c r="S22" s="133">
        <f>IF(SER_hh_fec_in!S22=0,0,11630*1000*SER_hh_fec_in!S22/SER_hh_num_in!S22)</f>
        <v>15051.846519351013</v>
      </c>
      <c r="T22" s="133">
        <f>IF(SER_hh_fec_in!T22=0,0,11630*1000*SER_hh_fec_in!T22/SER_hh_num_in!T22)</f>
        <v>17221.42594606545</v>
      </c>
      <c r="U22" s="133">
        <f>IF(SER_hh_fec_in!U22=0,0,11630*1000*SER_hh_fec_in!U22/SER_hh_num_in!U22)</f>
        <v>14608.194306266318</v>
      </c>
      <c r="V22" s="133">
        <f>IF(SER_hh_fec_in!V22=0,0,11630*1000*SER_hh_fec_in!V22/SER_hh_num_in!V22)</f>
        <v>16102.113307196634</v>
      </c>
      <c r="W22" s="133">
        <f>IF(SER_hh_fec_in!W22=0,0,11630*1000*SER_hh_fec_in!W22/SER_hh_num_in!W22)</f>
        <v>15057.755323762354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21189.290226965368</v>
      </c>
      <c r="D23" s="133">
        <f>IF(SER_hh_fec_in!D23=0,0,11630*1000*SER_hh_fec_in!D23/SER_hh_num_in!D23)</f>
        <v>20153.10844611255</v>
      </c>
      <c r="E23" s="133">
        <f>IF(SER_hh_fec_in!E23=0,0,11630*1000*SER_hh_fec_in!E23/SER_hh_num_in!E23)</f>
        <v>19675.308927919268</v>
      </c>
      <c r="F23" s="133">
        <f>IF(SER_hh_fec_in!F23=0,0,11630*1000*SER_hh_fec_in!F23/SER_hh_num_in!F23)</f>
        <v>19478.654991244715</v>
      </c>
      <c r="G23" s="133">
        <f>IF(SER_hh_fec_in!G23=0,0,11630*1000*SER_hh_fec_in!G23/SER_hh_num_in!G23)</f>
        <v>18997.109019882071</v>
      </c>
      <c r="H23" s="133">
        <f>IF(SER_hh_fec_in!H23=0,0,11630*1000*SER_hh_fec_in!H23/SER_hh_num_in!H23)</f>
        <v>18064.969291381556</v>
      </c>
      <c r="I23" s="133">
        <f>IF(SER_hh_fec_in!I23=0,0,11630*1000*SER_hh_fec_in!I23/SER_hh_num_in!I23)</f>
        <v>17150.820872435361</v>
      </c>
      <c r="J23" s="133">
        <f>IF(SER_hh_fec_in!J23=0,0,11630*1000*SER_hh_fec_in!J23/SER_hh_num_in!J23)</f>
        <v>15775.732581533181</v>
      </c>
      <c r="K23" s="133">
        <f>IF(SER_hh_fec_in!K23=0,0,11630*1000*SER_hh_fec_in!K23/SER_hh_num_in!K23)</f>
        <v>19149.927326928449</v>
      </c>
      <c r="L23" s="133">
        <f>IF(SER_hh_fec_in!L23=0,0,11630*1000*SER_hh_fec_in!L23/SER_hh_num_in!L23)</f>
        <v>18536.388837902836</v>
      </c>
      <c r="M23" s="133">
        <f>IF(SER_hh_fec_in!M23=0,0,11630*1000*SER_hh_fec_in!M23/SER_hh_num_in!M23)</f>
        <v>17295.764393601228</v>
      </c>
      <c r="N23" s="133">
        <f>IF(SER_hh_fec_in!N23=0,0,11630*1000*SER_hh_fec_in!N23/SER_hh_num_in!N23)</f>
        <v>17006.585771620637</v>
      </c>
      <c r="O23" s="133">
        <f>IF(SER_hh_fec_in!O23=0,0,11630*1000*SER_hh_fec_in!O23/SER_hh_num_in!O23)</f>
        <v>16733.772815838121</v>
      </c>
      <c r="P23" s="133">
        <f>IF(SER_hh_fec_in!P23=0,0,11630*1000*SER_hh_fec_in!P23/SER_hh_num_in!P23)</f>
        <v>16218.769254137604</v>
      </c>
      <c r="Q23" s="133">
        <f>IF(SER_hh_fec_in!Q23=0,0,11630*1000*SER_hh_fec_in!Q23/SER_hh_num_in!Q23)</f>
        <v>15157.958565072067</v>
      </c>
      <c r="R23" s="133">
        <f>IF(SER_hh_fec_in!R23=0,0,11630*1000*SER_hh_fec_in!R23/SER_hh_num_in!R23)</f>
        <v>19284.635879336936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17839.746867317554</v>
      </c>
      <c r="D25" s="133">
        <f>IF(SER_hh_fec_in!D25=0,0,11630*1000*SER_hh_fec_in!D25/SER_hh_num_in!D25)</f>
        <v>15330.169233228489</v>
      </c>
      <c r="E25" s="133">
        <f>IF(SER_hh_fec_in!E25=0,0,11630*1000*SER_hh_fec_in!E25/SER_hh_num_in!E25)</f>
        <v>13856.51757247153</v>
      </c>
      <c r="F25" s="133">
        <f>IF(SER_hh_fec_in!F25=0,0,11630*1000*SER_hh_fec_in!F25/SER_hh_num_in!F25)</f>
        <v>14557.715837109456</v>
      </c>
      <c r="G25" s="133">
        <f>IF(SER_hh_fec_in!G25=0,0,11630*1000*SER_hh_fec_in!G25/SER_hh_num_in!G25)</f>
        <v>14352.68542873869</v>
      </c>
      <c r="H25" s="133">
        <f>IF(SER_hh_fec_in!H25=0,0,11630*1000*SER_hh_fec_in!H25/SER_hh_num_in!H25)</f>
        <v>12691.354836788167</v>
      </c>
      <c r="I25" s="133">
        <f>IF(SER_hh_fec_in!I25=0,0,11630*1000*SER_hh_fec_in!I25/SER_hh_num_in!I25)</f>
        <v>13084.450196102005</v>
      </c>
      <c r="J25" s="133">
        <f>IF(SER_hh_fec_in!J25=0,0,11630*1000*SER_hh_fec_in!J25/SER_hh_num_in!J25)</f>
        <v>11719.621442760103</v>
      </c>
      <c r="K25" s="133">
        <f>IF(SER_hh_fec_in!K25=0,0,11630*1000*SER_hh_fec_in!K25/SER_hh_num_in!K25)</f>
        <v>12454.239213734842</v>
      </c>
      <c r="L25" s="133">
        <f>IF(SER_hh_fec_in!L25=0,0,11630*1000*SER_hh_fec_in!L25/SER_hh_num_in!L25)</f>
        <v>13336.098759514136</v>
      </c>
      <c r="M25" s="133">
        <f>IF(SER_hh_fec_in!M25=0,0,11630*1000*SER_hh_fec_in!M25/SER_hh_num_in!M25)</f>
        <v>13675.610906912887</v>
      </c>
      <c r="N25" s="133">
        <f>IF(SER_hh_fec_in!N25=0,0,11630*1000*SER_hh_fec_in!N25/SER_hh_num_in!N25)</f>
        <v>13630.613091877913</v>
      </c>
      <c r="O25" s="133">
        <f>IF(SER_hh_fec_in!O25=0,0,11630*1000*SER_hh_fec_in!O25/SER_hh_num_in!O25)</f>
        <v>13742.106287400911</v>
      </c>
      <c r="P25" s="133">
        <f>IF(SER_hh_fec_in!P25=0,0,11630*1000*SER_hh_fec_in!P25/SER_hh_num_in!P25)</f>
        <v>14188.860377907013</v>
      </c>
      <c r="Q25" s="133">
        <f>IF(SER_hh_fec_in!Q25=0,0,11630*1000*SER_hh_fec_in!Q25/SER_hh_num_in!Q25)</f>
        <v>13710.935788177871</v>
      </c>
      <c r="R25" s="133">
        <f>IF(SER_hh_fec_in!R25=0,0,11630*1000*SER_hh_fec_in!R25/SER_hh_num_in!R25)</f>
        <v>12562.033597711783</v>
      </c>
      <c r="S25" s="133">
        <f>IF(SER_hh_fec_in!S25=0,0,11630*1000*SER_hh_fec_in!S25/SER_hh_num_in!S25)</f>
        <v>14237.646421473886</v>
      </c>
      <c r="T25" s="133">
        <f>IF(SER_hh_fec_in!T25=0,0,11630*1000*SER_hh_fec_in!T25/SER_hh_num_in!T25)</f>
        <v>14832.444198839277</v>
      </c>
      <c r="U25" s="133">
        <f>IF(SER_hh_fec_in!U25=0,0,11630*1000*SER_hh_fec_in!U25/SER_hh_num_in!U25)</f>
        <v>12704.059361511294</v>
      </c>
      <c r="V25" s="133">
        <f>IF(SER_hh_fec_in!V25=0,0,11630*1000*SER_hh_fec_in!V25/SER_hh_num_in!V25)</f>
        <v>12813.004103528014</v>
      </c>
      <c r="W25" s="133">
        <f>IF(SER_hh_fec_in!W25=0,0,11630*1000*SER_hh_fec_in!W25/SER_hh_num_in!W25)</f>
        <v>14103.519000749842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15272.215890729578</v>
      </c>
      <c r="D26" s="65">
        <f>IF(SER_hh_fec_in!D26=0,0,11630*1000*SER_hh_fec_in!D26/SER_hh_num_in!D26)</f>
        <v>18474.379964113912</v>
      </c>
      <c r="E26" s="65">
        <f>IF(SER_hh_fec_in!E26=0,0,11630*1000*SER_hh_fec_in!E26/SER_hh_num_in!E26)</f>
        <v>16117.988551807557</v>
      </c>
      <c r="F26" s="65">
        <f>IF(SER_hh_fec_in!F26=0,0,11630*1000*SER_hh_fec_in!F26/SER_hh_num_in!F26)</f>
        <v>15472.066231850627</v>
      </c>
      <c r="G26" s="65">
        <f>IF(SER_hh_fec_in!G26=0,0,11630*1000*SER_hh_fec_in!G26/SER_hh_num_in!G26)</f>
        <v>16869.265741096868</v>
      </c>
      <c r="H26" s="65">
        <f>IF(SER_hh_fec_in!H26=0,0,11630*1000*SER_hh_fec_in!H26/SER_hh_num_in!H26)</f>
        <v>16961.426416788156</v>
      </c>
      <c r="I26" s="65">
        <f>IF(SER_hh_fec_in!I26=0,0,11630*1000*SER_hh_fec_in!I26/SER_hh_num_in!I26)</f>
        <v>14906.398457529482</v>
      </c>
      <c r="J26" s="65">
        <f>IF(SER_hh_fec_in!J26=0,0,11630*1000*SER_hh_fec_in!J26/SER_hh_num_in!J26)</f>
        <v>16909.899260414142</v>
      </c>
      <c r="K26" s="65">
        <f>IF(SER_hh_fec_in!K26=0,0,11630*1000*SER_hh_fec_in!K26/SER_hh_num_in!K26)</f>
        <v>15931.273112621748</v>
      </c>
      <c r="L26" s="65">
        <f>IF(SER_hh_fec_in!L26=0,0,11630*1000*SER_hh_fec_in!L26/SER_hh_num_in!L26)</f>
        <v>14866.968106219418</v>
      </c>
      <c r="M26" s="65">
        <f>IF(SER_hh_fec_in!M26=0,0,11630*1000*SER_hh_fec_in!M26/SER_hh_num_in!M26)</f>
        <v>16418.83050997696</v>
      </c>
      <c r="N26" s="65">
        <f>IF(SER_hh_fec_in!N26=0,0,11630*1000*SER_hh_fec_in!N26/SER_hh_num_in!N26)</f>
        <v>15566.001947376915</v>
      </c>
      <c r="O26" s="65">
        <f>IF(SER_hh_fec_in!O26=0,0,11630*1000*SER_hh_fec_in!O26/SER_hh_num_in!O26)</f>
        <v>15819.476937730738</v>
      </c>
      <c r="P26" s="65">
        <f>IF(SER_hh_fec_in!P26=0,0,11630*1000*SER_hh_fec_in!P26/SER_hh_num_in!P26)</f>
        <v>15915.872931079504</v>
      </c>
      <c r="Q26" s="65">
        <f>IF(SER_hh_fec_in!Q26=0,0,11630*1000*SER_hh_fec_in!Q26/SER_hh_num_in!Q26)</f>
        <v>16169.548102989869</v>
      </c>
      <c r="R26" s="65">
        <f>IF(SER_hh_fec_in!R26=0,0,11630*1000*SER_hh_fec_in!R26/SER_hh_num_in!R26)</f>
        <v>16191.940666872881</v>
      </c>
      <c r="S26" s="65">
        <f>IF(SER_hh_fec_in!S26=0,0,11630*1000*SER_hh_fec_in!S26/SER_hh_num_in!S26)</f>
        <v>15770.429025695683</v>
      </c>
      <c r="T26" s="65">
        <f>IF(SER_hh_fec_in!T26=0,0,11630*1000*SER_hh_fec_in!T26/SER_hh_num_in!T26)</f>
        <v>12829.230730283676</v>
      </c>
      <c r="U26" s="65">
        <f>IF(SER_hh_fec_in!U26=0,0,11630*1000*SER_hh_fec_in!U26/SER_hh_num_in!U26)</f>
        <v>13219.273698726956</v>
      </c>
      <c r="V26" s="65">
        <f>IF(SER_hh_fec_in!V26=0,0,11630*1000*SER_hh_fec_in!V26/SER_hh_num_in!V26)</f>
        <v>12966.388535785252</v>
      </c>
      <c r="W26" s="65">
        <f>IF(SER_hh_fec_in!W26=0,0,11630*1000*SER_hh_fec_in!W26/SER_hh_num_in!W26)</f>
        <v>13850.016346517246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24503.214103892904</v>
      </c>
      <c r="D29" s="131">
        <f>IF(SER_hh_fec_in!D29=0,0,11630*1000*SER_hh_fec_in!D29/SER_hh_num_in!D29)</f>
        <v>22292.282125386773</v>
      </c>
      <c r="E29" s="131">
        <f>IF(SER_hh_fec_in!E29=0,0,11630*1000*SER_hh_fec_in!E29/SER_hh_num_in!E29)</f>
        <v>21302.040507084348</v>
      </c>
      <c r="F29" s="131">
        <f>IF(SER_hh_fec_in!F29=0,0,11630*1000*SER_hh_fec_in!F29/SER_hh_num_in!F29)</f>
        <v>17953.478588189704</v>
      </c>
      <c r="G29" s="131">
        <f>IF(SER_hh_fec_in!G29=0,0,11630*1000*SER_hh_fec_in!G29/SER_hh_num_in!G29)</f>
        <v>19133.470760910306</v>
      </c>
      <c r="H29" s="131">
        <f>IF(SER_hh_fec_in!H29=0,0,11630*1000*SER_hh_fec_in!H29/SER_hh_num_in!H29)</f>
        <v>19029.325381936276</v>
      </c>
      <c r="I29" s="131">
        <f>IF(SER_hh_fec_in!I29=0,0,11630*1000*SER_hh_fec_in!I29/SER_hh_num_in!I29)</f>
        <v>26325.391702876022</v>
      </c>
      <c r="J29" s="131">
        <f>IF(SER_hh_fec_in!J29=0,0,11630*1000*SER_hh_fec_in!J29/SER_hh_num_in!J29)</f>
        <v>18658.6019975083</v>
      </c>
      <c r="K29" s="131">
        <f>IF(SER_hh_fec_in!K29=0,0,11630*1000*SER_hh_fec_in!K29/SER_hh_num_in!K29)</f>
        <v>19647.176800345431</v>
      </c>
      <c r="L29" s="131">
        <f>IF(SER_hh_fec_in!L29=0,0,11630*1000*SER_hh_fec_in!L29/SER_hh_num_in!L29)</f>
        <v>19791.699901274722</v>
      </c>
      <c r="M29" s="131">
        <f>IF(SER_hh_fec_in!M29=0,0,11630*1000*SER_hh_fec_in!M29/SER_hh_num_in!M29)</f>
        <v>19355.781739984548</v>
      </c>
      <c r="N29" s="131">
        <f>IF(SER_hh_fec_in!N29=0,0,11630*1000*SER_hh_fec_in!N29/SER_hh_num_in!N29)</f>
        <v>17678.874032523378</v>
      </c>
      <c r="O29" s="131">
        <f>IF(SER_hh_fec_in!O29=0,0,11630*1000*SER_hh_fec_in!O29/SER_hh_num_in!O29)</f>
        <v>19217.114881826921</v>
      </c>
      <c r="P29" s="131">
        <f>IF(SER_hh_fec_in!P29=0,0,11630*1000*SER_hh_fec_in!P29/SER_hh_num_in!P29)</f>
        <v>20521.584266917318</v>
      </c>
      <c r="Q29" s="131">
        <f>IF(SER_hh_fec_in!Q29=0,0,11630*1000*SER_hh_fec_in!Q29/SER_hh_num_in!Q29)</f>
        <v>20368.897100837225</v>
      </c>
      <c r="R29" s="131">
        <f>IF(SER_hh_fec_in!R29=0,0,11630*1000*SER_hh_fec_in!R29/SER_hh_num_in!R29)</f>
        <v>19734.015138098148</v>
      </c>
      <c r="S29" s="131">
        <f>IF(SER_hh_fec_in!S29=0,0,11630*1000*SER_hh_fec_in!S29/SER_hh_num_in!S29)</f>
        <v>21453.436127737685</v>
      </c>
      <c r="T29" s="131">
        <f>IF(SER_hh_fec_in!T29=0,0,11630*1000*SER_hh_fec_in!T29/SER_hh_num_in!T29)</f>
        <v>23234.568337503639</v>
      </c>
      <c r="U29" s="131">
        <f>IF(SER_hh_fec_in!U29=0,0,11630*1000*SER_hh_fec_in!U29/SER_hh_num_in!U29)</f>
        <v>24340.428043752225</v>
      </c>
      <c r="V29" s="131">
        <f>IF(SER_hh_fec_in!V29=0,0,11630*1000*SER_hh_fec_in!V29/SER_hh_num_in!V29)</f>
        <v>19940.769236811644</v>
      </c>
      <c r="W29" s="131">
        <f>IF(SER_hh_fec_in!W29=0,0,11630*1000*SER_hh_fec_in!W29/SER_hh_num_in!W29)</f>
        <v>19386.625159638748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22224.509182905458</v>
      </c>
      <c r="H30" s="133">
        <f>IF(SER_hh_fec_in!H30=0,0,11630*1000*SER_hh_fec_in!H30/SER_hh_num_in!H30)</f>
        <v>15182.966591416087</v>
      </c>
      <c r="I30" s="133">
        <f>IF(SER_hh_fec_in!I30=0,0,11630*1000*SER_hh_fec_in!I30/SER_hh_num_in!I30)</f>
        <v>32334.06346365939</v>
      </c>
      <c r="J30" s="133">
        <f>IF(SER_hh_fec_in!J30=0,0,11630*1000*SER_hh_fec_in!J30/SER_hh_num_in!J30)</f>
        <v>19640.695126296534</v>
      </c>
      <c r="K30" s="133">
        <f>IF(SER_hh_fec_in!K30=0,0,11630*1000*SER_hh_fec_in!K30/SER_hh_num_in!K30)</f>
        <v>21832.513679708059</v>
      </c>
      <c r="L30" s="133">
        <f>IF(SER_hh_fec_in!L30=0,0,11630*1000*SER_hh_fec_in!L30/SER_hh_num_in!L30)</f>
        <v>29697.925076651303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27740.349405164485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23774.14072502666</v>
      </c>
      <c r="Q30" s="133">
        <f>IF(SER_hh_fec_in!Q30=0,0,11630*1000*SER_hh_fec_in!Q30/SER_hh_num_in!Q30)</f>
        <v>27442.744385183687</v>
      </c>
      <c r="R30" s="133">
        <f>IF(SER_hh_fec_in!R30=0,0,11630*1000*SER_hh_fec_in!R30/SER_hh_num_in!R30)</f>
        <v>23485.293216987495</v>
      </c>
      <c r="S30" s="133">
        <f>IF(SER_hh_fec_in!S30=0,0,11630*1000*SER_hh_fec_in!S30/SER_hh_num_in!S30)</f>
        <v>24499.527594103001</v>
      </c>
      <c r="T30" s="133">
        <f>IF(SER_hh_fec_in!T30=0,0,11630*1000*SER_hh_fec_in!T30/SER_hh_num_in!T30)</f>
        <v>27439.907402315217</v>
      </c>
      <c r="U30" s="133">
        <f>IF(SER_hh_fec_in!U30=0,0,11630*1000*SER_hh_fec_in!U30/SER_hh_num_in!U30)</f>
        <v>31961.723386870166</v>
      </c>
      <c r="V30" s="133">
        <f>IF(SER_hh_fec_in!V30=0,0,11630*1000*SER_hh_fec_in!V30/SER_hh_num_in!V30)</f>
        <v>26876.417174354658</v>
      </c>
      <c r="W30" s="133">
        <f>IF(SER_hh_fec_in!W30=0,0,11630*1000*SER_hh_fec_in!W30/SER_hh_num_in!W30)</f>
        <v>19865.721883618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33625.789901302625</v>
      </c>
      <c r="D31" s="133">
        <f>IF(SER_hh_fec_in!D31=0,0,11630*1000*SER_hh_fec_in!D31/SER_hh_num_in!D31)</f>
        <v>30623.322247688753</v>
      </c>
      <c r="E31" s="133">
        <f>IF(SER_hh_fec_in!E31=0,0,11630*1000*SER_hh_fec_in!E31/SER_hh_num_in!E31)</f>
        <v>25418.846205850092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26297.040049622261</v>
      </c>
      <c r="L31" s="133">
        <f>IF(SER_hh_fec_in!L31=0,0,11630*1000*SER_hh_fec_in!L31/SER_hh_num_in!L31)</f>
        <v>23740.819989498712</v>
      </c>
      <c r="M31" s="133">
        <f>IF(SER_hh_fec_in!M31=0,0,11630*1000*SER_hh_fec_in!M31/SER_hh_num_in!M31)</f>
        <v>22510.445955408133</v>
      </c>
      <c r="N31" s="133">
        <f>IF(SER_hh_fec_in!N31=0,0,11630*1000*SER_hh_fec_in!N31/SER_hh_num_in!N31)</f>
        <v>18773.591866806204</v>
      </c>
      <c r="O31" s="133">
        <f>IF(SER_hh_fec_in!O31=0,0,11630*1000*SER_hh_fec_in!O31/SER_hh_num_in!O31)</f>
        <v>21678.975902669314</v>
      </c>
      <c r="P31" s="133">
        <f>IF(SER_hh_fec_in!P31=0,0,11630*1000*SER_hh_fec_in!P31/SER_hh_num_in!P31)</f>
        <v>26383.246898378329</v>
      </c>
      <c r="Q31" s="133">
        <f>IF(SER_hh_fec_in!Q31=0,0,11630*1000*SER_hh_fec_in!Q31/SER_hh_num_in!Q31)</f>
        <v>26221.786624182798</v>
      </c>
      <c r="R31" s="133">
        <f>IF(SER_hh_fec_in!R31=0,0,11630*1000*SER_hh_fec_in!R31/SER_hh_num_in!R31)</f>
        <v>33698.718105688138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15364.319927138875</v>
      </c>
      <c r="D33" s="68">
        <f>IF(SER_hh_fec_in!D33=0,0,11630*1000*SER_hh_fec_in!D33/SER_hh_num_in!D33)</f>
        <v>20997.503535888914</v>
      </c>
      <c r="E33" s="68">
        <f>IF(SER_hh_fec_in!E33=0,0,11630*1000*SER_hh_fec_in!E33/SER_hh_num_in!E33)</f>
        <v>20983.191319145608</v>
      </c>
      <c r="F33" s="68">
        <f>IF(SER_hh_fec_in!F33=0,0,11630*1000*SER_hh_fec_in!F33/SER_hh_num_in!F33)</f>
        <v>17953.478588189704</v>
      </c>
      <c r="G33" s="68">
        <f>IF(SER_hh_fec_in!G33=0,0,11630*1000*SER_hh_fec_in!G33/SER_hh_num_in!G33)</f>
        <v>18620.681022415887</v>
      </c>
      <c r="H33" s="68">
        <f>IF(SER_hh_fec_in!H33=0,0,11630*1000*SER_hh_fec_in!H33/SER_hh_num_in!H33)</f>
        <v>20079.468756385464</v>
      </c>
      <c r="I33" s="68">
        <f>IF(SER_hh_fec_in!I33=0,0,11630*1000*SER_hh_fec_in!I33/SER_hh_num_in!I33)</f>
        <v>15169.973512523531</v>
      </c>
      <c r="J33" s="68">
        <f>IF(SER_hh_fec_in!J33=0,0,11630*1000*SER_hh_fec_in!J33/SER_hh_num_in!J33)</f>
        <v>17920.980337836445</v>
      </c>
      <c r="K33" s="68">
        <f>IF(SER_hh_fec_in!K33=0,0,11630*1000*SER_hh_fec_in!K33/SER_hh_num_in!K33)</f>
        <v>16964.367526418784</v>
      </c>
      <c r="L33" s="68">
        <f>IF(SER_hh_fec_in!L33=0,0,11630*1000*SER_hh_fec_in!L33/SER_hh_num_in!L33)</f>
        <v>15167.43321941443</v>
      </c>
      <c r="M33" s="68">
        <f>IF(SER_hh_fec_in!M33=0,0,11630*1000*SER_hh_fec_in!M33/SER_hh_num_in!M33)</f>
        <v>19126.693892477386</v>
      </c>
      <c r="N33" s="68">
        <f>IF(SER_hh_fec_in!N33=0,0,11630*1000*SER_hh_fec_in!N33/SER_hh_num_in!N33)</f>
        <v>17343.470739535613</v>
      </c>
      <c r="O33" s="68">
        <f>IF(SER_hh_fec_in!O33=0,0,11630*1000*SER_hh_fec_in!O33/SER_hh_num_in!O33)</f>
        <v>18255.616168161119</v>
      </c>
      <c r="P33" s="68">
        <f>IF(SER_hh_fec_in!P33=0,0,11630*1000*SER_hh_fec_in!P33/SER_hh_num_in!P33)</f>
        <v>17931.42872195919</v>
      </c>
      <c r="Q33" s="68">
        <f>IF(SER_hh_fec_in!Q33=0,0,11630*1000*SER_hh_fec_in!Q33/SER_hh_num_in!Q33)</f>
        <v>18496.698811505936</v>
      </c>
      <c r="R33" s="68">
        <f>IF(SER_hh_fec_in!R33=0,0,11630*1000*SER_hh_fec_in!R33/SER_hh_num_in!R33)</f>
        <v>18655.1223943351</v>
      </c>
      <c r="S33" s="68">
        <f>IF(SER_hh_fec_in!S33=0,0,11630*1000*SER_hh_fec_in!S33/SER_hh_num_in!S33)</f>
        <v>19463.101138762861</v>
      </c>
      <c r="T33" s="68">
        <f>IF(SER_hh_fec_in!T33=0,0,11630*1000*SER_hh_fec_in!T33/SER_hh_num_in!T33)</f>
        <v>19639.980809597557</v>
      </c>
      <c r="U33" s="68">
        <f>IF(SER_hh_fec_in!U33=0,0,11630*1000*SER_hh_fec_in!U33/SER_hh_num_in!U33)</f>
        <v>18007.723543669654</v>
      </c>
      <c r="V33" s="68">
        <f>IF(SER_hh_fec_in!V33=0,0,11630*1000*SER_hh_fec_in!V33/SER_hh_num_in!V33)</f>
        <v>17571.716662358675</v>
      </c>
      <c r="W33" s="68">
        <f>IF(SER_hh_fec_in!W33=0,0,11630*1000*SER_hh_fec_in!W33/SER_hh_num_in!W33)</f>
        <v>19296.274720769659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243391.93642186126</v>
      </c>
      <c r="D3" s="126">
        <f>IF(SER_hh_tes_in!D3=0,0,11630*1000*SER_hh_tes_in!D3/SER_hh_num_in!D3)</f>
        <v>228113.33155037754</v>
      </c>
      <c r="E3" s="126">
        <f>IF(SER_hh_tes_in!E3=0,0,11630*1000*SER_hh_tes_in!E3/SER_hh_num_in!E3)</f>
        <v>158562.12824289291</v>
      </c>
      <c r="F3" s="126">
        <f>IF(SER_hh_tes_in!F3=0,0,11630*1000*SER_hh_tes_in!F3/SER_hh_num_in!F3)</f>
        <v>149735.73753077703</v>
      </c>
      <c r="G3" s="126">
        <f>IF(SER_hh_tes_in!G3=0,0,11630*1000*SER_hh_tes_in!G3/SER_hh_num_in!G3)</f>
        <v>131090.23068690218</v>
      </c>
      <c r="H3" s="126">
        <f>IF(SER_hh_tes_in!H3=0,0,11630*1000*SER_hh_tes_in!H3/SER_hh_num_in!H3)</f>
        <v>112527.70256577308</v>
      </c>
      <c r="I3" s="126">
        <f>IF(SER_hh_tes_in!I3=0,0,11630*1000*SER_hh_tes_in!I3/SER_hh_num_in!I3)</f>
        <v>96636.265157986854</v>
      </c>
      <c r="J3" s="126">
        <f>IF(SER_hh_tes_in!J3=0,0,11630*1000*SER_hh_tes_in!J3/SER_hh_num_in!J3)</f>
        <v>119503.573736948</v>
      </c>
      <c r="K3" s="126">
        <f>IF(SER_hh_tes_in!K3=0,0,11630*1000*SER_hh_tes_in!K3/SER_hh_num_in!K3)</f>
        <v>114049.2917688178</v>
      </c>
      <c r="L3" s="126">
        <f>IF(SER_hh_tes_in!L3=0,0,11630*1000*SER_hh_tes_in!L3/SER_hh_num_in!L3)</f>
        <v>139310.19075333801</v>
      </c>
      <c r="M3" s="126">
        <f>IF(SER_hh_tes_in!M3=0,0,11630*1000*SER_hh_tes_in!M3/SER_hh_num_in!M3)</f>
        <v>128276.782189458</v>
      </c>
      <c r="N3" s="126">
        <f>IF(SER_hh_tes_in!N3=0,0,11630*1000*SER_hh_tes_in!N3/SER_hh_num_in!N3)</f>
        <v>109780.89044274861</v>
      </c>
      <c r="O3" s="126">
        <f>IF(SER_hh_tes_in!O3=0,0,11630*1000*SER_hh_tes_in!O3/SER_hh_num_in!O3)</f>
        <v>108883.77103192621</v>
      </c>
      <c r="P3" s="126">
        <f>IF(SER_hh_tes_in!P3=0,0,11630*1000*SER_hh_tes_in!P3/SER_hh_num_in!P3)</f>
        <v>93844.069571820772</v>
      </c>
      <c r="Q3" s="126">
        <f>IF(SER_hh_tes_in!Q3=0,0,11630*1000*SER_hh_tes_in!Q3/SER_hh_num_in!Q3)</f>
        <v>103072.91850539246</v>
      </c>
      <c r="R3" s="126">
        <f>IF(SER_hh_tes_in!R3=0,0,11630*1000*SER_hh_tes_in!R3/SER_hh_num_in!R3)</f>
        <v>99566.111176273131</v>
      </c>
      <c r="S3" s="126">
        <f>IF(SER_hh_tes_in!S3=0,0,11630*1000*SER_hh_tes_in!S3/SER_hh_num_in!S3)</f>
        <v>99185.164110335041</v>
      </c>
      <c r="T3" s="126">
        <f>IF(SER_hh_tes_in!T3=0,0,11630*1000*SER_hh_tes_in!T3/SER_hh_num_in!T3)</f>
        <v>97166.557432735499</v>
      </c>
      <c r="U3" s="126">
        <f>IF(SER_hh_tes_in!U3=0,0,11630*1000*SER_hh_tes_in!U3/SER_hh_num_in!U3)</f>
        <v>90667.465066984165</v>
      </c>
      <c r="V3" s="126">
        <f>IF(SER_hh_tes_in!V3=0,0,11630*1000*SER_hh_tes_in!V3/SER_hh_num_in!V3)</f>
        <v>79941.74005610004</v>
      </c>
      <c r="W3" s="126">
        <f>IF(SER_hh_tes_in!W3=0,0,11630*1000*SER_hh_tes_in!W3/SER_hh_num_in!W3)</f>
        <v>75569.82212711926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193610.96558234532</v>
      </c>
      <c r="D4" s="131">
        <f>IF(SER_hh_tes_in!D4=0,0,11630*1000*SER_hh_tes_in!D4/SER_hh_num_in!D4)</f>
        <v>179338.46843111381</v>
      </c>
      <c r="E4" s="131">
        <f>IF(SER_hh_tes_in!E4=0,0,11630*1000*SER_hh_tes_in!E4/SER_hh_num_in!E4)</f>
        <v>102694.05839169797</v>
      </c>
      <c r="F4" s="131">
        <f>IF(SER_hh_tes_in!F4=0,0,11630*1000*SER_hh_tes_in!F4/SER_hh_num_in!F4)</f>
        <v>105740.6089401027</v>
      </c>
      <c r="G4" s="131">
        <f>IF(SER_hh_tes_in!G4=0,0,11630*1000*SER_hh_tes_in!G4/SER_hh_num_in!G4)</f>
        <v>83538.412739579639</v>
      </c>
      <c r="H4" s="131">
        <f>IF(SER_hh_tes_in!H4=0,0,11630*1000*SER_hh_tes_in!H4/SER_hh_num_in!H4)</f>
        <v>66806.176566555427</v>
      </c>
      <c r="I4" s="131">
        <f>IF(SER_hh_tes_in!I4=0,0,11630*1000*SER_hh_tes_in!I4/SER_hh_num_in!I4)</f>
        <v>51009.385347467804</v>
      </c>
      <c r="J4" s="131">
        <f>IF(SER_hh_tes_in!J4=0,0,11630*1000*SER_hh_tes_in!J4/SER_hh_num_in!J4)</f>
        <v>73623.210154806729</v>
      </c>
      <c r="K4" s="131">
        <f>IF(SER_hh_tes_in!K4=0,0,11630*1000*SER_hh_tes_in!K4/SER_hh_num_in!K4)</f>
        <v>68190.489784670135</v>
      </c>
      <c r="L4" s="131">
        <f>IF(SER_hh_tes_in!L4=0,0,11630*1000*SER_hh_tes_in!L4/SER_hh_num_in!L4)</f>
        <v>92507.156655482409</v>
      </c>
      <c r="M4" s="131">
        <f>IF(SER_hh_tes_in!M4=0,0,11630*1000*SER_hh_tes_in!M4/SER_hh_num_in!M4)</f>
        <v>79897.111934977569</v>
      </c>
      <c r="N4" s="131">
        <f>IF(SER_hh_tes_in!N4=0,0,11630*1000*SER_hh_tes_in!N4/SER_hh_num_in!N4)</f>
        <v>61080.441953664187</v>
      </c>
      <c r="O4" s="131">
        <f>IF(SER_hh_tes_in!O4=0,0,11630*1000*SER_hh_tes_in!O4/SER_hh_num_in!O4)</f>
        <v>58668.206175376741</v>
      </c>
      <c r="P4" s="131">
        <f>IF(SER_hh_tes_in!P4=0,0,11630*1000*SER_hh_tes_in!P4/SER_hh_num_in!P4)</f>
        <v>47229.273979271566</v>
      </c>
      <c r="Q4" s="131">
        <f>IF(SER_hh_tes_in!Q4=0,0,11630*1000*SER_hh_tes_in!Q4/SER_hh_num_in!Q4)</f>
        <v>51555.08674864193</v>
      </c>
      <c r="R4" s="131">
        <f>IF(SER_hh_tes_in!R4=0,0,11630*1000*SER_hh_tes_in!R4/SER_hh_num_in!R4)</f>
        <v>53561.089518512214</v>
      </c>
      <c r="S4" s="131">
        <f>IF(SER_hh_tes_in!S4=0,0,11630*1000*SER_hh_tes_in!S4/SER_hh_num_in!S4)</f>
        <v>48878.567378125408</v>
      </c>
      <c r="T4" s="131">
        <f>IF(SER_hh_tes_in!T4=0,0,11630*1000*SER_hh_tes_in!T4/SER_hh_num_in!T4)</f>
        <v>48248.309640284177</v>
      </c>
      <c r="U4" s="131">
        <f>IF(SER_hh_tes_in!U4=0,0,11630*1000*SER_hh_tes_in!U4/SER_hh_num_in!U4)</f>
        <v>40707.470639064952</v>
      </c>
      <c r="V4" s="131">
        <f>IF(SER_hh_tes_in!V4=0,0,11630*1000*SER_hh_tes_in!V4/SER_hh_num_in!V4)</f>
        <v>34926.745115171063</v>
      </c>
      <c r="W4" s="131">
        <f>IF(SER_hh_tes_in!W4=0,0,11630*1000*SER_hh_tes_in!W4/SER_hh_num_in!W4)</f>
        <v>29410.128313094559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192954.4325923936</v>
      </c>
      <c r="D7" s="133">
        <f>IF(SER_hh_tes_in!D7=0,0,11630*1000*SER_hh_tes_in!D7/SER_hh_num_in!D7)</f>
        <v>152453.53140054879</v>
      </c>
      <c r="E7" s="133">
        <f>IF(SER_hh_tes_in!E7=0,0,11630*1000*SER_hh_tes_in!E7/SER_hh_num_in!E7)</f>
        <v>104832.97895256164</v>
      </c>
      <c r="F7" s="133">
        <f>IF(SER_hh_tes_in!F7=0,0,11630*1000*SER_hh_tes_in!F7/SER_hh_num_in!F7)</f>
        <v>98716.009434441163</v>
      </c>
      <c r="G7" s="133">
        <f>IF(SER_hh_tes_in!G7=0,0,11630*1000*SER_hh_tes_in!G7/SER_hh_num_in!G7)</f>
        <v>87939.634798793893</v>
      </c>
      <c r="H7" s="133">
        <f>IF(SER_hh_tes_in!H7=0,0,11630*1000*SER_hh_tes_in!H7/SER_hh_num_in!H7)</f>
        <v>69875.673974206802</v>
      </c>
      <c r="I7" s="133">
        <f>IF(SER_hh_tes_in!I7=0,0,11630*1000*SER_hh_tes_in!I7/SER_hh_num_in!I7)</f>
        <v>41004.052726405273</v>
      </c>
      <c r="J7" s="133">
        <f>IF(SER_hh_tes_in!J7=0,0,11630*1000*SER_hh_tes_in!J7/SER_hh_num_in!J7)</f>
        <v>72906.426803368347</v>
      </c>
      <c r="K7" s="133">
        <f>IF(SER_hh_tes_in!K7=0,0,11630*1000*SER_hh_tes_in!K7/SER_hh_num_in!K7)</f>
        <v>67871.02613508256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54720.344779029161</v>
      </c>
      <c r="S7" s="133">
        <f>IF(SER_hh_tes_in!S7=0,0,11630*1000*SER_hh_tes_in!S7/SER_hh_num_in!S7)</f>
        <v>42944.375581088061</v>
      </c>
      <c r="T7" s="133">
        <f>IF(SER_hh_tes_in!T7=0,0,11630*1000*SER_hh_tes_in!T7/SER_hh_num_in!T7)</f>
        <v>46030.227753465027</v>
      </c>
      <c r="U7" s="133">
        <f>IF(SER_hh_tes_in!U7=0,0,11630*1000*SER_hh_tes_in!U7/SER_hh_num_in!U7)</f>
        <v>38209.598662858683</v>
      </c>
      <c r="V7" s="133">
        <f>IF(SER_hh_tes_in!V7=0,0,11630*1000*SER_hh_tes_in!V7/SER_hh_num_in!V7)</f>
        <v>41886.190482395978</v>
      </c>
      <c r="W7" s="133">
        <f>IF(SER_hh_tes_in!W7=0,0,11630*1000*SER_hh_tes_in!W7/SER_hh_num_in!W7)</f>
        <v>26148.344363685126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203920.75718520879</v>
      </c>
      <c r="D9" s="133">
        <f>IF(SER_hh_tes_in!D9=0,0,11630*1000*SER_hh_tes_in!D9/SER_hh_num_in!D9)</f>
        <v>199737.2894296041</v>
      </c>
      <c r="E9" s="133">
        <f>IF(SER_hh_tes_in!E9=0,0,11630*1000*SER_hh_tes_in!E9/SER_hh_num_in!E9)</f>
        <v>95135.662581987635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60653.94000370484</v>
      </c>
      <c r="L9" s="133">
        <f>IF(SER_hh_tes_in!L9=0,0,11630*1000*SER_hh_tes_in!L9/SER_hh_num_in!L9)</f>
        <v>72418.991630351302</v>
      </c>
      <c r="M9" s="133">
        <f>IF(SER_hh_tes_in!M9=0,0,11630*1000*SER_hh_tes_in!M9/SER_hh_num_in!M9)</f>
        <v>101837.5092313685</v>
      </c>
      <c r="N9" s="133">
        <f>IF(SER_hh_tes_in!N9=0,0,11630*1000*SER_hh_tes_in!N9/SER_hh_num_in!N9)</f>
        <v>28115.383043330203</v>
      </c>
      <c r="O9" s="133">
        <f>IF(SER_hh_tes_in!O9=0,0,11630*1000*SER_hh_tes_in!O9/SER_hh_num_in!O9)</f>
        <v>55886.279388570416</v>
      </c>
      <c r="P9" s="133">
        <f>IF(SER_hh_tes_in!P9=0,0,11630*1000*SER_hh_tes_in!P9/SER_hh_num_in!P9)</f>
        <v>45713.464836872357</v>
      </c>
      <c r="Q9" s="133">
        <f>IF(SER_hh_tes_in!Q9=0,0,11630*1000*SER_hh_tes_in!Q9/SER_hh_num_in!Q9)</f>
        <v>53057.92563370023</v>
      </c>
      <c r="R9" s="133">
        <f>IF(SER_hh_tes_in!R9=0,0,11630*1000*SER_hh_tes_in!R9/SER_hh_num_in!R9)</f>
        <v>63658.871672280125</v>
      </c>
      <c r="S9" s="133">
        <f>IF(SER_hh_tes_in!S9=0,0,11630*1000*SER_hh_tes_in!S9/SER_hh_num_in!S9)</f>
        <v>0</v>
      </c>
      <c r="T9" s="133">
        <f>IF(SER_hh_tes_in!T9=0,0,11630*1000*SER_hh_tes_in!T9/SER_hh_num_in!T9)</f>
        <v>0</v>
      </c>
      <c r="U9" s="133">
        <f>IF(SER_hh_tes_in!U9=0,0,11630*1000*SER_hh_tes_in!U9/SER_hh_num_in!U9)</f>
        <v>0</v>
      </c>
      <c r="V9" s="133">
        <f>IF(SER_hh_tes_in!V9=0,0,11630*1000*SER_hh_tes_in!V9/SER_hh_num_in!V9)</f>
        <v>0</v>
      </c>
      <c r="W9" s="133">
        <f>IF(SER_hh_tes_in!W9=0,0,11630*1000*SER_hh_tes_in!W9/SER_hh_num_in!W9)</f>
        <v>26297.434503445016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192718.92850327652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81555.22182627031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112712.17408409319</v>
      </c>
      <c r="M11" s="133">
        <f>IF(SER_hh_tes_in!M11=0,0,11630*1000*SER_hh_tes_in!M11/SER_hh_num_in!M11)</f>
        <v>86680.659793593542</v>
      </c>
      <c r="N11" s="133">
        <f>IF(SER_hh_tes_in!N11=0,0,11630*1000*SER_hh_tes_in!N11/SER_hh_num_in!N11)</f>
        <v>55406.007090904372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44567.680888103074</v>
      </c>
      <c r="U11" s="133">
        <f>IF(SER_hh_tes_in!U11=0,0,11630*1000*SER_hh_tes_in!U11/SER_hh_num_in!U11)</f>
        <v>44616.252078984297</v>
      </c>
      <c r="V11" s="133">
        <f>IF(SER_hh_tes_in!V11=0,0,11630*1000*SER_hh_tes_in!V11/SER_hh_num_in!V11)</f>
        <v>29369.727616567627</v>
      </c>
      <c r="W11" s="133">
        <f>IF(SER_hh_tes_in!W11=0,0,11630*1000*SER_hh_tes_in!W11/SER_hh_num_in!W11)</f>
        <v>24966.581841610641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104116.50804073557</v>
      </c>
      <c r="G12" s="133">
        <f>IF(SER_hh_tes_in!G12=0,0,11630*1000*SER_hh_tes_in!G12/SER_hh_num_in!G12)</f>
        <v>70005.701464059166</v>
      </c>
      <c r="H12" s="133">
        <f>IF(SER_hh_tes_in!H12=0,0,11630*1000*SER_hh_tes_in!H12/SER_hh_num_in!H12)</f>
        <v>84008.063501942117</v>
      </c>
      <c r="I12" s="133">
        <f>IF(SER_hh_tes_in!I12=0,0,11630*1000*SER_hh_tes_in!I12/SER_hh_num_in!I12)</f>
        <v>48312.47027935394</v>
      </c>
      <c r="J12" s="133">
        <f>IF(SER_hh_tes_in!J12=0,0,11630*1000*SER_hh_tes_in!J12/SER_hh_num_in!J12)</f>
        <v>47038.921252114647</v>
      </c>
      <c r="K12" s="133">
        <f>IF(SER_hh_tes_in!K12=0,0,11630*1000*SER_hh_tes_in!K12/SER_hh_num_in!K12)</f>
        <v>69346.93963143506</v>
      </c>
      <c r="L12" s="133">
        <f>IF(SER_hh_tes_in!L12=0,0,11630*1000*SER_hh_tes_in!L12/SER_hh_num_in!L12)</f>
        <v>76806.441530003664</v>
      </c>
      <c r="M12" s="133">
        <f>IF(SER_hh_tes_in!M12=0,0,11630*1000*SER_hh_tes_in!M12/SER_hh_num_in!M12)</f>
        <v>71239.088822246151</v>
      </c>
      <c r="N12" s="133">
        <f>IF(SER_hh_tes_in!N12=0,0,11630*1000*SER_hh_tes_in!N12/SER_hh_num_in!N12)</f>
        <v>63103.182941471103</v>
      </c>
      <c r="O12" s="133">
        <f>IF(SER_hh_tes_in!O12=0,0,11630*1000*SER_hh_tes_in!O12/SER_hh_num_in!O12)</f>
        <v>61937.515633034316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49253.80554308615</v>
      </c>
      <c r="R12" s="133">
        <f>IF(SER_hh_tes_in!R12=0,0,11630*1000*SER_hh_tes_in!R12/SER_hh_num_in!R12)</f>
        <v>45531.355928588295</v>
      </c>
      <c r="S12" s="133">
        <f>IF(SER_hh_tes_in!S12=0,0,11630*1000*SER_hh_tes_in!S12/SER_hh_num_in!S12)</f>
        <v>49739.967296971983</v>
      </c>
      <c r="T12" s="133">
        <f>IF(SER_hh_tes_in!T12=0,0,11630*1000*SER_hh_tes_in!T12/SER_hh_num_in!T12)</f>
        <v>48285.604830930097</v>
      </c>
      <c r="U12" s="133">
        <f>IF(SER_hh_tes_in!U12=0,0,11630*1000*SER_hh_tes_in!U12/SER_hh_num_in!U12)</f>
        <v>37164.298043885763</v>
      </c>
      <c r="V12" s="133">
        <f>IF(SER_hh_tes_in!V12=0,0,11630*1000*SER_hh_tes_in!V12/SER_hh_num_in!V12)</f>
        <v>33045.376600889707</v>
      </c>
      <c r="W12" s="133">
        <f>IF(SER_hh_tes_in!W12=0,0,11630*1000*SER_hh_tes_in!W12/SER_hh_num_in!W12)</f>
        <v>33045.362859578971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159725.6645988166</v>
      </c>
      <c r="D14" s="65">
        <f>IF(SER_hh_tes_in!D14=0,0,11630*1000*SER_hh_tes_in!D14/SER_hh_num_in!D14)</f>
        <v>193934.52705186221</v>
      </c>
      <c r="E14" s="65">
        <f>IF(SER_hh_tes_in!E14=0,0,11630*1000*SER_hh_tes_in!E14/SER_hh_num_in!E14)</f>
        <v>90708.408839960888</v>
      </c>
      <c r="F14" s="65">
        <f>IF(SER_hh_tes_in!F14=0,0,11630*1000*SER_hh_tes_in!F14/SER_hh_num_in!F14)</f>
        <v>113711.58644022125</v>
      </c>
      <c r="G14" s="65">
        <f>IF(SER_hh_tes_in!G14=0,0,11630*1000*SER_hh_tes_in!G14/SER_hh_num_in!G14)</f>
        <v>75989.542908709336</v>
      </c>
      <c r="H14" s="65">
        <f>IF(SER_hh_tes_in!H14=0,0,11630*1000*SER_hh_tes_in!H14/SER_hh_num_in!H14)</f>
        <v>57124.546008849618</v>
      </c>
      <c r="I14" s="65">
        <f>IF(SER_hh_tes_in!I14=0,0,11630*1000*SER_hh_tes_in!I14/SER_hh_num_in!I14)</f>
        <v>55974.181313029825</v>
      </c>
      <c r="J14" s="65">
        <f>IF(SER_hh_tes_in!J14=0,0,11630*1000*SER_hh_tes_in!J14/SER_hh_num_in!J14)</f>
        <v>77298.078149270965</v>
      </c>
      <c r="K14" s="65">
        <f>IF(SER_hh_tes_in!K14=0,0,11630*1000*SER_hh_tes_in!K14/SER_hh_num_in!K14)</f>
        <v>69799.317390133423</v>
      </c>
      <c r="L14" s="65">
        <f>IF(SER_hh_tes_in!L14=0,0,11630*1000*SER_hh_tes_in!L14/SER_hh_num_in!L14)</f>
        <v>72507.143898561568</v>
      </c>
      <c r="M14" s="65">
        <f>IF(SER_hh_tes_in!M14=0,0,11630*1000*SER_hh_tes_in!M14/SER_hh_num_in!M14)</f>
        <v>72061.761838097169</v>
      </c>
      <c r="N14" s="65">
        <f>IF(SER_hh_tes_in!N14=0,0,11630*1000*SER_hh_tes_in!N14/SER_hh_num_in!N14)</f>
        <v>61923.792399107624</v>
      </c>
      <c r="O14" s="65">
        <f>IF(SER_hh_tes_in!O14=0,0,11630*1000*SER_hh_tes_in!O14/SER_hh_num_in!O14)</f>
        <v>57711.525264155236</v>
      </c>
      <c r="P14" s="65">
        <f>IF(SER_hh_tes_in!P14=0,0,11630*1000*SER_hh_tes_in!P14/SER_hh_num_in!P14)</f>
        <v>48161.006774985763</v>
      </c>
      <c r="Q14" s="65">
        <f>IF(SER_hh_tes_in!Q14=0,0,11630*1000*SER_hh_tes_in!Q14/SER_hh_num_in!Q14)</f>
        <v>47001.530155944529</v>
      </c>
      <c r="R14" s="65">
        <f>IF(SER_hh_tes_in!R14=0,0,11630*1000*SER_hh_tes_in!R14/SER_hh_num_in!R14)</f>
        <v>48665.597502427336</v>
      </c>
      <c r="S14" s="65">
        <f>IF(SER_hh_tes_in!S14=0,0,11630*1000*SER_hh_tes_in!S14/SER_hh_num_in!S14)</f>
        <v>49882.960397770054</v>
      </c>
      <c r="T14" s="65">
        <f>IF(SER_hh_tes_in!T14=0,0,11630*1000*SER_hh_tes_in!T14/SER_hh_num_in!T14)</f>
        <v>49214.205584297357</v>
      </c>
      <c r="U14" s="65">
        <f>IF(SER_hh_tes_in!U14=0,0,11630*1000*SER_hh_tes_in!U14/SER_hh_num_in!U14)</f>
        <v>43015.75796579654</v>
      </c>
      <c r="V14" s="65">
        <f>IF(SER_hh_tes_in!V14=0,0,11630*1000*SER_hh_tes_in!V14/SER_hh_num_in!V14)</f>
        <v>31286.545758552191</v>
      </c>
      <c r="W14" s="65">
        <f>IF(SER_hh_tes_in!W14=0,0,11630*1000*SER_hh_tes_in!W14/SER_hh_num_in!W14)</f>
        <v>30840.73742579743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3883.235701415867</v>
      </c>
      <c r="D15" s="135">
        <f>IF(SER_hh_tes_in!D15=0,0,11630*1000*SER_hh_tes_in!D15/SER_hh_num_in!D15)</f>
        <v>3222.5145029353248</v>
      </c>
      <c r="E15" s="135">
        <f>IF(SER_hh_tes_in!E15=0,0,11630*1000*SER_hh_tes_in!E15/SER_hh_num_in!E15)</f>
        <v>1959.7868681987482</v>
      </c>
      <c r="F15" s="135">
        <f>IF(SER_hh_tes_in!F15=0,0,11630*1000*SER_hh_tes_in!F15/SER_hh_num_in!F15)</f>
        <v>1822.2238906603159</v>
      </c>
      <c r="G15" s="135">
        <f>IF(SER_hh_tes_in!G15=0,0,11630*1000*SER_hh_tes_in!G15/SER_hh_num_in!G15)</f>
        <v>1492.9891690925865</v>
      </c>
      <c r="H15" s="135">
        <f>IF(SER_hh_tes_in!H15=0,0,11630*1000*SER_hh_tes_in!H15/SER_hh_num_in!H15)</f>
        <v>981.36124095845196</v>
      </c>
      <c r="I15" s="135">
        <f>IF(SER_hh_tes_in!I15=0,0,11630*1000*SER_hh_tes_in!I15/SER_hh_num_in!I15)</f>
        <v>675.21640963238735</v>
      </c>
      <c r="J15" s="135">
        <f>IF(SER_hh_tes_in!J15=0,0,11630*1000*SER_hh_tes_in!J15/SER_hh_num_in!J15)</f>
        <v>1155.6991894459277</v>
      </c>
      <c r="K15" s="135">
        <f>IF(SER_hh_tes_in!K15=0,0,11630*1000*SER_hh_tes_in!K15/SER_hh_num_in!K15)</f>
        <v>752.14048663686822</v>
      </c>
      <c r="L15" s="135">
        <f>IF(SER_hh_tes_in!L15=0,0,11630*1000*SER_hh_tes_in!L15/SER_hh_num_in!L15)</f>
        <v>522.67424426087007</v>
      </c>
      <c r="M15" s="135">
        <f>IF(SER_hh_tes_in!M15=0,0,11630*1000*SER_hh_tes_in!M15/SER_hh_num_in!M15)</f>
        <v>688.40718383876629</v>
      </c>
      <c r="N15" s="135">
        <f>IF(SER_hh_tes_in!N15=0,0,11630*1000*SER_hh_tes_in!N15/SER_hh_num_in!N15)</f>
        <v>271.91136690809452</v>
      </c>
      <c r="O15" s="135">
        <f>IF(SER_hh_tes_in!O15=0,0,11630*1000*SER_hh_tes_in!O15/SER_hh_num_in!O15)</f>
        <v>632.33706777771545</v>
      </c>
      <c r="P15" s="135">
        <f>IF(SER_hh_tes_in!P15=0,0,11630*1000*SER_hh_tes_in!P15/SER_hh_num_in!P15)</f>
        <v>746.23880016154294</v>
      </c>
      <c r="Q15" s="135">
        <f>IF(SER_hh_tes_in!Q15=0,0,11630*1000*SER_hh_tes_in!Q15/SER_hh_num_in!Q15)</f>
        <v>832.32151282866494</v>
      </c>
      <c r="R15" s="135">
        <f>IF(SER_hh_tes_in!R15=0,0,11630*1000*SER_hh_tes_in!R15/SER_hh_num_in!R15)</f>
        <v>906.71194412162276</v>
      </c>
      <c r="S15" s="135">
        <f>IF(SER_hh_tes_in!S15=0,0,11630*1000*SER_hh_tes_in!S15/SER_hh_num_in!S15)</f>
        <v>431.64043940180545</v>
      </c>
      <c r="T15" s="135">
        <f>IF(SER_hh_tes_in!T15=0,0,11630*1000*SER_hh_tes_in!T15/SER_hh_num_in!T15)</f>
        <v>542.40481686722228</v>
      </c>
      <c r="U15" s="135">
        <f>IF(SER_hh_tes_in!U15=0,0,11630*1000*SER_hh_tes_in!U15/SER_hh_num_in!U15)</f>
        <v>419.9088807969963</v>
      </c>
      <c r="V15" s="135">
        <f>IF(SER_hh_tes_in!V15=0,0,11630*1000*SER_hh_tes_in!V15/SER_hh_num_in!V15)</f>
        <v>395.33542136101715</v>
      </c>
      <c r="W15" s="135">
        <f>IF(SER_hh_tes_in!W15=0,0,11630*1000*SER_hh_tes_in!W15/SER_hh_num_in!W15)</f>
        <v>300.07058050711913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21573.731849320407</v>
      </c>
      <c r="D16" s="131">
        <f>IF(SER_hh_tes_in!D16=0,0,11630*1000*SER_hh_tes_in!D16/SER_hh_num_in!D16)</f>
        <v>21312.150376929843</v>
      </c>
      <c r="E16" s="131">
        <f>IF(SER_hh_tes_in!E16=0,0,11630*1000*SER_hh_tes_in!E16/SER_hh_num_in!E16)</f>
        <v>26852.73873042523</v>
      </c>
      <c r="F16" s="131">
        <f>IF(SER_hh_tes_in!F16=0,0,11630*1000*SER_hh_tes_in!F16/SER_hh_num_in!F16)</f>
        <v>20967.336024515855</v>
      </c>
      <c r="G16" s="131">
        <f>IF(SER_hh_tes_in!G16=0,0,11630*1000*SER_hh_tes_in!G16/SER_hh_num_in!G16)</f>
        <v>21082.003354491524</v>
      </c>
      <c r="H16" s="131">
        <f>IF(SER_hh_tes_in!H16=0,0,11630*1000*SER_hh_tes_in!H16/SER_hh_num_in!H16)</f>
        <v>22524.451517638812</v>
      </c>
      <c r="I16" s="131">
        <f>IF(SER_hh_tes_in!I16=0,0,11630*1000*SER_hh_tes_in!I16/SER_hh_num_in!I16)</f>
        <v>21630.666759692343</v>
      </c>
      <c r="J16" s="131">
        <f>IF(SER_hh_tes_in!J16=0,0,11630*1000*SER_hh_tes_in!J16/SER_hh_num_in!J16)</f>
        <v>21075.535537870801</v>
      </c>
      <c r="K16" s="131">
        <f>IF(SER_hh_tes_in!K16=0,0,11630*1000*SER_hh_tes_in!K16/SER_hh_num_in!K16)</f>
        <v>20754.700319896299</v>
      </c>
      <c r="L16" s="131">
        <f>IF(SER_hh_tes_in!L16=0,0,11630*1000*SER_hh_tes_in!L16/SER_hh_num_in!L16)</f>
        <v>21431.672449501486</v>
      </c>
      <c r="M16" s="131">
        <f>IF(SER_hh_tes_in!M16=0,0,11630*1000*SER_hh_tes_in!M16/SER_hh_num_in!M16)</f>
        <v>20994.764913965118</v>
      </c>
      <c r="N16" s="131">
        <f>IF(SER_hh_tes_in!N16=0,0,11630*1000*SER_hh_tes_in!N16/SER_hh_num_in!N16)</f>
        <v>23240.530278862101</v>
      </c>
      <c r="O16" s="131">
        <f>IF(SER_hh_tes_in!O16=0,0,11630*1000*SER_hh_tes_in!O16/SER_hh_num_in!O16)</f>
        <v>23546.613157484931</v>
      </c>
      <c r="P16" s="131">
        <f>IF(SER_hh_tes_in!P16=0,0,11630*1000*SER_hh_tes_in!P16/SER_hh_num_in!P16)</f>
        <v>18736.502081665458</v>
      </c>
      <c r="Q16" s="131">
        <f>IF(SER_hh_tes_in!Q16=0,0,11630*1000*SER_hh_tes_in!Q16/SER_hh_num_in!Q16)</f>
        <v>22914.278439013531</v>
      </c>
      <c r="R16" s="131">
        <f>IF(SER_hh_tes_in!R16=0,0,11630*1000*SER_hh_tes_in!R16/SER_hh_num_in!R16)</f>
        <v>18429.87774651678</v>
      </c>
      <c r="S16" s="131">
        <f>IF(SER_hh_tes_in!S16=0,0,11630*1000*SER_hh_tes_in!S16/SER_hh_num_in!S16)</f>
        <v>21770.891122478351</v>
      </c>
      <c r="T16" s="131">
        <f>IF(SER_hh_tes_in!T16=0,0,11630*1000*SER_hh_tes_in!T16/SER_hh_num_in!T16)</f>
        <v>18595.9991120903</v>
      </c>
      <c r="U16" s="131">
        <f>IF(SER_hh_tes_in!U16=0,0,11630*1000*SER_hh_tes_in!U16/SER_hh_num_in!U16)</f>
        <v>19381.349652667235</v>
      </c>
      <c r="V16" s="131">
        <f>IF(SER_hh_tes_in!V16=0,0,11630*1000*SER_hh_tes_in!V16/SER_hh_num_in!V16)</f>
        <v>16531.504332129251</v>
      </c>
      <c r="W16" s="131">
        <f>IF(SER_hh_tes_in!W16=0,0,11630*1000*SER_hh_tes_in!W16/SER_hh_num_in!W16)</f>
        <v>16904.198525857588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21573.731849320407</v>
      </c>
      <c r="D18" s="133">
        <f>IF(SER_hh_tes_in!D18=0,0,11630*1000*SER_hh_tes_in!D18/SER_hh_num_in!D18)</f>
        <v>21312.150376929843</v>
      </c>
      <c r="E18" s="133">
        <f>IF(SER_hh_tes_in!E18=0,0,11630*1000*SER_hh_tes_in!E18/SER_hh_num_in!E18)</f>
        <v>26852.73873042523</v>
      </c>
      <c r="F18" s="133">
        <f>IF(SER_hh_tes_in!F18=0,0,11630*1000*SER_hh_tes_in!F18/SER_hh_num_in!F18)</f>
        <v>20967.336024515855</v>
      </c>
      <c r="G18" s="133">
        <f>IF(SER_hh_tes_in!G18=0,0,11630*1000*SER_hh_tes_in!G18/SER_hh_num_in!G18)</f>
        <v>21082.003354491524</v>
      </c>
      <c r="H18" s="133">
        <f>IF(SER_hh_tes_in!H18=0,0,11630*1000*SER_hh_tes_in!H18/SER_hh_num_in!H18)</f>
        <v>22524.451517638812</v>
      </c>
      <c r="I18" s="133">
        <f>IF(SER_hh_tes_in!I18=0,0,11630*1000*SER_hh_tes_in!I18/SER_hh_num_in!I18)</f>
        <v>21630.666759692343</v>
      </c>
      <c r="J18" s="133">
        <f>IF(SER_hh_tes_in!J18=0,0,11630*1000*SER_hh_tes_in!J18/SER_hh_num_in!J18)</f>
        <v>21075.535537870801</v>
      </c>
      <c r="K18" s="133">
        <f>IF(SER_hh_tes_in!K18=0,0,11630*1000*SER_hh_tes_in!K18/SER_hh_num_in!K18)</f>
        <v>20754.700319896299</v>
      </c>
      <c r="L18" s="133">
        <f>IF(SER_hh_tes_in!L18=0,0,11630*1000*SER_hh_tes_in!L18/SER_hh_num_in!L18)</f>
        <v>21431.672449501486</v>
      </c>
      <c r="M18" s="133">
        <f>IF(SER_hh_tes_in!M18=0,0,11630*1000*SER_hh_tes_in!M18/SER_hh_num_in!M18)</f>
        <v>20994.764913965118</v>
      </c>
      <c r="N18" s="133">
        <f>IF(SER_hh_tes_in!N18=0,0,11630*1000*SER_hh_tes_in!N18/SER_hh_num_in!N18)</f>
        <v>23240.530278862101</v>
      </c>
      <c r="O18" s="133">
        <f>IF(SER_hh_tes_in!O18=0,0,11630*1000*SER_hh_tes_in!O18/SER_hh_num_in!O18)</f>
        <v>23546.613157484931</v>
      </c>
      <c r="P18" s="133">
        <f>IF(SER_hh_tes_in!P18=0,0,11630*1000*SER_hh_tes_in!P18/SER_hh_num_in!P18)</f>
        <v>18736.502081665458</v>
      </c>
      <c r="Q18" s="133">
        <f>IF(SER_hh_tes_in!Q18=0,0,11630*1000*SER_hh_tes_in!Q18/SER_hh_num_in!Q18)</f>
        <v>22914.278439013531</v>
      </c>
      <c r="R18" s="133">
        <f>IF(SER_hh_tes_in!R18=0,0,11630*1000*SER_hh_tes_in!R18/SER_hh_num_in!R18)</f>
        <v>18429.87774651678</v>
      </c>
      <c r="S18" s="133">
        <f>IF(SER_hh_tes_in!S18=0,0,11630*1000*SER_hh_tes_in!S18/SER_hh_num_in!S18)</f>
        <v>21770.891122478351</v>
      </c>
      <c r="T18" s="133">
        <f>IF(SER_hh_tes_in!T18=0,0,11630*1000*SER_hh_tes_in!T18/SER_hh_num_in!T18)</f>
        <v>18595.9991120903</v>
      </c>
      <c r="U18" s="133">
        <f>IF(SER_hh_tes_in!U18=0,0,11630*1000*SER_hh_tes_in!U18/SER_hh_num_in!U18)</f>
        <v>19381.349652667235</v>
      </c>
      <c r="V18" s="133">
        <f>IF(SER_hh_tes_in!V18=0,0,11630*1000*SER_hh_tes_in!V18/SER_hh_num_in!V18)</f>
        <v>16531.504332129251</v>
      </c>
      <c r="W18" s="133">
        <f>IF(SER_hh_tes_in!W18=0,0,11630*1000*SER_hh_tes_in!W18/SER_hh_num_in!W18)</f>
        <v>16904.198525857588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12453.783210789548</v>
      </c>
      <c r="D19" s="131">
        <f>IF(SER_hh_tes_in!D19=0,0,11630*1000*SER_hh_tes_in!D19/SER_hh_num_in!D19)</f>
        <v>12222.445853539662</v>
      </c>
      <c r="E19" s="131">
        <f>IF(SER_hh_tes_in!E19=0,0,11630*1000*SER_hh_tes_in!E19/SER_hh_num_in!E19)</f>
        <v>12241.455173090846</v>
      </c>
      <c r="F19" s="131">
        <f>IF(SER_hh_tes_in!F19=0,0,11630*1000*SER_hh_tes_in!F19/SER_hh_num_in!F19)</f>
        <v>11799.207784385108</v>
      </c>
      <c r="G19" s="131">
        <f>IF(SER_hh_tes_in!G19=0,0,11630*1000*SER_hh_tes_in!G19/SER_hh_num_in!G19)</f>
        <v>11875.738348081848</v>
      </c>
      <c r="H19" s="131">
        <f>IF(SER_hh_tes_in!H19=0,0,11630*1000*SER_hh_tes_in!H19/SER_hh_num_in!H19)</f>
        <v>11779.563396922815</v>
      </c>
      <c r="I19" s="131">
        <f>IF(SER_hh_tes_in!I19=0,0,11630*1000*SER_hh_tes_in!I19/SER_hh_num_in!I19)</f>
        <v>11283.260094187299</v>
      </c>
      <c r="J19" s="131">
        <f>IF(SER_hh_tes_in!J19=0,0,11630*1000*SER_hh_tes_in!J19/SER_hh_num_in!J19)</f>
        <v>11358.327597472469</v>
      </c>
      <c r="K19" s="131">
        <f>IF(SER_hh_tes_in!K19=0,0,11630*1000*SER_hh_tes_in!K19/SER_hh_num_in!K19)</f>
        <v>11377.540638218119</v>
      </c>
      <c r="L19" s="131">
        <f>IF(SER_hh_tes_in!L19=0,0,11630*1000*SER_hh_tes_in!L19/SER_hh_num_in!L19)</f>
        <v>11263.82929617142</v>
      </c>
      <c r="M19" s="131">
        <f>IF(SER_hh_tes_in!M19=0,0,11630*1000*SER_hh_tes_in!M19/SER_hh_num_in!M19)</f>
        <v>11862.304023811626</v>
      </c>
      <c r="N19" s="131">
        <f>IF(SER_hh_tes_in!N19=0,0,11630*1000*SER_hh_tes_in!N19/SER_hh_num_in!N19)</f>
        <v>11735.214960115831</v>
      </c>
      <c r="O19" s="131">
        <f>IF(SER_hh_tes_in!O19=0,0,11630*1000*SER_hh_tes_in!O19/SER_hh_num_in!O19)</f>
        <v>12073.936251776706</v>
      </c>
      <c r="P19" s="131">
        <f>IF(SER_hh_tes_in!P19=0,0,11630*1000*SER_hh_tes_in!P19/SER_hh_num_in!P19)</f>
        <v>12550.498280318119</v>
      </c>
      <c r="Q19" s="131">
        <f>IF(SER_hh_tes_in!Q19=0,0,11630*1000*SER_hh_tes_in!Q19/SER_hh_num_in!Q19)</f>
        <v>12910.265226572003</v>
      </c>
      <c r="R19" s="131">
        <f>IF(SER_hh_tes_in!R19=0,0,11630*1000*SER_hh_tes_in!R19/SER_hh_num_in!R19)</f>
        <v>11895.191465513477</v>
      </c>
      <c r="S19" s="131">
        <f>IF(SER_hh_tes_in!S19=0,0,11630*1000*SER_hh_tes_in!S19/SER_hh_num_in!S19)</f>
        <v>12401.769718104781</v>
      </c>
      <c r="T19" s="131">
        <f>IF(SER_hh_tes_in!T19=0,0,11630*1000*SER_hh_tes_in!T19/SER_hh_num_in!T19)</f>
        <v>13190.375843301588</v>
      </c>
      <c r="U19" s="131">
        <f>IF(SER_hh_tes_in!U19=0,0,11630*1000*SER_hh_tes_in!U19/SER_hh_num_in!U19)</f>
        <v>12772.476503476761</v>
      </c>
      <c r="V19" s="131">
        <f>IF(SER_hh_tes_in!V19=0,0,11630*1000*SER_hh_tes_in!V19/SER_hh_num_in!V19)</f>
        <v>12369.292140482716</v>
      </c>
      <c r="W19" s="131">
        <f>IF(SER_hh_tes_in!W19=0,0,11630*1000*SER_hh_tes_in!W19/SER_hh_num_in!W19)</f>
        <v>12471.359886069735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11831.86494790932</v>
      </c>
      <c r="D21" s="133">
        <f>IF(SER_hh_tes_in!D21=0,0,11630*1000*SER_hh_tes_in!D21/SER_hh_num_in!D21)</f>
        <v>12657.415314983456</v>
      </c>
      <c r="E21" s="133">
        <f>IF(SER_hh_tes_in!E21=0,0,11630*1000*SER_hh_tes_in!E21/SER_hh_num_in!E21)</f>
        <v>12306.692871334519</v>
      </c>
      <c r="F21" s="133">
        <f>IF(SER_hh_tes_in!F21=0,0,11630*1000*SER_hh_tes_in!F21/SER_hh_num_in!F21)</f>
        <v>11995.612064575434</v>
      </c>
      <c r="G21" s="133">
        <f>IF(SER_hh_tes_in!G21=0,0,11630*1000*SER_hh_tes_in!G21/SER_hh_num_in!G21)</f>
        <v>11806.115866725566</v>
      </c>
      <c r="H21" s="133">
        <f>IF(SER_hh_tes_in!H21=0,0,11630*1000*SER_hh_tes_in!H21/SER_hh_num_in!H21)</f>
        <v>11621.171743635365</v>
      </c>
      <c r="I21" s="133">
        <f>IF(SER_hh_tes_in!I21=0,0,11630*1000*SER_hh_tes_in!I21/SER_hh_num_in!I21)</f>
        <v>11593.387783608539</v>
      </c>
      <c r="J21" s="133">
        <f>IF(SER_hh_tes_in!J21=0,0,11630*1000*SER_hh_tes_in!J21/SER_hh_num_in!J21)</f>
        <v>11244.869050187199</v>
      </c>
      <c r="K21" s="133">
        <f>IF(SER_hh_tes_in!K21=0,0,11630*1000*SER_hh_tes_in!K21/SER_hh_num_in!K21)</f>
        <v>11381.670597536784</v>
      </c>
      <c r="L21" s="133">
        <f>IF(SER_hh_tes_in!L21=0,0,11630*1000*SER_hh_tes_in!L21/SER_hh_num_in!L21)</f>
        <v>11853.380530662544</v>
      </c>
      <c r="M21" s="133">
        <f>IF(SER_hh_tes_in!M21=0,0,11630*1000*SER_hh_tes_in!M21/SER_hh_num_in!M21)</f>
        <v>11251.467086266512</v>
      </c>
      <c r="N21" s="133">
        <f>IF(SER_hh_tes_in!N21=0,0,11630*1000*SER_hh_tes_in!N21/SER_hh_num_in!N21)</f>
        <v>11947.402595032203</v>
      </c>
      <c r="O21" s="133">
        <f>IF(SER_hh_tes_in!O21=0,0,11630*1000*SER_hh_tes_in!O21/SER_hh_num_in!O21)</f>
        <v>12010.311486105409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12283.943789676214</v>
      </c>
      <c r="R21" s="133">
        <f>IF(SER_hh_tes_in!R21=0,0,11630*1000*SER_hh_tes_in!R21/SER_hh_num_in!R21)</f>
        <v>9582.8466580043769</v>
      </c>
      <c r="S21" s="133">
        <f>IF(SER_hh_tes_in!S21=0,0,11630*1000*SER_hh_tes_in!S21/SER_hh_num_in!S21)</f>
        <v>10845.238065074778</v>
      </c>
      <c r="T21" s="133">
        <f>IF(SER_hh_tes_in!T21=0,0,11630*1000*SER_hh_tes_in!T21/SER_hh_num_in!T21)</f>
        <v>14475.459903507555</v>
      </c>
      <c r="U21" s="133">
        <f>IF(SER_hh_tes_in!U21=0,0,11630*1000*SER_hh_tes_in!U21/SER_hh_num_in!U21)</f>
        <v>16901.512809933211</v>
      </c>
      <c r="V21" s="133">
        <f>IF(SER_hh_tes_in!V21=0,0,11630*1000*SER_hh_tes_in!V21/SER_hh_num_in!V21)</f>
        <v>13406.443919186635</v>
      </c>
      <c r="W21" s="133">
        <f>IF(SER_hh_tes_in!W21=0,0,11630*1000*SER_hh_tes_in!W21/SER_hh_num_in!W21)</f>
        <v>10344.973973312328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13081.484860052653</v>
      </c>
      <c r="D22" s="133">
        <f>IF(SER_hh_tes_in!D22=0,0,11630*1000*SER_hh_tes_in!D22/SER_hh_num_in!D22)</f>
        <v>11627.117694981369</v>
      </c>
      <c r="E22" s="133">
        <f>IF(SER_hh_tes_in!E22=0,0,11630*1000*SER_hh_tes_in!E22/SER_hh_num_in!E22)</f>
        <v>12550.138363437512</v>
      </c>
      <c r="F22" s="133">
        <f>IF(SER_hh_tes_in!F22=0,0,11630*1000*SER_hh_tes_in!F22/SER_hh_num_in!F22)</f>
        <v>12172.647605677581</v>
      </c>
      <c r="G22" s="133">
        <f>IF(SER_hh_tes_in!G22=0,0,11630*1000*SER_hh_tes_in!G22/SER_hh_num_in!G22)</f>
        <v>11902.897848695411</v>
      </c>
      <c r="H22" s="133">
        <f>IF(SER_hh_tes_in!H22=0,0,11630*1000*SER_hh_tes_in!H22/SER_hh_num_in!H22)</f>
        <v>11708.147896297134</v>
      </c>
      <c r="I22" s="133">
        <f>IF(SER_hh_tes_in!I22=0,0,11630*1000*SER_hh_tes_in!I22/SER_hh_num_in!I22)</f>
        <v>11671.176521279058</v>
      </c>
      <c r="J22" s="133">
        <f>IF(SER_hh_tes_in!J22=0,0,11630*1000*SER_hh_tes_in!J22/SER_hh_num_in!J22)</f>
        <v>11101.359853099033</v>
      </c>
      <c r="K22" s="133">
        <f>IF(SER_hh_tes_in!K22=0,0,11630*1000*SER_hh_tes_in!K22/SER_hh_num_in!K22)</f>
        <v>11569.643319281826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13693.083625404615</v>
      </c>
      <c r="S22" s="133">
        <f>IF(SER_hh_tes_in!S22=0,0,11630*1000*SER_hh_tes_in!S22/SER_hh_num_in!S22)</f>
        <v>11387.196299098123</v>
      </c>
      <c r="T22" s="133">
        <f>IF(SER_hh_tes_in!T22=0,0,11630*1000*SER_hh_tes_in!T22/SER_hh_num_in!T22)</f>
        <v>13365.339030528225</v>
      </c>
      <c r="U22" s="133">
        <f>IF(SER_hh_tes_in!U22=0,0,11630*1000*SER_hh_tes_in!U22/SER_hh_num_in!U22)</f>
        <v>11575.310392616768</v>
      </c>
      <c r="V22" s="133">
        <f>IF(SER_hh_tes_in!V22=0,0,11630*1000*SER_hh_tes_in!V22/SER_hh_num_in!V22)</f>
        <v>12949.319835704035</v>
      </c>
      <c r="W22" s="133">
        <f>IF(SER_hh_tes_in!W22=0,0,11630*1000*SER_hh_tes_in!W22/SER_hh_num_in!W22)</f>
        <v>12193.134552675132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12694.865085669599</v>
      </c>
      <c r="D23" s="133">
        <f>IF(SER_hh_tes_in!D23=0,0,11630*1000*SER_hh_tes_in!D23/SER_hh_num_in!D23)</f>
        <v>12193.978037133584</v>
      </c>
      <c r="E23" s="133">
        <f>IF(SER_hh_tes_in!E23=0,0,11630*1000*SER_hh_tes_in!E23/SER_hh_num_in!E23)</f>
        <v>12027.003163832978</v>
      </c>
      <c r="F23" s="133">
        <f>IF(SER_hh_tes_in!F23=0,0,11630*1000*SER_hh_tes_in!F23/SER_hh_num_in!F23)</f>
        <v>12028.676149767252</v>
      </c>
      <c r="G23" s="133">
        <f>IF(SER_hh_tes_in!G23=0,0,11630*1000*SER_hh_tes_in!G23/SER_hh_num_in!G23)</f>
        <v>11854.636502160482</v>
      </c>
      <c r="H23" s="133">
        <f>IF(SER_hh_tes_in!H23=0,0,11630*1000*SER_hh_tes_in!H23/SER_hh_num_in!H23)</f>
        <v>11394.02846456125</v>
      </c>
      <c r="I23" s="133">
        <f>IF(SER_hh_tes_in!I23=0,0,11630*1000*SER_hh_tes_in!I23/SER_hh_num_in!I23)</f>
        <v>10936.731642790717</v>
      </c>
      <c r="J23" s="133">
        <f>IF(SER_hh_tes_in!J23=0,0,11630*1000*SER_hh_tes_in!J23/SER_hh_num_in!J23)</f>
        <v>10176.442526585271</v>
      </c>
      <c r="K23" s="133">
        <f>IF(SER_hh_tes_in!K23=0,0,11630*1000*SER_hh_tes_in!K23/SER_hh_num_in!K23)</f>
        <v>12505.777833620799</v>
      </c>
      <c r="L23" s="133">
        <f>IF(SER_hh_tes_in!L23=0,0,11630*1000*SER_hh_tes_in!L23/SER_hh_num_in!L23)</f>
        <v>12264.491436275328</v>
      </c>
      <c r="M23" s="133">
        <f>IF(SER_hh_tes_in!M23=0,0,11630*1000*SER_hh_tes_in!M23/SER_hh_num_in!M23)</f>
        <v>11668.534854779524</v>
      </c>
      <c r="N23" s="133">
        <f>IF(SER_hh_tes_in!N23=0,0,11630*1000*SER_hh_tes_in!N23/SER_hh_num_in!N23)</f>
        <v>11789.283617047549</v>
      </c>
      <c r="O23" s="133">
        <f>IF(SER_hh_tes_in!O23=0,0,11630*1000*SER_hh_tes_in!O23/SER_hh_num_in!O23)</f>
        <v>12018.513977626306</v>
      </c>
      <c r="P23" s="133">
        <f>IF(SER_hh_tes_in!P23=0,0,11630*1000*SER_hh_tes_in!P23/SER_hh_num_in!P23)</f>
        <v>12120.462559573758</v>
      </c>
      <c r="Q23" s="133">
        <f>IF(SER_hh_tes_in!Q23=0,0,11630*1000*SER_hh_tes_in!Q23/SER_hh_num_in!Q23)</f>
        <v>11719.567039709058</v>
      </c>
      <c r="R23" s="133">
        <f>IF(SER_hh_tes_in!R23=0,0,11630*1000*SER_hh_tes_in!R23/SER_hh_num_in!R23)</f>
        <v>15237.963477884861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14963.06575900891</v>
      </c>
      <c r="D25" s="133">
        <f>IF(SER_hh_tes_in!D25=0,0,11630*1000*SER_hh_tes_in!D25/SER_hh_num_in!D25)</f>
        <v>12899.579669038561</v>
      </c>
      <c r="E25" s="133">
        <f>IF(SER_hh_tes_in!E25=0,0,11630*1000*SER_hh_tes_in!E25/SER_hh_num_in!E25)</f>
        <v>11698.022905251344</v>
      </c>
      <c r="F25" s="133">
        <f>IF(SER_hh_tes_in!F25=0,0,11630*1000*SER_hh_tes_in!F25/SER_hh_num_in!F25)</f>
        <v>12330.530943839727</v>
      </c>
      <c r="G25" s="133">
        <f>IF(SER_hh_tes_in!G25=0,0,11630*1000*SER_hh_tes_in!G25/SER_hh_num_in!G25)</f>
        <v>12197.800044309999</v>
      </c>
      <c r="H25" s="133">
        <f>IF(SER_hh_tes_in!H25=0,0,11630*1000*SER_hh_tes_in!H25/SER_hh_num_in!H25)</f>
        <v>10822.856193126885</v>
      </c>
      <c r="I25" s="133">
        <f>IF(SER_hh_tes_in!I25=0,0,11630*1000*SER_hh_tes_in!I25/SER_hh_num_in!I25)</f>
        <v>11197.151840234113</v>
      </c>
      <c r="J25" s="133">
        <f>IF(SER_hh_tes_in!J25=0,0,11630*1000*SER_hh_tes_in!J25/SER_hh_num_in!J25)</f>
        <v>10065.731533660006</v>
      </c>
      <c r="K25" s="133">
        <f>IF(SER_hh_tes_in!K25=0,0,11630*1000*SER_hh_tes_in!K25/SER_hh_num_in!K25)</f>
        <v>10737.771771893067</v>
      </c>
      <c r="L25" s="133">
        <f>IF(SER_hh_tes_in!L25=0,0,11630*1000*SER_hh_tes_in!L25/SER_hh_num_in!L25)</f>
        <v>11544.685372858921</v>
      </c>
      <c r="M25" s="133">
        <f>IF(SER_hh_tes_in!M25=0,0,11630*1000*SER_hh_tes_in!M25/SER_hh_num_in!M25)</f>
        <v>11904.748634611122</v>
      </c>
      <c r="N25" s="133">
        <f>IF(SER_hh_tes_in!N25=0,0,11630*1000*SER_hh_tes_in!N25/SER_hh_num_in!N25)</f>
        <v>11954.78789759221</v>
      </c>
      <c r="O25" s="133">
        <f>IF(SER_hh_tes_in!O25=0,0,11630*1000*SER_hh_tes_in!O25/SER_hh_num_in!O25)</f>
        <v>12170.35292210763</v>
      </c>
      <c r="P25" s="133">
        <f>IF(SER_hh_tes_in!P25=0,0,11630*1000*SER_hh_tes_in!P25/SER_hh_num_in!P25)</f>
        <v>12707.761639740802</v>
      </c>
      <c r="Q25" s="133">
        <f>IF(SER_hh_tes_in!Q25=0,0,11630*1000*SER_hh_tes_in!Q25/SER_hh_num_in!Q25)</f>
        <v>12408.960130454774</v>
      </c>
      <c r="R25" s="133">
        <f>IF(SER_hh_tes_in!R25=0,0,11630*1000*SER_hh_tes_in!R25/SER_hh_num_in!R25)</f>
        <v>11459.886943459114</v>
      </c>
      <c r="S25" s="133">
        <f>IF(SER_hh_tes_in!S25=0,0,11630*1000*SER_hh_tes_in!S25/SER_hh_num_in!S25)</f>
        <v>13088.526748242944</v>
      </c>
      <c r="T25" s="133">
        <f>IF(SER_hh_tes_in!T25=0,0,11630*1000*SER_hh_tes_in!T25/SER_hh_num_in!T25)</f>
        <v>13735.930067390169</v>
      </c>
      <c r="U25" s="133">
        <f>IF(SER_hh_tes_in!U25=0,0,11630*1000*SER_hh_tes_in!U25/SER_hh_num_in!U25)</f>
        <v>11847.378515532662</v>
      </c>
      <c r="V25" s="133">
        <f>IF(SER_hh_tes_in!V25=0,0,11630*1000*SER_hh_tes_in!V25/SER_hh_num_in!V25)</f>
        <v>12027.854115569973</v>
      </c>
      <c r="W25" s="133">
        <f>IF(SER_hh_tes_in!W25=0,0,11630*1000*SER_hh_tes_in!W25/SER_hh_num_in!W25)</f>
        <v>13319.269041890151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10590.301635305221</v>
      </c>
      <c r="D26" s="65">
        <f>IF(SER_hh_tes_in!D26=0,0,11630*1000*SER_hh_tes_in!D26/SER_hh_num_in!D26)</f>
        <v>12854.574691330392</v>
      </c>
      <c r="E26" s="65">
        <f>IF(SER_hh_tes_in!E26=0,0,11630*1000*SER_hh_tes_in!E26/SER_hh_num_in!E26)</f>
        <v>11256.116255871531</v>
      </c>
      <c r="F26" s="65">
        <f>IF(SER_hh_tes_in!F26=0,0,11630*1000*SER_hh_tes_in!F26/SER_hh_num_in!F26)</f>
        <v>10844.894182114638</v>
      </c>
      <c r="G26" s="65">
        <f>IF(SER_hh_tes_in!G26=0,0,11630*1000*SER_hh_tes_in!G26/SER_hh_num_in!G26)</f>
        <v>11870.557016761699</v>
      </c>
      <c r="H26" s="65">
        <f>IF(SER_hh_tes_in!H26=0,0,11630*1000*SER_hh_tes_in!H26/SER_hh_num_in!H26)</f>
        <v>11984.576595573219</v>
      </c>
      <c r="I26" s="65">
        <f>IF(SER_hh_tes_in!I26=0,0,11630*1000*SER_hh_tes_in!I26/SER_hh_num_in!I26)</f>
        <v>10578.593234781618</v>
      </c>
      <c r="J26" s="65">
        <f>IF(SER_hh_tes_in!J26=0,0,11630*1000*SER_hh_tes_in!J26/SER_hh_num_in!J26)</f>
        <v>12058.437366509252</v>
      </c>
      <c r="K26" s="65">
        <f>IF(SER_hh_tes_in!K26=0,0,11630*1000*SER_hh_tes_in!K26/SER_hh_num_in!K26)</f>
        <v>11422.821230538175</v>
      </c>
      <c r="L26" s="65">
        <f>IF(SER_hh_tes_in!L26=0,0,11630*1000*SER_hh_tes_in!L26/SER_hh_num_in!L26)</f>
        <v>10725.5569881099</v>
      </c>
      <c r="M26" s="65">
        <f>IF(SER_hh_tes_in!M26=0,0,11630*1000*SER_hh_tes_in!M26/SER_hh_num_in!M26)</f>
        <v>11976.814568471136</v>
      </c>
      <c r="N26" s="65">
        <f>IF(SER_hh_tes_in!N26=0,0,11630*1000*SER_hh_tes_in!N26/SER_hh_num_in!N26)</f>
        <v>11556.456980220368</v>
      </c>
      <c r="O26" s="65">
        <f>IF(SER_hh_tes_in!O26=0,0,11630*1000*SER_hh_tes_in!O26/SER_hh_num_in!O26)</f>
        <v>12055.172530884613</v>
      </c>
      <c r="P26" s="65">
        <f>IF(SER_hh_tes_in!P26=0,0,11630*1000*SER_hh_tes_in!P26/SER_hh_num_in!P26)</f>
        <v>12535.053931810351</v>
      </c>
      <c r="Q26" s="65">
        <f>IF(SER_hh_tes_in!Q26=0,0,11630*1000*SER_hh_tes_in!Q26/SER_hh_num_in!Q26)</f>
        <v>13139.999074285941</v>
      </c>
      <c r="R26" s="65">
        <f>IF(SER_hh_tes_in!R26=0,0,11630*1000*SER_hh_tes_in!R26/SER_hh_num_in!R26)</f>
        <v>13449.036128823718</v>
      </c>
      <c r="S26" s="65">
        <f>IF(SER_hh_tes_in!S26=0,0,11630*1000*SER_hh_tes_in!S26/SER_hh_num_in!S26)</f>
        <v>13379.404485003362</v>
      </c>
      <c r="T26" s="65">
        <f>IF(SER_hh_tes_in!T26=0,0,11630*1000*SER_hh_tes_in!T26/SER_hh_num_in!T26)</f>
        <v>11105.245406443195</v>
      </c>
      <c r="U26" s="65">
        <f>IF(SER_hh_tes_in!U26=0,0,11630*1000*SER_hh_tes_in!U26/SER_hh_num_in!U26)</f>
        <v>11656.894940844504</v>
      </c>
      <c r="V26" s="65">
        <f>IF(SER_hh_tes_in!V26=0,0,11630*1000*SER_hh_tes_in!V26/SER_hh_num_in!V26)</f>
        <v>11620.429676633667</v>
      </c>
      <c r="W26" s="65">
        <f>IF(SER_hh_tes_in!W26=0,0,11630*1000*SER_hh_tes_in!W26/SER_hh_num_in!W26)</f>
        <v>12569.17659209673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16405.758483986101</v>
      </c>
      <c r="D29" s="131">
        <f>IF(SER_hh_tes_in!D29=0,0,11630*1000*SER_hh_tes_in!D29/SER_hh_num_in!D29)</f>
        <v>17098.950786489346</v>
      </c>
      <c r="E29" s="131">
        <f>IF(SER_hh_tes_in!E29=0,0,11630*1000*SER_hh_tes_in!E29/SER_hh_num_in!E29)</f>
        <v>16773.87594767888</v>
      </c>
      <c r="F29" s="131">
        <f>IF(SER_hh_tes_in!F29=0,0,11630*1000*SER_hh_tes_in!F29/SER_hh_num_in!F29)</f>
        <v>14459.789068163749</v>
      </c>
      <c r="G29" s="131">
        <f>IF(SER_hh_tes_in!G29=0,0,11630*1000*SER_hh_tes_in!G29/SER_hh_num_in!G29)</f>
        <v>14810.878356456014</v>
      </c>
      <c r="H29" s="131">
        <f>IF(SER_hh_tes_in!H29=0,0,11630*1000*SER_hh_tes_in!H29/SER_hh_num_in!H29)</f>
        <v>14733.823814629997</v>
      </c>
      <c r="I29" s="131">
        <f>IF(SER_hh_tes_in!I29=0,0,11630*1000*SER_hh_tes_in!I29/SER_hh_num_in!I29)</f>
        <v>17113.072769129521</v>
      </c>
      <c r="J29" s="131">
        <f>IF(SER_hh_tes_in!J29=0,0,11630*1000*SER_hh_tes_in!J29/SER_hh_num_in!J29)</f>
        <v>13446.500446798009</v>
      </c>
      <c r="K29" s="131">
        <f>IF(SER_hh_tes_in!K29=0,0,11630*1000*SER_hh_tes_in!K29/SER_hh_num_in!K29)</f>
        <v>13726.561026033231</v>
      </c>
      <c r="L29" s="131">
        <f>IF(SER_hh_tes_in!L29=0,0,11630*1000*SER_hh_tes_in!L29/SER_hh_num_in!L29)</f>
        <v>14107.532352182676</v>
      </c>
      <c r="M29" s="131">
        <f>IF(SER_hh_tes_in!M29=0,0,11630*1000*SER_hh_tes_in!M29/SER_hh_num_in!M29)</f>
        <v>15522.60131670368</v>
      </c>
      <c r="N29" s="131">
        <f>IF(SER_hh_tes_in!N29=0,0,11630*1000*SER_hh_tes_in!N29/SER_hh_num_in!N29)</f>
        <v>13724.703250106493</v>
      </c>
      <c r="O29" s="131">
        <f>IF(SER_hh_tes_in!O29=0,0,11630*1000*SER_hh_tes_in!O29/SER_hh_num_in!O29)</f>
        <v>14595.015447287828</v>
      </c>
      <c r="P29" s="131">
        <f>IF(SER_hh_tes_in!P29=0,0,11630*1000*SER_hh_tes_in!P29/SER_hh_num_in!P29)</f>
        <v>15327.795230565636</v>
      </c>
      <c r="Q29" s="131">
        <f>IF(SER_hh_tes_in!Q29=0,0,11630*1000*SER_hh_tes_in!Q29/SER_hh_num_in!Q29)</f>
        <v>15693.288091164999</v>
      </c>
      <c r="R29" s="131">
        <f>IF(SER_hh_tes_in!R29=0,0,11630*1000*SER_hh_tes_in!R29/SER_hh_num_in!R29)</f>
        <v>15679.952445730672</v>
      </c>
      <c r="S29" s="131">
        <f>IF(SER_hh_tes_in!S29=0,0,11630*1000*SER_hh_tes_in!S29/SER_hh_num_in!S29)</f>
        <v>16133.935891626501</v>
      </c>
      <c r="T29" s="131">
        <f>IF(SER_hh_tes_in!T29=0,0,11630*1000*SER_hh_tes_in!T29/SER_hh_num_in!T29)</f>
        <v>17131.872837059433</v>
      </c>
      <c r="U29" s="131">
        <f>IF(SER_hh_tes_in!U29=0,0,11630*1000*SER_hh_tes_in!U29/SER_hh_num_in!U29)</f>
        <v>17806.168271775212</v>
      </c>
      <c r="V29" s="131">
        <f>IF(SER_hh_tes_in!V29=0,0,11630*1000*SER_hh_tes_in!V29/SER_hh_num_in!V29)</f>
        <v>16114.198468317012</v>
      </c>
      <c r="W29" s="131">
        <f>IF(SER_hh_tes_in!W29=0,0,11630*1000*SER_hh_tes_in!W29/SER_hh_num_in!W29)</f>
        <v>16784.13540209737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13523.857969495433</v>
      </c>
      <c r="H30" s="133">
        <f>IF(SER_hh_tes_in!H30=0,0,11630*1000*SER_hh_tes_in!H30/SER_hh_num_in!H30)</f>
        <v>9247.7942331040849</v>
      </c>
      <c r="I30" s="133">
        <f>IF(SER_hh_tes_in!I30=0,0,11630*1000*SER_hh_tes_in!I30/SER_hh_num_in!I30)</f>
        <v>19712.801086907613</v>
      </c>
      <c r="J30" s="133">
        <f>IF(SER_hh_tes_in!J30=0,0,11630*1000*SER_hh_tes_in!J30/SER_hh_num_in!J30)</f>
        <v>11985.056666221246</v>
      </c>
      <c r="K30" s="133">
        <f>IF(SER_hh_tes_in!K30=0,0,11630*1000*SER_hh_tes_in!K30/SER_hh_num_in!K30)</f>
        <v>13334.193997666534</v>
      </c>
      <c r="L30" s="133">
        <f>IF(SER_hh_tes_in!L30=0,0,11630*1000*SER_hh_tes_in!L30/SER_hh_num_in!L30)</f>
        <v>18153.17038049507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16964.212627936548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14538.734621372607</v>
      </c>
      <c r="Q30" s="133">
        <f>IF(SER_hh_tes_in!Q30=0,0,11630*1000*SER_hh_tes_in!Q30/SER_hh_num_in!Q30)</f>
        <v>16782.216548350192</v>
      </c>
      <c r="R30" s="133">
        <f>IF(SER_hh_tes_in!R30=0,0,11630*1000*SER_hh_tes_in!R30/SER_hh_num_in!R30)</f>
        <v>14402.909789409883</v>
      </c>
      <c r="S30" s="133">
        <f>IF(SER_hh_tes_in!S30=0,0,11630*1000*SER_hh_tes_in!S30/SER_hh_num_in!S30)</f>
        <v>15094.538235690956</v>
      </c>
      <c r="T30" s="133">
        <f>IF(SER_hh_tes_in!T30=0,0,11630*1000*SER_hh_tes_in!T30/SER_hh_num_in!T30)</f>
        <v>16997.130264237217</v>
      </c>
      <c r="U30" s="133">
        <f>IF(SER_hh_tes_in!U30=0,0,11630*1000*SER_hh_tes_in!U30/SER_hh_num_in!U30)</f>
        <v>19907.83893085755</v>
      </c>
      <c r="V30" s="133">
        <f>IF(SER_hh_tes_in!V30=0,0,11630*1000*SER_hh_tes_in!V30/SER_hh_num_in!V30)</f>
        <v>16826.307379087524</v>
      </c>
      <c r="W30" s="133">
        <f>IF(SER_hh_tes_in!W30=0,0,11630*1000*SER_hh_tes_in!W30/SER_hh_num_in!W30)</f>
        <v>12495.985273424243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20494.0278334289</v>
      </c>
      <c r="D31" s="133">
        <f>IF(SER_hh_tes_in!D31=0,0,11630*1000*SER_hh_tes_in!D31/SER_hh_num_in!D31)</f>
        <v>18687.110603388766</v>
      </c>
      <c r="E31" s="133">
        <f>IF(SER_hh_tes_in!E31=0,0,11630*1000*SER_hh_tes_in!E31/SER_hh_num_in!E31)</f>
        <v>15530.038064529454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16178.471566977487</v>
      </c>
      <c r="L31" s="133">
        <f>IF(SER_hh_tes_in!L31=0,0,11630*1000*SER_hh_tes_in!L31/SER_hh_num_in!L31)</f>
        <v>14620.9383458147</v>
      </c>
      <c r="M31" s="133">
        <f>IF(SER_hh_tes_in!M31=0,0,11630*1000*SER_hh_tes_in!M31/SER_hh_num_in!M31)</f>
        <v>13870.911789793359</v>
      </c>
      <c r="N31" s="133">
        <f>IF(SER_hh_tes_in!N31=0,0,11630*1000*SER_hh_tes_in!N31/SER_hh_num_in!N31)</f>
        <v>11568.266451846466</v>
      </c>
      <c r="O31" s="133">
        <f>IF(SER_hh_tes_in!O31=0,0,11630*1000*SER_hh_tes_in!O31/SER_hh_num_in!O31)</f>
        <v>13358.560867015476</v>
      </c>
      <c r="P31" s="133">
        <f>IF(SER_hh_tes_in!P31=0,0,11630*1000*SER_hh_tes_in!P31/SER_hh_num_in!P31)</f>
        <v>16257.327428372124</v>
      </c>
      <c r="Q31" s="133">
        <f>IF(SER_hh_tes_in!Q31=0,0,11630*1000*SER_hh_tes_in!Q31/SER_hh_num_in!Q31)</f>
        <v>16157.835786786769</v>
      </c>
      <c r="R31" s="133">
        <f>IF(SER_hh_tes_in!R31=0,0,11630*1000*SER_hh_tes_in!R31/SER_hh_num_in!R31)</f>
        <v>20838.006361825352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12310.176076083992</v>
      </c>
      <c r="D33" s="68">
        <f>IF(SER_hh_tes_in!D33=0,0,11630*1000*SER_hh_tes_in!D33/SER_hh_num_in!D33)</f>
        <v>16852.125024347417</v>
      </c>
      <c r="E33" s="68">
        <f>IF(SER_hh_tes_in!E33=0,0,11630*1000*SER_hh_tes_in!E33/SER_hh_num_in!E33)</f>
        <v>16870.211973226196</v>
      </c>
      <c r="F33" s="68">
        <f>IF(SER_hh_tes_in!F33=0,0,11630*1000*SER_hh_tes_in!F33/SER_hh_num_in!F33)</f>
        <v>14459.789068163749</v>
      </c>
      <c r="G33" s="68">
        <f>IF(SER_hh_tes_in!G33=0,0,11630*1000*SER_hh_tes_in!G33/SER_hh_num_in!G33)</f>
        <v>15024.389402766632</v>
      </c>
      <c r="H33" s="68">
        <f>IF(SER_hh_tes_in!H33=0,0,11630*1000*SER_hh_tes_in!H33/SER_hh_num_in!H33)</f>
        <v>16231.634583420118</v>
      </c>
      <c r="I33" s="68">
        <f>IF(SER_hh_tes_in!I33=0,0,11630*1000*SER_hh_tes_in!I33/SER_hh_num_in!I33)</f>
        <v>12286.539099010179</v>
      </c>
      <c r="J33" s="68">
        <f>IF(SER_hh_tes_in!J33=0,0,11630*1000*SER_hh_tes_in!J33/SER_hh_num_in!J33)</f>
        <v>14544.148475632333</v>
      </c>
      <c r="K33" s="68">
        <f>IF(SER_hh_tes_in!K33=0,0,11630*1000*SER_hh_tes_in!K33/SER_hh_num_in!K33)</f>
        <v>13797.832463623303</v>
      </c>
      <c r="L33" s="68">
        <f>IF(SER_hh_tes_in!L33=0,0,11630*1000*SER_hh_tes_in!L33/SER_hh_num_in!L33)</f>
        <v>12365.201778641509</v>
      </c>
      <c r="M33" s="68">
        <f>IF(SER_hh_tes_in!M33=0,0,11630*1000*SER_hh_tes_in!M33/SER_hh_num_in!M33)</f>
        <v>15642.544985072587</v>
      </c>
      <c r="N33" s="68">
        <f>IF(SER_hh_tes_in!N33=0,0,11630*1000*SER_hh_tes_in!N33/SER_hh_num_in!N33)</f>
        <v>14243.733385339938</v>
      </c>
      <c r="O33" s="68">
        <f>IF(SER_hh_tes_in!O33=0,0,11630*1000*SER_hh_tes_in!O33/SER_hh_num_in!O33)</f>
        <v>15077.922271992034</v>
      </c>
      <c r="P33" s="68">
        <f>IF(SER_hh_tes_in!P33=0,0,11630*1000*SER_hh_tes_in!P33/SER_hh_num_in!P33)</f>
        <v>14919.273142614173</v>
      </c>
      <c r="Q33" s="68">
        <f>IF(SER_hh_tes_in!Q33=0,0,11630*1000*SER_hh_tes_in!Q33/SER_hh_num_in!Q33)</f>
        <v>15534.646968209236</v>
      </c>
      <c r="R33" s="68">
        <f>IF(SER_hh_tes_in!R33=0,0,11630*1000*SER_hh_tes_in!R33/SER_hh_num_in!R33)</f>
        <v>15866.721049921509</v>
      </c>
      <c r="S33" s="68">
        <f>IF(SER_hh_tes_in!S33=0,0,11630*1000*SER_hh_tes_in!S33/SER_hh_num_in!S33)</f>
        <v>16813.084743494503</v>
      </c>
      <c r="T33" s="68">
        <f>IF(SER_hh_tes_in!T33=0,0,11630*1000*SER_hh_tes_in!T33/SER_hh_num_in!T33)</f>
        <v>17247.046420991697</v>
      </c>
      <c r="U33" s="68">
        <f>IF(SER_hh_tes_in!U33=0,0,11630*1000*SER_hh_tes_in!U33/SER_hh_num_in!U33)</f>
        <v>16059.843186436465</v>
      </c>
      <c r="V33" s="68">
        <f>IF(SER_hh_tes_in!V33=0,0,11630*1000*SER_hh_tes_in!V33/SER_hh_num_in!V33)</f>
        <v>15870.95898102703</v>
      </c>
      <c r="W33" s="68">
        <f>IF(SER_hh_tes_in!W33=0,0,11630*1000*SER_hh_tes_in!W33/SER_hh_num_in!W33)</f>
        <v>17592.816043543211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71785.884096969181</v>
      </c>
      <c r="D3" s="126">
        <f>IF(SER_hh_emi_in!D3=0,0,1000000*SER_hh_emi_in!D3/SER_hh_num_in!D3)</f>
        <v>50755.653533939949</v>
      </c>
      <c r="E3" s="126">
        <f>IF(SER_hh_emi_in!E3=0,0,1000000*SER_hh_emi_in!E3/SER_hh_num_in!E3)</f>
        <v>43320.679329780607</v>
      </c>
      <c r="F3" s="126">
        <f>IF(SER_hh_emi_in!F3=0,0,1000000*SER_hh_emi_in!F3/SER_hh_num_in!F3)</f>
        <v>32525.581328948894</v>
      </c>
      <c r="G3" s="126">
        <f>IF(SER_hh_emi_in!G3=0,0,1000000*SER_hh_emi_in!G3/SER_hh_num_in!G3)</f>
        <v>28197.637127134916</v>
      </c>
      <c r="H3" s="126">
        <f>IF(SER_hh_emi_in!H3=0,0,1000000*SER_hh_emi_in!H3/SER_hh_num_in!H3)</f>
        <v>16169.504611342501</v>
      </c>
      <c r="I3" s="126">
        <f>IF(SER_hh_emi_in!I3=0,0,1000000*SER_hh_emi_in!I3/SER_hh_num_in!I3)</f>
        <v>14394.010123719168</v>
      </c>
      <c r="J3" s="126">
        <f>IF(SER_hh_emi_in!J3=0,0,1000000*SER_hh_emi_in!J3/SER_hh_num_in!J3)</f>
        <v>22320.284137892046</v>
      </c>
      <c r="K3" s="126">
        <f>IF(SER_hh_emi_in!K3=0,0,1000000*SER_hh_emi_in!K3/SER_hh_num_in!K3)</f>
        <v>15057.165254829772</v>
      </c>
      <c r="L3" s="126">
        <f>IF(SER_hh_emi_in!L3=0,0,1000000*SER_hh_emi_in!L3/SER_hh_num_in!L3)</f>
        <v>5700.8839444090381</v>
      </c>
      <c r="M3" s="126">
        <f>IF(SER_hh_emi_in!M3=0,0,1000000*SER_hh_emi_in!M3/SER_hh_num_in!M3)</f>
        <v>6513.0296498264088</v>
      </c>
      <c r="N3" s="126">
        <f>IF(SER_hh_emi_in!N3=0,0,1000000*SER_hh_emi_in!N3/SER_hh_num_in!N3)</f>
        <v>1705.1659415409856</v>
      </c>
      <c r="O3" s="126">
        <f>IF(SER_hh_emi_in!O3=0,0,1000000*SER_hh_emi_in!O3/SER_hh_num_in!O3)</f>
        <v>7280.816816948176</v>
      </c>
      <c r="P3" s="126">
        <f>IF(SER_hh_emi_in!P3=0,0,1000000*SER_hh_emi_in!P3/SER_hh_num_in!P3)</f>
        <v>8080.729431313559</v>
      </c>
      <c r="Q3" s="126">
        <f>IF(SER_hh_emi_in!Q3=0,0,1000000*SER_hh_emi_in!Q3/SER_hh_num_in!Q3)</f>
        <v>10379.23925314235</v>
      </c>
      <c r="R3" s="126">
        <f>IF(SER_hh_emi_in!R3=0,0,1000000*SER_hh_emi_in!R3/SER_hh_num_in!R3)</f>
        <v>10449.044387214733</v>
      </c>
      <c r="S3" s="126">
        <f>IF(SER_hh_emi_in!S3=0,0,1000000*SER_hh_emi_in!S3/SER_hh_num_in!S3)</f>
        <v>6030.3334330614898</v>
      </c>
      <c r="T3" s="126">
        <f>IF(SER_hh_emi_in!T3=0,0,1000000*SER_hh_emi_in!T3/SER_hh_num_in!T3)</f>
        <v>10374.336184893173</v>
      </c>
      <c r="U3" s="126">
        <f>IF(SER_hh_emi_in!U3=0,0,1000000*SER_hh_emi_in!U3/SER_hh_num_in!U3)</f>
        <v>9425.9959824821653</v>
      </c>
      <c r="V3" s="126">
        <f>IF(SER_hh_emi_in!V3=0,0,1000000*SER_hh_emi_in!V3/SER_hh_num_in!V3)</f>
        <v>7679.8490334691187</v>
      </c>
      <c r="W3" s="126">
        <f>IF(SER_hh_emi_in!W3=0,0,1000000*SER_hh_emi_in!W3/SER_hh_num_in!W3)</f>
        <v>5384.5108563979193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64716.659775572509</v>
      </c>
      <c r="D4" s="131">
        <f>IF(SER_hh_emi_in!D4=0,0,1000000*SER_hh_emi_in!D4/SER_hh_num_in!D4)</f>
        <v>45691.549473808744</v>
      </c>
      <c r="E4" s="131">
        <f>IF(SER_hh_emi_in!E4=0,0,1000000*SER_hh_emi_in!E4/SER_hh_num_in!E4)</f>
        <v>38540.002315361351</v>
      </c>
      <c r="F4" s="131">
        <f>IF(SER_hh_emi_in!F4=0,0,1000000*SER_hh_emi_in!F4/SER_hh_num_in!F4)</f>
        <v>28550.507698012552</v>
      </c>
      <c r="G4" s="131">
        <f>IF(SER_hh_emi_in!G4=0,0,1000000*SER_hh_emi_in!G4/SER_hh_num_in!G4)</f>
        <v>24077.383834602802</v>
      </c>
      <c r="H4" s="131">
        <f>IF(SER_hh_emi_in!H4=0,0,1000000*SER_hh_emi_in!H4/SER_hh_num_in!H4)</f>
        <v>12090.451131819598</v>
      </c>
      <c r="I4" s="131">
        <f>IF(SER_hh_emi_in!I4=0,0,1000000*SER_hh_emi_in!I4/SER_hh_num_in!I4)</f>
        <v>6247.7179424506949</v>
      </c>
      <c r="J4" s="131">
        <f>IF(SER_hh_emi_in!J4=0,0,1000000*SER_hh_emi_in!J4/SER_hh_num_in!J4)</f>
        <v>18303.463836064126</v>
      </c>
      <c r="K4" s="131">
        <f>IF(SER_hh_emi_in!K4=0,0,1000000*SER_hh_emi_in!K4/SER_hh_num_in!K4)</f>
        <v>11443.073746082211</v>
      </c>
      <c r="L4" s="131">
        <f>IF(SER_hh_emi_in!L4=0,0,1000000*SER_hh_emi_in!L4/SER_hh_num_in!L4)</f>
        <v>2594.9096881661762</v>
      </c>
      <c r="M4" s="131">
        <f>IF(SER_hh_emi_in!M4=0,0,1000000*SER_hh_emi_in!M4/SER_hh_num_in!M4)</f>
        <v>5629.9723484440437</v>
      </c>
      <c r="N4" s="131">
        <f>IF(SER_hh_emi_in!N4=0,0,1000000*SER_hh_emi_in!N4/SER_hh_num_in!N4)</f>
        <v>237.43254412882396</v>
      </c>
      <c r="O4" s="131">
        <f>IF(SER_hh_emi_in!O4=0,0,1000000*SER_hh_emi_in!O4/SER_hh_num_in!O4)</f>
        <v>5557.9491696242967</v>
      </c>
      <c r="P4" s="131">
        <f>IF(SER_hh_emi_in!P4=0,0,1000000*SER_hh_emi_in!P4/SER_hh_num_in!P4)</f>
        <v>6439.7663104530138</v>
      </c>
      <c r="Q4" s="131">
        <f>IF(SER_hh_emi_in!Q4=0,0,1000000*SER_hh_emi_in!Q4/SER_hh_num_in!Q4)</f>
        <v>8789.6251481126692</v>
      </c>
      <c r="R4" s="131">
        <f>IF(SER_hh_emi_in!R4=0,0,1000000*SER_hh_emi_in!R4/SER_hh_num_in!R4)</f>
        <v>7578.2120775741841</v>
      </c>
      <c r="S4" s="131">
        <f>IF(SER_hh_emi_in!S4=0,0,1000000*SER_hh_emi_in!S4/SER_hh_num_in!S4)</f>
        <v>2468.1026704800233</v>
      </c>
      <c r="T4" s="131">
        <f>IF(SER_hh_emi_in!T4=0,0,1000000*SER_hh_emi_in!T4/SER_hh_num_in!T4)</f>
        <v>4998.1700674366884</v>
      </c>
      <c r="U4" s="131">
        <f>IF(SER_hh_emi_in!U4=0,0,1000000*SER_hh_emi_in!U4/SER_hh_num_in!U4)</f>
        <v>4210.1299140004867</v>
      </c>
      <c r="V4" s="131">
        <f>IF(SER_hh_emi_in!V4=0,0,1000000*SER_hh_emi_in!V4/SER_hh_num_in!V4)</f>
        <v>4113.9878119571868</v>
      </c>
      <c r="W4" s="131">
        <f>IF(SER_hh_emi_in!W4=0,0,1000000*SER_hh_emi_in!W4/SER_hh_num_in!W4)</f>
        <v>3413.5977613495002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96086.714001437649</v>
      </c>
      <c r="D7" s="133">
        <f>IF(SER_hh_emi_in!D7=0,0,1000000*SER_hh_emi_in!D7/SER_hh_num_in!D7)</f>
        <v>75062.289296590665</v>
      </c>
      <c r="E7" s="133">
        <f>IF(SER_hh_emi_in!E7=0,0,1000000*SER_hh_emi_in!E7/SER_hh_num_in!E7)</f>
        <v>50917.406169779213</v>
      </c>
      <c r="F7" s="133">
        <f>IF(SER_hh_emi_in!F7=0,0,1000000*SER_hh_emi_in!F7/SER_hh_num_in!F7)</f>
        <v>47263.333680371317</v>
      </c>
      <c r="G7" s="133">
        <f>IF(SER_hh_emi_in!G7=0,0,1000000*SER_hh_emi_in!G7/SER_hh_num_in!G7)</f>
        <v>41580.555672600931</v>
      </c>
      <c r="H7" s="133">
        <f>IF(SER_hh_emi_in!H7=0,0,1000000*SER_hh_emi_in!H7/SER_hh_num_in!H7)</f>
        <v>32623.14948195219</v>
      </c>
      <c r="I7" s="133">
        <f>IF(SER_hh_emi_in!I7=0,0,1000000*SER_hh_emi_in!I7/SER_hh_num_in!I7)</f>
        <v>18896.254086606834</v>
      </c>
      <c r="J7" s="133">
        <f>IF(SER_hh_emi_in!J7=0,0,1000000*SER_hh_emi_in!J7/SER_hh_num_in!J7)</f>
        <v>33156.924775968058</v>
      </c>
      <c r="K7" s="133">
        <f>IF(SER_hh_emi_in!K7=0,0,1000000*SER_hh_emi_in!K7/SER_hh_num_in!K7)</f>
        <v>30428.534599017752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19618.825957634821</v>
      </c>
      <c r="S7" s="133">
        <f>IF(SER_hh_emi_in!S7=0,0,1000000*SER_hh_emi_in!S7/SER_hh_num_in!S7)</f>
        <v>15204.152699178207</v>
      </c>
      <c r="T7" s="133">
        <f>IF(SER_hh_emi_in!T7=0,0,1000000*SER_hh_emi_in!T7/SER_hh_num_in!T7)</f>
        <v>16144.100792241736</v>
      </c>
      <c r="U7" s="133">
        <f>IF(SER_hh_emi_in!U7=0,0,1000000*SER_hh_emi_in!U7/SER_hh_num_in!U7)</f>
        <v>13303.576874424067</v>
      </c>
      <c r="V7" s="133">
        <f>IF(SER_hh_emi_in!V7=0,0,1000000*SER_hh_emi_in!V7/SER_hh_num_in!V7)</f>
        <v>14494.225419352897</v>
      </c>
      <c r="W7" s="133">
        <f>IF(SER_hh_emi_in!W7=0,0,1000000*SER_hh_emi_in!W7/SER_hh_num_in!W7)</f>
        <v>9010.6208124940222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66147.773496263733</v>
      </c>
      <c r="D9" s="133">
        <f>IF(SER_hh_emi_in!D9=0,0,1000000*SER_hh_emi_in!D9/SER_hh_num_in!D9)</f>
        <v>64029.560272141971</v>
      </c>
      <c r="E9" s="133">
        <f>IF(SER_hh_emi_in!E9=0,0,1000000*SER_hh_emi_in!E9/SER_hh_num_in!E9)</f>
        <v>29805.561534757759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16325.434348829427</v>
      </c>
      <c r="L9" s="133">
        <f>IF(SER_hh_emi_in!L9=0,0,1000000*SER_hh_emi_in!L9/SER_hh_num_in!L9)</f>
        <v>19392.296053384216</v>
      </c>
      <c r="M9" s="133">
        <f>IF(SER_hh_emi_in!M9=0,0,1000000*SER_hh_emi_in!M9/SER_hh_num_in!M9)</f>
        <v>27937.928669701014</v>
      </c>
      <c r="N9" s="133">
        <f>IF(SER_hh_emi_in!N9=0,0,1000000*SER_hh_emi_in!N9/SER_hh_num_in!N9)</f>
        <v>6894.5640868554055</v>
      </c>
      <c r="O9" s="133">
        <f>IF(SER_hh_emi_in!O9=0,0,1000000*SER_hh_emi_in!O9/SER_hh_num_in!O9)</f>
        <v>14547.828635485674</v>
      </c>
      <c r="P9" s="133">
        <f>IF(SER_hh_emi_in!P9=0,0,1000000*SER_hh_emi_in!P9/SER_hh_num_in!P9)</f>
        <v>11758.730273363808</v>
      </c>
      <c r="Q9" s="133">
        <f>IF(SER_hh_emi_in!Q9=0,0,1000000*SER_hh_emi_in!Q9/SER_hh_num_in!Q9)</f>
        <v>13563.01318926255</v>
      </c>
      <c r="R9" s="133">
        <f>IF(SER_hh_emi_in!R9=0,0,1000000*SER_hh_emi_in!R9/SER_hh_num_in!R9)</f>
        <v>16248.676441726202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6042.3515505786054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3721.4106068525634</v>
      </c>
      <c r="D19" s="131">
        <f>IF(SER_hh_emi_in!D19=0,0,1000000*SER_hh_emi_in!D19/SER_hh_num_in!D19)</f>
        <v>4243.3870321889635</v>
      </c>
      <c r="E19" s="131">
        <f>IF(SER_hh_emi_in!E19=0,0,1000000*SER_hh_emi_in!E19/SER_hh_num_in!E19)</f>
        <v>4420.1731166647223</v>
      </c>
      <c r="F19" s="131">
        <f>IF(SER_hh_emi_in!F19=0,0,1000000*SER_hh_emi_in!F19/SER_hh_num_in!F19)</f>
        <v>3975.0736309363401</v>
      </c>
      <c r="G19" s="131">
        <f>IF(SER_hh_emi_in!G19=0,0,1000000*SER_hh_emi_in!G19/SER_hh_num_in!G19)</f>
        <v>3401.8980097684948</v>
      </c>
      <c r="H19" s="131">
        <f>IF(SER_hh_emi_in!H19=0,0,1000000*SER_hh_emi_in!H19/SER_hh_num_in!H19)</f>
        <v>3339.3611039145871</v>
      </c>
      <c r="I19" s="131">
        <f>IF(SER_hh_emi_in!I19=0,0,1000000*SER_hh_emi_in!I19/SER_hh_num_in!I19)</f>
        <v>3372.5691250477048</v>
      </c>
      <c r="J19" s="131">
        <f>IF(SER_hh_emi_in!J19=0,0,1000000*SER_hh_emi_in!J19/SER_hh_num_in!J19)</f>
        <v>2103.1551456430748</v>
      </c>
      <c r="K19" s="131">
        <f>IF(SER_hh_emi_in!K19=0,0,1000000*SER_hh_emi_in!K19/SER_hh_num_in!K19)</f>
        <v>1145.9607613988051</v>
      </c>
      <c r="L19" s="131">
        <f>IF(SER_hh_emi_in!L19=0,0,1000000*SER_hh_emi_in!L19/SER_hh_num_in!L19)</f>
        <v>925.4974978579163</v>
      </c>
      <c r="M19" s="131">
        <f>IF(SER_hh_emi_in!M19=0,0,1000000*SER_hh_emi_in!M19/SER_hh_num_in!M19)</f>
        <v>591.01509523178026</v>
      </c>
      <c r="N19" s="131">
        <f>IF(SER_hh_emi_in!N19=0,0,1000000*SER_hh_emi_in!N19/SER_hh_num_in!N19)</f>
        <v>784.11047344436702</v>
      </c>
      <c r="O19" s="131">
        <f>IF(SER_hh_emi_in!O19=0,0,1000000*SER_hh_emi_in!O19/SER_hh_num_in!O19)</f>
        <v>565.25093111093611</v>
      </c>
      <c r="P19" s="131">
        <f>IF(SER_hh_emi_in!P19=0,0,1000000*SER_hh_emi_in!P19/SER_hh_num_in!P19)</f>
        <v>78.86904167623463</v>
      </c>
      <c r="Q19" s="131">
        <f>IF(SER_hh_emi_in!Q19=0,0,1000000*SER_hh_emi_in!Q19/SER_hh_num_in!Q19)</f>
        <v>340.0623202020688</v>
      </c>
      <c r="R19" s="131">
        <f>IF(SER_hh_emi_in!R19=0,0,1000000*SER_hh_emi_in!R19/SER_hh_num_in!R19)</f>
        <v>1825.4127767654297</v>
      </c>
      <c r="S19" s="131">
        <f>IF(SER_hh_emi_in!S19=0,0,1000000*SER_hh_emi_in!S19/SER_hh_num_in!S19)</f>
        <v>1362.8863134398905</v>
      </c>
      <c r="T19" s="131">
        <f>IF(SER_hh_emi_in!T19=0,0,1000000*SER_hh_emi_in!T19/SER_hh_num_in!T19)</f>
        <v>2503.5800538248545</v>
      </c>
      <c r="U19" s="131">
        <f>IF(SER_hh_emi_in!U19=0,0,1000000*SER_hh_emi_in!U19/SER_hh_num_in!U19)</f>
        <v>1920.8877739306217</v>
      </c>
      <c r="V19" s="131">
        <f>IF(SER_hh_emi_in!V19=0,0,1000000*SER_hh_emi_in!V19/SER_hh_num_in!V19)</f>
        <v>2011.4156026047463</v>
      </c>
      <c r="W19" s="131">
        <f>IF(SER_hh_emi_in!W19=0,0,1000000*SER_hh_emi_in!W19/SER_hh_num_in!W19)</f>
        <v>1254.9130591443297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4613.8817912188015</v>
      </c>
      <c r="D21" s="133">
        <f>IF(SER_hh_emi_in!D21=0,0,1000000*SER_hh_emi_in!D21/SER_hh_num_in!D21)</f>
        <v>4918.4017016238231</v>
      </c>
      <c r="E21" s="133">
        <f>IF(SER_hh_emi_in!E21=0,0,1000000*SER_hh_emi_in!E21/SER_hh_num_in!E21)</f>
        <v>4762.5423970145539</v>
      </c>
      <c r="F21" s="133">
        <f>IF(SER_hh_emi_in!F21=0,0,1000000*SER_hh_emi_in!F21/SER_hh_num_in!F21)</f>
        <v>4622.8672063512704</v>
      </c>
      <c r="G21" s="133">
        <f>IF(SER_hh_emi_in!G21=0,0,1000000*SER_hh_emi_in!G21/SER_hh_num_in!G21)</f>
        <v>4528.6056297147243</v>
      </c>
      <c r="H21" s="133">
        <f>IF(SER_hh_emi_in!H21=0,0,1000000*SER_hh_emi_in!H21/SER_hh_num_in!H21)</f>
        <v>4434.8592170979073</v>
      </c>
      <c r="I21" s="133">
        <f>IF(SER_hh_emi_in!I21=0,0,1000000*SER_hh_emi_in!I21/SER_hh_num_in!I21)</f>
        <v>4399.1819426766433</v>
      </c>
      <c r="J21" s="133">
        <f>IF(SER_hh_emi_in!J21=0,0,1000000*SER_hh_emi_in!J21/SER_hh_num_in!J21)</f>
        <v>4238.5383622942281</v>
      </c>
      <c r="K21" s="133">
        <f>IF(SER_hh_emi_in!K21=0,0,1000000*SER_hh_emi_in!K21/SER_hh_num_in!K21)</f>
        <v>4255.795540788321</v>
      </c>
      <c r="L21" s="133">
        <f>IF(SER_hh_emi_in!L21=0,0,1000000*SER_hh_emi_in!L21/SER_hh_num_in!L21)</f>
        <v>4390.4952525204208</v>
      </c>
      <c r="M21" s="133">
        <f>IF(SER_hh_emi_in!M21=0,0,1000000*SER_hh_emi_in!M21/SER_hh_num_in!M21)</f>
        <v>4086.7154205357797</v>
      </c>
      <c r="N21" s="133">
        <f>IF(SER_hh_emi_in!N21=0,0,1000000*SER_hh_emi_in!N21/SER_hh_num_in!N21)</f>
        <v>4203.5610769419418</v>
      </c>
      <c r="O21" s="133">
        <f>IF(SER_hh_emi_in!O21=0,0,1000000*SER_hh_emi_in!O21/SER_hh_num_in!O21)</f>
        <v>4039.4831576618471</v>
      </c>
      <c r="P21" s="133">
        <f>IF(SER_hh_emi_in!P21=0,0,1000000*SER_hh_emi_in!P21/SER_hh_num_in!P21)</f>
        <v>0</v>
      </c>
      <c r="Q21" s="133">
        <f>IF(SER_hh_emi_in!Q21=0,0,1000000*SER_hh_emi_in!Q21/SER_hh_num_in!Q21)</f>
        <v>3747.5970449926258</v>
      </c>
      <c r="R21" s="133">
        <f>IF(SER_hh_emi_in!R21=0,0,1000000*SER_hh_emi_in!R21/SER_hh_num_in!R21)</f>
        <v>2838.823384396957</v>
      </c>
      <c r="S21" s="133">
        <f>IF(SER_hh_emi_in!S21=0,0,1000000*SER_hh_emi_in!S21/SER_hh_num_in!S21)</f>
        <v>3125.5146340781203</v>
      </c>
      <c r="T21" s="133">
        <f>IF(SER_hh_emi_in!T21=0,0,1000000*SER_hh_emi_in!T21/SER_hh_num_in!T21)</f>
        <v>4071.5428685075381</v>
      </c>
      <c r="U21" s="133">
        <f>IF(SER_hh_emi_in!U21=0,0,1000000*SER_hh_emi_in!U21/SER_hh_num_in!U21)</f>
        <v>4660.6615265548216</v>
      </c>
      <c r="V21" s="133">
        <f>IF(SER_hh_emi_in!V21=0,0,1000000*SER_hh_emi_in!V21/SER_hh_num_in!V21)</f>
        <v>3645.038461496978</v>
      </c>
      <c r="W21" s="133">
        <f>IF(SER_hh_emi_in!W21=0,0,1000000*SER_hh_emi_in!W21/SER_hh_num_in!W21)</f>
        <v>2794.2322275805218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6368.0806339608716</v>
      </c>
      <c r="D22" s="133">
        <f>IF(SER_hh_emi_in!D22=0,0,1000000*SER_hh_emi_in!D22/SER_hh_num_in!D22)</f>
        <v>5643.7252807013347</v>
      </c>
      <c r="E22" s="133">
        <f>IF(SER_hh_emi_in!E22=0,0,1000000*SER_hh_emi_in!E22/SER_hh_num_in!E22)</f>
        <v>6058.2876259306377</v>
      </c>
      <c r="F22" s="133">
        <f>IF(SER_hh_emi_in!F22=0,0,1000000*SER_hh_emi_in!F22/SER_hh_num_in!F22)</f>
        <v>5837.9132511095177</v>
      </c>
      <c r="G22" s="133">
        <f>IF(SER_hh_emi_in!G22=0,0,1000000*SER_hh_emi_in!G22/SER_hh_num_in!G22)</f>
        <v>5679.9982267164596</v>
      </c>
      <c r="H22" s="133">
        <f>IF(SER_hh_emi_in!H22=0,0,1000000*SER_hh_emi_in!H22/SER_hh_num_in!H22)</f>
        <v>5556.2439035715024</v>
      </c>
      <c r="I22" s="133">
        <f>IF(SER_hh_emi_in!I22=0,0,1000000*SER_hh_emi_in!I22/SER_hh_num_in!I22)</f>
        <v>5504.2290995764388</v>
      </c>
      <c r="J22" s="133">
        <f>IF(SER_hh_emi_in!J22=0,0,1000000*SER_hh_emi_in!J22/SER_hh_num_in!J22)</f>
        <v>5199.363900960986</v>
      </c>
      <c r="K22" s="133">
        <f>IF(SER_hh_emi_in!K22=0,0,1000000*SER_hh_emi_in!K22/SER_hh_num_in!K22)</f>
        <v>5372.3307486867243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4966.9422836371568</v>
      </c>
      <c r="S22" s="133">
        <f>IF(SER_hh_emi_in!S22=0,0,1000000*SER_hh_emi_in!S22/SER_hh_num_in!S22)</f>
        <v>4013.9459507406709</v>
      </c>
      <c r="T22" s="133">
        <f>IF(SER_hh_emi_in!T22=0,0,1000000*SER_hh_emi_in!T22/SER_hh_num_in!T22)</f>
        <v>4592.3075774339468</v>
      </c>
      <c r="U22" s="133">
        <f>IF(SER_hh_emi_in!U22=0,0,1000000*SER_hh_emi_in!U22/SER_hh_num_in!U22)</f>
        <v>3895.1496857555171</v>
      </c>
      <c r="V22" s="133">
        <f>IF(SER_hh_emi_in!V22=0,0,1000000*SER_hh_emi_in!V22/SER_hh_num_in!V22)</f>
        <v>4293.8331239179734</v>
      </c>
      <c r="W22" s="133">
        <f>IF(SER_hh_emi_in!W22=0,0,1000000*SER_hh_emi_in!W22/SER_hh_num_in!W22)</f>
        <v>4014.6625633132962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4215.4824308059024</v>
      </c>
      <c r="D23" s="133">
        <f>IF(SER_hh_emi_in!D23=0,0,1000000*SER_hh_emi_in!D23/SER_hh_num_in!D23)</f>
        <v>4015.3679701545989</v>
      </c>
      <c r="E23" s="133">
        <f>IF(SER_hh_emi_in!E23=0,0,1000000*SER_hh_emi_in!E23/SER_hh_num_in!E23)</f>
        <v>3881.9337987241101</v>
      </c>
      <c r="F23" s="133">
        <f>IF(SER_hh_emi_in!F23=0,0,1000000*SER_hh_emi_in!F23/SER_hh_num_in!F23)</f>
        <v>3829.8815702566003</v>
      </c>
      <c r="G23" s="133">
        <f>IF(SER_hh_emi_in!G23=0,0,1000000*SER_hh_emi_in!G23/SER_hh_num_in!G23)</f>
        <v>3629.4213751274642</v>
      </c>
      <c r="H23" s="133">
        <f>IF(SER_hh_emi_in!H23=0,0,1000000*SER_hh_emi_in!H23/SER_hh_num_in!H23)</f>
        <v>3316.5223667195964</v>
      </c>
      <c r="I23" s="133">
        <f>IF(SER_hh_emi_in!I23=0,0,1000000*SER_hh_emi_in!I23/SER_hh_num_in!I23)</f>
        <v>3016.1184220533241</v>
      </c>
      <c r="J23" s="133">
        <f>IF(SER_hh_emi_in!J23=0,0,1000000*SER_hh_emi_in!J23/SER_hh_num_in!J23)</f>
        <v>2740.7005995317472</v>
      </c>
      <c r="K23" s="133">
        <f>IF(SER_hh_emi_in!K23=0,0,1000000*SER_hh_emi_in!K23/SER_hh_num_in!K23)</f>
        <v>3499.0120020482855</v>
      </c>
      <c r="L23" s="133">
        <f>IF(SER_hh_emi_in!L23=0,0,1000000*SER_hh_emi_in!L23/SER_hh_num_in!L23)</f>
        <v>3412.4040694315845</v>
      </c>
      <c r="M23" s="133">
        <f>IF(SER_hh_emi_in!M23=0,0,1000000*SER_hh_emi_in!M23/SER_hh_num_in!M23)</f>
        <v>3314.3453868474248</v>
      </c>
      <c r="N23" s="133">
        <f>IF(SER_hh_emi_in!N23=0,0,1000000*SER_hh_emi_in!N23/SER_hh_num_in!N23)</f>
        <v>2972.1052860324112</v>
      </c>
      <c r="O23" s="133">
        <f>IF(SER_hh_emi_in!O23=0,0,1000000*SER_hh_emi_in!O23/SER_hh_num_in!O23)</f>
        <v>3181.4399185558786</v>
      </c>
      <c r="P23" s="133">
        <f>IF(SER_hh_emi_in!P23=0,0,1000000*SER_hh_emi_in!P23/SER_hh_num_in!P23)</f>
        <v>3128.9859209564297</v>
      </c>
      <c r="Q23" s="133">
        <f>IF(SER_hh_emi_in!Q23=0,0,1000000*SER_hh_emi_in!Q23/SER_hh_num_in!Q23)</f>
        <v>2970.7124175328318</v>
      </c>
      <c r="R23" s="133">
        <f>IF(SER_hh_emi_in!R23=0,0,1000000*SER_hh_emi_in!R23/SER_hh_num_in!R23)</f>
        <v>3820.4742089834235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3347.8137145441324</v>
      </c>
      <c r="D29" s="131">
        <f>IF(SER_hh_emi_in!D29=0,0,1000000*SER_hh_emi_in!D29/SER_hh_num_in!D29)</f>
        <v>820.71702794223029</v>
      </c>
      <c r="E29" s="131">
        <f>IF(SER_hh_emi_in!E29=0,0,1000000*SER_hh_emi_in!E29/SER_hh_num_in!E29)</f>
        <v>360.50389775453351</v>
      </c>
      <c r="F29" s="131">
        <f>IF(SER_hh_emi_in!F29=0,0,1000000*SER_hh_emi_in!F29/SER_hh_num_in!F29)</f>
        <v>0</v>
      </c>
      <c r="G29" s="131">
        <f>IF(SER_hh_emi_in!G29=0,0,1000000*SER_hh_emi_in!G29/SER_hh_num_in!G29)</f>
        <v>718.35528276362015</v>
      </c>
      <c r="H29" s="131">
        <f>IF(SER_hh_emi_in!H29=0,0,1000000*SER_hh_emi_in!H29/SER_hh_num_in!H29)</f>
        <v>739.69237560831721</v>
      </c>
      <c r="I29" s="131">
        <f>IF(SER_hh_emi_in!I29=0,0,1000000*SER_hh_emi_in!I29/SER_hh_num_in!I29)</f>
        <v>4773.7230562207678</v>
      </c>
      <c r="J29" s="131">
        <f>IF(SER_hh_emi_in!J29=0,0,1000000*SER_hh_emi_in!J29/SER_hh_num_in!J29)</f>
        <v>1913.6651561848437</v>
      </c>
      <c r="K29" s="131">
        <f>IF(SER_hh_emi_in!K29=0,0,1000000*SER_hh_emi_in!K29/SER_hh_num_in!K29)</f>
        <v>2468.1307473487568</v>
      </c>
      <c r="L29" s="131">
        <f>IF(SER_hh_emi_in!L29=0,0,1000000*SER_hh_emi_in!L29/SER_hh_num_in!L29)</f>
        <v>2180.4767583849462</v>
      </c>
      <c r="M29" s="131">
        <f>IF(SER_hh_emi_in!M29=0,0,1000000*SER_hh_emi_in!M29/SER_hh_num_in!M29)</f>
        <v>292.04220615058472</v>
      </c>
      <c r="N29" s="131">
        <f>IF(SER_hh_emi_in!N29=0,0,1000000*SER_hh_emi_in!N29/SER_hh_num_in!N29)</f>
        <v>683.62292396779435</v>
      </c>
      <c r="O29" s="131">
        <f>IF(SER_hh_emi_in!O29=0,0,1000000*SER_hh_emi_in!O29/SER_hh_num_in!O29)</f>
        <v>1157.6167162129432</v>
      </c>
      <c r="P29" s="131">
        <f>IF(SER_hh_emi_in!P29=0,0,1000000*SER_hh_emi_in!P29/SER_hh_num_in!P29)</f>
        <v>1562.0940791843116</v>
      </c>
      <c r="Q29" s="131">
        <f>IF(SER_hh_emi_in!Q29=0,0,1000000*SER_hh_emi_in!Q29/SER_hh_num_in!Q29)</f>
        <v>1249.5517848276097</v>
      </c>
      <c r="R29" s="131">
        <f>IF(SER_hh_emi_in!R29=0,0,1000000*SER_hh_emi_in!R29/SER_hh_num_in!R29)</f>
        <v>1045.4195328751184</v>
      </c>
      <c r="S29" s="131">
        <f>IF(SER_hh_emi_in!S29=0,0,1000000*SER_hh_emi_in!S29/SER_hh_num_in!S29)</f>
        <v>2199.3444491415758</v>
      </c>
      <c r="T29" s="131">
        <f>IF(SER_hh_emi_in!T29=0,0,1000000*SER_hh_emi_in!T29/SER_hh_num_in!T29)</f>
        <v>2872.5860636316279</v>
      </c>
      <c r="U29" s="131">
        <f>IF(SER_hh_emi_in!U29=0,0,1000000*SER_hh_emi_in!U29/SER_hh_num_in!U29)</f>
        <v>3294.9782945510565</v>
      </c>
      <c r="V29" s="131">
        <f>IF(SER_hh_emi_in!V29=0,0,1000000*SER_hh_emi_in!V29/SER_hh_num_in!V29)</f>
        <v>1554.4456189071859</v>
      </c>
      <c r="W29" s="131">
        <f>IF(SER_hh_emi_in!W29=0,0,1000000*SER_hh_emi_in!W29/SER_hh_num_in!W29)</f>
        <v>716.00003590408937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5048.5195059888047</v>
      </c>
      <c r="H30" s="133">
        <f>IF(SER_hh_emi_in!H30=0,0,1000000*SER_hh_emi_in!H30/SER_hh_num_in!H30)</f>
        <v>3448.9626909060794</v>
      </c>
      <c r="I30" s="133">
        <f>IF(SER_hh_emi_in!I30=0,0,1000000*SER_hh_emi_in!I30/SER_hh_num_in!I30)</f>
        <v>7345.0058564048677</v>
      </c>
      <c r="J30" s="133">
        <f>IF(SER_hh_emi_in!J30=0,0,1000000*SER_hh_emi_in!J30/SER_hh_num_in!J30)</f>
        <v>4461.5803048895214</v>
      </c>
      <c r="K30" s="133">
        <f>IF(SER_hh_emi_in!K30=0,0,1000000*SER_hh_emi_in!K30/SER_hh_num_in!K30)</f>
        <v>4959.4738074824827</v>
      </c>
      <c r="L30" s="133">
        <f>IF(SER_hh_emi_in!L30=0,0,1000000*SER_hh_emi_in!L30/SER_hh_num_in!L30)</f>
        <v>6746.1806604121111</v>
      </c>
      <c r="M30" s="133">
        <f>IF(SER_hh_emi_in!M30=0,0,1000000*SER_hh_emi_in!M30/SER_hh_num_in!M30)</f>
        <v>0</v>
      </c>
      <c r="N30" s="133">
        <f>IF(SER_hh_emi_in!N30=0,0,1000000*SER_hh_emi_in!N30/SER_hh_num_in!N30)</f>
        <v>6301.4977708771648</v>
      </c>
      <c r="O30" s="133">
        <f>IF(SER_hh_emi_in!O30=0,0,1000000*SER_hh_emi_in!O30/SER_hh_num_in!O30)</f>
        <v>0</v>
      </c>
      <c r="P30" s="133">
        <f>IF(SER_hh_emi_in!P30=0,0,1000000*SER_hh_emi_in!P30/SER_hh_num_in!P30)</f>
        <v>5400.5338070970574</v>
      </c>
      <c r="Q30" s="133">
        <f>IF(SER_hh_emi_in!Q30=0,0,1000000*SER_hh_emi_in!Q30/SER_hh_num_in!Q30)</f>
        <v>6233.8938145383263</v>
      </c>
      <c r="R30" s="133">
        <f>IF(SER_hh_emi_in!R30=0,0,1000000*SER_hh_emi_in!R30/SER_hh_num_in!R30)</f>
        <v>5334.9192071708803</v>
      </c>
      <c r="S30" s="133">
        <f>IF(SER_hh_emi_in!S30=0,0,1000000*SER_hh_emi_in!S30/SER_hh_num_in!S30)</f>
        <v>5565.3126882764382</v>
      </c>
      <c r="T30" s="133">
        <f>IF(SER_hh_emi_in!T30=0,0,1000000*SER_hh_emi_in!T30/SER_hh_num_in!T30)</f>
        <v>6233.2493655099261</v>
      </c>
      <c r="U30" s="133">
        <f>IF(SER_hh_emi_in!U30=0,0,1000000*SER_hh_emi_in!U30/SER_hh_num_in!U30)</f>
        <v>7260.4250845614288</v>
      </c>
      <c r="V30" s="133">
        <f>IF(SER_hh_emi_in!V30=0,0,1000000*SER_hh_emi_in!V30/SER_hh_num_in!V30)</f>
        <v>6105.2469253264053</v>
      </c>
      <c r="W30" s="133">
        <f>IF(SER_hh_emi_in!W30=0,0,1000000*SER_hh_emi_in!W30/SER_hh_num_in!W30)</f>
        <v>4512.6973830826655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6689.6495839451409</v>
      </c>
      <c r="D31" s="133">
        <f>IF(SER_hh_emi_in!D31=0,0,1000000*SER_hh_emi_in!D31/SER_hh_num_in!D31)</f>
        <v>6101.4859132964848</v>
      </c>
      <c r="E31" s="133">
        <f>IF(SER_hh_emi_in!E31=0,0,1000000*SER_hh_emi_in!E31/SER_hh_num_in!E31)</f>
        <v>5015.1323454464673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4804.9090307817496</v>
      </c>
      <c r="L31" s="133">
        <f>IF(SER_hh_emi_in!L31=0,0,1000000*SER_hh_emi_in!L31/SER_hh_num_in!L31)</f>
        <v>4370.4991005666552</v>
      </c>
      <c r="M31" s="133">
        <f>IF(SER_hh_emi_in!M31=0,0,1000000*SER_hh_emi_in!M31/SER_hh_num_in!M31)</f>
        <v>4313.6221684302718</v>
      </c>
      <c r="N31" s="133">
        <f>IF(SER_hh_emi_in!N31=0,0,1000000*SER_hh_emi_in!N31/SER_hh_num_in!N31)</f>
        <v>3280.9108409202249</v>
      </c>
      <c r="O31" s="133">
        <f>IF(SER_hh_emi_in!O31=0,0,1000000*SER_hh_emi_in!O31/SER_hh_num_in!O31)</f>
        <v>4121.6263713634444</v>
      </c>
      <c r="P31" s="133">
        <f>IF(SER_hh_emi_in!P31=0,0,1000000*SER_hh_emi_in!P31/SER_hh_num_in!P31)</f>
        <v>5089.9551501469805</v>
      </c>
      <c r="Q31" s="133">
        <f>IF(SER_hh_emi_in!Q31=0,0,1000000*SER_hh_emi_in!Q31/SER_hh_num_in!Q31)</f>
        <v>5139.0420946163731</v>
      </c>
      <c r="R31" s="133">
        <f>IF(SER_hh_emi_in!R31=0,0,1000000*SER_hh_emi_in!R31/SER_hh_num_in!R31)</f>
        <v>6676.0442978615829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418.32084033793819</v>
      </c>
      <c r="D3" s="126">
        <f>IF(SER_hh_fech_in!D3=0,0,SER_hh_fech_in!D3/SER_summary!D$27)</f>
        <v>371.04827577219737</v>
      </c>
      <c r="E3" s="126">
        <f>IF(SER_hh_fech_in!E3=0,0,SER_hh_fech_in!E3/SER_summary!E$27)</f>
        <v>252.94921517687479</v>
      </c>
      <c r="F3" s="126">
        <f>IF(SER_hh_fech_in!F3=0,0,SER_hh_fech_in!F3/SER_summary!F$27)</f>
        <v>235.83087385927567</v>
      </c>
      <c r="G3" s="126">
        <f>IF(SER_hh_fech_in!G3=0,0,SER_hh_fech_in!G3/SER_summary!G$27)</f>
        <v>198.98894315321118</v>
      </c>
      <c r="H3" s="126">
        <f>IF(SER_hh_fech_in!H3=0,0,SER_hh_fech_in!H3/SER_summary!H$27)</f>
        <v>158.29621614902393</v>
      </c>
      <c r="I3" s="126">
        <f>IF(SER_hh_fech_in!I3=0,0,SER_hh_fech_in!I3/SER_summary!I$27)</f>
        <v>136.36602749600752</v>
      </c>
      <c r="J3" s="126">
        <f>IF(SER_hh_fech_in!J3=0,0,SER_hh_fech_in!J3/SER_summary!J$27)</f>
        <v>171.84415896383967</v>
      </c>
      <c r="K3" s="126">
        <f>IF(SER_hh_fech_in!K3=0,0,SER_hh_fech_in!K3/SER_summary!K$27)</f>
        <v>152.48432025617853</v>
      </c>
      <c r="L3" s="126">
        <f>IF(SER_hh_fech_in!L3=0,0,SER_hh_fech_in!L3/SER_summary!L$27)</f>
        <v>168.60675267713083</v>
      </c>
      <c r="M3" s="126">
        <f>IF(SER_hh_fech_in!M3=0,0,SER_hh_fech_in!M3/SER_summary!M$27)</f>
        <v>157.84957009807906</v>
      </c>
      <c r="N3" s="126">
        <f>IF(SER_hh_fech_in!N3=0,0,SER_hh_fech_in!N3/SER_summary!N$27)</f>
        <v>126.87030986015561</v>
      </c>
      <c r="O3" s="126">
        <f>IF(SER_hh_fech_in!O3=0,0,SER_hh_fech_in!O3/SER_summary!O$27)</f>
        <v>128.64740746672564</v>
      </c>
      <c r="P3" s="126">
        <f>IF(SER_hh_fech_in!P3=0,0,SER_hh_fech_in!P3/SER_summary!P$27)</f>
        <v>113.36866669417797</v>
      </c>
      <c r="Q3" s="126">
        <f>IF(SER_hh_fech_in!Q3=0,0,SER_hh_fech_in!Q3/SER_summary!Q$27)</f>
        <v>119.87329091822524</v>
      </c>
      <c r="R3" s="126">
        <f>IF(SER_hh_fech_in!R3=0,0,SER_hh_fech_in!R3/SER_summary!R$27)</f>
        <v>117.6520984384253</v>
      </c>
      <c r="S3" s="126">
        <f>IF(SER_hh_fech_in!S3=0,0,SER_hh_fech_in!S3/SER_summary!S$27)</f>
        <v>110.4060338002372</v>
      </c>
      <c r="T3" s="126">
        <f>IF(SER_hh_fech_in!T3=0,0,SER_hh_fech_in!T3/SER_summary!T$27)</f>
        <v>112.30242474131448</v>
      </c>
      <c r="U3" s="126">
        <f>IF(SER_hh_fech_in!U3=0,0,SER_hh_fech_in!U3/SER_summary!U$27)</f>
        <v>102.23164664773029</v>
      </c>
      <c r="V3" s="126">
        <f>IF(SER_hh_fech_in!V3=0,0,SER_hh_fech_in!V3/SER_summary!V$27)</f>
        <v>88.216368575759731</v>
      </c>
      <c r="W3" s="126">
        <f>IF(SER_hh_fech_in!W3=0,0,SER_hh_fech_in!W3/SER_summary!W$27)</f>
        <v>80.05676053217519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357.84092249042033</v>
      </c>
      <c r="D4" s="131">
        <f>IF(SER_hh_fech_in!D4=0,0,SER_hh_fech_in!D4/SER_summary!D$27)</f>
        <v>313.8706923005301</v>
      </c>
      <c r="E4" s="131">
        <f>IF(SER_hh_fech_in!E4=0,0,SER_hh_fech_in!E4/SER_summary!E$27)</f>
        <v>193.51231637976201</v>
      </c>
      <c r="F4" s="131">
        <f>IF(SER_hh_fech_in!F4=0,0,SER_hh_fech_in!F4/SER_summary!F$27)</f>
        <v>185.66155270105023</v>
      </c>
      <c r="G4" s="131">
        <f>IF(SER_hh_fech_in!G4=0,0,SER_hh_fech_in!G4/SER_summary!G$27)</f>
        <v>146.76992316215268</v>
      </c>
      <c r="H4" s="131">
        <f>IF(SER_hh_fech_in!H4=0,0,SER_hh_fech_in!H4/SER_summary!H$27)</f>
        <v>107.43641947050527</v>
      </c>
      <c r="I4" s="131">
        <f>IF(SER_hh_fech_in!I4=0,0,SER_hh_fech_in!I4/SER_summary!I$27)</f>
        <v>79.447681159451363</v>
      </c>
      <c r="J4" s="131">
        <f>IF(SER_hh_fech_in!J4=0,0,SER_hh_fech_in!J4/SER_summary!J$27)</f>
        <v>123.26929039349184</v>
      </c>
      <c r="K4" s="131">
        <f>IF(SER_hh_fech_in!K4=0,0,SER_hh_fech_in!K4/SER_summary!K$27)</f>
        <v>104.57495815907116</v>
      </c>
      <c r="L4" s="131">
        <f>IF(SER_hh_fech_in!L4=0,0,SER_hh_fech_in!L4/SER_summary!L$27)</f>
        <v>121.13484629552093</v>
      </c>
      <c r="M4" s="131">
        <f>IF(SER_hh_fech_in!M4=0,0,SER_hh_fech_in!M4/SER_summary!M$27)</f>
        <v>110.73129404744836</v>
      </c>
      <c r="N4" s="131">
        <f>IF(SER_hh_fech_in!N4=0,0,SER_hh_fech_in!N4/SER_summary!N$27)</f>
        <v>81.393042773452166</v>
      </c>
      <c r="O4" s="131">
        <f>IF(SER_hh_fech_in!O4=0,0,SER_hh_fech_in!O4/SER_summary!O$27)</f>
        <v>81.653201856982861</v>
      </c>
      <c r="P4" s="131">
        <f>IF(SER_hh_fech_in!P4=0,0,SER_hh_fech_in!P4/SER_summary!P$27)</f>
        <v>66.863141518771201</v>
      </c>
      <c r="Q4" s="131">
        <f>IF(SER_hh_fech_in!Q4=0,0,SER_hh_fech_in!Q4/SER_summary!Q$27)</f>
        <v>72.34097887052684</v>
      </c>
      <c r="R4" s="131">
        <f>IF(SER_hh_fech_in!R4=0,0,SER_hh_fech_in!R4/SER_summary!R$27)</f>
        <v>73.532885191585734</v>
      </c>
      <c r="S4" s="131">
        <f>IF(SER_hh_fech_in!S4=0,0,SER_hh_fech_in!S4/SER_summary!S$27)</f>
        <v>63.337720694469517</v>
      </c>
      <c r="T4" s="131">
        <f>IF(SER_hh_fech_in!T4=0,0,SER_hh_fech_in!T4/SER_summary!T$27)</f>
        <v>63.091918571508685</v>
      </c>
      <c r="U4" s="131">
        <f>IF(SER_hh_fech_in!U4=0,0,SER_hh_fech_in!U4/SER_summary!U$27)</f>
        <v>52.569049982255237</v>
      </c>
      <c r="V4" s="131">
        <f>IF(SER_hh_fech_in!V4=0,0,SER_hh_fech_in!V4/SER_summary!V$27)</f>
        <v>45.023036587152227</v>
      </c>
      <c r="W4" s="131">
        <f>IF(SER_hh_fech_in!W4=0,0,SER_hh_fech_in!W4/SER_summary!W$27)</f>
        <v>37.764147607027716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399.40446840910175</v>
      </c>
      <c r="D7" s="133">
        <f>IF(SER_hh_fech_in!D7=0,0,SER_hh_fech_in!D7/SER_summary!D$27)</f>
        <v>311.73668058067301</v>
      </c>
      <c r="E7" s="133">
        <f>IF(SER_hh_fech_in!E7=0,0,SER_hh_fech_in!E7/SER_summary!E$27)</f>
        <v>211.69944015242234</v>
      </c>
      <c r="F7" s="133">
        <f>IF(SER_hh_fech_in!F7=0,0,SER_hh_fech_in!F7/SER_summary!F$27)</f>
        <v>196.91244071599561</v>
      </c>
      <c r="G7" s="133">
        <f>IF(SER_hh_fech_in!G7=0,0,SER_hh_fech_in!G7/SER_summary!G$27)</f>
        <v>173.23871788672793</v>
      </c>
      <c r="H7" s="133">
        <f>IF(SER_hh_fech_in!H7=0,0,SER_hh_fech_in!H7/SER_summary!H$27)</f>
        <v>135.92616071321456</v>
      </c>
      <c r="I7" s="133">
        <f>IF(SER_hh_fech_in!I7=0,0,SER_hh_fech_in!I7/SER_summary!I$27)</f>
        <v>78.745892377603226</v>
      </c>
      <c r="J7" s="133">
        <f>IF(SER_hh_fech_in!J7=0,0,SER_hh_fech_in!J7/SER_summary!J$27)</f>
        <v>138.14606429978076</v>
      </c>
      <c r="K7" s="133">
        <f>IF(SER_hh_fech_in!K7=0,0,SER_hh_fech_in!K7/SER_summary!K$27)</f>
        <v>126.78149694415826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81.769603711024132</v>
      </c>
      <c r="S7" s="133">
        <f>IF(SER_hh_fech_in!S7=0,0,SER_hh_fech_in!S7/SER_summary!S$27)</f>
        <v>63.348738980785576</v>
      </c>
      <c r="T7" s="133">
        <f>IF(SER_hh_fech_in!T7=0,0,SER_hh_fech_in!T7/SER_summary!T$27)</f>
        <v>67.268151159170486</v>
      </c>
      <c r="U7" s="133">
        <f>IF(SER_hh_fech_in!U7=0,0,SER_hh_fech_in!U7/SER_summary!U$27)</f>
        <v>55.436818615908628</v>
      </c>
      <c r="V7" s="133">
        <f>IF(SER_hh_fech_in!V7=0,0,SER_hh_fech_in!V7/SER_summary!V$27)</f>
        <v>60.393502667925425</v>
      </c>
      <c r="W7" s="133">
        <f>IF(SER_hh_fech_in!W7=0,0,SER_hh_fech_in!W7/SER_summary!W$27)</f>
        <v>37.551163009758071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369.43824039295112</v>
      </c>
      <c r="D9" s="133">
        <f>IF(SER_hh_fech_in!D9=0,0,SER_hh_fech_in!D9/SER_summary!D$27)</f>
        <v>357.07109992094109</v>
      </c>
      <c r="E9" s="133">
        <f>IF(SER_hh_fech_in!E9=0,0,SER_hh_fech_in!E9/SER_summary!E$27)</f>
        <v>167.85266237931086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99.275922961368678</v>
      </c>
      <c r="L9" s="133">
        <f>IF(SER_hh_fech_in!L9=0,0,SER_hh_fech_in!L9/SER_summary!L$27)</f>
        <v>117.04460576158338</v>
      </c>
      <c r="M9" s="133">
        <f>IF(SER_hh_fech_in!M9=0,0,SER_hh_fech_in!M9/SER_summary!M$27)</f>
        <v>161.99204619675993</v>
      </c>
      <c r="N9" s="133">
        <f>IF(SER_hh_fech_in!N9=0,0,SER_hh_fech_in!N9/SER_summary!N$27)</f>
        <v>43.834620100617769</v>
      </c>
      <c r="O9" s="133">
        <f>IF(SER_hh_fech_in!O9=0,0,SER_hh_fech_in!O9/SER_summary!O$27)</f>
        <v>85.0209218962938</v>
      </c>
      <c r="P9" s="133">
        <f>IF(SER_hh_fech_in!P9=0,0,SER_hh_fech_in!P9/SER_summary!P$27)</f>
        <v>67.722378873271722</v>
      </c>
      <c r="Q9" s="133">
        <f>IF(SER_hh_fech_in!Q9=0,0,SER_hh_fech_in!Q9/SER_summary!Q$27)</f>
        <v>76.894234650027357</v>
      </c>
      <c r="R9" s="133">
        <f>IF(SER_hh_fech_in!R9=0,0,SER_hh_fech_in!R9/SER_summary!R$27)</f>
        <v>91.131737859208528</v>
      </c>
      <c r="S9" s="133">
        <f>IF(SER_hh_fech_in!S9=0,0,SER_hh_fech_in!S9/SER_summary!S$27)</f>
        <v>0</v>
      </c>
      <c r="T9" s="133">
        <f>IF(SER_hh_fech_in!T9=0,0,SER_hh_fech_in!T9/SER_summary!T$27)</f>
        <v>0</v>
      </c>
      <c r="U9" s="133">
        <f>IF(SER_hh_fech_in!U9=0,0,SER_hh_fech_in!U9/SER_summary!U$27)</f>
        <v>0</v>
      </c>
      <c r="V9" s="133">
        <f>IF(SER_hh_fech_in!V9=0,0,SER_hh_fech_in!V9/SER_summary!V$27)</f>
        <v>0</v>
      </c>
      <c r="W9" s="133">
        <f>IF(SER_hh_fech_in!W9=0,0,SER_hh_fech_in!W9/SER_summary!W$27)</f>
        <v>36.466393457621365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429.72739396239245</v>
      </c>
      <c r="D10" s="133">
        <f>IF(SER_hh_fech_in!D10=0,0,SER_hh_fech_in!D10/SER_summary!D$27)</f>
        <v>0</v>
      </c>
      <c r="E10" s="133">
        <f>IF(SER_hh_fech_in!E10=0,0,SER_hh_fech_in!E10/SER_summary!E$27)</f>
        <v>181.66992925772064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141.12800627201213</v>
      </c>
      <c r="M11" s="133">
        <f>IF(SER_hh_fech_in!M11=0,0,SER_hh_fech_in!M11/SER_summary!M$27)</f>
        <v>107.92315309043596</v>
      </c>
      <c r="N11" s="133">
        <f>IF(SER_hh_fech_in!N11=0,0,SER_hh_fech_in!N11/SER_summary!N$27)</f>
        <v>68.592735516397269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53.597970300934776</v>
      </c>
      <c r="U11" s="133">
        <f>IF(SER_hh_fech_in!U11=0,0,SER_hh_fech_in!U11/SER_summary!U$27)</f>
        <v>53.462893308608386</v>
      </c>
      <c r="V11" s="133">
        <f>IF(SER_hh_fech_in!V11=0,0,SER_hh_fech_in!V11/SER_summary!V$27)</f>
        <v>35.071555306100691</v>
      </c>
      <c r="W11" s="133">
        <f>IF(SER_hh_fech_in!W11=0,0,SER_hh_fech_in!W11/SER_summary!W$27)</f>
        <v>29.71751153386829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137.99625917834516</v>
      </c>
      <c r="G12" s="133">
        <f>IF(SER_hh_fech_in!G12=0,0,SER_hh_fech_in!G12/SER_summary!G$27)</f>
        <v>92.494168156982539</v>
      </c>
      <c r="H12" s="133">
        <f>IF(SER_hh_fech_in!H12=0,0,SER_hh_fech_in!H12/SER_summary!H$27)</f>
        <v>110.63963123584084</v>
      </c>
      <c r="I12" s="133">
        <f>IF(SER_hh_fech_in!I12=0,0,SER_hh_fech_in!I12/SER_summary!I$27)</f>
        <v>63.420100693335925</v>
      </c>
      <c r="J12" s="133">
        <f>IF(SER_hh_fech_in!J12=0,0,SER_hh_fech_in!J12/SER_summary!J$27)</f>
        <v>61.538237102486178</v>
      </c>
      <c r="K12" s="133">
        <f>IF(SER_hh_fech_in!K12=0,0,SER_hh_fech_in!K12/SER_summary!K$27)</f>
        <v>90.397101538664046</v>
      </c>
      <c r="L12" s="133">
        <f>IF(SER_hh_fech_in!L12=0,0,SER_hh_fech_in!L12/SER_summary!L$27)</f>
        <v>99.742111040740724</v>
      </c>
      <c r="M12" s="133">
        <f>IF(SER_hh_fech_in!M12=0,0,SER_hh_fech_in!M12/SER_summary!M$27)</f>
        <v>92.030126914095149</v>
      </c>
      <c r="N12" s="133">
        <f>IF(SER_hh_fech_in!N12=0,0,SER_hh_fech_in!N12/SER_summary!N$27)</f>
        <v>80.949019331845591</v>
      </c>
      <c r="O12" s="133">
        <f>IF(SER_hh_fech_in!O12=0,0,SER_hh_fech_in!O12/SER_summary!O$27)</f>
        <v>78.731844177325812</v>
      </c>
      <c r="P12" s="133">
        <f>IF(SER_hh_fech_in!P12=0,0,SER_hh_fech_in!P12/SER_summary!P$27)</f>
        <v>0</v>
      </c>
      <c r="Q12" s="133">
        <f>IF(SER_hh_fech_in!Q12=0,0,SER_hh_fech_in!Q12/SER_summary!Q$27)</f>
        <v>61.346344701838888</v>
      </c>
      <c r="R12" s="133">
        <f>IF(SER_hh_fech_in!R12=0,0,SER_hh_fech_in!R12/SER_summary!R$27)</f>
        <v>56.287721054407513</v>
      </c>
      <c r="S12" s="133">
        <f>IF(SER_hh_fech_in!S12=0,0,SER_hh_fech_in!S12/SER_summary!S$27)</f>
        <v>61.048366632773018</v>
      </c>
      <c r="T12" s="133">
        <f>IF(SER_hh_fech_in!T12=0,0,SER_hh_fech_in!T12/SER_summary!T$27)</f>
        <v>58.854746192184919</v>
      </c>
      <c r="U12" s="133">
        <f>IF(SER_hh_fech_in!U12=0,0,SER_hh_fech_in!U12/SER_summary!U$27)</f>
        <v>45.002108851560983</v>
      </c>
      <c r="V12" s="133">
        <f>IF(SER_hh_fech_in!V12=0,0,SER_hh_fech_in!V12/SER_summary!V$27)</f>
        <v>39.767317882760274</v>
      </c>
      <c r="W12" s="133">
        <f>IF(SER_hh_fech_in!W12=0,0,SER_hh_fech_in!W12/SER_summary!W$27)</f>
        <v>39.542265995807128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235.92394018992761</v>
      </c>
      <c r="D14" s="65">
        <f>IF(SER_hh_fech_in!D14=0,0,SER_hh_fech_in!D14/SER_summary!D$27)</f>
        <v>285.07582669962943</v>
      </c>
      <c r="E14" s="65">
        <f>IF(SER_hh_fech_in!E14=0,0,SER_hh_fech_in!E14/SER_summary!E$27)</f>
        <v>132.68367713826461</v>
      </c>
      <c r="F14" s="65">
        <f>IF(SER_hh_fech_in!F14=0,0,SER_hh_fech_in!F14/SER_summary!F$27)</f>
        <v>165.51701590796588</v>
      </c>
      <c r="G14" s="65">
        <f>IF(SER_hh_fech_in!G14=0,0,SER_hh_fech_in!G14/SER_summary!G$27)</f>
        <v>110.05799607805378</v>
      </c>
      <c r="H14" s="65">
        <f>IF(SER_hh_fech_in!H14=0,0,SER_hh_fech_in!H14/SER_summary!H$27)</f>
        <v>82.316694987900732</v>
      </c>
      <c r="I14" s="65">
        <f>IF(SER_hh_fech_in!I14=0,0,SER_hh_fech_in!I14/SER_summary!I$27)</f>
        <v>80.243220083308742</v>
      </c>
      <c r="J14" s="65">
        <f>IF(SER_hh_fech_in!J14=0,0,SER_hh_fech_in!J14/SER_summary!J$27)</f>
        <v>110.22050665981806</v>
      </c>
      <c r="K14" s="65">
        <f>IF(SER_hh_fech_in!K14=0,0,SER_hh_fech_in!K14/SER_summary!K$27)</f>
        <v>98.969742329382953</v>
      </c>
      <c r="L14" s="65">
        <f>IF(SER_hh_fech_in!L14=0,0,SER_hh_fech_in!L14/SER_summary!L$27)</f>
        <v>102.2038175273786</v>
      </c>
      <c r="M14" s="65">
        <f>IF(SER_hh_fech_in!M14=0,0,SER_hh_fech_in!M14/SER_summary!M$27)</f>
        <v>100.78691397276289</v>
      </c>
      <c r="N14" s="65">
        <f>IF(SER_hh_fech_in!N14=0,0,SER_hh_fech_in!N14/SER_summary!N$27)</f>
        <v>85.735519001892499</v>
      </c>
      <c r="O14" s="65">
        <f>IF(SER_hh_fech_in!O14=0,0,SER_hh_fech_in!O14/SER_summary!O$27)</f>
        <v>78.872267676093458</v>
      </c>
      <c r="P14" s="65">
        <f>IF(SER_hh_fech_in!P14=0,0,SER_hh_fech_in!P14/SER_summary!P$27)</f>
        <v>64.818975160133647</v>
      </c>
      <c r="Q14" s="65">
        <f>IF(SER_hh_fech_in!Q14=0,0,SER_hh_fech_in!Q14/SER_summary!Q$27)</f>
        <v>62.252233855070038</v>
      </c>
      <c r="R14" s="65">
        <f>IF(SER_hh_fech_in!R14=0,0,SER_hh_fech_in!R14/SER_summary!R$27)</f>
        <v>63.372872543085613</v>
      </c>
      <c r="S14" s="65">
        <f>IF(SER_hh_fech_in!S14=0,0,SER_hh_fech_in!S14/SER_summary!S$27)</f>
        <v>63.711114220988499</v>
      </c>
      <c r="T14" s="65">
        <f>IF(SER_hh_fech_in!T14=0,0,SER_hh_fech_in!T14/SER_summary!T$27)</f>
        <v>61.659276794991726</v>
      </c>
      <c r="U14" s="65">
        <f>IF(SER_hh_fech_in!U14=0,0,SER_hh_fech_in!U14/SER_summary!U$27)</f>
        <v>53.000520848795546</v>
      </c>
      <c r="V14" s="65">
        <f>IF(SER_hh_fech_in!V14=0,0,SER_hh_fech_in!V14/SER_summary!V$27)</f>
        <v>38.09167922238035</v>
      </c>
      <c r="W14" s="65">
        <f>IF(SER_hh_fech_in!W14=0,0,SER_hh_fech_in!W14/SER_summary!W$27)</f>
        <v>37.326575810684396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4.3147063349065178</v>
      </c>
      <c r="D15" s="135">
        <f>IF(SER_hh_fech_in!D15=0,0,SER_hh_fech_in!D15/SER_summary!D$27)</f>
        <v>3.5805716699281391</v>
      </c>
      <c r="E15" s="135">
        <f>IF(SER_hh_fech_in!E15=0,0,SER_hh_fech_in!E15/SER_summary!E$27)</f>
        <v>2.1775409646652752</v>
      </c>
      <c r="F15" s="135">
        <f>IF(SER_hh_fech_in!F15=0,0,SER_hh_fech_in!F15/SER_summary!F$27)</f>
        <v>2.0246932118447956</v>
      </c>
      <c r="G15" s="135">
        <f>IF(SER_hh_fech_in!G15=0,0,SER_hh_fech_in!G15/SER_summary!G$27)</f>
        <v>1.6588768545473183</v>
      </c>
      <c r="H15" s="135">
        <f>IF(SER_hh_fech_in!H15=0,0,SER_hh_fech_in!H15/SER_summary!H$27)</f>
        <v>1.0904013788427245</v>
      </c>
      <c r="I15" s="135">
        <f>IF(SER_hh_fech_in!I15=0,0,SER_hh_fech_in!I15/SER_summary!I$27)</f>
        <v>0.75024045514709703</v>
      </c>
      <c r="J15" s="135">
        <f>IF(SER_hh_fech_in!J15=0,0,SER_hh_fech_in!J15/SER_summary!J$27)</f>
        <v>1.2841102104954754</v>
      </c>
      <c r="K15" s="135">
        <f>IF(SER_hh_fech_in!K15=0,0,SER_hh_fech_in!K15/SER_summary!K$27)</f>
        <v>0.83571165181874241</v>
      </c>
      <c r="L15" s="135">
        <f>IF(SER_hh_fech_in!L15=0,0,SER_hh_fech_in!L15/SER_summary!L$27)</f>
        <v>0.58074916028985568</v>
      </c>
      <c r="M15" s="135">
        <f>IF(SER_hh_fech_in!M15=0,0,SER_hh_fech_in!M15/SER_summary!M$27)</f>
        <v>0.76489687093196246</v>
      </c>
      <c r="N15" s="135">
        <f>IF(SER_hh_fech_in!N15=0,0,SER_hh_fech_in!N15/SER_summary!N$27)</f>
        <v>0.30212374100899392</v>
      </c>
      <c r="O15" s="135">
        <f>IF(SER_hh_fech_in!O15=0,0,SER_hh_fech_in!O15/SER_summary!O$27)</f>
        <v>0.70259674197523936</v>
      </c>
      <c r="P15" s="135">
        <f>IF(SER_hh_fech_in!P15=0,0,SER_hh_fech_in!P15/SER_summary!P$27)</f>
        <v>0.82915422240171432</v>
      </c>
      <c r="Q15" s="135">
        <f>IF(SER_hh_fech_in!Q15=0,0,SER_hh_fech_in!Q15/SER_summary!Q$27)</f>
        <v>0.92480168092073867</v>
      </c>
      <c r="R15" s="135">
        <f>IF(SER_hh_fech_in!R15=0,0,SER_hh_fech_in!R15/SER_summary!R$27)</f>
        <v>1.0074577156906921</v>
      </c>
      <c r="S15" s="135">
        <f>IF(SER_hh_fech_in!S15=0,0,SER_hh_fech_in!S15/SER_summary!S$27)</f>
        <v>0.47960048822422824</v>
      </c>
      <c r="T15" s="135">
        <f>IF(SER_hh_fech_in!T15=0,0,SER_hh_fech_in!T15/SER_summary!T$27)</f>
        <v>0.60267201874135812</v>
      </c>
      <c r="U15" s="135">
        <f>IF(SER_hh_fech_in!U15=0,0,SER_hh_fech_in!U15/SER_summary!U$27)</f>
        <v>0.4665654231077736</v>
      </c>
      <c r="V15" s="135">
        <f>IF(SER_hh_fech_in!V15=0,0,SER_hh_fech_in!V15/SER_summary!V$27)</f>
        <v>0.43926157929001902</v>
      </c>
      <c r="W15" s="135">
        <f>IF(SER_hh_fech_in!W15=0,0,SER_hh_fech_in!W15/SER_summary!W$27)</f>
        <v>0.33341175611902124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10.980956547895843</v>
      </c>
      <c r="D16" s="131">
        <f>IF(SER_hh_fech_in!D16=0,0,SER_hh_fech_in!D16/SER_summary!D$27)</f>
        <v>10.516405815698576</v>
      </c>
      <c r="E16" s="131">
        <f>IF(SER_hh_fech_in!E16=0,0,SER_hh_fech_in!E16/SER_summary!E$27)</f>
        <v>12.85356015600094</v>
      </c>
      <c r="F16" s="131">
        <f>IF(SER_hh_fech_in!F16=0,0,SER_hh_fech_in!F16/SER_summary!F$27)</f>
        <v>9.7442636026810856</v>
      </c>
      <c r="G16" s="131">
        <f>IF(SER_hh_fech_in!G16=0,0,SER_hh_fech_in!G16/SER_summary!G$27)</f>
        <v>9.5178746096499083</v>
      </c>
      <c r="H16" s="131">
        <f>IF(SER_hh_fech_in!H16=0,0,SER_hh_fech_in!H16/SER_summary!H$27)</f>
        <v>9.8845799535376706</v>
      </c>
      <c r="I16" s="131">
        <f>IF(SER_hh_fech_in!I16=0,0,SER_hh_fech_in!I16/SER_summary!I$27)</f>
        <v>9.2314244883409273</v>
      </c>
      <c r="J16" s="131">
        <f>IF(SER_hh_fech_in!J16=0,0,SER_hh_fech_in!J16/SER_summary!J$27)</f>
        <v>8.749590739765436</v>
      </c>
      <c r="K16" s="131">
        <f>IF(SER_hh_fech_in!K16=0,0,SER_hh_fech_in!K16/SER_summary!K$27)</f>
        <v>8.3824957187862399</v>
      </c>
      <c r="L16" s="131">
        <f>IF(SER_hh_fech_in!L16=0,0,SER_hh_fech_in!L16/SER_summary!L$27)</f>
        <v>8.4214172525639999</v>
      </c>
      <c r="M16" s="131">
        <f>IF(SER_hh_fech_in!M16=0,0,SER_hh_fech_in!M16/SER_summary!M$27)</f>
        <v>7.9911630408693357</v>
      </c>
      <c r="N16" s="131">
        <f>IF(SER_hh_fech_in!N16=0,0,SER_hh_fech_in!N16/SER_summary!N$27)</f>
        <v>8.5229516101611527</v>
      </c>
      <c r="O16" s="131">
        <f>IF(SER_hh_fech_in!O16=0,0,SER_hh_fech_in!O16/SER_summary!O$27)</f>
        <v>8.2743936679156391</v>
      </c>
      <c r="P16" s="131">
        <f>IF(SER_hh_fech_in!P16=0,0,SER_hh_fech_in!P16/SER_summary!P$27)</f>
        <v>6.2986846100029767</v>
      </c>
      <c r="Q16" s="131">
        <f>IF(SER_hh_fech_in!Q16=0,0,SER_hh_fech_in!Q16/SER_summary!Q$27)</f>
        <v>7.4264750599508558</v>
      </c>
      <c r="R16" s="131">
        <f>IF(SER_hh_fech_in!R16=0,0,SER_hh_fech_in!R16/SER_summary!R$27)</f>
        <v>5.8414705502947815</v>
      </c>
      <c r="S16" s="131">
        <f>IF(SER_hh_fech_in!S16=0,0,SER_hh_fech_in!S16/SER_summary!S$27)</f>
        <v>6.7814862465448256</v>
      </c>
      <c r="T16" s="131">
        <f>IF(SER_hh_fech_in!T16=0,0,SER_hh_fech_in!T16/SER_summary!T$27)</f>
        <v>5.710289728635777</v>
      </c>
      <c r="U16" s="131">
        <f>IF(SER_hh_fech_in!U16=0,0,SER_hh_fech_in!U16/SER_summary!U$27)</f>
        <v>5.8755074554241622</v>
      </c>
      <c r="V16" s="131">
        <f>IF(SER_hh_fech_in!V16=0,0,SER_hh_fech_in!V16/SER_summary!V$27)</f>
        <v>4.9472050334340567</v>
      </c>
      <c r="W16" s="131">
        <f>IF(SER_hh_fech_in!W16=0,0,SER_hh_fech_in!W16/SER_summary!W$27)</f>
        <v>4.9959204502792254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10.980956547895843</v>
      </c>
      <c r="D18" s="133">
        <f>IF(SER_hh_fech_in!D18=0,0,SER_hh_fech_in!D18/SER_summary!D$27)</f>
        <v>10.516405815698576</v>
      </c>
      <c r="E18" s="133">
        <f>IF(SER_hh_fech_in!E18=0,0,SER_hh_fech_in!E18/SER_summary!E$27)</f>
        <v>12.85356015600094</v>
      </c>
      <c r="F18" s="133">
        <f>IF(SER_hh_fech_in!F18=0,0,SER_hh_fech_in!F18/SER_summary!F$27)</f>
        <v>9.7442636026810856</v>
      </c>
      <c r="G18" s="133">
        <f>IF(SER_hh_fech_in!G18=0,0,SER_hh_fech_in!G18/SER_summary!G$27)</f>
        <v>9.5178746096499083</v>
      </c>
      <c r="H18" s="133">
        <f>IF(SER_hh_fech_in!H18=0,0,SER_hh_fech_in!H18/SER_summary!H$27)</f>
        <v>9.8845799535376706</v>
      </c>
      <c r="I18" s="133">
        <f>IF(SER_hh_fech_in!I18=0,0,SER_hh_fech_in!I18/SER_summary!I$27)</f>
        <v>9.2314244883409273</v>
      </c>
      <c r="J18" s="133">
        <f>IF(SER_hh_fech_in!J18=0,0,SER_hh_fech_in!J18/SER_summary!J$27)</f>
        <v>8.749590739765436</v>
      </c>
      <c r="K18" s="133">
        <f>IF(SER_hh_fech_in!K18=0,0,SER_hh_fech_in!K18/SER_summary!K$27)</f>
        <v>8.3824957187862399</v>
      </c>
      <c r="L18" s="133">
        <f>IF(SER_hh_fech_in!L18=0,0,SER_hh_fech_in!L18/SER_summary!L$27)</f>
        <v>8.4214172525639999</v>
      </c>
      <c r="M18" s="133">
        <f>IF(SER_hh_fech_in!M18=0,0,SER_hh_fech_in!M18/SER_summary!M$27)</f>
        <v>7.9911630408693357</v>
      </c>
      <c r="N18" s="133">
        <f>IF(SER_hh_fech_in!N18=0,0,SER_hh_fech_in!N18/SER_summary!N$27)</f>
        <v>8.5229516101611527</v>
      </c>
      <c r="O18" s="133">
        <f>IF(SER_hh_fech_in!O18=0,0,SER_hh_fech_in!O18/SER_summary!O$27)</f>
        <v>8.2743936679156391</v>
      </c>
      <c r="P18" s="133">
        <f>IF(SER_hh_fech_in!P18=0,0,SER_hh_fech_in!P18/SER_summary!P$27)</f>
        <v>6.2986846100029767</v>
      </c>
      <c r="Q18" s="133">
        <f>IF(SER_hh_fech_in!Q18=0,0,SER_hh_fech_in!Q18/SER_summary!Q$27)</f>
        <v>7.4264750599508558</v>
      </c>
      <c r="R18" s="133">
        <f>IF(SER_hh_fech_in!R18=0,0,SER_hh_fech_in!R18/SER_summary!R$27)</f>
        <v>5.8414705502947815</v>
      </c>
      <c r="S18" s="133">
        <f>IF(SER_hh_fech_in!S18=0,0,SER_hh_fech_in!S18/SER_summary!S$27)</f>
        <v>6.7814862465448256</v>
      </c>
      <c r="T18" s="133">
        <f>IF(SER_hh_fech_in!T18=0,0,SER_hh_fech_in!T18/SER_summary!T$27)</f>
        <v>5.710289728635777</v>
      </c>
      <c r="U18" s="133">
        <f>IF(SER_hh_fech_in!U18=0,0,SER_hh_fech_in!U18/SER_summary!U$27)</f>
        <v>5.8755074554241622</v>
      </c>
      <c r="V18" s="133">
        <f>IF(SER_hh_fech_in!V18=0,0,SER_hh_fech_in!V18/SER_summary!V$27)</f>
        <v>4.9472050334340567</v>
      </c>
      <c r="W18" s="133">
        <f>IF(SER_hh_fech_in!W18=0,0,SER_hh_fech_in!W18/SER_summary!W$27)</f>
        <v>4.9959204502792254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22.605187721363944</v>
      </c>
      <c r="D19" s="131">
        <f>IF(SER_hh_fech_in!D19=0,0,SER_hh_fech_in!D19/SER_summary!D$27)</f>
        <v>22.809136341321771</v>
      </c>
      <c r="E19" s="131">
        <f>IF(SER_hh_fech_in!E19=0,0,SER_hh_fech_in!E19/SER_summary!E$27)</f>
        <v>22.914404744351494</v>
      </c>
      <c r="F19" s="131">
        <f>IF(SER_hh_fech_in!F19=0,0,SER_hh_fech_in!F19/SER_summary!F$27)</f>
        <v>21.978403077154152</v>
      </c>
      <c r="G19" s="131">
        <f>IF(SER_hh_fech_in!G19=0,0,SER_hh_fech_in!G19/SER_summary!G$27)</f>
        <v>21.539612894815821</v>
      </c>
      <c r="H19" s="131">
        <f>IF(SER_hh_fech_in!H19=0,0,SER_hh_fech_in!H19/SER_summary!H$27)</f>
        <v>21.286845121401672</v>
      </c>
      <c r="I19" s="131">
        <f>IF(SER_hh_fech_in!I19=0,0,SER_hh_fech_in!I19/SER_summary!I$27)</f>
        <v>20.314347080818415</v>
      </c>
      <c r="J19" s="131">
        <f>IF(SER_hh_fech_in!J19=0,0,SER_hh_fech_in!J19/SER_summary!J$27)</f>
        <v>19.09349783335092</v>
      </c>
      <c r="K19" s="131">
        <f>IF(SER_hh_fech_in!K19=0,0,SER_hh_fech_in!K19/SER_summary!K$27)</f>
        <v>17.696669933492885</v>
      </c>
      <c r="L19" s="131">
        <f>IF(SER_hh_fech_in!L19=0,0,SER_hh_fech_in!L19/SER_summary!L$27)</f>
        <v>17.059711460962895</v>
      </c>
      <c r="M19" s="131">
        <f>IF(SER_hh_fech_in!M19=0,0,SER_hh_fech_in!M19/SER_summary!M$27)</f>
        <v>17.620688854222976</v>
      </c>
      <c r="N19" s="131">
        <f>IF(SER_hh_fech_in!N19=0,0,SER_hh_fech_in!N19/SER_summary!N$27)</f>
        <v>17.311122107071899</v>
      </c>
      <c r="O19" s="131">
        <f>IF(SER_hh_fech_in!O19=0,0,SER_hh_fech_in!O19/SER_summary!O$27)</f>
        <v>17.367462073130582</v>
      </c>
      <c r="P19" s="131">
        <f>IF(SER_hh_fech_in!P19=0,0,SER_hh_fech_in!P19/SER_summary!P$27)</f>
        <v>17.405080268829003</v>
      </c>
      <c r="Q19" s="131">
        <f>IF(SER_hh_fech_in!Q19=0,0,SER_hh_fech_in!Q19/SER_summary!Q$27)</f>
        <v>17.473729097928405</v>
      </c>
      <c r="R19" s="131">
        <f>IF(SER_hh_fech_in!R19=0,0,SER_hh_fech_in!R19/SER_summary!R$27)</f>
        <v>16.351059209769048</v>
      </c>
      <c r="S19" s="131">
        <f>IF(SER_hh_fech_in!S19=0,0,SER_hh_fech_in!S19/SER_summary!S$27)</f>
        <v>16.449675606180985</v>
      </c>
      <c r="T19" s="131">
        <f>IF(SER_hh_fech_in!T19=0,0,SER_hh_fech_in!T19/SER_summary!T$27)</f>
        <v>17.684029399499302</v>
      </c>
      <c r="U19" s="131">
        <f>IF(SER_hh_fech_in!U19=0,0,SER_hh_fech_in!U19/SER_summary!U$27)</f>
        <v>16.742169161437289</v>
      </c>
      <c r="V19" s="131">
        <f>IF(SER_hh_fech_in!V19=0,0,SER_hh_fech_in!V19/SER_summary!V$27)</f>
        <v>16.089716692049429</v>
      </c>
      <c r="W19" s="131">
        <f>IF(SER_hh_fech_in!W19=0,0,SER_hh_fech_in!W19/SER_summary!W$27)</f>
        <v>15.755997853047418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22.567949126503098</v>
      </c>
      <c r="D21" s="133">
        <f>IF(SER_hh_fech_in!D21=0,0,SER_hh_fech_in!D21/SER_summary!D$27)</f>
        <v>24.057451926316364</v>
      </c>
      <c r="E21" s="133">
        <f>IF(SER_hh_fech_in!E21=0,0,SER_hh_fech_in!E21/SER_summary!E$27)</f>
        <v>23.295094974734162</v>
      </c>
      <c r="F21" s="133">
        <f>IF(SER_hh_fech_in!F21=0,0,SER_hh_fech_in!F21/SER_summary!F$27)</f>
        <v>22.611899622152134</v>
      </c>
      <c r="G21" s="133">
        <f>IF(SER_hh_fech_in!G21=0,0,SER_hh_fech_in!G21/SER_summary!G$27)</f>
        <v>22.150836560205839</v>
      </c>
      <c r="H21" s="133">
        <f>IF(SER_hh_fech_in!H21=0,0,SER_hh_fech_in!H21/SER_summary!H$27)</f>
        <v>21.692293327746995</v>
      </c>
      <c r="I21" s="133">
        <f>IF(SER_hh_fech_in!I21=0,0,SER_hh_fech_in!I21/SER_summary!I$27)</f>
        <v>21.517784540884751</v>
      </c>
      <c r="J21" s="133">
        <f>IF(SER_hh_fech_in!J21=0,0,SER_hh_fech_in!J21/SER_summary!J$27)</f>
        <v>20.732026189539575</v>
      </c>
      <c r="K21" s="133">
        <f>IF(SER_hh_fech_in!K21=0,0,SER_hh_fech_in!K21/SER_summary!K$27)</f>
        <v>20.816436485239571</v>
      </c>
      <c r="L21" s="133">
        <f>IF(SER_hh_fech_in!L21=0,0,SER_hh_fech_in!L21/SER_summary!L$27)</f>
        <v>21.475295203187272</v>
      </c>
      <c r="M21" s="133">
        <f>IF(SER_hh_fech_in!M21=0,0,SER_hh_fech_in!M21/SER_summary!M$27)</f>
        <v>19.98941236003883</v>
      </c>
      <c r="N21" s="133">
        <f>IF(SER_hh_fech_in!N21=0,0,SER_hh_fech_in!N21/SER_summary!N$27)</f>
        <v>20.560941269697036</v>
      </c>
      <c r="O21" s="133">
        <f>IF(SER_hh_fech_in!O21=0,0,SER_hh_fech_in!O21/SER_summary!O$27)</f>
        <v>19.758384485051394</v>
      </c>
      <c r="P21" s="133">
        <f>IF(SER_hh_fech_in!P21=0,0,SER_hh_fech_in!P21/SER_summary!P$27)</f>
        <v>0</v>
      </c>
      <c r="Q21" s="133">
        <f>IF(SER_hh_fech_in!Q21=0,0,SER_hh_fech_in!Q21/SER_summary!Q$27)</f>
        <v>18.330677569371684</v>
      </c>
      <c r="R21" s="133">
        <f>IF(SER_hh_fech_in!R21=0,0,SER_hh_fech_in!R21/SER_summary!R$27)</f>
        <v>13.885579348853266</v>
      </c>
      <c r="S21" s="133">
        <f>IF(SER_hh_fech_in!S21=0,0,SER_hh_fech_in!S21/SER_summary!S$27)</f>
        <v>15.287876553374613</v>
      </c>
      <c r="T21" s="133">
        <f>IF(SER_hh_fech_in!T21=0,0,SER_hh_fech_in!T21/SER_summary!T$27)</f>
        <v>19.915198629001278</v>
      </c>
      <c r="U21" s="133">
        <f>IF(SER_hh_fech_in!U21=0,0,SER_hh_fech_in!U21/SER_summary!U$27)</f>
        <v>22.796763546764989</v>
      </c>
      <c r="V21" s="133">
        <f>IF(SER_hh_fech_in!V21=0,0,SER_hh_fech_in!V21/SER_summary!V$27)</f>
        <v>17.829031233477018</v>
      </c>
      <c r="W21" s="133">
        <f>IF(SER_hh_fech_in!W21=0,0,SER_hh_fech_in!W21/SER_summary!W$27)</f>
        <v>13.667469955491582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26.470255402379376</v>
      </c>
      <c r="D22" s="133">
        <f>IF(SER_hh_fech_in!D22=0,0,SER_hh_fech_in!D22/SER_summary!D$27)</f>
        <v>23.438616136038508</v>
      </c>
      <c r="E22" s="133">
        <f>IF(SER_hh_fech_in!E22=0,0,SER_hh_fech_in!E22/SER_summary!E$27)</f>
        <v>25.188559181812412</v>
      </c>
      <c r="F22" s="133">
        <f>IF(SER_hh_fech_in!F22=0,0,SER_hh_fech_in!F22/SER_summary!F$27)</f>
        <v>24.32240084329144</v>
      </c>
      <c r="G22" s="133">
        <f>IF(SER_hh_fech_in!G22=0,0,SER_hh_fech_in!G22/SER_summary!G$27)</f>
        <v>23.664801840145699</v>
      </c>
      <c r="H22" s="133">
        <f>IF(SER_hh_fech_in!H22=0,0,SER_hh_fech_in!H22/SER_summary!H$27)</f>
        <v>23.150398223092857</v>
      </c>
      <c r="I22" s="133">
        <f>IF(SER_hh_fech_in!I22=0,0,SER_hh_fech_in!I22/SER_summary!I$27)</f>
        <v>22.937637814900345</v>
      </c>
      <c r="J22" s="133">
        <f>IF(SER_hh_fech_in!J22=0,0,SER_hh_fech_in!J22/SER_summary!J$27)</f>
        <v>21.662794865123143</v>
      </c>
      <c r="K22" s="133">
        <f>IF(SER_hh_fech_in!K22=0,0,SER_hh_fech_in!K22/SER_summary!K$27)</f>
        <v>22.383993950849678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20.701794443030114</v>
      </c>
      <c r="S22" s="133">
        <f>IF(SER_hh_fech_in!S22=0,0,SER_hh_fech_in!S22/SER_summary!S$27)</f>
        <v>16.724273910390011</v>
      </c>
      <c r="T22" s="133">
        <f>IF(SER_hh_fech_in!T22=0,0,SER_hh_fech_in!T22/SER_summary!T$27)</f>
        <v>19.134917717850499</v>
      </c>
      <c r="U22" s="133">
        <f>IF(SER_hh_fech_in!U22=0,0,SER_hh_fech_in!U22/SER_summary!U$27)</f>
        <v>16.231327006962573</v>
      </c>
      <c r="V22" s="133">
        <f>IF(SER_hh_fech_in!V22=0,0,SER_hh_fech_in!V22/SER_summary!V$27)</f>
        <v>17.891237007996256</v>
      </c>
      <c r="W22" s="133">
        <f>IF(SER_hh_fech_in!W22=0,0,SER_hh_fech_in!W22/SER_summary!W$27)</f>
        <v>16.730839248624836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23.543655807739292</v>
      </c>
      <c r="D23" s="133">
        <f>IF(SER_hh_fech_in!D23=0,0,SER_hh_fech_in!D23/SER_summary!D$27)</f>
        <v>22.392342717902835</v>
      </c>
      <c r="E23" s="133">
        <f>IF(SER_hh_fech_in!E23=0,0,SER_hh_fech_in!E23/SER_summary!E$27)</f>
        <v>21.861454364354739</v>
      </c>
      <c r="F23" s="133">
        <f>IF(SER_hh_fech_in!F23=0,0,SER_hh_fech_in!F23/SER_summary!F$27)</f>
        <v>21.642949990271909</v>
      </c>
      <c r="G23" s="133">
        <f>IF(SER_hh_fech_in!G23=0,0,SER_hh_fech_in!G23/SER_summary!G$27)</f>
        <v>21.107898910980079</v>
      </c>
      <c r="H23" s="133">
        <f>IF(SER_hh_fech_in!H23=0,0,SER_hh_fech_in!H23/SER_summary!H$27)</f>
        <v>20.072188101535062</v>
      </c>
      <c r="I23" s="133">
        <f>IF(SER_hh_fech_in!I23=0,0,SER_hh_fech_in!I23/SER_summary!I$27)</f>
        <v>19.05646763603929</v>
      </c>
      <c r="J23" s="133">
        <f>IF(SER_hh_fech_in!J23=0,0,SER_hh_fech_in!J23/SER_summary!J$27)</f>
        <v>17.528591757259093</v>
      </c>
      <c r="K23" s="133">
        <f>IF(SER_hh_fech_in!K23=0,0,SER_hh_fech_in!K23/SER_summary!K$27)</f>
        <v>21.277697029920496</v>
      </c>
      <c r="L23" s="133">
        <f>IF(SER_hh_fech_in!L23=0,0,SER_hh_fech_in!L23/SER_summary!L$27)</f>
        <v>20.595987597669819</v>
      </c>
      <c r="M23" s="133">
        <f>IF(SER_hh_fech_in!M23=0,0,SER_hh_fech_in!M23/SER_summary!M$27)</f>
        <v>19.217515992890252</v>
      </c>
      <c r="N23" s="133">
        <f>IF(SER_hh_fech_in!N23=0,0,SER_hh_fech_in!N23/SER_summary!N$27)</f>
        <v>18.89620641291182</v>
      </c>
      <c r="O23" s="133">
        <f>IF(SER_hh_fech_in!O23=0,0,SER_hh_fech_in!O23/SER_summary!O$27)</f>
        <v>18.593080906486801</v>
      </c>
      <c r="P23" s="133">
        <f>IF(SER_hh_fech_in!P23=0,0,SER_hh_fech_in!P23/SER_summary!P$27)</f>
        <v>18.020854726819561</v>
      </c>
      <c r="Q23" s="133">
        <f>IF(SER_hh_fech_in!Q23=0,0,SER_hh_fech_in!Q23/SER_summary!Q$27)</f>
        <v>16.842176183413407</v>
      </c>
      <c r="R23" s="133">
        <f>IF(SER_hh_fech_in!R23=0,0,SER_hh_fech_in!R23/SER_summary!R$27)</f>
        <v>21.427373199263265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19.821940963686167</v>
      </c>
      <c r="D25" s="133">
        <f>IF(SER_hh_fech_in!D25=0,0,SER_hh_fech_in!D25/SER_summary!D$27)</f>
        <v>17.033521370253879</v>
      </c>
      <c r="E25" s="133">
        <f>IF(SER_hh_fech_in!E25=0,0,SER_hh_fech_in!E25/SER_summary!E$27)</f>
        <v>15.396130636079475</v>
      </c>
      <c r="F25" s="133">
        <f>IF(SER_hh_fech_in!F25=0,0,SER_hh_fech_in!F25/SER_summary!F$27)</f>
        <v>16.175239819010507</v>
      </c>
      <c r="G25" s="133">
        <f>IF(SER_hh_fech_in!G25=0,0,SER_hh_fech_in!G25/SER_summary!G$27)</f>
        <v>15.947428254154101</v>
      </c>
      <c r="H25" s="133">
        <f>IF(SER_hh_fech_in!H25=0,0,SER_hh_fech_in!H25/SER_summary!H$27)</f>
        <v>14.101505374209074</v>
      </c>
      <c r="I25" s="133">
        <f>IF(SER_hh_fech_in!I25=0,0,SER_hh_fech_in!I25/SER_summary!I$27)</f>
        <v>14.538277995668894</v>
      </c>
      <c r="J25" s="133">
        <f>IF(SER_hh_fech_in!J25=0,0,SER_hh_fech_in!J25/SER_summary!J$27)</f>
        <v>13.021801603066782</v>
      </c>
      <c r="K25" s="133">
        <f>IF(SER_hh_fech_in!K25=0,0,SER_hh_fech_in!K25/SER_summary!K$27)</f>
        <v>13.838043570816488</v>
      </c>
      <c r="L25" s="133">
        <f>IF(SER_hh_fech_in!L25=0,0,SER_hh_fech_in!L25/SER_summary!L$27)</f>
        <v>14.817887510571262</v>
      </c>
      <c r="M25" s="133">
        <f>IF(SER_hh_fech_in!M25=0,0,SER_hh_fech_in!M25/SER_summary!M$27)</f>
        <v>15.195123229903206</v>
      </c>
      <c r="N25" s="133">
        <f>IF(SER_hh_fech_in!N25=0,0,SER_hh_fech_in!N25/SER_summary!N$27)</f>
        <v>15.145125657642126</v>
      </c>
      <c r="O25" s="133">
        <f>IF(SER_hh_fech_in!O25=0,0,SER_hh_fech_in!O25/SER_summary!O$27)</f>
        <v>15.269006986001013</v>
      </c>
      <c r="P25" s="133">
        <f>IF(SER_hh_fech_in!P25=0,0,SER_hh_fech_in!P25/SER_summary!P$27)</f>
        <v>15.765400419896681</v>
      </c>
      <c r="Q25" s="133">
        <f>IF(SER_hh_fech_in!Q25=0,0,SER_hh_fech_in!Q25/SER_summary!Q$27)</f>
        <v>15.234373097975411</v>
      </c>
      <c r="R25" s="133">
        <f>IF(SER_hh_fech_in!R25=0,0,SER_hh_fech_in!R25/SER_summary!R$27)</f>
        <v>13.957815108568649</v>
      </c>
      <c r="S25" s="133">
        <f>IF(SER_hh_fech_in!S25=0,0,SER_hh_fech_in!S25/SER_summary!S$27)</f>
        <v>15.819607134970983</v>
      </c>
      <c r="T25" s="133">
        <f>IF(SER_hh_fech_in!T25=0,0,SER_hh_fech_in!T25/SER_summary!T$27)</f>
        <v>16.480493554265863</v>
      </c>
      <c r="U25" s="133">
        <f>IF(SER_hh_fech_in!U25=0,0,SER_hh_fech_in!U25/SER_summary!U$27)</f>
        <v>14.115621512790325</v>
      </c>
      <c r="V25" s="133">
        <f>IF(SER_hh_fech_in!V25=0,0,SER_hh_fech_in!V25/SER_summary!V$27)</f>
        <v>14.236671226142235</v>
      </c>
      <c r="W25" s="133">
        <f>IF(SER_hh_fech_in!W25=0,0,SER_hh_fech_in!W25/SER_summary!W$27)</f>
        <v>15.670576667499823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16.969128767477304</v>
      </c>
      <c r="D26" s="65">
        <f>IF(SER_hh_fech_in!D26=0,0,SER_hh_fech_in!D26/SER_summary!D$27)</f>
        <v>20.52708884901546</v>
      </c>
      <c r="E26" s="65">
        <f>IF(SER_hh_fech_in!E26=0,0,SER_hh_fech_in!E26/SER_summary!E$27)</f>
        <v>17.908876168675057</v>
      </c>
      <c r="F26" s="65">
        <f>IF(SER_hh_fech_in!F26=0,0,SER_hh_fech_in!F26/SER_summary!F$27)</f>
        <v>17.191184702056255</v>
      </c>
      <c r="G26" s="65">
        <f>IF(SER_hh_fech_in!G26=0,0,SER_hh_fech_in!G26/SER_summary!G$27)</f>
        <v>18.743628601218742</v>
      </c>
      <c r="H26" s="65">
        <f>IF(SER_hh_fech_in!H26=0,0,SER_hh_fech_in!H26/SER_summary!H$27)</f>
        <v>18.846029351986839</v>
      </c>
      <c r="I26" s="65">
        <f>IF(SER_hh_fech_in!I26=0,0,SER_hh_fech_in!I26/SER_summary!I$27)</f>
        <v>16.562664952810536</v>
      </c>
      <c r="J26" s="65">
        <f>IF(SER_hh_fech_in!J26=0,0,SER_hh_fech_in!J26/SER_summary!J$27)</f>
        <v>18.788776956015717</v>
      </c>
      <c r="K26" s="65">
        <f>IF(SER_hh_fech_in!K26=0,0,SER_hh_fech_in!K26/SER_summary!K$27)</f>
        <v>17.701414569579718</v>
      </c>
      <c r="L26" s="65">
        <f>IF(SER_hh_fech_in!L26=0,0,SER_hh_fech_in!L26/SER_summary!L$27)</f>
        <v>16.518853451354907</v>
      </c>
      <c r="M26" s="65">
        <f>IF(SER_hh_fech_in!M26=0,0,SER_hh_fech_in!M26/SER_summary!M$27)</f>
        <v>18.24314501108551</v>
      </c>
      <c r="N26" s="65">
        <f>IF(SER_hh_fech_in!N26=0,0,SER_hh_fech_in!N26/SER_summary!N$27)</f>
        <v>17.295557719307684</v>
      </c>
      <c r="O26" s="65">
        <f>IF(SER_hh_fech_in!O26=0,0,SER_hh_fech_in!O26/SER_summary!O$27)</f>
        <v>17.577196597478597</v>
      </c>
      <c r="P26" s="65">
        <f>IF(SER_hh_fech_in!P26=0,0,SER_hh_fech_in!P26/SER_summary!P$27)</f>
        <v>17.684303256755005</v>
      </c>
      <c r="Q26" s="65">
        <f>IF(SER_hh_fech_in!Q26=0,0,SER_hh_fech_in!Q26/SER_summary!Q$27)</f>
        <v>17.96616455887763</v>
      </c>
      <c r="R26" s="65">
        <f>IF(SER_hh_fech_in!R26=0,0,SER_hh_fech_in!R26/SER_summary!R$27)</f>
        <v>17.991045185414315</v>
      </c>
      <c r="S26" s="65">
        <f>IF(SER_hh_fech_in!S26=0,0,SER_hh_fech_in!S26/SER_summary!S$27)</f>
        <v>17.522698917439644</v>
      </c>
      <c r="T26" s="65">
        <f>IF(SER_hh_fech_in!T26=0,0,SER_hh_fech_in!T26/SER_summary!T$27)</f>
        <v>14.254700811426307</v>
      </c>
      <c r="U26" s="65">
        <f>IF(SER_hh_fech_in!U26=0,0,SER_hh_fech_in!U26/SER_summary!U$27)</f>
        <v>14.688081887474395</v>
      </c>
      <c r="V26" s="65">
        <f>IF(SER_hh_fech_in!V26=0,0,SER_hh_fech_in!V26/SER_summary!V$27)</f>
        <v>14.407098373094723</v>
      </c>
      <c r="W26" s="65">
        <f>IF(SER_hh_fech_in!W26=0,0,SER_hh_fech_in!W26/SER_summary!W$27)</f>
        <v>15.388907051685827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27.225793448769885</v>
      </c>
      <c r="D29" s="131">
        <f>IF(SER_hh_fech_in!D29=0,0,SER_hh_fech_in!D29/SER_summary!D$27)</f>
        <v>24.769202361540863</v>
      </c>
      <c r="E29" s="131">
        <f>IF(SER_hh_fech_in!E29=0,0,SER_hh_fech_in!E29/SER_summary!E$27)</f>
        <v>23.668933896760382</v>
      </c>
      <c r="F29" s="131">
        <f>IF(SER_hh_fech_in!F29=0,0,SER_hh_fech_in!F29/SER_summary!F$27)</f>
        <v>19.948309542433009</v>
      </c>
      <c r="G29" s="131">
        <f>IF(SER_hh_fech_in!G29=0,0,SER_hh_fech_in!G29/SER_summary!G$27)</f>
        <v>21.259411956567007</v>
      </c>
      <c r="H29" s="131">
        <f>IF(SER_hh_fech_in!H29=0,0,SER_hh_fech_in!H29/SER_summary!H$27)</f>
        <v>21.143694868818084</v>
      </c>
      <c r="I29" s="131">
        <f>IF(SER_hh_fech_in!I29=0,0,SER_hh_fech_in!I29/SER_summary!I$27)</f>
        <v>29.250435225417803</v>
      </c>
      <c r="J29" s="131">
        <f>IF(SER_hh_fech_in!J29=0,0,SER_hh_fech_in!J29/SER_summary!J$27)</f>
        <v>20.731779997231445</v>
      </c>
      <c r="K29" s="131">
        <f>IF(SER_hh_fech_in!K29=0,0,SER_hh_fech_in!K29/SER_summary!K$27)</f>
        <v>21.830196444828253</v>
      </c>
      <c r="L29" s="131">
        <f>IF(SER_hh_fech_in!L29=0,0,SER_hh_fech_in!L29/SER_summary!L$27)</f>
        <v>21.990777668083023</v>
      </c>
      <c r="M29" s="131">
        <f>IF(SER_hh_fech_in!M29=0,0,SER_hh_fech_in!M29/SER_summary!M$27)</f>
        <v>21.506424155538383</v>
      </c>
      <c r="N29" s="131">
        <f>IF(SER_hh_fech_in!N29=0,0,SER_hh_fech_in!N29/SER_summary!N$27)</f>
        <v>19.643193369470421</v>
      </c>
      <c r="O29" s="131">
        <f>IF(SER_hh_fech_in!O29=0,0,SER_hh_fech_in!O29/SER_summary!O$27)</f>
        <v>21.352349868696578</v>
      </c>
      <c r="P29" s="131">
        <f>IF(SER_hh_fech_in!P29=0,0,SER_hh_fech_in!P29/SER_summary!P$27)</f>
        <v>22.801760296574798</v>
      </c>
      <c r="Q29" s="131">
        <f>IF(SER_hh_fech_in!Q29=0,0,SER_hh_fech_in!Q29/SER_summary!Q$27)</f>
        <v>22.632107889819135</v>
      </c>
      <c r="R29" s="131">
        <f>IF(SER_hh_fech_in!R29=0,0,SER_hh_fech_in!R29/SER_summary!R$27)</f>
        <v>21.926683486775723</v>
      </c>
      <c r="S29" s="131">
        <f>IF(SER_hh_fech_in!S29=0,0,SER_hh_fech_in!S29/SER_summary!S$27)</f>
        <v>23.837151253041871</v>
      </c>
      <c r="T29" s="131">
        <f>IF(SER_hh_fech_in!T29=0,0,SER_hh_fech_in!T29/SER_summary!T$27)</f>
        <v>25.816187041670709</v>
      </c>
      <c r="U29" s="131">
        <f>IF(SER_hh_fech_in!U29=0,0,SER_hh_fech_in!U29/SER_summary!U$27)</f>
        <v>27.04492004861358</v>
      </c>
      <c r="V29" s="131">
        <f>IF(SER_hh_fech_in!V29=0,0,SER_hh_fech_in!V29/SER_summary!V$27)</f>
        <v>22.156410263124044</v>
      </c>
      <c r="W29" s="131">
        <f>IF(SER_hh_fech_in!W29=0,0,SER_hh_fech_in!W29/SER_summary!W$27)</f>
        <v>21.54069462182083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24.693899092117174</v>
      </c>
      <c r="H30" s="133">
        <f>IF(SER_hh_fech_in!H30=0,0,SER_hh_fech_in!H30/SER_summary!H$27)</f>
        <v>16.869962879351206</v>
      </c>
      <c r="I30" s="133">
        <f>IF(SER_hh_fech_in!I30=0,0,SER_hh_fech_in!I30/SER_summary!I$27)</f>
        <v>35.92673718184377</v>
      </c>
      <c r="J30" s="133">
        <f>IF(SER_hh_fech_in!J30=0,0,SER_hh_fech_in!J30/SER_summary!J$27)</f>
        <v>21.82299458477393</v>
      </c>
      <c r="K30" s="133">
        <f>IF(SER_hh_fech_in!K30=0,0,SER_hh_fech_in!K30/SER_summary!K$27)</f>
        <v>24.258348533008952</v>
      </c>
      <c r="L30" s="133">
        <f>IF(SER_hh_fech_in!L30=0,0,SER_hh_fech_in!L30/SER_summary!L$27)</f>
        <v>32.997694529612559</v>
      </c>
      <c r="M30" s="133">
        <f>IF(SER_hh_fech_in!M30=0,0,SER_hh_fech_in!M30/SER_summary!M$27)</f>
        <v>0</v>
      </c>
      <c r="N30" s="133">
        <f>IF(SER_hh_fech_in!N30=0,0,SER_hh_fech_in!N30/SER_summary!N$27)</f>
        <v>30.822610450182761</v>
      </c>
      <c r="O30" s="133">
        <f>IF(SER_hh_fech_in!O30=0,0,SER_hh_fech_in!O30/SER_summary!O$27)</f>
        <v>0</v>
      </c>
      <c r="P30" s="133">
        <f>IF(SER_hh_fech_in!P30=0,0,SER_hh_fech_in!P30/SER_summary!P$27)</f>
        <v>26.415711916696289</v>
      </c>
      <c r="Q30" s="133">
        <f>IF(SER_hh_fech_in!Q30=0,0,SER_hh_fech_in!Q30/SER_summary!Q$27)</f>
        <v>30.491938205759649</v>
      </c>
      <c r="R30" s="133">
        <f>IF(SER_hh_fech_in!R30=0,0,SER_hh_fech_in!R30/SER_summary!R$27)</f>
        <v>26.094770241097219</v>
      </c>
      <c r="S30" s="133">
        <f>IF(SER_hh_fech_in!S30=0,0,SER_hh_fech_in!S30/SER_summary!S$27)</f>
        <v>27.221697326781108</v>
      </c>
      <c r="T30" s="133">
        <f>IF(SER_hh_fech_in!T30=0,0,SER_hh_fech_in!T30/SER_summary!T$27)</f>
        <v>30.488786002572464</v>
      </c>
      <c r="U30" s="133">
        <f>IF(SER_hh_fech_in!U30=0,0,SER_hh_fech_in!U30/SER_summary!U$27)</f>
        <v>35.513025985411289</v>
      </c>
      <c r="V30" s="133">
        <f>IF(SER_hh_fech_in!V30=0,0,SER_hh_fech_in!V30/SER_summary!V$27)</f>
        <v>29.862685749282949</v>
      </c>
      <c r="W30" s="133">
        <f>IF(SER_hh_fech_in!W30=0,0,SER_hh_fech_in!W30/SER_summary!W$27)</f>
        <v>22.073024315131107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37.361988779225129</v>
      </c>
      <c r="D31" s="133">
        <f>IF(SER_hh_fech_in!D31=0,0,SER_hh_fech_in!D31/SER_summary!D$27)</f>
        <v>34.025913608543064</v>
      </c>
      <c r="E31" s="133">
        <f>IF(SER_hh_fech_in!E31=0,0,SER_hh_fech_in!E31/SER_summary!E$27)</f>
        <v>28.243162450944538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29.218933388469175</v>
      </c>
      <c r="L31" s="133">
        <f>IF(SER_hh_fech_in!L31=0,0,SER_hh_fech_in!L31/SER_summary!L$27)</f>
        <v>26.378688877220792</v>
      </c>
      <c r="M31" s="133">
        <f>IF(SER_hh_fech_in!M31=0,0,SER_hh_fech_in!M31/SER_summary!M$27)</f>
        <v>25.011606617120144</v>
      </c>
      <c r="N31" s="133">
        <f>IF(SER_hh_fech_in!N31=0,0,SER_hh_fech_in!N31/SER_summary!N$27)</f>
        <v>20.859546518673561</v>
      </c>
      <c r="O31" s="133">
        <f>IF(SER_hh_fech_in!O31=0,0,SER_hh_fech_in!O31/SER_summary!O$27)</f>
        <v>24.087751002965906</v>
      </c>
      <c r="P31" s="133">
        <f>IF(SER_hh_fech_in!P31=0,0,SER_hh_fech_in!P31/SER_summary!P$27)</f>
        <v>29.314718775975923</v>
      </c>
      <c r="Q31" s="133">
        <f>IF(SER_hh_fech_in!Q31=0,0,SER_hh_fech_in!Q31/SER_summary!Q$27)</f>
        <v>29.135318471314218</v>
      </c>
      <c r="R31" s="133">
        <f>IF(SER_hh_fech_in!R31=0,0,SER_hh_fech_in!R31/SER_summary!R$27)</f>
        <v>37.443020117431267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17.071466585709857</v>
      </c>
      <c r="D33" s="68">
        <f>IF(SER_hh_fech_in!D33=0,0,SER_hh_fech_in!D33/SER_summary!D$27)</f>
        <v>23.330559484321018</v>
      </c>
      <c r="E33" s="68">
        <f>IF(SER_hh_fech_in!E33=0,0,SER_hh_fech_in!E33/SER_summary!E$27)</f>
        <v>23.314657021272893</v>
      </c>
      <c r="F33" s="68">
        <f>IF(SER_hh_fech_in!F33=0,0,SER_hh_fech_in!F33/SER_summary!F$27)</f>
        <v>19.948309542433009</v>
      </c>
      <c r="G33" s="68">
        <f>IF(SER_hh_fech_in!G33=0,0,SER_hh_fech_in!G33/SER_summary!G$27)</f>
        <v>20.689645580462098</v>
      </c>
      <c r="H33" s="68">
        <f>IF(SER_hh_fech_in!H33=0,0,SER_hh_fech_in!H33/SER_summary!H$27)</f>
        <v>22.310520840428293</v>
      </c>
      <c r="I33" s="68">
        <f>IF(SER_hh_fech_in!I33=0,0,SER_hh_fech_in!I33/SER_summary!I$27)</f>
        <v>16.855526125026145</v>
      </c>
      <c r="J33" s="68">
        <f>IF(SER_hh_fech_in!J33=0,0,SER_hh_fech_in!J33/SER_summary!J$27)</f>
        <v>19.912200375373832</v>
      </c>
      <c r="K33" s="68">
        <f>IF(SER_hh_fech_in!K33=0,0,SER_hh_fech_in!K33/SER_summary!K$27)</f>
        <v>18.849297251576424</v>
      </c>
      <c r="L33" s="68">
        <f>IF(SER_hh_fech_in!L33=0,0,SER_hh_fech_in!L33/SER_summary!L$27)</f>
        <v>16.852703577127144</v>
      </c>
      <c r="M33" s="68">
        <f>IF(SER_hh_fech_in!M33=0,0,SER_hh_fech_in!M33/SER_summary!M$27)</f>
        <v>21.251882102752649</v>
      </c>
      <c r="N33" s="68">
        <f>IF(SER_hh_fech_in!N33=0,0,SER_hh_fech_in!N33/SER_summary!N$27)</f>
        <v>19.27052304392846</v>
      </c>
      <c r="O33" s="68">
        <f>IF(SER_hh_fech_in!O33=0,0,SER_hh_fech_in!O33/SER_summary!O$27)</f>
        <v>20.284017964623466</v>
      </c>
      <c r="P33" s="68">
        <f>IF(SER_hh_fech_in!P33=0,0,SER_hh_fech_in!P33/SER_summary!P$27)</f>
        <v>19.923809691065767</v>
      </c>
      <c r="Q33" s="68">
        <f>IF(SER_hh_fech_in!Q33=0,0,SER_hh_fech_in!Q33/SER_summary!Q$27)</f>
        <v>20.551887568339925</v>
      </c>
      <c r="R33" s="68">
        <f>IF(SER_hh_fech_in!R33=0,0,SER_hh_fech_in!R33/SER_summary!R$27)</f>
        <v>20.727913771483447</v>
      </c>
      <c r="S33" s="68">
        <f>IF(SER_hh_fech_in!S33=0,0,SER_hh_fech_in!S33/SER_summary!S$27)</f>
        <v>21.625667931958731</v>
      </c>
      <c r="T33" s="68">
        <f>IF(SER_hh_fech_in!T33=0,0,SER_hh_fech_in!T33/SER_summary!T$27)</f>
        <v>21.82220089955284</v>
      </c>
      <c r="U33" s="68">
        <f>IF(SER_hh_fech_in!U33=0,0,SER_hh_fech_in!U33/SER_summary!U$27)</f>
        <v>20.008581715188502</v>
      </c>
      <c r="V33" s="68">
        <f>IF(SER_hh_fech_in!V33=0,0,SER_hh_fech_in!V33/SER_summary!V$27)</f>
        <v>19.524129624842971</v>
      </c>
      <c r="W33" s="68">
        <f>IF(SER_hh_fech_in!W33=0,0,SER_hh_fech_in!W33/SER_summary!W$27)</f>
        <v>21.440305245299619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270.4354849131791</v>
      </c>
      <c r="D3" s="126">
        <f>IF(SER_hh_tesh_in!D3=0,0,SER_hh_tesh_in!D3/SER_summary!D$27)</f>
        <v>253.4592572781973</v>
      </c>
      <c r="E3" s="126">
        <f>IF(SER_hh_tesh_in!E3=0,0,SER_hh_tesh_in!E3/SER_summary!E$27)</f>
        <v>176.18014249210319</v>
      </c>
      <c r="F3" s="126">
        <f>IF(SER_hh_tesh_in!F3=0,0,SER_hh_tesh_in!F3/SER_summary!F$27)</f>
        <v>166.37304170086338</v>
      </c>
      <c r="G3" s="126">
        <f>IF(SER_hh_tesh_in!G3=0,0,SER_hh_tesh_in!G3/SER_summary!G$27)</f>
        <v>145.65581187433577</v>
      </c>
      <c r="H3" s="126">
        <f>IF(SER_hh_tesh_in!H3=0,0,SER_hh_tesh_in!H3/SER_summary!H$27)</f>
        <v>125.03078062863676</v>
      </c>
      <c r="I3" s="126">
        <f>IF(SER_hh_tesh_in!I3=0,0,SER_hh_tesh_in!I3/SER_summary!I$27)</f>
        <v>107.37362795331873</v>
      </c>
      <c r="J3" s="126">
        <f>IF(SER_hh_tesh_in!J3=0,0,SER_hh_tesh_in!J3/SER_summary!J$27)</f>
        <v>132.78174859660891</v>
      </c>
      <c r="K3" s="126">
        <f>IF(SER_hh_tesh_in!K3=0,0,SER_hh_tesh_in!K3/SER_summary!K$27)</f>
        <v>126.72143529868643</v>
      </c>
      <c r="L3" s="126">
        <f>IF(SER_hh_tesh_in!L3=0,0,SER_hh_tesh_in!L3/SER_summary!L$27)</f>
        <v>154.78910083704224</v>
      </c>
      <c r="M3" s="126">
        <f>IF(SER_hh_tesh_in!M3=0,0,SER_hh_tesh_in!M3/SER_summary!M$27)</f>
        <v>142.52975798828663</v>
      </c>
      <c r="N3" s="126">
        <f>IF(SER_hh_tesh_in!N3=0,0,SER_hh_tesh_in!N3/SER_summary!N$27)</f>
        <v>121.97876715860957</v>
      </c>
      <c r="O3" s="126">
        <f>IF(SER_hh_tesh_in!O3=0,0,SER_hh_tesh_in!O3/SER_summary!O$27)</f>
        <v>120.98196781325134</v>
      </c>
      <c r="P3" s="126">
        <f>IF(SER_hh_tesh_in!P3=0,0,SER_hh_tesh_in!P3/SER_summary!P$27)</f>
        <v>104.2711884131342</v>
      </c>
      <c r="Q3" s="126">
        <f>IF(SER_hh_tesh_in!Q3=0,0,SER_hh_tesh_in!Q3/SER_summary!Q$27)</f>
        <v>114.52546500599161</v>
      </c>
      <c r="R3" s="126">
        <f>IF(SER_hh_tesh_in!R3=0,0,SER_hh_tesh_in!R3/SER_summary!R$27)</f>
        <v>110.62901241808127</v>
      </c>
      <c r="S3" s="126">
        <f>IF(SER_hh_tesh_in!S3=0,0,SER_hh_tesh_in!S3/SER_summary!S$27)</f>
        <v>110.20573790037226</v>
      </c>
      <c r="T3" s="126">
        <f>IF(SER_hh_tesh_in!T3=0,0,SER_hh_tesh_in!T3/SER_summary!T$27)</f>
        <v>107.96284159192834</v>
      </c>
      <c r="U3" s="126">
        <f>IF(SER_hh_tesh_in!U3=0,0,SER_hh_tesh_in!U3/SER_summary!U$27)</f>
        <v>100.74162785220462</v>
      </c>
      <c r="V3" s="126">
        <f>IF(SER_hh_tesh_in!V3=0,0,SER_hh_tesh_in!V3/SER_summary!V$27)</f>
        <v>88.82415561788892</v>
      </c>
      <c r="W3" s="126">
        <f>IF(SER_hh_tesh_in!W3=0,0,SER_hh_tesh_in!W3/SER_summary!W$27)</f>
        <v>83.966469030132501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215.12329509149475</v>
      </c>
      <c r="D4" s="131">
        <f>IF(SER_hh_tesh_in!D4=0,0,SER_hh_tesh_in!D4/SER_summary!D$27)</f>
        <v>199.26496492345981</v>
      </c>
      <c r="E4" s="131">
        <f>IF(SER_hh_tesh_in!E4=0,0,SER_hh_tesh_in!E4/SER_summary!E$27)</f>
        <v>114.10450932410882</v>
      </c>
      <c r="F4" s="131">
        <f>IF(SER_hh_tesh_in!F4=0,0,SER_hh_tesh_in!F4/SER_summary!F$27)</f>
        <v>117.48956548900301</v>
      </c>
      <c r="G4" s="131">
        <f>IF(SER_hh_tesh_in!G4=0,0,SER_hh_tesh_in!G4/SER_summary!G$27)</f>
        <v>92.820458599532927</v>
      </c>
      <c r="H4" s="131">
        <f>IF(SER_hh_tesh_in!H4=0,0,SER_hh_tesh_in!H4/SER_summary!H$27)</f>
        <v>74.229085073950472</v>
      </c>
      <c r="I4" s="131">
        <f>IF(SER_hh_tesh_in!I4=0,0,SER_hh_tesh_in!I4/SER_summary!I$27)</f>
        <v>56.677094830519785</v>
      </c>
      <c r="J4" s="131">
        <f>IF(SER_hh_tesh_in!J4=0,0,SER_hh_tesh_in!J4/SER_summary!J$27)</f>
        <v>81.803566838674158</v>
      </c>
      <c r="K4" s="131">
        <f>IF(SER_hh_tesh_in!K4=0,0,SER_hh_tesh_in!K4/SER_summary!K$27)</f>
        <v>75.767210871855696</v>
      </c>
      <c r="L4" s="131">
        <f>IF(SER_hh_tesh_in!L4=0,0,SER_hh_tesh_in!L4/SER_summary!L$27)</f>
        <v>102.78572961720268</v>
      </c>
      <c r="M4" s="131">
        <f>IF(SER_hh_tesh_in!M4=0,0,SER_hh_tesh_in!M4/SER_summary!M$27)</f>
        <v>88.774568816641732</v>
      </c>
      <c r="N4" s="131">
        <f>IF(SER_hh_tesh_in!N4=0,0,SER_hh_tesh_in!N4/SER_summary!N$27)</f>
        <v>67.867157726293541</v>
      </c>
      <c r="O4" s="131">
        <f>IF(SER_hh_tesh_in!O4=0,0,SER_hh_tesh_in!O4/SER_summary!O$27)</f>
        <v>65.1868957504186</v>
      </c>
      <c r="P4" s="131">
        <f>IF(SER_hh_tesh_in!P4=0,0,SER_hh_tesh_in!P4/SER_summary!P$27)</f>
        <v>52.476971088079516</v>
      </c>
      <c r="Q4" s="131">
        <f>IF(SER_hh_tesh_in!Q4=0,0,SER_hh_tesh_in!Q4/SER_summary!Q$27)</f>
        <v>57.283429720713251</v>
      </c>
      <c r="R4" s="131">
        <f>IF(SER_hh_tesh_in!R4=0,0,SER_hh_tesh_in!R4/SER_summary!R$27)</f>
        <v>59.512321687235797</v>
      </c>
      <c r="S4" s="131">
        <f>IF(SER_hh_tesh_in!S4=0,0,SER_hh_tesh_in!S4/SER_summary!S$27)</f>
        <v>54.309519309028225</v>
      </c>
      <c r="T4" s="131">
        <f>IF(SER_hh_tesh_in!T4=0,0,SER_hh_tesh_in!T4/SER_summary!T$27)</f>
        <v>53.609232933649082</v>
      </c>
      <c r="U4" s="131">
        <f>IF(SER_hh_tesh_in!U4=0,0,SER_hh_tesh_in!U4/SER_summary!U$27)</f>
        <v>45.230522932294384</v>
      </c>
      <c r="V4" s="131">
        <f>IF(SER_hh_tesh_in!V4=0,0,SER_hh_tesh_in!V4/SER_summary!V$27)</f>
        <v>38.807494572412288</v>
      </c>
      <c r="W4" s="131">
        <f>IF(SER_hh_tesh_in!W4=0,0,SER_hh_tesh_in!W4/SER_summary!W$27)</f>
        <v>32.677920347882839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214.3938139915484</v>
      </c>
      <c r="D7" s="133">
        <f>IF(SER_hh_tesh_in!D7=0,0,SER_hh_tesh_in!D7/SER_summary!D$27)</f>
        <v>169.39281266727644</v>
      </c>
      <c r="E7" s="133">
        <f>IF(SER_hh_tesh_in!E7=0,0,SER_hh_tesh_in!E7/SER_summary!E$27)</f>
        <v>116.48108772506845</v>
      </c>
      <c r="F7" s="133">
        <f>IF(SER_hh_tesh_in!F7=0,0,SER_hh_tesh_in!F7/SER_summary!F$27)</f>
        <v>109.68445492715686</v>
      </c>
      <c r="G7" s="133">
        <f>IF(SER_hh_tesh_in!G7=0,0,SER_hh_tesh_in!G7/SER_summary!G$27)</f>
        <v>97.710705331993211</v>
      </c>
      <c r="H7" s="133">
        <f>IF(SER_hh_tesh_in!H7=0,0,SER_hh_tesh_in!H7/SER_summary!H$27)</f>
        <v>77.639637749118663</v>
      </c>
      <c r="I7" s="133">
        <f>IF(SER_hh_tesh_in!I7=0,0,SER_hh_tesh_in!I7/SER_summary!I$27)</f>
        <v>45.560058584894747</v>
      </c>
      <c r="J7" s="133">
        <f>IF(SER_hh_tesh_in!J7=0,0,SER_hh_tesh_in!J7/SER_summary!J$27)</f>
        <v>81.007140892631512</v>
      </c>
      <c r="K7" s="133">
        <f>IF(SER_hh_tesh_in!K7=0,0,SER_hh_tesh_in!K7/SER_summary!K$27)</f>
        <v>75.41225126120284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60.800383087810189</v>
      </c>
      <c r="S7" s="133">
        <f>IF(SER_hh_tesh_in!S7=0,0,SER_hh_tesh_in!S7/SER_summary!S$27)</f>
        <v>47.715972867875621</v>
      </c>
      <c r="T7" s="133">
        <f>IF(SER_hh_tesh_in!T7=0,0,SER_hh_tesh_in!T7/SER_summary!T$27)</f>
        <v>51.144697503850033</v>
      </c>
      <c r="U7" s="133">
        <f>IF(SER_hh_tesh_in!U7=0,0,SER_hh_tesh_in!U7/SER_summary!U$27)</f>
        <v>42.455109625398535</v>
      </c>
      <c r="V7" s="133">
        <f>IF(SER_hh_tesh_in!V7=0,0,SER_hh_tesh_in!V7/SER_summary!V$27)</f>
        <v>46.540211647106638</v>
      </c>
      <c r="W7" s="133">
        <f>IF(SER_hh_tesh_in!W7=0,0,SER_hh_tesh_in!W7/SER_summary!W$27)</f>
        <v>29.053715959650138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226.57861909467638</v>
      </c>
      <c r="D9" s="133">
        <f>IF(SER_hh_tesh_in!D9=0,0,SER_hh_tesh_in!D9/SER_summary!D$27)</f>
        <v>221.93032158844903</v>
      </c>
      <c r="E9" s="133">
        <f>IF(SER_hh_tesh_in!E9=0,0,SER_hh_tesh_in!E9/SER_summary!E$27)</f>
        <v>105.70629175776401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67.393266670783149</v>
      </c>
      <c r="L9" s="133">
        <f>IF(SER_hh_tesh_in!L9=0,0,SER_hh_tesh_in!L9/SER_summary!L$27)</f>
        <v>80.465546255945895</v>
      </c>
      <c r="M9" s="133">
        <f>IF(SER_hh_tesh_in!M9=0,0,SER_hh_tesh_in!M9/SER_summary!M$27)</f>
        <v>113.15278803485387</v>
      </c>
      <c r="N9" s="133">
        <f>IF(SER_hh_tesh_in!N9=0,0,SER_hh_tesh_in!N9/SER_summary!N$27)</f>
        <v>31.239314492589113</v>
      </c>
      <c r="O9" s="133">
        <f>IF(SER_hh_tesh_in!O9=0,0,SER_hh_tesh_in!O9/SER_summary!O$27)</f>
        <v>62.095865987300463</v>
      </c>
      <c r="P9" s="133">
        <f>IF(SER_hh_tesh_in!P9=0,0,SER_hh_tesh_in!P9/SER_summary!P$27)</f>
        <v>50.792738707635955</v>
      </c>
      <c r="Q9" s="133">
        <f>IF(SER_hh_tesh_in!Q9=0,0,SER_hh_tesh_in!Q9/SER_summary!Q$27)</f>
        <v>58.953250704111362</v>
      </c>
      <c r="R9" s="133">
        <f>IF(SER_hh_tesh_in!R9=0,0,SER_hh_tesh_in!R9/SER_summary!R$27)</f>
        <v>70.73207963586681</v>
      </c>
      <c r="S9" s="133">
        <f>IF(SER_hh_tesh_in!S9=0,0,SER_hh_tesh_in!S9/SER_summary!S$27)</f>
        <v>0</v>
      </c>
      <c r="T9" s="133">
        <f>IF(SER_hh_tesh_in!T9=0,0,SER_hh_tesh_in!T9/SER_summary!T$27)</f>
        <v>0</v>
      </c>
      <c r="U9" s="133">
        <f>IF(SER_hh_tesh_in!U9=0,0,SER_hh_tesh_in!U9/SER_summary!U$27)</f>
        <v>0</v>
      </c>
      <c r="V9" s="133">
        <f>IF(SER_hh_tesh_in!V9=0,0,SER_hh_tesh_in!V9/SER_summary!V$27)</f>
        <v>0</v>
      </c>
      <c r="W9" s="133">
        <f>IF(SER_hh_tesh_in!W9=0,0,SER_hh_tesh_in!W9/SER_summary!W$27)</f>
        <v>29.219371670494457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214.13214278141831</v>
      </c>
      <c r="D10" s="133">
        <f>IF(SER_hh_tesh_in!D10=0,0,SER_hh_tesh_in!D10/SER_summary!D$27)</f>
        <v>0</v>
      </c>
      <c r="E10" s="133">
        <f>IF(SER_hh_tesh_in!E10=0,0,SER_hh_tesh_in!E10/SER_summary!E$27)</f>
        <v>90.616913140300326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125.23574898232576</v>
      </c>
      <c r="M11" s="133">
        <f>IF(SER_hh_tesh_in!M11=0,0,SER_hh_tesh_in!M11/SER_summary!M$27)</f>
        <v>96.311844215103918</v>
      </c>
      <c r="N11" s="133">
        <f>IF(SER_hh_tesh_in!N11=0,0,SER_hh_tesh_in!N11/SER_summary!N$27)</f>
        <v>61.562230101004857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49.519645431225641</v>
      </c>
      <c r="U11" s="133">
        <f>IF(SER_hh_tesh_in!U11=0,0,SER_hh_tesh_in!U11/SER_summary!U$27)</f>
        <v>49.573613421093654</v>
      </c>
      <c r="V11" s="133">
        <f>IF(SER_hh_tesh_in!V11=0,0,SER_hh_tesh_in!V11/SER_summary!V$27)</f>
        <v>32.633030685075134</v>
      </c>
      <c r="W11" s="133">
        <f>IF(SER_hh_tesh_in!W11=0,0,SER_hh_tesh_in!W11/SER_summary!W$27)</f>
        <v>27.740646490678486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115.68500893415064</v>
      </c>
      <c r="G12" s="133">
        <f>IF(SER_hh_tesh_in!G12=0,0,SER_hh_tesh_in!G12/SER_summary!G$27)</f>
        <v>77.784112737843515</v>
      </c>
      <c r="H12" s="133">
        <f>IF(SER_hh_tesh_in!H12=0,0,SER_hh_tesh_in!H12/SER_summary!H$27)</f>
        <v>93.34229277993569</v>
      </c>
      <c r="I12" s="133">
        <f>IF(SER_hh_tesh_in!I12=0,0,SER_hh_tesh_in!I12/SER_summary!I$27)</f>
        <v>53.680522532615491</v>
      </c>
      <c r="J12" s="133">
        <f>IF(SER_hh_tesh_in!J12=0,0,SER_hh_tesh_in!J12/SER_summary!J$27)</f>
        <v>52.265468057905167</v>
      </c>
      <c r="K12" s="133">
        <f>IF(SER_hh_tesh_in!K12=0,0,SER_hh_tesh_in!K12/SER_summary!K$27)</f>
        <v>77.052155146038942</v>
      </c>
      <c r="L12" s="133">
        <f>IF(SER_hh_tesh_in!L12=0,0,SER_hh_tesh_in!L12/SER_summary!L$27)</f>
        <v>85.340490588892962</v>
      </c>
      <c r="M12" s="133">
        <f>IF(SER_hh_tesh_in!M12=0,0,SER_hh_tesh_in!M12/SER_summary!M$27)</f>
        <v>79.154543135829044</v>
      </c>
      <c r="N12" s="133">
        <f>IF(SER_hh_tesh_in!N12=0,0,SER_hh_tesh_in!N12/SER_summary!N$27)</f>
        <v>70.114647712745665</v>
      </c>
      <c r="O12" s="133">
        <f>IF(SER_hh_tesh_in!O12=0,0,SER_hh_tesh_in!O12/SER_summary!O$27)</f>
        <v>68.81946181448258</v>
      </c>
      <c r="P12" s="133">
        <f>IF(SER_hh_tesh_in!P12=0,0,SER_hh_tesh_in!P12/SER_summary!P$27)</f>
        <v>0</v>
      </c>
      <c r="Q12" s="133">
        <f>IF(SER_hh_tesh_in!Q12=0,0,SER_hh_tesh_in!Q12/SER_summary!Q$27)</f>
        <v>54.726450603429051</v>
      </c>
      <c r="R12" s="133">
        <f>IF(SER_hh_tesh_in!R12=0,0,SER_hh_tesh_in!R12/SER_summary!R$27)</f>
        <v>50.590395476209224</v>
      </c>
      <c r="S12" s="133">
        <f>IF(SER_hh_tesh_in!S12=0,0,SER_hh_tesh_in!S12/SER_summary!S$27)</f>
        <v>55.266630329968862</v>
      </c>
      <c r="T12" s="133">
        <f>IF(SER_hh_tesh_in!T12=0,0,SER_hh_tesh_in!T12/SER_summary!T$27)</f>
        <v>53.650672034366771</v>
      </c>
      <c r="U12" s="133">
        <f>IF(SER_hh_tesh_in!U12=0,0,SER_hh_tesh_in!U12/SER_summary!U$27)</f>
        <v>41.2936644932064</v>
      </c>
      <c r="V12" s="133">
        <f>IF(SER_hh_tesh_in!V12=0,0,SER_hh_tesh_in!V12/SER_summary!V$27)</f>
        <v>36.717085112099667</v>
      </c>
      <c r="W12" s="133">
        <f>IF(SER_hh_tesh_in!W12=0,0,SER_hh_tesh_in!W12/SER_summary!W$27)</f>
        <v>36.717069843976631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177.47296066535174</v>
      </c>
      <c r="D14" s="65">
        <f>IF(SER_hh_tesh_in!D14=0,0,SER_hh_tesh_in!D14/SER_summary!D$27)</f>
        <v>215.4828078354025</v>
      </c>
      <c r="E14" s="65">
        <f>IF(SER_hh_tesh_in!E14=0,0,SER_hh_tesh_in!E14/SER_summary!E$27)</f>
        <v>100.78712093328986</v>
      </c>
      <c r="F14" s="65">
        <f>IF(SER_hh_tesh_in!F14=0,0,SER_hh_tesh_in!F14/SER_summary!F$27)</f>
        <v>126.34620715580139</v>
      </c>
      <c r="G14" s="65">
        <f>IF(SER_hh_tesh_in!G14=0,0,SER_hh_tesh_in!G14/SER_summary!G$27)</f>
        <v>84.432825454121485</v>
      </c>
      <c r="H14" s="65">
        <f>IF(SER_hh_tesh_in!H14=0,0,SER_hh_tesh_in!H14/SER_summary!H$27)</f>
        <v>63.471717787610686</v>
      </c>
      <c r="I14" s="65">
        <f>IF(SER_hh_tesh_in!I14=0,0,SER_hh_tesh_in!I14/SER_summary!I$27)</f>
        <v>62.193534792255363</v>
      </c>
      <c r="J14" s="65">
        <f>IF(SER_hh_tesh_in!J14=0,0,SER_hh_tesh_in!J14/SER_summary!J$27)</f>
        <v>85.886753499189979</v>
      </c>
      <c r="K14" s="65">
        <f>IF(SER_hh_tesh_in!K14=0,0,SER_hh_tesh_in!K14/SER_summary!K$27)</f>
        <v>77.554797100148235</v>
      </c>
      <c r="L14" s="65">
        <f>IF(SER_hh_tesh_in!L14=0,0,SER_hh_tesh_in!L14/SER_summary!L$27)</f>
        <v>80.563493220623968</v>
      </c>
      <c r="M14" s="65">
        <f>IF(SER_hh_tesh_in!M14=0,0,SER_hh_tesh_in!M14/SER_summary!M$27)</f>
        <v>80.068624264552398</v>
      </c>
      <c r="N14" s="65">
        <f>IF(SER_hh_tesh_in!N14=0,0,SER_hh_tesh_in!N14/SER_summary!N$27)</f>
        <v>68.804213776786256</v>
      </c>
      <c r="O14" s="65">
        <f>IF(SER_hh_tesh_in!O14=0,0,SER_hh_tesh_in!O14/SER_summary!O$27)</f>
        <v>64.12391696017248</v>
      </c>
      <c r="P14" s="65">
        <f>IF(SER_hh_tesh_in!P14=0,0,SER_hh_tesh_in!P14/SER_summary!P$27)</f>
        <v>53.512229749984179</v>
      </c>
      <c r="Q14" s="65">
        <f>IF(SER_hh_tesh_in!Q14=0,0,SER_hh_tesh_in!Q14/SER_summary!Q$27)</f>
        <v>52.223922395493915</v>
      </c>
      <c r="R14" s="65">
        <f>IF(SER_hh_tesh_in!R14=0,0,SER_hh_tesh_in!R14/SER_summary!R$27)</f>
        <v>54.07288611380816</v>
      </c>
      <c r="S14" s="65">
        <f>IF(SER_hh_tesh_in!S14=0,0,SER_hh_tesh_in!S14/SER_summary!S$27)</f>
        <v>55.425511553077833</v>
      </c>
      <c r="T14" s="65">
        <f>IF(SER_hh_tesh_in!T14=0,0,SER_hh_tesh_in!T14/SER_summary!T$27)</f>
        <v>54.682450649219284</v>
      </c>
      <c r="U14" s="65">
        <f>IF(SER_hh_tesh_in!U14=0,0,SER_hh_tesh_in!U14/SER_summary!U$27)</f>
        <v>47.795286628662815</v>
      </c>
      <c r="V14" s="65">
        <f>IF(SER_hh_tesh_in!V14=0,0,SER_hh_tesh_in!V14/SER_summary!V$27)</f>
        <v>34.76282862061354</v>
      </c>
      <c r="W14" s="65">
        <f>IF(SER_hh_tesh_in!W14=0,0,SER_hh_tesh_in!W14/SER_summary!W$27)</f>
        <v>34.267486028663804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4.3147063349065178</v>
      </c>
      <c r="D15" s="135">
        <f>IF(SER_hh_tesh_in!D15=0,0,SER_hh_tesh_in!D15/SER_summary!D$27)</f>
        <v>3.5805716699281391</v>
      </c>
      <c r="E15" s="135">
        <f>IF(SER_hh_tesh_in!E15=0,0,SER_hh_tesh_in!E15/SER_summary!E$27)</f>
        <v>2.1775409646652752</v>
      </c>
      <c r="F15" s="135">
        <f>IF(SER_hh_tesh_in!F15=0,0,SER_hh_tesh_in!F15/SER_summary!F$27)</f>
        <v>2.0246932118447956</v>
      </c>
      <c r="G15" s="135">
        <f>IF(SER_hh_tesh_in!G15=0,0,SER_hh_tesh_in!G15/SER_summary!G$27)</f>
        <v>1.6588768545473183</v>
      </c>
      <c r="H15" s="135">
        <f>IF(SER_hh_tesh_in!H15=0,0,SER_hh_tesh_in!H15/SER_summary!H$27)</f>
        <v>1.0904013788427245</v>
      </c>
      <c r="I15" s="135">
        <f>IF(SER_hh_tesh_in!I15=0,0,SER_hh_tesh_in!I15/SER_summary!I$27)</f>
        <v>0.75024045514709703</v>
      </c>
      <c r="J15" s="135">
        <f>IF(SER_hh_tesh_in!J15=0,0,SER_hh_tesh_in!J15/SER_summary!J$27)</f>
        <v>1.2841102104954754</v>
      </c>
      <c r="K15" s="135">
        <f>IF(SER_hh_tesh_in!K15=0,0,SER_hh_tesh_in!K15/SER_summary!K$27)</f>
        <v>0.83571165181874241</v>
      </c>
      <c r="L15" s="135">
        <f>IF(SER_hh_tesh_in!L15=0,0,SER_hh_tesh_in!L15/SER_summary!L$27)</f>
        <v>0.58074916028985568</v>
      </c>
      <c r="M15" s="135">
        <f>IF(SER_hh_tesh_in!M15=0,0,SER_hh_tesh_in!M15/SER_summary!M$27)</f>
        <v>0.76489687093196246</v>
      </c>
      <c r="N15" s="135">
        <f>IF(SER_hh_tesh_in!N15=0,0,SER_hh_tesh_in!N15/SER_summary!N$27)</f>
        <v>0.30212374100899392</v>
      </c>
      <c r="O15" s="135">
        <f>IF(SER_hh_tesh_in!O15=0,0,SER_hh_tesh_in!O15/SER_summary!O$27)</f>
        <v>0.70259674197523936</v>
      </c>
      <c r="P15" s="135">
        <f>IF(SER_hh_tesh_in!P15=0,0,SER_hh_tesh_in!P15/SER_summary!P$27)</f>
        <v>0.82915422240171432</v>
      </c>
      <c r="Q15" s="135">
        <f>IF(SER_hh_tesh_in!Q15=0,0,SER_hh_tesh_in!Q15/SER_summary!Q$27)</f>
        <v>0.92480168092073867</v>
      </c>
      <c r="R15" s="135">
        <f>IF(SER_hh_tesh_in!R15=0,0,SER_hh_tesh_in!R15/SER_summary!R$27)</f>
        <v>1.0074577156906921</v>
      </c>
      <c r="S15" s="135">
        <f>IF(SER_hh_tesh_in!S15=0,0,SER_hh_tesh_in!S15/SER_summary!S$27)</f>
        <v>0.47960048822422824</v>
      </c>
      <c r="T15" s="135">
        <f>IF(SER_hh_tesh_in!T15=0,0,SER_hh_tesh_in!T15/SER_summary!T$27)</f>
        <v>0.60267201874135812</v>
      </c>
      <c r="U15" s="135">
        <f>IF(SER_hh_tesh_in!U15=0,0,SER_hh_tesh_in!U15/SER_summary!U$27)</f>
        <v>0.4665654231077736</v>
      </c>
      <c r="V15" s="135">
        <f>IF(SER_hh_tesh_in!V15=0,0,SER_hh_tesh_in!V15/SER_summary!V$27)</f>
        <v>0.43926157929001902</v>
      </c>
      <c r="W15" s="135">
        <f>IF(SER_hh_tesh_in!W15=0,0,SER_hh_tesh_in!W15/SER_summary!W$27)</f>
        <v>0.33341175611902124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23.970813165911558</v>
      </c>
      <c r="D16" s="131">
        <f>IF(SER_hh_tesh_in!D16=0,0,SER_hh_tesh_in!D16/SER_summary!D$27)</f>
        <v>23.680167085477606</v>
      </c>
      <c r="E16" s="131">
        <f>IF(SER_hh_tesh_in!E16=0,0,SER_hh_tesh_in!E16/SER_summary!E$27)</f>
        <v>29.836376367139138</v>
      </c>
      <c r="F16" s="131">
        <f>IF(SER_hh_tesh_in!F16=0,0,SER_hh_tesh_in!F16/SER_summary!F$27)</f>
        <v>23.297040027239841</v>
      </c>
      <c r="G16" s="131">
        <f>IF(SER_hh_tesh_in!G16=0,0,SER_hh_tesh_in!G16/SER_summary!G$27)</f>
        <v>23.42444817165725</v>
      </c>
      <c r="H16" s="131">
        <f>IF(SER_hh_tesh_in!H16=0,0,SER_hh_tesh_in!H16/SER_summary!H$27)</f>
        <v>25.027168352932012</v>
      </c>
      <c r="I16" s="131">
        <f>IF(SER_hh_tesh_in!I16=0,0,SER_hh_tesh_in!I16/SER_summary!I$27)</f>
        <v>24.034074177435937</v>
      </c>
      <c r="J16" s="131">
        <f>IF(SER_hh_tesh_in!J16=0,0,SER_hh_tesh_in!J16/SER_summary!J$27)</f>
        <v>23.417261708745336</v>
      </c>
      <c r="K16" s="131">
        <f>IF(SER_hh_tesh_in!K16=0,0,SER_hh_tesh_in!K16/SER_summary!K$27)</f>
        <v>23.060778133218108</v>
      </c>
      <c r="L16" s="131">
        <f>IF(SER_hh_tesh_in!L16=0,0,SER_hh_tesh_in!L16/SER_summary!L$27)</f>
        <v>23.812969388334984</v>
      </c>
      <c r="M16" s="131">
        <f>IF(SER_hh_tesh_in!M16=0,0,SER_hh_tesh_in!M16/SER_summary!M$27)</f>
        <v>23.327516571072351</v>
      </c>
      <c r="N16" s="131">
        <f>IF(SER_hh_tesh_in!N16=0,0,SER_hh_tesh_in!N16/SER_summary!N$27)</f>
        <v>25.822811420957891</v>
      </c>
      <c r="O16" s="131">
        <f>IF(SER_hh_tesh_in!O16=0,0,SER_hh_tesh_in!O16/SER_summary!O$27)</f>
        <v>26.162903508316589</v>
      </c>
      <c r="P16" s="131">
        <f>IF(SER_hh_tesh_in!P16=0,0,SER_hh_tesh_in!P16/SER_summary!P$27)</f>
        <v>20.818335646294955</v>
      </c>
      <c r="Q16" s="131">
        <f>IF(SER_hh_tesh_in!Q16=0,0,SER_hh_tesh_in!Q16/SER_summary!Q$27)</f>
        <v>25.4603093766817</v>
      </c>
      <c r="R16" s="131">
        <f>IF(SER_hh_tesh_in!R16=0,0,SER_hh_tesh_in!R16/SER_summary!R$27)</f>
        <v>20.477641940574202</v>
      </c>
      <c r="S16" s="131">
        <f>IF(SER_hh_tesh_in!S16=0,0,SER_hh_tesh_in!S16/SER_summary!S$27)</f>
        <v>24.189879024975944</v>
      </c>
      <c r="T16" s="131">
        <f>IF(SER_hh_tesh_in!T16=0,0,SER_hh_tesh_in!T16/SER_summary!T$27)</f>
        <v>20.662221235655888</v>
      </c>
      <c r="U16" s="131">
        <f>IF(SER_hh_tesh_in!U16=0,0,SER_hh_tesh_in!U16/SER_summary!U$27)</f>
        <v>21.534832947408038</v>
      </c>
      <c r="V16" s="131">
        <f>IF(SER_hh_tesh_in!V16=0,0,SER_hh_tesh_in!V16/SER_summary!V$27)</f>
        <v>18.368338146810277</v>
      </c>
      <c r="W16" s="131">
        <f>IF(SER_hh_tesh_in!W16=0,0,SER_hh_tesh_in!W16/SER_summary!W$27)</f>
        <v>18.782442806508428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23.970813165911558</v>
      </c>
      <c r="D18" s="133">
        <f>IF(SER_hh_tesh_in!D18=0,0,SER_hh_tesh_in!D18/SER_summary!D$27)</f>
        <v>23.680167085477606</v>
      </c>
      <c r="E18" s="133">
        <f>IF(SER_hh_tesh_in!E18=0,0,SER_hh_tesh_in!E18/SER_summary!E$27)</f>
        <v>29.836376367139138</v>
      </c>
      <c r="F18" s="133">
        <f>IF(SER_hh_tesh_in!F18=0,0,SER_hh_tesh_in!F18/SER_summary!F$27)</f>
        <v>23.297040027239841</v>
      </c>
      <c r="G18" s="133">
        <f>IF(SER_hh_tesh_in!G18=0,0,SER_hh_tesh_in!G18/SER_summary!G$27)</f>
        <v>23.42444817165725</v>
      </c>
      <c r="H18" s="133">
        <f>IF(SER_hh_tesh_in!H18=0,0,SER_hh_tesh_in!H18/SER_summary!H$27)</f>
        <v>25.027168352932012</v>
      </c>
      <c r="I18" s="133">
        <f>IF(SER_hh_tesh_in!I18=0,0,SER_hh_tesh_in!I18/SER_summary!I$27)</f>
        <v>24.034074177435937</v>
      </c>
      <c r="J18" s="133">
        <f>IF(SER_hh_tesh_in!J18=0,0,SER_hh_tesh_in!J18/SER_summary!J$27)</f>
        <v>23.417261708745336</v>
      </c>
      <c r="K18" s="133">
        <f>IF(SER_hh_tesh_in!K18=0,0,SER_hh_tesh_in!K18/SER_summary!K$27)</f>
        <v>23.060778133218108</v>
      </c>
      <c r="L18" s="133">
        <f>IF(SER_hh_tesh_in!L18=0,0,SER_hh_tesh_in!L18/SER_summary!L$27)</f>
        <v>23.812969388334984</v>
      </c>
      <c r="M18" s="133">
        <f>IF(SER_hh_tesh_in!M18=0,0,SER_hh_tesh_in!M18/SER_summary!M$27)</f>
        <v>23.327516571072351</v>
      </c>
      <c r="N18" s="133">
        <f>IF(SER_hh_tesh_in!N18=0,0,SER_hh_tesh_in!N18/SER_summary!N$27)</f>
        <v>25.822811420957891</v>
      </c>
      <c r="O18" s="133">
        <f>IF(SER_hh_tesh_in!O18=0,0,SER_hh_tesh_in!O18/SER_summary!O$27)</f>
        <v>26.162903508316589</v>
      </c>
      <c r="P18" s="133">
        <f>IF(SER_hh_tesh_in!P18=0,0,SER_hh_tesh_in!P18/SER_summary!P$27)</f>
        <v>20.818335646294955</v>
      </c>
      <c r="Q18" s="133">
        <f>IF(SER_hh_tesh_in!Q18=0,0,SER_hh_tesh_in!Q18/SER_summary!Q$27)</f>
        <v>25.4603093766817</v>
      </c>
      <c r="R18" s="133">
        <f>IF(SER_hh_tesh_in!R18=0,0,SER_hh_tesh_in!R18/SER_summary!R$27)</f>
        <v>20.477641940574202</v>
      </c>
      <c r="S18" s="133">
        <f>IF(SER_hh_tesh_in!S18=0,0,SER_hh_tesh_in!S18/SER_summary!S$27)</f>
        <v>24.189879024975944</v>
      </c>
      <c r="T18" s="133">
        <f>IF(SER_hh_tesh_in!T18=0,0,SER_hh_tesh_in!T18/SER_summary!T$27)</f>
        <v>20.662221235655888</v>
      </c>
      <c r="U18" s="133">
        <f>IF(SER_hh_tesh_in!U18=0,0,SER_hh_tesh_in!U18/SER_summary!U$27)</f>
        <v>21.534832947408038</v>
      </c>
      <c r="V18" s="133">
        <f>IF(SER_hh_tesh_in!V18=0,0,SER_hh_tesh_in!V18/SER_summary!V$27)</f>
        <v>18.368338146810277</v>
      </c>
      <c r="W18" s="133">
        <f>IF(SER_hh_tesh_in!W18=0,0,SER_hh_tesh_in!W18/SER_summary!W$27)</f>
        <v>18.782442806508428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13.837536900877273</v>
      </c>
      <c r="D19" s="131">
        <f>IF(SER_hh_tesh_in!D19=0,0,SER_hh_tesh_in!D19/SER_summary!D$27)</f>
        <v>13.580495392821849</v>
      </c>
      <c r="E19" s="131">
        <f>IF(SER_hh_tesh_in!E19=0,0,SER_hh_tesh_in!E19/SER_summary!E$27)</f>
        <v>13.601616858989825</v>
      </c>
      <c r="F19" s="131">
        <f>IF(SER_hh_tesh_in!F19=0,0,SER_hh_tesh_in!F19/SER_summary!F$27)</f>
        <v>13.110230871539009</v>
      </c>
      <c r="G19" s="131">
        <f>IF(SER_hh_tesh_in!G19=0,0,SER_hh_tesh_in!G19/SER_summary!G$27)</f>
        <v>13.195264831202053</v>
      </c>
      <c r="H19" s="131">
        <f>IF(SER_hh_tesh_in!H19=0,0,SER_hh_tesh_in!H19/SER_summary!H$27)</f>
        <v>13.088403774358683</v>
      </c>
      <c r="I19" s="131">
        <f>IF(SER_hh_tesh_in!I19=0,0,SER_hh_tesh_in!I19/SER_summary!I$27)</f>
        <v>12.536955660208109</v>
      </c>
      <c r="J19" s="131">
        <f>IF(SER_hh_tesh_in!J19=0,0,SER_hh_tesh_in!J19/SER_summary!J$27)</f>
        <v>12.620363997191633</v>
      </c>
      <c r="K19" s="131">
        <f>IF(SER_hh_tesh_in!K19=0,0,SER_hh_tesh_in!K19/SER_summary!K$27)</f>
        <v>12.641711820242353</v>
      </c>
      <c r="L19" s="131">
        <f>IF(SER_hh_tesh_in!L19=0,0,SER_hh_tesh_in!L19/SER_summary!L$27)</f>
        <v>12.51536588463491</v>
      </c>
      <c r="M19" s="131">
        <f>IF(SER_hh_tesh_in!M19=0,0,SER_hh_tesh_in!M19/SER_summary!M$27)</f>
        <v>13.180337804235139</v>
      </c>
      <c r="N19" s="131">
        <f>IF(SER_hh_tesh_in!N19=0,0,SER_hh_tesh_in!N19/SER_summary!N$27)</f>
        <v>13.039127733462035</v>
      </c>
      <c r="O19" s="131">
        <f>IF(SER_hh_tesh_in!O19=0,0,SER_hh_tesh_in!O19/SER_summary!O$27)</f>
        <v>13.41548472419634</v>
      </c>
      <c r="P19" s="131">
        <f>IF(SER_hh_tesh_in!P19=0,0,SER_hh_tesh_in!P19/SER_summary!P$27)</f>
        <v>13.944998089242354</v>
      </c>
      <c r="Q19" s="131">
        <f>IF(SER_hh_tesh_in!Q19=0,0,SER_hh_tesh_in!Q19/SER_summary!Q$27)</f>
        <v>14.344739140635557</v>
      </c>
      <c r="R19" s="131">
        <f>IF(SER_hh_tesh_in!R19=0,0,SER_hh_tesh_in!R19/SER_summary!R$27)</f>
        <v>13.216879406126088</v>
      </c>
      <c r="S19" s="131">
        <f>IF(SER_hh_tesh_in!S19=0,0,SER_hh_tesh_in!S19/SER_summary!S$27)</f>
        <v>13.779744131227533</v>
      </c>
      <c r="T19" s="131">
        <f>IF(SER_hh_tesh_in!T19=0,0,SER_hh_tesh_in!T19/SER_summary!T$27)</f>
        <v>14.655973159223986</v>
      </c>
      <c r="U19" s="131">
        <f>IF(SER_hh_tesh_in!U19=0,0,SER_hh_tesh_in!U19/SER_summary!U$27)</f>
        <v>14.191640559418621</v>
      </c>
      <c r="V19" s="131">
        <f>IF(SER_hh_tesh_in!V19=0,0,SER_hh_tesh_in!V19/SER_summary!V$27)</f>
        <v>13.743657933869683</v>
      </c>
      <c r="W19" s="131">
        <f>IF(SER_hh_tesh_in!W19=0,0,SER_hh_tesh_in!W19/SER_summary!W$27)</f>
        <v>13.857066540077481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13.146516608788129</v>
      </c>
      <c r="D21" s="133">
        <f>IF(SER_hh_tesh_in!D21=0,0,SER_hh_tesh_in!D21/SER_summary!D$27)</f>
        <v>14.063794794426064</v>
      </c>
      <c r="E21" s="133">
        <f>IF(SER_hh_tesh_in!E21=0,0,SER_hh_tesh_in!E21/SER_summary!E$27)</f>
        <v>13.674103190371683</v>
      </c>
      <c r="F21" s="133">
        <f>IF(SER_hh_tesh_in!F21=0,0,SER_hh_tesh_in!F21/SER_summary!F$27)</f>
        <v>13.328457849528263</v>
      </c>
      <c r="G21" s="133">
        <f>IF(SER_hh_tesh_in!G21=0,0,SER_hh_tesh_in!G21/SER_summary!G$27)</f>
        <v>13.117906518583963</v>
      </c>
      <c r="H21" s="133">
        <f>IF(SER_hh_tesh_in!H21=0,0,SER_hh_tesh_in!H21/SER_summary!H$27)</f>
        <v>12.912413048483739</v>
      </c>
      <c r="I21" s="133">
        <f>IF(SER_hh_tesh_in!I21=0,0,SER_hh_tesh_in!I21/SER_summary!I$27)</f>
        <v>12.881541981787265</v>
      </c>
      <c r="J21" s="133">
        <f>IF(SER_hh_tesh_in!J21=0,0,SER_hh_tesh_in!J21/SER_summary!J$27)</f>
        <v>12.494298944652444</v>
      </c>
      <c r="K21" s="133">
        <f>IF(SER_hh_tesh_in!K21=0,0,SER_hh_tesh_in!K21/SER_summary!K$27)</f>
        <v>12.646300663929759</v>
      </c>
      <c r="L21" s="133">
        <f>IF(SER_hh_tesh_in!L21=0,0,SER_hh_tesh_in!L21/SER_summary!L$27)</f>
        <v>13.170422811847271</v>
      </c>
      <c r="M21" s="133">
        <f>IF(SER_hh_tesh_in!M21=0,0,SER_hh_tesh_in!M21/SER_summary!M$27)</f>
        <v>12.501630095851677</v>
      </c>
      <c r="N21" s="133">
        <f>IF(SER_hh_tesh_in!N21=0,0,SER_hh_tesh_in!N21/SER_summary!N$27)</f>
        <v>13.274891772258004</v>
      </c>
      <c r="O21" s="133">
        <f>IF(SER_hh_tesh_in!O21=0,0,SER_hh_tesh_in!O21/SER_summary!O$27)</f>
        <v>13.344790540117121</v>
      </c>
      <c r="P21" s="133">
        <f>IF(SER_hh_tesh_in!P21=0,0,SER_hh_tesh_in!P21/SER_summary!P$27)</f>
        <v>0</v>
      </c>
      <c r="Q21" s="133">
        <f>IF(SER_hh_tesh_in!Q21=0,0,SER_hh_tesh_in!Q21/SER_summary!Q$27)</f>
        <v>13.64882643297357</v>
      </c>
      <c r="R21" s="133">
        <f>IF(SER_hh_tesh_in!R21=0,0,SER_hh_tesh_in!R21/SER_summary!R$27)</f>
        <v>10.647607397782643</v>
      </c>
      <c r="S21" s="133">
        <f>IF(SER_hh_tesh_in!S21=0,0,SER_hh_tesh_in!S21/SER_summary!S$27)</f>
        <v>12.050264516749753</v>
      </c>
      <c r="T21" s="133">
        <f>IF(SER_hh_tesh_in!T21=0,0,SER_hh_tesh_in!T21/SER_summary!T$27)</f>
        <v>16.083844337230616</v>
      </c>
      <c r="U21" s="133">
        <f>IF(SER_hh_tesh_in!U21=0,0,SER_hh_tesh_in!U21/SER_summary!U$27)</f>
        <v>18.779458677703566</v>
      </c>
      <c r="V21" s="133">
        <f>IF(SER_hh_tesh_in!V21=0,0,SER_hh_tesh_in!V21/SER_summary!V$27)</f>
        <v>14.89604879909626</v>
      </c>
      <c r="W21" s="133">
        <f>IF(SER_hh_tesh_in!W21=0,0,SER_hh_tesh_in!W21/SER_summary!W$27)</f>
        <v>11.494415525902586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14.534983177836278</v>
      </c>
      <c r="D22" s="133">
        <f>IF(SER_hh_tesh_in!D22=0,0,SER_hh_tesh_in!D22/SER_summary!D$27)</f>
        <v>12.919019661090411</v>
      </c>
      <c r="E22" s="133">
        <f>IF(SER_hh_tesh_in!E22=0,0,SER_hh_tesh_in!E22/SER_summary!E$27)</f>
        <v>13.944598181597232</v>
      </c>
      <c r="F22" s="133">
        <f>IF(SER_hh_tesh_in!F22=0,0,SER_hh_tesh_in!F22/SER_summary!F$27)</f>
        <v>13.525164006308424</v>
      </c>
      <c r="G22" s="133">
        <f>IF(SER_hh_tesh_in!G22=0,0,SER_hh_tesh_in!G22/SER_summary!G$27)</f>
        <v>13.225442054106013</v>
      </c>
      <c r="H22" s="133">
        <f>IF(SER_hh_tesh_in!H22=0,0,SER_hh_tesh_in!H22/SER_summary!H$27)</f>
        <v>13.009053218107926</v>
      </c>
      <c r="I22" s="133">
        <f>IF(SER_hh_tesh_in!I22=0,0,SER_hh_tesh_in!I22/SER_summary!I$27)</f>
        <v>12.967973912532287</v>
      </c>
      <c r="J22" s="133">
        <f>IF(SER_hh_tesh_in!J22=0,0,SER_hh_tesh_in!J22/SER_summary!J$27)</f>
        <v>12.33484428122115</v>
      </c>
      <c r="K22" s="133">
        <f>IF(SER_hh_tesh_in!K22=0,0,SER_hh_tesh_in!K22/SER_summary!K$27)</f>
        <v>12.855159243646472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15.214537361560685</v>
      </c>
      <c r="S22" s="133">
        <f>IF(SER_hh_tesh_in!S22=0,0,SER_hh_tesh_in!S22/SER_summary!S$27)</f>
        <v>12.652440332331246</v>
      </c>
      <c r="T22" s="133">
        <f>IF(SER_hh_tesh_in!T22=0,0,SER_hh_tesh_in!T22/SER_summary!T$27)</f>
        <v>14.850376700586915</v>
      </c>
      <c r="U22" s="133">
        <f>IF(SER_hh_tesh_in!U22=0,0,SER_hh_tesh_in!U22/SER_summary!U$27)</f>
        <v>12.861455991796406</v>
      </c>
      <c r="V22" s="133">
        <f>IF(SER_hh_tesh_in!V22=0,0,SER_hh_tesh_in!V22/SER_summary!V$27)</f>
        <v>14.388133150782259</v>
      </c>
      <c r="W22" s="133">
        <f>IF(SER_hh_tesh_in!W22=0,0,SER_hh_tesh_in!W22/SER_summary!W$27)</f>
        <v>13.547927280750145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14.105405650743995</v>
      </c>
      <c r="D23" s="133">
        <f>IF(SER_hh_tesh_in!D23=0,0,SER_hh_tesh_in!D23/SER_summary!D$27)</f>
        <v>13.548864485703984</v>
      </c>
      <c r="E23" s="133">
        <f>IF(SER_hh_tesh_in!E23=0,0,SER_hh_tesh_in!E23/SER_summary!E$27)</f>
        <v>13.363336848703305</v>
      </c>
      <c r="F23" s="133">
        <f>IF(SER_hh_tesh_in!F23=0,0,SER_hh_tesh_in!F23/SER_summary!F$27)</f>
        <v>13.365195721963616</v>
      </c>
      <c r="G23" s="133">
        <f>IF(SER_hh_tesh_in!G23=0,0,SER_hh_tesh_in!G23/SER_summary!G$27)</f>
        <v>13.171818335733869</v>
      </c>
      <c r="H23" s="133">
        <f>IF(SER_hh_tesh_in!H23=0,0,SER_hh_tesh_in!H23/SER_summary!H$27)</f>
        <v>12.660031627290278</v>
      </c>
      <c r="I23" s="133">
        <f>IF(SER_hh_tesh_in!I23=0,0,SER_hh_tesh_in!I23/SER_summary!I$27)</f>
        <v>12.151924047545242</v>
      </c>
      <c r="J23" s="133">
        <f>IF(SER_hh_tesh_in!J23=0,0,SER_hh_tesh_in!J23/SER_summary!J$27)</f>
        <v>11.307158362872526</v>
      </c>
      <c r="K23" s="133">
        <f>IF(SER_hh_tesh_in!K23=0,0,SER_hh_tesh_in!K23/SER_summary!K$27)</f>
        <v>13.895308704023108</v>
      </c>
      <c r="L23" s="133">
        <f>IF(SER_hh_tesh_in!L23=0,0,SER_hh_tesh_in!L23/SER_summary!L$27)</f>
        <v>13.627212706972587</v>
      </c>
      <c r="M23" s="133">
        <f>IF(SER_hh_tesh_in!M23=0,0,SER_hh_tesh_in!M23/SER_summary!M$27)</f>
        <v>12.965038727532802</v>
      </c>
      <c r="N23" s="133">
        <f>IF(SER_hh_tesh_in!N23=0,0,SER_hh_tesh_in!N23/SER_summary!N$27)</f>
        <v>13.099204018941721</v>
      </c>
      <c r="O23" s="133">
        <f>IF(SER_hh_tesh_in!O23=0,0,SER_hh_tesh_in!O23/SER_summary!O$27)</f>
        <v>13.353904419584785</v>
      </c>
      <c r="P23" s="133">
        <f>IF(SER_hh_tesh_in!P23=0,0,SER_hh_tesh_in!P23/SER_summary!P$27)</f>
        <v>13.46718062174862</v>
      </c>
      <c r="Q23" s="133">
        <f>IF(SER_hh_tesh_in!Q23=0,0,SER_hh_tesh_in!Q23/SER_summary!Q$27)</f>
        <v>13.021741155232284</v>
      </c>
      <c r="R23" s="133">
        <f>IF(SER_hh_tesh_in!R23=0,0,SER_hh_tesh_in!R23/SER_summary!R$27)</f>
        <v>16.931070530983181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16.625628621121006</v>
      </c>
      <c r="D25" s="133">
        <f>IF(SER_hh_tesh_in!D25=0,0,SER_hh_tesh_in!D25/SER_summary!D$27)</f>
        <v>14.332866298931737</v>
      </c>
      <c r="E25" s="133">
        <f>IF(SER_hh_tesh_in!E25=0,0,SER_hh_tesh_in!E25/SER_summary!E$27)</f>
        <v>12.997803228057046</v>
      </c>
      <c r="F25" s="133">
        <f>IF(SER_hh_tesh_in!F25=0,0,SER_hh_tesh_in!F25/SER_summary!F$27)</f>
        <v>13.700589937599698</v>
      </c>
      <c r="G25" s="133">
        <f>IF(SER_hh_tesh_in!G25=0,0,SER_hh_tesh_in!G25/SER_summary!G$27)</f>
        <v>13.553111160344443</v>
      </c>
      <c r="H25" s="133">
        <f>IF(SER_hh_tesh_in!H25=0,0,SER_hh_tesh_in!H25/SER_summary!H$27)</f>
        <v>12.025395770140983</v>
      </c>
      <c r="I25" s="133">
        <f>IF(SER_hh_tesh_in!I25=0,0,SER_hh_tesh_in!I25/SER_summary!I$27)</f>
        <v>12.441279822482349</v>
      </c>
      <c r="J25" s="133">
        <f>IF(SER_hh_tesh_in!J25=0,0,SER_hh_tesh_in!J25/SER_summary!J$27)</f>
        <v>11.184146148511118</v>
      </c>
      <c r="K25" s="133">
        <f>IF(SER_hh_tesh_in!K25=0,0,SER_hh_tesh_in!K25/SER_summary!K$27)</f>
        <v>11.930857524325628</v>
      </c>
      <c r="L25" s="133">
        <f>IF(SER_hh_tesh_in!L25=0,0,SER_hh_tesh_in!L25/SER_summary!L$27)</f>
        <v>12.827428192065469</v>
      </c>
      <c r="M25" s="133">
        <f>IF(SER_hh_tesh_in!M25=0,0,SER_hh_tesh_in!M25/SER_summary!M$27)</f>
        <v>13.227498482901245</v>
      </c>
      <c r="N25" s="133">
        <f>IF(SER_hh_tesh_in!N25=0,0,SER_hh_tesh_in!N25/SER_summary!N$27)</f>
        <v>13.283097663991345</v>
      </c>
      <c r="O25" s="133">
        <f>IF(SER_hh_tesh_in!O25=0,0,SER_hh_tesh_in!O25/SER_summary!O$27)</f>
        <v>13.522614357897366</v>
      </c>
      <c r="P25" s="133">
        <f>IF(SER_hh_tesh_in!P25=0,0,SER_hh_tesh_in!P25/SER_summary!P$27)</f>
        <v>14.119735155267557</v>
      </c>
      <c r="Q25" s="133">
        <f>IF(SER_hh_tesh_in!Q25=0,0,SER_hh_tesh_in!Q25/SER_summary!Q$27)</f>
        <v>13.78773347828308</v>
      </c>
      <c r="R25" s="133">
        <f>IF(SER_hh_tesh_in!R25=0,0,SER_hh_tesh_in!R25/SER_summary!R$27)</f>
        <v>12.733207714954572</v>
      </c>
      <c r="S25" s="133">
        <f>IF(SER_hh_tesh_in!S25=0,0,SER_hh_tesh_in!S25/SER_summary!S$27)</f>
        <v>14.542807498047715</v>
      </c>
      <c r="T25" s="133">
        <f>IF(SER_hh_tesh_in!T25=0,0,SER_hh_tesh_in!T25/SER_summary!T$27)</f>
        <v>15.26214451932241</v>
      </c>
      <c r="U25" s="133">
        <f>IF(SER_hh_tesh_in!U25=0,0,SER_hh_tesh_in!U25/SER_summary!U$27)</f>
        <v>13.1637539061474</v>
      </c>
      <c r="V25" s="133">
        <f>IF(SER_hh_tesh_in!V25=0,0,SER_hh_tesh_in!V25/SER_summary!V$27)</f>
        <v>13.364282350633301</v>
      </c>
      <c r="W25" s="133">
        <f>IF(SER_hh_tesh_in!W25=0,0,SER_hh_tesh_in!W25/SER_summary!W$27)</f>
        <v>14.799187824322388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11.767001817005799</v>
      </c>
      <c r="D26" s="65">
        <f>IF(SER_hh_tesh_in!D26=0,0,SER_hh_tesh_in!D26/SER_summary!D$27)</f>
        <v>14.282860768144882</v>
      </c>
      <c r="E26" s="65">
        <f>IF(SER_hh_tesh_in!E26=0,0,SER_hh_tesh_in!E26/SER_summary!E$27)</f>
        <v>12.506795839857254</v>
      </c>
      <c r="F26" s="65">
        <f>IF(SER_hh_tesh_in!F26=0,0,SER_hh_tesh_in!F26/SER_summary!F$27)</f>
        <v>12.049882424571821</v>
      </c>
      <c r="G26" s="65">
        <f>IF(SER_hh_tesh_in!G26=0,0,SER_hh_tesh_in!G26/SER_summary!G$27)</f>
        <v>13.189507796401887</v>
      </c>
      <c r="H26" s="65">
        <f>IF(SER_hh_tesh_in!H26=0,0,SER_hh_tesh_in!H26/SER_summary!H$27)</f>
        <v>13.316196217303576</v>
      </c>
      <c r="I26" s="65">
        <f>IF(SER_hh_tesh_in!I26=0,0,SER_hh_tesh_in!I26/SER_summary!I$27)</f>
        <v>11.753992483090686</v>
      </c>
      <c r="J26" s="65">
        <f>IF(SER_hh_tesh_in!J26=0,0,SER_hh_tesh_in!J26/SER_summary!J$27)</f>
        <v>13.398263740565836</v>
      </c>
      <c r="K26" s="65">
        <f>IF(SER_hh_tesh_in!K26=0,0,SER_hh_tesh_in!K26/SER_summary!K$27)</f>
        <v>12.69202358948686</v>
      </c>
      <c r="L26" s="65">
        <f>IF(SER_hh_tesh_in!L26=0,0,SER_hh_tesh_in!L26/SER_summary!L$27)</f>
        <v>11.917285542344333</v>
      </c>
      <c r="M26" s="65">
        <f>IF(SER_hh_tesh_in!M26=0,0,SER_hh_tesh_in!M26/SER_summary!M$27)</f>
        <v>13.307571742745706</v>
      </c>
      <c r="N26" s="65">
        <f>IF(SER_hh_tesh_in!N26=0,0,SER_hh_tesh_in!N26/SER_summary!N$27)</f>
        <v>12.840507755800409</v>
      </c>
      <c r="O26" s="65">
        <f>IF(SER_hh_tesh_in!O26=0,0,SER_hh_tesh_in!O26/SER_summary!O$27)</f>
        <v>13.394636145427347</v>
      </c>
      <c r="P26" s="65">
        <f>IF(SER_hh_tesh_in!P26=0,0,SER_hh_tesh_in!P26/SER_summary!P$27)</f>
        <v>13.927837702011502</v>
      </c>
      <c r="Q26" s="65">
        <f>IF(SER_hh_tesh_in!Q26=0,0,SER_hh_tesh_in!Q26/SER_summary!Q$27)</f>
        <v>14.599998971428821</v>
      </c>
      <c r="R26" s="65">
        <f>IF(SER_hh_tesh_in!R26=0,0,SER_hh_tesh_in!R26/SER_summary!R$27)</f>
        <v>14.9433734764708</v>
      </c>
      <c r="S26" s="65">
        <f>IF(SER_hh_tesh_in!S26=0,0,SER_hh_tesh_in!S26/SER_summary!S$27)</f>
        <v>14.866004983337067</v>
      </c>
      <c r="T26" s="65">
        <f>IF(SER_hh_tesh_in!T26=0,0,SER_hh_tesh_in!T26/SER_summary!T$27)</f>
        <v>12.339161562714661</v>
      </c>
      <c r="U26" s="65">
        <f>IF(SER_hh_tesh_in!U26=0,0,SER_hh_tesh_in!U26/SER_summary!U$27)</f>
        <v>12.952105489827225</v>
      </c>
      <c r="V26" s="65">
        <f>IF(SER_hh_tesh_in!V26=0,0,SER_hh_tesh_in!V26/SER_summary!V$27)</f>
        <v>12.911588529592962</v>
      </c>
      <c r="W26" s="65">
        <f>IF(SER_hh_tesh_in!W26=0,0,SER_hh_tesh_in!W26/SER_summary!W$27)</f>
        <v>13.965751768996364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18.228620537762328</v>
      </c>
      <c r="D29" s="131">
        <f>IF(SER_hh_tesh_in!D29=0,0,SER_hh_tesh_in!D29/SER_summary!D$27)</f>
        <v>18.998834207210386</v>
      </c>
      <c r="E29" s="131">
        <f>IF(SER_hh_tesh_in!E29=0,0,SER_hh_tesh_in!E29/SER_summary!E$27)</f>
        <v>18.637639941865416</v>
      </c>
      <c r="F29" s="131">
        <f>IF(SER_hh_tesh_in!F29=0,0,SER_hh_tesh_in!F29/SER_summary!F$27)</f>
        <v>16.066432297959722</v>
      </c>
      <c r="G29" s="131">
        <f>IF(SER_hh_tesh_in!G29=0,0,SER_hh_tesh_in!G29/SER_summary!G$27)</f>
        <v>16.456531507173349</v>
      </c>
      <c r="H29" s="131">
        <f>IF(SER_hh_tesh_in!H29=0,0,SER_hh_tesh_in!H29/SER_summary!H$27)</f>
        <v>16.370915349588884</v>
      </c>
      <c r="I29" s="131">
        <f>IF(SER_hh_tesh_in!I29=0,0,SER_hh_tesh_in!I29/SER_summary!I$27)</f>
        <v>19.014525299032801</v>
      </c>
      <c r="J29" s="131">
        <f>IF(SER_hh_tesh_in!J29=0,0,SER_hh_tesh_in!J29/SER_summary!J$27)</f>
        <v>14.94055605199779</v>
      </c>
      <c r="K29" s="131">
        <f>IF(SER_hh_tesh_in!K29=0,0,SER_hh_tesh_in!K29/SER_summary!K$27)</f>
        <v>15.251734473370254</v>
      </c>
      <c r="L29" s="131">
        <f>IF(SER_hh_tesh_in!L29=0,0,SER_hh_tesh_in!L29/SER_summary!L$27)</f>
        <v>15.67503594686964</v>
      </c>
      <c r="M29" s="131">
        <f>IF(SER_hh_tesh_in!M29=0,0,SER_hh_tesh_in!M29/SER_summary!M$27)</f>
        <v>17.24733479633742</v>
      </c>
      <c r="N29" s="131">
        <f>IF(SER_hh_tesh_in!N29=0,0,SER_hh_tesh_in!N29/SER_summary!N$27)</f>
        <v>15.249670277896104</v>
      </c>
      <c r="O29" s="131">
        <f>IF(SER_hh_tesh_in!O29=0,0,SER_hh_tesh_in!O29/SER_summary!O$27)</f>
        <v>16.216683830319809</v>
      </c>
      <c r="P29" s="131">
        <f>IF(SER_hh_tesh_in!P29=0,0,SER_hh_tesh_in!P29/SER_summary!P$27)</f>
        <v>17.030883589517373</v>
      </c>
      <c r="Q29" s="131">
        <f>IF(SER_hh_tesh_in!Q29=0,0,SER_hh_tesh_in!Q29/SER_summary!Q$27)</f>
        <v>17.436986767961109</v>
      </c>
      <c r="R29" s="131">
        <f>IF(SER_hh_tesh_in!R29=0,0,SER_hh_tesh_in!R29/SER_summary!R$27)</f>
        <v>17.422169384145192</v>
      </c>
      <c r="S29" s="131">
        <f>IF(SER_hh_tesh_in!S29=0,0,SER_hh_tesh_in!S29/SER_summary!S$27)</f>
        <v>17.926595435140555</v>
      </c>
      <c r="T29" s="131">
        <f>IF(SER_hh_tesh_in!T29=0,0,SER_hh_tesh_in!T29/SER_summary!T$27)</f>
        <v>19.035414263399371</v>
      </c>
      <c r="U29" s="131">
        <f>IF(SER_hh_tesh_in!U29=0,0,SER_hh_tesh_in!U29/SER_summary!U$27)</f>
        <v>19.784631413083567</v>
      </c>
      <c r="V29" s="131">
        <f>IF(SER_hh_tesh_in!V29=0,0,SER_hh_tesh_in!V29/SER_summary!V$27)</f>
        <v>17.904664964796677</v>
      </c>
      <c r="W29" s="131">
        <f>IF(SER_hh_tesh_in!W29=0,0,SER_hh_tesh_in!W29/SER_summary!W$27)</f>
        <v>18.649039335663744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15.026508854994926</v>
      </c>
      <c r="H30" s="133">
        <f>IF(SER_hh_tesh_in!H30=0,0,SER_hh_tesh_in!H30/SER_summary!H$27)</f>
        <v>10.275326925671205</v>
      </c>
      <c r="I30" s="133">
        <f>IF(SER_hh_tesh_in!I30=0,0,SER_hh_tesh_in!I30/SER_summary!I$27)</f>
        <v>21.903112318786238</v>
      </c>
      <c r="J30" s="133">
        <f>IF(SER_hh_tesh_in!J30=0,0,SER_hh_tesh_in!J30/SER_summary!J$27)</f>
        <v>13.31672962913472</v>
      </c>
      <c r="K30" s="133">
        <f>IF(SER_hh_tesh_in!K30=0,0,SER_hh_tesh_in!K30/SER_summary!K$27)</f>
        <v>14.815771108518369</v>
      </c>
      <c r="L30" s="133">
        <f>IF(SER_hh_tesh_in!L30=0,0,SER_hh_tesh_in!L30/SER_summary!L$27)</f>
        <v>20.17018931166119</v>
      </c>
      <c r="M30" s="133">
        <f>IF(SER_hh_tesh_in!M30=0,0,SER_hh_tesh_in!M30/SER_summary!M$27)</f>
        <v>0</v>
      </c>
      <c r="N30" s="133">
        <f>IF(SER_hh_tesh_in!N30=0,0,SER_hh_tesh_in!N30/SER_summary!N$27)</f>
        <v>18.849125142151721</v>
      </c>
      <c r="O30" s="133">
        <f>IF(SER_hh_tesh_in!O30=0,0,SER_hh_tesh_in!O30/SER_summary!O$27)</f>
        <v>0</v>
      </c>
      <c r="P30" s="133">
        <f>IF(SER_hh_tesh_in!P30=0,0,SER_hh_tesh_in!P30/SER_summary!P$27)</f>
        <v>16.154149579302896</v>
      </c>
      <c r="Q30" s="133">
        <f>IF(SER_hh_tesh_in!Q30=0,0,SER_hh_tesh_in!Q30/SER_summary!Q$27)</f>
        <v>18.646907275944656</v>
      </c>
      <c r="R30" s="133">
        <f>IF(SER_hh_tesh_in!R30=0,0,SER_hh_tesh_in!R30/SER_summary!R$27)</f>
        <v>16.003233099344317</v>
      </c>
      <c r="S30" s="133">
        <f>IF(SER_hh_tesh_in!S30=0,0,SER_hh_tesh_in!S30/SER_summary!S$27)</f>
        <v>16.771709150767727</v>
      </c>
      <c r="T30" s="133">
        <f>IF(SER_hh_tesh_in!T30=0,0,SER_hh_tesh_in!T30/SER_summary!T$27)</f>
        <v>18.885700293596908</v>
      </c>
      <c r="U30" s="133">
        <f>IF(SER_hh_tesh_in!U30=0,0,SER_hh_tesh_in!U30/SER_summary!U$27)</f>
        <v>22.119821034286165</v>
      </c>
      <c r="V30" s="133">
        <f>IF(SER_hh_tesh_in!V30=0,0,SER_hh_tesh_in!V30/SER_summary!V$27)</f>
        <v>18.695897087875025</v>
      </c>
      <c r="W30" s="133">
        <f>IF(SER_hh_tesh_in!W30=0,0,SER_hh_tesh_in!W30/SER_summary!W$27)</f>
        <v>13.88442808158249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22.771142037143218</v>
      </c>
      <c r="D31" s="133">
        <f>IF(SER_hh_tesh_in!D31=0,0,SER_hh_tesh_in!D31/SER_summary!D$27)</f>
        <v>20.763456225987522</v>
      </c>
      <c r="E31" s="133">
        <f>IF(SER_hh_tesh_in!E31=0,0,SER_hh_tesh_in!E31/SER_summary!E$27)</f>
        <v>17.255597849477166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17.976079518863873</v>
      </c>
      <c r="L31" s="133">
        <f>IF(SER_hh_tesh_in!L31=0,0,SER_hh_tesh_in!L31/SER_summary!L$27)</f>
        <v>16.245487050905222</v>
      </c>
      <c r="M31" s="133">
        <f>IF(SER_hh_tesh_in!M31=0,0,SER_hh_tesh_in!M31/SER_summary!M$27)</f>
        <v>15.412124210881508</v>
      </c>
      <c r="N31" s="133">
        <f>IF(SER_hh_tesh_in!N31=0,0,SER_hh_tesh_in!N31/SER_summary!N$27)</f>
        <v>12.853629390940519</v>
      </c>
      <c r="O31" s="133">
        <f>IF(SER_hh_tesh_in!O31=0,0,SER_hh_tesh_in!O31/SER_summary!O$27)</f>
        <v>14.842845407794973</v>
      </c>
      <c r="P31" s="133">
        <f>IF(SER_hh_tesh_in!P31=0,0,SER_hh_tesh_in!P31/SER_summary!P$27)</f>
        <v>18.063697142635693</v>
      </c>
      <c r="Q31" s="133">
        <f>IF(SER_hh_tesh_in!Q31=0,0,SER_hh_tesh_in!Q31/SER_summary!Q$27)</f>
        <v>17.95315087420752</v>
      </c>
      <c r="R31" s="133">
        <f>IF(SER_hh_tesh_in!R31=0,0,SER_hh_tesh_in!R31/SER_summary!R$27)</f>
        <v>23.153340402028171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13.677973417871097</v>
      </c>
      <c r="D33" s="68">
        <f>IF(SER_hh_tesh_in!D33=0,0,SER_hh_tesh_in!D33/SER_summary!D$27)</f>
        <v>18.724583360386021</v>
      </c>
      <c r="E33" s="68">
        <f>IF(SER_hh_tesh_in!E33=0,0,SER_hh_tesh_in!E33/SER_summary!E$27)</f>
        <v>18.744679970251326</v>
      </c>
      <c r="F33" s="68">
        <f>IF(SER_hh_tesh_in!F33=0,0,SER_hh_tesh_in!F33/SER_summary!F$27)</f>
        <v>16.066432297959722</v>
      </c>
      <c r="G33" s="68">
        <f>IF(SER_hh_tesh_in!G33=0,0,SER_hh_tesh_in!G33/SER_summary!G$27)</f>
        <v>16.693766003074035</v>
      </c>
      <c r="H33" s="68">
        <f>IF(SER_hh_tesh_in!H33=0,0,SER_hh_tesh_in!H33/SER_summary!H$27)</f>
        <v>18.035149537133464</v>
      </c>
      <c r="I33" s="68">
        <f>IF(SER_hh_tesh_in!I33=0,0,SER_hh_tesh_in!I33/SER_summary!I$27)</f>
        <v>13.65171011001131</v>
      </c>
      <c r="J33" s="68">
        <f>IF(SER_hh_tesh_in!J33=0,0,SER_hh_tesh_in!J33/SER_summary!J$27)</f>
        <v>16.160164972924818</v>
      </c>
      <c r="K33" s="68">
        <f>IF(SER_hh_tesh_in!K33=0,0,SER_hh_tesh_in!K33/SER_summary!K$27)</f>
        <v>15.330924959581445</v>
      </c>
      <c r="L33" s="68">
        <f>IF(SER_hh_tesh_in!L33=0,0,SER_hh_tesh_in!L33/SER_summary!L$27)</f>
        <v>13.739113087379454</v>
      </c>
      <c r="M33" s="68">
        <f>IF(SER_hh_tesh_in!M33=0,0,SER_hh_tesh_in!M33/SER_summary!M$27)</f>
        <v>17.38060553896954</v>
      </c>
      <c r="N33" s="68">
        <f>IF(SER_hh_tesh_in!N33=0,0,SER_hh_tesh_in!N33/SER_summary!N$27)</f>
        <v>15.826370428155487</v>
      </c>
      <c r="O33" s="68">
        <f>IF(SER_hh_tesh_in!O33=0,0,SER_hh_tesh_in!O33/SER_summary!O$27)</f>
        <v>16.753246968880038</v>
      </c>
      <c r="P33" s="68">
        <f>IF(SER_hh_tesh_in!P33=0,0,SER_hh_tesh_in!P33/SER_summary!P$27)</f>
        <v>16.576970158460192</v>
      </c>
      <c r="Q33" s="68">
        <f>IF(SER_hh_tesh_in!Q33=0,0,SER_hh_tesh_in!Q33/SER_summary!Q$27)</f>
        <v>17.260718853565816</v>
      </c>
      <c r="R33" s="68">
        <f>IF(SER_hh_tesh_in!R33=0,0,SER_hh_tesh_in!R33/SER_summary!R$27)</f>
        <v>17.629690055468345</v>
      </c>
      <c r="S33" s="68">
        <f>IF(SER_hh_tesh_in!S33=0,0,SER_hh_tesh_in!S33/SER_summary!S$27)</f>
        <v>18.681205270549444</v>
      </c>
      <c r="T33" s="68">
        <f>IF(SER_hh_tesh_in!T33=0,0,SER_hh_tesh_in!T33/SER_summary!T$27)</f>
        <v>19.163384912212997</v>
      </c>
      <c r="U33" s="68">
        <f>IF(SER_hh_tesh_in!U33=0,0,SER_hh_tesh_in!U33/SER_summary!U$27)</f>
        <v>17.844270207151624</v>
      </c>
      <c r="V33" s="68">
        <f>IF(SER_hh_tesh_in!V33=0,0,SER_hh_tesh_in!V33/SER_summary!V$27)</f>
        <v>17.634398867807811</v>
      </c>
      <c r="W33" s="68">
        <f>IF(SER_hh_tesh_in!W33=0,0,SER_hh_tesh_in!W33/SER_summary!W$27)</f>
        <v>19.547573381714678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79.762093441076843</v>
      </c>
      <c r="D3" s="126">
        <f>IF(SER_hh_emih_in!D3=0,0,SER_hh_emih_in!D3/SER_summary!D$27)</f>
        <v>56.39517059326662</v>
      </c>
      <c r="E3" s="126">
        <f>IF(SER_hh_emih_in!E3=0,0,SER_hh_emih_in!E3/SER_summary!E$27)</f>
        <v>48.134088144200661</v>
      </c>
      <c r="F3" s="126">
        <f>IF(SER_hh_emih_in!F3=0,0,SER_hh_emih_in!F3/SER_summary!F$27)</f>
        <v>36.139534809943221</v>
      </c>
      <c r="G3" s="126">
        <f>IF(SER_hh_emih_in!G3=0,0,SER_hh_emih_in!G3/SER_summary!G$27)</f>
        <v>31.330707919038797</v>
      </c>
      <c r="H3" s="126">
        <f>IF(SER_hh_emih_in!H3=0,0,SER_hh_emih_in!H3/SER_summary!H$27)</f>
        <v>17.966116234825002</v>
      </c>
      <c r="I3" s="126">
        <f>IF(SER_hh_emih_in!I3=0,0,SER_hh_emih_in!I3/SER_summary!I$27)</f>
        <v>15.993344581910186</v>
      </c>
      <c r="J3" s="126">
        <f>IF(SER_hh_emih_in!J3=0,0,SER_hh_emih_in!J3/SER_summary!J$27)</f>
        <v>24.800315708768942</v>
      </c>
      <c r="K3" s="126">
        <f>IF(SER_hh_emih_in!K3=0,0,SER_hh_emih_in!K3/SER_summary!K$27)</f>
        <v>16.730183616477522</v>
      </c>
      <c r="L3" s="126">
        <f>IF(SER_hh_emih_in!L3=0,0,SER_hh_emih_in!L3/SER_summary!L$27)</f>
        <v>6.3343154937878206</v>
      </c>
      <c r="M3" s="126">
        <f>IF(SER_hh_emih_in!M3=0,0,SER_hh_emih_in!M3/SER_summary!M$27)</f>
        <v>7.2366996109182313</v>
      </c>
      <c r="N3" s="126">
        <f>IF(SER_hh_emih_in!N3=0,0,SER_hh_emih_in!N3/SER_summary!N$27)</f>
        <v>1.8946288239344284</v>
      </c>
      <c r="O3" s="126">
        <f>IF(SER_hh_emih_in!O3=0,0,SER_hh_emih_in!O3/SER_summary!O$27)</f>
        <v>8.0897964632757517</v>
      </c>
      <c r="P3" s="126">
        <f>IF(SER_hh_emih_in!P3=0,0,SER_hh_emih_in!P3/SER_summary!P$27)</f>
        <v>8.9785882570150655</v>
      </c>
      <c r="Q3" s="126">
        <f>IF(SER_hh_emih_in!Q3=0,0,SER_hh_emih_in!Q3/SER_summary!Q$27)</f>
        <v>11.532488059047054</v>
      </c>
      <c r="R3" s="126">
        <f>IF(SER_hh_emih_in!R3=0,0,SER_hh_emih_in!R3/SER_summary!R$27)</f>
        <v>11.610049319127484</v>
      </c>
      <c r="S3" s="126">
        <f>IF(SER_hh_emih_in!S3=0,0,SER_hh_emih_in!S3/SER_summary!S$27)</f>
        <v>6.7003704811794327</v>
      </c>
      <c r="T3" s="126">
        <f>IF(SER_hh_emih_in!T3=0,0,SER_hh_emih_in!T3/SER_summary!T$27)</f>
        <v>11.527040205436858</v>
      </c>
      <c r="U3" s="126">
        <f>IF(SER_hh_emih_in!U3=0,0,SER_hh_emih_in!U3/SER_summary!U$27)</f>
        <v>10.473328869424627</v>
      </c>
      <c r="V3" s="126">
        <f>IF(SER_hh_emih_in!V3=0,0,SER_hh_emih_in!V3/SER_summary!V$27)</f>
        <v>8.5331655927434635</v>
      </c>
      <c r="W3" s="126">
        <f>IF(SER_hh_emih_in!W3=0,0,SER_hh_emih_in!W3/SER_summary!W$27)</f>
        <v>5.9827898404421314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71.907399750636102</v>
      </c>
      <c r="D4" s="131">
        <f>IF(SER_hh_emih_in!D4=0,0,SER_hh_emih_in!D4/SER_summary!D$27)</f>
        <v>50.768388304231941</v>
      </c>
      <c r="E4" s="131">
        <f>IF(SER_hh_emih_in!E4=0,0,SER_hh_emih_in!E4/SER_summary!E$27)</f>
        <v>42.822224794845937</v>
      </c>
      <c r="F4" s="131">
        <f>IF(SER_hh_emih_in!F4=0,0,SER_hh_emih_in!F4/SER_summary!F$27)</f>
        <v>31.722786331125061</v>
      </c>
      <c r="G4" s="131">
        <f>IF(SER_hh_emih_in!G4=0,0,SER_hh_emih_in!G4/SER_summary!G$27)</f>
        <v>26.752648705114225</v>
      </c>
      <c r="H4" s="131">
        <f>IF(SER_hh_emih_in!H4=0,0,SER_hh_emih_in!H4/SER_summary!H$27)</f>
        <v>13.433834590910665</v>
      </c>
      <c r="I4" s="131">
        <f>IF(SER_hh_emih_in!I4=0,0,SER_hh_emih_in!I4/SER_summary!I$27)</f>
        <v>6.9419088249452168</v>
      </c>
      <c r="J4" s="131">
        <f>IF(SER_hh_emih_in!J4=0,0,SER_hh_emih_in!J4/SER_summary!J$27)</f>
        <v>20.337182040071252</v>
      </c>
      <c r="K4" s="131">
        <f>IF(SER_hh_emih_in!K4=0,0,SER_hh_emih_in!K4/SER_summary!K$27)</f>
        <v>12.714526384535789</v>
      </c>
      <c r="L4" s="131">
        <f>IF(SER_hh_emih_in!L4=0,0,SER_hh_emih_in!L4/SER_summary!L$27)</f>
        <v>2.8832329868513069</v>
      </c>
      <c r="M4" s="131">
        <f>IF(SER_hh_emih_in!M4=0,0,SER_hh_emih_in!M4/SER_summary!M$27)</f>
        <v>6.2555248316044922</v>
      </c>
      <c r="N4" s="131">
        <f>IF(SER_hh_emih_in!N4=0,0,SER_hh_emih_in!N4/SER_summary!N$27)</f>
        <v>0.26381393792091551</v>
      </c>
      <c r="O4" s="131">
        <f>IF(SER_hh_emih_in!O4=0,0,SER_hh_emih_in!O4/SER_summary!O$27)</f>
        <v>6.17549907736033</v>
      </c>
      <c r="P4" s="131">
        <f>IF(SER_hh_emih_in!P4=0,0,SER_hh_emih_in!P4/SER_summary!P$27)</f>
        <v>7.155295900503349</v>
      </c>
      <c r="Q4" s="131">
        <f>IF(SER_hh_emih_in!Q4=0,0,SER_hh_emih_in!Q4/SER_summary!Q$27)</f>
        <v>9.766250164569632</v>
      </c>
      <c r="R4" s="131">
        <f>IF(SER_hh_emih_in!R4=0,0,SER_hh_emih_in!R4/SER_summary!R$27)</f>
        <v>8.4202356417490947</v>
      </c>
      <c r="S4" s="131">
        <f>IF(SER_hh_emih_in!S4=0,0,SER_hh_emih_in!S4/SER_summary!S$27)</f>
        <v>2.742336300533359</v>
      </c>
      <c r="T4" s="131">
        <f>IF(SER_hh_emih_in!T4=0,0,SER_hh_emih_in!T4/SER_summary!T$27)</f>
        <v>5.5535222971518756</v>
      </c>
      <c r="U4" s="131">
        <f>IF(SER_hh_emih_in!U4=0,0,SER_hh_emih_in!U4/SER_summary!U$27)</f>
        <v>4.6779221266672071</v>
      </c>
      <c r="V4" s="131">
        <f>IF(SER_hh_emih_in!V4=0,0,SER_hh_emih_in!V4/SER_summary!V$27)</f>
        <v>4.571097568841318</v>
      </c>
      <c r="W4" s="131">
        <f>IF(SER_hh_emih_in!W4=0,0,SER_hh_emih_in!W4/SER_summary!W$27)</f>
        <v>3.7928864014994441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106.76301555715291</v>
      </c>
      <c r="D7" s="133">
        <f>IF(SER_hh_emih_in!D7=0,0,SER_hh_emih_in!D7/SER_summary!D$27)</f>
        <v>83.402543662878529</v>
      </c>
      <c r="E7" s="133">
        <f>IF(SER_hh_emih_in!E7=0,0,SER_hh_emih_in!E7/SER_summary!E$27)</f>
        <v>56.574895744199111</v>
      </c>
      <c r="F7" s="133">
        <f>IF(SER_hh_emih_in!F7=0,0,SER_hh_emih_in!F7/SER_summary!F$27)</f>
        <v>52.514815200412585</v>
      </c>
      <c r="G7" s="133">
        <f>IF(SER_hh_emih_in!G7=0,0,SER_hh_emih_in!G7/SER_summary!G$27)</f>
        <v>46.200617414001037</v>
      </c>
      <c r="H7" s="133">
        <f>IF(SER_hh_emih_in!H7=0,0,SER_hh_emih_in!H7/SER_summary!H$27)</f>
        <v>36.247943868835769</v>
      </c>
      <c r="I7" s="133">
        <f>IF(SER_hh_emih_in!I7=0,0,SER_hh_emih_in!I7/SER_summary!I$27)</f>
        <v>20.995837874007591</v>
      </c>
      <c r="J7" s="133">
        <f>IF(SER_hh_emih_in!J7=0,0,SER_hh_emih_in!J7/SER_summary!J$27)</f>
        <v>36.841027528853402</v>
      </c>
      <c r="K7" s="133">
        <f>IF(SER_hh_emih_in!K7=0,0,SER_hh_emih_in!K7/SER_summary!K$27)</f>
        <v>33.8094828877975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21.798695508483139</v>
      </c>
      <c r="S7" s="133">
        <f>IF(SER_hh_emih_in!S7=0,0,SER_hh_emih_in!S7/SER_summary!S$27)</f>
        <v>16.893502999086895</v>
      </c>
      <c r="T7" s="133">
        <f>IF(SER_hh_emih_in!T7=0,0,SER_hh_emih_in!T7/SER_summary!T$27)</f>
        <v>17.937889769157483</v>
      </c>
      <c r="U7" s="133">
        <f>IF(SER_hh_emih_in!U7=0,0,SER_hh_emih_in!U7/SER_summary!U$27)</f>
        <v>14.781752082693405</v>
      </c>
      <c r="V7" s="133">
        <f>IF(SER_hh_emih_in!V7=0,0,SER_hh_emih_in!V7/SER_summary!V$27)</f>
        <v>16.104694910392105</v>
      </c>
      <c r="W7" s="133">
        <f>IF(SER_hh_emih_in!W7=0,0,SER_hh_emih_in!W7/SER_summary!W$27)</f>
        <v>10.011800902771135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73.497526106959683</v>
      </c>
      <c r="D9" s="133">
        <f>IF(SER_hh_emih_in!D9=0,0,SER_hh_emih_in!D9/SER_summary!D$27)</f>
        <v>71.143955857935538</v>
      </c>
      <c r="E9" s="133">
        <f>IF(SER_hh_emih_in!E9=0,0,SER_hh_emih_in!E9/SER_summary!E$27)</f>
        <v>33.11729059417528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18.139371498699361</v>
      </c>
      <c r="L9" s="133">
        <f>IF(SER_hh_emih_in!L9=0,0,SER_hh_emih_in!L9/SER_summary!L$27)</f>
        <v>21.546995614871353</v>
      </c>
      <c r="M9" s="133">
        <f>IF(SER_hh_emih_in!M9=0,0,SER_hh_emih_in!M9/SER_summary!M$27)</f>
        <v>31.042142966334456</v>
      </c>
      <c r="N9" s="133">
        <f>IF(SER_hh_emih_in!N9=0,0,SER_hh_emih_in!N9/SER_summary!N$27)</f>
        <v>7.6606267631726732</v>
      </c>
      <c r="O9" s="133">
        <f>IF(SER_hh_emih_in!O9=0,0,SER_hh_emih_in!O9/SER_summary!O$27)</f>
        <v>16.164254039428528</v>
      </c>
      <c r="P9" s="133">
        <f>IF(SER_hh_emih_in!P9=0,0,SER_hh_emih_in!P9/SER_summary!P$27)</f>
        <v>13.065255859293121</v>
      </c>
      <c r="Q9" s="133">
        <f>IF(SER_hh_emih_in!Q9=0,0,SER_hh_emih_in!Q9/SER_summary!Q$27)</f>
        <v>15.070014654736164</v>
      </c>
      <c r="R9" s="133">
        <f>IF(SER_hh_emih_in!R9=0,0,SER_hh_emih_in!R9/SER_summary!R$27)</f>
        <v>18.054084935251339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6.7137239450873381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4.1349006742806251</v>
      </c>
      <c r="D19" s="131">
        <f>IF(SER_hh_emih_in!D19=0,0,SER_hh_emih_in!D19/SER_summary!D$27)</f>
        <v>4.7148744802099598</v>
      </c>
      <c r="E19" s="131">
        <f>IF(SER_hh_emih_in!E19=0,0,SER_hh_emih_in!E19/SER_summary!E$27)</f>
        <v>4.9113034629608014</v>
      </c>
      <c r="F19" s="131">
        <f>IF(SER_hh_emih_in!F19=0,0,SER_hh_emih_in!F19/SER_summary!F$27)</f>
        <v>4.4167484788181559</v>
      </c>
      <c r="G19" s="131">
        <f>IF(SER_hh_emih_in!G19=0,0,SER_hh_emih_in!G19/SER_summary!G$27)</f>
        <v>3.7798866775205497</v>
      </c>
      <c r="H19" s="131">
        <f>IF(SER_hh_emih_in!H19=0,0,SER_hh_emih_in!H19/SER_summary!H$27)</f>
        <v>3.7104012265717636</v>
      </c>
      <c r="I19" s="131">
        <f>IF(SER_hh_emih_in!I19=0,0,SER_hh_emih_in!I19/SER_summary!I$27)</f>
        <v>3.7472990278307829</v>
      </c>
      <c r="J19" s="131">
        <f>IF(SER_hh_emih_in!J19=0,0,SER_hh_emih_in!J19/SER_summary!J$27)</f>
        <v>2.336839050714528</v>
      </c>
      <c r="K19" s="131">
        <f>IF(SER_hh_emih_in!K19=0,0,SER_hh_emih_in!K19/SER_summary!K$27)</f>
        <v>1.2732897348875609</v>
      </c>
      <c r="L19" s="131">
        <f>IF(SER_hh_emih_in!L19=0,0,SER_hh_emih_in!L19/SER_summary!L$27)</f>
        <v>1.0283305531754625</v>
      </c>
      <c r="M19" s="131">
        <f>IF(SER_hh_emih_in!M19=0,0,SER_hh_emih_in!M19/SER_summary!M$27)</f>
        <v>0.65668343914642247</v>
      </c>
      <c r="N19" s="131">
        <f>IF(SER_hh_emih_in!N19=0,0,SER_hh_emih_in!N19/SER_summary!N$27)</f>
        <v>0.87123385938262998</v>
      </c>
      <c r="O19" s="131">
        <f>IF(SER_hh_emih_in!O19=0,0,SER_hh_emih_in!O19/SER_summary!O$27)</f>
        <v>0.62805659012326231</v>
      </c>
      <c r="P19" s="131">
        <f>IF(SER_hh_emih_in!P19=0,0,SER_hh_emih_in!P19/SER_summary!P$27)</f>
        <v>8.7632268529149585E-2</v>
      </c>
      <c r="Q19" s="131">
        <f>IF(SER_hh_emih_in!Q19=0,0,SER_hh_emih_in!Q19/SER_summary!Q$27)</f>
        <v>0.37784702244674306</v>
      </c>
      <c r="R19" s="131">
        <f>IF(SER_hh_emih_in!R19=0,0,SER_hh_emih_in!R19/SER_summary!R$27)</f>
        <v>2.0282364186282553</v>
      </c>
      <c r="S19" s="131">
        <f>IF(SER_hh_emih_in!S19=0,0,SER_hh_emih_in!S19/SER_summary!S$27)</f>
        <v>1.5143181260443226</v>
      </c>
      <c r="T19" s="131">
        <f>IF(SER_hh_emih_in!T19=0,0,SER_hh_emih_in!T19/SER_summary!T$27)</f>
        <v>2.7817556153609493</v>
      </c>
      <c r="U19" s="131">
        <f>IF(SER_hh_emih_in!U19=0,0,SER_hh_emih_in!U19/SER_summary!U$27)</f>
        <v>2.1343197488118015</v>
      </c>
      <c r="V19" s="131">
        <f>IF(SER_hh_emih_in!V19=0,0,SER_hh_emih_in!V19/SER_summary!V$27)</f>
        <v>2.2349062251163843</v>
      </c>
      <c r="W19" s="131">
        <f>IF(SER_hh_emih_in!W19=0,0,SER_hh_emih_in!W19/SER_summary!W$27)</f>
        <v>1.3943478434936996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5.1265353235764444</v>
      </c>
      <c r="D21" s="133">
        <f>IF(SER_hh_emih_in!D21=0,0,SER_hh_emih_in!D21/SER_summary!D$27)</f>
        <v>5.4648907795820261</v>
      </c>
      <c r="E21" s="133">
        <f>IF(SER_hh_emih_in!E21=0,0,SER_hh_emih_in!E21/SER_summary!E$27)</f>
        <v>5.2917137744606144</v>
      </c>
      <c r="F21" s="133">
        <f>IF(SER_hh_emih_in!F21=0,0,SER_hh_emih_in!F21/SER_summary!F$27)</f>
        <v>5.1365191181680787</v>
      </c>
      <c r="G21" s="133">
        <f>IF(SER_hh_emih_in!G21=0,0,SER_hh_emih_in!G21/SER_summary!G$27)</f>
        <v>5.0317840330163603</v>
      </c>
      <c r="H21" s="133">
        <f>IF(SER_hh_emih_in!H21=0,0,SER_hh_emih_in!H21/SER_summary!H$27)</f>
        <v>4.9276213523310082</v>
      </c>
      <c r="I21" s="133">
        <f>IF(SER_hh_emih_in!I21=0,0,SER_hh_emih_in!I21/SER_summary!I$27)</f>
        <v>4.8879799363073815</v>
      </c>
      <c r="J21" s="133">
        <f>IF(SER_hh_emih_in!J21=0,0,SER_hh_emih_in!J21/SER_summary!J$27)</f>
        <v>4.7094870692158093</v>
      </c>
      <c r="K21" s="133">
        <f>IF(SER_hh_emih_in!K21=0,0,SER_hh_emih_in!K21/SER_summary!K$27)</f>
        <v>4.7286617119870229</v>
      </c>
      <c r="L21" s="133">
        <f>IF(SER_hh_emih_in!L21=0,0,SER_hh_emih_in!L21/SER_summary!L$27)</f>
        <v>4.8783280583560229</v>
      </c>
      <c r="M21" s="133">
        <f>IF(SER_hh_emih_in!M21=0,0,SER_hh_emih_in!M21/SER_summary!M$27)</f>
        <v>4.5407949117064215</v>
      </c>
      <c r="N21" s="133">
        <f>IF(SER_hh_emih_in!N21=0,0,SER_hh_emih_in!N21/SER_summary!N$27)</f>
        <v>4.6706234188243796</v>
      </c>
      <c r="O21" s="133">
        <f>IF(SER_hh_emih_in!O21=0,0,SER_hh_emih_in!O21/SER_summary!O$27)</f>
        <v>4.4883146196242745</v>
      </c>
      <c r="P21" s="133">
        <f>IF(SER_hh_emih_in!P21=0,0,SER_hh_emih_in!P21/SER_summary!P$27)</f>
        <v>0</v>
      </c>
      <c r="Q21" s="133">
        <f>IF(SER_hh_emih_in!Q21=0,0,SER_hh_emih_in!Q21/SER_summary!Q$27)</f>
        <v>4.1639967166584722</v>
      </c>
      <c r="R21" s="133">
        <f>IF(SER_hh_emih_in!R21=0,0,SER_hh_emih_in!R21/SER_summary!R$27)</f>
        <v>3.1542482048855081</v>
      </c>
      <c r="S21" s="133">
        <f>IF(SER_hh_emih_in!S21=0,0,SER_hh_emih_in!S21/SER_summary!S$27)</f>
        <v>3.4727940378645776</v>
      </c>
      <c r="T21" s="133">
        <f>IF(SER_hh_emih_in!T21=0,0,SER_hh_emih_in!T21/SER_summary!T$27)</f>
        <v>4.5239365205639315</v>
      </c>
      <c r="U21" s="133">
        <f>IF(SER_hh_emih_in!U21=0,0,SER_hh_emih_in!U21/SER_summary!U$27)</f>
        <v>5.1785128072831341</v>
      </c>
      <c r="V21" s="133">
        <f>IF(SER_hh_emih_in!V21=0,0,SER_hh_emih_in!V21/SER_summary!V$27)</f>
        <v>4.0500427349966417</v>
      </c>
      <c r="W21" s="133">
        <f>IF(SER_hh_emih_in!W21=0,0,SER_hh_emih_in!W21/SER_summary!W$27)</f>
        <v>3.1047024750894683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7.0756451488454113</v>
      </c>
      <c r="D22" s="133">
        <f>IF(SER_hh_emih_in!D22=0,0,SER_hh_emih_in!D22/SER_summary!D$27)</f>
        <v>6.2708058674459286</v>
      </c>
      <c r="E22" s="133">
        <f>IF(SER_hh_emih_in!E22=0,0,SER_hh_emih_in!E22/SER_summary!E$27)</f>
        <v>6.7314306954784842</v>
      </c>
      <c r="F22" s="133">
        <f>IF(SER_hh_emih_in!F22=0,0,SER_hh_emih_in!F22/SER_summary!F$27)</f>
        <v>6.4865702790105759</v>
      </c>
      <c r="G22" s="133">
        <f>IF(SER_hh_emih_in!G22=0,0,SER_hh_emih_in!G22/SER_summary!G$27)</f>
        <v>6.3111091407960664</v>
      </c>
      <c r="H22" s="133">
        <f>IF(SER_hh_emih_in!H22=0,0,SER_hh_emih_in!H22/SER_summary!H$27)</f>
        <v>6.1736043373016694</v>
      </c>
      <c r="I22" s="133">
        <f>IF(SER_hh_emih_in!I22=0,0,SER_hh_emih_in!I22/SER_summary!I$27)</f>
        <v>6.1158101106404876</v>
      </c>
      <c r="J22" s="133">
        <f>IF(SER_hh_emih_in!J22=0,0,SER_hh_emih_in!J22/SER_summary!J$27)</f>
        <v>5.7770710010677631</v>
      </c>
      <c r="K22" s="133">
        <f>IF(SER_hh_emih_in!K22=0,0,SER_hh_emih_in!K22/SER_summary!K$27)</f>
        <v>5.9692563874296933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5.5188247595968418</v>
      </c>
      <c r="S22" s="133">
        <f>IF(SER_hh_emih_in!S22=0,0,SER_hh_emih_in!S22/SER_summary!S$27)</f>
        <v>4.4599399452674113</v>
      </c>
      <c r="T22" s="133">
        <f>IF(SER_hh_emih_in!T22=0,0,SER_hh_emih_in!T22/SER_summary!T$27)</f>
        <v>5.1025639749266078</v>
      </c>
      <c r="U22" s="133">
        <f>IF(SER_hh_emih_in!U22=0,0,SER_hh_emih_in!U22/SER_summary!U$27)</f>
        <v>4.3279440952839074</v>
      </c>
      <c r="V22" s="133">
        <f>IF(SER_hh_emih_in!V22=0,0,SER_hh_emih_in!V22/SER_summary!V$27)</f>
        <v>4.7709256932421917</v>
      </c>
      <c r="W22" s="133">
        <f>IF(SER_hh_emih_in!W22=0,0,SER_hh_emih_in!W22/SER_summary!W$27)</f>
        <v>4.4607361814592172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4.6838693675621128</v>
      </c>
      <c r="D23" s="133">
        <f>IF(SER_hh_emih_in!D23=0,0,SER_hh_emih_in!D23/SER_summary!D$27)</f>
        <v>4.461519966838444</v>
      </c>
      <c r="E23" s="133">
        <f>IF(SER_hh_emih_in!E23=0,0,SER_hh_emih_in!E23/SER_summary!E$27)</f>
        <v>4.3132597763601215</v>
      </c>
      <c r="F23" s="133">
        <f>IF(SER_hh_emih_in!F23=0,0,SER_hh_emih_in!F23/SER_summary!F$27)</f>
        <v>4.2554239669517786</v>
      </c>
      <c r="G23" s="133">
        <f>IF(SER_hh_emih_in!G23=0,0,SER_hh_emih_in!G23/SER_summary!G$27)</f>
        <v>4.0326904168082933</v>
      </c>
      <c r="H23" s="133">
        <f>IF(SER_hh_emih_in!H23=0,0,SER_hh_emih_in!H23/SER_summary!H$27)</f>
        <v>3.6850248519106628</v>
      </c>
      <c r="I23" s="133">
        <f>IF(SER_hh_emih_in!I23=0,0,SER_hh_emih_in!I23/SER_summary!I$27)</f>
        <v>3.3512426911703601</v>
      </c>
      <c r="J23" s="133">
        <f>IF(SER_hh_emih_in!J23=0,0,SER_hh_emih_in!J23/SER_summary!J$27)</f>
        <v>3.0452228883686083</v>
      </c>
      <c r="K23" s="133">
        <f>IF(SER_hh_emih_in!K23=0,0,SER_hh_emih_in!K23/SER_summary!K$27)</f>
        <v>3.8877911133869834</v>
      </c>
      <c r="L23" s="133">
        <f>IF(SER_hh_emih_in!L23=0,0,SER_hh_emih_in!L23/SER_summary!L$27)</f>
        <v>3.791560077146205</v>
      </c>
      <c r="M23" s="133">
        <f>IF(SER_hh_emih_in!M23=0,0,SER_hh_emih_in!M23/SER_summary!M$27)</f>
        <v>3.6826059853860271</v>
      </c>
      <c r="N23" s="133">
        <f>IF(SER_hh_emih_in!N23=0,0,SER_hh_emih_in!N23/SER_summary!N$27)</f>
        <v>3.3023392067026789</v>
      </c>
      <c r="O23" s="133">
        <f>IF(SER_hh_emih_in!O23=0,0,SER_hh_emih_in!O23/SER_summary!O$27)</f>
        <v>3.5349332428398652</v>
      </c>
      <c r="P23" s="133">
        <f>IF(SER_hh_emih_in!P23=0,0,SER_hh_emih_in!P23/SER_summary!P$27)</f>
        <v>3.4766510232849219</v>
      </c>
      <c r="Q23" s="133">
        <f>IF(SER_hh_emih_in!Q23=0,0,SER_hh_emih_in!Q23/SER_summary!Q$27)</f>
        <v>3.3007915750364791</v>
      </c>
      <c r="R23" s="133">
        <f>IF(SER_hh_emih_in!R23=0,0,SER_hh_emih_in!R23/SER_summary!R$27)</f>
        <v>4.2449713433149157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3.7197930161601462</v>
      </c>
      <c r="D29" s="131">
        <f>IF(SER_hh_emih_in!D29=0,0,SER_hh_emih_in!D29/SER_summary!D$27)</f>
        <v>0.91190780882470046</v>
      </c>
      <c r="E29" s="131">
        <f>IF(SER_hh_emih_in!E29=0,0,SER_hh_emih_in!E29/SER_summary!E$27)</f>
        <v>0.40055988639392603</v>
      </c>
      <c r="F29" s="131">
        <f>IF(SER_hh_emih_in!F29=0,0,SER_hh_emih_in!F29/SER_summary!F$27)</f>
        <v>0</v>
      </c>
      <c r="G29" s="131">
        <f>IF(SER_hh_emih_in!G29=0,0,SER_hh_emih_in!G29/SER_summary!G$27)</f>
        <v>0.79817253640402241</v>
      </c>
      <c r="H29" s="131">
        <f>IF(SER_hh_emih_in!H29=0,0,SER_hh_emih_in!H29/SER_summary!H$27)</f>
        <v>0.82188041734257467</v>
      </c>
      <c r="I29" s="131">
        <f>IF(SER_hh_emih_in!I29=0,0,SER_hh_emih_in!I29/SER_summary!I$27)</f>
        <v>5.3041367291341865</v>
      </c>
      <c r="J29" s="131">
        <f>IF(SER_hh_emih_in!J29=0,0,SER_hh_emih_in!J29/SER_summary!J$27)</f>
        <v>2.1262946179831599</v>
      </c>
      <c r="K29" s="131">
        <f>IF(SER_hh_emih_in!K29=0,0,SER_hh_emih_in!K29/SER_summary!K$27)</f>
        <v>2.742367497054174</v>
      </c>
      <c r="L29" s="131">
        <f>IF(SER_hh_emih_in!L29=0,0,SER_hh_emih_in!L29/SER_summary!L$27)</f>
        <v>2.4227519537610513</v>
      </c>
      <c r="M29" s="131">
        <f>IF(SER_hh_emih_in!M29=0,0,SER_hh_emih_in!M29/SER_summary!M$27)</f>
        <v>0.32449134016731629</v>
      </c>
      <c r="N29" s="131">
        <f>IF(SER_hh_emih_in!N29=0,0,SER_hh_emih_in!N29/SER_summary!N$27)</f>
        <v>0.75958102663088256</v>
      </c>
      <c r="O29" s="131">
        <f>IF(SER_hh_emih_in!O29=0,0,SER_hh_emih_in!O29/SER_summary!O$27)</f>
        <v>1.2862407957921591</v>
      </c>
      <c r="P29" s="131">
        <f>IF(SER_hh_emih_in!P29=0,0,SER_hh_emih_in!P29/SER_summary!P$27)</f>
        <v>1.7356600879825683</v>
      </c>
      <c r="Q29" s="131">
        <f>IF(SER_hh_emih_in!Q29=0,0,SER_hh_emih_in!Q29/SER_summary!Q$27)</f>
        <v>1.3883908720306772</v>
      </c>
      <c r="R29" s="131">
        <f>IF(SER_hh_emih_in!R29=0,0,SER_hh_emih_in!R29/SER_summary!R$27)</f>
        <v>1.1615772587501316</v>
      </c>
      <c r="S29" s="131">
        <f>IF(SER_hh_emih_in!S29=0,0,SER_hh_emih_in!S29/SER_summary!S$27)</f>
        <v>2.4437160546017505</v>
      </c>
      <c r="T29" s="131">
        <f>IF(SER_hh_emih_in!T29=0,0,SER_hh_emih_in!T29/SER_summary!T$27)</f>
        <v>3.191762292924031</v>
      </c>
      <c r="U29" s="131">
        <f>IF(SER_hh_emih_in!U29=0,0,SER_hh_emih_in!U29/SER_summary!U$27)</f>
        <v>3.6610869939456179</v>
      </c>
      <c r="V29" s="131">
        <f>IF(SER_hh_emih_in!V29=0,0,SER_hh_emih_in!V29/SER_summary!V$27)</f>
        <v>1.7271617987857619</v>
      </c>
      <c r="W29" s="131">
        <f>IF(SER_hh_emih_in!W29=0,0,SER_hh_emih_in!W29/SER_summary!W$27)</f>
        <v>0.79555559544898813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5.6094661177653382</v>
      </c>
      <c r="H30" s="133">
        <f>IF(SER_hh_emih_in!H30=0,0,SER_hh_emih_in!H30/SER_summary!H$27)</f>
        <v>3.8321807676734214</v>
      </c>
      <c r="I30" s="133">
        <f>IF(SER_hh_emih_in!I30=0,0,SER_hh_emih_in!I30/SER_summary!I$27)</f>
        <v>8.1611176182276299</v>
      </c>
      <c r="J30" s="133">
        <f>IF(SER_hh_emih_in!J30=0,0,SER_hh_emih_in!J30/SER_summary!J$27)</f>
        <v>4.9573114498772464</v>
      </c>
      <c r="K30" s="133">
        <f>IF(SER_hh_emih_in!K30=0,0,SER_hh_emih_in!K30/SER_summary!K$27)</f>
        <v>5.5105264527583131</v>
      </c>
      <c r="L30" s="133">
        <f>IF(SER_hh_emih_in!L30=0,0,SER_hh_emih_in!L30/SER_summary!L$27)</f>
        <v>7.4957562893467902</v>
      </c>
      <c r="M30" s="133">
        <f>IF(SER_hh_emih_in!M30=0,0,SER_hh_emih_in!M30/SER_summary!M$27)</f>
        <v>0</v>
      </c>
      <c r="N30" s="133">
        <f>IF(SER_hh_emih_in!N30=0,0,SER_hh_emih_in!N30/SER_summary!N$27)</f>
        <v>7.0016641898635168</v>
      </c>
      <c r="O30" s="133">
        <f>IF(SER_hh_emih_in!O30=0,0,SER_hh_emih_in!O30/SER_summary!O$27)</f>
        <v>0</v>
      </c>
      <c r="P30" s="133">
        <f>IF(SER_hh_emih_in!P30=0,0,SER_hh_emih_in!P30/SER_summary!P$27)</f>
        <v>6.0005931189967301</v>
      </c>
      <c r="Q30" s="133">
        <f>IF(SER_hh_emih_in!Q30=0,0,SER_hh_emih_in!Q30/SER_summary!Q$27)</f>
        <v>6.9265486828203615</v>
      </c>
      <c r="R30" s="133">
        <f>IF(SER_hh_emih_in!R30=0,0,SER_hh_emih_in!R30/SER_summary!R$27)</f>
        <v>5.9276880079676459</v>
      </c>
      <c r="S30" s="133">
        <f>IF(SER_hh_emih_in!S30=0,0,SER_hh_emih_in!S30/SER_summary!S$27)</f>
        <v>6.183680764751597</v>
      </c>
      <c r="T30" s="133">
        <f>IF(SER_hh_emih_in!T30=0,0,SER_hh_emih_in!T30/SER_summary!T$27)</f>
        <v>6.9258326283443621</v>
      </c>
      <c r="U30" s="133">
        <f>IF(SER_hh_emih_in!U30=0,0,SER_hh_emih_in!U30/SER_summary!U$27)</f>
        <v>8.0671389828460303</v>
      </c>
      <c r="V30" s="133">
        <f>IF(SER_hh_emih_in!V30=0,0,SER_hh_emih_in!V30/SER_summary!V$27)</f>
        <v>6.7836076948071158</v>
      </c>
      <c r="W30" s="133">
        <f>IF(SER_hh_emih_in!W30=0,0,SER_hh_emih_in!W30/SER_summary!W$27)</f>
        <v>5.0141082034251836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7.432943982161266</v>
      </c>
      <c r="D31" s="133">
        <f>IF(SER_hh_emih_in!D31=0,0,SER_hh_emih_in!D31/SER_summary!D$27)</f>
        <v>6.7794287925516503</v>
      </c>
      <c r="E31" s="133">
        <f>IF(SER_hh_emih_in!E31=0,0,SER_hh_emih_in!E31/SER_summary!E$27)</f>
        <v>5.5723692727182952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5.3387878119797207</v>
      </c>
      <c r="L31" s="133">
        <f>IF(SER_hh_emih_in!L31=0,0,SER_hh_emih_in!L31/SER_summary!L$27)</f>
        <v>4.8561101117407279</v>
      </c>
      <c r="M31" s="133">
        <f>IF(SER_hh_emih_in!M31=0,0,SER_hh_emih_in!M31/SER_summary!M$27)</f>
        <v>4.7929135204780788</v>
      </c>
      <c r="N31" s="133">
        <f>IF(SER_hh_emih_in!N31=0,0,SER_hh_emih_in!N31/SER_summary!N$27)</f>
        <v>3.6454564899113611</v>
      </c>
      <c r="O31" s="133">
        <f>IF(SER_hh_emih_in!O31=0,0,SER_hh_emih_in!O31/SER_summary!O$27)</f>
        <v>4.5795848570704933</v>
      </c>
      <c r="P31" s="133">
        <f>IF(SER_hh_emih_in!P31=0,0,SER_hh_emih_in!P31/SER_summary!P$27)</f>
        <v>5.6555057223855343</v>
      </c>
      <c r="Q31" s="133">
        <f>IF(SER_hh_emih_in!Q31=0,0,SER_hh_emih_in!Q31/SER_summary!Q$27)</f>
        <v>5.7100467717959695</v>
      </c>
      <c r="R31" s="133">
        <f>IF(SER_hh_emih_in!R31=0,0,SER_hh_emih_in!R31/SER_summary!R$27)</f>
        <v>7.4178269976239823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85.785185818555647</v>
      </c>
      <c r="C3" s="180">
        <f t="shared" ref="C3:W3" si="1">SUM(C4:C9)</f>
        <v>89.608523828277981</v>
      </c>
      <c r="D3" s="180">
        <f t="shared" si="1"/>
        <v>94.822865188865919</v>
      </c>
      <c r="E3" s="180">
        <f t="shared" si="1"/>
        <v>97.153424282494399</v>
      </c>
      <c r="F3" s="180">
        <f t="shared" si="1"/>
        <v>102.3773864295988</v>
      </c>
      <c r="G3" s="180">
        <f t="shared" si="1"/>
        <v>106.45583571722797</v>
      </c>
      <c r="H3" s="180">
        <f t="shared" si="1"/>
        <v>112.18980801480771</v>
      </c>
      <c r="I3" s="180">
        <f t="shared" si="1"/>
        <v>118.55061258113153</v>
      </c>
      <c r="J3" s="180">
        <f t="shared" si="1"/>
        <v>124.52004270494614</v>
      </c>
      <c r="K3" s="180">
        <f t="shared" si="1"/>
        <v>127.05430601402182</v>
      </c>
      <c r="L3" s="180">
        <f t="shared" si="1"/>
        <v>129.74647987606448</v>
      </c>
      <c r="M3" s="180">
        <f t="shared" si="1"/>
        <v>131.73373567811751</v>
      </c>
      <c r="N3" s="180">
        <f t="shared" si="1"/>
        <v>132.70630072976886</v>
      </c>
      <c r="O3" s="180">
        <f t="shared" si="1"/>
        <v>134.90112803294912</v>
      </c>
      <c r="P3" s="180">
        <f t="shared" si="1"/>
        <v>137.64243787295104</v>
      </c>
      <c r="Q3" s="180">
        <f t="shared" si="1"/>
        <v>140.81583857768101</v>
      </c>
      <c r="R3" s="180">
        <f t="shared" si="1"/>
        <v>143.45545133199559</v>
      </c>
      <c r="S3" s="180">
        <f t="shared" si="1"/>
        <v>141.15705786490463</v>
      </c>
      <c r="T3" s="180">
        <f t="shared" si="1"/>
        <v>141.4126882120886</v>
      </c>
      <c r="U3" s="180">
        <f t="shared" si="1"/>
        <v>140.6714131083649</v>
      </c>
      <c r="V3" s="180">
        <f t="shared" si="1"/>
        <v>129.58989307752091</v>
      </c>
      <c r="W3" s="180">
        <f t="shared" si="1"/>
        <v>131.16482315940681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4.3676494747538648</v>
      </c>
      <c r="C4" s="181">
        <f t="shared" ref="C4:R9" si="3">C12*C44/11630</f>
        <v>4.4654699872218213</v>
      </c>
      <c r="D4" s="181">
        <f t="shared" si="3"/>
        <v>4.6383855148040389</v>
      </c>
      <c r="E4" s="181">
        <f t="shared" si="3"/>
        <v>4.7519202378823007</v>
      </c>
      <c r="F4" s="181">
        <f t="shared" si="3"/>
        <v>4.94589680867929</v>
      </c>
      <c r="G4" s="181">
        <f t="shared" si="3"/>
        <v>5.1124455350252234</v>
      </c>
      <c r="H4" s="181">
        <f t="shared" si="3"/>
        <v>5.3862369811370243</v>
      </c>
      <c r="I4" s="181">
        <f t="shared" si="3"/>
        <v>5.7165182977501923</v>
      </c>
      <c r="J4" s="181">
        <f t="shared" si="3"/>
        <v>5.9716785871429803</v>
      </c>
      <c r="K4" s="181">
        <f t="shared" si="3"/>
        <v>6.0778377679211841</v>
      </c>
      <c r="L4" s="181">
        <f t="shared" si="3"/>
        <v>6.2383834337719613</v>
      </c>
      <c r="M4" s="181">
        <f t="shared" si="3"/>
        <v>6.3519180299929969</v>
      </c>
      <c r="N4" s="181">
        <f t="shared" si="3"/>
        <v>6.4418630429607981</v>
      </c>
      <c r="O4" s="181">
        <f t="shared" si="3"/>
        <v>6.5376452105728902</v>
      </c>
      <c r="P4" s="181">
        <f t="shared" si="3"/>
        <v>6.6880708582399562</v>
      </c>
      <c r="Q4" s="181">
        <f t="shared" si="3"/>
        <v>6.8107797617775327</v>
      </c>
      <c r="R4" s="181">
        <f t="shared" si="3"/>
        <v>6.944436177225108</v>
      </c>
      <c r="S4" s="181">
        <f t="shared" ref="D4:W9" si="4">S12*S44/11630</f>
        <v>7.1013905121328493</v>
      </c>
      <c r="T4" s="181">
        <f t="shared" si="4"/>
        <v>7.255281948593626</v>
      </c>
      <c r="U4" s="181">
        <f t="shared" si="4"/>
        <v>7.4179289488441187</v>
      </c>
      <c r="V4" s="181">
        <f t="shared" si="4"/>
        <v>7.5425129258362569</v>
      </c>
      <c r="W4" s="181">
        <f t="shared" si="4"/>
        <v>7.6669077635648071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10.752080374934977</v>
      </c>
      <c r="C5" s="181">
        <f t="shared" si="3"/>
        <v>11.004117286590976</v>
      </c>
      <c r="D5" s="181">
        <f t="shared" si="4"/>
        <v>11.28644482086233</v>
      </c>
      <c r="E5" s="181">
        <f t="shared" si="4"/>
        <v>11.565206031810511</v>
      </c>
      <c r="F5" s="181">
        <f t="shared" si="4"/>
        <v>11.872456476395641</v>
      </c>
      <c r="G5" s="181">
        <f t="shared" si="4"/>
        <v>12.138469956803506</v>
      </c>
      <c r="H5" s="181">
        <f t="shared" si="4"/>
        <v>12.386217295796152</v>
      </c>
      <c r="I5" s="181">
        <f t="shared" si="4"/>
        <v>12.548238174795229</v>
      </c>
      <c r="J5" s="181">
        <f t="shared" si="4"/>
        <v>12.787189550991197</v>
      </c>
      <c r="K5" s="181">
        <f t="shared" si="4"/>
        <v>13.012102665232893</v>
      </c>
      <c r="L5" s="181">
        <f t="shared" si="4"/>
        <v>13.191869460336088</v>
      </c>
      <c r="M5" s="181">
        <f t="shared" si="4"/>
        <v>13.392333532271769</v>
      </c>
      <c r="N5" s="181">
        <f t="shared" si="4"/>
        <v>13.631084544011131</v>
      </c>
      <c r="O5" s="181">
        <f t="shared" si="4"/>
        <v>13.879229245307581</v>
      </c>
      <c r="P5" s="181">
        <f t="shared" si="4"/>
        <v>14.153799500864279</v>
      </c>
      <c r="Q5" s="181">
        <f t="shared" si="4"/>
        <v>14.474072264473998</v>
      </c>
      <c r="R5" s="181">
        <f t="shared" si="4"/>
        <v>14.76363098867321</v>
      </c>
      <c r="S5" s="181">
        <f t="shared" si="4"/>
        <v>14.367583637033741</v>
      </c>
      <c r="T5" s="181">
        <f t="shared" si="4"/>
        <v>14.127594928637937</v>
      </c>
      <c r="U5" s="181">
        <f t="shared" si="4"/>
        <v>13.911507510036088</v>
      </c>
      <c r="V5" s="181">
        <f t="shared" si="4"/>
        <v>13.575362274459916</v>
      </c>
      <c r="W5" s="181">
        <f t="shared" si="4"/>
        <v>13.252099929424228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33.093859058461689</v>
      </c>
      <c r="C6" s="181">
        <f t="shared" si="3"/>
        <v>33.922540601962481</v>
      </c>
      <c r="D6" s="181">
        <f t="shared" si="4"/>
        <v>35.01271937330597</v>
      </c>
      <c r="E6" s="181">
        <f t="shared" si="4"/>
        <v>35.902730181621806</v>
      </c>
      <c r="F6" s="181">
        <f t="shared" si="4"/>
        <v>37.321854876388066</v>
      </c>
      <c r="G6" s="181">
        <f t="shared" si="4"/>
        <v>38.364305717165891</v>
      </c>
      <c r="H6" s="181">
        <f t="shared" si="4"/>
        <v>39.913833898662332</v>
      </c>
      <c r="I6" s="181">
        <f t="shared" si="4"/>
        <v>42.216380120190102</v>
      </c>
      <c r="J6" s="181">
        <f t="shared" si="4"/>
        <v>43.624591073693331</v>
      </c>
      <c r="K6" s="181">
        <f t="shared" si="4"/>
        <v>44.071621687144841</v>
      </c>
      <c r="L6" s="181">
        <f t="shared" si="4"/>
        <v>44.809337851062054</v>
      </c>
      <c r="M6" s="181">
        <f t="shared" si="4"/>
        <v>45.411793275573558</v>
      </c>
      <c r="N6" s="181">
        <f t="shared" si="4"/>
        <v>45.777531792861986</v>
      </c>
      <c r="O6" s="181">
        <f t="shared" si="4"/>
        <v>45.783915060722265</v>
      </c>
      <c r="P6" s="181">
        <f t="shared" si="4"/>
        <v>46.341906389888848</v>
      </c>
      <c r="Q6" s="181">
        <f t="shared" si="4"/>
        <v>46.789096506500655</v>
      </c>
      <c r="R6" s="181">
        <f t="shared" si="4"/>
        <v>45.965852965264844</v>
      </c>
      <c r="S6" s="181">
        <f t="shared" si="4"/>
        <v>43.236765266137866</v>
      </c>
      <c r="T6" s="181">
        <f t="shared" si="4"/>
        <v>41.23107649604637</v>
      </c>
      <c r="U6" s="181">
        <f t="shared" si="4"/>
        <v>39.533007377450133</v>
      </c>
      <c r="V6" s="181">
        <f t="shared" si="4"/>
        <v>32.874609073201853</v>
      </c>
      <c r="W6" s="181">
        <f t="shared" si="4"/>
        <v>32.519835253651102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19.588900296557775</v>
      </c>
      <c r="C7" s="181">
        <f t="shared" si="3"/>
        <v>20.21420437375177</v>
      </c>
      <c r="D7" s="181">
        <f t="shared" si="4"/>
        <v>20.820905529523785</v>
      </c>
      <c r="E7" s="181">
        <f t="shared" si="4"/>
        <v>21.390017744772777</v>
      </c>
      <c r="F7" s="181">
        <f t="shared" si="4"/>
        <v>22.004315725513028</v>
      </c>
      <c r="G7" s="181">
        <f t="shared" si="4"/>
        <v>22.717451630546861</v>
      </c>
      <c r="H7" s="181">
        <f t="shared" si="4"/>
        <v>23.45340225255298</v>
      </c>
      <c r="I7" s="181">
        <f t="shared" si="4"/>
        <v>24.000536635972431</v>
      </c>
      <c r="J7" s="181">
        <f t="shared" si="4"/>
        <v>24.28110205849616</v>
      </c>
      <c r="K7" s="181">
        <f t="shared" si="4"/>
        <v>24.746731812716007</v>
      </c>
      <c r="L7" s="181">
        <f t="shared" si="4"/>
        <v>25.134150638250492</v>
      </c>
      <c r="M7" s="181">
        <f t="shared" si="4"/>
        <v>25.139095881640824</v>
      </c>
      <c r="N7" s="181">
        <f t="shared" si="4"/>
        <v>25.234867014135201</v>
      </c>
      <c r="O7" s="181">
        <f t="shared" si="4"/>
        <v>25.370534152798669</v>
      </c>
      <c r="P7" s="181">
        <f t="shared" si="4"/>
        <v>25.563779231087942</v>
      </c>
      <c r="Q7" s="181">
        <f t="shared" si="4"/>
        <v>25.897630922333637</v>
      </c>
      <c r="R7" s="181">
        <f t="shared" si="4"/>
        <v>25.919551307468254</v>
      </c>
      <c r="S7" s="181">
        <f t="shared" si="4"/>
        <v>25.963486239456941</v>
      </c>
      <c r="T7" s="181">
        <f t="shared" si="4"/>
        <v>26.072760702996863</v>
      </c>
      <c r="U7" s="181">
        <f t="shared" si="4"/>
        <v>26.114068803452689</v>
      </c>
      <c r="V7" s="181">
        <f t="shared" si="4"/>
        <v>26.112733310267171</v>
      </c>
      <c r="W7" s="181">
        <f t="shared" si="4"/>
        <v>26.067377861628977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6.8225139027734718</v>
      </c>
      <c r="C8" s="55">
        <f t="shared" si="3"/>
        <v>7.3947106728807404</v>
      </c>
      <c r="D8" s="55">
        <f t="shared" si="4"/>
        <v>8.1065847096007051</v>
      </c>
      <c r="E8" s="55">
        <f t="shared" si="4"/>
        <v>8.7891405895448322</v>
      </c>
      <c r="F8" s="55">
        <f t="shared" si="4"/>
        <v>9.7342305492372798</v>
      </c>
      <c r="G8" s="55">
        <f t="shared" si="4"/>
        <v>11.026026759343649</v>
      </c>
      <c r="H8" s="55">
        <f t="shared" si="4"/>
        <v>13.090923881871712</v>
      </c>
      <c r="I8" s="55">
        <f t="shared" si="4"/>
        <v>15.126221275598031</v>
      </c>
      <c r="J8" s="55">
        <f t="shared" si="4"/>
        <v>16.789543734129815</v>
      </c>
      <c r="K8" s="55">
        <f t="shared" si="4"/>
        <v>17.816436997113239</v>
      </c>
      <c r="L8" s="55">
        <f t="shared" si="4"/>
        <v>18.351424448018417</v>
      </c>
      <c r="M8" s="55">
        <f t="shared" si="4"/>
        <v>18.562381768306292</v>
      </c>
      <c r="N8" s="55">
        <f t="shared" si="4"/>
        <v>18.690495381360837</v>
      </c>
      <c r="O8" s="55">
        <f t="shared" si="4"/>
        <v>18.731570258052233</v>
      </c>
      <c r="P8" s="55">
        <f t="shared" si="4"/>
        <v>18.913930298381697</v>
      </c>
      <c r="Q8" s="55">
        <f t="shared" si="4"/>
        <v>18.895756753317084</v>
      </c>
      <c r="R8" s="55">
        <f t="shared" si="4"/>
        <v>19.767570917977668</v>
      </c>
      <c r="S8" s="55">
        <f t="shared" si="4"/>
        <v>19.589161407127314</v>
      </c>
      <c r="T8" s="55">
        <f t="shared" si="4"/>
        <v>19.794316690984552</v>
      </c>
      <c r="U8" s="55">
        <f t="shared" si="4"/>
        <v>20.266002692056723</v>
      </c>
      <c r="V8" s="55">
        <f t="shared" si="4"/>
        <v>18.392416342855107</v>
      </c>
      <c r="W8" s="55">
        <f t="shared" si="4"/>
        <v>19.553784504006284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11.160182711073876</v>
      </c>
      <c r="C9" s="63">
        <f t="shared" si="3"/>
        <v>12.607480905870208</v>
      </c>
      <c r="D9" s="63">
        <f t="shared" si="4"/>
        <v>14.957825240769083</v>
      </c>
      <c r="E9" s="63">
        <f t="shared" si="4"/>
        <v>14.754409496862184</v>
      </c>
      <c r="F9" s="63">
        <f t="shared" si="4"/>
        <v>16.498631993385509</v>
      </c>
      <c r="G9" s="63">
        <f t="shared" si="4"/>
        <v>17.097136118342831</v>
      </c>
      <c r="H9" s="63">
        <f t="shared" si="4"/>
        <v>17.959193704787513</v>
      </c>
      <c r="I9" s="63">
        <f t="shared" si="4"/>
        <v>18.942718076825539</v>
      </c>
      <c r="J9" s="63">
        <f t="shared" si="4"/>
        <v>21.065937700492658</v>
      </c>
      <c r="K9" s="63">
        <f t="shared" si="4"/>
        <v>21.329575083893651</v>
      </c>
      <c r="L9" s="63">
        <f t="shared" si="4"/>
        <v>22.021314044625466</v>
      </c>
      <c r="M9" s="63">
        <f t="shared" si="4"/>
        <v>22.876213190332059</v>
      </c>
      <c r="N9" s="63">
        <f t="shared" si="4"/>
        <v>22.930458954438915</v>
      </c>
      <c r="O9" s="63">
        <f t="shared" si="4"/>
        <v>24.598234105495486</v>
      </c>
      <c r="P9" s="63">
        <f t="shared" si="4"/>
        <v>25.98095159448831</v>
      </c>
      <c r="Q9" s="63">
        <f t="shared" si="4"/>
        <v>27.948502369278106</v>
      </c>
      <c r="R9" s="63">
        <f t="shared" si="4"/>
        <v>30.094408975386518</v>
      </c>
      <c r="S9" s="63">
        <f t="shared" si="4"/>
        <v>30.8986708030159</v>
      </c>
      <c r="T9" s="63">
        <f t="shared" si="4"/>
        <v>32.931657444829241</v>
      </c>
      <c r="U9" s="63">
        <f t="shared" si="4"/>
        <v>33.42889777652514</v>
      </c>
      <c r="V9" s="63">
        <f t="shared" si="4"/>
        <v>31.092259150900631</v>
      </c>
      <c r="W9" s="63">
        <f t="shared" si="4"/>
        <v>32.104817847131407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393.04034884957559</v>
      </c>
      <c r="C11" s="180">
        <f t="shared" ref="C11:W11" si="6">SUM(C12:C17)</f>
        <v>413.78806507201358</v>
      </c>
      <c r="D11" s="180">
        <f t="shared" si="6"/>
        <v>442.8622851469521</v>
      </c>
      <c r="E11" s="180">
        <f t="shared" si="6"/>
        <v>452.94213444194935</v>
      </c>
      <c r="F11" s="180">
        <f t="shared" si="6"/>
        <v>481.70565766857749</v>
      </c>
      <c r="G11" s="180">
        <f t="shared" si="6"/>
        <v>505.19584795716565</v>
      </c>
      <c r="H11" s="180">
        <f t="shared" si="6"/>
        <v>542.62326921376962</v>
      </c>
      <c r="I11" s="180">
        <f t="shared" si="6"/>
        <v>583.49510325805556</v>
      </c>
      <c r="J11" s="180">
        <f t="shared" si="6"/>
        <v>622.20457639727238</v>
      </c>
      <c r="K11" s="180">
        <f t="shared" si="6"/>
        <v>637.76019688468114</v>
      </c>
      <c r="L11" s="180">
        <f t="shared" si="6"/>
        <v>650.46736363118282</v>
      </c>
      <c r="M11" s="180">
        <f t="shared" si="6"/>
        <v>659.26879272077338</v>
      </c>
      <c r="N11" s="180">
        <f t="shared" si="6"/>
        <v>662.08303250589313</v>
      </c>
      <c r="O11" s="180">
        <f t="shared" si="6"/>
        <v>671.55627664155418</v>
      </c>
      <c r="P11" s="180">
        <f t="shared" si="6"/>
        <v>683.76696723711609</v>
      </c>
      <c r="Q11" s="180">
        <f t="shared" si="6"/>
        <v>696.34084622036232</v>
      </c>
      <c r="R11" s="180">
        <f t="shared" si="6"/>
        <v>702.77170674702768</v>
      </c>
      <c r="S11" s="180">
        <f t="shared" si="6"/>
        <v>708.02108132944534</v>
      </c>
      <c r="T11" s="180">
        <f t="shared" si="6"/>
        <v>716.97606995714568</v>
      </c>
      <c r="U11" s="180">
        <f t="shared" si="6"/>
        <v>712.8879120768504</v>
      </c>
      <c r="V11" s="180">
        <f t="shared" si="6"/>
        <v>703.29309909847041</v>
      </c>
      <c r="W11" s="180">
        <f t="shared" si="6"/>
        <v>690.88061454265778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5.7986031268707139</v>
      </c>
      <c r="C12" s="181">
        <f t="shared" ref="C12:W12" si="7">C20*C52</f>
        <v>5.9284721405696086</v>
      </c>
      <c r="D12" s="181">
        <f t="shared" si="7"/>
        <v>6.1580392165720275</v>
      </c>
      <c r="E12" s="181">
        <f t="shared" si="7"/>
        <v>6.3087708181017303</v>
      </c>
      <c r="F12" s="181">
        <f t="shared" si="7"/>
        <v>6.5662990736233029</v>
      </c>
      <c r="G12" s="181">
        <f t="shared" si="7"/>
        <v>6.7874134215003821</v>
      </c>
      <c r="H12" s="181">
        <f t="shared" si="7"/>
        <v>7.1509059464182183</v>
      </c>
      <c r="I12" s="181">
        <f t="shared" si="7"/>
        <v>7.5893958679035078</v>
      </c>
      <c r="J12" s="181">
        <f t="shared" si="7"/>
        <v>7.9281531927480451</v>
      </c>
      <c r="K12" s="181">
        <f t="shared" si="7"/>
        <v>8.0690928357218432</v>
      </c>
      <c r="L12" s="181">
        <f t="shared" si="7"/>
        <v>8.2822373669826419</v>
      </c>
      <c r="M12" s="181">
        <f t="shared" si="7"/>
        <v>8.4329688000934446</v>
      </c>
      <c r="N12" s="181">
        <f t="shared" si="7"/>
        <v>8.5523820992733004</v>
      </c>
      <c r="O12" s="181">
        <f t="shared" si="7"/>
        <v>8.6795449542194891</v>
      </c>
      <c r="P12" s="181">
        <f t="shared" si="7"/>
        <v>8.8792538905628646</v>
      </c>
      <c r="Q12" s="181">
        <f t="shared" si="7"/>
        <v>9.0421653686612657</v>
      </c>
      <c r="R12" s="181">
        <f t="shared" si="7"/>
        <v>9.2196110435077632</v>
      </c>
      <c r="S12" s="181">
        <f t="shared" si="7"/>
        <v>9.4279876319754621</v>
      </c>
      <c r="T12" s="181">
        <f t="shared" si="7"/>
        <v>9.6322978381442788</v>
      </c>
      <c r="U12" s="181">
        <f t="shared" si="7"/>
        <v>9.8482321546868814</v>
      </c>
      <c r="V12" s="181">
        <f t="shared" si="7"/>
        <v>10.013633028250645</v>
      </c>
      <c r="W12" s="181">
        <f t="shared" si="7"/>
        <v>10.178782795691633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32.923081254034862</v>
      </c>
      <c r="C13" s="181">
        <f t="shared" ref="C13:W13" si="8">C21*C53/1000</f>
        <v>33.674512206288874</v>
      </c>
      <c r="D13" s="181">
        <f t="shared" si="8"/>
        <v>34.520779058998208</v>
      </c>
      <c r="E13" s="181">
        <f t="shared" si="8"/>
        <v>35.32564558361485</v>
      </c>
      <c r="F13" s="181">
        <f t="shared" si="8"/>
        <v>36.151305337433477</v>
      </c>
      <c r="G13" s="181">
        <f t="shared" si="8"/>
        <v>36.849196877575636</v>
      </c>
      <c r="H13" s="181">
        <f t="shared" si="8"/>
        <v>37.525495333081395</v>
      </c>
      <c r="I13" s="181">
        <f t="shared" si="8"/>
        <v>37.93723140513135</v>
      </c>
      <c r="J13" s="181">
        <f t="shared" si="8"/>
        <v>38.594017757559648</v>
      </c>
      <c r="K13" s="181">
        <f t="shared" si="8"/>
        <v>39.235665247572996</v>
      </c>
      <c r="L13" s="181">
        <f t="shared" si="8"/>
        <v>39.756312417127603</v>
      </c>
      <c r="M13" s="181">
        <f t="shared" si="8"/>
        <v>40.452393425103303</v>
      </c>
      <c r="N13" s="181">
        <f t="shared" si="8"/>
        <v>41.456690823534871</v>
      </c>
      <c r="O13" s="181">
        <f t="shared" si="8"/>
        <v>42.476758001788419</v>
      </c>
      <c r="P13" s="181">
        <f t="shared" si="8"/>
        <v>43.572402083620041</v>
      </c>
      <c r="Q13" s="181">
        <f t="shared" si="8"/>
        <v>44.849795310136514</v>
      </c>
      <c r="R13" s="181">
        <f t="shared" si="8"/>
        <v>44.993858793676026</v>
      </c>
      <c r="S13" s="181">
        <f t="shared" si="8"/>
        <v>44.969630918626109</v>
      </c>
      <c r="T13" s="181">
        <f t="shared" si="8"/>
        <v>44.666863691838614</v>
      </c>
      <c r="U13" s="181">
        <f t="shared" si="8"/>
        <v>44.009476502317952</v>
      </c>
      <c r="V13" s="181">
        <f t="shared" si="8"/>
        <v>43.021255504661532</v>
      </c>
      <c r="W13" s="181">
        <f t="shared" si="8"/>
        <v>41.912385895881883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163.93088166928413</v>
      </c>
      <c r="C14" s="181">
        <f t="shared" ref="C14:W14" si="9">C22*C54</f>
        <v>166.97082358639381</v>
      </c>
      <c r="D14" s="181">
        <f t="shared" si="9"/>
        <v>171.17446006966304</v>
      </c>
      <c r="E14" s="181">
        <f t="shared" si="9"/>
        <v>174.59082935280733</v>
      </c>
      <c r="F14" s="181">
        <f t="shared" si="9"/>
        <v>180.32096235227058</v>
      </c>
      <c r="G14" s="181">
        <f t="shared" si="9"/>
        <v>184.27573320986261</v>
      </c>
      <c r="H14" s="181">
        <f t="shared" si="9"/>
        <v>191.04374790971991</v>
      </c>
      <c r="I14" s="181">
        <f t="shared" si="9"/>
        <v>201.12876544990999</v>
      </c>
      <c r="J14" s="181">
        <f t="shared" si="9"/>
        <v>206.87801309467898</v>
      </c>
      <c r="K14" s="181">
        <f t="shared" si="9"/>
        <v>208.55705440479511</v>
      </c>
      <c r="L14" s="181">
        <f t="shared" si="9"/>
        <v>211.44466289643785</v>
      </c>
      <c r="M14" s="181">
        <f t="shared" si="9"/>
        <v>213.59053090018224</v>
      </c>
      <c r="N14" s="181">
        <f t="shared" si="9"/>
        <v>214.78710417708669</v>
      </c>
      <c r="O14" s="181">
        <f t="shared" si="9"/>
        <v>213.97896815225377</v>
      </c>
      <c r="P14" s="181">
        <f t="shared" si="9"/>
        <v>215.91546199326996</v>
      </c>
      <c r="Q14" s="181">
        <f t="shared" si="9"/>
        <v>217.15033580553398</v>
      </c>
      <c r="R14" s="181">
        <f t="shared" si="9"/>
        <v>210.43519914073812</v>
      </c>
      <c r="S14" s="181">
        <f t="shared" si="9"/>
        <v>204.6057269619233</v>
      </c>
      <c r="T14" s="181">
        <f t="shared" si="9"/>
        <v>195.88731087441545</v>
      </c>
      <c r="U14" s="181">
        <f t="shared" si="9"/>
        <v>184.96589492416379</v>
      </c>
      <c r="V14" s="181">
        <f t="shared" si="9"/>
        <v>172.56968120449179</v>
      </c>
      <c r="W14" s="181">
        <f t="shared" si="9"/>
        <v>160.9463169579216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26.006724937096685</v>
      </c>
      <c r="C15" s="181">
        <f t="shared" ref="C15:W15" si="10">C23*C55/1000</f>
        <v>26.836894619490089</v>
      </c>
      <c r="D15" s="181">
        <f t="shared" si="10"/>
        <v>27.642366587712512</v>
      </c>
      <c r="E15" s="181">
        <f t="shared" si="10"/>
        <v>28.397934517318198</v>
      </c>
      <c r="F15" s="181">
        <f t="shared" si="10"/>
        <v>29.213492224625181</v>
      </c>
      <c r="G15" s="181">
        <f t="shared" si="10"/>
        <v>30.160269687586759</v>
      </c>
      <c r="H15" s="181">
        <f t="shared" si="10"/>
        <v>31.137336552190785</v>
      </c>
      <c r="I15" s="181">
        <f t="shared" si="10"/>
        <v>31.863726150269329</v>
      </c>
      <c r="J15" s="181">
        <f t="shared" si="10"/>
        <v>32.236211979487479</v>
      </c>
      <c r="K15" s="181">
        <f t="shared" si="10"/>
        <v>32.854393947704025</v>
      </c>
      <c r="L15" s="181">
        <f t="shared" si="10"/>
        <v>33.368741087083684</v>
      </c>
      <c r="M15" s="181">
        <f t="shared" si="10"/>
        <v>33.37530651866242</v>
      </c>
      <c r="N15" s="181">
        <f t="shared" si="10"/>
        <v>33.502454723104165</v>
      </c>
      <c r="O15" s="181">
        <f t="shared" si="10"/>
        <v>33.682569885507817</v>
      </c>
      <c r="P15" s="181">
        <f t="shared" si="10"/>
        <v>33.939126992871337</v>
      </c>
      <c r="Q15" s="181">
        <f t="shared" si="10"/>
        <v>34.382357035015993</v>
      </c>
      <c r="R15" s="181">
        <f t="shared" si="10"/>
        <v>34.411459098841974</v>
      </c>
      <c r="S15" s="181">
        <f t="shared" si="10"/>
        <v>34.469788238000476</v>
      </c>
      <c r="T15" s="181">
        <f t="shared" si="10"/>
        <v>34.614863810028943</v>
      </c>
      <c r="U15" s="181">
        <f t="shared" si="10"/>
        <v>34.669705500474279</v>
      </c>
      <c r="V15" s="181">
        <f t="shared" si="10"/>
        <v>34.667932465571603</v>
      </c>
      <c r="W15" s="181">
        <f t="shared" si="10"/>
        <v>34.607717412185494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85.464630413372589</v>
      </c>
      <c r="C16" s="55">
        <f t="shared" ref="C16:W16" si="11">C24*C56</f>
        <v>92.192064756327468</v>
      </c>
      <c r="D16" s="55">
        <f t="shared" si="11"/>
        <v>100.62846604372373</v>
      </c>
      <c r="E16" s="55">
        <f t="shared" si="11"/>
        <v>108.66538758159976</v>
      </c>
      <c r="F16" s="55">
        <f t="shared" si="11"/>
        <v>119.90497856794356</v>
      </c>
      <c r="G16" s="55">
        <f t="shared" si="11"/>
        <v>135.34944171312051</v>
      </c>
      <c r="H16" s="55">
        <f t="shared" si="11"/>
        <v>160.17926187324409</v>
      </c>
      <c r="I16" s="55">
        <f t="shared" si="11"/>
        <v>184.5227815687073</v>
      </c>
      <c r="J16" s="55">
        <f t="shared" si="11"/>
        <v>204.22892830275899</v>
      </c>
      <c r="K16" s="55">
        <f t="shared" si="11"/>
        <v>216.13503260206497</v>
      </c>
      <c r="L16" s="55">
        <f t="shared" si="11"/>
        <v>222.05485338070508</v>
      </c>
      <c r="M16" s="55">
        <f t="shared" si="11"/>
        <v>224.24247608636958</v>
      </c>
      <c r="N16" s="55">
        <f t="shared" si="11"/>
        <v>225.44029593461153</v>
      </c>
      <c r="O16" s="55">
        <f t="shared" si="11"/>
        <v>225.60120448074875</v>
      </c>
      <c r="P16" s="55">
        <f t="shared" si="11"/>
        <v>227.47459429862636</v>
      </c>
      <c r="Q16" s="55">
        <f t="shared" si="11"/>
        <v>226.94699968231521</v>
      </c>
      <c r="R16" s="55">
        <f t="shared" si="11"/>
        <v>232.01917425023353</v>
      </c>
      <c r="S16" s="55">
        <f t="shared" si="11"/>
        <v>237.00945998598456</v>
      </c>
      <c r="T16" s="55">
        <f t="shared" si="11"/>
        <v>243.75152989290902</v>
      </c>
      <c r="U16" s="55">
        <f t="shared" si="11"/>
        <v>250.82906992663854</v>
      </c>
      <c r="V16" s="55">
        <f t="shared" si="11"/>
        <v>255.39986080828552</v>
      </c>
      <c r="W16" s="55">
        <f t="shared" si="11"/>
        <v>256.00090344746303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78.916427448916593</v>
      </c>
      <c r="C17" s="63">
        <f t="shared" ref="C17:W17" si="12">C25*C57/1000</f>
        <v>88.185297762943733</v>
      </c>
      <c r="D17" s="63">
        <f t="shared" si="12"/>
        <v>102.73817417028259</v>
      </c>
      <c r="E17" s="63">
        <f t="shared" si="12"/>
        <v>99.653566588507488</v>
      </c>
      <c r="F17" s="63">
        <f t="shared" si="12"/>
        <v>109.54862011268135</v>
      </c>
      <c r="G17" s="63">
        <f t="shared" si="12"/>
        <v>111.77379304751976</v>
      </c>
      <c r="H17" s="63">
        <f t="shared" si="12"/>
        <v>115.58652159911522</v>
      </c>
      <c r="I17" s="63">
        <f t="shared" si="12"/>
        <v>120.45320281613411</v>
      </c>
      <c r="J17" s="63">
        <f t="shared" si="12"/>
        <v>132.33925207003932</v>
      </c>
      <c r="K17" s="63">
        <f t="shared" si="12"/>
        <v>132.90895784682223</v>
      </c>
      <c r="L17" s="63">
        <f t="shared" si="12"/>
        <v>135.56055648284598</v>
      </c>
      <c r="M17" s="63">
        <f t="shared" si="12"/>
        <v>139.17511699036243</v>
      </c>
      <c r="N17" s="63">
        <f t="shared" si="12"/>
        <v>138.34410474828255</v>
      </c>
      <c r="O17" s="63">
        <f t="shared" si="12"/>
        <v>147.13723116703588</v>
      </c>
      <c r="P17" s="63">
        <f t="shared" si="12"/>
        <v>153.98612797816557</v>
      </c>
      <c r="Q17" s="63">
        <f t="shared" si="12"/>
        <v>163.96919301869931</v>
      </c>
      <c r="R17" s="63">
        <f t="shared" si="12"/>
        <v>171.69240442003021</v>
      </c>
      <c r="S17" s="63">
        <f t="shared" si="12"/>
        <v>177.53848759293544</v>
      </c>
      <c r="T17" s="63">
        <f t="shared" si="12"/>
        <v>188.42320384980943</v>
      </c>
      <c r="U17" s="63">
        <f t="shared" si="12"/>
        <v>188.56553306856895</v>
      </c>
      <c r="V17" s="63">
        <f t="shared" si="12"/>
        <v>187.62073608720939</v>
      </c>
      <c r="W17" s="63">
        <f t="shared" si="12"/>
        <v>187.23450803351412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7.5795150796533317</v>
      </c>
      <c r="C20" s="182">
        <v>7.8096794462846262</v>
      </c>
      <c r="D20" s="182">
        <v>8.195367995504645</v>
      </c>
      <c r="E20" s="182">
        <v>8.4729556363816076</v>
      </c>
      <c r="F20" s="182">
        <v>8.9234670999289971</v>
      </c>
      <c r="G20" s="182">
        <v>9.3305759593467794</v>
      </c>
      <c r="H20" s="182">
        <v>9.9707935521583622</v>
      </c>
      <c r="I20" s="182">
        <v>10.747014021776161</v>
      </c>
      <c r="J20" s="182">
        <v>11.383888378621174</v>
      </c>
      <c r="K20" s="182">
        <v>11.7180183745675</v>
      </c>
      <c r="L20" s="182">
        <v>12.193183913289195</v>
      </c>
      <c r="M20" s="182">
        <v>12.583399162185646</v>
      </c>
      <c r="N20" s="182">
        <v>12.944701021929768</v>
      </c>
      <c r="O20" s="182">
        <v>13.34614438138882</v>
      </c>
      <c r="P20" s="182">
        <v>13.913494670867776</v>
      </c>
      <c r="Q20" s="182">
        <v>14.450224276278632</v>
      </c>
      <c r="R20" s="182">
        <v>15.028120185667182</v>
      </c>
      <c r="S20" s="182">
        <v>15.683578146115304</v>
      </c>
      <c r="T20" s="182">
        <v>16.349561371932179</v>
      </c>
      <c r="U20" s="182">
        <v>16.973601304901784</v>
      </c>
      <c r="V20" s="182">
        <v>17.555792595950322</v>
      </c>
      <c r="W20" s="182">
        <v>18.097278907169674</v>
      </c>
      <c r="DA20" s="191" t="s">
        <v>921</v>
      </c>
    </row>
    <row r="21" spans="1:105" ht="12" customHeight="1" x14ac:dyDescent="0.25">
      <c r="A21" s="132" t="s">
        <v>163</v>
      </c>
      <c r="B21" s="182">
        <v>168.11146667033577</v>
      </c>
      <c r="C21" s="182">
        <v>173.74909445454676</v>
      </c>
      <c r="D21" s="182">
        <v>180.07650464980489</v>
      </c>
      <c r="E21" s="182">
        <v>186.50047638196122</v>
      </c>
      <c r="F21" s="182">
        <v>193.50526200378926</v>
      </c>
      <c r="G21" s="182">
        <v>200.35443272708613</v>
      </c>
      <c r="H21" s="182">
        <v>207.58497247923535</v>
      </c>
      <c r="I21" s="182">
        <v>214.01065954060692</v>
      </c>
      <c r="J21" s="182">
        <v>220.35023067494629</v>
      </c>
      <c r="K21" s="182">
        <v>227.47329084147734</v>
      </c>
      <c r="L21" s="182">
        <v>234.62371337964009</v>
      </c>
      <c r="M21" s="182">
        <v>243.73506812126479</v>
      </c>
      <c r="N21" s="182">
        <v>255.83993657514233</v>
      </c>
      <c r="O21" s="182">
        <v>269.85970206376624</v>
      </c>
      <c r="P21" s="182">
        <v>286.03545776686235</v>
      </c>
      <c r="Q21" s="182">
        <v>305.92964734235733</v>
      </c>
      <c r="R21" s="182">
        <v>319.40038280340315</v>
      </c>
      <c r="S21" s="182">
        <v>332.92808559161955</v>
      </c>
      <c r="T21" s="182">
        <v>346.50000054129845</v>
      </c>
      <c r="U21" s="182">
        <v>359.36557061189069</v>
      </c>
      <c r="V21" s="182">
        <v>370.82467199307598</v>
      </c>
      <c r="W21" s="182">
        <v>380.18828045560599</v>
      </c>
      <c r="DA21" s="191" t="s">
        <v>922</v>
      </c>
    </row>
    <row r="22" spans="1:105" ht="12" customHeight="1" x14ac:dyDescent="0.25">
      <c r="A22" s="132" t="s">
        <v>167</v>
      </c>
      <c r="B22" s="182">
        <v>3.38357496945632</v>
      </c>
      <c r="C22" s="182">
        <v>3.4860874083181117</v>
      </c>
      <c r="D22" s="182">
        <v>3.6394991169651472</v>
      </c>
      <c r="E22" s="182">
        <v>3.7934038580354676</v>
      </c>
      <c r="F22" s="182">
        <v>4.0237311414371568</v>
      </c>
      <c r="G22" s="182">
        <v>4.2364236207214656</v>
      </c>
      <c r="H22" s="182">
        <v>4.5476006598222236</v>
      </c>
      <c r="I22" s="182">
        <v>4.9308484136898727</v>
      </c>
      <c r="J22" s="182">
        <v>5.2106650661017184</v>
      </c>
      <c r="K22" s="182">
        <v>5.3964930463833456</v>
      </c>
      <c r="L22" s="182">
        <v>5.6442493817964987</v>
      </c>
      <c r="M22" s="182">
        <v>5.8958746088633118</v>
      </c>
      <c r="N22" s="182">
        <v>6.1648979280814835</v>
      </c>
      <c r="O22" s="182">
        <v>6.4245775531287155</v>
      </c>
      <c r="P22" s="182">
        <v>6.8155115235064576</v>
      </c>
      <c r="Q22" s="182">
        <v>7.2255832443698313</v>
      </c>
      <c r="R22" s="182">
        <v>7.486271242732208</v>
      </c>
      <c r="S22" s="182">
        <v>7.7869020186496627</v>
      </c>
      <c r="T22" s="182">
        <v>8.086068058426628</v>
      </c>
      <c r="U22" s="182">
        <v>8.3526502617089946</v>
      </c>
      <c r="V22" s="182">
        <v>8.5771436752725236</v>
      </c>
      <c r="W22" s="182">
        <v>8.7394149132404628</v>
      </c>
      <c r="DA22" s="191" t="s">
        <v>923</v>
      </c>
    </row>
    <row r="23" spans="1:105" ht="12" customHeight="1" x14ac:dyDescent="0.25">
      <c r="A23" s="132" t="s">
        <v>180</v>
      </c>
      <c r="B23" s="182">
        <v>35.685868802513433</v>
      </c>
      <c r="C23" s="182">
        <v>37.366423780032946</v>
      </c>
      <c r="D23" s="182">
        <v>39.164411731837454</v>
      </c>
      <c r="E23" s="182">
        <v>41.008451865321156</v>
      </c>
      <c r="F23" s="182">
        <v>43.086845407009129</v>
      </c>
      <c r="G23" s="182">
        <v>45.495052977879133</v>
      </c>
      <c r="H23" s="182">
        <v>48.08312384976059</v>
      </c>
      <c r="I23" s="182">
        <v>50.369318074281509</v>
      </c>
      <c r="J23" s="182">
        <v>52.195332746213282</v>
      </c>
      <c r="K23" s="182">
        <v>54.655135472248951</v>
      </c>
      <c r="L23" s="182">
        <v>57.117413333353269</v>
      </c>
      <c r="M23" s="182">
        <v>58.461985833937042</v>
      </c>
      <c r="N23" s="182">
        <v>60.019829533864552</v>
      </c>
      <c r="O23" s="182">
        <v>61.705712652609805</v>
      </c>
      <c r="P23" s="182">
        <v>63.771542577454063</v>
      </c>
      <c r="Q23" s="182">
        <v>66.412010881163809</v>
      </c>
      <c r="R23" s="182">
        <v>68.201027914967568</v>
      </c>
      <c r="S23" s="182">
        <v>69.991839950194773</v>
      </c>
      <c r="T23" s="182">
        <v>71.827601497141728</v>
      </c>
      <c r="U23" s="182">
        <v>73.577787577132781</v>
      </c>
      <c r="V23" s="182">
        <v>75.149375434285759</v>
      </c>
      <c r="W23" s="182">
        <v>76.471427386957416</v>
      </c>
      <c r="DA23" s="191" t="s">
        <v>924</v>
      </c>
    </row>
    <row r="24" spans="1:105" ht="12" customHeight="1" x14ac:dyDescent="0.25">
      <c r="A24" s="60" t="s">
        <v>166</v>
      </c>
      <c r="B24" s="36">
        <v>1.6659650345531682</v>
      </c>
      <c r="C24" s="36">
        <v>1.8088125660140955</v>
      </c>
      <c r="D24" s="36">
        <v>1.989208989010917</v>
      </c>
      <c r="E24" s="36">
        <v>2.1635690238800116</v>
      </c>
      <c r="F24" s="36">
        <v>2.4086672308828212</v>
      </c>
      <c r="G24" s="36">
        <v>2.7481501275519751</v>
      </c>
      <c r="H24" s="36">
        <v>3.2980278059845309</v>
      </c>
      <c r="I24" s="36">
        <v>3.8477626200492558</v>
      </c>
      <c r="J24" s="36">
        <v>4.3039398264234263</v>
      </c>
      <c r="K24" s="36">
        <v>4.5956170111404848</v>
      </c>
      <c r="L24" s="36">
        <v>4.7589017035721843</v>
      </c>
      <c r="M24" s="36">
        <v>4.8441663276216911</v>
      </c>
      <c r="N24" s="36">
        <v>4.9166699719760087</v>
      </c>
      <c r="O24" s="36">
        <v>4.9752704850564982</v>
      </c>
      <c r="P24" s="36">
        <v>5.0938616663079648</v>
      </c>
      <c r="Q24" s="36">
        <v>5.1652970111929122</v>
      </c>
      <c r="R24" s="36">
        <v>5.3702528036782784</v>
      </c>
      <c r="S24" s="36">
        <v>5.5920172167318718</v>
      </c>
      <c r="T24" s="36">
        <v>5.8680983072318833</v>
      </c>
      <c r="U24" s="36">
        <v>6.1868982881151382</v>
      </c>
      <c r="V24" s="36">
        <v>6.4743631692595462</v>
      </c>
      <c r="W24" s="36">
        <v>6.7217108117405759</v>
      </c>
      <c r="DA24" s="89" t="s">
        <v>925</v>
      </c>
    </row>
    <row r="25" spans="1:105" ht="12" customHeight="1" x14ac:dyDescent="0.25">
      <c r="A25" s="62" t="s">
        <v>164</v>
      </c>
      <c r="B25" s="38">
        <v>201.26592114702675</v>
      </c>
      <c r="C25" s="38">
        <v>230.76341716195188</v>
      </c>
      <c r="D25" s="38">
        <v>278.36600663160448</v>
      </c>
      <c r="E25" s="38">
        <v>276.35518676678737</v>
      </c>
      <c r="F25" s="38">
        <v>317.48880121782651</v>
      </c>
      <c r="G25" s="38">
        <v>337.37442469277744</v>
      </c>
      <c r="H25" s="38">
        <v>369.80763649789202</v>
      </c>
      <c r="I25" s="38">
        <v>415.29342955538499</v>
      </c>
      <c r="J25" s="38">
        <v>476.9778804139134</v>
      </c>
      <c r="K25" s="38">
        <v>510.26818776991354</v>
      </c>
      <c r="L25" s="38">
        <v>549.71545239276543</v>
      </c>
      <c r="M25" s="38">
        <v>613.39073995116996</v>
      </c>
      <c r="N25" s="38">
        <v>662.71766446149525</v>
      </c>
      <c r="O25" s="38">
        <v>745.13001523278331</v>
      </c>
      <c r="P25" s="38">
        <v>815.33403755212646</v>
      </c>
      <c r="Q25" s="38">
        <v>887.67487926544868</v>
      </c>
      <c r="R25" s="38">
        <v>952.45357369192322</v>
      </c>
      <c r="S25" s="38">
        <v>1006.6910764602883</v>
      </c>
      <c r="T25" s="38">
        <v>1092.1703060457035</v>
      </c>
      <c r="U25" s="38">
        <v>1113.7904971149674</v>
      </c>
      <c r="V25" s="38">
        <v>1131.3771754470499</v>
      </c>
      <c r="W25" s="38">
        <v>1159.7087529606772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0.55891315379099904</v>
      </c>
      <c r="D28" s="183">
        <v>0.72373619119924637</v>
      </c>
      <c r="E28" s="183">
        <v>0.6251971613105729</v>
      </c>
      <c r="F28" s="183">
        <v>0.80795332585006818</v>
      </c>
      <c r="G28" s="183">
        <v>0.77466117722263661</v>
      </c>
      <c r="H28" s="183">
        <v>1.0181663463611148</v>
      </c>
      <c r="I28" s="183">
        <v>1.1648597282756263</v>
      </c>
      <c r="J28" s="183">
        <v>1.0365065079014677</v>
      </c>
      <c r="K28" s="183">
        <v>0.74506597989595669</v>
      </c>
      <c r="L28" s="183">
        <v>0.89772509119572952</v>
      </c>
      <c r="M28" s="183">
        <v>0.82472714943846448</v>
      </c>
      <c r="N28" s="183">
        <v>0.8081041876224706</v>
      </c>
      <c r="O28" s="183">
        <v>0.86088375671512019</v>
      </c>
      <c r="P28" s="183">
        <v>1.0397862314158708</v>
      </c>
      <c r="Q28" s="183">
        <v>1.0225286787331402</v>
      </c>
      <c r="R28" s="183">
        <v>1.0774360982091178</v>
      </c>
      <c r="S28" s="183">
        <v>1.1691279403851595</v>
      </c>
      <c r="T28" s="183">
        <v>1.1941826664094179</v>
      </c>
      <c r="U28" s="183">
        <v>1.1829530867606053</v>
      </c>
      <c r="V28" s="183">
        <v>1.3059274822477853</v>
      </c>
      <c r="W28" s="183">
        <v>1.1666834725299253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26.726274822837127</v>
      </c>
      <c r="D29" s="183">
        <v>28.323815546881491</v>
      </c>
      <c r="E29" s="183">
        <v>29.367209745800153</v>
      </c>
      <c r="F29" s="183">
        <v>30.935612597239412</v>
      </c>
      <c r="G29" s="183">
        <v>31.81009731031628</v>
      </c>
      <c r="H29" s="183">
        <v>33.265906466502457</v>
      </c>
      <c r="I29" s="183">
        <v>33.581743051030031</v>
      </c>
      <c r="J29" s="183">
        <v>33.065845957176492</v>
      </c>
      <c r="K29" s="183">
        <v>35.446875713412538</v>
      </c>
      <c r="L29" s="183">
        <v>36.517632283962911</v>
      </c>
      <c r="M29" s="183">
        <v>40.046967338864107</v>
      </c>
      <c r="N29" s="183">
        <v>43.914965764193823</v>
      </c>
      <c r="O29" s="183">
        <v>47.285671955126361</v>
      </c>
      <c r="P29" s="183">
        <v>49.757498754126146</v>
      </c>
      <c r="Q29" s="183">
        <v>52.960035532671469</v>
      </c>
      <c r="R29" s="183">
        <v>48.917611174458386</v>
      </c>
      <c r="S29" s="183">
        <v>50.045335072179284</v>
      </c>
      <c r="T29" s="183">
        <v>53.618882288543034</v>
      </c>
      <c r="U29" s="183">
        <v>56.780535834786065</v>
      </c>
      <c r="V29" s="183">
        <v>58.744773336311653</v>
      </c>
      <c r="W29" s="183">
        <v>59.121107216656128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0.63091213656439038</v>
      </c>
      <c r="D30" s="183">
        <v>0.69553835973824141</v>
      </c>
      <c r="E30" s="183">
        <v>0.71011494917831941</v>
      </c>
      <c r="F30" s="183">
        <v>0.80098691612927464</v>
      </c>
      <c r="G30" s="183">
        <v>0.79817690887167636</v>
      </c>
      <c r="H30" s="183">
        <v>0.91187138934032141</v>
      </c>
      <c r="I30" s="183">
        <v>1.0141598904320395</v>
      </c>
      <c r="J30" s="183">
        <v>0.97535501215008757</v>
      </c>
      <c r="K30" s="183">
        <v>0.89594292945994614</v>
      </c>
      <c r="L30" s="183">
        <v>1.0487432515424278</v>
      </c>
      <c r="M30" s="183">
        <v>1.0498021359384895</v>
      </c>
      <c r="N30" s="183">
        <v>1.1808947085584931</v>
      </c>
      <c r="O30" s="183">
        <v>1.2738395154792714</v>
      </c>
      <c r="P30" s="183">
        <v>1.3662889825278297</v>
      </c>
      <c r="Q30" s="183">
        <v>1.3060146503233199</v>
      </c>
      <c r="R30" s="183">
        <v>1.3094312499048044</v>
      </c>
      <c r="S30" s="183">
        <v>1.3504329118559442</v>
      </c>
      <c r="T30" s="183">
        <v>1.4800607483354584</v>
      </c>
      <c r="U30" s="183">
        <v>1.540421718761638</v>
      </c>
      <c r="V30" s="183">
        <v>1.5907823960913587</v>
      </c>
      <c r="W30" s="183">
        <v>1.4682858882912591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4.9237974454442721</v>
      </c>
      <c r="D31" s="183">
        <v>5.1095466797018645</v>
      </c>
      <c r="E31" s="183">
        <v>5.2253541477054597</v>
      </c>
      <c r="F31" s="183">
        <v>5.5309321805035196</v>
      </c>
      <c r="G31" s="183">
        <v>5.933471122962132</v>
      </c>
      <c r="H31" s="183">
        <v>6.1875912282916232</v>
      </c>
      <c r="I31" s="183">
        <v>5.9615355443271767</v>
      </c>
      <c r="J31" s="183">
        <v>5.5787740619486641</v>
      </c>
      <c r="K31" s="183">
        <v>6.2916109348314535</v>
      </c>
      <c r="L31" s="183">
        <v>6.374799987637104</v>
      </c>
      <c r="M31" s="183">
        <v>6.2683699460280451</v>
      </c>
      <c r="N31" s="183">
        <v>6.6673903796293743</v>
      </c>
      <c r="O31" s="183">
        <v>6.911237266450712</v>
      </c>
      <c r="P31" s="183">
        <v>7.5967621053477785</v>
      </c>
      <c r="Q31" s="183">
        <v>8.5739394266718776</v>
      </c>
      <c r="R31" s="183">
        <v>7.9766082620953824</v>
      </c>
      <c r="S31" s="183">
        <v>7.7523475795543817</v>
      </c>
      <c r="T31" s="183">
        <v>7.4145356088956191</v>
      </c>
      <c r="U31" s="183">
        <v>8.0417970148225066</v>
      </c>
      <c r="V31" s="183">
        <v>7.9463878447900811</v>
      </c>
      <c r="W31" s="183">
        <v>7.5904218986997023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0.19029830483116106</v>
      </c>
      <c r="D32" s="41">
        <v>0.23318690193632774</v>
      </c>
      <c r="E32" s="41">
        <v>0.23309110432750368</v>
      </c>
      <c r="F32" s="41">
        <v>0.31043837040009903</v>
      </c>
      <c r="G32" s="41">
        <v>0.41217588510192593</v>
      </c>
      <c r="H32" s="41">
        <v>0.63075091615553225</v>
      </c>
      <c r="I32" s="41">
        <v>0.63970883660537003</v>
      </c>
      <c r="J32" s="41">
        <v>0.5562761384816528</v>
      </c>
      <c r="K32" s="41">
        <v>0.40304039741027786</v>
      </c>
      <c r="L32" s="41">
        <v>0.28717977183213428</v>
      </c>
      <c r="M32" s="41">
        <v>0.22310179961596344</v>
      </c>
      <c r="N32" s="41">
        <v>0.22585184074823861</v>
      </c>
      <c r="O32" s="41">
        <v>0.2292052083713525</v>
      </c>
      <c r="P32" s="41">
        <v>0.308394274732402</v>
      </c>
      <c r="Q32" s="41">
        <v>0.28259726064297119</v>
      </c>
      <c r="R32" s="41">
        <v>0.39525409731652772</v>
      </c>
      <c r="S32" s="41">
        <v>0.45495131498992158</v>
      </c>
      <c r="T32" s="41">
        <v>0.50917219482751541</v>
      </c>
      <c r="U32" s="41">
        <v>0.62923835128335348</v>
      </c>
      <c r="V32" s="41">
        <v>0.69964076624633353</v>
      </c>
      <c r="W32" s="41">
        <v>0.8780985586365615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69.750680244330482</v>
      </c>
      <c r="D33" s="42">
        <v>87.855773699057949</v>
      </c>
      <c r="E33" s="42">
        <v>38.242364364588241</v>
      </c>
      <c r="F33" s="42">
        <v>81.386798680444485</v>
      </c>
      <c r="G33" s="42">
        <v>60.138807704356282</v>
      </c>
      <c r="H33" s="42">
        <v>102.18389204944509</v>
      </c>
      <c r="I33" s="42">
        <v>133.34156675655089</v>
      </c>
      <c r="J33" s="42">
        <v>99.926815223116648</v>
      </c>
      <c r="K33" s="42">
        <v>114.67710603644463</v>
      </c>
      <c r="L33" s="42">
        <v>99.586072327208171</v>
      </c>
      <c r="M33" s="42">
        <v>165.85917960784963</v>
      </c>
      <c r="N33" s="42">
        <v>182.66849126687617</v>
      </c>
      <c r="O33" s="42">
        <v>182.33916599440477</v>
      </c>
      <c r="P33" s="42">
        <v>184.88112835578784</v>
      </c>
      <c r="Q33" s="42">
        <v>171.92691404053039</v>
      </c>
      <c r="R33" s="42">
        <v>230.63787403432423</v>
      </c>
      <c r="S33" s="42">
        <v>236.90599403524129</v>
      </c>
      <c r="T33" s="42">
        <v>267.81839557981993</v>
      </c>
      <c r="U33" s="42">
        <v>206.50131942505175</v>
      </c>
      <c r="V33" s="42">
        <v>189.51359237261295</v>
      </c>
      <c r="W33" s="42">
        <v>258.96945154795151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0.32874878715970368</v>
      </c>
      <c r="D36" s="183">
        <v>0.33804764197922843</v>
      </c>
      <c r="E36" s="183">
        <v>0.34760952043360938</v>
      </c>
      <c r="F36" s="183">
        <v>0.35744186230267871</v>
      </c>
      <c r="G36" s="183">
        <v>0.36755231780485431</v>
      </c>
      <c r="H36" s="183">
        <v>0.37794875354953206</v>
      </c>
      <c r="I36" s="183">
        <v>0.38863925865782711</v>
      </c>
      <c r="J36" s="183">
        <v>0.39963215105645489</v>
      </c>
      <c r="K36" s="183">
        <v>0.41093598394963138</v>
      </c>
      <c r="L36" s="183">
        <v>0.42255955247403421</v>
      </c>
      <c r="M36" s="183">
        <v>0.43451190054201305</v>
      </c>
      <c r="N36" s="183">
        <v>0.44680232787834839</v>
      </c>
      <c r="O36" s="183">
        <v>0.45944039725606878</v>
      </c>
      <c r="P36" s="183">
        <v>0.47243594193691507</v>
      </c>
      <c r="Q36" s="183">
        <v>0.48579907332228345</v>
      </c>
      <c r="R36" s="183">
        <v>0.49954018882056772</v>
      </c>
      <c r="S36" s="183">
        <v>0.51366997993704011</v>
      </c>
      <c r="T36" s="183">
        <v>0.52819944059254098</v>
      </c>
      <c r="U36" s="183">
        <v>0.55891315379099993</v>
      </c>
      <c r="V36" s="183">
        <v>0.72373619119924726</v>
      </c>
      <c r="W36" s="183">
        <v>0.62519716131057379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21.088647038626135</v>
      </c>
      <c r="D37" s="183">
        <v>21.996405351623366</v>
      </c>
      <c r="E37" s="183">
        <v>22.943238013643821</v>
      </c>
      <c r="F37" s="183">
        <v>23.930826975411378</v>
      </c>
      <c r="G37" s="183">
        <v>24.960926587019401</v>
      </c>
      <c r="H37" s="183">
        <v>26.035366714353245</v>
      </c>
      <c r="I37" s="183">
        <v>27.156055989658455</v>
      </c>
      <c r="J37" s="183">
        <v>26.726274822837127</v>
      </c>
      <c r="K37" s="183">
        <v>28.323815546881491</v>
      </c>
      <c r="L37" s="183">
        <v>29.367209745800153</v>
      </c>
      <c r="M37" s="183">
        <v>30.935612597239384</v>
      </c>
      <c r="N37" s="183">
        <v>31.810097310316252</v>
      </c>
      <c r="O37" s="183">
        <v>33.265906466502429</v>
      </c>
      <c r="P37" s="183">
        <v>33.581743051030003</v>
      </c>
      <c r="Q37" s="183">
        <v>33.065845957176464</v>
      </c>
      <c r="R37" s="183">
        <v>35.446875713412567</v>
      </c>
      <c r="S37" s="183">
        <v>36.517632283962882</v>
      </c>
      <c r="T37" s="183">
        <v>40.046967338864135</v>
      </c>
      <c r="U37" s="183">
        <v>43.914965764193823</v>
      </c>
      <c r="V37" s="183">
        <v>47.285671955126361</v>
      </c>
      <c r="W37" s="183">
        <v>49.757498754126118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0.52839969770259865</v>
      </c>
      <c r="D38" s="183">
        <v>0.54212665109120595</v>
      </c>
      <c r="E38" s="183">
        <v>0.55621020810799893</v>
      </c>
      <c r="F38" s="183">
        <v>0.57065963272758502</v>
      </c>
      <c r="G38" s="183">
        <v>0.58548442958736757</v>
      </c>
      <c r="H38" s="183">
        <v>0.60069435023956341</v>
      </c>
      <c r="I38" s="183">
        <v>0.63091213656439038</v>
      </c>
      <c r="J38" s="183">
        <v>0.69553835973824185</v>
      </c>
      <c r="K38" s="183">
        <v>0.71011494917831897</v>
      </c>
      <c r="L38" s="183">
        <v>0.80098691612927464</v>
      </c>
      <c r="M38" s="183">
        <v>0.79817690887167636</v>
      </c>
      <c r="N38" s="183">
        <v>0.91187138934032141</v>
      </c>
      <c r="O38" s="183">
        <v>1.0141598904320395</v>
      </c>
      <c r="P38" s="183">
        <v>0.97535501215008757</v>
      </c>
      <c r="Q38" s="183">
        <v>0.89594292945994702</v>
      </c>
      <c r="R38" s="183">
        <v>1.0487432515424278</v>
      </c>
      <c r="S38" s="183">
        <v>1.0498021359384886</v>
      </c>
      <c r="T38" s="183">
        <v>1.1808947085584922</v>
      </c>
      <c r="U38" s="183">
        <v>1.2738395154792705</v>
      </c>
      <c r="V38" s="183">
        <v>1.3662889825278306</v>
      </c>
      <c r="W38" s="183">
        <v>1.3060146503233199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3.2432424679247589</v>
      </c>
      <c r="D39" s="183">
        <v>3.3115587278973564</v>
      </c>
      <c r="E39" s="183">
        <v>3.3813140142217577</v>
      </c>
      <c r="F39" s="183">
        <v>3.4525386388155468</v>
      </c>
      <c r="G39" s="183">
        <v>3.5252635520921274</v>
      </c>
      <c r="H39" s="183">
        <v>3.5995203564101672</v>
      </c>
      <c r="I39" s="183">
        <v>3.6753413198062574</v>
      </c>
      <c r="J39" s="183">
        <v>3.752759390016891</v>
      </c>
      <c r="K39" s="183">
        <v>3.8318082087957848</v>
      </c>
      <c r="L39" s="183">
        <v>3.9125221265327852</v>
      </c>
      <c r="M39" s="183">
        <v>4.9237974454442721</v>
      </c>
      <c r="N39" s="183">
        <v>5.1095466797018645</v>
      </c>
      <c r="O39" s="183">
        <v>5.2253541477054597</v>
      </c>
      <c r="P39" s="183">
        <v>5.5309321805035196</v>
      </c>
      <c r="Q39" s="183">
        <v>5.933471122962132</v>
      </c>
      <c r="R39" s="183">
        <v>6.1875912282916232</v>
      </c>
      <c r="S39" s="183">
        <v>5.9615355443271767</v>
      </c>
      <c r="T39" s="183">
        <v>5.5787740619486641</v>
      </c>
      <c r="U39" s="183">
        <v>6.2916109348314535</v>
      </c>
      <c r="V39" s="183">
        <v>6.374799987637104</v>
      </c>
      <c r="W39" s="183">
        <v>6.2683699460280451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4.7450773370233845E-2</v>
      </c>
      <c r="D40" s="41">
        <v>5.2790478939505947E-2</v>
      </c>
      <c r="E40" s="41">
        <v>5.8731069458409113E-2</v>
      </c>
      <c r="F40" s="41">
        <v>6.534016339728943E-2</v>
      </c>
      <c r="G40" s="41">
        <v>7.2692988432772054E-2</v>
      </c>
      <c r="H40" s="41">
        <v>8.0873237722976388E-2</v>
      </c>
      <c r="I40" s="41">
        <v>8.9974022540645127E-2</v>
      </c>
      <c r="J40" s="41">
        <v>0.10009893210748277</v>
      </c>
      <c r="K40" s="41">
        <v>0.11136321269321936</v>
      </c>
      <c r="L40" s="41">
        <v>0.12389507940043476</v>
      </c>
      <c r="M40" s="41">
        <v>0.13783717556645669</v>
      </c>
      <c r="N40" s="41">
        <v>0.15334819639392094</v>
      </c>
      <c r="O40" s="41">
        <v>0.17060469529086308</v>
      </c>
      <c r="P40" s="41">
        <v>0.18980309348093538</v>
      </c>
      <c r="Q40" s="41">
        <v>0.21116191575802379</v>
      </c>
      <c r="R40" s="41">
        <v>0.1902983048311615</v>
      </c>
      <c r="S40" s="41">
        <v>0.23318690193632818</v>
      </c>
      <c r="T40" s="41">
        <v>0.23309110432750391</v>
      </c>
      <c r="U40" s="41">
        <v>0.31043837040009858</v>
      </c>
      <c r="V40" s="41">
        <v>0.41217588510192549</v>
      </c>
      <c r="W40" s="41">
        <v>0.6307509161555318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40.253184229405321</v>
      </c>
      <c r="D41" s="42">
        <v>40.253184229405349</v>
      </c>
      <c r="E41" s="42">
        <v>40.253184229405349</v>
      </c>
      <c r="F41" s="42">
        <v>40.253184229405349</v>
      </c>
      <c r="G41" s="42">
        <v>40.253184229405349</v>
      </c>
      <c r="H41" s="42">
        <v>69.750680244330511</v>
      </c>
      <c r="I41" s="42">
        <v>87.85577369905792</v>
      </c>
      <c r="J41" s="42">
        <v>38.242364364588241</v>
      </c>
      <c r="K41" s="42">
        <v>81.386798680444485</v>
      </c>
      <c r="L41" s="42">
        <v>60.138807704356282</v>
      </c>
      <c r="M41" s="42">
        <v>102.18389204944515</v>
      </c>
      <c r="N41" s="42">
        <v>133.34156675655083</v>
      </c>
      <c r="O41" s="42">
        <v>99.926815223116705</v>
      </c>
      <c r="P41" s="42">
        <v>114.67710603644468</v>
      </c>
      <c r="Q41" s="42">
        <v>99.586072327208171</v>
      </c>
      <c r="R41" s="42">
        <v>165.85917960784957</v>
      </c>
      <c r="S41" s="42">
        <v>182.66849126687634</v>
      </c>
      <c r="T41" s="42">
        <v>182.33916599440477</v>
      </c>
      <c r="U41" s="42">
        <v>184.88112835578795</v>
      </c>
      <c r="V41" s="42">
        <v>171.92691404053039</v>
      </c>
      <c r="W41" s="42">
        <v>230.63787403432411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8760.0000000000018</v>
      </c>
      <c r="D44" s="185">
        <v>8760.0000000000018</v>
      </c>
      <c r="E44" s="185">
        <v>8760</v>
      </c>
      <c r="F44" s="185">
        <v>8760.0000000000018</v>
      </c>
      <c r="G44" s="185">
        <v>8760</v>
      </c>
      <c r="H44" s="185">
        <v>8760</v>
      </c>
      <c r="I44" s="185">
        <v>8760.0000000000018</v>
      </c>
      <c r="J44" s="185">
        <v>8759.9999999999982</v>
      </c>
      <c r="K44" s="185">
        <v>8760.0000000000018</v>
      </c>
      <c r="L44" s="185">
        <v>8759.9999999999964</v>
      </c>
      <c r="M44" s="185">
        <v>8759.9999999999982</v>
      </c>
      <c r="N44" s="185">
        <v>8759.9999999999964</v>
      </c>
      <c r="O44" s="185">
        <v>8759.9999999999982</v>
      </c>
      <c r="P44" s="185">
        <v>8760</v>
      </c>
      <c r="Q44" s="185">
        <v>8760.0000000000018</v>
      </c>
      <c r="R44" s="185">
        <v>8760</v>
      </c>
      <c r="S44" s="185">
        <v>8760</v>
      </c>
      <c r="T44" s="185">
        <v>8759.9999999999982</v>
      </c>
      <c r="U44" s="185">
        <v>8760.0000000000018</v>
      </c>
      <c r="V44" s="185">
        <v>8760.0000000000018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3798.1467711248556</v>
      </c>
      <c r="C45" s="185">
        <v>3800.4376502639457</v>
      </c>
      <c r="D45" s="185">
        <v>3802.3867608055684</v>
      </c>
      <c r="E45" s="185">
        <v>3807.5269093551447</v>
      </c>
      <c r="F45" s="185">
        <v>3819.4103236849787</v>
      </c>
      <c r="G45" s="185">
        <v>3831.030729560709</v>
      </c>
      <c r="H45" s="185">
        <v>3838.7689721744309</v>
      </c>
      <c r="I45" s="185">
        <v>3846.7754384714899</v>
      </c>
      <c r="J45" s="185">
        <v>3853.3177709620004</v>
      </c>
      <c r="K45" s="185">
        <v>3856.9692406583936</v>
      </c>
      <c r="L45" s="185">
        <v>3859.0460859144596</v>
      </c>
      <c r="M45" s="185">
        <v>3850.2749971690437</v>
      </c>
      <c r="N45" s="185">
        <v>3823.9789548482868</v>
      </c>
      <c r="O45" s="185">
        <v>3800.0884181446013</v>
      </c>
      <c r="P45" s="185">
        <v>3777.8199117677768</v>
      </c>
      <c r="Q45" s="185">
        <v>3753.2715427530056</v>
      </c>
      <c r="R45" s="185">
        <v>3816.0991966842007</v>
      </c>
      <c r="S45" s="185">
        <v>3715.7297999858129</v>
      </c>
      <c r="T45" s="185">
        <v>3678.4299464947726</v>
      </c>
      <c r="U45" s="185">
        <v>3676.2725939991192</v>
      </c>
      <c r="V45" s="185">
        <v>3669.8478786808469</v>
      </c>
      <c r="W45" s="185">
        <v>3677.2404835666271</v>
      </c>
      <c r="DA45" s="194" t="s">
        <v>940</v>
      </c>
    </row>
    <row r="46" spans="1:105" ht="12" customHeight="1" x14ac:dyDescent="0.25">
      <c r="A46" s="132" t="s">
        <v>5</v>
      </c>
      <c r="B46" s="185">
        <v>2347.8284075014831</v>
      </c>
      <c r="C46" s="185">
        <v>2362.8029060819244</v>
      </c>
      <c r="D46" s="185">
        <v>2378.8474410600197</v>
      </c>
      <c r="E46" s="185">
        <v>2391.5846757820996</v>
      </c>
      <c r="F46" s="185">
        <v>2407.1143285295784</v>
      </c>
      <c r="G46" s="185">
        <v>2421.2459650479877</v>
      </c>
      <c r="H46" s="185">
        <v>2429.7988985266629</v>
      </c>
      <c r="I46" s="185">
        <v>2441.1053272242448</v>
      </c>
      <c r="J46" s="185">
        <v>2452.4307179751377</v>
      </c>
      <c r="K46" s="185">
        <v>2457.6150717331475</v>
      </c>
      <c r="L46" s="185">
        <v>2464.6287689138503</v>
      </c>
      <c r="M46" s="185">
        <v>2472.6712067668254</v>
      </c>
      <c r="N46" s="185">
        <v>2478.6995326872147</v>
      </c>
      <c r="O46" s="185">
        <v>2488.4077942526128</v>
      </c>
      <c r="P46" s="185">
        <v>2496.1453262259024</v>
      </c>
      <c r="Q46" s="185">
        <v>2505.9007638740895</v>
      </c>
      <c r="R46" s="185">
        <v>2540.3681141219322</v>
      </c>
      <c r="S46" s="185">
        <v>2457.6222157200982</v>
      </c>
      <c r="T46" s="185">
        <v>2447.9248681730119</v>
      </c>
      <c r="U46" s="185">
        <v>2485.6954088117204</v>
      </c>
      <c r="V46" s="185">
        <v>2215.5207151845043</v>
      </c>
      <c r="W46" s="185">
        <v>2349.8871620581531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8759.9999999999964</v>
      </c>
      <c r="D47" s="185">
        <v>8760</v>
      </c>
      <c r="E47" s="185">
        <v>8760</v>
      </c>
      <c r="F47" s="185">
        <v>8759.9999999999982</v>
      </c>
      <c r="G47" s="185">
        <v>8760</v>
      </c>
      <c r="H47" s="185">
        <v>8759.9999999999964</v>
      </c>
      <c r="I47" s="185">
        <v>8760</v>
      </c>
      <c r="J47" s="185">
        <v>8760</v>
      </c>
      <c r="K47" s="185">
        <v>8759.9999999999964</v>
      </c>
      <c r="L47" s="185">
        <v>8760.0000000000036</v>
      </c>
      <c r="M47" s="185">
        <v>8760</v>
      </c>
      <c r="N47" s="185">
        <v>8759.9999999999982</v>
      </c>
      <c r="O47" s="185">
        <v>8760</v>
      </c>
      <c r="P47" s="185">
        <v>8759.9999999999964</v>
      </c>
      <c r="Q47" s="185">
        <v>8760.0000000000036</v>
      </c>
      <c r="R47" s="185">
        <v>8760.0000000000018</v>
      </c>
      <c r="S47" s="185">
        <v>8760.0000000000018</v>
      </c>
      <c r="T47" s="185">
        <v>8760</v>
      </c>
      <c r="U47" s="185">
        <v>8760.0000000000018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928.40554397155961</v>
      </c>
      <c r="C48" s="44">
        <v>932.84042778421974</v>
      </c>
      <c r="D48" s="44">
        <v>936.90765525225345</v>
      </c>
      <c r="E48" s="44">
        <v>940.66479981630187</v>
      </c>
      <c r="F48" s="44">
        <v>944.15680349319439</v>
      </c>
      <c r="G48" s="44">
        <v>947.41943216110064</v>
      </c>
      <c r="H48" s="44">
        <v>950.48162268750605</v>
      </c>
      <c r="I48" s="44">
        <v>953.36712323351685</v>
      </c>
      <c r="J48" s="44">
        <v>956.09566798716776</v>
      </c>
      <c r="K48" s="44">
        <v>958.6838365898825</v>
      </c>
      <c r="L48" s="44">
        <v>961.1456947736292</v>
      </c>
      <c r="M48" s="44">
        <v>962.71011510884898</v>
      </c>
      <c r="N48" s="44">
        <v>964.20411614556406</v>
      </c>
      <c r="O48" s="44">
        <v>965.63386087655897</v>
      </c>
      <c r="P48" s="44">
        <v>967.00473320289143</v>
      </c>
      <c r="Q48" s="44">
        <v>968.32146425684709</v>
      </c>
      <c r="R48" s="44">
        <v>990.85280567430902</v>
      </c>
      <c r="S48" s="44">
        <v>961.2356704173867</v>
      </c>
      <c r="T48" s="44">
        <v>944.43675170896779</v>
      </c>
      <c r="U48" s="44">
        <v>939.65827556412978</v>
      </c>
      <c r="V48" s="44">
        <v>837.52513173047737</v>
      </c>
      <c r="W48" s="44">
        <v>888.31918449952911</v>
      </c>
      <c r="DA48" s="95" t="s">
        <v>943</v>
      </c>
    </row>
    <row r="49" spans="1:105" ht="12" customHeight="1" x14ac:dyDescent="0.25">
      <c r="A49" s="62" t="s">
        <v>3</v>
      </c>
      <c r="B49" s="186">
        <v>1644.6883003390576</v>
      </c>
      <c r="C49" s="186">
        <v>1662.6921567971808</v>
      </c>
      <c r="D49" s="186">
        <v>1693.2314493132474</v>
      </c>
      <c r="E49" s="186">
        <v>1721.9030720401349</v>
      </c>
      <c r="F49" s="186">
        <v>1751.5427386096446</v>
      </c>
      <c r="G49" s="186">
        <v>1778.9473510288049</v>
      </c>
      <c r="H49" s="186">
        <v>1807.0050028071576</v>
      </c>
      <c r="I49" s="186">
        <v>1828.9576871589206</v>
      </c>
      <c r="J49" s="186">
        <v>1851.2788278950475</v>
      </c>
      <c r="K49" s="186">
        <v>1866.4126349675851</v>
      </c>
      <c r="L49" s="186">
        <v>1889.2507450823455</v>
      </c>
      <c r="M49" s="186">
        <v>1911.6230340369339</v>
      </c>
      <c r="N49" s="186">
        <v>1927.666076739242</v>
      </c>
      <c r="O49" s="186">
        <v>1944.2901050798373</v>
      </c>
      <c r="P49" s="186">
        <v>1962.2447230229957</v>
      </c>
      <c r="Q49" s="186">
        <v>1982.3301961218785</v>
      </c>
      <c r="R49" s="186">
        <v>2038.5175311978637</v>
      </c>
      <c r="S49" s="186">
        <v>2024.0768427801686</v>
      </c>
      <c r="T49" s="186">
        <v>2032.6327557228371</v>
      </c>
      <c r="U49" s="186">
        <v>2061.7664045720071</v>
      </c>
      <c r="V49" s="186">
        <v>1927.3081508266494</v>
      </c>
      <c r="W49" s="186">
        <v>1994.1785063216291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0.76503616206749836</v>
      </c>
      <c r="C52" s="181">
        <v>0.75911849920933916</v>
      </c>
      <c r="D52" s="181">
        <v>0.7514048447793753</v>
      </c>
      <c r="E52" s="181">
        <v>0.74457734571544432</v>
      </c>
      <c r="F52" s="181">
        <v>0.73584616832122907</v>
      </c>
      <c r="G52" s="181">
        <v>0.72743777566069556</v>
      </c>
      <c r="H52" s="181">
        <v>0.71718523796636757</v>
      </c>
      <c r="I52" s="181">
        <v>0.70618646747138114</v>
      </c>
      <c r="J52" s="181">
        <v>0.69643630796987044</v>
      </c>
      <c r="K52" s="181">
        <v>0.6886055796972298</v>
      </c>
      <c r="L52" s="181">
        <v>0.67925141012233381</v>
      </c>
      <c r="M52" s="181">
        <v>0.67016620003880556</v>
      </c>
      <c r="N52" s="181">
        <v>0.66068595055108736</v>
      </c>
      <c r="O52" s="181">
        <v>0.6503410053260853</v>
      </c>
      <c r="P52" s="181">
        <v>0.63817567768609151</v>
      </c>
      <c r="Q52" s="181">
        <v>0.62574567673007053</v>
      </c>
      <c r="R52" s="181">
        <v>0.61349063819045124</v>
      </c>
      <c r="S52" s="181">
        <v>0.60113754298541233</v>
      </c>
      <c r="T52" s="181">
        <v>0.58914717153699037</v>
      </c>
      <c r="U52" s="181">
        <v>0.58020875934223948</v>
      </c>
      <c r="V52" s="181">
        <v>0.5703891164993905</v>
      </c>
      <c r="W52" s="181">
        <v>0.56244824693833184</v>
      </c>
      <c r="DA52" s="190" t="s">
        <v>945</v>
      </c>
    </row>
    <row r="53" spans="1:105" ht="12" customHeight="1" x14ac:dyDescent="0.25">
      <c r="A53" s="132" t="s">
        <v>100</v>
      </c>
      <c r="B53" s="181">
        <v>195.84078294074112</v>
      </c>
      <c r="C53" s="181">
        <v>193.81115229408127</v>
      </c>
      <c r="D53" s="181">
        <v>191.70062816429513</v>
      </c>
      <c r="E53" s="181">
        <v>189.41316541876478</v>
      </c>
      <c r="F53" s="181">
        <v>186.82337091549249</v>
      </c>
      <c r="G53" s="181">
        <v>183.92004796704433</v>
      </c>
      <c r="H53" s="181">
        <v>180.7717335455728</v>
      </c>
      <c r="I53" s="181">
        <v>177.26795238408695</v>
      </c>
      <c r="J53" s="181">
        <v>175.14852441653363</v>
      </c>
      <c r="K53" s="181">
        <v>172.48471283125599</v>
      </c>
      <c r="L53" s="181">
        <v>169.44711957907973</v>
      </c>
      <c r="M53" s="181">
        <v>165.96870420376746</v>
      </c>
      <c r="N53" s="181">
        <v>162.0415146224002</v>
      </c>
      <c r="O53" s="181">
        <v>157.40311605232341</v>
      </c>
      <c r="P53" s="181">
        <v>152.33217036726407</v>
      </c>
      <c r="Q53" s="181">
        <v>146.60166381307386</v>
      </c>
      <c r="R53" s="181">
        <v>140.86977103396453</v>
      </c>
      <c r="S53" s="181">
        <v>135.07310697057659</v>
      </c>
      <c r="T53" s="181">
        <v>128.90869732196401</v>
      </c>
      <c r="U53" s="181">
        <v>122.46436526288021</v>
      </c>
      <c r="V53" s="181">
        <v>116.01508409199057</v>
      </c>
      <c r="W53" s="181">
        <v>110.24113064625601</v>
      </c>
      <c r="DA53" s="190" t="s">
        <v>946</v>
      </c>
    </row>
    <row r="54" spans="1:105" ht="12" customHeight="1" x14ac:dyDescent="0.25">
      <c r="A54" s="132" t="s">
        <v>140</v>
      </c>
      <c r="B54" s="181">
        <v>48.44901713397676</v>
      </c>
      <c r="C54" s="181">
        <v>47.89633879746868</v>
      </c>
      <c r="D54" s="181">
        <v>47.032422475870668</v>
      </c>
      <c r="E54" s="181">
        <v>46.024846255949306</v>
      </c>
      <c r="F54" s="181">
        <v>44.814366570194181</v>
      </c>
      <c r="G54" s="181">
        <v>43.497947728485265</v>
      </c>
      <c r="H54" s="181">
        <v>42.009789821164347</v>
      </c>
      <c r="I54" s="181">
        <v>40.789890212706922</v>
      </c>
      <c r="J54" s="181">
        <v>39.702803859057418</v>
      </c>
      <c r="K54" s="181">
        <v>38.646775343214266</v>
      </c>
      <c r="L54" s="181">
        <v>37.461963246765237</v>
      </c>
      <c r="M54" s="181">
        <v>36.227115579949754</v>
      </c>
      <c r="N54" s="181">
        <v>34.840334208733353</v>
      </c>
      <c r="O54" s="181">
        <v>33.306309462798502</v>
      </c>
      <c r="P54" s="181">
        <v>31.68000835279717</v>
      </c>
      <c r="Q54" s="181">
        <v>30.052983746985042</v>
      </c>
      <c r="R54" s="181">
        <v>28.109480984279323</v>
      </c>
      <c r="S54" s="181">
        <v>26.275626233885021</v>
      </c>
      <c r="T54" s="181">
        <v>24.225285943552993</v>
      </c>
      <c r="U54" s="181">
        <v>22.144575569277915</v>
      </c>
      <c r="V54" s="181">
        <v>20.119714410521251</v>
      </c>
      <c r="W54" s="181">
        <v>18.416143249370542</v>
      </c>
      <c r="DA54" s="190" t="s">
        <v>947</v>
      </c>
    </row>
    <row r="55" spans="1:105" ht="12" customHeight="1" x14ac:dyDescent="0.25">
      <c r="A55" s="132" t="s">
        <v>181</v>
      </c>
      <c r="B55" s="181">
        <v>728.76815977267097</v>
      </c>
      <c r="C55" s="181">
        <v>718.20880631960836</v>
      </c>
      <c r="D55" s="181">
        <v>705.80318624424876</v>
      </c>
      <c r="E55" s="181">
        <v>692.48979723940624</v>
      </c>
      <c r="F55" s="181">
        <v>678.01418155975955</v>
      </c>
      <c r="G55" s="181">
        <v>662.93514818526444</v>
      </c>
      <c r="H55" s="181">
        <v>647.57307885156922</v>
      </c>
      <c r="I55" s="181">
        <v>632.60189671971943</v>
      </c>
      <c r="J55" s="181">
        <v>617.60717450021775</v>
      </c>
      <c r="K55" s="181">
        <v>601.12180975904425</v>
      </c>
      <c r="L55" s="181">
        <v>584.21309964326178</v>
      </c>
      <c r="M55" s="181">
        <v>570.88903229298342</v>
      </c>
      <c r="N55" s="181">
        <v>558.18976800327835</v>
      </c>
      <c r="O55" s="181">
        <v>545.85821048909372</v>
      </c>
      <c r="P55" s="181">
        <v>532.19862059398031</v>
      </c>
      <c r="Q55" s="181">
        <v>517.71293443499292</v>
      </c>
      <c r="R55" s="181">
        <v>504.55924420590657</v>
      </c>
      <c r="S55" s="181">
        <v>492.48295604928654</v>
      </c>
      <c r="T55" s="181">
        <v>481.91590820983203</v>
      </c>
      <c r="U55" s="181">
        <v>471.19798844358388</v>
      </c>
      <c r="V55" s="181">
        <v>461.32030060431993</v>
      </c>
      <c r="W55" s="181">
        <v>452.55749231755561</v>
      </c>
      <c r="DA55" s="190" t="s">
        <v>948</v>
      </c>
    </row>
    <row r="56" spans="1:105" ht="12" customHeight="1" x14ac:dyDescent="0.25">
      <c r="A56" s="60" t="s">
        <v>99</v>
      </c>
      <c r="B56" s="55">
        <v>51.300374642193631</v>
      </c>
      <c r="C56" s="55">
        <v>50.968279681671035</v>
      </c>
      <c r="D56" s="55">
        <v>50.587176410136095</v>
      </c>
      <c r="E56" s="55">
        <v>50.225061637611141</v>
      </c>
      <c r="F56" s="55">
        <v>49.780632638073527</v>
      </c>
      <c r="G56" s="55">
        <v>49.251109084673061</v>
      </c>
      <c r="H56" s="55">
        <v>48.568196296764455</v>
      </c>
      <c r="I56" s="55">
        <v>47.955864170837337</v>
      </c>
      <c r="J56" s="55">
        <v>47.451622592147906</v>
      </c>
      <c r="K56" s="55">
        <v>47.030688605712854</v>
      </c>
      <c r="L56" s="55">
        <v>46.660945573644355</v>
      </c>
      <c r="M56" s="55">
        <v>46.291242067335133</v>
      </c>
      <c r="N56" s="55">
        <v>45.852232755009815</v>
      </c>
      <c r="O56" s="55">
        <v>45.344510445885206</v>
      </c>
      <c r="P56" s="55">
        <v>44.656610092731498</v>
      </c>
      <c r="Q56" s="55">
        <v>43.936873173127054</v>
      </c>
      <c r="R56" s="55">
        <v>43.204516199184383</v>
      </c>
      <c r="S56" s="55">
        <v>42.383535457800214</v>
      </c>
      <c r="T56" s="55">
        <v>41.538419626083638</v>
      </c>
      <c r="U56" s="55">
        <v>40.54197406291199</v>
      </c>
      <c r="V56" s="55">
        <v>39.447873733888002</v>
      </c>
      <c r="W56" s="55">
        <v>38.085676491811469</v>
      </c>
      <c r="DA56" s="101" t="s">
        <v>949</v>
      </c>
    </row>
    <row r="57" spans="1:105" ht="12" customHeight="1" x14ac:dyDescent="0.25">
      <c r="A57" s="62" t="s">
        <v>98</v>
      </c>
      <c r="B57" s="63">
        <v>392.10029695622126</v>
      </c>
      <c r="C57" s="63">
        <v>382.14591744000086</v>
      </c>
      <c r="D57" s="63">
        <v>369.07586315396799</v>
      </c>
      <c r="E57" s="63">
        <v>360.59958835729708</v>
      </c>
      <c r="F57" s="63">
        <v>345.04719439701097</v>
      </c>
      <c r="G57" s="63">
        <v>331.30487928746851</v>
      </c>
      <c r="H57" s="63">
        <v>312.55850391227409</v>
      </c>
      <c r="I57" s="63">
        <v>290.04360349522472</v>
      </c>
      <c r="J57" s="63">
        <v>277.45364618417432</v>
      </c>
      <c r="K57" s="63">
        <v>260.46882998466015</v>
      </c>
      <c r="L57" s="63">
        <v>246.60132054281328</v>
      </c>
      <c r="M57" s="63">
        <v>226.89471478073131</v>
      </c>
      <c r="N57" s="63">
        <v>208.75270445778276</v>
      </c>
      <c r="O57" s="63">
        <v>197.46517810193066</v>
      </c>
      <c r="P57" s="63">
        <v>188.86262671000148</v>
      </c>
      <c r="Q57" s="63">
        <v>184.71762223843024</v>
      </c>
      <c r="R57" s="63">
        <v>180.26327913759832</v>
      </c>
      <c r="S57" s="63">
        <v>176.3584596549654</v>
      </c>
      <c r="T57" s="63">
        <v>172.52181533117471</v>
      </c>
      <c r="U57" s="63">
        <v>169.3007199801103</v>
      </c>
      <c r="V57" s="63">
        <v>165.83394128759346</v>
      </c>
      <c r="W57" s="63">
        <v>161.44959461202131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0.68234880772641737</v>
      </c>
      <c r="D60" s="181">
        <v>0.67453549035490512</v>
      </c>
      <c r="E60" s="181">
        <v>0.66645448943964924</v>
      </c>
      <c r="F60" s="181">
        <v>0.65719663380457005</v>
      </c>
      <c r="G60" s="181">
        <v>0.64841917630416701</v>
      </c>
      <c r="H60" s="181">
        <v>0.64099249707482808</v>
      </c>
      <c r="I60" s="181">
        <v>0.63167520560340595</v>
      </c>
      <c r="J60" s="181">
        <v>0.62179095549761099</v>
      </c>
      <c r="K60" s="181">
        <v>0.611114375472676</v>
      </c>
      <c r="L60" s="181">
        <v>0.59753021809383655</v>
      </c>
      <c r="M60" s="181">
        <v>0.58582859822558409</v>
      </c>
      <c r="N60" s="181">
        <v>0.5707596178405292</v>
      </c>
      <c r="O60" s="181">
        <v>0.55600000514370418</v>
      </c>
      <c r="P60" s="181">
        <v>0.53966815411802149</v>
      </c>
      <c r="Q60" s="181">
        <v>0.52278762230036002</v>
      </c>
      <c r="R60" s="181">
        <v>0.51939227266510501</v>
      </c>
      <c r="S60" s="181">
        <v>0.51436004368342192</v>
      </c>
      <c r="T60" s="181">
        <v>0.50947136993307152</v>
      </c>
      <c r="U60" s="181">
        <v>0.50492960992237357</v>
      </c>
      <c r="V60" s="181">
        <v>0.50047696297575206</v>
      </c>
      <c r="W60" s="181">
        <v>0.49869157837617323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182.64603398032807</v>
      </c>
      <c r="D61" s="181">
        <v>181.96913089347657</v>
      </c>
      <c r="E61" s="181">
        <v>180.40829436177913</v>
      </c>
      <c r="F61" s="181">
        <v>178.18595406106471</v>
      </c>
      <c r="G61" s="181">
        <v>175.61275878457403</v>
      </c>
      <c r="H61" s="181">
        <v>173.60371835378371</v>
      </c>
      <c r="I61" s="181">
        <v>170.62840752310268</v>
      </c>
      <c r="J61" s="181">
        <v>167.4910860910783</v>
      </c>
      <c r="K61" s="181">
        <v>163.50404575920092</v>
      </c>
      <c r="L61" s="181">
        <v>159.34043436092091</v>
      </c>
      <c r="M61" s="181">
        <v>155.02728585026466</v>
      </c>
      <c r="N61" s="181">
        <v>150.07540663223247</v>
      </c>
      <c r="O61" s="181">
        <v>143.70425446625978</v>
      </c>
      <c r="P61" s="181">
        <v>137.17818602995763</v>
      </c>
      <c r="Q61" s="181">
        <v>128.69378975774353</v>
      </c>
      <c r="R61" s="181">
        <v>121.42398064007229</v>
      </c>
      <c r="S61" s="181">
        <v>115.78516771946553</v>
      </c>
      <c r="T61" s="181">
        <v>110.14040528690153</v>
      </c>
      <c r="U61" s="181">
        <v>104.49301098610623</v>
      </c>
      <c r="V61" s="181">
        <v>98.850176922918294</v>
      </c>
      <c r="W61" s="181">
        <v>96.69598694675112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45.395208405169107</v>
      </c>
      <c r="D62" s="181">
        <v>43.806555690529095</v>
      </c>
      <c r="E62" s="181">
        <v>42.759566209662559</v>
      </c>
      <c r="F62" s="181">
        <v>41.671131763860068</v>
      </c>
      <c r="G62" s="181">
        <v>40.493424025554255</v>
      </c>
      <c r="H62" s="181">
        <v>39.337856178213158</v>
      </c>
      <c r="I62" s="181">
        <v>38.184714097087564</v>
      </c>
      <c r="J62" s="181">
        <v>37.13354325795811</v>
      </c>
      <c r="K62" s="181">
        <v>35.764832158776677</v>
      </c>
      <c r="L62" s="181">
        <v>34.580093613433341</v>
      </c>
      <c r="M62" s="181">
        <v>32.831695461620669</v>
      </c>
      <c r="N62" s="181">
        <v>31.389452908167836</v>
      </c>
      <c r="O62" s="181">
        <v>29.766127506087084</v>
      </c>
      <c r="P62" s="181">
        <v>27.92592333282651</v>
      </c>
      <c r="Q62" s="181">
        <v>25.48066539682636</v>
      </c>
      <c r="R62" s="181">
        <v>22.567433877987945</v>
      </c>
      <c r="S62" s="181">
        <v>21.206023336560541</v>
      </c>
      <c r="T62" s="181">
        <v>19.154094038488832</v>
      </c>
      <c r="U62" s="181">
        <v>17.524975895236544</v>
      </c>
      <c r="V62" s="181">
        <v>16.19245204132017</v>
      </c>
      <c r="W62" s="181">
        <v>14.748325400629273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648.63381624167096</v>
      </c>
      <c r="D63" s="181">
        <v>629.96401248635129</v>
      </c>
      <c r="E63" s="181">
        <v>616.18061290208868</v>
      </c>
      <c r="F63" s="181">
        <v>602.36824985934265</v>
      </c>
      <c r="G63" s="181">
        <v>592.54982819874567</v>
      </c>
      <c r="H63" s="181">
        <v>581.85529036690298</v>
      </c>
      <c r="I63" s="181">
        <v>571.1383087349335</v>
      </c>
      <c r="J63" s="181">
        <v>557.00004148670712</v>
      </c>
      <c r="K63" s="181">
        <v>542.09992011113343</v>
      </c>
      <c r="L63" s="181">
        <v>527.96459436060502</v>
      </c>
      <c r="M63" s="181">
        <v>510.54851366041709</v>
      </c>
      <c r="N63" s="181">
        <v>501.84233144588137</v>
      </c>
      <c r="O63" s="181">
        <v>491.93464971479563</v>
      </c>
      <c r="P63" s="181">
        <v>472.33479148941632</v>
      </c>
      <c r="Q63" s="181">
        <v>461.76059097899252</v>
      </c>
      <c r="R63" s="181">
        <v>455.00350968494234</v>
      </c>
      <c r="S63" s="181">
        <v>446.72796618953714</v>
      </c>
      <c r="T63" s="181">
        <v>438.65902431929919</v>
      </c>
      <c r="U63" s="181">
        <v>430.93893929431459</v>
      </c>
      <c r="V63" s="181">
        <v>423.32386996509541</v>
      </c>
      <c r="W63" s="181">
        <v>413.6913530682744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48.14376461229255</v>
      </c>
      <c r="D64" s="55">
        <v>47.792446925585871</v>
      </c>
      <c r="E64" s="55">
        <v>47.405701886862126</v>
      </c>
      <c r="F64" s="55">
        <v>47.003100257874038</v>
      </c>
      <c r="G64" s="55">
        <v>46.518103990720824</v>
      </c>
      <c r="H64" s="55">
        <v>45.94309229143289</v>
      </c>
      <c r="I64" s="55">
        <v>45.269377414787961</v>
      </c>
      <c r="J64" s="55">
        <v>44.656345534167443</v>
      </c>
      <c r="K64" s="55">
        <v>43.715416481913941</v>
      </c>
      <c r="L64" s="55">
        <v>42.745645662614017</v>
      </c>
      <c r="M64" s="55">
        <v>41.499985512367317</v>
      </c>
      <c r="N64" s="55">
        <v>40.135337148123206</v>
      </c>
      <c r="O64" s="55">
        <v>38.886521792450537</v>
      </c>
      <c r="P64" s="55">
        <v>37.647779394644573</v>
      </c>
      <c r="Q64" s="55">
        <v>36.465642833169944</v>
      </c>
      <c r="R64" s="55">
        <v>36.01190084673361</v>
      </c>
      <c r="S64" s="55">
        <v>35.465021945572758</v>
      </c>
      <c r="T64" s="55">
        <v>34.942829737944884</v>
      </c>
      <c r="U64" s="55">
        <v>34.437039378387361</v>
      </c>
      <c r="V64" s="55">
        <v>33.93803322050239</v>
      </c>
      <c r="W64" s="55">
        <v>33.686070774271499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359.16718971133992</v>
      </c>
      <c r="D65" s="63">
        <v>345.29502865726243</v>
      </c>
      <c r="E65" s="63">
        <v>332.05786616496277</v>
      </c>
      <c r="F65" s="63">
        <v>315.5098791240103</v>
      </c>
      <c r="G65" s="63">
        <v>299.44821176288866</v>
      </c>
      <c r="H65" s="63">
        <v>282.47978988154682</v>
      </c>
      <c r="I65" s="63">
        <v>264.00502086804539</v>
      </c>
      <c r="J65" s="63">
        <v>246.0273261688628</v>
      </c>
      <c r="K65" s="63">
        <v>228.88652929904268</v>
      </c>
      <c r="L65" s="63">
        <v>207.45930206749259</v>
      </c>
      <c r="M65" s="63">
        <v>195.82542817175022</v>
      </c>
      <c r="N65" s="63">
        <v>188.1650778066832</v>
      </c>
      <c r="O65" s="63">
        <v>183.05367033263124</v>
      </c>
      <c r="P65" s="63">
        <v>179.01741457450225</v>
      </c>
      <c r="Q65" s="63">
        <v>178.23342128944</v>
      </c>
      <c r="R65" s="63">
        <v>174.31073032814285</v>
      </c>
      <c r="S65" s="63">
        <v>169.76317635502167</v>
      </c>
      <c r="T65" s="63">
        <v>165.27083489434443</v>
      </c>
      <c r="U65" s="63">
        <v>160.96396339343164</v>
      </c>
      <c r="V65" s="63">
        <v>156.70815347865994</v>
      </c>
      <c r="W65" s="63">
        <v>153.74951745297048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370.7784646169481</v>
      </c>
      <c r="C68" s="188">
        <f>1000000*C20/SER_summary!C$8</f>
        <v>372.23562136242134</v>
      </c>
      <c r="D68" s="188">
        <f>1000000*D20/SER_summary!D$8</f>
        <v>376.7279044070512</v>
      </c>
      <c r="E68" s="188">
        <f>1000000*E20/SER_summary!E$8</f>
        <v>379.88861746319776</v>
      </c>
      <c r="F68" s="188">
        <f>1000000*F20/SER_summary!F$8</f>
        <v>385.32046423034791</v>
      </c>
      <c r="G68" s="188">
        <f>1000000*G20/SER_summary!G$8</f>
        <v>390.20334340319363</v>
      </c>
      <c r="H68" s="188">
        <f>1000000*H20/SER_summary!H$8</f>
        <v>396.64165534782393</v>
      </c>
      <c r="I68" s="188">
        <f>1000000*I20/SER_summary!I$8</f>
        <v>402.69265922342902</v>
      </c>
      <c r="J68" s="188">
        <f>1000000*J20/SER_summary!J$8</f>
        <v>413.29694925248805</v>
      </c>
      <c r="K68" s="188">
        <f>1000000*K20/SER_summary!K$8</f>
        <v>421.42229874516477</v>
      </c>
      <c r="L68" s="188">
        <f>1000000*L20/SER_summary!L$8</f>
        <v>434.02425532697424</v>
      </c>
      <c r="M68" s="188">
        <f>1000000*M20/SER_summary!M$8</f>
        <v>445.29153657137283</v>
      </c>
      <c r="N68" s="188">
        <f>1000000*N20/SER_summary!N$8</f>
        <v>457.01705358064299</v>
      </c>
      <c r="O68" s="188">
        <f>1000000*O20/SER_summary!O$8</f>
        <v>469.45382302898832</v>
      </c>
      <c r="P68" s="188">
        <f>1000000*P20/SER_summary!P$8</f>
        <v>483.18087504316719</v>
      </c>
      <c r="Q68" s="188">
        <f>1000000*Q20/SER_summary!Q$8</f>
        <v>497.52219999730539</v>
      </c>
      <c r="R68" s="188">
        <f>1000000*R20/SER_summary!R$8</f>
        <v>511.81704400260315</v>
      </c>
      <c r="S68" s="188">
        <f>1000000*S20/SER_summary!S$8</f>
        <v>526.16747103093019</v>
      </c>
      <c r="T68" s="188">
        <f>1000000*T20/SER_summary!T$8</f>
        <v>540.27951767871332</v>
      </c>
      <c r="U68" s="188">
        <f>1000000*U20/SER_summary!U$8</f>
        <v>553.97489107290505</v>
      </c>
      <c r="V68" s="188">
        <f>1000000*V20/SER_summary!V$8</f>
        <v>566.92172428547894</v>
      </c>
      <c r="W68" s="188">
        <f>1000000*W20/SER_summary!W$8</f>
        <v>578.82581607210818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8.4573534801993089E-2</v>
      </c>
      <c r="C69" s="188">
        <f>1000*C21/SER_summary!C$3</f>
        <v>8.7306978692738513E-2</v>
      </c>
      <c r="D69" s="188">
        <f>1000*D21/SER_summary!D$3</f>
        <v>9.0308002327855741E-2</v>
      </c>
      <c r="E69" s="188">
        <f>1000*E21/SER_summary!E$3</f>
        <v>9.3482401735691209E-2</v>
      </c>
      <c r="F69" s="188">
        <f>1000*F21/SER_summary!F$3</f>
        <v>9.6925497626912216E-2</v>
      </c>
      <c r="G69" s="188">
        <f>1000*G21/SER_summary!G$3</f>
        <v>0.10029807554457427</v>
      </c>
      <c r="H69" s="188">
        <f>1000*H21/SER_summary!H$3</f>
        <v>0.10361851076005155</v>
      </c>
      <c r="I69" s="188">
        <f>1000*I21/SER_summary!I$3</f>
        <v>0.10645299838816646</v>
      </c>
      <c r="J69" s="188">
        <f>1000*J21/SER_summary!J$3</f>
        <v>0.10961231092701837</v>
      </c>
      <c r="K69" s="188">
        <f>1000*K21/SER_summary!K$3</f>
        <v>0.11192557764880338</v>
      </c>
      <c r="L69" s="188">
        <f>1000*L21/SER_summary!L$3</f>
        <v>0.11461966988359419</v>
      </c>
      <c r="M69" s="188">
        <f>1000*M21/SER_summary!M$3</f>
        <v>0.11888419463828202</v>
      </c>
      <c r="N69" s="188">
        <f>1000*N21/SER_summary!N$3</f>
        <v>0.12446627800547523</v>
      </c>
      <c r="O69" s="188">
        <f>1000*O21/SER_summary!O$3</f>
        <v>0.13107487346581673</v>
      </c>
      <c r="P69" s="188">
        <f>1000*P21/SER_summary!P$3</f>
        <v>0.13877906916350483</v>
      </c>
      <c r="Q69" s="188">
        <f>1000*Q21/SER_summary!Q$3</f>
        <v>0.14830263377324904</v>
      </c>
      <c r="R69" s="188">
        <f>1000*R21/SER_summary!R$3</f>
        <v>0.15473415347991712</v>
      </c>
      <c r="S69" s="188">
        <f>1000*S21/SER_summary!S$3</f>
        <v>0.16115440794020003</v>
      </c>
      <c r="T69" s="188">
        <f>1000*T21/SER_summary!T$3</f>
        <v>0.16764398539890971</v>
      </c>
      <c r="U69" s="188">
        <f>1000*U21/SER_summary!U$3</f>
        <v>0.17269652027475058</v>
      </c>
      <c r="V69" s="188">
        <f>1000*V21/SER_summary!V$3</f>
        <v>0.17693190149207222</v>
      </c>
      <c r="W69" s="188">
        <f>1000*W21/SER_summary!W$3</f>
        <v>0.18027142090957179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165.51939258741231</v>
      </c>
      <c r="C70" s="188">
        <f>1000000*C22/SER_summary!C$8</f>
        <v>166.15866521593878</v>
      </c>
      <c r="D70" s="188">
        <f>1000000*D22/SER_summary!D$8</f>
        <v>167.30192911138033</v>
      </c>
      <c r="E70" s="188">
        <f>1000000*E22/SER_summary!E$8</f>
        <v>170.07889678082469</v>
      </c>
      <c r="F70" s="188">
        <f>1000000*F22/SER_summary!F$8</f>
        <v>173.7470350923364</v>
      </c>
      <c r="G70" s="188">
        <f>1000000*G22/SER_summary!G$8</f>
        <v>177.16662594894174</v>
      </c>
      <c r="H70" s="188">
        <f>1000000*H22/SER_summary!H$8</f>
        <v>180.90514502552151</v>
      </c>
      <c r="I70" s="188">
        <f>1000000*I22/SER_summary!I$8</f>
        <v>184.75982779151877</v>
      </c>
      <c r="J70" s="188">
        <f>1000000*J22/SER_summary!J$8</f>
        <v>189.17542967486423</v>
      </c>
      <c r="K70" s="188">
        <f>1000000*K22/SER_summary!K$8</f>
        <v>194.07739705418453</v>
      </c>
      <c r="L70" s="188">
        <f>1000000*L22/SER_summary!L$8</f>
        <v>200.91070160469067</v>
      </c>
      <c r="M70" s="188">
        <f>1000000*M22/SER_summary!M$8</f>
        <v>208.63862221762943</v>
      </c>
      <c r="N70" s="188">
        <f>1000000*N22/SER_summary!N$8</f>
        <v>217.65380922619323</v>
      </c>
      <c r="O70" s="188">
        <f>1000000*O22/SER_summary!O$8</f>
        <v>225.98605316066906</v>
      </c>
      <c r="P70" s="188">
        <f>1000000*P22/SER_summary!P$8</f>
        <v>236.68567097594968</v>
      </c>
      <c r="Q70" s="188">
        <f>1000000*Q22/SER_summary!Q$8</f>
        <v>248.77732021805946</v>
      </c>
      <c r="R70" s="188">
        <f>1000000*R22/SER_summary!R$8</f>
        <v>254.96210908076301</v>
      </c>
      <c r="S70" s="188">
        <f>1000000*S22/SER_summary!S$8</f>
        <v>261.24233284949617</v>
      </c>
      <c r="T70" s="188">
        <f>1000000*T22/SER_summary!T$8</f>
        <v>267.20820523197278</v>
      </c>
      <c r="U70" s="188">
        <f>1000000*U22/SER_summary!U$8</f>
        <v>272.60912023213609</v>
      </c>
      <c r="V70" s="188">
        <f>1000000*V22/SER_summary!V$8</f>
        <v>276.97804330130106</v>
      </c>
      <c r="W70" s="188">
        <f>1000000*W22/SER_summary!W$8</f>
        <v>279.52262851765397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1.7952850729850225E-2</v>
      </c>
      <c r="C71" s="188">
        <f>1000*C23/SER_summary!C$3</f>
        <v>1.8776210460426965E-2</v>
      </c>
      <c r="D71" s="188">
        <f>1000*D23/SER_summary!D$3</f>
        <v>1.9640873154029816E-2</v>
      </c>
      <c r="E71" s="188">
        <f>1000*E23/SER_summary!E$3</f>
        <v>2.0555274958018819E-2</v>
      </c>
      <c r="F71" s="188">
        <f>1000*F23/SER_summary!F$3</f>
        <v>2.1581914047207763E-2</v>
      </c>
      <c r="G71" s="188">
        <f>1000*G23/SER_summary!G$3</f>
        <v>2.277497032818503E-2</v>
      </c>
      <c r="H71" s="188">
        <f>1000*H23/SER_summary!H$3</f>
        <v>2.4001263802955131E-2</v>
      </c>
      <c r="I71" s="188">
        <f>1000*I23/SER_summary!I$3</f>
        <v>2.5054662918587663E-2</v>
      </c>
      <c r="J71" s="188">
        <f>1000*J23/SER_summary!J$3</f>
        <v>2.5964352405679677E-2</v>
      </c>
      <c r="K71" s="188">
        <f>1000*K23/SER_summary!K$3</f>
        <v>2.6892421464408876E-2</v>
      </c>
      <c r="L71" s="188">
        <f>1000*L23/SER_summary!L$3</f>
        <v>2.7903313635994395E-2</v>
      </c>
      <c r="M71" s="188">
        <f>1000*M23/SER_summary!M$3</f>
        <v>2.8515412888244468E-2</v>
      </c>
      <c r="N71" s="188">
        <f>1000*N23/SER_summary!N$3</f>
        <v>2.9199681991044769E-2</v>
      </c>
      <c r="O71" s="188">
        <f>1000*O23/SER_summary!O$3</f>
        <v>2.9971382967538124E-2</v>
      </c>
      <c r="P71" s="188">
        <f>1000*P23/SER_summary!P$3</f>
        <v>3.0940763033768168E-2</v>
      </c>
      <c r="Q71" s="188">
        <f>1000*Q23/SER_summary!Q$3</f>
        <v>3.2193925019736447E-2</v>
      </c>
      <c r="R71" s="188">
        <f>1000*R23/SER_summary!R$3</f>
        <v>3.3040124211054206E-2</v>
      </c>
      <c r="S71" s="188">
        <f>1000*S23/SER_summary!S$3</f>
        <v>3.3879669562196901E-2</v>
      </c>
      <c r="T71" s="188">
        <f>1000*T23/SER_summary!T$3</f>
        <v>3.4751703774356386E-2</v>
      </c>
      <c r="U71" s="188">
        <f>1000*U23/SER_summary!U$3</f>
        <v>3.5358500989535711E-2</v>
      </c>
      <c r="V71" s="188">
        <f>1000*V23/SER_summary!V$3</f>
        <v>3.5856087514527804E-2</v>
      </c>
      <c r="W71" s="188">
        <f>1000*W23/SER_summary!W$3</f>
        <v>3.625996271507817E-2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81.49650091406599</v>
      </c>
      <c r="C72" s="188">
        <f>1000000*C24/SER_summary!C$8</f>
        <v>86.214098039418275</v>
      </c>
      <c r="D72" s="188">
        <f>1000000*D24/SER_summary!D$8</f>
        <v>91.440742413130238</v>
      </c>
      <c r="E72" s="188">
        <f>1000000*E24/SER_summary!E$8</f>
        <v>97.004549597639382</v>
      </c>
      <c r="F72" s="188">
        <f>1000000*F24/SER_summary!F$8</f>
        <v>104.00764245408381</v>
      </c>
      <c r="G72" s="188">
        <f>1000000*G24/SER_summary!G$8</f>
        <v>114.92724271436794</v>
      </c>
      <c r="H72" s="188">
        <f>1000000*H24/SER_summary!H$8</f>
        <v>131.19669979183215</v>
      </c>
      <c r="I72" s="188">
        <f>1000000*I24/SER_summary!I$8</f>
        <v>144.17639712654463</v>
      </c>
      <c r="J72" s="188">
        <f>1000000*J24/SER_summary!J$8</f>
        <v>156.25638102422567</v>
      </c>
      <c r="K72" s="188">
        <f>1000000*K24/SER_summary!K$8</f>
        <v>165.27499984046474</v>
      </c>
      <c r="L72" s="188">
        <f>1000000*L24/SER_summary!L$8</f>
        <v>169.39617927160501</v>
      </c>
      <c r="M72" s="188">
        <f>1000000*M24/SER_summary!M$8</f>
        <v>171.42158804881302</v>
      </c>
      <c r="N72" s="188">
        <f>1000000*N24/SER_summary!N$8</f>
        <v>173.58469849664556</v>
      </c>
      <c r="O72" s="188">
        <f>1000000*O24/SER_summary!O$8</f>
        <v>175.00633014806405</v>
      </c>
      <c r="P72" s="188">
        <f>1000000*P24/SER_summary!P$8</f>
        <v>176.89707693847276</v>
      </c>
      <c r="Q72" s="188">
        <f>1000000*Q24/SER_summary!Q$8</f>
        <v>177.84152574481826</v>
      </c>
      <c r="R72" s="188">
        <f>1000000*R24/SER_summary!R$8</f>
        <v>182.89625592339399</v>
      </c>
      <c r="S72" s="188">
        <f>1000000*S24/SER_summary!S$8</f>
        <v>187.60626749056135</v>
      </c>
      <c r="T72" s="188">
        <f>1000000*T24/SER_summary!T$8</f>
        <v>193.91427396732902</v>
      </c>
      <c r="U72" s="188">
        <f>1000000*U24/SER_summary!U$8</f>
        <v>201.9245205345984</v>
      </c>
      <c r="V72" s="188">
        <f>1000000*V24/SER_summary!V$8</f>
        <v>209.07384907325127</v>
      </c>
      <c r="W72" s="188">
        <f>1000000*W24/SER_summary!W$8</f>
        <v>214.98810765772402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0.10125288133951454</v>
      </c>
      <c r="C73" s="52">
        <f>1000*C25/SER_summary!C$3</f>
        <v>0.11595603884135719</v>
      </c>
      <c r="D73" s="52">
        <f>1000*D25/SER_summary!D$3</f>
        <v>0.13959998848139615</v>
      </c>
      <c r="E73" s="52">
        <f>1000*E25/SER_summary!E$3</f>
        <v>0.13852161180631467</v>
      </c>
      <c r="F73" s="52">
        <f>1000*F25/SER_summary!F$3</f>
        <v>0.15902802709523761</v>
      </c>
      <c r="G73" s="52">
        <f>1000*G25/SER_summary!G$3</f>
        <v>0.16889072567082206</v>
      </c>
      <c r="H73" s="52">
        <f>1000*H25/SER_summary!H$3</f>
        <v>0.18459388511583652</v>
      </c>
      <c r="I73" s="52">
        <f>1000*I25/SER_summary!I$3</f>
        <v>0.20657490090435027</v>
      </c>
      <c r="J73" s="52">
        <f>1000*J25/SER_summary!J$3</f>
        <v>0.23727067393165463</v>
      </c>
      <c r="K73" s="52">
        <f>1000*K25/SER_summary!K$3</f>
        <v>0.25107150584881704</v>
      </c>
      <c r="L73" s="52">
        <f>1000*L25/SER_summary!L$3</f>
        <v>0.26855002325028016</v>
      </c>
      <c r="M73" s="52">
        <f>1000*M25/SER_summary!M$3</f>
        <v>0.29918741147824418</v>
      </c>
      <c r="N73" s="52">
        <f>1000*N25/SER_summary!N$3</f>
        <v>0.32241252936590253</v>
      </c>
      <c r="O73" s="52">
        <f>1000*O25/SER_summary!O$3</f>
        <v>0.361920737758544</v>
      </c>
      <c r="P73" s="52">
        <f>1000*P25/SER_summary!P$3</f>
        <v>0.39558486794679815</v>
      </c>
      <c r="Q73" s="52">
        <f>1000*Q25/SER_summary!Q$3</f>
        <v>0.43030979074119341</v>
      </c>
      <c r="R73" s="52">
        <f>1000*R25/SER_summary!R$3</f>
        <v>0.46141803638618339</v>
      </c>
      <c r="S73" s="52">
        <f>1000*S25/SER_summary!S$3</f>
        <v>0.48729053338155531</v>
      </c>
      <c r="T73" s="52">
        <f>1000*T25/SER_summary!T$3</f>
        <v>0.52841495686527684</v>
      </c>
      <c r="U73" s="52">
        <f>1000*U25/SER_summary!U$3</f>
        <v>0.5352425465782088</v>
      </c>
      <c r="V73" s="52">
        <f>1000*V25/SER_summary!V$3</f>
        <v>0.53981498555822649</v>
      </c>
      <c r="W73" s="52">
        <f>1000*W25/SER_summary!W$3</f>
        <v>0.54989160761861189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4.3676494747538648</v>
      </c>
      <c r="C3" s="199">
        <f>'SER_se-appl'!C4</f>
        <v>4.4654699872218213</v>
      </c>
      <c r="D3" s="199">
        <f>'SER_se-appl'!D4</f>
        <v>4.6383855148040389</v>
      </c>
      <c r="E3" s="199">
        <f>'SER_se-appl'!E4</f>
        <v>4.7519202378823007</v>
      </c>
      <c r="F3" s="199">
        <f>'SER_se-appl'!F4</f>
        <v>4.94589680867929</v>
      </c>
      <c r="G3" s="199">
        <f>'SER_se-appl'!G4</f>
        <v>5.1124455350252234</v>
      </c>
      <c r="H3" s="199">
        <f>'SER_se-appl'!H4</f>
        <v>5.3862369811370243</v>
      </c>
      <c r="I3" s="199">
        <f>'SER_se-appl'!I4</f>
        <v>5.7165182977501923</v>
      </c>
      <c r="J3" s="199">
        <f>'SER_se-appl'!J4</f>
        <v>5.9716785871429803</v>
      </c>
      <c r="K3" s="199">
        <f>'SER_se-appl'!K4</f>
        <v>6.0778377679211841</v>
      </c>
      <c r="L3" s="199">
        <f>'SER_se-appl'!L4</f>
        <v>6.2383834337719613</v>
      </c>
      <c r="M3" s="199">
        <f>'SER_se-appl'!M4</f>
        <v>6.3519180299929969</v>
      </c>
      <c r="N3" s="199">
        <f>'SER_se-appl'!N4</f>
        <v>6.4418630429607981</v>
      </c>
      <c r="O3" s="199">
        <f>'SER_se-appl'!O4</f>
        <v>6.5376452105728902</v>
      </c>
      <c r="P3" s="199">
        <f>'SER_se-appl'!P4</f>
        <v>6.6880708582399562</v>
      </c>
      <c r="Q3" s="199">
        <f>'SER_se-appl'!Q4</f>
        <v>6.8107797617775327</v>
      </c>
      <c r="R3" s="199">
        <f>'SER_se-appl'!R4</f>
        <v>6.944436177225108</v>
      </c>
      <c r="S3" s="199">
        <f>'SER_se-appl'!S4</f>
        <v>7.1013905121328493</v>
      </c>
      <c r="T3" s="199">
        <f>'SER_se-appl'!T4</f>
        <v>7.255281948593626</v>
      </c>
      <c r="U3" s="199">
        <f>'SER_se-appl'!U4</f>
        <v>7.4179289488441187</v>
      </c>
      <c r="V3" s="199">
        <f>'SER_se-appl'!V4</f>
        <v>7.5425129258362569</v>
      </c>
      <c r="W3" s="199">
        <f>'SER_se-appl'!W4</f>
        <v>7.6669077635648071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5.7986031268707139</v>
      </c>
      <c r="C5" s="59">
        <f>'SER_se-appl'!C12</f>
        <v>5.9284721405696086</v>
      </c>
      <c r="D5" s="59">
        <f>'SER_se-appl'!D12</f>
        <v>6.1580392165720275</v>
      </c>
      <c r="E5" s="59">
        <f>'SER_se-appl'!E12</f>
        <v>6.3087708181017303</v>
      </c>
      <c r="F5" s="59">
        <f>'SER_se-appl'!F12</f>
        <v>6.5662990736233029</v>
      </c>
      <c r="G5" s="59">
        <f>'SER_se-appl'!G12</f>
        <v>6.7874134215003821</v>
      </c>
      <c r="H5" s="59">
        <f>'SER_se-appl'!H12</f>
        <v>7.1509059464182183</v>
      </c>
      <c r="I5" s="59">
        <f>'SER_se-appl'!I12</f>
        <v>7.5893958679035078</v>
      </c>
      <c r="J5" s="59">
        <f>'SER_se-appl'!J12</f>
        <v>7.9281531927480451</v>
      </c>
      <c r="K5" s="59">
        <f>'SER_se-appl'!K12</f>
        <v>8.0690928357218432</v>
      </c>
      <c r="L5" s="59">
        <f>'SER_se-appl'!L12</f>
        <v>8.2822373669826419</v>
      </c>
      <c r="M5" s="59">
        <f>'SER_se-appl'!M12</f>
        <v>8.4329688000934446</v>
      </c>
      <c r="N5" s="59">
        <f>'SER_se-appl'!N12</f>
        <v>8.5523820992733004</v>
      </c>
      <c r="O5" s="59">
        <f>'SER_se-appl'!O12</f>
        <v>8.6795449542194891</v>
      </c>
      <c r="P5" s="59">
        <f>'SER_se-appl'!P12</f>
        <v>8.8792538905628646</v>
      </c>
      <c r="Q5" s="59">
        <f>'SER_se-appl'!Q12</f>
        <v>9.0421653686612657</v>
      </c>
      <c r="R5" s="59">
        <f>'SER_se-appl'!R12</f>
        <v>9.2196110435077632</v>
      </c>
      <c r="S5" s="59">
        <f>'SER_se-appl'!S12</f>
        <v>9.4279876319754621</v>
      </c>
      <c r="T5" s="59">
        <f>'SER_se-appl'!T12</f>
        <v>9.6322978381442788</v>
      </c>
      <c r="U5" s="59">
        <f>'SER_se-appl'!U12</f>
        <v>9.8482321546868814</v>
      </c>
      <c r="V5" s="59">
        <f>'SER_se-appl'!V12</f>
        <v>10.013633028250645</v>
      </c>
      <c r="W5" s="59">
        <f>'SER_se-appl'!W12</f>
        <v>10.178782795691633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370.7784646169481</v>
      </c>
      <c r="C6" s="202">
        <f>'SER_se-appl'!C68</f>
        <v>372.23562136242134</v>
      </c>
      <c r="D6" s="202">
        <f>'SER_se-appl'!D68</f>
        <v>376.7279044070512</v>
      </c>
      <c r="E6" s="202">
        <f>'SER_se-appl'!E68</f>
        <v>379.88861746319776</v>
      </c>
      <c r="F6" s="202">
        <f>'SER_se-appl'!F68</f>
        <v>385.32046423034791</v>
      </c>
      <c r="G6" s="202">
        <f>'SER_se-appl'!G68</f>
        <v>390.20334340319363</v>
      </c>
      <c r="H6" s="202">
        <f>'SER_se-appl'!H68</f>
        <v>396.64165534782393</v>
      </c>
      <c r="I6" s="202">
        <f>'SER_se-appl'!I68</f>
        <v>402.69265922342902</v>
      </c>
      <c r="J6" s="202">
        <f>'SER_se-appl'!J68</f>
        <v>413.29694925248805</v>
      </c>
      <c r="K6" s="202">
        <f>'SER_se-appl'!K68</f>
        <v>421.42229874516477</v>
      </c>
      <c r="L6" s="202">
        <f>'SER_se-appl'!L68</f>
        <v>434.02425532697424</v>
      </c>
      <c r="M6" s="202">
        <f>'SER_se-appl'!M68</f>
        <v>445.29153657137283</v>
      </c>
      <c r="N6" s="202">
        <f>'SER_se-appl'!N68</f>
        <v>457.01705358064299</v>
      </c>
      <c r="O6" s="202">
        <f>'SER_se-appl'!O68</f>
        <v>469.45382302898832</v>
      </c>
      <c r="P6" s="202">
        <f>'SER_se-appl'!P68</f>
        <v>483.18087504316719</v>
      </c>
      <c r="Q6" s="202">
        <f>'SER_se-appl'!Q68</f>
        <v>497.52219999730539</v>
      </c>
      <c r="R6" s="202">
        <f>'SER_se-appl'!R68</f>
        <v>511.81704400260315</v>
      </c>
      <c r="S6" s="202">
        <f>'SER_se-appl'!S68</f>
        <v>526.16747103093019</v>
      </c>
      <c r="T6" s="202">
        <f>'SER_se-appl'!T68</f>
        <v>540.27951767871332</v>
      </c>
      <c r="U6" s="202">
        <f>'SER_se-appl'!U68</f>
        <v>553.97489107290505</v>
      </c>
      <c r="V6" s="202">
        <f>'SER_se-appl'!V68</f>
        <v>566.92172428547894</v>
      </c>
      <c r="W6" s="202">
        <f>'SER_se-appl'!W68</f>
        <v>578.82581607210818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7.5795150796533317</v>
      </c>
      <c r="C8" s="34">
        <f>'SER_se-appl'!C20</f>
        <v>7.8096794462846262</v>
      </c>
      <c r="D8" s="34">
        <f>'SER_se-appl'!D20</f>
        <v>8.195367995504645</v>
      </c>
      <c r="E8" s="34">
        <f>'SER_se-appl'!E20</f>
        <v>8.4729556363816076</v>
      </c>
      <c r="F8" s="34">
        <f>'SER_se-appl'!F20</f>
        <v>8.9234670999289971</v>
      </c>
      <c r="G8" s="34">
        <f>'SER_se-appl'!G20</f>
        <v>9.3305759593467794</v>
      </c>
      <c r="H8" s="34">
        <f>'SER_se-appl'!H20</f>
        <v>9.9707935521583622</v>
      </c>
      <c r="I8" s="34">
        <f>'SER_se-appl'!I20</f>
        <v>10.747014021776161</v>
      </c>
      <c r="J8" s="34">
        <f>'SER_se-appl'!J20</f>
        <v>11.383888378621174</v>
      </c>
      <c r="K8" s="34">
        <f>'SER_se-appl'!K20</f>
        <v>11.7180183745675</v>
      </c>
      <c r="L8" s="34">
        <f>'SER_se-appl'!L20</f>
        <v>12.193183913289195</v>
      </c>
      <c r="M8" s="34">
        <f>'SER_se-appl'!M20</f>
        <v>12.583399162185646</v>
      </c>
      <c r="N8" s="34">
        <f>'SER_se-appl'!N20</f>
        <v>12.944701021929768</v>
      </c>
      <c r="O8" s="34">
        <f>'SER_se-appl'!O20</f>
        <v>13.34614438138882</v>
      </c>
      <c r="P8" s="34">
        <f>'SER_se-appl'!P20</f>
        <v>13.913494670867776</v>
      </c>
      <c r="Q8" s="34">
        <f>'SER_se-appl'!Q20</f>
        <v>14.450224276278632</v>
      </c>
      <c r="R8" s="34">
        <f>'SER_se-appl'!R20</f>
        <v>15.028120185667182</v>
      </c>
      <c r="S8" s="34">
        <f>'SER_se-appl'!S20</f>
        <v>15.683578146115304</v>
      </c>
      <c r="T8" s="34">
        <f>'SER_se-appl'!T20</f>
        <v>16.349561371932179</v>
      </c>
      <c r="U8" s="34">
        <f>'SER_se-appl'!U20</f>
        <v>16.973601304901784</v>
      </c>
      <c r="V8" s="34">
        <f>'SER_se-appl'!V20</f>
        <v>17.555792595950322</v>
      </c>
      <c r="W8" s="34">
        <f>'SER_se-appl'!W20</f>
        <v>18.097278907169674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0.55891315379099904</v>
      </c>
      <c r="D9" s="36">
        <f>'SER_se-appl'!D28</f>
        <v>0.72373619119924637</v>
      </c>
      <c r="E9" s="36">
        <f>'SER_se-appl'!E28</f>
        <v>0.6251971613105729</v>
      </c>
      <c r="F9" s="36">
        <f>'SER_se-appl'!F28</f>
        <v>0.80795332585006818</v>
      </c>
      <c r="G9" s="36">
        <f>'SER_se-appl'!G28</f>
        <v>0.77466117722263661</v>
      </c>
      <c r="H9" s="36">
        <f>'SER_se-appl'!H28</f>
        <v>1.0181663463611148</v>
      </c>
      <c r="I9" s="36">
        <f>'SER_se-appl'!I28</f>
        <v>1.1648597282756263</v>
      </c>
      <c r="J9" s="36">
        <f>'SER_se-appl'!J28</f>
        <v>1.0365065079014677</v>
      </c>
      <c r="K9" s="36">
        <f>'SER_se-appl'!K28</f>
        <v>0.74506597989595669</v>
      </c>
      <c r="L9" s="36">
        <f>'SER_se-appl'!L28</f>
        <v>0.89772509119572952</v>
      </c>
      <c r="M9" s="36">
        <f>'SER_se-appl'!M28</f>
        <v>0.82472714943846448</v>
      </c>
      <c r="N9" s="36">
        <f>'SER_se-appl'!N28</f>
        <v>0.8081041876224706</v>
      </c>
      <c r="O9" s="36">
        <f>'SER_se-appl'!O28</f>
        <v>0.86088375671512019</v>
      </c>
      <c r="P9" s="36">
        <f>'SER_se-appl'!P28</f>
        <v>1.0397862314158708</v>
      </c>
      <c r="Q9" s="36">
        <f>'SER_se-appl'!Q28</f>
        <v>1.0225286787331402</v>
      </c>
      <c r="R9" s="36">
        <f>'SER_se-appl'!R28</f>
        <v>1.0774360982091178</v>
      </c>
      <c r="S9" s="36">
        <f>'SER_se-appl'!S28</f>
        <v>1.1691279403851595</v>
      </c>
      <c r="T9" s="36">
        <f>'SER_se-appl'!T28</f>
        <v>1.1941826664094179</v>
      </c>
      <c r="U9" s="36">
        <f>'SER_se-appl'!U28</f>
        <v>1.1829530867606053</v>
      </c>
      <c r="V9" s="36">
        <f>'SER_se-appl'!V28</f>
        <v>1.3059274822477853</v>
      </c>
      <c r="W9" s="36">
        <f>'SER_se-appl'!W28</f>
        <v>1.1666834725299253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0.32874878715970368</v>
      </c>
      <c r="D10" s="38">
        <f>'SER_se-appl'!D36</f>
        <v>0.33804764197922843</v>
      </c>
      <c r="E10" s="38">
        <f>'SER_se-appl'!E36</f>
        <v>0.34760952043360938</v>
      </c>
      <c r="F10" s="38">
        <f>'SER_se-appl'!F36</f>
        <v>0.35744186230267871</v>
      </c>
      <c r="G10" s="38">
        <f>'SER_se-appl'!G36</f>
        <v>0.36755231780485431</v>
      </c>
      <c r="H10" s="38">
        <f>'SER_se-appl'!H36</f>
        <v>0.37794875354953206</v>
      </c>
      <c r="I10" s="38">
        <f>'SER_se-appl'!I36</f>
        <v>0.38863925865782711</v>
      </c>
      <c r="J10" s="38">
        <f>'SER_se-appl'!J36</f>
        <v>0.39963215105645489</v>
      </c>
      <c r="K10" s="38">
        <f>'SER_se-appl'!K36</f>
        <v>0.41093598394963138</v>
      </c>
      <c r="L10" s="38">
        <f>'SER_se-appl'!L36</f>
        <v>0.42255955247403421</v>
      </c>
      <c r="M10" s="38">
        <f>'SER_se-appl'!M36</f>
        <v>0.43451190054201305</v>
      </c>
      <c r="N10" s="38">
        <f>'SER_se-appl'!N36</f>
        <v>0.44680232787834839</v>
      </c>
      <c r="O10" s="38">
        <f>'SER_se-appl'!O36</f>
        <v>0.45944039725606878</v>
      </c>
      <c r="P10" s="38">
        <f>'SER_se-appl'!P36</f>
        <v>0.47243594193691507</v>
      </c>
      <c r="Q10" s="38">
        <f>'SER_se-appl'!Q36</f>
        <v>0.48579907332228345</v>
      </c>
      <c r="R10" s="38">
        <f>'SER_se-appl'!R36</f>
        <v>0.49954018882056772</v>
      </c>
      <c r="S10" s="38">
        <f>'SER_se-appl'!S36</f>
        <v>0.51366997993704011</v>
      </c>
      <c r="T10" s="38">
        <f>'SER_se-appl'!T36</f>
        <v>0.52819944059254098</v>
      </c>
      <c r="U10" s="38">
        <f>'SER_se-appl'!U36</f>
        <v>0.55891315379099993</v>
      </c>
      <c r="V10" s="38">
        <f>'SER_se-appl'!V36</f>
        <v>0.72373619119924726</v>
      </c>
      <c r="W10" s="38">
        <f>'SER_se-appl'!W36</f>
        <v>0.62519716131057379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8760.0000000000018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8760.0000000000018</v>
      </c>
      <c r="G12" s="205">
        <f>'SER_se-appl'!G44</f>
        <v>8760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8759.9999999999982</v>
      </c>
      <c r="K12" s="205">
        <f>'SER_se-appl'!K44</f>
        <v>8760.0000000000018</v>
      </c>
      <c r="L12" s="205">
        <f>'SER_se-appl'!L44</f>
        <v>8759.9999999999964</v>
      </c>
      <c r="M12" s="205">
        <f>'SER_se-appl'!M44</f>
        <v>8759.9999999999982</v>
      </c>
      <c r="N12" s="205">
        <f>'SER_se-appl'!N44</f>
        <v>8759.9999999999964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8760.0000000000018</v>
      </c>
      <c r="R12" s="205">
        <f>'SER_se-appl'!R44</f>
        <v>8760</v>
      </c>
      <c r="S12" s="205">
        <f>'SER_se-appl'!S44</f>
        <v>8760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8760.0000000000018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0.76503616206749836</v>
      </c>
      <c r="C14" s="59">
        <f>'SER_se-appl'!C52</f>
        <v>0.75911849920933916</v>
      </c>
      <c r="D14" s="59">
        <f>'SER_se-appl'!D52</f>
        <v>0.7514048447793753</v>
      </c>
      <c r="E14" s="59">
        <f>'SER_se-appl'!E52</f>
        <v>0.74457734571544432</v>
      </c>
      <c r="F14" s="59">
        <f>'SER_se-appl'!F52</f>
        <v>0.73584616832122907</v>
      </c>
      <c r="G14" s="59">
        <f>'SER_se-appl'!G52</f>
        <v>0.72743777566069556</v>
      </c>
      <c r="H14" s="59">
        <f>'SER_se-appl'!H52</f>
        <v>0.71718523796636757</v>
      </c>
      <c r="I14" s="59">
        <f>'SER_se-appl'!I52</f>
        <v>0.70618646747138114</v>
      </c>
      <c r="J14" s="59">
        <f>'SER_se-appl'!J52</f>
        <v>0.69643630796987044</v>
      </c>
      <c r="K14" s="59">
        <f>'SER_se-appl'!K52</f>
        <v>0.6886055796972298</v>
      </c>
      <c r="L14" s="59">
        <f>'SER_se-appl'!L52</f>
        <v>0.67925141012233381</v>
      </c>
      <c r="M14" s="59">
        <f>'SER_se-appl'!M52</f>
        <v>0.67016620003880556</v>
      </c>
      <c r="N14" s="59">
        <f>'SER_se-appl'!N52</f>
        <v>0.66068595055108736</v>
      </c>
      <c r="O14" s="59">
        <f>'SER_se-appl'!O52</f>
        <v>0.6503410053260853</v>
      </c>
      <c r="P14" s="59">
        <f>'SER_se-appl'!P52</f>
        <v>0.63817567768609151</v>
      </c>
      <c r="Q14" s="59">
        <f>'SER_se-appl'!Q52</f>
        <v>0.62574567673007053</v>
      </c>
      <c r="R14" s="59">
        <f>'SER_se-appl'!R52</f>
        <v>0.61349063819045124</v>
      </c>
      <c r="S14" s="59">
        <f>'SER_se-appl'!S52</f>
        <v>0.60113754298541233</v>
      </c>
      <c r="T14" s="59">
        <f>'SER_se-appl'!T52</f>
        <v>0.58914717153699037</v>
      </c>
      <c r="U14" s="59">
        <f>'SER_se-appl'!U52</f>
        <v>0.58020875934223948</v>
      </c>
      <c r="V14" s="59">
        <f>'SER_se-appl'!V52</f>
        <v>0.5703891164993905</v>
      </c>
      <c r="W14" s="59">
        <f>'SER_se-appl'!W52</f>
        <v>0.56244824693833184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0.68234880772641737</v>
      </c>
      <c r="D15" s="63">
        <f>'SER_se-appl'!D60</f>
        <v>0.67453549035490512</v>
      </c>
      <c r="E15" s="63">
        <f>'SER_se-appl'!E60</f>
        <v>0.66645448943964924</v>
      </c>
      <c r="F15" s="63">
        <f>'SER_se-appl'!F60</f>
        <v>0.65719663380457005</v>
      </c>
      <c r="G15" s="63">
        <f>'SER_se-appl'!G60</f>
        <v>0.64841917630416701</v>
      </c>
      <c r="H15" s="63">
        <f>'SER_se-appl'!H60</f>
        <v>0.64099249707482808</v>
      </c>
      <c r="I15" s="63">
        <f>'SER_se-appl'!I60</f>
        <v>0.63167520560340595</v>
      </c>
      <c r="J15" s="63">
        <f>'SER_se-appl'!J60</f>
        <v>0.62179095549761099</v>
      </c>
      <c r="K15" s="63">
        <f>'SER_se-appl'!K60</f>
        <v>0.611114375472676</v>
      </c>
      <c r="L15" s="63">
        <f>'SER_se-appl'!L60</f>
        <v>0.59753021809383655</v>
      </c>
      <c r="M15" s="63">
        <f>'SER_se-appl'!M60</f>
        <v>0.58582859822558409</v>
      </c>
      <c r="N15" s="63">
        <f>'SER_se-appl'!N60</f>
        <v>0.5707596178405292</v>
      </c>
      <c r="O15" s="63">
        <f>'SER_se-appl'!O60</f>
        <v>0.55600000514370418</v>
      </c>
      <c r="P15" s="63">
        <f>'SER_se-appl'!P60</f>
        <v>0.53966815411802149</v>
      </c>
      <c r="Q15" s="63">
        <f>'SER_se-appl'!Q60</f>
        <v>0.52278762230036002</v>
      </c>
      <c r="R15" s="63">
        <f>'SER_se-appl'!R60</f>
        <v>0.51939227266510501</v>
      </c>
      <c r="S15" s="63">
        <f>'SER_se-appl'!S60</f>
        <v>0.51436004368342192</v>
      </c>
      <c r="T15" s="63">
        <f>'SER_se-appl'!T60</f>
        <v>0.50947136993307152</v>
      </c>
      <c r="U15" s="63">
        <f>'SER_se-appl'!U60</f>
        <v>0.50492960992237357</v>
      </c>
      <c r="V15" s="63">
        <f>'SER_se-appl'!V60</f>
        <v>0.50047696297575206</v>
      </c>
      <c r="W15" s="63">
        <f>'SER_se-appl'!W60</f>
        <v>0.49869157837617323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10.752080374934977</v>
      </c>
      <c r="C3" s="199">
        <f>'SER_se-appl'!C5</f>
        <v>11.004117286590976</v>
      </c>
      <c r="D3" s="199">
        <f>'SER_se-appl'!D5</f>
        <v>11.28644482086233</v>
      </c>
      <c r="E3" s="199">
        <f>'SER_se-appl'!E5</f>
        <v>11.565206031810511</v>
      </c>
      <c r="F3" s="199">
        <f>'SER_se-appl'!F5</f>
        <v>11.872456476395641</v>
      </c>
      <c r="G3" s="199">
        <f>'SER_se-appl'!G5</f>
        <v>12.138469956803506</v>
      </c>
      <c r="H3" s="199">
        <f>'SER_se-appl'!H5</f>
        <v>12.386217295796152</v>
      </c>
      <c r="I3" s="199">
        <f>'SER_se-appl'!I5</f>
        <v>12.548238174795229</v>
      </c>
      <c r="J3" s="199">
        <f>'SER_se-appl'!J5</f>
        <v>12.787189550991197</v>
      </c>
      <c r="K3" s="199">
        <f>'SER_se-appl'!K5</f>
        <v>13.012102665232893</v>
      </c>
      <c r="L3" s="199">
        <f>'SER_se-appl'!L5</f>
        <v>13.191869460336088</v>
      </c>
      <c r="M3" s="199">
        <f>'SER_se-appl'!M5</f>
        <v>13.392333532271769</v>
      </c>
      <c r="N3" s="199">
        <f>'SER_se-appl'!N5</f>
        <v>13.631084544011131</v>
      </c>
      <c r="O3" s="199">
        <f>'SER_se-appl'!O5</f>
        <v>13.879229245307581</v>
      </c>
      <c r="P3" s="199">
        <f>'SER_se-appl'!P5</f>
        <v>14.153799500864279</v>
      </c>
      <c r="Q3" s="199">
        <f>'SER_se-appl'!Q5</f>
        <v>14.474072264473998</v>
      </c>
      <c r="R3" s="199">
        <f>'SER_se-appl'!R5</f>
        <v>14.76363098867321</v>
      </c>
      <c r="S3" s="199">
        <f>'SER_se-appl'!S5</f>
        <v>14.367583637033741</v>
      </c>
      <c r="T3" s="199">
        <f>'SER_se-appl'!T5</f>
        <v>14.127594928637937</v>
      </c>
      <c r="U3" s="199">
        <f>'SER_se-appl'!U5</f>
        <v>13.911507510036088</v>
      </c>
      <c r="V3" s="199">
        <f>'SER_se-appl'!V5</f>
        <v>13.575362274459916</v>
      </c>
      <c r="W3" s="199">
        <f>'SER_se-appl'!W5</f>
        <v>13.252099929424228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32.923081254034862</v>
      </c>
      <c r="C5" s="59">
        <f>'SER_se-appl'!C13</f>
        <v>33.674512206288874</v>
      </c>
      <c r="D5" s="59">
        <f>'SER_se-appl'!D13</f>
        <v>34.520779058998208</v>
      </c>
      <c r="E5" s="59">
        <f>'SER_se-appl'!E13</f>
        <v>35.32564558361485</v>
      </c>
      <c r="F5" s="59">
        <f>'SER_se-appl'!F13</f>
        <v>36.151305337433477</v>
      </c>
      <c r="G5" s="59">
        <f>'SER_se-appl'!G13</f>
        <v>36.849196877575636</v>
      </c>
      <c r="H5" s="59">
        <f>'SER_se-appl'!H13</f>
        <v>37.525495333081395</v>
      </c>
      <c r="I5" s="59">
        <f>'SER_se-appl'!I13</f>
        <v>37.93723140513135</v>
      </c>
      <c r="J5" s="59">
        <f>'SER_se-appl'!J13</f>
        <v>38.594017757559648</v>
      </c>
      <c r="K5" s="59">
        <f>'SER_se-appl'!K13</f>
        <v>39.235665247572996</v>
      </c>
      <c r="L5" s="59">
        <f>'SER_se-appl'!L13</f>
        <v>39.756312417127603</v>
      </c>
      <c r="M5" s="59">
        <f>'SER_se-appl'!M13</f>
        <v>40.452393425103303</v>
      </c>
      <c r="N5" s="59">
        <f>'SER_se-appl'!N13</f>
        <v>41.456690823534871</v>
      </c>
      <c r="O5" s="59">
        <f>'SER_se-appl'!O13</f>
        <v>42.476758001788419</v>
      </c>
      <c r="P5" s="59">
        <f>'SER_se-appl'!P13</f>
        <v>43.572402083620041</v>
      </c>
      <c r="Q5" s="59">
        <f>'SER_se-appl'!Q13</f>
        <v>44.849795310136514</v>
      </c>
      <c r="R5" s="59">
        <f>'SER_se-appl'!R13</f>
        <v>44.993858793676026</v>
      </c>
      <c r="S5" s="59">
        <f>'SER_se-appl'!S13</f>
        <v>44.969630918626109</v>
      </c>
      <c r="T5" s="59">
        <f>'SER_se-appl'!T13</f>
        <v>44.666863691838614</v>
      </c>
      <c r="U5" s="59">
        <f>'SER_se-appl'!U13</f>
        <v>44.009476502317952</v>
      </c>
      <c r="V5" s="59">
        <f>'SER_se-appl'!V13</f>
        <v>43.021255504661532</v>
      </c>
      <c r="W5" s="59">
        <f>'SER_se-appl'!W13</f>
        <v>41.912385895881883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8.4573534801993089E-2</v>
      </c>
      <c r="C6" s="202">
        <f>'SER_se-appl'!C69</f>
        <v>8.7306978692738513E-2</v>
      </c>
      <c r="D6" s="202">
        <f>'SER_se-appl'!D69</f>
        <v>9.0308002327855741E-2</v>
      </c>
      <c r="E6" s="202">
        <f>'SER_se-appl'!E69</f>
        <v>9.3482401735691209E-2</v>
      </c>
      <c r="F6" s="202">
        <f>'SER_se-appl'!F69</f>
        <v>9.6925497626912216E-2</v>
      </c>
      <c r="G6" s="202">
        <f>'SER_se-appl'!G69</f>
        <v>0.10029807554457427</v>
      </c>
      <c r="H6" s="202">
        <f>'SER_se-appl'!H69</f>
        <v>0.10361851076005155</v>
      </c>
      <c r="I6" s="202">
        <f>'SER_se-appl'!I69</f>
        <v>0.10645299838816646</v>
      </c>
      <c r="J6" s="202">
        <f>'SER_se-appl'!J69</f>
        <v>0.10961231092701837</v>
      </c>
      <c r="K6" s="202">
        <f>'SER_se-appl'!K69</f>
        <v>0.11192557764880338</v>
      </c>
      <c r="L6" s="202">
        <f>'SER_se-appl'!L69</f>
        <v>0.11461966988359419</v>
      </c>
      <c r="M6" s="202">
        <f>'SER_se-appl'!M69</f>
        <v>0.11888419463828202</v>
      </c>
      <c r="N6" s="202">
        <f>'SER_se-appl'!N69</f>
        <v>0.12446627800547523</v>
      </c>
      <c r="O6" s="202">
        <f>'SER_se-appl'!O69</f>
        <v>0.13107487346581673</v>
      </c>
      <c r="P6" s="202">
        <f>'SER_se-appl'!P69</f>
        <v>0.13877906916350483</v>
      </c>
      <c r="Q6" s="202">
        <f>'SER_se-appl'!Q69</f>
        <v>0.14830263377324904</v>
      </c>
      <c r="R6" s="202">
        <f>'SER_se-appl'!R69</f>
        <v>0.15473415347991712</v>
      </c>
      <c r="S6" s="202">
        <f>'SER_se-appl'!S69</f>
        <v>0.16115440794020003</v>
      </c>
      <c r="T6" s="202">
        <f>'SER_se-appl'!T69</f>
        <v>0.16764398539890971</v>
      </c>
      <c r="U6" s="202">
        <f>'SER_se-appl'!U69</f>
        <v>0.17269652027475058</v>
      </c>
      <c r="V6" s="202">
        <f>'SER_se-appl'!V69</f>
        <v>0.17693190149207222</v>
      </c>
      <c r="W6" s="202">
        <f>'SER_se-appl'!W69</f>
        <v>0.18027142090957179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168.11146667033577</v>
      </c>
      <c r="C8" s="34">
        <f>'SER_se-appl'!C21</f>
        <v>173.74909445454676</v>
      </c>
      <c r="D8" s="34">
        <f>'SER_se-appl'!D21</f>
        <v>180.07650464980489</v>
      </c>
      <c r="E8" s="34">
        <f>'SER_se-appl'!E21</f>
        <v>186.50047638196122</v>
      </c>
      <c r="F8" s="34">
        <f>'SER_se-appl'!F21</f>
        <v>193.50526200378926</v>
      </c>
      <c r="G8" s="34">
        <f>'SER_se-appl'!G21</f>
        <v>200.35443272708613</v>
      </c>
      <c r="H8" s="34">
        <f>'SER_se-appl'!H21</f>
        <v>207.58497247923535</v>
      </c>
      <c r="I8" s="34">
        <f>'SER_se-appl'!I21</f>
        <v>214.01065954060692</v>
      </c>
      <c r="J8" s="34">
        <f>'SER_se-appl'!J21</f>
        <v>220.35023067494629</v>
      </c>
      <c r="K8" s="34">
        <f>'SER_se-appl'!K21</f>
        <v>227.47329084147734</v>
      </c>
      <c r="L8" s="34">
        <f>'SER_se-appl'!L21</f>
        <v>234.62371337964009</v>
      </c>
      <c r="M8" s="34">
        <f>'SER_se-appl'!M21</f>
        <v>243.73506812126479</v>
      </c>
      <c r="N8" s="34">
        <f>'SER_se-appl'!N21</f>
        <v>255.83993657514233</v>
      </c>
      <c r="O8" s="34">
        <f>'SER_se-appl'!O21</f>
        <v>269.85970206376624</v>
      </c>
      <c r="P8" s="34">
        <f>'SER_se-appl'!P21</f>
        <v>286.03545776686235</v>
      </c>
      <c r="Q8" s="34">
        <f>'SER_se-appl'!Q21</f>
        <v>305.92964734235733</v>
      </c>
      <c r="R8" s="34">
        <f>'SER_se-appl'!R21</f>
        <v>319.40038280340315</v>
      </c>
      <c r="S8" s="34">
        <f>'SER_se-appl'!S21</f>
        <v>332.92808559161955</v>
      </c>
      <c r="T8" s="34">
        <f>'SER_se-appl'!T21</f>
        <v>346.50000054129845</v>
      </c>
      <c r="U8" s="34">
        <f>'SER_se-appl'!U21</f>
        <v>359.36557061189069</v>
      </c>
      <c r="V8" s="34">
        <f>'SER_se-appl'!V21</f>
        <v>370.82467199307598</v>
      </c>
      <c r="W8" s="34">
        <f>'SER_se-appl'!W21</f>
        <v>380.18828045560599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26.726274822837127</v>
      </c>
      <c r="D9" s="36">
        <f>'SER_se-appl'!D29</f>
        <v>28.323815546881491</v>
      </c>
      <c r="E9" s="36">
        <f>'SER_se-appl'!E29</f>
        <v>29.367209745800153</v>
      </c>
      <c r="F9" s="36">
        <f>'SER_se-appl'!F29</f>
        <v>30.935612597239412</v>
      </c>
      <c r="G9" s="36">
        <f>'SER_se-appl'!G29</f>
        <v>31.81009731031628</v>
      </c>
      <c r="H9" s="36">
        <f>'SER_se-appl'!H29</f>
        <v>33.265906466502457</v>
      </c>
      <c r="I9" s="36">
        <f>'SER_se-appl'!I29</f>
        <v>33.581743051030031</v>
      </c>
      <c r="J9" s="36">
        <f>'SER_se-appl'!J29</f>
        <v>33.065845957176492</v>
      </c>
      <c r="K9" s="36">
        <f>'SER_se-appl'!K29</f>
        <v>35.446875713412538</v>
      </c>
      <c r="L9" s="36">
        <f>'SER_se-appl'!L29</f>
        <v>36.517632283962911</v>
      </c>
      <c r="M9" s="36">
        <f>'SER_se-appl'!M29</f>
        <v>40.046967338864107</v>
      </c>
      <c r="N9" s="36">
        <f>'SER_se-appl'!N29</f>
        <v>43.914965764193823</v>
      </c>
      <c r="O9" s="36">
        <f>'SER_se-appl'!O29</f>
        <v>47.285671955126361</v>
      </c>
      <c r="P9" s="36">
        <f>'SER_se-appl'!P29</f>
        <v>49.757498754126146</v>
      </c>
      <c r="Q9" s="36">
        <f>'SER_se-appl'!Q29</f>
        <v>52.960035532671469</v>
      </c>
      <c r="R9" s="36">
        <f>'SER_se-appl'!R29</f>
        <v>48.917611174458386</v>
      </c>
      <c r="S9" s="36">
        <f>'SER_se-appl'!S29</f>
        <v>50.045335072179284</v>
      </c>
      <c r="T9" s="36">
        <f>'SER_se-appl'!T29</f>
        <v>53.618882288543034</v>
      </c>
      <c r="U9" s="36">
        <f>'SER_se-appl'!U29</f>
        <v>56.780535834786065</v>
      </c>
      <c r="V9" s="36">
        <f>'SER_se-appl'!V29</f>
        <v>58.744773336311653</v>
      </c>
      <c r="W9" s="36">
        <f>'SER_se-appl'!W29</f>
        <v>59.121107216656128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21.088647038626135</v>
      </c>
      <c r="D10" s="38">
        <f>'SER_se-appl'!D37</f>
        <v>21.996405351623366</v>
      </c>
      <c r="E10" s="38">
        <f>'SER_se-appl'!E37</f>
        <v>22.943238013643821</v>
      </c>
      <c r="F10" s="38">
        <f>'SER_se-appl'!F37</f>
        <v>23.930826975411378</v>
      </c>
      <c r="G10" s="38">
        <f>'SER_se-appl'!G37</f>
        <v>24.960926587019401</v>
      </c>
      <c r="H10" s="38">
        <f>'SER_se-appl'!H37</f>
        <v>26.035366714353245</v>
      </c>
      <c r="I10" s="38">
        <f>'SER_se-appl'!I37</f>
        <v>27.156055989658455</v>
      </c>
      <c r="J10" s="38">
        <f>'SER_se-appl'!J37</f>
        <v>26.726274822837127</v>
      </c>
      <c r="K10" s="38">
        <f>'SER_se-appl'!K37</f>
        <v>28.323815546881491</v>
      </c>
      <c r="L10" s="38">
        <f>'SER_se-appl'!L37</f>
        <v>29.367209745800153</v>
      </c>
      <c r="M10" s="38">
        <f>'SER_se-appl'!M37</f>
        <v>30.935612597239384</v>
      </c>
      <c r="N10" s="38">
        <f>'SER_se-appl'!N37</f>
        <v>31.810097310316252</v>
      </c>
      <c r="O10" s="38">
        <f>'SER_se-appl'!O37</f>
        <v>33.265906466502429</v>
      </c>
      <c r="P10" s="38">
        <f>'SER_se-appl'!P37</f>
        <v>33.581743051030003</v>
      </c>
      <c r="Q10" s="38">
        <f>'SER_se-appl'!Q37</f>
        <v>33.065845957176464</v>
      </c>
      <c r="R10" s="38">
        <f>'SER_se-appl'!R37</f>
        <v>35.446875713412567</v>
      </c>
      <c r="S10" s="38">
        <f>'SER_se-appl'!S37</f>
        <v>36.517632283962882</v>
      </c>
      <c r="T10" s="38">
        <f>'SER_se-appl'!T37</f>
        <v>40.046967338864135</v>
      </c>
      <c r="U10" s="38">
        <f>'SER_se-appl'!U37</f>
        <v>43.914965764193823</v>
      </c>
      <c r="V10" s="38">
        <f>'SER_se-appl'!V37</f>
        <v>47.285671955126361</v>
      </c>
      <c r="W10" s="38">
        <f>'SER_se-appl'!W37</f>
        <v>49.757498754126118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3798.1467711248556</v>
      </c>
      <c r="C12" s="205">
        <f>'SER_se-appl'!C45</f>
        <v>3800.4376502639457</v>
      </c>
      <c r="D12" s="205">
        <f>'SER_se-appl'!D45</f>
        <v>3802.3867608055684</v>
      </c>
      <c r="E12" s="205">
        <f>'SER_se-appl'!E45</f>
        <v>3807.5269093551447</v>
      </c>
      <c r="F12" s="205">
        <f>'SER_se-appl'!F45</f>
        <v>3819.4103236849787</v>
      </c>
      <c r="G12" s="205">
        <f>'SER_se-appl'!G45</f>
        <v>3831.030729560709</v>
      </c>
      <c r="H12" s="205">
        <f>'SER_se-appl'!H45</f>
        <v>3838.7689721744309</v>
      </c>
      <c r="I12" s="205">
        <f>'SER_se-appl'!I45</f>
        <v>3846.7754384714899</v>
      </c>
      <c r="J12" s="205">
        <f>'SER_se-appl'!J45</f>
        <v>3853.3177709620004</v>
      </c>
      <c r="K12" s="205">
        <f>'SER_se-appl'!K45</f>
        <v>3856.9692406583936</v>
      </c>
      <c r="L12" s="205">
        <f>'SER_se-appl'!L45</f>
        <v>3859.0460859144596</v>
      </c>
      <c r="M12" s="205">
        <f>'SER_se-appl'!M45</f>
        <v>3850.2749971690437</v>
      </c>
      <c r="N12" s="205">
        <f>'SER_se-appl'!N45</f>
        <v>3823.9789548482868</v>
      </c>
      <c r="O12" s="205">
        <f>'SER_se-appl'!O45</f>
        <v>3800.0884181446013</v>
      </c>
      <c r="P12" s="205">
        <f>'SER_se-appl'!P45</f>
        <v>3777.8199117677768</v>
      </c>
      <c r="Q12" s="205">
        <f>'SER_se-appl'!Q45</f>
        <v>3753.2715427530056</v>
      </c>
      <c r="R12" s="205">
        <f>'SER_se-appl'!R45</f>
        <v>3816.0991966842007</v>
      </c>
      <c r="S12" s="205">
        <f>'SER_se-appl'!S45</f>
        <v>3715.7297999858129</v>
      </c>
      <c r="T12" s="205">
        <f>'SER_se-appl'!T45</f>
        <v>3678.4299464947726</v>
      </c>
      <c r="U12" s="205">
        <f>'SER_se-appl'!U45</f>
        <v>3676.2725939991192</v>
      </c>
      <c r="V12" s="205">
        <f>'SER_se-appl'!V45</f>
        <v>3669.8478786808469</v>
      </c>
      <c r="W12" s="205">
        <f>'SER_se-appl'!W45</f>
        <v>3677.2404835666271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195.84078294074112</v>
      </c>
      <c r="C14" s="59">
        <f>'SER_se-appl'!C53</f>
        <v>193.81115229408127</v>
      </c>
      <c r="D14" s="59">
        <f>'SER_se-appl'!D53</f>
        <v>191.70062816429513</v>
      </c>
      <c r="E14" s="59">
        <f>'SER_se-appl'!E53</f>
        <v>189.41316541876478</v>
      </c>
      <c r="F14" s="59">
        <f>'SER_se-appl'!F53</f>
        <v>186.82337091549249</v>
      </c>
      <c r="G14" s="59">
        <f>'SER_se-appl'!G53</f>
        <v>183.92004796704433</v>
      </c>
      <c r="H14" s="59">
        <f>'SER_se-appl'!H53</f>
        <v>180.7717335455728</v>
      </c>
      <c r="I14" s="59">
        <f>'SER_se-appl'!I53</f>
        <v>177.26795238408695</v>
      </c>
      <c r="J14" s="59">
        <f>'SER_se-appl'!J53</f>
        <v>175.14852441653363</v>
      </c>
      <c r="K14" s="59">
        <f>'SER_se-appl'!K53</f>
        <v>172.48471283125599</v>
      </c>
      <c r="L14" s="59">
        <f>'SER_se-appl'!L53</f>
        <v>169.44711957907973</v>
      </c>
      <c r="M14" s="59">
        <f>'SER_se-appl'!M53</f>
        <v>165.96870420376746</v>
      </c>
      <c r="N14" s="59">
        <f>'SER_se-appl'!N53</f>
        <v>162.0415146224002</v>
      </c>
      <c r="O14" s="59">
        <f>'SER_se-appl'!O53</f>
        <v>157.40311605232341</v>
      </c>
      <c r="P14" s="59">
        <f>'SER_se-appl'!P53</f>
        <v>152.33217036726407</v>
      </c>
      <c r="Q14" s="59">
        <f>'SER_se-appl'!Q53</f>
        <v>146.60166381307386</v>
      </c>
      <c r="R14" s="59">
        <f>'SER_se-appl'!R53</f>
        <v>140.86977103396453</v>
      </c>
      <c r="S14" s="59">
        <f>'SER_se-appl'!S53</f>
        <v>135.07310697057659</v>
      </c>
      <c r="T14" s="59">
        <f>'SER_se-appl'!T53</f>
        <v>128.90869732196401</v>
      </c>
      <c r="U14" s="59">
        <f>'SER_se-appl'!U53</f>
        <v>122.46436526288021</v>
      </c>
      <c r="V14" s="59">
        <f>'SER_se-appl'!V53</f>
        <v>116.01508409199057</v>
      </c>
      <c r="W14" s="59">
        <f>'SER_se-appl'!W53</f>
        <v>110.24113064625601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182.64603398032807</v>
      </c>
      <c r="D15" s="63">
        <f>'SER_se-appl'!D61</f>
        <v>181.96913089347657</v>
      </c>
      <c r="E15" s="63">
        <f>'SER_se-appl'!E61</f>
        <v>180.40829436177913</v>
      </c>
      <c r="F15" s="63">
        <f>'SER_se-appl'!F61</f>
        <v>178.18595406106471</v>
      </c>
      <c r="G15" s="63">
        <f>'SER_se-appl'!G61</f>
        <v>175.61275878457403</v>
      </c>
      <c r="H15" s="63">
        <f>'SER_se-appl'!H61</f>
        <v>173.60371835378371</v>
      </c>
      <c r="I15" s="63">
        <f>'SER_se-appl'!I61</f>
        <v>170.62840752310268</v>
      </c>
      <c r="J15" s="63">
        <f>'SER_se-appl'!J61</f>
        <v>167.4910860910783</v>
      </c>
      <c r="K15" s="63">
        <f>'SER_se-appl'!K61</f>
        <v>163.50404575920092</v>
      </c>
      <c r="L15" s="63">
        <f>'SER_se-appl'!L61</f>
        <v>159.34043436092091</v>
      </c>
      <c r="M15" s="63">
        <f>'SER_se-appl'!M61</f>
        <v>155.02728585026466</v>
      </c>
      <c r="N15" s="63">
        <f>'SER_se-appl'!N61</f>
        <v>150.07540663223247</v>
      </c>
      <c r="O15" s="63">
        <f>'SER_se-appl'!O61</f>
        <v>143.70425446625978</v>
      </c>
      <c r="P15" s="63">
        <f>'SER_se-appl'!P61</f>
        <v>137.17818602995763</v>
      </c>
      <c r="Q15" s="63">
        <f>'SER_se-appl'!Q61</f>
        <v>128.69378975774353</v>
      </c>
      <c r="R15" s="63">
        <f>'SER_se-appl'!R61</f>
        <v>121.42398064007229</v>
      </c>
      <c r="S15" s="63">
        <f>'SER_se-appl'!S61</f>
        <v>115.78516771946553</v>
      </c>
      <c r="T15" s="63">
        <f>'SER_se-appl'!T61</f>
        <v>110.14040528690153</v>
      </c>
      <c r="U15" s="63">
        <f>'SER_se-appl'!U61</f>
        <v>104.49301098610623</v>
      </c>
      <c r="V15" s="63">
        <f>'SER_se-appl'!V61</f>
        <v>98.850176922918294</v>
      </c>
      <c r="W15" s="63">
        <f>'SER_se-appl'!W61</f>
        <v>96.69598694675112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33.093859058461689</v>
      </c>
      <c r="C3" s="199">
        <f>'SER_se-appl'!C6</f>
        <v>33.922540601962481</v>
      </c>
      <c r="D3" s="199">
        <f>'SER_se-appl'!D6</f>
        <v>35.01271937330597</v>
      </c>
      <c r="E3" s="199">
        <f>'SER_se-appl'!E6</f>
        <v>35.902730181621806</v>
      </c>
      <c r="F3" s="199">
        <f>'SER_se-appl'!F6</f>
        <v>37.321854876388066</v>
      </c>
      <c r="G3" s="199">
        <f>'SER_se-appl'!G6</f>
        <v>38.364305717165891</v>
      </c>
      <c r="H3" s="199">
        <f>'SER_se-appl'!H6</f>
        <v>39.913833898662332</v>
      </c>
      <c r="I3" s="199">
        <f>'SER_se-appl'!I6</f>
        <v>42.216380120190102</v>
      </c>
      <c r="J3" s="199">
        <f>'SER_se-appl'!J6</f>
        <v>43.624591073693331</v>
      </c>
      <c r="K3" s="199">
        <f>'SER_se-appl'!K6</f>
        <v>44.071621687144841</v>
      </c>
      <c r="L3" s="199">
        <f>'SER_se-appl'!L6</f>
        <v>44.809337851062054</v>
      </c>
      <c r="M3" s="199">
        <f>'SER_se-appl'!M6</f>
        <v>45.411793275573558</v>
      </c>
      <c r="N3" s="199">
        <f>'SER_se-appl'!N6</f>
        <v>45.777531792861986</v>
      </c>
      <c r="O3" s="199">
        <f>'SER_se-appl'!O6</f>
        <v>45.783915060722265</v>
      </c>
      <c r="P3" s="199">
        <f>'SER_se-appl'!P6</f>
        <v>46.341906389888848</v>
      </c>
      <c r="Q3" s="199">
        <f>'SER_se-appl'!Q6</f>
        <v>46.789096506500655</v>
      </c>
      <c r="R3" s="199">
        <f>'SER_se-appl'!R6</f>
        <v>45.965852965264844</v>
      </c>
      <c r="S3" s="199">
        <f>'SER_se-appl'!S6</f>
        <v>43.236765266137866</v>
      </c>
      <c r="T3" s="199">
        <f>'SER_se-appl'!T6</f>
        <v>41.23107649604637</v>
      </c>
      <c r="U3" s="199">
        <f>'SER_se-appl'!U6</f>
        <v>39.533007377450133</v>
      </c>
      <c r="V3" s="199">
        <f>'SER_se-appl'!V6</f>
        <v>32.874609073201853</v>
      </c>
      <c r="W3" s="199">
        <f>'SER_se-appl'!W6</f>
        <v>32.519835253651102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163.93088166928413</v>
      </c>
      <c r="C5" s="59">
        <f>'SER_se-appl'!C14</f>
        <v>166.97082358639381</v>
      </c>
      <c r="D5" s="59">
        <f>'SER_se-appl'!D14</f>
        <v>171.17446006966304</v>
      </c>
      <c r="E5" s="59">
        <f>'SER_se-appl'!E14</f>
        <v>174.59082935280733</v>
      </c>
      <c r="F5" s="59">
        <f>'SER_se-appl'!F14</f>
        <v>180.32096235227058</v>
      </c>
      <c r="G5" s="59">
        <f>'SER_se-appl'!G14</f>
        <v>184.27573320986261</v>
      </c>
      <c r="H5" s="59">
        <f>'SER_se-appl'!H14</f>
        <v>191.04374790971991</v>
      </c>
      <c r="I5" s="59">
        <f>'SER_se-appl'!I14</f>
        <v>201.12876544990999</v>
      </c>
      <c r="J5" s="59">
        <f>'SER_se-appl'!J14</f>
        <v>206.87801309467898</v>
      </c>
      <c r="K5" s="59">
        <f>'SER_se-appl'!K14</f>
        <v>208.55705440479511</v>
      </c>
      <c r="L5" s="59">
        <f>'SER_se-appl'!L14</f>
        <v>211.44466289643785</v>
      </c>
      <c r="M5" s="59">
        <f>'SER_se-appl'!M14</f>
        <v>213.59053090018224</v>
      </c>
      <c r="N5" s="59">
        <f>'SER_se-appl'!N14</f>
        <v>214.78710417708669</v>
      </c>
      <c r="O5" s="59">
        <f>'SER_se-appl'!O14</f>
        <v>213.97896815225377</v>
      </c>
      <c r="P5" s="59">
        <f>'SER_se-appl'!P14</f>
        <v>215.91546199326996</v>
      </c>
      <c r="Q5" s="59">
        <f>'SER_se-appl'!Q14</f>
        <v>217.15033580553398</v>
      </c>
      <c r="R5" s="59">
        <f>'SER_se-appl'!R14</f>
        <v>210.43519914073812</v>
      </c>
      <c r="S5" s="59">
        <f>'SER_se-appl'!S14</f>
        <v>204.6057269619233</v>
      </c>
      <c r="T5" s="59">
        <f>'SER_se-appl'!T14</f>
        <v>195.88731087441545</v>
      </c>
      <c r="U5" s="59">
        <f>'SER_se-appl'!U14</f>
        <v>184.96589492416379</v>
      </c>
      <c r="V5" s="59">
        <f>'SER_se-appl'!V14</f>
        <v>172.56968120449179</v>
      </c>
      <c r="W5" s="59">
        <f>'SER_se-appl'!W14</f>
        <v>160.9463169579216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165.51939258741231</v>
      </c>
      <c r="C6" s="202">
        <f>'SER_se-appl'!C70</f>
        <v>166.15866521593878</v>
      </c>
      <c r="D6" s="202">
        <f>'SER_se-appl'!D70</f>
        <v>167.30192911138033</v>
      </c>
      <c r="E6" s="202">
        <f>'SER_se-appl'!E70</f>
        <v>170.07889678082469</v>
      </c>
      <c r="F6" s="202">
        <f>'SER_se-appl'!F70</f>
        <v>173.7470350923364</v>
      </c>
      <c r="G6" s="202">
        <f>'SER_se-appl'!G70</f>
        <v>177.16662594894174</v>
      </c>
      <c r="H6" s="202">
        <f>'SER_se-appl'!H70</f>
        <v>180.90514502552151</v>
      </c>
      <c r="I6" s="202">
        <f>'SER_se-appl'!I70</f>
        <v>184.75982779151877</v>
      </c>
      <c r="J6" s="202">
        <f>'SER_se-appl'!J70</f>
        <v>189.17542967486423</v>
      </c>
      <c r="K6" s="202">
        <f>'SER_se-appl'!K70</f>
        <v>194.07739705418453</v>
      </c>
      <c r="L6" s="202">
        <f>'SER_se-appl'!L70</f>
        <v>200.91070160469067</v>
      </c>
      <c r="M6" s="202">
        <f>'SER_se-appl'!M70</f>
        <v>208.63862221762943</v>
      </c>
      <c r="N6" s="202">
        <f>'SER_se-appl'!N70</f>
        <v>217.65380922619323</v>
      </c>
      <c r="O6" s="202">
        <f>'SER_se-appl'!O70</f>
        <v>225.98605316066906</v>
      </c>
      <c r="P6" s="202">
        <f>'SER_se-appl'!P70</f>
        <v>236.68567097594968</v>
      </c>
      <c r="Q6" s="202">
        <f>'SER_se-appl'!Q70</f>
        <v>248.77732021805946</v>
      </c>
      <c r="R6" s="202">
        <f>'SER_se-appl'!R70</f>
        <v>254.96210908076301</v>
      </c>
      <c r="S6" s="202">
        <f>'SER_se-appl'!S70</f>
        <v>261.24233284949617</v>
      </c>
      <c r="T6" s="202">
        <f>'SER_se-appl'!T70</f>
        <v>267.20820523197278</v>
      </c>
      <c r="U6" s="202">
        <f>'SER_se-appl'!U70</f>
        <v>272.60912023213609</v>
      </c>
      <c r="V6" s="202">
        <f>'SER_se-appl'!V70</f>
        <v>276.97804330130106</v>
      </c>
      <c r="W6" s="202">
        <f>'SER_se-appl'!W70</f>
        <v>279.52262851765397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3.38357496945632</v>
      </c>
      <c r="C8" s="34">
        <f>'SER_se-appl'!C22</f>
        <v>3.4860874083181117</v>
      </c>
      <c r="D8" s="34">
        <f>'SER_se-appl'!D22</f>
        <v>3.6394991169651472</v>
      </c>
      <c r="E8" s="34">
        <f>'SER_se-appl'!E22</f>
        <v>3.7934038580354676</v>
      </c>
      <c r="F8" s="34">
        <f>'SER_se-appl'!F22</f>
        <v>4.0237311414371568</v>
      </c>
      <c r="G8" s="34">
        <f>'SER_se-appl'!G22</f>
        <v>4.2364236207214656</v>
      </c>
      <c r="H8" s="34">
        <f>'SER_se-appl'!H22</f>
        <v>4.5476006598222236</v>
      </c>
      <c r="I8" s="34">
        <f>'SER_se-appl'!I22</f>
        <v>4.9308484136898727</v>
      </c>
      <c r="J8" s="34">
        <f>'SER_se-appl'!J22</f>
        <v>5.2106650661017184</v>
      </c>
      <c r="K8" s="34">
        <f>'SER_se-appl'!K22</f>
        <v>5.3964930463833456</v>
      </c>
      <c r="L8" s="34">
        <f>'SER_se-appl'!L22</f>
        <v>5.6442493817964987</v>
      </c>
      <c r="M8" s="34">
        <f>'SER_se-appl'!M22</f>
        <v>5.8958746088633118</v>
      </c>
      <c r="N8" s="34">
        <f>'SER_se-appl'!N22</f>
        <v>6.1648979280814835</v>
      </c>
      <c r="O8" s="34">
        <f>'SER_se-appl'!O22</f>
        <v>6.4245775531287155</v>
      </c>
      <c r="P8" s="34">
        <f>'SER_se-appl'!P22</f>
        <v>6.8155115235064576</v>
      </c>
      <c r="Q8" s="34">
        <f>'SER_se-appl'!Q22</f>
        <v>7.2255832443698313</v>
      </c>
      <c r="R8" s="34">
        <f>'SER_se-appl'!R22</f>
        <v>7.486271242732208</v>
      </c>
      <c r="S8" s="34">
        <f>'SER_se-appl'!S22</f>
        <v>7.7869020186496627</v>
      </c>
      <c r="T8" s="34">
        <f>'SER_se-appl'!T22</f>
        <v>8.086068058426628</v>
      </c>
      <c r="U8" s="34">
        <f>'SER_se-appl'!U22</f>
        <v>8.3526502617089946</v>
      </c>
      <c r="V8" s="34">
        <f>'SER_se-appl'!V22</f>
        <v>8.5771436752725236</v>
      </c>
      <c r="W8" s="34">
        <f>'SER_se-appl'!W22</f>
        <v>8.7394149132404628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0.63091213656439038</v>
      </c>
      <c r="D9" s="36">
        <f>'SER_se-appl'!D30</f>
        <v>0.69553835973824141</v>
      </c>
      <c r="E9" s="36">
        <f>'SER_se-appl'!E30</f>
        <v>0.71011494917831941</v>
      </c>
      <c r="F9" s="36">
        <f>'SER_se-appl'!F30</f>
        <v>0.80098691612927464</v>
      </c>
      <c r="G9" s="36">
        <f>'SER_se-appl'!G30</f>
        <v>0.79817690887167636</v>
      </c>
      <c r="H9" s="36">
        <f>'SER_se-appl'!H30</f>
        <v>0.91187138934032141</v>
      </c>
      <c r="I9" s="36">
        <f>'SER_se-appl'!I30</f>
        <v>1.0141598904320395</v>
      </c>
      <c r="J9" s="36">
        <f>'SER_se-appl'!J30</f>
        <v>0.97535501215008757</v>
      </c>
      <c r="K9" s="36">
        <f>'SER_se-appl'!K30</f>
        <v>0.89594292945994614</v>
      </c>
      <c r="L9" s="36">
        <f>'SER_se-appl'!L30</f>
        <v>1.0487432515424278</v>
      </c>
      <c r="M9" s="36">
        <f>'SER_se-appl'!M30</f>
        <v>1.0498021359384895</v>
      </c>
      <c r="N9" s="36">
        <f>'SER_se-appl'!N30</f>
        <v>1.1808947085584931</v>
      </c>
      <c r="O9" s="36">
        <f>'SER_se-appl'!O30</f>
        <v>1.2738395154792714</v>
      </c>
      <c r="P9" s="36">
        <f>'SER_se-appl'!P30</f>
        <v>1.3662889825278297</v>
      </c>
      <c r="Q9" s="36">
        <f>'SER_se-appl'!Q30</f>
        <v>1.3060146503233199</v>
      </c>
      <c r="R9" s="36">
        <f>'SER_se-appl'!R30</f>
        <v>1.3094312499048044</v>
      </c>
      <c r="S9" s="36">
        <f>'SER_se-appl'!S30</f>
        <v>1.3504329118559442</v>
      </c>
      <c r="T9" s="36">
        <f>'SER_se-appl'!T30</f>
        <v>1.4800607483354584</v>
      </c>
      <c r="U9" s="36">
        <f>'SER_se-appl'!U30</f>
        <v>1.540421718761638</v>
      </c>
      <c r="V9" s="36">
        <f>'SER_se-appl'!V30</f>
        <v>1.5907823960913587</v>
      </c>
      <c r="W9" s="36">
        <f>'SER_se-appl'!W30</f>
        <v>1.4682858882912591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0.52839969770259865</v>
      </c>
      <c r="D10" s="38">
        <f>'SER_se-appl'!D38</f>
        <v>0.54212665109120595</v>
      </c>
      <c r="E10" s="38">
        <f>'SER_se-appl'!E38</f>
        <v>0.55621020810799893</v>
      </c>
      <c r="F10" s="38">
        <f>'SER_se-appl'!F38</f>
        <v>0.57065963272758502</v>
      </c>
      <c r="G10" s="38">
        <f>'SER_se-appl'!G38</f>
        <v>0.58548442958736757</v>
      </c>
      <c r="H10" s="38">
        <f>'SER_se-appl'!H38</f>
        <v>0.60069435023956341</v>
      </c>
      <c r="I10" s="38">
        <f>'SER_se-appl'!I38</f>
        <v>0.63091213656439038</v>
      </c>
      <c r="J10" s="38">
        <f>'SER_se-appl'!J38</f>
        <v>0.69553835973824185</v>
      </c>
      <c r="K10" s="38">
        <f>'SER_se-appl'!K38</f>
        <v>0.71011494917831897</v>
      </c>
      <c r="L10" s="38">
        <f>'SER_se-appl'!L38</f>
        <v>0.80098691612927464</v>
      </c>
      <c r="M10" s="38">
        <f>'SER_se-appl'!M38</f>
        <v>0.79817690887167636</v>
      </c>
      <c r="N10" s="38">
        <f>'SER_se-appl'!N38</f>
        <v>0.91187138934032141</v>
      </c>
      <c r="O10" s="38">
        <f>'SER_se-appl'!O38</f>
        <v>1.0141598904320395</v>
      </c>
      <c r="P10" s="38">
        <f>'SER_se-appl'!P38</f>
        <v>0.97535501215008757</v>
      </c>
      <c r="Q10" s="38">
        <f>'SER_se-appl'!Q38</f>
        <v>0.89594292945994702</v>
      </c>
      <c r="R10" s="38">
        <f>'SER_se-appl'!R38</f>
        <v>1.0487432515424278</v>
      </c>
      <c r="S10" s="38">
        <f>'SER_se-appl'!S38</f>
        <v>1.0498021359384886</v>
      </c>
      <c r="T10" s="38">
        <f>'SER_se-appl'!T38</f>
        <v>1.1808947085584922</v>
      </c>
      <c r="U10" s="38">
        <f>'SER_se-appl'!U38</f>
        <v>1.2738395154792705</v>
      </c>
      <c r="V10" s="38">
        <f>'SER_se-appl'!V38</f>
        <v>1.3662889825278306</v>
      </c>
      <c r="W10" s="38">
        <f>'SER_se-appl'!W38</f>
        <v>1.3060146503233199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2347.8284075014831</v>
      </c>
      <c r="C12" s="205">
        <f>'SER_se-appl'!C46</f>
        <v>2362.8029060819244</v>
      </c>
      <c r="D12" s="205">
        <f>'SER_se-appl'!D46</f>
        <v>2378.8474410600197</v>
      </c>
      <c r="E12" s="205">
        <f>'SER_se-appl'!E46</f>
        <v>2391.5846757820996</v>
      </c>
      <c r="F12" s="205">
        <f>'SER_se-appl'!F46</f>
        <v>2407.1143285295784</v>
      </c>
      <c r="G12" s="205">
        <f>'SER_se-appl'!G46</f>
        <v>2421.2459650479877</v>
      </c>
      <c r="H12" s="205">
        <f>'SER_se-appl'!H46</f>
        <v>2429.7988985266629</v>
      </c>
      <c r="I12" s="205">
        <f>'SER_se-appl'!I46</f>
        <v>2441.1053272242448</v>
      </c>
      <c r="J12" s="205">
        <f>'SER_se-appl'!J46</f>
        <v>2452.4307179751377</v>
      </c>
      <c r="K12" s="205">
        <f>'SER_se-appl'!K46</f>
        <v>2457.6150717331475</v>
      </c>
      <c r="L12" s="205">
        <f>'SER_se-appl'!L46</f>
        <v>2464.6287689138503</v>
      </c>
      <c r="M12" s="205">
        <f>'SER_se-appl'!M46</f>
        <v>2472.6712067668254</v>
      </c>
      <c r="N12" s="205">
        <f>'SER_se-appl'!N46</f>
        <v>2478.6995326872147</v>
      </c>
      <c r="O12" s="205">
        <f>'SER_se-appl'!O46</f>
        <v>2488.4077942526128</v>
      </c>
      <c r="P12" s="205">
        <f>'SER_se-appl'!P46</f>
        <v>2496.1453262259024</v>
      </c>
      <c r="Q12" s="205">
        <f>'SER_se-appl'!Q46</f>
        <v>2505.9007638740895</v>
      </c>
      <c r="R12" s="205">
        <f>'SER_se-appl'!R46</f>
        <v>2540.3681141219322</v>
      </c>
      <c r="S12" s="205">
        <f>'SER_se-appl'!S46</f>
        <v>2457.6222157200982</v>
      </c>
      <c r="T12" s="205">
        <f>'SER_se-appl'!T46</f>
        <v>2447.9248681730119</v>
      </c>
      <c r="U12" s="205">
        <f>'SER_se-appl'!U46</f>
        <v>2485.6954088117204</v>
      </c>
      <c r="V12" s="205">
        <f>'SER_se-appl'!V46</f>
        <v>2215.5207151845043</v>
      </c>
      <c r="W12" s="205">
        <f>'SER_se-appl'!W46</f>
        <v>2349.8871620581531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48.44901713397676</v>
      </c>
      <c r="C14" s="59">
        <f>'SER_se-appl'!C54</f>
        <v>47.89633879746868</v>
      </c>
      <c r="D14" s="59">
        <f>'SER_se-appl'!D54</f>
        <v>47.032422475870668</v>
      </c>
      <c r="E14" s="59">
        <f>'SER_se-appl'!E54</f>
        <v>46.024846255949306</v>
      </c>
      <c r="F14" s="59">
        <f>'SER_se-appl'!F54</f>
        <v>44.814366570194181</v>
      </c>
      <c r="G14" s="59">
        <f>'SER_se-appl'!G54</f>
        <v>43.497947728485265</v>
      </c>
      <c r="H14" s="59">
        <f>'SER_se-appl'!H54</f>
        <v>42.009789821164347</v>
      </c>
      <c r="I14" s="59">
        <f>'SER_se-appl'!I54</f>
        <v>40.789890212706922</v>
      </c>
      <c r="J14" s="59">
        <f>'SER_se-appl'!J54</f>
        <v>39.702803859057418</v>
      </c>
      <c r="K14" s="59">
        <f>'SER_se-appl'!K54</f>
        <v>38.646775343214266</v>
      </c>
      <c r="L14" s="59">
        <f>'SER_se-appl'!L54</f>
        <v>37.461963246765237</v>
      </c>
      <c r="M14" s="59">
        <f>'SER_se-appl'!M54</f>
        <v>36.227115579949754</v>
      </c>
      <c r="N14" s="59">
        <f>'SER_se-appl'!N54</f>
        <v>34.840334208733353</v>
      </c>
      <c r="O14" s="59">
        <f>'SER_se-appl'!O54</f>
        <v>33.306309462798502</v>
      </c>
      <c r="P14" s="59">
        <f>'SER_se-appl'!P54</f>
        <v>31.68000835279717</v>
      </c>
      <c r="Q14" s="59">
        <f>'SER_se-appl'!Q54</f>
        <v>30.052983746985042</v>
      </c>
      <c r="R14" s="59">
        <f>'SER_se-appl'!R54</f>
        <v>28.109480984279323</v>
      </c>
      <c r="S14" s="59">
        <f>'SER_se-appl'!S54</f>
        <v>26.275626233885021</v>
      </c>
      <c r="T14" s="59">
        <f>'SER_se-appl'!T54</f>
        <v>24.225285943552993</v>
      </c>
      <c r="U14" s="59">
        <f>'SER_se-appl'!U54</f>
        <v>22.144575569277915</v>
      </c>
      <c r="V14" s="59">
        <f>'SER_se-appl'!V54</f>
        <v>20.119714410521251</v>
      </c>
      <c r="W14" s="59">
        <f>'SER_se-appl'!W54</f>
        <v>18.416143249370542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45.395208405169107</v>
      </c>
      <c r="D15" s="63">
        <f>'SER_se-appl'!D62</f>
        <v>43.806555690529095</v>
      </c>
      <c r="E15" s="63">
        <f>'SER_se-appl'!E62</f>
        <v>42.759566209662559</v>
      </c>
      <c r="F15" s="63">
        <f>'SER_se-appl'!F62</f>
        <v>41.671131763860068</v>
      </c>
      <c r="G15" s="63">
        <f>'SER_se-appl'!G62</f>
        <v>40.493424025554255</v>
      </c>
      <c r="H15" s="63">
        <f>'SER_se-appl'!H62</f>
        <v>39.337856178213158</v>
      </c>
      <c r="I15" s="63">
        <f>'SER_se-appl'!I62</f>
        <v>38.184714097087564</v>
      </c>
      <c r="J15" s="63">
        <f>'SER_se-appl'!J62</f>
        <v>37.13354325795811</v>
      </c>
      <c r="K15" s="63">
        <f>'SER_se-appl'!K62</f>
        <v>35.764832158776677</v>
      </c>
      <c r="L15" s="63">
        <f>'SER_se-appl'!L62</f>
        <v>34.580093613433341</v>
      </c>
      <c r="M15" s="63">
        <f>'SER_se-appl'!M62</f>
        <v>32.831695461620669</v>
      </c>
      <c r="N15" s="63">
        <f>'SER_se-appl'!N62</f>
        <v>31.389452908167836</v>
      </c>
      <c r="O15" s="63">
        <f>'SER_se-appl'!O62</f>
        <v>29.766127506087084</v>
      </c>
      <c r="P15" s="63">
        <f>'SER_se-appl'!P62</f>
        <v>27.92592333282651</v>
      </c>
      <c r="Q15" s="63">
        <f>'SER_se-appl'!Q62</f>
        <v>25.48066539682636</v>
      </c>
      <c r="R15" s="63">
        <f>'SER_se-appl'!R62</f>
        <v>22.567433877987945</v>
      </c>
      <c r="S15" s="63">
        <f>'SER_se-appl'!S62</f>
        <v>21.206023336560541</v>
      </c>
      <c r="T15" s="63">
        <f>'SER_se-appl'!T62</f>
        <v>19.154094038488832</v>
      </c>
      <c r="U15" s="63">
        <f>'SER_se-appl'!U62</f>
        <v>17.524975895236544</v>
      </c>
      <c r="V15" s="63">
        <f>'SER_se-appl'!V62</f>
        <v>16.19245204132017</v>
      </c>
      <c r="W15" s="63">
        <f>'SER_se-appl'!W62</f>
        <v>14.748325400629273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19.588900296557775</v>
      </c>
      <c r="C3" s="199">
        <f>'SER_se-appl'!C7</f>
        <v>20.21420437375177</v>
      </c>
      <c r="D3" s="199">
        <f>'SER_se-appl'!D7</f>
        <v>20.820905529523785</v>
      </c>
      <c r="E3" s="199">
        <f>'SER_se-appl'!E7</f>
        <v>21.390017744772777</v>
      </c>
      <c r="F3" s="199">
        <f>'SER_se-appl'!F7</f>
        <v>22.004315725513028</v>
      </c>
      <c r="G3" s="199">
        <f>'SER_se-appl'!G7</f>
        <v>22.717451630546861</v>
      </c>
      <c r="H3" s="199">
        <f>'SER_se-appl'!H7</f>
        <v>23.45340225255298</v>
      </c>
      <c r="I3" s="199">
        <f>'SER_se-appl'!I7</f>
        <v>24.000536635972431</v>
      </c>
      <c r="J3" s="199">
        <f>'SER_se-appl'!J7</f>
        <v>24.28110205849616</v>
      </c>
      <c r="K3" s="199">
        <f>'SER_se-appl'!K7</f>
        <v>24.746731812716007</v>
      </c>
      <c r="L3" s="199">
        <f>'SER_se-appl'!L7</f>
        <v>25.134150638250492</v>
      </c>
      <c r="M3" s="199">
        <f>'SER_se-appl'!M7</f>
        <v>25.139095881640824</v>
      </c>
      <c r="N3" s="199">
        <f>'SER_se-appl'!N7</f>
        <v>25.234867014135201</v>
      </c>
      <c r="O3" s="199">
        <f>'SER_se-appl'!O7</f>
        <v>25.370534152798669</v>
      </c>
      <c r="P3" s="199">
        <f>'SER_se-appl'!P7</f>
        <v>25.563779231087942</v>
      </c>
      <c r="Q3" s="199">
        <f>'SER_se-appl'!Q7</f>
        <v>25.897630922333637</v>
      </c>
      <c r="R3" s="199">
        <f>'SER_se-appl'!R7</f>
        <v>25.919551307468254</v>
      </c>
      <c r="S3" s="199">
        <f>'SER_se-appl'!S7</f>
        <v>25.963486239456941</v>
      </c>
      <c r="T3" s="199">
        <f>'SER_se-appl'!T7</f>
        <v>26.072760702996863</v>
      </c>
      <c r="U3" s="199">
        <f>'SER_se-appl'!U7</f>
        <v>26.114068803452689</v>
      </c>
      <c r="V3" s="199">
        <f>'SER_se-appl'!V7</f>
        <v>26.112733310267171</v>
      </c>
      <c r="W3" s="199">
        <f>'SER_se-appl'!W7</f>
        <v>26.067377861628977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26.006724937096685</v>
      </c>
      <c r="C5" s="59">
        <f>'SER_se-appl'!C15</f>
        <v>26.836894619490089</v>
      </c>
      <c r="D5" s="59">
        <f>'SER_se-appl'!D15</f>
        <v>27.642366587712512</v>
      </c>
      <c r="E5" s="59">
        <f>'SER_se-appl'!E15</f>
        <v>28.397934517318198</v>
      </c>
      <c r="F5" s="59">
        <f>'SER_se-appl'!F15</f>
        <v>29.213492224625181</v>
      </c>
      <c r="G5" s="59">
        <f>'SER_se-appl'!G15</f>
        <v>30.160269687586759</v>
      </c>
      <c r="H5" s="59">
        <f>'SER_se-appl'!H15</f>
        <v>31.137336552190785</v>
      </c>
      <c r="I5" s="59">
        <f>'SER_se-appl'!I15</f>
        <v>31.863726150269329</v>
      </c>
      <c r="J5" s="59">
        <f>'SER_se-appl'!J15</f>
        <v>32.236211979487479</v>
      </c>
      <c r="K5" s="59">
        <f>'SER_se-appl'!K15</f>
        <v>32.854393947704025</v>
      </c>
      <c r="L5" s="59">
        <f>'SER_se-appl'!L15</f>
        <v>33.368741087083684</v>
      </c>
      <c r="M5" s="59">
        <f>'SER_se-appl'!M15</f>
        <v>33.37530651866242</v>
      </c>
      <c r="N5" s="59">
        <f>'SER_se-appl'!N15</f>
        <v>33.502454723104165</v>
      </c>
      <c r="O5" s="59">
        <f>'SER_se-appl'!O15</f>
        <v>33.682569885507817</v>
      </c>
      <c r="P5" s="59">
        <f>'SER_se-appl'!P15</f>
        <v>33.939126992871337</v>
      </c>
      <c r="Q5" s="59">
        <f>'SER_se-appl'!Q15</f>
        <v>34.382357035015993</v>
      </c>
      <c r="R5" s="59">
        <f>'SER_se-appl'!R15</f>
        <v>34.411459098841974</v>
      </c>
      <c r="S5" s="59">
        <f>'SER_se-appl'!S15</f>
        <v>34.469788238000476</v>
      </c>
      <c r="T5" s="59">
        <f>'SER_se-appl'!T15</f>
        <v>34.614863810028943</v>
      </c>
      <c r="U5" s="59">
        <f>'SER_se-appl'!U15</f>
        <v>34.669705500474279</v>
      </c>
      <c r="V5" s="59">
        <f>'SER_se-appl'!V15</f>
        <v>34.667932465571603</v>
      </c>
      <c r="W5" s="59">
        <f>'SER_se-appl'!W15</f>
        <v>34.607717412185494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1.7952850729850225E-2</v>
      </c>
      <c r="C6" s="202">
        <f>'SER_se-appl'!C71</f>
        <v>1.8776210460426965E-2</v>
      </c>
      <c r="D6" s="202">
        <f>'SER_se-appl'!D71</f>
        <v>1.9640873154029816E-2</v>
      </c>
      <c r="E6" s="202">
        <f>'SER_se-appl'!E71</f>
        <v>2.0555274958018819E-2</v>
      </c>
      <c r="F6" s="202">
        <f>'SER_se-appl'!F71</f>
        <v>2.1581914047207763E-2</v>
      </c>
      <c r="G6" s="202">
        <f>'SER_se-appl'!G71</f>
        <v>2.277497032818503E-2</v>
      </c>
      <c r="H6" s="202">
        <f>'SER_se-appl'!H71</f>
        <v>2.4001263802955131E-2</v>
      </c>
      <c r="I6" s="202">
        <f>'SER_se-appl'!I71</f>
        <v>2.5054662918587663E-2</v>
      </c>
      <c r="J6" s="202">
        <f>'SER_se-appl'!J71</f>
        <v>2.5964352405679677E-2</v>
      </c>
      <c r="K6" s="202">
        <f>'SER_se-appl'!K71</f>
        <v>2.6892421464408876E-2</v>
      </c>
      <c r="L6" s="202">
        <f>'SER_se-appl'!L71</f>
        <v>2.7903313635994395E-2</v>
      </c>
      <c r="M6" s="202">
        <f>'SER_se-appl'!M71</f>
        <v>2.8515412888244468E-2</v>
      </c>
      <c r="N6" s="202">
        <f>'SER_se-appl'!N71</f>
        <v>2.9199681991044769E-2</v>
      </c>
      <c r="O6" s="202">
        <f>'SER_se-appl'!O71</f>
        <v>2.9971382967538124E-2</v>
      </c>
      <c r="P6" s="202">
        <f>'SER_se-appl'!P71</f>
        <v>3.0940763033768168E-2</v>
      </c>
      <c r="Q6" s="202">
        <f>'SER_se-appl'!Q71</f>
        <v>3.2193925019736447E-2</v>
      </c>
      <c r="R6" s="202">
        <f>'SER_se-appl'!R71</f>
        <v>3.3040124211054206E-2</v>
      </c>
      <c r="S6" s="202">
        <f>'SER_se-appl'!S71</f>
        <v>3.3879669562196901E-2</v>
      </c>
      <c r="T6" s="202">
        <f>'SER_se-appl'!T71</f>
        <v>3.4751703774356386E-2</v>
      </c>
      <c r="U6" s="202">
        <f>'SER_se-appl'!U71</f>
        <v>3.5358500989535711E-2</v>
      </c>
      <c r="V6" s="202">
        <f>'SER_se-appl'!V71</f>
        <v>3.5856087514527804E-2</v>
      </c>
      <c r="W6" s="202">
        <f>'SER_se-appl'!W71</f>
        <v>3.625996271507817E-2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35.685868802513433</v>
      </c>
      <c r="C8" s="34">
        <f>'SER_se-appl'!C23</f>
        <v>37.366423780032946</v>
      </c>
      <c r="D8" s="34">
        <f>'SER_se-appl'!D23</f>
        <v>39.164411731837454</v>
      </c>
      <c r="E8" s="34">
        <f>'SER_se-appl'!E23</f>
        <v>41.008451865321156</v>
      </c>
      <c r="F8" s="34">
        <f>'SER_se-appl'!F23</f>
        <v>43.086845407009129</v>
      </c>
      <c r="G8" s="34">
        <f>'SER_se-appl'!G23</f>
        <v>45.495052977879133</v>
      </c>
      <c r="H8" s="34">
        <f>'SER_se-appl'!H23</f>
        <v>48.08312384976059</v>
      </c>
      <c r="I8" s="34">
        <f>'SER_se-appl'!I23</f>
        <v>50.369318074281509</v>
      </c>
      <c r="J8" s="34">
        <f>'SER_se-appl'!J23</f>
        <v>52.195332746213282</v>
      </c>
      <c r="K8" s="34">
        <f>'SER_se-appl'!K23</f>
        <v>54.655135472248951</v>
      </c>
      <c r="L8" s="34">
        <f>'SER_se-appl'!L23</f>
        <v>57.117413333353269</v>
      </c>
      <c r="M8" s="34">
        <f>'SER_se-appl'!M23</f>
        <v>58.461985833937042</v>
      </c>
      <c r="N8" s="34">
        <f>'SER_se-appl'!N23</f>
        <v>60.019829533864552</v>
      </c>
      <c r="O8" s="34">
        <f>'SER_se-appl'!O23</f>
        <v>61.705712652609805</v>
      </c>
      <c r="P8" s="34">
        <f>'SER_se-appl'!P23</f>
        <v>63.771542577454063</v>
      </c>
      <c r="Q8" s="34">
        <f>'SER_se-appl'!Q23</f>
        <v>66.412010881163809</v>
      </c>
      <c r="R8" s="34">
        <f>'SER_se-appl'!R23</f>
        <v>68.201027914967568</v>
      </c>
      <c r="S8" s="34">
        <f>'SER_se-appl'!S23</f>
        <v>69.991839950194773</v>
      </c>
      <c r="T8" s="34">
        <f>'SER_se-appl'!T23</f>
        <v>71.827601497141728</v>
      </c>
      <c r="U8" s="34">
        <f>'SER_se-appl'!U23</f>
        <v>73.577787577132781</v>
      </c>
      <c r="V8" s="34">
        <f>'SER_se-appl'!V23</f>
        <v>75.149375434285759</v>
      </c>
      <c r="W8" s="34">
        <f>'SER_se-appl'!W23</f>
        <v>76.471427386957416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4.9237974454442721</v>
      </c>
      <c r="D9" s="36">
        <f>'SER_se-appl'!D31</f>
        <v>5.1095466797018645</v>
      </c>
      <c r="E9" s="36">
        <f>'SER_se-appl'!E31</f>
        <v>5.2253541477054597</v>
      </c>
      <c r="F9" s="36">
        <f>'SER_se-appl'!F31</f>
        <v>5.5309321805035196</v>
      </c>
      <c r="G9" s="36">
        <f>'SER_se-appl'!G31</f>
        <v>5.933471122962132</v>
      </c>
      <c r="H9" s="36">
        <f>'SER_se-appl'!H31</f>
        <v>6.1875912282916232</v>
      </c>
      <c r="I9" s="36">
        <f>'SER_se-appl'!I31</f>
        <v>5.9615355443271767</v>
      </c>
      <c r="J9" s="36">
        <f>'SER_se-appl'!J31</f>
        <v>5.5787740619486641</v>
      </c>
      <c r="K9" s="36">
        <f>'SER_se-appl'!K31</f>
        <v>6.2916109348314535</v>
      </c>
      <c r="L9" s="36">
        <f>'SER_se-appl'!L31</f>
        <v>6.374799987637104</v>
      </c>
      <c r="M9" s="36">
        <f>'SER_se-appl'!M31</f>
        <v>6.2683699460280451</v>
      </c>
      <c r="N9" s="36">
        <f>'SER_se-appl'!N31</f>
        <v>6.6673903796293743</v>
      </c>
      <c r="O9" s="36">
        <f>'SER_se-appl'!O31</f>
        <v>6.911237266450712</v>
      </c>
      <c r="P9" s="36">
        <f>'SER_se-appl'!P31</f>
        <v>7.5967621053477785</v>
      </c>
      <c r="Q9" s="36">
        <f>'SER_se-appl'!Q31</f>
        <v>8.5739394266718776</v>
      </c>
      <c r="R9" s="36">
        <f>'SER_se-appl'!R31</f>
        <v>7.9766082620953824</v>
      </c>
      <c r="S9" s="36">
        <f>'SER_se-appl'!S31</f>
        <v>7.7523475795543817</v>
      </c>
      <c r="T9" s="36">
        <f>'SER_se-appl'!T31</f>
        <v>7.4145356088956191</v>
      </c>
      <c r="U9" s="36">
        <f>'SER_se-appl'!U31</f>
        <v>8.0417970148225066</v>
      </c>
      <c r="V9" s="36">
        <f>'SER_se-appl'!V31</f>
        <v>7.9463878447900811</v>
      </c>
      <c r="W9" s="36">
        <f>'SER_se-appl'!W31</f>
        <v>7.5904218986997023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3.2432424679247589</v>
      </c>
      <c r="D10" s="38">
        <f>'SER_se-appl'!D39</f>
        <v>3.3115587278973564</v>
      </c>
      <c r="E10" s="38">
        <f>'SER_se-appl'!E39</f>
        <v>3.3813140142217577</v>
      </c>
      <c r="F10" s="38">
        <f>'SER_se-appl'!F39</f>
        <v>3.4525386388155468</v>
      </c>
      <c r="G10" s="38">
        <f>'SER_se-appl'!G39</f>
        <v>3.5252635520921274</v>
      </c>
      <c r="H10" s="38">
        <f>'SER_se-appl'!H39</f>
        <v>3.5995203564101672</v>
      </c>
      <c r="I10" s="38">
        <f>'SER_se-appl'!I39</f>
        <v>3.6753413198062574</v>
      </c>
      <c r="J10" s="38">
        <f>'SER_se-appl'!J39</f>
        <v>3.752759390016891</v>
      </c>
      <c r="K10" s="38">
        <f>'SER_se-appl'!K39</f>
        <v>3.8318082087957848</v>
      </c>
      <c r="L10" s="38">
        <f>'SER_se-appl'!L39</f>
        <v>3.9125221265327852</v>
      </c>
      <c r="M10" s="38">
        <f>'SER_se-appl'!M39</f>
        <v>4.9237974454442721</v>
      </c>
      <c r="N10" s="38">
        <f>'SER_se-appl'!N39</f>
        <v>5.1095466797018645</v>
      </c>
      <c r="O10" s="38">
        <f>'SER_se-appl'!O39</f>
        <v>5.2253541477054597</v>
      </c>
      <c r="P10" s="38">
        <f>'SER_se-appl'!P39</f>
        <v>5.5309321805035196</v>
      </c>
      <c r="Q10" s="38">
        <f>'SER_se-appl'!Q39</f>
        <v>5.933471122962132</v>
      </c>
      <c r="R10" s="38">
        <f>'SER_se-appl'!R39</f>
        <v>6.1875912282916232</v>
      </c>
      <c r="S10" s="38">
        <f>'SER_se-appl'!S39</f>
        <v>5.9615355443271767</v>
      </c>
      <c r="T10" s="38">
        <f>'SER_se-appl'!T39</f>
        <v>5.5787740619486641</v>
      </c>
      <c r="U10" s="38">
        <f>'SER_se-appl'!U39</f>
        <v>6.2916109348314535</v>
      </c>
      <c r="V10" s="38">
        <f>'SER_se-appl'!V39</f>
        <v>6.374799987637104</v>
      </c>
      <c r="W10" s="38">
        <f>'SER_se-appl'!W39</f>
        <v>6.2683699460280451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8759.9999999999964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8759.9999999999964</v>
      </c>
      <c r="L12" s="205">
        <f>'SER_se-appl'!L47</f>
        <v>8760.0000000000036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8759.9999999999964</v>
      </c>
      <c r="Q12" s="205">
        <f>'SER_se-appl'!Q47</f>
        <v>8760.0000000000036</v>
      </c>
      <c r="R12" s="205">
        <f>'SER_se-appl'!R47</f>
        <v>8760.0000000000018</v>
      </c>
      <c r="S12" s="205">
        <f>'SER_se-appl'!S47</f>
        <v>8760.0000000000018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728.76815977267097</v>
      </c>
      <c r="C14" s="59">
        <f>'SER_se-appl'!C55</f>
        <v>718.20880631960836</v>
      </c>
      <c r="D14" s="59">
        <f>'SER_se-appl'!D55</f>
        <v>705.80318624424876</v>
      </c>
      <c r="E14" s="59">
        <f>'SER_se-appl'!E55</f>
        <v>692.48979723940624</v>
      </c>
      <c r="F14" s="59">
        <f>'SER_se-appl'!F55</f>
        <v>678.01418155975955</v>
      </c>
      <c r="G14" s="59">
        <f>'SER_se-appl'!G55</f>
        <v>662.93514818526444</v>
      </c>
      <c r="H14" s="59">
        <f>'SER_se-appl'!H55</f>
        <v>647.57307885156922</v>
      </c>
      <c r="I14" s="59">
        <f>'SER_se-appl'!I55</f>
        <v>632.60189671971943</v>
      </c>
      <c r="J14" s="59">
        <f>'SER_se-appl'!J55</f>
        <v>617.60717450021775</v>
      </c>
      <c r="K14" s="59">
        <f>'SER_se-appl'!K55</f>
        <v>601.12180975904425</v>
      </c>
      <c r="L14" s="59">
        <f>'SER_se-appl'!L55</f>
        <v>584.21309964326178</v>
      </c>
      <c r="M14" s="59">
        <f>'SER_se-appl'!M55</f>
        <v>570.88903229298342</v>
      </c>
      <c r="N14" s="59">
        <f>'SER_se-appl'!N55</f>
        <v>558.18976800327835</v>
      </c>
      <c r="O14" s="59">
        <f>'SER_se-appl'!O55</f>
        <v>545.85821048909372</v>
      </c>
      <c r="P14" s="59">
        <f>'SER_se-appl'!P55</f>
        <v>532.19862059398031</v>
      </c>
      <c r="Q14" s="59">
        <f>'SER_se-appl'!Q55</f>
        <v>517.71293443499292</v>
      </c>
      <c r="R14" s="59">
        <f>'SER_se-appl'!R55</f>
        <v>504.55924420590657</v>
      </c>
      <c r="S14" s="59">
        <f>'SER_se-appl'!S55</f>
        <v>492.48295604928654</v>
      </c>
      <c r="T14" s="59">
        <f>'SER_se-appl'!T55</f>
        <v>481.91590820983203</v>
      </c>
      <c r="U14" s="59">
        <f>'SER_se-appl'!U55</f>
        <v>471.19798844358388</v>
      </c>
      <c r="V14" s="59">
        <f>'SER_se-appl'!V55</f>
        <v>461.32030060431993</v>
      </c>
      <c r="W14" s="59">
        <f>'SER_se-appl'!W55</f>
        <v>452.55749231755561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648.63381624167096</v>
      </c>
      <c r="D15" s="63">
        <f>'SER_se-appl'!D63</f>
        <v>629.96401248635129</v>
      </c>
      <c r="E15" s="63">
        <f>'SER_se-appl'!E63</f>
        <v>616.18061290208868</v>
      </c>
      <c r="F15" s="63">
        <f>'SER_se-appl'!F63</f>
        <v>602.36824985934265</v>
      </c>
      <c r="G15" s="63">
        <f>'SER_se-appl'!G63</f>
        <v>592.54982819874567</v>
      </c>
      <c r="H15" s="63">
        <f>'SER_se-appl'!H63</f>
        <v>581.85529036690298</v>
      </c>
      <c r="I15" s="63">
        <f>'SER_se-appl'!I63</f>
        <v>571.1383087349335</v>
      </c>
      <c r="J15" s="63">
        <f>'SER_se-appl'!J63</f>
        <v>557.00004148670712</v>
      </c>
      <c r="K15" s="63">
        <f>'SER_se-appl'!K63</f>
        <v>542.09992011113343</v>
      </c>
      <c r="L15" s="63">
        <f>'SER_se-appl'!L63</f>
        <v>527.96459436060502</v>
      </c>
      <c r="M15" s="63">
        <f>'SER_se-appl'!M63</f>
        <v>510.54851366041709</v>
      </c>
      <c r="N15" s="63">
        <f>'SER_se-appl'!N63</f>
        <v>501.84233144588137</v>
      </c>
      <c r="O15" s="63">
        <f>'SER_se-appl'!O63</f>
        <v>491.93464971479563</v>
      </c>
      <c r="P15" s="63">
        <f>'SER_se-appl'!P63</f>
        <v>472.33479148941632</v>
      </c>
      <c r="Q15" s="63">
        <f>'SER_se-appl'!Q63</f>
        <v>461.76059097899252</v>
      </c>
      <c r="R15" s="63">
        <f>'SER_se-appl'!R63</f>
        <v>455.00350968494234</v>
      </c>
      <c r="S15" s="63">
        <f>'SER_se-appl'!S63</f>
        <v>446.72796618953714</v>
      </c>
      <c r="T15" s="63">
        <f>'SER_se-appl'!T63</f>
        <v>438.65902431929919</v>
      </c>
      <c r="U15" s="63">
        <f>'SER_se-appl'!U63</f>
        <v>430.93893929431459</v>
      </c>
      <c r="V15" s="63">
        <f>'SER_se-appl'!V63</f>
        <v>423.32386996509541</v>
      </c>
      <c r="W15" s="63">
        <f>'SER_se-appl'!W63</f>
        <v>413.6913530682744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6.8225139027734718</v>
      </c>
      <c r="C3" s="199">
        <f>'SER_se-appl'!C8</f>
        <v>7.3947106728807404</v>
      </c>
      <c r="D3" s="199">
        <f>'SER_se-appl'!D8</f>
        <v>8.1065847096007051</v>
      </c>
      <c r="E3" s="199">
        <f>'SER_se-appl'!E8</f>
        <v>8.7891405895448322</v>
      </c>
      <c r="F3" s="199">
        <f>'SER_se-appl'!F8</f>
        <v>9.7342305492372798</v>
      </c>
      <c r="G3" s="199">
        <f>'SER_se-appl'!G8</f>
        <v>11.026026759343649</v>
      </c>
      <c r="H3" s="199">
        <f>'SER_se-appl'!H8</f>
        <v>13.090923881871712</v>
      </c>
      <c r="I3" s="199">
        <f>'SER_se-appl'!I8</f>
        <v>15.126221275598031</v>
      </c>
      <c r="J3" s="199">
        <f>'SER_se-appl'!J8</f>
        <v>16.789543734129815</v>
      </c>
      <c r="K3" s="199">
        <f>'SER_se-appl'!K8</f>
        <v>17.816436997113239</v>
      </c>
      <c r="L3" s="199">
        <f>'SER_se-appl'!L8</f>
        <v>18.351424448018417</v>
      </c>
      <c r="M3" s="199">
        <f>'SER_se-appl'!M8</f>
        <v>18.562381768306292</v>
      </c>
      <c r="N3" s="199">
        <f>'SER_se-appl'!N8</f>
        <v>18.690495381360837</v>
      </c>
      <c r="O3" s="199">
        <f>'SER_se-appl'!O8</f>
        <v>18.731570258052233</v>
      </c>
      <c r="P3" s="199">
        <f>'SER_se-appl'!P8</f>
        <v>18.913930298381697</v>
      </c>
      <c r="Q3" s="199">
        <f>'SER_se-appl'!Q8</f>
        <v>18.895756753317084</v>
      </c>
      <c r="R3" s="199">
        <f>'SER_se-appl'!R8</f>
        <v>19.767570917977668</v>
      </c>
      <c r="S3" s="199">
        <f>'SER_se-appl'!S8</f>
        <v>19.589161407127314</v>
      </c>
      <c r="T3" s="199">
        <f>'SER_se-appl'!T8</f>
        <v>19.794316690984552</v>
      </c>
      <c r="U3" s="199">
        <f>'SER_se-appl'!U8</f>
        <v>20.266002692056723</v>
      </c>
      <c r="V3" s="199">
        <f>'SER_se-appl'!V8</f>
        <v>18.392416342855107</v>
      </c>
      <c r="W3" s="199">
        <f>'SER_se-appl'!W8</f>
        <v>19.553784504006284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85.464630413372589</v>
      </c>
      <c r="C5" s="59">
        <f>'SER_se-appl'!C16</f>
        <v>92.192064756327468</v>
      </c>
      <c r="D5" s="59">
        <f>'SER_se-appl'!D16</f>
        <v>100.62846604372373</v>
      </c>
      <c r="E5" s="59">
        <f>'SER_se-appl'!E16</f>
        <v>108.66538758159976</v>
      </c>
      <c r="F5" s="59">
        <f>'SER_se-appl'!F16</f>
        <v>119.90497856794356</v>
      </c>
      <c r="G5" s="59">
        <f>'SER_se-appl'!G16</f>
        <v>135.34944171312051</v>
      </c>
      <c r="H5" s="59">
        <f>'SER_se-appl'!H16</f>
        <v>160.17926187324409</v>
      </c>
      <c r="I5" s="59">
        <f>'SER_se-appl'!I16</f>
        <v>184.5227815687073</v>
      </c>
      <c r="J5" s="59">
        <f>'SER_se-appl'!J16</f>
        <v>204.22892830275899</v>
      </c>
      <c r="K5" s="59">
        <f>'SER_se-appl'!K16</f>
        <v>216.13503260206497</v>
      </c>
      <c r="L5" s="59">
        <f>'SER_se-appl'!L16</f>
        <v>222.05485338070508</v>
      </c>
      <c r="M5" s="59">
        <f>'SER_se-appl'!M16</f>
        <v>224.24247608636958</v>
      </c>
      <c r="N5" s="59">
        <f>'SER_se-appl'!N16</f>
        <v>225.44029593461153</v>
      </c>
      <c r="O5" s="59">
        <f>'SER_se-appl'!O16</f>
        <v>225.60120448074875</v>
      </c>
      <c r="P5" s="59">
        <f>'SER_se-appl'!P16</f>
        <v>227.47459429862636</v>
      </c>
      <c r="Q5" s="59">
        <f>'SER_se-appl'!Q16</f>
        <v>226.94699968231521</v>
      </c>
      <c r="R5" s="59">
        <f>'SER_se-appl'!R16</f>
        <v>232.01917425023353</v>
      </c>
      <c r="S5" s="59">
        <f>'SER_se-appl'!S16</f>
        <v>237.00945998598456</v>
      </c>
      <c r="T5" s="59">
        <f>'SER_se-appl'!T16</f>
        <v>243.75152989290902</v>
      </c>
      <c r="U5" s="59">
        <f>'SER_se-appl'!U16</f>
        <v>250.82906992663854</v>
      </c>
      <c r="V5" s="59">
        <f>'SER_se-appl'!V16</f>
        <v>255.39986080828552</v>
      </c>
      <c r="W5" s="59">
        <f>'SER_se-appl'!W16</f>
        <v>256.00090344746303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81.49650091406599</v>
      </c>
      <c r="C6" s="202">
        <f>'SER_se-appl'!C72</f>
        <v>86.214098039418275</v>
      </c>
      <c r="D6" s="202">
        <f>'SER_se-appl'!D72</f>
        <v>91.440742413130238</v>
      </c>
      <c r="E6" s="202">
        <f>'SER_se-appl'!E72</f>
        <v>97.004549597639382</v>
      </c>
      <c r="F6" s="202">
        <f>'SER_se-appl'!F72</f>
        <v>104.00764245408381</v>
      </c>
      <c r="G6" s="202">
        <f>'SER_se-appl'!G72</f>
        <v>114.92724271436794</v>
      </c>
      <c r="H6" s="202">
        <f>'SER_se-appl'!H72</f>
        <v>131.19669979183215</v>
      </c>
      <c r="I6" s="202">
        <f>'SER_se-appl'!I72</f>
        <v>144.17639712654463</v>
      </c>
      <c r="J6" s="202">
        <f>'SER_se-appl'!J72</f>
        <v>156.25638102422567</v>
      </c>
      <c r="K6" s="202">
        <f>'SER_se-appl'!K72</f>
        <v>165.27499984046474</v>
      </c>
      <c r="L6" s="202">
        <f>'SER_se-appl'!L72</f>
        <v>169.39617927160501</v>
      </c>
      <c r="M6" s="202">
        <f>'SER_se-appl'!M72</f>
        <v>171.42158804881302</v>
      </c>
      <c r="N6" s="202">
        <f>'SER_se-appl'!N72</f>
        <v>173.58469849664556</v>
      </c>
      <c r="O6" s="202">
        <f>'SER_se-appl'!O72</f>
        <v>175.00633014806405</v>
      </c>
      <c r="P6" s="202">
        <f>'SER_se-appl'!P72</f>
        <v>176.89707693847276</v>
      </c>
      <c r="Q6" s="202">
        <f>'SER_se-appl'!Q72</f>
        <v>177.84152574481826</v>
      </c>
      <c r="R6" s="202">
        <f>'SER_se-appl'!R72</f>
        <v>182.89625592339399</v>
      </c>
      <c r="S6" s="202">
        <f>'SER_se-appl'!S72</f>
        <v>187.60626749056135</v>
      </c>
      <c r="T6" s="202">
        <f>'SER_se-appl'!T72</f>
        <v>193.91427396732902</v>
      </c>
      <c r="U6" s="202">
        <f>'SER_se-appl'!U72</f>
        <v>201.9245205345984</v>
      </c>
      <c r="V6" s="202">
        <f>'SER_se-appl'!V72</f>
        <v>209.07384907325127</v>
      </c>
      <c r="W6" s="202">
        <f>'SER_se-appl'!W72</f>
        <v>214.98810765772402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1.6659650345531682</v>
      </c>
      <c r="C8" s="34">
        <f>'SER_se-appl'!C24</f>
        <v>1.8088125660140955</v>
      </c>
      <c r="D8" s="34">
        <f>'SER_se-appl'!D24</f>
        <v>1.989208989010917</v>
      </c>
      <c r="E8" s="34">
        <f>'SER_se-appl'!E24</f>
        <v>2.1635690238800116</v>
      </c>
      <c r="F8" s="34">
        <f>'SER_se-appl'!F24</f>
        <v>2.4086672308828212</v>
      </c>
      <c r="G8" s="34">
        <f>'SER_se-appl'!G24</f>
        <v>2.7481501275519751</v>
      </c>
      <c r="H8" s="34">
        <f>'SER_se-appl'!H24</f>
        <v>3.2980278059845309</v>
      </c>
      <c r="I8" s="34">
        <f>'SER_se-appl'!I24</f>
        <v>3.8477626200492558</v>
      </c>
      <c r="J8" s="34">
        <f>'SER_se-appl'!J24</f>
        <v>4.3039398264234263</v>
      </c>
      <c r="K8" s="34">
        <f>'SER_se-appl'!K24</f>
        <v>4.5956170111404848</v>
      </c>
      <c r="L8" s="34">
        <f>'SER_se-appl'!L24</f>
        <v>4.7589017035721843</v>
      </c>
      <c r="M8" s="34">
        <f>'SER_se-appl'!M24</f>
        <v>4.8441663276216911</v>
      </c>
      <c r="N8" s="34">
        <f>'SER_se-appl'!N24</f>
        <v>4.9166699719760087</v>
      </c>
      <c r="O8" s="34">
        <f>'SER_se-appl'!O24</f>
        <v>4.9752704850564982</v>
      </c>
      <c r="P8" s="34">
        <f>'SER_se-appl'!P24</f>
        <v>5.0938616663079648</v>
      </c>
      <c r="Q8" s="34">
        <f>'SER_se-appl'!Q24</f>
        <v>5.1652970111929122</v>
      </c>
      <c r="R8" s="34">
        <f>'SER_se-appl'!R24</f>
        <v>5.3702528036782784</v>
      </c>
      <c r="S8" s="34">
        <f>'SER_se-appl'!S24</f>
        <v>5.5920172167318718</v>
      </c>
      <c r="T8" s="34">
        <f>'SER_se-appl'!T24</f>
        <v>5.8680983072318833</v>
      </c>
      <c r="U8" s="34">
        <f>'SER_se-appl'!U24</f>
        <v>6.1868982881151382</v>
      </c>
      <c r="V8" s="34">
        <f>'SER_se-appl'!V24</f>
        <v>6.4743631692595462</v>
      </c>
      <c r="W8" s="34">
        <f>'SER_se-appl'!W24</f>
        <v>6.7217108117405759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0.19029830483116106</v>
      </c>
      <c r="D9" s="36">
        <f>'SER_se-appl'!D32</f>
        <v>0.23318690193632774</v>
      </c>
      <c r="E9" s="36">
        <f>'SER_se-appl'!E32</f>
        <v>0.23309110432750368</v>
      </c>
      <c r="F9" s="36">
        <f>'SER_se-appl'!F32</f>
        <v>0.31043837040009903</v>
      </c>
      <c r="G9" s="36">
        <f>'SER_se-appl'!G32</f>
        <v>0.41217588510192593</v>
      </c>
      <c r="H9" s="36">
        <f>'SER_se-appl'!H32</f>
        <v>0.63075091615553225</v>
      </c>
      <c r="I9" s="36">
        <f>'SER_se-appl'!I32</f>
        <v>0.63970883660537003</v>
      </c>
      <c r="J9" s="36">
        <f>'SER_se-appl'!J32</f>
        <v>0.5562761384816528</v>
      </c>
      <c r="K9" s="36">
        <f>'SER_se-appl'!K32</f>
        <v>0.40304039741027786</v>
      </c>
      <c r="L9" s="36">
        <f>'SER_se-appl'!L32</f>
        <v>0.28717977183213428</v>
      </c>
      <c r="M9" s="36">
        <f>'SER_se-appl'!M32</f>
        <v>0.22310179961596344</v>
      </c>
      <c r="N9" s="36">
        <f>'SER_se-appl'!N32</f>
        <v>0.22585184074823861</v>
      </c>
      <c r="O9" s="36">
        <f>'SER_se-appl'!O32</f>
        <v>0.2292052083713525</v>
      </c>
      <c r="P9" s="36">
        <f>'SER_se-appl'!P32</f>
        <v>0.308394274732402</v>
      </c>
      <c r="Q9" s="36">
        <f>'SER_se-appl'!Q32</f>
        <v>0.28259726064297119</v>
      </c>
      <c r="R9" s="36">
        <f>'SER_se-appl'!R32</f>
        <v>0.39525409731652772</v>
      </c>
      <c r="S9" s="36">
        <f>'SER_se-appl'!S32</f>
        <v>0.45495131498992158</v>
      </c>
      <c r="T9" s="36">
        <f>'SER_se-appl'!T32</f>
        <v>0.50917219482751541</v>
      </c>
      <c r="U9" s="36">
        <f>'SER_se-appl'!U32</f>
        <v>0.62923835128335348</v>
      </c>
      <c r="V9" s="36">
        <f>'SER_se-appl'!V32</f>
        <v>0.69964076624633353</v>
      </c>
      <c r="W9" s="36">
        <f>'SER_se-appl'!W32</f>
        <v>0.8780985586365615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4.7450773370233845E-2</v>
      </c>
      <c r="D10" s="38">
        <f>'SER_se-appl'!D40</f>
        <v>5.2790478939505947E-2</v>
      </c>
      <c r="E10" s="38">
        <f>'SER_se-appl'!E40</f>
        <v>5.8731069458409113E-2</v>
      </c>
      <c r="F10" s="38">
        <f>'SER_se-appl'!F40</f>
        <v>6.534016339728943E-2</v>
      </c>
      <c r="G10" s="38">
        <f>'SER_se-appl'!G40</f>
        <v>7.2692988432772054E-2</v>
      </c>
      <c r="H10" s="38">
        <f>'SER_se-appl'!H40</f>
        <v>8.0873237722976388E-2</v>
      </c>
      <c r="I10" s="38">
        <f>'SER_se-appl'!I40</f>
        <v>8.9974022540645127E-2</v>
      </c>
      <c r="J10" s="38">
        <f>'SER_se-appl'!J40</f>
        <v>0.10009893210748277</v>
      </c>
      <c r="K10" s="38">
        <f>'SER_se-appl'!K40</f>
        <v>0.11136321269321936</v>
      </c>
      <c r="L10" s="38">
        <f>'SER_se-appl'!L40</f>
        <v>0.12389507940043476</v>
      </c>
      <c r="M10" s="38">
        <f>'SER_se-appl'!M40</f>
        <v>0.13783717556645669</v>
      </c>
      <c r="N10" s="38">
        <f>'SER_se-appl'!N40</f>
        <v>0.15334819639392094</v>
      </c>
      <c r="O10" s="38">
        <f>'SER_se-appl'!O40</f>
        <v>0.17060469529086308</v>
      </c>
      <c r="P10" s="38">
        <f>'SER_se-appl'!P40</f>
        <v>0.18980309348093538</v>
      </c>
      <c r="Q10" s="38">
        <f>'SER_se-appl'!Q40</f>
        <v>0.21116191575802379</v>
      </c>
      <c r="R10" s="38">
        <f>'SER_se-appl'!R40</f>
        <v>0.1902983048311615</v>
      </c>
      <c r="S10" s="38">
        <f>'SER_se-appl'!S40</f>
        <v>0.23318690193632818</v>
      </c>
      <c r="T10" s="38">
        <f>'SER_se-appl'!T40</f>
        <v>0.23309110432750391</v>
      </c>
      <c r="U10" s="38">
        <f>'SER_se-appl'!U40</f>
        <v>0.31043837040009858</v>
      </c>
      <c r="V10" s="38">
        <f>'SER_se-appl'!V40</f>
        <v>0.41217588510192549</v>
      </c>
      <c r="W10" s="38">
        <f>'SER_se-appl'!W40</f>
        <v>0.6307509161555318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928.40554397155961</v>
      </c>
      <c r="C12" s="205">
        <f>'SER_se-appl'!C48</f>
        <v>932.84042778421974</v>
      </c>
      <c r="D12" s="205">
        <f>'SER_se-appl'!D48</f>
        <v>936.90765525225345</v>
      </c>
      <c r="E12" s="205">
        <f>'SER_se-appl'!E48</f>
        <v>940.66479981630187</v>
      </c>
      <c r="F12" s="205">
        <f>'SER_se-appl'!F48</f>
        <v>944.15680349319439</v>
      </c>
      <c r="G12" s="205">
        <f>'SER_se-appl'!G48</f>
        <v>947.41943216110064</v>
      </c>
      <c r="H12" s="205">
        <f>'SER_se-appl'!H48</f>
        <v>950.48162268750605</v>
      </c>
      <c r="I12" s="205">
        <f>'SER_se-appl'!I48</f>
        <v>953.36712323351685</v>
      </c>
      <c r="J12" s="205">
        <f>'SER_se-appl'!J48</f>
        <v>956.09566798716776</v>
      </c>
      <c r="K12" s="205">
        <f>'SER_se-appl'!K48</f>
        <v>958.6838365898825</v>
      </c>
      <c r="L12" s="205">
        <f>'SER_se-appl'!L48</f>
        <v>961.1456947736292</v>
      </c>
      <c r="M12" s="205">
        <f>'SER_se-appl'!M48</f>
        <v>962.71011510884898</v>
      </c>
      <c r="N12" s="205">
        <f>'SER_se-appl'!N48</f>
        <v>964.20411614556406</v>
      </c>
      <c r="O12" s="205">
        <f>'SER_se-appl'!O48</f>
        <v>965.63386087655897</v>
      </c>
      <c r="P12" s="205">
        <f>'SER_se-appl'!P48</f>
        <v>967.00473320289143</v>
      </c>
      <c r="Q12" s="205">
        <f>'SER_se-appl'!Q48</f>
        <v>968.32146425684709</v>
      </c>
      <c r="R12" s="205">
        <f>'SER_se-appl'!R48</f>
        <v>990.85280567430902</v>
      </c>
      <c r="S12" s="205">
        <f>'SER_se-appl'!S48</f>
        <v>961.2356704173867</v>
      </c>
      <c r="T12" s="205">
        <f>'SER_se-appl'!T48</f>
        <v>944.43675170896779</v>
      </c>
      <c r="U12" s="205">
        <f>'SER_se-appl'!U48</f>
        <v>939.65827556412978</v>
      </c>
      <c r="V12" s="205">
        <f>'SER_se-appl'!V48</f>
        <v>837.52513173047737</v>
      </c>
      <c r="W12" s="205">
        <f>'SER_se-appl'!W48</f>
        <v>888.31918449952911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51.300374642193631</v>
      </c>
      <c r="C14" s="59">
        <f>'SER_se-appl'!C56</f>
        <v>50.968279681671035</v>
      </c>
      <c r="D14" s="59">
        <f>'SER_se-appl'!D56</f>
        <v>50.587176410136095</v>
      </c>
      <c r="E14" s="59">
        <f>'SER_se-appl'!E56</f>
        <v>50.225061637611141</v>
      </c>
      <c r="F14" s="59">
        <f>'SER_se-appl'!F56</f>
        <v>49.780632638073527</v>
      </c>
      <c r="G14" s="59">
        <f>'SER_se-appl'!G56</f>
        <v>49.251109084673061</v>
      </c>
      <c r="H14" s="59">
        <f>'SER_se-appl'!H56</f>
        <v>48.568196296764455</v>
      </c>
      <c r="I14" s="59">
        <f>'SER_se-appl'!I56</f>
        <v>47.955864170837337</v>
      </c>
      <c r="J14" s="59">
        <f>'SER_se-appl'!J56</f>
        <v>47.451622592147906</v>
      </c>
      <c r="K14" s="59">
        <f>'SER_se-appl'!K56</f>
        <v>47.030688605712854</v>
      </c>
      <c r="L14" s="59">
        <f>'SER_se-appl'!L56</f>
        <v>46.660945573644355</v>
      </c>
      <c r="M14" s="59">
        <f>'SER_se-appl'!M56</f>
        <v>46.291242067335133</v>
      </c>
      <c r="N14" s="59">
        <f>'SER_se-appl'!N56</f>
        <v>45.852232755009815</v>
      </c>
      <c r="O14" s="59">
        <f>'SER_se-appl'!O56</f>
        <v>45.344510445885206</v>
      </c>
      <c r="P14" s="59">
        <f>'SER_se-appl'!P56</f>
        <v>44.656610092731498</v>
      </c>
      <c r="Q14" s="59">
        <f>'SER_se-appl'!Q56</f>
        <v>43.936873173127054</v>
      </c>
      <c r="R14" s="59">
        <f>'SER_se-appl'!R56</f>
        <v>43.204516199184383</v>
      </c>
      <c r="S14" s="59">
        <f>'SER_se-appl'!S56</f>
        <v>42.383535457800214</v>
      </c>
      <c r="T14" s="59">
        <f>'SER_se-appl'!T56</f>
        <v>41.538419626083638</v>
      </c>
      <c r="U14" s="59">
        <f>'SER_se-appl'!U56</f>
        <v>40.54197406291199</v>
      </c>
      <c r="V14" s="59">
        <f>'SER_se-appl'!V56</f>
        <v>39.447873733888002</v>
      </c>
      <c r="W14" s="59">
        <f>'SER_se-appl'!W56</f>
        <v>38.085676491811469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48.14376461229255</v>
      </c>
      <c r="D15" s="63">
        <f>'SER_se-appl'!D64</f>
        <v>47.792446925585871</v>
      </c>
      <c r="E15" s="63">
        <f>'SER_se-appl'!E64</f>
        <v>47.405701886862126</v>
      </c>
      <c r="F15" s="63">
        <f>'SER_se-appl'!F64</f>
        <v>47.003100257874038</v>
      </c>
      <c r="G15" s="63">
        <f>'SER_se-appl'!G64</f>
        <v>46.518103990720824</v>
      </c>
      <c r="H15" s="63">
        <f>'SER_se-appl'!H64</f>
        <v>45.94309229143289</v>
      </c>
      <c r="I15" s="63">
        <f>'SER_se-appl'!I64</f>
        <v>45.269377414787961</v>
      </c>
      <c r="J15" s="63">
        <f>'SER_se-appl'!J64</f>
        <v>44.656345534167443</v>
      </c>
      <c r="K15" s="63">
        <f>'SER_se-appl'!K64</f>
        <v>43.715416481913941</v>
      </c>
      <c r="L15" s="63">
        <f>'SER_se-appl'!L64</f>
        <v>42.745645662614017</v>
      </c>
      <c r="M15" s="63">
        <f>'SER_se-appl'!M64</f>
        <v>41.499985512367317</v>
      </c>
      <c r="N15" s="63">
        <f>'SER_se-appl'!N64</f>
        <v>40.135337148123206</v>
      </c>
      <c r="O15" s="63">
        <f>'SER_se-appl'!O64</f>
        <v>38.886521792450537</v>
      </c>
      <c r="P15" s="63">
        <f>'SER_se-appl'!P64</f>
        <v>37.647779394644573</v>
      </c>
      <c r="Q15" s="63">
        <f>'SER_se-appl'!Q64</f>
        <v>36.465642833169944</v>
      </c>
      <c r="R15" s="63">
        <f>'SER_se-appl'!R64</f>
        <v>36.01190084673361</v>
      </c>
      <c r="S15" s="63">
        <f>'SER_se-appl'!S64</f>
        <v>35.465021945572758</v>
      </c>
      <c r="T15" s="63">
        <f>'SER_se-appl'!T64</f>
        <v>34.942829737944884</v>
      </c>
      <c r="U15" s="63">
        <f>'SER_se-appl'!U64</f>
        <v>34.437039378387361</v>
      </c>
      <c r="V15" s="63">
        <f>'SER_se-appl'!V64</f>
        <v>33.93803322050239</v>
      </c>
      <c r="W15" s="63">
        <f>'SER_se-appl'!W64</f>
        <v>33.686070774271499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11.160182711073876</v>
      </c>
      <c r="C3" s="199">
        <f>'SER_se-appl'!C9</f>
        <v>12.607480905870208</v>
      </c>
      <c r="D3" s="199">
        <f>'SER_se-appl'!D9</f>
        <v>14.957825240769083</v>
      </c>
      <c r="E3" s="199">
        <f>'SER_se-appl'!E9</f>
        <v>14.754409496862184</v>
      </c>
      <c r="F3" s="199">
        <f>'SER_se-appl'!F9</f>
        <v>16.498631993385509</v>
      </c>
      <c r="G3" s="199">
        <f>'SER_se-appl'!G9</f>
        <v>17.097136118342831</v>
      </c>
      <c r="H3" s="199">
        <f>'SER_se-appl'!H9</f>
        <v>17.959193704787513</v>
      </c>
      <c r="I3" s="199">
        <f>'SER_se-appl'!I9</f>
        <v>18.942718076825539</v>
      </c>
      <c r="J3" s="199">
        <f>'SER_se-appl'!J9</f>
        <v>21.065937700492658</v>
      </c>
      <c r="K3" s="199">
        <f>'SER_se-appl'!K9</f>
        <v>21.329575083893651</v>
      </c>
      <c r="L3" s="199">
        <f>'SER_se-appl'!L9</f>
        <v>22.021314044625466</v>
      </c>
      <c r="M3" s="199">
        <f>'SER_se-appl'!M9</f>
        <v>22.876213190332059</v>
      </c>
      <c r="N3" s="199">
        <f>'SER_se-appl'!N9</f>
        <v>22.930458954438915</v>
      </c>
      <c r="O3" s="199">
        <f>'SER_se-appl'!O9</f>
        <v>24.598234105495486</v>
      </c>
      <c r="P3" s="199">
        <f>'SER_se-appl'!P9</f>
        <v>25.98095159448831</v>
      </c>
      <c r="Q3" s="199">
        <f>'SER_se-appl'!Q9</f>
        <v>27.948502369278106</v>
      </c>
      <c r="R3" s="199">
        <f>'SER_se-appl'!R9</f>
        <v>30.094408975386518</v>
      </c>
      <c r="S3" s="199">
        <f>'SER_se-appl'!S9</f>
        <v>30.8986708030159</v>
      </c>
      <c r="T3" s="199">
        <f>'SER_se-appl'!T9</f>
        <v>32.931657444829241</v>
      </c>
      <c r="U3" s="199">
        <f>'SER_se-appl'!U9</f>
        <v>33.42889777652514</v>
      </c>
      <c r="V3" s="199">
        <f>'SER_se-appl'!V9</f>
        <v>31.092259150900631</v>
      </c>
      <c r="W3" s="199">
        <f>'SER_se-appl'!W9</f>
        <v>32.104817847131407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78.916427448916593</v>
      </c>
      <c r="C5" s="59">
        <f>'SER_se-appl'!C17</f>
        <v>88.185297762943733</v>
      </c>
      <c r="D5" s="59">
        <f>'SER_se-appl'!D17</f>
        <v>102.73817417028259</v>
      </c>
      <c r="E5" s="59">
        <f>'SER_se-appl'!E17</f>
        <v>99.653566588507488</v>
      </c>
      <c r="F5" s="59">
        <f>'SER_se-appl'!F17</f>
        <v>109.54862011268135</v>
      </c>
      <c r="G5" s="59">
        <f>'SER_se-appl'!G17</f>
        <v>111.77379304751976</v>
      </c>
      <c r="H5" s="59">
        <f>'SER_se-appl'!H17</f>
        <v>115.58652159911522</v>
      </c>
      <c r="I5" s="59">
        <f>'SER_se-appl'!I17</f>
        <v>120.45320281613411</v>
      </c>
      <c r="J5" s="59">
        <f>'SER_se-appl'!J17</f>
        <v>132.33925207003932</v>
      </c>
      <c r="K5" s="59">
        <f>'SER_se-appl'!K17</f>
        <v>132.90895784682223</v>
      </c>
      <c r="L5" s="59">
        <f>'SER_se-appl'!L17</f>
        <v>135.56055648284598</v>
      </c>
      <c r="M5" s="59">
        <f>'SER_se-appl'!M17</f>
        <v>139.17511699036243</v>
      </c>
      <c r="N5" s="59">
        <f>'SER_se-appl'!N17</f>
        <v>138.34410474828255</v>
      </c>
      <c r="O5" s="59">
        <f>'SER_se-appl'!O17</f>
        <v>147.13723116703588</v>
      </c>
      <c r="P5" s="59">
        <f>'SER_se-appl'!P17</f>
        <v>153.98612797816557</v>
      </c>
      <c r="Q5" s="59">
        <f>'SER_se-appl'!Q17</f>
        <v>163.96919301869931</v>
      </c>
      <c r="R5" s="59">
        <f>'SER_se-appl'!R17</f>
        <v>171.69240442003021</v>
      </c>
      <c r="S5" s="59">
        <f>'SER_se-appl'!S17</f>
        <v>177.53848759293544</v>
      </c>
      <c r="T5" s="59">
        <f>'SER_se-appl'!T17</f>
        <v>188.42320384980943</v>
      </c>
      <c r="U5" s="59">
        <f>'SER_se-appl'!U17</f>
        <v>188.56553306856895</v>
      </c>
      <c r="V5" s="59">
        <f>'SER_se-appl'!V17</f>
        <v>187.62073608720939</v>
      </c>
      <c r="W5" s="59">
        <f>'SER_se-appl'!W17</f>
        <v>187.23450803351412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0.10125288133951454</v>
      </c>
      <c r="C6" s="202">
        <f>'SER_se-appl'!C73</f>
        <v>0.11595603884135719</v>
      </c>
      <c r="D6" s="202">
        <f>'SER_se-appl'!D73</f>
        <v>0.13959998848139615</v>
      </c>
      <c r="E6" s="202">
        <f>'SER_se-appl'!E73</f>
        <v>0.13852161180631467</v>
      </c>
      <c r="F6" s="202">
        <f>'SER_se-appl'!F73</f>
        <v>0.15902802709523761</v>
      </c>
      <c r="G6" s="202">
        <f>'SER_se-appl'!G73</f>
        <v>0.16889072567082206</v>
      </c>
      <c r="H6" s="202">
        <f>'SER_se-appl'!H73</f>
        <v>0.18459388511583652</v>
      </c>
      <c r="I6" s="202">
        <f>'SER_se-appl'!I73</f>
        <v>0.20657490090435027</v>
      </c>
      <c r="J6" s="202">
        <f>'SER_se-appl'!J73</f>
        <v>0.23727067393165463</v>
      </c>
      <c r="K6" s="202">
        <f>'SER_se-appl'!K73</f>
        <v>0.25107150584881704</v>
      </c>
      <c r="L6" s="202">
        <f>'SER_se-appl'!L73</f>
        <v>0.26855002325028016</v>
      </c>
      <c r="M6" s="202">
        <f>'SER_se-appl'!M73</f>
        <v>0.29918741147824418</v>
      </c>
      <c r="N6" s="202">
        <f>'SER_se-appl'!N73</f>
        <v>0.32241252936590253</v>
      </c>
      <c r="O6" s="202">
        <f>'SER_se-appl'!O73</f>
        <v>0.361920737758544</v>
      </c>
      <c r="P6" s="202">
        <f>'SER_se-appl'!P73</f>
        <v>0.39558486794679815</v>
      </c>
      <c r="Q6" s="202">
        <f>'SER_se-appl'!Q73</f>
        <v>0.43030979074119341</v>
      </c>
      <c r="R6" s="202">
        <f>'SER_se-appl'!R73</f>
        <v>0.46141803638618339</v>
      </c>
      <c r="S6" s="202">
        <f>'SER_se-appl'!S73</f>
        <v>0.48729053338155531</v>
      </c>
      <c r="T6" s="202">
        <f>'SER_se-appl'!T73</f>
        <v>0.52841495686527684</v>
      </c>
      <c r="U6" s="202">
        <f>'SER_se-appl'!U73</f>
        <v>0.5352425465782088</v>
      </c>
      <c r="V6" s="202">
        <f>'SER_se-appl'!V73</f>
        <v>0.53981498555822649</v>
      </c>
      <c r="W6" s="202">
        <f>'SER_se-appl'!W73</f>
        <v>0.54989160761861189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201.26592114702675</v>
      </c>
      <c r="C8" s="34">
        <f>'SER_se-appl'!C25</f>
        <v>230.76341716195188</v>
      </c>
      <c r="D8" s="34">
        <f>'SER_se-appl'!D25</f>
        <v>278.36600663160448</v>
      </c>
      <c r="E8" s="34">
        <f>'SER_se-appl'!E25</f>
        <v>276.35518676678737</v>
      </c>
      <c r="F8" s="34">
        <f>'SER_se-appl'!F25</f>
        <v>317.48880121782651</v>
      </c>
      <c r="G8" s="34">
        <f>'SER_se-appl'!G25</f>
        <v>337.37442469277744</v>
      </c>
      <c r="H8" s="34">
        <f>'SER_se-appl'!H25</f>
        <v>369.80763649789202</v>
      </c>
      <c r="I8" s="34">
        <f>'SER_se-appl'!I25</f>
        <v>415.29342955538499</v>
      </c>
      <c r="J8" s="34">
        <f>'SER_se-appl'!J25</f>
        <v>476.9778804139134</v>
      </c>
      <c r="K8" s="34">
        <f>'SER_se-appl'!K25</f>
        <v>510.26818776991354</v>
      </c>
      <c r="L8" s="34">
        <f>'SER_se-appl'!L25</f>
        <v>549.71545239276543</v>
      </c>
      <c r="M8" s="34">
        <f>'SER_se-appl'!M25</f>
        <v>613.39073995116996</v>
      </c>
      <c r="N8" s="34">
        <f>'SER_se-appl'!N25</f>
        <v>662.71766446149525</v>
      </c>
      <c r="O8" s="34">
        <f>'SER_se-appl'!O25</f>
        <v>745.13001523278331</v>
      </c>
      <c r="P8" s="34">
        <f>'SER_se-appl'!P25</f>
        <v>815.33403755212646</v>
      </c>
      <c r="Q8" s="34">
        <f>'SER_se-appl'!Q25</f>
        <v>887.67487926544868</v>
      </c>
      <c r="R8" s="34">
        <f>'SER_se-appl'!R25</f>
        <v>952.45357369192322</v>
      </c>
      <c r="S8" s="34">
        <f>'SER_se-appl'!S25</f>
        <v>1006.6910764602883</v>
      </c>
      <c r="T8" s="34">
        <f>'SER_se-appl'!T25</f>
        <v>1092.1703060457035</v>
      </c>
      <c r="U8" s="34">
        <f>'SER_se-appl'!U25</f>
        <v>1113.7904971149674</v>
      </c>
      <c r="V8" s="34">
        <f>'SER_se-appl'!V25</f>
        <v>1131.3771754470499</v>
      </c>
      <c r="W8" s="34">
        <f>'SER_se-appl'!W25</f>
        <v>1159.7087529606772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69.750680244330482</v>
      </c>
      <c r="D9" s="36">
        <f>'SER_se-appl'!D33</f>
        <v>87.855773699057949</v>
      </c>
      <c r="E9" s="36">
        <f>'SER_se-appl'!E33</f>
        <v>38.242364364588241</v>
      </c>
      <c r="F9" s="36">
        <f>'SER_se-appl'!F33</f>
        <v>81.386798680444485</v>
      </c>
      <c r="G9" s="36">
        <f>'SER_se-appl'!G33</f>
        <v>60.138807704356282</v>
      </c>
      <c r="H9" s="36">
        <f>'SER_se-appl'!H33</f>
        <v>102.18389204944509</v>
      </c>
      <c r="I9" s="36">
        <f>'SER_se-appl'!I33</f>
        <v>133.34156675655089</v>
      </c>
      <c r="J9" s="36">
        <f>'SER_se-appl'!J33</f>
        <v>99.926815223116648</v>
      </c>
      <c r="K9" s="36">
        <f>'SER_se-appl'!K33</f>
        <v>114.67710603644463</v>
      </c>
      <c r="L9" s="36">
        <f>'SER_se-appl'!L33</f>
        <v>99.586072327208171</v>
      </c>
      <c r="M9" s="36">
        <f>'SER_se-appl'!M33</f>
        <v>165.85917960784963</v>
      </c>
      <c r="N9" s="36">
        <f>'SER_se-appl'!N33</f>
        <v>182.66849126687617</v>
      </c>
      <c r="O9" s="36">
        <f>'SER_se-appl'!O33</f>
        <v>182.33916599440477</v>
      </c>
      <c r="P9" s="36">
        <f>'SER_se-appl'!P33</f>
        <v>184.88112835578784</v>
      </c>
      <c r="Q9" s="36">
        <f>'SER_se-appl'!Q33</f>
        <v>171.92691404053039</v>
      </c>
      <c r="R9" s="36">
        <f>'SER_se-appl'!R33</f>
        <v>230.63787403432423</v>
      </c>
      <c r="S9" s="36">
        <f>'SER_se-appl'!S33</f>
        <v>236.90599403524129</v>
      </c>
      <c r="T9" s="36">
        <f>'SER_se-appl'!T33</f>
        <v>267.81839557981993</v>
      </c>
      <c r="U9" s="36">
        <f>'SER_se-appl'!U33</f>
        <v>206.50131942505175</v>
      </c>
      <c r="V9" s="36">
        <f>'SER_se-appl'!V33</f>
        <v>189.51359237261295</v>
      </c>
      <c r="W9" s="36">
        <f>'SER_se-appl'!W33</f>
        <v>258.96945154795151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40.253184229405321</v>
      </c>
      <c r="D10" s="38">
        <f>'SER_se-appl'!D41</f>
        <v>40.253184229405349</v>
      </c>
      <c r="E10" s="38">
        <f>'SER_se-appl'!E41</f>
        <v>40.253184229405349</v>
      </c>
      <c r="F10" s="38">
        <f>'SER_se-appl'!F41</f>
        <v>40.253184229405349</v>
      </c>
      <c r="G10" s="38">
        <f>'SER_se-appl'!G41</f>
        <v>40.253184229405349</v>
      </c>
      <c r="H10" s="38">
        <f>'SER_se-appl'!H41</f>
        <v>69.750680244330511</v>
      </c>
      <c r="I10" s="38">
        <f>'SER_se-appl'!I41</f>
        <v>87.85577369905792</v>
      </c>
      <c r="J10" s="38">
        <f>'SER_se-appl'!J41</f>
        <v>38.242364364588241</v>
      </c>
      <c r="K10" s="38">
        <f>'SER_se-appl'!K41</f>
        <v>81.386798680444485</v>
      </c>
      <c r="L10" s="38">
        <f>'SER_se-appl'!L41</f>
        <v>60.138807704356282</v>
      </c>
      <c r="M10" s="38">
        <f>'SER_se-appl'!M41</f>
        <v>102.18389204944515</v>
      </c>
      <c r="N10" s="38">
        <f>'SER_se-appl'!N41</f>
        <v>133.34156675655083</v>
      </c>
      <c r="O10" s="38">
        <f>'SER_se-appl'!O41</f>
        <v>99.926815223116705</v>
      </c>
      <c r="P10" s="38">
        <f>'SER_se-appl'!P41</f>
        <v>114.67710603644468</v>
      </c>
      <c r="Q10" s="38">
        <f>'SER_se-appl'!Q41</f>
        <v>99.586072327208171</v>
      </c>
      <c r="R10" s="38">
        <f>'SER_se-appl'!R41</f>
        <v>165.85917960784957</v>
      </c>
      <c r="S10" s="38">
        <f>'SER_se-appl'!S41</f>
        <v>182.66849126687634</v>
      </c>
      <c r="T10" s="38">
        <f>'SER_se-appl'!T41</f>
        <v>182.33916599440477</v>
      </c>
      <c r="U10" s="38">
        <f>'SER_se-appl'!U41</f>
        <v>184.88112835578795</v>
      </c>
      <c r="V10" s="38">
        <f>'SER_se-appl'!V41</f>
        <v>171.92691404053039</v>
      </c>
      <c r="W10" s="38">
        <f>'SER_se-appl'!W41</f>
        <v>230.63787403432411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1644.6883003390576</v>
      </c>
      <c r="C12" s="205">
        <f>'SER_se-appl'!C49</f>
        <v>1662.6921567971808</v>
      </c>
      <c r="D12" s="205">
        <f>'SER_se-appl'!D49</f>
        <v>1693.2314493132474</v>
      </c>
      <c r="E12" s="205">
        <f>'SER_se-appl'!E49</f>
        <v>1721.9030720401349</v>
      </c>
      <c r="F12" s="205">
        <f>'SER_se-appl'!F49</f>
        <v>1751.5427386096446</v>
      </c>
      <c r="G12" s="205">
        <f>'SER_se-appl'!G49</f>
        <v>1778.9473510288049</v>
      </c>
      <c r="H12" s="205">
        <f>'SER_se-appl'!H49</f>
        <v>1807.0050028071576</v>
      </c>
      <c r="I12" s="205">
        <f>'SER_se-appl'!I49</f>
        <v>1828.9576871589206</v>
      </c>
      <c r="J12" s="205">
        <f>'SER_se-appl'!J49</f>
        <v>1851.2788278950475</v>
      </c>
      <c r="K12" s="205">
        <f>'SER_se-appl'!K49</f>
        <v>1866.4126349675851</v>
      </c>
      <c r="L12" s="205">
        <f>'SER_se-appl'!L49</f>
        <v>1889.2507450823455</v>
      </c>
      <c r="M12" s="205">
        <f>'SER_se-appl'!M49</f>
        <v>1911.6230340369339</v>
      </c>
      <c r="N12" s="205">
        <f>'SER_se-appl'!N49</f>
        <v>1927.666076739242</v>
      </c>
      <c r="O12" s="205">
        <f>'SER_se-appl'!O49</f>
        <v>1944.2901050798373</v>
      </c>
      <c r="P12" s="205">
        <f>'SER_se-appl'!P49</f>
        <v>1962.2447230229957</v>
      </c>
      <c r="Q12" s="205">
        <f>'SER_se-appl'!Q49</f>
        <v>1982.3301961218785</v>
      </c>
      <c r="R12" s="205">
        <f>'SER_se-appl'!R49</f>
        <v>2038.5175311978637</v>
      </c>
      <c r="S12" s="205">
        <f>'SER_se-appl'!S49</f>
        <v>2024.0768427801686</v>
      </c>
      <c r="T12" s="205">
        <f>'SER_se-appl'!T49</f>
        <v>2032.6327557228371</v>
      </c>
      <c r="U12" s="205">
        <f>'SER_se-appl'!U49</f>
        <v>2061.7664045720071</v>
      </c>
      <c r="V12" s="205">
        <f>'SER_se-appl'!V49</f>
        <v>1927.3081508266494</v>
      </c>
      <c r="W12" s="205">
        <f>'SER_se-appl'!W49</f>
        <v>1994.1785063216291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392.10029695622126</v>
      </c>
      <c r="C14" s="59">
        <f>'SER_se-appl'!C57</f>
        <v>382.14591744000086</v>
      </c>
      <c r="D14" s="59">
        <f>'SER_se-appl'!D57</f>
        <v>369.07586315396799</v>
      </c>
      <c r="E14" s="59">
        <f>'SER_se-appl'!E57</f>
        <v>360.59958835729708</v>
      </c>
      <c r="F14" s="59">
        <f>'SER_se-appl'!F57</f>
        <v>345.04719439701097</v>
      </c>
      <c r="G14" s="59">
        <f>'SER_se-appl'!G57</f>
        <v>331.30487928746851</v>
      </c>
      <c r="H14" s="59">
        <f>'SER_se-appl'!H57</f>
        <v>312.55850391227409</v>
      </c>
      <c r="I14" s="59">
        <f>'SER_se-appl'!I57</f>
        <v>290.04360349522472</v>
      </c>
      <c r="J14" s="59">
        <f>'SER_se-appl'!J57</f>
        <v>277.45364618417432</v>
      </c>
      <c r="K14" s="59">
        <f>'SER_se-appl'!K57</f>
        <v>260.46882998466015</v>
      </c>
      <c r="L14" s="59">
        <f>'SER_se-appl'!L57</f>
        <v>246.60132054281328</v>
      </c>
      <c r="M14" s="59">
        <f>'SER_se-appl'!M57</f>
        <v>226.89471478073131</v>
      </c>
      <c r="N14" s="59">
        <f>'SER_se-appl'!N57</f>
        <v>208.75270445778276</v>
      </c>
      <c r="O14" s="59">
        <f>'SER_se-appl'!O57</f>
        <v>197.46517810193066</v>
      </c>
      <c r="P14" s="59">
        <f>'SER_se-appl'!P57</f>
        <v>188.86262671000148</v>
      </c>
      <c r="Q14" s="59">
        <f>'SER_se-appl'!Q57</f>
        <v>184.71762223843024</v>
      </c>
      <c r="R14" s="59">
        <f>'SER_se-appl'!R57</f>
        <v>180.26327913759832</v>
      </c>
      <c r="S14" s="59">
        <f>'SER_se-appl'!S57</f>
        <v>176.3584596549654</v>
      </c>
      <c r="T14" s="59">
        <f>'SER_se-appl'!T57</f>
        <v>172.52181533117471</v>
      </c>
      <c r="U14" s="59">
        <f>'SER_se-appl'!U57</f>
        <v>169.3007199801103</v>
      </c>
      <c r="V14" s="59">
        <f>'SER_se-appl'!V57</f>
        <v>165.83394128759346</v>
      </c>
      <c r="W14" s="59">
        <f>'SER_se-appl'!W57</f>
        <v>161.44959461202131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359.16718971133992</v>
      </c>
      <c r="D15" s="63">
        <f>'SER_se-appl'!D65</f>
        <v>345.29502865726243</v>
      </c>
      <c r="E15" s="63">
        <f>'SER_se-appl'!E65</f>
        <v>332.05786616496277</v>
      </c>
      <c r="F15" s="63">
        <f>'SER_se-appl'!F65</f>
        <v>315.5098791240103</v>
      </c>
      <c r="G15" s="63">
        <f>'SER_se-appl'!G65</f>
        <v>299.44821176288866</v>
      </c>
      <c r="H15" s="63">
        <f>'SER_se-appl'!H65</f>
        <v>282.47978988154682</v>
      </c>
      <c r="I15" s="63">
        <f>'SER_se-appl'!I65</f>
        <v>264.00502086804539</v>
      </c>
      <c r="J15" s="63">
        <f>'SER_se-appl'!J65</f>
        <v>246.0273261688628</v>
      </c>
      <c r="K15" s="63">
        <f>'SER_se-appl'!K65</f>
        <v>228.88652929904268</v>
      </c>
      <c r="L15" s="63">
        <f>'SER_se-appl'!L65</f>
        <v>207.45930206749259</v>
      </c>
      <c r="M15" s="63">
        <f>'SER_se-appl'!M65</f>
        <v>195.82542817175022</v>
      </c>
      <c r="N15" s="63">
        <f>'SER_se-appl'!N65</f>
        <v>188.1650778066832</v>
      </c>
      <c r="O15" s="63">
        <f>'SER_se-appl'!O65</f>
        <v>183.05367033263124</v>
      </c>
      <c r="P15" s="63">
        <f>'SER_se-appl'!P65</f>
        <v>179.01741457450225</v>
      </c>
      <c r="Q15" s="63">
        <f>'SER_se-appl'!Q65</f>
        <v>178.23342128944</v>
      </c>
      <c r="R15" s="63">
        <f>'SER_se-appl'!R65</f>
        <v>174.31073032814285</v>
      </c>
      <c r="S15" s="63">
        <f>'SER_se-appl'!S65</f>
        <v>169.76317635502167</v>
      </c>
      <c r="T15" s="63">
        <f>'SER_se-appl'!T65</f>
        <v>165.27083489434443</v>
      </c>
      <c r="U15" s="63">
        <f>'SER_se-appl'!U65</f>
        <v>160.96396339343164</v>
      </c>
      <c r="V15" s="63">
        <f>'SER_se-appl'!V65</f>
        <v>156.70815347865994</v>
      </c>
      <c r="W15" s="63">
        <f>'SER_se-appl'!W65</f>
        <v>153.74951745297048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866.19935295023879</v>
      </c>
      <c r="C3" s="220">
        <v>809.1273358215476</v>
      </c>
      <c r="D3" s="220">
        <v>902.26658096751112</v>
      </c>
      <c r="E3" s="220">
        <v>701.71898000854742</v>
      </c>
      <c r="F3" s="220">
        <v>788.0896323107379</v>
      </c>
      <c r="G3" s="220">
        <v>814.40398496413991</v>
      </c>
      <c r="H3" s="220">
        <v>753.73193359926779</v>
      </c>
      <c r="I3" s="220">
        <v>782.79443336493716</v>
      </c>
      <c r="J3" s="220">
        <v>721.20436551286446</v>
      </c>
      <c r="K3" s="220">
        <v>666.29560289429742</v>
      </c>
      <c r="L3" s="220">
        <v>707.7527027582521</v>
      </c>
      <c r="M3" s="220">
        <v>806.1322909792375</v>
      </c>
      <c r="N3" s="220">
        <v>723.91839391412248</v>
      </c>
      <c r="O3" s="220">
        <v>724.96519440689246</v>
      </c>
      <c r="P3" s="220">
        <v>767.29470747584196</v>
      </c>
      <c r="Q3" s="220">
        <v>814.6</v>
      </c>
      <c r="R3" s="220">
        <v>792.80064152699265</v>
      </c>
      <c r="S3" s="220">
        <v>772.05272555198894</v>
      </c>
      <c r="T3" s="220">
        <v>981.73015525079325</v>
      </c>
      <c r="U3" s="220">
        <v>914.54440449354468</v>
      </c>
      <c r="V3" s="220">
        <v>902.29985390460615</v>
      </c>
      <c r="W3" s="220">
        <v>787.25230703197656</v>
      </c>
      <c r="DA3" s="211" t="s">
        <v>972</v>
      </c>
    </row>
    <row r="5" spans="1:105" x14ac:dyDescent="0.25">
      <c r="A5" s="219" t="s">
        <v>120</v>
      </c>
      <c r="B5" s="220">
        <v>656.55058999757478</v>
      </c>
      <c r="C5" s="220">
        <v>667.5872478534593</v>
      </c>
      <c r="D5" s="220">
        <v>663.22898701044869</v>
      </c>
      <c r="E5" s="220">
        <v>631.06904056701126</v>
      </c>
      <c r="F5" s="220">
        <v>560.58307985056206</v>
      </c>
      <c r="G5" s="220">
        <v>493.07652771570997</v>
      </c>
      <c r="H5" s="220">
        <v>520.37857722491754</v>
      </c>
      <c r="I5" s="220">
        <v>549.71358713809047</v>
      </c>
      <c r="J5" s="220">
        <v>556.07844537195888</v>
      </c>
      <c r="K5" s="220">
        <v>440.52594381121338</v>
      </c>
      <c r="L5" s="220">
        <v>490.2286977887365</v>
      </c>
      <c r="M5" s="220">
        <v>515.13366887461564</v>
      </c>
      <c r="N5" s="220">
        <v>529.20306024143804</v>
      </c>
      <c r="O5" s="220">
        <v>529.9141364774697</v>
      </c>
      <c r="P5" s="220">
        <v>581.92026334095272</v>
      </c>
      <c r="Q5" s="220">
        <v>557.98332623133126</v>
      </c>
      <c r="R5" s="220">
        <v>542.01936580352753</v>
      </c>
      <c r="S5" s="220">
        <v>585.61423777834932</v>
      </c>
      <c r="T5" s="220">
        <v>528.60451189240052</v>
      </c>
      <c r="U5" s="220">
        <v>516.79542260479479</v>
      </c>
      <c r="V5" s="220">
        <v>484.87883092826542</v>
      </c>
      <c r="W5" s="220">
        <v>517.71752155892352</v>
      </c>
      <c r="DA5" s="211" t="s">
        <v>973</v>
      </c>
    </row>
    <row r="6" spans="1:105" x14ac:dyDescent="0.25">
      <c r="A6" s="221" t="s">
        <v>119</v>
      </c>
      <c r="B6" s="222">
        <v>820.68823749696844</v>
      </c>
      <c r="C6" s="222">
        <v>779.65382562212005</v>
      </c>
      <c r="D6" s="222">
        <v>738.61941374727166</v>
      </c>
      <c r="E6" s="222">
        <v>738.61941374727166</v>
      </c>
      <c r="F6" s="222">
        <v>697.58500187242328</v>
      </c>
      <c r="G6" s="222">
        <v>656.55058999757489</v>
      </c>
      <c r="H6" s="222">
        <v>656.55058999757489</v>
      </c>
      <c r="I6" s="222">
        <v>615.5161781227265</v>
      </c>
      <c r="J6" s="222">
        <v>615.5161781227265</v>
      </c>
      <c r="K6" s="222">
        <v>615.5161781227265</v>
      </c>
      <c r="L6" s="222">
        <v>574.48176624787811</v>
      </c>
      <c r="M6" s="222">
        <v>574.48176624787811</v>
      </c>
      <c r="N6" s="222">
        <v>574.48176624787811</v>
      </c>
      <c r="O6" s="222">
        <v>574.48176624787811</v>
      </c>
      <c r="P6" s="222">
        <v>615.5161781227265</v>
      </c>
      <c r="Q6" s="222">
        <v>615.5161781227265</v>
      </c>
      <c r="R6" s="222">
        <v>574.48176624787811</v>
      </c>
      <c r="S6" s="222">
        <v>656.550589997575</v>
      </c>
      <c r="T6" s="222">
        <v>615.51617812272661</v>
      </c>
      <c r="U6" s="222">
        <v>574.48176624787823</v>
      </c>
      <c r="V6" s="222">
        <v>533.44735437302984</v>
      </c>
      <c r="W6" s="222">
        <v>574.48176624787823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41.034411874848423</v>
      </c>
      <c r="K7" s="226">
        <v>0</v>
      </c>
      <c r="L7" s="226">
        <v>0</v>
      </c>
      <c r="M7" s="226">
        <v>41.034411874848423</v>
      </c>
      <c r="N7" s="226">
        <v>0</v>
      </c>
      <c r="O7" s="226">
        <v>41.034411874848423</v>
      </c>
      <c r="P7" s="226">
        <v>41.034411874848423</v>
      </c>
      <c r="Q7" s="226">
        <v>41.034411874848423</v>
      </c>
      <c r="R7" s="226">
        <v>0</v>
      </c>
      <c r="S7" s="226">
        <v>82.06882374969689</v>
      </c>
      <c r="T7" s="226">
        <v>0</v>
      </c>
      <c r="U7" s="226">
        <v>0</v>
      </c>
      <c r="V7" s="226">
        <v>0</v>
      </c>
      <c r="W7" s="226">
        <v>41.034411874848423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41.034411874848388</v>
      </c>
      <c r="D8" s="228">
        <f t="shared" ref="D8" si="1">IF(C6=0,0,C6+D7-D6)</f>
        <v>41.034411874848388</v>
      </c>
      <c r="E8" s="228">
        <f t="shared" ref="E8" si="2">IF(D6=0,0,D6+E7-E6)</f>
        <v>0</v>
      </c>
      <c r="F8" s="228">
        <f t="shared" ref="F8" si="3">IF(E6=0,0,E6+F7-F6)</f>
        <v>41.034411874848388</v>
      </c>
      <c r="G8" s="228">
        <f t="shared" ref="G8" si="4">IF(F6=0,0,F6+G7-G6)</f>
        <v>41.034411874848388</v>
      </c>
      <c r="H8" s="228">
        <f t="shared" ref="H8" si="5">IF(G6=0,0,G6+H7-H6)</f>
        <v>0</v>
      </c>
      <c r="I8" s="228">
        <f t="shared" ref="I8" si="6">IF(H6=0,0,H6+I7-I6)</f>
        <v>41.034411874848388</v>
      </c>
      <c r="J8" s="228">
        <f t="shared" ref="J8" si="7">IF(I6=0,0,I6+J7-J6)</f>
        <v>41.034411874848388</v>
      </c>
      <c r="K8" s="228">
        <f t="shared" ref="K8" si="8">IF(J6=0,0,J6+K7-K6)</f>
        <v>0</v>
      </c>
      <c r="L8" s="228">
        <f t="shared" ref="L8" si="9">IF(K6=0,0,K6+L7-L6)</f>
        <v>41.034411874848388</v>
      </c>
      <c r="M8" s="228">
        <f t="shared" ref="M8" si="10">IF(L6=0,0,L6+M7-M6)</f>
        <v>41.034411874848388</v>
      </c>
      <c r="N8" s="228">
        <f t="shared" ref="N8" si="11">IF(M6=0,0,M6+N7-N6)</f>
        <v>0</v>
      </c>
      <c r="O8" s="228">
        <f t="shared" ref="O8" si="12">IF(N6=0,0,N6+O7-O6)</f>
        <v>41.034411874848388</v>
      </c>
      <c r="P8" s="228">
        <f t="shared" ref="P8" si="13">IF(O6=0,0,O6+P7-P6)</f>
        <v>0</v>
      </c>
      <c r="Q8" s="228">
        <f t="shared" ref="Q8" si="14">IF(P6=0,0,P6+Q7-Q6)</f>
        <v>41.034411874848388</v>
      </c>
      <c r="R8" s="228">
        <f t="shared" ref="R8" si="15">IF(Q6=0,0,Q6+R7-R6)</f>
        <v>41.034411874848388</v>
      </c>
      <c r="S8" s="228">
        <f t="shared" ref="S8" si="16">IF(R6=0,0,R6+S7-S6)</f>
        <v>0</v>
      </c>
      <c r="T8" s="228">
        <f t="shared" ref="T8" si="17">IF(S6=0,0,S6+T7-T6)</f>
        <v>41.034411874848388</v>
      </c>
      <c r="U8" s="228">
        <f t="shared" ref="U8" si="18">IF(T6=0,0,T6+U7-U6)</f>
        <v>41.034411874848388</v>
      </c>
      <c r="V8" s="228">
        <f t="shared" ref="V8" si="19">IF(U6=0,0,U6+V7-V6)</f>
        <v>41.034411874848388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164.13764749939367</v>
      </c>
      <c r="C9" s="224">
        <f t="shared" ref="C9:W9" si="21">C6-C5</f>
        <v>112.06657776866075</v>
      </c>
      <c r="D9" s="224">
        <f t="shared" si="21"/>
        <v>75.390426736822974</v>
      </c>
      <c r="E9" s="224">
        <f t="shared" si="21"/>
        <v>107.55037318026041</v>
      </c>
      <c r="F9" s="224">
        <f t="shared" si="21"/>
        <v>137.00192202186122</v>
      </c>
      <c r="G9" s="224">
        <f t="shared" si="21"/>
        <v>163.47406228186492</v>
      </c>
      <c r="H9" s="224">
        <f t="shared" si="21"/>
        <v>136.17201277265735</v>
      </c>
      <c r="I9" s="224">
        <f t="shared" si="21"/>
        <v>65.802590984636026</v>
      </c>
      <c r="J9" s="224">
        <f t="shared" si="21"/>
        <v>59.437732750767623</v>
      </c>
      <c r="K9" s="224">
        <f t="shared" si="21"/>
        <v>174.99023431151312</v>
      </c>
      <c r="L9" s="224">
        <f t="shared" si="21"/>
        <v>84.253068459141616</v>
      </c>
      <c r="M9" s="224">
        <f t="shared" si="21"/>
        <v>59.348097373262476</v>
      </c>
      <c r="N9" s="224">
        <f t="shared" si="21"/>
        <v>45.278706006440075</v>
      </c>
      <c r="O9" s="224">
        <f t="shared" si="21"/>
        <v>44.567629770408416</v>
      </c>
      <c r="P9" s="224">
        <f t="shared" si="21"/>
        <v>33.595914781773786</v>
      </c>
      <c r="Q9" s="224">
        <f t="shared" si="21"/>
        <v>57.532851891395239</v>
      </c>
      <c r="R9" s="224">
        <f t="shared" si="21"/>
        <v>32.462400444350578</v>
      </c>
      <c r="S9" s="224">
        <f t="shared" si="21"/>
        <v>70.936352219225682</v>
      </c>
      <c r="T9" s="224">
        <f t="shared" si="21"/>
        <v>86.911666230326091</v>
      </c>
      <c r="U9" s="224">
        <f t="shared" si="21"/>
        <v>57.686343643083433</v>
      </c>
      <c r="V9" s="224">
        <f t="shared" si="21"/>
        <v>48.568523444764423</v>
      </c>
      <c r="W9" s="224">
        <f t="shared" si="21"/>
        <v>56.764244688954705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83.026655202063637</v>
      </c>
      <c r="C12" s="230">
        <f t="shared" ref="C12:W12" si="22">SUM(C13,C14,C18,C19,C26,C27)</f>
        <v>81.677987962166796</v>
      </c>
      <c r="D12" s="230">
        <f t="shared" si="22"/>
        <v>84.767669819432498</v>
      </c>
      <c r="E12" s="230">
        <f t="shared" si="22"/>
        <v>85.467497850386934</v>
      </c>
      <c r="F12" s="230">
        <f t="shared" si="22"/>
        <v>75.591057609630255</v>
      </c>
      <c r="G12" s="230">
        <f t="shared" si="22"/>
        <v>76.144110060189163</v>
      </c>
      <c r="H12" s="230">
        <f t="shared" si="22"/>
        <v>76.459329320722262</v>
      </c>
      <c r="I12" s="230">
        <f t="shared" si="22"/>
        <v>75.441874462596729</v>
      </c>
      <c r="J12" s="230">
        <f t="shared" si="22"/>
        <v>77.476870163370592</v>
      </c>
      <c r="K12" s="230">
        <f t="shared" si="22"/>
        <v>68.880739466895974</v>
      </c>
      <c r="L12" s="230">
        <f t="shared" si="22"/>
        <v>70.880137575236461</v>
      </c>
      <c r="M12" s="230">
        <f t="shared" si="22"/>
        <v>68.409888220120379</v>
      </c>
      <c r="N12" s="230">
        <f t="shared" si="22"/>
        <v>71.465176268271705</v>
      </c>
      <c r="O12" s="230">
        <f t="shared" si="22"/>
        <v>70.452192605331035</v>
      </c>
      <c r="P12" s="230">
        <f t="shared" si="22"/>
        <v>75.742390369733442</v>
      </c>
      <c r="Q12" s="230">
        <f t="shared" si="22"/>
        <v>74.166122098022356</v>
      </c>
      <c r="R12" s="230">
        <f t="shared" si="22"/>
        <v>73.381513327601027</v>
      </c>
      <c r="S12" s="230">
        <f t="shared" si="22"/>
        <v>73.144453998280298</v>
      </c>
      <c r="T12" s="230">
        <f t="shared" si="22"/>
        <v>74.68116938950989</v>
      </c>
      <c r="U12" s="230">
        <f t="shared" si="22"/>
        <v>73.39114359415305</v>
      </c>
      <c r="V12" s="230">
        <f t="shared" si="22"/>
        <v>72.065606190885632</v>
      </c>
      <c r="W12" s="230">
        <f t="shared" si="22"/>
        <v>73.795528804815135</v>
      </c>
      <c r="DA12" s="211" t="s">
        <v>978</v>
      </c>
    </row>
    <row r="13" spans="1:105" x14ac:dyDescent="0.25">
      <c r="A13" s="58" t="s">
        <v>29</v>
      </c>
      <c r="B13" s="59">
        <v>4.8165090283748917</v>
      </c>
      <c r="C13" s="59">
        <v>1.3564918314703354</v>
      </c>
      <c r="D13" s="59">
        <v>6.5193465176268264</v>
      </c>
      <c r="E13" s="59">
        <v>4.1380911435941528</v>
      </c>
      <c r="F13" s="59">
        <v>0.47403267411865863</v>
      </c>
      <c r="G13" s="59">
        <v>0</v>
      </c>
      <c r="H13" s="59">
        <v>0</v>
      </c>
      <c r="I13" s="59">
        <v>0</v>
      </c>
      <c r="J13" s="59">
        <v>0</v>
      </c>
      <c r="K13" s="59">
        <v>2.6249355116079101</v>
      </c>
      <c r="L13" s="59">
        <v>1.3377472055030091</v>
      </c>
      <c r="M13" s="59">
        <v>0.902493551160791</v>
      </c>
      <c r="N13" s="59">
        <v>0.45150472914875323</v>
      </c>
      <c r="O13" s="59">
        <v>0.4545141874462596</v>
      </c>
      <c r="P13" s="59">
        <v>0.45520206362854682</v>
      </c>
      <c r="Q13" s="59">
        <v>0</v>
      </c>
      <c r="R13" s="59">
        <v>0</v>
      </c>
      <c r="S13" s="59">
        <v>0.1116079105760963</v>
      </c>
      <c r="T13" s="59">
        <v>7.5580395528804814E-2</v>
      </c>
      <c r="U13" s="59">
        <v>6.5520206362854688E-2</v>
      </c>
      <c r="V13" s="59">
        <v>6.0877042132416161E-2</v>
      </c>
      <c r="W13" s="59">
        <v>3.0524505588993979E-2</v>
      </c>
      <c r="DA13" s="9" t="s">
        <v>979</v>
      </c>
    </row>
    <row r="14" spans="1:105" x14ac:dyDescent="0.25">
      <c r="A14" s="60" t="s">
        <v>28</v>
      </c>
      <c r="B14" s="55">
        <f>SUM(B15:B17)</f>
        <v>78.210146173688742</v>
      </c>
      <c r="C14" s="55">
        <f t="shared" ref="C14:W14" si="23">SUM(C15:C17)</f>
        <v>80.32149613069646</v>
      </c>
      <c r="D14" s="55">
        <f t="shared" si="23"/>
        <v>78.248323301805669</v>
      </c>
      <c r="E14" s="55">
        <f t="shared" si="23"/>
        <v>81.329406706792781</v>
      </c>
      <c r="F14" s="55">
        <f t="shared" si="23"/>
        <v>75.117024935511594</v>
      </c>
      <c r="G14" s="55">
        <f t="shared" si="23"/>
        <v>76.144110060189163</v>
      </c>
      <c r="H14" s="55">
        <f t="shared" si="23"/>
        <v>76.459329320722262</v>
      </c>
      <c r="I14" s="55">
        <f t="shared" si="23"/>
        <v>75.441874462596729</v>
      </c>
      <c r="J14" s="55">
        <f t="shared" si="23"/>
        <v>77.476870163370592</v>
      </c>
      <c r="K14" s="55">
        <f t="shared" si="23"/>
        <v>66.255803955288059</v>
      </c>
      <c r="L14" s="55">
        <f t="shared" si="23"/>
        <v>67.273344797936375</v>
      </c>
      <c r="M14" s="55">
        <f t="shared" si="23"/>
        <v>65.238349097162512</v>
      </c>
      <c r="N14" s="55">
        <f t="shared" si="23"/>
        <v>68.290799656061907</v>
      </c>
      <c r="O14" s="55">
        <f t="shared" si="23"/>
        <v>67.274806534823725</v>
      </c>
      <c r="P14" s="55">
        <f t="shared" si="23"/>
        <v>71.370077386070506</v>
      </c>
      <c r="Q14" s="55">
        <f t="shared" si="23"/>
        <v>71.371625107480654</v>
      </c>
      <c r="R14" s="55">
        <f t="shared" si="23"/>
        <v>70.324247635425621</v>
      </c>
      <c r="S14" s="55">
        <f t="shared" si="23"/>
        <v>70.444196044711944</v>
      </c>
      <c r="T14" s="55">
        <f t="shared" si="23"/>
        <v>70.492605331040409</v>
      </c>
      <c r="U14" s="55">
        <f t="shared" si="23"/>
        <v>69.741788478073943</v>
      </c>
      <c r="V14" s="55">
        <f t="shared" si="23"/>
        <v>68.246345657781589</v>
      </c>
      <c r="W14" s="55">
        <f t="shared" si="23"/>
        <v>68.353568357695607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72.919690455717969</v>
      </c>
      <c r="C16" s="55">
        <v>71.8926053310404</v>
      </c>
      <c r="D16" s="55">
        <v>70.865606190885643</v>
      </c>
      <c r="E16" s="55">
        <v>73.946689595872741</v>
      </c>
      <c r="F16" s="55">
        <v>69.838521066208074</v>
      </c>
      <c r="G16" s="55">
        <v>70.865606190885643</v>
      </c>
      <c r="H16" s="55">
        <v>71.22381771281168</v>
      </c>
      <c r="I16" s="55">
        <v>70.206362854686148</v>
      </c>
      <c r="J16" s="55">
        <v>72.24135855546001</v>
      </c>
      <c r="K16" s="55">
        <v>62.066466036113503</v>
      </c>
      <c r="L16" s="55">
        <v>63.084006878761819</v>
      </c>
      <c r="M16" s="55">
        <v>61.049011177987957</v>
      </c>
      <c r="N16" s="55">
        <v>64.101461736887359</v>
      </c>
      <c r="O16" s="55">
        <v>63.085468615649177</v>
      </c>
      <c r="P16" s="55">
        <v>66.133361994840925</v>
      </c>
      <c r="Q16" s="55">
        <v>66.134909716251073</v>
      </c>
      <c r="R16" s="55">
        <v>66.134909716251073</v>
      </c>
      <c r="S16" s="55">
        <v>65.540154772141008</v>
      </c>
      <c r="T16" s="55">
        <v>65.476096302665511</v>
      </c>
      <c r="U16" s="55">
        <v>64.761822871883055</v>
      </c>
      <c r="V16" s="55">
        <v>63.620206362854681</v>
      </c>
      <c r="W16" s="55">
        <v>63.714789337919171</v>
      </c>
      <c r="DA16" s="10" t="s">
        <v>981</v>
      </c>
    </row>
    <row r="17" spans="1:105" x14ac:dyDescent="0.25">
      <c r="A17" s="61" t="s">
        <v>113</v>
      </c>
      <c r="B17" s="55">
        <v>5.2904557179707652</v>
      </c>
      <c r="C17" s="55">
        <v>8.4288907996560631</v>
      </c>
      <c r="D17" s="55">
        <v>7.3827171109200336</v>
      </c>
      <c r="E17" s="55">
        <v>7.3827171109200336</v>
      </c>
      <c r="F17" s="55">
        <v>5.2785038693035249</v>
      </c>
      <c r="G17" s="55">
        <v>5.2785038693035249</v>
      </c>
      <c r="H17" s="55">
        <v>5.235511607910575</v>
      </c>
      <c r="I17" s="55">
        <v>5.235511607910575</v>
      </c>
      <c r="J17" s="55">
        <v>5.235511607910575</v>
      </c>
      <c r="K17" s="55">
        <v>4.1893379191745481</v>
      </c>
      <c r="L17" s="55">
        <v>4.1893379191745481</v>
      </c>
      <c r="M17" s="55">
        <v>4.1893379191745481</v>
      </c>
      <c r="N17" s="55">
        <v>4.1893379191745481</v>
      </c>
      <c r="O17" s="55">
        <v>4.1893379191745481</v>
      </c>
      <c r="P17" s="55">
        <v>5.2367153912295779</v>
      </c>
      <c r="Q17" s="55">
        <v>5.2367153912295779</v>
      </c>
      <c r="R17" s="55">
        <v>4.1893379191745481</v>
      </c>
      <c r="S17" s="55">
        <v>4.9040412725709368</v>
      </c>
      <c r="T17" s="55">
        <v>5.0165090283748919</v>
      </c>
      <c r="U17" s="55">
        <v>4.979965606190885</v>
      </c>
      <c r="V17" s="55">
        <v>4.6261392949269124</v>
      </c>
      <c r="W17" s="55">
        <v>4.6387790197764396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1.6337059329320719E-3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2.2690455717970761</v>
      </c>
      <c r="M19" s="55">
        <f t="shared" si="24"/>
        <v>2.2690455717970761</v>
      </c>
      <c r="N19" s="55">
        <f t="shared" si="24"/>
        <v>2.7228718830610492</v>
      </c>
      <c r="O19" s="55">
        <f t="shared" si="24"/>
        <v>2.7228718830610492</v>
      </c>
      <c r="P19" s="55">
        <f t="shared" si="24"/>
        <v>3.9171109200343932</v>
      </c>
      <c r="Q19" s="55">
        <f t="shared" si="24"/>
        <v>2.7944969905417021</v>
      </c>
      <c r="R19" s="55">
        <f t="shared" si="24"/>
        <v>3.0572656921754078</v>
      </c>
      <c r="S19" s="55">
        <f t="shared" si="24"/>
        <v>2.5886500429922612</v>
      </c>
      <c r="T19" s="55">
        <f t="shared" si="24"/>
        <v>2.663886500429923</v>
      </c>
      <c r="U19" s="55">
        <f t="shared" si="24"/>
        <v>2.109974204643164</v>
      </c>
      <c r="V19" s="55">
        <f t="shared" si="24"/>
        <v>2.177815993121238</v>
      </c>
      <c r="W19" s="55">
        <f t="shared" si="24"/>
        <v>2.8398968185726572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2.2690455717970761</v>
      </c>
      <c r="M24" s="55">
        <v>2.2690455717970761</v>
      </c>
      <c r="N24" s="55">
        <v>2.7228718830610492</v>
      </c>
      <c r="O24" s="55">
        <v>2.7228718830610492</v>
      </c>
      <c r="P24" s="55">
        <v>3.9171109200343932</v>
      </c>
      <c r="Q24" s="55">
        <v>2.7944969905417021</v>
      </c>
      <c r="R24" s="55">
        <v>3.0572656921754078</v>
      </c>
      <c r="S24" s="55">
        <v>2.5886500429922612</v>
      </c>
      <c r="T24" s="55">
        <v>2.663886500429923</v>
      </c>
      <c r="U24" s="55">
        <v>2.109974204643164</v>
      </c>
      <c r="V24" s="55">
        <v>2.177815993121238</v>
      </c>
      <c r="W24" s="55">
        <v>2.8398968185726572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1.449097162510748</v>
      </c>
      <c r="U27" s="63">
        <v>1.4722269991401551</v>
      </c>
      <c r="V27" s="63">
        <v>1.580567497850387</v>
      </c>
      <c r="W27" s="63">
        <v>2.571539122957867</v>
      </c>
      <c r="DA27" s="11" t="s">
        <v>991</v>
      </c>
    </row>
    <row r="29" spans="1:105" x14ac:dyDescent="0.25">
      <c r="A29" s="219" t="s">
        <v>84</v>
      </c>
      <c r="B29" s="220">
        <v>261.19750429030864</v>
      </c>
      <c r="C29" s="220">
        <v>253.49193653593315</v>
      </c>
      <c r="D29" s="220">
        <v>269.56647804104011</v>
      </c>
      <c r="E29" s="220">
        <v>268.98211621328852</v>
      </c>
      <c r="F29" s="220">
        <v>234.00416747999998</v>
      </c>
      <c r="G29" s="220">
        <v>235.28399976</v>
      </c>
      <c r="H29" s="220">
        <v>236.27058191999996</v>
      </c>
      <c r="I29" s="220">
        <v>233.11401083999996</v>
      </c>
      <c r="J29" s="220">
        <v>239.42741975999999</v>
      </c>
      <c r="K29" s="220">
        <v>215.26913916000001</v>
      </c>
      <c r="L29" s="220">
        <v>213.24875219999998</v>
      </c>
      <c r="M29" s="220">
        <v>205.18470120000001</v>
      </c>
      <c r="N29" s="220">
        <v>212.84075040000002</v>
      </c>
      <c r="O29" s="220">
        <v>209.70081863999999</v>
      </c>
      <c r="P29" s="220">
        <v>222.19834295999999</v>
      </c>
      <c r="Q29" s="220">
        <v>220.37226767999999</v>
      </c>
      <c r="R29" s="220">
        <v>217.3333518</v>
      </c>
      <c r="S29" s="220">
        <v>218.02310616</v>
      </c>
      <c r="T29" s="220">
        <v>218.00263787999998</v>
      </c>
      <c r="U29" s="220">
        <v>215.64344591999998</v>
      </c>
      <c r="V29" s="220">
        <v>211.05131507999999</v>
      </c>
      <c r="W29" s="220">
        <v>211.25866920000001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95.851670772182317</v>
      </c>
      <c r="C31" s="59">
        <f t="shared" si="25"/>
        <v>100.94577743963505</v>
      </c>
      <c r="D31" s="59">
        <f t="shared" si="25"/>
        <v>93.949694699470214</v>
      </c>
      <c r="E31" s="59">
        <f t="shared" si="25"/>
        <v>121.79732953688367</v>
      </c>
      <c r="F31" s="59">
        <f t="shared" si="25"/>
        <v>95.916827871458736</v>
      </c>
      <c r="G31" s="59">
        <f t="shared" si="25"/>
        <v>93.496730696304198</v>
      </c>
      <c r="H31" s="59">
        <f t="shared" si="25"/>
        <v>101.44101093821101</v>
      </c>
      <c r="I31" s="59">
        <f t="shared" si="25"/>
        <v>96.375077858309041</v>
      </c>
      <c r="J31" s="59">
        <f t="shared" si="25"/>
        <v>107.42706764992342</v>
      </c>
      <c r="K31" s="59">
        <f t="shared" si="25"/>
        <v>103.37864930773581</v>
      </c>
      <c r="L31" s="59">
        <f t="shared" si="25"/>
        <v>100.14816940861203</v>
      </c>
      <c r="M31" s="59">
        <f t="shared" si="25"/>
        <v>84.861863227213561</v>
      </c>
      <c r="N31" s="59">
        <f t="shared" si="25"/>
        <v>98.719934275837076</v>
      </c>
      <c r="O31" s="59">
        <f t="shared" si="25"/>
        <v>97.180103470993927</v>
      </c>
      <c r="P31" s="59">
        <f t="shared" si="25"/>
        <v>98.713557687504533</v>
      </c>
      <c r="Q31" s="59">
        <f t="shared" si="25"/>
        <v>91.046061991188751</v>
      </c>
      <c r="R31" s="59">
        <f t="shared" si="25"/>
        <v>92.55985614020544</v>
      </c>
      <c r="S31" s="59">
        <f t="shared" si="25"/>
        <v>94.740231563828402</v>
      </c>
      <c r="T31" s="59">
        <f t="shared" si="25"/>
        <v>76.070974279517571</v>
      </c>
      <c r="U31" s="59">
        <f t="shared" si="25"/>
        <v>80.248857500577586</v>
      </c>
      <c r="V31" s="59">
        <f t="shared" si="25"/>
        <v>79.868799578132951</v>
      </c>
      <c r="W31" s="59">
        <f t="shared" si="25"/>
        <v>93.738091518628877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</v>
      </c>
      <c r="N32" s="55">
        <f t="shared" si="26"/>
        <v>135.04301399101357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124.90211009173744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48.645216871690153</v>
      </c>
      <c r="C33" s="55">
        <f>IF(AGR_ued!C$5=0,"",AGR_ued!C$5/C$5*1000)</f>
        <v>47.123361181616239</v>
      </c>
      <c r="D33" s="55">
        <f>IF(AGR_ued!D$5=0,"",AGR_ued!D$5/D$5*1000)</f>
        <v>48.81677340628476</v>
      </c>
      <c r="E33" s="55">
        <f>IF(AGR_ued!E$5=0,"",AGR_ued!E$5/E$5*1000)</f>
        <v>52.004448377039509</v>
      </c>
      <c r="F33" s="55">
        <f>IF(AGR_ued!F$5=0,"",AGR_ued!F$5/F$5*1000)</f>
        <v>52.281390134393078</v>
      </c>
      <c r="G33" s="55">
        <f>IF(AGR_ued!G$5=0,"",AGR_ued!G$5/G$5*1000)</f>
        <v>59.939736324333126</v>
      </c>
      <c r="H33" s="55">
        <f>IF(AGR_ued!H$5=0,"",AGR_ued!H$5/H$5*1000)</f>
        <v>57.036813760601881</v>
      </c>
      <c r="I33" s="55">
        <f>IF(AGR_ued!I$5=0,"",AGR_ued!I$5/I$5*1000)</f>
        <v>53.267740231323458</v>
      </c>
      <c r="J33" s="55">
        <f>IF(AGR_ued!J$5=0,"",AGR_ued!J$5/J$5*1000)</f>
        <v>54.092188807970501</v>
      </c>
      <c r="K33" s="55">
        <f>IF(AGR_ued!K$5=0,"",AGR_ued!K$5/K$5*1000)</f>
        <v>60.380484533866522</v>
      </c>
      <c r="L33" s="55">
        <f>IF(AGR_ued!L$5=0,"",AGR_ued!L$5/L$5*1000)</f>
        <v>56.11250277843552</v>
      </c>
      <c r="M33" s="55">
        <f>IF(AGR_ued!M$5=0,"",AGR_ued!M$5/M$5*1000)</f>
        <v>51.571863553793946</v>
      </c>
      <c r="N33" s="55">
        <f>IF(AGR_ued!N$5=0,"",AGR_ued!N$5/N$5*1000)</f>
        <v>52.526030980162332</v>
      </c>
      <c r="O33" s="55">
        <f>IF(AGR_ued!O$5=0,"",AGR_ued!O$5/O$5*1000)</f>
        <v>51.706775361730529</v>
      </c>
      <c r="P33" s="55">
        <f>IF(AGR_ued!P$5=0,"",AGR_ued!P$5/P$5*1000)</f>
        <v>50.594303924014469</v>
      </c>
      <c r="Q33" s="55">
        <f>IF(AGR_ued!Q$5=0,"",AGR_ued!Q$5/Q$5*1000)</f>
        <v>51.669346879673341</v>
      </c>
      <c r="R33" s="55">
        <f>IF(AGR_ued!R$5=0,"",AGR_ued!R$5/R$5*1000)</f>
        <v>52.725980994350323</v>
      </c>
      <c r="S33" s="55">
        <f>IF(AGR_ued!S$5=0,"",AGR_ued!S$5/S$5*1000)</f>
        <v>48.559047917863637</v>
      </c>
      <c r="T33" s="55">
        <f>IF(AGR_ued!T$5=0,"",AGR_ued!T$5/T$5*1000)</f>
        <v>55.271720713122804</v>
      </c>
      <c r="U33" s="55">
        <f>IF(AGR_ued!U$5=0,"",AGR_ued!U$5/U$5*1000)</f>
        <v>55.549792698476821</v>
      </c>
      <c r="V33" s="55">
        <f>IF(AGR_ued!V$5=0,"",AGR_ued!V$5/V$5*1000)</f>
        <v>58.203538794649852</v>
      </c>
      <c r="W33" s="55">
        <f>IF(AGR_ued!W$5=0,"",AGR_ued!W$5/W$5*1000)</f>
        <v>56.089916071929814</v>
      </c>
      <c r="DA33" s="217"/>
    </row>
    <row r="34" spans="1:105" x14ac:dyDescent="0.25">
      <c r="A34" s="37" t="s">
        <v>110</v>
      </c>
      <c r="B34" s="218">
        <f t="shared" ref="B34:W34" si="27">IF(B$12=0,"",B$29/B$12)</f>
        <v>3.1459475713507552</v>
      </c>
      <c r="C34" s="218">
        <f t="shared" si="27"/>
        <v>3.1035526567249732</v>
      </c>
      <c r="D34" s="218">
        <f t="shared" si="27"/>
        <v>3.1800623824537828</v>
      </c>
      <c r="E34" s="218">
        <f t="shared" si="27"/>
        <v>3.1471860412264401</v>
      </c>
      <c r="F34" s="218">
        <f t="shared" si="27"/>
        <v>3.0956593925230118</v>
      </c>
      <c r="G34" s="218">
        <f t="shared" si="27"/>
        <v>3.0899829228290474</v>
      </c>
      <c r="H34" s="218">
        <f t="shared" si="27"/>
        <v>3.0901471935350227</v>
      </c>
      <c r="I34" s="218">
        <f t="shared" si="27"/>
        <v>3.0899816912101699</v>
      </c>
      <c r="J34" s="218">
        <f t="shared" si="27"/>
        <v>3.0903083624200938</v>
      </c>
      <c r="K34" s="218">
        <f t="shared" si="27"/>
        <v>3.1252443110524122</v>
      </c>
      <c r="L34" s="218">
        <f t="shared" si="27"/>
        <v>3.0085826508680924</v>
      </c>
      <c r="M34" s="218">
        <f t="shared" si="27"/>
        <v>2.9993427344857451</v>
      </c>
      <c r="N34" s="218">
        <f t="shared" si="27"/>
        <v>2.9782442514522227</v>
      </c>
      <c r="O34" s="218">
        <f t="shared" si="27"/>
        <v>2.9764981171662241</v>
      </c>
      <c r="P34" s="218">
        <f t="shared" si="27"/>
        <v>2.933606159976569</v>
      </c>
      <c r="Q34" s="218">
        <f t="shared" si="27"/>
        <v>2.9713332913475359</v>
      </c>
      <c r="R34" s="218">
        <f t="shared" si="27"/>
        <v>2.9616907848404144</v>
      </c>
      <c r="S34" s="218">
        <f t="shared" si="27"/>
        <v>2.9807195794383254</v>
      </c>
      <c r="T34" s="218">
        <f t="shared" si="27"/>
        <v>2.9191111984733031</v>
      </c>
      <c r="U34" s="218">
        <f t="shared" si="27"/>
        <v>2.9382761374109441</v>
      </c>
      <c r="V34" s="218">
        <f t="shared" si="27"/>
        <v>2.928599733428626</v>
      </c>
      <c r="W34" s="218">
        <f t="shared" si="27"/>
        <v>2.8627570344914375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83.026655202063637</v>
      </c>
      <c r="C5" s="80">
        <f t="shared" ref="C5:W5" si="1">SUM(C6:C9,C16:C17,C25:C27)</f>
        <v>81.677987962166796</v>
      </c>
      <c r="D5" s="80">
        <f t="shared" si="1"/>
        <v>84.767669819432498</v>
      </c>
      <c r="E5" s="80">
        <f t="shared" si="1"/>
        <v>85.467497850386934</v>
      </c>
      <c r="F5" s="80">
        <f t="shared" si="1"/>
        <v>75.591057609630226</v>
      </c>
      <c r="G5" s="80">
        <f t="shared" si="1"/>
        <v>76.144110060189192</v>
      </c>
      <c r="H5" s="80">
        <f t="shared" si="1"/>
        <v>76.459329320722247</v>
      </c>
      <c r="I5" s="80">
        <f t="shared" si="1"/>
        <v>75.441874462596701</v>
      </c>
      <c r="J5" s="80">
        <f t="shared" si="1"/>
        <v>77.476870163370577</v>
      </c>
      <c r="K5" s="80">
        <f t="shared" si="1"/>
        <v>68.880739466895946</v>
      </c>
      <c r="L5" s="80">
        <f t="shared" si="1"/>
        <v>70.880137575236446</v>
      </c>
      <c r="M5" s="80">
        <f t="shared" si="1"/>
        <v>68.409888220120393</v>
      </c>
      <c r="N5" s="80">
        <f t="shared" si="1"/>
        <v>71.465176268271691</v>
      </c>
      <c r="O5" s="80">
        <f t="shared" si="1"/>
        <v>70.452192605331007</v>
      </c>
      <c r="P5" s="80">
        <f t="shared" si="1"/>
        <v>75.742390369733442</v>
      </c>
      <c r="Q5" s="80">
        <f t="shared" si="1"/>
        <v>74.166122098022328</v>
      </c>
      <c r="R5" s="80">
        <f t="shared" si="1"/>
        <v>73.381513327601027</v>
      </c>
      <c r="S5" s="80">
        <f t="shared" si="1"/>
        <v>73.144453998280284</v>
      </c>
      <c r="T5" s="80">
        <f t="shared" si="1"/>
        <v>74.681169389509904</v>
      </c>
      <c r="U5" s="80">
        <f t="shared" si="1"/>
        <v>73.39114359415305</v>
      </c>
      <c r="V5" s="80">
        <f t="shared" si="1"/>
        <v>72.065606190885617</v>
      </c>
      <c r="W5" s="80">
        <f t="shared" si="1"/>
        <v>73.79552880481512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0.28886895287858089</v>
      </c>
      <c r="U6" s="240">
        <v>0.29341105207435941</v>
      </c>
      <c r="V6" s="240">
        <v>0.31479158362176918</v>
      </c>
      <c r="W6" s="240">
        <v>0.50886951100193178</v>
      </c>
      <c r="DA6" s="268" t="s">
        <v>993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0.1877648193710775</v>
      </c>
      <c r="U7" s="242">
        <v>0.19071718384833361</v>
      </c>
      <c r="V7" s="242">
        <v>0.20461452935415</v>
      </c>
      <c r="W7" s="242">
        <v>0.33076518215125572</v>
      </c>
      <c r="DA7" s="269" t="s">
        <v>994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0.25998205759072279</v>
      </c>
      <c r="U8" s="242">
        <v>0.26406994686692342</v>
      </c>
      <c r="V8" s="242">
        <v>0.28331242525959233</v>
      </c>
      <c r="W8" s="242">
        <v>0.45798255990173881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18.271777979983881</v>
      </c>
      <c r="C9" s="244">
        <f t="shared" ref="C9:W9" si="3">SUM(C10:C15)</f>
        <v>17.988989706959899</v>
      </c>
      <c r="D9" s="244">
        <f t="shared" si="3"/>
        <v>18.318912603804051</v>
      </c>
      <c r="E9" s="244">
        <f t="shared" si="3"/>
        <v>18.707765881820869</v>
      </c>
      <c r="F9" s="244">
        <f t="shared" si="3"/>
        <v>16.92766626068396</v>
      </c>
      <c r="G9" s="244">
        <f t="shared" si="3"/>
        <v>17.092706083454651</v>
      </c>
      <c r="H9" s="244">
        <f t="shared" si="3"/>
        <v>17.168597014118159</v>
      </c>
      <c r="I9" s="244">
        <f t="shared" si="3"/>
        <v>16.9346187891759</v>
      </c>
      <c r="J9" s="244">
        <f t="shared" si="3"/>
        <v>17.402583785819029</v>
      </c>
      <c r="K9" s="244">
        <f t="shared" si="3"/>
        <v>15.295211812083441</v>
      </c>
      <c r="L9" s="244">
        <f t="shared" si="3"/>
        <v>15.927753212940555</v>
      </c>
      <c r="M9" s="244">
        <f t="shared" si="3"/>
        <v>15.39403110456364</v>
      </c>
      <c r="N9" s="244">
        <f t="shared" si="3"/>
        <v>16.144268183474296</v>
      </c>
      <c r="O9" s="244">
        <f t="shared" si="3"/>
        <v>15.911333482395008</v>
      </c>
      <c r="P9" s="244">
        <f t="shared" si="3"/>
        <v>17.082582117278498</v>
      </c>
      <c r="Q9" s="244">
        <f t="shared" si="3"/>
        <v>16.721299493358114</v>
      </c>
      <c r="R9" s="244">
        <f t="shared" si="3"/>
        <v>16.628221222079446</v>
      </c>
      <c r="S9" s="244">
        <f t="shared" si="3"/>
        <v>16.497448841434835</v>
      </c>
      <c r="T9" s="244">
        <f t="shared" si="3"/>
        <v>16.384504274653818</v>
      </c>
      <c r="U9" s="244">
        <f t="shared" si="3"/>
        <v>16.068235487153277</v>
      </c>
      <c r="V9" s="244">
        <f t="shared" si="3"/>
        <v>15.75982890583583</v>
      </c>
      <c r="W9" s="244">
        <f t="shared" si="3"/>
        <v>15.875116567806522</v>
      </c>
      <c r="DA9" s="270"/>
    </row>
    <row r="10" spans="1:105" x14ac:dyDescent="0.25">
      <c r="A10" s="254" t="s">
        <v>173</v>
      </c>
      <c r="B10" s="255">
        <v>18.271777979983881</v>
      </c>
      <c r="C10" s="255">
        <v>17.988989706959899</v>
      </c>
      <c r="D10" s="255">
        <v>18.318912603804051</v>
      </c>
      <c r="E10" s="255">
        <v>18.707765881820869</v>
      </c>
      <c r="F10" s="255">
        <v>16.92766626068396</v>
      </c>
      <c r="G10" s="255">
        <v>17.092706083454651</v>
      </c>
      <c r="H10" s="255">
        <v>17.168597014118159</v>
      </c>
      <c r="I10" s="255">
        <v>16.9346187891759</v>
      </c>
      <c r="J10" s="255">
        <v>17.402583785819029</v>
      </c>
      <c r="K10" s="255">
        <v>15.295211812083441</v>
      </c>
      <c r="L10" s="255">
        <v>15.033661573711401</v>
      </c>
      <c r="M10" s="255">
        <v>14.5036490388029</v>
      </c>
      <c r="N10" s="255">
        <v>15.087576280719389</v>
      </c>
      <c r="O10" s="255">
        <v>14.853448612395621</v>
      </c>
      <c r="P10" s="255">
        <v>15.54443266143009</v>
      </c>
      <c r="Q10" s="255">
        <v>15.62964320804703</v>
      </c>
      <c r="R10" s="255">
        <v>15.452493263924801</v>
      </c>
      <c r="S10" s="255">
        <v>15.488581296375431</v>
      </c>
      <c r="T10" s="255">
        <v>15.347303387032831</v>
      </c>
      <c r="U10" s="255">
        <v>15.24422336017531</v>
      </c>
      <c r="V10" s="255">
        <v>14.91285019169861</v>
      </c>
      <c r="W10" s="255">
        <v>14.75863686704219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6.3351931612189692E-4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0.89409163922915413</v>
      </c>
      <c r="M12" s="256">
        <v>0.89038206576074008</v>
      </c>
      <c r="N12" s="256">
        <v>1.056691902754908</v>
      </c>
      <c r="O12" s="256">
        <v>1.0578848699993879</v>
      </c>
      <c r="P12" s="256">
        <v>1.5381494558484099</v>
      </c>
      <c r="Q12" s="256">
        <v>1.0916562853110849</v>
      </c>
      <c r="R12" s="256">
        <v>1.1757279581546449</v>
      </c>
      <c r="S12" s="256">
        <v>1.008867545059404</v>
      </c>
      <c r="T12" s="256">
        <v>1.032448488936524</v>
      </c>
      <c r="U12" s="256">
        <v>0.81820686833238054</v>
      </c>
      <c r="V12" s="256">
        <v>0.84036913383495138</v>
      </c>
      <c r="W12" s="256">
        <v>1.0892881322703829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4.7523986844626746E-3</v>
      </c>
      <c r="U15" s="256">
        <v>5.1717393294643038E-3</v>
      </c>
      <c r="V15" s="256">
        <v>6.6095803022701537E-3</v>
      </c>
      <c r="W15" s="256">
        <v>2.7191568493948541E-2</v>
      </c>
      <c r="DA15" s="272" t="s">
        <v>1001</v>
      </c>
    </row>
    <row r="16" spans="1:105" x14ac:dyDescent="0.25">
      <c r="A16" s="257" t="s">
        <v>175</v>
      </c>
      <c r="B16" s="258">
        <v>24.260957250397372</v>
      </c>
      <c r="C16" s="258">
        <v>23.88547577233518</v>
      </c>
      <c r="D16" s="258">
        <v>24.323541805374312</v>
      </c>
      <c r="E16" s="258">
        <v>24.839854600165129</v>
      </c>
      <c r="F16" s="258">
        <v>22.476268480786882</v>
      </c>
      <c r="G16" s="258">
        <v>22.695405561438751</v>
      </c>
      <c r="H16" s="258">
        <v>22.79617225346713</v>
      </c>
      <c r="I16" s="258">
        <v>22.485499930332171</v>
      </c>
      <c r="J16" s="258">
        <v>23.106855924843408</v>
      </c>
      <c r="K16" s="258">
        <v>20.308723120170949</v>
      </c>
      <c r="L16" s="258">
        <v>20.91269820689115</v>
      </c>
      <c r="M16" s="258">
        <v>20.205351774036</v>
      </c>
      <c r="N16" s="258">
        <v>21.15823302673056</v>
      </c>
      <c r="O16" s="258">
        <v>20.848262378570471</v>
      </c>
      <c r="P16" s="258">
        <v>22.268273909323089</v>
      </c>
      <c r="Q16" s="258">
        <v>21.914095786131931</v>
      </c>
      <c r="R16" s="258">
        <v>21.770199628309999</v>
      </c>
      <c r="S16" s="258">
        <v>21.6397875032835</v>
      </c>
      <c r="T16" s="258">
        <v>21.70645854937403</v>
      </c>
      <c r="U16" s="258">
        <v>21.348128110682961</v>
      </c>
      <c r="V16" s="258">
        <v>20.94819566930062</v>
      </c>
      <c r="W16" s="258">
        <v>21.169470896647759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35.831974851867514</v>
      </c>
      <c r="C17" s="258">
        <f t="shared" ref="C17:W17" si="5">SUM(C18:C24)</f>
        <v>35.213729258225946</v>
      </c>
      <c r="D17" s="258">
        <f t="shared" si="5"/>
        <v>37.451244146637961</v>
      </c>
      <c r="E17" s="258">
        <f t="shared" si="5"/>
        <v>37.146692298456756</v>
      </c>
      <c r="F17" s="258">
        <f t="shared" si="5"/>
        <v>31.868120568530955</v>
      </c>
      <c r="G17" s="258">
        <f t="shared" si="5"/>
        <v>31.994887099391892</v>
      </c>
      <c r="H17" s="258">
        <f t="shared" si="5"/>
        <v>32.114085577597891</v>
      </c>
      <c r="I17" s="258">
        <f t="shared" si="5"/>
        <v>31.700979543497716</v>
      </c>
      <c r="J17" s="258">
        <f t="shared" si="5"/>
        <v>32.527255520561781</v>
      </c>
      <c r="K17" s="258">
        <f t="shared" si="5"/>
        <v>29.3743141397829</v>
      </c>
      <c r="L17" s="258">
        <f t="shared" si="5"/>
        <v>30.021136914270389</v>
      </c>
      <c r="M17" s="258">
        <f t="shared" si="5"/>
        <v>28.927878612290314</v>
      </c>
      <c r="N17" s="258">
        <f t="shared" si="5"/>
        <v>30.096944255080622</v>
      </c>
      <c r="O17" s="258">
        <f t="shared" si="5"/>
        <v>29.686429384633488</v>
      </c>
      <c r="P17" s="258">
        <f t="shared" si="5"/>
        <v>32.112499933779795</v>
      </c>
      <c r="Q17" s="258">
        <f t="shared" si="5"/>
        <v>31.319750687174583</v>
      </c>
      <c r="R17" s="258">
        <f t="shared" si="5"/>
        <v>30.799767191770382</v>
      </c>
      <c r="S17" s="258">
        <f t="shared" si="5"/>
        <v>30.848952144763423</v>
      </c>
      <c r="T17" s="258">
        <f t="shared" si="5"/>
        <v>30.97478489516612</v>
      </c>
      <c r="U17" s="258">
        <f t="shared" si="5"/>
        <v>30.405504010043888</v>
      </c>
      <c r="V17" s="258">
        <f t="shared" si="5"/>
        <v>29.758253323277902</v>
      </c>
      <c r="W17" s="258">
        <f t="shared" si="5"/>
        <v>30.138703532007067</v>
      </c>
      <c r="DA17" s="273"/>
    </row>
    <row r="18" spans="1:105" x14ac:dyDescent="0.25">
      <c r="A18" s="61" t="s">
        <v>29</v>
      </c>
      <c r="B18" s="55">
        <v>4.8165090283167968</v>
      </c>
      <c r="C18" s="55">
        <v>1.3564918314564449</v>
      </c>
      <c r="D18" s="55">
        <v>6.5193465174183611</v>
      </c>
      <c r="E18" s="55">
        <v>4.1380911434519803</v>
      </c>
      <c r="F18" s="55">
        <v>0.47403267410397759</v>
      </c>
      <c r="G18" s="55">
        <v>0</v>
      </c>
      <c r="H18" s="55">
        <v>0</v>
      </c>
      <c r="I18" s="55">
        <v>0</v>
      </c>
      <c r="J18" s="55">
        <v>0</v>
      </c>
      <c r="K18" s="55">
        <v>2.6249355115567039</v>
      </c>
      <c r="L18" s="55">
        <v>1.3377472054162001</v>
      </c>
      <c r="M18" s="55">
        <v>0.90249355111855378</v>
      </c>
      <c r="N18" s="55">
        <v>0.4515047291401128</v>
      </c>
      <c r="O18" s="55">
        <v>0.45451418743644822</v>
      </c>
      <c r="P18" s="55">
        <v>0.45520206359509802</v>
      </c>
      <c r="Q18" s="55">
        <v>0</v>
      </c>
      <c r="R18" s="55">
        <v>0</v>
      </c>
      <c r="S18" s="55">
        <v>0.11160791057311401</v>
      </c>
      <c r="T18" s="55">
        <v>7.5580395528217881E-2</v>
      </c>
      <c r="U18" s="55">
        <v>6.5520206362341488E-2</v>
      </c>
      <c r="V18" s="55">
        <v>6.0877042131929578E-2</v>
      </c>
      <c r="W18" s="55">
        <v>3.0524505588757279E-2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25.725010105643761</v>
      </c>
      <c r="C20" s="55">
        <v>25.428346627199751</v>
      </c>
      <c r="D20" s="55">
        <v>23.549180518535639</v>
      </c>
      <c r="E20" s="55">
        <v>25.625884044338392</v>
      </c>
      <c r="F20" s="55">
        <v>26.115584025286928</v>
      </c>
      <c r="G20" s="55">
        <v>26.716383230164791</v>
      </c>
      <c r="H20" s="55">
        <v>26.878573969755891</v>
      </c>
      <c r="I20" s="55">
        <v>26.465467935663622</v>
      </c>
      <c r="J20" s="55">
        <v>27.291743912712779</v>
      </c>
      <c r="K20" s="55">
        <v>22.560040709133371</v>
      </c>
      <c r="L20" s="55">
        <v>23.119097857437719</v>
      </c>
      <c r="M20" s="55">
        <v>22.457383636196809</v>
      </c>
      <c r="N20" s="55">
        <v>23.789921626560911</v>
      </c>
      <c r="O20" s="55">
        <v>23.377590265074819</v>
      </c>
      <c r="P20" s="55">
        <v>24.041621015271211</v>
      </c>
      <c r="Q20" s="55">
        <v>24.380194590934501</v>
      </c>
      <c r="R20" s="55">
        <v>24.728891539546421</v>
      </c>
      <c r="S20" s="55">
        <v>24.253520463844499</v>
      </c>
      <c r="T20" s="55">
        <v>24.25125745982913</v>
      </c>
      <c r="U20" s="55">
        <v>24.06725067461851</v>
      </c>
      <c r="V20" s="55">
        <v>23.733790126987021</v>
      </c>
      <c r="W20" s="55">
        <v>23.718791320397159</v>
      </c>
      <c r="DA20" s="101" t="s">
        <v>1005</v>
      </c>
    </row>
    <row r="21" spans="1:105" x14ac:dyDescent="0.25">
      <c r="A21" s="61" t="s">
        <v>129</v>
      </c>
      <c r="B21" s="55">
        <v>5.2904557179069558</v>
      </c>
      <c r="C21" s="55">
        <v>8.4288907995697517</v>
      </c>
      <c r="D21" s="55">
        <v>7.3827171106839611</v>
      </c>
      <c r="E21" s="55">
        <v>7.3827171106663858</v>
      </c>
      <c r="F21" s="55">
        <v>5.2785038691400494</v>
      </c>
      <c r="G21" s="55">
        <v>5.2785038692271007</v>
      </c>
      <c r="H21" s="55">
        <v>5.2355116078420023</v>
      </c>
      <c r="I21" s="55">
        <v>5.2355116078340957</v>
      </c>
      <c r="J21" s="55">
        <v>5.2355116078490003</v>
      </c>
      <c r="K21" s="55">
        <v>4.1893379190928259</v>
      </c>
      <c r="L21" s="55">
        <v>4.1893379189026936</v>
      </c>
      <c r="M21" s="55">
        <v>4.1893379189784827</v>
      </c>
      <c r="N21" s="55">
        <v>4.1893379190943767</v>
      </c>
      <c r="O21" s="55">
        <v>4.1893379190841138</v>
      </c>
      <c r="P21" s="55">
        <v>5.2367153908447781</v>
      </c>
      <c r="Q21" s="55">
        <v>5.236715391047392</v>
      </c>
      <c r="R21" s="55">
        <v>4.189337918433429</v>
      </c>
      <c r="S21" s="55">
        <v>4.9040412724398941</v>
      </c>
      <c r="T21" s="55">
        <v>5.0165090283359346</v>
      </c>
      <c r="U21" s="55">
        <v>4.979965606151878</v>
      </c>
      <c r="V21" s="55">
        <v>4.6261392948899367</v>
      </c>
      <c r="W21" s="55">
        <v>4.6387790197404666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1.000186616797462E-3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1.374953932513775</v>
      </c>
      <c r="M24" s="55">
        <v>1.37866350599647</v>
      </c>
      <c r="N24" s="55">
        <v>1.66617998028522</v>
      </c>
      <c r="O24" s="55">
        <v>1.6649870130381079</v>
      </c>
      <c r="P24" s="55">
        <v>2.3789614640687038</v>
      </c>
      <c r="Q24" s="55">
        <v>1.702840705192691</v>
      </c>
      <c r="R24" s="55">
        <v>1.881537733790535</v>
      </c>
      <c r="S24" s="55">
        <v>1.5797824979059161</v>
      </c>
      <c r="T24" s="55">
        <v>1.6314380114728371</v>
      </c>
      <c r="U24" s="55">
        <v>1.291767336294364</v>
      </c>
      <c r="V24" s="55">
        <v>1.337446859269013</v>
      </c>
      <c r="W24" s="55">
        <v>1.7506086862806829</v>
      </c>
      <c r="DA24" s="101" t="s">
        <v>1009</v>
      </c>
    </row>
    <row r="25" spans="1:105" x14ac:dyDescent="0.25">
      <c r="A25" s="257" t="s">
        <v>174</v>
      </c>
      <c r="B25" s="258">
        <v>4.6619451198148676</v>
      </c>
      <c r="C25" s="258">
        <v>4.5897932246457591</v>
      </c>
      <c r="D25" s="258">
        <v>4.6739712636161679</v>
      </c>
      <c r="E25" s="258">
        <v>4.7731850699441791</v>
      </c>
      <c r="F25" s="258">
        <v>4.3190022996284227</v>
      </c>
      <c r="G25" s="258">
        <v>4.3611113159038926</v>
      </c>
      <c r="H25" s="258">
        <v>4.3804744755390699</v>
      </c>
      <c r="I25" s="258">
        <v>4.3207761995909149</v>
      </c>
      <c r="J25" s="258">
        <v>4.4401749321463626</v>
      </c>
      <c r="K25" s="258">
        <v>3.9024903948586598</v>
      </c>
      <c r="L25" s="258">
        <v>4.0185492411343544</v>
      </c>
      <c r="M25" s="258">
        <v>3.8826267292304379</v>
      </c>
      <c r="N25" s="258">
        <v>4.065730802986212</v>
      </c>
      <c r="O25" s="258">
        <v>4.0061673597320482</v>
      </c>
      <c r="P25" s="258">
        <v>4.279034409352052</v>
      </c>
      <c r="Q25" s="258">
        <v>4.2109761313577181</v>
      </c>
      <c r="R25" s="258">
        <v>4.183325285441196</v>
      </c>
      <c r="S25" s="258">
        <v>4.1582655087985403</v>
      </c>
      <c r="T25" s="258">
        <v>4.1710769059230151</v>
      </c>
      <c r="U25" s="258">
        <v>4.1022207259011152</v>
      </c>
      <c r="V25" s="258">
        <v>4.0253703743624287</v>
      </c>
      <c r="W25" s="258">
        <v>4.0678902533441201</v>
      </c>
      <c r="DA25" s="273" t="s">
        <v>1010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0.28886895287858089</v>
      </c>
      <c r="U26" s="258">
        <v>0.29341105207435941</v>
      </c>
      <c r="V26" s="258">
        <v>0.31479158362176918</v>
      </c>
      <c r="W26" s="258">
        <v>0.50886951100193178</v>
      </c>
      <c r="DA26" s="273" t="s">
        <v>1011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0.41885998167394228</v>
      </c>
      <c r="U27" s="259">
        <v>0.42544602550782112</v>
      </c>
      <c r="V27" s="259">
        <v>0.4564477962515654</v>
      </c>
      <c r="W27" s="259">
        <v>0.73786079095280122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1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0.99999999999999989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0.99999999999999978</v>
      </c>
      <c r="V31" s="236">
        <f t="shared" si="7"/>
        <v>1.0000000000000002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0</v>
      </c>
      <c r="L32" s="245">
        <f t="shared" si="8"/>
        <v>0</v>
      </c>
      <c r="M32" s="245">
        <f t="shared" si="8"/>
        <v>0</v>
      </c>
      <c r="N32" s="245">
        <f t="shared" si="8"/>
        <v>0</v>
      </c>
      <c r="O32" s="245">
        <f t="shared" si="8"/>
        <v>0</v>
      </c>
      <c r="P32" s="245">
        <f t="shared" si="8"/>
        <v>0</v>
      </c>
      <c r="Q32" s="245">
        <f t="shared" si="8"/>
        <v>0</v>
      </c>
      <c r="R32" s="245">
        <f t="shared" si="8"/>
        <v>0</v>
      </c>
      <c r="S32" s="245">
        <f t="shared" si="8"/>
        <v>0</v>
      </c>
      <c r="T32" s="245">
        <f t="shared" si="8"/>
        <v>3.8680293203758654E-3</v>
      </c>
      <c r="U32" s="245">
        <f t="shared" si="8"/>
        <v>3.9979081631006906E-3</v>
      </c>
      <c r="V32" s="245">
        <f t="shared" si="8"/>
        <v>4.3681251051709315E-3</v>
      </c>
      <c r="W32" s="245">
        <f t="shared" si="8"/>
        <v>6.8956686027396323E-3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0</v>
      </c>
      <c r="L33" s="246">
        <f t="shared" si="9"/>
        <v>0</v>
      </c>
      <c r="M33" s="246">
        <f t="shared" si="9"/>
        <v>0</v>
      </c>
      <c r="N33" s="246">
        <f t="shared" si="9"/>
        <v>0</v>
      </c>
      <c r="O33" s="246">
        <f t="shared" si="9"/>
        <v>0</v>
      </c>
      <c r="P33" s="246">
        <f t="shared" si="9"/>
        <v>0</v>
      </c>
      <c r="Q33" s="246">
        <f t="shared" si="9"/>
        <v>0</v>
      </c>
      <c r="R33" s="246">
        <f t="shared" si="9"/>
        <v>0</v>
      </c>
      <c r="S33" s="246">
        <f t="shared" si="9"/>
        <v>0</v>
      </c>
      <c r="T33" s="246">
        <f t="shared" si="9"/>
        <v>2.5142190582443115E-3</v>
      </c>
      <c r="U33" s="246">
        <f t="shared" si="9"/>
        <v>2.5986403060154484E-3</v>
      </c>
      <c r="V33" s="246">
        <f t="shared" si="9"/>
        <v>2.8392813183611061E-3</v>
      </c>
      <c r="W33" s="246">
        <f t="shared" si="9"/>
        <v>4.4821845917807617E-3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0</v>
      </c>
      <c r="L34" s="246">
        <f t="shared" si="10"/>
        <v>0</v>
      </c>
      <c r="M34" s="246">
        <f t="shared" si="10"/>
        <v>0</v>
      </c>
      <c r="N34" s="246">
        <f t="shared" si="10"/>
        <v>0</v>
      </c>
      <c r="O34" s="246">
        <f t="shared" si="10"/>
        <v>0</v>
      </c>
      <c r="P34" s="246">
        <f t="shared" si="10"/>
        <v>0</v>
      </c>
      <c r="Q34" s="246">
        <f t="shared" si="10"/>
        <v>0</v>
      </c>
      <c r="R34" s="246">
        <f t="shared" si="10"/>
        <v>0</v>
      </c>
      <c r="S34" s="246">
        <f t="shared" si="10"/>
        <v>0</v>
      </c>
      <c r="T34" s="246">
        <f t="shared" si="10"/>
        <v>3.4812263883382791E-3</v>
      </c>
      <c r="U34" s="246">
        <f t="shared" si="10"/>
        <v>3.5981173467906206E-3</v>
      </c>
      <c r="V34" s="246">
        <f t="shared" si="10"/>
        <v>3.9313125946538394E-3</v>
      </c>
      <c r="W34" s="246">
        <f t="shared" si="10"/>
        <v>6.2061017424656717E-3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0.22007122815577104</v>
      </c>
      <c r="C35" s="247">
        <f t="shared" si="11"/>
        <v>0.22024281150623334</v>
      </c>
      <c r="D35" s="247">
        <f t="shared" si="11"/>
        <v>0.21610730415058013</v>
      </c>
      <c r="E35" s="247">
        <f t="shared" si="11"/>
        <v>0.21888748766892999</v>
      </c>
      <c r="F35" s="247">
        <f t="shared" si="11"/>
        <v>0.22393741794303712</v>
      </c>
      <c r="G35" s="247">
        <f t="shared" si="11"/>
        <v>0.22447837488603489</v>
      </c>
      <c r="H35" s="247">
        <f t="shared" si="11"/>
        <v>0.22454548276380279</v>
      </c>
      <c r="I35" s="247">
        <f t="shared" si="11"/>
        <v>0.22447240222765022</v>
      </c>
      <c r="J35" s="247">
        <f t="shared" si="11"/>
        <v>0.22461650488879198</v>
      </c>
      <c r="K35" s="247">
        <f t="shared" si="11"/>
        <v>0.22205353674279749</v>
      </c>
      <c r="L35" s="247">
        <f t="shared" si="11"/>
        <v>0.22471391503767721</v>
      </c>
      <c r="M35" s="247">
        <f t="shared" si="11"/>
        <v>0.225026403420376</v>
      </c>
      <c r="N35" s="247">
        <f t="shared" si="11"/>
        <v>0.22590398605987694</v>
      </c>
      <c r="O35" s="247">
        <f t="shared" si="11"/>
        <v>0.22584582386994473</v>
      </c>
      <c r="P35" s="247">
        <f t="shared" si="11"/>
        <v>0.22553529184767682</v>
      </c>
      <c r="Q35" s="247">
        <f t="shared" si="11"/>
        <v>0.22545737892643566</v>
      </c>
      <c r="R35" s="247">
        <f t="shared" si="11"/>
        <v>0.22659959529377904</v>
      </c>
      <c r="S35" s="247">
        <f t="shared" si="11"/>
        <v>0.22554613425404352</v>
      </c>
      <c r="T35" s="247">
        <f t="shared" si="11"/>
        <v>0.21939271182536235</v>
      </c>
      <c r="U35" s="247">
        <f t="shared" si="11"/>
        <v>0.21893970716697495</v>
      </c>
      <c r="V35" s="247">
        <f t="shared" si="11"/>
        <v>0.21868724539819426</v>
      </c>
      <c r="W35" s="247">
        <f t="shared" si="11"/>
        <v>0.21512301388604832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0.29220684840733369</v>
      </c>
      <c r="C36" s="260">
        <f t="shared" si="12"/>
        <v>0.29243467387319727</v>
      </c>
      <c r="D36" s="260">
        <f t="shared" si="12"/>
        <v>0.28694361726808115</v>
      </c>
      <c r="E36" s="260">
        <f t="shared" si="12"/>
        <v>0.29063509784325192</v>
      </c>
      <c r="F36" s="260">
        <f t="shared" si="12"/>
        <v>0.29734030970779046</v>
      </c>
      <c r="G36" s="260">
        <f t="shared" si="12"/>
        <v>0.29805858317207784</v>
      </c>
      <c r="H36" s="260">
        <f t="shared" si="12"/>
        <v>0.29814768787526941</v>
      </c>
      <c r="I36" s="260">
        <f t="shared" si="12"/>
        <v>0.29805065277746046</v>
      </c>
      <c r="J36" s="260">
        <f t="shared" si="12"/>
        <v>0.29824198984960859</v>
      </c>
      <c r="K36" s="260">
        <f t="shared" si="12"/>
        <v>0.29483892416589563</v>
      </c>
      <c r="L36" s="260">
        <f t="shared" si="12"/>
        <v>0.29504313792694253</v>
      </c>
      <c r="M36" s="260">
        <f t="shared" si="12"/>
        <v>0.29535718153816976</v>
      </c>
      <c r="N36" s="260">
        <f t="shared" si="12"/>
        <v>0.29606353935663843</v>
      </c>
      <c r="O36" s="260">
        <f t="shared" si="12"/>
        <v>0.29592070321162606</v>
      </c>
      <c r="P36" s="260">
        <f t="shared" si="12"/>
        <v>0.29400014708568611</v>
      </c>
      <c r="Q36" s="260">
        <f t="shared" si="12"/>
        <v>0.29547312393074787</v>
      </c>
      <c r="R36" s="260">
        <f t="shared" si="12"/>
        <v>0.29667144545139223</v>
      </c>
      <c r="S36" s="260">
        <f t="shared" si="12"/>
        <v>0.29585001077172957</v>
      </c>
      <c r="T36" s="260">
        <f t="shared" si="12"/>
        <v>0.29065504365847583</v>
      </c>
      <c r="U36" s="260">
        <f t="shared" si="12"/>
        <v>0.29088152963982061</v>
      </c>
      <c r="V36" s="260">
        <f t="shared" si="12"/>
        <v>0.29068229321229255</v>
      </c>
      <c r="W36" s="260">
        <f t="shared" si="12"/>
        <v>0.28686657903949409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0.43157194234384749</v>
      </c>
      <c r="C37" s="260">
        <f t="shared" si="13"/>
        <v>0.43112875496562097</v>
      </c>
      <c r="D37" s="260">
        <f t="shared" si="13"/>
        <v>0.44181047121402034</v>
      </c>
      <c r="E37" s="260">
        <f t="shared" si="13"/>
        <v>0.43462945836419598</v>
      </c>
      <c r="F37" s="260">
        <f t="shared" si="13"/>
        <v>0.42158585388638598</v>
      </c>
      <c r="G37" s="260">
        <f t="shared" si="13"/>
        <v>0.42018860124704432</v>
      </c>
      <c r="H37" s="260">
        <f t="shared" si="13"/>
        <v>0.42001526645479259</v>
      </c>
      <c r="I37" s="260">
        <f t="shared" si="13"/>
        <v>0.42020402819146191</v>
      </c>
      <c r="J37" s="260">
        <f t="shared" si="13"/>
        <v>0.41983182144520825</v>
      </c>
      <c r="K37" s="260">
        <f t="shared" si="13"/>
        <v>0.42645178270625539</v>
      </c>
      <c r="L37" s="260">
        <f t="shared" si="13"/>
        <v>0.42354794927428219</v>
      </c>
      <c r="M37" s="260">
        <f t="shared" si="13"/>
        <v>0.42286107118330568</v>
      </c>
      <c r="N37" s="260">
        <f t="shared" si="13"/>
        <v>0.42114139818392538</v>
      </c>
      <c r="O37" s="260">
        <f t="shared" si="13"/>
        <v>0.42136984367449143</v>
      </c>
      <c r="P37" s="260">
        <f t="shared" si="13"/>
        <v>0.42396998268768538</v>
      </c>
      <c r="Q37" s="260">
        <f t="shared" si="13"/>
        <v>0.42229187398770224</v>
      </c>
      <c r="R37" s="260">
        <f t="shared" si="13"/>
        <v>0.41972106863304015</v>
      </c>
      <c r="S37" s="260">
        <f t="shared" si="13"/>
        <v>0.42175380987174665</v>
      </c>
      <c r="T37" s="260">
        <f t="shared" si="13"/>
        <v>0.41476030903604189</v>
      </c>
      <c r="U37" s="260">
        <f t="shared" si="13"/>
        <v>0.41429391233067314</v>
      </c>
      <c r="V37" s="260">
        <f t="shared" si="13"/>
        <v>0.41293281075656213</v>
      </c>
      <c r="W37" s="260">
        <f t="shared" si="13"/>
        <v>0.40840826023107962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5.6149981093047745E-2</v>
      </c>
      <c r="C38" s="260">
        <f t="shared" si="14"/>
        <v>5.6193759654948272E-2</v>
      </c>
      <c r="D38" s="260">
        <f t="shared" si="14"/>
        <v>5.5138607367318321E-2</v>
      </c>
      <c r="E38" s="260">
        <f t="shared" si="14"/>
        <v>5.5847956123622138E-2</v>
      </c>
      <c r="F38" s="260">
        <f t="shared" si="14"/>
        <v>5.7136418462786345E-2</v>
      </c>
      <c r="G38" s="260">
        <f t="shared" si="14"/>
        <v>5.7274440694842846E-2</v>
      </c>
      <c r="H38" s="260">
        <f t="shared" si="14"/>
        <v>5.7291562906135247E-2</v>
      </c>
      <c r="I38" s="260">
        <f t="shared" si="14"/>
        <v>5.7272916803427394E-2</v>
      </c>
      <c r="J38" s="260">
        <f t="shared" si="14"/>
        <v>5.7309683816391219E-2</v>
      </c>
      <c r="K38" s="260">
        <f t="shared" si="14"/>
        <v>5.6655756385051513E-2</v>
      </c>
      <c r="L38" s="260">
        <f t="shared" si="14"/>
        <v>5.6694997761098084E-2</v>
      </c>
      <c r="M38" s="260">
        <f t="shared" si="14"/>
        <v>5.6755343858148538E-2</v>
      </c>
      <c r="N38" s="260">
        <f t="shared" si="14"/>
        <v>5.6891076399559232E-2</v>
      </c>
      <c r="O38" s="260">
        <f t="shared" si="14"/>
        <v>5.6863629243937938E-2</v>
      </c>
      <c r="P38" s="260">
        <f t="shared" si="14"/>
        <v>5.6494578378951561E-2</v>
      </c>
      <c r="Q38" s="260">
        <f t="shared" si="14"/>
        <v>5.6777623155114448E-2</v>
      </c>
      <c r="R38" s="260">
        <f t="shared" si="14"/>
        <v>5.7007890621788522E-2</v>
      </c>
      <c r="S38" s="260">
        <f t="shared" si="14"/>
        <v>5.6850045102480443E-2</v>
      </c>
      <c r="T38" s="260">
        <f t="shared" si="14"/>
        <v>5.5851788878240376E-2</v>
      </c>
      <c r="U38" s="260">
        <f t="shared" si="14"/>
        <v>5.5895310047027698E-2</v>
      </c>
      <c r="V38" s="260">
        <f t="shared" si="14"/>
        <v>5.5857025107096524E-2</v>
      </c>
      <c r="W38" s="260">
        <f t="shared" si="14"/>
        <v>5.5123803829679886E-2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0</v>
      </c>
      <c r="L39" s="260">
        <f t="shared" si="15"/>
        <v>0</v>
      </c>
      <c r="M39" s="260">
        <f t="shared" si="15"/>
        <v>0</v>
      </c>
      <c r="N39" s="260">
        <f t="shared" si="15"/>
        <v>0</v>
      </c>
      <c r="O39" s="260">
        <f t="shared" si="15"/>
        <v>0</v>
      </c>
      <c r="P39" s="260">
        <f t="shared" si="15"/>
        <v>0</v>
      </c>
      <c r="Q39" s="260">
        <f t="shared" si="15"/>
        <v>0</v>
      </c>
      <c r="R39" s="260">
        <f t="shared" si="15"/>
        <v>0</v>
      </c>
      <c r="S39" s="260">
        <f t="shared" si="15"/>
        <v>0</v>
      </c>
      <c r="T39" s="260">
        <f t="shared" si="15"/>
        <v>3.8680293203758654E-3</v>
      </c>
      <c r="U39" s="260">
        <f t="shared" si="15"/>
        <v>3.9979081631006906E-3</v>
      </c>
      <c r="V39" s="260">
        <f t="shared" si="15"/>
        <v>4.3681251051709315E-3</v>
      </c>
      <c r="W39" s="260">
        <f t="shared" si="15"/>
        <v>6.8956686027396323E-3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0</v>
      </c>
      <c r="L40" s="262">
        <f t="shared" si="16"/>
        <v>0</v>
      </c>
      <c r="M40" s="262">
        <f t="shared" si="16"/>
        <v>0</v>
      </c>
      <c r="N40" s="262">
        <f t="shared" si="16"/>
        <v>0</v>
      </c>
      <c r="O40" s="262">
        <f t="shared" si="16"/>
        <v>0</v>
      </c>
      <c r="P40" s="262">
        <f t="shared" si="16"/>
        <v>0</v>
      </c>
      <c r="Q40" s="262">
        <f t="shared" si="16"/>
        <v>0</v>
      </c>
      <c r="R40" s="262">
        <f t="shared" si="16"/>
        <v>0</v>
      </c>
      <c r="S40" s="262">
        <f t="shared" si="16"/>
        <v>0</v>
      </c>
      <c r="T40" s="262">
        <f t="shared" si="16"/>
        <v>5.6086425145450052E-3</v>
      </c>
      <c r="U40" s="262">
        <f t="shared" si="16"/>
        <v>5.7969668364960007E-3</v>
      </c>
      <c r="V40" s="262">
        <f t="shared" si="16"/>
        <v>6.333781402497852E-3</v>
      </c>
      <c r="W40" s="262">
        <f t="shared" si="16"/>
        <v>9.9987194739724686E-3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122.34803499436488</v>
      </c>
      <c r="D44" s="237">
        <f t="shared" si="17"/>
        <v>127.81056238438661</v>
      </c>
      <c r="E44" s="237">
        <f t="shared" si="17"/>
        <v>135.43288032890186</v>
      </c>
      <c r="F44" s="237">
        <f t="shared" si="17"/>
        <v>134.84363036747555</v>
      </c>
      <c r="G44" s="237">
        <f t="shared" si="17"/>
        <v>154.42655608236763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156.3602335675709</v>
      </c>
      <c r="L44" s="237">
        <f t="shared" si="17"/>
        <v>144.58585940593417</v>
      </c>
      <c r="M44" s="237">
        <f t="shared" si="17"/>
        <v>132.80026593791032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124.90211009173746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0</v>
      </c>
      <c r="C45" s="248">
        <f>IF(C$6=0,0,C$6/AGR!C$5*1000)</f>
        <v>0</v>
      </c>
      <c r="D45" s="248">
        <f>IF(D$6=0,0,D$6/AGR!D$5*1000)</f>
        <v>0</v>
      </c>
      <c r="E45" s="248">
        <f>IF(E$6=0,0,E$6/AGR!E$5*1000)</f>
        <v>0</v>
      </c>
      <c r="F45" s="248">
        <f>IF(F$6=0,0,F$6/AGR!F$5*1000)</f>
        <v>0</v>
      </c>
      <c r="G45" s="248">
        <f>IF(G$6=0,0,G$6/AGR!G$5*1000)</f>
        <v>0</v>
      </c>
      <c r="H45" s="248">
        <f>IF(H$6=0,0,H$6/AGR!H$5*1000)</f>
        <v>0</v>
      </c>
      <c r="I45" s="248">
        <f>IF(I$6=0,0,I$6/AGR!I$5*1000)</f>
        <v>0</v>
      </c>
      <c r="J45" s="248">
        <f>IF(J$6=0,0,J$6/AGR!J$5*1000)</f>
        <v>0</v>
      </c>
      <c r="K45" s="248">
        <f>IF(K$6=0,0,K$6/AGR!K$5*1000)</f>
        <v>0</v>
      </c>
      <c r="L45" s="248">
        <f>IF(L$6=0,0,L$6/AGR!L$5*1000)</f>
        <v>0</v>
      </c>
      <c r="M45" s="248">
        <f>IF(M$6=0,0,M$6/AGR!M$5*1000)</f>
        <v>0</v>
      </c>
      <c r="N45" s="248">
        <f>IF(N$6=0,0,N$6/AGR!N$5*1000)</f>
        <v>0</v>
      </c>
      <c r="O45" s="248">
        <f>IF(O$6=0,0,O$6/AGR!O$5*1000)</f>
        <v>0</v>
      </c>
      <c r="P45" s="248">
        <f>IF(P$6=0,0,P$6/AGR!P$5*1000)</f>
        <v>0</v>
      </c>
      <c r="Q45" s="248">
        <f>IF(Q$6=0,0,Q$6/AGR!Q$5*1000)</f>
        <v>0</v>
      </c>
      <c r="R45" s="248">
        <f>IF(R$6=0,0,R$6/AGR!R$5*1000)</f>
        <v>0</v>
      </c>
      <c r="S45" s="248">
        <f>IF(S$6=0,0,S$6/AGR!S$5*1000)</f>
        <v>0</v>
      </c>
      <c r="T45" s="248">
        <f>IF(T$6=0,0,T$6/AGR!T$5*1000)</f>
        <v>0.54647462588700202</v>
      </c>
      <c r="U45" s="248">
        <f>IF(U$6=0,0,U$6/AGR!U$5*1000)</f>
        <v>0.5677508724738406</v>
      </c>
      <c r="V45" s="248">
        <f>IF(V$6=0,0,V$6/AGR!V$5*1000)</f>
        <v>0.64921700751324518</v>
      </c>
      <c r="W45" s="248">
        <f>IF(W$6=0,0,W$6/AGR!W$5*1000)</f>
        <v>0.98290957870162643</v>
      </c>
      <c r="DA45" s="282"/>
    </row>
    <row r="46" spans="1:105" x14ac:dyDescent="0.25">
      <c r="A46" s="241" t="s">
        <v>124</v>
      </c>
      <c r="B46" s="249">
        <f>IF(B$7=0,0,B$7/AGR!B$5*1000)</f>
        <v>0</v>
      </c>
      <c r="C46" s="249">
        <f>IF(C$7=0,0,C$7/AGR!C$5*1000)</f>
        <v>0</v>
      </c>
      <c r="D46" s="249">
        <f>IF(D$7=0,0,D$7/AGR!D$5*1000)</f>
        <v>0</v>
      </c>
      <c r="E46" s="249">
        <f>IF(E$7=0,0,E$7/AGR!E$5*1000)</f>
        <v>0</v>
      </c>
      <c r="F46" s="249">
        <f>IF(F$7=0,0,F$7/AGR!F$5*1000)</f>
        <v>0</v>
      </c>
      <c r="G46" s="249">
        <f>IF(G$7=0,0,G$7/AGR!G$5*1000)</f>
        <v>0</v>
      </c>
      <c r="H46" s="249">
        <f>IF(H$7=0,0,H$7/AGR!H$5*1000)</f>
        <v>0</v>
      </c>
      <c r="I46" s="249">
        <f>IF(I$7=0,0,I$7/AGR!I$5*1000)</f>
        <v>0</v>
      </c>
      <c r="J46" s="249">
        <f>IF(J$7=0,0,J$7/AGR!J$5*1000)</f>
        <v>0</v>
      </c>
      <c r="K46" s="249">
        <f>IF(K$7=0,0,K$7/AGR!K$5*1000)</f>
        <v>0</v>
      </c>
      <c r="L46" s="249">
        <f>IF(L$7=0,0,L$7/AGR!L$5*1000)</f>
        <v>0</v>
      </c>
      <c r="M46" s="249">
        <f>IF(M$7=0,0,M$7/AGR!M$5*1000)</f>
        <v>0</v>
      </c>
      <c r="N46" s="249">
        <f>IF(N$7=0,0,N$7/AGR!N$5*1000)</f>
        <v>0</v>
      </c>
      <c r="O46" s="249">
        <f>IF(O$7=0,0,O$7/AGR!O$5*1000)</f>
        <v>0</v>
      </c>
      <c r="P46" s="249">
        <f>IF(P$7=0,0,P$7/AGR!P$5*1000)</f>
        <v>0</v>
      </c>
      <c r="Q46" s="249">
        <f>IF(Q$7=0,0,Q$7/AGR!Q$5*1000)</f>
        <v>0</v>
      </c>
      <c r="R46" s="249">
        <f>IF(R$7=0,0,R$7/AGR!R$5*1000)</f>
        <v>0</v>
      </c>
      <c r="S46" s="249">
        <f>IF(S$7=0,0,S$7/AGR!S$5*1000)</f>
        <v>0</v>
      </c>
      <c r="T46" s="249">
        <f>IF(T$7=0,0,T$7/AGR!T$5*1000)</f>
        <v>0.3552085068265512</v>
      </c>
      <c r="U46" s="249">
        <f>IF(U$7=0,0,U$7/AGR!U$5*1000)</f>
        <v>0.36903806710799636</v>
      </c>
      <c r="V46" s="249">
        <f>IF(V$7=0,0,V$7/AGR!V$5*1000)</f>
        <v>0.42199105488360933</v>
      </c>
      <c r="W46" s="249">
        <f>IF(W$7=0,0,W$7/AGR!W$5*1000)</f>
        <v>0.63889122615605731</v>
      </c>
      <c r="DA46" s="283"/>
    </row>
    <row r="47" spans="1:105" x14ac:dyDescent="0.25">
      <c r="A47" s="241" t="s">
        <v>123</v>
      </c>
      <c r="B47" s="249">
        <f>IF(B$8=0,0,B$8/AGR!B$5*1000)</f>
        <v>0</v>
      </c>
      <c r="C47" s="249">
        <f>IF(C$8=0,0,C$8/AGR!C$5*1000)</f>
        <v>0</v>
      </c>
      <c r="D47" s="249">
        <f>IF(D$8=0,0,D$8/AGR!D$5*1000)</f>
        <v>0</v>
      </c>
      <c r="E47" s="249">
        <f>IF(E$8=0,0,E$8/AGR!E$5*1000)</f>
        <v>0</v>
      </c>
      <c r="F47" s="249">
        <f>IF(F$8=0,0,F$8/AGR!F$5*1000)</f>
        <v>0</v>
      </c>
      <c r="G47" s="249">
        <f>IF(G$8=0,0,G$8/AGR!G$5*1000)</f>
        <v>0</v>
      </c>
      <c r="H47" s="249">
        <f>IF(H$8=0,0,H$8/AGR!H$5*1000)</f>
        <v>0</v>
      </c>
      <c r="I47" s="249">
        <f>IF(I$8=0,0,I$8/AGR!I$5*1000)</f>
        <v>0</v>
      </c>
      <c r="J47" s="249">
        <f>IF(J$8=0,0,J$8/AGR!J$5*1000)</f>
        <v>0</v>
      </c>
      <c r="K47" s="249">
        <f>IF(K$8=0,0,K$8/AGR!K$5*1000)</f>
        <v>0</v>
      </c>
      <c r="L47" s="249">
        <f>IF(L$8=0,0,L$8/AGR!L$5*1000)</f>
        <v>0</v>
      </c>
      <c r="M47" s="249">
        <f>IF(M$8=0,0,M$8/AGR!M$5*1000)</f>
        <v>0</v>
      </c>
      <c r="N47" s="249">
        <f>IF(N$8=0,0,N$8/AGR!N$5*1000)</f>
        <v>0</v>
      </c>
      <c r="O47" s="249">
        <f>IF(O$8=0,0,O$8/AGR!O$5*1000)</f>
        <v>0</v>
      </c>
      <c r="P47" s="249">
        <f>IF(P$8=0,0,P$8/AGR!P$5*1000)</f>
        <v>0</v>
      </c>
      <c r="Q47" s="249">
        <f>IF(Q$8=0,0,Q$8/AGR!Q$5*1000)</f>
        <v>0</v>
      </c>
      <c r="R47" s="249">
        <f>IF(R$8=0,0,R$8/AGR!R$5*1000)</f>
        <v>0</v>
      </c>
      <c r="S47" s="249">
        <f>IF(S$8=0,0,S$8/AGR!S$5*1000)</f>
        <v>0</v>
      </c>
      <c r="T47" s="249">
        <f>IF(T$8=0,0,T$8/AGR!T$5*1000)</f>
        <v>0.49182716329830178</v>
      </c>
      <c r="U47" s="249">
        <f>IF(U$8=0,0,U$8/AGR!U$5*1000)</f>
        <v>0.51097578522645648</v>
      </c>
      <c r="V47" s="249">
        <f>IF(V$8=0,0,V$8/AGR!V$5*1000)</f>
        <v>0.58429530676192076</v>
      </c>
      <c r="W47" s="249">
        <f>IF(W$8=0,0,W$8/AGR!W$5*1000)</f>
        <v>0.88461862083146425</v>
      </c>
      <c r="DA47" s="283"/>
    </row>
    <row r="48" spans="1:105" x14ac:dyDescent="0.25">
      <c r="A48" s="243" t="s">
        <v>122</v>
      </c>
      <c r="B48" s="250">
        <f>IF(B$9=0,0,B$9/AGR!B$5*1000)</f>
        <v>27.829962014125027</v>
      </c>
      <c r="C48" s="250">
        <f>IF(C$9=0,0,C$9/AGR!C$5*1000)</f>
        <v>26.946275209421952</v>
      </c>
      <c r="D48" s="250">
        <f>IF(D$9=0,0,D$9/AGR!D$5*1000)</f>
        <v>27.620796078859335</v>
      </c>
      <c r="E48" s="250">
        <f>IF(E$9=0,0,E$9/AGR!E$5*1000)</f>
        <v>29.644562922960169</v>
      </c>
      <c r="F48" s="250">
        <f>IF(F$9=0,0,F$9/AGR!F$5*1000)</f>
        <v>30.196534410557785</v>
      </c>
      <c r="G48" s="250">
        <f>IF(G$9=0,0,G$9/AGR!G$5*1000)</f>
        <v>34.665422348617021</v>
      </c>
      <c r="H48" s="250">
        <f>IF(H$9=0,0,H$9/AGR!H$5*1000)</f>
        <v>32.992513077066135</v>
      </c>
      <c r="I48" s="250">
        <f>IF(I$9=0,0,I$9/AGR!I$5*1000)</f>
        <v>30.806258359631649</v>
      </c>
      <c r="J48" s="250">
        <f>IF(J$9=0,0,J$9/AGR!J$5*1000)</f>
        <v>31.295195724010668</v>
      </c>
      <c r="K48" s="250">
        <f>IF(K$9=0,0,K$9/AGR!K$5*1000)</f>
        <v>34.720342869609006</v>
      </c>
      <c r="L48" s="250">
        <f>IF(L$9=0,0,L$9/AGR!L$5*1000)</f>
        <v>32.490454526194632</v>
      </c>
      <c r="M48" s="250">
        <f>IF(M$9=0,0,M$9/AGR!M$5*1000)</f>
        <v>29.883566217277426</v>
      </c>
      <c r="N48" s="250">
        <f>IF(N$9=0,0,N$9/AGR!N$5*1000)</f>
        <v>30.506755150109687</v>
      </c>
      <c r="O48" s="250">
        <f>IF(O$9=0,0,O$9/AGR!O$5*1000)</f>
        <v>30.026248380847846</v>
      </c>
      <c r="P48" s="250">
        <f>IF(P$9=0,0,P$9/AGR!P$5*1000)</f>
        <v>29.35553750818546</v>
      </c>
      <c r="Q48" s="250">
        <f>IF(Q$9=0,0,Q$9/AGR!Q$5*1000)</f>
        <v>29.967382011744419</v>
      </c>
      <c r="R48" s="250">
        <f>IF(R$9=0,0,R$9/AGR!R$5*1000)</f>
        <v>30.678278805460401</v>
      </c>
      <c r="S48" s="250">
        <f>IF(S$9=0,0,S$9/AGR!S$5*1000)</f>
        <v>28.171188091364332</v>
      </c>
      <c r="T48" s="250">
        <f>IF(T$9=0,0,T$9/AGR!T$5*1000)</f>
        <v>30.995770762526043</v>
      </c>
      <c r="U48" s="250">
        <f>IF(U$9=0,0,U$9/AGR!U$5*1000)</f>
        <v>31.092062321614293</v>
      </c>
      <c r="V48" s="250">
        <f>IF(V$9=0,0,V$9/AGR!V$5*1000)</f>
        <v>32.502612819092924</v>
      </c>
      <c r="W48" s="250">
        <f>IF(W$9=0,0,W$9/AGR!W$5*1000)</f>
        <v>30.663664849519122</v>
      </c>
      <c r="DA48" s="284"/>
    </row>
    <row r="49" spans="1:105" x14ac:dyDescent="0.25">
      <c r="A49" s="128" t="s">
        <v>175</v>
      </c>
      <c r="B49" s="263">
        <f>IF(B$16=0,0,B$16/AGR!B$5*1000)</f>
        <v>36.952152080903602</v>
      </c>
      <c r="C49" s="263">
        <f>IF(C$16=0,0,C$16/AGR!C$5*1000)</f>
        <v>35.77880771260363</v>
      </c>
      <c r="D49" s="263">
        <f>IF(D$16=0,0,D$16/AGR!D$5*1000)</f>
        <v>36.674425095643642</v>
      </c>
      <c r="E49" s="263">
        <f>IF(E$16=0,0,E$16/AGR!E$5*1000)</f>
        <v>39.361548425583813</v>
      </c>
      <c r="F49" s="263">
        <f>IF(F$16=0,0,F$16/AGR!F$5*1000)</f>
        <v>40.094446815588</v>
      </c>
      <c r="G49" s="263">
        <f>IF(G$16=0,0,G$16/AGR!G$5*1000)</f>
        <v>46.028160510053922</v>
      </c>
      <c r="H49" s="263">
        <f>IF(H$16=0,0,H$16/AGR!H$5*1000)</f>
        <v>43.806899920890075</v>
      </c>
      <c r="I49" s="263">
        <f>IF(I$16=0,0,I$16/AGR!I$5*1000)</f>
        <v>40.904027945526686</v>
      </c>
      <c r="J49" s="263">
        <f>IF(J$16=0,0,J$16/AGR!J$5*1000)</f>
        <v>41.553230694614172</v>
      </c>
      <c r="K49" s="263">
        <f>IF(K$16=0,0,K$16/AGR!K$5*1000)</f>
        <v>46.101083047390773</v>
      </c>
      <c r="L49" s="263">
        <f>IF(L$16=0,0,L$16/AGR!L$5*1000)</f>
        <v>42.659065658990556</v>
      </c>
      <c r="M49" s="263">
        <f>IF(M$16=0,0,M$16/AGR!M$5*1000)</f>
        <v>39.223512254940601</v>
      </c>
      <c r="N49" s="263">
        <f>IF(N$16=0,0,N$16/AGR!N$5*1000)</f>
        <v>39.98131268756751</v>
      </c>
      <c r="O49" s="263">
        <f>IF(O$16=0,0,O$16/AGR!O$5*1000)</f>
        <v>39.342717892291731</v>
      </c>
      <c r="P49" s="263">
        <f>IF(P$16=0,0,P$16/AGR!P$5*1000)</f>
        <v>38.266881757090303</v>
      </c>
      <c r="Q49" s="263">
        <f>IF(Q$16=0,0,Q$16/AGR!Q$5*1000)</f>
        <v>39.273746644262069</v>
      </c>
      <c r="R49" s="263">
        <f>IF(R$16=0,0,R$16/AGR!R$5*1000)</f>
        <v>40.164984872886095</v>
      </c>
      <c r="S49" s="263">
        <f>IF(S$16=0,0,S$16/AGR!S$5*1000)</f>
        <v>36.952290616052274</v>
      </c>
      <c r="T49" s="263">
        <f>IF(T$16=0,0,T$16/AGR!T$5*1000)</f>
        <v>41.063702751353851</v>
      </c>
      <c r="U49" s="263">
        <f>IF(U$16=0,0,U$16/AGR!U$5*1000)</f>
        <v>41.308663306424755</v>
      </c>
      <c r="V49" s="263">
        <f>IF(V$16=0,0,V$16/AGR!V$5*1000)</f>
        <v>43.202949547615461</v>
      </c>
      <c r="W49" s="263">
        <f>IF(W$16=0,0,W$16/AGR!W$5*1000)</f>
        <v>40.890002781639247</v>
      </c>
      <c r="DA49" s="285"/>
    </row>
    <row r="50" spans="1:105" x14ac:dyDescent="0.25">
      <c r="A50" s="128" t="s">
        <v>121</v>
      </c>
      <c r="B50" s="263">
        <f>IF(B$17=0,0,B$17/AGR!B$5*1000)</f>
        <v>54.576106392654182</v>
      </c>
      <c r="C50" s="263">
        <f>IF(C$17=0,0,C$17/AGR!C$5*1000)</f>
        <v>52.74775599961076</v>
      </c>
      <c r="D50" s="263">
        <f>IF(D$17=0,0,D$17/AGR!D$5*1000)</f>
        <v>56.468044793174798</v>
      </c>
      <c r="E50" s="263">
        <f>IF(E$17=0,0,E$17/AGR!E$5*1000)</f>
        <v>58.863119422053579</v>
      </c>
      <c r="F50" s="263">
        <f>IF(F$17=0,0,F$17/AGR!F$5*1000)</f>
        <v>56.848167049612393</v>
      </c>
      <c r="G50" s="263">
        <f>IF(G$17=0,0,G$17/AGR!G$5*1000)</f>
        <v>64.888278595648302</v>
      </c>
      <c r="H50" s="263">
        <f>IF(H$17=0,0,H$17/AGR!H$5*1000)</f>
        <v>61.712927824308899</v>
      </c>
      <c r="I50" s="263">
        <f>IF(I$17=0,0,I$17/AGR!I$5*1000)</f>
        <v>57.668175364809187</v>
      </c>
      <c r="J50" s="263">
        <f>IF(J$17=0,0,J$17/AGR!J$5*1000)</f>
        <v>58.494005281582922</v>
      </c>
      <c r="K50" s="263">
        <f>IF(K$17=0,0,K$17/AGR!K$5*1000)</f>
        <v>66.680100349257089</v>
      </c>
      <c r="L50" s="263">
        <f>IF(L$17=0,0,L$17/AGR!L$5*1000)</f>
        <v>61.239044245443104</v>
      </c>
      <c r="M50" s="263">
        <f>IF(M$17=0,0,M$17/AGR!M$5*1000)</f>
        <v>56.15606270793262</v>
      </c>
      <c r="N50" s="263">
        <f>IF(N$17=0,0,N$17/AGR!N$5*1000)</f>
        <v>56.872203727146832</v>
      </c>
      <c r="O50" s="263">
        <f>IF(O$17=0,0,O$17/AGR!O$5*1000)</f>
        <v>56.02120672222464</v>
      </c>
      <c r="P50" s="263">
        <f>IF(P$17=0,0,P$17/AGR!P$5*1000)</f>
        <v>55.183677140599542</v>
      </c>
      <c r="Q50" s="263">
        <f>IF(Q$17=0,0,Q$17/AGR!Q$5*1000)</f>
        <v>56.130262706434166</v>
      </c>
      <c r="R50" s="263">
        <f>IF(R$17=0,0,R$17/AGR!R$5*1000)</f>
        <v>56.824108389763246</v>
      </c>
      <c r="S50" s="263">
        <f>IF(S$17=0,0,S$17/AGR!S$5*1000)</f>
        <v>52.677940792210592</v>
      </c>
      <c r="T50" s="263">
        <f>IF(T$17=0,0,T$17/AGR!T$5*1000)</f>
        <v>58.597276788797366</v>
      </c>
      <c r="U50" s="263">
        <f>IF(U$17=0,0,U$17/AGR!U$5*1000)</f>
        <v>58.834700696054092</v>
      </c>
      <c r="V50" s="263">
        <f>IF(V$17=0,0,V$17/AGR!V$5*1000)</f>
        <v>61.372556245253854</v>
      </c>
      <c r="W50" s="263">
        <f>IF(W$17=0,0,W$17/AGR!W$5*1000)</f>
        <v>58.214571222652467</v>
      </c>
      <c r="DA50" s="285"/>
    </row>
    <row r="51" spans="1:105" x14ac:dyDescent="0.25">
      <c r="A51" s="128" t="s">
        <v>174</v>
      </c>
      <c r="B51" s="263">
        <f>IF(B$25=0,0,B$25/AGR!B$5*1000)</f>
        <v>7.100663971426922</v>
      </c>
      <c r="C51" s="263">
        <f>IF(C$25=0,0,C$25/AGR!C$5*1000)</f>
        <v>6.8751960727285422</v>
      </c>
      <c r="D51" s="263">
        <f>IF(D$25=0,0,D$25/AGR!D$5*1000)</f>
        <v>7.0472964167088383</v>
      </c>
      <c r="E51" s="263">
        <f>IF(E$25=0,0,E$25/AGR!E$5*1000)</f>
        <v>7.5636495583042782</v>
      </c>
      <c r="F51" s="263">
        <f>IF(F$25=0,0,F$25/AGR!F$5*1000)</f>
        <v>7.7044820917173684</v>
      </c>
      <c r="G51" s="263">
        <f>IF(G$25=0,0,G$25/AGR!G$5*1000)</f>
        <v>8.8446946280483889</v>
      </c>
      <c r="H51" s="263">
        <f>IF(H$25=0,0,H$25/AGR!H$5*1000)</f>
        <v>8.4178608944651963</v>
      </c>
      <c r="I51" s="263">
        <f>IF(I$25=0,0,I$25/AGR!I$5*1000)</f>
        <v>7.8600498526617582</v>
      </c>
      <c r="J51" s="263">
        <f>IF(J$25=0,0,J$25/AGR!J$5*1000)</f>
        <v>7.9847995711762323</v>
      </c>
      <c r="K51" s="263">
        <f>IF(K$25=0,0,K$25/AGR!K$5*1000)</f>
        <v>8.8587073013140518</v>
      </c>
      <c r="L51" s="263">
        <f>IF(L$25=0,0,L$25/AGR!L$5*1000)</f>
        <v>8.1972949753058799</v>
      </c>
      <c r="M51" s="263">
        <f>IF(M$25=0,0,M$25/AGR!M$5*1000)</f>
        <v>7.5371247577596714</v>
      </c>
      <c r="N51" s="263">
        <f>IF(N$25=0,0,N$25/AGR!N$5*1000)</f>
        <v>7.6827424261894963</v>
      </c>
      <c r="O51" s="263">
        <f>IF(O$25=0,0,O$25/AGR!O$5*1000)</f>
        <v>7.5600311144037162</v>
      </c>
      <c r="P51" s="263">
        <f>IF(P$25=0,0,P$25/AGR!P$5*1000)</f>
        <v>7.3533002353020391</v>
      </c>
      <c r="Q51" s="263">
        <f>IF(Q$25=0,0,Q$25/AGR!Q$5*1000)</f>
        <v>7.5467777143073853</v>
      </c>
      <c r="R51" s="263">
        <f>IF(R$25=0,0,R$25/AGR!R$5*1000)</f>
        <v>7.7180365672719846</v>
      </c>
      <c r="S51" s="263">
        <f>IF(S$25=0,0,S$25/AGR!S$5*1000)</f>
        <v>7.1006905921102508</v>
      </c>
      <c r="T51" s="263">
        <f>IF(T$25=0,0,T$25/AGR!T$5*1000)</f>
        <v>7.8907326972874072</v>
      </c>
      <c r="U51" s="263">
        <f>IF(U$25=0,0,U$25/AGR!U$5*1000)</f>
        <v>7.9378039093782311</v>
      </c>
      <c r="V51" s="263">
        <f>IF(V$25=0,0,V$25/AGR!V$5*1000)</f>
        <v>8.3018067970840246</v>
      </c>
      <c r="W51" s="263">
        <f>IF(W$25=0,0,W$25/AGR!W$5*1000)</f>
        <v>7.8573548005389204</v>
      </c>
      <c r="DA51" s="285"/>
    </row>
    <row r="52" spans="1:105" x14ac:dyDescent="0.25">
      <c r="A52" s="128" t="s">
        <v>177</v>
      </c>
      <c r="B52" s="263">
        <f>IF(B$26=0,0,B$26/AGR!B$5*1000)</f>
        <v>0</v>
      </c>
      <c r="C52" s="263">
        <f>IF(C$26=0,0,C$26/AGR!C$5*1000)</f>
        <v>0</v>
      </c>
      <c r="D52" s="263">
        <f>IF(D$26=0,0,D$26/AGR!D$5*1000)</f>
        <v>0</v>
      </c>
      <c r="E52" s="263">
        <f>IF(E$26=0,0,E$26/AGR!E$5*1000)</f>
        <v>0</v>
      </c>
      <c r="F52" s="263">
        <f>IF(F$26=0,0,F$26/AGR!F$5*1000)</f>
        <v>0</v>
      </c>
      <c r="G52" s="263">
        <f>IF(G$26=0,0,G$26/AGR!G$5*1000)</f>
        <v>0</v>
      </c>
      <c r="H52" s="263">
        <f>IF(H$26=0,0,H$26/AGR!H$5*1000)</f>
        <v>0</v>
      </c>
      <c r="I52" s="263">
        <f>IF(I$26=0,0,I$26/AGR!I$5*1000)</f>
        <v>0</v>
      </c>
      <c r="J52" s="263">
        <f>IF(J$26=0,0,J$26/AGR!J$5*1000)</f>
        <v>0</v>
      </c>
      <c r="K52" s="263">
        <f>IF(K$26=0,0,K$26/AGR!K$5*1000)</f>
        <v>0</v>
      </c>
      <c r="L52" s="263">
        <f>IF(L$26=0,0,L$26/AGR!L$5*1000)</f>
        <v>0</v>
      </c>
      <c r="M52" s="263">
        <f>IF(M$26=0,0,M$26/AGR!M$5*1000)</f>
        <v>0</v>
      </c>
      <c r="N52" s="263">
        <f>IF(N$26=0,0,N$26/AGR!N$5*1000)</f>
        <v>0</v>
      </c>
      <c r="O52" s="263">
        <f>IF(O$26=0,0,O$26/AGR!O$5*1000)</f>
        <v>0</v>
      </c>
      <c r="P52" s="263">
        <f>IF(P$26=0,0,P$26/AGR!P$5*1000)</f>
        <v>0</v>
      </c>
      <c r="Q52" s="263">
        <f>IF(Q$26=0,0,Q$26/AGR!Q$5*1000)</f>
        <v>0</v>
      </c>
      <c r="R52" s="263">
        <f>IF(R$26=0,0,R$26/AGR!R$5*1000)</f>
        <v>0</v>
      </c>
      <c r="S52" s="263">
        <f>IF(S$26=0,0,S$26/AGR!S$5*1000)</f>
        <v>0</v>
      </c>
      <c r="T52" s="263">
        <f>IF(T$26=0,0,T$26/AGR!T$5*1000)</f>
        <v>0.54647462588700202</v>
      </c>
      <c r="U52" s="263">
        <f>IF(U$26=0,0,U$26/AGR!U$5*1000)</f>
        <v>0.5677508724738406</v>
      </c>
      <c r="V52" s="263">
        <f>IF(V$26=0,0,V$26/AGR!V$5*1000)</f>
        <v>0.64921700751324518</v>
      </c>
      <c r="W52" s="263">
        <f>IF(W$26=0,0,W$26/AGR!W$5*1000)</f>
        <v>0.98290957870162643</v>
      </c>
      <c r="DA52" s="285"/>
    </row>
    <row r="53" spans="1:105" x14ac:dyDescent="0.25">
      <c r="A53" s="261" t="s">
        <v>33</v>
      </c>
      <c r="B53" s="264">
        <f>IF(B$27=0,0,B$27/AGR!B$5*1000)</f>
        <v>0</v>
      </c>
      <c r="C53" s="264">
        <f>IF(C$27=0,0,C$27/AGR!C$5*1000)</f>
        <v>0</v>
      </c>
      <c r="D53" s="264">
        <f>IF(D$27=0,0,D$27/AGR!D$5*1000)</f>
        <v>0</v>
      </c>
      <c r="E53" s="264">
        <f>IF(E$27=0,0,E$27/AGR!E$5*1000)</f>
        <v>0</v>
      </c>
      <c r="F53" s="264">
        <f>IF(F$27=0,0,F$27/AGR!F$5*1000)</f>
        <v>0</v>
      </c>
      <c r="G53" s="264">
        <f>IF(G$27=0,0,G$27/AGR!G$5*1000)</f>
        <v>0</v>
      </c>
      <c r="H53" s="264">
        <f>IF(H$27=0,0,H$27/AGR!H$5*1000)</f>
        <v>0</v>
      </c>
      <c r="I53" s="264">
        <f>IF(I$27=0,0,I$27/AGR!I$5*1000)</f>
        <v>0</v>
      </c>
      <c r="J53" s="264">
        <f>IF(J$27=0,0,J$27/AGR!J$5*1000)</f>
        <v>0</v>
      </c>
      <c r="K53" s="264">
        <f>IF(K$27=0,0,K$27/AGR!K$5*1000)</f>
        <v>0</v>
      </c>
      <c r="L53" s="264">
        <f>IF(L$27=0,0,L$27/AGR!L$5*1000)</f>
        <v>0</v>
      </c>
      <c r="M53" s="264">
        <f>IF(M$27=0,0,M$27/AGR!M$5*1000)</f>
        <v>0</v>
      </c>
      <c r="N53" s="264">
        <f>IF(N$27=0,0,N$27/AGR!N$5*1000)</f>
        <v>0</v>
      </c>
      <c r="O53" s="264">
        <f>IF(O$27=0,0,O$27/AGR!O$5*1000)</f>
        <v>0</v>
      </c>
      <c r="P53" s="264">
        <f>IF(P$27=0,0,P$27/AGR!P$5*1000)</f>
        <v>0</v>
      </c>
      <c r="Q53" s="264">
        <f>IF(Q$27=0,0,Q$27/AGR!Q$5*1000)</f>
        <v>0</v>
      </c>
      <c r="R53" s="264">
        <f>IF(R$27=0,0,R$27/AGR!R$5*1000)</f>
        <v>0</v>
      </c>
      <c r="S53" s="264">
        <f>IF(S$27=0,0,S$27/AGR!S$5*1000)</f>
        <v>0</v>
      </c>
      <c r="T53" s="264">
        <f>IF(T$27=0,0,T$27/AGR!T$5*1000)</f>
        <v>0.79238820753615302</v>
      </c>
      <c r="U53" s="264">
        <f>IF(U$27=0,0,U$27/AGR!U$5*1000)</f>
        <v>0.82323876508706884</v>
      </c>
      <c r="V53" s="264">
        <f>IF(V$27=0,0,V$27/AGR!V$5*1000)</f>
        <v>0.94136466089420556</v>
      </c>
      <c r="W53" s="264">
        <f>IF(W$27=0,0,W$27/AGR!W$5*1000)</f>
        <v>1.4252188891173587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31.938045837668152</v>
      </c>
      <c r="C5" s="80">
        <f t="shared" ref="C5:W5" si="1">SUM(C6:C9,C16:C17,C25:C27)</f>
        <v>31.458955000839723</v>
      </c>
      <c r="D5" s="80">
        <f t="shared" si="1"/>
        <v>32.376699175368849</v>
      </c>
      <c r="E5" s="80">
        <f t="shared" si="1"/>
        <v>32.818397342514984</v>
      </c>
      <c r="F5" s="80">
        <f t="shared" si="1"/>
        <v>29.308062700406861</v>
      </c>
      <c r="G5" s="80">
        <f t="shared" si="1"/>
        <v>29.554877058997388</v>
      </c>
      <c r="H5" s="80">
        <f t="shared" si="1"/>
        <v>29.680735994184605</v>
      </c>
      <c r="I5" s="80">
        <f t="shared" si="1"/>
        <v>29.282000561300798</v>
      </c>
      <c r="J5" s="80">
        <f t="shared" si="1"/>
        <v>30.079500259102712</v>
      </c>
      <c r="K5" s="80">
        <f t="shared" si="1"/>
        <v>26.599169937059919</v>
      </c>
      <c r="L5" s="80">
        <f t="shared" si="1"/>
        <v>27.507959166739305</v>
      </c>
      <c r="M5" s="80">
        <f t="shared" si="1"/>
        <v>26.566403283166949</v>
      </c>
      <c r="N5" s="80">
        <f t="shared" si="1"/>
        <v>27.796936337038488</v>
      </c>
      <c r="O5" s="80">
        <f t="shared" si="1"/>
        <v>27.400151215845941</v>
      </c>
      <c r="P5" s="80">
        <f t="shared" si="1"/>
        <v>29.441850663014698</v>
      </c>
      <c r="Q5" s="80">
        <f t="shared" si="1"/>
        <v>28.830634036120586</v>
      </c>
      <c r="R5" s="80">
        <f t="shared" si="1"/>
        <v>28.578502779926609</v>
      </c>
      <c r="S5" s="80">
        <f t="shared" si="1"/>
        <v>28.436869833662058</v>
      </c>
      <c r="T5" s="80">
        <f t="shared" si="1"/>
        <v>29.216880949013362</v>
      </c>
      <c r="U5" s="80">
        <f t="shared" si="1"/>
        <v>28.707878593218073</v>
      </c>
      <c r="V5" s="80">
        <f t="shared" si="1"/>
        <v>28.221663846637764</v>
      </c>
      <c r="W5" s="80">
        <f t="shared" si="1"/>
        <v>29.038732333207534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0.1454587655663388</v>
      </c>
      <c r="U6" s="240">
        <v>0.14774592081619881</v>
      </c>
      <c r="V6" s="240">
        <v>0.15851199898087301</v>
      </c>
      <c r="W6" s="240">
        <v>0.25623913600642217</v>
      </c>
      <c r="DA6" s="268" t="s">
        <v>1014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9.3756631954581504E-2</v>
      </c>
      <c r="U7" s="242">
        <v>9.523083649735492E-2</v>
      </c>
      <c r="V7" s="242">
        <v>0.10217019985678941</v>
      </c>
      <c r="W7" s="242">
        <v>0.1651610219114468</v>
      </c>
      <c r="DA7" s="269" t="s">
        <v>1015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0.18631620102467561</v>
      </c>
      <c r="U8" s="242">
        <v>0.18924578780927681</v>
      </c>
      <c r="V8" s="242">
        <v>0.20303591434972229</v>
      </c>
      <c r="W8" s="242">
        <v>0.32821330628430562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11.792365037321311</v>
      </c>
      <c r="C9" s="244">
        <f t="shared" ref="C9:W9" si="3">SUM(C10:C15)</f>
        <v>11.609857207627581</v>
      </c>
      <c r="D9" s="244">
        <f t="shared" si="3"/>
        <v>11.82278510320614</v>
      </c>
      <c r="E9" s="244">
        <f t="shared" si="3"/>
        <v>12.07374589122341</v>
      </c>
      <c r="F9" s="244">
        <f t="shared" si="3"/>
        <v>10.924893023251871</v>
      </c>
      <c r="G9" s="244">
        <f t="shared" si="3"/>
        <v>11.031407552814279</v>
      </c>
      <c r="H9" s="244">
        <f t="shared" si="3"/>
        <v>11.080386560680211</v>
      </c>
      <c r="I9" s="244">
        <f t="shared" si="3"/>
        <v>10.92938009363983</v>
      </c>
      <c r="J9" s="244">
        <f t="shared" si="3"/>
        <v>11.231398543686121</v>
      </c>
      <c r="K9" s="244">
        <f t="shared" si="3"/>
        <v>9.8713284065087841</v>
      </c>
      <c r="L9" s="244">
        <f t="shared" si="3"/>
        <v>10.435515094429624</v>
      </c>
      <c r="M9" s="244">
        <f t="shared" si="3"/>
        <v>10.090410823972006</v>
      </c>
      <c r="N9" s="244">
        <f t="shared" si="3"/>
        <v>10.603612713975576</v>
      </c>
      <c r="O9" s="244">
        <f t="shared" si="3"/>
        <v>10.453487807959696</v>
      </c>
      <c r="P9" s="244">
        <f t="shared" si="3"/>
        <v>11.293166873827959</v>
      </c>
      <c r="Q9" s="244">
        <f t="shared" si="3"/>
        <v>10.98211982318408</v>
      </c>
      <c r="R9" s="244">
        <f t="shared" si="3"/>
        <v>10.936712614133208</v>
      </c>
      <c r="S9" s="244">
        <f t="shared" si="3"/>
        <v>10.823209052983186</v>
      </c>
      <c r="T9" s="244">
        <f t="shared" si="3"/>
        <v>10.755601958023579</v>
      </c>
      <c r="U9" s="244">
        <f t="shared" si="3"/>
        <v>10.514265159192691</v>
      </c>
      <c r="V9" s="244">
        <f t="shared" si="3"/>
        <v>10.319399352849617</v>
      </c>
      <c r="W9" s="244">
        <f t="shared" si="3"/>
        <v>10.442301288351034</v>
      </c>
      <c r="DA9" s="270"/>
    </row>
    <row r="10" spans="1:105" x14ac:dyDescent="0.25">
      <c r="A10" s="254" t="s">
        <v>173</v>
      </c>
      <c r="B10" s="255">
        <v>11.792365037321311</v>
      </c>
      <c r="C10" s="255">
        <v>11.609857207627581</v>
      </c>
      <c r="D10" s="255">
        <v>11.82278510320614</v>
      </c>
      <c r="E10" s="255">
        <v>12.07374589122341</v>
      </c>
      <c r="F10" s="255">
        <v>10.924893023251871</v>
      </c>
      <c r="G10" s="255">
        <v>11.031407552814279</v>
      </c>
      <c r="H10" s="255">
        <v>11.080386560680211</v>
      </c>
      <c r="I10" s="255">
        <v>10.92938009363983</v>
      </c>
      <c r="J10" s="255">
        <v>11.231398543686121</v>
      </c>
      <c r="K10" s="255">
        <v>9.8713284065087841</v>
      </c>
      <c r="L10" s="255">
        <v>9.7025273248701946</v>
      </c>
      <c r="M10" s="255">
        <v>9.3604642102218101</v>
      </c>
      <c r="N10" s="255">
        <v>9.7373231672132281</v>
      </c>
      <c r="O10" s="255">
        <v>9.5862202513812136</v>
      </c>
      <c r="P10" s="255">
        <v>10.032172262734839</v>
      </c>
      <c r="Q10" s="255">
        <v>10.08716602808364</v>
      </c>
      <c r="R10" s="255">
        <v>9.9728357855796652</v>
      </c>
      <c r="S10" s="255">
        <v>9.996126526776429</v>
      </c>
      <c r="T10" s="255">
        <v>9.9049476234150511</v>
      </c>
      <c r="U10" s="255">
        <v>9.8384211306953837</v>
      </c>
      <c r="V10" s="255">
        <v>9.6245572488918842</v>
      </c>
      <c r="W10" s="255">
        <v>9.5250299987272005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4.5360216568332611E-4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0.73298776955942935</v>
      </c>
      <c r="M12" s="256">
        <v>0.72994661375019487</v>
      </c>
      <c r="N12" s="256">
        <v>0.86628954676234837</v>
      </c>
      <c r="O12" s="256">
        <v>0.8672675565784822</v>
      </c>
      <c r="P12" s="256">
        <v>1.2609946110931189</v>
      </c>
      <c r="Q12" s="256">
        <v>0.89495379510043904</v>
      </c>
      <c r="R12" s="256">
        <v>0.96387682855354251</v>
      </c>
      <c r="S12" s="256">
        <v>0.82708252620675793</v>
      </c>
      <c r="T12" s="256">
        <v>0.84641448581606371</v>
      </c>
      <c r="U12" s="256">
        <v>0.67077646310866135</v>
      </c>
      <c r="V12" s="256">
        <v>0.68894537202846595</v>
      </c>
      <c r="W12" s="256">
        <v>0.89301235292704373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4.2398487924648516E-3</v>
      </c>
      <c r="U15" s="256">
        <v>4.6139632229637764E-3</v>
      </c>
      <c r="V15" s="256">
        <v>5.8967319292674318E-3</v>
      </c>
      <c r="W15" s="256">
        <v>2.425893669679104E-2</v>
      </c>
      <c r="DA15" s="272" t="s">
        <v>1022</v>
      </c>
    </row>
    <row r="16" spans="1:105" x14ac:dyDescent="0.25">
      <c r="A16" s="257" t="s">
        <v>175</v>
      </c>
      <c r="B16" s="258">
        <v>8.7418828242741817</v>
      </c>
      <c r="C16" s="258">
        <v>8.6065866341846018</v>
      </c>
      <c r="D16" s="258">
        <v>8.7644337418068687</v>
      </c>
      <c r="E16" s="258">
        <v>8.9504752860934591</v>
      </c>
      <c r="F16" s="258">
        <v>8.0988109149216605</v>
      </c>
      <c r="G16" s="258">
        <v>8.1777719658703294</v>
      </c>
      <c r="H16" s="258">
        <v>8.2140809459822943</v>
      </c>
      <c r="I16" s="258">
        <v>8.10213725729926</v>
      </c>
      <c r="J16" s="258">
        <v>8.3260287237453579</v>
      </c>
      <c r="K16" s="258">
        <v>7.3177853616742414</v>
      </c>
      <c r="L16" s="258">
        <v>7.5354140142618196</v>
      </c>
      <c r="M16" s="258">
        <v>7.2805378538379877</v>
      </c>
      <c r="N16" s="258">
        <v>7.6238868886897331</v>
      </c>
      <c r="O16" s="258">
        <v>7.5121960325865427</v>
      </c>
      <c r="P16" s="258">
        <v>8.0238648131229837</v>
      </c>
      <c r="Q16" s="258">
        <v>7.8962448012700834</v>
      </c>
      <c r="R16" s="258">
        <v>7.8443951014598268</v>
      </c>
      <c r="S16" s="258">
        <v>7.7974040654475258</v>
      </c>
      <c r="T16" s="258">
        <v>7.8214274568858713</v>
      </c>
      <c r="U16" s="258">
        <v>7.6923112528104216</v>
      </c>
      <c r="V16" s="258">
        <v>7.5482047155412424</v>
      </c>
      <c r="W16" s="258">
        <v>7.627936198904357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10.227920030079179</v>
      </c>
      <c r="C17" s="258">
        <f t="shared" ref="C17:W17" si="5">SUM(C18:C24)</f>
        <v>10.084832016346947</v>
      </c>
      <c r="D17" s="258">
        <f t="shared" si="5"/>
        <v>10.610569041646421</v>
      </c>
      <c r="E17" s="258">
        <f t="shared" si="5"/>
        <v>10.590240273281051</v>
      </c>
      <c r="F17" s="258">
        <f t="shared" si="5"/>
        <v>9.1949809548365167</v>
      </c>
      <c r="G17" s="258">
        <f t="shared" si="5"/>
        <v>9.2456986161303281</v>
      </c>
      <c r="H17" s="258">
        <f t="shared" si="5"/>
        <v>9.2813856121573401</v>
      </c>
      <c r="I17" s="258">
        <f t="shared" si="5"/>
        <v>9.1606579738788181</v>
      </c>
      <c r="J17" s="258">
        <f t="shared" si="5"/>
        <v>9.4021319273990436</v>
      </c>
      <c r="K17" s="258">
        <f t="shared" si="5"/>
        <v>8.4257347597162635</v>
      </c>
      <c r="L17" s="258">
        <f t="shared" si="5"/>
        <v>8.5234352374107658</v>
      </c>
      <c r="M17" s="258">
        <f t="shared" si="5"/>
        <v>8.2161433895251896</v>
      </c>
      <c r="N17" s="258">
        <f t="shared" si="5"/>
        <v>8.5439413536451241</v>
      </c>
      <c r="O17" s="258">
        <f t="shared" si="5"/>
        <v>8.4239956247324361</v>
      </c>
      <c r="P17" s="258">
        <f t="shared" si="5"/>
        <v>9.0455222312955303</v>
      </c>
      <c r="Q17" s="258">
        <f t="shared" si="5"/>
        <v>8.8901389410775415</v>
      </c>
      <c r="R17" s="258">
        <f t="shared" si="5"/>
        <v>8.7422389400884821</v>
      </c>
      <c r="S17" s="258">
        <f t="shared" si="5"/>
        <v>8.7674213944123558</v>
      </c>
      <c r="T17" s="258">
        <f t="shared" si="5"/>
        <v>8.7981796550078162</v>
      </c>
      <c r="U17" s="258">
        <f t="shared" si="5"/>
        <v>8.664582287293964</v>
      </c>
      <c r="V17" s="258">
        <f t="shared" si="5"/>
        <v>8.4782814337439341</v>
      </c>
      <c r="W17" s="258">
        <f t="shared" si="5"/>
        <v>8.5514919199412294</v>
      </c>
      <c r="DA17" s="273"/>
    </row>
    <row r="18" spans="1:105" x14ac:dyDescent="0.25">
      <c r="A18" s="61" t="s">
        <v>29</v>
      </c>
      <c r="B18" s="55">
        <v>1.268687970612195</v>
      </c>
      <c r="C18" s="55">
        <v>0.35730543816792421</v>
      </c>
      <c r="D18" s="55">
        <v>1.717222256674896</v>
      </c>
      <c r="E18" s="55">
        <v>1.08998995416169</v>
      </c>
      <c r="F18" s="55">
        <v>0.1248621247831472</v>
      </c>
      <c r="G18" s="55">
        <v>0</v>
      </c>
      <c r="H18" s="55">
        <v>0</v>
      </c>
      <c r="I18" s="55">
        <v>0</v>
      </c>
      <c r="J18" s="55">
        <v>0</v>
      </c>
      <c r="K18" s="55">
        <v>0.6914186369351738</v>
      </c>
      <c r="L18" s="55">
        <v>0.35236802780887128</v>
      </c>
      <c r="M18" s="55">
        <v>0.23772045378254439</v>
      </c>
      <c r="N18" s="55">
        <v>0.1189281729084101</v>
      </c>
      <c r="O18" s="55">
        <v>0.119720876403031</v>
      </c>
      <c r="P18" s="55">
        <v>0.11990206576707441</v>
      </c>
      <c r="Q18" s="55">
        <v>0</v>
      </c>
      <c r="R18" s="55">
        <v>0</v>
      </c>
      <c r="S18" s="55">
        <v>2.939797532545144E-2</v>
      </c>
      <c r="T18" s="55">
        <v>1.9908182058213899E-2</v>
      </c>
      <c r="U18" s="55">
        <v>1.725828751804093E-2</v>
      </c>
      <c r="V18" s="55">
        <v>1.6035259268728369E-2</v>
      </c>
      <c r="W18" s="55">
        <v>8.0402783056496181E-3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7.5179722840756327</v>
      </c>
      <c r="C20" s="55">
        <v>7.4312742497704791</v>
      </c>
      <c r="D20" s="55">
        <v>6.8820997824293908</v>
      </c>
      <c r="E20" s="55">
        <v>7.4890033165820151</v>
      </c>
      <c r="F20" s="55">
        <v>7.6321150537267108</v>
      </c>
      <c r="G20" s="55">
        <v>7.8076948397799537</v>
      </c>
      <c r="H20" s="55">
        <v>7.855094062558571</v>
      </c>
      <c r="I20" s="55">
        <v>7.7343664242822028</v>
      </c>
      <c r="J20" s="55">
        <v>7.9758403777983666</v>
      </c>
      <c r="K20" s="55">
        <v>6.5930298990115128</v>
      </c>
      <c r="L20" s="55">
        <v>6.7564108317655256</v>
      </c>
      <c r="M20" s="55">
        <v>6.5630290155937034</v>
      </c>
      <c r="N20" s="55">
        <v>6.9524548559682948</v>
      </c>
      <c r="O20" s="55">
        <v>6.8319536108851082</v>
      </c>
      <c r="P20" s="55">
        <v>7.0260124180633898</v>
      </c>
      <c r="Q20" s="55">
        <v>7.1249584144888134</v>
      </c>
      <c r="R20" s="55">
        <v>7.2268629029395672</v>
      </c>
      <c r="S20" s="55">
        <v>7.0879386981636774</v>
      </c>
      <c r="T20" s="55">
        <v>7.0872773494840704</v>
      </c>
      <c r="U20" s="55">
        <v>7.0335025246884992</v>
      </c>
      <c r="V20" s="55">
        <v>6.9360507785227599</v>
      </c>
      <c r="W20" s="55">
        <v>6.9316674717029114</v>
      </c>
      <c r="DA20" s="101" t="s">
        <v>1026</v>
      </c>
    </row>
    <row r="21" spans="1:105" x14ac:dyDescent="0.25">
      <c r="A21" s="61" t="s">
        <v>129</v>
      </c>
      <c r="B21" s="55">
        <v>1.4412597753913521</v>
      </c>
      <c r="C21" s="55">
        <v>2.296252328408543</v>
      </c>
      <c r="D21" s="55">
        <v>2.0112470025421341</v>
      </c>
      <c r="E21" s="55">
        <v>2.0112470025373459</v>
      </c>
      <c r="F21" s="55">
        <v>1.4380037763266591</v>
      </c>
      <c r="G21" s="55">
        <v>1.438003776350375</v>
      </c>
      <c r="H21" s="55">
        <v>1.4262915495987689</v>
      </c>
      <c r="I21" s="55">
        <v>1.4262915495966151</v>
      </c>
      <c r="J21" s="55">
        <v>1.4262915496006761</v>
      </c>
      <c r="K21" s="55">
        <v>1.141286223769578</v>
      </c>
      <c r="L21" s="55">
        <v>1.141286223717781</v>
      </c>
      <c r="M21" s="55">
        <v>1.141286223738428</v>
      </c>
      <c r="N21" s="55">
        <v>1.1412862237700001</v>
      </c>
      <c r="O21" s="55">
        <v>1.141286223767205</v>
      </c>
      <c r="P21" s="55">
        <v>1.4266194918617261</v>
      </c>
      <c r="Q21" s="55">
        <v>1.4266194919169231</v>
      </c>
      <c r="R21" s="55">
        <v>1.141286223589941</v>
      </c>
      <c r="S21" s="55">
        <v>1.3359902813103841</v>
      </c>
      <c r="T21" s="55">
        <v>1.366629466523265</v>
      </c>
      <c r="U21" s="55">
        <v>1.3566740737825691</v>
      </c>
      <c r="V21" s="55">
        <v>1.260282447599808</v>
      </c>
      <c r="W21" s="55">
        <v>1.263725842265683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3.1651595109373698E-4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0.27337015411858812</v>
      </c>
      <c r="M24" s="55">
        <v>0.27410769641051402</v>
      </c>
      <c r="N24" s="55">
        <v>0.33127210099841897</v>
      </c>
      <c r="O24" s="55">
        <v>0.33103491367709181</v>
      </c>
      <c r="P24" s="55">
        <v>0.47298825560334062</v>
      </c>
      <c r="Q24" s="55">
        <v>0.33856103467180532</v>
      </c>
      <c r="R24" s="55">
        <v>0.37408981355897503</v>
      </c>
      <c r="S24" s="55">
        <v>0.3140944396128425</v>
      </c>
      <c r="T24" s="55">
        <v>0.32436465694226763</v>
      </c>
      <c r="U24" s="55">
        <v>0.25683088535376108</v>
      </c>
      <c r="V24" s="55">
        <v>0.26591294835263779</v>
      </c>
      <c r="W24" s="55">
        <v>0.34805832766698519</v>
      </c>
      <c r="DA24" s="101" t="s">
        <v>1030</v>
      </c>
    </row>
    <row r="25" spans="1:105" x14ac:dyDescent="0.25">
      <c r="A25" s="257" t="s">
        <v>174</v>
      </c>
      <c r="B25" s="258">
        <v>1.1758779459934809</v>
      </c>
      <c r="C25" s="258">
        <v>1.157679142680593</v>
      </c>
      <c r="D25" s="258">
        <v>1.1789112887094191</v>
      </c>
      <c r="E25" s="258">
        <v>1.2039358919170631</v>
      </c>
      <c r="F25" s="258">
        <v>1.0893778073968119</v>
      </c>
      <c r="G25" s="258">
        <v>1.0999989241824539</v>
      </c>
      <c r="H25" s="258">
        <v>1.1048828753647579</v>
      </c>
      <c r="I25" s="258">
        <v>1.089825236482888</v>
      </c>
      <c r="J25" s="258">
        <v>1.1199410642721901</v>
      </c>
      <c r="K25" s="258">
        <v>0.98432140916062927</v>
      </c>
      <c r="L25" s="258">
        <v>1.0135948206370939</v>
      </c>
      <c r="M25" s="258">
        <v>0.97931121583176772</v>
      </c>
      <c r="N25" s="258">
        <v>1.025495380728056</v>
      </c>
      <c r="O25" s="258">
        <v>1.0104717505672649</v>
      </c>
      <c r="P25" s="258">
        <v>1.0792967447682289</v>
      </c>
      <c r="Q25" s="258">
        <v>1.0621304705888781</v>
      </c>
      <c r="R25" s="258">
        <v>1.055156124245094</v>
      </c>
      <c r="S25" s="258">
        <v>1.0488353208189931</v>
      </c>
      <c r="T25" s="258">
        <v>1.052066727227448</v>
      </c>
      <c r="U25" s="258">
        <v>1.034699198985003</v>
      </c>
      <c r="V25" s="258">
        <v>1.0153153085286151</v>
      </c>
      <c r="W25" s="258">
        <v>1.026040056820561</v>
      </c>
      <c r="DA25" s="273" t="s">
        <v>1031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0.14424097223781771</v>
      </c>
      <c r="U26" s="258">
        <v>0.14650897922669989</v>
      </c>
      <c r="V26" s="258">
        <v>0.1571849228565991</v>
      </c>
      <c r="W26" s="258">
        <v>0.2540938798637643</v>
      </c>
      <c r="DA26" s="273" t="s">
        <v>1032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0.2198325810852306</v>
      </c>
      <c r="U27" s="259">
        <v>0.22328917058646661</v>
      </c>
      <c r="V27" s="259">
        <v>0.23955999993037641</v>
      </c>
      <c r="W27" s="259">
        <v>0.38725552512441191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1.0000000000000002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0</v>
      </c>
      <c r="L32" s="245">
        <f t="shared" si="8"/>
        <v>0</v>
      </c>
      <c r="M32" s="245">
        <f t="shared" si="8"/>
        <v>0</v>
      </c>
      <c r="N32" s="245">
        <f t="shared" si="8"/>
        <v>0</v>
      </c>
      <c r="O32" s="245">
        <f t="shared" si="8"/>
        <v>0</v>
      </c>
      <c r="P32" s="245">
        <f t="shared" si="8"/>
        <v>0</v>
      </c>
      <c r="Q32" s="245">
        <f t="shared" si="8"/>
        <v>0</v>
      </c>
      <c r="R32" s="245">
        <f t="shared" si="8"/>
        <v>0</v>
      </c>
      <c r="S32" s="245">
        <f t="shared" si="8"/>
        <v>0</v>
      </c>
      <c r="T32" s="245">
        <f t="shared" si="8"/>
        <v>4.9785863802566804E-3</v>
      </c>
      <c r="U32" s="245">
        <f t="shared" si="8"/>
        <v>5.1465286902495884E-3</v>
      </c>
      <c r="V32" s="245">
        <f t="shared" si="8"/>
        <v>5.6166780187822838E-3</v>
      </c>
      <c r="W32" s="245">
        <f t="shared" si="8"/>
        <v>8.8240468993681705E-3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0</v>
      </c>
      <c r="L33" s="246">
        <f t="shared" si="9"/>
        <v>0</v>
      </c>
      <c r="M33" s="246">
        <f t="shared" si="9"/>
        <v>0</v>
      </c>
      <c r="N33" s="246">
        <f t="shared" si="9"/>
        <v>0</v>
      </c>
      <c r="O33" s="246">
        <f t="shared" si="9"/>
        <v>0</v>
      </c>
      <c r="P33" s="246">
        <f t="shared" si="9"/>
        <v>0</v>
      </c>
      <c r="Q33" s="246">
        <f t="shared" si="9"/>
        <v>0</v>
      </c>
      <c r="R33" s="246">
        <f t="shared" si="9"/>
        <v>0</v>
      </c>
      <c r="S33" s="246">
        <f t="shared" si="9"/>
        <v>0</v>
      </c>
      <c r="T33" s="246">
        <f t="shared" si="9"/>
        <v>3.2089883967490246E-3</v>
      </c>
      <c r="U33" s="246">
        <f t="shared" si="9"/>
        <v>3.3172369803685939E-3</v>
      </c>
      <c r="V33" s="246">
        <f t="shared" si="9"/>
        <v>3.6202755589465939E-3</v>
      </c>
      <c r="W33" s="246">
        <f t="shared" si="9"/>
        <v>5.6876112915774648E-3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0</v>
      </c>
      <c r="L34" s="246">
        <f t="shared" si="10"/>
        <v>0</v>
      </c>
      <c r="M34" s="246">
        <f t="shared" si="10"/>
        <v>0</v>
      </c>
      <c r="N34" s="246">
        <f t="shared" si="10"/>
        <v>0</v>
      </c>
      <c r="O34" s="246">
        <f t="shared" si="10"/>
        <v>0</v>
      </c>
      <c r="P34" s="246">
        <f t="shared" si="10"/>
        <v>0</v>
      </c>
      <c r="Q34" s="246">
        <f t="shared" si="10"/>
        <v>0</v>
      </c>
      <c r="R34" s="246">
        <f t="shared" si="10"/>
        <v>0</v>
      </c>
      <c r="S34" s="246">
        <f t="shared" si="10"/>
        <v>0</v>
      </c>
      <c r="T34" s="246">
        <f t="shared" si="10"/>
        <v>6.3770051755290946E-3</v>
      </c>
      <c r="U34" s="246">
        <f t="shared" si="10"/>
        <v>6.5921202500133216E-3</v>
      </c>
      <c r="V34" s="246">
        <f t="shared" si="10"/>
        <v>7.1943282810347595E-3</v>
      </c>
      <c r="W34" s="246">
        <f t="shared" si="10"/>
        <v>1.1302604484183148E-2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0.36922625439447643</v>
      </c>
      <c r="C35" s="247">
        <f t="shared" si="11"/>
        <v>0.36904777057336086</v>
      </c>
      <c r="D35" s="247">
        <f t="shared" si="11"/>
        <v>0.36516338614902827</v>
      </c>
      <c r="E35" s="247">
        <f t="shared" si="11"/>
        <v>0.36789565819481174</v>
      </c>
      <c r="F35" s="247">
        <f t="shared" si="11"/>
        <v>0.37276066777010847</v>
      </c>
      <c r="G35" s="247">
        <f t="shared" si="11"/>
        <v>0.37325168129758773</v>
      </c>
      <c r="H35" s="247">
        <f t="shared" si="11"/>
        <v>0.37331913072678552</v>
      </c>
      <c r="I35" s="247">
        <f t="shared" si="11"/>
        <v>0.37324567598308633</v>
      </c>
      <c r="J35" s="247">
        <f t="shared" si="11"/>
        <v>0.37339046350303823</v>
      </c>
      <c r="K35" s="247">
        <f t="shared" si="11"/>
        <v>0.37111415242906975</v>
      </c>
      <c r="L35" s="247">
        <f t="shared" si="11"/>
        <v>0.37936347917251223</v>
      </c>
      <c r="M35" s="247">
        <f t="shared" si="11"/>
        <v>0.37981847660821705</v>
      </c>
      <c r="N35" s="247">
        <f t="shared" si="11"/>
        <v>0.38146695684037008</v>
      </c>
      <c r="O35" s="247">
        <f t="shared" si="11"/>
        <v>0.38151204807637262</v>
      </c>
      <c r="P35" s="247">
        <f t="shared" si="11"/>
        <v>0.38357530588301664</v>
      </c>
      <c r="Q35" s="247">
        <f t="shared" si="11"/>
        <v>0.38091842896778072</v>
      </c>
      <c r="R35" s="247">
        <f t="shared" si="11"/>
        <v>0.38269018843825148</v>
      </c>
      <c r="S35" s="247">
        <f t="shared" si="11"/>
        <v>0.38060479638906125</v>
      </c>
      <c r="T35" s="247">
        <f t="shared" si="11"/>
        <v>0.36812971161409308</v>
      </c>
      <c r="U35" s="247">
        <f t="shared" si="11"/>
        <v>0.36625016108562519</v>
      </c>
      <c r="V35" s="247">
        <f t="shared" si="11"/>
        <v>0.36565524304049973</v>
      </c>
      <c r="W35" s="247">
        <f t="shared" si="11"/>
        <v>0.35959907507428057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0.27371376660634289</v>
      </c>
      <c r="C36" s="260">
        <f t="shared" si="12"/>
        <v>0.27358145348295482</v>
      </c>
      <c r="D36" s="260">
        <f t="shared" si="12"/>
        <v>0.27070189256582922</v>
      </c>
      <c r="E36" s="260">
        <f t="shared" si="12"/>
        <v>0.27272737278058545</v>
      </c>
      <c r="F36" s="260">
        <f t="shared" si="12"/>
        <v>0.27633388797169561</v>
      </c>
      <c r="G36" s="260">
        <f t="shared" si="12"/>
        <v>0.2766978847364473</v>
      </c>
      <c r="H36" s="260">
        <f t="shared" si="12"/>
        <v>0.27674788615726015</v>
      </c>
      <c r="I36" s="260">
        <f t="shared" si="12"/>
        <v>0.27669343289362119</v>
      </c>
      <c r="J36" s="260">
        <f t="shared" si="12"/>
        <v>0.27680076636997053</v>
      </c>
      <c r="K36" s="260">
        <f t="shared" si="12"/>
        <v>0.2751132978581623</v>
      </c>
      <c r="L36" s="260">
        <f t="shared" si="12"/>
        <v>0.27393577141022929</v>
      </c>
      <c r="M36" s="260">
        <f t="shared" si="12"/>
        <v>0.27405056590596494</v>
      </c>
      <c r="N36" s="260">
        <f t="shared" si="12"/>
        <v>0.27427076121806843</v>
      </c>
      <c r="O36" s="260">
        <f t="shared" si="12"/>
        <v>0.27416622533973906</v>
      </c>
      <c r="P36" s="260">
        <f t="shared" si="12"/>
        <v>0.27253262388164629</v>
      </c>
      <c r="Q36" s="260">
        <f t="shared" si="12"/>
        <v>0.27388384145063333</v>
      </c>
      <c r="R36" s="260">
        <f t="shared" si="12"/>
        <v>0.27448586659234259</v>
      </c>
      <c r="S36" s="260">
        <f t="shared" si="12"/>
        <v>0.2742005048747444</v>
      </c>
      <c r="T36" s="260">
        <f t="shared" si="12"/>
        <v>0.26770234203079768</v>
      </c>
      <c r="U36" s="260">
        <f t="shared" si="12"/>
        <v>0.26795122557846007</v>
      </c>
      <c r="V36" s="260">
        <f t="shared" si="12"/>
        <v>0.26746136431075485</v>
      </c>
      <c r="W36" s="260">
        <f t="shared" si="12"/>
        <v>0.2626814459865851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0.32024251208307292</v>
      </c>
      <c r="C37" s="260">
        <f t="shared" si="13"/>
        <v>0.32057110657610072</v>
      </c>
      <c r="D37" s="260">
        <f t="shared" si="13"/>
        <v>0.32772238405694554</v>
      </c>
      <c r="E37" s="260">
        <f t="shared" si="13"/>
        <v>0.32269218276426309</v>
      </c>
      <c r="F37" s="260">
        <f t="shared" si="13"/>
        <v>0.31373554263308129</v>
      </c>
      <c r="G37" s="260">
        <f t="shared" si="13"/>
        <v>0.31283157083259328</v>
      </c>
      <c r="H37" s="260">
        <f t="shared" si="13"/>
        <v>0.31270739424978738</v>
      </c>
      <c r="I37" s="260">
        <f t="shared" si="13"/>
        <v>0.31284262681101027</v>
      </c>
      <c r="J37" s="260">
        <f t="shared" si="13"/>
        <v>0.31257606829933132</v>
      </c>
      <c r="K37" s="260">
        <f t="shared" si="13"/>
        <v>0.316766830681318</v>
      </c>
      <c r="L37" s="260">
        <f t="shared" si="13"/>
        <v>0.30985342044991493</v>
      </c>
      <c r="M37" s="260">
        <f t="shared" si="13"/>
        <v>0.30926818741515971</v>
      </c>
      <c r="N37" s="260">
        <f t="shared" si="13"/>
        <v>0.30736989321591557</v>
      </c>
      <c r="O37" s="260">
        <f t="shared" si="13"/>
        <v>0.30744339906637835</v>
      </c>
      <c r="P37" s="260">
        <f t="shared" si="13"/>
        <v>0.30723347981173799</v>
      </c>
      <c r="Q37" s="260">
        <f t="shared" si="13"/>
        <v>0.30835738575639693</v>
      </c>
      <c r="R37" s="260">
        <f t="shared" si="13"/>
        <v>0.30590262224055298</v>
      </c>
      <c r="S37" s="260">
        <f t="shared" si="13"/>
        <v>0.30831176024985518</v>
      </c>
      <c r="T37" s="260">
        <f t="shared" si="13"/>
        <v>0.30113343276996601</v>
      </c>
      <c r="U37" s="260">
        <f t="shared" si="13"/>
        <v>0.30181896788921486</v>
      </c>
      <c r="V37" s="260">
        <f t="shared" si="13"/>
        <v>0.30041749061347456</v>
      </c>
      <c r="W37" s="260">
        <f t="shared" si="13"/>
        <v>0.29448571727637313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3.681746691610778E-2</v>
      </c>
      <c r="C38" s="260">
        <f t="shared" si="14"/>
        <v>3.6799669367583616E-2</v>
      </c>
      <c r="D38" s="260">
        <f t="shared" si="14"/>
        <v>3.6412337228197027E-2</v>
      </c>
      <c r="E38" s="260">
        <f t="shared" si="14"/>
        <v>3.6684786260339712E-2</v>
      </c>
      <c r="F38" s="260">
        <f t="shared" si="14"/>
        <v>3.7169901625114542E-2</v>
      </c>
      <c r="G38" s="260">
        <f t="shared" si="14"/>
        <v>3.7218863133371805E-2</v>
      </c>
      <c r="H38" s="260">
        <f t="shared" si="14"/>
        <v>3.7225588866166913E-2</v>
      </c>
      <c r="I38" s="260">
        <f t="shared" si="14"/>
        <v>3.7218264312282173E-2</v>
      </c>
      <c r="J38" s="260">
        <f t="shared" si="14"/>
        <v>3.7232701827659906E-2</v>
      </c>
      <c r="K38" s="260">
        <f t="shared" si="14"/>
        <v>3.7005719031449939E-2</v>
      </c>
      <c r="L38" s="260">
        <f t="shared" si="14"/>
        <v>3.6847328967343447E-2</v>
      </c>
      <c r="M38" s="260">
        <f t="shared" si="14"/>
        <v>3.6862770070658406E-2</v>
      </c>
      <c r="N38" s="260">
        <f t="shared" si="14"/>
        <v>3.6892388725645917E-2</v>
      </c>
      <c r="O38" s="260">
        <f t="shared" si="14"/>
        <v>3.687832751750994E-2</v>
      </c>
      <c r="P38" s="260">
        <f t="shared" si="14"/>
        <v>3.6658590423599216E-2</v>
      </c>
      <c r="Q38" s="260">
        <f t="shared" si="14"/>
        <v>3.6840343825188977E-2</v>
      </c>
      <c r="R38" s="260">
        <f t="shared" si="14"/>
        <v>3.6921322728853033E-2</v>
      </c>
      <c r="S38" s="260">
        <f t="shared" si="14"/>
        <v>3.6882938486339223E-2</v>
      </c>
      <c r="T38" s="260">
        <f t="shared" si="14"/>
        <v>3.6008865185281722E-2</v>
      </c>
      <c r="U38" s="260">
        <f t="shared" si="14"/>
        <v>3.6042342718748975E-2</v>
      </c>
      <c r="V38" s="260">
        <f t="shared" si="14"/>
        <v>3.5976451071277865E-2</v>
      </c>
      <c r="W38" s="260">
        <f t="shared" si="14"/>
        <v>3.5333500272917304E-2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0</v>
      </c>
      <c r="L39" s="260">
        <f t="shared" si="15"/>
        <v>0</v>
      </c>
      <c r="M39" s="260">
        <f t="shared" si="15"/>
        <v>0</v>
      </c>
      <c r="N39" s="260">
        <f t="shared" si="15"/>
        <v>0</v>
      </c>
      <c r="O39" s="260">
        <f t="shared" si="15"/>
        <v>0</v>
      </c>
      <c r="P39" s="260">
        <f t="shared" si="15"/>
        <v>0</v>
      </c>
      <c r="Q39" s="260">
        <f t="shared" si="15"/>
        <v>0</v>
      </c>
      <c r="R39" s="260">
        <f t="shared" si="15"/>
        <v>0</v>
      </c>
      <c r="S39" s="260">
        <f t="shared" si="15"/>
        <v>0</v>
      </c>
      <c r="T39" s="260">
        <f t="shared" si="15"/>
        <v>4.9369052257677301E-3</v>
      </c>
      <c r="U39" s="260">
        <f t="shared" si="15"/>
        <v>5.1034415082593758E-3</v>
      </c>
      <c r="V39" s="260">
        <f t="shared" si="15"/>
        <v>5.5696547060716832E-3</v>
      </c>
      <c r="W39" s="260">
        <f t="shared" si="15"/>
        <v>8.7501712178114852E-3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0</v>
      </c>
      <c r="L40" s="262">
        <f t="shared" si="16"/>
        <v>0</v>
      </c>
      <c r="M40" s="262">
        <f t="shared" si="16"/>
        <v>0</v>
      </c>
      <c r="N40" s="262">
        <f t="shared" si="16"/>
        <v>0</v>
      </c>
      <c r="O40" s="262">
        <f t="shared" si="16"/>
        <v>0</v>
      </c>
      <c r="P40" s="262">
        <f t="shared" si="16"/>
        <v>0</v>
      </c>
      <c r="Q40" s="262">
        <f t="shared" si="16"/>
        <v>0</v>
      </c>
      <c r="R40" s="262">
        <f t="shared" si="16"/>
        <v>0</v>
      </c>
      <c r="S40" s="262">
        <f t="shared" si="16"/>
        <v>0</v>
      </c>
      <c r="T40" s="262">
        <f t="shared" si="16"/>
        <v>7.5241632215588784E-3</v>
      </c>
      <c r="U40" s="262">
        <f t="shared" si="16"/>
        <v>7.7779752990601077E-3</v>
      </c>
      <c r="V40" s="262">
        <f t="shared" si="16"/>
        <v>8.4885143991578222E-3</v>
      </c>
      <c r="W40" s="262">
        <f t="shared" si="16"/>
        <v>1.3335827496903574E-2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0.3846721966570843</v>
      </c>
      <c r="C44" s="238">
        <f>IF(C$5=0,0,C$5/AGR_fec!C$5)</f>
        <v>0.3851583001213435</v>
      </c>
      <c r="D44" s="238">
        <f>IF(D$5=0,0,D$5/AGR_fec!D$5)</f>
        <v>0.38194631566888582</v>
      </c>
      <c r="E44" s="238">
        <f>IF(E$5=0,0,E$5/AGR_fec!E$5)</f>
        <v>0.38398687416782035</v>
      </c>
      <c r="F44" s="238">
        <f>IF(F$5=0,0,F$5/AGR_fec!F$5)</f>
        <v>0.38771864857031768</v>
      </c>
      <c r="G44" s="238">
        <f>IF(G$5=0,0,G$5/AGR_fec!G$5)</f>
        <v>0.38814396853066269</v>
      </c>
      <c r="H44" s="238">
        <f>IF(H$5=0,0,H$5/AGR_fec!H$5)</f>
        <v>0.38818985541559597</v>
      </c>
      <c r="I44" s="238">
        <f>IF(I$5=0,0,I$5/AGR_fec!I$5)</f>
        <v>0.38813988610288985</v>
      </c>
      <c r="J44" s="238">
        <f>IF(J$5=0,0,J$5/AGR_fec!J$5)</f>
        <v>0.38823845356266939</v>
      </c>
      <c r="K44" s="238">
        <f>IF(K$5=0,0,K$5/AGR_fec!K$5)</f>
        <v>0.38616266525192383</v>
      </c>
      <c r="L44" s="238">
        <f>IF(L$5=0,0,L$5/AGR_fec!L$5)</f>
        <v>0.38809122143055519</v>
      </c>
      <c r="M44" s="238">
        <f>IF(M$5=0,0,M$5/AGR_fec!M$5)</f>
        <v>0.38834156836633105</v>
      </c>
      <c r="N44" s="238">
        <f>IF(N$5=0,0,N$5/AGR_fec!N$5)</f>
        <v>0.38895778039771606</v>
      </c>
      <c r="O44" s="238">
        <f>IF(O$5=0,0,O$5/AGR_fec!O$5)</f>
        <v>0.38891836013308995</v>
      </c>
      <c r="P44" s="238">
        <f>IF(P$5=0,0,P$5/AGR_fec!P$5)</f>
        <v>0.38871034462070031</v>
      </c>
      <c r="Q44" s="238">
        <f>IF(Q$5=0,0,Q$5/AGR_fec!Q$5)</f>
        <v>0.3887305041783945</v>
      </c>
      <c r="R44" s="238">
        <f>IF(R$5=0,0,R$5/AGR_fec!R$5)</f>
        <v>0.38945098682200879</v>
      </c>
      <c r="S44" s="238">
        <f>IF(S$5=0,0,S$5/AGR_fec!S$5)</f>
        <v>0.38877684197807594</v>
      </c>
      <c r="T44" s="238">
        <f>IF(T$5=0,0,T$5/AGR_fec!T$5)</f>
        <v>0.39122152462060017</v>
      </c>
      <c r="U44" s="238">
        <f>IF(U$5=0,0,U$5/AGR_fec!U$5)</f>
        <v>0.39116270965840599</v>
      </c>
      <c r="V44" s="238">
        <f>IF(V$5=0,0,V$5/AGR_fec!V$5)</f>
        <v>0.39161071887586585</v>
      </c>
      <c r="W44" s="238">
        <f>IF(W$5=0,0,W$5/AGR_fec!W$5)</f>
        <v>0.3935025983757538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0.50354586090627362</v>
      </c>
      <c r="U45" s="251">
        <f>IF(U$6=0,0,U$6/AGR_fec!U$6)</f>
        <v>0.50354586090627362</v>
      </c>
      <c r="V45" s="251">
        <f>IF(V$6=0,0,V$6/AGR_fec!V$6)</f>
        <v>0.50354586090627373</v>
      </c>
      <c r="W45" s="251">
        <f>IF(W$6=0,0,W$6/AGR_fec!W$6)</f>
        <v>0.50354586090627351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0.49933013153700173</v>
      </c>
      <c r="U46" s="252">
        <f>IF(U$7=0,0,U$7/AGR_fec!U$7)</f>
        <v>0.49933013153700151</v>
      </c>
      <c r="V46" s="252">
        <f>IF(V$7=0,0,V$7/AGR_fec!V$7)</f>
        <v>0.49933013153700168</v>
      </c>
      <c r="W46" s="252">
        <f>IF(W$7=0,0,W$7/AGR_fec!W$7)</f>
        <v>0.49933013153700156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0.71665022867841222</v>
      </c>
      <c r="U47" s="252">
        <f>IF(U$8=0,0,U$8/AGR_fec!U$8)</f>
        <v>0.7166502286784121</v>
      </c>
      <c r="V47" s="252">
        <f>IF(V$8=0,0,V$8/AGR_fec!V$8)</f>
        <v>0.71665022867841177</v>
      </c>
      <c r="W47" s="252">
        <f>IF(W$8=0,0,W$8/AGR_fec!W$8)</f>
        <v>0.71665022867841199</v>
      </c>
      <c r="DA47" s="289"/>
    </row>
    <row r="48" spans="1:105" x14ac:dyDescent="0.25">
      <c r="A48" s="243" t="s">
        <v>122</v>
      </c>
      <c r="B48" s="253">
        <f>IF(B$9=0,0,B$9/AGR_fec!B$9)</f>
        <v>0.64538683921397522</v>
      </c>
      <c r="C48" s="253">
        <f>IF(C$9=0,0,C$9/AGR_fec!C$9)</f>
        <v>0.64538683921397511</v>
      </c>
      <c r="D48" s="253">
        <f>IF(D$9=0,0,D$9/AGR_fec!D$9)</f>
        <v>0.64538683921397477</v>
      </c>
      <c r="E48" s="253">
        <f>IF(E$9=0,0,E$9/AGR_fec!E$9)</f>
        <v>0.64538683921397488</v>
      </c>
      <c r="F48" s="253">
        <f>IF(F$9=0,0,F$9/AGR_fec!F$9)</f>
        <v>0.64538683921397511</v>
      </c>
      <c r="G48" s="253">
        <f>IF(G$9=0,0,G$9/AGR_fec!G$9)</f>
        <v>0.64538683921397499</v>
      </c>
      <c r="H48" s="253">
        <f>IF(H$9=0,0,H$9/AGR_fec!H$9)</f>
        <v>0.64538683921397522</v>
      </c>
      <c r="I48" s="253">
        <f>IF(I$9=0,0,I$9/AGR_fec!I$9)</f>
        <v>0.64538683921397522</v>
      </c>
      <c r="J48" s="253">
        <f>IF(J$9=0,0,J$9/AGR_fec!J$9)</f>
        <v>0.64538683921397533</v>
      </c>
      <c r="K48" s="253">
        <f>IF(K$9=0,0,K$9/AGR_fec!K$9)</f>
        <v>0.64538683921397488</v>
      </c>
      <c r="L48" s="253">
        <f>IF(L$9=0,0,L$9/AGR_fec!L$9)</f>
        <v>0.65517810044616054</v>
      </c>
      <c r="M48" s="253">
        <f>IF(M$9=0,0,M$9/AGR_fec!M$9)</f>
        <v>0.65547553824161442</v>
      </c>
      <c r="N48" s="253">
        <f>IF(N$9=0,0,N$9/AGR_fec!N$9)</f>
        <v>0.65680355364944432</v>
      </c>
      <c r="O48" s="253">
        <f>IF(O$9=0,0,O$9/AGR_fec!O$9)</f>
        <v>0.65698376691846039</v>
      </c>
      <c r="P48" s="253">
        <f>IF(P$9=0,0,P$9/AGR_fec!P$9)</f>
        <v>0.66109249739272569</v>
      </c>
      <c r="Q48" s="253">
        <f>IF(Q$9=0,0,Q$9/AGR_fec!Q$9)</f>
        <v>0.65677430319014984</v>
      </c>
      <c r="R48" s="253">
        <f>IF(R$9=0,0,R$9/AGR_fec!R$9)</f>
        <v>0.65771993697143727</v>
      </c>
      <c r="S48" s="253">
        <f>IF(S$9=0,0,S$9/AGR_fec!S$9)</f>
        <v>0.65605349996902051</v>
      </c>
      <c r="T48" s="253">
        <f>IF(T$9=0,0,T$9/AGR_fec!T$9)</f>
        <v>0.65644964154710927</v>
      </c>
      <c r="U48" s="253">
        <f>IF(U$9=0,0,U$9/AGR_fec!U$9)</f>
        <v>0.6543509502085002</v>
      </c>
      <c r="V48" s="253">
        <f>IF(V$9=0,0,V$9/AGR_fec!V$9)</f>
        <v>0.65479133146098856</v>
      </c>
      <c r="W48" s="253">
        <f>IF(W$9=0,0,W$9/AGR_fec!W$9)</f>
        <v>0.65777792835406279</v>
      </c>
      <c r="DA48" s="290"/>
    </row>
    <row r="49" spans="1:105" x14ac:dyDescent="0.25">
      <c r="A49" s="128" t="s">
        <v>175</v>
      </c>
      <c r="B49" s="265">
        <f>IF(B$16=0,0,B$16/AGR_fec!B$16)</f>
        <v>0.36032720119198913</v>
      </c>
      <c r="C49" s="265">
        <f>IF(C$16=0,0,C$16/AGR_fec!C$16)</f>
        <v>0.36032720119198919</v>
      </c>
      <c r="D49" s="265">
        <f>IF(D$16=0,0,D$16/AGR_fec!D$16)</f>
        <v>0.36032720119198913</v>
      </c>
      <c r="E49" s="265">
        <f>IF(E$16=0,0,E$16/AGR_fec!E$16)</f>
        <v>0.36032720119198919</v>
      </c>
      <c r="F49" s="265">
        <f>IF(F$16=0,0,F$16/AGR_fec!F$16)</f>
        <v>0.36032720119198924</v>
      </c>
      <c r="G49" s="265">
        <f>IF(G$16=0,0,G$16/AGR_fec!G$16)</f>
        <v>0.36032720119198913</v>
      </c>
      <c r="H49" s="265">
        <f>IF(H$16=0,0,H$16/AGR_fec!H$16)</f>
        <v>0.3603272011919893</v>
      </c>
      <c r="I49" s="265">
        <f>IF(I$16=0,0,I$16/AGR_fec!I$16)</f>
        <v>0.36032720119198924</v>
      </c>
      <c r="J49" s="265">
        <f>IF(J$16=0,0,J$16/AGR_fec!J$16)</f>
        <v>0.36032720119198919</v>
      </c>
      <c r="K49" s="265">
        <f>IF(K$16=0,0,K$16/AGR_fec!K$16)</f>
        <v>0.36032720119198924</v>
      </c>
      <c r="L49" s="265">
        <f>IF(L$16=0,0,L$16/AGR_fec!L$16)</f>
        <v>0.36032720119198919</v>
      </c>
      <c r="M49" s="265">
        <f>IF(M$16=0,0,M$16/AGR_fec!M$16)</f>
        <v>0.3603272011919893</v>
      </c>
      <c r="N49" s="265">
        <f>IF(N$16=0,0,N$16/AGR_fec!N$16)</f>
        <v>0.36032720119198919</v>
      </c>
      <c r="O49" s="265">
        <f>IF(O$16=0,0,O$16/AGR_fec!O$16)</f>
        <v>0.36032720119198924</v>
      </c>
      <c r="P49" s="265">
        <f>IF(P$16=0,0,P$16/AGR_fec!P$16)</f>
        <v>0.36032720119198919</v>
      </c>
      <c r="Q49" s="265">
        <f>IF(Q$16=0,0,Q$16/AGR_fec!Q$16)</f>
        <v>0.36032720119198924</v>
      </c>
      <c r="R49" s="265">
        <f>IF(R$16=0,0,R$16/AGR_fec!R$16)</f>
        <v>0.36032720119198924</v>
      </c>
      <c r="S49" s="265">
        <f>IF(S$16=0,0,S$16/AGR_fec!S$16)</f>
        <v>0.36032720119198913</v>
      </c>
      <c r="T49" s="265">
        <f>IF(T$16=0,0,T$16/AGR_fec!T$16)</f>
        <v>0.36032720119198924</v>
      </c>
      <c r="U49" s="265">
        <f>IF(U$16=0,0,U$16/AGR_fec!U$16)</f>
        <v>0.3603272011919893</v>
      </c>
      <c r="V49" s="265">
        <f>IF(V$16=0,0,V$16/AGR_fec!V$16)</f>
        <v>0.36032720119198924</v>
      </c>
      <c r="W49" s="265">
        <f>IF(W$16=0,0,W$16/AGR_fec!W$16)</f>
        <v>0.36032720119198919</v>
      </c>
      <c r="DA49" s="291"/>
    </row>
    <row r="50" spans="1:105" x14ac:dyDescent="0.25">
      <c r="A50" s="128" t="s">
        <v>121</v>
      </c>
      <c r="B50" s="265">
        <f>IF(B$17=0,0,B$17/AGR_fec!B$17)</f>
        <v>0.28544114781175994</v>
      </c>
      <c r="C50" s="265">
        <f>IF(C$17=0,0,C$17/AGR_fec!C$17)</f>
        <v>0.28638920752737729</v>
      </c>
      <c r="D50" s="265">
        <f>IF(D$17=0,0,D$17/AGR_fec!D$17)</f>
        <v>0.2833168639231694</v>
      </c>
      <c r="E50" s="265">
        <f>IF(E$17=0,0,E$17/AGR_fec!E$17)</f>
        <v>0.28509241652509176</v>
      </c>
      <c r="F50" s="265">
        <f>IF(F$17=0,0,F$17/AGR_fec!F$17)</f>
        <v>0.28853226330254167</v>
      </c>
      <c r="G50" s="265">
        <f>IF(G$17=0,0,G$17/AGR_fec!G$17)</f>
        <v>0.28897425352396555</v>
      </c>
      <c r="H50" s="265">
        <f>IF(H$17=0,0,H$17/AGR_fec!H$17)</f>
        <v>0.28901291894893122</v>
      </c>
      <c r="I50" s="265">
        <f>IF(I$17=0,0,I$17/AGR_fec!I$17)</f>
        <v>0.28897081748875447</v>
      </c>
      <c r="J50" s="265">
        <f>IF(J$17=0,0,J$17/AGR_fec!J$17)</f>
        <v>0.28905395727148203</v>
      </c>
      <c r="K50" s="265">
        <f>IF(K$17=0,0,K$17/AGR_fec!K$17)</f>
        <v>0.28684022100468137</v>
      </c>
      <c r="L50" s="265">
        <f>IF(L$17=0,0,L$17/AGR_fec!L$17)</f>
        <v>0.28391447205182946</v>
      </c>
      <c r="M50" s="265">
        <f>IF(M$17=0,0,M$17/AGR_fec!M$17)</f>
        <v>0.28402163531046049</v>
      </c>
      <c r="N50" s="265">
        <f>IF(N$17=0,0,N$17/AGR_fec!N$17)</f>
        <v>0.2838806917151675</v>
      </c>
      <c r="O50" s="265">
        <f>IF(O$17=0,0,O$17/AGR_fec!O$17)</f>
        <v>0.28376587549774268</v>
      </c>
      <c r="P50" s="265">
        <f>IF(P$17=0,0,P$17/AGR_fec!P$17)</f>
        <v>0.28168228104160653</v>
      </c>
      <c r="Q50" s="265">
        <f>IF(Q$17=0,0,Q$17/AGR_fec!Q$17)</f>
        <v>0.28385088469807163</v>
      </c>
      <c r="R50" s="265">
        <f>IF(R$17=0,0,R$17/AGR_fec!R$17)</f>
        <v>0.28384107209824577</v>
      </c>
      <c r="S50" s="265">
        <f>IF(S$17=0,0,S$17/AGR_fec!S$17)</f>
        <v>0.28420483630270132</v>
      </c>
      <c r="T50" s="265">
        <f>IF(T$17=0,0,T$17/AGR_fec!T$17)</f>
        <v>0.28404328503927229</v>
      </c>
      <c r="U50" s="265">
        <f>IF(U$17=0,0,U$17/AGR_fec!U$17)</f>
        <v>0.28496755996650414</v>
      </c>
      <c r="V50" s="265">
        <f>IF(V$17=0,0,V$17/AGR_fec!V$17)</f>
        <v>0.28490521072054786</v>
      </c>
      <c r="W50" s="265">
        <f>IF(W$17=0,0,W$17/AGR_fec!W$17)</f>
        <v>0.28373788244937648</v>
      </c>
      <c r="DA50" s="291"/>
    </row>
    <row r="51" spans="1:105" x14ac:dyDescent="0.25">
      <c r="A51" s="128" t="s">
        <v>174</v>
      </c>
      <c r="B51" s="265">
        <f>IF(B$25=0,0,B$25/AGR_fec!B$25)</f>
        <v>0.25222904083439246</v>
      </c>
      <c r="C51" s="265">
        <f>IF(C$25=0,0,C$25/AGR_fec!C$25)</f>
        <v>0.25222904083439246</v>
      </c>
      <c r="D51" s="265">
        <f>IF(D$25=0,0,D$25/AGR_fec!D$25)</f>
        <v>0.2522290408343924</v>
      </c>
      <c r="E51" s="265">
        <f>IF(E$25=0,0,E$25/AGR_fec!E$25)</f>
        <v>0.25222904083439251</v>
      </c>
      <c r="F51" s="265">
        <f>IF(F$25=0,0,F$25/AGR_fec!F$25)</f>
        <v>0.25222904083439235</v>
      </c>
      <c r="G51" s="265">
        <f>IF(G$25=0,0,G$25/AGR_fec!G$25)</f>
        <v>0.25222904083439246</v>
      </c>
      <c r="H51" s="265">
        <f>IF(H$25=0,0,H$25/AGR_fec!H$25)</f>
        <v>0.25222904083439246</v>
      </c>
      <c r="I51" s="265">
        <f>IF(I$25=0,0,I$25/AGR_fec!I$25)</f>
        <v>0.25222904083439246</v>
      </c>
      <c r="J51" s="265">
        <f>IF(J$25=0,0,J$25/AGR_fec!J$25)</f>
        <v>0.25222904083439235</v>
      </c>
      <c r="K51" s="265">
        <f>IF(K$25=0,0,K$25/AGR_fec!K$25)</f>
        <v>0.25222904083439246</v>
      </c>
      <c r="L51" s="265">
        <f>IF(L$25=0,0,L$25/AGR_fec!L$25)</f>
        <v>0.25222904083439246</v>
      </c>
      <c r="M51" s="265">
        <f>IF(M$25=0,0,M$25/AGR_fec!M$25)</f>
        <v>0.25222904083439246</v>
      </c>
      <c r="N51" s="265">
        <f>IF(N$25=0,0,N$25/AGR_fec!N$25)</f>
        <v>0.25222904083439235</v>
      </c>
      <c r="O51" s="265">
        <f>IF(O$25=0,0,O$25/AGR_fec!O$25)</f>
        <v>0.25222904083439246</v>
      </c>
      <c r="P51" s="265">
        <f>IF(P$25=0,0,P$25/AGR_fec!P$25)</f>
        <v>0.2522290408343924</v>
      </c>
      <c r="Q51" s="265">
        <f>IF(Q$25=0,0,Q$25/AGR_fec!Q$25)</f>
        <v>0.25222904083439251</v>
      </c>
      <c r="R51" s="265">
        <f>IF(R$25=0,0,R$25/AGR_fec!R$25)</f>
        <v>0.25222904083439246</v>
      </c>
      <c r="S51" s="265">
        <f>IF(S$25=0,0,S$25/AGR_fec!S$25)</f>
        <v>0.25222904083439257</v>
      </c>
      <c r="T51" s="265">
        <f>IF(T$25=0,0,T$25/AGR_fec!T$25)</f>
        <v>0.25222904083439257</v>
      </c>
      <c r="U51" s="265">
        <f>IF(U$25=0,0,U$25/AGR_fec!U$25)</f>
        <v>0.25222904083439235</v>
      </c>
      <c r="V51" s="265">
        <f>IF(V$25=0,0,V$25/AGR_fec!V$25)</f>
        <v>0.25222904083439257</v>
      </c>
      <c r="W51" s="265">
        <f>IF(W$25=0,0,W$25/AGR_fec!W$25)</f>
        <v>0.2522290408343924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0.49933013153700156</v>
      </c>
      <c r="U52" s="265">
        <f>IF(U$26=0,0,U$26/AGR_fec!U$26)</f>
        <v>0.49933013153700151</v>
      </c>
      <c r="V52" s="265">
        <f>IF(V$26=0,0,V$26/AGR_fec!V$26)</f>
        <v>0.49933013153700179</v>
      </c>
      <c r="W52" s="265">
        <f>IF(W$26=0,0,W$26/AGR_fec!W$26)</f>
        <v>0.49933013153700162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0.52483548370194333</v>
      </c>
      <c r="U53" s="266">
        <f>IF(U$27=0,0,U$27/AGR_fec!U$27)</f>
        <v>0.52483548370194333</v>
      </c>
      <c r="V53" s="266">
        <f>IF(V$27=0,0,V$27/AGR_fec!V$27)</f>
        <v>0.52483548370194333</v>
      </c>
      <c r="W53" s="266">
        <f>IF(W$27=0,0,W$27/AGR_fec!W$27)</f>
        <v>0.52483548370194333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261.1975042902651</v>
      </c>
      <c r="C5" s="80">
        <f t="shared" ref="C5:W5" si="0">SUM(C6:C9,C16:C17,C25:C27)</f>
        <v>253.49193653593218</v>
      </c>
      <c r="D5" s="80">
        <f t="shared" si="0"/>
        <v>269.56647804082962</v>
      </c>
      <c r="E5" s="80">
        <f t="shared" si="0"/>
        <v>268.98211621315704</v>
      </c>
      <c r="F5" s="80">
        <f t="shared" si="0"/>
        <v>234.00416748001572</v>
      </c>
      <c r="G5" s="80">
        <f t="shared" si="0"/>
        <v>235.28399976001378</v>
      </c>
      <c r="H5" s="80">
        <f t="shared" si="0"/>
        <v>236.27058192001223</v>
      </c>
      <c r="I5" s="80">
        <f t="shared" si="0"/>
        <v>233.11401084001361</v>
      </c>
      <c r="J5" s="80">
        <f t="shared" si="0"/>
        <v>239.42741976001102</v>
      </c>
      <c r="K5" s="80">
        <f t="shared" si="0"/>
        <v>215.26913915996931</v>
      </c>
      <c r="L5" s="80">
        <f t="shared" si="0"/>
        <v>213.24875220014277</v>
      </c>
      <c r="M5" s="80">
        <f t="shared" si="0"/>
        <v>205.18470120012427</v>
      </c>
      <c r="N5" s="80">
        <f t="shared" si="0"/>
        <v>212.84075040007301</v>
      </c>
      <c r="O5" s="80">
        <f t="shared" si="0"/>
        <v>209.70081864008216</v>
      </c>
      <c r="P5" s="80">
        <f t="shared" si="0"/>
        <v>222.19834296041043</v>
      </c>
      <c r="Q5" s="80">
        <f t="shared" si="0"/>
        <v>220.37226768015427</v>
      </c>
      <c r="R5" s="80">
        <f t="shared" si="0"/>
        <v>217.3333518008632</v>
      </c>
      <c r="S5" s="80">
        <f t="shared" si="0"/>
        <v>218.02310616010681</v>
      </c>
      <c r="T5" s="80">
        <f t="shared" si="0"/>
        <v>218.00263787831312</v>
      </c>
      <c r="U5" s="80">
        <f t="shared" si="0"/>
        <v>215.64344591831747</v>
      </c>
      <c r="V5" s="80">
        <f t="shared" si="0"/>
        <v>211.05131507832084</v>
      </c>
      <c r="W5" s="80">
        <f t="shared" si="0"/>
        <v>211.2586691983808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56.686707514528017</v>
      </c>
      <c r="C9" s="244">
        <f t="shared" ref="C9:W9" si="1">SUM(C10:C15)</f>
        <v>55.809379859878867</v>
      </c>
      <c r="D9" s="244">
        <f t="shared" si="1"/>
        <v>56.832938857598627</v>
      </c>
      <c r="E9" s="244">
        <f t="shared" si="1"/>
        <v>58.039324577759643</v>
      </c>
      <c r="F9" s="244">
        <f t="shared" si="1"/>
        <v>52.51671004727163</v>
      </c>
      <c r="G9" s="244">
        <f t="shared" si="1"/>
        <v>53.028732696184079</v>
      </c>
      <c r="H9" s="244">
        <f t="shared" si="1"/>
        <v>53.264178146224047</v>
      </c>
      <c r="I9" s="244">
        <f t="shared" si="1"/>
        <v>52.538279702372549</v>
      </c>
      <c r="J9" s="244">
        <f t="shared" si="1"/>
        <v>53.990103105700143</v>
      </c>
      <c r="K9" s="244">
        <f t="shared" si="1"/>
        <v>47.452152675789733</v>
      </c>
      <c r="L9" s="244">
        <f t="shared" si="1"/>
        <v>46.640714299119843</v>
      </c>
      <c r="M9" s="244">
        <f t="shared" si="1"/>
        <v>44.996393446584051</v>
      </c>
      <c r="N9" s="244">
        <f t="shared" si="1"/>
        <v>46.80798029973792</v>
      </c>
      <c r="O9" s="244">
        <f t="shared" si="1"/>
        <v>46.0816182199301</v>
      </c>
      <c r="P9" s="244">
        <f t="shared" si="1"/>
        <v>48.225340124154762</v>
      </c>
      <c r="Q9" s="244">
        <f t="shared" si="1"/>
        <v>48.489698925937411</v>
      </c>
      <c r="R9" s="244">
        <f t="shared" si="1"/>
        <v>47.940105608873672</v>
      </c>
      <c r="S9" s="244">
        <f t="shared" si="1"/>
        <v>48.052065799203511</v>
      </c>
      <c r="T9" s="244">
        <f t="shared" si="1"/>
        <v>47.613762557234338</v>
      </c>
      <c r="U9" s="244">
        <f t="shared" si="1"/>
        <v>47.295453150882466</v>
      </c>
      <c r="V9" s="244">
        <f t="shared" si="1"/>
        <v>46.265906796309359</v>
      </c>
      <c r="W9" s="244">
        <f t="shared" si="1"/>
        <v>45.787472478684798</v>
      </c>
      <c r="DA9" s="270"/>
    </row>
    <row r="10" spans="1:105" x14ac:dyDescent="0.25">
      <c r="A10" s="254" t="s">
        <v>173</v>
      </c>
      <c r="B10" s="255">
        <v>56.686707514528017</v>
      </c>
      <c r="C10" s="255">
        <v>55.809379859878867</v>
      </c>
      <c r="D10" s="255">
        <v>56.832938857598627</v>
      </c>
      <c r="E10" s="255">
        <v>58.039324577759643</v>
      </c>
      <c r="F10" s="255">
        <v>52.51671004727163</v>
      </c>
      <c r="G10" s="255">
        <v>53.028732696184079</v>
      </c>
      <c r="H10" s="255">
        <v>53.264178146224047</v>
      </c>
      <c r="I10" s="255">
        <v>52.538279702372549</v>
      </c>
      <c r="J10" s="255">
        <v>53.990103105700143</v>
      </c>
      <c r="K10" s="255">
        <v>47.452152675789733</v>
      </c>
      <c r="L10" s="255">
        <v>46.640714299119843</v>
      </c>
      <c r="M10" s="255">
        <v>44.996393446584051</v>
      </c>
      <c r="N10" s="255">
        <v>46.80798029973792</v>
      </c>
      <c r="O10" s="255">
        <v>46.0816182199301</v>
      </c>
      <c r="P10" s="255">
        <v>48.225340124154762</v>
      </c>
      <c r="Q10" s="255">
        <v>48.489698925937411</v>
      </c>
      <c r="R10" s="255">
        <v>47.940105608873672</v>
      </c>
      <c r="S10" s="255">
        <v>48.052065799203511</v>
      </c>
      <c r="T10" s="255">
        <v>47.613762557234338</v>
      </c>
      <c r="U10" s="255">
        <v>47.293965144007061</v>
      </c>
      <c r="V10" s="255">
        <v>46.265906796309359</v>
      </c>
      <c r="W10" s="255">
        <v>45.787472478684798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1.488006875406668E-3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75.267649879629104</v>
      </c>
      <c r="C16" s="258">
        <v>74.102749083037182</v>
      </c>
      <c r="D16" s="258">
        <v>75.461813379579198</v>
      </c>
      <c r="E16" s="258">
        <v>77.063631900818777</v>
      </c>
      <c r="F16" s="258">
        <v>69.730797888640666</v>
      </c>
      <c r="G16" s="258">
        <v>70.410652887432121</v>
      </c>
      <c r="H16" s="258">
        <v>70.723273367194807</v>
      </c>
      <c r="I16" s="258">
        <v>69.759437711261228</v>
      </c>
      <c r="J16" s="258">
        <v>71.687144230125583</v>
      </c>
      <c r="K16" s="258">
        <v>63.006164412013028</v>
      </c>
      <c r="L16" s="258">
        <v>64.879948075785407</v>
      </c>
      <c r="M16" s="258">
        <v>62.68546320438265</v>
      </c>
      <c r="N16" s="258">
        <v>65.641699916909786</v>
      </c>
      <c r="O16" s="258">
        <v>64.680041150609767</v>
      </c>
      <c r="P16" s="258">
        <v>69.085511619833454</v>
      </c>
      <c r="Q16" s="258">
        <v>67.986702751896487</v>
      </c>
      <c r="R16" s="258">
        <v>67.540276606621973</v>
      </c>
      <c r="S16" s="258">
        <v>67.135683578191788</v>
      </c>
      <c r="T16" s="258">
        <v>67.342525084998741</v>
      </c>
      <c r="U16" s="258">
        <v>66.230833995391308</v>
      </c>
      <c r="V16" s="258">
        <v>64.990076070516821</v>
      </c>
      <c r="W16" s="258">
        <v>65.676564495812869</v>
      </c>
      <c r="DA16" s="273" t="s">
        <v>1044</v>
      </c>
    </row>
    <row r="17" spans="1:105" x14ac:dyDescent="0.25">
      <c r="A17" s="257" t="s">
        <v>121</v>
      </c>
      <c r="B17" s="258">
        <f>SUM(B18:B24)</f>
        <v>114.77984071182605</v>
      </c>
      <c r="C17" s="258">
        <f t="shared" ref="C17:W17" si="2">SUM(C18:C24)</f>
        <v>109.34034680476249</v>
      </c>
      <c r="D17" s="258">
        <f t="shared" si="2"/>
        <v>122.77110948474922</v>
      </c>
      <c r="E17" s="258">
        <f t="shared" si="2"/>
        <v>119.07074063770449</v>
      </c>
      <c r="F17" s="258">
        <f t="shared" si="2"/>
        <v>98.357305612492965</v>
      </c>
      <c r="G17" s="258">
        <f t="shared" si="2"/>
        <v>98.31462044104461</v>
      </c>
      <c r="H17" s="258">
        <f t="shared" si="2"/>
        <v>98.693064040760845</v>
      </c>
      <c r="I17" s="258">
        <f t="shared" si="2"/>
        <v>97.411436114176439</v>
      </c>
      <c r="J17" s="258">
        <f t="shared" si="2"/>
        <v>99.974890239405696</v>
      </c>
      <c r="K17" s="258">
        <f t="shared" si="2"/>
        <v>92.703662504337643</v>
      </c>
      <c r="L17" s="258">
        <f t="shared" si="2"/>
        <v>89.260867110816591</v>
      </c>
      <c r="M17" s="258">
        <f t="shared" si="2"/>
        <v>85.457310391010566</v>
      </c>
      <c r="N17" s="258">
        <f t="shared" si="2"/>
        <v>87.777470504501778</v>
      </c>
      <c r="O17" s="258">
        <f t="shared" si="2"/>
        <v>86.510350336763238</v>
      </c>
      <c r="P17" s="258">
        <f t="shared" si="2"/>
        <v>91.612134419001492</v>
      </c>
      <c r="Q17" s="258">
        <f t="shared" si="2"/>
        <v>90.831654486044926</v>
      </c>
      <c r="R17" s="258">
        <f t="shared" si="2"/>
        <v>88.874542573299436</v>
      </c>
      <c r="S17" s="258">
        <f t="shared" si="2"/>
        <v>89.934675692823348</v>
      </c>
      <c r="T17" s="258">
        <f t="shared" si="2"/>
        <v>90.105922826898663</v>
      </c>
      <c r="U17" s="258">
        <f t="shared" si="2"/>
        <v>89.390352070258402</v>
      </c>
      <c r="V17" s="258">
        <f t="shared" si="2"/>
        <v>87.306947485109632</v>
      </c>
      <c r="W17" s="258">
        <f t="shared" si="2"/>
        <v>87.174333025571585</v>
      </c>
      <c r="DA17" s="273"/>
    </row>
    <row r="18" spans="1:105" x14ac:dyDescent="0.25">
      <c r="A18" s="61" t="s">
        <v>29</v>
      </c>
      <c r="B18" s="55">
        <v>19.620080290071989</v>
      </c>
      <c r="C18" s="55">
        <v>5.6533007358753053</v>
      </c>
      <c r="D18" s="55">
        <v>28.06332996014272</v>
      </c>
      <c r="E18" s="55">
        <v>17.92015705267281</v>
      </c>
      <c r="F18" s="55">
        <v>1.9066159199409509</v>
      </c>
      <c r="G18" s="55">
        <v>0</v>
      </c>
      <c r="H18" s="55">
        <v>0</v>
      </c>
      <c r="I18" s="55">
        <v>0</v>
      </c>
      <c r="J18" s="55">
        <v>0</v>
      </c>
      <c r="K18" s="55">
        <v>10.557803519794041</v>
      </c>
      <c r="L18" s="55">
        <v>5.380578719650841</v>
      </c>
      <c r="M18" s="55">
        <v>3.6299366398301158</v>
      </c>
      <c r="N18" s="55">
        <v>1.816005839965247</v>
      </c>
      <c r="O18" s="55">
        <v>1.8281102399605369</v>
      </c>
      <c r="P18" s="55">
        <v>1.8308769598654651</v>
      </c>
      <c r="Q18" s="55">
        <v>0</v>
      </c>
      <c r="R18" s="55">
        <v>0</v>
      </c>
      <c r="S18" s="55">
        <v>0.44890031998800473</v>
      </c>
      <c r="T18" s="55">
        <v>0.30399335999763932</v>
      </c>
      <c r="U18" s="55">
        <v>0.26353007999793582</v>
      </c>
      <c r="V18" s="55">
        <v>0.2448547199980429</v>
      </c>
      <c r="W18" s="55">
        <v>0.1227731999990479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79.809754981939193</v>
      </c>
      <c r="C20" s="55">
        <v>78.889380629141101</v>
      </c>
      <c r="D20" s="55">
        <v>73.059420365298735</v>
      </c>
      <c r="E20" s="55">
        <v>79.502224425775452</v>
      </c>
      <c r="F20" s="55">
        <v>81.021478853029862</v>
      </c>
      <c r="G20" s="55">
        <v>82.885409601267995</v>
      </c>
      <c r="H20" s="55">
        <v>83.38859320096131</v>
      </c>
      <c r="I20" s="55">
        <v>82.106965274400011</v>
      </c>
      <c r="J20" s="55">
        <v>84.670419399585697</v>
      </c>
      <c r="K20" s="55">
        <v>69.990694424780713</v>
      </c>
      <c r="L20" s="55">
        <v>71.725123831954519</v>
      </c>
      <c r="M20" s="55">
        <v>69.672209191749332</v>
      </c>
      <c r="N20" s="55">
        <v>73.80630010476915</v>
      </c>
      <c r="O20" s="55">
        <v>72.527075537065087</v>
      </c>
      <c r="P20" s="55">
        <v>74.587177020252511</v>
      </c>
      <c r="Q20" s="55">
        <v>75.637574046573519</v>
      </c>
      <c r="R20" s="55">
        <v>76.719378015449749</v>
      </c>
      <c r="S20" s="55">
        <v>75.244577853215901</v>
      </c>
      <c r="T20" s="55">
        <v>75.237557067014137</v>
      </c>
      <c r="U20" s="55">
        <v>74.666690957249159</v>
      </c>
      <c r="V20" s="55">
        <v>73.632156685218931</v>
      </c>
      <c r="W20" s="55">
        <v>73.58562410567697</v>
      </c>
      <c r="DA20" s="101" t="s">
        <v>1047</v>
      </c>
    </row>
    <row r="21" spans="1:105" x14ac:dyDescent="0.25">
      <c r="A21" s="61" t="s">
        <v>129</v>
      </c>
      <c r="B21" s="55">
        <v>15.35000543981486</v>
      </c>
      <c r="C21" s="55">
        <v>24.79766543974608</v>
      </c>
      <c r="D21" s="55">
        <v>21.648359159307759</v>
      </c>
      <c r="E21" s="55">
        <v>21.648359159256231</v>
      </c>
      <c r="F21" s="55">
        <v>15.429210839522151</v>
      </c>
      <c r="G21" s="55">
        <v>15.42921083977661</v>
      </c>
      <c r="H21" s="55">
        <v>15.30447083979954</v>
      </c>
      <c r="I21" s="55">
        <v>15.30447083977643</v>
      </c>
      <c r="J21" s="55">
        <v>15.30447083982</v>
      </c>
      <c r="K21" s="55">
        <v>12.155164559762889</v>
      </c>
      <c r="L21" s="55">
        <v>12.155164559211229</v>
      </c>
      <c r="M21" s="55">
        <v>12.155164559431119</v>
      </c>
      <c r="N21" s="55">
        <v>12.155164559767391</v>
      </c>
      <c r="O21" s="55">
        <v>12.15516455973761</v>
      </c>
      <c r="P21" s="55">
        <v>15.194080438883519</v>
      </c>
      <c r="Q21" s="55">
        <v>15.194080439471399</v>
      </c>
      <c r="R21" s="55">
        <v>12.15516455784968</v>
      </c>
      <c r="S21" s="55">
        <v>14.241197519619449</v>
      </c>
      <c r="T21" s="55">
        <v>14.56437239988689</v>
      </c>
      <c r="U21" s="55">
        <v>14.457781799886749</v>
      </c>
      <c r="V21" s="55">
        <v>13.429936079892659</v>
      </c>
      <c r="W21" s="55">
        <v>13.465935719895571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2.349233124563472E-3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14.463306184281899</v>
      </c>
      <c r="C25" s="258">
        <v>14.239460788253631</v>
      </c>
      <c r="D25" s="258">
        <v>14.50061631890256</v>
      </c>
      <c r="E25" s="258">
        <v>14.80841909687414</v>
      </c>
      <c r="F25" s="258">
        <v>13.399353931610451</v>
      </c>
      <c r="G25" s="258">
        <v>13.52999373535298</v>
      </c>
      <c r="H25" s="258">
        <v>13.59006636583255</v>
      </c>
      <c r="I25" s="258">
        <v>13.40485731220341</v>
      </c>
      <c r="J25" s="258">
        <v>13.7752821847796</v>
      </c>
      <c r="K25" s="258">
        <v>12.10715956782893</v>
      </c>
      <c r="L25" s="258">
        <v>12.46722271442095</v>
      </c>
      <c r="M25" s="258">
        <v>12.045534158147021</v>
      </c>
      <c r="N25" s="258">
        <v>12.613599678923521</v>
      </c>
      <c r="O25" s="258">
        <v>12.42880893277907</v>
      </c>
      <c r="P25" s="258">
        <v>13.275356797420701</v>
      </c>
      <c r="Q25" s="258">
        <v>13.064211516275449</v>
      </c>
      <c r="R25" s="258">
        <v>12.97842701206813</v>
      </c>
      <c r="S25" s="258">
        <v>12.90068108988816</v>
      </c>
      <c r="T25" s="258">
        <v>12.940427409181391</v>
      </c>
      <c r="U25" s="258">
        <v>12.72680670178527</v>
      </c>
      <c r="V25" s="258">
        <v>12.488384726385039</v>
      </c>
      <c r="W25" s="258">
        <v>12.62029919831156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1.0000000000000002</v>
      </c>
      <c r="M31" s="236">
        <f t="shared" si="3"/>
        <v>1.0000000000000002</v>
      </c>
      <c r="N31" s="236">
        <f t="shared" si="3"/>
        <v>1</v>
      </c>
      <c r="O31" s="236">
        <f t="shared" si="3"/>
        <v>1</v>
      </c>
      <c r="P31" s="236">
        <f t="shared" si="3"/>
        <v>0.99999999999999989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0.21702622185674822</v>
      </c>
      <c r="C35" s="247">
        <f t="shared" si="8"/>
        <v>0.22016234765703466</v>
      </c>
      <c r="D35" s="247">
        <f t="shared" si="8"/>
        <v>0.21083088398324693</v>
      </c>
      <c r="E35" s="247">
        <f t="shared" si="8"/>
        <v>0.21577391610587937</v>
      </c>
      <c r="F35" s="247">
        <f t="shared" si="8"/>
        <v>0.22442638784096283</v>
      </c>
      <c r="G35" s="247">
        <f t="shared" si="8"/>
        <v>0.22538180560629964</v>
      </c>
      <c r="H35" s="247">
        <f t="shared" si="8"/>
        <v>0.22543719879716664</v>
      </c>
      <c r="I35" s="247">
        <f t="shared" si="8"/>
        <v>0.22537589874179476</v>
      </c>
      <c r="J35" s="247">
        <f t="shared" si="8"/>
        <v>0.22549674201817352</v>
      </c>
      <c r="K35" s="247">
        <f t="shared" si="8"/>
        <v>0.22043174818721886</v>
      </c>
      <c r="L35" s="247">
        <f t="shared" si="8"/>
        <v>0.21871506312658562</v>
      </c>
      <c r="M35" s="247">
        <f t="shared" si="8"/>
        <v>0.21929701962865836</v>
      </c>
      <c r="N35" s="247">
        <f t="shared" si="8"/>
        <v>0.21992019954709699</v>
      </c>
      <c r="O35" s="247">
        <f t="shared" si="8"/>
        <v>0.21974934823226328</v>
      </c>
      <c r="P35" s="247">
        <f t="shared" si="8"/>
        <v>0.21703735267164967</v>
      </c>
      <c r="Q35" s="247">
        <f t="shared" si="8"/>
        <v>0.22003539481798495</v>
      </c>
      <c r="R35" s="247">
        <f t="shared" si="8"/>
        <v>0.22058328927260057</v>
      </c>
      <c r="S35" s="247">
        <f t="shared" si="8"/>
        <v>0.22039895975023921</v>
      </c>
      <c r="T35" s="247">
        <f t="shared" si="8"/>
        <v>0.21840911202098326</v>
      </c>
      <c r="U35" s="247">
        <f t="shared" si="8"/>
        <v>0.21932246978096093</v>
      </c>
      <c r="V35" s="247">
        <f t="shared" si="8"/>
        <v>0.21921638715750313</v>
      </c>
      <c r="W35" s="247">
        <f t="shared" si="8"/>
        <v>0.21673653749891053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0.28816374063048178</v>
      </c>
      <c r="C36" s="260">
        <f t="shared" si="9"/>
        <v>0.29232783533741002</v>
      </c>
      <c r="D36" s="260">
        <f t="shared" si="9"/>
        <v>0.27993767596039687</v>
      </c>
      <c r="E36" s="260">
        <f t="shared" si="9"/>
        <v>0.28650095027042272</v>
      </c>
      <c r="F36" s="260">
        <f t="shared" si="9"/>
        <v>0.29798955565437002</v>
      </c>
      <c r="G36" s="260">
        <f t="shared" si="9"/>
        <v>0.29925814317696892</v>
      </c>
      <c r="H36" s="260">
        <f t="shared" si="9"/>
        <v>0.29933169331735798</v>
      </c>
      <c r="I36" s="260">
        <f t="shared" si="9"/>
        <v>0.29925030014235054</v>
      </c>
      <c r="J36" s="260">
        <f t="shared" si="9"/>
        <v>0.29941075379745924</v>
      </c>
      <c r="K36" s="260">
        <f t="shared" si="9"/>
        <v>0.292685540797338</v>
      </c>
      <c r="L36" s="260">
        <f t="shared" si="9"/>
        <v>0.3042453820076419</v>
      </c>
      <c r="M36" s="260">
        <f t="shared" si="9"/>
        <v>0.30550749075216477</v>
      </c>
      <c r="N36" s="260">
        <f t="shared" si="9"/>
        <v>0.30840757605639069</v>
      </c>
      <c r="O36" s="260">
        <f t="shared" si="9"/>
        <v>0.30843962160025085</v>
      </c>
      <c r="P36" s="260">
        <f t="shared" si="9"/>
        <v>0.31091821252754603</v>
      </c>
      <c r="Q36" s="260">
        <f t="shared" si="9"/>
        <v>0.3085084319709937</v>
      </c>
      <c r="R36" s="260">
        <f t="shared" si="9"/>
        <v>0.31076811748850836</v>
      </c>
      <c r="S36" s="260">
        <f t="shared" si="9"/>
        <v>0.3079292133783757</v>
      </c>
      <c r="T36" s="260">
        <f t="shared" si="9"/>
        <v>0.30890692764272265</v>
      </c>
      <c r="U36" s="260">
        <f t="shared" si="9"/>
        <v>0.30713121705761726</v>
      </c>
      <c r="V36" s="260">
        <f t="shared" si="9"/>
        <v>0.30793494959460022</v>
      </c>
      <c r="W36" s="260">
        <f t="shared" si="9"/>
        <v>0.31088222199364424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0.43943697327319342</v>
      </c>
      <c r="C37" s="260">
        <f t="shared" si="10"/>
        <v>0.43133658726562146</v>
      </c>
      <c r="D37" s="260">
        <f t="shared" si="10"/>
        <v>0.45543908269689903</v>
      </c>
      <c r="E37" s="260">
        <f t="shared" si="10"/>
        <v>0.44267158840904475</v>
      </c>
      <c r="F37" s="260">
        <f t="shared" si="10"/>
        <v>0.4203228800226082</v>
      </c>
      <c r="G37" s="260">
        <f t="shared" si="10"/>
        <v>0.41785510507014534</v>
      </c>
      <c r="H37" s="260">
        <f t="shared" si="10"/>
        <v>0.41771202846646688</v>
      </c>
      <c r="I37" s="260">
        <f t="shared" si="10"/>
        <v>0.41787036207373229</v>
      </c>
      <c r="J37" s="260">
        <f t="shared" si="10"/>
        <v>0.417558232635239</v>
      </c>
      <c r="K37" s="260">
        <f t="shared" si="10"/>
        <v>0.43064074519036533</v>
      </c>
      <c r="L37" s="260">
        <f t="shared" si="10"/>
        <v>0.41857626921559465</v>
      </c>
      <c r="M37" s="260">
        <f t="shared" si="10"/>
        <v>0.4164896792556716</v>
      </c>
      <c r="N37" s="260">
        <f t="shared" si="10"/>
        <v>0.41240913847328586</v>
      </c>
      <c r="O37" s="260">
        <f t="shared" si="10"/>
        <v>0.41254178642594802</v>
      </c>
      <c r="P37" s="260">
        <f t="shared" si="10"/>
        <v>0.41229890915669082</v>
      </c>
      <c r="Q37" s="260">
        <f t="shared" si="10"/>
        <v>0.41217370698329847</v>
      </c>
      <c r="R37" s="260">
        <f t="shared" si="10"/>
        <v>0.40893190960737968</v>
      </c>
      <c r="S37" s="260">
        <f t="shared" si="10"/>
        <v>0.41250066232328231</v>
      </c>
      <c r="T37" s="260">
        <f t="shared" si="10"/>
        <v>0.41332491984429509</v>
      </c>
      <c r="U37" s="260">
        <f t="shared" si="10"/>
        <v>0.41452849025663474</v>
      </c>
      <c r="V37" s="260">
        <f t="shared" si="10"/>
        <v>0.41367639643804233</v>
      </c>
      <c r="W37" s="260">
        <f t="shared" si="10"/>
        <v>0.41264263074435636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5.5373064239576469E-2</v>
      </c>
      <c r="C38" s="260">
        <f t="shared" si="11"/>
        <v>5.6173229739933772E-2</v>
      </c>
      <c r="D38" s="260">
        <f t="shared" si="11"/>
        <v>5.379235735945713E-2</v>
      </c>
      <c r="E38" s="260">
        <f t="shared" si="11"/>
        <v>5.5053545214653186E-2</v>
      </c>
      <c r="F38" s="260">
        <f t="shared" si="11"/>
        <v>5.7261176482058911E-2</v>
      </c>
      <c r="G38" s="260">
        <f t="shared" si="11"/>
        <v>5.750494614658614E-2</v>
      </c>
      <c r="H38" s="260">
        <f t="shared" si="11"/>
        <v>5.7519079419008551E-2</v>
      </c>
      <c r="I38" s="260">
        <f t="shared" si="11"/>
        <v>5.7503439042122517E-2</v>
      </c>
      <c r="J38" s="260">
        <f t="shared" si="11"/>
        <v>5.7534271549128296E-2</v>
      </c>
      <c r="K38" s="260">
        <f t="shared" si="11"/>
        <v>5.6241965825077886E-2</v>
      </c>
      <c r="L38" s="260">
        <f t="shared" si="11"/>
        <v>5.8463285650177901E-2</v>
      </c>
      <c r="M38" s="260">
        <f t="shared" si="11"/>
        <v>5.8705810363505431E-2</v>
      </c>
      <c r="N38" s="260">
        <f t="shared" si="11"/>
        <v>5.9263085923226447E-2</v>
      </c>
      <c r="O38" s="260">
        <f t="shared" si="11"/>
        <v>5.9269243741537928E-2</v>
      </c>
      <c r="P38" s="260">
        <f t="shared" si="11"/>
        <v>5.9745525644113374E-2</v>
      </c>
      <c r="Q38" s="260">
        <f t="shared" si="11"/>
        <v>5.9282466227722867E-2</v>
      </c>
      <c r="R38" s="260">
        <f t="shared" si="11"/>
        <v>5.9716683631511461E-2</v>
      </c>
      <c r="S38" s="260">
        <f t="shared" si="11"/>
        <v>5.9171164548102777E-2</v>
      </c>
      <c r="T38" s="260">
        <f t="shared" si="11"/>
        <v>5.9359040491999034E-2</v>
      </c>
      <c r="U38" s="260">
        <f t="shared" si="11"/>
        <v>5.9017822904786986E-2</v>
      </c>
      <c r="V38" s="260">
        <f t="shared" si="11"/>
        <v>5.9172266809854358E-2</v>
      </c>
      <c r="W38" s="260">
        <f t="shared" si="11"/>
        <v>5.9738609763088903E-2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3.1459475713502307</v>
      </c>
      <c r="C44" s="238">
        <f>IF(C$5=0,0,C$5/AGR_fec!C$5)</f>
        <v>3.1035526567249616</v>
      </c>
      <c r="D44" s="238">
        <f>IF(D$5=0,0,D$5/AGR_fec!D$5)</f>
        <v>3.1800623824512995</v>
      </c>
      <c r="E44" s="238">
        <f>IF(E$5=0,0,E$5/AGR_fec!E$5)</f>
        <v>3.1471860412249018</v>
      </c>
      <c r="F44" s="238">
        <f>IF(F$5=0,0,F$5/AGR_fec!F$5)</f>
        <v>3.095659392523221</v>
      </c>
      <c r="G44" s="238">
        <f>IF(G$5=0,0,G$5/AGR_fec!G$5)</f>
        <v>3.0899829228292277</v>
      </c>
      <c r="H44" s="238">
        <f>IF(H$5=0,0,H$5/AGR_fec!H$5)</f>
        <v>3.0901471935351839</v>
      </c>
      <c r="I44" s="238">
        <f>IF(I$5=0,0,I$5/AGR_fec!I$5)</f>
        <v>3.0899816912103519</v>
      </c>
      <c r="J44" s="238">
        <f>IF(J$5=0,0,J$5/AGR_fec!J$5)</f>
        <v>3.0903083624202368</v>
      </c>
      <c r="K44" s="238">
        <f>IF(K$5=0,0,K$5/AGR_fec!K$5)</f>
        <v>3.1252443110519676</v>
      </c>
      <c r="L44" s="238">
        <f>IF(L$5=0,0,L$5/AGR_fec!L$5)</f>
        <v>3.0085826508701072</v>
      </c>
      <c r="M44" s="238">
        <f>IF(M$5=0,0,M$5/AGR_fec!M$5)</f>
        <v>2.9993427344875605</v>
      </c>
      <c r="N44" s="238">
        <f>IF(N$5=0,0,N$5/AGR_fec!N$5)</f>
        <v>2.9782442514532446</v>
      </c>
      <c r="O44" s="238">
        <f>IF(O$5=0,0,O$5/AGR_fec!O$5)</f>
        <v>2.9764981171673917</v>
      </c>
      <c r="P44" s="238">
        <f>IF(P$5=0,0,P$5/AGR_fec!P$5)</f>
        <v>2.9336061599819878</v>
      </c>
      <c r="Q44" s="238">
        <f>IF(Q$5=0,0,Q$5/AGR_fec!Q$5)</f>
        <v>2.9713332913496173</v>
      </c>
      <c r="R44" s="238">
        <f>IF(R$5=0,0,R$5/AGR_fec!R$5)</f>
        <v>2.9616907848521774</v>
      </c>
      <c r="S44" s="238">
        <f>IF(S$5=0,0,S$5/AGR_fec!S$5)</f>
        <v>2.9807195794397865</v>
      </c>
      <c r="T44" s="238">
        <f>IF(T$5=0,0,T$5/AGR_fec!T$5)</f>
        <v>2.9191111984507154</v>
      </c>
      <c r="U44" s="238">
        <f>IF(U$5=0,0,U$5/AGR_fec!U$5)</f>
        <v>2.9382761373880188</v>
      </c>
      <c r="V44" s="238">
        <f>IF(V$5=0,0,V$5/AGR_fec!V$5)</f>
        <v>2.928599733405326</v>
      </c>
      <c r="W44" s="238">
        <f>IF(W$5=0,0,W$5/AGR_fec!W$5)</f>
        <v>2.8627570344694959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3.1024188000000001</v>
      </c>
      <c r="C48" s="253">
        <f>IF(C$9=0,0,C$9/AGR_fec!C$9)</f>
        <v>3.1024187999999993</v>
      </c>
      <c r="D48" s="253">
        <f>IF(D$9=0,0,D$9/AGR_fec!D$9)</f>
        <v>3.1024187999999993</v>
      </c>
      <c r="E48" s="253">
        <f>IF(E$9=0,0,E$9/AGR_fec!E$9)</f>
        <v>3.1024188000000001</v>
      </c>
      <c r="F48" s="253">
        <f>IF(F$9=0,0,F$9/AGR_fec!F$9)</f>
        <v>3.1024188000000006</v>
      </c>
      <c r="G48" s="253">
        <f>IF(G$9=0,0,G$9/AGR_fec!G$9)</f>
        <v>3.1024188000000001</v>
      </c>
      <c r="H48" s="253">
        <f>IF(H$9=0,0,H$9/AGR_fec!H$9)</f>
        <v>3.1024188000000001</v>
      </c>
      <c r="I48" s="253">
        <f>IF(I$9=0,0,I$9/AGR_fec!I$9)</f>
        <v>3.1024188000000001</v>
      </c>
      <c r="J48" s="253">
        <f>IF(J$9=0,0,J$9/AGR_fec!J$9)</f>
        <v>3.1024188000000006</v>
      </c>
      <c r="K48" s="253">
        <f>IF(K$9=0,0,K$9/AGR_fec!K$9)</f>
        <v>3.1024188000000001</v>
      </c>
      <c r="L48" s="253">
        <f>IF(L$9=0,0,L$9/AGR_fec!L$9)</f>
        <v>2.9282670113965881</v>
      </c>
      <c r="M48" s="253">
        <f>IF(M$9=0,0,M$9/AGR_fec!M$9)</f>
        <v>2.9229766486079556</v>
      </c>
      <c r="N48" s="253">
        <f>IF(N$9=0,0,N$9/AGR_fec!N$9)</f>
        <v>2.8993559675657408</v>
      </c>
      <c r="O48" s="253">
        <f>IF(O$9=0,0,O$9/AGR_fec!O$9)</f>
        <v>2.8961506130782064</v>
      </c>
      <c r="P48" s="253">
        <f>IF(P$9=0,0,P$9/AGR_fec!P$9)</f>
        <v>2.8230708796286912</v>
      </c>
      <c r="Q48" s="253">
        <f>IF(Q$9=0,0,Q$9/AGR_fec!Q$9)</f>
        <v>2.8998762294281053</v>
      </c>
      <c r="R48" s="253">
        <f>IF(R$9=0,0,R$9/AGR_fec!R$9)</f>
        <v>2.8830567604680035</v>
      </c>
      <c r="S48" s="253">
        <f>IF(S$9=0,0,S$9/AGR_fec!S$9)</f>
        <v>2.9126967606358871</v>
      </c>
      <c r="T48" s="253">
        <f>IF(T$9=0,0,T$9/AGR_fec!T$9)</f>
        <v>2.9060239943231578</v>
      </c>
      <c r="U48" s="253">
        <f>IF(U$9=0,0,U$9/AGR_fec!U$9)</f>
        <v>2.943412995701717</v>
      </c>
      <c r="V48" s="253">
        <f>IF(V$9=0,0,V$9/AGR_fec!V$9)</f>
        <v>2.9356858550144027</v>
      </c>
      <c r="W48" s="253">
        <f>IF(W$9=0,0,W$9/AGR_fec!W$9)</f>
        <v>2.8842290564050512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3.1024188000000001</v>
      </c>
      <c r="D49" s="265">
        <f>IF(D$16=0,0,D$16/AGR_fec!D$16)</f>
        <v>3.1024187999999997</v>
      </c>
      <c r="E49" s="265">
        <f>IF(E$16=0,0,E$16/AGR_fec!E$16)</f>
        <v>3.1024187999999997</v>
      </c>
      <c r="F49" s="265">
        <f>IF(F$16=0,0,F$16/AGR_fec!F$16)</f>
        <v>3.1024188000000001</v>
      </c>
      <c r="G49" s="265">
        <f>IF(G$16=0,0,G$16/AGR_fec!G$16)</f>
        <v>3.1024187999999993</v>
      </c>
      <c r="H49" s="265">
        <f>IF(H$16=0,0,H$16/AGR_fec!H$16)</f>
        <v>3.1024188000000006</v>
      </c>
      <c r="I49" s="265">
        <f>IF(I$16=0,0,I$16/AGR_fec!I$16)</f>
        <v>3.1024188000000006</v>
      </c>
      <c r="J49" s="265">
        <f>IF(J$16=0,0,J$16/AGR_fec!J$16)</f>
        <v>3.1024188000000001</v>
      </c>
      <c r="K49" s="265">
        <f>IF(K$16=0,0,K$16/AGR_fec!K$16)</f>
        <v>3.1024188000000006</v>
      </c>
      <c r="L49" s="265">
        <f>IF(L$16=0,0,L$16/AGR_fec!L$16)</f>
        <v>3.1024188000000006</v>
      </c>
      <c r="M49" s="265">
        <f>IF(M$16=0,0,M$16/AGR_fec!M$16)</f>
        <v>3.1024188000000006</v>
      </c>
      <c r="N49" s="265">
        <f>IF(N$16=0,0,N$16/AGR_fec!N$16)</f>
        <v>3.1024187999999997</v>
      </c>
      <c r="O49" s="265">
        <f>IF(O$16=0,0,O$16/AGR_fec!O$16)</f>
        <v>3.102418800000001</v>
      </c>
      <c r="P49" s="265">
        <f>IF(P$16=0,0,P$16/AGR_fec!P$16)</f>
        <v>3.1024188000000006</v>
      </c>
      <c r="Q49" s="265">
        <f>IF(Q$16=0,0,Q$16/AGR_fec!Q$16)</f>
        <v>3.1024188000000001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3.102418800000001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3.2032797853407704</v>
      </c>
      <c r="C50" s="265">
        <f>IF(C$17=0,0,C$17/AGR_fec!C$17)</f>
        <v>3.1050487723966507</v>
      </c>
      <c r="D50" s="265">
        <f>IF(D$17=0,0,D$17/AGR_fec!D$17)</f>
        <v>3.278158370494896</v>
      </c>
      <c r="E50" s="265">
        <f>IF(E$17=0,0,E$17/AGR_fec!E$17)</f>
        <v>3.20541973646066</v>
      </c>
      <c r="F50" s="265">
        <f>IF(F$17=0,0,F$17/AGR_fec!F$17)</f>
        <v>3.0863855118465495</v>
      </c>
      <c r="G50" s="265">
        <f>IF(G$17=0,0,G$17/AGR_fec!G$17)</f>
        <v>3.0728228587158606</v>
      </c>
      <c r="H50" s="265">
        <f>IF(H$17=0,0,H$17/AGR_fec!H$17)</f>
        <v>3.073201751371275</v>
      </c>
      <c r="I50" s="265">
        <f>IF(I$17=0,0,I$17/AGR_fec!I$17)</f>
        <v>3.0728210142691568</v>
      </c>
      <c r="J50" s="265">
        <f>IF(J$17=0,0,J$17/AGR_fec!J$17)</f>
        <v>3.0735728741764752</v>
      </c>
      <c r="K50" s="265">
        <f>IF(K$17=0,0,K$17/AGR_fec!K$17)</f>
        <v>3.1559430481743598</v>
      </c>
      <c r="L50" s="265">
        <f>IF(L$17=0,0,L$17/AGR_fec!L$17)</f>
        <v>2.9732673804364453</v>
      </c>
      <c r="M50" s="265">
        <f>IF(M$17=0,0,M$17/AGR_fec!M$17)</f>
        <v>2.9541506149262919</v>
      </c>
      <c r="N50" s="265">
        <f>IF(N$17=0,0,N$17/AGR_fec!N$17)</f>
        <v>2.9164911148640678</v>
      </c>
      <c r="O50" s="265">
        <f>IF(O$17=0,0,O$17/AGR_fec!O$17)</f>
        <v>2.9141379455200958</v>
      </c>
      <c r="P50" s="265">
        <f>IF(P$17=0,0,P$17/AGR_fec!P$17)</f>
        <v>2.8528496569223134</v>
      </c>
      <c r="Q50" s="265">
        <f>IF(Q$17=0,0,Q$17/AGR_fec!Q$17)</f>
        <v>2.9001397678187915</v>
      </c>
      <c r="R50" s="265">
        <f>IF(R$17=0,0,R$17/AGR_fec!R$17)</f>
        <v>2.8855589076350707</v>
      </c>
      <c r="S50" s="265">
        <f>IF(S$17=0,0,S$17/AGR_fec!S$17)</f>
        <v>2.9153235179850236</v>
      </c>
      <c r="T50" s="265">
        <f>IF(T$17=0,0,T$17/AGR_fec!T$17)</f>
        <v>2.9090088319212337</v>
      </c>
      <c r="U50" s="265">
        <f>IF(U$17=0,0,U$17/AGR_fec!U$17)</f>
        <v>2.9399398227613651</v>
      </c>
      <c r="V50" s="265">
        <f>IF(V$17=0,0,V$17/AGR_fec!V$17)</f>
        <v>2.933873387549101</v>
      </c>
      <c r="W50" s="265">
        <f>IF(W$17=0,0,W$17/AGR_fec!W$17)</f>
        <v>2.8924380550408588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3.102418800000001</v>
      </c>
      <c r="D51" s="265">
        <f>IF(D$25=0,0,D$25/AGR_fec!D$25)</f>
        <v>3.102418800000001</v>
      </c>
      <c r="E51" s="265">
        <f>IF(E$25=0,0,E$25/AGR_fec!E$25)</f>
        <v>3.1024188000000006</v>
      </c>
      <c r="F51" s="265">
        <f>IF(F$25=0,0,F$25/AGR_fec!F$25)</f>
        <v>3.1024187999999997</v>
      </c>
      <c r="G51" s="265">
        <f>IF(G$25=0,0,G$25/AGR_fec!G$25)</f>
        <v>3.102418800000001</v>
      </c>
      <c r="H51" s="265">
        <f>IF(H$25=0,0,H$25/AGR_fec!H$25)</f>
        <v>3.1024188000000001</v>
      </c>
      <c r="I51" s="265">
        <f>IF(I$25=0,0,I$25/AGR_fec!I$25)</f>
        <v>3.1024188000000006</v>
      </c>
      <c r="J51" s="265">
        <f>IF(J$25=0,0,J$25/AGR_fec!J$25)</f>
        <v>3.1024188000000001</v>
      </c>
      <c r="K51" s="265">
        <f>IF(K$25=0,0,K$25/AGR_fec!K$25)</f>
        <v>3.1024188000000001</v>
      </c>
      <c r="L51" s="265">
        <f>IF(L$25=0,0,L$25/AGR_fec!L$25)</f>
        <v>3.1024187999999988</v>
      </c>
      <c r="M51" s="265">
        <f>IF(M$25=0,0,M$25/AGR_fec!M$25)</f>
        <v>3.1024188000000001</v>
      </c>
      <c r="N51" s="265">
        <f>IF(N$25=0,0,N$25/AGR_fec!N$25)</f>
        <v>3.1024188000000001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3.1024187999999988</v>
      </c>
      <c r="R51" s="265">
        <f>IF(R$25=0,0,R$25/AGR_fec!R$25)</f>
        <v>3.1024187999999993</v>
      </c>
      <c r="S51" s="265">
        <f>IF(S$25=0,0,S$25/AGR_fec!S$25)</f>
        <v>3.1024188000000006</v>
      </c>
      <c r="T51" s="265">
        <f>IF(T$25=0,0,T$25/AGR_fec!T$25)</f>
        <v>3.1024187999999993</v>
      </c>
      <c r="U51" s="265">
        <f>IF(U$25=0,0,U$25/AGR_fec!U$25)</f>
        <v>3.1024188000000006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2024-05-20T16:56:17Z</dcterms:created>
  <dcterms:modified xsi:type="dcterms:W3CDTF">2024-05-20T16:56:17Z</dcterms:modified>
</cp:coreProperties>
</file>